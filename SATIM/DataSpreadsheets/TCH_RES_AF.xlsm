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2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3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4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5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drawings/drawing16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7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2041E8ED-AD8D-488A-8A27-180105E26645}" xr6:coauthVersionLast="45" xr6:coauthVersionMax="45" xr10:uidLastSave="{00000000-0000-0000-0000-000000000000}"/>
  <bookViews>
    <workbookView xWindow="684" yWindow="0" windowWidth="20280" windowHeight="12360" tabRatio="780" activeTab="2" xr2:uid="{00000000-000D-0000-FFFF-FFFF00000000}"/>
  </bookViews>
  <sheets>
    <sheet name="ANSv2-692-Home" sheetId="9" r:id="rId1"/>
    <sheet name="Processes" sheetId="76" r:id="rId2"/>
    <sheet name="ProcData" sheetId="78" r:id="rId3"/>
    <sheet name="RawDatafrombuFile" sheetId="100" r:id="rId4"/>
    <sheet name="ANSv2-692-REGIONS" sheetId="18" state="veryHidden" r:id="rId5"/>
    <sheet name="ANSv2-692-Commodities" sheetId="19" state="veryHidden" r:id="rId6"/>
    <sheet name="ANSv2-692-Processes" sheetId="20" state="veryHidden" r:id="rId7"/>
    <sheet name="ANSv2-692-Constraints" sheetId="23" state="veryHidden" r:id="rId8"/>
    <sheet name="ANSv2-692-CommData" sheetId="21" state="veryHidden" r:id="rId9"/>
    <sheet name="ANSv2-692-ProcData" sheetId="25" state="veryHidden" r:id="rId10"/>
    <sheet name="ANSv2-692-ConstrData" sheetId="24" state="veryHidden" r:id="rId11"/>
    <sheet name="ANSv2-692-ITEMS" sheetId="10" state="veryHidden" r:id="rId12"/>
    <sheet name="ANSv2-692-TS DATA" sheetId="12" state="veryHidden" r:id="rId13"/>
    <sheet name="ANSv2-692-TID DATA" sheetId="13" state="veryHidden" r:id="rId14"/>
    <sheet name="ANSv2-692-TS&amp;TID DATA" sheetId="14" state="veryHidden" r:id="rId15"/>
    <sheet name="ANSv2-692-TS TRADE" sheetId="15" state="veryHidden" r:id="rId16"/>
    <sheet name="ANSv2-692-TID TRADE" sheetId="16" state="veryHidden" r:id="rId17"/>
    <sheet name="ANSv2-692-TS&amp;TID TRADE" sheetId="17" state="veryHidden" r:id="rId18"/>
  </sheets>
  <externalReferences>
    <externalReference r:id="rId19"/>
    <externalReference r:id="rId20"/>
    <externalReference r:id="rId21"/>
    <externalReference r:id="rId22"/>
    <externalReference r:id="rId23"/>
  </externalReferences>
  <definedNames>
    <definedName name="\I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3" hidden="1">RawDatafrombuFile!$V$1:$X$64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inchtocentimetre">[3]Distribution!$A$17</definedName>
    <definedName name="IND">[2]Index!$C$9</definedName>
    <definedName name="INIT">#REF!</definedName>
    <definedName name="InvConstraint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78" l="1"/>
  <c r="B11" i="78"/>
  <c r="C11" i="78"/>
  <c r="B12" i="78"/>
  <c r="B13" i="78"/>
  <c r="C13" i="78"/>
  <c r="B14" i="78"/>
  <c r="B15" i="78"/>
  <c r="B16" i="78"/>
  <c r="C16" i="78"/>
  <c r="B17" i="78"/>
  <c r="B18" i="78"/>
  <c r="C18" i="78"/>
  <c r="B19" i="78"/>
  <c r="B20" i="78"/>
  <c r="C20" i="78"/>
  <c r="B21" i="78"/>
  <c r="B22" i="78"/>
  <c r="C22" i="78"/>
  <c r="B23" i="78"/>
  <c r="B24" i="78"/>
  <c r="C24" i="78"/>
  <c r="B25" i="78"/>
  <c r="B26" i="78"/>
  <c r="C26" i="78"/>
  <c r="B27" i="78"/>
  <c r="B28" i="78"/>
  <c r="C28" i="78"/>
  <c r="B29" i="78"/>
  <c r="B30" i="78"/>
  <c r="C30" i="78"/>
  <c r="B31" i="78"/>
  <c r="B32" i="78"/>
  <c r="C32" i="78"/>
  <c r="B33" i="78"/>
  <c r="B34" i="78"/>
  <c r="C34" i="78"/>
  <c r="B35" i="78"/>
  <c r="B36" i="78"/>
  <c r="C36" i="78"/>
  <c r="B37" i="78"/>
  <c r="B38" i="78"/>
  <c r="C38" i="78"/>
  <c r="B39" i="78"/>
  <c r="B40" i="78"/>
  <c r="C40" i="78"/>
  <c r="B41" i="78"/>
  <c r="B42" i="78"/>
  <c r="C42" i="78"/>
  <c r="B43" i="78"/>
  <c r="B44" i="78"/>
  <c r="C44" i="78"/>
  <c r="B45" i="78"/>
  <c r="B46" i="78"/>
  <c r="C46" i="78"/>
  <c r="B47" i="78"/>
  <c r="B48" i="78"/>
  <c r="C48" i="78"/>
  <c r="B49" i="78"/>
  <c r="B50" i="78"/>
  <c r="C50" i="78"/>
  <c r="B51" i="78"/>
  <c r="B52" i="78"/>
  <c r="C52" i="78"/>
  <c r="B53" i="78"/>
  <c r="B54" i="78"/>
  <c r="C54" i="78"/>
  <c r="E10" i="78"/>
  <c r="E12" i="78"/>
  <c r="E14" i="78"/>
  <c r="E15" i="78"/>
  <c r="E17" i="78"/>
  <c r="E19" i="78"/>
  <c r="E21" i="78"/>
  <c r="E23" i="78"/>
  <c r="E25" i="78"/>
  <c r="E27" i="78"/>
  <c r="E29" i="78"/>
  <c r="E31" i="78"/>
  <c r="E33" i="78"/>
  <c r="E35" i="78"/>
  <c r="E37" i="78"/>
  <c r="E39" i="78"/>
  <c r="E41" i="78"/>
  <c r="E43" i="78"/>
  <c r="E45" i="78"/>
  <c r="E47" i="78"/>
  <c r="E49" i="78"/>
  <c r="E51" i="78"/>
  <c r="E53" i="78"/>
  <c r="D9" i="78"/>
  <c r="E9" i="78"/>
  <c r="B9" i="78"/>
  <c r="R4" i="100"/>
  <c r="C10" i="76" s="1"/>
  <c r="S4" i="100"/>
  <c r="T4" i="100"/>
  <c r="F10" i="78" s="1"/>
  <c r="R5" i="100"/>
  <c r="S5" i="100"/>
  <c r="E11" i="78" s="1"/>
  <c r="T5" i="100"/>
  <c r="F11" i="78" s="1"/>
  <c r="R6" i="100"/>
  <c r="C12" i="76" s="1"/>
  <c r="S6" i="100"/>
  <c r="T6" i="100"/>
  <c r="F12" i="78" s="1"/>
  <c r="R7" i="100"/>
  <c r="S7" i="100"/>
  <c r="E13" i="78" s="1"/>
  <c r="T7" i="100"/>
  <c r="F13" i="78" s="1"/>
  <c r="R8" i="100"/>
  <c r="C14" i="76" s="1"/>
  <c r="S8" i="100"/>
  <c r="T8" i="100"/>
  <c r="F14" i="78" s="1"/>
  <c r="R9" i="100"/>
  <c r="S9" i="100"/>
  <c r="T9" i="100"/>
  <c r="R10" i="100"/>
  <c r="C16" i="76" s="1"/>
  <c r="S10" i="100"/>
  <c r="T10" i="100"/>
  <c r="R11" i="100"/>
  <c r="S11" i="100"/>
  <c r="T11" i="100"/>
  <c r="R12" i="100"/>
  <c r="C18" i="76" s="1"/>
  <c r="S12" i="100"/>
  <c r="T12" i="100"/>
  <c r="R13" i="100"/>
  <c r="C19" i="76" s="1"/>
  <c r="S13" i="100"/>
  <c r="T13" i="100"/>
  <c r="R14" i="100"/>
  <c r="C15" i="78" s="1"/>
  <c r="S14" i="100"/>
  <c r="T14" i="100"/>
  <c r="F15" i="78" s="1"/>
  <c r="R15" i="100"/>
  <c r="S15" i="100"/>
  <c r="E16" i="78" s="1"/>
  <c r="T15" i="100"/>
  <c r="F16" i="78" s="1"/>
  <c r="R16" i="100"/>
  <c r="C17" i="78" s="1"/>
  <c r="S16" i="100"/>
  <c r="T16" i="100"/>
  <c r="F17" i="78" s="1"/>
  <c r="R17" i="100"/>
  <c r="S17" i="100"/>
  <c r="E18" i="78" s="1"/>
  <c r="T17" i="100"/>
  <c r="F18" i="78" s="1"/>
  <c r="R18" i="100"/>
  <c r="C19" i="78" s="1"/>
  <c r="S18" i="100"/>
  <c r="T18" i="100"/>
  <c r="F19" i="78" s="1"/>
  <c r="R19" i="100"/>
  <c r="S19" i="100"/>
  <c r="E20" i="78" s="1"/>
  <c r="T19" i="100"/>
  <c r="F20" i="78" s="1"/>
  <c r="R20" i="100"/>
  <c r="C21" i="78" s="1"/>
  <c r="S20" i="100"/>
  <c r="T20" i="100"/>
  <c r="F21" i="78" s="1"/>
  <c r="R21" i="100"/>
  <c r="S21" i="100"/>
  <c r="E22" i="78" s="1"/>
  <c r="T21" i="100"/>
  <c r="F22" i="78" s="1"/>
  <c r="R22" i="100"/>
  <c r="C23" i="78" s="1"/>
  <c r="S22" i="100"/>
  <c r="T22" i="100"/>
  <c r="F23" i="78" s="1"/>
  <c r="R23" i="100"/>
  <c r="S23" i="100"/>
  <c r="E24" i="78" s="1"/>
  <c r="T23" i="100"/>
  <c r="F24" i="78" s="1"/>
  <c r="R24" i="100"/>
  <c r="C25" i="78" s="1"/>
  <c r="S24" i="100"/>
  <c r="T24" i="100"/>
  <c r="F25" i="78" s="1"/>
  <c r="R25" i="100"/>
  <c r="C31" i="76" s="1"/>
  <c r="S25" i="100"/>
  <c r="E26" i="78" s="1"/>
  <c r="T25" i="100"/>
  <c r="F26" i="78" s="1"/>
  <c r="R26" i="100"/>
  <c r="C32" i="76" s="1"/>
  <c r="S26" i="100"/>
  <c r="T26" i="100"/>
  <c r="F27" i="78" s="1"/>
  <c r="R27" i="100"/>
  <c r="S27" i="100"/>
  <c r="E28" i="78" s="1"/>
  <c r="T27" i="100"/>
  <c r="F28" i="78" s="1"/>
  <c r="R28" i="100"/>
  <c r="C34" i="76" s="1"/>
  <c r="S28" i="100"/>
  <c r="T28" i="100"/>
  <c r="F29" i="78" s="1"/>
  <c r="R29" i="100"/>
  <c r="S29" i="100"/>
  <c r="E30" i="78" s="1"/>
  <c r="T29" i="100"/>
  <c r="F30" i="78" s="1"/>
  <c r="R30" i="100"/>
  <c r="C36" i="76" s="1"/>
  <c r="S30" i="100"/>
  <c r="T30" i="100"/>
  <c r="F31" i="78" s="1"/>
  <c r="R31" i="100"/>
  <c r="S31" i="100"/>
  <c r="E32" i="78" s="1"/>
  <c r="T31" i="100"/>
  <c r="F32" i="78" s="1"/>
  <c r="R32" i="100"/>
  <c r="C38" i="76" s="1"/>
  <c r="S32" i="100"/>
  <c r="T32" i="100"/>
  <c r="F33" i="78" s="1"/>
  <c r="R33" i="100"/>
  <c r="S33" i="100"/>
  <c r="E34" i="78" s="1"/>
  <c r="T33" i="100"/>
  <c r="F34" i="78" s="1"/>
  <c r="R34" i="100"/>
  <c r="C40" i="76" s="1"/>
  <c r="S34" i="100"/>
  <c r="T34" i="100"/>
  <c r="F35" i="78" s="1"/>
  <c r="R35" i="100"/>
  <c r="S35" i="100"/>
  <c r="E36" i="78" s="1"/>
  <c r="T35" i="100"/>
  <c r="F36" i="78" s="1"/>
  <c r="R36" i="100"/>
  <c r="C42" i="76" s="1"/>
  <c r="S36" i="100"/>
  <c r="T36" i="100"/>
  <c r="F37" i="78" s="1"/>
  <c r="R37" i="100"/>
  <c r="C43" i="76" s="1"/>
  <c r="S37" i="100"/>
  <c r="E38" i="78" s="1"/>
  <c r="T37" i="100"/>
  <c r="F38" i="78" s="1"/>
  <c r="R38" i="100"/>
  <c r="C39" i="78" s="1"/>
  <c r="S38" i="100"/>
  <c r="T38" i="100"/>
  <c r="F39" i="78" s="1"/>
  <c r="R39" i="100"/>
  <c r="S39" i="100"/>
  <c r="E40" i="78" s="1"/>
  <c r="T39" i="100"/>
  <c r="F40" i="78" s="1"/>
  <c r="R40" i="100"/>
  <c r="C41" i="78" s="1"/>
  <c r="S40" i="100"/>
  <c r="T40" i="100"/>
  <c r="F41" i="78" s="1"/>
  <c r="R41" i="100"/>
  <c r="S41" i="100"/>
  <c r="E42" i="78" s="1"/>
  <c r="T41" i="100"/>
  <c r="F42" i="78" s="1"/>
  <c r="R42" i="100"/>
  <c r="C43" i="78" s="1"/>
  <c r="S42" i="100"/>
  <c r="T42" i="100"/>
  <c r="F43" i="78" s="1"/>
  <c r="R43" i="100"/>
  <c r="S43" i="100"/>
  <c r="E44" i="78" s="1"/>
  <c r="T43" i="100"/>
  <c r="F44" i="78" s="1"/>
  <c r="R44" i="100"/>
  <c r="C45" i="78" s="1"/>
  <c r="S44" i="100"/>
  <c r="T44" i="100"/>
  <c r="F45" i="78" s="1"/>
  <c r="R45" i="100"/>
  <c r="S45" i="100"/>
  <c r="E46" i="78" s="1"/>
  <c r="T45" i="100"/>
  <c r="F46" i="78" s="1"/>
  <c r="R46" i="100"/>
  <c r="C47" i="78" s="1"/>
  <c r="S46" i="100"/>
  <c r="T46" i="100"/>
  <c r="F47" i="78" s="1"/>
  <c r="R47" i="100"/>
  <c r="S47" i="100"/>
  <c r="E48" i="78" s="1"/>
  <c r="T47" i="100"/>
  <c r="F48" i="78" s="1"/>
  <c r="R48" i="100"/>
  <c r="C49" i="78" s="1"/>
  <c r="S48" i="100"/>
  <c r="T48" i="100"/>
  <c r="F49" i="78" s="1"/>
  <c r="R49" i="100"/>
  <c r="C55" i="76" s="1"/>
  <c r="S49" i="100"/>
  <c r="E50" i="78" s="1"/>
  <c r="T49" i="100"/>
  <c r="F50" i="78" s="1"/>
  <c r="R50" i="100"/>
  <c r="C56" i="76" s="1"/>
  <c r="S50" i="100"/>
  <c r="T50" i="100"/>
  <c r="F51" i="78" s="1"/>
  <c r="R51" i="100"/>
  <c r="C57" i="76" s="1"/>
  <c r="S51" i="100"/>
  <c r="E52" i="78" s="1"/>
  <c r="T51" i="100"/>
  <c r="F52" i="78" s="1"/>
  <c r="R52" i="100"/>
  <c r="C53" i="78" s="1"/>
  <c r="S52" i="100"/>
  <c r="T52" i="100"/>
  <c r="F53" i="78" s="1"/>
  <c r="R53" i="100"/>
  <c r="S53" i="100"/>
  <c r="E54" i="78" s="1"/>
  <c r="T53" i="100"/>
  <c r="F54" i="78" s="1"/>
  <c r="R54" i="100"/>
  <c r="S54" i="100"/>
  <c r="T54" i="100"/>
  <c r="R55" i="100"/>
  <c r="S55" i="100"/>
  <c r="T55" i="100"/>
  <c r="R56" i="100"/>
  <c r="S56" i="100"/>
  <c r="T56" i="100"/>
  <c r="S3" i="100"/>
  <c r="T3" i="100"/>
  <c r="F9" i="78" s="1"/>
  <c r="R3" i="100"/>
  <c r="C9" i="76" s="1"/>
  <c r="D10" i="78"/>
  <c r="D11" i="78"/>
  <c r="D12" i="78"/>
  <c r="D13" i="78"/>
  <c r="D14" i="78"/>
  <c r="D15" i="78"/>
  <c r="D16" i="78"/>
  <c r="D17" i="78"/>
  <c r="D18" i="78"/>
  <c r="D19" i="78"/>
  <c r="D20" i="78"/>
  <c r="D21" i="78"/>
  <c r="D22" i="78"/>
  <c r="D23" i="78"/>
  <c r="D24" i="78"/>
  <c r="D25" i="78"/>
  <c r="D26" i="78"/>
  <c r="D27" i="78"/>
  <c r="D28" i="78"/>
  <c r="D29" i="78"/>
  <c r="D30" i="78"/>
  <c r="D31" i="78"/>
  <c r="D32" i="78"/>
  <c r="D33" i="78"/>
  <c r="D34" i="78"/>
  <c r="D35" i="78"/>
  <c r="D36" i="78"/>
  <c r="D37" i="78"/>
  <c r="D38" i="78"/>
  <c r="D39" i="78"/>
  <c r="D40" i="78"/>
  <c r="D41" i="78"/>
  <c r="D42" i="78"/>
  <c r="D43" i="78"/>
  <c r="D44" i="78"/>
  <c r="D45" i="78"/>
  <c r="D46" i="78"/>
  <c r="D47" i="78"/>
  <c r="D48" i="78"/>
  <c r="D49" i="78"/>
  <c r="D50" i="78"/>
  <c r="D51" i="78"/>
  <c r="D52" i="78"/>
  <c r="D53" i="78"/>
  <c r="D54" i="78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21" i="100"/>
  <c r="A22" i="100"/>
  <c r="A23" i="100"/>
  <c r="A24" i="100"/>
  <c r="A25" i="100"/>
  <c r="A26" i="100"/>
  <c r="A27" i="100"/>
  <c r="A28" i="100"/>
  <c r="A29" i="100"/>
  <c r="A30" i="100"/>
  <c r="A31" i="100"/>
  <c r="A32" i="100"/>
  <c r="A33" i="100"/>
  <c r="A34" i="100"/>
  <c r="A35" i="100"/>
  <c r="A36" i="100"/>
  <c r="A37" i="100"/>
  <c r="A38" i="100"/>
  <c r="A39" i="100"/>
  <c r="A40" i="100"/>
  <c r="A41" i="100"/>
  <c r="A42" i="100"/>
  <c r="A43" i="100"/>
  <c r="A44" i="100"/>
  <c r="A45" i="100"/>
  <c r="A46" i="100"/>
  <c r="A47" i="100"/>
  <c r="A48" i="100"/>
  <c r="A49" i="100"/>
  <c r="A50" i="100"/>
  <c r="A51" i="100"/>
  <c r="A52" i="100"/>
  <c r="A53" i="100"/>
  <c r="A54" i="100"/>
  <c r="A55" i="100"/>
  <c r="A56" i="100"/>
  <c r="A57" i="100"/>
  <c r="A58" i="100"/>
  <c r="A59" i="100"/>
  <c r="A60" i="100"/>
  <c r="A61" i="100"/>
  <c r="A62" i="100"/>
  <c r="A63" i="100"/>
  <c r="A64" i="100"/>
  <c r="A65" i="100"/>
  <c r="A66" i="100"/>
  <c r="A67" i="100"/>
  <c r="A68" i="100"/>
  <c r="A69" i="100"/>
  <c r="A70" i="100"/>
  <c r="A71" i="100"/>
  <c r="A72" i="100"/>
  <c r="A73" i="100"/>
  <c r="A74" i="100"/>
  <c r="A75" i="100"/>
  <c r="A76" i="100"/>
  <c r="A77" i="100"/>
  <c r="A78" i="100"/>
  <c r="A79" i="100"/>
  <c r="A80" i="100"/>
  <c r="A81" i="100"/>
  <c r="A82" i="100"/>
  <c r="A83" i="100"/>
  <c r="A84" i="100"/>
  <c r="A85" i="100"/>
  <c r="A86" i="100"/>
  <c r="A87" i="100"/>
  <c r="A88" i="100"/>
  <c r="A89" i="100"/>
  <c r="A90" i="100"/>
  <c r="A91" i="100"/>
  <c r="A92" i="100"/>
  <c r="A93" i="100"/>
  <c r="A94" i="100"/>
  <c r="A95" i="100"/>
  <c r="A96" i="100"/>
  <c r="A97" i="100"/>
  <c r="A98" i="100"/>
  <c r="A99" i="100"/>
  <c r="A100" i="100"/>
  <c r="A101" i="100"/>
  <c r="A102" i="100"/>
  <c r="A103" i="100"/>
  <c r="A104" i="100"/>
  <c r="A105" i="100"/>
  <c r="A106" i="100"/>
  <c r="A107" i="100"/>
  <c r="A108" i="100"/>
  <c r="A109" i="100"/>
  <c r="A110" i="100"/>
  <c r="A111" i="100"/>
  <c r="A112" i="100"/>
  <c r="A113" i="100"/>
  <c r="A114" i="100"/>
  <c r="A115" i="100"/>
  <c r="A116" i="100"/>
  <c r="A117" i="100"/>
  <c r="A118" i="100"/>
  <c r="A119" i="100"/>
  <c r="A120" i="100"/>
  <c r="A121" i="100"/>
  <c r="A122" i="100"/>
  <c r="A123" i="100"/>
  <c r="A124" i="100"/>
  <c r="A125" i="100"/>
  <c r="A126" i="100"/>
  <c r="A127" i="100"/>
  <c r="A128" i="100"/>
  <c r="A129" i="100"/>
  <c r="A130" i="100"/>
  <c r="A131" i="100"/>
  <c r="A132" i="100"/>
  <c r="A133" i="100"/>
  <c r="A134" i="100"/>
  <c r="A135" i="100"/>
  <c r="A136" i="100"/>
  <c r="A137" i="100"/>
  <c r="A138" i="100"/>
  <c r="A139" i="100"/>
  <c r="A140" i="100"/>
  <c r="A141" i="100"/>
  <c r="A142" i="100"/>
  <c r="A143" i="100"/>
  <c r="A144" i="100"/>
  <c r="A145" i="100"/>
  <c r="A146" i="100"/>
  <c r="A147" i="100"/>
  <c r="A148" i="100"/>
  <c r="A149" i="100"/>
  <c r="A150" i="100"/>
  <c r="A151" i="100"/>
  <c r="A152" i="100"/>
  <c r="A153" i="100"/>
  <c r="A154" i="100"/>
  <c r="A155" i="100"/>
  <c r="A156" i="100"/>
  <c r="A157" i="100"/>
  <c r="A158" i="100"/>
  <c r="A159" i="100"/>
  <c r="A160" i="100"/>
  <c r="A161" i="100"/>
  <c r="A162" i="100"/>
  <c r="A163" i="100"/>
  <c r="A164" i="100"/>
  <c r="A165" i="100"/>
  <c r="A166" i="100"/>
  <c r="A167" i="100"/>
  <c r="A168" i="100"/>
  <c r="A169" i="100"/>
  <c r="A170" i="100"/>
  <c r="A171" i="100"/>
  <c r="A172" i="100"/>
  <c r="A173" i="100"/>
  <c r="A174" i="100"/>
  <c r="A175" i="100"/>
  <c r="A176" i="100"/>
  <c r="A177" i="100"/>
  <c r="A178" i="100"/>
  <c r="A179" i="100"/>
  <c r="A180" i="100"/>
  <c r="A181" i="100"/>
  <c r="A182" i="100"/>
  <c r="A183" i="100"/>
  <c r="A184" i="100"/>
  <c r="A185" i="100"/>
  <c r="A186" i="100"/>
  <c r="A187" i="100"/>
  <c r="A188" i="100"/>
  <c r="A189" i="100"/>
  <c r="A190" i="100"/>
  <c r="A191" i="100"/>
  <c r="A192" i="100"/>
  <c r="A193" i="100"/>
  <c r="A194" i="100"/>
  <c r="A195" i="100"/>
  <c r="A196" i="100"/>
  <c r="A197" i="100"/>
  <c r="A198" i="100"/>
  <c r="A199" i="100"/>
  <c r="A200" i="100"/>
  <c r="A201" i="100"/>
  <c r="A202" i="100"/>
  <c r="A203" i="100"/>
  <c r="A204" i="100"/>
  <c r="A205" i="100"/>
  <c r="A206" i="100"/>
  <c r="A207" i="100"/>
  <c r="A208" i="100"/>
  <c r="A209" i="100"/>
  <c r="A210" i="100"/>
  <c r="A211" i="100"/>
  <c r="A212" i="100"/>
  <c r="A213" i="100"/>
  <c r="A214" i="100"/>
  <c r="A215" i="100"/>
  <c r="A216" i="100"/>
  <c r="A217" i="100"/>
  <c r="A218" i="100"/>
  <c r="A219" i="100"/>
  <c r="A220" i="100"/>
  <c r="A221" i="100"/>
  <c r="A222" i="100"/>
  <c r="A223" i="100"/>
  <c r="A224" i="100"/>
  <c r="A225" i="100"/>
  <c r="A226" i="100"/>
  <c r="A227" i="100"/>
  <c r="A228" i="100"/>
  <c r="A229" i="100"/>
  <c r="A230" i="100"/>
  <c r="A231" i="100"/>
  <c r="A232" i="100"/>
  <c r="A233" i="100"/>
  <c r="A234" i="100"/>
  <c r="A235" i="100"/>
  <c r="A236" i="100"/>
  <c r="A237" i="100"/>
  <c r="A238" i="100"/>
  <c r="A239" i="100"/>
  <c r="A240" i="100"/>
  <c r="A241" i="100"/>
  <c r="A242" i="100"/>
  <c r="A243" i="100"/>
  <c r="A244" i="100"/>
  <c r="A245" i="100"/>
  <c r="A246" i="100"/>
  <c r="A247" i="100"/>
  <c r="A248" i="100"/>
  <c r="A249" i="100"/>
  <c r="A250" i="100"/>
  <c r="A251" i="100"/>
  <c r="A252" i="100"/>
  <c r="A253" i="100"/>
  <c r="A254" i="100"/>
  <c r="A255" i="100"/>
  <c r="A256" i="100"/>
  <c r="A257" i="100"/>
  <c r="A258" i="100"/>
  <c r="A259" i="100"/>
  <c r="A260" i="100"/>
  <c r="A261" i="100"/>
  <c r="A262" i="100"/>
  <c r="A263" i="100"/>
  <c r="A264" i="100"/>
  <c r="A265" i="100"/>
  <c r="A266" i="100"/>
  <c r="A267" i="100"/>
  <c r="A268" i="100"/>
  <c r="A269" i="100"/>
  <c r="A270" i="100"/>
  <c r="A271" i="100"/>
  <c r="A272" i="100"/>
  <c r="A273" i="100"/>
  <c r="A274" i="100"/>
  <c r="A275" i="100"/>
  <c r="A276" i="100"/>
  <c r="A277" i="100"/>
  <c r="A278" i="100"/>
  <c r="A279" i="100"/>
  <c r="A280" i="100"/>
  <c r="A281" i="100"/>
  <c r="A282" i="100"/>
  <c r="A283" i="100"/>
  <c r="A284" i="100"/>
  <c r="A285" i="100"/>
  <c r="A286" i="100"/>
  <c r="A287" i="100"/>
  <c r="A288" i="100"/>
  <c r="A289" i="100"/>
  <c r="A290" i="100"/>
  <c r="A291" i="100"/>
  <c r="A292" i="100"/>
  <c r="A293" i="100"/>
  <c r="A294" i="100"/>
  <c r="A295" i="100"/>
  <c r="A296" i="100"/>
  <c r="A297" i="100"/>
  <c r="A298" i="100"/>
  <c r="A299" i="100"/>
  <c r="A300" i="100"/>
  <c r="A301" i="100"/>
  <c r="A302" i="100"/>
  <c r="A303" i="100"/>
  <c r="A304" i="100"/>
  <c r="A305" i="100"/>
  <c r="A306" i="100"/>
  <c r="A307" i="100"/>
  <c r="A308" i="100"/>
  <c r="A309" i="100"/>
  <c r="A310" i="100"/>
  <c r="A311" i="100"/>
  <c r="A312" i="100"/>
  <c r="A313" i="100"/>
  <c r="A314" i="100"/>
  <c r="A315" i="100"/>
  <c r="A316" i="100"/>
  <c r="A317" i="100"/>
  <c r="A318" i="100"/>
  <c r="A319" i="100"/>
  <c r="A320" i="100"/>
  <c r="A321" i="100"/>
  <c r="A322" i="100"/>
  <c r="A323" i="100"/>
  <c r="A324" i="100"/>
  <c r="A325" i="100"/>
  <c r="A326" i="100"/>
  <c r="A327" i="100"/>
  <c r="A328" i="100"/>
  <c r="A329" i="100"/>
  <c r="A330" i="100"/>
  <c r="A331" i="100"/>
  <c r="A332" i="100"/>
  <c r="A333" i="100"/>
  <c r="A334" i="100"/>
  <c r="A335" i="100"/>
  <c r="A336" i="100"/>
  <c r="A337" i="100"/>
  <c r="A338" i="100"/>
  <c r="A339" i="100"/>
  <c r="A340" i="100"/>
  <c r="A341" i="100"/>
  <c r="A342" i="100"/>
  <c r="A343" i="100"/>
  <c r="A344" i="100"/>
  <c r="A345" i="100"/>
  <c r="A346" i="100"/>
  <c r="A347" i="100"/>
  <c r="A348" i="100"/>
  <c r="A349" i="100"/>
  <c r="A350" i="100"/>
  <c r="A351" i="100"/>
  <c r="A352" i="100"/>
  <c r="A353" i="100"/>
  <c r="A354" i="100"/>
  <c r="A355" i="100"/>
  <c r="A356" i="100"/>
  <c r="A357" i="100"/>
  <c r="A358" i="100"/>
  <c r="A359" i="100"/>
  <c r="A360" i="100"/>
  <c r="A361" i="100"/>
  <c r="A362" i="100"/>
  <c r="A363" i="100"/>
  <c r="A364" i="100"/>
  <c r="A365" i="100"/>
  <c r="A366" i="100"/>
  <c r="A367" i="100"/>
  <c r="A368" i="100"/>
  <c r="A369" i="100"/>
  <c r="A370" i="100"/>
  <c r="A371" i="100"/>
  <c r="A372" i="100"/>
  <c r="A373" i="100"/>
  <c r="A374" i="100"/>
  <c r="A375" i="100"/>
  <c r="A376" i="100"/>
  <c r="A377" i="100"/>
  <c r="A378" i="100"/>
  <c r="A379" i="100"/>
  <c r="A380" i="100"/>
  <c r="A381" i="100"/>
  <c r="A382" i="100"/>
  <c r="A383" i="100"/>
  <c r="A384" i="100"/>
  <c r="A385" i="100"/>
  <c r="A386" i="100"/>
  <c r="A387" i="100"/>
  <c r="A388" i="100"/>
  <c r="A389" i="100"/>
  <c r="A390" i="100"/>
  <c r="A391" i="100"/>
  <c r="A392" i="100"/>
  <c r="A393" i="100"/>
  <c r="A394" i="100"/>
  <c r="A395" i="100"/>
  <c r="A396" i="100"/>
  <c r="A397" i="100"/>
  <c r="A398" i="100"/>
  <c r="A399" i="100"/>
  <c r="A400" i="100"/>
  <c r="A401" i="100"/>
  <c r="A402" i="100"/>
  <c r="A403" i="100"/>
  <c r="A404" i="100"/>
  <c r="A405" i="100"/>
  <c r="A406" i="100"/>
  <c r="A407" i="100"/>
  <c r="A408" i="100"/>
  <c r="A409" i="100"/>
  <c r="A410" i="100"/>
  <c r="A411" i="100"/>
  <c r="A412" i="100"/>
  <c r="A413" i="100"/>
  <c r="A414" i="100"/>
  <c r="A415" i="100"/>
  <c r="A416" i="100"/>
  <c r="A417" i="100"/>
  <c r="A418" i="100"/>
  <c r="A419" i="100"/>
  <c r="A420" i="100"/>
  <c r="A421" i="100"/>
  <c r="A422" i="100"/>
  <c r="A423" i="100"/>
  <c r="A424" i="100"/>
  <c r="A425" i="100"/>
  <c r="A426" i="100"/>
  <c r="A427" i="100"/>
  <c r="A428" i="100"/>
  <c r="A429" i="100"/>
  <c r="A430" i="100"/>
  <c r="A431" i="100"/>
  <c r="A432" i="100"/>
  <c r="A433" i="100"/>
  <c r="A434" i="100"/>
  <c r="A3" i="100"/>
  <c r="B54" i="76"/>
  <c r="B55" i="76"/>
  <c r="O52" i="78" s="1"/>
  <c r="B56" i="76"/>
  <c r="B57" i="76"/>
  <c r="B58" i="76"/>
  <c r="B59" i="76"/>
  <c r="B60" i="76"/>
  <c r="B61" i="76"/>
  <c r="B62" i="76"/>
  <c r="B10" i="76"/>
  <c r="B11" i="76"/>
  <c r="B12" i="76"/>
  <c r="B13" i="76"/>
  <c r="B14" i="76"/>
  <c r="B15" i="76"/>
  <c r="B16" i="76"/>
  <c r="B17" i="76"/>
  <c r="B18" i="76"/>
  <c r="B19" i="76"/>
  <c r="B20" i="76"/>
  <c r="B21" i="76"/>
  <c r="B22" i="76"/>
  <c r="B23" i="76"/>
  <c r="B24" i="76"/>
  <c r="B25" i="76"/>
  <c r="B26" i="76"/>
  <c r="B27" i="76"/>
  <c r="B28" i="76"/>
  <c r="B29" i="76"/>
  <c r="B30" i="76"/>
  <c r="B31" i="76"/>
  <c r="B32" i="76"/>
  <c r="B33" i="76"/>
  <c r="B34" i="76"/>
  <c r="B35" i="76"/>
  <c r="B36" i="76"/>
  <c r="B37" i="76"/>
  <c r="B38" i="76"/>
  <c r="B39" i="76"/>
  <c r="B40" i="76"/>
  <c r="B41" i="76"/>
  <c r="B42" i="76"/>
  <c r="B43" i="76"/>
  <c r="B44" i="76"/>
  <c r="B45" i="76"/>
  <c r="B46" i="76"/>
  <c r="B47" i="76"/>
  <c r="B48" i="76"/>
  <c r="B49" i="76"/>
  <c r="B50" i="76"/>
  <c r="B51" i="76"/>
  <c r="B52" i="76"/>
  <c r="B53" i="76"/>
  <c r="B9" i="76"/>
  <c r="C11" i="76"/>
  <c r="C13" i="76"/>
  <c r="C15" i="76"/>
  <c r="C17" i="76"/>
  <c r="C20" i="76"/>
  <c r="C21" i="76"/>
  <c r="C22" i="76"/>
  <c r="C23" i="76"/>
  <c r="C24" i="76"/>
  <c r="C25" i="76"/>
  <c r="C26" i="76"/>
  <c r="C27" i="76"/>
  <c r="C28" i="76"/>
  <c r="C29" i="76"/>
  <c r="C30" i="76"/>
  <c r="C33" i="76"/>
  <c r="C35" i="76"/>
  <c r="C37" i="76"/>
  <c r="C39" i="76"/>
  <c r="C41" i="76"/>
  <c r="C44" i="76"/>
  <c r="C45" i="76"/>
  <c r="C46" i="76"/>
  <c r="C47" i="76"/>
  <c r="C48" i="76"/>
  <c r="C49" i="76"/>
  <c r="C50" i="76"/>
  <c r="C51" i="76"/>
  <c r="C52" i="76"/>
  <c r="C53" i="76"/>
  <c r="C54" i="76"/>
  <c r="C58" i="76"/>
  <c r="C59" i="76"/>
  <c r="C60" i="76"/>
  <c r="C61" i="76"/>
  <c r="C62" i="76"/>
  <c r="B4" i="100"/>
  <c r="B5" i="100"/>
  <c r="B6" i="100"/>
  <c r="B7" i="100"/>
  <c r="B11" i="100"/>
  <c r="B12" i="100"/>
  <c r="B13" i="100"/>
  <c r="B17" i="100"/>
  <c r="B18" i="100"/>
  <c r="B19" i="100"/>
  <c r="B23" i="100"/>
  <c r="B24" i="100"/>
  <c r="B25" i="100"/>
  <c r="B29" i="100"/>
  <c r="B30" i="100"/>
  <c r="B31" i="100"/>
  <c r="B35" i="100"/>
  <c r="B36" i="100"/>
  <c r="B37" i="100"/>
  <c r="B41" i="100"/>
  <c r="B42" i="100"/>
  <c r="B43" i="100"/>
  <c r="B47" i="100"/>
  <c r="B48" i="100"/>
  <c r="B49" i="100"/>
  <c r="B53" i="100"/>
  <c r="B54" i="100"/>
  <c r="B55" i="100"/>
  <c r="B59" i="100"/>
  <c r="B60" i="100"/>
  <c r="B61" i="100"/>
  <c r="B65" i="100"/>
  <c r="B66" i="100"/>
  <c r="B67" i="100"/>
  <c r="B71" i="100"/>
  <c r="B72" i="100"/>
  <c r="B73" i="100"/>
  <c r="B77" i="100"/>
  <c r="B78" i="100"/>
  <c r="B79" i="100"/>
  <c r="B83" i="100"/>
  <c r="B84" i="100"/>
  <c r="B85" i="100"/>
  <c r="B89" i="100"/>
  <c r="B90" i="100"/>
  <c r="B91" i="100"/>
  <c r="B95" i="100"/>
  <c r="B96" i="100"/>
  <c r="B97" i="100"/>
  <c r="B101" i="100"/>
  <c r="B102" i="100"/>
  <c r="B103" i="100"/>
  <c r="B107" i="100"/>
  <c r="B108" i="100"/>
  <c r="B109" i="100"/>
  <c r="B113" i="100"/>
  <c r="B114" i="100"/>
  <c r="B115" i="100"/>
  <c r="B119" i="100"/>
  <c r="B120" i="100"/>
  <c r="B121" i="100"/>
  <c r="B124" i="100"/>
  <c r="B125" i="100"/>
  <c r="B126" i="100"/>
  <c r="B127" i="100"/>
  <c r="B130" i="100"/>
  <c r="B131" i="100"/>
  <c r="B132" i="100"/>
  <c r="B133" i="100"/>
  <c r="B135" i="100"/>
  <c r="B136" i="100"/>
  <c r="B137" i="100"/>
  <c r="B138" i="100"/>
  <c r="B139" i="100"/>
  <c r="B140" i="100"/>
  <c r="B141" i="100"/>
  <c r="B142" i="100"/>
  <c r="B143" i="100"/>
  <c r="B144" i="100"/>
  <c r="B145" i="100"/>
  <c r="B146" i="100"/>
  <c r="B147" i="100"/>
  <c r="B148" i="100"/>
  <c r="B149" i="100"/>
  <c r="B150" i="100"/>
  <c r="B151" i="100"/>
  <c r="B152" i="100"/>
  <c r="B153" i="100"/>
  <c r="B154" i="100"/>
  <c r="B155" i="100"/>
  <c r="B156" i="100"/>
  <c r="B157" i="100"/>
  <c r="B158" i="100"/>
  <c r="B159" i="100"/>
  <c r="B160" i="100"/>
  <c r="B161" i="100"/>
  <c r="B162" i="100"/>
  <c r="B163" i="100"/>
  <c r="B164" i="100"/>
  <c r="B165" i="100"/>
  <c r="B166" i="100"/>
  <c r="B167" i="100"/>
  <c r="B168" i="100"/>
  <c r="B169" i="100"/>
  <c r="B170" i="100"/>
  <c r="B171" i="100"/>
  <c r="B172" i="100"/>
  <c r="B173" i="100"/>
  <c r="B174" i="100"/>
  <c r="B175" i="100"/>
  <c r="B176" i="100"/>
  <c r="B177" i="100"/>
  <c r="B178" i="100"/>
  <c r="B179" i="100"/>
  <c r="B180" i="100"/>
  <c r="B181" i="100"/>
  <c r="B182" i="100"/>
  <c r="B183" i="100"/>
  <c r="B184" i="100"/>
  <c r="B185" i="100"/>
  <c r="B186" i="100"/>
  <c r="B187" i="100"/>
  <c r="B188" i="100"/>
  <c r="B189" i="100"/>
  <c r="B190" i="100"/>
  <c r="B191" i="100"/>
  <c r="B192" i="100"/>
  <c r="B193" i="100"/>
  <c r="B194" i="100"/>
  <c r="B195" i="100"/>
  <c r="B196" i="100"/>
  <c r="B197" i="100"/>
  <c r="B198" i="100"/>
  <c r="B199" i="100"/>
  <c r="B200" i="100"/>
  <c r="B201" i="100"/>
  <c r="B202" i="100"/>
  <c r="B203" i="100"/>
  <c r="B204" i="100"/>
  <c r="B205" i="100"/>
  <c r="B206" i="100"/>
  <c r="B207" i="100"/>
  <c r="B208" i="100"/>
  <c r="B209" i="100"/>
  <c r="B210" i="100"/>
  <c r="B211" i="100"/>
  <c r="B212" i="100"/>
  <c r="B213" i="100"/>
  <c r="B214" i="100"/>
  <c r="B215" i="100"/>
  <c r="B216" i="100"/>
  <c r="B217" i="100"/>
  <c r="B218" i="100"/>
  <c r="B219" i="100"/>
  <c r="B220" i="100"/>
  <c r="B221" i="100"/>
  <c r="B222" i="100"/>
  <c r="B223" i="100"/>
  <c r="B224" i="100"/>
  <c r="B225" i="100"/>
  <c r="B226" i="100"/>
  <c r="B227" i="100"/>
  <c r="B228" i="100"/>
  <c r="B229" i="100"/>
  <c r="B230" i="100"/>
  <c r="B231" i="100"/>
  <c r="B232" i="100"/>
  <c r="B233" i="100"/>
  <c r="B234" i="100"/>
  <c r="B235" i="100"/>
  <c r="B236" i="100"/>
  <c r="B237" i="100"/>
  <c r="B238" i="100"/>
  <c r="B239" i="100"/>
  <c r="B240" i="100"/>
  <c r="B241" i="100"/>
  <c r="B242" i="100"/>
  <c r="B243" i="100"/>
  <c r="B244" i="100"/>
  <c r="B245" i="100"/>
  <c r="B246" i="100"/>
  <c r="B247" i="100"/>
  <c r="B248" i="100"/>
  <c r="B249" i="100"/>
  <c r="B250" i="100"/>
  <c r="B251" i="100"/>
  <c r="B252" i="100"/>
  <c r="B253" i="100"/>
  <c r="B254" i="100"/>
  <c r="B255" i="100"/>
  <c r="B256" i="100"/>
  <c r="B257" i="100"/>
  <c r="B258" i="100"/>
  <c r="B259" i="100"/>
  <c r="B260" i="100"/>
  <c r="B261" i="100"/>
  <c r="B262" i="100"/>
  <c r="B263" i="100"/>
  <c r="B264" i="100"/>
  <c r="B265" i="100"/>
  <c r="B266" i="100"/>
  <c r="B267" i="100"/>
  <c r="B268" i="100"/>
  <c r="B269" i="100"/>
  <c r="B270" i="100"/>
  <c r="B271" i="100"/>
  <c r="B272" i="100"/>
  <c r="B273" i="100"/>
  <c r="B274" i="100"/>
  <c r="B275" i="100"/>
  <c r="B276" i="100"/>
  <c r="B277" i="100"/>
  <c r="B278" i="100"/>
  <c r="B279" i="100"/>
  <c r="B280" i="100"/>
  <c r="B281" i="100"/>
  <c r="B282" i="100"/>
  <c r="B283" i="100"/>
  <c r="B284" i="100"/>
  <c r="B285" i="100"/>
  <c r="B286" i="100"/>
  <c r="B287" i="100"/>
  <c r="B288" i="100"/>
  <c r="B289" i="100"/>
  <c r="B290" i="100"/>
  <c r="B291" i="100"/>
  <c r="B292" i="100"/>
  <c r="B293" i="100"/>
  <c r="B294" i="100"/>
  <c r="B295" i="100"/>
  <c r="B296" i="100"/>
  <c r="B297" i="100"/>
  <c r="B298" i="100"/>
  <c r="B299" i="100"/>
  <c r="B300" i="100"/>
  <c r="B301" i="100"/>
  <c r="B302" i="100"/>
  <c r="B303" i="100"/>
  <c r="B304" i="100"/>
  <c r="B305" i="100"/>
  <c r="B306" i="100"/>
  <c r="B307" i="100"/>
  <c r="B308" i="100"/>
  <c r="B309" i="100"/>
  <c r="B310" i="100"/>
  <c r="B311" i="100"/>
  <c r="B312" i="100"/>
  <c r="B313" i="100"/>
  <c r="B314" i="100"/>
  <c r="B315" i="100"/>
  <c r="B316" i="100"/>
  <c r="B317" i="100"/>
  <c r="B318" i="100"/>
  <c r="B319" i="100"/>
  <c r="B320" i="100"/>
  <c r="B321" i="100"/>
  <c r="B322" i="100"/>
  <c r="B323" i="100"/>
  <c r="B324" i="100"/>
  <c r="B325" i="100"/>
  <c r="B326" i="100"/>
  <c r="B327" i="100"/>
  <c r="B328" i="100"/>
  <c r="B329" i="100"/>
  <c r="B330" i="100"/>
  <c r="B331" i="100"/>
  <c r="B332" i="100"/>
  <c r="B333" i="100"/>
  <c r="B334" i="100"/>
  <c r="B335" i="100"/>
  <c r="B336" i="100"/>
  <c r="B337" i="100"/>
  <c r="B338" i="100"/>
  <c r="B339" i="100"/>
  <c r="B340" i="100"/>
  <c r="B341" i="100"/>
  <c r="B342" i="100"/>
  <c r="B343" i="100"/>
  <c r="B344" i="100"/>
  <c r="B345" i="100"/>
  <c r="B346" i="100"/>
  <c r="B347" i="100"/>
  <c r="B348" i="100"/>
  <c r="B349" i="100"/>
  <c r="B350" i="100"/>
  <c r="B351" i="100"/>
  <c r="B352" i="100"/>
  <c r="B353" i="100"/>
  <c r="B354" i="100"/>
  <c r="B355" i="100"/>
  <c r="B356" i="100"/>
  <c r="B357" i="100"/>
  <c r="B358" i="100"/>
  <c r="B359" i="100"/>
  <c r="B360" i="100"/>
  <c r="B361" i="100"/>
  <c r="B362" i="100"/>
  <c r="B363" i="100"/>
  <c r="B364" i="100"/>
  <c r="B365" i="100"/>
  <c r="B366" i="100"/>
  <c r="B367" i="100"/>
  <c r="B368" i="100"/>
  <c r="B369" i="100"/>
  <c r="B370" i="100"/>
  <c r="B371" i="100"/>
  <c r="B372" i="100"/>
  <c r="B373" i="100"/>
  <c r="B374" i="100"/>
  <c r="B375" i="100"/>
  <c r="B376" i="100"/>
  <c r="B377" i="100"/>
  <c r="B378" i="100"/>
  <c r="B379" i="100"/>
  <c r="B380" i="100"/>
  <c r="B381" i="100"/>
  <c r="B382" i="100"/>
  <c r="B383" i="100"/>
  <c r="B384" i="100"/>
  <c r="B385" i="100"/>
  <c r="B386" i="100"/>
  <c r="B387" i="100"/>
  <c r="B388" i="100"/>
  <c r="B389" i="100"/>
  <c r="B390" i="100"/>
  <c r="B391" i="100"/>
  <c r="B392" i="100"/>
  <c r="B393" i="100"/>
  <c r="B394" i="100"/>
  <c r="B395" i="100"/>
  <c r="B396" i="100"/>
  <c r="B397" i="100"/>
  <c r="B398" i="100"/>
  <c r="B399" i="100"/>
  <c r="B400" i="100"/>
  <c r="B401" i="100"/>
  <c r="B402" i="100"/>
  <c r="B403" i="100"/>
  <c r="B404" i="100"/>
  <c r="B405" i="100"/>
  <c r="B406" i="100"/>
  <c r="B407" i="100"/>
  <c r="B408" i="100"/>
  <c r="B409" i="100"/>
  <c r="B410" i="100"/>
  <c r="B411" i="100"/>
  <c r="B412" i="100"/>
  <c r="B413" i="100"/>
  <c r="B414" i="100"/>
  <c r="B415" i="100"/>
  <c r="B416" i="100"/>
  <c r="B417" i="100"/>
  <c r="B418" i="100"/>
  <c r="B419" i="100"/>
  <c r="B420" i="100"/>
  <c r="B421" i="100"/>
  <c r="B422" i="100"/>
  <c r="B423" i="100"/>
  <c r="B424" i="100"/>
  <c r="B425" i="100"/>
  <c r="B426" i="100"/>
  <c r="B427" i="100"/>
  <c r="B428" i="100"/>
  <c r="B429" i="100"/>
  <c r="B430" i="100"/>
  <c r="B431" i="100"/>
  <c r="B432" i="100"/>
  <c r="B433" i="100"/>
  <c r="B434" i="100"/>
  <c r="B3" i="100"/>
  <c r="C51" i="78" l="1"/>
  <c r="C37" i="78"/>
  <c r="C35" i="78"/>
  <c r="C33" i="78"/>
  <c r="C31" i="78"/>
  <c r="C29" i="78"/>
  <c r="C27" i="78"/>
  <c r="C14" i="78"/>
  <c r="C12" i="78"/>
  <c r="C10" i="78"/>
  <c r="C9" i="78"/>
  <c r="N45" i="78"/>
  <c r="M43" i="78"/>
  <c r="H31" i="78"/>
  <c r="N42" i="78"/>
  <c r="L30" i="78"/>
  <c r="K40" i="78"/>
  <c r="I50" i="78"/>
  <c r="N27" i="78"/>
  <c r="O51" i="78"/>
  <c r="N48" i="78"/>
  <c r="H37" i="78"/>
  <c r="O37" i="78"/>
  <c r="J35" i="78"/>
  <c r="N51" i="78"/>
  <c r="H26" i="78"/>
  <c r="H44" i="78"/>
  <c r="H43" i="78"/>
  <c r="H34" i="78"/>
  <c r="J53" i="78"/>
  <c r="L33" i="78"/>
  <c r="J41" i="78"/>
  <c r="J32" i="78"/>
  <c r="O34" i="78"/>
  <c r="J50" i="78"/>
  <c r="H40" i="78"/>
  <c r="N30" i="78"/>
  <c r="N54" i="78"/>
  <c r="H46" i="78"/>
  <c r="H49" i="78"/>
  <c r="L39" i="78"/>
  <c r="H29" i="78"/>
  <c r="L36" i="78"/>
  <c r="J38" i="78"/>
  <c r="H52" i="78"/>
  <c r="H47" i="78"/>
  <c r="H28" i="78"/>
  <c r="I53" i="78"/>
  <c r="H53" i="78"/>
  <c r="H50" i="78"/>
  <c r="K43" i="78"/>
  <c r="O38" i="78"/>
  <c r="M34" i="78"/>
  <c r="K30" i="78"/>
  <c r="O49" i="78"/>
  <c r="M42" i="78"/>
  <c r="K38" i="78"/>
  <c r="K34" i="78"/>
  <c r="I30" i="78"/>
  <c r="M52" i="78"/>
  <c r="M48" i="78"/>
  <c r="L42" i="78"/>
  <c r="I38" i="78"/>
  <c r="O32" i="78"/>
  <c r="O27" i="78"/>
  <c r="K52" i="78"/>
  <c r="L48" i="78"/>
  <c r="K42" i="78"/>
  <c r="H38" i="78"/>
  <c r="K32" i="78"/>
  <c r="M27" i="78"/>
  <c r="K48" i="78"/>
  <c r="I42" i="78"/>
  <c r="I32" i="78"/>
  <c r="L27" i="78"/>
  <c r="M51" i="78"/>
  <c r="O45" i="78"/>
  <c r="O41" i="78"/>
  <c r="M37" i="78"/>
  <c r="H32" i="78"/>
  <c r="K27" i="78"/>
  <c r="O54" i="78"/>
  <c r="L51" i="78"/>
  <c r="M45" i="78"/>
  <c r="K41" i="78"/>
  <c r="K37" i="78"/>
  <c r="O31" i="78"/>
  <c r="I27" i="78"/>
  <c r="M54" i="78"/>
  <c r="K51" i="78"/>
  <c r="L45" i="78"/>
  <c r="I41" i="78"/>
  <c r="O35" i="78"/>
  <c r="M31" i="78"/>
  <c r="L54" i="78"/>
  <c r="I51" i="78"/>
  <c r="K45" i="78"/>
  <c r="H41" i="78"/>
  <c r="K35" i="78"/>
  <c r="K31" i="78"/>
  <c r="K54" i="78"/>
  <c r="O50" i="78"/>
  <c r="I45" i="78"/>
  <c r="O40" i="78"/>
  <c r="I35" i="78"/>
  <c r="O30" i="78"/>
  <c r="I54" i="78"/>
  <c r="K50" i="78"/>
  <c r="O43" i="78"/>
  <c r="M40" i="78"/>
  <c r="H35" i="78"/>
  <c r="M30" i="78"/>
  <c r="K39" i="78"/>
  <c r="K36" i="78"/>
  <c r="K33" i="78"/>
  <c r="O28" i="78"/>
  <c r="J54" i="78"/>
  <c r="N52" i="78"/>
  <c r="J51" i="78"/>
  <c r="N49" i="78"/>
  <c r="J48" i="78"/>
  <c r="N46" i="78"/>
  <c r="J45" i="78"/>
  <c r="N43" i="78"/>
  <c r="J42" i="78"/>
  <c r="N40" i="78"/>
  <c r="J39" i="78"/>
  <c r="N37" i="78"/>
  <c r="J36" i="78"/>
  <c r="N34" i="78"/>
  <c r="J33" i="78"/>
  <c r="N31" i="78"/>
  <c r="J30" i="78"/>
  <c r="N28" i="78"/>
  <c r="J27" i="78"/>
  <c r="I36" i="78"/>
  <c r="I33" i="78"/>
  <c r="M28" i="78"/>
  <c r="H54" i="78"/>
  <c r="L52" i="78"/>
  <c r="H51" i="78"/>
  <c r="L49" i="78"/>
  <c r="H48" i="78"/>
  <c r="L46" i="78"/>
  <c r="H45" i="78"/>
  <c r="L43" i="78"/>
  <c r="H42" i="78"/>
  <c r="L40" i="78"/>
  <c r="H39" i="78"/>
  <c r="L37" i="78"/>
  <c r="H36" i="78"/>
  <c r="L34" i="78"/>
  <c r="H33" i="78"/>
  <c r="L31" i="78"/>
  <c r="H30" i="78"/>
  <c r="L28" i="78"/>
  <c r="H27" i="78"/>
  <c r="I39" i="78"/>
  <c r="O47" i="78"/>
  <c r="O44" i="78"/>
  <c r="O26" i="78"/>
  <c r="N53" i="78"/>
  <c r="J52" i="78"/>
  <c r="N50" i="78"/>
  <c r="J49" i="78"/>
  <c r="N47" i="78"/>
  <c r="J46" i="78"/>
  <c r="N44" i="78"/>
  <c r="J43" i="78"/>
  <c r="N41" i="78"/>
  <c r="J40" i="78"/>
  <c r="N38" i="78"/>
  <c r="J37" i="78"/>
  <c r="N35" i="78"/>
  <c r="J34" i="78"/>
  <c r="N32" i="78"/>
  <c r="J31" i="78"/>
  <c r="N29" i="78"/>
  <c r="J28" i="78"/>
  <c r="N26" i="78"/>
  <c r="K49" i="78"/>
  <c r="K46" i="78"/>
  <c r="K28" i="78"/>
  <c r="M53" i="78"/>
  <c r="I52" i="78"/>
  <c r="M50" i="78"/>
  <c r="I49" i="78"/>
  <c r="M47" i="78"/>
  <c r="I46" i="78"/>
  <c r="M44" i="78"/>
  <c r="I43" i="78"/>
  <c r="M41" i="78"/>
  <c r="I40" i="78"/>
  <c r="M38" i="78"/>
  <c r="I37" i="78"/>
  <c r="M35" i="78"/>
  <c r="I34" i="78"/>
  <c r="M32" i="78"/>
  <c r="I31" i="78"/>
  <c r="M29" i="78"/>
  <c r="I28" i="78"/>
  <c r="M26" i="78"/>
  <c r="O46" i="78"/>
  <c r="M49" i="78"/>
  <c r="I48" i="78"/>
  <c r="M46" i="78"/>
  <c r="O53" i="78"/>
  <c r="O29" i="78"/>
  <c r="L53" i="78"/>
  <c r="L50" i="78"/>
  <c r="L47" i="78"/>
  <c r="L44" i="78"/>
  <c r="L41" i="78"/>
  <c r="L38" i="78"/>
  <c r="L35" i="78"/>
  <c r="L32" i="78"/>
  <c r="L29" i="78"/>
  <c r="L26" i="78"/>
  <c r="K53" i="78"/>
  <c r="O48" i="78"/>
  <c r="K47" i="78"/>
  <c r="O39" i="78"/>
  <c r="O33" i="78"/>
  <c r="K26" i="78"/>
  <c r="K44" i="78"/>
  <c r="O42" i="78"/>
  <c r="O36" i="78"/>
  <c r="K29" i="78"/>
  <c r="J47" i="78"/>
  <c r="J44" i="78"/>
  <c r="N39" i="78"/>
  <c r="N36" i="78"/>
  <c r="N33" i="78"/>
  <c r="J29" i="78"/>
  <c r="J26" i="78"/>
  <c r="I47" i="78"/>
  <c r="I44" i="78"/>
  <c r="M39" i="78"/>
  <c r="M36" i="78"/>
  <c r="M33" i="78"/>
  <c r="I29" i="78"/>
  <c r="I26" i="78"/>
  <c r="B123" i="100"/>
  <c r="B111" i="100"/>
  <c r="B99" i="100"/>
  <c r="B87" i="100"/>
  <c r="B75" i="100"/>
  <c r="B63" i="100"/>
  <c r="B51" i="100"/>
  <c r="B39" i="100"/>
  <c r="B27" i="100"/>
  <c r="B15" i="100"/>
  <c r="B134" i="100"/>
  <c r="B122" i="100"/>
  <c r="B110" i="100"/>
  <c r="B98" i="100"/>
  <c r="B86" i="100"/>
  <c r="B74" i="100"/>
  <c r="B62" i="100"/>
  <c r="B50" i="100"/>
  <c r="B38" i="100"/>
  <c r="B26" i="100"/>
  <c r="B14" i="100"/>
  <c r="B118" i="100"/>
  <c r="B106" i="100"/>
  <c r="B94" i="100"/>
  <c r="B82" i="100"/>
  <c r="B70" i="100"/>
  <c r="B58" i="100"/>
  <c r="B46" i="100"/>
  <c r="B34" i="100"/>
  <c r="B22" i="100"/>
  <c r="B10" i="100"/>
  <c r="B129" i="100"/>
  <c r="B117" i="100"/>
  <c r="B105" i="100"/>
  <c r="B93" i="100"/>
  <c r="B81" i="100"/>
  <c r="B69" i="100"/>
  <c r="B57" i="100"/>
  <c r="B45" i="100"/>
  <c r="B33" i="100"/>
  <c r="B21" i="100"/>
  <c r="B9" i="100"/>
  <c r="B128" i="100"/>
  <c r="B116" i="100"/>
  <c r="B104" i="100"/>
  <c r="B92" i="100"/>
  <c r="B80" i="100"/>
  <c r="B68" i="100"/>
  <c r="B56" i="100"/>
  <c r="B44" i="100"/>
  <c r="B32" i="100"/>
  <c r="B20" i="100"/>
  <c r="B8" i="100"/>
  <c r="B112" i="100"/>
  <c r="B100" i="100"/>
  <c r="B88" i="100"/>
  <c r="B76" i="100"/>
  <c r="B64" i="100"/>
  <c r="B52" i="100"/>
  <c r="B40" i="100"/>
  <c r="B28" i="100"/>
  <c r="B16" i="100"/>
  <c r="L15" i="78" l="1"/>
  <c r="M15" i="78"/>
  <c r="N15" i="78"/>
  <c r="O15" i="78"/>
  <c r="H15" i="78"/>
  <c r="I15" i="78"/>
  <c r="J15" i="78"/>
  <c r="K15" i="78"/>
  <c r="L14" i="78"/>
  <c r="M14" i="78"/>
  <c r="N14" i="78"/>
  <c r="O14" i="78"/>
  <c r="H14" i="78"/>
  <c r="I14" i="78"/>
  <c r="J14" i="78"/>
  <c r="K14" i="78"/>
  <c r="H25" i="78"/>
  <c r="I25" i="78"/>
  <c r="J25" i="78"/>
  <c r="K25" i="78"/>
  <c r="L25" i="78"/>
  <c r="M25" i="78"/>
  <c r="N25" i="78"/>
  <c r="O25" i="78"/>
  <c r="H13" i="78"/>
  <c r="I13" i="78"/>
  <c r="J13" i="78"/>
  <c r="K13" i="78"/>
  <c r="L13" i="78"/>
  <c r="O13" i="78"/>
  <c r="M13" i="78"/>
  <c r="N13" i="78"/>
  <c r="H23" i="78"/>
  <c r="I23" i="78"/>
  <c r="J23" i="78"/>
  <c r="K23" i="78"/>
  <c r="L23" i="78"/>
  <c r="M23" i="78"/>
  <c r="O23" i="78"/>
  <c r="N23" i="78"/>
  <c r="L21" i="78"/>
  <c r="M21" i="78"/>
  <c r="N21" i="78"/>
  <c r="O21" i="78"/>
  <c r="H21" i="78"/>
  <c r="I21" i="78"/>
  <c r="J21" i="78"/>
  <c r="K21" i="78"/>
  <c r="H19" i="78"/>
  <c r="I19" i="78"/>
  <c r="K19" i="78"/>
  <c r="J19" i="78"/>
  <c r="L19" i="78"/>
  <c r="M19" i="78"/>
  <c r="N19" i="78"/>
  <c r="O19" i="78"/>
  <c r="H12" i="78"/>
  <c r="I12" i="78"/>
  <c r="K12" i="78"/>
  <c r="J12" i="78"/>
  <c r="L12" i="78"/>
  <c r="M12" i="78"/>
  <c r="N12" i="78"/>
  <c r="O12" i="78"/>
  <c r="H22" i="78"/>
  <c r="K22" i="78"/>
  <c r="I22" i="78"/>
  <c r="J22" i="78"/>
  <c r="L22" i="78"/>
  <c r="M22" i="78"/>
  <c r="N22" i="78"/>
  <c r="O22" i="78"/>
  <c r="H20" i="78"/>
  <c r="I20" i="78"/>
  <c r="J20" i="78"/>
  <c r="K20" i="78"/>
  <c r="L20" i="78"/>
  <c r="M20" i="78"/>
  <c r="N20" i="78"/>
  <c r="O20" i="78"/>
  <c r="L18" i="78"/>
  <c r="M18" i="78"/>
  <c r="N18" i="78"/>
  <c r="O18" i="78"/>
  <c r="H18" i="78"/>
  <c r="I18" i="78"/>
  <c r="J18" i="78"/>
  <c r="K18" i="78"/>
  <c r="L11" i="78"/>
  <c r="M11" i="78"/>
  <c r="N11" i="78"/>
  <c r="O11" i="78"/>
  <c r="H11" i="78"/>
  <c r="I11" i="78"/>
  <c r="J11" i="78"/>
  <c r="K11" i="78"/>
  <c r="L24" i="78"/>
  <c r="M24" i="78"/>
  <c r="N24" i="78"/>
  <c r="O24" i="78"/>
  <c r="H24" i="78"/>
  <c r="I24" i="78"/>
  <c r="J24" i="78"/>
  <c r="K24" i="78"/>
  <c r="H17" i="78"/>
  <c r="I17" i="78"/>
  <c r="J17" i="78"/>
  <c r="K17" i="78"/>
  <c r="L17" i="78"/>
  <c r="O17" i="78"/>
  <c r="M17" i="78"/>
  <c r="N17" i="78"/>
  <c r="H10" i="78"/>
  <c r="I10" i="78"/>
  <c r="J10" i="78"/>
  <c r="K10" i="78"/>
  <c r="L10" i="78"/>
  <c r="M10" i="78"/>
  <c r="N10" i="78"/>
  <c r="O10" i="78"/>
  <c r="H16" i="78"/>
  <c r="I16" i="78"/>
  <c r="J16" i="78"/>
  <c r="K16" i="78"/>
  <c r="L16" i="78"/>
  <c r="M16" i="78"/>
  <c r="N16" i="78"/>
  <c r="O16" i="78"/>
  <c r="N9" i="78"/>
  <c r="O9" i="78"/>
  <c r="H9" i="78"/>
  <c r="L9" i="78"/>
  <c r="J9" i="78"/>
  <c r="M9" i="78"/>
  <c r="I9" i="78"/>
  <c r="K9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tc={0A822C83-0999-452D-AC72-05B6E464D872}</author>
    <author>Ken Noble</author>
  </authors>
  <commentList>
    <comment ref="H3" authorId="0" shapeId="0" xr:uid="{0A822C83-0999-452D-AC72-05B6E464D872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Work done by Greg on SATIM in 2018</t>
      </text>
    </comment>
    <comment ref="G7" authorId="1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<sst xmlns="http://schemas.openxmlformats.org/spreadsheetml/2006/main" count="2384" uniqueCount="295">
  <si>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</si>
  <si>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</si>
  <si>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</si>
  <si>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</si>
  <si>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</si>
  <si>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</si>
  <si>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</si>
  <si>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</si>
  <si>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</si>
  <si>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</si>
  <si>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</si>
  <si>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</si>
  <si>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</si>
  <si>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</si>
  <si>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</si>
  <si>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</si>
  <si>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</si>
  <si>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</si>
  <si>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</si>
  <si>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</si>
  <si>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</si>
  <si>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</si>
  <si>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</si>
  <si>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</si>
  <si>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</si>
  <si>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</si>
  <si>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</si>
  <si>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</si>
  <si>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</si>
  <si>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</si>
  <si>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</si>
  <si>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</si>
  <si>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</si>
  <si>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</si>
  <si>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</si>
  <si>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</si>
  <si>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</si>
  <si>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</si>
  <si>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</si>
  <si>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</si>
  <si>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</si>
  <si>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</si>
  <si>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</si>
  <si>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</si>
  <si>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</si>
  <si>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</si>
  <si>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</si>
  <si>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</si>
  <si>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</si>
  <si>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</si>
  <si>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</si>
  <si>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</si>
  <si>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</si>
  <si>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</si>
  <si>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</si>
  <si>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</si>
  <si>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</si>
  <si>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</si>
  <si>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</si>
  <si>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</si>
  <si>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</si>
  <si>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</si>
  <si>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</si>
  <si>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</si>
  <si>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</si>
  <si>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</si>
  <si>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</si>
  <si>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</si>
  <si>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</si>
  <si>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</si>
  <si>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</si>
  <si>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</si>
  <si>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</si>
  <si>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</si>
  <si>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</si>
  <si>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</si>
  <si>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</si>
  <si>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</si>
  <si>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</si>
  <si>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</si>
  <si>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</si>
  <si>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</si>
  <si>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</si>
  <si>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</si>
  <si>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</si>
  <si>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</si>
  <si>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</si>
  <si>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</si>
  <si>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</si>
  <si>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</si>
  <si>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</si>
  <si>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</si>
  <si>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</si>
  <si>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</si>
  <si>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</si>
  <si>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</si>
  <si>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</si>
  <si>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</si>
  <si>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</si>
  <si>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</si>
  <si>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</si>
  <si>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</si>
  <si>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</si>
  <si>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</si>
  <si>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</si>
  <si>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</si>
  <si>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</si>
  <si>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</si>
  <si>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</si>
  <si>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</si>
  <si>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</si>
  <si>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</si>
  <si>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</si>
  <si>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</si>
  <si>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</si>
  <si>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PJ,PJa</t>
  </si>
  <si>
    <t>REGION1</t>
  </si>
  <si>
    <t>* Conversion technologies</t>
  </si>
  <si>
    <t>Processes</t>
  </si>
  <si>
    <t>ProcData</t>
  </si>
  <si>
    <t>RESELC</t>
  </si>
  <si>
    <t>S2D1B5</t>
  </si>
  <si>
    <t>S2D1B4</t>
  </si>
  <si>
    <t>S2D1B3</t>
  </si>
  <si>
    <t>S2D1B2</t>
  </si>
  <si>
    <t>S2D1B1</t>
  </si>
  <si>
    <t>S1D1B3</t>
  </si>
  <si>
    <t>S1D1B2</t>
  </si>
  <si>
    <t>S1D1B1</t>
  </si>
  <si>
    <t>RE Profiles</t>
  </si>
  <si>
    <t>* Residential Techs</t>
  </si>
  <si>
    <t>RLEKELCHOT-E</t>
  </si>
  <si>
    <t>'FX'</t>
  </si>
  <si>
    <t>RLEKELCSTOV-E</t>
  </si>
  <si>
    <t>RLEKOLPRING-E</t>
  </si>
  <si>
    <t>RLEKBIWBNM-E</t>
  </si>
  <si>
    <t>RLEKCOABNM-E</t>
  </si>
  <si>
    <t>RLEKOKEWICK-E</t>
  </si>
  <si>
    <t>RLEHELCHEATBAR-E</t>
  </si>
  <si>
    <t>RLEHOKEHEAT-E</t>
  </si>
  <si>
    <t>RLEHBIWOPEN-E</t>
  </si>
  <si>
    <t>RLEHCOABNM-E</t>
  </si>
  <si>
    <t>RLEHOLPHET-E</t>
  </si>
  <si>
    <t>RLEWOKEKETWI-E</t>
  </si>
  <si>
    <t>RLEWELCKET-E</t>
  </si>
  <si>
    <t>RLEWBIWKETBI-E</t>
  </si>
  <si>
    <t>RLEWCOAKETCOA-E</t>
  </si>
  <si>
    <t>RLEWOLPKETLPG-E</t>
  </si>
  <si>
    <t>RMEKELCSTOV-E</t>
  </si>
  <si>
    <t>RMEKOLPSTOV-E</t>
  </si>
  <si>
    <t>RMEKBIWSTOV-E</t>
  </si>
  <si>
    <t>RMEKCOABNM-E</t>
  </si>
  <si>
    <t>RMEKOKEWICK-E</t>
  </si>
  <si>
    <t>RMEKGASSTOV-E</t>
  </si>
  <si>
    <t>RMEHELCHEATFIN-E</t>
  </si>
  <si>
    <t>RMEHOKEHEAT-E</t>
  </si>
  <si>
    <t>RMEHBIWSTOV-E</t>
  </si>
  <si>
    <t>RMEHCOASTOV-E</t>
  </si>
  <si>
    <t>RMEHOLPHEAT-E</t>
  </si>
  <si>
    <t>RMEHGASHEAT-N</t>
  </si>
  <si>
    <t>RMEWELCGEY-E</t>
  </si>
  <si>
    <t>RMEWELCSWH-E</t>
  </si>
  <si>
    <t>RMEWELCCHP-N</t>
  </si>
  <si>
    <t>RMEWELCKET-E</t>
  </si>
  <si>
    <t>RMEWOKEKETPR-E</t>
  </si>
  <si>
    <t>RMEWBIWKETBI-E</t>
  </si>
  <si>
    <t>RMEWCOASTOV-E</t>
  </si>
  <si>
    <t>RMEWOLPKETLPG-E</t>
  </si>
  <si>
    <t>RMEWGASGEY-N</t>
  </si>
  <si>
    <t>RHEKELCSTOV-E</t>
  </si>
  <si>
    <t>RHEKOLPSTOV-E</t>
  </si>
  <si>
    <t>RHEKBIWSTOV-E</t>
  </si>
  <si>
    <t>RHEKOKEPRIMUS-E</t>
  </si>
  <si>
    <t>RHEKGASSTOV-E</t>
  </si>
  <si>
    <t>RHEHELCHEATFIN-E</t>
  </si>
  <si>
    <t>RHEHOKEHEAT-E</t>
  </si>
  <si>
    <t>RHEHBIWSTOV-E</t>
  </si>
  <si>
    <t>RHEHCOASTOV-E</t>
  </si>
  <si>
    <t>RHEHOLPHEAT-E</t>
  </si>
  <si>
    <t>RHEHGASHEAT-N</t>
  </si>
  <si>
    <t>RHEWELCGEY-E</t>
  </si>
  <si>
    <t>RHEWELCCHP-N</t>
  </si>
  <si>
    <t>RHEWELCSWH-E</t>
  </si>
  <si>
    <t>RHEWOKESTOV-E</t>
  </si>
  <si>
    <t>RHEWOLPSTOV-E</t>
  </si>
  <si>
    <t>RHEWGASHEAT-N</t>
  </si>
  <si>
    <t>RLELELCINC-E</t>
  </si>
  <si>
    <t>RLELOKEWICK-E</t>
  </si>
  <si>
    <t>RLERELCREF-E</t>
  </si>
  <si>
    <t>RLEOELCOTH-E</t>
  </si>
  <si>
    <t>RMELELCINC-E</t>
  </si>
  <si>
    <t>RMELOKEWICK-E</t>
  </si>
  <si>
    <t>RMERELCREF-E</t>
  </si>
  <si>
    <t>RMEOELCOTH-E</t>
  </si>
  <si>
    <t>RHELELCINC-E</t>
  </si>
  <si>
    <t>Tech in TCH_RES</t>
  </si>
  <si>
    <t>Residential - Lighting - Low Income Electrified - Electricity - INC - E</t>
  </si>
  <si>
    <t>Residential - Lighting - Low Income Electrified - Oil Paraffin - WICK - E</t>
  </si>
  <si>
    <t>Residential - Cooking - Low Income Electrified - Electricity - HOT - E</t>
  </si>
  <si>
    <t>Residential - Cooking - Low Income Electrified - Electricity - STOV - E</t>
  </si>
  <si>
    <t>Residential - Cooking - Low Income Electrified - Oil LPG - RING - E</t>
  </si>
  <si>
    <t>Residential - Cooking - Low Income Electrified - Biomass Wood - BNM - E</t>
  </si>
  <si>
    <t>Residential - Cooking - Low Income Electrified - Coal - BNM - E</t>
  </si>
  <si>
    <t>Residential - Cooking - Low Income Electrified - Oil Paraffin - WICK - E</t>
  </si>
  <si>
    <t>Residential - Space Heating - Low Income Electrified - Electricity - HEATBAR - E</t>
  </si>
  <si>
    <t>Residential - Space Heating - Low Income Electrified - Oil Paraffin - HEAT - E</t>
  </si>
  <si>
    <t>Residential - Space Heating - Low Income Electrified - Biomass Wood - OPEN - E</t>
  </si>
  <si>
    <t>Residential - Space Heating - Low Income Electrified - Coal - BNM - E</t>
  </si>
  <si>
    <t>Residential - Space Heating - Low Income Electrified - Oil LPG - HET - E</t>
  </si>
  <si>
    <t>Residential - Water Heating - Low Income Electrified - Oil Paraffin - KETWI - E</t>
  </si>
  <si>
    <t>Residential - Water Heating - Low Income Electrified - Electricity - KET - E</t>
  </si>
  <si>
    <t>Residential - Water Heating - Low Income Electrified - Biomass Wood - KETBI - E</t>
  </si>
  <si>
    <t>Residential - Water Heating - Low Income Electrified - Coal - KETCOA - E</t>
  </si>
  <si>
    <t>Residential - Water Heating - Low Income Electrified - Oil LPG - KETLPG - E</t>
  </si>
  <si>
    <t>Residential - Refrigeration - Low Income Electrified - Electricity - REF - E</t>
  </si>
  <si>
    <t>Residential - Other - Low Income Electrified - Electricity - OTH - E</t>
  </si>
  <si>
    <t>Residential - Lighting - Middle Income Electrified - Electricity - INC - E</t>
  </si>
  <si>
    <t>Residential - Lighting - Middle Income Electrified - Oil Paraffin - WICK - E</t>
  </si>
  <si>
    <t>Residential - Cooking - Middle Income Electrified - Electricity - STOV - E</t>
  </si>
  <si>
    <t>Residential - Cooking - Middle Income Electrified - Oil LPG - STOV - E</t>
  </si>
  <si>
    <t>Residential - Cooking - Middle Income Electrified - Biomass Wood - STOV - E</t>
  </si>
  <si>
    <t>Residential - Cooking - Middle Income Electrified - Coal - BNM - E</t>
  </si>
  <si>
    <t>Residential - Cooking - Middle Income Electrified - Oil Paraffin - WICK - E</t>
  </si>
  <si>
    <t>Residential - Cooking - Middle Income Electrified - Natural Gas - STOV - E</t>
  </si>
  <si>
    <t>Residential - Space Heating - Middle Income Electrified - Electricity - HEATFIN - E</t>
  </si>
  <si>
    <t>Residential - Space Heating - Middle Income Electrified - Oil Paraffin - HEAT - E</t>
  </si>
  <si>
    <t>Residential - Space Heating - Middle Income Electrified - Biomass Wood - STOV - E</t>
  </si>
  <si>
    <t>Residential - Space Heating - Middle Income Electrified - Coal - STOV - E</t>
  </si>
  <si>
    <t>Residential - Space Heating - Middle Income Electrified - Oil LPG - HEAT - E</t>
  </si>
  <si>
    <t>Residential - Space Heating - Middle Income Electrified - Natural Gas - HEAT - N</t>
  </si>
  <si>
    <t>Residential - Water Heating - Middle Income Electrified - Electricity - GEY - E</t>
  </si>
  <si>
    <t>Residential - Water Heating - Middle Income Electrified - Electricity - SWH - Low pressure</t>
  </si>
  <si>
    <t>Residential - Water Heating - Middle Income Electrified - Electricity - HP - N</t>
  </si>
  <si>
    <t>Residential - Water Heating - Middle Income Electrified - Electricity - Kettle - E</t>
  </si>
  <si>
    <t>Residential - Water Heating - Middle Income Electrified - Oil Paraffin - KETPR - E</t>
  </si>
  <si>
    <t>Residential - Water Heating - Middle Income Electrified - Biomass Wood - KETBI - E</t>
  </si>
  <si>
    <t>Residential - Water Heating - Middle Income Electrified - Coal - STOV - E</t>
  </si>
  <si>
    <t>Residential - Water Heating - Middle Income Electrified - Oil LPG - KETLPG - E</t>
  </si>
  <si>
    <t>Residential - Water Heating - Middle Income Electrified - Natural Gas - GEY - N</t>
  </si>
  <si>
    <t>Residential - Refrigeration - Middle Income Electrified - Electricity - REF - E</t>
  </si>
  <si>
    <t>Residential - Other - Middle Income Electrified - Electricity - OTH - E</t>
  </si>
  <si>
    <t>Residential - Lighting - High Income Electrified - Electricity - INC - E</t>
  </si>
  <si>
    <t>Residential - Cooking - High Income Electrified - Electricity - STOV - E</t>
  </si>
  <si>
    <t>Residential - Cooking - High Income Electrified - Oil LPG - STOV - E</t>
  </si>
  <si>
    <t>Residential - Cooking - High Income Electrified - Biomass Wood - STOV - E</t>
  </si>
  <si>
    <t>Residential - Cooking - High Income Electrified - Oil Paraffin - PRIMUS - E</t>
  </si>
  <si>
    <t>Residential - Cooking - High Income Electrified - Natural Gas - STOV - E</t>
  </si>
  <si>
    <t>Residential - Space Heating - High Income Electrified - Electricity - HEATFIN - E</t>
  </si>
  <si>
    <t>Residential - Space Heating - High Income Electrified - Oil Paraffin - HEAT - E</t>
  </si>
  <si>
    <t>Residential - Space Heating - High Income Electrified - Biomass Wood - STOV - E</t>
  </si>
  <si>
    <t>Residential - Space Heating - High Income Electrified - Coal - STOV - E</t>
  </si>
  <si>
    <t>Residential - Space Heating - High Income Electrified - Oil LPG - HEAT - E</t>
  </si>
  <si>
    <t>Residential - Space Heating - High Income Electrified - Natural Gas - HEAT - N</t>
  </si>
  <si>
    <t>Residential - Water Heating - High Income Electrified - Electricity - GEY - E</t>
  </si>
  <si>
    <t>Residential - Water Heating - High Income Electrified - Electricity - HP - N</t>
  </si>
  <si>
    <t>Residential - Water Heating - High Income Electrified - Electricity - SWH - E</t>
  </si>
  <si>
    <t>Residential - Water Heating - High Income Electrified - Oil Paraffin - STOV - E</t>
  </si>
  <si>
    <t>Residential - Water Heating - High Income Electrified - Oil LPG - STOV - E</t>
  </si>
  <si>
    <t>Residential - Water Heating - High Income Electrified - Natural Gas - HEAT - N</t>
  </si>
  <si>
    <t>PRC,DMD,DAYNITE</t>
  </si>
  <si>
    <t>NCAP_AF-FX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</si>
  <si>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</si>
  <si>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</si>
  <si>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</si>
  <si>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</si>
  <si>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</si>
  <si>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</si>
  <si>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</si>
  <si>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</si>
  <si>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RLEL</t>
  </si>
  <si>
    <t>RESOKE</t>
  </si>
  <si>
    <t>RLNL</t>
  </si>
  <si>
    <t>RLEK</t>
  </si>
  <si>
    <t>RESOLP</t>
  </si>
  <si>
    <t>RESBIW</t>
  </si>
  <si>
    <t>RESCOA</t>
  </si>
  <si>
    <t>RLEH</t>
  </si>
  <si>
    <t>RLEW</t>
  </si>
  <si>
    <t>RLER</t>
  </si>
  <si>
    <t>RLEO</t>
  </si>
  <si>
    <t>RMEL</t>
  </si>
  <si>
    <t>RMNL</t>
  </si>
  <si>
    <t>RMEK</t>
  </si>
  <si>
    <t>RESGAS</t>
  </si>
  <si>
    <t>RMEH</t>
  </si>
  <si>
    <t>RMEWG</t>
  </si>
  <si>
    <t>RMEW</t>
  </si>
  <si>
    <t>RMER</t>
  </si>
  <si>
    <t>RMEO</t>
  </si>
  <si>
    <t>RHEL</t>
  </si>
  <si>
    <t>RHEK</t>
  </si>
  <si>
    <t>RHEH</t>
  </si>
  <si>
    <t>RHEWG</t>
  </si>
  <si>
    <t>RHEW</t>
  </si>
  <si>
    <t>Techs in Profile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</si>
</sst>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-* #,##0.00_-;\-* #,##0.00_-;_-* &quot;-&quot;??_-;_-@_-"/>
    <numFmt numFmtId="165" formatCode="[$£-809]#,##0.000;[Red]&quot;-&quot;[$£-809]#,##0.000"/>
  </numFmts>
  <fonts count="3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sz val="8"/>
      <color rgb="FFFF000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3F3F76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4">
    <xf numFmtId="0" fontId="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10" fillId="0" borderId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3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2" fillId="0" borderId="0"/>
    <xf numFmtId="9" fontId="2" fillId="0" borderId="0" applyFont="0" applyFill="0" applyBorder="0" applyAlignment="0" applyProtection="0"/>
    <xf numFmtId="0" fontId="23" fillId="0" borderId="0"/>
    <xf numFmtId="164" fontId="23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3" fillId="0" borderId="0" applyFont="0" applyFill="0" applyBorder="0" applyAlignment="0" applyProtection="0"/>
    <xf numFmtId="165" fontId="10" fillId="0" borderId="0"/>
    <xf numFmtId="0" fontId="25" fillId="0" borderId="0"/>
    <xf numFmtId="0" fontId="26" fillId="0" borderId="0"/>
    <xf numFmtId="0" fontId="1" fillId="0" borderId="0"/>
    <xf numFmtId="0" fontId="27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2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22" fillId="4" borderId="9" applyNumberFormat="0" applyAlignment="0" applyProtection="0"/>
    <xf numFmtId="0" fontId="24" fillId="5" borderId="9" applyNumberFormat="0" applyAlignment="0" applyProtection="0"/>
    <xf numFmtId="0" fontId="21" fillId="0" borderId="0" applyNumberFormat="0" applyFill="0" applyBorder="0" applyAlignment="0" applyProtection="0">
      <alignment vertical="top"/>
      <protection locked="0"/>
    </xf>
  </cellStyleXfs>
  <cellXfs count="63">
    <xf numFmtId="0" fontId="0" fillId="0" borderId="0" xfId="0"/>
    <xf numFmtId="0" fontId="4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6" fillId="0" borderId="0" xfId="0" applyFont="1"/>
    <xf numFmtId="0" fontId="7" fillId="0" borderId="0" xfId="0" applyFont="1"/>
    <xf numFmtId="0" fontId="8" fillId="0" borderId="0" xfId="0" applyFont="1"/>
    <xf numFmtId="0" fontId="5" fillId="0" borderId="0" xfId="0" applyFont="1"/>
    <xf numFmtId="0" fontId="6" fillId="0" borderId="0" xfId="0" applyFont="1" applyAlignment="1">
      <alignment horizontal="center" wrapText="1"/>
    </xf>
    <xf numFmtId="0" fontId="5" fillId="0" borderId="0" xfId="0" applyFont="1" applyFill="1"/>
    <xf numFmtId="0" fontId="4" fillId="0" borderId="0" xfId="1" applyFont="1"/>
    <xf numFmtId="0" fontId="10" fillId="0" borderId="0" xfId="1"/>
    <xf numFmtId="0" fontId="7" fillId="0" borderId="0" xfId="1" applyFont="1"/>
    <xf numFmtId="0" fontId="13" fillId="0" borderId="0" xfId="1" applyFont="1" applyFill="1"/>
    <xf numFmtId="0" fontId="6" fillId="0" borderId="0" xfId="1" applyFont="1"/>
    <xf numFmtId="0" fontId="7" fillId="0" borderId="0" xfId="0" applyFont="1" applyFill="1"/>
    <xf numFmtId="0" fontId="14" fillId="0" borderId="0" xfId="0" applyFont="1" applyFill="1"/>
    <xf numFmtId="0" fontId="14" fillId="0" borderId="0" xfId="0" applyFont="1"/>
    <xf numFmtId="0" fontId="15" fillId="0" borderId="0" xfId="0" applyFont="1" applyFill="1"/>
    <xf numFmtId="0" fontId="16" fillId="0" borderId="0" xfId="0" applyFont="1" applyFill="1"/>
    <xf numFmtId="0" fontId="13" fillId="0" borderId="0" xfId="1" applyFont="1"/>
    <xf numFmtId="0" fontId="8" fillId="0" borderId="0" xfId="1" applyFont="1"/>
    <xf numFmtId="0" fontId="15" fillId="0" borderId="0" xfId="1" applyFont="1" applyFill="1"/>
    <xf numFmtId="0" fontId="7" fillId="0" borderId="0" xfId="1" applyFont="1" applyFill="1"/>
    <xf numFmtId="0" fontId="16" fillId="0" borderId="0" xfId="1" applyFont="1" applyFill="1"/>
    <xf numFmtId="49" fontId="15" fillId="0" borderId="0" xfId="0" applyNumberFormat="1" applyFont="1" applyFill="1" applyAlignment="1">
      <alignment horizontal="left"/>
    </xf>
    <xf numFmtId="0" fontId="17" fillId="0" borderId="0" xfId="1" applyFont="1" applyFill="1"/>
    <xf numFmtId="0" fontId="11" fillId="0" borderId="0" xfId="1" applyFont="1" applyFill="1" applyAlignment="1">
      <alignment horizontal="center"/>
    </xf>
    <xf numFmtId="0" fontId="7" fillId="0" borderId="0" xfId="1" applyFont="1" applyFill="1" applyAlignment="1">
      <alignment horizontal="center"/>
    </xf>
    <xf numFmtId="0" fontId="6" fillId="0" borderId="0" xfId="1" applyFont="1" applyFill="1"/>
    <xf numFmtId="0" fontId="10" fillId="0" borderId="0" xfId="1" applyFill="1"/>
    <xf numFmtId="0" fontId="4" fillId="0" borderId="0" xfId="1" applyFont="1" applyFill="1"/>
    <xf numFmtId="0" fontId="0" fillId="0" borderId="0" xfId="0" applyFill="1"/>
    <xf numFmtId="0" fontId="7" fillId="0" borderId="0" xfId="1" applyFont="1" applyFill="1" applyAlignment="1">
      <alignment horizontal="center" wrapText="1"/>
    </xf>
    <xf numFmtId="0" fontId="13" fillId="0" borderId="0" xfId="0" applyFont="1" applyFill="1"/>
    <xf numFmtId="0" fontId="16" fillId="3" borderId="0" xfId="0" applyFont="1" applyFill="1"/>
    <xf numFmtId="0" fontId="16" fillId="3" borderId="0" xfId="1" applyFont="1" applyFill="1"/>
    <xf numFmtId="0" fontId="13" fillId="0" borderId="0" xfId="0" applyFont="1"/>
    <xf numFmtId="0" fontId="7" fillId="0" borderId="0" xfId="0" applyFont="1" applyAlignment="1">
      <alignment horizontal="center"/>
    </xf>
    <xf numFmtId="0" fontId="15" fillId="0" borderId="0" xfId="0" applyFont="1" applyFill="1" applyAlignment="1">
      <alignment horizontal="center"/>
    </xf>
    <xf numFmtId="0" fontId="10" fillId="0" borderId="0" xfId="3"/>
    <xf numFmtId="0" fontId="7" fillId="0" borderId="0" xfId="2" applyFont="1"/>
    <xf numFmtId="0" fontId="7" fillId="0" borderId="0" xfId="3" applyFont="1"/>
    <xf numFmtId="0" fontId="20" fillId="0" borderId="0" xfId="3" applyFont="1"/>
    <xf numFmtId="0" fontId="20" fillId="0" borderId="0" xfId="1" applyFont="1"/>
    <xf numFmtId="0" fontId="19" fillId="0" borderId="0" xfId="1" applyFont="1"/>
    <xf numFmtId="0" fontId="7" fillId="0" borderId="0" xfId="2" applyFont="1" applyAlignment="1">
      <alignment horizontal="right"/>
    </xf>
    <xf numFmtId="0" fontId="7" fillId="0" borderId="0" xfId="2" applyFont="1" applyAlignment="1">
      <alignment horizontal="center"/>
    </xf>
    <xf numFmtId="0" fontId="10" fillId="0" borderId="0" xfId="2"/>
    <xf numFmtId="0" fontId="16" fillId="0" borderId="0" xfId="1" applyFont="1"/>
    <xf numFmtId="0" fontId="15" fillId="0" borderId="0" xfId="1" applyFont="1"/>
    <xf numFmtId="0" fontId="16" fillId="0" borderId="0" xfId="2" applyFont="1"/>
    <xf numFmtId="0" fontId="6" fillId="0" borderId="0" xfId="2" applyFont="1"/>
    <xf numFmtId="0" fontId="6" fillId="0" borderId="0" xfId="2" applyFont="1" applyAlignment="1">
      <alignment horizontal="center" wrapText="1"/>
    </xf>
    <xf numFmtId="0" fontId="15" fillId="0" borderId="0" xfId="2" applyFont="1" applyAlignment="1">
      <alignment horizontal="center"/>
    </xf>
    <xf numFmtId="0" fontId="10" fillId="0" borderId="0" xfId="0" applyFont="1"/>
  </cellXfs>
  <cellStyles count="34">
    <cellStyle name="Calculation 2" xfId="31" xr:uid="{B4B279B1-BC4C-4578-ACFD-2D3522108CF6}"/>
    <cellStyle name="Comma 2" xfId="7" xr:uid="{00000000-0005-0000-0000-000000000000}"/>
    <cellStyle name="Comma 2 2" xfId="15" xr:uid="{2D29F2AE-A72A-4F35-A2CA-2C4A01C4F113}"/>
    <cellStyle name="Comma 2 2 2" xfId="29" xr:uid="{3D2FAF94-37BE-4C39-AC8F-2F375325F51D}"/>
    <cellStyle name="Comma 2 3" xfId="6" xr:uid="{00000000-0005-0000-0000-000001000000}"/>
    <cellStyle name="Comma 2 4" xfId="28" xr:uid="{0630AC0A-37C6-471B-A3BC-E76D60FB2B40}"/>
    <cellStyle name="Comma 3" xfId="16" xr:uid="{C170A3C1-B68E-4AAE-92F6-CE979AB71698}"/>
    <cellStyle name="Comma 3 2" xfId="26" xr:uid="{F356AEEA-FCE9-451F-AF3B-32F5693388AF}"/>
    <cellStyle name="Hyperlink 2" xfId="11" xr:uid="{00000000-0005-0000-0000-000003000000}"/>
    <cellStyle name="Hyperlink 2 2" xfId="27" xr:uid="{90BC6485-F45B-42F0-B39C-66A2F907FAC8}"/>
    <cellStyle name="Hyperlink 2 2 2" xfId="33" xr:uid="{2A100852-8D24-4FD7-A1F9-DC5F4F62F85C}"/>
    <cellStyle name="Input 2" xfId="32" xr:uid="{EF0A91A4-9A39-44CB-94D1-B114505B1DE5}"/>
    <cellStyle name="Normal" xfId="0" builtinId="0"/>
    <cellStyle name="Normal 10 4" xfId="10" xr:uid="{00000000-0005-0000-0000-000005000000}"/>
    <cellStyle name="Normal 12" xfId="20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18" xr:uid="{4DDA2815-89F9-4790-BF2B-C11F32499156}"/>
    <cellStyle name="Normal 2 3" xfId="14" xr:uid="{4AB230A0-E2D6-4984-83A4-4F34927A69CA}"/>
    <cellStyle name="Normal 2 3 2" xfId="30" xr:uid="{B56E12CC-6B4A-4A2B-9976-F2227F3C9D9F}"/>
    <cellStyle name="Normal 3" xfId="5" xr:uid="{00000000-0005-0000-0000-00000B000000}"/>
    <cellStyle name="Normal 3 2" xfId="19" xr:uid="{F1E66136-6D93-46C0-8FCF-8054B08EF18E}"/>
    <cellStyle name="Normal 4" xfId="12" xr:uid="{0BAD2C5B-36F5-4320-A9B9-F030A7823A07}"/>
    <cellStyle name="Normal 4 3" xfId="25" xr:uid="{16BCBF55-3599-48AE-AF18-E9AA19168515}"/>
    <cellStyle name="Normal 5" xfId="22" xr:uid="{E86FCE4D-E8BD-408C-9B91-ED1609778DAD}"/>
    <cellStyle name="Normal 6" xfId="21" xr:uid="{96D31F59-9CBC-4F48-8E3C-934D53E8A773}"/>
    <cellStyle name="Normal 7" xfId="23" xr:uid="{F72C3799-2FCE-40EB-9CDA-C1206D98C783}"/>
    <cellStyle name="Percent 2" xfId="13" xr:uid="{6FC4F8D8-ECD7-4A9E-B183-CAC9CE80278F}"/>
    <cellStyle name="Percent 2 2" xfId="17" xr:uid="{FFCF24A5-FA7A-4E91-8E3F-2BDE50B65C19}"/>
    <cellStyle name="Percent 2 3" xfId="24" xr:uid="{056A7CF9-08F3-46C7-9A85-3C2C5EFDAC60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5" Type="http://schemas.openxmlformats.org/officeDocument/2006/relationships/image" Target="../media/image31.emf"/><Relationship Id="rId4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7" Type="http://schemas.openxmlformats.org/officeDocument/2006/relationships/image" Target="../media/image38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6" Type="http://schemas.openxmlformats.org/officeDocument/2006/relationships/image" Target="../media/image37.emf"/><Relationship Id="rId5" Type="http://schemas.openxmlformats.org/officeDocument/2006/relationships/image" Target="../media/image36.emf"/><Relationship Id="rId4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emf"/><Relationship Id="rId7" Type="http://schemas.openxmlformats.org/officeDocument/2006/relationships/image" Target="../media/image45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4" Type="http://schemas.openxmlformats.org/officeDocument/2006/relationships/image" Target="../media/image50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5" Type="http://schemas.openxmlformats.org/officeDocument/2006/relationships/image" Target="../media/image56.emf"/><Relationship Id="rId10" Type="http://schemas.openxmlformats.org/officeDocument/2006/relationships/image" Target="../media/image5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image" Target="../media/image63.emf"/><Relationship Id="rId7" Type="http://schemas.openxmlformats.org/officeDocument/2006/relationships/image" Target="../media/image67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6" Type="http://schemas.openxmlformats.org/officeDocument/2006/relationships/image" Target="../media/image66.emf"/><Relationship Id="rId5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72.emf"/><Relationship Id="rId7" Type="http://schemas.openxmlformats.org/officeDocument/2006/relationships/image" Target="../media/image76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6" Type="http://schemas.openxmlformats.org/officeDocument/2006/relationships/image" Target="../media/image75.emf"/><Relationship Id="rId5" Type="http://schemas.openxmlformats.org/officeDocument/2006/relationships/image" Target="../media/image74.emf"/><Relationship Id="rId10" Type="http://schemas.openxmlformats.org/officeDocument/2006/relationships/image" Target="../media/image69.emf"/><Relationship Id="rId4" Type="http://schemas.openxmlformats.org/officeDocument/2006/relationships/image" Target="../media/image73.emf"/><Relationship Id="rId9" Type="http://schemas.openxmlformats.org/officeDocument/2006/relationships/image" Target="../media/image78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82.emf"/><Relationship Id="rId7" Type="http://schemas.openxmlformats.org/officeDocument/2006/relationships/image" Target="../media/image86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6" Type="http://schemas.openxmlformats.org/officeDocument/2006/relationships/image" Target="../media/image85.emf"/><Relationship Id="rId5" Type="http://schemas.openxmlformats.org/officeDocument/2006/relationships/image" Target="../media/image84.emf"/><Relationship Id="rId10" Type="http://schemas.openxmlformats.org/officeDocument/2006/relationships/image" Target="../media/image79.emf"/><Relationship Id="rId4" Type="http://schemas.openxmlformats.org/officeDocument/2006/relationships/image" Target="../media/image83.emf"/><Relationship Id="rId9" Type="http://schemas.openxmlformats.org/officeDocument/2006/relationships/image" Target="../media/image88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96.emf"/><Relationship Id="rId3" Type="http://schemas.openxmlformats.org/officeDocument/2006/relationships/image" Target="../media/image91.emf"/><Relationship Id="rId7" Type="http://schemas.openxmlformats.org/officeDocument/2006/relationships/image" Target="../media/image95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Relationship Id="rId6" Type="http://schemas.openxmlformats.org/officeDocument/2006/relationships/image" Target="../media/image94.emf"/><Relationship Id="rId5" Type="http://schemas.openxmlformats.org/officeDocument/2006/relationships/image" Target="../media/image93.emf"/><Relationship Id="rId4" Type="http://schemas.openxmlformats.org/officeDocument/2006/relationships/image" Target="../media/image92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3" Type="http://schemas.openxmlformats.org/officeDocument/2006/relationships/image" Target="../media/image100.emf"/><Relationship Id="rId7" Type="http://schemas.openxmlformats.org/officeDocument/2006/relationships/image" Target="../media/image104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Relationship Id="rId6" Type="http://schemas.openxmlformats.org/officeDocument/2006/relationships/image" Target="../media/image103.emf"/><Relationship Id="rId5" Type="http://schemas.openxmlformats.org/officeDocument/2006/relationships/image" Target="../media/image102.emf"/><Relationship Id="rId10" Type="http://schemas.openxmlformats.org/officeDocument/2006/relationships/image" Target="../media/image97.emf"/><Relationship Id="rId4" Type="http://schemas.openxmlformats.org/officeDocument/2006/relationships/image" Target="../media/image101.emf"/><Relationship Id="rId9" Type="http://schemas.openxmlformats.org/officeDocument/2006/relationships/image" Target="../media/image10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1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1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1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2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2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2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2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2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2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2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5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5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5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6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6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6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7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7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7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8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8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8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8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8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A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A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A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A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A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A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A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A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B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B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B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C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C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C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C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0C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0C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0C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0C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0C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0C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0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0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0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E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E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E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E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0E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E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0E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E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E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E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F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F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F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F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F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0F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F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F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F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F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0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0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0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0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0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0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0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0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1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1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1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1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1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1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1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1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1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1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308666E5-D28E-418E-B7E7-F6D9F22CA4C0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" dT="2020-06-30T13:58:08.30" personId="{308666E5-D28E-418E-B7E7-F6D9F22CA4C0}" id="{0A822C83-0999-452D-AC72-05B6E464D872}">
    <text>Based on Work done by Greg on SATIM in 2018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3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12" Type="http://schemas.openxmlformats.org/officeDocument/2006/relationships/control" Target="../activeX/activeX36.xml"/><Relationship Id="rId17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Relationship Id="rId14" Type="http://schemas.openxmlformats.org/officeDocument/2006/relationships/control" Target="../activeX/activeX3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43.emf"/><Relationship Id="rId18" Type="http://schemas.openxmlformats.org/officeDocument/2006/relationships/control" Target="../activeX/activeX4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12" Type="http://schemas.openxmlformats.org/officeDocument/2006/relationships/control" Target="../activeX/activeX43.xml"/><Relationship Id="rId17" Type="http://schemas.openxmlformats.org/officeDocument/2006/relationships/image" Target="../media/image4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45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0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42.xml"/><Relationship Id="rId19" Type="http://schemas.openxmlformats.org/officeDocument/2006/relationships/image" Target="../media/image46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Relationship Id="rId14" Type="http://schemas.openxmlformats.org/officeDocument/2006/relationships/control" Target="../activeX/activeX4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9.emf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65.emf"/><Relationship Id="rId18" Type="http://schemas.openxmlformats.org/officeDocument/2006/relationships/control" Target="../activeX/activeX68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2.emf"/><Relationship Id="rId12" Type="http://schemas.openxmlformats.org/officeDocument/2006/relationships/control" Target="../activeX/activeX65.xml"/><Relationship Id="rId17" Type="http://schemas.openxmlformats.org/officeDocument/2006/relationships/image" Target="../media/image6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6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5" Type="http://schemas.openxmlformats.org/officeDocument/2006/relationships/image" Target="../media/image66.emf"/><Relationship Id="rId10" Type="http://schemas.openxmlformats.org/officeDocument/2006/relationships/control" Target="../activeX/activeX64.xml"/><Relationship Id="rId19" Type="http://schemas.openxmlformats.org/officeDocument/2006/relationships/image" Target="../media/image68.emf"/><Relationship Id="rId4" Type="http://schemas.openxmlformats.org/officeDocument/2006/relationships/control" Target="../activeX/activeX61.xml"/><Relationship Id="rId9" Type="http://schemas.openxmlformats.org/officeDocument/2006/relationships/image" Target="../media/image63.emf"/><Relationship Id="rId14" Type="http://schemas.openxmlformats.org/officeDocument/2006/relationships/control" Target="../activeX/activeX6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control" Target="../activeX/activeX74.xml"/><Relationship Id="rId18" Type="http://schemas.openxmlformats.org/officeDocument/2006/relationships/image" Target="../media/image76.emf"/><Relationship Id="rId3" Type="http://schemas.openxmlformats.org/officeDocument/2006/relationships/control" Target="../activeX/activeX69.xml"/><Relationship Id="rId21" Type="http://schemas.openxmlformats.org/officeDocument/2006/relationships/control" Target="../activeX/activeX78.xml"/><Relationship Id="rId7" Type="http://schemas.openxmlformats.org/officeDocument/2006/relationships/control" Target="../activeX/activeX71.xml"/><Relationship Id="rId12" Type="http://schemas.openxmlformats.org/officeDocument/2006/relationships/image" Target="../media/image73.emf"/><Relationship Id="rId17" Type="http://schemas.openxmlformats.org/officeDocument/2006/relationships/control" Target="../activeX/activeX76.xml"/><Relationship Id="rId2" Type="http://schemas.openxmlformats.org/officeDocument/2006/relationships/vmlDrawing" Target="../drawings/vmlDrawing14.vml"/><Relationship Id="rId16" Type="http://schemas.openxmlformats.org/officeDocument/2006/relationships/image" Target="../media/image75.emf"/><Relationship Id="rId20" Type="http://schemas.openxmlformats.org/officeDocument/2006/relationships/image" Target="../media/image77.emf"/><Relationship Id="rId1" Type="http://schemas.openxmlformats.org/officeDocument/2006/relationships/drawing" Target="../drawings/drawing14.xml"/><Relationship Id="rId6" Type="http://schemas.openxmlformats.org/officeDocument/2006/relationships/image" Target="../media/image70.emf"/><Relationship Id="rId11" Type="http://schemas.openxmlformats.org/officeDocument/2006/relationships/control" Target="../activeX/activeX73.xml"/><Relationship Id="rId5" Type="http://schemas.openxmlformats.org/officeDocument/2006/relationships/control" Target="../activeX/activeX70.xml"/><Relationship Id="rId15" Type="http://schemas.openxmlformats.org/officeDocument/2006/relationships/control" Target="../activeX/activeX75.xml"/><Relationship Id="rId10" Type="http://schemas.openxmlformats.org/officeDocument/2006/relationships/image" Target="../media/image72.emf"/><Relationship Id="rId19" Type="http://schemas.openxmlformats.org/officeDocument/2006/relationships/control" Target="../activeX/activeX77.xml"/><Relationship Id="rId4" Type="http://schemas.openxmlformats.org/officeDocument/2006/relationships/image" Target="../media/image69.emf"/><Relationship Id="rId9" Type="http://schemas.openxmlformats.org/officeDocument/2006/relationships/control" Target="../activeX/activeX72.xml"/><Relationship Id="rId14" Type="http://schemas.openxmlformats.org/officeDocument/2006/relationships/image" Target="../media/image74.emf"/><Relationship Id="rId22" Type="http://schemas.openxmlformats.org/officeDocument/2006/relationships/image" Target="../media/image78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13" Type="http://schemas.openxmlformats.org/officeDocument/2006/relationships/control" Target="../activeX/activeX84.xml"/><Relationship Id="rId18" Type="http://schemas.openxmlformats.org/officeDocument/2006/relationships/image" Target="../media/image86.emf"/><Relationship Id="rId3" Type="http://schemas.openxmlformats.org/officeDocument/2006/relationships/control" Target="../activeX/activeX79.xml"/><Relationship Id="rId21" Type="http://schemas.openxmlformats.org/officeDocument/2006/relationships/control" Target="../activeX/activeX88.xml"/><Relationship Id="rId7" Type="http://schemas.openxmlformats.org/officeDocument/2006/relationships/control" Target="../activeX/activeX81.xml"/><Relationship Id="rId12" Type="http://schemas.openxmlformats.org/officeDocument/2006/relationships/image" Target="../media/image83.emf"/><Relationship Id="rId17" Type="http://schemas.openxmlformats.org/officeDocument/2006/relationships/control" Target="../activeX/activeX86.xml"/><Relationship Id="rId2" Type="http://schemas.openxmlformats.org/officeDocument/2006/relationships/vmlDrawing" Target="../drawings/vmlDrawing15.vml"/><Relationship Id="rId16" Type="http://schemas.openxmlformats.org/officeDocument/2006/relationships/image" Target="../media/image85.emf"/><Relationship Id="rId20" Type="http://schemas.openxmlformats.org/officeDocument/2006/relationships/image" Target="../media/image87.emf"/><Relationship Id="rId1" Type="http://schemas.openxmlformats.org/officeDocument/2006/relationships/drawing" Target="../drawings/drawing15.xml"/><Relationship Id="rId6" Type="http://schemas.openxmlformats.org/officeDocument/2006/relationships/image" Target="../media/image80.emf"/><Relationship Id="rId11" Type="http://schemas.openxmlformats.org/officeDocument/2006/relationships/control" Target="../activeX/activeX83.xml"/><Relationship Id="rId5" Type="http://schemas.openxmlformats.org/officeDocument/2006/relationships/control" Target="../activeX/activeX80.xml"/><Relationship Id="rId15" Type="http://schemas.openxmlformats.org/officeDocument/2006/relationships/control" Target="../activeX/activeX85.xml"/><Relationship Id="rId10" Type="http://schemas.openxmlformats.org/officeDocument/2006/relationships/image" Target="../media/image82.emf"/><Relationship Id="rId19" Type="http://schemas.openxmlformats.org/officeDocument/2006/relationships/control" Target="../activeX/activeX87.xml"/><Relationship Id="rId4" Type="http://schemas.openxmlformats.org/officeDocument/2006/relationships/image" Target="../media/image79.emf"/><Relationship Id="rId9" Type="http://schemas.openxmlformats.org/officeDocument/2006/relationships/control" Target="../activeX/activeX82.xml"/><Relationship Id="rId14" Type="http://schemas.openxmlformats.org/officeDocument/2006/relationships/image" Target="../media/image84.emf"/><Relationship Id="rId22" Type="http://schemas.openxmlformats.org/officeDocument/2006/relationships/image" Target="../media/image88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13" Type="http://schemas.openxmlformats.org/officeDocument/2006/relationships/image" Target="../media/image93.emf"/><Relationship Id="rId18" Type="http://schemas.openxmlformats.org/officeDocument/2006/relationships/control" Target="../activeX/activeX9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90.emf"/><Relationship Id="rId12" Type="http://schemas.openxmlformats.org/officeDocument/2006/relationships/control" Target="../activeX/activeX93.xml"/><Relationship Id="rId17" Type="http://schemas.openxmlformats.org/officeDocument/2006/relationships/image" Target="../media/image95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9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90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5" Type="http://schemas.openxmlformats.org/officeDocument/2006/relationships/image" Target="../media/image94.emf"/><Relationship Id="rId10" Type="http://schemas.openxmlformats.org/officeDocument/2006/relationships/control" Target="../activeX/activeX92.xml"/><Relationship Id="rId19" Type="http://schemas.openxmlformats.org/officeDocument/2006/relationships/image" Target="../media/image96.emf"/><Relationship Id="rId4" Type="http://schemas.openxmlformats.org/officeDocument/2006/relationships/control" Target="../activeX/activeX89.xml"/><Relationship Id="rId9" Type="http://schemas.openxmlformats.org/officeDocument/2006/relationships/image" Target="../media/image91.emf"/><Relationship Id="rId14" Type="http://schemas.openxmlformats.org/officeDocument/2006/relationships/control" Target="../activeX/activeX94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image" Target="../media/image101.emf"/><Relationship Id="rId18" Type="http://schemas.openxmlformats.org/officeDocument/2006/relationships/control" Target="../activeX/activeX104.xml"/><Relationship Id="rId3" Type="http://schemas.openxmlformats.org/officeDocument/2006/relationships/vmlDrawing" Target="../drawings/vmlDrawing17.vml"/><Relationship Id="rId21" Type="http://schemas.openxmlformats.org/officeDocument/2006/relationships/image" Target="../media/image105.emf"/><Relationship Id="rId7" Type="http://schemas.openxmlformats.org/officeDocument/2006/relationships/image" Target="../media/image98.emf"/><Relationship Id="rId12" Type="http://schemas.openxmlformats.org/officeDocument/2006/relationships/control" Target="../activeX/activeX101.xml"/><Relationship Id="rId17" Type="http://schemas.openxmlformats.org/officeDocument/2006/relationships/image" Target="../media/image103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03.xml"/><Relationship Id="rId20" Type="http://schemas.openxmlformats.org/officeDocument/2006/relationships/control" Target="../activeX/activeX105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98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5" Type="http://schemas.openxmlformats.org/officeDocument/2006/relationships/image" Target="../media/image102.emf"/><Relationship Id="rId23" Type="http://schemas.openxmlformats.org/officeDocument/2006/relationships/image" Target="../media/image106.emf"/><Relationship Id="rId10" Type="http://schemas.openxmlformats.org/officeDocument/2006/relationships/control" Target="../activeX/activeX100.xml"/><Relationship Id="rId19" Type="http://schemas.openxmlformats.org/officeDocument/2006/relationships/image" Target="../media/image104.emf"/><Relationship Id="rId4" Type="http://schemas.openxmlformats.org/officeDocument/2006/relationships/control" Target="../activeX/activeX97.xml"/><Relationship Id="rId9" Type="http://schemas.openxmlformats.org/officeDocument/2006/relationships/image" Target="../media/image99.emf"/><Relationship Id="rId14" Type="http://schemas.openxmlformats.org/officeDocument/2006/relationships/control" Target="../activeX/activeX102.xml"/><Relationship Id="rId22" Type="http://schemas.openxmlformats.org/officeDocument/2006/relationships/control" Target="../activeX/activeX10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>
      <selection activeCell="I31" sqref="I31"/>
    </sheetView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69"/>
  <sheetViews>
    <sheetView workbookViewId="0">
      <selection activeCell="C9" sqref="C9"/>
    </sheetView>
  </sheetViews>
  <sheetFormatPr defaultColWidth="9.140625" defaultRowHeight="11.25" x14ac:dyDescent="0.2"/>
  <cols>
    <col min="1" max="1" width="13.5703125" style="48" customWidth="1"/>
    <col min="2" max="2" width="16.140625" style="48" customWidth="1"/>
    <col min="3" max="3" width="45.42578125" style="48" customWidth="1"/>
    <col min="4" max="4" width="11.140625" style="48" customWidth="1"/>
    <col min="5" max="5" width="29.28515625" style="48" customWidth="1"/>
    <col min="6" max="6" width="10.42578125" style="48" customWidth="1"/>
    <col min="7" max="16384" width="9.140625" style="48"/>
  </cols>
  <sheetData>
    <row r="1" spans="1:6" x14ac:dyDescent="0.2">
      <c r="A1" s="59" t="s">
        <v>118</v>
      </c>
      <c r="B1" s="19" t="s">
        <v>116</v>
      </c>
    </row>
    <row r="2" spans="1:6" ht="12.75" x14ac:dyDescent="0.2">
      <c r="A2" s="55"/>
    </row>
    <row r="4" spans="1:6" ht="18" customHeight="1" x14ac:dyDescent="0.2"/>
    <row r="7" spans="1:6" x14ac:dyDescent="0.2">
      <c r="B7" s="59" t="s">
        <v>56</v>
      </c>
      <c r="C7" s="59" t="s">
        <v>57</v>
      </c>
      <c r="D7" s="59" t="s">
        <v>93</v>
      </c>
      <c r="E7" s="59" t="s">
        <v>1</v>
      </c>
      <c r="F7" s="59" t="s">
        <v>0</v>
      </c>
    </row>
    <row r="8" spans="1:6" ht="12" x14ac:dyDescent="0.2">
      <c r="A8" s="50" t="s">
        <v>130</v>
      </c>
      <c r="D8" s="57"/>
      <c r="E8" s="57"/>
    </row>
    <row r="9" spans="1:6" x14ac:dyDescent="0.2">
      <c r="B9" s="48" t="str">
        <f>RawDatafrombuFile!Q3</f>
        <v>RLEKELCHOT-E</v>
      </c>
      <c r="C9" s="48" t="str">
        <f>RawDatafrombuFile!R3</f>
        <v>Residential - Cooking - Low Income Electrified - Electricity - HOT - E</v>
      </c>
      <c r="D9" s="57" t="s">
        <v>115</v>
      </c>
      <c r="E9" s="56" t="s">
        <v>259</v>
      </c>
    </row>
    <row r="10" spans="1:6" x14ac:dyDescent="0.2">
      <c r="B10" s="48" t="str">
        <f>RawDatafrombuFile!Q4</f>
        <v>RLEKELCSTOV-E</v>
      </c>
      <c r="C10" s="48" t="str">
        <f>RawDatafrombuFile!R4</f>
        <v>Residential - Cooking - Low Income Electrified - Electricity - STOV - E</v>
      </c>
      <c r="D10" s="57" t="s">
        <v>115</v>
      </c>
      <c r="E10" s="56" t="s">
        <v>259</v>
      </c>
    </row>
    <row r="11" spans="1:6" x14ac:dyDescent="0.2">
      <c r="B11" s="48" t="str">
        <f>RawDatafrombuFile!Q5</f>
        <v>RLEKOLPRING-E</v>
      </c>
      <c r="C11" s="48" t="str">
        <f>RawDatafrombuFile!R5</f>
        <v>Residential - Cooking - Low Income Electrified - Oil LPG - RING - E</v>
      </c>
      <c r="D11" s="57" t="s">
        <v>115</v>
      </c>
      <c r="E11" s="56" t="s">
        <v>259</v>
      </c>
    </row>
    <row r="12" spans="1:6" x14ac:dyDescent="0.2">
      <c r="B12" s="48" t="str">
        <f>RawDatafrombuFile!Q6</f>
        <v>RLEKBIWBNM-E</v>
      </c>
      <c r="C12" s="48" t="str">
        <f>RawDatafrombuFile!R6</f>
        <v>Residential - Cooking - Low Income Electrified - Biomass Wood - BNM - E</v>
      </c>
      <c r="D12" s="57" t="s">
        <v>115</v>
      </c>
      <c r="E12" s="56" t="s">
        <v>259</v>
      </c>
    </row>
    <row r="13" spans="1:6" x14ac:dyDescent="0.2">
      <c r="B13" s="48" t="str">
        <f>RawDatafrombuFile!Q7</f>
        <v>RLEKCOABNM-E</v>
      </c>
      <c r="C13" s="48" t="str">
        <f>RawDatafrombuFile!R7</f>
        <v>Residential - Cooking - Low Income Electrified - Coal - BNM - E</v>
      </c>
      <c r="D13" s="57" t="s">
        <v>115</v>
      </c>
      <c r="E13" s="56" t="s">
        <v>259</v>
      </c>
    </row>
    <row r="14" spans="1:6" x14ac:dyDescent="0.2">
      <c r="B14" s="48" t="str">
        <f>RawDatafrombuFile!Q8</f>
        <v>RLEKOKEWICK-E</v>
      </c>
      <c r="C14" s="48" t="str">
        <f>RawDatafrombuFile!R8</f>
        <v>Residential - Cooking - Low Income Electrified - Oil Paraffin - WICK - E</v>
      </c>
      <c r="D14" s="57" t="s">
        <v>115</v>
      </c>
      <c r="E14" s="56" t="s">
        <v>259</v>
      </c>
    </row>
    <row r="15" spans="1:6" ht="12" x14ac:dyDescent="0.2">
      <c r="A15" s="51"/>
      <c r="B15" s="48" t="str">
        <f>RawDatafrombuFile!Q9</f>
        <v>RLEHELCHEATBAR-E</v>
      </c>
      <c r="C15" s="48" t="str">
        <f>RawDatafrombuFile!R9</f>
        <v>Residential - Space Heating - Low Income Electrified - Electricity - HEATBAR - E</v>
      </c>
      <c r="D15" s="57" t="s">
        <v>115</v>
      </c>
      <c r="E15" s="56" t="s">
        <v>259</v>
      </c>
    </row>
    <row r="16" spans="1:6" ht="12" x14ac:dyDescent="0.2">
      <c r="A16" s="51"/>
      <c r="B16" s="48" t="str">
        <f>RawDatafrombuFile!Q10</f>
        <v>RLEHOKEHEAT-E</v>
      </c>
      <c r="C16" s="48" t="str">
        <f>RawDatafrombuFile!R10</f>
        <v>Residential - Space Heating - Low Income Electrified - Oil Paraffin - HEAT - E</v>
      </c>
      <c r="D16" s="57" t="s">
        <v>115</v>
      </c>
      <c r="E16" s="56" t="s">
        <v>259</v>
      </c>
    </row>
    <row r="17" spans="1:10" ht="12" x14ac:dyDescent="0.2">
      <c r="A17" s="51"/>
      <c r="B17" s="48" t="str">
        <f>RawDatafrombuFile!Q11</f>
        <v>RLEHBIWOPEN-E</v>
      </c>
      <c r="C17" s="48" t="str">
        <f>RawDatafrombuFile!R11</f>
        <v>Residential - Space Heating - Low Income Electrified - Biomass Wood - OPEN - E</v>
      </c>
      <c r="D17" s="57" t="s">
        <v>115</v>
      </c>
      <c r="E17" s="56" t="s">
        <v>259</v>
      </c>
    </row>
    <row r="18" spans="1:10" ht="12" x14ac:dyDescent="0.2">
      <c r="A18" s="51"/>
      <c r="B18" s="48" t="str">
        <f>RawDatafrombuFile!Q12</f>
        <v>RLEHCOABNM-E</v>
      </c>
      <c r="C18" s="48" t="str">
        <f>RawDatafrombuFile!R12</f>
        <v>Residential - Space Heating - Low Income Electrified - Coal - BNM - E</v>
      </c>
      <c r="D18" s="57" t="s">
        <v>115</v>
      </c>
      <c r="E18" s="56" t="s">
        <v>259</v>
      </c>
    </row>
    <row r="19" spans="1:10" ht="12" x14ac:dyDescent="0.2">
      <c r="A19" s="51"/>
      <c r="B19" s="48" t="str">
        <f>RawDatafrombuFile!Q13</f>
        <v>RLEHOLPHET-E</v>
      </c>
      <c r="C19" s="48" t="str">
        <f>RawDatafrombuFile!R13</f>
        <v>Residential - Space Heating - Low Income Electrified - Oil LPG - HET - E</v>
      </c>
      <c r="D19" s="57" t="s">
        <v>115</v>
      </c>
      <c r="E19" s="56" t="s">
        <v>259</v>
      </c>
    </row>
    <row r="20" spans="1:10" ht="12" x14ac:dyDescent="0.2">
      <c r="A20" s="51"/>
      <c r="B20" s="48" t="str">
        <f>RawDatafrombuFile!Q14</f>
        <v>RLEWOKEKETWI-E</v>
      </c>
      <c r="C20" s="48" t="str">
        <f>RawDatafrombuFile!R14</f>
        <v>Residential - Water Heating - Low Income Electrified - Oil Paraffin - KETWI - E</v>
      </c>
      <c r="D20" s="57" t="s">
        <v>115</v>
      </c>
      <c r="E20" s="56" t="s">
        <v>259</v>
      </c>
    </row>
    <row r="21" spans="1:10" ht="12" x14ac:dyDescent="0.2">
      <c r="A21" s="51"/>
      <c r="B21" s="48" t="str">
        <f>RawDatafrombuFile!Q15</f>
        <v>RLEWELCKET-E</v>
      </c>
      <c r="C21" s="48" t="str">
        <f>RawDatafrombuFile!R15</f>
        <v>Residential - Water Heating - Low Income Electrified - Electricity - KET - E</v>
      </c>
      <c r="D21" s="57" t="s">
        <v>115</v>
      </c>
      <c r="E21" s="56" t="s">
        <v>259</v>
      </c>
    </row>
    <row r="22" spans="1:10" ht="12" x14ac:dyDescent="0.2">
      <c r="A22" s="51"/>
      <c r="B22" s="48" t="str">
        <f>RawDatafrombuFile!Q16</f>
        <v>RLEWBIWKETBI-E</v>
      </c>
      <c r="C22" s="48" t="str">
        <f>RawDatafrombuFile!R16</f>
        <v>Residential - Water Heating - Low Income Electrified - Biomass Wood - KETBI - E</v>
      </c>
      <c r="D22" s="57" t="s">
        <v>115</v>
      </c>
      <c r="E22" s="56" t="s">
        <v>259</v>
      </c>
    </row>
    <row r="23" spans="1:10" ht="12" x14ac:dyDescent="0.2">
      <c r="A23" s="51"/>
      <c r="B23" s="48" t="str">
        <f>RawDatafrombuFile!Q17</f>
        <v>RLEWCOAKETCOA-E</v>
      </c>
      <c r="C23" s="48" t="str">
        <f>RawDatafrombuFile!R17</f>
        <v>Residential - Water Heating - Low Income Electrified - Coal - KETCOA - E</v>
      </c>
      <c r="D23" s="57" t="s">
        <v>115</v>
      </c>
      <c r="E23" s="56" t="s">
        <v>259</v>
      </c>
    </row>
    <row r="24" spans="1:10" ht="12.75" x14ac:dyDescent="0.2">
      <c r="A24" s="51"/>
      <c r="B24" s="48" t="str">
        <f>RawDatafrombuFile!Q18</f>
        <v>RLEWOLPKETLPG-E</v>
      </c>
      <c r="C24" s="48" t="str">
        <f>RawDatafrombuFile!R18</f>
        <v>Residential - Water Heating - Low Income Electrified - Oil LPG - KETLPG - E</v>
      </c>
      <c r="D24" s="57" t="s">
        <v>115</v>
      </c>
      <c r="E24" s="56" t="s">
        <v>259</v>
      </c>
      <c r="G24" s="47"/>
      <c r="H24" s="47"/>
      <c r="I24" s="19"/>
      <c r="J24" s="19"/>
    </row>
    <row r="25" spans="1:10" x14ac:dyDescent="0.2">
      <c r="A25" s="52"/>
      <c r="B25" s="48" t="str">
        <f>RawDatafrombuFile!Q19</f>
        <v>RMEKELCSTOV-E</v>
      </c>
      <c r="C25" s="48" t="str">
        <f>RawDatafrombuFile!R19</f>
        <v>Residential - Cooking - Middle Income Electrified - Electricity - STOV - E</v>
      </c>
      <c r="D25" s="57" t="s">
        <v>115</v>
      </c>
      <c r="E25" s="56" t="s">
        <v>259</v>
      </c>
      <c r="F25" s="19"/>
      <c r="G25" s="49"/>
      <c r="H25" s="49"/>
      <c r="I25" s="57"/>
      <c r="J25" s="57"/>
    </row>
    <row r="26" spans="1:10" x14ac:dyDescent="0.2">
      <c r="A26" s="52"/>
      <c r="B26" s="48" t="str">
        <f>RawDatafrombuFile!Q20</f>
        <v>RMEKOLPSTOV-E</v>
      </c>
      <c r="C26" s="48" t="str">
        <f>RawDatafrombuFile!R20</f>
        <v>Residential - Cooking - Middle Income Electrified - Oil LPG - STOV - E</v>
      </c>
      <c r="D26" s="57" t="s">
        <v>115</v>
      </c>
      <c r="E26" s="56" t="s">
        <v>259</v>
      </c>
      <c r="F26" s="19"/>
      <c r="G26" s="49"/>
      <c r="H26" s="49"/>
      <c r="I26" s="57"/>
      <c r="J26" s="57"/>
    </row>
    <row r="27" spans="1:10" x14ac:dyDescent="0.2">
      <c r="A27" s="52"/>
      <c r="B27" s="48" t="str">
        <f>RawDatafrombuFile!Q21</f>
        <v>RMEKBIWSTOV-E</v>
      </c>
      <c r="C27" s="48" t="str">
        <f>RawDatafrombuFile!R21</f>
        <v>Residential - Cooking - Middle Income Electrified - Biomass Wood - STOV - E</v>
      </c>
      <c r="D27" s="57" t="s">
        <v>115</v>
      </c>
      <c r="E27" s="56" t="s">
        <v>259</v>
      </c>
      <c r="F27" s="19"/>
      <c r="G27" s="49"/>
      <c r="H27" s="49"/>
      <c r="I27" s="57"/>
      <c r="J27" s="57"/>
    </row>
    <row r="28" spans="1:10" x14ac:dyDescent="0.2">
      <c r="A28" s="52"/>
      <c r="B28" s="48" t="str">
        <f>RawDatafrombuFile!Q22</f>
        <v>RMEKCOABNM-E</v>
      </c>
      <c r="C28" s="48" t="str">
        <f>RawDatafrombuFile!R22</f>
        <v>Residential - Cooking - Middle Income Electrified - Coal - BNM - E</v>
      </c>
      <c r="D28" s="57" t="s">
        <v>115</v>
      </c>
      <c r="E28" s="56" t="s">
        <v>259</v>
      </c>
      <c r="F28" s="19"/>
      <c r="G28" s="49"/>
      <c r="H28" s="49"/>
      <c r="I28" s="57"/>
      <c r="J28" s="57"/>
    </row>
    <row r="29" spans="1:10" ht="12" x14ac:dyDescent="0.2">
      <c r="A29" s="50"/>
      <c r="B29" s="48" t="str">
        <f>RawDatafrombuFile!Q23</f>
        <v>RMEKOKEWICK-E</v>
      </c>
      <c r="C29" s="48" t="str">
        <f>RawDatafrombuFile!R23</f>
        <v>Residential - Cooking - Middle Income Electrified - Oil Paraffin - WICK - E</v>
      </c>
      <c r="D29" s="57" t="s">
        <v>115</v>
      </c>
      <c r="E29" s="56" t="s">
        <v>259</v>
      </c>
      <c r="F29" s="19"/>
      <c r="G29" s="49"/>
      <c r="H29" s="49"/>
      <c r="I29" s="57"/>
      <c r="J29" s="57"/>
    </row>
    <row r="30" spans="1:10" x14ac:dyDescent="0.2">
      <c r="A30" s="19"/>
      <c r="B30" s="48" t="str">
        <f>RawDatafrombuFile!Q24</f>
        <v>RMEKGASSTOV-E</v>
      </c>
      <c r="C30" s="48" t="str">
        <f>RawDatafrombuFile!R24</f>
        <v>Residential - Cooking - Middle Income Electrified - Natural Gas - STOV - E</v>
      </c>
      <c r="D30" s="57" t="s">
        <v>115</v>
      </c>
      <c r="E30" s="56" t="s">
        <v>259</v>
      </c>
      <c r="F30" s="19"/>
      <c r="G30" s="49"/>
      <c r="H30" s="49"/>
      <c r="I30" s="57"/>
      <c r="J30" s="57"/>
    </row>
    <row r="31" spans="1:10" x14ac:dyDescent="0.2">
      <c r="A31" s="19"/>
      <c r="B31" s="48" t="str">
        <f>RawDatafrombuFile!Q25</f>
        <v>RMEHELCHEATFIN-E</v>
      </c>
      <c r="C31" s="48" t="str">
        <f>RawDatafrombuFile!R25</f>
        <v>Residential - Space Heating - Middle Income Electrified - Electricity - HEATFIN - E</v>
      </c>
      <c r="D31" s="57" t="s">
        <v>115</v>
      </c>
      <c r="E31" s="56" t="s">
        <v>259</v>
      </c>
      <c r="F31" s="19"/>
      <c r="G31" s="49"/>
      <c r="H31" s="49"/>
      <c r="I31" s="57"/>
      <c r="J31" s="57"/>
    </row>
    <row r="32" spans="1:10" ht="12" x14ac:dyDescent="0.2">
      <c r="A32" s="50"/>
      <c r="B32" s="48" t="str">
        <f>RawDatafrombuFile!Q26</f>
        <v>RMEHOKEHEAT-E</v>
      </c>
      <c r="C32" s="48" t="str">
        <f>RawDatafrombuFile!R26</f>
        <v>Residential - Space Heating - Middle Income Electrified - Oil Paraffin - HEAT - E</v>
      </c>
      <c r="D32" s="57" t="s">
        <v>115</v>
      </c>
      <c r="E32" s="56" t="s">
        <v>259</v>
      </c>
      <c r="F32" s="19"/>
      <c r="G32" s="49"/>
      <c r="H32" s="49"/>
      <c r="I32" s="57"/>
      <c r="J32" s="57"/>
    </row>
    <row r="33" spans="1:10" ht="12" x14ac:dyDescent="0.2">
      <c r="A33" s="51"/>
      <c r="B33" s="48" t="str">
        <f>RawDatafrombuFile!Q27</f>
        <v>RMEHBIWSTOV-E</v>
      </c>
      <c r="C33" s="48" t="str">
        <f>RawDatafrombuFile!R27</f>
        <v>Residential - Space Heating - Middle Income Electrified - Biomass Wood - STOV - E</v>
      </c>
      <c r="D33" s="57" t="s">
        <v>115</v>
      </c>
      <c r="E33" s="56" t="s">
        <v>259</v>
      </c>
    </row>
    <row r="34" spans="1:10" ht="12" x14ac:dyDescent="0.2">
      <c r="A34" s="51"/>
      <c r="B34" s="48" t="str">
        <f>RawDatafrombuFile!Q28</f>
        <v>RMEHCOASTOV-E</v>
      </c>
      <c r="C34" s="48" t="str">
        <f>RawDatafrombuFile!R28</f>
        <v>Residential - Space Heating - Middle Income Electrified - Coal - STOV - E</v>
      </c>
      <c r="D34" s="57" t="s">
        <v>115</v>
      </c>
      <c r="E34" s="56" t="s">
        <v>259</v>
      </c>
    </row>
    <row r="35" spans="1:10" ht="12" x14ac:dyDescent="0.2">
      <c r="A35" s="51"/>
      <c r="B35" s="48" t="str">
        <f>RawDatafrombuFile!Q29</f>
        <v>RMEHOLPHEAT-E</v>
      </c>
      <c r="C35" s="48" t="str">
        <f>RawDatafrombuFile!R29</f>
        <v>Residential - Space Heating - Middle Income Electrified - Oil LPG - HEAT - E</v>
      </c>
      <c r="D35" s="57" t="s">
        <v>115</v>
      </c>
      <c r="E35" s="56" t="s">
        <v>259</v>
      </c>
    </row>
    <row r="36" spans="1:10" x14ac:dyDescent="0.2">
      <c r="A36" s="19"/>
      <c r="B36" s="48" t="str">
        <f>RawDatafrombuFile!Q30</f>
        <v>RMEHGASHEAT-N</v>
      </c>
      <c r="C36" s="48" t="str">
        <f>RawDatafrombuFile!R30</f>
        <v>Residential - Space Heating - Middle Income Electrified - Natural Gas - HEAT - N</v>
      </c>
      <c r="D36" s="57" t="s">
        <v>115</v>
      </c>
      <c r="E36" s="56" t="s">
        <v>259</v>
      </c>
      <c r="F36" s="19"/>
      <c r="G36" s="49"/>
      <c r="H36" s="49"/>
      <c r="I36" s="57"/>
      <c r="J36" s="57"/>
    </row>
    <row r="37" spans="1:10" x14ac:dyDescent="0.2">
      <c r="A37" s="19"/>
      <c r="B37" s="48" t="str">
        <f>RawDatafrombuFile!Q31</f>
        <v>RMEWELCGEY-E</v>
      </c>
      <c r="C37" s="48" t="str">
        <f>RawDatafrombuFile!R31</f>
        <v>Residential - Water Heating - Middle Income Electrified - Electricity - GEY - E</v>
      </c>
      <c r="D37" s="57" t="s">
        <v>115</v>
      </c>
      <c r="E37" s="56" t="s">
        <v>259</v>
      </c>
      <c r="F37" s="19"/>
      <c r="G37" s="49"/>
      <c r="H37" s="49"/>
      <c r="I37" s="57"/>
      <c r="J37" s="57"/>
    </row>
    <row r="38" spans="1:10" x14ac:dyDescent="0.2">
      <c r="B38" s="48" t="str">
        <f>RawDatafrombuFile!Q32</f>
        <v>RMEWELCSWH-E</v>
      </c>
      <c r="C38" s="48" t="str">
        <f>RawDatafrombuFile!R32</f>
        <v>Residential - Water Heating - Middle Income Electrified - Electricity - SWH - Low pressure</v>
      </c>
      <c r="D38" s="57" t="s">
        <v>115</v>
      </c>
      <c r="E38" s="56" t="s">
        <v>259</v>
      </c>
      <c r="F38" s="57"/>
    </row>
    <row r="39" spans="1:10" x14ac:dyDescent="0.2">
      <c r="B39" s="48" t="str">
        <f>RawDatafrombuFile!Q33</f>
        <v>RMEWELCCHP-N</v>
      </c>
      <c r="C39" s="48" t="str">
        <f>RawDatafrombuFile!R33</f>
        <v>Residential - Water Heating - Middle Income Electrified - Electricity - HP - N</v>
      </c>
      <c r="D39" s="57" t="s">
        <v>115</v>
      </c>
      <c r="E39" s="56" t="s">
        <v>259</v>
      </c>
    </row>
    <row r="40" spans="1:10" x14ac:dyDescent="0.2">
      <c r="B40" s="48" t="str">
        <f>RawDatafrombuFile!Q34</f>
        <v>RMEWELCKET-E</v>
      </c>
      <c r="C40" s="48" t="str">
        <f>RawDatafrombuFile!R34</f>
        <v>Residential - Water Heating - Middle Income Electrified - Electricity - Kettle - E</v>
      </c>
      <c r="D40" s="57" t="s">
        <v>115</v>
      </c>
      <c r="E40" s="56" t="s">
        <v>259</v>
      </c>
      <c r="F40" s="57"/>
    </row>
    <row r="41" spans="1:10" x14ac:dyDescent="0.2">
      <c r="B41" s="48" t="str">
        <f>RawDatafrombuFile!Q35</f>
        <v>RMEWOKEKETPR-E</v>
      </c>
      <c r="C41" s="48" t="str">
        <f>RawDatafrombuFile!R35</f>
        <v>Residential - Water Heating - Middle Income Electrified - Oil Paraffin - KETPR - E</v>
      </c>
      <c r="D41" s="57" t="s">
        <v>115</v>
      </c>
      <c r="E41" s="56" t="s">
        <v>259</v>
      </c>
      <c r="F41" s="57"/>
    </row>
    <row r="42" spans="1:10" x14ac:dyDescent="0.2">
      <c r="B42" s="48" t="str">
        <f>RawDatafrombuFile!Q36</f>
        <v>RMEWBIWKETBI-E</v>
      </c>
      <c r="C42" s="48" t="str">
        <f>RawDatafrombuFile!R36</f>
        <v>Residential - Water Heating - Middle Income Electrified - Biomass Wood - KETBI - E</v>
      </c>
      <c r="D42" s="57" t="s">
        <v>115</v>
      </c>
      <c r="E42" s="56" t="s">
        <v>259</v>
      </c>
      <c r="F42" s="57"/>
    </row>
    <row r="43" spans="1:10" x14ac:dyDescent="0.2">
      <c r="B43" s="48" t="str">
        <f>RawDatafrombuFile!Q37</f>
        <v>RMEWCOASTOV-E</v>
      </c>
      <c r="C43" s="48" t="str">
        <f>RawDatafrombuFile!R37</f>
        <v>Residential - Water Heating - Middle Income Electrified - Coal - STOV - E</v>
      </c>
      <c r="D43" s="57" t="s">
        <v>115</v>
      </c>
      <c r="E43" s="56" t="s">
        <v>259</v>
      </c>
      <c r="F43" s="57"/>
    </row>
    <row r="44" spans="1:10" x14ac:dyDescent="0.2">
      <c r="B44" s="48" t="str">
        <f>RawDatafrombuFile!Q38</f>
        <v>RMEWOLPKETLPG-E</v>
      </c>
      <c r="C44" s="48" t="str">
        <f>RawDatafrombuFile!R38</f>
        <v>Residential - Water Heating - Middle Income Electrified - Oil LPG - KETLPG - E</v>
      </c>
      <c r="D44" s="57" t="s">
        <v>115</v>
      </c>
      <c r="E44" s="56" t="s">
        <v>259</v>
      </c>
      <c r="F44" s="57"/>
    </row>
    <row r="45" spans="1:10" x14ac:dyDescent="0.2">
      <c r="B45" s="48" t="str">
        <f>RawDatafrombuFile!Q39</f>
        <v>RMEWGASGEY-N</v>
      </c>
      <c r="C45" s="48" t="str">
        <f>RawDatafrombuFile!R39</f>
        <v>Residential - Water Heating - Middle Income Electrified - Natural Gas - GEY - N</v>
      </c>
      <c r="D45" s="57" t="s">
        <v>115</v>
      </c>
      <c r="E45" s="56" t="s">
        <v>259</v>
      </c>
    </row>
    <row r="46" spans="1:10" x14ac:dyDescent="0.2">
      <c r="B46" s="48" t="str">
        <f>RawDatafrombuFile!Q40</f>
        <v>RHEKELCSTOV-E</v>
      </c>
      <c r="C46" s="48" t="str">
        <f>RawDatafrombuFile!R40</f>
        <v>Residential - Cooking - High Income Electrified - Electricity - STOV - E</v>
      </c>
      <c r="D46" s="57" t="s">
        <v>115</v>
      </c>
      <c r="E46" s="56" t="s">
        <v>259</v>
      </c>
    </row>
    <row r="47" spans="1:10" x14ac:dyDescent="0.2">
      <c r="B47" s="48" t="str">
        <f>RawDatafrombuFile!Q41</f>
        <v>RHEKOLPSTOV-E</v>
      </c>
      <c r="C47" s="48" t="str">
        <f>RawDatafrombuFile!R41</f>
        <v>Residential - Cooking - High Income Electrified - Oil LPG - STOV - E</v>
      </c>
      <c r="D47" s="57" t="s">
        <v>115</v>
      </c>
      <c r="E47" s="56" t="s">
        <v>259</v>
      </c>
    </row>
    <row r="48" spans="1:10" x14ac:dyDescent="0.2">
      <c r="B48" s="48" t="str">
        <f>RawDatafrombuFile!Q42</f>
        <v>RHEKBIWSTOV-E</v>
      </c>
      <c r="C48" s="48" t="str">
        <f>RawDatafrombuFile!R42</f>
        <v>Residential - Cooking - High Income Electrified - Biomass Wood - STOV - E</v>
      </c>
      <c r="D48" s="57" t="s">
        <v>115</v>
      </c>
      <c r="E48" s="56" t="s">
        <v>259</v>
      </c>
    </row>
    <row r="49" spans="1:6" x14ac:dyDescent="0.2">
      <c r="B49" s="48" t="str">
        <f>RawDatafrombuFile!Q43</f>
        <v>RHEKOKEPRIMUS-E</v>
      </c>
      <c r="C49" s="48" t="str">
        <f>RawDatafrombuFile!R43</f>
        <v>Residential - Cooking - High Income Electrified - Oil Paraffin - PRIMUS - E</v>
      </c>
      <c r="D49" s="57" t="s">
        <v>115</v>
      </c>
      <c r="E49" s="56" t="s">
        <v>259</v>
      </c>
      <c r="F49" s="57"/>
    </row>
    <row r="50" spans="1:6" ht="12" customHeight="1" x14ac:dyDescent="0.2">
      <c r="B50" s="48" t="str">
        <f>RawDatafrombuFile!Q44</f>
        <v>RHEKGASSTOV-E</v>
      </c>
      <c r="C50" s="48" t="str">
        <f>RawDatafrombuFile!R44</f>
        <v>Residential - Cooking - High Income Electrified - Natural Gas - STOV - E</v>
      </c>
      <c r="D50" s="57" t="s">
        <v>115</v>
      </c>
      <c r="E50" s="56" t="s">
        <v>259</v>
      </c>
      <c r="F50" s="19"/>
    </row>
    <row r="51" spans="1:6" ht="12" customHeight="1" x14ac:dyDescent="0.2">
      <c r="B51" s="48" t="str">
        <f>RawDatafrombuFile!Q45</f>
        <v>RHEHELCHEATFIN-E</v>
      </c>
      <c r="C51" s="48" t="str">
        <f>RawDatafrombuFile!R45</f>
        <v>Residential - Space Heating - High Income Electrified - Electricity - HEATFIN - E</v>
      </c>
      <c r="D51" s="57" t="s">
        <v>115</v>
      </c>
      <c r="E51" s="56" t="s">
        <v>259</v>
      </c>
      <c r="F51" s="19"/>
    </row>
    <row r="52" spans="1:6" ht="12" x14ac:dyDescent="0.2">
      <c r="A52" s="50"/>
      <c r="B52" s="48" t="str">
        <f>RawDatafrombuFile!Q46</f>
        <v>RHEHOKEHEAT-E</v>
      </c>
      <c r="C52" s="48" t="str">
        <f>RawDatafrombuFile!R46</f>
        <v>Residential - Space Heating - High Income Electrified - Oil Paraffin - HEAT - E</v>
      </c>
      <c r="D52" s="57" t="s">
        <v>115</v>
      </c>
      <c r="E52" s="56" t="s">
        <v>259</v>
      </c>
    </row>
    <row r="53" spans="1:6" ht="11.45" customHeight="1" x14ac:dyDescent="0.2">
      <c r="B53" s="48" t="str">
        <f>RawDatafrombuFile!Q47</f>
        <v>RHEHBIWSTOV-E</v>
      </c>
      <c r="C53" s="48" t="str">
        <f>RawDatafrombuFile!R47</f>
        <v>Residential - Space Heating - High Income Electrified - Biomass Wood - STOV - E</v>
      </c>
      <c r="D53" s="57" t="s">
        <v>115</v>
      </c>
      <c r="E53" s="56" t="s">
        <v>259</v>
      </c>
      <c r="F53" s="18"/>
    </row>
    <row r="54" spans="1:6" ht="11.45" customHeight="1" x14ac:dyDescent="0.2">
      <c r="B54" s="48" t="str">
        <f>RawDatafrombuFile!Q48</f>
        <v>RHEHCOASTOV-E</v>
      </c>
      <c r="C54" s="48" t="str">
        <f>RawDatafrombuFile!R48</f>
        <v>Residential - Space Heating - High Income Electrified - Coal - STOV - E</v>
      </c>
      <c r="D54" s="57" t="s">
        <v>115</v>
      </c>
      <c r="E54" s="56" t="s">
        <v>259</v>
      </c>
      <c r="F54" s="18"/>
    </row>
    <row r="55" spans="1:6" x14ac:dyDescent="0.2">
      <c r="B55" s="48" t="str">
        <f>RawDatafrombuFile!Q49</f>
        <v>RHEHOLPHEAT-E</v>
      </c>
      <c r="C55" s="48" t="str">
        <f>RawDatafrombuFile!R49</f>
        <v>Residential - Space Heating - High Income Electrified - Oil LPG - HEAT - E</v>
      </c>
      <c r="D55" s="57" t="s">
        <v>115</v>
      </c>
      <c r="E55" s="56" t="s">
        <v>259</v>
      </c>
    </row>
    <row r="56" spans="1:6" x14ac:dyDescent="0.2">
      <c r="B56" s="48" t="str">
        <f>RawDatafrombuFile!Q50</f>
        <v>RHEHGASHEAT-N</v>
      </c>
      <c r="C56" s="48" t="str">
        <f>RawDatafrombuFile!R50</f>
        <v>Residential - Space Heating - High Income Electrified - Natural Gas - HEAT - N</v>
      </c>
      <c r="D56" s="57" t="s">
        <v>115</v>
      </c>
      <c r="E56" s="56" t="s">
        <v>259</v>
      </c>
      <c r="F56" s="57"/>
    </row>
    <row r="57" spans="1:6" x14ac:dyDescent="0.2">
      <c r="B57" s="48" t="str">
        <f>RawDatafrombuFile!Q51</f>
        <v>RHEWELCGEY-E</v>
      </c>
      <c r="C57" s="48" t="str">
        <f>RawDatafrombuFile!R51</f>
        <v>Residential - Water Heating - High Income Electrified - Electricity - GEY - E</v>
      </c>
      <c r="D57" s="57" t="s">
        <v>115</v>
      </c>
      <c r="E57" s="56" t="s">
        <v>259</v>
      </c>
      <c r="F57" s="57"/>
    </row>
    <row r="58" spans="1:6" ht="12" x14ac:dyDescent="0.2">
      <c r="A58" s="50"/>
      <c r="B58" s="48" t="str">
        <f>RawDatafrombuFile!Q52</f>
        <v>RHEWELCCHP-N</v>
      </c>
      <c r="C58" s="48" t="str">
        <f>RawDatafrombuFile!R52</f>
        <v>Residential - Water Heating - High Income Electrified - Electricity - HP - N</v>
      </c>
      <c r="D58" s="57" t="s">
        <v>115</v>
      </c>
      <c r="E58" s="56" t="s">
        <v>259</v>
      </c>
    </row>
    <row r="59" spans="1:6" x14ac:dyDescent="0.2">
      <c r="A59" s="52"/>
      <c r="B59" s="48" t="str">
        <f>RawDatafrombuFile!Q53</f>
        <v>RHEWELCSWH-E</v>
      </c>
      <c r="C59" s="48" t="str">
        <f>RawDatafrombuFile!R53</f>
        <v>Residential - Water Heating - High Income Electrified - Electricity - SWH - E</v>
      </c>
      <c r="D59" s="57" t="s">
        <v>115</v>
      </c>
      <c r="E59" s="56" t="s">
        <v>259</v>
      </c>
    </row>
    <row r="60" spans="1:6" x14ac:dyDescent="0.2">
      <c r="A60" s="52"/>
      <c r="B60" s="48" t="str">
        <f>RawDatafrombuFile!Q54</f>
        <v>RHEWOKESTOV-E</v>
      </c>
      <c r="C60" s="48" t="str">
        <f>RawDatafrombuFile!R54</f>
        <v>Residential - Water Heating - High Income Electrified - Oil Paraffin - STOV - E</v>
      </c>
      <c r="D60" s="57" t="s">
        <v>115</v>
      </c>
      <c r="E60" s="56" t="s">
        <v>259</v>
      </c>
    </row>
    <row r="61" spans="1:6" x14ac:dyDescent="0.2">
      <c r="A61" s="52"/>
      <c r="B61" s="48" t="str">
        <f>RawDatafrombuFile!Q55</f>
        <v>RHEWOLPSTOV-E</v>
      </c>
      <c r="C61" s="48" t="str">
        <f>RawDatafrombuFile!R55</f>
        <v>Residential - Water Heating - High Income Electrified - Oil LPG - STOV - E</v>
      </c>
      <c r="D61" s="57" t="s">
        <v>115</v>
      </c>
      <c r="E61" s="56" t="s">
        <v>259</v>
      </c>
    </row>
    <row r="62" spans="1:6" x14ac:dyDescent="0.2">
      <c r="A62" s="52"/>
      <c r="B62" s="48" t="str">
        <f>RawDatafrombuFile!Q56</f>
        <v>RHEWGASHEAT-N</v>
      </c>
      <c r="C62" s="48" t="str">
        <f>RawDatafrombuFile!R56</f>
        <v>Residential - Water Heating - High Income Electrified - Natural Gas - HEAT - N</v>
      </c>
      <c r="D62" s="57" t="s">
        <v>115</v>
      </c>
      <c r="E62" s="56" t="s">
        <v>259</v>
      </c>
    </row>
    <row r="63" spans="1:6" x14ac:dyDescent="0.2">
      <c r="A63" s="52"/>
      <c r="D63" s="57"/>
      <c r="E63" s="56"/>
    </row>
    <row r="64" spans="1:6" ht="12.75" x14ac:dyDescent="0.2">
      <c r="A64" s="55"/>
    </row>
    <row r="65" spans="1:1" ht="12.75" x14ac:dyDescent="0.2">
      <c r="A65" s="55"/>
    </row>
    <row r="66" spans="1:1" ht="12.75" x14ac:dyDescent="0.2">
      <c r="A66" s="55"/>
    </row>
    <row r="67" spans="1:1" ht="12.75" x14ac:dyDescent="0.2">
      <c r="A67" s="55"/>
    </row>
    <row r="68" spans="1:1" ht="12.75" x14ac:dyDescent="0.2">
      <c r="A68" s="55"/>
    </row>
    <row r="69" spans="1:1" ht="12.75" x14ac:dyDescent="0.2">
      <c r="A69" s="55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7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4" name="cmdProcUni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8" name="cmdSpecifySe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O56"/>
  <sheetViews>
    <sheetView tabSelected="1" workbookViewId="0">
      <pane xSplit="3" ySplit="8" topLeftCell="D41" activePane="bottomRight" state="frozen"/>
      <selection activeCell="C52" sqref="C52"/>
      <selection pane="topRight" activeCell="C52" sqref="C52"/>
      <selection pane="bottomLeft" activeCell="C52" sqref="C52"/>
      <selection pane="bottomRight" activeCell="F60" sqref="F60"/>
    </sheetView>
  </sheetViews>
  <sheetFormatPr defaultColWidth="9.140625" defaultRowHeight="11.25" customHeight="1" x14ac:dyDescent="0.2"/>
  <cols>
    <col min="1" max="1" width="12.28515625" style="48" customWidth="1"/>
    <col min="2" max="2" width="15.28515625" style="48" customWidth="1"/>
    <col min="3" max="3" width="36.140625" style="48" customWidth="1"/>
    <col min="4" max="4" width="8.5703125" style="48" customWidth="1"/>
    <col min="5" max="5" width="12.28515625" style="48" customWidth="1"/>
    <col min="6" max="6" width="10.140625" style="48" customWidth="1"/>
    <col min="7" max="7" width="6.85546875" style="54" customWidth="1"/>
    <col min="8" max="16384" width="9.140625" style="48"/>
  </cols>
  <sheetData>
    <row r="1" spans="1:15" ht="11.25" customHeight="1" x14ac:dyDescent="0.2">
      <c r="A1" s="59" t="s">
        <v>119</v>
      </c>
      <c r="B1" s="19" t="s">
        <v>116</v>
      </c>
    </row>
    <row r="2" spans="1:15" ht="11.25" customHeight="1" x14ac:dyDescent="0.2">
      <c r="A2" s="55"/>
    </row>
    <row r="3" spans="1:15" ht="34.5" customHeight="1" x14ac:dyDescent="0.2">
      <c r="H3" s="48" t="s">
        <v>129</v>
      </c>
    </row>
    <row r="4" spans="1:15" ht="21.75" customHeight="1" x14ac:dyDescent="0.2">
      <c r="E4" s="61"/>
      <c r="F4" s="61"/>
      <c r="G4" s="61"/>
      <c r="H4" s="58" t="s">
        <v>260</v>
      </c>
      <c r="I4" s="58" t="s">
        <v>260</v>
      </c>
      <c r="J4" s="58" t="s">
        <v>260</v>
      </c>
      <c r="K4" s="58" t="s">
        <v>260</v>
      </c>
      <c r="L4" s="58" t="s">
        <v>260</v>
      </c>
      <c r="M4" s="58" t="s">
        <v>260</v>
      </c>
      <c r="N4" s="58" t="s">
        <v>260</v>
      </c>
      <c r="O4" s="58" t="s">
        <v>260</v>
      </c>
    </row>
    <row r="5" spans="1:15" ht="16.5" customHeight="1" x14ac:dyDescent="0.2">
      <c r="H5" s="48" t="s">
        <v>128</v>
      </c>
      <c r="I5" s="48" t="s">
        <v>127</v>
      </c>
      <c r="J5" s="48" t="s">
        <v>126</v>
      </c>
      <c r="K5" s="48" t="s">
        <v>125</v>
      </c>
      <c r="L5" s="48" t="s">
        <v>124</v>
      </c>
      <c r="M5" s="48" t="s">
        <v>123</v>
      </c>
      <c r="N5" s="48" t="s">
        <v>122</v>
      </c>
      <c r="O5" s="48" t="s">
        <v>121</v>
      </c>
    </row>
    <row r="6" spans="1:15" ht="17.25" customHeight="1" x14ac:dyDescent="0.2"/>
    <row r="7" spans="1:15" ht="21.75" customHeight="1" x14ac:dyDescent="0.2">
      <c r="B7" s="59" t="s">
        <v>56</v>
      </c>
      <c r="C7" s="59" t="s">
        <v>57</v>
      </c>
      <c r="D7" s="60" t="s">
        <v>93</v>
      </c>
      <c r="E7" s="59" t="s">
        <v>80</v>
      </c>
      <c r="F7" s="59" t="s">
        <v>81</v>
      </c>
      <c r="G7" s="60" t="s">
        <v>94</v>
      </c>
      <c r="H7" s="48">
        <v>2012</v>
      </c>
      <c r="I7" s="48">
        <v>2012</v>
      </c>
      <c r="J7" s="48">
        <v>2012</v>
      </c>
      <c r="K7" s="48">
        <v>2012</v>
      </c>
      <c r="L7" s="48">
        <v>2012</v>
      </c>
      <c r="M7" s="48">
        <v>2012</v>
      </c>
      <c r="N7" s="48">
        <v>2012</v>
      </c>
      <c r="O7" s="48">
        <v>2012</v>
      </c>
    </row>
    <row r="8" spans="1:15" ht="11.25" customHeight="1" x14ac:dyDescent="0.2">
      <c r="A8" s="50" t="s">
        <v>117</v>
      </c>
      <c r="F8" s="53"/>
    </row>
    <row r="9" spans="1:15" s="54" customFormat="1" ht="11.25" customHeight="1" x14ac:dyDescent="0.2">
      <c r="A9" s="48"/>
      <c r="B9" s="48" t="str">
        <f>RawDatafrombuFile!Q3</f>
        <v>RLEKELCHOT-E</v>
      </c>
      <c r="C9" s="48" t="str">
        <f>RawDatafrombuFile!R3</f>
        <v>Residential - Cooking - Low Income Electrified - Electricity - HOT - E</v>
      </c>
      <c r="D9" s="48" t="str">
        <f>Processes!D9</f>
        <v>PJ,PJa</v>
      </c>
      <c r="E9" s="48" t="str">
        <f>RawDatafrombuFile!S3</f>
        <v>RESELC</v>
      </c>
      <c r="F9" s="48" t="str">
        <f>RawDatafrombuFile!T3</f>
        <v>RLEK</v>
      </c>
      <c r="H9" s="53">
        <f>INDEX(RawDatafrombuFile!$H$3:$H$602,MATCH($B9&amp;H$5,RawDatafrombuFile!$A$3:$A$602,0))</f>
        <v>0.20979999999999999</v>
      </c>
      <c r="I9" s="53">
        <f>INDEX(RawDatafrombuFile!$H$3:$H$602,MATCH($B9&amp;I$5,RawDatafrombuFile!$A$3:$A$602,0))</f>
        <v>0.79349999999999998</v>
      </c>
      <c r="J9" s="53">
        <f>INDEX(RawDatafrombuFile!$H$3:$H$602,MATCH($B9&amp;J$5,RawDatafrombuFile!$A$3:$A$602,0))</f>
        <v>0.89359999999999995</v>
      </c>
      <c r="K9" s="53">
        <f>INDEX(RawDatafrombuFile!$H$3:$H$602,MATCH($B9&amp;K$5,RawDatafrombuFile!$A$3:$A$602,0))</f>
        <v>0.2316</v>
      </c>
      <c r="L9" s="53">
        <f>INDEX(RawDatafrombuFile!$H$3:$H$602,MATCH($B9&amp;L$5,RawDatafrombuFile!$A$3:$A$602,0))</f>
        <v>1</v>
      </c>
      <c r="M9" s="53">
        <f>INDEX(RawDatafrombuFile!$H$3:$H$602,MATCH($B9&amp;M$5,RawDatafrombuFile!$A$3:$A$602,0))</f>
        <v>0.73229999999999995</v>
      </c>
      <c r="N9" s="53">
        <f>INDEX(RawDatafrombuFile!$H$3:$H$602,MATCH($B9&amp;N$5,RawDatafrombuFile!$A$3:$A$602,0))</f>
        <v>0.98070000000000002</v>
      </c>
      <c r="O9" s="53">
        <f>INDEX(RawDatafrombuFile!$H$3:$H$602,MATCH($B9&amp;O$5,RawDatafrombuFile!$A$3:$A$602,0))</f>
        <v>0.58050000000000002</v>
      </c>
    </row>
    <row r="10" spans="1:15" s="54" customFormat="1" ht="11.25" customHeight="1" x14ac:dyDescent="0.2">
      <c r="A10" s="48"/>
      <c r="B10" s="48" t="str">
        <f>RawDatafrombuFile!Q4</f>
        <v>RLEKELCSTOV-E</v>
      </c>
      <c r="C10" s="48" t="str">
        <f>RawDatafrombuFile!R4</f>
        <v>Residential - Cooking - Low Income Electrified - Electricity - STOV - E</v>
      </c>
      <c r="D10" s="48" t="str">
        <f>Processes!D10</f>
        <v>PJ,PJa</v>
      </c>
      <c r="E10" s="48" t="str">
        <f>RawDatafrombuFile!S4</f>
        <v>RESELC</v>
      </c>
      <c r="F10" s="48" t="str">
        <f>RawDatafrombuFile!T4</f>
        <v>RLEK</v>
      </c>
      <c r="H10" s="53">
        <f>INDEX(RawDatafrombuFile!$H$3:$H$602,MATCH($B10&amp;H$5,RawDatafrombuFile!$A$3:$A$602,0))</f>
        <v>0.20979999999999999</v>
      </c>
      <c r="I10" s="53">
        <f>INDEX(RawDatafrombuFile!$H$3:$H$602,MATCH($B10&amp;I$5,RawDatafrombuFile!$A$3:$A$602,0))</f>
        <v>0.79349999999999998</v>
      </c>
      <c r="J10" s="53">
        <f>INDEX(RawDatafrombuFile!$H$3:$H$602,MATCH($B10&amp;J$5,RawDatafrombuFile!$A$3:$A$602,0))</f>
        <v>0.89359999999999995</v>
      </c>
      <c r="K10" s="53">
        <f>INDEX(RawDatafrombuFile!$H$3:$H$602,MATCH($B10&amp;K$5,RawDatafrombuFile!$A$3:$A$602,0))</f>
        <v>0.2316</v>
      </c>
      <c r="L10" s="53">
        <f>INDEX(RawDatafrombuFile!$H$3:$H$602,MATCH($B10&amp;L$5,RawDatafrombuFile!$A$3:$A$602,0))</f>
        <v>1</v>
      </c>
      <c r="M10" s="53">
        <f>INDEX(RawDatafrombuFile!$H$3:$H$602,MATCH($B10&amp;M$5,RawDatafrombuFile!$A$3:$A$602,0))</f>
        <v>0.73229999999999995</v>
      </c>
      <c r="N10" s="53">
        <f>INDEX(RawDatafrombuFile!$H$3:$H$602,MATCH($B10&amp;N$5,RawDatafrombuFile!$A$3:$A$602,0))</f>
        <v>0.98070000000000002</v>
      </c>
      <c r="O10" s="53">
        <f>INDEX(RawDatafrombuFile!$H$3:$H$602,MATCH($B10&amp;O$5,RawDatafrombuFile!$A$3:$A$602,0))</f>
        <v>0.58050000000000002</v>
      </c>
    </row>
    <row r="11" spans="1:15" s="54" customFormat="1" ht="11.25" customHeight="1" x14ac:dyDescent="0.2">
      <c r="A11" s="48"/>
      <c r="B11" s="48" t="str">
        <f>RawDatafrombuFile!Q5</f>
        <v>RLEKOLPRING-E</v>
      </c>
      <c r="C11" s="48" t="str">
        <f>RawDatafrombuFile!R5</f>
        <v>Residential - Cooking - Low Income Electrified - Oil LPG - RING - E</v>
      </c>
      <c r="D11" s="48" t="str">
        <f>Processes!D11</f>
        <v>PJ,PJa</v>
      </c>
      <c r="E11" s="48" t="str">
        <f>RawDatafrombuFile!S5</f>
        <v>RESOLP</v>
      </c>
      <c r="F11" s="48" t="str">
        <f>RawDatafrombuFile!T5</f>
        <v>RLEK</v>
      </c>
      <c r="H11" s="53">
        <f>INDEX(RawDatafrombuFile!$H$3:$H$602,MATCH($B11&amp;H$5,RawDatafrombuFile!$A$3:$A$602,0))</f>
        <v>0.20979999999999999</v>
      </c>
      <c r="I11" s="53">
        <f>INDEX(RawDatafrombuFile!$H$3:$H$602,MATCH($B11&amp;I$5,RawDatafrombuFile!$A$3:$A$602,0))</f>
        <v>0.79349999999999998</v>
      </c>
      <c r="J11" s="53">
        <f>INDEX(RawDatafrombuFile!$H$3:$H$602,MATCH($B11&amp;J$5,RawDatafrombuFile!$A$3:$A$602,0))</f>
        <v>0.89359999999999995</v>
      </c>
      <c r="K11" s="53">
        <f>INDEX(RawDatafrombuFile!$H$3:$H$602,MATCH($B11&amp;K$5,RawDatafrombuFile!$A$3:$A$602,0))</f>
        <v>0.2316</v>
      </c>
      <c r="L11" s="53">
        <f>INDEX(RawDatafrombuFile!$H$3:$H$602,MATCH($B11&amp;L$5,RawDatafrombuFile!$A$3:$A$602,0))</f>
        <v>1</v>
      </c>
      <c r="M11" s="53">
        <f>INDEX(RawDatafrombuFile!$H$3:$H$602,MATCH($B11&amp;M$5,RawDatafrombuFile!$A$3:$A$602,0))</f>
        <v>0.73229999999999995</v>
      </c>
      <c r="N11" s="53">
        <f>INDEX(RawDatafrombuFile!$H$3:$H$602,MATCH($B11&amp;N$5,RawDatafrombuFile!$A$3:$A$602,0))</f>
        <v>0.98070000000000002</v>
      </c>
      <c r="O11" s="53">
        <f>INDEX(RawDatafrombuFile!$H$3:$H$602,MATCH($B11&amp;O$5,RawDatafrombuFile!$A$3:$A$602,0))</f>
        <v>0.58050000000000002</v>
      </c>
    </row>
    <row r="12" spans="1:15" ht="11.25" customHeight="1" x14ac:dyDescent="0.2">
      <c r="B12" s="48" t="str">
        <f>RawDatafrombuFile!Q6</f>
        <v>RLEKBIWBNM-E</v>
      </c>
      <c r="C12" s="48" t="str">
        <f>RawDatafrombuFile!R6</f>
        <v>Residential - Cooking - Low Income Electrified - Biomass Wood - BNM - E</v>
      </c>
      <c r="D12" s="48" t="str">
        <f>Processes!D12</f>
        <v>PJ,PJa</v>
      </c>
      <c r="E12" s="48" t="str">
        <f>RawDatafrombuFile!S6</f>
        <v>RESBIW</v>
      </c>
      <c r="F12" s="48" t="str">
        <f>RawDatafrombuFile!T6</f>
        <v>RLEK</v>
      </c>
      <c r="H12" s="53">
        <f>INDEX(RawDatafrombuFile!$H$3:$H$602,MATCH($B12&amp;H$5,RawDatafrombuFile!$A$3:$A$602,0))</f>
        <v>0.20979999999999999</v>
      </c>
      <c r="I12" s="53">
        <f>INDEX(RawDatafrombuFile!$H$3:$H$602,MATCH($B12&amp;I$5,RawDatafrombuFile!$A$3:$A$602,0))</f>
        <v>0.79349999999999998</v>
      </c>
      <c r="J12" s="53">
        <f>INDEX(RawDatafrombuFile!$H$3:$H$602,MATCH($B12&amp;J$5,RawDatafrombuFile!$A$3:$A$602,0))</f>
        <v>0.89359999999999995</v>
      </c>
      <c r="K12" s="53">
        <f>INDEX(RawDatafrombuFile!$H$3:$H$602,MATCH($B12&amp;K$5,RawDatafrombuFile!$A$3:$A$602,0))</f>
        <v>0.2316</v>
      </c>
      <c r="L12" s="53">
        <f>INDEX(RawDatafrombuFile!$H$3:$H$602,MATCH($B12&amp;L$5,RawDatafrombuFile!$A$3:$A$602,0))</f>
        <v>1</v>
      </c>
      <c r="M12" s="53">
        <f>INDEX(RawDatafrombuFile!$H$3:$H$602,MATCH($B12&amp;M$5,RawDatafrombuFile!$A$3:$A$602,0))</f>
        <v>0.73229999999999995</v>
      </c>
      <c r="N12" s="53">
        <f>INDEX(RawDatafrombuFile!$H$3:$H$602,MATCH($B12&amp;N$5,RawDatafrombuFile!$A$3:$A$602,0))</f>
        <v>0.98070000000000002</v>
      </c>
      <c r="O12" s="53">
        <f>INDEX(RawDatafrombuFile!$H$3:$H$602,MATCH($B12&amp;O$5,RawDatafrombuFile!$A$3:$A$602,0))</f>
        <v>0.58050000000000002</v>
      </c>
    </row>
    <row r="13" spans="1:15" ht="11.25" customHeight="1" x14ac:dyDescent="0.2">
      <c r="B13" s="48" t="str">
        <f>RawDatafrombuFile!Q7</f>
        <v>RLEKCOABNM-E</v>
      </c>
      <c r="C13" s="48" t="str">
        <f>RawDatafrombuFile!R7</f>
        <v>Residential - Cooking - Low Income Electrified - Coal - BNM - E</v>
      </c>
      <c r="D13" s="48" t="str">
        <f>Processes!D13</f>
        <v>PJ,PJa</v>
      </c>
      <c r="E13" s="48" t="str">
        <f>RawDatafrombuFile!S7</f>
        <v>RESCOA</v>
      </c>
      <c r="F13" s="48" t="str">
        <f>RawDatafrombuFile!T7</f>
        <v>RLEK</v>
      </c>
      <c r="H13" s="53">
        <f>INDEX(RawDatafrombuFile!$H$3:$H$602,MATCH($B13&amp;H$5,RawDatafrombuFile!$A$3:$A$602,0))</f>
        <v>0.20979999999999999</v>
      </c>
      <c r="I13" s="53">
        <f>INDEX(RawDatafrombuFile!$H$3:$H$602,MATCH($B13&amp;I$5,RawDatafrombuFile!$A$3:$A$602,0))</f>
        <v>0.79349999999999998</v>
      </c>
      <c r="J13" s="53">
        <f>INDEX(RawDatafrombuFile!$H$3:$H$602,MATCH($B13&amp;J$5,RawDatafrombuFile!$A$3:$A$602,0))</f>
        <v>0.89359999999999995</v>
      </c>
      <c r="K13" s="53">
        <f>INDEX(RawDatafrombuFile!$H$3:$H$602,MATCH($B13&amp;K$5,RawDatafrombuFile!$A$3:$A$602,0))</f>
        <v>0.2316</v>
      </c>
      <c r="L13" s="53">
        <f>INDEX(RawDatafrombuFile!$H$3:$H$602,MATCH($B13&amp;L$5,RawDatafrombuFile!$A$3:$A$602,0))</f>
        <v>1</v>
      </c>
      <c r="M13" s="53">
        <f>INDEX(RawDatafrombuFile!$H$3:$H$602,MATCH($B13&amp;M$5,RawDatafrombuFile!$A$3:$A$602,0))</f>
        <v>0.73229999999999995</v>
      </c>
      <c r="N13" s="53">
        <f>INDEX(RawDatafrombuFile!$H$3:$H$602,MATCH($B13&amp;N$5,RawDatafrombuFile!$A$3:$A$602,0))</f>
        <v>0.98070000000000002</v>
      </c>
      <c r="O13" s="53">
        <f>INDEX(RawDatafrombuFile!$H$3:$H$602,MATCH($B13&amp;O$5,RawDatafrombuFile!$A$3:$A$602,0))</f>
        <v>0.58050000000000002</v>
      </c>
    </row>
    <row r="14" spans="1:15" ht="11.25" customHeight="1" x14ac:dyDescent="0.2">
      <c r="B14" s="48" t="str">
        <f>RawDatafrombuFile!Q8</f>
        <v>RLEKOKEWICK-E</v>
      </c>
      <c r="C14" s="48" t="str">
        <f>RawDatafrombuFile!R8</f>
        <v>Residential - Cooking - Low Income Electrified - Oil Paraffin - WICK - E</v>
      </c>
      <c r="D14" s="48" t="str">
        <f>Processes!D14</f>
        <v>PJ,PJa</v>
      </c>
      <c r="E14" s="48" t="str">
        <f>RawDatafrombuFile!S8</f>
        <v>RESOKE</v>
      </c>
      <c r="F14" s="48" t="str">
        <f>RawDatafrombuFile!T8</f>
        <v>RLEK</v>
      </c>
      <c r="H14" s="53">
        <f>INDEX(RawDatafrombuFile!$H$3:$H$602,MATCH($B14&amp;H$5,RawDatafrombuFile!$A$3:$A$602,0))</f>
        <v>0.20979999999999999</v>
      </c>
      <c r="I14" s="53">
        <f>INDEX(RawDatafrombuFile!$H$3:$H$602,MATCH($B14&amp;I$5,RawDatafrombuFile!$A$3:$A$602,0))</f>
        <v>0.79349999999999998</v>
      </c>
      <c r="J14" s="53">
        <f>INDEX(RawDatafrombuFile!$H$3:$H$602,MATCH($B14&amp;J$5,RawDatafrombuFile!$A$3:$A$602,0))</f>
        <v>0.89359999999999995</v>
      </c>
      <c r="K14" s="53">
        <f>INDEX(RawDatafrombuFile!$H$3:$H$602,MATCH($B14&amp;K$5,RawDatafrombuFile!$A$3:$A$602,0))</f>
        <v>0.2316</v>
      </c>
      <c r="L14" s="53">
        <f>INDEX(RawDatafrombuFile!$H$3:$H$602,MATCH($B14&amp;L$5,RawDatafrombuFile!$A$3:$A$602,0))</f>
        <v>1</v>
      </c>
      <c r="M14" s="53">
        <f>INDEX(RawDatafrombuFile!$H$3:$H$602,MATCH($B14&amp;M$5,RawDatafrombuFile!$A$3:$A$602,0))</f>
        <v>0.73229999999999995</v>
      </c>
      <c r="N14" s="53">
        <f>INDEX(RawDatafrombuFile!$H$3:$H$602,MATCH($B14&amp;N$5,RawDatafrombuFile!$A$3:$A$602,0))</f>
        <v>0.98070000000000002</v>
      </c>
      <c r="O14" s="53">
        <f>INDEX(RawDatafrombuFile!$H$3:$H$602,MATCH($B14&amp;O$5,RawDatafrombuFile!$A$3:$A$602,0))</f>
        <v>0.58050000000000002</v>
      </c>
    </row>
    <row r="15" spans="1:15" ht="11.25" customHeight="1" x14ac:dyDescent="0.2">
      <c r="B15" s="48" t="str">
        <f>RawDatafrombuFile!Q14</f>
        <v>RLEWOKEKETWI-E</v>
      </c>
      <c r="C15" s="48" t="str">
        <f>RawDatafrombuFile!R14</f>
        <v>Residential - Water Heating - Low Income Electrified - Oil Paraffin - KETWI - E</v>
      </c>
      <c r="D15" s="48" t="str">
        <f>Processes!D20</f>
        <v>PJ,PJa</v>
      </c>
      <c r="E15" s="48" t="str">
        <f>RawDatafrombuFile!S14</f>
        <v>RESOKE</v>
      </c>
      <c r="F15" s="48" t="str">
        <f>RawDatafrombuFile!T14</f>
        <v>RLEW</v>
      </c>
      <c r="H15" s="53">
        <f>INDEX(RawDatafrombuFile!$H$3:$H$602,MATCH($B15&amp;H$5,RawDatafrombuFile!$A$3:$A$602,0))</f>
        <v>0.4783</v>
      </c>
      <c r="I15" s="53">
        <f>INDEX(RawDatafrombuFile!$H$3:$H$602,MATCH($B15&amp;I$5,RawDatafrombuFile!$A$3:$A$602,0))</f>
        <v>0.55110000000000003</v>
      </c>
      <c r="J15" s="53">
        <f>INDEX(RawDatafrombuFile!$H$3:$H$602,MATCH($B15&amp;J$5,RawDatafrombuFile!$A$3:$A$602,0))</f>
        <v>0.83699999999999997</v>
      </c>
      <c r="K15" s="53">
        <f>INDEX(RawDatafrombuFile!$H$3:$H$602,MATCH($B15&amp;K$5,RawDatafrombuFile!$A$3:$A$602,0))</f>
        <v>0.33439999999999998</v>
      </c>
      <c r="L15" s="53">
        <f>INDEX(RawDatafrombuFile!$H$3:$H$602,MATCH($B15&amp;L$5,RawDatafrombuFile!$A$3:$A$602,0))</f>
        <v>1</v>
      </c>
      <c r="M15" s="53">
        <f>INDEX(RawDatafrombuFile!$H$3:$H$602,MATCH($B15&amp;M$5,RawDatafrombuFile!$A$3:$A$602,0))</f>
        <v>0.4849</v>
      </c>
      <c r="N15" s="53">
        <f>INDEX(RawDatafrombuFile!$H$3:$H$602,MATCH($B15&amp;N$5,RawDatafrombuFile!$A$3:$A$602,0))</f>
        <v>0.95599999999999996</v>
      </c>
      <c r="O15" s="53">
        <f>INDEX(RawDatafrombuFile!$H$3:$H$602,MATCH($B15&amp;O$5,RawDatafrombuFile!$A$3:$A$602,0))</f>
        <v>0.82</v>
      </c>
    </row>
    <row r="16" spans="1:15" ht="11.25" customHeight="1" x14ac:dyDescent="0.2">
      <c r="B16" s="48" t="str">
        <f>RawDatafrombuFile!Q15</f>
        <v>RLEWELCKET-E</v>
      </c>
      <c r="C16" s="48" t="str">
        <f>RawDatafrombuFile!R15</f>
        <v>Residential - Water Heating - Low Income Electrified - Electricity - KET - E</v>
      </c>
      <c r="D16" s="48" t="str">
        <f>Processes!D21</f>
        <v>PJ,PJa</v>
      </c>
      <c r="E16" s="48" t="str">
        <f>RawDatafrombuFile!S15</f>
        <v>RESELC</v>
      </c>
      <c r="F16" s="48" t="str">
        <f>RawDatafrombuFile!T15</f>
        <v>RLEW</v>
      </c>
      <c r="H16" s="53">
        <f>INDEX(RawDatafrombuFile!$H$3:$H$602,MATCH($B16&amp;H$5,RawDatafrombuFile!$A$3:$A$602,0))</f>
        <v>0.4783</v>
      </c>
      <c r="I16" s="53">
        <f>INDEX(RawDatafrombuFile!$H$3:$H$602,MATCH($B16&amp;I$5,RawDatafrombuFile!$A$3:$A$602,0))</f>
        <v>0.55110000000000003</v>
      </c>
      <c r="J16" s="53">
        <f>INDEX(RawDatafrombuFile!$H$3:$H$602,MATCH($B16&amp;J$5,RawDatafrombuFile!$A$3:$A$602,0))</f>
        <v>0.83699999999999997</v>
      </c>
      <c r="K16" s="53">
        <f>INDEX(RawDatafrombuFile!$H$3:$H$602,MATCH($B16&amp;K$5,RawDatafrombuFile!$A$3:$A$602,0))</f>
        <v>0.33439999999999998</v>
      </c>
      <c r="L16" s="53">
        <f>INDEX(RawDatafrombuFile!$H$3:$H$602,MATCH($B16&amp;L$5,RawDatafrombuFile!$A$3:$A$602,0))</f>
        <v>1</v>
      </c>
      <c r="M16" s="53">
        <f>INDEX(RawDatafrombuFile!$H$3:$H$602,MATCH($B16&amp;M$5,RawDatafrombuFile!$A$3:$A$602,0))</f>
        <v>0.4849</v>
      </c>
      <c r="N16" s="53">
        <f>INDEX(RawDatafrombuFile!$H$3:$H$602,MATCH($B16&amp;N$5,RawDatafrombuFile!$A$3:$A$602,0))</f>
        <v>0.95599999999999996</v>
      </c>
      <c r="O16" s="53">
        <f>INDEX(RawDatafrombuFile!$H$3:$H$602,MATCH($B16&amp;O$5,RawDatafrombuFile!$A$3:$A$602,0))</f>
        <v>0.82</v>
      </c>
    </row>
    <row r="17" spans="2:15" ht="11.25" customHeight="1" x14ac:dyDescent="0.2">
      <c r="B17" s="48" t="str">
        <f>RawDatafrombuFile!Q16</f>
        <v>RLEWBIWKETBI-E</v>
      </c>
      <c r="C17" s="48" t="str">
        <f>RawDatafrombuFile!R16</f>
        <v>Residential - Water Heating - Low Income Electrified - Biomass Wood - KETBI - E</v>
      </c>
      <c r="D17" s="48" t="str">
        <f>Processes!D22</f>
        <v>PJ,PJa</v>
      </c>
      <c r="E17" s="48" t="str">
        <f>RawDatafrombuFile!S16</f>
        <v>RESBIW</v>
      </c>
      <c r="F17" s="48" t="str">
        <f>RawDatafrombuFile!T16</f>
        <v>RLEW</v>
      </c>
      <c r="H17" s="53">
        <f>INDEX(RawDatafrombuFile!$H$3:$H$602,MATCH($B17&amp;H$5,RawDatafrombuFile!$A$3:$A$602,0))</f>
        <v>0.4783</v>
      </c>
      <c r="I17" s="53">
        <f>INDEX(RawDatafrombuFile!$H$3:$H$602,MATCH($B17&amp;I$5,RawDatafrombuFile!$A$3:$A$602,0))</f>
        <v>0.55110000000000003</v>
      </c>
      <c r="J17" s="53">
        <f>INDEX(RawDatafrombuFile!$H$3:$H$602,MATCH($B17&amp;J$5,RawDatafrombuFile!$A$3:$A$602,0))</f>
        <v>0.83699999999999997</v>
      </c>
      <c r="K17" s="53">
        <f>INDEX(RawDatafrombuFile!$H$3:$H$602,MATCH($B17&amp;K$5,RawDatafrombuFile!$A$3:$A$602,0))</f>
        <v>0.33439999999999998</v>
      </c>
      <c r="L17" s="53">
        <f>INDEX(RawDatafrombuFile!$H$3:$H$602,MATCH($B17&amp;L$5,RawDatafrombuFile!$A$3:$A$602,0))</f>
        <v>1</v>
      </c>
      <c r="M17" s="53">
        <f>INDEX(RawDatafrombuFile!$H$3:$H$602,MATCH($B17&amp;M$5,RawDatafrombuFile!$A$3:$A$602,0))</f>
        <v>0.4849</v>
      </c>
      <c r="N17" s="53">
        <f>INDEX(RawDatafrombuFile!$H$3:$H$602,MATCH($B17&amp;N$5,RawDatafrombuFile!$A$3:$A$602,0))</f>
        <v>0.95599999999999996</v>
      </c>
      <c r="O17" s="53">
        <f>INDEX(RawDatafrombuFile!$H$3:$H$602,MATCH($B17&amp;O$5,RawDatafrombuFile!$A$3:$A$602,0))</f>
        <v>0.82</v>
      </c>
    </row>
    <row r="18" spans="2:15" ht="11.25" customHeight="1" x14ac:dyDescent="0.2">
      <c r="B18" s="48" t="str">
        <f>RawDatafrombuFile!Q17</f>
        <v>RLEWCOAKETCOA-E</v>
      </c>
      <c r="C18" s="48" t="str">
        <f>RawDatafrombuFile!R17</f>
        <v>Residential - Water Heating - Low Income Electrified - Coal - KETCOA - E</v>
      </c>
      <c r="D18" s="48" t="str">
        <f>Processes!D23</f>
        <v>PJ,PJa</v>
      </c>
      <c r="E18" s="48" t="str">
        <f>RawDatafrombuFile!S17</f>
        <v>RESCOA</v>
      </c>
      <c r="F18" s="48" t="str">
        <f>RawDatafrombuFile!T17</f>
        <v>RLEW</v>
      </c>
      <c r="H18" s="53">
        <f>INDEX(RawDatafrombuFile!$H$3:$H$602,MATCH($B18&amp;H$5,RawDatafrombuFile!$A$3:$A$602,0))</f>
        <v>0.4783</v>
      </c>
      <c r="I18" s="53">
        <f>INDEX(RawDatafrombuFile!$H$3:$H$602,MATCH($B18&amp;I$5,RawDatafrombuFile!$A$3:$A$602,0))</f>
        <v>0.55110000000000003</v>
      </c>
      <c r="J18" s="53">
        <f>INDEX(RawDatafrombuFile!$H$3:$H$602,MATCH($B18&amp;J$5,RawDatafrombuFile!$A$3:$A$602,0))</f>
        <v>0.83699999999999997</v>
      </c>
      <c r="K18" s="53">
        <f>INDEX(RawDatafrombuFile!$H$3:$H$602,MATCH($B18&amp;K$5,RawDatafrombuFile!$A$3:$A$602,0))</f>
        <v>0.33439999999999998</v>
      </c>
      <c r="L18" s="53">
        <f>INDEX(RawDatafrombuFile!$H$3:$H$602,MATCH($B18&amp;L$5,RawDatafrombuFile!$A$3:$A$602,0))</f>
        <v>1</v>
      </c>
      <c r="M18" s="53">
        <f>INDEX(RawDatafrombuFile!$H$3:$H$602,MATCH($B18&amp;M$5,RawDatafrombuFile!$A$3:$A$602,0))</f>
        <v>0.4849</v>
      </c>
      <c r="N18" s="53">
        <f>INDEX(RawDatafrombuFile!$H$3:$H$602,MATCH($B18&amp;N$5,RawDatafrombuFile!$A$3:$A$602,0))</f>
        <v>0.95599999999999996</v>
      </c>
      <c r="O18" s="53">
        <f>INDEX(RawDatafrombuFile!$H$3:$H$602,MATCH($B18&amp;O$5,RawDatafrombuFile!$A$3:$A$602,0))</f>
        <v>0.82</v>
      </c>
    </row>
    <row r="19" spans="2:15" ht="11.25" customHeight="1" x14ac:dyDescent="0.2">
      <c r="B19" s="48" t="str">
        <f>RawDatafrombuFile!Q18</f>
        <v>RLEWOLPKETLPG-E</v>
      </c>
      <c r="C19" s="48" t="str">
        <f>RawDatafrombuFile!R18</f>
        <v>Residential - Water Heating - Low Income Electrified - Oil LPG - KETLPG - E</v>
      </c>
      <c r="D19" s="48" t="str">
        <f>Processes!D30</f>
        <v>PJ,PJa</v>
      </c>
      <c r="E19" s="48" t="str">
        <f>RawDatafrombuFile!S18</f>
        <v>RESOLP</v>
      </c>
      <c r="F19" s="48" t="str">
        <f>RawDatafrombuFile!T18</f>
        <v>RLEW</v>
      </c>
      <c r="H19" s="53">
        <f>INDEX(RawDatafrombuFile!$H$3:$H$602,MATCH($B19&amp;H$5,RawDatafrombuFile!$A$3:$A$602,0))</f>
        <v>0.4783</v>
      </c>
      <c r="I19" s="53">
        <f>INDEX(RawDatafrombuFile!$H$3:$H$602,MATCH($B19&amp;I$5,RawDatafrombuFile!$A$3:$A$602,0))</f>
        <v>0.55110000000000003</v>
      </c>
      <c r="J19" s="53">
        <f>INDEX(RawDatafrombuFile!$H$3:$H$602,MATCH($B19&amp;J$5,RawDatafrombuFile!$A$3:$A$602,0))</f>
        <v>0.83699999999999997</v>
      </c>
      <c r="K19" s="53">
        <f>INDEX(RawDatafrombuFile!$H$3:$H$602,MATCH($B19&amp;K$5,RawDatafrombuFile!$A$3:$A$602,0))</f>
        <v>0.33439999999999998</v>
      </c>
      <c r="L19" s="53">
        <f>INDEX(RawDatafrombuFile!$H$3:$H$602,MATCH($B19&amp;L$5,RawDatafrombuFile!$A$3:$A$602,0))</f>
        <v>1</v>
      </c>
      <c r="M19" s="53">
        <f>INDEX(RawDatafrombuFile!$H$3:$H$602,MATCH($B19&amp;M$5,RawDatafrombuFile!$A$3:$A$602,0))</f>
        <v>0.4849</v>
      </c>
      <c r="N19" s="53">
        <f>INDEX(RawDatafrombuFile!$H$3:$H$602,MATCH($B19&amp;N$5,RawDatafrombuFile!$A$3:$A$602,0))</f>
        <v>0.95599999999999996</v>
      </c>
      <c r="O19" s="53">
        <f>INDEX(RawDatafrombuFile!$H$3:$H$602,MATCH($B19&amp;O$5,RawDatafrombuFile!$A$3:$A$602,0))</f>
        <v>0.82</v>
      </c>
    </row>
    <row r="20" spans="2:15" ht="11.25" customHeight="1" x14ac:dyDescent="0.2">
      <c r="B20" s="48" t="str">
        <f>RawDatafrombuFile!Q19</f>
        <v>RMEKELCSTOV-E</v>
      </c>
      <c r="C20" s="48" t="str">
        <f>RawDatafrombuFile!R19</f>
        <v>Residential - Cooking - Middle Income Electrified - Electricity - STOV - E</v>
      </c>
      <c r="D20" s="48" t="str">
        <f>Processes!D31</f>
        <v>PJ,PJa</v>
      </c>
      <c r="E20" s="48" t="str">
        <f>RawDatafrombuFile!S19</f>
        <v>RESELC</v>
      </c>
      <c r="F20" s="48" t="str">
        <f>RawDatafrombuFile!T19</f>
        <v>RMEK</v>
      </c>
      <c r="H20" s="53">
        <f>INDEX(RawDatafrombuFile!$H$3:$H$602,MATCH($B20&amp;H$5,RawDatafrombuFile!$A$3:$A$602,0))</f>
        <v>0.20979999999999999</v>
      </c>
      <c r="I20" s="53">
        <f>INDEX(RawDatafrombuFile!$H$3:$H$602,MATCH($B20&amp;I$5,RawDatafrombuFile!$A$3:$A$602,0))</f>
        <v>0.79349999999999998</v>
      </c>
      <c r="J20" s="53">
        <f>INDEX(RawDatafrombuFile!$H$3:$H$602,MATCH($B20&amp;J$5,RawDatafrombuFile!$A$3:$A$602,0))</f>
        <v>0.89359999999999995</v>
      </c>
      <c r="K20" s="53">
        <f>INDEX(RawDatafrombuFile!$H$3:$H$602,MATCH($B20&amp;K$5,RawDatafrombuFile!$A$3:$A$602,0))</f>
        <v>0.2316</v>
      </c>
      <c r="L20" s="53">
        <f>INDEX(RawDatafrombuFile!$H$3:$H$602,MATCH($B20&amp;L$5,RawDatafrombuFile!$A$3:$A$602,0))</f>
        <v>1</v>
      </c>
      <c r="M20" s="53">
        <f>INDEX(RawDatafrombuFile!$H$3:$H$602,MATCH($B20&amp;M$5,RawDatafrombuFile!$A$3:$A$602,0))</f>
        <v>0.73229999999999995</v>
      </c>
      <c r="N20" s="53">
        <f>INDEX(RawDatafrombuFile!$H$3:$H$602,MATCH($B20&amp;N$5,RawDatafrombuFile!$A$3:$A$602,0))</f>
        <v>0.98070000000000002</v>
      </c>
      <c r="O20" s="53">
        <f>INDEX(RawDatafrombuFile!$H$3:$H$602,MATCH($B20&amp;O$5,RawDatafrombuFile!$A$3:$A$602,0))</f>
        <v>0.58050000000000002</v>
      </c>
    </row>
    <row r="21" spans="2:15" ht="11.25" customHeight="1" x14ac:dyDescent="0.2">
      <c r="B21" s="48" t="str">
        <f>RawDatafrombuFile!Q20</f>
        <v>RMEKOLPSTOV-E</v>
      </c>
      <c r="C21" s="48" t="str">
        <f>RawDatafrombuFile!R20</f>
        <v>Residential - Cooking - Middle Income Electrified - Oil LPG - STOV - E</v>
      </c>
      <c r="D21" s="48" t="str">
        <f>Processes!D24</f>
        <v>PJ,PJa</v>
      </c>
      <c r="E21" s="48" t="str">
        <f>RawDatafrombuFile!S20</f>
        <v>RESOLP</v>
      </c>
      <c r="F21" s="48" t="str">
        <f>RawDatafrombuFile!T20</f>
        <v>RMEK</v>
      </c>
      <c r="H21" s="53">
        <f>INDEX(RawDatafrombuFile!$H$3:$H$602,MATCH($B21&amp;H$5,RawDatafrombuFile!$A$3:$A$602,0))</f>
        <v>0.20979999999999999</v>
      </c>
      <c r="I21" s="53">
        <f>INDEX(RawDatafrombuFile!$H$3:$H$602,MATCH($B21&amp;I$5,RawDatafrombuFile!$A$3:$A$602,0))</f>
        <v>0.79349999999999998</v>
      </c>
      <c r="J21" s="53">
        <f>INDEX(RawDatafrombuFile!$H$3:$H$602,MATCH($B21&amp;J$5,RawDatafrombuFile!$A$3:$A$602,0))</f>
        <v>0.89359999999999995</v>
      </c>
      <c r="K21" s="53">
        <f>INDEX(RawDatafrombuFile!$H$3:$H$602,MATCH($B21&amp;K$5,RawDatafrombuFile!$A$3:$A$602,0))</f>
        <v>0.2316</v>
      </c>
      <c r="L21" s="53">
        <f>INDEX(RawDatafrombuFile!$H$3:$H$602,MATCH($B21&amp;L$5,RawDatafrombuFile!$A$3:$A$602,0))</f>
        <v>1</v>
      </c>
      <c r="M21" s="53">
        <f>INDEX(RawDatafrombuFile!$H$3:$H$602,MATCH($B21&amp;M$5,RawDatafrombuFile!$A$3:$A$602,0))</f>
        <v>0.73229999999999995</v>
      </c>
      <c r="N21" s="53">
        <f>INDEX(RawDatafrombuFile!$H$3:$H$602,MATCH($B21&amp;N$5,RawDatafrombuFile!$A$3:$A$602,0))</f>
        <v>0.98070000000000002</v>
      </c>
      <c r="O21" s="53">
        <f>INDEX(RawDatafrombuFile!$H$3:$H$602,MATCH($B21&amp;O$5,RawDatafrombuFile!$A$3:$A$602,0))</f>
        <v>0.58050000000000002</v>
      </c>
    </row>
    <row r="22" spans="2:15" ht="11.25" customHeight="1" x14ac:dyDescent="0.2">
      <c r="B22" s="48" t="str">
        <f>RawDatafrombuFile!Q21</f>
        <v>RMEKBIWSTOV-E</v>
      </c>
      <c r="C22" s="48" t="str">
        <f>RawDatafrombuFile!R21</f>
        <v>Residential - Cooking - Middle Income Electrified - Biomass Wood - STOV - E</v>
      </c>
      <c r="D22" s="48" t="str">
        <f>Processes!D25</f>
        <v>PJ,PJa</v>
      </c>
      <c r="E22" s="48" t="str">
        <f>RawDatafrombuFile!S21</f>
        <v>RESBIW</v>
      </c>
      <c r="F22" s="48" t="str">
        <f>RawDatafrombuFile!T21</f>
        <v>RMEK</v>
      </c>
      <c r="H22" s="53">
        <f>INDEX(RawDatafrombuFile!$H$3:$H$602,MATCH($B22&amp;H$5,RawDatafrombuFile!$A$3:$A$602,0))</f>
        <v>0.20979999999999999</v>
      </c>
      <c r="I22" s="53">
        <f>INDEX(RawDatafrombuFile!$H$3:$H$602,MATCH($B22&amp;I$5,RawDatafrombuFile!$A$3:$A$602,0))</f>
        <v>0.79349999999999998</v>
      </c>
      <c r="J22" s="53">
        <f>INDEX(RawDatafrombuFile!$H$3:$H$602,MATCH($B22&amp;J$5,RawDatafrombuFile!$A$3:$A$602,0))</f>
        <v>0.89359999999999995</v>
      </c>
      <c r="K22" s="53">
        <f>INDEX(RawDatafrombuFile!$H$3:$H$602,MATCH($B22&amp;K$5,RawDatafrombuFile!$A$3:$A$602,0))</f>
        <v>0.2316</v>
      </c>
      <c r="L22" s="53">
        <f>INDEX(RawDatafrombuFile!$H$3:$H$602,MATCH($B22&amp;L$5,RawDatafrombuFile!$A$3:$A$602,0))</f>
        <v>1</v>
      </c>
      <c r="M22" s="53">
        <f>INDEX(RawDatafrombuFile!$H$3:$H$602,MATCH($B22&amp;M$5,RawDatafrombuFile!$A$3:$A$602,0))</f>
        <v>0.73229999999999995</v>
      </c>
      <c r="N22" s="53">
        <f>INDEX(RawDatafrombuFile!$H$3:$H$602,MATCH($B22&amp;N$5,RawDatafrombuFile!$A$3:$A$602,0))</f>
        <v>0.98070000000000002</v>
      </c>
      <c r="O22" s="53">
        <f>INDEX(RawDatafrombuFile!$H$3:$H$602,MATCH($B22&amp;O$5,RawDatafrombuFile!$A$3:$A$602,0))</f>
        <v>0.58050000000000002</v>
      </c>
    </row>
    <row r="23" spans="2:15" ht="11.25" customHeight="1" x14ac:dyDescent="0.2">
      <c r="B23" s="48" t="str">
        <f>RawDatafrombuFile!Q22</f>
        <v>RMEKCOABNM-E</v>
      </c>
      <c r="C23" s="48" t="str">
        <f>RawDatafrombuFile!R22</f>
        <v>Residential - Cooking - Middle Income Electrified - Coal - BNM - E</v>
      </c>
      <c r="D23" s="48" t="str">
        <f>Processes!D26</f>
        <v>PJ,PJa</v>
      </c>
      <c r="E23" s="48" t="str">
        <f>RawDatafrombuFile!S22</f>
        <v>RESCOA</v>
      </c>
      <c r="F23" s="48" t="str">
        <f>RawDatafrombuFile!T22</f>
        <v>RMEK</v>
      </c>
      <c r="H23" s="53">
        <f>INDEX(RawDatafrombuFile!$H$3:$H$602,MATCH($B23&amp;H$5,RawDatafrombuFile!$A$3:$A$602,0))</f>
        <v>0.20979999999999999</v>
      </c>
      <c r="I23" s="53">
        <f>INDEX(RawDatafrombuFile!$H$3:$H$602,MATCH($B23&amp;I$5,RawDatafrombuFile!$A$3:$A$602,0))</f>
        <v>0.79349999999999998</v>
      </c>
      <c r="J23" s="53">
        <f>INDEX(RawDatafrombuFile!$H$3:$H$602,MATCH($B23&amp;J$5,RawDatafrombuFile!$A$3:$A$602,0))</f>
        <v>0.89359999999999995</v>
      </c>
      <c r="K23" s="53">
        <f>INDEX(RawDatafrombuFile!$H$3:$H$602,MATCH($B23&amp;K$5,RawDatafrombuFile!$A$3:$A$602,0))</f>
        <v>0.2316</v>
      </c>
      <c r="L23" s="53">
        <f>INDEX(RawDatafrombuFile!$H$3:$H$602,MATCH($B23&amp;L$5,RawDatafrombuFile!$A$3:$A$602,0))</f>
        <v>1</v>
      </c>
      <c r="M23" s="53">
        <f>INDEX(RawDatafrombuFile!$H$3:$H$602,MATCH($B23&amp;M$5,RawDatafrombuFile!$A$3:$A$602,0))</f>
        <v>0.73229999999999995</v>
      </c>
      <c r="N23" s="53">
        <f>INDEX(RawDatafrombuFile!$H$3:$H$602,MATCH($B23&amp;N$5,RawDatafrombuFile!$A$3:$A$602,0))</f>
        <v>0.98070000000000002</v>
      </c>
      <c r="O23" s="53">
        <f>INDEX(RawDatafrombuFile!$H$3:$H$602,MATCH($B23&amp;O$5,RawDatafrombuFile!$A$3:$A$602,0))</f>
        <v>0.58050000000000002</v>
      </c>
    </row>
    <row r="24" spans="2:15" ht="11.25" customHeight="1" x14ac:dyDescent="0.2">
      <c r="B24" s="48" t="str">
        <f>RawDatafrombuFile!Q23</f>
        <v>RMEKOKEWICK-E</v>
      </c>
      <c r="C24" s="48" t="str">
        <f>RawDatafrombuFile!R23</f>
        <v>Residential - Cooking - Middle Income Electrified - Oil Paraffin - WICK - E</v>
      </c>
      <c r="D24" s="48" t="str">
        <f>Processes!D27</f>
        <v>PJ,PJa</v>
      </c>
      <c r="E24" s="48" t="str">
        <f>RawDatafrombuFile!S23</f>
        <v>RESOKE</v>
      </c>
      <c r="F24" s="48" t="str">
        <f>RawDatafrombuFile!T23</f>
        <v>RMEK</v>
      </c>
      <c r="H24" s="53">
        <f>INDEX(RawDatafrombuFile!$H$3:$H$602,MATCH($B24&amp;H$5,RawDatafrombuFile!$A$3:$A$602,0))</f>
        <v>0.20979999999999999</v>
      </c>
      <c r="I24" s="53">
        <f>INDEX(RawDatafrombuFile!$H$3:$H$602,MATCH($B24&amp;I$5,RawDatafrombuFile!$A$3:$A$602,0))</f>
        <v>0.79349999999999998</v>
      </c>
      <c r="J24" s="53">
        <f>INDEX(RawDatafrombuFile!$H$3:$H$602,MATCH($B24&amp;J$5,RawDatafrombuFile!$A$3:$A$602,0))</f>
        <v>0.89359999999999995</v>
      </c>
      <c r="K24" s="53">
        <f>INDEX(RawDatafrombuFile!$H$3:$H$602,MATCH($B24&amp;K$5,RawDatafrombuFile!$A$3:$A$602,0))</f>
        <v>0.2316</v>
      </c>
      <c r="L24" s="53">
        <f>INDEX(RawDatafrombuFile!$H$3:$H$602,MATCH($B24&amp;L$5,RawDatafrombuFile!$A$3:$A$602,0))</f>
        <v>1</v>
      </c>
      <c r="M24" s="53">
        <f>INDEX(RawDatafrombuFile!$H$3:$H$602,MATCH($B24&amp;M$5,RawDatafrombuFile!$A$3:$A$602,0))</f>
        <v>0.73229999999999995</v>
      </c>
      <c r="N24" s="53">
        <f>INDEX(RawDatafrombuFile!$H$3:$H$602,MATCH($B24&amp;N$5,RawDatafrombuFile!$A$3:$A$602,0))</f>
        <v>0.98070000000000002</v>
      </c>
      <c r="O24" s="53">
        <f>INDEX(RawDatafrombuFile!$H$3:$H$602,MATCH($B24&amp;O$5,RawDatafrombuFile!$A$3:$A$602,0))</f>
        <v>0.58050000000000002</v>
      </c>
    </row>
    <row r="25" spans="2:15" ht="11.25" customHeight="1" x14ac:dyDescent="0.2">
      <c r="B25" s="48" t="str">
        <f>RawDatafrombuFile!Q24</f>
        <v>RMEKGASSTOV-E</v>
      </c>
      <c r="C25" s="48" t="str">
        <f>RawDatafrombuFile!R24</f>
        <v>Residential - Cooking - Middle Income Electrified - Natural Gas - STOV - E</v>
      </c>
      <c r="D25" s="48" t="str">
        <f>Processes!D28</f>
        <v>PJ,PJa</v>
      </c>
      <c r="E25" s="48" t="str">
        <f>RawDatafrombuFile!S24</f>
        <v>RESGAS</v>
      </c>
      <c r="F25" s="48" t="str">
        <f>RawDatafrombuFile!T24</f>
        <v>RMEK</v>
      </c>
      <c r="H25" s="53">
        <f>INDEX(RawDatafrombuFile!$H$3:$H$602,MATCH($B25&amp;H$5,RawDatafrombuFile!$A$3:$A$602,0))</f>
        <v>0.20979999999999999</v>
      </c>
      <c r="I25" s="53">
        <f>INDEX(RawDatafrombuFile!$H$3:$H$602,MATCH($B25&amp;I$5,RawDatafrombuFile!$A$3:$A$602,0))</f>
        <v>0.79349999999999998</v>
      </c>
      <c r="J25" s="53">
        <f>INDEX(RawDatafrombuFile!$H$3:$H$602,MATCH($B25&amp;J$5,RawDatafrombuFile!$A$3:$A$602,0))</f>
        <v>0.89359999999999995</v>
      </c>
      <c r="K25" s="53">
        <f>INDEX(RawDatafrombuFile!$H$3:$H$602,MATCH($B25&amp;K$5,RawDatafrombuFile!$A$3:$A$602,0))</f>
        <v>0.2316</v>
      </c>
      <c r="L25" s="53">
        <f>INDEX(RawDatafrombuFile!$H$3:$H$602,MATCH($B25&amp;L$5,RawDatafrombuFile!$A$3:$A$602,0))</f>
        <v>1</v>
      </c>
      <c r="M25" s="53">
        <f>INDEX(RawDatafrombuFile!$H$3:$H$602,MATCH($B25&amp;M$5,RawDatafrombuFile!$A$3:$A$602,0))</f>
        <v>0.73229999999999995</v>
      </c>
      <c r="N25" s="53">
        <f>INDEX(RawDatafrombuFile!$H$3:$H$602,MATCH($B25&amp;N$5,RawDatafrombuFile!$A$3:$A$602,0))</f>
        <v>0.98070000000000002</v>
      </c>
      <c r="O25" s="53">
        <f>INDEX(RawDatafrombuFile!$H$3:$H$602,MATCH($B25&amp;O$5,RawDatafrombuFile!$A$3:$A$602,0))</f>
        <v>0.58050000000000002</v>
      </c>
    </row>
    <row r="26" spans="2:15" ht="11.25" customHeight="1" x14ac:dyDescent="0.2">
      <c r="B26" s="48" t="str">
        <f>RawDatafrombuFile!Q25</f>
        <v>RMEHELCHEATFIN-E</v>
      </c>
      <c r="C26" s="48" t="str">
        <f>RawDatafrombuFile!R25</f>
        <v>Residential - Space Heating - Middle Income Electrified - Electricity - HEATFIN - E</v>
      </c>
      <c r="D26" s="48" t="str">
        <f>Processes!D29</f>
        <v>PJ,PJa</v>
      </c>
      <c r="E26" s="48" t="str">
        <f>RawDatafrombuFile!S25</f>
        <v>RESELC</v>
      </c>
      <c r="F26" s="48" t="str">
        <f>RawDatafrombuFile!T25</f>
        <v>RMEH</v>
      </c>
      <c r="H26" s="53">
        <f>INDEX(RawDatafrombuFile!$H$3:$H$602,MATCH($B26&amp;H$5,RawDatafrombuFile!$A$3:$A$602,0))</f>
        <v>0.80610000000000004</v>
      </c>
      <c r="I26" s="53">
        <f>INDEX(RawDatafrombuFile!$H$3:$H$602,MATCH($B26&amp;I$5,RawDatafrombuFile!$A$3:$A$602,0))</f>
        <v>1.3599999999999999E-2</v>
      </c>
      <c r="J26" s="53">
        <f>INDEX(RawDatafrombuFile!$H$3:$H$602,MATCH($B26&amp;J$5,RawDatafrombuFile!$A$3:$A$602,0))</f>
        <v>1.8700000000000001E-2</v>
      </c>
      <c r="K26" s="53">
        <f>INDEX(RawDatafrombuFile!$H$3:$H$602,MATCH($B26&amp;K$5,RawDatafrombuFile!$A$3:$A$602,0))</f>
        <v>0.1094</v>
      </c>
      <c r="L26" s="53">
        <f>INDEX(RawDatafrombuFile!$H$3:$H$602,MATCH($B26&amp;L$5,RawDatafrombuFile!$A$3:$A$602,0))</f>
        <v>0.10730000000000001</v>
      </c>
      <c r="M26" s="53">
        <f>INDEX(RawDatafrombuFile!$H$3:$H$602,MATCH($B26&amp;M$5,RawDatafrombuFile!$A$3:$A$602,0))</f>
        <v>0.3236</v>
      </c>
      <c r="N26" s="53">
        <f>INDEX(RawDatafrombuFile!$H$3:$H$602,MATCH($B26&amp;N$5,RawDatafrombuFile!$A$3:$A$602,0))</f>
        <v>1</v>
      </c>
      <c r="O26" s="53">
        <f>INDEX(RawDatafrombuFile!$H$3:$H$602,MATCH($B26&amp;O$5,RawDatafrombuFile!$A$3:$A$602,0))</f>
        <v>0.69010000000000005</v>
      </c>
    </row>
    <row r="27" spans="2:15" ht="11.25" customHeight="1" x14ac:dyDescent="0.2">
      <c r="B27" s="48" t="str">
        <f>RawDatafrombuFile!Q26</f>
        <v>RMEHOKEHEAT-E</v>
      </c>
      <c r="C27" s="48" t="str">
        <f>RawDatafrombuFile!R26</f>
        <v>Residential - Space Heating - Middle Income Electrified - Oil Paraffin - HEAT - E</v>
      </c>
      <c r="D27" s="48" t="str">
        <f>Processes!D30</f>
        <v>PJ,PJa</v>
      </c>
      <c r="E27" s="48" t="str">
        <f>RawDatafrombuFile!S26</f>
        <v>RESOKE</v>
      </c>
      <c r="F27" s="48" t="str">
        <f>RawDatafrombuFile!T26</f>
        <v>RMEH</v>
      </c>
      <c r="H27" s="53">
        <f>INDEX(RawDatafrombuFile!$H$3:$H$602,MATCH($B27&amp;H$5,RawDatafrombuFile!$A$3:$A$602,0))</f>
        <v>0.80610000000000004</v>
      </c>
      <c r="I27" s="53">
        <f>INDEX(RawDatafrombuFile!$H$3:$H$602,MATCH($B27&amp;I$5,RawDatafrombuFile!$A$3:$A$602,0))</f>
        <v>1.3599999999999999E-2</v>
      </c>
      <c r="J27" s="53">
        <f>INDEX(RawDatafrombuFile!$H$3:$H$602,MATCH($B27&amp;J$5,RawDatafrombuFile!$A$3:$A$602,0))</f>
        <v>1.8700000000000001E-2</v>
      </c>
      <c r="K27" s="53">
        <f>INDEX(RawDatafrombuFile!$H$3:$H$602,MATCH($B27&amp;K$5,RawDatafrombuFile!$A$3:$A$602,0))</f>
        <v>0.1094</v>
      </c>
      <c r="L27" s="53">
        <f>INDEX(RawDatafrombuFile!$H$3:$H$602,MATCH($B27&amp;L$5,RawDatafrombuFile!$A$3:$A$602,0))</f>
        <v>0.10730000000000001</v>
      </c>
      <c r="M27" s="53">
        <f>INDEX(RawDatafrombuFile!$H$3:$H$602,MATCH($B27&amp;M$5,RawDatafrombuFile!$A$3:$A$602,0))</f>
        <v>0.3236</v>
      </c>
      <c r="N27" s="53">
        <f>INDEX(RawDatafrombuFile!$H$3:$H$602,MATCH($B27&amp;N$5,RawDatafrombuFile!$A$3:$A$602,0))</f>
        <v>1</v>
      </c>
      <c r="O27" s="53">
        <f>INDEX(RawDatafrombuFile!$H$3:$H$602,MATCH($B27&amp;O$5,RawDatafrombuFile!$A$3:$A$602,0))</f>
        <v>0.69010000000000005</v>
      </c>
    </row>
    <row r="28" spans="2:15" ht="11.25" customHeight="1" x14ac:dyDescent="0.2">
      <c r="B28" s="48" t="str">
        <f>RawDatafrombuFile!Q27</f>
        <v>RMEHBIWSTOV-E</v>
      </c>
      <c r="C28" s="48" t="str">
        <f>RawDatafrombuFile!R27</f>
        <v>Residential - Space Heating - Middle Income Electrified - Biomass Wood - STOV - E</v>
      </c>
      <c r="D28" s="48" t="str">
        <f>Processes!D31</f>
        <v>PJ,PJa</v>
      </c>
      <c r="E28" s="48" t="str">
        <f>RawDatafrombuFile!S27</f>
        <v>RESBIW</v>
      </c>
      <c r="F28" s="48" t="str">
        <f>RawDatafrombuFile!T27</f>
        <v>RMEH</v>
      </c>
      <c r="H28" s="53">
        <f>INDEX(RawDatafrombuFile!$H$3:$H$602,MATCH($B28&amp;H$5,RawDatafrombuFile!$A$3:$A$602,0))</f>
        <v>0.80610000000000004</v>
      </c>
      <c r="I28" s="53">
        <f>INDEX(RawDatafrombuFile!$H$3:$H$602,MATCH($B28&amp;I$5,RawDatafrombuFile!$A$3:$A$602,0))</f>
        <v>1.3599999999999999E-2</v>
      </c>
      <c r="J28" s="53">
        <f>INDEX(RawDatafrombuFile!$H$3:$H$602,MATCH($B28&amp;J$5,RawDatafrombuFile!$A$3:$A$602,0))</f>
        <v>1.8700000000000001E-2</v>
      </c>
      <c r="K28" s="53">
        <f>INDEX(RawDatafrombuFile!$H$3:$H$602,MATCH($B28&amp;K$5,RawDatafrombuFile!$A$3:$A$602,0))</f>
        <v>0.1094</v>
      </c>
      <c r="L28" s="53">
        <f>INDEX(RawDatafrombuFile!$H$3:$H$602,MATCH($B28&amp;L$5,RawDatafrombuFile!$A$3:$A$602,0))</f>
        <v>0.10730000000000001</v>
      </c>
      <c r="M28" s="53">
        <f>INDEX(RawDatafrombuFile!$H$3:$H$602,MATCH($B28&amp;M$5,RawDatafrombuFile!$A$3:$A$602,0))</f>
        <v>0.3236</v>
      </c>
      <c r="N28" s="53">
        <f>INDEX(RawDatafrombuFile!$H$3:$H$602,MATCH($B28&amp;N$5,RawDatafrombuFile!$A$3:$A$602,0))</f>
        <v>1</v>
      </c>
      <c r="O28" s="53">
        <f>INDEX(RawDatafrombuFile!$H$3:$H$602,MATCH($B28&amp;O$5,RawDatafrombuFile!$A$3:$A$602,0))</f>
        <v>0.69010000000000005</v>
      </c>
    </row>
    <row r="29" spans="2:15" ht="11.25" customHeight="1" x14ac:dyDescent="0.2">
      <c r="B29" s="48" t="str">
        <f>RawDatafrombuFile!Q28</f>
        <v>RMEHCOASTOV-E</v>
      </c>
      <c r="C29" s="48" t="str">
        <f>RawDatafrombuFile!R28</f>
        <v>Residential - Space Heating - Middle Income Electrified - Coal - STOV - E</v>
      </c>
      <c r="D29" s="48" t="str">
        <f>Processes!D32</f>
        <v>PJ,PJa</v>
      </c>
      <c r="E29" s="48" t="str">
        <f>RawDatafrombuFile!S28</f>
        <v>RESCOA</v>
      </c>
      <c r="F29" s="48" t="str">
        <f>RawDatafrombuFile!T28</f>
        <v>RMEH</v>
      </c>
      <c r="H29" s="53">
        <f>INDEX(RawDatafrombuFile!$H$3:$H$602,MATCH($B29&amp;H$5,RawDatafrombuFile!$A$3:$A$602,0))</f>
        <v>0.80610000000000004</v>
      </c>
      <c r="I29" s="53">
        <f>INDEX(RawDatafrombuFile!$H$3:$H$602,MATCH($B29&amp;I$5,RawDatafrombuFile!$A$3:$A$602,0))</f>
        <v>1.3599999999999999E-2</v>
      </c>
      <c r="J29" s="53">
        <f>INDEX(RawDatafrombuFile!$H$3:$H$602,MATCH($B29&amp;J$5,RawDatafrombuFile!$A$3:$A$602,0))</f>
        <v>1.8700000000000001E-2</v>
      </c>
      <c r="K29" s="53">
        <f>INDEX(RawDatafrombuFile!$H$3:$H$602,MATCH($B29&amp;K$5,RawDatafrombuFile!$A$3:$A$602,0))</f>
        <v>0.1094</v>
      </c>
      <c r="L29" s="53">
        <f>INDEX(RawDatafrombuFile!$H$3:$H$602,MATCH($B29&amp;L$5,RawDatafrombuFile!$A$3:$A$602,0))</f>
        <v>0.10730000000000001</v>
      </c>
      <c r="M29" s="53">
        <f>INDEX(RawDatafrombuFile!$H$3:$H$602,MATCH($B29&amp;M$5,RawDatafrombuFile!$A$3:$A$602,0))</f>
        <v>0.3236</v>
      </c>
      <c r="N29" s="53">
        <f>INDEX(RawDatafrombuFile!$H$3:$H$602,MATCH($B29&amp;N$5,RawDatafrombuFile!$A$3:$A$602,0))</f>
        <v>1</v>
      </c>
      <c r="O29" s="53">
        <f>INDEX(RawDatafrombuFile!$H$3:$H$602,MATCH($B29&amp;O$5,RawDatafrombuFile!$A$3:$A$602,0))</f>
        <v>0.69010000000000005</v>
      </c>
    </row>
    <row r="30" spans="2:15" ht="11.25" customHeight="1" x14ac:dyDescent="0.2">
      <c r="B30" s="48" t="str">
        <f>RawDatafrombuFile!Q29</f>
        <v>RMEHOLPHEAT-E</v>
      </c>
      <c r="C30" s="48" t="str">
        <f>RawDatafrombuFile!R29</f>
        <v>Residential - Space Heating - Middle Income Electrified - Oil LPG - HEAT - E</v>
      </c>
      <c r="D30" s="48" t="str">
        <f>Processes!D33</f>
        <v>PJ,PJa</v>
      </c>
      <c r="E30" s="48" t="str">
        <f>RawDatafrombuFile!S29</f>
        <v>RESOLP</v>
      </c>
      <c r="F30" s="48" t="str">
        <f>RawDatafrombuFile!T29</f>
        <v>RMEH</v>
      </c>
      <c r="H30" s="53">
        <f>INDEX(RawDatafrombuFile!$H$3:$H$602,MATCH($B30&amp;H$5,RawDatafrombuFile!$A$3:$A$602,0))</f>
        <v>0.80610000000000004</v>
      </c>
      <c r="I30" s="53">
        <f>INDEX(RawDatafrombuFile!$H$3:$H$602,MATCH($B30&amp;I$5,RawDatafrombuFile!$A$3:$A$602,0))</f>
        <v>1.3599999999999999E-2</v>
      </c>
      <c r="J30" s="53">
        <f>INDEX(RawDatafrombuFile!$H$3:$H$602,MATCH($B30&amp;J$5,RawDatafrombuFile!$A$3:$A$602,0))</f>
        <v>1.8700000000000001E-2</v>
      </c>
      <c r="K30" s="53">
        <f>INDEX(RawDatafrombuFile!$H$3:$H$602,MATCH($B30&amp;K$5,RawDatafrombuFile!$A$3:$A$602,0))</f>
        <v>0.1094</v>
      </c>
      <c r="L30" s="53">
        <f>INDEX(RawDatafrombuFile!$H$3:$H$602,MATCH($B30&amp;L$5,RawDatafrombuFile!$A$3:$A$602,0))</f>
        <v>0.10730000000000001</v>
      </c>
      <c r="M30" s="53">
        <f>INDEX(RawDatafrombuFile!$H$3:$H$602,MATCH($B30&amp;M$5,RawDatafrombuFile!$A$3:$A$602,0))</f>
        <v>0.3236</v>
      </c>
      <c r="N30" s="53">
        <f>INDEX(RawDatafrombuFile!$H$3:$H$602,MATCH($B30&amp;N$5,RawDatafrombuFile!$A$3:$A$602,0))</f>
        <v>1</v>
      </c>
      <c r="O30" s="53">
        <f>INDEX(RawDatafrombuFile!$H$3:$H$602,MATCH($B30&amp;O$5,RawDatafrombuFile!$A$3:$A$602,0))</f>
        <v>0.69010000000000005</v>
      </c>
    </row>
    <row r="31" spans="2:15" ht="11.25" customHeight="1" x14ac:dyDescent="0.2">
      <c r="B31" s="48" t="str">
        <f>RawDatafrombuFile!Q30</f>
        <v>RMEHGASHEAT-N</v>
      </c>
      <c r="C31" s="48" t="str">
        <f>RawDatafrombuFile!R30</f>
        <v>Residential - Space Heating - Middle Income Electrified - Natural Gas - HEAT - N</v>
      </c>
      <c r="D31" s="48" t="str">
        <f>Processes!D34</f>
        <v>PJ,PJa</v>
      </c>
      <c r="E31" s="48" t="str">
        <f>RawDatafrombuFile!S30</f>
        <v>RESGAS</v>
      </c>
      <c r="F31" s="48" t="str">
        <f>RawDatafrombuFile!T30</f>
        <v>RMEH</v>
      </c>
      <c r="H31" s="53">
        <f>INDEX(RawDatafrombuFile!$H$3:$H$602,MATCH($B31&amp;H$5,RawDatafrombuFile!$A$3:$A$602,0))</f>
        <v>0.80610000000000004</v>
      </c>
      <c r="I31" s="53">
        <f>INDEX(RawDatafrombuFile!$H$3:$H$602,MATCH($B31&amp;I$5,RawDatafrombuFile!$A$3:$A$602,0))</f>
        <v>1.3599999999999999E-2</v>
      </c>
      <c r="J31" s="53">
        <f>INDEX(RawDatafrombuFile!$H$3:$H$602,MATCH($B31&amp;J$5,RawDatafrombuFile!$A$3:$A$602,0))</f>
        <v>1.8700000000000001E-2</v>
      </c>
      <c r="K31" s="53">
        <f>INDEX(RawDatafrombuFile!$H$3:$H$602,MATCH($B31&amp;K$5,RawDatafrombuFile!$A$3:$A$602,0))</f>
        <v>0.1094</v>
      </c>
      <c r="L31" s="53">
        <f>INDEX(RawDatafrombuFile!$H$3:$H$602,MATCH($B31&amp;L$5,RawDatafrombuFile!$A$3:$A$602,0))</f>
        <v>0.10730000000000001</v>
      </c>
      <c r="M31" s="53">
        <f>INDEX(RawDatafrombuFile!$H$3:$H$602,MATCH($B31&amp;M$5,RawDatafrombuFile!$A$3:$A$602,0))</f>
        <v>0.3236</v>
      </c>
      <c r="N31" s="53">
        <f>INDEX(RawDatafrombuFile!$H$3:$H$602,MATCH($B31&amp;N$5,RawDatafrombuFile!$A$3:$A$602,0))</f>
        <v>1</v>
      </c>
      <c r="O31" s="53">
        <f>INDEX(RawDatafrombuFile!$H$3:$H$602,MATCH($B31&amp;O$5,RawDatafrombuFile!$A$3:$A$602,0))</f>
        <v>0.69010000000000005</v>
      </c>
    </row>
    <row r="32" spans="2:15" ht="11.25" customHeight="1" x14ac:dyDescent="0.2">
      <c r="B32" s="48" t="str">
        <f>RawDatafrombuFile!Q31</f>
        <v>RMEWELCGEY-E</v>
      </c>
      <c r="C32" s="48" t="str">
        <f>RawDatafrombuFile!R31</f>
        <v>Residential - Water Heating - Middle Income Electrified - Electricity - GEY - E</v>
      </c>
      <c r="D32" s="48" t="str">
        <f>Processes!D35</f>
        <v>PJ,PJa</v>
      </c>
      <c r="E32" s="48" t="str">
        <f>RawDatafrombuFile!S31</f>
        <v>RESELC</v>
      </c>
      <c r="F32" s="48" t="str">
        <f>RawDatafrombuFile!T31</f>
        <v>RMEWG</v>
      </c>
      <c r="H32" s="53">
        <f>INDEX(RawDatafrombuFile!$H$3:$H$602,MATCH($B32&amp;H$5,RawDatafrombuFile!$A$3:$A$602,0))</f>
        <v>0.4783</v>
      </c>
      <c r="I32" s="53">
        <f>INDEX(RawDatafrombuFile!$H$3:$H$602,MATCH($B32&amp;I$5,RawDatafrombuFile!$A$3:$A$602,0))</f>
        <v>0.55110000000000003</v>
      </c>
      <c r="J32" s="53">
        <f>INDEX(RawDatafrombuFile!$H$3:$H$602,MATCH($B32&amp;J$5,RawDatafrombuFile!$A$3:$A$602,0))</f>
        <v>0.83699999999999997</v>
      </c>
      <c r="K32" s="53">
        <f>INDEX(RawDatafrombuFile!$H$3:$H$602,MATCH($B32&amp;K$5,RawDatafrombuFile!$A$3:$A$602,0))</f>
        <v>0.33439999999999998</v>
      </c>
      <c r="L32" s="53">
        <f>INDEX(RawDatafrombuFile!$H$3:$H$602,MATCH($B32&amp;L$5,RawDatafrombuFile!$A$3:$A$602,0))</f>
        <v>1</v>
      </c>
      <c r="M32" s="53">
        <f>INDEX(RawDatafrombuFile!$H$3:$H$602,MATCH($B32&amp;M$5,RawDatafrombuFile!$A$3:$A$602,0))</f>
        <v>0.4849</v>
      </c>
      <c r="N32" s="53">
        <f>INDEX(RawDatafrombuFile!$H$3:$H$602,MATCH($B32&amp;N$5,RawDatafrombuFile!$A$3:$A$602,0))</f>
        <v>0.95599999999999996</v>
      </c>
      <c r="O32" s="53">
        <f>INDEX(RawDatafrombuFile!$H$3:$H$602,MATCH($B32&amp;O$5,RawDatafrombuFile!$A$3:$A$602,0))</f>
        <v>0.82</v>
      </c>
    </row>
    <row r="33" spans="2:15" ht="11.25" customHeight="1" x14ac:dyDescent="0.2">
      <c r="B33" s="48" t="str">
        <f>RawDatafrombuFile!Q32</f>
        <v>RMEWELCSWH-E</v>
      </c>
      <c r="C33" s="48" t="str">
        <f>RawDatafrombuFile!R32</f>
        <v>Residential - Water Heating - Middle Income Electrified - Electricity - SWH - Low pressure</v>
      </c>
      <c r="D33" s="48" t="str">
        <f>Processes!D36</f>
        <v>PJ,PJa</v>
      </c>
      <c r="E33" s="48" t="str">
        <f>RawDatafrombuFile!S32</f>
        <v>RESELC</v>
      </c>
      <c r="F33" s="48" t="str">
        <f>RawDatafrombuFile!T32</f>
        <v>RMEWG</v>
      </c>
      <c r="H33" s="53">
        <f>INDEX(RawDatafrombuFile!$H$3:$H$602,MATCH($B33&amp;H$5,RawDatafrombuFile!$A$3:$A$602,0))</f>
        <v>0.4783</v>
      </c>
      <c r="I33" s="53">
        <f>INDEX(RawDatafrombuFile!$H$3:$H$602,MATCH($B33&amp;I$5,RawDatafrombuFile!$A$3:$A$602,0))</f>
        <v>0.55110000000000003</v>
      </c>
      <c r="J33" s="53">
        <f>INDEX(RawDatafrombuFile!$H$3:$H$602,MATCH($B33&amp;J$5,RawDatafrombuFile!$A$3:$A$602,0))</f>
        <v>0.83699999999999997</v>
      </c>
      <c r="K33" s="53">
        <f>INDEX(RawDatafrombuFile!$H$3:$H$602,MATCH($B33&amp;K$5,RawDatafrombuFile!$A$3:$A$602,0))</f>
        <v>0.33439999999999998</v>
      </c>
      <c r="L33" s="53">
        <f>INDEX(RawDatafrombuFile!$H$3:$H$602,MATCH($B33&amp;L$5,RawDatafrombuFile!$A$3:$A$602,0))</f>
        <v>1</v>
      </c>
      <c r="M33" s="53">
        <f>INDEX(RawDatafrombuFile!$H$3:$H$602,MATCH($B33&amp;M$5,RawDatafrombuFile!$A$3:$A$602,0))</f>
        <v>0.4849</v>
      </c>
      <c r="N33" s="53">
        <f>INDEX(RawDatafrombuFile!$H$3:$H$602,MATCH($B33&amp;N$5,RawDatafrombuFile!$A$3:$A$602,0))</f>
        <v>0.95599999999999996</v>
      </c>
      <c r="O33" s="53">
        <f>INDEX(RawDatafrombuFile!$H$3:$H$602,MATCH($B33&amp;O$5,RawDatafrombuFile!$A$3:$A$602,0))</f>
        <v>0.82</v>
      </c>
    </row>
    <row r="34" spans="2:15" ht="11.25" customHeight="1" x14ac:dyDescent="0.2">
      <c r="B34" s="48" t="str">
        <f>RawDatafrombuFile!Q33</f>
        <v>RMEWELCCHP-N</v>
      </c>
      <c r="C34" s="48" t="str">
        <f>RawDatafrombuFile!R33</f>
        <v>Residential - Water Heating - Middle Income Electrified - Electricity - HP - N</v>
      </c>
      <c r="D34" s="48" t="str">
        <f>Processes!D37</f>
        <v>PJ,PJa</v>
      </c>
      <c r="E34" s="48" t="str">
        <f>RawDatafrombuFile!S33</f>
        <v>RESELC</v>
      </c>
      <c r="F34" s="48" t="str">
        <f>RawDatafrombuFile!T33</f>
        <v>RMEWG</v>
      </c>
      <c r="H34" s="53">
        <f>INDEX(RawDatafrombuFile!$H$3:$H$602,MATCH($B34&amp;H$5,RawDatafrombuFile!$A$3:$A$602,0))</f>
        <v>0.4783</v>
      </c>
      <c r="I34" s="53">
        <f>INDEX(RawDatafrombuFile!$H$3:$H$602,MATCH($B34&amp;I$5,RawDatafrombuFile!$A$3:$A$602,0))</f>
        <v>0.55110000000000003</v>
      </c>
      <c r="J34" s="53">
        <f>INDEX(RawDatafrombuFile!$H$3:$H$602,MATCH($B34&amp;J$5,RawDatafrombuFile!$A$3:$A$602,0))</f>
        <v>0.83699999999999997</v>
      </c>
      <c r="K34" s="53">
        <f>INDEX(RawDatafrombuFile!$H$3:$H$602,MATCH($B34&amp;K$5,RawDatafrombuFile!$A$3:$A$602,0))</f>
        <v>0.33439999999999998</v>
      </c>
      <c r="L34" s="53">
        <f>INDEX(RawDatafrombuFile!$H$3:$H$602,MATCH($B34&amp;L$5,RawDatafrombuFile!$A$3:$A$602,0))</f>
        <v>1</v>
      </c>
      <c r="M34" s="53">
        <f>INDEX(RawDatafrombuFile!$H$3:$H$602,MATCH($B34&amp;M$5,RawDatafrombuFile!$A$3:$A$602,0))</f>
        <v>0.4849</v>
      </c>
      <c r="N34" s="53">
        <f>INDEX(RawDatafrombuFile!$H$3:$H$602,MATCH($B34&amp;N$5,RawDatafrombuFile!$A$3:$A$602,0))</f>
        <v>0.95599999999999996</v>
      </c>
      <c r="O34" s="53">
        <f>INDEX(RawDatafrombuFile!$H$3:$H$602,MATCH($B34&amp;O$5,RawDatafrombuFile!$A$3:$A$602,0))</f>
        <v>0.82</v>
      </c>
    </row>
    <row r="35" spans="2:15" ht="11.25" customHeight="1" x14ac:dyDescent="0.2">
      <c r="B35" s="48" t="str">
        <f>RawDatafrombuFile!Q34</f>
        <v>RMEWELCKET-E</v>
      </c>
      <c r="C35" s="48" t="str">
        <f>RawDatafrombuFile!R34</f>
        <v>Residential - Water Heating - Middle Income Electrified - Electricity - Kettle - E</v>
      </c>
      <c r="D35" s="48" t="str">
        <f>Processes!D38</f>
        <v>PJ,PJa</v>
      </c>
      <c r="E35" s="48" t="str">
        <f>RawDatafrombuFile!S34</f>
        <v>RESELC</v>
      </c>
      <c r="F35" s="48" t="str">
        <f>RawDatafrombuFile!T34</f>
        <v>RMEW</v>
      </c>
      <c r="H35" s="53">
        <f>INDEX(RawDatafrombuFile!$H$3:$H$602,MATCH($B35&amp;H$5,RawDatafrombuFile!$A$3:$A$602,0))</f>
        <v>0.4783</v>
      </c>
      <c r="I35" s="53">
        <f>INDEX(RawDatafrombuFile!$H$3:$H$602,MATCH($B35&amp;I$5,RawDatafrombuFile!$A$3:$A$602,0))</f>
        <v>0.55110000000000003</v>
      </c>
      <c r="J35" s="53">
        <f>INDEX(RawDatafrombuFile!$H$3:$H$602,MATCH($B35&amp;J$5,RawDatafrombuFile!$A$3:$A$602,0))</f>
        <v>0.83699999999999997</v>
      </c>
      <c r="K35" s="53">
        <f>INDEX(RawDatafrombuFile!$H$3:$H$602,MATCH($B35&amp;K$5,RawDatafrombuFile!$A$3:$A$602,0))</f>
        <v>0.33439999999999998</v>
      </c>
      <c r="L35" s="53">
        <f>INDEX(RawDatafrombuFile!$H$3:$H$602,MATCH($B35&amp;L$5,RawDatafrombuFile!$A$3:$A$602,0))</f>
        <v>1</v>
      </c>
      <c r="M35" s="53">
        <f>INDEX(RawDatafrombuFile!$H$3:$H$602,MATCH($B35&amp;M$5,RawDatafrombuFile!$A$3:$A$602,0))</f>
        <v>0.4849</v>
      </c>
      <c r="N35" s="53">
        <f>INDEX(RawDatafrombuFile!$H$3:$H$602,MATCH($B35&amp;N$5,RawDatafrombuFile!$A$3:$A$602,0))</f>
        <v>0.95599999999999996</v>
      </c>
      <c r="O35" s="53">
        <f>INDEX(RawDatafrombuFile!$H$3:$H$602,MATCH($B35&amp;O$5,RawDatafrombuFile!$A$3:$A$602,0))</f>
        <v>0.82</v>
      </c>
    </row>
    <row r="36" spans="2:15" ht="11.25" customHeight="1" x14ac:dyDescent="0.2">
      <c r="B36" s="48" t="str">
        <f>RawDatafrombuFile!Q35</f>
        <v>RMEWOKEKETPR-E</v>
      </c>
      <c r="C36" s="48" t="str">
        <f>RawDatafrombuFile!R35</f>
        <v>Residential - Water Heating - Middle Income Electrified - Oil Paraffin - KETPR - E</v>
      </c>
      <c r="D36" s="48" t="str">
        <f>Processes!D39</f>
        <v>PJ,PJa</v>
      </c>
      <c r="E36" s="48" t="str">
        <f>RawDatafrombuFile!S35</f>
        <v>RESOKE</v>
      </c>
      <c r="F36" s="48" t="str">
        <f>RawDatafrombuFile!T35</f>
        <v>RMEW</v>
      </c>
      <c r="H36" s="53">
        <f>INDEX(RawDatafrombuFile!$H$3:$H$602,MATCH($B36&amp;H$5,RawDatafrombuFile!$A$3:$A$602,0))</f>
        <v>0.4783</v>
      </c>
      <c r="I36" s="53">
        <f>INDEX(RawDatafrombuFile!$H$3:$H$602,MATCH($B36&amp;I$5,RawDatafrombuFile!$A$3:$A$602,0))</f>
        <v>0.55110000000000003</v>
      </c>
      <c r="J36" s="53">
        <f>INDEX(RawDatafrombuFile!$H$3:$H$602,MATCH($B36&amp;J$5,RawDatafrombuFile!$A$3:$A$602,0))</f>
        <v>0.83699999999999997</v>
      </c>
      <c r="K36" s="53">
        <f>INDEX(RawDatafrombuFile!$H$3:$H$602,MATCH($B36&amp;K$5,RawDatafrombuFile!$A$3:$A$602,0))</f>
        <v>0.33439999999999998</v>
      </c>
      <c r="L36" s="53">
        <f>INDEX(RawDatafrombuFile!$H$3:$H$602,MATCH($B36&amp;L$5,RawDatafrombuFile!$A$3:$A$602,0))</f>
        <v>1</v>
      </c>
      <c r="M36" s="53">
        <f>INDEX(RawDatafrombuFile!$H$3:$H$602,MATCH($B36&amp;M$5,RawDatafrombuFile!$A$3:$A$602,0))</f>
        <v>0.4849</v>
      </c>
      <c r="N36" s="53">
        <f>INDEX(RawDatafrombuFile!$H$3:$H$602,MATCH($B36&amp;N$5,RawDatafrombuFile!$A$3:$A$602,0))</f>
        <v>0.95599999999999996</v>
      </c>
      <c r="O36" s="53">
        <f>INDEX(RawDatafrombuFile!$H$3:$H$602,MATCH($B36&amp;O$5,RawDatafrombuFile!$A$3:$A$602,0))</f>
        <v>0.82</v>
      </c>
    </row>
    <row r="37" spans="2:15" ht="11.25" customHeight="1" x14ac:dyDescent="0.2">
      <c r="B37" s="48" t="str">
        <f>RawDatafrombuFile!Q36</f>
        <v>RMEWBIWKETBI-E</v>
      </c>
      <c r="C37" s="48" t="str">
        <f>RawDatafrombuFile!R36</f>
        <v>Residential - Water Heating - Middle Income Electrified - Biomass Wood - KETBI - E</v>
      </c>
      <c r="D37" s="48" t="str">
        <f>Processes!D40</f>
        <v>PJ,PJa</v>
      </c>
      <c r="E37" s="48" t="str">
        <f>RawDatafrombuFile!S36</f>
        <v>RESBIW</v>
      </c>
      <c r="F37" s="48" t="str">
        <f>RawDatafrombuFile!T36</f>
        <v>RMEW</v>
      </c>
      <c r="H37" s="53">
        <f>INDEX(RawDatafrombuFile!$H$3:$H$602,MATCH($B37&amp;H$5,RawDatafrombuFile!$A$3:$A$602,0))</f>
        <v>0.4783</v>
      </c>
      <c r="I37" s="53">
        <f>INDEX(RawDatafrombuFile!$H$3:$H$602,MATCH($B37&amp;I$5,RawDatafrombuFile!$A$3:$A$602,0))</f>
        <v>0.55110000000000003</v>
      </c>
      <c r="J37" s="53">
        <f>INDEX(RawDatafrombuFile!$H$3:$H$602,MATCH($B37&amp;J$5,RawDatafrombuFile!$A$3:$A$602,0))</f>
        <v>0.83699999999999997</v>
      </c>
      <c r="K37" s="53">
        <f>INDEX(RawDatafrombuFile!$H$3:$H$602,MATCH($B37&amp;K$5,RawDatafrombuFile!$A$3:$A$602,0))</f>
        <v>0.33439999999999998</v>
      </c>
      <c r="L37" s="53">
        <f>INDEX(RawDatafrombuFile!$H$3:$H$602,MATCH($B37&amp;L$5,RawDatafrombuFile!$A$3:$A$602,0))</f>
        <v>1</v>
      </c>
      <c r="M37" s="53">
        <f>INDEX(RawDatafrombuFile!$H$3:$H$602,MATCH($B37&amp;M$5,RawDatafrombuFile!$A$3:$A$602,0))</f>
        <v>0.4849</v>
      </c>
      <c r="N37" s="53">
        <f>INDEX(RawDatafrombuFile!$H$3:$H$602,MATCH($B37&amp;N$5,RawDatafrombuFile!$A$3:$A$602,0))</f>
        <v>0.95599999999999996</v>
      </c>
      <c r="O37" s="53">
        <f>INDEX(RawDatafrombuFile!$H$3:$H$602,MATCH($B37&amp;O$5,RawDatafrombuFile!$A$3:$A$602,0))</f>
        <v>0.82</v>
      </c>
    </row>
    <row r="38" spans="2:15" ht="11.25" customHeight="1" x14ac:dyDescent="0.2">
      <c r="B38" s="48" t="str">
        <f>RawDatafrombuFile!Q37</f>
        <v>RMEWCOASTOV-E</v>
      </c>
      <c r="C38" s="48" t="str">
        <f>RawDatafrombuFile!R37</f>
        <v>Residential - Water Heating - Middle Income Electrified - Coal - STOV - E</v>
      </c>
      <c r="D38" s="48" t="str">
        <f>Processes!D41</f>
        <v>PJ,PJa</v>
      </c>
      <c r="E38" s="48" t="str">
        <f>RawDatafrombuFile!S37</f>
        <v>RESCOA</v>
      </c>
      <c r="F38" s="48" t="str">
        <f>RawDatafrombuFile!T37</f>
        <v>RMEW</v>
      </c>
      <c r="H38" s="53">
        <f>INDEX(RawDatafrombuFile!$H$3:$H$602,MATCH($B38&amp;H$5,RawDatafrombuFile!$A$3:$A$602,0))</f>
        <v>0.4783</v>
      </c>
      <c r="I38" s="53">
        <f>INDEX(RawDatafrombuFile!$H$3:$H$602,MATCH($B38&amp;I$5,RawDatafrombuFile!$A$3:$A$602,0))</f>
        <v>0.55110000000000003</v>
      </c>
      <c r="J38" s="53">
        <f>INDEX(RawDatafrombuFile!$H$3:$H$602,MATCH($B38&amp;J$5,RawDatafrombuFile!$A$3:$A$602,0))</f>
        <v>0.83699999999999997</v>
      </c>
      <c r="K38" s="53">
        <f>INDEX(RawDatafrombuFile!$H$3:$H$602,MATCH($B38&amp;K$5,RawDatafrombuFile!$A$3:$A$602,0))</f>
        <v>0.33439999999999998</v>
      </c>
      <c r="L38" s="53">
        <f>INDEX(RawDatafrombuFile!$H$3:$H$602,MATCH($B38&amp;L$5,RawDatafrombuFile!$A$3:$A$602,0))</f>
        <v>1</v>
      </c>
      <c r="M38" s="53">
        <f>INDEX(RawDatafrombuFile!$H$3:$H$602,MATCH($B38&amp;M$5,RawDatafrombuFile!$A$3:$A$602,0))</f>
        <v>0.4849</v>
      </c>
      <c r="N38" s="53">
        <f>INDEX(RawDatafrombuFile!$H$3:$H$602,MATCH($B38&amp;N$5,RawDatafrombuFile!$A$3:$A$602,0))</f>
        <v>0.95599999999999996</v>
      </c>
      <c r="O38" s="53">
        <f>INDEX(RawDatafrombuFile!$H$3:$H$602,MATCH($B38&amp;O$5,RawDatafrombuFile!$A$3:$A$602,0))</f>
        <v>0.82</v>
      </c>
    </row>
    <row r="39" spans="2:15" ht="11.25" customHeight="1" x14ac:dyDescent="0.2">
      <c r="B39" s="48" t="str">
        <f>RawDatafrombuFile!Q38</f>
        <v>RMEWOLPKETLPG-E</v>
      </c>
      <c r="C39" s="48" t="str">
        <f>RawDatafrombuFile!R38</f>
        <v>Residential - Water Heating - Middle Income Electrified - Oil LPG - KETLPG - E</v>
      </c>
      <c r="D39" s="48" t="str">
        <f>Processes!D42</f>
        <v>PJ,PJa</v>
      </c>
      <c r="E39" s="48" t="str">
        <f>RawDatafrombuFile!S38</f>
        <v>RESOLP</v>
      </c>
      <c r="F39" s="48" t="str">
        <f>RawDatafrombuFile!T38</f>
        <v>RMEW</v>
      </c>
      <c r="H39" s="53">
        <f>INDEX(RawDatafrombuFile!$H$3:$H$602,MATCH($B39&amp;H$5,RawDatafrombuFile!$A$3:$A$602,0))</f>
        <v>0.4783</v>
      </c>
      <c r="I39" s="53">
        <f>INDEX(RawDatafrombuFile!$H$3:$H$602,MATCH($B39&amp;I$5,RawDatafrombuFile!$A$3:$A$602,0))</f>
        <v>0.55110000000000003</v>
      </c>
      <c r="J39" s="53">
        <f>INDEX(RawDatafrombuFile!$H$3:$H$602,MATCH($B39&amp;J$5,RawDatafrombuFile!$A$3:$A$602,0))</f>
        <v>0.83699999999999997</v>
      </c>
      <c r="K39" s="53">
        <f>INDEX(RawDatafrombuFile!$H$3:$H$602,MATCH($B39&amp;K$5,RawDatafrombuFile!$A$3:$A$602,0))</f>
        <v>0.33439999999999998</v>
      </c>
      <c r="L39" s="53">
        <f>INDEX(RawDatafrombuFile!$H$3:$H$602,MATCH($B39&amp;L$5,RawDatafrombuFile!$A$3:$A$602,0))</f>
        <v>1</v>
      </c>
      <c r="M39" s="53">
        <f>INDEX(RawDatafrombuFile!$H$3:$H$602,MATCH($B39&amp;M$5,RawDatafrombuFile!$A$3:$A$602,0))</f>
        <v>0.4849</v>
      </c>
      <c r="N39" s="53">
        <f>INDEX(RawDatafrombuFile!$H$3:$H$602,MATCH($B39&amp;N$5,RawDatafrombuFile!$A$3:$A$602,0))</f>
        <v>0.95599999999999996</v>
      </c>
      <c r="O39" s="53">
        <f>INDEX(RawDatafrombuFile!$H$3:$H$602,MATCH($B39&amp;O$5,RawDatafrombuFile!$A$3:$A$602,0))</f>
        <v>0.82</v>
      </c>
    </row>
    <row r="40" spans="2:15" ht="11.25" customHeight="1" x14ac:dyDescent="0.2">
      <c r="B40" s="48" t="str">
        <f>RawDatafrombuFile!Q39</f>
        <v>RMEWGASGEY-N</v>
      </c>
      <c r="C40" s="48" t="str">
        <f>RawDatafrombuFile!R39</f>
        <v>Residential - Water Heating - Middle Income Electrified - Natural Gas - GEY - N</v>
      </c>
      <c r="D40" s="48" t="str">
        <f>Processes!D43</f>
        <v>PJ,PJa</v>
      </c>
      <c r="E40" s="48" t="str">
        <f>RawDatafrombuFile!S39</f>
        <v>RESGAS</v>
      </c>
      <c r="F40" s="48" t="str">
        <f>RawDatafrombuFile!T39</f>
        <v>RMEW</v>
      </c>
      <c r="H40" s="53">
        <f>INDEX(RawDatafrombuFile!$H$3:$H$602,MATCH($B40&amp;H$5,RawDatafrombuFile!$A$3:$A$602,0))</f>
        <v>0.4783</v>
      </c>
      <c r="I40" s="53">
        <f>INDEX(RawDatafrombuFile!$H$3:$H$602,MATCH($B40&amp;I$5,RawDatafrombuFile!$A$3:$A$602,0))</f>
        <v>0.55110000000000003</v>
      </c>
      <c r="J40" s="53">
        <f>INDEX(RawDatafrombuFile!$H$3:$H$602,MATCH($B40&amp;J$5,RawDatafrombuFile!$A$3:$A$602,0))</f>
        <v>0.83699999999999997</v>
      </c>
      <c r="K40" s="53">
        <f>INDEX(RawDatafrombuFile!$H$3:$H$602,MATCH($B40&amp;K$5,RawDatafrombuFile!$A$3:$A$602,0))</f>
        <v>0.33439999999999998</v>
      </c>
      <c r="L40" s="53">
        <f>INDEX(RawDatafrombuFile!$H$3:$H$602,MATCH($B40&amp;L$5,RawDatafrombuFile!$A$3:$A$602,0))</f>
        <v>1</v>
      </c>
      <c r="M40" s="53">
        <f>INDEX(RawDatafrombuFile!$H$3:$H$602,MATCH($B40&amp;M$5,RawDatafrombuFile!$A$3:$A$602,0))</f>
        <v>0.4849</v>
      </c>
      <c r="N40" s="53">
        <f>INDEX(RawDatafrombuFile!$H$3:$H$602,MATCH($B40&amp;N$5,RawDatafrombuFile!$A$3:$A$602,0))</f>
        <v>0.95599999999999996</v>
      </c>
      <c r="O40" s="53">
        <f>INDEX(RawDatafrombuFile!$H$3:$H$602,MATCH($B40&amp;O$5,RawDatafrombuFile!$A$3:$A$602,0))</f>
        <v>0.82</v>
      </c>
    </row>
    <row r="41" spans="2:15" ht="11.25" customHeight="1" x14ac:dyDescent="0.2">
      <c r="B41" s="48" t="str">
        <f>RawDatafrombuFile!Q40</f>
        <v>RHEKELCSTOV-E</v>
      </c>
      <c r="C41" s="48" t="str">
        <f>RawDatafrombuFile!R40</f>
        <v>Residential - Cooking - High Income Electrified - Electricity - STOV - E</v>
      </c>
      <c r="D41" s="48" t="str">
        <f>Processes!D44</f>
        <v>PJ,PJa</v>
      </c>
      <c r="E41" s="48" t="str">
        <f>RawDatafrombuFile!S40</f>
        <v>RESELC</v>
      </c>
      <c r="F41" s="48" t="str">
        <f>RawDatafrombuFile!T40</f>
        <v>RHEK</v>
      </c>
      <c r="H41" s="53">
        <f>INDEX(RawDatafrombuFile!$H$3:$H$602,MATCH($B41&amp;H$5,RawDatafrombuFile!$A$3:$A$602,0))</f>
        <v>0.27060000000000001</v>
      </c>
      <c r="I41" s="53">
        <f>INDEX(RawDatafrombuFile!$H$3:$H$602,MATCH($B41&amp;I$5,RawDatafrombuFile!$A$3:$A$602,0))</f>
        <v>0.6472</v>
      </c>
      <c r="J41" s="53">
        <f>INDEX(RawDatafrombuFile!$H$3:$H$602,MATCH($B41&amp;J$5,RawDatafrombuFile!$A$3:$A$602,0))</f>
        <v>0.85950000000000004</v>
      </c>
      <c r="K41" s="53">
        <f>INDEX(RawDatafrombuFile!$H$3:$H$602,MATCH($B41&amp;K$5,RawDatafrombuFile!$A$3:$A$602,0))</f>
        <v>0.22650000000000001</v>
      </c>
      <c r="L41" s="53">
        <f>INDEX(RawDatafrombuFile!$H$3:$H$602,MATCH($B41&amp;L$5,RawDatafrombuFile!$A$3:$A$602,0))</f>
        <v>0.55369999999999997</v>
      </c>
      <c r="M41" s="53">
        <f>INDEX(RawDatafrombuFile!$H$3:$H$602,MATCH($B41&amp;M$5,RawDatafrombuFile!$A$3:$A$602,0))</f>
        <v>1</v>
      </c>
      <c r="N41" s="53">
        <f>INDEX(RawDatafrombuFile!$H$3:$H$602,MATCH($B41&amp;N$5,RawDatafrombuFile!$A$3:$A$602,0))</f>
        <v>0.70509999999999995</v>
      </c>
      <c r="O41" s="53">
        <f>INDEX(RawDatafrombuFile!$H$3:$H$602,MATCH($B41&amp;O$5,RawDatafrombuFile!$A$3:$A$602,0))</f>
        <v>0.33400000000000002</v>
      </c>
    </row>
    <row r="42" spans="2:15" ht="11.25" customHeight="1" x14ac:dyDescent="0.2">
      <c r="B42" s="48" t="str">
        <f>RawDatafrombuFile!Q41</f>
        <v>RHEKOLPSTOV-E</v>
      </c>
      <c r="C42" s="48" t="str">
        <f>RawDatafrombuFile!R41</f>
        <v>Residential - Cooking - High Income Electrified - Oil LPG - STOV - E</v>
      </c>
      <c r="D42" s="48" t="str">
        <f>Processes!D45</f>
        <v>PJ,PJa</v>
      </c>
      <c r="E42" s="48" t="str">
        <f>RawDatafrombuFile!S41</f>
        <v>RESOLP</v>
      </c>
      <c r="F42" s="48" t="str">
        <f>RawDatafrombuFile!T41</f>
        <v>RHEK</v>
      </c>
      <c r="H42" s="53">
        <f>INDEX(RawDatafrombuFile!$H$3:$H$602,MATCH($B42&amp;H$5,RawDatafrombuFile!$A$3:$A$602,0))</f>
        <v>0.27060000000000001</v>
      </c>
      <c r="I42" s="53">
        <f>INDEX(RawDatafrombuFile!$H$3:$H$602,MATCH($B42&amp;I$5,RawDatafrombuFile!$A$3:$A$602,0))</f>
        <v>0.6472</v>
      </c>
      <c r="J42" s="53">
        <f>INDEX(RawDatafrombuFile!$H$3:$H$602,MATCH($B42&amp;J$5,RawDatafrombuFile!$A$3:$A$602,0))</f>
        <v>0.85950000000000004</v>
      </c>
      <c r="K42" s="53">
        <f>INDEX(RawDatafrombuFile!$H$3:$H$602,MATCH($B42&amp;K$5,RawDatafrombuFile!$A$3:$A$602,0))</f>
        <v>0.22650000000000001</v>
      </c>
      <c r="L42" s="53">
        <f>INDEX(RawDatafrombuFile!$H$3:$H$602,MATCH($B42&amp;L$5,RawDatafrombuFile!$A$3:$A$602,0))</f>
        <v>0.55369999999999997</v>
      </c>
      <c r="M42" s="53">
        <f>INDEX(RawDatafrombuFile!$H$3:$H$602,MATCH($B42&amp;M$5,RawDatafrombuFile!$A$3:$A$602,0))</f>
        <v>1</v>
      </c>
      <c r="N42" s="53">
        <f>INDEX(RawDatafrombuFile!$H$3:$H$602,MATCH($B42&amp;N$5,RawDatafrombuFile!$A$3:$A$602,0))</f>
        <v>0.70509999999999995</v>
      </c>
      <c r="O42" s="53">
        <f>INDEX(RawDatafrombuFile!$H$3:$H$602,MATCH($B42&amp;O$5,RawDatafrombuFile!$A$3:$A$602,0))</f>
        <v>0.33400000000000002</v>
      </c>
    </row>
    <row r="43" spans="2:15" ht="11.25" customHeight="1" x14ac:dyDescent="0.2">
      <c r="B43" s="48" t="str">
        <f>RawDatafrombuFile!Q42</f>
        <v>RHEKBIWSTOV-E</v>
      </c>
      <c r="C43" s="48" t="str">
        <f>RawDatafrombuFile!R42</f>
        <v>Residential - Cooking - High Income Electrified - Biomass Wood - STOV - E</v>
      </c>
      <c r="D43" s="48" t="str">
        <f>Processes!D46</f>
        <v>PJ,PJa</v>
      </c>
      <c r="E43" s="48" t="str">
        <f>RawDatafrombuFile!S42</f>
        <v>RESBIW</v>
      </c>
      <c r="F43" s="48" t="str">
        <f>RawDatafrombuFile!T42</f>
        <v>RHEK</v>
      </c>
      <c r="H43" s="53">
        <f>INDEX(RawDatafrombuFile!$H$3:$H$602,MATCH($B43&amp;H$5,RawDatafrombuFile!$A$3:$A$602,0))</f>
        <v>0.27060000000000001</v>
      </c>
      <c r="I43" s="53">
        <f>INDEX(RawDatafrombuFile!$H$3:$H$602,MATCH($B43&amp;I$5,RawDatafrombuFile!$A$3:$A$602,0))</f>
        <v>0.6472</v>
      </c>
      <c r="J43" s="53">
        <f>INDEX(RawDatafrombuFile!$H$3:$H$602,MATCH($B43&amp;J$5,RawDatafrombuFile!$A$3:$A$602,0))</f>
        <v>0.85950000000000004</v>
      </c>
      <c r="K43" s="53">
        <f>INDEX(RawDatafrombuFile!$H$3:$H$602,MATCH($B43&amp;K$5,RawDatafrombuFile!$A$3:$A$602,0))</f>
        <v>0.22650000000000001</v>
      </c>
      <c r="L43" s="53">
        <f>INDEX(RawDatafrombuFile!$H$3:$H$602,MATCH($B43&amp;L$5,RawDatafrombuFile!$A$3:$A$602,0))</f>
        <v>0.55369999999999997</v>
      </c>
      <c r="M43" s="53">
        <f>INDEX(RawDatafrombuFile!$H$3:$H$602,MATCH($B43&amp;M$5,RawDatafrombuFile!$A$3:$A$602,0))</f>
        <v>1</v>
      </c>
      <c r="N43" s="53">
        <f>INDEX(RawDatafrombuFile!$H$3:$H$602,MATCH($B43&amp;N$5,RawDatafrombuFile!$A$3:$A$602,0))</f>
        <v>0.70509999999999995</v>
      </c>
      <c r="O43" s="53">
        <f>INDEX(RawDatafrombuFile!$H$3:$H$602,MATCH($B43&amp;O$5,RawDatafrombuFile!$A$3:$A$602,0))</f>
        <v>0.33400000000000002</v>
      </c>
    </row>
    <row r="44" spans="2:15" ht="11.25" customHeight="1" x14ac:dyDescent="0.2">
      <c r="B44" s="48" t="str">
        <f>RawDatafrombuFile!Q43</f>
        <v>RHEKOKEPRIMUS-E</v>
      </c>
      <c r="C44" s="48" t="str">
        <f>RawDatafrombuFile!R43</f>
        <v>Residential - Cooking - High Income Electrified - Oil Paraffin - PRIMUS - E</v>
      </c>
      <c r="D44" s="48" t="str">
        <f>Processes!D47</f>
        <v>PJ,PJa</v>
      </c>
      <c r="E44" s="48" t="str">
        <f>RawDatafrombuFile!S43</f>
        <v>RESOKE</v>
      </c>
      <c r="F44" s="48" t="str">
        <f>RawDatafrombuFile!T43</f>
        <v>RHEK</v>
      </c>
      <c r="H44" s="53">
        <f>INDEX(RawDatafrombuFile!$H$3:$H$602,MATCH($B44&amp;H$5,RawDatafrombuFile!$A$3:$A$602,0))</f>
        <v>0.27060000000000001</v>
      </c>
      <c r="I44" s="53">
        <f>INDEX(RawDatafrombuFile!$H$3:$H$602,MATCH($B44&amp;I$5,RawDatafrombuFile!$A$3:$A$602,0))</f>
        <v>0.6472</v>
      </c>
      <c r="J44" s="53">
        <f>INDEX(RawDatafrombuFile!$H$3:$H$602,MATCH($B44&amp;J$5,RawDatafrombuFile!$A$3:$A$602,0))</f>
        <v>0.85950000000000004</v>
      </c>
      <c r="K44" s="53">
        <f>INDEX(RawDatafrombuFile!$H$3:$H$602,MATCH($B44&amp;K$5,RawDatafrombuFile!$A$3:$A$602,0))</f>
        <v>0.22650000000000001</v>
      </c>
      <c r="L44" s="53">
        <f>INDEX(RawDatafrombuFile!$H$3:$H$602,MATCH($B44&amp;L$5,RawDatafrombuFile!$A$3:$A$602,0))</f>
        <v>0.55369999999999997</v>
      </c>
      <c r="M44" s="53">
        <f>INDEX(RawDatafrombuFile!$H$3:$H$602,MATCH($B44&amp;M$5,RawDatafrombuFile!$A$3:$A$602,0))</f>
        <v>1</v>
      </c>
      <c r="N44" s="53">
        <f>INDEX(RawDatafrombuFile!$H$3:$H$602,MATCH($B44&amp;N$5,RawDatafrombuFile!$A$3:$A$602,0))</f>
        <v>0.70509999999999995</v>
      </c>
      <c r="O44" s="53">
        <f>INDEX(RawDatafrombuFile!$H$3:$H$602,MATCH($B44&amp;O$5,RawDatafrombuFile!$A$3:$A$602,0))</f>
        <v>0.33400000000000002</v>
      </c>
    </row>
    <row r="45" spans="2:15" ht="11.25" customHeight="1" x14ac:dyDescent="0.2">
      <c r="B45" s="48" t="str">
        <f>RawDatafrombuFile!Q44</f>
        <v>RHEKGASSTOV-E</v>
      </c>
      <c r="C45" s="48" t="str">
        <f>RawDatafrombuFile!R44</f>
        <v>Residential - Cooking - High Income Electrified - Natural Gas - STOV - E</v>
      </c>
      <c r="D45" s="48" t="str">
        <f>Processes!D48</f>
        <v>PJ,PJa</v>
      </c>
      <c r="E45" s="48" t="str">
        <f>RawDatafrombuFile!S44</f>
        <v>RESGAS</v>
      </c>
      <c r="F45" s="48" t="str">
        <f>RawDatafrombuFile!T44</f>
        <v>RHEK</v>
      </c>
      <c r="H45" s="53">
        <f>INDEX(RawDatafrombuFile!$H$3:$H$602,MATCH($B45&amp;H$5,RawDatafrombuFile!$A$3:$A$602,0))</f>
        <v>0.27060000000000001</v>
      </c>
      <c r="I45" s="53">
        <f>INDEX(RawDatafrombuFile!$H$3:$H$602,MATCH($B45&amp;I$5,RawDatafrombuFile!$A$3:$A$602,0))</f>
        <v>0.6472</v>
      </c>
      <c r="J45" s="53">
        <f>INDEX(RawDatafrombuFile!$H$3:$H$602,MATCH($B45&amp;J$5,RawDatafrombuFile!$A$3:$A$602,0))</f>
        <v>0.85950000000000004</v>
      </c>
      <c r="K45" s="53">
        <f>INDEX(RawDatafrombuFile!$H$3:$H$602,MATCH($B45&amp;K$5,RawDatafrombuFile!$A$3:$A$602,0))</f>
        <v>0.22650000000000001</v>
      </c>
      <c r="L45" s="53">
        <f>INDEX(RawDatafrombuFile!$H$3:$H$602,MATCH($B45&amp;L$5,RawDatafrombuFile!$A$3:$A$602,0))</f>
        <v>0.55369999999999997</v>
      </c>
      <c r="M45" s="53">
        <f>INDEX(RawDatafrombuFile!$H$3:$H$602,MATCH($B45&amp;M$5,RawDatafrombuFile!$A$3:$A$602,0))</f>
        <v>1</v>
      </c>
      <c r="N45" s="53">
        <f>INDEX(RawDatafrombuFile!$H$3:$H$602,MATCH($B45&amp;N$5,RawDatafrombuFile!$A$3:$A$602,0))</f>
        <v>0.70509999999999995</v>
      </c>
      <c r="O45" s="53">
        <f>INDEX(RawDatafrombuFile!$H$3:$H$602,MATCH($B45&amp;O$5,RawDatafrombuFile!$A$3:$A$602,0))</f>
        <v>0.33400000000000002</v>
      </c>
    </row>
    <row r="46" spans="2:15" ht="11.25" customHeight="1" x14ac:dyDescent="0.2">
      <c r="B46" s="48" t="str">
        <f>RawDatafrombuFile!Q45</f>
        <v>RHEHELCHEATFIN-E</v>
      </c>
      <c r="C46" s="48" t="str">
        <f>RawDatafrombuFile!R45</f>
        <v>Residential - Space Heating - High Income Electrified - Electricity - HEATFIN - E</v>
      </c>
      <c r="D46" s="48" t="str">
        <f>Processes!D49</f>
        <v>PJ,PJa</v>
      </c>
      <c r="E46" s="48" t="str">
        <f>RawDatafrombuFile!S45</f>
        <v>RESELC</v>
      </c>
      <c r="F46" s="48" t="str">
        <f>RawDatafrombuFile!T45</f>
        <v>RHEH</v>
      </c>
      <c r="H46" s="53">
        <f>INDEX(RawDatafrombuFile!$H$3:$H$602,MATCH($B46&amp;H$5,RawDatafrombuFile!$A$3:$A$602,0))</f>
        <v>0.14949999999999999</v>
      </c>
      <c r="I46" s="53">
        <f>INDEX(RawDatafrombuFile!$H$3:$H$602,MATCH($B46&amp;I$5,RawDatafrombuFile!$A$3:$A$602,0))</f>
        <v>2.5000000000000001E-3</v>
      </c>
      <c r="J46" s="53">
        <f>INDEX(RawDatafrombuFile!$H$3:$H$602,MATCH($B46&amp;J$5,RawDatafrombuFile!$A$3:$A$602,0))</f>
        <v>3.5000000000000001E-3</v>
      </c>
      <c r="K46" s="53">
        <f>INDEX(RawDatafrombuFile!$H$3:$H$602,MATCH($B46&amp;K$5,RawDatafrombuFile!$A$3:$A$602,0))</f>
        <v>0.38640000000000002</v>
      </c>
      <c r="L46" s="53">
        <f>INDEX(RawDatafrombuFile!$H$3:$H$602,MATCH($B46&amp;L$5,RawDatafrombuFile!$A$3:$A$602,0))</f>
        <v>0.53559999999999997</v>
      </c>
      <c r="M46" s="53">
        <f>INDEX(RawDatafrombuFile!$H$3:$H$602,MATCH($B46&amp;M$5,RawDatafrombuFile!$A$3:$A$602,0))</f>
        <v>0.49719999999999998</v>
      </c>
      <c r="N46" s="53">
        <f>INDEX(RawDatafrombuFile!$H$3:$H$602,MATCH($B46&amp;N$5,RawDatafrombuFile!$A$3:$A$602,0))</f>
        <v>1</v>
      </c>
      <c r="O46" s="53">
        <f>INDEX(RawDatafrombuFile!$H$3:$H$602,MATCH($B46&amp;O$5,RawDatafrombuFile!$A$3:$A$602,0))</f>
        <v>0.83030000000000004</v>
      </c>
    </row>
    <row r="47" spans="2:15" ht="11.25" customHeight="1" x14ac:dyDescent="0.2">
      <c r="B47" s="48" t="str">
        <f>RawDatafrombuFile!Q46</f>
        <v>RHEHOKEHEAT-E</v>
      </c>
      <c r="C47" s="48" t="str">
        <f>RawDatafrombuFile!R46</f>
        <v>Residential - Space Heating - High Income Electrified - Oil Paraffin - HEAT - E</v>
      </c>
      <c r="D47" s="48" t="str">
        <f>Processes!D50</f>
        <v>PJ,PJa</v>
      </c>
      <c r="E47" s="48" t="str">
        <f>RawDatafrombuFile!S46</f>
        <v>RESOKE</v>
      </c>
      <c r="F47" s="48" t="str">
        <f>RawDatafrombuFile!T46</f>
        <v>RHEH</v>
      </c>
      <c r="H47" s="53">
        <f>INDEX(RawDatafrombuFile!$H$3:$H$602,MATCH($B47&amp;H$5,RawDatafrombuFile!$A$3:$A$602,0))</f>
        <v>0.14949999999999999</v>
      </c>
      <c r="I47" s="53">
        <f>INDEX(RawDatafrombuFile!$H$3:$H$602,MATCH($B47&amp;I$5,RawDatafrombuFile!$A$3:$A$602,0))</f>
        <v>2.5000000000000001E-3</v>
      </c>
      <c r="J47" s="53">
        <f>INDEX(RawDatafrombuFile!$H$3:$H$602,MATCH($B47&amp;J$5,RawDatafrombuFile!$A$3:$A$602,0))</f>
        <v>3.5000000000000001E-3</v>
      </c>
      <c r="K47" s="53">
        <f>INDEX(RawDatafrombuFile!$H$3:$H$602,MATCH($B47&amp;K$5,RawDatafrombuFile!$A$3:$A$602,0))</f>
        <v>0.38640000000000002</v>
      </c>
      <c r="L47" s="53">
        <f>INDEX(RawDatafrombuFile!$H$3:$H$602,MATCH($B47&amp;L$5,RawDatafrombuFile!$A$3:$A$602,0))</f>
        <v>0.53559999999999997</v>
      </c>
      <c r="M47" s="53">
        <f>INDEX(RawDatafrombuFile!$H$3:$H$602,MATCH($B47&amp;M$5,RawDatafrombuFile!$A$3:$A$602,0))</f>
        <v>0.49719999999999998</v>
      </c>
      <c r="N47" s="53">
        <f>INDEX(RawDatafrombuFile!$H$3:$H$602,MATCH($B47&amp;N$5,RawDatafrombuFile!$A$3:$A$602,0))</f>
        <v>1</v>
      </c>
      <c r="O47" s="53">
        <f>INDEX(RawDatafrombuFile!$H$3:$H$602,MATCH($B47&amp;O$5,RawDatafrombuFile!$A$3:$A$602,0))</f>
        <v>0.83030000000000004</v>
      </c>
    </row>
    <row r="48" spans="2:15" ht="11.25" customHeight="1" x14ac:dyDescent="0.2">
      <c r="B48" s="48" t="str">
        <f>RawDatafrombuFile!Q47</f>
        <v>RHEHBIWSTOV-E</v>
      </c>
      <c r="C48" s="48" t="str">
        <f>RawDatafrombuFile!R47</f>
        <v>Residential - Space Heating - High Income Electrified - Biomass Wood - STOV - E</v>
      </c>
      <c r="D48" s="48" t="str">
        <f>Processes!D51</f>
        <v>PJ,PJa</v>
      </c>
      <c r="E48" s="48" t="str">
        <f>RawDatafrombuFile!S47</f>
        <v>RESBIW</v>
      </c>
      <c r="F48" s="48" t="str">
        <f>RawDatafrombuFile!T47</f>
        <v>RHEH</v>
      </c>
      <c r="H48" s="53">
        <f>INDEX(RawDatafrombuFile!$H$3:$H$602,MATCH($B48&amp;H$5,RawDatafrombuFile!$A$3:$A$602,0))</f>
        <v>0.14949999999999999</v>
      </c>
      <c r="I48" s="53">
        <f>INDEX(RawDatafrombuFile!$H$3:$H$602,MATCH($B48&amp;I$5,RawDatafrombuFile!$A$3:$A$602,0))</f>
        <v>2.5000000000000001E-3</v>
      </c>
      <c r="J48" s="53">
        <f>INDEX(RawDatafrombuFile!$H$3:$H$602,MATCH($B48&amp;J$5,RawDatafrombuFile!$A$3:$A$602,0))</f>
        <v>3.5000000000000001E-3</v>
      </c>
      <c r="K48" s="53">
        <f>INDEX(RawDatafrombuFile!$H$3:$H$602,MATCH($B48&amp;K$5,RawDatafrombuFile!$A$3:$A$602,0))</f>
        <v>0.38640000000000002</v>
      </c>
      <c r="L48" s="53">
        <f>INDEX(RawDatafrombuFile!$H$3:$H$602,MATCH($B48&amp;L$5,RawDatafrombuFile!$A$3:$A$602,0))</f>
        <v>0.53559999999999997</v>
      </c>
      <c r="M48" s="53">
        <f>INDEX(RawDatafrombuFile!$H$3:$H$602,MATCH($B48&amp;M$5,RawDatafrombuFile!$A$3:$A$602,0))</f>
        <v>0.49719999999999998</v>
      </c>
      <c r="N48" s="53">
        <f>INDEX(RawDatafrombuFile!$H$3:$H$602,MATCH($B48&amp;N$5,RawDatafrombuFile!$A$3:$A$602,0))</f>
        <v>1</v>
      </c>
      <c r="O48" s="53">
        <f>INDEX(RawDatafrombuFile!$H$3:$H$602,MATCH($B48&amp;O$5,RawDatafrombuFile!$A$3:$A$602,0))</f>
        <v>0.83030000000000004</v>
      </c>
    </row>
    <row r="49" spans="2:15" ht="11.25" customHeight="1" x14ac:dyDescent="0.2">
      <c r="B49" s="48" t="str">
        <f>RawDatafrombuFile!Q48</f>
        <v>RHEHCOASTOV-E</v>
      </c>
      <c r="C49" s="48" t="str">
        <f>RawDatafrombuFile!R48</f>
        <v>Residential - Space Heating - High Income Electrified - Coal - STOV - E</v>
      </c>
      <c r="D49" s="48" t="str">
        <f>Processes!D52</f>
        <v>PJ,PJa</v>
      </c>
      <c r="E49" s="48" t="str">
        <f>RawDatafrombuFile!S48</f>
        <v>RESCOA</v>
      </c>
      <c r="F49" s="48" t="str">
        <f>RawDatafrombuFile!T48</f>
        <v>RHEH</v>
      </c>
      <c r="H49" s="53">
        <f>INDEX(RawDatafrombuFile!$H$3:$H$602,MATCH($B49&amp;H$5,RawDatafrombuFile!$A$3:$A$602,0))</f>
        <v>0.14949999999999999</v>
      </c>
      <c r="I49" s="53">
        <f>INDEX(RawDatafrombuFile!$H$3:$H$602,MATCH($B49&amp;I$5,RawDatafrombuFile!$A$3:$A$602,0))</f>
        <v>2.5000000000000001E-3</v>
      </c>
      <c r="J49" s="53">
        <f>INDEX(RawDatafrombuFile!$H$3:$H$602,MATCH($B49&amp;J$5,RawDatafrombuFile!$A$3:$A$602,0))</f>
        <v>3.5000000000000001E-3</v>
      </c>
      <c r="K49" s="53">
        <f>INDEX(RawDatafrombuFile!$H$3:$H$602,MATCH($B49&amp;K$5,RawDatafrombuFile!$A$3:$A$602,0))</f>
        <v>0.38640000000000002</v>
      </c>
      <c r="L49" s="53">
        <f>INDEX(RawDatafrombuFile!$H$3:$H$602,MATCH($B49&amp;L$5,RawDatafrombuFile!$A$3:$A$602,0))</f>
        <v>0.53559999999999997</v>
      </c>
      <c r="M49" s="53">
        <f>INDEX(RawDatafrombuFile!$H$3:$H$602,MATCH($B49&amp;M$5,RawDatafrombuFile!$A$3:$A$602,0))</f>
        <v>0.49719999999999998</v>
      </c>
      <c r="N49" s="53">
        <f>INDEX(RawDatafrombuFile!$H$3:$H$602,MATCH($B49&amp;N$5,RawDatafrombuFile!$A$3:$A$602,0))</f>
        <v>1</v>
      </c>
      <c r="O49" s="53">
        <f>INDEX(RawDatafrombuFile!$H$3:$H$602,MATCH($B49&amp;O$5,RawDatafrombuFile!$A$3:$A$602,0))</f>
        <v>0.83030000000000004</v>
      </c>
    </row>
    <row r="50" spans="2:15" ht="11.25" customHeight="1" x14ac:dyDescent="0.2">
      <c r="B50" s="48" t="str">
        <f>RawDatafrombuFile!Q49</f>
        <v>RHEHOLPHEAT-E</v>
      </c>
      <c r="C50" s="48" t="str">
        <f>RawDatafrombuFile!R49</f>
        <v>Residential - Space Heating - High Income Electrified - Oil LPG - HEAT - E</v>
      </c>
      <c r="D50" s="48" t="str">
        <f>Processes!D53</f>
        <v>PJ,PJa</v>
      </c>
      <c r="E50" s="48" t="str">
        <f>RawDatafrombuFile!S49</f>
        <v>RESOLP</v>
      </c>
      <c r="F50" s="48" t="str">
        <f>RawDatafrombuFile!T49</f>
        <v>RHEH</v>
      </c>
      <c r="H50" s="53">
        <f>INDEX(RawDatafrombuFile!$H$3:$H$602,MATCH($B50&amp;H$5,RawDatafrombuFile!$A$3:$A$602,0))</f>
        <v>0.14949999999999999</v>
      </c>
      <c r="I50" s="53">
        <f>INDEX(RawDatafrombuFile!$H$3:$H$602,MATCH($B50&amp;I$5,RawDatafrombuFile!$A$3:$A$602,0))</f>
        <v>2.5000000000000001E-3</v>
      </c>
      <c r="J50" s="53">
        <f>INDEX(RawDatafrombuFile!$H$3:$H$602,MATCH($B50&amp;J$5,RawDatafrombuFile!$A$3:$A$602,0))</f>
        <v>3.5000000000000001E-3</v>
      </c>
      <c r="K50" s="53">
        <f>INDEX(RawDatafrombuFile!$H$3:$H$602,MATCH($B50&amp;K$5,RawDatafrombuFile!$A$3:$A$602,0))</f>
        <v>0.38640000000000002</v>
      </c>
      <c r="L50" s="53">
        <f>INDEX(RawDatafrombuFile!$H$3:$H$602,MATCH($B50&amp;L$5,RawDatafrombuFile!$A$3:$A$602,0))</f>
        <v>0.53559999999999997</v>
      </c>
      <c r="M50" s="53">
        <f>INDEX(RawDatafrombuFile!$H$3:$H$602,MATCH($B50&amp;M$5,RawDatafrombuFile!$A$3:$A$602,0))</f>
        <v>0.49719999999999998</v>
      </c>
      <c r="N50" s="53">
        <f>INDEX(RawDatafrombuFile!$H$3:$H$602,MATCH($B50&amp;N$5,RawDatafrombuFile!$A$3:$A$602,0))</f>
        <v>1</v>
      </c>
      <c r="O50" s="53">
        <f>INDEX(RawDatafrombuFile!$H$3:$H$602,MATCH($B50&amp;O$5,RawDatafrombuFile!$A$3:$A$602,0))</f>
        <v>0.83030000000000004</v>
      </c>
    </row>
    <row r="51" spans="2:15" ht="11.25" customHeight="1" x14ac:dyDescent="0.2">
      <c r="B51" s="48" t="str">
        <f>RawDatafrombuFile!Q50</f>
        <v>RHEHGASHEAT-N</v>
      </c>
      <c r="C51" s="48" t="str">
        <f>RawDatafrombuFile!R50</f>
        <v>Residential - Space Heating - High Income Electrified - Natural Gas - HEAT - N</v>
      </c>
      <c r="D51" s="48" t="str">
        <f>Processes!D54</f>
        <v>PJ,PJa</v>
      </c>
      <c r="E51" s="48" t="str">
        <f>RawDatafrombuFile!S50</f>
        <v>RESGAS</v>
      </c>
      <c r="F51" s="48" t="str">
        <f>RawDatafrombuFile!T50</f>
        <v>RHEH</v>
      </c>
      <c r="H51" s="53">
        <f>INDEX(RawDatafrombuFile!$H$3:$H$602,MATCH($B51&amp;H$5,RawDatafrombuFile!$A$3:$A$602,0))</f>
        <v>0.14949999999999999</v>
      </c>
      <c r="I51" s="53">
        <f>INDEX(RawDatafrombuFile!$H$3:$H$602,MATCH($B51&amp;I$5,RawDatafrombuFile!$A$3:$A$602,0))</f>
        <v>2.5000000000000001E-3</v>
      </c>
      <c r="J51" s="53">
        <f>INDEX(RawDatafrombuFile!$H$3:$H$602,MATCH($B51&amp;J$5,RawDatafrombuFile!$A$3:$A$602,0))</f>
        <v>3.5000000000000001E-3</v>
      </c>
      <c r="K51" s="53">
        <f>INDEX(RawDatafrombuFile!$H$3:$H$602,MATCH($B51&amp;K$5,RawDatafrombuFile!$A$3:$A$602,0))</f>
        <v>0.38640000000000002</v>
      </c>
      <c r="L51" s="53">
        <f>INDEX(RawDatafrombuFile!$H$3:$H$602,MATCH($B51&amp;L$5,RawDatafrombuFile!$A$3:$A$602,0))</f>
        <v>0.53559999999999997</v>
      </c>
      <c r="M51" s="53">
        <f>INDEX(RawDatafrombuFile!$H$3:$H$602,MATCH($B51&amp;M$5,RawDatafrombuFile!$A$3:$A$602,0))</f>
        <v>0.49719999999999998</v>
      </c>
      <c r="N51" s="53">
        <f>INDEX(RawDatafrombuFile!$H$3:$H$602,MATCH($B51&amp;N$5,RawDatafrombuFile!$A$3:$A$602,0))</f>
        <v>1</v>
      </c>
      <c r="O51" s="53">
        <f>INDEX(RawDatafrombuFile!$H$3:$H$602,MATCH($B51&amp;O$5,RawDatafrombuFile!$A$3:$A$602,0))</f>
        <v>0.83030000000000004</v>
      </c>
    </row>
    <row r="52" spans="2:15" ht="11.25" customHeight="1" x14ac:dyDescent="0.2">
      <c r="B52" s="48" t="str">
        <f>RawDatafrombuFile!Q51</f>
        <v>RHEWELCGEY-E</v>
      </c>
      <c r="C52" s="48" t="str">
        <f>RawDatafrombuFile!R51</f>
        <v>Residential - Water Heating - High Income Electrified - Electricity - GEY - E</v>
      </c>
      <c r="D52" s="48" t="str">
        <f>Processes!D55</f>
        <v>PJ,PJa</v>
      </c>
      <c r="E52" s="48" t="str">
        <f>RawDatafrombuFile!S51</f>
        <v>RESELC</v>
      </c>
      <c r="F52" s="48" t="str">
        <f>RawDatafrombuFile!T51</f>
        <v>RHEWG</v>
      </c>
      <c r="H52" s="53">
        <f>INDEX(RawDatafrombuFile!$H$3:$H$602,MATCH($B52&amp;H$5,RawDatafrombuFile!$A$3:$A$602,0))</f>
        <v>0.31969999999999998</v>
      </c>
      <c r="I52" s="53">
        <f>INDEX(RawDatafrombuFile!$H$3:$H$602,MATCH($B52&amp;I$5,RawDatafrombuFile!$A$3:$A$602,0))</f>
        <v>0.57640000000000002</v>
      </c>
      <c r="J52" s="53">
        <f>INDEX(RawDatafrombuFile!$H$3:$H$602,MATCH($B52&amp;J$5,RawDatafrombuFile!$A$3:$A$602,0))</f>
        <v>0.8347</v>
      </c>
      <c r="K52" s="53">
        <f>INDEX(RawDatafrombuFile!$H$3:$H$602,MATCH($B52&amp;K$5,RawDatafrombuFile!$A$3:$A$602,0))</f>
        <v>0.35389999999999999</v>
      </c>
      <c r="L52" s="53">
        <f>INDEX(RawDatafrombuFile!$H$3:$H$602,MATCH($B52&amp;L$5,RawDatafrombuFile!$A$3:$A$602,0))</f>
        <v>1</v>
      </c>
      <c r="M52" s="53">
        <f>INDEX(RawDatafrombuFile!$H$3:$H$602,MATCH($B52&amp;M$5,RawDatafrombuFile!$A$3:$A$602,0))</f>
        <v>0.35830000000000001</v>
      </c>
      <c r="N52" s="53">
        <f>INDEX(RawDatafrombuFile!$H$3:$H$602,MATCH($B52&amp;N$5,RawDatafrombuFile!$A$3:$A$602,0))</f>
        <v>0.79810000000000003</v>
      </c>
      <c r="O52" s="53">
        <f>INDEX(RawDatafrombuFile!$H$3:$H$602,MATCH($B52&amp;O$5,RawDatafrombuFile!$A$3:$A$602,0))</f>
        <v>0.80679999999999996</v>
      </c>
    </row>
    <row r="53" spans="2:15" ht="11.25" customHeight="1" x14ac:dyDescent="0.2">
      <c r="B53" s="48" t="str">
        <f>RawDatafrombuFile!Q52</f>
        <v>RHEWELCCHP-N</v>
      </c>
      <c r="C53" s="48" t="str">
        <f>RawDatafrombuFile!R52</f>
        <v>Residential - Water Heating - High Income Electrified - Electricity - HP - N</v>
      </c>
      <c r="D53" s="48" t="str">
        <f>Processes!D56</f>
        <v>PJ,PJa</v>
      </c>
      <c r="E53" s="48" t="str">
        <f>RawDatafrombuFile!S52</f>
        <v>RESELC</v>
      </c>
      <c r="F53" s="48" t="str">
        <f>RawDatafrombuFile!T52</f>
        <v>RHEWG</v>
      </c>
      <c r="H53" s="53">
        <f>INDEX(RawDatafrombuFile!$H$3:$H$602,MATCH($B53&amp;H$5,RawDatafrombuFile!$A$3:$A$602,0))</f>
        <v>0.31969999999999998</v>
      </c>
      <c r="I53" s="53">
        <f>INDEX(RawDatafrombuFile!$H$3:$H$602,MATCH($B53&amp;I$5,RawDatafrombuFile!$A$3:$A$602,0))</f>
        <v>0.57640000000000002</v>
      </c>
      <c r="J53" s="53">
        <f>INDEX(RawDatafrombuFile!$H$3:$H$602,MATCH($B53&amp;J$5,RawDatafrombuFile!$A$3:$A$602,0))</f>
        <v>0.8347</v>
      </c>
      <c r="K53" s="53">
        <f>INDEX(RawDatafrombuFile!$H$3:$H$602,MATCH($B53&amp;K$5,RawDatafrombuFile!$A$3:$A$602,0))</f>
        <v>0.35389999999999999</v>
      </c>
      <c r="L53" s="53">
        <f>INDEX(RawDatafrombuFile!$H$3:$H$602,MATCH($B53&amp;L$5,RawDatafrombuFile!$A$3:$A$602,0))</f>
        <v>1</v>
      </c>
      <c r="M53" s="53">
        <f>INDEX(RawDatafrombuFile!$H$3:$H$602,MATCH($B53&amp;M$5,RawDatafrombuFile!$A$3:$A$602,0))</f>
        <v>0.35830000000000001</v>
      </c>
      <c r="N53" s="53">
        <f>INDEX(RawDatafrombuFile!$H$3:$H$602,MATCH($B53&amp;N$5,RawDatafrombuFile!$A$3:$A$602,0))</f>
        <v>0.79810000000000003</v>
      </c>
      <c r="O53" s="53">
        <f>INDEX(RawDatafrombuFile!$H$3:$H$602,MATCH($B53&amp;O$5,RawDatafrombuFile!$A$3:$A$602,0))</f>
        <v>0.80679999999999996</v>
      </c>
    </row>
    <row r="54" spans="2:15" ht="11.25" customHeight="1" x14ac:dyDescent="0.2">
      <c r="B54" s="48" t="str">
        <f>RawDatafrombuFile!Q53</f>
        <v>RHEWELCSWH-E</v>
      </c>
      <c r="C54" s="48" t="str">
        <f>RawDatafrombuFile!R53</f>
        <v>Residential - Water Heating - High Income Electrified - Electricity - SWH - E</v>
      </c>
      <c r="D54" s="48" t="str">
        <f>Processes!D57</f>
        <v>PJ,PJa</v>
      </c>
      <c r="E54" s="48" t="str">
        <f>RawDatafrombuFile!S53</f>
        <v>RESELC</v>
      </c>
      <c r="F54" s="48" t="str">
        <f>RawDatafrombuFile!T53</f>
        <v>RHEWG</v>
      </c>
      <c r="H54" s="53">
        <f>INDEX(RawDatafrombuFile!$H$3:$H$602,MATCH($B54&amp;H$5,RawDatafrombuFile!$A$3:$A$602,0))</f>
        <v>0.31969999999999998</v>
      </c>
      <c r="I54" s="53">
        <f>INDEX(RawDatafrombuFile!$H$3:$H$602,MATCH($B54&amp;I$5,RawDatafrombuFile!$A$3:$A$602,0))</f>
        <v>0.57640000000000002</v>
      </c>
      <c r="J54" s="53">
        <f>INDEX(RawDatafrombuFile!$H$3:$H$602,MATCH($B54&amp;J$5,RawDatafrombuFile!$A$3:$A$602,0))</f>
        <v>0.8347</v>
      </c>
      <c r="K54" s="53">
        <f>INDEX(RawDatafrombuFile!$H$3:$H$602,MATCH($B54&amp;K$5,RawDatafrombuFile!$A$3:$A$602,0))</f>
        <v>0.35389999999999999</v>
      </c>
      <c r="L54" s="53">
        <f>INDEX(RawDatafrombuFile!$H$3:$H$602,MATCH($B54&amp;L$5,RawDatafrombuFile!$A$3:$A$602,0))</f>
        <v>1</v>
      </c>
      <c r="M54" s="53">
        <f>INDEX(RawDatafrombuFile!$H$3:$H$602,MATCH($B54&amp;M$5,RawDatafrombuFile!$A$3:$A$602,0))</f>
        <v>0.35830000000000001</v>
      </c>
      <c r="N54" s="53">
        <f>INDEX(RawDatafrombuFile!$H$3:$H$602,MATCH($B54&amp;N$5,RawDatafrombuFile!$A$3:$A$602,0))</f>
        <v>0.79810000000000003</v>
      </c>
      <c r="O54" s="53">
        <f>INDEX(RawDatafrombuFile!$H$3:$H$602,MATCH($B54&amp;O$5,RawDatafrombuFile!$A$3:$A$602,0))</f>
        <v>0.80679999999999996</v>
      </c>
    </row>
    <row r="55" spans="2:15" ht="11.25" customHeight="1" x14ac:dyDescent="0.2">
      <c r="H55" s="53"/>
      <c r="I55" s="53"/>
      <c r="J55" s="53"/>
      <c r="K55" s="53"/>
      <c r="L55" s="53"/>
      <c r="M55" s="53"/>
      <c r="N55" s="53"/>
      <c r="O55" s="53"/>
    </row>
    <row r="56" spans="2:15" ht="11.25" customHeight="1" x14ac:dyDescent="0.2">
      <c r="H56" s="53"/>
      <c r="I56" s="53"/>
      <c r="J56" s="53"/>
      <c r="K56" s="53"/>
      <c r="L56" s="53"/>
      <c r="M56" s="53"/>
      <c r="N56" s="53"/>
      <c r="O56" s="53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9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4" name="cmdAddParamQualifier2"/>
      </mc:Fallback>
    </mc:AlternateContent>
    <mc:AlternateContent xmlns:mc="http://schemas.openxmlformats.org/markup-compatibility/2006">
      <mc:Choice Requires="x14">
        <control shapeId="259091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6" name="cmdCheckTechDataSheet"/>
      </mc:Fallback>
    </mc:AlternateContent>
    <mc:AlternateContent xmlns:mc="http://schemas.openxmlformats.org/markup-compatibility/2006">
      <mc:Choice Requires="x14">
        <control shapeId="259090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8" name="cmdAddParamQualifier1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88" r:id="rId12" name="cmdCommOUT">
          <controlPr defaultSize="0" autoLine="0" autoPict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12" name="cmdCommOUT"/>
      </mc:Fallback>
    </mc:AlternateContent>
    <mc:AlternateContent xmlns:mc="http://schemas.openxmlformats.org/markup-compatibility/2006">
      <mc:Choice Requires="x14">
        <control shapeId="259087" r:id="rId14" name="cmdCommIN">
          <controlPr defaultSize="0" autoLine="0" autoPict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14" name="cmdCommIN"/>
      </mc:Fallback>
    </mc:AlternateContent>
    <mc:AlternateContent xmlns:mc="http://schemas.openxmlformats.org/markup-compatibility/2006">
      <mc:Choice Requires="x14">
        <control shapeId="259086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16" name="cmdTechNameAndDesc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34BD2-5E2E-4A5C-8ADF-58D1AE9544FF}">
  <sheetPr codeName="Sheet1">
    <tabColor rgb="FF00B0F0"/>
  </sheetPr>
  <dimension ref="A2:T434"/>
  <sheetViews>
    <sheetView workbookViewId="0">
      <selection activeCell="P16" sqref="P16"/>
    </sheetView>
  </sheetViews>
  <sheetFormatPr defaultRowHeight="12.75" x14ac:dyDescent="0.2"/>
  <cols>
    <col min="4" max="4" width="20.28515625" bestFit="1" customWidth="1"/>
    <col min="11" max="11" width="14.140625" bestFit="1" customWidth="1"/>
    <col min="13" max="13" width="20.28515625" bestFit="1" customWidth="1"/>
    <col min="14" max="14" width="77.28515625" bestFit="1" customWidth="1"/>
    <col min="15" max="16" width="11" customWidth="1"/>
    <col min="17" max="17" width="20.28515625" bestFit="1" customWidth="1"/>
    <col min="18" max="18" width="77.28515625" bestFit="1" customWidth="1"/>
    <col min="21" max="21" width="20.28515625" bestFit="1" customWidth="1"/>
    <col min="22" max="22" width="77.28515625" bestFit="1" customWidth="1"/>
  </cols>
  <sheetData>
    <row r="2" spans="1:20" x14ac:dyDescent="0.2">
      <c r="M2" s="62" t="s">
        <v>195</v>
      </c>
      <c r="N2" s="62"/>
      <c r="O2" s="62"/>
      <c r="P2" s="62"/>
      <c r="Q2" s="62" t="s">
        <v>294</v>
      </c>
    </row>
    <row r="3" spans="1:20" x14ac:dyDescent="0.2">
      <c r="A3" t="str">
        <f>D3&amp;E3</f>
        <v>RLEKELCHOT-Es1d1b1</v>
      </c>
      <c r="B3">
        <f t="shared" ref="B3:B66" si="0">MATCH(D3,$M$3:$M$66,0)</f>
        <v>3</v>
      </c>
      <c r="C3" t="s">
        <v>116</v>
      </c>
      <c r="D3" t="s">
        <v>131</v>
      </c>
      <c r="E3" t="s">
        <v>261</v>
      </c>
      <c r="F3" t="s">
        <v>132</v>
      </c>
      <c r="G3">
        <v>2012</v>
      </c>
      <c r="H3">
        <v>0.20979999999999999</v>
      </c>
      <c r="M3" t="s">
        <v>186</v>
      </c>
      <c r="N3" t="s">
        <v>196</v>
      </c>
      <c r="O3" t="s">
        <v>120</v>
      </c>
      <c r="P3" t="s">
        <v>269</v>
      </c>
      <c r="Q3" t="s">
        <v>131</v>
      </c>
      <c r="R3" t="str">
        <f>INDEX(N$3:N$67,MATCH($Q3,$M$3:$M$67,0))</f>
        <v>Residential - Cooking - Low Income Electrified - Electricity - HOT - E</v>
      </c>
      <c r="S3" t="str">
        <f t="shared" ref="S3:T3" si="1">INDEX(O$3:O$67,MATCH($Q3,$M$3:$M$67,0))</f>
        <v>RESELC</v>
      </c>
      <c r="T3" t="str">
        <f t="shared" si="1"/>
        <v>RLEK</v>
      </c>
    </row>
    <row r="4" spans="1:20" x14ac:dyDescent="0.2">
      <c r="A4" t="str">
        <f t="shared" ref="A4:A67" si="2">D4&amp;E4</f>
        <v>RLEKELCHOT-Es1d1b2</v>
      </c>
      <c r="B4">
        <f t="shared" si="0"/>
        <v>3</v>
      </c>
      <c r="C4" t="s">
        <v>116</v>
      </c>
      <c r="D4" t="s">
        <v>131</v>
      </c>
      <c r="E4" t="s">
        <v>262</v>
      </c>
      <c r="F4" t="s">
        <v>132</v>
      </c>
      <c r="G4">
        <v>2012</v>
      </c>
      <c r="H4">
        <v>0.79349999999999998</v>
      </c>
      <c r="M4" t="s">
        <v>187</v>
      </c>
      <c r="N4" t="s">
        <v>197</v>
      </c>
      <c r="O4" t="s">
        <v>270</v>
      </c>
      <c r="P4" t="s">
        <v>271</v>
      </c>
      <c r="Q4" t="s">
        <v>133</v>
      </c>
      <c r="R4" t="str">
        <f t="shared" ref="R4:R56" si="3">INDEX(N$3:N$67,MATCH($Q4,$M$3:$M$67,0))</f>
        <v>Residential - Cooking - Low Income Electrified - Electricity - STOV - E</v>
      </c>
      <c r="S4" t="str">
        <f t="shared" ref="S4:S56" si="4">INDEX(O$3:O$67,MATCH($Q4,$M$3:$M$67,0))</f>
        <v>RESELC</v>
      </c>
      <c r="T4" t="str">
        <f t="shared" ref="T4:T56" si="5">INDEX(P$3:P$67,MATCH($Q4,$M$3:$M$67,0))</f>
        <v>RLEK</v>
      </c>
    </row>
    <row r="5" spans="1:20" x14ac:dyDescent="0.2">
      <c r="A5" t="str">
        <f t="shared" si="2"/>
        <v>RLEKELCHOT-Es1d1b3</v>
      </c>
      <c r="B5">
        <f t="shared" si="0"/>
        <v>3</v>
      </c>
      <c r="C5" t="s">
        <v>116</v>
      </c>
      <c r="D5" t="s">
        <v>131</v>
      </c>
      <c r="E5" t="s">
        <v>263</v>
      </c>
      <c r="F5" t="s">
        <v>132</v>
      </c>
      <c r="G5">
        <v>2012</v>
      </c>
      <c r="H5">
        <v>0.89359999999999995</v>
      </c>
      <c r="M5" t="s">
        <v>131</v>
      </c>
      <c r="N5" t="s">
        <v>198</v>
      </c>
      <c r="O5" t="s">
        <v>120</v>
      </c>
      <c r="P5" t="s">
        <v>272</v>
      </c>
      <c r="Q5" t="s">
        <v>134</v>
      </c>
      <c r="R5" t="str">
        <f t="shared" si="3"/>
        <v>Residential - Cooking - Low Income Electrified - Oil LPG - RING - E</v>
      </c>
      <c r="S5" t="str">
        <f t="shared" si="4"/>
        <v>RESOLP</v>
      </c>
      <c r="T5" t="str">
        <f t="shared" si="5"/>
        <v>RLEK</v>
      </c>
    </row>
    <row r="6" spans="1:20" x14ac:dyDescent="0.2">
      <c r="A6" t="str">
        <f t="shared" si="2"/>
        <v>RLEKELCHOT-Es2d1b1</v>
      </c>
      <c r="B6">
        <f t="shared" si="0"/>
        <v>3</v>
      </c>
      <c r="C6" t="s">
        <v>116</v>
      </c>
      <c r="D6" t="s">
        <v>131</v>
      </c>
      <c r="E6" t="s">
        <v>264</v>
      </c>
      <c r="F6" t="s">
        <v>132</v>
      </c>
      <c r="G6">
        <v>2012</v>
      </c>
      <c r="H6">
        <v>0.2316</v>
      </c>
      <c r="M6" t="s">
        <v>133</v>
      </c>
      <c r="N6" t="s">
        <v>199</v>
      </c>
      <c r="O6" t="s">
        <v>120</v>
      </c>
      <c r="P6" t="s">
        <v>272</v>
      </c>
      <c r="Q6" t="s">
        <v>135</v>
      </c>
      <c r="R6" t="str">
        <f t="shared" si="3"/>
        <v>Residential - Cooking - Low Income Electrified - Biomass Wood - BNM - E</v>
      </c>
      <c r="S6" t="str">
        <f t="shared" si="4"/>
        <v>RESBIW</v>
      </c>
      <c r="T6" t="str">
        <f t="shared" si="5"/>
        <v>RLEK</v>
      </c>
    </row>
    <row r="7" spans="1:20" x14ac:dyDescent="0.2">
      <c r="A7" t="str">
        <f t="shared" si="2"/>
        <v>RLEKELCHOT-Es2d1b2</v>
      </c>
      <c r="B7">
        <f t="shared" si="0"/>
        <v>3</v>
      </c>
      <c r="C7" t="s">
        <v>116</v>
      </c>
      <c r="D7" t="s">
        <v>131</v>
      </c>
      <c r="E7" t="s">
        <v>265</v>
      </c>
      <c r="F7" t="s">
        <v>132</v>
      </c>
      <c r="G7">
        <v>2012</v>
      </c>
      <c r="H7">
        <v>1</v>
      </c>
      <c r="M7" t="s">
        <v>134</v>
      </c>
      <c r="N7" t="s">
        <v>200</v>
      </c>
      <c r="O7" t="s">
        <v>273</v>
      </c>
      <c r="P7" t="s">
        <v>272</v>
      </c>
      <c r="Q7" t="s">
        <v>136</v>
      </c>
      <c r="R7" t="str">
        <f t="shared" si="3"/>
        <v>Residential - Cooking - Low Income Electrified - Coal - BNM - E</v>
      </c>
      <c r="S7" t="str">
        <f t="shared" si="4"/>
        <v>RESCOA</v>
      </c>
      <c r="T7" t="str">
        <f t="shared" si="5"/>
        <v>RLEK</v>
      </c>
    </row>
    <row r="8" spans="1:20" x14ac:dyDescent="0.2">
      <c r="A8" t="str">
        <f t="shared" si="2"/>
        <v>RLEKELCHOT-Es2d1b3</v>
      </c>
      <c r="B8">
        <f t="shared" si="0"/>
        <v>3</v>
      </c>
      <c r="C8" t="s">
        <v>116</v>
      </c>
      <c r="D8" t="s">
        <v>131</v>
      </c>
      <c r="E8" t="s">
        <v>266</v>
      </c>
      <c r="F8" t="s">
        <v>132</v>
      </c>
      <c r="G8">
        <v>2012</v>
      </c>
      <c r="H8">
        <v>0.73229999999999995</v>
      </c>
      <c r="M8" t="s">
        <v>135</v>
      </c>
      <c r="N8" t="s">
        <v>201</v>
      </c>
      <c r="O8" t="s">
        <v>274</v>
      </c>
      <c r="P8" t="s">
        <v>272</v>
      </c>
      <c r="Q8" t="s">
        <v>137</v>
      </c>
      <c r="R8" t="str">
        <f t="shared" si="3"/>
        <v>Residential - Cooking - Low Income Electrified - Oil Paraffin - WICK - E</v>
      </c>
      <c r="S8" t="str">
        <f t="shared" si="4"/>
        <v>RESOKE</v>
      </c>
      <c r="T8" t="str">
        <f t="shared" si="5"/>
        <v>RLEK</v>
      </c>
    </row>
    <row r="9" spans="1:20" x14ac:dyDescent="0.2">
      <c r="A9" t="str">
        <f t="shared" si="2"/>
        <v>RLEKELCHOT-Es2d1b4</v>
      </c>
      <c r="B9">
        <f t="shared" si="0"/>
        <v>3</v>
      </c>
      <c r="C9" t="s">
        <v>116</v>
      </c>
      <c r="D9" t="s">
        <v>131</v>
      </c>
      <c r="E9" t="s">
        <v>267</v>
      </c>
      <c r="F9" t="s">
        <v>132</v>
      </c>
      <c r="G9">
        <v>2012</v>
      </c>
      <c r="H9">
        <v>0.98070000000000002</v>
      </c>
      <c r="M9" t="s">
        <v>136</v>
      </c>
      <c r="N9" t="s">
        <v>202</v>
      </c>
      <c r="O9" t="s">
        <v>275</v>
      </c>
      <c r="P9" t="s">
        <v>272</v>
      </c>
      <c r="Q9" t="s">
        <v>138</v>
      </c>
      <c r="R9" t="str">
        <f t="shared" si="3"/>
        <v>Residential - Space Heating - Low Income Electrified - Electricity - HEATBAR - E</v>
      </c>
      <c r="S9" t="str">
        <f t="shared" si="4"/>
        <v>RESELC</v>
      </c>
      <c r="T9" t="str">
        <f t="shared" si="5"/>
        <v>RLEH</v>
      </c>
    </row>
    <row r="10" spans="1:20" x14ac:dyDescent="0.2">
      <c r="A10" t="str">
        <f t="shared" si="2"/>
        <v>RLEKELCHOT-Es2d1b5</v>
      </c>
      <c r="B10">
        <f t="shared" si="0"/>
        <v>3</v>
      </c>
      <c r="C10" t="s">
        <v>116</v>
      </c>
      <c r="D10" t="s">
        <v>131</v>
      </c>
      <c r="E10" t="s">
        <v>268</v>
      </c>
      <c r="F10" t="s">
        <v>132</v>
      </c>
      <c r="G10">
        <v>2012</v>
      </c>
      <c r="H10">
        <v>0.58050000000000002</v>
      </c>
      <c r="M10" t="s">
        <v>137</v>
      </c>
      <c r="N10" t="s">
        <v>203</v>
      </c>
      <c r="O10" t="s">
        <v>270</v>
      </c>
      <c r="P10" t="s">
        <v>272</v>
      </c>
      <c r="Q10" t="s">
        <v>139</v>
      </c>
      <c r="R10" t="str">
        <f t="shared" si="3"/>
        <v>Residential - Space Heating - Low Income Electrified - Oil Paraffin - HEAT - E</v>
      </c>
      <c r="S10" t="str">
        <f t="shared" si="4"/>
        <v>RESOKE</v>
      </c>
      <c r="T10" t="str">
        <f t="shared" si="5"/>
        <v>RLEH</v>
      </c>
    </row>
    <row r="11" spans="1:20" x14ac:dyDescent="0.2">
      <c r="A11" t="str">
        <f t="shared" si="2"/>
        <v>RLEKELCSTOV-Es1d1b1</v>
      </c>
      <c r="B11">
        <f t="shared" si="0"/>
        <v>4</v>
      </c>
      <c r="C11" t="s">
        <v>116</v>
      </c>
      <c r="D11" t="s">
        <v>133</v>
      </c>
      <c r="E11" t="s">
        <v>261</v>
      </c>
      <c r="F11" t="s">
        <v>132</v>
      </c>
      <c r="G11">
        <v>2012</v>
      </c>
      <c r="H11">
        <v>0.20979999999999999</v>
      </c>
      <c r="M11" t="s">
        <v>138</v>
      </c>
      <c r="N11" t="s">
        <v>204</v>
      </c>
      <c r="O11" t="s">
        <v>120</v>
      </c>
      <c r="P11" t="s">
        <v>276</v>
      </c>
      <c r="Q11" t="s">
        <v>140</v>
      </c>
      <c r="R11" t="str">
        <f t="shared" si="3"/>
        <v>Residential - Space Heating - Low Income Electrified - Biomass Wood - OPEN - E</v>
      </c>
      <c r="S11" t="str">
        <f t="shared" si="4"/>
        <v>RESBIW</v>
      </c>
      <c r="T11" t="str">
        <f t="shared" si="5"/>
        <v>RLEH</v>
      </c>
    </row>
    <row r="12" spans="1:20" x14ac:dyDescent="0.2">
      <c r="A12" t="str">
        <f t="shared" si="2"/>
        <v>RLEKELCSTOV-Es1d1b2</v>
      </c>
      <c r="B12">
        <f t="shared" si="0"/>
        <v>4</v>
      </c>
      <c r="C12" t="s">
        <v>116</v>
      </c>
      <c r="D12" t="s">
        <v>133</v>
      </c>
      <c r="E12" t="s">
        <v>262</v>
      </c>
      <c r="F12" t="s">
        <v>132</v>
      </c>
      <c r="G12">
        <v>2012</v>
      </c>
      <c r="H12">
        <v>0.79349999999999998</v>
      </c>
      <c r="M12" t="s">
        <v>139</v>
      </c>
      <c r="N12" t="s">
        <v>205</v>
      </c>
      <c r="O12" t="s">
        <v>270</v>
      </c>
      <c r="P12" t="s">
        <v>276</v>
      </c>
      <c r="Q12" t="s">
        <v>141</v>
      </c>
      <c r="R12" t="str">
        <f t="shared" si="3"/>
        <v>Residential - Space Heating - Low Income Electrified - Coal - BNM - E</v>
      </c>
      <c r="S12" t="str">
        <f t="shared" si="4"/>
        <v>RESCOA</v>
      </c>
      <c r="T12" t="str">
        <f t="shared" si="5"/>
        <v>RLEH</v>
      </c>
    </row>
    <row r="13" spans="1:20" x14ac:dyDescent="0.2">
      <c r="A13" t="str">
        <f t="shared" si="2"/>
        <v>RLEKELCSTOV-Es1d1b3</v>
      </c>
      <c r="B13">
        <f t="shared" si="0"/>
        <v>4</v>
      </c>
      <c r="C13" t="s">
        <v>116</v>
      </c>
      <c r="D13" t="s">
        <v>133</v>
      </c>
      <c r="E13" t="s">
        <v>263</v>
      </c>
      <c r="F13" t="s">
        <v>132</v>
      </c>
      <c r="G13">
        <v>2012</v>
      </c>
      <c r="H13">
        <v>0.89359999999999995</v>
      </c>
      <c r="M13" t="s">
        <v>140</v>
      </c>
      <c r="N13" t="s">
        <v>206</v>
      </c>
      <c r="O13" t="s">
        <v>274</v>
      </c>
      <c r="P13" t="s">
        <v>276</v>
      </c>
      <c r="Q13" t="s">
        <v>142</v>
      </c>
      <c r="R13" t="str">
        <f t="shared" si="3"/>
        <v>Residential - Space Heating - Low Income Electrified - Oil LPG - HET - E</v>
      </c>
      <c r="S13" t="str">
        <f t="shared" si="4"/>
        <v>RESOLP</v>
      </c>
      <c r="T13" t="str">
        <f t="shared" si="5"/>
        <v>RLEH</v>
      </c>
    </row>
    <row r="14" spans="1:20" x14ac:dyDescent="0.2">
      <c r="A14" t="str">
        <f t="shared" si="2"/>
        <v>RLEKELCSTOV-Es2d1b1</v>
      </c>
      <c r="B14">
        <f t="shared" si="0"/>
        <v>4</v>
      </c>
      <c r="C14" t="s">
        <v>116</v>
      </c>
      <c r="D14" t="s">
        <v>133</v>
      </c>
      <c r="E14" t="s">
        <v>264</v>
      </c>
      <c r="F14" t="s">
        <v>132</v>
      </c>
      <c r="G14">
        <v>2012</v>
      </c>
      <c r="H14">
        <v>0.2316</v>
      </c>
      <c r="M14" t="s">
        <v>141</v>
      </c>
      <c r="N14" t="s">
        <v>207</v>
      </c>
      <c r="O14" t="s">
        <v>275</v>
      </c>
      <c r="P14" t="s">
        <v>276</v>
      </c>
      <c r="Q14" t="s">
        <v>143</v>
      </c>
      <c r="R14" t="str">
        <f t="shared" si="3"/>
        <v>Residential - Water Heating - Low Income Electrified - Oil Paraffin - KETWI - E</v>
      </c>
      <c r="S14" t="str">
        <f t="shared" si="4"/>
        <v>RESOKE</v>
      </c>
      <c r="T14" t="str">
        <f t="shared" si="5"/>
        <v>RLEW</v>
      </c>
    </row>
    <row r="15" spans="1:20" x14ac:dyDescent="0.2">
      <c r="A15" t="str">
        <f t="shared" si="2"/>
        <v>RLEKELCSTOV-Es2d1b2</v>
      </c>
      <c r="B15">
        <f t="shared" si="0"/>
        <v>4</v>
      </c>
      <c r="C15" t="s">
        <v>116</v>
      </c>
      <c r="D15" t="s">
        <v>133</v>
      </c>
      <c r="E15" t="s">
        <v>265</v>
      </c>
      <c r="F15" t="s">
        <v>132</v>
      </c>
      <c r="G15">
        <v>2012</v>
      </c>
      <c r="H15">
        <v>1</v>
      </c>
      <c r="M15" t="s">
        <v>142</v>
      </c>
      <c r="N15" t="s">
        <v>208</v>
      </c>
      <c r="O15" t="s">
        <v>273</v>
      </c>
      <c r="P15" t="s">
        <v>276</v>
      </c>
      <c r="Q15" t="s">
        <v>144</v>
      </c>
      <c r="R15" t="str">
        <f t="shared" si="3"/>
        <v>Residential - Water Heating - Low Income Electrified - Electricity - KET - E</v>
      </c>
      <c r="S15" t="str">
        <f t="shared" si="4"/>
        <v>RESELC</v>
      </c>
      <c r="T15" t="str">
        <f t="shared" si="5"/>
        <v>RLEW</v>
      </c>
    </row>
    <row r="16" spans="1:20" x14ac:dyDescent="0.2">
      <c r="A16" t="str">
        <f t="shared" si="2"/>
        <v>RLEKELCSTOV-Es2d1b3</v>
      </c>
      <c r="B16">
        <f t="shared" si="0"/>
        <v>4</v>
      </c>
      <c r="C16" t="s">
        <v>116</v>
      </c>
      <c r="D16" t="s">
        <v>133</v>
      </c>
      <c r="E16" t="s">
        <v>266</v>
      </c>
      <c r="F16" t="s">
        <v>132</v>
      </c>
      <c r="G16">
        <v>2012</v>
      </c>
      <c r="H16">
        <v>0.73229999999999995</v>
      </c>
      <c r="M16" t="s">
        <v>143</v>
      </c>
      <c r="N16" t="s">
        <v>209</v>
      </c>
      <c r="O16" t="s">
        <v>270</v>
      </c>
      <c r="P16" t="s">
        <v>277</v>
      </c>
      <c r="Q16" t="s">
        <v>145</v>
      </c>
      <c r="R16" t="str">
        <f t="shared" si="3"/>
        <v>Residential - Water Heating - Low Income Electrified - Biomass Wood - KETBI - E</v>
      </c>
      <c r="S16" t="str">
        <f t="shared" si="4"/>
        <v>RESBIW</v>
      </c>
      <c r="T16" t="str">
        <f t="shared" si="5"/>
        <v>RLEW</v>
      </c>
    </row>
    <row r="17" spans="1:20" x14ac:dyDescent="0.2">
      <c r="A17" t="str">
        <f t="shared" si="2"/>
        <v>RLEKELCSTOV-Es2d1b4</v>
      </c>
      <c r="B17">
        <f t="shared" si="0"/>
        <v>4</v>
      </c>
      <c r="C17" t="s">
        <v>116</v>
      </c>
      <c r="D17" t="s">
        <v>133</v>
      </c>
      <c r="E17" t="s">
        <v>267</v>
      </c>
      <c r="F17" t="s">
        <v>132</v>
      </c>
      <c r="G17">
        <v>2012</v>
      </c>
      <c r="H17">
        <v>0.98070000000000002</v>
      </c>
      <c r="M17" t="s">
        <v>144</v>
      </c>
      <c r="N17" t="s">
        <v>210</v>
      </c>
      <c r="O17" t="s">
        <v>120</v>
      </c>
      <c r="P17" t="s">
        <v>277</v>
      </c>
      <c r="Q17" t="s">
        <v>146</v>
      </c>
      <c r="R17" t="str">
        <f t="shared" si="3"/>
        <v>Residential - Water Heating - Low Income Electrified - Coal - KETCOA - E</v>
      </c>
      <c r="S17" t="str">
        <f t="shared" si="4"/>
        <v>RESCOA</v>
      </c>
      <c r="T17" t="str">
        <f t="shared" si="5"/>
        <v>RLEW</v>
      </c>
    </row>
    <row r="18" spans="1:20" x14ac:dyDescent="0.2">
      <c r="A18" t="str">
        <f t="shared" si="2"/>
        <v>RLEKELCSTOV-Es2d1b5</v>
      </c>
      <c r="B18">
        <f t="shared" si="0"/>
        <v>4</v>
      </c>
      <c r="C18" t="s">
        <v>116</v>
      </c>
      <c r="D18" t="s">
        <v>133</v>
      </c>
      <c r="E18" t="s">
        <v>268</v>
      </c>
      <c r="F18" t="s">
        <v>132</v>
      </c>
      <c r="G18">
        <v>2012</v>
      </c>
      <c r="H18">
        <v>0.58050000000000002</v>
      </c>
      <c r="M18" t="s">
        <v>145</v>
      </c>
      <c r="N18" t="s">
        <v>211</v>
      </c>
      <c r="O18" t="s">
        <v>274</v>
      </c>
      <c r="P18" t="s">
        <v>277</v>
      </c>
      <c r="Q18" t="s">
        <v>147</v>
      </c>
      <c r="R18" t="str">
        <f t="shared" si="3"/>
        <v>Residential - Water Heating - Low Income Electrified - Oil LPG - KETLPG - E</v>
      </c>
      <c r="S18" t="str">
        <f t="shared" si="4"/>
        <v>RESOLP</v>
      </c>
      <c r="T18" t="str">
        <f t="shared" si="5"/>
        <v>RLEW</v>
      </c>
    </row>
    <row r="19" spans="1:20" x14ac:dyDescent="0.2">
      <c r="A19" t="str">
        <f t="shared" si="2"/>
        <v>RLEKOLPRING-Es1d1b1</v>
      </c>
      <c r="B19">
        <f t="shared" si="0"/>
        <v>5</v>
      </c>
      <c r="C19" t="s">
        <v>116</v>
      </c>
      <c r="D19" t="s">
        <v>134</v>
      </c>
      <c r="E19" t="s">
        <v>261</v>
      </c>
      <c r="F19" t="s">
        <v>132</v>
      </c>
      <c r="G19">
        <v>2012</v>
      </c>
      <c r="H19">
        <v>0.20979999999999999</v>
      </c>
      <c r="M19" t="s">
        <v>146</v>
      </c>
      <c r="N19" t="s">
        <v>212</v>
      </c>
      <c r="O19" t="s">
        <v>275</v>
      </c>
      <c r="P19" t="s">
        <v>277</v>
      </c>
      <c r="Q19" t="s">
        <v>148</v>
      </c>
      <c r="R19" t="str">
        <f t="shared" si="3"/>
        <v>Residential - Cooking - Middle Income Electrified - Electricity - STOV - E</v>
      </c>
      <c r="S19" t="str">
        <f t="shared" si="4"/>
        <v>RESELC</v>
      </c>
      <c r="T19" t="str">
        <f t="shared" si="5"/>
        <v>RMEK</v>
      </c>
    </row>
    <row r="20" spans="1:20" x14ac:dyDescent="0.2">
      <c r="A20" t="str">
        <f t="shared" si="2"/>
        <v>RLEKOLPRING-Es1d1b2</v>
      </c>
      <c r="B20">
        <f t="shared" si="0"/>
        <v>5</v>
      </c>
      <c r="C20" t="s">
        <v>116</v>
      </c>
      <c r="D20" t="s">
        <v>134</v>
      </c>
      <c r="E20" t="s">
        <v>262</v>
      </c>
      <c r="F20" t="s">
        <v>132</v>
      </c>
      <c r="G20">
        <v>2012</v>
      </c>
      <c r="H20">
        <v>0.79349999999999998</v>
      </c>
      <c r="M20" t="s">
        <v>147</v>
      </c>
      <c r="N20" t="s">
        <v>213</v>
      </c>
      <c r="O20" t="s">
        <v>273</v>
      </c>
      <c r="P20" t="s">
        <v>277</v>
      </c>
      <c r="Q20" t="s">
        <v>149</v>
      </c>
      <c r="R20" t="str">
        <f t="shared" si="3"/>
        <v>Residential - Cooking - Middle Income Electrified - Oil LPG - STOV - E</v>
      </c>
      <c r="S20" t="str">
        <f t="shared" si="4"/>
        <v>RESOLP</v>
      </c>
      <c r="T20" t="str">
        <f t="shared" si="5"/>
        <v>RMEK</v>
      </c>
    </row>
    <row r="21" spans="1:20" x14ac:dyDescent="0.2">
      <c r="A21" t="str">
        <f t="shared" si="2"/>
        <v>RLEKOLPRING-Es1d1b3</v>
      </c>
      <c r="B21">
        <f t="shared" si="0"/>
        <v>5</v>
      </c>
      <c r="C21" t="s">
        <v>116</v>
      </c>
      <c r="D21" t="s">
        <v>134</v>
      </c>
      <c r="E21" t="s">
        <v>263</v>
      </c>
      <c r="F21" t="s">
        <v>132</v>
      </c>
      <c r="G21">
        <v>2012</v>
      </c>
      <c r="H21">
        <v>0.89359999999999995</v>
      </c>
      <c r="M21" t="s">
        <v>188</v>
      </c>
      <c r="N21" t="s">
        <v>214</v>
      </c>
      <c r="O21" t="s">
        <v>120</v>
      </c>
      <c r="P21" t="s">
        <v>278</v>
      </c>
      <c r="Q21" t="s">
        <v>150</v>
      </c>
      <c r="R21" t="str">
        <f t="shared" si="3"/>
        <v>Residential - Cooking - Middle Income Electrified - Biomass Wood - STOV - E</v>
      </c>
      <c r="S21" t="str">
        <f t="shared" si="4"/>
        <v>RESBIW</v>
      </c>
      <c r="T21" t="str">
        <f t="shared" si="5"/>
        <v>RMEK</v>
      </c>
    </row>
    <row r="22" spans="1:20" x14ac:dyDescent="0.2">
      <c r="A22" t="str">
        <f t="shared" si="2"/>
        <v>RLEKOLPRING-Es2d1b1</v>
      </c>
      <c r="B22">
        <f t="shared" si="0"/>
        <v>5</v>
      </c>
      <c r="C22" t="s">
        <v>116</v>
      </c>
      <c r="D22" t="s">
        <v>134</v>
      </c>
      <c r="E22" t="s">
        <v>264</v>
      </c>
      <c r="F22" t="s">
        <v>132</v>
      </c>
      <c r="G22">
        <v>2012</v>
      </c>
      <c r="H22">
        <v>0.2316</v>
      </c>
      <c r="M22" t="s">
        <v>189</v>
      </c>
      <c r="N22" t="s">
        <v>215</v>
      </c>
      <c r="O22" t="s">
        <v>120</v>
      </c>
      <c r="P22" t="s">
        <v>279</v>
      </c>
      <c r="Q22" t="s">
        <v>151</v>
      </c>
      <c r="R22" t="str">
        <f t="shared" si="3"/>
        <v>Residential - Cooking - Middle Income Electrified - Coal - BNM - E</v>
      </c>
      <c r="S22" t="str">
        <f t="shared" si="4"/>
        <v>RESCOA</v>
      </c>
      <c r="T22" t="str">
        <f t="shared" si="5"/>
        <v>RMEK</v>
      </c>
    </row>
    <row r="23" spans="1:20" x14ac:dyDescent="0.2">
      <c r="A23" t="str">
        <f t="shared" si="2"/>
        <v>RLEKOLPRING-Es2d1b2</v>
      </c>
      <c r="B23">
        <f t="shared" si="0"/>
        <v>5</v>
      </c>
      <c r="C23" t="s">
        <v>116</v>
      </c>
      <c r="D23" t="s">
        <v>134</v>
      </c>
      <c r="E23" t="s">
        <v>265</v>
      </c>
      <c r="F23" t="s">
        <v>132</v>
      </c>
      <c r="G23">
        <v>2012</v>
      </c>
      <c r="H23">
        <v>1</v>
      </c>
      <c r="M23" t="s">
        <v>190</v>
      </c>
      <c r="N23" t="s">
        <v>216</v>
      </c>
      <c r="O23" t="s">
        <v>120</v>
      </c>
      <c r="P23" t="s">
        <v>280</v>
      </c>
      <c r="Q23" t="s">
        <v>152</v>
      </c>
      <c r="R23" t="str">
        <f t="shared" si="3"/>
        <v>Residential - Cooking - Middle Income Electrified - Oil Paraffin - WICK - E</v>
      </c>
      <c r="S23" t="str">
        <f t="shared" si="4"/>
        <v>RESOKE</v>
      </c>
      <c r="T23" t="str">
        <f t="shared" si="5"/>
        <v>RMEK</v>
      </c>
    </row>
    <row r="24" spans="1:20" x14ac:dyDescent="0.2">
      <c r="A24" t="str">
        <f t="shared" si="2"/>
        <v>RLEKOLPRING-Es2d1b3</v>
      </c>
      <c r="B24">
        <f t="shared" si="0"/>
        <v>5</v>
      </c>
      <c r="C24" t="s">
        <v>116</v>
      </c>
      <c r="D24" t="s">
        <v>134</v>
      </c>
      <c r="E24" t="s">
        <v>266</v>
      </c>
      <c r="F24" t="s">
        <v>132</v>
      </c>
      <c r="G24">
        <v>2012</v>
      </c>
      <c r="H24">
        <v>0.73229999999999995</v>
      </c>
      <c r="M24" t="s">
        <v>191</v>
      </c>
      <c r="N24" t="s">
        <v>217</v>
      </c>
      <c r="O24" t="s">
        <v>270</v>
      </c>
      <c r="P24" t="s">
        <v>281</v>
      </c>
      <c r="Q24" t="s">
        <v>153</v>
      </c>
      <c r="R24" t="str">
        <f t="shared" si="3"/>
        <v>Residential - Cooking - Middle Income Electrified - Natural Gas - STOV - E</v>
      </c>
      <c r="S24" t="str">
        <f t="shared" si="4"/>
        <v>RESGAS</v>
      </c>
      <c r="T24" t="str">
        <f t="shared" si="5"/>
        <v>RMEK</v>
      </c>
    </row>
    <row r="25" spans="1:20" x14ac:dyDescent="0.2">
      <c r="A25" t="str">
        <f t="shared" si="2"/>
        <v>RLEKOLPRING-Es2d1b4</v>
      </c>
      <c r="B25">
        <f t="shared" si="0"/>
        <v>5</v>
      </c>
      <c r="C25" t="s">
        <v>116</v>
      </c>
      <c r="D25" t="s">
        <v>134</v>
      </c>
      <c r="E25" t="s">
        <v>267</v>
      </c>
      <c r="F25" t="s">
        <v>132</v>
      </c>
      <c r="G25">
        <v>2012</v>
      </c>
      <c r="H25">
        <v>0.98070000000000002</v>
      </c>
      <c r="M25" t="s">
        <v>148</v>
      </c>
      <c r="N25" t="s">
        <v>218</v>
      </c>
      <c r="O25" t="s">
        <v>120</v>
      </c>
      <c r="P25" t="s">
        <v>282</v>
      </c>
      <c r="Q25" t="s">
        <v>154</v>
      </c>
      <c r="R25" t="str">
        <f t="shared" si="3"/>
        <v>Residential - Space Heating - Middle Income Electrified - Electricity - HEATFIN - E</v>
      </c>
      <c r="S25" t="str">
        <f t="shared" si="4"/>
        <v>RESELC</v>
      </c>
      <c r="T25" t="str">
        <f t="shared" si="5"/>
        <v>RMEH</v>
      </c>
    </row>
    <row r="26" spans="1:20" x14ac:dyDescent="0.2">
      <c r="A26" t="str">
        <f t="shared" si="2"/>
        <v>RLEKOLPRING-Es2d1b5</v>
      </c>
      <c r="B26">
        <f t="shared" si="0"/>
        <v>5</v>
      </c>
      <c r="C26" t="s">
        <v>116</v>
      </c>
      <c r="D26" t="s">
        <v>134</v>
      </c>
      <c r="E26" t="s">
        <v>268</v>
      </c>
      <c r="F26" t="s">
        <v>132</v>
      </c>
      <c r="G26">
        <v>2012</v>
      </c>
      <c r="H26">
        <v>0.58050000000000002</v>
      </c>
      <c r="M26" t="s">
        <v>149</v>
      </c>
      <c r="N26" t="s">
        <v>219</v>
      </c>
      <c r="O26" t="s">
        <v>273</v>
      </c>
      <c r="P26" t="s">
        <v>282</v>
      </c>
      <c r="Q26" t="s">
        <v>155</v>
      </c>
      <c r="R26" t="str">
        <f t="shared" si="3"/>
        <v>Residential - Space Heating - Middle Income Electrified - Oil Paraffin - HEAT - E</v>
      </c>
      <c r="S26" t="str">
        <f t="shared" si="4"/>
        <v>RESOKE</v>
      </c>
      <c r="T26" t="str">
        <f t="shared" si="5"/>
        <v>RMEH</v>
      </c>
    </row>
    <row r="27" spans="1:20" x14ac:dyDescent="0.2">
      <c r="A27" t="str">
        <f t="shared" si="2"/>
        <v>RLEKBIWBNM-Es1d1b1</v>
      </c>
      <c r="B27">
        <f t="shared" si="0"/>
        <v>6</v>
      </c>
      <c r="C27" t="s">
        <v>116</v>
      </c>
      <c r="D27" t="s">
        <v>135</v>
      </c>
      <c r="E27" t="s">
        <v>261</v>
      </c>
      <c r="F27" t="s">
        <v>132</v>
      </c>
      <c r="G27">
        <v>2012</v>
      </c>
      <c r="H27">
        <v>0.20979999999999999</v>
      </c>
      <c r="M27" t="s">
        <v>150</v>
      </c>
      <c r="N27" t="s">
        <v>220</v>
      </c>
      <c r="O27" t="s">
        <v>274</v>
      </c>
      <c r="P27" t="s">
        <v>282</v>
      </c>
      <c r="Q27" t="s">
        <v>156</v>
      </c>
      <c r="R27" t="str">
        <f t="shared" si="3"/>
        <v>Residential - Space Heating - Middle Income Electrified - Biomass Wood - STOV - E</v>
      </c>
      <c r="S27" t="str">
        <f t="shared" si="4"/>
        <v>RESBIW</v>
      </c>
      <c r="T27" t="str">
        <f t="shared" si="5"/>
        <v>RMEH</v>
      </c>
    </row>
    <row r="28" spans="1:20" x14ac:dyDescent="0.2">
      <c r="A28" t="str">
        <f t="shared" si="2"/>
        <v>RLEKBIWBNM-Es1d1b2</v>
      </c>
      <c r="B28">
        <f t="shared" si="0"/>
        <v>6</v>
      </c>
      <c r="C28" t="s">
        <v>116</v>
      </c>
      <c r="D28" t="s">
        <v>135</v>
      </c>
      <c r="E28" t="s">
        <v>262</v>
      </c>
      <c r="F28" t="s">
        <v>132</v>
      </c>
      <c r="G28">
        <v>2012</v>
      </c>
      <c r="H28">
        <v>0.79349999999999998</v>
      </c>
      <c r="M28" t="s">
        <v>151</v>
      </c>
      <c r="N28" t="s">
        <v>221</v>
      </c>
      <c r="O28" t="s">
        <v>275</v>
      </c>
      <c r="P28" t="s">
        <v>282</v>
      </c>
      <c r="Q28" t="s">
        <v>157</v>
      </c>
      <c r="R28" t="str">
        <f t="shared" si="3"/>
        <v>Residential - Space Heating - Middle Income Electrified - Coal - STOV - E</v>
      </c>
      <c r="S28" t="str">
        <f t="shared" si="4"/>
        <v>RESCOA</v>
      </c>
      <c r="T28" t="str">
        <f t="shared" si="5"/>
        <v>RMEH</v>
      </c>
    </row>
    <row r="29" spans="1:20" x14ac:dyDescent="0.2">
      <c r="A29" t="str">
        <f t="shared" si="2"/>
        <v>RLEKBIWBNM-Es1d1b3</v>
      </c>
      <c r="B29">
        <f t="shared" si="0"/>
        <v>6</v>
      </c>
      <c r="C29" t="s">
        <v>116</v>
      </c>
      <c r="D29" t="s">
        <v>135</v>
      </c>
      <c r="E29" t="s">
        <v>263</v>
      </c>
      <c r="F29" t="s">
        <v>132</v>
      </c>
      <c r="G29">
        <v>2012</v>
      </c>
      <c r="H29">
        <v>0.89359999999999995</v>
      </c>
      <c r="M29" t="s">
        <v>152</v>
      </c>
      <c r="N29" t="s">
        <v>222</v>
      </c>
      <c r="O29" t="s">
        <v>270</v>
      </c>
      <c r="P29" t="s">
        <v>282</v>
      </c>
      <c r="Q29" t="s">
        <v>158</v>
      </c>
      <c r="R29" t="str">
        <f t="shared" si="3"/>
        <v>Residential - Space Heating - Middle Income Electrified - Oil LPG - HEAT - E</v>
      </c>
      <c r="S29" t="str">
        <f t="shared" si="4"/>
        <v>RESOLP</v>
      </c>
      <c r="T29" t="str">
        <f t="shared" si="5"/>
        <v>RMEH</v>
      </c>
    </row>
    <row r="30" spans="1:20" x14ac:dyDescent="0.2">
      <c r="A30" t="str">
        <f t="shared" si="2"/>
        <v>RLEKBIWBNM-Es2d1b1</v>
      </c>
      <c r="B30">
        <f t="shared" si="0"/>
        <v>6</v>
      </c>
      <c r="C30" t="s">
        <v>116</v>
      </c>
      <c r="D30" t="s">
        <v>135</v>
      </c>
      <c r="E30" t="s">
        <v>264</v>
      </c>
      <c r="F30" t="s">
        <v>132</v>
      </c>
      <c r="G30">
        <v>2012</v>
      </c>
      <c r="H30">
        <v>0.2316</v>
      </c>
      <c r="M30" t="s">
        <v>153</v>
      </c>
      <c r="N30" t="s">
        <v>223</v>
      </c>
      <c r="O30" t="s">
        <v>283</v>
      </c>
      <c r="P30" t="s">
        <v>282</v>
      </c>
      <c r="Q30" t="s">
        <v>159</v>
      </c>
      <c r="R30" t="str">
        <f t="shared" si="3"/>
        <v>Residential - Space Heating - Middle Income Electrified - Natural Gas - HEAT - N</v>
      </c>
      <c r="S30" t="str">
        <f t="shared" si="4"/>
        <v>RESGAS</v>
      </c>
      <c r="T30" t="str">
        <f t="shared" si="5"/>
        <v>RMEH</v>
      </c>
    </row>
    <row r="31" spans="1:20" x14ac:dyDescent="0.2">
      <c r="A31" t="str">
        <f t="shared" si="2"/>
        <v>RLEKBIWBNM-Es2d1b2</v>
      </c>
      <c r="B31">
        <f t="shared" si="0"/>
        <v>6</v>
      </c>
      <c r="C31" t="s">
        <v>116</v>
      </c>
      <c r="D31" t="s">
        <v>135</v>
      </c>
      <c r="E31" t="s">
        <v>265</v>
      </c>
      <c r="F31" t="s">
        <v>132</v>
      </c>
      <c r="G31">
        <v>2012</v>
      </c>
      <c r="H31">
        <v>1</v>
      </c>
      <c r="M31" t="s">
        <v>154</v>
      </c>
      <c r="N31" t="s">
        <v>224</v>
      </c>
      <c r="O31" t="s">
        <v>120</v>
      </c>
      <c r="P31" t="s">
        <v>284</v>
      </c>
      <c r="Q31" t="s">
        <v>160</v>
      </c>
      <c r="R31" t="str">
        <f t="shared" si="3"/>
        <v>Residential - Water Heating - Middle Income Electrified - Electricity - GEY - E</v>
      </c>
      <c r="S31" t="str">
        <f t="shared" si="4"/>
        <v>RESELC</v>
      </c>
      <c r="T31" t="str">
        <f t="shared" si="5"/>
        <v>RMEWG</v>
      </c>
    </row>
    <row r="32" spans="1:20" x14ac:dyDescent="0.2">
      <c r="A32" t="str">
        <f t="shared" si="2"/>
        <v>RLEKBIWBNM-Es2d1b3</v>
      </c>
      <c r="B32">
        <f t="shared" si="0"/>
        <v>6</v>
      </c>
      <c r="C32" t="s">
        <v>116</v>
      </c>
      <c r="D32" t="s">
        <v>135</v>
      </c>
      <c r="E32" t="s">
        <v>266</v>
      </c>
      <c r="F32" t="s">
        <v>132</v>
      </c>
      <c r="G32">
        <v>2012</v>
      </c>
      <c r="H32">
        <v>0.73229999999999995</v>
      </c>
      <c r="M32" t="s">
        <v>155</v>
      </c>
      <c r="N32" t="s">
        <v>225</v>
      </c>
      <c r="O32" t="s">
        <v>270</v>
      </c>
      <c r="P32" t="s">
        <v>284</v>
      </c>
      <c r="Q32" t="s">
        <v>161</v>
      </c>
      <c r="R32" t="str">
        <f t="shared" si="3"/>
        <v>Residential - Water Heating - Middle Income Electrified - Electricity - SWH - Low pressure</v>
      </c>
      <c r="S32" t="str">
        <f t="shared" si="4"/>
        <v>RESELC</v>
      </c>
      <c r="T32" t="str">
        <f t="shared" si="5"/>
        <v>RMEWG</v>
      </c>
    </row>
    <row r="33" spans="1:20" x14ac:dyDescent="0.2">
      <c r="A33" t="str">
        <f t="shared" si="2"/>
        <v>RLEKBIWBNM-Es2d1b4</v>
      </c>
      <c r="B33">
        <f t="shared" si="0"/>
        <v>6</v>
      </c>
      <c r="C33" t="s">
        <v>116</v>
      </c>
      <c r="D33" t="s">
        <v>135</v>
      </c>
      <c r="E33" t="s">
        <v>267</v>
      </c>
      <c r="F33" t="s">
        <v>132</v>
      </c>
      <c r="G33">
        <v>2012</v>
      </c>
      <c r="H33">
        <v>0.98070000000000002</v>
      </c>
      <c r="M33" t="s">
        <v>156</v>
      </c>
      <c r="N33" t="s">
        <v>226</v>
      </c>
      <c r="O33" t="s">
        <v>274</v>
      </c>
      <c r="P33" t="s">
        <v>284</v>
      </c>
      <c r="Q33" t="s">
        <v>162</v>
      </c>
      <c r="R33" t="str">
        <f t="shared" si="3"/>
        <v>Residential - Water Heating - Middle Income Electrified - Electricity - HP - N</v>
      </c>
      <c r="S33" t="str">
        <f t="shared" si="4"/>
        <v>RESELC</v>
      </c>
      <c r="T33" t="str">
        <f t="shared" si="5"/>
        <v>RMEWG</v>
      </c>
    </row>
    <row r="34" spans="1:20" x14ac:dyDescent="0.2">
      <c r="A34" t="str">
        <f t="shared" si="2"/>
        <v>RLEKBIWBNM-Es2d1b5</v>
      </c>
      <c r="B34">
        <f t="shared" si="0"/>
        <v>6</v>
      </c>
      <c r="C34" t="s">
        <v>116</v>
      </c>
      <c r="D34" t="s">
        <v>135</v>
      </c>
      <c r="E34" t="s">
        <v>268</v>
      </c>
      <c r="F34" t="s">
        <v>132</v>
      </c>
      <c r="G34">
        <v>2012</v>
      </c>
      <c r="H34">
        <v>0.58050000000000002</v>
      </c>
      <c r="M34" t="s">
        <v>157</v>
      </c>
      <c r="N34" t="s">
        <v>227</v>
      </c>
      <c r="O34" t="s">
        <v>275</v>
      </c>
      <c r="P34" t="s">
        <v>284</v>
      </c>
      <c r="Q34" t="s">
        <v>163</v>
      </c>
      <c r="R34" t="str">
        <f t="shared" si="3"/>
        <v>Residential - Water Heating - Middle Income Electrified - Electricity - Kettle - E</v>
      </c>
      <c r="S34" t="str">
        <f t="shared" si="4"/>
        <v>RESELC</v>
      </c>
      <c r="T34" t="str">
        <f t="shared" si="5"/>
        <v>RMEW</v>
      </c>
    </row>
    <row r="35" spans="1:20" x14ac:dyDescent="0.2">
      <c r="A35" t="str">
        <f t="shared" si="2"/>
        <v>RLEKCOABNM-Es1d1b1</v>
      </c>
      <c r="B35">
        <f t="shared" si="0"/>
        <v>7</v>
      </c>
      <c r="C35" t="s">
        <v>116</v>
      </c>
      <c r="D35" t="s">
        <v>136</v>
      </c>
      <c r="E35" t="s">
        <v>261</v>
      </c>
      <c r="F35" t="s">
        <v>132</v>
      </c>
      <c r="G35">
        <v>2012</v>
      </c>
      <c r="H35">
        <v>0.20979999999999999</v>
      </c>
      <c r="M35" t="s">
        <v>158</v>
      </c>
      <c r="N35" t="s">
        <v>228</v>
      </c>
      <c r="O35" t="s">
        <v>273</v>
      </c>
      <c r="P35" t="s">
        <v>284</v>
      </c>
      <c r="Q35" t="s">
        <v>164</v>
      </c>
      <c r="R35" t="str">
        <f t="shared" si="3"/>
        <v>Residential - Water Heating - Middle Income Electrified - Oil Paraffin - KETPR - E</v>
      </c>
      <c r="S35" t="str">
        <f t="shared" si="4"/>
        <v>RESOKE</v>
      </c>
      <c r="T35" t="str">
        <f t="shared" si="5"/>
        <v>RMEW</v>
      </c>
    </row>
    <row r="36" spans="1:20" x14ac:dyDescent="0.2">
      <c r="A36" t="str">
        <f t="shared" si="2"/>
        <v>RLEKCOABNM-Es1d1b2</v>
      </c>
      <c r="B36">
        <f t="shared" si="0"/>
        <v>7</v>
      </c>
      <c r="C36" t="s">
        <v>116</v>
      </c>
      <c r="D36" t="s">
        <v>136</v>
      </c>
      <c r="E36" t="s">
        <v>262</v>
      </c>
      <c r="F36" t="s">
        <v>132</v>
      </c>
      <c r="G36">
        <v>2012</v>
      </c>
      <c r="H36">
        <v>0.79349999999999998</v>
      </c>
      <c r="M36" t="s">
        <v>159</v>
      </c>
      <c r="N36" t="s">
        <v>229</v>
      </c>
      <c r="O36" t="s">
        <v>283</v>
      </c>
      <c r="P36" t="s">
        <v>284</v>
      </c>
      <c r="Q36" t="s">
        <v>165</v>
      </c>
      <c r="R36" t="str">
        <f t="shared" si="3"/>
        <v>Residential - Water Heating - Middle Income Electrified - Biomass Wood - KETBI - E</v>
      </c>
      <c r="S36" t="str">
        <f t="shared" si="4"/>
        <v>RESBIW</v>
      </c>
      <c r="T36" t="str">
        <f t="shared" si="5"/>
        <v>RMEW</v>
      </c>
    </row>
    <row r="37" spans="1:20" x14ac:dyDescent="0.2">
      <c r="A37" t="str">
        <f t="shared" si="2"/>
        <v>RLEKCOABNM-Es1d1b3</v>
      </c>
      <c r="B37">
        <f t="shared" si="0"/>
        <v>7</v>
      </c>
      <c r="C37" t="s">
        <v>116</v>
      </c>
      <c r="D37" t="s">
        <v>136</v>
      </c>
      <c r="E37" t="s">
        <v>263</v>
      </c>
      <c r="F37" t="s">
        <v>132</v>
      </c>
      <c r="G37">
        <v>2012</v>
      </c>
      <c r="H37">
        <v>0.89359999999999995</v>
      </c>
      <c r="M37" t="s">
        <v>160</v>
      </c>
      <c r="N37" t="s">
        <v>230</v>
      </c>
      <c r="O37" t="s">
        <v>120</v>
      </c>
      <c r="P37" t="s">
        <v>285</v>
      </c>
      <c r="Q37" t="s">
        <v>166</v>
      </c>
      <c r="R37" t="str">
        <f t="shared" si="3"/>
        <v>Residential - Water Heating - Middle Income Electrified - Coal - STOV - E</v>
      </c>
      <c r="S37" t="str">
        <f t="shared" si="4"/>
        <v>RESCOA</v>
      </c>
      <c r="T37" t="str">
        <f t="shared" si="5"/>
        <v>RMEW</v>
      </c>
    </row>
    <row r="38" spans="1:20" x14ac:dyDescent="0.2">
      <c r="A38" t="str">
        <f t="shared" si="2"/>
        <v>RLEKCOABNM-Es2d1b1</v>
      </c>
      <c r="B38">
        <f t="shared" si="0"/>
        <v>7</v>
      </c>
      <c r="C38" t="s">
        <v>116</v>
      </c>
      <c r="D38" t="s">
        <v>136</v>
      </c>
      <c r="E38" t="s">
        <v>264</v>
      </c>
      <c r="F38" t="s">
        <v>132</v>
      </c>
      <c r="G38">
        <v>2012</v>
      </c>
      <c r="H38">
        <v>0.2316</v>
      </c>
      <c r="M38" t="s">
        <v>161</v>
      </c>
      <c r="N38" t="s">
        <v>231</v>
      </c>
      <c r="O38" t="s">
        <v>120</v>
      </c>
      <c r="P38" t="s">
        <v>285</v>
      </c>
      <c r="Q38" t="s">
        <v>167</v>
      </c>
      <c r="R38" t="str">
        <f t="shared" si="3"/>
        <v>Residential - Water Heating - Middle Income Electrified - Oil LPG - KETLPG - E</v>
      </c>
      <c r="S38" t="str">
        <f t="shared" si="4"/>
        <v>RESOLP</v>
      </c>
      <c r="T38" t="str">
        <f t="shared" si="5"/>
        <v>RMEW</v>
      </c>
    </row>
    <row r="39" spans="1:20" x14ac:dyDescent="0.2">
      <c r="A39" t="str">
        <f t="shared" si="2"/>
        <v>RLEKCOABNM-Es2d1b2</v>
      </c>
      <c r="B39">
        <f t="shared" si="0"/>
        <v>7</v>
      </c>
      <c r="C39" t="s">
        <v>116</v>
      </c>
      <c r="D39" t="s">
        <v>136</v>
      </c>
      <c r="E39" t="s">
        <v>265</v>
      </c>
      <c r="F39" t="s">
        <v>132</v>
      </c>
      <c r="G39">
        <v>2012</v>
      </c>
      <c r="H39">
        <v>1</v>
      </c>
      <c r="M39" t="s">
        <v>162</v>
      </c>
      <c r="N39" t="s">
        <v>232</v>
      </c>
      <c r="O39" t="s">
        <v>120</v>
      </c>
      <c r="P39" t="s">
        <v>285</v>
      </c>
      <c r="Q39" t="s">
        <v>168</v>
      </c>
      <c r="R39" t="str">
        <f t="shared" si="3"/>
        <v>Residential - Water Heating - Middle Income Electrified - Natural Gas - GEY - N</v>
      </c>
      <c r="S39" t="str">
        <f t="shared" si="4"/>
        <v>RESGAS</v>
      </c>
      <c r="T39" t="str">
        <f t="shared" si="5"/>
        <v>RMEW</v>
      </c>
    </row>
    <row r="40" spans="1:20" x14ac:dyDescent="0.2">
      <c r="A40" t="str">
        <f t="shared" si="2"/>
        <v>RLEKCOABNM-Es2d1b3</v>
      </c>
      <c r="B40">
        <f t="shared" si="0"/>
        <v>7</v>
      </c>
      <c r="C40" t="s">
        <v>116</v>
      </c>
      <c r="D40" t="s">
        <v>136</v>
      </c>
      <c r="E40" t="s">
        <v>266</v>
      </c>
      <c r="F40" t="s">
        <v>132</v>
      </c>
      <c r="G40">
        <v>2012</v>
      </c>
      <c r="H40">
        <v>0.73229999999999995</v>
      </c>
      <c r="M40" t="s">
        <v>163</v>
      </c>
      <c r="N40" t="s">
        <v>233</v>
      </c>
      <c r="O40" t="s">
        <v>120</v>
      </c>
      <c r="P40" t="s">
        <v>286</v>
      </c>
      <c r="Q40" t="s">
        <v>169</v>
      </c>
      <c r="R40" t="str">
        <f t="shared" si="3"/>
        <v>Residential - Cooking - High Income Electrified - Electricity - STOV - E</v>
      </c>
      <c r="S40" t="str">
        <f t="shared" si="4"/>
        <v>RESELC</v>
      </c>
      <c r="T40" t="str">
        <f t="shared" si="5"/>
        <v>RHEK</v>
      </c>
    </row>
    <row r="41" spans="1:20" x14ac:dyDescent="0.2">
      <c r="A41" t="str">
        <f t="shared" si="2"/>
        <v>RLEKCOABNM-Es2d1b4</v>
      </c>
      <c r="B41">
        <f t="shared" si="0"/>
        <v>7</v>
      </c>
      <c r="C41" t="s">
        <v>116</v>
      </c>
      <c r="D41" t="s">
        <v>136</v>
      </c>
      <c r="E41" t="s">
        <v>267</v>
      </c>
      <c r="F41" t="s">
        <v>132</v>
      </c>
      <c r="G41">
        <v>2012</v>
      </c>
      <c r="H41">
        <v>0.98070000000000002</v>
      </c>
      <c r="M41" t="s">
        <v>164</v>
      </c>
      <c r="N41" t="s">
        <v>234</v>
      </c>
      <c r="O41" t="s">
        <v>270</v>
      </c>
      <c r="P41" t="s">
        <v>286</v>
      </c>
      <c r="Q41" t="s">
        <v>170</v>
      </c>
      <c r="R41" t="str">
        <f t="shared" si="3"/>
        <v>Residential - Cooking - High Income Electrified - Oil LPG - STOV - E</v>
      </c>
      <c r="S41" t="str">
        <f t="shared" si="4"/>
        <v>RESOLP</v>
      </c>
      <c r="T41" t="str">
        <f t="shared" si="5"/>
        <v>RHEK</v>
      </c>
    </row>
    <row r="42" spans="1:20" x14ac:dyDescent="0.2">
      <c r="A42" t="str">
        <f t="shared" si="2"/>
        <v>RLEKCOABNM-Es2d1b5</v>
      </c>
      <c r="B42">
        <f t="shared" si="0"/>
        <v>7</v>
      </c>
      <c r="C42" t="s">
        <v>116</v>
      </c>
      <c r="D42" t="s">
        <v>136</v>
      </c>
      <c r="E42" t="s">
        <v>268</v>
      </c>
      <c r="F42" t="s">
        <v>132</v>
      </c>
      <c r="G42">
        <v>2012</v>
      </c>
      <c r="H42">
        <v>0.58050000000000002</v>
      </c>
      <c r="M42" t="s">
        <v>165</v>
      </c>
      <c r="N42" t="s">
        <v>235</v>
      </c>
      <c r="O42" t="s">
        <v>274</v>
      </c>
      <c r="P42" t="s">
        <v>286</v>
      </c>
      <c r="Q42" t="s">
        <v>171</v>
      </c>
      <c r="R42" t="str">
        <f t="shared" si="3"/>
        <v>Residential - Cooking - High Income Electrified - Biomass Wood - STOV - E</v>
      </c>
      <c r="S42" t="str">
        <f t="shared" si="4"/>
        <v>RESBIW</v>
      </c>
      <c r="T42" t="str">
        <f t="shared" si="5"/>
        <v>RHEK</v>
      </c>
    </row>
    <row r="43" spans="1:20" x14ac:dyDescent="0.2">
      <c r="A43" t="str">
        <f t="shared" si="2"/>
        <v>RLEKOKEWICK-Es1d1b1</v>
      </c>
      <c r="B43">
        <f t="shared" si="0"/>
        <v>8</v>
      </c>
      <c r="C43" t="s">
        <v>116</v>
      </c>
      <c r="D43" t="s">
        <v>137</v>
      </c>
      <c r="E43" t="s">
        <v>261</v>
      </c>
      <c r="F43" t="s">
        <v>132</v>
      </c>
      <c r="G43">
        <v>2012</v>
      </c>
      <c r="H43">
        <v>0.20979999999999999</v>
      </c>
      <c r="M43" t="s">
        <v>166</v>
      </c>
      <c r="N43" t="s">
        <v>236</v>
      </c>
      <c r="O43" t="s">
        <v>275</v>
      </c>
      <c r="P43" t="s">
        <v>286</v>
      </c>
      <c r="Q43" t="s">
        <v>172</v>
      </c>
      <c r="R43" t="str">
        <f t="shared" si="3"/>
        <v>Residential - Cooking - High Income Electrified - Oil Paraffin - PRIMUS - E</v>
      </c>
      <c r="S43" t="str">
        <f t="shared" si="4"/>
        <v>RESOKE</v>
      </c>
      <c r="T43" t="str">
        <f t="shared" si="5"/>
        <v>RHEK</v>
      </c>
    </row>
    <row r="44" spans="1:20" x14ac:dyDescent="0.2">
      <c r="A44" t="str">
        <f t="shared" si="2"/>
        <v>RLEKOKEWICK-Es1d1b2</v>
      </c>
      <c r="B44">
        <f t="shared" si="0"/>
        <v>8</v>
      </c>
      <c r="C44" t="s">
        <v>116</v>
      </c>
      <c r="D44" t="s">
        <v>137</v>
      </c>
      <c r="E44" t="s">
        <v>262</v>
      </c>
      <c r="F44" t="s">
        <v>132</v>
      </c>
      <c r="G44">
        <v>2012</v>
      </c>
      <c r="H44">
        <v>0.79349999999999998</v>
      </c>
      <c r="M44" t="s">
        <v>167</v>
      </c>
      <c r="N44" t="s">
        <v>237</v>
      </c>
      <c r="O44" t="s">
        <v>273</v>
      </c>
      <c r="P44" t="s">
        <v>286</v>
      </c>
      <c r="Q44" t="s">
        <v>173</v>
      </c>
      <c r="R44" t="str">
        <f t="shared" si="3"/>
        <v>Residential - Cooking - High Income Electrified - Natural Gas - STOV - E</v>
      </c>
      <c r="S44" t="str">
        <f t="shared" si="4"/>
        <v>RESGAS</v>
      </c>
      <c r="T44" t="str">
        <f t="shared" si="5"/>
        <v>RHEK</v>
      </c>
    </row>
    <row r="45" spans="1:20" x14ac:dyDescent="0.2">
      <c r="A45" t="str">
        <f t="shared" si="2"/>
        <v>RLEKOKEWICK-Es1d1b3</v>
      </c>
      <c r="B45">
        <f t="shared" si="0"/>
        <v>8</v>
      </c>
      <c r="C45" t="s">
        <v>116</v>
      </c>
      <c r="D45" t="s">
        <v>137</v>
      </c>
      <c r="E45" t="s">
        <v>263</v>
      </c>
      <c r="F45" t="s">
        <v>132</v>
      </c>
      <c r="G45">
        <v>2012</v>
      </c>
      <c r="H45">
        <v>0.89359999999999995</v>
      </c>
      <c r="M45" t="s">
        <v>168</v>
      </c>
      <c r="N45" t="s">
        <v>238</v>
      </c>
      <c r="O45" t="s">
        <v>283</v>
      </c>
      <c r="P45" t="s">
        <v>286</v>
      </c>
      <c r="Q45" t="s">
        <v>174</v>
      </c>
      <c r="R45" t="str">
        <f t="shared" si="3"/>
        <v>Residential - Space Heating - High Income Electrified - Electricity - HEATFIN - E</v>
      </c>
      <c r="S45" t="str">
        <f t="shared" si="4"/>
        <v>RESELC</v>
      </c>
      <c r="T45" t="str">
        <f t="shared" si="5"/>
        <v>RHEH</v>
      </c>
    </row>
    <row r="46" spans="1:20" x14ac:dyDescent="0.2">
      <c r="A46" t="str">
        <f t="shared" si="2"/>
        <v>RLEKOKEWICK-Es2d1b1</v>
      </c>
      <c r="B46">
        <f t="shared" si="0"/>
        <v>8</v>
      </c>
      <c r="C46" t="s">
        <v>116</v>
      </c>
      <c r="D46" t="s">
        <v>137</v>
      </c>
      <c r="E46" t="s">
        <v>264</v>
      </c>
      <c r="F46" t="s">
        <v>132</v>
      </c>
      <c r="G46">
        <v>2012</v>
      </c>
      <c r="H46">
        <v>0.2316</v>
      </c>
      <c r="M46" t="s">
        <v>192</v>
      </c>
      <c r="N46" t="s">
        <v>239</v>
      </c>
      <c r="O46" t="s">
        <v>120</v>
      </c>
      <c r="P46" t="s">
        <v>287</v>
      </c>
      <c r="Q46" t="s">
        <v>175</v>
      </c>
      <c r="R46" t="str">
        <f t="shared" si="3"/>
        <v>Residential - Space Heating - High Income Electrified - Oil Paraffin - HEAT - E</v>
      </c>
      <c r="S46" t="str">
        <f t="shared" si="4"/>
        <v>RESOKE</v>
      </c>
      <c r="T46" t="str">
        <f t="shared" si="5"/>
        <v>RHEH</v>
      </c>
    </row>
    <row r="47" spans="1:20" x14ac:dyDescent="0.2">
      <c r="A47" t="str">
        <f t="shared" si="2"/>
        <v>RLEKOKEWICK-Es2d1b2</v>
      </c>
      <c r="B47">
        <f t="shared" si="0"/>
        <v>8</v>
      </c>
      <c r="C47" t="s">
        <v>116</v>
      </c>
      <c r="D47" t="s">
        <v>137</v>
      </c>
      <c r="E47" t="s">
        <v>265</v>
      </c>
      <c r="F47" t="s">
        <v>132</v>
      </c>
      <c r="G47">
        <v>2012</v>
      </c>
      <c r="H47">
        <v>1</v>
      </c>
      <c r="M47" t="s">
        <v>193</v>
      </c>
      <c r="N47" t="s">
        <v>240</v>
      </c>
      <c r="O47" t="s">
        <v>120</v>
      </c>
      <c r="P47" t="s">
        <v>288</v>
      </c>
      <c r="Q47" t="s">
        <v>176</v>
      </c>
      <c r="R47" t="str">
        <f t="shared" si="3"/>
        <v>Residential - Space Heating - High Income Electrified - Biomass Wood - STOV - E</v>
      </c>
      <c r="S47" t="str">
        <f t="shared" si="4"/>
        <v>RESBIW</v>
      </c>
      <c r="T47" t="str">
        <f t="shared" si="5"/>
        <v>RHEH</v>
      </c>
    </row>
    <row r="48" spans="1:20" x14ac:dyDescent="0.2">
      <c r="A48" t="str">
        <f t="shared" si="2"/>
        <v>RLEKOKEWICK-Es2d1b3</v>
      </c>
      <c r="B48">
        <f t="shared" si="0"/>
        <v>8</v>
      </c>
      <c r="C48" t="s">
        <v>116</v>
      </c>
      <c r="D48" t="s">
        <v>137</v>
      </c>
      <c r="E48" t="s">
        <v>266</v>
      </c>
      <c r="F48" t="s">
        <v>132</v>
      </c>
      <c r="G48">
        <v>2012</v>
      </c>
      <c r="H48">
        <v>0.73229999999999995</v>
      </c>
      <c r="M48" t="s">
        <v>194</v>
      </c>
      <c r="N48" t="s">
        <v>241</v>
      </c>
      <c r="O48" t="s">
        <v>120</v>
      </c>
      <c r="P48" t="s">
        <v>289</v>
      </c>
      <c r="Q48" t="s">
        <v>177</v>
      </c>
      <c r="R48" t="str">
        <f t="shared" si="3"/>
        <v>Residential - Space Heating - High Income Electrified - Coal - STOV - E</v>
      </c>
      <c r="S48" t="str">
        <f t="shared" si="4"/>
        <v>RESCOA</v>
      </c>
      <c r="T48" t="str">
        <f t="shared" si="5"/>
        <v>RHEH</v>
      </c>
    </row>
    <row r="49" spans="1:20" x14ac:dyDescent="0.2">
      <c r="A49" t="str">
        <f t="shared" si="2"/>
        <v>RLEKOKEWICK-Es2d1b4</v>
      </c>
      <c r="B49">
        <f t="shared" si="0"/>
        <v>8</v>
      </c>
      <c r="C49" t="s">
        <v>116</v>
      </c>
      <c r="D49" t="s">
        <v>137</v>
      </c>
      <c r="E49" t="s">
        <v>267</v>
      </c>
      <c r="F49" t="s">
        <v>132</v>
      </c>
      <c r="G49">
        <v>2012</v>
      </c>
      <c r="H49">
        <v>0.98070000000000002</v>
      </c>
      <c r="M49" t="s">
        <v>169</v>
      </c>
      <c r="N49" t="s">
        <v>242</v>
      </c>
      <c r="O49" t="s">
        <v>120</v>
      </c>
      <c r="P49" t="s">
        <v>290</v>
      </c>
      <c r="Q49" t="s">
        <v>178</v>
      </c>
      <c r="R49" t="str">
        <f t="shared" si="3"/>
        <v>Residential - Space Heating - High Income Electrified - Oil LPG - HEAT - E</v>
      </c>
      <c r="S49" t="str">
        <f t="shared" si="4"/>
        <v>RESOLP</v>
      </c>
      <c r="T49" t="str">
        <f t="shared" si="5"/>
        <v>RHEH</v>
      </c>
    </row>
    <row r="50" spans="1:20" x14ac:dyDescent="0.2">
      <c r="A50" t="str">
        <f t="shared" si="2"/>
        <v>RLEKOKEWICK-Es2d1b5</v>
      </c>
      <c r="B50">
        <f t="shared" si="0"/>
        <v>8</v>
      </c>
      <c r="C50" t="s">
        <v>116</v>
      </c>
      <c r="D50" t="s">
        <v>137</v>
      </c>
      <c r="E50" t="s">
        <v>268</v>
      </c>
      <c r="F50" t="s">
        <v>132</v>
      </c>
      <c r="G50">
        <v>2012</v>
      </c>
      <c r="H50">
        <v>0.58050000000000002</v>
      </c>
      <c r="M50" t="s">
        <v>170</v>
      </c>
      <c r="N50" t="s">
        <v>243</v>
      </c>
      <c r="O50" t="s">
        <v>273</v>
      </c>
      <c r="P50" t="s">
        <v>290</v>
      </c>
      <c r="Q50" t="s">
        <v>179</v>
      </c>
      <c r="R50" t="str">
        <f t="shared" si="3"/>
        <v>Residential - Space Heating - High Income Electrified - Natural Gas - HEAT - N</v>
      </c>
      <c r="S50" t="str">
        <f t="shared" si="4"/>
        <v>RESGAS</v>
      </c>
      <c r="T50" t="str">
        <f t="shared" si="5"/>
        <v>RHEH</v>
      </c>
    </row>
    <row r="51" spans="1:20" x14ac:dyDescent="0.2">
      <c r="A51" t="str">
        <f t="shared" si="2"/>
        <v>RLEHELCHEATBAR-Es1d1b1</v>
      </c>
      <c r="B51">
        <f t="shared" si="0"/>
        <v>9</v>
      </c>
      <c r="C51" t="s">
        <v>116</v>
      </c>
      <c r="D51" t="s">
        <v>138</v>
      </c>
      <c r="E51" t="s">
        <v>261</v>
      </c>
      <c r="F51" t="s">
        <v>132</v>
      </c>
      <c r="G51">
        <v>2012</v>
      </c>
      <c r="H51">
        <v>0.80610000000000004</v>
      </c>
      <c r="M51" t="s">
        <v>171</v>
      </c>
      <c r="N51" t="s">
        <v>244</v>
      </c>
      <c r="O51" t="s">
        <v>274</v>
      </c>
      <c r="P51" t="s">
        <v>290</v>
      </c>
      <c r="Q51" t="s">
        <v>180</v>
      </c>
      <c r="R51" t="str">
        <f t="shared" si="3"/>
        <v>Residential - Water Heating - High Income Electrified - Electricity - GEY - E</v>
      </c>
      <c r="S51" t="str">
        <f t="shared" si="4"/>
        <v>RESELC</v>
      </c>
      <c r="T51" t="str">
        <f t="shared" si="5"/>
        <v>RHEWG</v>
      </c>
    </row>
    <row r="52" spans="1:20" x14ac:dyDescent="0.2">
      <c r="A52" t="str">
        <f t="shared" si="2"/>
        <v>RLEHELCHEATBAR-Es1d1b2</v>
      </c>
      <c r="B52">
        <f t="shared" si="0"/>
        <v>9</v>
      </c>
      <c r="C52" t="s">
        <v>116</v>
      </c>
      <c r="D52" t="s">
        <v>138</v>
      </c>
      <c r="E52" t="s">
        <v>262</v>
      </c>
      <c r="F52" t="s">
        <v>132</v>
      </c>
      <c r="G52">
        <v>2012</v>
      </c>
      <c r="H52">
        <v>1.3599999999999999E-2</v>
      </c>
      <c r="M52" t="s">
        <v>172</v>
      </c>
      <c r="N52" t="s">
        <v>245</v>
      </c>
      <c r="O52" t="s">
        <v>270</v>
      </c>
      <c r="P52" t="s">
        <v>290</v>
      </c>
      <c r="Q52" t="s">
        <v>181</v>
      </c>
      <c r="R52" t="str">
        <f t="shared" si="3"/>
        <v>Residential - Water Heating - High Income Electrified - Electricity - HP - N</v>
      </c>
      <c r="S52" t="str">
        <f t="shared" si="4"/>
        <v>RESELC</v>
      </c>
      <c r="T52" t="str">
        <f t="shared" si="5"/>
        <v>RHEWG</v>
      </c>
    </row>
    <row r="53" spans="1:20" x14ac:dyDescent="0.2">
      <c r="A53" t="str">
        <f t="shared" si="2"/>
        <v>RLEHELCHEATBAR-Es1d1b3</v>
      </c>
      <c r="B53">
        <f t="shared" si="0"/>
        <v>9</v>
      </c>
      <c r="C53" t="s">
        <v>116</v>
      </c>
      <c r="D53" t="s">
        <v>138</v>
      </c>
      <c r="E53" t="s">
        <v>263</v>
      </c>
      <c r="F53" t="s">
        <v>132</v>
      </c>
      <c r="G53">
        <v>2012</v>
      </c>
      <c r="H53">
        <v>1.8700000000000001E-2</v>
      </c>
      <c r="M53" t="s">
        <v>173</v>
      </c>
      <c r="N53" t="s">
        <v>246</v>
      </c>
      <c r="O53" t="s">
        <v>283</v>
      </c>
      <c r="P53" t="s">
        <v>290</v>
      </c>
      <c r="Q53" t="s">
        <v>182</v>
      </c>
      <c r="R53" t="str">
        <f t="shared" si="3"/>
        <v>Residential - Water Heating - High Income Electrified - Electricity - SWH - E</v>
      </c>
      <c r="S53" t="str">
        <f t="shared" si="4"/>
        <v>RESELC</v>
      </c>
      <c r="T53" t="str">
        <f t="shared" si="5"/>
        <v>RHEWG</v>
      </c>
    </row>
    <row r="54" spans="1:20" x14ac:dyDescent="0.2">
      <c r="A54" t="str">
        <f t="shared" si="2"/>
        <v>RLEHELCHEATBAR-Es2d1b1</v>
      </c>
      <c r="B54">
        <f t="shared" si="0"/>
        <v>9</v>
      </c>
      <c r="C54" t="s">
        <v>116</v>
      </c>
      <c r="D54" t="s">
        <v>138</v>
      </c>
      <c r="E54" t="s">
        <v>264</v>
      </c>
      <c r="F54" t="s">
        <v>132</v>
      </c>
      <c r="G54">
        <v>2012</v>
      </c>
      <c r="H54">
        <v>0.1094</v>
      </c>
      <c r="M54" t="s">
        <v>174</v>
      </c>
      <c r="N54" t="s">
        <v>247</v>
      </c>
      <c r="O54" t="s">
        <v>120</v>
      </c>
      <c r="P54" t="s">
        <v>291</v>
      </c>
      <c r="Q54" t="s">
        <v>183</v>
      </c>
      <c r="R54" t="str">
        <f t="shared" si="3"/>
        <v>Residential - Water Heating - High Income Electrified - Oil Paraffin - STOV - E</v>
      </c>
      <c r="S54" t="str">
        <f t="shared" si="4"/>
        <v>RESOKE</v>
      </c>
      <c r="T54" t="str">
        <f t="shared" si="5"/>
        <v>RHEW</v>
      </c>
    </row>
    <row r="55" spans="1:20" x14ac:dyDescent="0.2">
      <c r="A55" t="str">
        <f t="shared" si="2"/>
        <v>RLEHELCHEATBAR-Es2d1b2</v>
      </c>
      <c r="B55">
        <f t="shared" si="0"/>
        <v>9</v>
      </c>
      <c r="C55" t="s">
        <v>116</v>
      </c>
      <c r="D55" t="s">
        <v>138</v>
      </c>
      <c r="E55" t="s">
        <v>265</v>
      </c>
      <c r="F55" t="s">
        <v>132</v>
      </c>
      <c r="G55">
        <v>2012</v>
      </c>
      <c r="H55">
        <v>0.10730000000000001</v>
      </c>
      <c r="M55" t="s">
        <v>175</v>
      </c>
      <c r="N55" t="s">
        <v>248</v>
      </c>
      <c r="O55" t="s">
        <v>270</v>
      </c>
      <c r="P55" t="s">
        <v>291</v>
      </c>
      <c r="Q55" t="s">
        <v>184</v>
      </c>
      <c r="R55" t="str">
        <f t="shared" si="3"/>
        <v>Residential - Water Heating - High Income Electrified - Oil LPG - STOV - E</v>
      </c>
      <c r="S55" t="str">
        <f t="shared" si="4"/>
        <v>RESOLP</v>
      </c>
      <c r="T55" t="str">
        <f t="shared" si="5"/>
        <v>RHEW</v>
      </c>
    </row>
    <row r="56" spans="1:20" x14ac:dyDescent="0.2">
      <c r="A56" t="str">
        <f t="shared" si="2"/>
        <v>RLEHELCHEATBAR-Es2d1b3</v>
      </c>
      <c r="B56">
        <f t="shared" si="0"/>
        <v>9</v>
      </c>
      <c r="C56" t="s">
        <v>116</v>
      </c>
      <c r="D56" t="s">
        <v>138</v>
      </c>
      <c r="E56" t="s">
        <v>266</v>
      </c>
      <c r="F56" t="s">
        <v>132</v>
      </c>
      <c r="G56">
        <v>2012</v>
      </c>
      <c r="H56">
        <v>0.3236</v>
      </c>
      <c r="M56" t="s">
        <v>176</v>
      </c>
      <c r="N56" t="s">
        <v>249</v>
      </c>
      <c r="O56" t="s">
        <v>274</v>
      </c>
      <c r="P56" t="s">
        <v>291</v>
      </c>
      <c r="Q56" t="s">
        <v>185</v>
      </c>
      <c r="R56" t="str">
        <f t="shared" si="3"/>
        <v>Residential - Water Heating - High Income Electrified - Natural Gas - HEAT - N</v>
      </c>
      <c r="S56" t="str">
        <f t="shared" si="4"/>
        <v>RESGAS</v>
      </c>
      <c r="T56" t="str">
        <f t="shared" si="5"/>
        <v>RHEW</v>
      </c>
    </row>
    <row r="57" spans="1:20" x14ac:dyDescent="0.2">
      <c r="A57" t="str">
        <f t="shared" si="2"/>
        <v>RLEHELCHEATBAR-Es2d1b4</v>
      </c>
      <c r="B57">
        <f t="shared" si="0"/>
        <v>9</v>
      </c>
      <c r="C57" t="s">
        <v>116</v>
      </c>
      <c r="D57" t="s">
        <v>138</v>
      </c>
      <c r="E57" t="s">
        <v>267</v>
      </c>
      <c r="F57" t="s">
        <v>132</v>
      </c>
      <c r="G57">
        <v>2012</v>
      </c>
      <c r="H57">
        <v>1</v>
      </c>
      <c r="M57" t="s">
        <v>177</v>
      </c>
      <c r="N57" t="s">
        <v>250</v>
      </c>
      <c r="O57" t="s">
        <v>275</v>
      </c>
      <c r="P57" t="s">
        <v>291</v>
      </c>
    </row>
    <row r="58" spans="1:20" x14ac:dyDescent="0.2">
      <c r="A58" t="str">
        <f t="shared" si="2"/>
        <v>RLEHELCHEATBAR-Es2d1b5</v>
      </c>
      <c r="B58">
        <f t="shared" si="0"/>
        <v>9</v>
      </c>
      <c r="C58" t="s">
        <v>116</v>
      </c>
      <c r="D58" t="s">
        <v>138</v>
      </c>
      <c r="E58" t="s">
        <v>268</v>
      </c>
      <c r="F58" t="s">
        <v>132</v>
      </c>
      <c r="G58">
        <v>2012</v>
      </c>
      <c r="H58">
        <v>0.69010000000000005</v>
      </c>
      <c r="M58" t="s">
        <v>178</v>
      </c>
      <c r="N58" t="s">
        <v>251</v>
      </c>
      <c r="O58" t="s">
        <v>273</v>
      </c>
      <c r="P58" t="s">
        <v>291</v>
      </c>
    </row>
    <row r="59" spans="1:20" x14ac:dyDescent="0.2">
      <c r="A59" t="str">
        <f t="shared" si="2"/>
        <v>RLEHOKEHEAT-Es1d1b1</v>
      </c>
      <c r="B59">
        <f t="shared" si="0"/>
        <v>10</v>
      </c>
      <c r="C59" t="s">
        <v>116</v>
      </c>
      <c r="D59" t="s">
        <v>139</v>
      </c>
      <c r="E59" t="s">
        <v>261</v>
      </c>
      <c r="F59" t="s">
        <v>132</v>
      </c>
      <c r="G59">
        <v>2012</v>
      </c>
      <c r="H59">
        <v>0.80610000000000004</v>
      </c>
      <c r="M59" t="s">
        <v>179</v>
      </c>
      <c r="N59" t="s">
        <v>252</v>
      </c>
      <c r="O59" t="s">
        <v>283</v>
      </c>
      <c r="P59" t="s">
        <v>291</v>
      </c>
    </row>
    <row r="60" spans="1:20" x14ac:dyDescent="0.2">
      <c r="A60" t="str">
        <f t="shared" si="2"/>
        <v>RLEHOKEHEAT-Es1d1b2</v>
      </c>
      <c r="B60">
        <f t="shared" si="0"/>
        <v>10</v>
      </c>
      <c r="C60" t="s">
        <v>116</v>
      </c>
      <c r="D60" t="s">
        <v>139</v>
      </c>
      <c r="E60" t="s">
        <v>262</v>
      </c>
      <c r="F60" t="s">
        <v>132</v>
      </c>
      <c r="G60">
        <v>2012</v>
      </c>
      <c r="H60">
        <v>1.3599999999999999E-2</v>
      </c>
      <c r="M60" t="s">
        <v>180</v>
      </c>
      <c r="N60" t="s">
        <v>253</v>
      </c>
      <c r="O60" t="s">
        <v>120</v>
      </c>
      <c r="P60" t="s">
        <v>292</v>
      </c>
    </row>
    <row r="61" spans="1:20" x14ac:dyDescent="0.2">
      <c r="A61" t="str">
        <f t="shared" si="2"/>
        <v>RLEHOKEHEAT-Es1d1b3</v>
      </c>
      <c r="B61">
        <f t="shared" si="0"/>
        <v>10</v>
      </c>
      <c r="C61" t="s">
        <v>116</v>
      </c>
      <c r="D61" t="s">
        <v>139</v>
      </c>
      <c r="E61" t="s">
        <v>263</v>
      </c>
      <c r="F61" t="s">
        <v>132</v>
      </c>
      <c r="G61">
        <v>2012</v>
      </c>
      <c r="H61">
        <v>1.8700000000000001E-2</v>
      </c>
      <c r="M61" t="s">
        <v>181</v>
      </c>
      <c r="N61" t="s">
        <v>254</v>
      </c>
      <c r="O61" t="s">
        <v>120</v>
      </c>
      <c r="P61" t="s">
        <v>292</v>
      </c>
    </row>
    <row r="62" spans="1:20" x14ac:dyDescent="0.2">
      <c r="A62" t="str">
        <f t="shared" si="2"/>
        <v>RLEHOKEHEAT-Es2d1b1</v>
      </c>
      <c r="B62">
        <f t="shared" si="0"/>
        <v>10</v>
      </c>
      <c r="C62" t="s">
        <v>116</v>
      </c>
      <c r="D62" t="s">
        <v>139</v>
      </c>
      <c r="E62" t="s">
        <v>264</v>
      </c>
      <c r="F62" t="s">
        <v>132</v>
      </c>
      <c r="G62">
        <v>2012</v>
      </c>
      <c r="H62">
        <v>0.1094</v>
      </c>
      <c r="M62" t="s">
        <v>182</v>
      </c>
      <c r="N62" t="s">
        <v>255</v>
      </c>
      <c r="O62" t="s">
        <v>120</v>
      </c>
      <c r="P62" t="s">
        <v>292</v>
      </c>
    </row>
    <row r="63" spans="1:20" x14ac:dyDescent="0.2">
      <c r="A63" t="str">
        <f t="shared" si="2"/>
        <v>RLEHOKEHEAT-Es2d1b2</v>
      </c>
      <c r="B63">
        <f t="shared" si="0"/>
        <v>10</v>
      </c>
      <c r="C63" t="s">
        <v>116</v>
      </c>
      <c r="D63" t="s">
        <v>139</v>
      </c>
      <c r="E63" t="s">
        <v>265</v>
      </c>
      <c r="F63" t="s">
        <v>132</v>
      </c>
      <c r="G63">
        <v>2012</v>
      </c>
      <c r="H63">
        <v>0.10730000000000001</v>
      </c>
      <c r="M63" t="s">
        <v>183</v>
      </c>
      <c r="N63" t="s">
        <v>256</v>
      </c>
      <c r="O63" t="s">
        <v>270</v>
      </c>
      <c r="P63" t="s">
        <v>293</v>
      </c>
    </row>
    <row r="64" spans="1:20" x14ac:dyDescent="0.2">
      <c r="A64" t="str">
        <f t="shared" si="2"/>
        <v>RLEHOKEHEAT-Es2d1b3</v>
      </c>
      <c r="B64">
        <f t="shared" si="0"/>
        <v>10</v>
      </c>
      <c r="C64" t="s">
        <v>116</v>
      </c>
      <c r="D64" t="s">
        <v>139</v>
      </c>
      <c r="E64" t="s">
        <v>266</v>
      </c>
      <c r="F64" t="s">
        <v>132</v>
      </c>
      <c r="G64">
        <v>2012</v>
      </c>
      <c r="H64">
        <v>0.3236</v>
      </c>
      <c r="M64" t="s">
        <v>184</v>
      </c>
      <c r="N64" t="s">
        <v>257</v>
      </c>
      <c r="O64" t="s">
        <v>273</v>
      </c>
      <c r="P64" t="s">
        <v>293</v>
      </c>
    </row>
    <row r="65" spans="1:16" x14ac:dyDescent="0.2">
      <c r="A65" t="str">
        <f t="shared" si="2"/>
        <v>RLEHOKEHEAT-Es2d1b4</v>
      </c>
      <c r="B65">
        <f t="shared" si="0"/>
        <v>10</v>
      </c>
      <c r="C65" t="s">
        <v>116</v>
      </c>
      <c r="D65" t="s">
        <v>139</v>
      </c>
      <c r="E65" t="s">
        <v>267</v>
      </c>
      <c r="F65" t="s">
        <v>132</v>
      </c>
      <c r="G65">
        <v>2012</v>
      </c>
      <c r="H65">
        <v>1</v>
      </c>
      <c r="M65" t="s">
        <v>185</v>
      </c>
      <c r="N65" t="s">
        <v>258</v>
      </c>
      <c r="O65" t="s">
        <v>283</v>
      </c>
      <c r="P65" t="s">
        <v>293</v>
      </c>
    </row>
    <row r="66" spans="1:16" x14ac:dyDescent="0.2">
      <c r="A66" t="str">
        <f t="shared" si="2"/>
        <v>RLEHOKEHEAT-Es2d1b5</v>
      </c>
      <c r="B66">
        <f t="shared" si="0"/>
        <v>10</v>
      </c>
      <c r="C66" t="s">
        <v>116</v>
      </c>
      <c r="D66" t="s">
        <v>139</v>
      </c>
      <c r="E66" t="s">
        <v>268</v>
      </c>
      <c r="F66" t="s">
        <v>132</v>
      </c>
      <c r="G66">
        <v>2012</v>
      </c>
      <c r="H66">
        <v>0.69010000000000005</v>
      </c>
    </row>
    <row r="67" spans="1:16" x14ac:dyDescent="0.2">
      <c r="A67" t="str">
        <f t="shared" si="2"/>
        <v>RLEHBIWOPEN-Es1d1b1</v>
      </c>
      <c r="B67">
        <f t="shared" ref="B67:B130" si="6">MATCH(D67,$M$3:$M$66,0)</f>
        <v>11</v>
      </c>
      <c r="C67" t="s">
        <v>116</v>
      </c>
      <c r="D67" t="s">
        <v>140</v>
      </c>
      <c r="E67" t="s">
        <v>261</v>
      </c>
      <c r="F67" t="s">
        <v>132</v>
      </c>
      <c r="G67">
        <v>2012</v>
      </c>
      <c r="H67">
        <v>0.80610000000000004</v>
      </c>
    </row>
    <row r="68" spans="1:16" x14ac:dyDescent="0.2">
      <c r="A68" t="str">
        <f t="shared" ref="A68:A131" si="7">D68&amp;E68</f>
        <v>RLEHBIWOPEN-Es1d1b2</v>
      </c>
      <c r="B68">
        <f t="shared" si="6"/>
        <v>11</v>
      </c>
      <c r="C68" t="s">
        <v>116</v>
      </c>
      <c r="D68" t="s">
        <v>140</v>
      </c>
      <c r="E68" t="s">
        <v>262</v>
      </c>
      <c r="F68" t="s">
        <v>132</v>
      </c>
      <c r="G68">
        <v>2012</v>
      </c>
      <c r="H68">
        <v>1.3599999999999999E-2</v>
      </c>
    </row>
    <row r="69" spans="1:16" x14ac:dyDescent="0.2">
      <c r="A69" t="str">
        <f t="shared" si="7"/>
        <v>RLEHBIWOPEN-Es1d1b3</v>
      </c>
      <c r="B69">
        <f t="shared" si="6"/>
        <v>11</v>
      </c>
      <c r="C69" t="s">
        <v>116</v>
      </c>
      <c r="D69" t="s">
        <v>140</v>
      </c>
      <c r="E69" t="s">
        <v>263</v>
      </c>
      <c r="F69" t="s">
        <v>132</v>
      </c>
      <c r="G69">
        <v>2012</v>
      </c>
      <c r="H69">
        <v>1.8700000000000001E-2</v>
      </c>
    </row>
    <row r="70" spans="1:16" x14ac:dyDescent="0.2">
      <c r="A70" t="str">
        <f t="shared" si="7"/>
        <v>RLEHBIWOPEN-Es2d1b1</v>
      </c>
      <c r="B70">
        <f t="shared" si="6"/>
        <v>11</v>
      </c>
      <c r="C70" t="s">
        <v>116</v>
      </c>
      <c r="D70" t="s">
        <v>140</v>
      </c>
      <c r="E70" t="s">
        <v>264</v>
      </c>
      <c r="F70" t="s">
        <v>132</v>
      </c>
      <c r="G70">
        <v>2012</v>
      </c>
      <c r="H70">
        <v>0.1094</v>
      </c>
    </row>
    <row r="71" spans="1:16" x14ac:dyDescent="0.2">
      <c r="A71" t="str">
        <f t="shared" si="7"/>
        <v>RLEHBIWOPEN-Es2d1b2</v>
      </c>
      <c r="B71">
        <f t="shared" si="6"/>
        <v>11</v>
      </c>
      <c r="C71" t="s">
        <v>116</v>
      </c>
      <c r="D71" t="s">
        <v>140</v>
      </c>
      <c r="E71" t="s">
        <v>265</v>
      </c>
      <c r="F71" t="s">
        <v>132</v>
      </c>
      <c r="G71">
        <v>2012</v>
      </c>
      <c r="H71">
        <v>0.10730000000000001</v>
      </c>
    </row>
    <row r="72" spans="1:16" x14ac:dyDescent="0.2">
      <c r="A72" t="str">
        <f t="shared" si="7"/>
        <v>RLEHBIWOPEN-Es2d1b3</v>
      </c>
      <c r="B72">
        <f t="shared" si="6"/>
        <v>11</v>
      </c>
      <c r="C72" t="s">
        <v>116</v>
      </c>
      <c r="D72" t="s">
        <v>140</v>
      </c>
      <c r="E72" t="s">
        <v>266</v>
      </c>
      <c r="F72" t="s">
        <v>132</v>
      </c>
      <c r="G72">
        <v>2012</v>
      </c>
      <c r="H72">
        <v>0.3236</v>
      </c>
    </row>
    <row r="73" spans="1:16" x14ac:dyDescent="0.2">
      <c r="A73" t="str">
        <f t="shared" si="7"/>
        <v>RLEHBIWOPEN-Es2d1b4</v>
      </c>
      <c r="B73">
        <f t="shared" si="6"/>
        <v>11</v>
      </c>
      <c r="C73" t="s">
        <v>116</v>
      </c>
      <c r="D73" t="s">
        <v>140</v>
      </c>
      <c r="E73" t="s">
        <v>267</v>
      </c>
      <c r="F73" t="s">
        <v>132</v>
      </c>
      <c r="G73">
        <v>2012</v>
      </c>
      <c r="H73">
        <v>1</v>
      </c>
    </row>
    <row r="74" spans="1:16" x14ac:dyDescent="0.2">
      <c r="A74" t="str">
        <f t="shared" si="7"/>
        <v>RLEHBIWOPEN-Es2d1b5</v>
      </c>
      <c r="B74">
        <f t="shared" si="6"/>
        <v>11</v>
      </c>
      <c r="C74" t="s">
        <v>116</v>
      </c>
      <c r="D74" t="s">
        <v>140</v>
      </c>
      <c r="E74" t="s">
        <v>268</v>
      </c>
      <c r="F74" t="s">
        <v>132</v>
      </c>
      <c r="G74">
        <v>2012</v>
      </c>
      <c r="H74">
        <v>0.69010000000000005</v>
      </c>
    </row>
    <row r="75" spans="1:16" x14ac:dyDescent="0.2">
      <c r="A75" t="str">
        <f t="shared" si="7"/>
        <v>RLEHCOABNM-Es1d1b1</v>
      </c>
      <c r="B75">
        <f t="shared" si="6"/>
        <v>12</v>
      </c>
      <c r="C75" t="s">
        <v>116</v>
      </c>
      <c r="D75" t="s">
        <v>141</v>
      </c>
      <c r="E75" t="s">
        <v>261</v>
      </c>
      <c r="F75" t="s">
        <v>132</v>
      </c>
      <c r="G75">
        <v>2012</v>
      </c>
      <c r="H75">
        <v>0.80610000000000004</v>
      </c>
    </row>
    <row r="76" spans="1:16" x14ac:dyDescent="0.2">
      <c r="A76" t="str">
        <f t="shared" si="7"/>
        <v>RLEHCOABNM-Es1d1b2</v>
      </c>
      <c r="B76">
        <f t="shared" si="6"/>
        <v>12</v>
      </c>
      <c r="C76" t="s">
        <v>116</v>
      </c>
      <c r="D76" t="s">
        <v>141</v>
      </c>
      <c r="E76" t="s">
        <v>262</v>
      </c>
      <c r="F76" t="s">
        <v>132</v>
      </c>
      <c r="G76">
        <v>2012</v>
      </c>
      <c r="H76">
        <v>1.3599999999999999E-2</v>
      </c>
    </row>
    <row r="77" spans="1:16" x14ac:dyDescent="0.2">
      <c r="A77" t="str">
        <f t="shared" si="7"/>
        <v>RLEHCOABNM-Es1d1b3</v>
      </c>
      <c r="B77">
        <f t="shared" si="6"/>
        <v>12</v>
      </c>
      <c r="C77" t="s">
        <v>116</v>
      </c>
      <c r="D77" t="s">
        <v>141</v>
      </c>
      <c r="E77" t="s">
        <v>263</v>
      </c>
      <c r="F77" t="s">
        <v>132</v>
      </c>
      <c r="G77">
        <v>2012</v>
      </c>
      <c r="H77">
        <v>1.8700000000000001E-2</v>
      </c>
    </row>
    <row r="78" spans="1:16" x14ac:dyDescent="0.2">
      <c r="A78" t="str">
        <f t="shared" si="7"/>
        <v>RLEHCOABNM-Es2d1b1</v>
      </c>
      <c r="B78">
        <f t="shared" si="6"/>
        <v>12</v>
      </c>
      <c r="C78" t="s">
        <v>116</v>
      </c>
      <c r="D78" t="s">
        <v>141</v>
      </c>
      <c r="E78" t="s">
        <v>264</v>
      </c>
      <c r="F78" t="s">
        <v>132</v>
      </c>
      <c r="G78">
        <v>2012</v>
      </c>
      <c r="H78">
        <v>0.1094</v>
      </c>
    </row>
    <row r="79" spans="1:16" x14ac:dyDescent="0.2">
      <c r="A79" t="str">
        <f t="shared" si="7"/>
        <v>RLEHCOABNM-Es2d1b2</v>
      </c>
      <c r="B79">
        <f t="shared" si="6"/>
        <v>12</v>
      </c>
      <c r="C79" t="s">
        <v>116</v>
      </c>
      <c r="D79" t="s">
        <v>141</v>
      </c>
      <c r="E79" t="s">
        <v>265</v>
      </c>
      <c r="F79" t="s">
        <v>132</v>
      </c>
      <c r="G79">
        <v>2012</v>
      </c>
      <c r="H79">
        <v>0.10730000000000001</v>
      </c>
    </row>
    <row r="80" spans="1:16" x14ac:dyDescent="0.2">
      <c r="A80" t="str">
        <f t="shared" si="7"/>
        <v>RLEHCOABNM-Es2d1b3</v>
      </c>
      <c r="B80">
        <f t="shared" si="6"/>
        <v>12</v>
      </c>
      <c r="C80" t="s">
        <v>116</v>
      </c>
      <c r="D80" t="s">
        <v>141</v>
      </c>
      <c r="E80" t="s">
        <v>266</v>
      </c>
      <c r="F80" t="s">
        <v>132</v>
      </c>
      <c r="G80">
        <v>2012</v>
      </c>
      <c r="H80">
        <v>0.3236</v>
      </c>
    </row>
    <row r="81" spans="1:8" x14ac:dyDescent="0.2">
      <c r="A81" t="str">
        <f t="shared" si="7"/>
        <v>RLEHCOABNM-Es2d1b4</v>
      </c>
      <c r="B81">
        <f t="shared" si="6"/>
        <v>12</v>
      </c>
      <c r="C81" t="s">
        <v>116</v>
      </c>
      <c r="D81" t="s">
        <v>141</v>
      </c>
      <c r="E81" t="s">
        <v>267</v>
      </c>
      <c r="F81" t="s">
        <v>132</v>
      </c>
      <c r="G81">
        <v>2012</v>
      </c>
      <c r="H81">
        <v>1</v>
      </c>
    </row>
    <row r="82" spans="1:8" x14ac:dyDescent="0.2">
      <c r="A82" t="str">
        <f t="shared" si="7"/>
        <v>RLEHCOABNM-Es2d1b5</v>
      </c>
      <c r="B82">
        <f t="shared" si="6"/>
        <v>12</v>
      </c>
      <c r="C82" t="s">
        <v>116</v>
      </c>
      <c r="D82" t="s">
        <v>141</v>
      </c>
      <c r="E82" t="s">
        <v>268</v>
      </c>
      <c r="F82" t="s">
        <v>132</v>
      </c>
      <c r="G82">
        <v>2012</v>
      </c>
      <c r="H82">
        <v>0.69010000000000005</v>
      </c>
    </row>
    <row r="83" spans="1:8" x14ac:dyDescent="0.2">
      <c r="A83" t="str">
        <f t="shared" si="7"/>
        <v>RLEHOLPHET-Es1d1b1</v>
      </c>
      <c r="B83">
        <f t="shared" si="6"/>
        <v>13</v>
      </c>
      <c r="C83" t="s">
        <v>116</v>
      </c>
      <c r="D83" t="s">
        <v>142</v>
      </c>
      <c r="E83" t="s">
        <v>261</v>
      </c>
      <c r="F83" t="s">
        <v>132</v>
      </c>
      <c r="G83">
        <v>2012</v>
      </c>
      <c r="H83">
        <v>0.80610000000000004</v>
      </c>
    </row>
    <row r="84" spans="1:8" x14ac:dyDescent="0.2">
      <c r="A84" t="str">
        <f t="shared" si="7"/>
        <v>RLEHOLPHET-Es1d1b2</v>
      </c>
      <c r="B84">
        <f t="shared" si="6"/>
        <v>13</v>
      </c>
      <c r="C84" t="s">
        <v>116</v>
      </c>
      <c r="D84" t="s">
        <v>142</v>
      </c>
      <c r="E84" t="s">
        <v>262</v>
      </c>
      <c r="F84" t="s">
        <v>132</v>
      </c>
      <c r="G84">
        <v>2012</v>
      </c>
      <c r="H84">
        <v>1.3599999999999999E-2</v>
      </c>
    </row>
    <row r="85" spans="1:8" x14ac:dyDescent="0.2">
      <c r="A85" t="str">
        <f t="shared" si="7"/>
        <v>RLEHOLPHET-Es1d1b3</v>
      </c>
      <c r="B85">
        <f t="shared" si="6"/>
        <v>13</v>
      </c>
      <c r="C85" t="s">
        <v>116</v>
      </c>
      <c r="D85" t="s">
        <v>142</v>
      </c>
      <c r="E85" t="s">
        <v>263</v>
      </c>
      <c r="F85" t="s">
        <v>132</v>
      </c>
      <c r="G85">
        <v>2012</v>
      </c>
      <c r="H85">
        <v>1.8700000000000001E-2</v>
      </c>
    </row>
    <row r="86" spans="1:8" x14ac:dyDescent="0.2">
      <c r="A86" t="str">
        <f t="shared" si="7"/>
        <v>RLEHOLPHET-Es2d1b1</v>
      </c>
      <c r="B86">
        <f t="shared" si="6"/>
        <v>13</v>
      </c>
      <c r="C86" t="s">
        <v>116</v>
      </c>
      <c r="D86" t="s">
        <v>142</v>
      </c>
      <c r="E86" t="s">
        <v>264</v>
      </c>
      <c r="F86" t="s">
        <v>132</v>
      </c>
      <c r="G86">
        <v>2012</v>
      </c>
      <c r="H86">
        <v>0.1094</v>
      </c>
    </row>
    <row r="87" spans="1:8" x14ac:dyDescent="0.2">
      <c r="A87" t="str">
        <f t="shared" si="7"/>
        <v>RLEHOLPHET-Es2d1b2</v>
      </c>
      <c r="B87">
        <f t="shared" si="6"/>
        <v>13</v>
      </c>
      <c r="C87" t="s">
        <v>116</v>
      </c>
      <c r="D87" t="s">
        <v>142</v>
      </c>
      <c r="E87" t="s">
        <v>265</v>
      </c>
      <c r="F87" t="s">
        <v>132</v>
      </c>
      <c r="G87">
        <v>2012</v>
      </c>
      <c r="H87">
        <v>0.10730000000000001</v>
      </c>
    </row>
    <row r="88" spans="1:8" x14ac:dyDescent="0.2">
      <c r="A88" t="str">
        <f t="shared" si="7"/>
        <v>RLEHOLPHET-Es2d1b3</v>
      </c>
      <c r="B88">
        <f t="shared" si="6"/>
        <v>13</v>
      </c>
      <c r="C88" t="s">
        <v>116</v>
      </c>
      <c r="D88" t="s">
        <v>142</v>
      </c>
      <c r="E88" t="s">
        <v>266</v>
      </c>
      <c r="F88" t="s">
        <v>132</v>
      </c>
      <c r="G88">
        <v>2012</v>
      </c>
      <c r="H88">
        <v>0.3236</v>
      </c>
    </row>
    <row r="89" spans="1:8" x14ac:dyDescent="0.2">
      <c r="A89" t="str">
        <f t="shared" si="7"/>
        <v>RLEHOLPHET-Es2d1b4</v>
      </c>
      <c r="B89">
        <f t="shared" si="6"/>
        <v>13</v>
      </c>
      <c r="C89" t="s">
        <v>116</v>
      </c>
      <c r="D89" t="s">
        <v>142</v>
      </c>
      <c r="E89" t="s">
        <v>267</v>
      </c>
      <c r="F89" t="s">
        <v>132</v>
      </c>
      <c r="G89">
        <v>2012</v>
      </c>
      <c r="H89">
        <v>1</v>
      </c>
    </row>
    <row r="90" spans="1:8" x14ac:dyDescent="0.2">
      <c r="A90" t="str">
        <f t="shared" si="7"/>
        <v>RLEHOLPHET-Es2d1b5</v>
      </c>
      <c r="B90">
        <f t="shared" si="6"/>
        <v>13</v>
      </c>
      <c r="C90" t="s">
        <v>116</v>
      </c>
      <c r="D90" t="s">
        <v>142</v>
      </c>
      <c r="E90" t="s">
        <v>268</v>
      </c>
      <c r="F90" t="s">
        <v>132</v>
      </c>
      <c r="G90">
        <v>2012</v>
      </c>
      <c r="H90">
        <v>0.69010000000000005</v>
      </c>
    </row>
    <row r="91" spans="1:8" x14ac:dyDescent="0.2">
      <c r="A91" t="str">
        <f t="shared" si="7"/>
        <v>RLEWOKEKETWI-Es1d1b1</v>
      </c>
      <c r="B91">
        <f t="shared" si="6"/>
        <v>14</v>
      </c>
      <c r="C91" t="s">
        <v>116</v>
      </c>
      <c r="D91" t="s">
        <v>143</v>
      </c>
      <c r="E91" t="s">
        <v>261</v>
      </c>
      <c r="F91" t="s">
        <v>132</v>
      </c>
      <c r="G91">
        <v>2012</v>
      </c>
      <c r="H91">
        <v>0.4783</v>
      </c>
    </row>
    <row r="92" spans="1:8" x14ac:dyDescent="0.2">
      <c r="A92" t="str">
        <f t="shared" si="7"/>
        <v>RLEWOKEKETWI-Es1d1b2</v>
      </c>
      <c r="B92">
        <f t="shared" si="6"/>
        <v>14</v>
      </c>
      <c r="C92" t="s">
        <v>116</v>
      </c>
      <c r="D92" t="s">
        <v>143</v>
      </c>
      <c r="E92" t="s">
        <v>262</v>
      </c>
      <c r="F92" t="s">
        <v>132</v>
      </c>
      <c r="G92">
        <v>2012</v>
      </c>
      <c r="H92">
        <v>0.55110000000000003</v>
      </c>
    </row>
    <row r="93" spans="1:8" x14ac:dyDescent="0.2">
      <c r="A93" t="str">
        <f t="shared" si="7"/>
        <v>RLEWOKEKETWI-Es1d1b3</v>
      </c>
      <c r="B93">
        <f t="shared" si="6"/>
        <v>14</v>
      </c>
      <c r="C93" t="s">
        <v>116</v>
      </c>
      <c r="D93" t="s">
        <v>143</v>
      </c>
      <c r="E93" t="s">
        <v>263</v>
      </c>
      <c r="F93" t="s">
        <v>132</v>
      </c>
      <c r="G93">
        <v>2012</v>
      </c>
      <c r="H93">
        <v>0.83699999999999997</v>
      </c>
    </row>
    <row r="94" spans="1:8" x14ac:dyDescent="0.2">
      <c r="A94" t="str">
        <f t="shared" si="7"/>
        <v>RLEWOKEKETWI-Es2d1b1</v>
      </c>
      <c r="B94">
        <f t="shared" si="6"/>
        <v>14</v>
      </c>
      <c r="C94" t="s">
        <v>116</v>
      </c>
      <c r="D94" t="s">
        <v>143</v>
      </c>
      <c r="E94" t="s">
        <v>264</v>
      </c>
      <c r="F94" t="s">
        <v>132</v>
      </c>
      <c r="G94">
        <v>2012</v>
      </c>
      <c r="H94">
        <v>0.33439999999999998</v>
      </c>
    </row>
    <row r="95" spans="1:8" x14ac:dyDescent="0.2">
      <c r="A95" t="str">
        <f t="shared" si="7"/>
        <v>RLEWOKEKETWI-Es2d1b2</v>
      </c>
      <c r="B95">
        <f t="shared" si="6"/>
        <v>14</v>
      </c>
      <c r="C95" t="s">
        <v>116</v>
      </c>
      <c r="D95" t="s">
        <v>143</v>
      </c>
      <c r="E95" t="s">
        <v>265</v>
      </c>
      <c r="F95" t="s">
        <v>132</v>
      </c>
      <c r="G95">
        <v>2012</v>
      </c>
      <c r="H95">
        <v>1</v>
      </c>
    </row>
    <row r="96" spans="1:8" x14ac:dyDescent="0.2">
      <c r="A96" t="str">
        <f t="shared" si="7"/>
        <v>RLEWOKEKETWI-Es2d1b3</v>
      </c>
      <c r="B96">
        <f t="shared" si="6"/>
        <v>14</v>
      </c>
      <c r="C96" t="s">
        <v>116</v>
      </c>
      <c r="D96" t="s">
        <v>143</v>
      </c>
      <c r="E96" t="s">
        <v>266</v>
      </c>
      <c r="F96" t="s">
        <v>132</v>
      </c>
      <c r="G96">
        <v>2012</v>
      </c>
      <c r="H96">
        <v>0.4849</v>
      </c>
    </row>
    <row r="97" spans="1:8" x14ac:dyDescent="0.2">
      <c r="A97" t="str">
        <f t="shared" si="7"/>
        <v>RLEWOKEKETWI-Es2d1b4</v>
      </c>
      <c r="B97">
        <f t="shared" si="6"/>
        <v>14</v>
      </c>
      <c r="C97" t="s">
        <v>116</v>
      </c>
      <c r="D97" t="s">
        <v>143</v>
      </c>
      <c r="E97" t="s">
        <v>267</v>
      </c>
      <c r="F97" t="s">
        <v>132</v>
      </c>
      <c r="G97">
        <v>2012</v>
      </c>
      <c r="H97">
        <v>0.95599999999999996</v>
      </c>
    </row>
    <row r="98" spans="1:8" x14ac:dyDescent="0.2">
      <c r="A98" t="str">
        <f t="shared" si="7"/>
        <v>RLEWOKEKETWI-Es2d1b5</v>
      </c>
      <c r="B98">
        <f t="shared" si="6"/>
        <v>14</v>
      </c>
      <c r="C98" t="s">
        <v>116</v>
      </c>
      <c r="D98" t="s">
        <v>143</v>
      </c>
      <c r="E98" t="s">
        <v>268</v>
      </c>
      <c r="F98" t="s">
        <v>132</v>
      </c>
      <c r="G98">
        <v>2012</v>
      </c>
      <c r="H98">
        <v>0.82</v>
      </c>
    </row>
    <row r="99" spans="1:8" x14ac:dyDescent="0.2">
      <c r="A99" t="str">
        <f t="shared" si="7"/>
        <v>RLEWELCKET-Es1d1b1</v>
      </c>
      <c r="B99">
        <f t="shared" si="6"/>
        <v>15</v>
      </c>
      <c r="C99" t="s">
        <v>116</v>
      </c>
      <c r="D99" t="s">
        <v>144</v>
      </c>
      <c r="E99" t="s">
        <v>261</v>
      </c>
      <c r="F99" t="s">
        <v>132</v>
      </c>
      <c r="G99">
        <v>2012</v>
      </c>
      <c r="H99">
        <v>0.4783</v>
      </c>
    </row>
    <row r="100" spans="1:8" x14ac:dyDescent="0.2">
      <c r="A100" t="str">
        <f t="shared" si="7"/>
        <v>RLEWELCKET-Es1d1b2</v>
      </c>
      <c r="B100">
        <f t="shared" si="6"/>
        <v>15</v>
      </c>
      <c r="C100" t="s">
        <v>116</v>
      </c>
      <c r="D100" t="s">
        <v>144</v>
      </c>
      <c r="E100" t="s">
        <v>262</v>
      </c>
      <c r="F100" t="s">
        <v>132</v>
      </c>
      <c r="G100">
        <v>2012</v>
      </c>
      <c r="H100">
        <v>0.55110000000000003</v>
      </c>
    </row>
    <row r="101" spans="1:8" x14ac:dyDescent="0.2">
      <c r="A101" t="str">
        <f t="shared" si="7"/>
        <v>RLEWELCKET-Es1d1b3</v>
      </c>
      <c r="B101">
        <f t="shared" si="6"/>
        <v>15</v>
      </c>
      <c r="C101" t="s">
        <v>116</v>
      </c>
      <c r="D101" t="s">
        <v>144</v>
      </c>
      <c r="E101" t="s">
        <v>263</v>
      </c>
      <c r="F101" t="s">
        <v>132</v>
      </c>
      <c r="G101">
        <v>2012</v>
      </c>
      <c r="H101">
        <v>0.83699999999999997</v>
      </c>
    </row>
    <row r="102" spans="1:8" x14ac:dyDescent="0.2">
      <c r="A102" t="str">
        <f t="shared" si="7"/>
        <v>RLEWELCKET-Es2d1b1</v>
      </c>
      <c r="B102">
        <f t="shared" si="6"/>
        <v>15</v>
      </c>
      <c r="C102" t="s">
        <v>116</v>
      </c>
      <c r="D102" t="s">
        <v>144</v>
      </c>
      <c r="E102" t="s">
        <v>264</v>
      </c>
      <c r="F102" t="s">
        <v>132</v>
      </c>
      <c r="G102">
        <v>2012</v>
      </c>
      <c r="H102">
        <v>0.33439999999999998</v>
      </c>
    </row>
    <row r="103" spans="1:8" x14ac:dyDescent="0.2">
      <c r="A103" t="str">
        <f t="shared" si="7"/>
        <v>RLEWELCKET-Es2d1b2</v>
      </c>
      <c r="B103">
        <f t="shared" si="6"/>
        <v>15</v>
      </c>
      <c r="C103" t="s">
        <v>116</v>
      </c>
      <c r="D103" t="s">
        <v>144</v>
      </c>
      <c r="E103" t="s">
        <v>265</v>
      </c>
      <c r="F103" t="s">
        <v>132</v>
      </c>
      <c r="G103">
        <v>2012</v>
      </c>
      <c r="H103">
        <v>1</v>
      </c>
    </row>
    <row r="104" spans="1:8" x14ac:dyDescent="0.2">
      <c r="A104" t="str">
        <f t="shared" si="7"/>
        <v>RLEWELCKET-Es2d1b3</v>
      </c>
      <c r="B104">
        <f t="shared" si="6"/>
        <v>15</v>
      </c>
      <c r="C104" t="s">
        <v>116</v>
      </c>
      <c r="D104" t="s">
        <v>144</v>
      </c>
      <c r="E104" t="s">
        <v>266</v>
      </c>
      <c r="F104" t="s">
        <v>132</v>
      </c>
      <c r="G104">
        <v>2012</v>
      </c>
      <c r="H104">
        <v>0.4849</v>
      </c>
    </row>
    <row r="105" spans="1:8" x14ac:dyDescent="0.2">
      <c r="A105" t="str">
        <f t="shared" si="7"/>
        <v>RLEWELCKET-Es2d1b4</v>
      </c>
      <c r="B105">
        <f t="shared" si="6"/>
        <v>15</v>
      </c>
      <c r="C105" t="s">
        <v>116</v>
      </c>
      <c r="D105" t="s">
        <v>144</v>
      </c>
      <c r="E105" t="s">
        <v>267</v>
      </c>
      <c r="F105" t="s">
        <v>132</v>
      </c>
      <c r="G105">
        <v>2012</v>
      </c>
      <c r="H105">
        <v>0.95599999999999996</v>
      </c>
    </row>
    <row r="106" spans="1:8" x14ac:dyDescent="0.2">
      <c r="A106" t="str">
        <f t="shared" si="7"/>
        <v>RLEWELCKET-Es2d1b5</v>
      </c>
      <c r="B106">
        <f t="shared" si="6"/>
        <v>15</v>
      </c>
      <c r="C106" t="s">
        <v>116</v>
      </c>
      <c r="D106" t="s">
        <v>144</v>
      </c>
      <c r="E106" t="s">
        <v>268</v>
      </c>
      <c r="F106" t="s">
        <v>132</v>
      </c>
      <c r="G106">
        <v>2012</v>
      </c>
      <c r="H106">
        <v>0.82</v>
      </c>
    </row>
    <row r="107" spans="1:8" x14ac:dyDescent="0.2">
      <c r="A107" t="str">
        <f t="shared" si="7"/>
        <v>RLEWBIWKETBI-Es1d1b1</v>
      </c>
      <c r="B107">
        <f t="shared" si="6"/>
        <v>16</v>
      </c>
      <c r="C107" t="s">
        <v>116</v>
      </c>
      <c r="D107" t="s">
        <v>145</v>
      </c>
      <c r="E107" t="s">
        <v>261</v>
      </c>
      <c r="F107" t="s">
        <v>132</v>
      </c>
      <c r="G107">
        <v>2012</v>
      </c>
      <c r="H107">
        <v>0.4783</v>
      </c>
    </row>
    <row r="108" spans="1:8" x14ac:dyDescent="0.2">
      <c r="A108" t="str">
        <f t="shared" si="7"/>
        <v>RLEWBIWKETBI-Es1d1b2</v>
      </c>
      <c r="B108">
        <f t="shared" si="6"/>
        <v>16</v>
      </c>
      <c r="C108" t="s">
        <v>116</v>
      </c>
      <c r="D108" t="s">
        <v>145</v>
      </c>
      <c r="E108" t="s">
        <v>262</v>
      </c>
      <c r="F108" t="s">
        <v>132</v>
      </c>
      <c r="G108">
        <v>2012</v>
      </c>
      <c r="H108">
        <v>0.55110000000000003</v>
      </c>
    </row>
    <row r="109" spans="1:8" x14ac:dyDescent="0.2">
      <c r="A109" t="str">
        <f t="shared" si="7"/>
        <v>RLEWBIWKETBI-Es1d1b3</v>
      </c>
      <c r="B109">
        <f t="shared" si="6"/>
        <v>16</v>
      </c>
      <c r="C109" t="s">
        <v>116</v>
      </c>
      <c r="D109" t="s">
        <v>145</v>
      </c>
      <c r="E109" t="s">
        <v>263</v>
      </c>
      <c r="F109" t="s">
        <v>132</v>
      </c>
      <c r="G109">
        <v>2012</v>
      </c>
      <c r="H109">
        <v>0.83699999999999997</v>
      </c>
    </row>
    <row r="110" spans="1:8" x14ac:dyDescent="0.2">
      <c r="A110" t="str">
        <f t="shared" si="7"/>
        <v>RLEWBIWKETBI-Es2d1b1</v>
      </c>
      <c r="B110">
        <f t="shared" si="6"/>
        <v>16</v>
      </c>
      <c r="C110" t="s">
        <v>116</v>
      </c>
      <c r="D110" t="s">
        <v>145</v>
      </c>
      <c r="E110" t="s">
        <v>264</v>
      </c>
      <c r="F110" t="s">
        <v>132</v>
      </c>
      <c r="G110">
        <v>2012</v>
      </c>
      <c r="H110">
        <v>0.33439999999999998</v>
      </c>
    </row>
    <row r="111" spans="1:8" x14ac:dyDescent="0.2">
      <c r="A111" t="str">
        <f t="shared" si="7"/>
        <v>RLEWBIWKETBI-Es2d1b2</v>
      </c>
      <c r="B111">
        <f t="shared" si="6"/>
        <v>16</v>
      </c>
      <c r="C111" t="s">
        <v>116</v>
      </c>
      <c r="D111" t="s">
        <v>145</v>
      </c>
      <c r="E111" t="s">
        <v>265</v>
      </c>
      <c r="F111" t="s">
        <v>132</v>
      </c>
      <c r="G111">
        <v>2012</v>
      </c>
      <c r="H111">
        <v>1</v>
      </c>
    </row>
    <row r="112" spans="1:8" x14ac:dyDescent="0.2">
      <c r="A112" t="str">
        <f t="shared" si="7"/>
        <v>RLEWBIWKETBI-Es2d1b3</v>
      </c>
      <c r="B112">
        <f t="shared" si="6"/>
        <v>16</v>
      </c>
      <c r="C112" t="s">
        <v>116</v>
      </c>
      <c r="D112" t="s">
        <v>145</v>
      </c>
      <c r="E112" t="s">
        <v>266</v>
      </c>
      <c r="F112" t="s">
        <v>132</v>
      </c>
      <c r="G112">
        <v>2012</v>
      </c>
      <c r="H112">
        <v>0.4849</v>
      </c>
    </row>
    <row r="113" spans="1:8" x14ac:dyDescent="0.2">
      <c r="A113" t="str">
        <f t="shared" si="7"/>
        <v>RLEWBIWKETBI-Es2d1b4</v>
      </c>
      <c r="B113">
        <f t="shared" si="6"/>
        <v>16</v>
      </c>
      <c r="C113" t="s">
        <v>116</v>
      </c>
      <c r="D113" t="s">
        <v>145</v>
      </c>
      <c r="E113" t="s">
        <v>267</v>
      </c>
      <c r="F113" t="s">
        <v>132</v>
      </c>
      <c r="G113">
        <v>2012</v>
      </c>
      <c r="H113">
        <v>0.95599999999999996</v>
      </c>
    </row>
    <row r="114" spans="1:8" x14ac:dyDescent="0.2">
      <c r="A114" t="str">
        <f t="shared" si="7"/>
        <v>RLEWBIWKETBI-Es2d1b5</v>
      </c>
      <c r="B114">
        <f t="shared" si="6"/>
        <v>16</v>
      </c>
      <c r="C114" t="s">
        <v>116</v>
      </c>
      <c r="D114" t="s">
        <v>145</v>
      </c>
      <c r="E114" t="s">
        <v>268</v>
      </c>
      <c r="F114" t="s">
        <v>132</v>
      </c>
      <c r="G114">
        <v>2012</v>
      </c>
      <c r="H114">
        <v>0.82</v>
      </c>
    </row>
    <row r="115" spans="1:8" x14ac:dyDescent="0.2">
      <c r="A115" t="str">
        <f t="shared" si="7"/>
        <v>RLEWCOAKETCOA-Es1d1b1</v>
      </c>
      <c r="B115">
        <f t="shared" si="6"/>
        <v>17</v>
      </c>
      <c r="C115" t="s">
        <v>116</v>
      </c>
      <c r="D115" t="s">
        <v>146</v>
      </c>
      <c r="E115" t="s">
        <v>261</v>
      </c>
      <c r="F115" t="s">
        <v>132</v>
      </c>
      <c r="G115">
        <v>2012</v>
      </c>
      <c r="H115">
        <v>0.4783</v>
      </c>
    </row>
    <row r="116" spans="1:8" x14ac:dyDescent="0.2">
      <c r="A116" t="str">
        <f t="shared" si="7"/>
        <v>RLEWCOAKETCOA-Es1d1b2</v>
      </c>
      <c r="B116">
        <f t="shared" si="6"/>
        <v>17</v>
      </c>
      <c r="C116" t="s">
        <v>116</v>
      </c>
      <c r="D116" t="s">
        <v>146</v>
      </c>
      <c r="E116" t="s">
        <v>262</v>
      </c>
      <c r="F116" t="s">
        <v>132</v>
      </c>
      <c r="G116">
        <v>2012</v>
      </c>
      <c r="H116">
        <v>0.55110000000000003</v>
      </c>
    </row>
    <row r="117" spans="1:8" x14ac:dyDescent="0.2">
      <c r="A117" t="str">
        <f t="shared" si="7"/>
        <v>RLEWCOAKETCOA-Es1d1b3</v>
      </c>
      <c r="B117">
        <f t="shared" si="6"/>
        <v>17</v>
      </c>
      <c r="C117" t="s">
        <v>116</v>
      </c>
      <c r="D117" t="s">
        <v>146</v>
      </c>
      <c r="E117" t="s">
        <v>263</v>
      </c>
      <c r="F117" t="s">
        <v>132</v>
      </c>
      <c r="G117">
        <v>2012</v>
      </c>
      <c r="H117">
        <v>0.83699999999999997</v>
      </c>
    </row>
    <row r="118" spans="1:8" x14ac:dyDescent="0.2">
      <c r="A118" t="str">
        <f t="shared" si="7"/>
        <v>RLEWCOAKETCOA-Es2d1b1</v>
      </c>
      <c r="B118">
        <f t="shared" si="6"/>
        <v>17</v>
      </c>
      <c r="C118" t="s">
        <v>116</v>
      </c>
      <c r="D118" t="s">
        <v>146</v>
      </c>
      <c r="E118" t="s">
        <v>264</v>
      </c>
      <c r="F118" t="s">
        <v>132</v>
      </c>
      <c r="G118">
        <v>2012</v>
      </c>
      <c r="H118">
        <v>0.33439999999999998</v>
      </c>
    </row>
    <row r="119" spans="1:8" x14ac:dyDescent="0.2">
      <c r="A119" t="str">
        <f t="shared" si="7"/>
        <v>RLEWCOAKETCOA-Es2d1b2</v>
      </c>
      <c r="B119">
        <f t="shared" si="6"/>
        <v>17</v>
      </c>
      <c r="C119" t="s">
        <v>116</v>
      </c>
      <c r="D119" t="s">
        <v>146</v>
      </c>
      <c r="E119" t="s">
        <v>265</v>
      </c>
      <c r="F119" t="s">
        <v>132</v>
      </c>
      <c r="G119">
        <v>2012</v>
      </c>
      <c r="H119">
        <v>1</v>
      </c>
    </row>
    <row r="120" spans="1:8" x14ac:dyDescent="0.2">
      <c r="A120" t="str">
        <f t="shared" si="7"/>
        <v>RLEWCOAKETCOA-Es2d1b3</v>
      </c>
      <c r="B120">
        <f t="shared" si="6"/>
        <v>17</v>
      </c>
      <c r="C120" t="s">
        <v>116</v>
      </c>
      <c r="D120" t="s">
        <v>146</v>
      </c>
      <c r="E120" t="s">
        <v>266</v>
      </c>
      <c r="F120" t="s">
        <v>132</v>
      </c>
      <c r="G120">
        <v>2012</v>
      </c>
      <c r="H120">
        <v>0.4849</v>
      </c>
    </row>
    <row r="121" spans="1:8" x14ac:dyDescent="0.2">
      <c r="A121" t="str">
        <f t="shared" si="7"/>
        <v>RLEWCOAKETCOA-Es2d1b4</v>
      </c>
      <c r="B121">
        <f t="shared" si="6"/>
        <v>17</v>
      </c>
      <c r="C121" t="s">
        <v>116</v>
      </c>
      <c r="D121" t="s">
        <v>146</v>
      </c>
      <c r="E121" t="s">
        <v>267</v>
      </c>
      <c r="F121" t="s">
        <v>132</v>
      </c>
      <c r="G121">
        <v>2012</v>
      </c>
      <c r="H121">
        <v>0.95599999999999996</v>
      </c>
    </row>
    <row r="122" spans="1:8" x14ac:dyDescent="0.2">
      <c r="A122" t="str">
        <f t="shared" si="7"/>
        <v>RLEWCOAKETCOA-Es2d1b5</v>
      </c>
      <c r="B122">
        <f t="shared" si="6"/>
        <v>17</v>
      </c>
      <c r="C122" t="s">
        <v>116</v>
      </c>
      <c r="D122" t="s">
        <v>146</v>
      </c>
      <c r="E122" t="s">
        <v>268</v>
      </c>
      <c r="F122" t="s">
        <v>132</v>
      </c>
      <c r="G122">
        <v>2012</v>
      </c>
      <c r="H122">
        <v>0.82</v>
      </c>
    </row>
    <row r="123" spans="1:8" x14ac:dyDescent="0.2">
      <c r="A123" t="str">
        <f t="shared" si="7"/>
        <v>RLEWOLPKETLPG-Es1d1b1</v>
      </c>
      <c r="B123">
        <f t="shared" si="6"/>
        <v>18</v>
      </c>
      <c r="C123" t="s">
        <v>116</v>
      </c>
      <c r="D123" t="s">
        <v>147</v>
      </c>
      <c r="E123" t="s">
        <v>261</v>
      </c>
      <c r="F123" t="s">
        <v>132</v>
      </c>
      <c r="G123">
        <v>2012</v>
      </c>
      <c r="H123">
        <v>0.4783</v>
      </c>
    </row>
    <row r="124" spans="1:8" x14ac:dyDescent="0.2">
      <c r="A124" t="str">
        <f t="shared" si="7"/>
        <v>RLEWOLPKETLPG-Es1d1b2</v>
      </c>
      <c r="B124">
        <f t="shared" si="6"/>
        <v>18</v>
      </c>
      <c r="C124" t="s">
        <v>116</v>
      </c>
      <c r="D124" t="s">
        <v>147</v>
      </c>
      <c r="E124" t="s">
        <v>262</v>
      </c>
      <c r="F124" t="s">
        <v>132</v>
      </c>
      <c r="G124">
        <v>2012</v>
      </c>
      <c r="H124">
        <v>0.55110000000000003</v>
      </c>
    </row>
    <row r="125" spans="1:8" x14ac:dyDescent="0.2">
      <c r="A125" t="str">
        <f t="shared" si="7"/>
        <v>RLEWOLPKETLPG-Es1d1b3</v>
      </c>
      <c r="B125">
        <f t="shared" si="6"/>
        <v>18</v>
      </c>
      <c r="C125" t="s">
        <v>116</v>
      </c>
      <c r="D125" t="s">
        <v>147</v>
      </c>
      <c r="E125" t="s">
        <v>263</v>
      </c>
      <c r="F125" t="s">
        <v>132</v>
      </c>
      <c r="G125">
        <v>2012</v>
      </c>
      <c r="H125">
        <v>0.83699999999999997</v>
      </c>
    </row>
    <row r="126" spans="1:8" x14ac:dyDescent="0.2">
      <c r="A126" t="str">
        <f t="shared" si="7"/>
        <v>RLEWOLPKETLPG-Es2d1b1</v>
      </c>
      <c r="B126">
        <f t="shared" si="6"/>
        <v>18</v>
      </c>
      <c r="C126" t="s">
        <v>116</v>
      </c>
      <c r="D126" t="s">
        <v>147</v>
      </c>
      <c r="E126" t="s">
        <v>264</v>
      </c>
      <c r="F126" t="s">
        <v>132</v>
      </c>
      <c r="G126">
        <v>2012</v>
      </c>
      <c r="H126">
        <v>0.33439999999999998</v>
      </c>
    </row>
    <row r="127" spans="1:8" x14ac:dyDescent="0.2">
      <c r="A127" t="str">
        <f t="shared" si="7"/>
        <v>RLEWOLPKETLPG-Es2d1b2</v>
      </c>
      <c r="B127">
        <f t="shared" si="6"/>
        <v>18</v>
      </c>
      <c r="C127" t="s">
        <v>116</v>
      </c>
      <c r="D127" t="s">
        <v>147</v>
      </c>
      <c r="E127" t="s">
        <v>265</v>
      </c>
      <c r="F127" t="s">
        <v>132</v>
      </c>
      <c r="G127">
        <v>2012</v>
      </c>
      <c r="H127">
        <v>1</v>
      </c>
    </row>
    <row r="128" spans="1:8" x14ac:dyDescent="0.2">
      <c r="A128" t="str">
        <f t="shared" si="7"/>
        <v>RLEWOLPKETLPG-Es2d1b3</v>
      </c>
      <c r="B128">
        <f t="shared" si="6"/>
        <v>18</v>
      </c>
      <c r="C128" t="s">
        <v>116</v>
      </c>
      <c r="D128" t="s">
        <v>147</v>
      </c>
      <c r="E128" t="s">
        <v>266</v>
      </c>
      <c r="F128" t="s">
        <v>132</v>
      </c>
      <c r="G128">
        <v>2012</v>
      </c>
      <c r="H128">
        <v>0.4849</v>
      </c>
    </row>
    <row r="129" spans="1:8" x14ac:dyDescent="0.2">
      <c r="A129" t="str">
        <f t="shared" si="7"/>
        <v>RLEWOLPKETLPG-Es2d1b4</v>
      </c>
      <c r="B129">
        <f t="shared" si="6"/>
        <v>18</v>
      </c>
      <c r="C129" t="s">
        <v>116</v>
      </c>
      <c r="D129" t="s">
        <v>147</v>
      </c>
      <c r="E129" t="s">
        <v>267</v>
      </c>
      <c r="F129" t="s">
        <v>132</v>
      </c>
      <c r="G129">
        <v>2012</v>
      </c>
      <c r="H129">
        <v>0.95599999999999996</v>
      </c>
    </row>
    <row r="130" spans="1:8" x14ac:dyDescent="0.2">
      <c r="A130" t="str">
        <f t="shared" si="7"/>
        <v>RLEWOLPKETLPG-Es2d1b5</v>
      </c>
      <c r="B130">
        <f t="shared" si="6"/>
        <v>18</v>
      </c>
      <c r="C130" t="s">
        <v>116</v>
      </c>
      <c r="D130" t="s">
        <v>147</v>
      </c>
      <c r="E130" t="s">
        <v>268</v>
      </c>
      <c r="F130" t="s">
        <v>132</v>
      </c>
      <c r="G130">
        <v>2012</v>
      </c>
      <c r="H130">
        <v>0.82</v>
      </c>
    </row>
    <row r="131" spans="1:8" x14ac:dyDescent="0.2">
      <c r="A131" t="str">
        <f t="shared" si="7"/>
        <v>RMEKELCSTOV-Es1d1b1</v>
      </c>
      <c r="B131">
        <f t="shared" ref="B131:B194" si="8">MATCH(D131,$M$3:$M$66,0)</f>
        <v>23</v>
      </c>
      <c r="C131" t="s">
        <v>116</v>
      </c>
      <c r="D131" t="s">
        <v>148</v>
      </c>
      <c r="E131" t="s">
        <v>261</v>
      </c>
      <c r="F131" t="s">
        <v>132</v>
      </c>
      <c r="G131">
        <v>2012</v>
      </c>
      <c r="H131">
        <v>0.20979999999999999</v>
      </c>
    </row>
    <row r="132" spans="1:8" x14ac:dyDescent="0.2">
      <c r="A132" t="str">
        <f t="shared" ref="A132:A195" si="9">D132&amp;E132</f>
        <v>RMEKELCSTOV-Es1d1b2</v>
      </c>
      <c r="B132">
        <f t="shared" si="8"/>
        <v>23</v>
      </c>
      <c r="C132" t="s">
        <v>116</v>
      </c>
      <c r="D132" t="s">
        <v>148</v>
      </c>
      <c r="E132" t="s">
        <v>262</v>
      </c>
      <c r="F132" t="s">
        <v>132</v>
      </c>
      <c r="G132">
        <v>2012</v>
      </c>
      <c r="H132">
        <v>0.79349999999999998</v>
      </c>
    </row>
    <row r="133" spans="1:8" x14ac:dyDescent="0.2">
      <c r="A133" t="str">
        <f t="shared" si="9"/>
        <v>RMEKELCSTOV-Es1d1b3</v>
      </c>
      <c r="B133">
        <f t="shared" si="8"/>
        <v>23</v>
      </c>
      <c r="C133" t="s">
        <v>116</v>
      </c>
      <c r="D133" t="s">
        <v>148</v>
      </c>
      <c r="E133" t="s">
        <v>263</v>
      </c>
      <c r="F133" t="s">
        <v>132</v>
      </c>
      <c r="G133">
        <v>2012</v>
      </c>
      <c r="H133">
        <v>0.89359999999999995</v>
      </c>
    </row>
    <row r="134" spans="1:8" x14ac:dyDescent="0.2">
      <c r="A134" t="str">
        <f t="shared" si="9"/>
        <v>RMEKELCSTOV-Es2d1b1</v>
      </c>
      <c r="B134">
        <f t="shared" si="8"/>
        <v>23</v>
      </c>
      <c r="C134" t="s">
        <v>116</v>
      </c>
      <c r="D134" t="s">
        <v>148</v>
      </c>
      <c r="E134" t="s">
        <v>264</v>
      </c>
      <c r="F134" t="s">
        <v>132</v>
      </c>
      <c r="G134">
        <v>2012</v>
      </c>
      <c r="H134">
        <v>0.2316</v>
      </c>
    </row>
    <row r="135" spans="1:8" x14ac:dyDescent="0.2">
      <c r="A135" t="str">
        <f t="shared" si="9"/>
        <v>RMEKELCSTOV-Es2d1b2</v>
      </c>
      <c r="B135">
        <f t="shared" si="8"/>
        <v>23</v>
      </c>
      <c r="C135" t="s">
        <v>116</v>
      </c>
      <c r="D135" t="s">
        <v>148</v>
      </c>
      <c r="E135" t="s">
        <v>265</v>
      </c>
      <c r="F135" t="s">
        <v>132</v>
      </c>
      <c r="G135">
        <v>2012</v>
      </c>
      <c r="H135">
        <v>1</v>
      </c>
    </row>
    <row r="136" spans="1:8" x14ac:dyDescent="0.2">
      <c r="A136" t="str">
        <f t="shared" si="9"/>
        <v>RMEKELCSTOV-Es2d1b3</v>
      </c>
      <c r="B136">
        <f t="shared" si="8"/>
        <v>23</v>
      </c>
      <c r="C136" t="s">
        <v>116</v>
      </c>
      <c r="D136" t="s">
        <v>148</v>
      </c>
      <c r="E136" t="s">
        <v>266</v>
      </c>
      <c r="F136" t="s">
        <v>132</v>
      </c>
      <c r="G136">
        <v>2012</v>
      </c>
      <c r="H136">
        <v>0.73229999999999995</v>
      </c>
    </row>
    <row r="137" spans="1:8" x14ac:dyDescent="0.2">
      <c r="A137" t="str">
        <f t="shared" si="9"/>
        <v>RMEKELCSTOV-Es2d1b4</v>
      </c>
      <c r="B137">
        <f t="shared" si="8"/>
        <v>23</v>
      </c>
      <c r="C137" t="s">
        <v>116</v>
      </c>
      <c r="D137" t="s">
        <v>148</v>
      </c>
      <c r="E137" t="s">
        <v>267</v>
      </c>
      <c r="F137" t="s">
        <v>132</v>
      </c>
      <c r="G137">
        <v>2012</v>
      </c>
      <c r="H137">
        <v>0.98070000000000002</v>
      </c>
    </row>
    <row r="138" spans="1:8" x14ac:dyDescent="0.2">
      <c r="A138" t="str">
        <f t="shared" si="9"/>
        <v>RMEKELCSTOV-Es2d1b5</v>
      </c>
      <c r="B138">
        <f t="shared" si="8"/>
        <v>23</v>
      </c>
      <c r="C138" t="s">
        <v>116</v>
      </c>
      <c r="D138" t="s">
        <v>148</v>
      </c>
      <c r="E138" t="s">
        <v>268</v>
      </c>
      <c r="F138" t="s">
        <v>132</v>
      </c>
      <c r="G138">
        <v>2012</v>
      </c>
      <c r="H138">
        <v>0.58050000000000002</v>
      </c>
    </row>
    <row r="139" spans="1:8" x14ac:dyDescent="0.2">
      <c r="A139" t="str">
        <f t="shared" si="9"/>
        <v>RMEKOLPSTOV-Es1d1b1</v>
      </c>
      <c r="B139">
        <f t="shared" si="8"/>
        <v>24</v>
      </c>
      <c r="C139" t="s">
        <v>116</v>
      </c>
      <c r="D139" t="s">
        <v>149</v>
      </c>
      <c r="E139" t="s">
        <v>261</v>
      </c>
      <c r="F139" t="s">
        <v>132</v>
      </c>
      <c r="G139">
        <v>2012</v>
      </c>
      <c r="H139">
        <v>0.20979999999999999</v>
      </c>
    </row>
    <row r="140" spans="1:8" x14ac:dyDescent="0.2">
      <c r="A140" t="str">
        <f t="shared" si="9"/>
        <v>RMEKOLPSTOV-Es1d1b2</v>
      </c>
      <c r="B140">
        <f t="shared" si="8"/>
        <v>24</v>
      </c>
      <c r="C140" t="s">
        <v>116</v>
      </c>
      <c r="D140" t="s">
        <v>149</v>
      </c>
      <c r="E140" t="s">
        <v>262</v>
      </c>
      <c r="F140" t="s">
        <v>132</v>
      </c>
      <c r="G140">
        <v>2012</v>
      </c>
      <c r="H140">
        <v>0.79349999999999998</v>
      </c>
    </row>
    <row r="141" spans="1:8" x14ac:dyDescent="0.2">
      <c r="A141" t="str">
        <f t="shared" si="9"/>
        <v>RMEKOLPSTOV-Es1d1b3</v>
      </c>
      <c r="B141">
        <f t="shared" si="8"/>
        <v>24</v>
      </c>
      <c r="C141" t="s">
        <v>116</v>
      </c>
      <c r="D141" t="s">
        <v>149</v>
      </c>
      <c r="E141" t="s">
        <v>263</v>
      </c>
      <c r="F141" t="s">
        <v>132</v>
      </c>
      <c r="G141">
        <v>2012</v>
      </c>
      <c r="H141">
        <v>0.89359999999999995</v>
      </c>
    </row>
    <row r="142" spans="1:8" x14ac:dyDescent="0.2">
      <c r="A142" t="str">
        <f t="shared" si="9"/>
        <v>RMEKOLPSTOV-Es2d1b1</v>
      </c>
      <c r="B142">
        <f t="shared" si="8"/>
        <v>24</v>
      </c>
      <c r="C142" t="s">
        <v>116</v>
      </c>
      <c r="D142" t="s">
        <v>149</v>
      </c>
      <c r="E142" t="s">
        <v>264</v>
      </c>
      <c r="F142" t="s">
        <v>132</v>
      </c>
      <c r="G142">
        <v>2012</v>
      </c>
      <c r="H142">
        <v>0.2316</v>
      </c>
    </row>
    <row r="143" spans="1:8" x14ac:dyDescent="0.2">
      <c r="A143" t="str">
        <f t="shared" si="9"/>
        <v>RMEKOLPSTOV-Es2d1b2</v>
      </c>
      <c r="B143">
        <f t="shared" si="8"/>
        <v>24</v>
      </c>
      <c r="C143" t="s">
        <v>116</v>
      </c>
      <c r="D143" t="s">
        <v>149</v>
      </c>
      <c r="E143" t="s">
        <v>265</v>
      </c>
      <c r="F143" t="s">
        <v>132</v>
      </c>
      <c r="G143">
        <v>2012</v>
      </c>
      <c r="H143">
        <v>1</v>
      </c>
    </row>
    <row r="144" spans="1:8" x14ac:dyDescent="0.2">
      <c r="A144" t="str">
        <f t="shared" si="9"/>
        <v>RMEKOLPSTOV-Es2d1b3</v>
      </c>
      <c r="B144">
        <f t="shared" si="8"/>
        <v>24</v>
      </c>
      <c r="C144" t="s">
        <v>116</v>
      </c>
      <c r="D144" t="s">
        <v>149</v>
      </c>
      <c r="E144" t="s">
        <v>266</v>
      </c>
      <c r="F144" t="s">
        <v>132</v>
      </c>
      <c r="G144">
        <v>2012</v>
      </c>
      <c r="H144">
        <v>0.73229999999999995</v>
      </c>
    </row>
    <row r="145" spans="1:8" x14ac:dyDescent="0.2">
      <c r="A145" t="str">
        <f t="shared" si="9"/>
        <v>RMEKOLPSTOV-Es2d1b4</v>
      </c>
      <c r="B145">
        <f t="shared" si="8"/>
        <v>24</v>
      </c>
      <c r="C145" t="s">
        <v>116</v>
      </c>
      <c r="D145" t="s">
        <v>149</v>
      </c>
      <c r="E145" t="s">
        <v>267</v>
      </c>
      <c r="F145" t="s">
        <v>132</v>
      </c>
      <c r="G145">
        <v>2012</v>
      </c>
      <c r="H145">
        <v>0.98070000000000002</v>
      </c>
    </row>
    <row r="146" spans="1:8" x14ac:dyDescent="0.2">
      <c r="A146" t="str">
        <f t="shared" si="9"/>
        <v>RMEKOLPSTOV-Es2d1b5</v>
      </c>
      <c r="B146">
        <f t="shared" si="8"/>
        <v>24</v>
      </c>
      <c r="C146" t="s">
        <v>116</v>
      </c>
      <c r="D146" t="s">
        <v>149</v>
      </c>
      <c r="E146" t="s">
        <v>268</v>
      </c>
      <c r="F146" t="s">
        <v>132</v>
      </c>
      <c r="G146">
        <v>2012</v>
      </c>
      <c r="H146">
        <v>0.58050000000000002</v>
      </c>
    </row>
    <row r="147" spans="1:8" x14ac:dyDescent="0.2">
      <c r="A147" t="str">
        <f t="shared" si="9"/>
        <v>RMEKBIWSTOV-Es1d1b1</v>
      </c>
      <c r="B147">
        <f t="shared" si="8"/>
        <v>25</v>
      </c>
      <c r="C147" t="s">
        <v>116</v>
      </c>
      <c r="D147" t="s">
        <v>150</v>
      </c>
      <c r="E147" t="s">
        <v>261</v>
      </c>
      <c r="F147" t="s">
        <v>132</v>
      </c>
      <c r="G147">
        <v>2012</v>
      </c>
      <c r="H147">
        <v>0.20979999999999999</v>
      </c>
    </row>
    <row r="148" spans="1:8" x14ac:dyDescent="0.2">
      <c r="A148" t="str">
        <f t="shared" si="9"/>
        <v>RMEKBIWSTOV-Es1d1b2</v>
      </c>
      <c r="B148">
        <f t="shared" si="8"/>
        <v>25</v>
      </c>
      <c r="C148" t="s">
        <v>116</v>
      </c>
      <c r="D148" t="s">
        <v>150</v>
      </c>
      <c r="E148" t="s">
        <v>262</v>
      </c>
      <c r="F148" t="s">
        <v>132</v>
      </c>
      <c r="G148">
        <v>2012</v>
      </c>
      <c r="H148">
        <v>0.79349999999999998</v>
      </c>
    </row>
    <row r="149" spans="1:8" x14ac:dyDescent="0.2">
      <c r="A149" t="str">
        <f t="shared" si="9"/>
        <v>RMEKBIWSTOV-Es1d1b3</v>
      </c>
      <c r="B149">
        <f t="shared" si="8"/>
        <v>25</v>
      </c>
      <c r="C149" t="s">
        <v>116</v>
      </c>
      <c r="D149" t="s">
        <v>150</v>
      </c>
      <c r="E149" t="s">
        <v>263</v>
      </c>
      <c r="F149" t="s">
        <v>132</v>
      </c>
      <c r="G149">
        <v>2012</v>
      </c>
      <c r="H149">
        <v>0.89359999999999995</v>
      </c>
    </row>
    <row r="150" spans="1:8" x14ac:dyDescent="0.2">
      <c r="A150" t="str">
        <f t="shared" si="9"/>
        <v>RMEKBIWSTOV-Es2d1b1</v>
      </c>
      <c r="B150">
        <f t="shared" si="8"/>
        <v>25</v>
      </c>
      <c r="C150" t="s">
        <v>116</v>
      </c>
      <c r="D150" t="s">
        <v>150</v>
      </c>
      <c r="E150" t="s">
        <v>264</v>
      </c>
      <c r="F150" t="s">
        <v>132</v>
      </c>
      <c r="G150">
        <v>2012</v>
      </c>
      <c r="H150">
        <v>0.2316</v>
      </c>
    </row>
    <row r="151" spans="1:8" x14ac:dyDescent="0.2">
      <c r="A151" t="str">
        <f t="shared" si="9"/>
        <v>RMEKBIWSTOV-Es2d1b2</v>
      </c>
      <c r="B151">
        <f t="shared" si="8"/>
        <v>25</v>
      </c>
      <c r="C151" t="s">
        <v>116</v>
      </c>
      <c r="D151" t="s">
        <v>150</v>
      </c>
      <c r="E151" t="s">
        <v>265</v>
      </c>
      <c r="F151" t="s">
        <v>132</v>
      </c>
      <c r="G151">
        <v>2012</v>
      </c>
      <c r="H151">
        <v>1</v>
      </c>
    </row>
    <row r="152" spans="1:8" x14ac:dyDescent="0.2">
      <c r="A152" t="str">
        <f t="shared" si="9"/>
        <v>RMEKBIWSTOV-Es2d1b3</v>
      </c>
      <c r="B152">
        <f t="shared" si="8"/>
        <v>25</v>
      </c>
      <c r="C152" t="s">
        <v>116</v>
      </c>
      <c r="D152" t="s">
        <v>150</v>
      </c>
      <c r="E152" t="s">
        <v>266</v>
      </c>
      <c r="F152" t="s">
        <v>132</v>
      </c>
      <c r="G152">
        <v>2012</v>
      </c>
      <c r="H152">
        <v>0.73229999999999995</v>
      </c>
    </row>
    <row r="153" spans="1:8" x14ac:dyDescent="0.2">
      <c r="A153" t="str">
        <f t="shared" si="9"/>
        <v>RMEKBIWSTOV-Es2d1b4</v>
      </c>
      <c r="B153">
        <f t="shared" si="8"/>
        <v>25</v>
      </c>
      <c r="C153" t="s">
        <v>116</v>
      </c>
      <c r="D153" t="s">
        <v>150</v>
      </c>
      <c r="E153" t="s">
        <v>267</v>
      </c>
      <c r="F153" t="s">
        <v>132</v>
      </c>
      <c r="G153">
        <v>2012</v>
      </c>
      <c r="H153">
        <v>0.98070000000000002</v>
      </c>
    </row>
    <row r="154" spans="1:8" x14ac:dyDescent="0.2">
      <c r="A154" t="str">
        <f t="shared" si="9"/>
        <v>RMEKBIWSTOV-Es2d1b5</v>
      </c>
      <c r="B154">
        <f t="shared" si="8"/>
        <v>25</v>
      </c>
      <c r="C154" t="s">
        <v>116</v>
      </c>
      <c r="D154" t="s">
        <v>150</v>
      </c>
      <c r="E154" t="s">
        <v>268</v>
      </c>
      <c r="F154" t="s">
        <v>132</v>
      </c>
      <c r="G154">
        <v>2012</v>
      </c>
      <c r="H154">
        <v>0.58050000000000002</v>
      </c>
    </row>
    <row r="155" spans="1:8" x14ac:dyDescent="0.2">
      <c r="A155" t="str">
        <f t="shared" si="9"/>
        <v>RMEKCOABNM-Es1d1b1</v>
      </c>
      <c r="B155">
        <f t="shared" si="8"/>
        <v>26</v>
      </c>
      <c r="C155" t="s">
        <v>116</v>
      </c>
      <c r="D155" t="s">
        <v>151</v>
      </c>
      <c r="E155" t="s">
        <v>261</v>
      </c>
      <c r="F155" t="s">
        <v>132</v>
      </c>
      <c r="G155">
        <v>2012</v>
      </c>
      <c r="H155">
        <v>0.20979999999999999</v>
      </c>
    </row>
    <row r="156" spans="1:8" x14ac:dyDescent="0.2">
      <c r="A156" t="str">
        <f t="shared" si="9"/>
        <v>RMEKCOABNM-Es1d1b2</v>
      </c>
      <c r="B156">
        <f t="shared" si="8"/>
        <v>26</v>
      </c>
      <c r="C156" t="s">
        <v>116</v>
      </c>
      <c r="D156" t="s">
        <v>151</v>
      </c>
      <c r="E156" t="s">
        <v>262</v>
      </c>
      <c r="F156" t="s">
        <v>132</v>
      </c>
      <c r="G156">
        <v>2012</v>
      </c>
      <c r="H156">
        <v>0.79349999999999998</v>
      </c>
    </row>
    <row r="157" spans="1:8" x14ac:dyDescent="0.2">
      <c r="A157" t="str">
        <f t="shared" si="9"/>
        <v>RMEKCOABNM-Es1d1b3</v>
      </c>
      <c r="B157">
        <f t="shared" si="8"/>
        <v>26</v>
      </c>
      <c r="C157" t="s">
        <v>116</v>
      </c>
      <c r="D157" t="s">
        <v>151</v>
      </c>
      <c r="E157" t="s">
        <v>263</v>
      </c>
      <c r="F157" t="s">
        <v>132</v>
      </c>
      <c r="G157">
        <v>2012</v>
      </c>
      <c r="H157">
        <v>0.89359999999999995</v>
      </c>
    </row>
    <row r="158" spans="1:8" x14ac:dyDescent="0.2">
      <c r="A158" t="str">
        <f t="shared" si="9"/>
        <v>RMEKCOABNM-Es2d1b1</v>
      </c>
      <c r="B158">
        <f t="shared" si="8"/>
        <v>26</v>
      </c>
      <c r="C158" t="s">
        <v>116</v>
      </c>
      <c r="D158" t="s">
        <v>151</v>
      </c>
      <c r="E158" t="s">
        <v>264</v>
      </c>
      <c r="F158" t="s">
        <v>132</v>
      </c>
      <c r="G158">
        <v>2012</v>
      </c>
      <c r="H158">
        <v>0.2316</v>
      </c>
    </row>
    <row r="159" spans="1:8" x14ac:dyDescent="0.2">
      <c r="A159" t="str">
        <f t="shared" si="9"/>
        <v>RMEKCOABNM-Es2d1b2</v>
      </c>
      <c r="B159">
        <f t="shared" si="8"/>
        <v>26</v>
      </c>
      <c r="C159" t="s">
        <v>116</v>
      </c>
      <c r="D159" t="s">
        <v>151</v>
      </c>
      <c r="E159" t="s">
        <v>265</v>
      </c>
      <c r="F159" t="s">
        <v>132</v>
      </c>
      <c r="G159">
        <v>2012</v>
      </c>
      <c r="H159">
        <v>1</v>
      </c>
    </row>
    <row r="160" spans="1:8" x14ac:dyDescent="0.2">
      <c r="A160" t="str">
        <f t="shared" si="9"/>
        <v>RMEKCOABNM-Es2d1b3</v>
      </c>
      <c r="B160">
        <f t="shared" si="8"/>
        <v>26</v>
      </c>
      <c r="C160" t="s">
        <v>116</v>
      </c>
      <c r="D160" t="s">
        <v>151</v>
      </c>
      <c r="E160" t="s">
        <v>266</v>
      </c>
      <c r="F160" t="s">
        <v>132</v>
      </c>
      <c r="G160">
        <v>2012</v>
      </c>
      <c r="H160">
        <v>0.73229999999999995</v>
      </c>
    </row>
    <row r="161" spans="1:8" x14ac:dyDescent="0.2">
      <c r="A161" t="str">
        <f t="shared" si="9"/>
        <v>RMEKCOABNM-Es2d1b4</v>
      </c>
      <c r="B161">
        <f t="shared" si="8"/>
        <v>26</v>
      </c>
      <c r="C161" t="s">
        <v>116</v>
      </c>
      <c r="D161" t="s">
        <v>151</v>
      </c>
      <c r="E161" t="s">
        <v>267</v>
      </c>
      <c r="F161" t="s">
        <v>132</v>
      </c>
      <c r="G161">
        <v>2012</v>
      </c>
      <c r="H161">
        <v>0.98070000000000002</v>
      </c>
    </row>
    <row r="162" spans="1:8" x14ac:dyDescent="0.2">
      <c r="A162" t="str">
        <f t="shared" si="9"/>
        <v>RMEKCOABNM-Es2d1b5</v>
      </c>
      <c r="B162">
        <f t="shared" si="8"/>
        <v>26</v>
      </c>
      <c r="C162" t="s">
        <v>116</v>
      </c>
      <c r="D162" t="s">
        <v>151</v>
      </c>
      <c r="E162" t="s">
        <v>268</v>
      </c>
      <c r="F162" t="s">
        <v>132</v>
      </c>
      <c r="G162">
        <v>2012</v>
      </c>
      <c r="H162">
        <v>0.58050000000000002</v>
      </c>
    </row>
    <row r="163" spans="1:8" x14ac:dyDescent="0.2">
      <c r="A163" t="str">
        <f t="shared" si="9"/>
        <v>RMEKOKEWICK-Es1d1b1</v>
      </c>
      <c r="B163">
        <f t="shared" si="8"/>
        <v>27</v>
      </c>
      <c r="C163" t="s">
        <v>116</v>
      </c>
      <c r="D163" t="s">
        <v>152</v>
      </c>
      <c r="E163" t="s">
        <v>261</v>
      </c>
      <c r="F163" t="s">
        <v>132</v>
      </c>
      <c r="G163">
        <v>2012</v>
      </c>
      <c r="H163">
        <v>0.20979999999999999</v>
      </c>
    </row>
    <row r="164" spans="1:8" x14ac:dyDescent="0.2">
      <c r="A164" t="str">
        <f t="shared" si="9"/>
        <v>RMEKOKEWICK-Es1d1b2</v>
      </c>
      <c r="B164">
        <f t="shared" si="8"/>
        <v>27</v>
      </c>
      <c r="C164" t="s">
        <v>116</v>
      </c>
      <c r="D164" t="s">
        <v>152</v>
      </c>
      <c r="E164" t="s">
        <v>262</v>
      </c>
      <c r="F164" t="s">
        <v>132</v>
      </c>
      <c r="G164">
        <v>2012</v>
      </c>
      <c r="H164">
        <v>0.79349999999999998</v>
      </c>
    </row>
    <row r="165" spans="1:8" x14ac:dyDescent="0.2">
      <c r="A165" t="str">
        <f t="shared" si="9"/>
        <v>RMEKOKEWICK-Es1d1b3</v>
      </c>
      <c r="B165">
        <f t="shared" si="8"/>
        <v>27</v>
      </c>
      <c r="C165" t="s">
        <v>116</v>
      </c>
      <c r="D165" t="s">
        <v>152</v>
      </c>
      <c r="E165" t="s">
        <v>263</v>
      </c>
      <c r="F165" t="s">
        <v>132</v>
      </c>
      <c r="G165">
        <v>2012</v>
      </c>
      <c r="H165">
        <v>0.89359999999999995</v>
      </c>
    </row>
    <row r="166" spans="1:8" x14ac:dyDescent="0.2">
      <c r="A166" t="str">
        <f t="shared" si="9"/>
        <v>RMEKOKEWICK-Es2d1b1</v>
      </c>
      <c r="B166">
        <f t="shared" si="8"/>
        <v>27</v>
      </c>
      <c r="C166" t="s">
        <v>116</v>
      </c>
      <c r="D166" t="s">
        <v>152</v>
      </c>
      <c r="E166" t="s">
        <v>264</v>
      </c>
      <c r="F166" t="s">
        <v>132</v>
      </c>
      <c r="G166">
        <v>2012</v>
      </c>
      <c r="H166">
        <v>0.2316</v>
      </c>
    </row>
    <row r="167" spans="1:8" x14ac:dyDescent="0.2">
      <c r="A167" t="str">
        <f t="shared" si="9"/>
        <v>RMEKOKEWICK-Es2d1b2</v>
      </c>
      <c r="B167">
        <f t="shared" si="8"/>
        <v>27</v>
      </c>
      <c r="C167" t="s">
        <v>116</v>
      </c>
      <c r="D167" t="s">
        <v>152</v>
      </c>
      <c r="E167" t="s">
        <v>265</v>
      </c>
      <c r="F167" t="s">
        <v>132</v>
      </c>
      <c r="G167">
        <v>2012</v>
      </c>
      <c r="H167">
        <v>1</v>
      </c>
    </row>
    <row r="168" spans="1:8" x14ac:dyDescent="0.2">
      <c r="A168" t="str">
        <f t="shared" si="9"/>
        <v>RMEKOKEWICK-Es2d1b3</v>
      </c>
      <c r="B168">
        <f t="shared" si="8"/>
        <v>27</v>
      </c>
      <c r="C168" t="s">
        <v>116</v>
      </c>
      <c r="D168" t="s">
        <v>152</v>
      </c>
      <c r="E168" t="s">
        <v>266</v>
      </c>
      <c r="F168" t="s">
        <v>132</v>
      </c>
      <c r="G168">
        <v>2012</v>
      </c>
      <c r="H168">
        <v>0.73229999999999995</v>
      </c>
    </row>
    <row r="169" spans="1:8" x14ac:dyDescent="0.2">
      <c r="A169" t="str">
        <f t="shared" si="9"/>
        <v>RMEKOKEWICK-Es2d1b4</v>
      </c>
      <c r="B169">
        <f t="shared" si="8"/>
        <v>27</v>
      </c>
      <c r="C169" t="s">
        <v>116</v>
      </c>
      <c r="D169" t="s">
        <v>152</v>
      </c>
      <c r="E169" t="s">
        <v>267</v>
      </c>
      <c r="F169" t="s">
        <v>132</v>
      </c>
      <c r="G169">
        <v>2012</v>
      </c>
      <c r="H169">
        <v>0.98070000000000002</v>
      </c>
    </row>
    <row r="170" spans="1:8" x14ac:dyDescent="0.2">
      <c r="A170" t="str">
        <f t="shared" si="9"/>
        <v>RMEKOKEWICK-Es2d1b5</v>
      </c>
      <c r="B170">
        <f t="shared" si="8"/>
        <v>27</v>
      </c>
      <c r="C170" t="s">
        <v>116</v>
      </c>
      <c r="D170" t="s">
        <v>152</v>
      </c>
      <c r="E170" t="s">
        <v>268</v>
      </c>
      <c r="F170" t="s">
        <v>132</v>
      </c>
      <c r="G170">
        <v>2012</v>
      </c>
      <c r="H170">
        <v>0.58050000000000002</v>
      </c>
    </row>
    <row r="171" spans="1:8" x14ac:dyDescent="0.2">
      <c r="A171" t="str">
        <f t="shared" si="9"/>
        <v>RMEKGASSTOV-Es1d1b1</v>
      </c>
      <c r="B171">
        <f t="shared" si="8"/>
        <v>28</v>
      </c>
      <c r="C171" t="s">
        <v>116</v>
      </c>
      <c r="D171" t="s">
        <v>153</v>
      </c>
      <c r="E171" t="s">
        <v>261</v>
      </c>
      <c r="F171" t="s">
        <v>132</v>
      </c>
      <c r="G171">
        <v>2012</v>
      </c>
      <c r="H171">
        <v>0.20979999999999999</v>
      </c>
    </row>
    <row r="172" spans="1:8" x14ac:dyDescent="0.2">
      <c r="A172" t="str">
        <f t="shared" si="9"/>
        <v>RMEKGASSTOV-Es1d1b2</v>
      </c>
      <c r="B172">
        <f t="shared" si="8"/>
        <v>28</v>
      </c>
      <c r="C172" t="s">
        <v>116</v>
      </c>
      <c r="D172" t="s">
        <v>153</v>
      </c>
      <c r="E172" t="s">
        <v>262</v>
      </c>
      <c r="F172" t="s">
        <v>132</v>
      </c>
      <c r="G172">
        <v>2012</v>
      </c>
      <c r="H172">
        <v>0.79349999999999998</v>
      </c>
    </row>
    <row r="173" spans="1:8" x14ac:dyDescent="0.2">
      <c r="A173" t="str">
        <f t="shared" si="9"/>
        <v>RMEKGASSTOV-Es1d1b3</v>
      </c>
      <c r="B173">
        <f t="shared" si="8"/>
        <v>28</v>
      </c>
      <c r="C173" t="s">
        <v>116</v>
      </c>
      <c r="D173" t="s">
        <v>153</v>
      </c>
      <c r="E173" t="s">
        <v>263</v>
      </c>
      <c r="F173" t="s">
        <v>132</v>
      </c>
      <c r="G173">
        <v>2012</v>
      </c>
      <c r="H173">
        <v>0.89359999999999995</v>
      </c>
    </row>
    <row r="174" spans="1:8" x14ac:dyDescent="0.2">
      <c r="A174" t="str">
        <f t="shared" si="9"/>
        <v>RMEKGASSTOV-Es2d1b1</v>
      </c>
      <c r="B174">
        <f t="shared" si="8"/>
        <v>28</v>
      </c>
      <c r="C174" t="s">
        <v>116</v>
      </c>
      <c r="D174" t="s">
        <v>153</v>
      </c>
      <c r="E174" t="s">
        <v>264</v>
      </c>
      <c r="F174" t="s">
        <v>132</v>
      </c>
      <c r="G174">
        <v>2012</v>
      </c>
      <c r="H174">
        <v>0.2316</v>
      </c>
    </row>
    <row r="175" spans="1:8" x14ac:dyDescent="0.2">
      <c r="A175" t="str">
        <f t="shared" si="9"/>
        <v>RMEKGASSTOV-Es2d1b2</v>
      </c>
      <c r="B175">
        <f t="shared" si="8"/>
        <v>28</v>
      </c>
      <c r="C175" t="s">
        <v>116</v>
      </c>
      <c r="D175" t="s">
        <v>153</v>
      </c>
      <c r="E175" t="s">
        <v>265</v>
      </c>
      <c r="F175" t="s">
        <v>132</v>
      </c>
      <c r="G175">
        <v>2012</v>
      </c>
      <c r="H175">
        <v>1</v>
      </c>
    </row>
    <row r="176" spans="1:8" x14ac:dyDescent="0.2">
      <c r="A176" t="str">
        <f t="shared" si="9"/>
        <v>RMEKGASSTOV-Es2d1b3</v>
      </c>
      <c r="B176">
        <f t="shared" si="8"/>
        <v>28</v>
      </c>
      <c r="C176" t="s">
        <v>116</v>
      </c>
      <c r="D176" t="s">
        <v>153</v>
      </c>
      <c r="E176" t="s">
        <v>266</v>
      </c>
      <c r="F176" t="s">
        <v>132</v>
      </c>
      <c r="G176">
        <v>2012</v>
      </c>
      <c r="H176">
        <v>0.73229999999999995</v>
      </c>
    </row>
    <row r="177" spans="1:8" x14ac:dyDescent="0.2">
      <c r="A177" t="str">
        <f t="shared" si="9"/>
        <v>RMEKGASSTOV-Es2d1b4</v>
      </c>
      <c r="B177">
        <f t="shared" si="8"/>
        <v>28</v>
      </c>
      <c r="C177" t="s">
        <v>116</v>
      </c>
      <c r="D177" t="s">
        <v>153</v>
      </c>
      <c r="E177" t="s">
        <v>267</v>
      </c>
      <c r="F177" t="s">
        <v>132</v>
      </c>
      <c r="G177">
        <v>2012</v>
      </c>
      <c r="H177">
        <v>0.98070000000000002</v>
      </c>
    </row>
    <row r="178" spans="1:8" x14ac:dyDescent="0.2">
      <c r="A178" t="str">
        <f t="shared" si="9"/>
        <v>RMEKGASSTOV-Es2d1b5</v>
      </c>
      <c r="B178">
        <f t="shared" si="8"/>
        <v>28</v>
      </c>
      <c r="C178" t="s">
        <v>116</v>
      </c>
      <c r="D178" t="s">
        <v>153</v>
      </c>
      <c r="E178" t="s">
        <v>268</v>
      </c>
      <c r="F178" t="s">
        <v>132</v>
      </c>
      <c r="G178">
        <v>2012</v>
      </c>
      <c r="H178">
        <v>0.58050000000000002</v>
      </c>
    </row>
    <row r="179" spans="1:8" x14ac:dyDescent="0.2">
      <c r="A179" t="str">
        <f t="shared" si="9"/>
        <v>RMEHELCHEATFIN-Es1d1b1</v>
      </c>
      <c r="B179">
        <f t="shared" si="8"/>
        <v>29</v>
      </c>
      <c r="C179" t="s">
        <v>116</v>
      </c>
      <c r="D179" t="s">
        <v>154</v>
      </c>
      <c r="E179" t="s">
        <v>261</v>
      </c>
      <c r="F179" t="s">
        <v>132</v>
      </c>
      <c r="G179">
        <v>2012</v>
      </c>
      <c r="H179">
        <v>0.80610000000000004</v>
      </c>
    </row>
    <row r="180" spans="1:8" x14ac:dyDescent="0.2">
      <c r="A180" t="str">
        <f t="shared" si="9"/>
        <v>RMEHELCHEATFIN-Es1d1b2</v>
      </c>
      <c r="B180">
        <f t="shared" si="8"/>
        <v>29</v>
      </c>
      <c r="C180" t="s">
        <v>116</v>
      </c>
      <c r="D180" t="s">
        <v>154</v>
      </c>
      <c r="E180" t="s">
        <v>262</v>
      </c>
      <c r="F180" t="s">
        <v>132</v>
      </c>
      <c r="G180">
        <v>2012</v>
      </c>
      <c r="H180">
        <v>1.3599999999999999E-2</v>
      </c>
    </row>
    <row r="181" spans="1:8" x14ac:dyDescent="0.2">
      <c r="A181" t="str">
        <f t="shared" si="9"/>
        <v>RMEHELCHEATFIN-Es1d1b3</v>
      </c>
      <c r="B181">
        <f t="shared" si="8"/>
        <v>29</v>
      </c>
      <c r="C181" t="s">
        <v>116</v>
      </c>
      <c r="D181" t="s">
        <v>154</v>
      </c>
      <c r="E181" t="s">
        <v>263</v>
      </c>
      <c r="F181" t="s">
        <v>132</v>
      </c>
      <c r="G181">
        <v>2012</v>
      </c>
      <c r="H181">
        <v>1.8700000000000001E-2</v>
      </c>
    </row>
    <row r="182" spans="1:8" x14ac:dyDescent="0.2">
      <c r="A182" t="str">
        <f t="shared" si="9"/>
        <v>RMEHELCHEATFIN-Es2d1b1</v>
      </c>
      <c r="B182">
        <f t="shared" si="8"/>
        <v>29</v>
      </c>
      <c r="C182" t="s">
        <v>116</v>
      </c>
      <c r="D182" t="s">
        <v>154</v>
      </c>
      <c r="E182" t="s">
        <v>264</v>
      </c>
      <c r="F182" t="s">
        <v>132</v>
      </c>
      <c r="G182">
        <v>2012</v>
      </c>
      <c r="H182">
        <v>0.1094</v>
      </c>
    </row>
    <row r="183" spans="1:8" x14ac:dyDescent="0.2">
      <c r="A183" t="str">
        <f t="shared" si="9"/>
        <v>RMEHELCHEATFIN-Es2d1b2</v>
      </c>
      <c r="B183">
        <f t="shared" si="8"/>
        <v>29</v>
      </c>
      <c r="C183" t="s">
        <v>116</v>
      </c>
      <c r="D183" t="s">
        <v>154</v>
      </c>
      <c r="E183" t="s">
        <v>265</v>
      </c>
      <c r="F183" t="s">
        <v>132</v>
      </c>
      <c r="G183">
        <v>2012</v>
      </c>
      <c r="H183">
        <v>0.10730000000000001</v>
      </c>
    </row>
    <row r="184" spans="1:8" x14ac:dyDescent="0.2">
      <c r="A184" t="str">
        <f t="shared" si="9"/>
        <v>RMEHELCHEATFIN-Es2d1b3</v>
      </c>
      <c r="B184">
        <f t="shared" si="8"/>
        <v>29</v>
      </c>
      <c r="C184" t="s">
        <v>116</v>
      </c>
      <c r="D184" t="s">
        <v>154</v>
      </c>
      <c r="E184" t="s">
        <v>266</v>
      </c>
      <c r="F184" t="s">
        <v>132</v>
      </c>
      <c r="G184">
        <v>2012</v>
      </c>
      <c r="H184">
        <v>0.3236</v>
      </c>
    </row>
    <row r="185" spans="1:8" x14ac:dyDescent="0.2">
      <c r="A185" t="str">
        <f t="shared" si="9"/>
        <v>RMEHELCHEATFIN-Es2d1b4</v>
      </c>
      <c r="B185">
        <f t="shared" si="8"/>
        <v>29</v>
      </c>
      <c r="C185" t="s">
        <v>116</v>
      </c>
      <c r="D185" t="s">
        <v>154</v>
      </c>
      <c r="E185" t="s">
        <v>267</v>
      </c>
      <c r="F185" t="s">
        <v>132</v>
      </c>
      <c r="G185">
        <v>2012</v>
      </c>
      <c r="H185">
        <v>1</v>
      </c>
    </row>
    <row r="186" spans="1:8" x14ac:dyDescent="0.2">
      <c r="A186" t="str">
        <f t="shared" si="9"/>
        <v>RMEHELCHEATFIN-Es2d1b5</v>
      </c>
      <c r="B186">
        <f t="shared" si="8"/>
        <v>29</v>
      </c>
      <c r="C186" t="s">
        <v>116</v>
      </c>
      <c r="D186" t="s">
        <v>154</v>
      </c>
      <c r="E186" t="s">
        <v>268</v>
      </c>
      <c r="F186" t="s">
        <v>132</v>
      </c>
      <c r="G186">
        <v>2012</v>
      </c>
      <c r="H186">
        <v>0.69010000000000005</v>
      </c>
    </row>
    <row r="187" spans="1:8" x14ac:dyDescent="0.2">
      <c r="A187" t="str">
        <f t="shared" si="9"/>
        <v>RMEHOKEHEAT-Es1d1b1</v>
      </c>
      <c r="B187">
        <f t="shared" si="8"/>
        <v>30</v>
      </c>
      <c r="C187" t="s">
        <v>116</v>
      </c>
      <c r="D187" t="s">
        <v>155</v>
      </c>
      <c r="E187" t="s">
        <v>261</v>
      </c>
      <c r="F187" t="s">
        <v>132</v>
      </c>
      <c r="G187">
        <v>2012</v>
      </c>
      <c r="H187">
        <v>0.80610000000000004</v>
      </c>
    </row>
    <row r="188" spans="1:8" x14ac:dyDescent="0.2">
      <c r="A188" t="str">
        <f t="shared" si="9"/>
        <v>RMEHOKEHEAT-Es1d1b2</v>
      </c>
      <c r="B188">
        <f t="shared" si="8"/>
        <v>30</v>
      </c>
      <c r="C188" t="s">
        <v>116</v>
      </c>
      <c r="D188" t="s">
        <v>155</v>
      </c>
      <c r="E188" t="s">
        <v>262</v>
      </c>
      <c r="F188" t="s">
        <v>132</v>
      </c>
      <c r="G188">
        <v>2012</v>
      </c>
      <c r="H188">
        <v>1.3599999999999999E-2</v>
      </c>
    </row>
    <row r="189" spans="1:8" x14ac:dyDescent="0.2">
      <c r="A189" t="str">
        <f t="shared" si="9"/>
        <v>RMEHOKEHEAT-Es1d1b3</v>
      </c>
      <c r="B189">
        <f t="shared" si="8"/>
        <v>30</v>
      </c>
      <c r="C189" t="s">
        <v>116</v>
      </c>
      <c r="D189" t="s">
        <v>155</v>
      </c>
      <c r="E189" t="s">
        <v>263</v>
      </c>
      <c r="F189" t="s">
        <v>132</v>
      </c>
      <c r="G189">
        <v>2012</v>
      </c>
      <c r="H189">
        <v>1.8700000000000001E-2</v>
      </c>
    </row>
    <row r="190" spans="1:8" x14ac:dyDescent="0.2">
      <c r="A190" t="str">
        <f t="shared" si="9"/>
        <v>RMEHOKEHEAT-Es2d1b1</v>
      </c>
      <c r="B190">
        <f t="shared" si="8"/>
        <v>30</v>
      </c>
      <c r="C190" t="s">
        <v>116</v>
      </c>
      <c r="D190" t="s">
        <v>155</v>
      </c>
      <c r="E190" t="s">
        <v>264</v>
      </c>
      <c r="F190" t="s">
        <v>132</v>
      </c>
      <c r="G190">
        <v>2012</v>
      </c>
      <c r="H190">
        <v>0.1094</v>
      </c>
    </row>
    <row r="191" spans="1:8" x14ac:dyDescent="0.2">
      <c r="A191" t="str">
        <f t="shared" si="9"/>
        <v>RMEHOKEHEAT-Es2d1b2</v>
      </c>
      <c r="B191">
        <f t="shared" si="8"/>
        <v>30</v>
      </c>
      <c r="C191" t="s">
        <v>116</v>
      </c>
      <c r="D191" t="s">
        <v>155</v>
      </c>
      <c r="E191" t="s">
        <v>265</v>
      </c>
      <c r="F191" t="s">
        <v>132</v>
      </c>
      <c r="G191">
        <v>2012</v>
      </c>
      <c r="H191">
        <v>0.10730000000000001</v>
      </c>
    </row>
    <row r="192" spans="1:8" x14ac:dyDescent="0.2">
      <c r="A192" t="str">
        <f t="shared" si="9"/>
        <v>RMEHOKEHEAT-Es2d1b3</v>
      </c>
      <c r="B192">
        <f t="shared" si="8"/>
        <v>30</v>
      </c>
      <c r="C192" t="s">
        <v>116</v>
      </c>
      <c r="D192" t="s">
        <v>155</v>
      </c>
      <c r="E192" t="s">
        <v>266</v>
      </c>
      <c r="F192" t="s">
        <v>132</v>
      </c>
      <c r="G192">
        <v>2012</v>
      </c>
      <c r="H192">
        <v>0.3236</v>
      </c>
    </row>
    <row r="193" spans="1:8" x14ac:dyDescent="0.2">
      <c r="A193" t="str">
        <f t="shared" si="9"/>
        <v>RMEHOKEHEAT-Es2d1b4</v>
      </c>
      <c r="B193">
        <f t="shared" si="8"/>
        <v>30</v>
      </c>
      <c r="C193" t="s">
        <v>116</v>
      </c>
      <c r="D193" t="s">
        <v>155</v>
      </c>
      <c r="E193" t="s">
        <v>267</v>
      </c>
      <c r="F193" t="s">
        <v>132</v>
      </c>
      <c r="G193">
        <v>2012</v>
      </c>
      <c r="H193">
        <v>1</v>
      </c>
    </row>
    <row r="194" spans="1:8" x14ac:dyDescent="0.2">
      <c r="A194" t="str">
        <f t="shared" si="9"/>
        <v>RMEHOKEHEAT-Es2d1b5</v>
      </c>
      <c r="B194">
        <f t="shared" si="8"/>
        <v>30</v>
      </c>
      <c r="C194" t="s">
        <v>116</v>
      </c>
      <c r="D194" t="s">
        <v>155</v>
      </c>
      <c r="E194" t="s">
        <v>268</v>
      </c>
      <c r="F194" t="s">
        <v>132</v>
      </c>
      <c r="G194">
        <v>2012</v>
      </c>
      <c r="H194">
        <v>0.69010000000000005</v>
      </c>
    </row>
    <row r="195" spans="1:8" x14ac:dyDescent="0.2">
      <c r="A195" t="str">
        <f t="shared" si="9"/>
        <v>RMEHBIWSTOV-Es1d1b1</v>
      </c>
      <c r="B195">
        <f t="shared" ref="B195:B258" si="10">MATCH(D195,$M$3:$M$66,0)</f>
        <v>31</v>
      </c>
      <c r="C195" t="s">
        <v>116</v>
      </c>
      <c r="D195" t="s">
        <v>156</v>
      </c>
      <c r="E195" t="s">
        <v>261</v>
      </c>
      <c r="F195" t="s">
        <v>132</v>
      </c>
      <c r="G195">
        <v>2012</v>
      </c>
      <c r="H195">
        <v>0.80610000000000004</v>
      </c>
    </row>
    <row r="196" spans="1:8" x14ac:dyDescent="0.2">
      <c r="A196" t="str">
        <f t="shared" ref="A196:A259" si="11">D196&amp;E196</f>
        <v>RMEHBIWSTOV-Es1d1b2</v>
      </c>
      <c r="B196">
        <f t="shared" si="10"/>
        <v>31</v>
      </c>
      <c r="C196" t="s">
        <v>116</v>
      </c>
      <c r="D196" t="s">
        <v>156</v>
      </c>
      <c r="E196" t="s">
        <v>262</v>
      </c>
      <c r="F196" t="s">
        <v>132</v>
      </c>
      <c r="G196">
        <v>2012</v>
      </c>
      <c r="H196">
        <v>1.3599999999999999E-2</v>
      </c>
    </row>
    <row r="197" spans="1:8" x14ac:dyDescent="0.2">
      <c r="A197" t="str">
        <f t="shared" si="11"/>
        <v>RMEHBIWSTOV-Es1d1b3</v>
      </c>
      <c r="B197">
        <f t="shared" si="10"/>
        <v>31</v>
      </c>
      <c r="C197" t="s">
        <v>116</v>
      </c>
      <c r="D197" t="s">
        <v>156</v>
      </c>
      <c r="E197" t="s">
        <v>263</v>
      </c>
      <c r="F197" t="s">
        <v>132</v>
      </c>
      <c r="G197">
        <v>2012</v>
      </c>
      <c r="H197">
        <v>1.8700000000000001E-2</v>
      </c>
    </row>
    <row r="198" spans="1:8" x14ac:dyDescent="0.2">
      <c r="A198" t="str">
        <f t="shared" si="11"/>
        <v>RMEHBIWSTOV-Es2d1b1</v>
      </c>
      <c r="B198">
        <f t="shared" si="10"/>
        <v>31</v>
      </c>
      <c r="C198" t="s">
        <v>116</v>
      </c>
      <c r="D198" t="s">
        <v>156</v>
      </c>
      <c r="E198" t="s">
        <v>264</v>
      </c>
      <c r="F198" t="s">
        <v>132</v>
      </c>
      <c r="G198">
        <v>2012</v>
      </c>
      <c r="H198">
        <v>0.1094</v>
      </c>
    </row>
    <row r="199" spans="1:8" x14ac:dyDescent="0.2">
      <c r="A199" t="str">
        <f t="shared" si="11"/>
        <v>RMEHBIWSTOV-Es2d1b2</v>
      </c>
      <c r="B199">
        <f t="shared" si="10"/>
        <v>31</v>
      </c>
      <c r="C199" t="s">
        <v>116</v>
      </c>
      <c r="D199" t="s">
        <v>156</v>
      </c>
      <c r="E199" t="s">
        <v>265</v>
      </c>
      <c r="F199" t="s">
        <v>132</v>
      </c>
      <c r="G199">
        <v>2012</v>
      </c>
      <c r="H199">
        <v>0.10730000000000001</v>
      </c>
    </row>
    <row r="200" spans="1:8" x14ac:dyDescent="0.2">
      <c r="A200" t="str">
        <f t="shared" si="11"/>
        <v>RMEHBIWSTOV-Es2d1b3</v>
      </c>
      <c r="B200">
        <f t="shared" si="10"/>
        <v>31</v>
      </c>
      <c r="C200" t="s">
        <v>116</v>
      </c>
      <c r="D200" t="s">
        <v>156</v>
      </c>
      <c r="E200" t="s">
        <v>266</v>
      </c>
      <c r="F200" t="s">
        <v>132</v>
      </c>
      <c r="G200">
        <v>2012</v>
      </c>
      <c r="H200">
        <v>0.3236</v>
      </c>
    </row>
    <row r="201" spans="1:8" x14ac:dyDescent="0.2">
      <c r="A201" t="str">
        <f t="shared" si="11"/>
        <v>RMEHBIWSTOV-Es2d1b4</v>
      </c>
      <c r="B201">
        <f t="shared" si="10"/>
        <v>31</v>
      </c>
      <c r="C201" t="s">
        <v>116</v>
      </c>
      <c r="D201" t="s">
        <v>156</v>
      </c>
      <c r="E201" t="s">
        <v>267</v>
      </c>
      <c r="F201" t="s">
        <v>132</v>
      </c>
      <c r="G201">
        <v>2012</v>
      </c>
      <c r="H201">
        <v>1</v>
      </c>
    </row>
    <row r="202" spans="1:8" x14ac:dyDescent="0.2">
      <c r="A202" t="str">
        <f t="shared" si="11"/>
        <v>RMEHBIWSTOV-Es2d1b5</v>
      </c>
      <c r="B202">
        <f t="shared" si="10"/>
        <v>31</v>
      </c>
      <c r="C202" t="s">
        <v>116</v>
      </c>
      <c r="D202" t="s">
        <v>156</v>
      </c>
      <c r="E202" t="s">
        <v>268</v>
      </c>
      <c r="F202" t="s">
        <v>132</v>
      </c>
      <c r="G202">
        <v>2012</v>
      </c>
      <c r="H202">
        <v>0.69010000000000005</v>
      </c>
    </row>
    <row r="203" spans="1:8" x14ac:dyDescent="0.2">
      <c r="A203" t="str">
        <f t="shared" si="11"/>
        <v>RMEHCOASTOV-Es1d1b1</v>
      </c>
      <c r="B203">
        <f t="shared" si="10"/>
        <v>32</v>
      </c>
      <c r="C203" t="s">
        <v>116</v>
      </c>
      <c r="D203" t="s">
        <v>157</v>
      </c>
      <c r="E203" t="s">
        <v>261</v>
      </c>
      <c r="F203" t="s">
        <v>132</v>
      </c>
      <c r="G203">
        <v>2012</v>
      </c>
      <c r="H203">
        <v>0.80610000000000004</v>
      </c>
    </row>
    <row r="204" spans="1:8" x14ac:dyDescent="0.2">
      <c r="A204" t="str">
        <f t="shared" si="11"/>
        <v>RMEHCOASTOV-Es1d1b2</v>
      </c>
      <c r="B204">
        <f t="shared" si="10"/>
        <v>32</v>
      </c>
      <c r="C204" t="s">
        <v>116</v>
      </c>
      <c r="D204" t="s">
        <v>157</v>
      </c>
      <c r="E204" t="s">
        <v>262</v>
      </c>
      <c r="F204" t="s">
        <v>132</v>
      </c>
      <c r="G204">
        <v>2012</v>
      </c>
      <c r="H204">
        <v>1.3599999999999999E-2</v>
      </c>
    </row>
    <row r="205" spans="1:8" x14ac:dyDescent="0.2">
      <c r="A205" t="str">
        <f t="shared" si="11"/>
        <v>RMEHCOASTOV-Es1d1b3</v>
      </c>
      <c r="B205">
        <f t="shared" si="10"/>
        <v>32</v>
      </c>
      <c r="C205" t="s">
        <v>116</v>
      </c>
      <c r="D205" t="s">
        <v>157</v>
      </c>
      <c r="E205" t="s">
        <v>263</v>
      </c>
      <c r="F205" t="s">
        <v>132</v>
      </c>
      <c r="G205">
        <v>2012</v>
      </c>
      <c r="H205">
        <v>1.8700000000000001E-2</v>
      </c>
    </row>
    <row r="206" spans="1:8" x14ac:dyDescent="0.2">
      <c r="A206" t="str">
        <f t="shared" si="11"/>
        <v>RMEHCOASTOV-Es2d1b1</v>
      </c>
      <c r="B206">
        <f t="shared" si="10"/>
        <v>32</v>
      </c>
      <c r="C206" t="s">
        <v>116</v>
      </c>
      <c r="D206" t="s">
        <v>157</v>
      </c>
      <c r="E206" t="s">
        <v>264</v>
      </c>
      <c r="F206" t="s">
        <v>132</v>
      </c>
      <c r="G206">
        <v>2012</v>
      </c>
      <c r="H206">
        <v>0.1094</v>
      </c>
    </row>
    <row r="207" spans="1:8" x14ac:dyDescent="0.2">
      <c r="A207" t="str">
        <f t="shared" si="11"/>
        <v>RMEHCOASTOV-Es2d1b2</v>
      </c>
      <c r="B207">
        <f t="shared" si="10"/>
        <v>32</v>
      </c>
      <c r="C207" t="s">
        <v>116</v>
      </c>
      <c r="D207" t="s">
        <v>157</v>
      </c>
      <c r="E207" t="s">
        <v>265</v>
      </c>
      <c r="F207" t="s">
        <v>132</v>
      </c>
      <c r="G207">
        <v>2012</v>
      </c>
      <c r="H207">
        <v>0.10730000000000001</v>
      </c>
    </row>
    <row r="208" spans="1:8" x14ac:dyDescent="0.2">
      <c r="A208" t="str">
        <f t="shared" si="11"/>
        <v>RMEHCOASTOV-Es2d1b3</v>
      </c>
      <c r="B208">
        <f t="shared" si="10"/>
        <v>32</v>
      </c>
      <c r="C208" t="s">
        <v>116</v>
      </c>
      <c r="D208" t="s">
        <v>157</v>
      </c>
      <c r="E208" t="s">
        <v>266</v>
      </c>
      <c r="F208" t="s">
        <v>132</v>
      </c>
      <c r="G208">
        <v>2012</v>
      </c>
      <c r="H208">
        <v>0.3236</v>
      </c>
    </row>
    <row r="209" spans="1:8" x14ac:dyDescent="0.2">
      <c r="A209" t="str">
        <f t="shared" si="11"/>
        <v>RMEHCOASTOV-Es2d1b4</v>
      </c>
      <c r="B209">
        <f t="shared" si="10"/>
        <v>32</v>
      </c>
      <c r="C209" t="s">
        <v>116</v>
      </c>
      <c r="D209" t="s">
        <v>157</v>
      </c>
      <c r="E209" t="s">
        <v>267</v>
      </c>
      <c r="F209" t="s">
        <v>132</v>
      </c>
      <c r="G209">
        <v>2012</v>
      </c>
      <c r="H209">
        <v>1</v>
      </c>
    </row>
    <row r="210" spans="1:8" x14ac:dyDescent="0.2">
      <c r="A210" t="str">
        <f t="shared" si="11"/>
        <v>RMEHCOASTOV-Es2d1b5</v>
      </c>
      <c r="B210">
        <f t="shared" si="10"/>
        <v>32</v>
      </c>
      <c r="C210" t="s">
        <v>116</v>
      </c>
      <c r="D210" t="s">
        <v>157</v>
      </c>
      <c r="E210" t="s">
        <v>268</v>
      </c>
      <c r="F210" t="s">
        <v>132</v>
      </c>
      <c r="G210">
        <v>2012</v>
      </c>
      <c r="H210">
        <v>0.69010000000000005</v>
      </c>
    </row>
    <row r="211" spans="1:8" x14ac:dyDescent="0.2">
      <c r="A211" t="str">
        <f t="shared" si="11"/>
        <v>RMEHOLPHEAT-Es1d1b1</v>
      </c>
      <c r="B211">
        <f t="shared" si="10"/>
        <v>33</v>
      </c>
      <c r="C211" t="s">
        <v>116</v>
      </c>
      <c r="D211" t="s">
        <v>158</v>
      </c>
      <c r="E211" t="s">
        <v>261</v>
      </c>
      <c r="F211" t="s">
        <v>132</v>
      </c>
      <c r="G211">
        <v>2012</v>
      </c>
      <c r="H211">
        <v>0.80610000000000004</v>
      </c>
    </row>
    <row r="212" spans="1:8" x14ac:dyDescent="0.2">
      <c r="A212" t="str">
        <f t="shared" si="11"/>
        <v>RMEHOLPHEAT-Es1d1b2</v>
      </c>
      <c r="B212">
        <f t="shared" si="10"/>
        <v>33</v>
      </c>
      <c r="C212" t="s">
        <v>116</v>
      </c>
      <c r="D212" t="s">
        <v>158</v>
      </c>
      <c r="E212" t="s">
        <v>262</v>
      </c>
      <c r="F212" t="s">
        <v>132</v>
      </c>
      <c r="G212">
        <v>2012</v>
      </c>
      <c r="H212">
        <v>1.3599999999999999E-2</v>
      </c>
    </row>
    <row r="213" spans="1:8" x14ac:dyDescent="0.2">
      <c r="A213" t="str">
        <f t="shared" si="11"/>
        <v>RMEHOLPHEAT-Es1d1b3</v>
      </c>
      <c r="B213">
        <f t="shared" si="10"/>
        <v>33</v>
      </c>
      <c r="C213" t="s">
        <v>116</v>
      </c>
      <c r="D213" t="s">
        <v>158</v>
      </c>
      <c r="E213" t="s">
        <v>263</v>
      </c>
      <c r="F213" t="s">
        <v>132</v>
      </c>
      <c r="G213">
        <v>2012</v>
      </c>
      <c r="H213">
        <v>1.8700000000000001E-2</v>
      </c>
    </row>
    <row r="214" spans="1:8" x14ac:dyDescent="0.2">
      <c r="A214" t="str">
        <f t="shared" si="11"/>
        <v>RMEHOLPHEAT-Es2d1b1</v>
      </c>
      <c r="B214">
        <f t="shared" si="10"/>
        <v>33</v>
      </c>
      <c r="C214" t="s">
        <v>116</v>
      </c>
      <c r="D214" t="s">
        <v>158</v>
      </c>
      <c r="E214" t="s">
        <v>264</v>
      </c>
      <c r="F214" t="s">
        <v>132</v>
      </c>
      <c r="G214">
        <v>2012</v>
      </c>
      <c r="H214">
        <v>0.1094</v>
      </c>
    </row>
    <row r="215" spans="1:8" x14ac:dyDescent="0.2">
      <c r="A215" t="str">
        <f t="shared" si="11"/>
        <v>RMEHOLPHEAT-Es2d1b2</v>
      </c>
      <c r="B215">
        <f t="shared" si="10"/>
        <v>33</v>
      </c>
      <c r="C215" t="s">
        <v>116</v>
      </c>
      <c r="D215" t="s">
        <v>158</v>
      </c>
      <c r="E215" t="s">
        <v>265</v>
      </c>
      <c r="F215" t="s">
        <v>132</v>
      </c>
      <c r="G215">
        <v>2012</v>
      </c>
      <c r="H215">
        <v>0.10730000000000001</v>
      </c>
    </row>
    <row r="216" spans="1:8" x14ac:dyDescent="0.2">
      <c r="A216" t="str">
        <f t="shared" si="11"/>
        <v>RMEHOLPHEAT-Es2d1b3</v>
      </c>
      <c r="B216">
        <f t="shared" si="10"/>
        <v>33</v>
      </c>
      <c r="C216" t="s">
        <v>116</v>
      </c>
      <c r="D216" t="s">
        <v>158</v>
      </c>
      <c r="E216" t="s">
        <v>266</v>
      </c>
      <c r="F216" t="s">
        <v>132</v>
      </c>
      <c r="G216">
        <v>2012</v>
      </c>
      <c r="H216">
        <v>0.3236</v>
      </c>
    </row>
    <row r="217" spans="1:8" x14ac:dyDescent="0.2">
      <c r="A217" t="str">
        <f t="shared" si="11"/>
        <v>RMEHOLPHEAT-Es2d1b4</v>
      </c>
      <c r="B217">
        <f t="shared" si="10"/>
        <v>33</v>
      </c>
      <c r="C217" t="s">
        <v>116</v>
      </c>
      <c r="D217" t="s">
        <v>158</v>
      </c>
      <c r="E217" t="s">
        <v>267</v>
      </c>
      <c r="F217" t="s">
        <v>132</v>
      </c>
      <c r="G217">
        <v>2012</v>
      </c>
      <c r="H217">
        <v>1</v>
      </c>
    </row>
    <row r="218" spans="1:8" x14ac:dyDescent="0.2">
      <c r="A218" t="str">
        <f t="shared" si="11"/>
        <v>RMEHOLPHEAT-Es2d1b5</v>
      </c>
      <c r="B218">
        <f t="shared" si="10"/>
        <v>33</v>
      </c>
      <c r="C218" t="s">
        <v>116</v>
      </c>
      <c r="D218" t="s">
        <v>158</v>
      </c>
      <c r="E218" t="s">
        <v>268</v>
      </c>
      <c r="F218" t="s">
        <v>132</v>
      </c>
      <c r="G218">
        <v>2012</v>
      </c>
      <c r="H218">
        <v>0.69010000000000005</v>
      </c>
    </row>
    <row r="219" spans="1:8" x14ac:dyDescent="0.2">
      <c r="A219" t="str">
        <f t="shared" si="11"/>
        <v>RMEHGASHEAT-Ns1d1b1</v>
      </c>
      <c r="B219">
        <f t="shared" si="10"/>
        <v>34</v>
      </c>
      <c r="C219" t="s">
        <v>116</v>
      </c>
      <c r="D219" t="s">
        <v>159</v>
      </c>
      <c r="E219" t="s">
        <v>261</v>
      </c>
      <c r="F219" t="s">
        <v>132</v>
      </c>
      <c r="G219">
        <v>2012</v>
      </c>
      <c r="H219">
        <v>0.80610000000000004</v>
      </c>
    </row>
    <row r="220" spans="1:8" x14ac:dyDescent="0.2">
      <c r="A220" t="str">
        <f t="shared" si="11"/>
        <v>RMEHGASHEAT-Ns1d1b2</v>
      </c>
      <c r="B220">
        <f t="shared" si="10"/>
        <v>34</v>
      </c>
      <c r="C220" t="s">
        <v>116</v>
      </c>
      <c r="D220" t="s">
        <v>159</v>
      </c>
      <c r="E220" t="s">
        <v>262</v>
      </c>
      <c r="F220" t="s">
        <v>132</v>
      </c>
      <c r="G220">
        <v>2012</v>
      </c>
      <c r="H220">
        <v>1.3599999999999999E-2</v>
      </c>
    </row>
    <row r="221" spans="1:8" x14ac:dyDescent="0.2">
      <c r="A221" t="str">
        <f t="shared" si="11"/>
        <v>RMEHGASHEAT-Ns1d1b3</v>
      </c>
      <c r="B221">
        <f t="shared" si="10"/>
        <v>34</v>
      </c>
      <c r="C221" t="s">
        <v>116</v>
      </c>
      <c r="D221" t="s">
        <v>159</v>
      </c>
      <c r="E221" t="s">
        <v>263</v>
      </c>
      <c r="F221" t="s">
        <v>132</v>
      </c>
      <c r="G221">
        <v>2012</v>
      </c>
      <c r="H221">
        <v>1.8700000000000001E-2</v>
      </c>
    </row>
    <row r="222" spans="1:8" x14ac:dyDescent="0.2">
      <c r="A222" t="str">
        <f t="shared" si="11"/>
        <v>RMEHGASHEAT-Ns2d1b1</v>
      </c>
      <c r="B222">
        <f t="shared" si="10"/>
        <v>34</v>
      </c>
      <c r="C222" t="s">
        <v>116</v>
      </c>
      <c r="D222" t="s">
        <v>159</v>
      </c>
      <c r="E222" t="s">
        <v>264</v>
      </c>
      <c r="F222" t="s">
        <v>132</v>
      </c>
      <c r="G222">
        <v>2012</v>
      </c>
      <c r="H222">
        <v>0.1094</v>
      </c>
    </row>
    <row r="223" spans="1:8" x14ac:dyDescent="0.2">
      <c r="A223" t="str">
        <f t="shared" si="11"/>
        <v>RMEHGASHEAT-Ns2d1b2</v>
      </c>
      <c r="B223">
        <f t="shared" si="10"/>
        <v>34</v>
      </c>
      <c r="C223" t="s">
        <v>116</v>
      </c>
      <c r="D223" t="s">
        <v>159</v>
      </c>
      <c r="E223" t="s">
        <v>265</v>
      </c>
      <c r="F223" t="s">
        <v>132</v>
      </c>
      <c r="G223">
        <v>2012</v>
      </c>
      <c r="H223">
        <v>0.10730000000000001</v>
      </c>
    </row>
    <row r="224" spans="1:8" x14ac:dyDescent="0.2">
      <c r="A224" t="str">
        <f t="shared" si="11"/>
        <v>RMEHGASHEAT-Ns2d1b3</v>
      </c>
      <c r="B224">
        <f t="shared" si="10"/>
        <v>34</v>
      </c>
      <c r="C224" t="s">
        <v>116</v>
      </c>
      <c r="D224" t="s">
        <v>159</v>
      </c>
      <c r="E224" t="s">
        <v>266</v>
      </c>
      <c r="F224" t="s">
        <v>132</v>
      </c>
      <c r="G224">
        <v>2012</v>
      </c>
      <c r="H224">
        <v>0.3236</v>
      </c>
    </row>
    <row r="225" spans="1:8" x14ac:dyDescent="0.2">
      <c r="A225" t="str">
        <f t="shared" si="11"/>
        <v>RMEHGASHEAT-Ns2d1b4</v>
      </c>
      <c r="B225">
        <f t="shared" si="10"/>
        <v>34</v>
      </c>
      <c r="C225" t="s">
        <v>116</v>
      </c>
      <c r="D225" t="s">
        <v>159</v>
      </c>
      <c r="E225" t="s">
        <v>267</v>
      </c>
      <c r="F225" t="s">
        <v>132</v>
      </c>
      <c r="G225">
        <v>2012</v>
      </c>
      <c r="H225">
        <v>1</v>
      </c>
    </row>
    <row r="226" spans="1:8" x14ac:dyDescent="0.2">
      <c r="A226" t="str">
        <f t="shared" si="11"/>
        <v>RMEHGASHEAT-Ns2d1b5</v>
      </c>
      <c r="B226">
        <f t="shared" si="10"/>
        <v>34</v>
      </c>
      <c r="C226" t="s">
        <v>116</v>
      </c>
      <c r="D226" t="s">
        <v>159</v>
      </c>
      <c r="E226" t="s">
        <v>268</v>
      </c>
      <c r="F226" t="s">
        <v>132</v>
      </c>
      <c r="G226">
        <v>2012</v>
      </c>
      <c r="H226">
        <v>0.69010000000000005</v>
      </c>
    </row>
    <row r="227" spans="1:8" x14ac:dyDescent="0.2">
      <c r="A227" t="str">
        <f t="shared" si="11"/>
        <v>RMEWELCGEY-Es1d1b1</v>
      </c>
      <c r="B227">
        <f t="shared" si="10"/>
        <v>35</v>
      </c>
      <c r="C227" t="s">
        <v>116</v>
      </c>
      <c r="D227" t="s">
        <v>160</v>
      </c>
      <c r="E227" t="s">
        <v>261</v>
      </c>
      <c r="F227" t="s">
        <v>132</v>
      </c>
      <c r="G227">
        <v>2012</v>
      </c>
      <c r="H227">
        <v>0.4783</v>
      </c>
    </row>
    <row r="228" spans="1:8" x14ac:dyDescent="0.2">
      <c r="A228" t="str">
        <f t="shared" si="11"/>
        <v>RMEWELCGEY-Es1d1b2</v>
      </c>
      <c r="B228">
        <f t="shared" si="10"/>
        <v>35</v>
      </c>
      <c r="C228" t="s">
        <v>116</v>
      </c>
      <c r="D228" t="s">
        <v>160</v>
      </c>
      <c r="E228" t="s">
        <v>262</v>
      </c>
      <c r="F228" t="s">
        <v>132</v>
      </c>
      <c r="G228">
        <v>2012</v>
      </c>
      <c r="H228">
        <v>0.55110000000000003</v>
      </c>
    </row>
    <row r="229" spans="1:8" x14ac:dyDescent="0.2">
      <c r="A229" t="str">
        <f t="shared" si="11"/>
        <v>RMEWELCGEY-Es1d1b3</v>
      </c>
      <c r="B229">
        <f t="shared" si="10"/>
        <v>35</v>
      </c>
      <c r="C229" t="s">
        <v>116</v>
      </c>
      <c r="D229" t="s">
        <v>160</v>
      </c>
      <c r="E229" t="s">
        <v>263</v>
      </c>
      <c r="F229" t="s">
        <v>132</v>
      </c>
      <c r="G229">
        <v>2012</v>
      </c>
      <c r="H229">
        <v>0.83699999999999997</v>
      </c>
    </row>
    <row r="230" spans="1:8" x14ac:dyDescent="0.2">
      <c r="A230" t="str">
        <f t="shared" si="11"/>
        <v>RMEWELCGEY-Es2d1b1</v>
      </c>
      <c r="B230">
        <f t="shared" si="10"/>
        <v>35</v>
      </c>
      <c r="C230" t="s">
        <v>116</v>
      </c>
      <c r="D230" t="s">
        <v>160</v>
      </c>
      <c r="E230" t="s">
        <v>264</v>
      </c>
      <c r="F230" t="s">
        <v>132</v>
      </c>
      <c r="G230">
        <v>2012</v>
      </c>
      <c r="H230">
        <v>0.33439999999999998</v>
      </c>
    </row>
    <row r="231" spans="1:8" x14ac:dyDescent="0.2">
      <c r="A231" t="str">
        <f t="shared" si="11"/>
        <v>RMEWELCGEY-Es2d1b2</v>
      </c>
      <c r="B231">
        <f t="shared" si="10"/>
        <v>35</v>
      </c>
      <c r="C231" t="s">
        <v>116</v>
      </c>
      <c r="D231" t="s">
        <v>160</v>
      </c>
      <c r="E231" t="s">
        <v>265</v>
      </c>
      <c r="F231" t="s">
        <v>132</v>
      </c>
      <c r="G231">
        <v>2012</v>
      </c>
      <c r="H231">
        <v>1</v>
      </c>
    </row>
    <row r="232" spans="1:8" x14ac:dyDescent="0.2">
      <c r="A232" t="str">
        <f t="shared" si="11"/>
        <v>RMEWELCGEY-Es2d1b3</v>
      </c>
      <c r="B232">
        <f t="shared" si="10"/>
        <v>35</v>
      </c>
      <c r="C232" t="s">
        <v>116</v>
      </c>
      <c r="D232" t="s">
        <v>160</v>
      </c>
      <c r="E232" t="s">
        <v>266</v>
      </c>
      <c r="F232" t="s">
        <v>132</v>
      </c>
      <c r="G232">
        <v>2012</v>
      </c>
      <c r="H232">
        <v>0.4849</v>
      </c>
    </row>
    <row r="233" spans="1:8" x14ac:dyDescent="0.2">
      <c r="A233" t="str">
        <f t="shared" si="11"/>
        <v>RMEWELCGEY-Es2d1b4</v>
      </c>
      <c r="B233">
        <f t="shared" si="10"/>
        <v>35</v>
      </c>
      <c r="C233" t="s">
        <v>116</v>
      </c>
      <c r="D233" t="s">
        <v>160</v>
      </c>
      <c r="E233" t="s">
        <v>267</v>
      </c>
      <c r="F233" t="s">
        <v>132</v>
      </c>
      <c r="G233">
        <v>2012</v>
      </c>
      <c r="H233">
        <v>0.95599999999999996</v>
      </c>
    </row>
    <row r="234" spans="1:8" x14ac:dyDescent="0.2">
      <c r="A234" t="str">
        <f t="shared" si="11"/>
        <v>RMEWELCGEY-Es2d1b5</v>
      </c>
      <c r="B234">
        <f t="shared" si="10"/>
        <v>35</v>
      </c>
      <c r="C234" t="s">
        <v>116</v>
      </c>
      <c r="D234" t="s">
        <v>160</v>
      </c>
      <c r="E234" t="s">
        <v>268</v>
      </c>
      <c r="F234" t="s">
        <v>132</v>
      </c>
      <c r="G234">
        <v>2012</v>
      </c>
      <c r="H234">
        <v>0.82</v>
      </c>
    </row>
    <row r="235" spans="1:8" x14ac:dyDescent="0.2">
      <c r="A235" t="str">
        <f t="shared" si="11"/>
        <v>RMEWELCSWH-Es1d1b1</v>
      </c>
      <c r="B235">
        <f t="shared" si="10"/>
        <v>36</v>
      </c>
      <c r="C235" t="s">
        <v>116</v>
      </c>
      <c r="D235" t="s">
        <v>161</v>
      </c>
      <c r="E235" t="s">
        <v>261</v>
      </c>
      <c r="F235" t="s">
        <v>132</v>
      </c>
      <c r="G235">
        <v>2012</v>
      </c>
      <c r="H235">
        <v>0.4783</v>
      </c>
    </row>
    <row r="236" spans="1:8" x14ac:dyDescent="0.2">
      <c r="A236" t="str">
        <f t="shared" si="11"/>
        <v>RMEWELCSWH-Es1d1b2</v>
      </c>
      <c r="B236">
        <f t="shared" si="10"/>
        <v>36</v>
      </c>
      <c r="C236" t="s">
        <v>116</v>
      </c>
      <c r="D236" t="s">
        <v>161</v>
      </c>
      <c r="E236" t="s">
        <v>262</v>
      </c>
      <c r="F236" t="s">
        <v>132</v>
      </c>
      <c r="G236">
        <v>2012</v>
      </c>
      <c r="H236">
        <v>0.55110000000000003</v>
      </c>
    </row>
    <row r="237" spans="1:8" x14ac:dyDescent="0.2">
      <c r="A237" t="str">
        <f t="shared" si="11"/>
        <v>RMEWELCSWH-Es1d1b3</v>
      </c>
      <c r="B237">
        <f t="shared" si="10"/>
        <v>36</v>
      </c>
      <c r="C237" t="s">
        <v>116</v>
      </c>
      <c r="D237" t="s">
        <v>161</v>
      </c>
      <c r="E237" t="s">
        <v>263</v>
      </c>
      <c r="F237" t="s">
        <v>132</v>
      </c>
      <c r="G237">
        <v>2012</v>
      </c>
      <c r="H237">
        <v>0.83699999999999997</v>
      </c>
    </row>
    <row r="238" spans="1:8" x14ac:dyDescent="0.2">
      <c r="A238" t="str">
        <f t="shared" si="11"/>
        <v>RMEWELCSWH-Es2d1b1</v>
      </c>
      <c r="B238">
        <f t="shared" si="10"/>
        <v>36</v>
      </c>
      <c r="C238" t="s">
        <v>116</v>
      </c>
      <c r="D238" t="s">
        <v>161</v>
      </c>
      <c r="E238" t="s">
        <v>264</v>
      </c>
      <c r="F238" t="s">
        <v>132</v>
      </c>
      <c r="G238">
        <v>2012</v>
      </c>
      <c r="H238">
        <v>0.33439999999999998</v>
      </c>
    </row>
    <row r="239" spans="1:8" x14ac:dyDescent="0.2">
      <c r="A239" t="str">
        <f t="shared" si="11"/>
        <v>RMEWELCSWH-Es2d1b2</v>
      </c>
      <c r="B239">
        <f t="shared" si="10"/>
        <v>36</v>
      </c>
      <c r="C239" t="s">
        <v>116</v>
      </c>
      <c r="D239" t="s">
        <v>161</v>
      </c>
      <c r="E239" t="s">
        <v>265</v>
      </c>
      <c r="F239" t="s">
        <v>132</v>
      </c>
      <c r="G239">
        <v>2012</v>
      </c>
      <c r="H239">
        <v>1</v>
      </c>
    </row>
    <row r="240" spans="1:8" x14ac:dyDescent="0.2">
      <c r="A240" t="str">
        <f t="shared" si="11"/>
        <v>RMEWELCSWH-Es2d1b3</v>
      </c>
      <c r="B240">
        <f t="shared" si="10"/>
        <v>36</v>
      </c>
      <c r="C240" t="s">
        <v>116</v>
      </c>
      <c r="D240" t="s">
        <v>161</v>
      </c>
      <c r="E240" t="s">
        <v>266</v>
      </c>
      <c r="F240" t="s">
        <v>132</v>
      </c>
      <c r="G240">
        <v>2012</v>
      </c>
      <c r="H240">
        <v>0.4849</v>
      </c>
    </row>
    <row r="241" spans="1:8" x14ac:dyDescent="0.2">
      <c r="A241" t="str">
        <f t="shared" si="11"/>
        <v>RMEWELCSWH-Es2d1b4</v>
      </c>
      <c r="B241">
        <f t="shared" si="10"/>
        <v>36</v>
      </c>
      <c r="C241" t="s">
        <v>116</v>
      </c>
      <c r="D241" t="s">
        <v>161</v>
      </c>
      <c r="E241" t="s">
        <v>267</v>
      </c>
      <c r="F241" t="s">
        <v>132</v>
      </c>
      <c r="G241">
        <v>2012</v>
      </c>
      <c r="H241">
        <v>0.95599999999999996</v>
      </c>
    </row>
    <row r="242" spans="1:8" x14ac:dyDescent="0.2">
      <c r="A242" t="str">
        <f t="shared" si="11"/>
        <v>RMEWELCSWH-Es2d1b5</v>
      </c>
      <c r="B242">
        <f t="shared" si="10"/>
        <v>36</v>
      </c>
      <c r="C242" t="s">
        <v>116</v>
      </c>
      <c r="D242" t="s">
        <v>161</v>
      </c>
      <c r="E242" t="s">
        <v>268</v>
      </c>
      <c r="F242" t="s">
        <v>132</v>
      </c>
      <c r="G242">
        <v>2012</v>
      </c>
      <c r="H242">
        <v>0.82</v>
      </c>
    </row>
    <row r="243" spans="1:8" x14ac:dyDescent="0.2">
      <c r="A243" t="str">
        <f t="shared" si="11"/>
        <v>RMEWELCCHP-Ns1d1b1</v>
      </c>
      <c r="B243">
        <f t="shared" si="10"/>
        <v>37</v>
      </c>
      <c r="C243" t="s">
        <v>116</v>
      </c>
      <c r="D243" t="s">
        <v>162</v>
      </c>
      <c r="E243" t="s">
        <v>261</v>
      </c>
      <c r="F243" t="s">
        <v>132</v>
      </c>
      <c r="G243">
        <v>2012</v>
      </c>
      <c r="H243">
        <v>0.4783</v>
      </c>
    </row>
    <row r="244" spans="1:8" x14ac:dyDescent="0.2">
      <c r="A244" t="str">
        <f t="shared" si="11"/>
        <v>RMEWELCCHP-Ns1d1b2</v>
      </c>
      <c r="B244">
        <f t="shared" si="10"/>
        <v>37</v>
      </c>
      <c r="C244" t="s">
        <v>116</v>
      </c>
      <c r="D244" t="s">
        <v>162</v>
      </c>
      <c r="E244" t="s">
        <v>262</v>
      </c>
      <c r="F244" t="s">
        <v>132</v>
      </c>
      <c r="G244">
        <v>2012</v>
      </c>
      <c r="H244">
        <v>0.55110000000000003</v>
      </c>
    </row>
    <row r="245" spans="1:8" x14ac:dyDescent="0.2">
      <c r="A245" t="str">
        <f t="shared" si="11"/>
        <v>RMEWELCCHP-Ns1d1b3</v>
      </c>
      <c r="B245">
        <f t="shared" si="10"/>
        <v>37</v>
      </c>
      <c r="C245" t="s">
        <v>116</v>
      </c>
      <c r="D245" t="s">
        <v>162</v>
      </c>
      <c r="E245" t="s">
        <v>263</v>
      </c>
      <c r="F245" t="s">
        <v>132</v>
      </c>
      <c r="G245">
        <v>2012</v>
      </c>
      <c r="H245">
        <v>0.83699999999999997</v>
      </c>
    </row>
    <row r="246" spans="1:8" x14ac:dyDescent="0.2">
      <c r="A246" t="str">
        <f t="shared" si="11"/>
        <v>RMEWELCCHP-Ns2d1b1</v>
      </c>
      <c r="B246">
        <f t="shared" si="10"/>
        <v>37</v>
      </c>
      <c r="C246" t="s">
        <v>116</v>
      </c>
      <c r="D246" t="s">
        <v>162</v>
      </c>
      <c r="E246" t="s">
        <v>264</v>
      </c>
      <c r="F246" t="s">
        <v>132</v>
      </c>
      <c r="G246">
        <v>2012</v>
      </c>
      <c r="H246">
        <v>0.33439999999999998</v>
      </c>
    </row>
    <row r="247" spans="1:8" x14ac:dyDescent="0.2">
      <c r="A247" t="str">
        <f t="shared" si="11"/>
        <v>RMEWELCCHP-Ns2d1b2</v>
      </c>
      <c r="B247">
        <f t="shared" si="10"/>
        <v>37</v>
      </c>
      <c r="C247" t="s">
        <v>116</v>
      </c>
      <c r="D247" t="s">
        <v>162</v>
      </c>
      <c r="E247" t="s">
        <v>265</v>
      </c>
      <c r="F247" t="s">
        <v>132</v>
      </c>
      <c r="G247">
        <v>2012</v>
      </c>
      <c r="H247">
        <v>1</v>
      </c>
    </row>
    <row r="248" spans="1:8" x14ac:dyDescent="0.2">
      <c r="A248" t="str">
        <f t="shared" si="11"/>
        <v>RMEWELCCHP-Ns2d1b3</v>
      </c>
      <c r="B248">
        <f t="shared" si="10"/>
        <v>37</v>
      </c>
      <c r="C248" t="s">
        <v>116</v>
      </c>
      <c r="D248" t="s">
        <v>162</v>
      </c>
      <c r="E248" t="s">
        <v>266</v>
      </c>
      <c r="F248" t="s">
        <v>132</v>
      </c>
      <c r="G248">
        <v>2012</v>
      </c>
      <c r="H248">
        <v>0.4849</v>
      </c>
    </row>
    <row r="249" spans="1:8" x14ac:dyDescent="0.2">
      <c r="A249" t="str">
        <f t="shared" si="11"/>
        <v>RMEWELCCHP-Ns2d1b4</v>
      </c>
      <c r="B249">
        <f t="shared" si="10"/>
        <v>37</v>
      </c>
      <c r="C249" t="s">
        <v>116</v>
      </c>
      <c r="D249" t="s">
        <v>162</v>
      </c>
      <c r="E249" t="s">
        <v>267</v>
      </c>
      <c r="F249" t="s">
        <v>132</v>
      </c>
      <c r="G249">
        <v>2012</v>
      </c>
      <c r="H249">
        <v>0.95599999999999996</v>
      </c>
    </row>
    <row r="250" spans="1:8" x14ac:dyDescent="0.2">
      <c r="A250" t="str">
        <f t="shared" si="11"/>
        <v>RMEWELCCHP-Ns2d1b5</v>
      </c>
      <c r="B250">
        <f t="shared" si="10"/>
        <v>37</v>
      </c>
      <c r="C250" t="s">
        <v>116</v>
      </c>
      <c r="D250" t="s">
        <v>162</v>
      </c>
      <c r="E250" t="s">
        <v>268</v>
      </c>
      <c r="F250" t="s">
        <v>132</v>
      </c>
      <c r="G250">
        <v>2012</v>
      </c>
      <c r="H250">
        <v>0.82</v>
      </c>
    </row>
    <row r="251" spans="1:8" x14ac:dyDescent="0.2">
      <c r="A251" t="str">
        <f t="shared" si="11"/>
        <v>RMEWELCKET-Es1d1b1</v>
      </c>
      <c r="B251">
        <f t="shared" si="10"/>
        <v>38</v>
      </c>
      <c r="C251" t="s">
        <v>116</v>
      </c>
      <c r="D251" t="s">
        <v>163</v>
      </c>
      <c r="E251" t="s">
        <v>261</v>
      </c>
      <c r="F251" t="s">
        <v>132</v>
      </c>
      <c r="G251">
        <v>2012</v>
      </c>
      <c r="H251">
        <v>0.4783</v>
      </c>
    </row>
    <row r="252" spans="1:8" x14ac:dyDescent="0.2">
      <c r="A252" t="str">
        <f t="shared" si="11"/>
        <v>RMEWELCKET-Es1d1b2</v>
      </c>
      <c r="B252">
        <f t="shared" si="10"/>
        <v>38</v>
      </c>
      <c r="C252" t="s">
        <v>116</v>
      </c>
      <c r="D252" t="s">
        <v>163</v>
      </c>
      <c r="E252" t="s">
        <v>262</v>
      </c>
      <c r="F252" t="s">
        <v>132</v>
      </c>
      <c r="G252">
        <v>2012</v>
      </c>
      <c r="H252">
        <v>0.55110000000000003</v>
      </c>
    </row>
    <row r="253" spans="1:8" x14ac:dyDescent="0.2">
      <c r="A253" t="str">
        <f t="shared" si="11"/>
        <v>RMEWELCKET-Es1d1b3</v>
      </c>
      <c r="B253">
        <f t="shared" si="10"/>
        <v>38</v>
      </c>
      <c r="C253" t="s">
        <v>116</v>
      </c>
      <c r="D253" t="s">
        <v>163</v>
      </c>
      <c r="E253" t="s">
        <v>263</v>
      </c>
      <c r="F253" t="s">
        <v>132</v>
      </c>
      <c r="G253">
        <v>2012</v>
      </c>
      <c r="H253">
        <v>0.83699999999999997</v>
      </c>
    </row>
    <row r="254" spans="1:8" x14ac:dyDescent="0.2">
      <c r="A254" t="str">
        <f t="shared" si="11"/>
        <v>RMEWELCKET-Es2d1b1</v>
      </c>
      <c r="B254">
        <f t="shared" si="10"/>
        <v>38</v>
      </c>
      <c r="C254" t="s">
        <v>116</v>
      </c>
      <c r="D254" t="s">
        <v>163</v>
      </c>
      <c r="E254" t="s">
        <v>264</v>
      </c>
      <c r="F254" t="s">
        <v>132</v>
      </c>
      <c r="G254">
        <v>2012</v>
      </c>
      <c r="H254">
        <v>0.33439999999999998</v>
      </c>
    </row>
    <row r="255" spans="1:8" x14ac:dyDescent="0.2">
      <c r="A255" t="str">
        <f t="shared" si="11"/>
        <v>RMEWELCKET-Es2d1b2</v>
      </c>
      <c r="B255">
        <f t="shared" si="10"/>
        <v>38</v>
      </c>
      <c r="C255" t="s">
        <v>116</v>
      </c>
      <c r="D255" t="s">
        <v>163</v>
      </c>
      <c r="E255" t="s">
        <v>265</v>
      </c>
      <c r="F255" t="s">
        <v>132</v>
      </c>
      <c r="G255">
        <v>2012</v>
      </c>
      <c r="H255">
        <v>1</v>
      </c>
    </row>
    <row r="256" spans="1:8" x14ac:dyDescent="0.2">
      <c r="A256" t="str">
        <f t="shared" si="11"/>
        <v>RMEWELCKET-Es2d1b3</v>
      </c>
      <c r="B256">
        <f t="shared" si="10"/>
        <v>38</v>
      </c>
      <c r="C256" t="s">
        <v>116</v>
      </c>
      <c r="D256" t="s">
        <v>163</v>
      </c>
      <c r="E256" t="s">
        <v>266</v>
      </c>
      <c r="F256" t="s">
        <v>132</v>
      </c>
      <c r="G256">
        <v>2012</v>
      </c>
      <c r="H256">
        <v>0.4849</v>
      </c>
    </row>
    <row r="257" spans="1:8" x14ac:dyDescent="0.2">
      <c r="A257" t="str">
        <f t="shared" si="11"/>
        <v>RMEWELCKET-Es2d1b4</v>
      </c>
      <c r="B257">
        <f t="shared" si="10"/>
        <v>38</v>
      </c>
      <c r="C257" t="s">
        <v>116</v>
      </c>
      <c r="D257" t="s">
        <v>163</v>
      </c>
      <c r="E257" t="s">
        <v>267</v>
      </c>
      <c r="F257" t="s">
        <v>132</v>
      </c>
      <c r="G257">
        <v>2012</v>
      </c>
      <c r="H257">
        <v>0.95599999999999996</v>
      </c>
    </row>
    <row r="258" spans="1:8" x14ac:dyDescent="0.2">
      <c r="A258" t="str">
        <f t="shared" si="11"/>
        <v>RMEWELCKET-Es2d1b5</v>
      </c>
      <c r="B258">
        <f t="shared" si="10"/>
        <v>38</v>
      </c>
      <c r="C258" t="s">
        <v>116</v>
      </c>
      <c r="D258" t="s">
        <v>163</v>
      </c>
      <c r="E258" t="s">
        <v>268</v>
      </c>
      <c r="F258" t="s">
        <v>132</v>
      </c>
      <c r="G258">
        <v>2012</v>
      </c>
      <c r="H258">
        <v>0.82</v>
      </c>
    </row>
    <row r="259" spans="1:8" x14ac:dyDescent="0.2">
      <c r="A259" t="str">
        <f t="shared" si="11"/>
        <v>RMEWOKEKETPR-Es1d1b1</v>
      </c>
      <c r="B259">
        <f t="shared" ref="B259:B322" si="12">MATCH(D259,$M$3:$M$66,0)</f>
        <v>39</v>
      </c>
      <c r="C259" t="s">
        <v>116</v>
      </c>
      <c r="D259" t="s">
        <v>164</v>
      </c>
      <c r="E259" t="s">
        <v>261</v>
      </c>
      <c r="F259" t="s">
        <v>132</v>
      </c>
      <c r="G259">
        <v>2012</v>
      </c>
      <c r="H259">
        <v>0.4783</v>
      </c>
    </row>
    <row r="260" spans="1:8" x14ac:dyDescent="0.2">
      <c r="A260" t="str">
        <f t="shared" ref="A260:A323" si="13">D260&amp;E260</f>
        <v>RMEWOKEKETPR-Es1d1b2</v>
      </c>
      <c r="B260">
        <f t="shared" si="12"/>
        <v>39</v>
      </c>
      <c r="C260" t="s">
        <v>116</v>
      </c>
      <c r="D260" t="s">
        <v>164</v>
      </c>
      <c r="E260" t="s">
        <v>262</v>
      </c>
      <c r="F260" t="s">
        <v>132</v>
      </c>
      <c r="G260">
        <v>2012</v>
      </c>
      <c r="H260">
        <v>0.55110000000000003</v>
      </c>
    </row>
    <row r="261" spans="1:8" x14ac:dyDescent="0.2">
      <c r="A261" t="str">
        <f t="shared" si="13"/>
        <v>RMEWOKEKETPR-Es1d1b3</v>
      </c>
      <c r="B261">
        <f t="shared" si="12"/>
        <v>39</v>
      </c>
      <c r="C261" t="s">
        <v>116</v>
      </c>
      <c r="D261" t="s">
        <v>164</v>
      </c>
      <c r="E261" t="s">
        <v>263</v>
      </c>
      <c r="F261" t="s">
        <v>132</v>
      </c>
      <c r="G261">
        <v>2012</v>
      </c>
      <c r="H261">
        <v>0.83699999999999997</v>
      </c>
    </row>
    <row r="262" spans="1:8" x14ac:dyDescent="0.2">
      <c r="A262" t="str">
        <f t="shared" si="13"/>
        <v>RMEWOKEKETPR-Es2d1b1</v>
      </c>
      <c r="B262">
        <f t="shared" si="12"/>
        <v>39</v>
      </c>
      <c r="C262" t="s">
        <v>116</v>
      </c>
      <c r="D262" t="s">
        <v>164</v>
      </c>
      <c r="E262" t="s">
        <v>264</v>
      </c>
      <c r="F262" t="s">
        <v>132</v>
      </c>
      <c r="G262">
        <v>2012</v>
      </c>
      <c r="H262">
        <v>0.33439999999999998</v>
      </c>
    </row>
    <row r="263" spans="1:8" x14ac:dyDescent="0.2">
      <c r="A263" t="str">
        <f t="shared" si="13"/>
        <v>RMEWOKEKETPR-Es2d1b2</v>
      </c>
      <c r="B263">
        <f t="shared" si="12"/>
        <v>39</v>
      </c>
      <c r="C263" t="s">
        <v>116</v>
      </c>
      <c r="D263" t="s">
        <v>164</v>
      </c>
      <c r="E263" t="s">
        <v>265</v>
      </c>
      <c r="F263" t="s">
        <v>132</v>
      </c>
      <c r="G263">
        <v>2012</v>
      </c>
      <c r="H263">
        <v>1</v>
      </c>
    </row>
    <row r="264" spans="1:8" x14ac:dyDescent="0.2">
      <c r="A264" t="str">
        <f t="shared" si="13"/>
        <v>RMEWOKEKETPR-Es2d1b3</v>
      </c>
      <c r="B264">
        <f t="shared" si="12"/>
        <v>39</v>
      </c>
      <c r="C264" t="s">
        <v>116</v>
      </c>
      <c r="D264" t="s">
        <v>164</v>
      </c>
      <c r="E264" t="s">
        <v>266</v>
      </c>
      <c r="F264" t="s">
        <v>132</v>
      </c>
      <c r="G264">
        <v>2012</v>
      </c>
      <c r="H264">
        <v>0.4849</v>
      </c>
    </row>
    <row r="265" spans="1:8" x14ac:dyDescent="0.2">
      <c r="A265" t="str">
        <f t="shared" si="13"/>
        <v>RMEWOKEKETPR-Es2d1b4</v>
      </c>
      <c r="B265">
        <f t="shared" si="12"/>
        <v>39</v>
      </c>
      <c r="C265" t="s">
        <v>116</v>
      </c>
      <c r="D265" t="s">
        <v>164</v>
      </c>
      <c r="E265" t="s">
        <v>267</v>
      </c>
      <c r="F265" t="s">
        <v>132</v>
      </c>
      <c r="G265">
        <v>2012</v>
      </c>
      <c r="H265">
        <v>0.95599999999999996</v>
      </c>
    </row>
    <row r="266" spans="1:8" x14ac:dyDescent="0.2">
      <c r="A266" t="str">
        <f t="shared" si="13"/>
        <v>RMEWOKEKETPR-Es2d1b5</v>
      </c>
      <c r="B266">
        <f t="shared" si="12"/>
        <v>39</v>
      </c>
      <c r="C266" t="s">
        <v>116</v>
      </c>
      <c r="D266" t="s">
        <v>164</v>
      </c>
      <c r="E266" t="s">
        <v>268</v>
      </c>
      <c r="F266" t="s">
        <v>132</v>
      </c>
      <c r="G266">
        <v>2012</v>
      </c>
      <c r="H266">
        <v>0.82</v>
      </c>
    </row>
    <row r="267" spans="1:8" x14ac:dyDescent="0.2">
      <c r="A267" t="str">
        <f t="shared" si="13"/>
        <v>RMEWBIWKETBI-Es1d1b1</v>
      </c>
      <c r="B267">
        <f t="shared" si="12"/>
        <v>40</v>
      </c>
      <c r="C267" t="s">
        <v>116</v>
      </c>
      <c r="D267" t="s">
        <v>165</v>
      </c>
      <c r="E267" t="s">
        <v>261</v>
      </c>
      <c r="F267" t="s">
        <v>132</v>
      </c>
      <c r="G267">
        <v>2012</v>
      </c>
      <c r="H267">
        <v>0.4783</v>
      </c>
    </row>
    <row r="268" spans="1:8" x14ac:dyDescent="0.2">
      <c r="A268" t="str">
        <f t="shared" si="13"/>
        <v>RMEWBIWKETBI-Es1d1b2</v>
      </c>
      <c r="B268">
        <f t="shared" si="12"/>
        <v>40</v>
      </c>
      <c r="C268" t="s">
        <v>116</v>
      </c>
      <c r="D268" t="s">
        <v>165</v>
      </c>
      <c r="E268" t="s">
        <v>262</v>
      </c>
      <c r="F268" t="s">
        <v>132</v>
      </c>
      <c r="G268">
        <v>2012</v>
      </c>
      <c r="H268">
        <v>0.55110000000000003</v>
      </c>
    </row>
    <row r="269" spans="1:8" x14ac:dyDescent="0.2">
      <c r="A269" t="str">
        <f t="shared" si="13"/>
        <v>RMEWBIWKETBI-Es1d1b3</v>
      </c>
      <c r="B269">
        <f t="shared" si="12"/>
        <v>40</v>
      </c>
      <c r="C269" t="s">
        <v>116</v>
      </c>
      <c r="D269" t="s">
        <v>165</v>
      </c>
      <c r="E269" t="s">
        <v>263</v>
      </c>
      <c r="F269" t="s">
        <v>132</v>
      </c>
      <c r="G269">
        <v>2012</v>
      </c>
      <c r="H269">
        <v>0.83699999999999997</v>
      </c>
    </row>
    <row r="270" spans="1:8" x14ac:dyDescent="0.2">
      <c r="A270" t="str">
        <f t="shared" si="13"/>
        <v>RMEWBIWKETBI-Es2d1b1</v>
      </c>
      <c r="B270">
        <f t="shared" si="12"/>
        <v>40</v>
      </c>
      <c r="C270" t="s">
        <v>116</v>
      </c>
      <c r="D270" t="s">
        <v>165</v>
      </c>
      <c r="E270" t="s">
        <v>264</v>
      </c>
      <c r="F270" t="s">
        <v>132</v>
      </c>
      <c r="G270">
        <v>2012</v>
      </c>
      <c r="H270">
        <v>0.33439999999999998</v>
      </c>
    </row>
    <row r="271" spans="1:8" x14ac:dyDescent="0.2">
      <c r="A271" t="str">
        <f t="shared" si="13"/>
        <v>RMEWBIWKETBI-Es2d1b2</v>
      </c>
      <c r="B271">
        <f t="shared" si="12"/>
        <v>40</v>
      </c>
      <c r="C271" t="s">
        <v>116</v>
      </c>
      <c r="D271" t="s">
        <v>165</v>
      </c>
      <c r="E271" t="s">
        <v>265</v>
      </c>
      <c r="F271" t="s">
        <v>132</v>
      </c>
      <c r="G271">
        <v>2012</v>
      </c>
      <c r="H271">
        <v>1</v>
      </c>
    </row>
    <row r="272" spans="1:8" x14ac:dyDescent="0.2">
      <c r="A272" t="str">
        <f t="shared" si="13"/>
        <v>RMEWBIWKETBI-Es2d1b3</v>
      </c>
      <c r="B272">
        <f t="shared" si="12"/>
        <v>40</v>
      </c>
      <c r="C272" t="s">
        <v>116</v>
      </c>
      <c r="D272" t="s">
        <v>165</v>
      </c>
      <c r="E272" t="s">
        <v>266</v>
      </c>
      <c r="F272" t="s">
        <v>132</v>
      </c>
      <c r="G272">
        <v>2012</v>
      </c>
      <c r="H272">
        <v>0.4849</v>
      </c>
    </row>
    <row r="273" spans="1:8" x14ac:dyDescent="0.2">
      <c r="A273" t="str">
        <f t="shared" si="13"/>
        <v>RMEWBIWKETBI-Es2d1b4</v>
      </c>
      <c r="B273">
        <f t="shared" si="12"/>
        <v>40</v>
      </c>
      <c r="C273" t="s">
        <v>116</v>
      </c>
      <c r="D273" t="s">
        <v>165</v>
      </c>
      <c r="E273" t="s">
        <v>267</v>
      </c>
      <c r="F273" t="s">
        <v>132</v>
      </c>
      <c r="G273">
        <v>2012</v>
      </c>
      <c r="H273">
        <v>0.95599999999999996</v>
      </c>
    </row>
    <row r="274" spans="1:8" x14ac:dyDescent="0.2">
      <c r="A274" t="str">
        <f t="shared" si="13"/>
        <v>RMEWBIWKETBI-Es2d1b5</v>
      </c>
      <c r="B274">
        <f t="shared" si="12"/>
        <v>40</v>
      </c>
      <c r="C274" t="s">
        <v>116</v>
      </c>
      <c r="D274" t="s">
        <v>165</v>
      </c>
      <c r="E274" t="s">
        <v>268</v>
      </c>
      <c r="F274" t="s">
        <v>132</v>
      </c>
      <c r="G274">
        <v>2012</v>
      </c>
      <c r="H274">
        <v>0.82</v>
      </c>
    </row>
    <row r="275" spans="1:8" x14ac:dyDescent="0.2">
      <c r="A275" t="str">
        <f t="shared" si="13"/>
        <v>RMEWCOASTOV-Es1d1b1</v>
      </c>
      <c r="B275">
        <f t="shared" si="12"/>
        <v>41</v>
      </c>
      <c r="C275" t="s">
        <v>116</v>
      </c>
      <c r="D275" t="s">
        <v>166</v>
      </c>
      <c r="E275" t="s">
        <v>261</v>
      </c>
      <c r="F275" t="s">
        <v>132</v>
      </c>
      <c r="G275">
        <v>2012</v>
      </c>
      <c r="H275">
        <v>0.4783</v>
      </c>
    </row>
    <row r="276" spans="1:8" x14ac:dyDescent="0.2">
      <c r="A276" t="str">
        <f t="shared" si="13"/>
        <v>RMEWCOASTOV-Es1d1b2</v>
      </c>
      <c r="B276">
        <f t="shared" si="12"/>
        <v>41</v>
      </c>
      <c r="C276" t="s">
        <v>116</v>
      </c>
      <c r="D276" t="s">
        <v>166</v>
      </c>
      <c r="E276" t="s">
        <v>262</v>
      </c>
      <c r="F276" t="s">
        <v>132</v>
      </c>
      <c r="G276">
        <v>2012</v>
      </c>
      <c r="H276">
        <v>0.55110000000000003</v>
      </c>
    </row>
    <row r="277" spans="1:8" x14ac:dyDescent="0.2">
      <c r="A277" t="str">
        <f t="shared" si="13"/>
        <v>RMEWCOASTOV-Es1d1b3</v>
      </c>
      <c r="B277">
        <f t="shared" si="12"/>
        <v>41</v>
      </c>
      <c r="C277" t="s">
        <v>116</v>
      </c>
      <c r="D277" t="s">
        <v>166</v>
      </c>
      <c r="E277" t="s">
        <v>263</v>
      </c>
      <c r="F277" t="s">
        <v>132</v>
      </c>
      <c r="G277">
        <v>2012</v>
      </c>
      <c r="H277">
        <v>0.83699999999999997</v>
      </c>
    </row>
    <row r="278" spans="1:8" x14ac:dyDescent="0.2">
      <c r="A278" t="str">
        <f t="shared" si="13"/>
        <v>RMEWCOASTOV-Es2d1b1</v>
      </c>
      <c r="B278">
        <f t="shared" si="12"/>
        <v>41</v>
      </c>
      <c r="C278" t="s">
        <v>116</v>
      </c>
      <c r="D278" t="s">
        <v>166</v>
      </c>
      <c r="E278" t="s">
        <v>264</v>
      </c>
      <c r="F278" t="s">
        <v>132</v>
      </c>
      <c r="G278">
        <v>2012</v>
      </c>
      <c r="H278">
        <v>0.33439999999999998</v>
      </c>
    </row>
    <row r="279" spans="1:8" x14ac:dyDescent="0.2">
      <c r="A279" t="str">
        <f t="shared" si="13"/>
        <v>RMEWCOASTOV-Es2d1b2</v>
      </c>
      <c r="B279">
        <f t="shared" si="12"/>
        <v>41</v>
      </c>
      <c r="C279" t="s">
        <v>116</v>
      </c>
      <c r="D279" t="s">
        <v>166</v>
      </c>
      <c r="E279" t="s">
        <v>265</v>
      </c>
      <c r="F279" t="s">
        <v>132</v>
      </c>
      <c r="G279">
        <v>2012</v>
      </c>
      <c r="H279">
        <v>1</v>
      </c>
    </row>
    <row r="280" spans="1:8" x14ac:dyDescent="0.2">
      <c r="A280" t="str">
        <f t="shared" si="13"/>
        <v>RMEWCOASTOV-Es2d1b3</v>
      </c>
      <c r="B280">
        <f t="shared" si="12"/>
        <v>41</v>
      </c>
      <c r="C280" t="s">
        <v>116</v>
      </c>
      <c r="D280" t="s">
        <v>166</v>
      </c>
      <c r="E280" t="s">
        <v>266</v>
      </c>
      <c r="F280" t="s">
        <v>132</v>
      </c>
      <c r="G280">
        <v>2012</v>
      </c>
      <c r="H280">
        <v>0.4849</v>
      </c>
    </row>
    <row r="281" spans="1:8" x14ac:dyDescent="0.2">
      <c r="A281" t="str">
        <f t="shared" si="13"/>
        <v>RMEWCOASTOV-Es2d1b4</v>
      </c>
      <c r="B281">
        <f t="shared" si="12"/>
        <v>41</v>
      </c>
      <c r="C281" t="s">
        <v>116</v>
      </c>
      <c r="D281" t="s">
        <v>166</v>
      </c>
      <c r="E281" t="s">
        <v>267</v>
      </c>
      <c r="F281" t="s">
        <v>132</v>
      </c>
      <c r="G281">
        <v>2012</v>
      </c>
      <c r="H281">
        <v>0.95599999999999996</v>
      </c>
    </row>
    <row r="282" spans="1:8" x14ac:dyDescent="0.2">
      <c r="A282" t="str">
        <f t="shared" si="13"/>
        <v>RMEWCOASTOV-Es2d1b5</v>
      </c>
      <c r="B282">
        <f t="shared" si="12"/>
        <v>41</v>
      </c>
      <c r="C282" t="s">
        <v>116</v>
      </c>
      <c r="D282" t="s">
        <v>166</v>
      </c>
      <c r="E282" t="s">
        <v>268</v>
      </c>
      <c r="F282" t="s">
        <v>132</v>
      </c>
      <c r="G282">
        <v>2012</v>
      </c>
      <c r="H282">
        <v>0.82</v>
      </c>
    </row>
    <row r="283" spans="1:8" x14ac:dyDescent="0.2">
      <c r="A283" t="str">
        <f t="shared" si="13"/>
        <v>RMEWOLPKETLPG-Es1d1b1</v>
      </c>
      <c r="B283">
        <f t="shared" si="12"/>
        <v>42</v>
      </c>
      <c r="C283" t="s">
        <v>116</v>
      </c>
      <c r="D283" t="s">
        <v>167</v>
      </c>
      <c r="E283" t="s">
        <v>261</v>
      </c>
      <c r="F283" t="s">
        <v>132</v>
      </c>
      <c r="G283">
        <v>2012</v>
      </c>
      <c r="H283">
        <v>0.4783</v>
      </c>
    </row>
    <row r="284" spans="1:8" x14ac:dyDescent="0.2">
      <c r="A284" t="str">
        <f t="shared" si="13"/>
        <v>RMEWOLPKETLPG-Es1d1b2</v>
      </c>
      <c r="B284">
        <f t="shared" si="12"/>
        <v>42</v>
      </c>
      <c r="C284" t="s">
        <v>116</v>
      </c>
      <c r="D284" t="s">
        <v>167</v>
      </c>
      <c r="E284" t="s">
        <v>262</v>
      </c>
      <c r="F284" t="s">
        <v>132</v>
      </c>
      <c r="G284">
        <v>2012</v>
      </c>
      <c r="H284">
        <v>0.55110000000000003</v>
      </c>
    </row>
    <row r="285" spans="1:8" x14ac:dyDescent="0.2">
      <c r="A285" t="str">
        <f t="shared" si="13"/>
        <v>RMEWOLPKETLPG-Es1d1b3</v>
      </c>
      <c r="B285">
        <f t="shared" si="12"/>
        <v>42</v>
      </c>
      <c r="C285" t="s">
        <v>116</v>
      </c>
      <c r="D285" t="s">
        <v>167</v>
      </c>
      <c r="E285" t="s">
        <v>263</v>
      </c>
      <c r="F285" t="s">
        <v>132</v>
      </c>
      <c r="G285">
        <v>2012</v>
      </c>
      <c r="H285">
        <v>0.83699999999999997</v>
      </c>
    </row>
    <row r="286" spans="1:8" x14ac:dyDescent="0.2">
      <c r="A286" t="str">
        <f t="shared" si="13"/>
        <v>RMEWOLPKETLPG-Es2d1b1</v>
      </c>
      <c r="B286">
        <f t="shared" si="12"/>
        <v>42</v>
      </c>
      <c r="C286" t="s">
        <v>116</v>
      </c>
      <c r="D286" t="s">
        <v>167</v>
      </c>
      <c r="E286" t="s">
        <v>264</v>
      </c>
      <c r="F286" t="s">
        <v>132</v>
      </c>
      <c r="G286">
        <v>2012</v>
      </c>
      <c r="H286">
        <v>0.33439999999999998</v>
      </c>
    </row>
    <row r="287" spans="1:8" x14ac:dyDescent="0.2">
      <c r="A287" t="str">
        <f t="shared" si="13"/>
        <v>RMEWOLPKETLPG-Es2d1b2</v>
      </c>
      <c r="B287">
        <f t="shared" si="12"/>
        <v>42</v>
      </c>
      <c r="C287" t="s">
        <v>116</v>
      </c>
      <c r="D287" t="s">
        <v>167</v>
      </c>
      <c r="E287" t="s">
        <v>265</v>
      </c>
      <c r="F287" t="s">
        <v>132</v>
      </c>
      <c r="G287">
        <v>2012</v>
      </c>
      <c r="H287">
        <v>1</v>
      </c>
    </row>
    <row r="288" spans="1:8" x14ac:dyDescent="0.2">
      <c r="A288" t="str">
        <f t="shared" si="13"/>
        <v>RMEWOLPKETLPG-Es2d1b3</v>
      </c>
      <c r="B288">
        <f t="shared" si="12"/>
        <v>42</v>
      </c>
      <c r="C288" t="s">
        <v>116</v>
      </c>
      <c r="D288" t="s">
        <v>167</v>
      </c>
      <c r="E288" t="s">
        <v>266</v>
      </c>
      <c r="F288" t="s">
        <v>132</v>
      </c>
      <c r="G288">
        <v>2012</v>
      </c>
      <c r="H288">
        <v>0.4849</v>
      </c>
    </row>
    <row r="289" spans="1:8" x14ac:dyDescent="0.2">
      <c r="A289" t="str">
        <f t="shared" si="13"/>
        <v>RMEWOLPKETLPG-Es2d1b4</v>
      </c>
      <c r="B289">
        <f t="shared" si="12"/>
        <v>42</v>
      </c>
      <c r="C289" t="s">
        <v>116</v>
      </c>
      <c r="D289" t="s">
        <v>167</v>
      </c>
      <c r="E289" t="s">
        <v>267</v>
      </c>
      <c r="F289" t="s">
        <v>132</v>
      </c>
      <c r="G289">
        <v>2012</v>
      </c>
      <c r="H289">
        <v>0.95599999999999996</v>
      </c>
    </row>
    <row r="290" spans="1:8" x14ac:dyDescent="0.2">
      <c r="A290" t="str">
        <f t="shared" si="13"/>
        <v>RMEWOLPKETLPG-Es2d1b5</v>
      </c>
      <c r="B290">
        <f t="shared" si="12"/>
        <v>42</v>
      </c>
      <c r="C290" t="s">
        <v>116</v>
      </c>
      <c r="D290" t="s">
        <v>167</v>
      </c>
      <c r="E290" t="s">
        <v>268</v>
      </c>
      <c r="F290" t="s">
        <v>132</v>
      </c>
      <c r="G290">
        <v>2012</v>
      </c>
      <c r="H290">
        <v>0.82</v>
      </c>
    </row>
    <row r="291" spans="1:8" x14ac:dyDescent="0.2">
      <c r="A291" t="str">
        <f t="shared" si="13"/>
        <v>RMEWGASGEY-Ns1d1b1</v>
      </c>
      <c r="B291">
        <f t="shared" si="12"/>
        <v>43</v>
      </c>
      <c r="C291" t="s">
        <v>116</v>
      </c>
      <c r="D291" t="s">
        <v>168</v>
      </c>
      <c r="E291" t="s">
        <v>261</v>
      </c>
      <c r="F291" t="s">
        <v>132</v>
      </c>
      <c r="G291">
        <v>2012</v>
      </c>
      <c r="H291">
        <v>0.4783</v>
      </c>
    </row>
    <row r="292" spans="1:8" x14ac:dyDescent="0.2">
      <c r="A292" t="str">
        <f t="shared" si="13"/>
        <v>RMEWGASGEY-Ns1d1b2</v>
      </c>
      <c r="B292">
        <f t="shared" si="12"/>
        <v>43</v>
      </c>
      <c r="C292" t="s">
        <v>116</v>
      </c>
      <c r="D292" t="s">
        <v>168</v>
      </c>
      <c r="E292" t="s">
        <v>262</v>
      </c>
      <c r="F292" t="s">
        <v>132</v>
      </c>
      <c r="G292">
        <v>2012</v>
      </c>
      <c r="H292">
        <v>0.55110000000000003</v>
      </c>
    </row>
    <row r="293" spans="1:8" x14ac:dyDescent="0.2">
      <c r="A293" t="str">
        <f t="shared" si="13"/>
        <v>RMEWGASGEY-Ns1d1b3</v>
      </c>
      <c r="B293">
        <f t="shared" si="12"/>
        <v>43</v>
      </c>
      <c r="C293" t="s">
        <v>116</v>
      </c>
      <c r="D293" t="s">
        <v>168</v>
      </c>
      <c r="E293" t="s">
        <v>263</v>
      </c>
      <c r="F293" t="s">
        <v>132</v>
      </c>
      <c r="G293">
        <v>2012</v>
      </c>
      <c r="H293">
        <v>0.83699999999999997</v>
      </c>
    </row>
    <row r="294" spans="1:8" x14ac:dyDescent="0.2">
      <c r="A294" t="str">
        <f t="shared" si="13"/>
        <v>RMEWGASGEY-Ns2d1b1</v>
      </c>
      <c r="B294">
        <f t="shared" si="12"/>
        <v>43</v>
      </c>
      <c r="C294" t="s">
        <v>116</v>
      </c>
      <c r="D294" t="s">
        <v>168</v>
      </c>
      <c r="E294" t="s">
        <v>264</v>
      </c>
      <c r="F294" t="s">
        <v>132</v>
      </c>
      <c r="G294">
        <v>2012</v>
      </c>
      <c r="H294">
        <v>0.33439999999999998</v>
      </c>
    </row>
    <row r="295" spans="1:8" x14ac:dyDescent="0.2">
      <c r="A295" t="str">
        <f t="shared" si="13"/>
        <v>RMEWGASGEY-Ns2d1b2</v>
      </c>
      <c r="B295">
        <f t="shared" si="12"/>
        <v>43</v>
      </c>
      <c r="C295" t="s">
        <v>116</v>
      </c>
      <c r="D295" t="s">
        <v>168</v>
      </c>
      <c r="E295" t="s">
        <v>265</v>
      </c>
      <c r="F295" t="s">
        <v>132</v>
      </c>
      <c r="G295">
        <v>2012</v>
      </c>
      <c r="H295">
        <v>1</v>
      </c>
    </row>
    <row r="296" spans="1:8" x14ac:dyDescent="0.2">
      <c r="A296" t="str">
        <f t="shared" si="13"/>
        <v>RMEWGASGEY-Ns2d1b3</v>
      </c>
      <c r="B296">
        <f t="shared" si="12"/>
        <v>43</v>
      </c>
      <c r="C296" t="s">
        <v>116</v>
      </c>
      <c r="D296" t="s">
        <v>168</v>
      </c>
      <c r="E296" t="s">
        <v>266</v>
      </c>
      <c r="F296" t="s">
        <v>132</v>
      </c>
      <c r="G296">
        <v>2012</v>
      </c>
      <c r="H296">
        <v>0.4849</v>
      </c>
    </row>
    <row r="297" spans="1:8" x14ac:dyDescent="0.2">
      <c r="A297" t="str">
        <f t="shared" si="13"/>
        <v>RMEWGASGEY-Ns2d1b4</v>
      </c>
      <c r="B297">
        <f t="shared" si="12"/>
        <v>43</v>
      </c>
      <c r="C297" t="s">
        <v>116</v>
      </c>
      <c r="D297" t="s">
        <v>168</v>
      </c>
      <c r="E297" t="s">
        <v>267</v>
      </c>
      <c r="F297" t="s">
        <v>132</v>
      </c>
      <c r="G297">
        <v>2012</v>
      </c>
      <c r="H297">
        <v>0.95599999999999996</v>
      </c>
    </row>
    <row r="298" spans="1:8" x14ac:dyDescent="0.2">
      <c r="A298" t="str">
        <f t="shared" si="13"/>
        <v>RMEWGASGEY-Ns2d1b5</v>
      </c>
      <c r="B298">
        <f t="shared" si="12"/>
        <v>43</v>
      </c>
      <c r="C298" t="s">
        <v>116</v>
      </c>
      <c r="D298" t="s">
        <v>168</v>
      </c>
      <c r="E298" t="s">
        <v>268</v>
      </c>
      <c r="F298" t="s">
        <v>132</v>
      </c>
      <c r="G298">
        <v>2012</v>
      </c>
      <c r="H298">
        <v>0.82</v>
      </c>
    </row>
    <row r="299" spans="1:8" x14ac:dyDescent="0.2">
      <c r="A299" t="str">
        <f t="shared" si="13"/>
        <v>RHEKELCSTOV-Es1d1b1</v>
      </c>
      <c r="B299">
        <f t="shared" si="12"/>
        <v>47</v>
      </c>
      <c r="C299" t="s">
        <v>116</v>
      </c>
      <c r="D299" t="s">
        <v>169</v>
      </c>
      <c r="E299" t="s">
        <v>261</v>
      </c>
      <c r="F299" t="s">
        <v>132</v>
      </c>
      <c r="G299">
        <v>2012</v>
      </c>
      <c r="H299">
        <v>0.27060000000000001</v>
      </c>
    </row>
    <row r="300" spans="1:8" x14ac:dyDescent="0.2">
      <c r="A300" t="str">
        <f t="shared" si="13"/>
        <v>RHEKELCSTOV-Es1d1b2</v>
      </c>
      <c r="B300">
        <f t="shared" si="12"/>
        <v>47</v>
      </c>
      <c r="C300" t="s">
        <v>116</v>
      </c>
      <c r="D300" t="s">
        <v>169</v>
      </c>
      <c r="E300" t="s">
        <v>262</v>
      </c>
      <c r="F300" t="s">
        <v>132</v>
      </c>
      <c r="G300">
        <v>2012</v>
      </c>
      <c r="H300">
        <v>0.6472</v>
      </c>
    </row>
    <row r="301" spans="1:8" x14ac:dyDescent="0.2">
      <c r="A301" t="str">
        <f t="shared" si="13"/>
        <v>RHEKELCSTOV-Es1d1b3</v>
      </c>
      <c r="B301">
        <f t="shared" si="12"/>
        <v>47</v>
      </c>
      <c r="C301" t="s">
        <v>116</v>
      </c>
      <c r="D301" t="s">
        <v>169</v>
      </c>
      <c r="E301" t="s">
        <v>263</v>
      </c>
      <c r="F301" t="s">
        <v>132</v>
      </c>
      <c r="G301">
        <v>2012</v>
      </c>
      <c r="H301">
        <v>0.85950000000000004</v>
      </c>
    </row>
    <row r="302" spans="1:8" x14ac:dyDescent="0.2">
      <c r="A302" t="str">
        <f t="shared" si="13"/>
        <v>RHEKELCSTOV-Es2d1b1</v>
      </c>
      <c r="B302">
        <f t="shared" si="12"/>
        <v>47</v>
      </c>
      <c r="C302" t="s">
        <v>116</v>
      </c>
      <c r="D302" t="s">
        <v>169</v>
      </c>
      <c r="E302" t="s">
        <v>264</v>
      </c>
      <c r="F302" t="s">
        <v>132</v>
      </c>
      <c r="G302">
        <v>2012</v>
      </c>
      <c r="H302">
        <v>0.22650000000000001</v>
      </c>
    </row>
    <row r="303" spans="1:8" x14ac:dyDescent="0.2">
      <c r="A303" t="str">
        <f t="shared" si="13"/>
        <v>RHEKELCSTOV-Es2d1b2</v>
      </c>
      <c r="B303">
        <f t="shared" si="12"/>
        <v>47</v>
      </c>
      <c r="C303" t="s">
        <v>116</v>
      </c>
      <c r="D303" t="s">
        <v>169</v>
      </c>
      <c r="E303" t="s">
        <v>265</v>
      </c>
      <c r="F303" t="s">
        <v>132</v>
      </c>
      <c r="G303">
        <v>2012</v>
      </c>
      <c r="H303">
        <v>0.55369999999999997</v>
      </c>
    </row>
    <row r="304" spans="1:8" x14ac:dyDescent="0.2">
      <c r="A304" t="str">
        <f t="shared" si="13"/>
        <v>RHEKELCSTOV-Es2d1b3</v>
      </c>
      <c r="B304">
        <f t="shared" si="12"/>
        <v>47</v>
      </c>
      <c r="C304" t="s">
        <v>116</v>
      </c>
      <c r="D304" t="s">
        <v>169</v>
      </c>
      <c r="E304" t="s">
        <v>266</v>
      </c>
      <c r="F304" t="s">
        <v>132</v>
      </c>
      <c r="G304">
        <v>2012</v>
      </c>
      <c r="H304">
        <v>1</v>
      </c>
    </row>
    <row r="305" spans="1:8" x14ac:dyDescent="0.2">
      <c r="A305" t="str">
        <f t="shared" si="13"/>
        <v>RHEKELCSTOV-Es2d1b4</v>
      </c>
      <c r="B305">
        <f t="shared" si="12"/>
        <v>47</v>
      </c>
      <c r="C305" t="s">
        <v>116</v>
      </c>
      <c r="D305" t="s">
        <v>169</v>
      </c>
      <c r="E305" t="s">
        <v>267</v>
      </c>
      <c r="F305" t="s">
        <v>132</v>
      </c>
      <c r="G305">
        <v>2012</v>
      </c>
      <c r="H305">
        <v>0.70509999999999995</v>
      </c>
    </row>
    <row r="306" spans="1:8" x14ac:dyDescent="0.2">
      <c r="A306" t="str">
        <f t="shared" si="13"/>
        <v>RHEKELCSTOV-Es2d1b5</v>
      </c>
      <c r="B306">
        <f t="shared" si="12"/>
        <v>47</v>
      </c>
      <c r="C306" t="s">
        <v>116</v>
      </c>
      <c r="D306" t="s">
        <v>169</v>
      </c>
      <c r="E306" t="s">
        <v>268</v>
      </c>
      <c r="F306" t="s">
        <v>132</v>
      </c>
      <c r="G306">
        <v>2012</v>
      </c>
      <c r="H306">
        <v>0.33400000000000002</v>
      </c>
    </row>
    <row r="307" spans="1:8" x14ac:dyDescent="0.2">
      <c r="A307" t="str">
        <f t="shared" si="13"/>
        <v>RHEKOLPSTOV-Es1d1b1</v>
      </c>
      <c r="B307">
        <f t="shared" si="12"/>
        <v>48</v>
      </c>
      <c r="C307" t="s">
        <v>116</v>
      </c>
      <c r="D307" t="s">
        <v>170</v>
      </c>
      <c r="E307" t="s">
        <v>261</v>
      </c>
      <c r="F307" t="s">
        <v>132</v>
      </c>
      <c r="G307">
        <v>2012</v>
      </c>
      <c r="H307">
        <v>0.27060000000000001</v>
      </c>
    </row>
    <row r="308" spans="1:8" x14ac:dyDescent="0.2">
      <c r="A308" t="str">
        <f t="shared" si="13"/>
        <v>RHEKOLPSTOV-Es1d1b2</v>
      </c>
      <c r="B308">
        <f t="shared" si="12"/>
        <v>48</v>
      </c>
      <c r="C308" t="s">
        <v>116</v>
      </c>
      <c r="D308" t="s">
        <v>170</v>
      </c>
      <c r="E308" t="s">
        <v>262</v>
      </c>
      <c r="F308" t="s">
        <v>132</v>
      </c>
      <c r="G308">
        <v>2012</v>
      </c>
      <c r="H308">
        <v>0.6472</v>
      </c>
    </row>
    <row r="309" spans="1:8" x14ac:dyDescent="0.2">
      <c r="A309" t="str">
        <f t="shared" si="13"/>
        <v>RHEKOLPSTOV-Es1d1b3</v>
      </c>
      <c r="B309">
        <f t="shared" si="12"/>
        <v>48</v>
      </c>
      <c r="C309" t="s">
        <v>116</v>
      </c>
      <c r="D309" t="s">
        <v>170</v>
      </c>
      <c r="E309" t="s">
        <v>263</v>
      </c>
      <c r="F309" t="s">
        <v>132</v>
      </c>
      <c r="G309">
        <v>2012</v>
      </c>
      <c r="H309">
        <v>0.85950000000000004</v>
      </c>
    </row>
    <row r="310" spans="1:8" x14ac:dyDescent="0.2">
      <c r="A310" t="str">
        <f t="shared" si="13"/>
        <v>RHEKOLPSTOV-Es2d1b1</v>
      </c>
      <c r="B310">
        <f t="shared" si="12"/>
        <v>48</v>
      </c>
      <c r="C310" t="s">
        <v>116</v>
      </c>
      <c r="D310" t="s">
        <v>170</v>
      </c>
      <c r="E310" t="s">
        <v>264</v>
      </c>
      <c r="F310" t="s">
        <v>132</v>
      </c>
      <c r="G310">
        <v>2012</v>
      </c>
      <c r="H310">
        <v>0.22650000000000001</v>
      </c>
    </row>
    <row r="311" spans="1:8" x14ac:dyDescent="0.2">
      <c r="A311" t="str">
        <f t="shared" si="13"/>
        <v>RHEKOLPSTOV-Es2d1b2</v>
      </c>
      <c r="B311">
        <f t="shared" si="12"/>
        <v>48</v>
      </c>
      <c r="C311" t="s">
        <v>116</v>
      </c>
      <c r="D311" t="s">
        <v>170</v>
      </c>
      <c r="E311" t="s">
        <v>265</v>
      </c>
      <c r="F311" t="s">
        <v>132</v>
      </c>
      <c r="G311">
        <v>2012</v>
      </c>
      <c r="H311">
        <v>0.55369999999999997</v>
      </c>
    </row>
    <row r="312" spans="1:8" x14ac:dyDescent="0.2">
      <c r="A312" t="str">
        <f t="shared" si="13"/>
        <v>RHEKOLPSTOV-Es2d1b3</v>
      </c>
      <c r="B312">
        <f t="shared" si="12"/>
        <v>48</v>
      </c>
      <c r="C312" t="s">
        <v>116</v>
      </c>
      <c r="D312" t="s">
        <v>170</v>
      </c>
      <c r="E312" t="s">
        <v>266</v>
      </c>
      <c r="F312" t="s">
        <v>132</v>
      </c>
      <c r="G312">
        <v>2012</v>
      </c>
      <c r="H312">
        <v>1</v>
      </c>
    </row>
    <row r="313" spans="1:8" x14ac:dyDescent="0.2">
      <c r="A313" t="str">
        <f t="shared" si="13"/>
        <v>RHEKOLPSTOV-Es2d1b4</v>
      </c>
      <c r="B313">
        <f t="shared" si="12"/>
        <v>48</v>
      </c>
      <c r="C313" t="s">
        <v>116</v>
      </c>
      <c r="D313" t="s">
        <v>170</v>
      </c>
      <c r="E313" t="s">
        <v>267</v>
      </c>
      <c r="F313" t="s">
        <v>132</v>
      </c>
      <c r="G313">
        <v>2012</v>
      </c>
      <c r="H313">
        <v>0.70509999999999995</v>
      </c>
    </row>
    <row r="314" spans="1:8" x14ac:dyDescent="0.2">
      <c r="A314" t="str">
        <f t="shared" si="13"/>
        <v>RHEKOLPSTOV-Es2d1b5</v>
      </c>
      <c r="B314">
        <f t="shared" si="12"/>
        <v>48</v>
      </c>
      <c r="C314" t="s">
        <v>116</v>
      </c>
      <c r="D314" t="s">
        <v>170</v>
      </c>
      <c r="E314" t="s">
        <v>268</v>
      </c>
      <c r="F314" t="s">
        <v>132</v>
      </c>
      <c r="G314">
        <v>2012</v>
      </c>
      <c r="H314">
        <v>0.33400000000000002</v>
      </c>
    </row>
    <row r="315" spans="1:8" x14ac:dyDescent="0.2">
      <c r="A315" t="str">
        <f t="shared" si="13"/>
        <v>RHEKBIWSTOV-Es1d1b1</v>
      </c>
      <c r="B315">
        <f t="shared" si="12"/>
        <v>49</v>
      </c>
      <c r="C315" t="s">
        <v>116</v>
      </c>
      <c r="D315" t="s">
        <v>171</v>
      </c>
      <c r="E315" t="s">
        <v>261</v>
      </c>
      <c r="F315" t="s">
        <v>132</v>
      </c>
      <c r="G315">
        <v>2012</v>
      </c>
      <c r="H315">
        <v>0.27060000000000001</v>
      </c>
    </row>
    <row r="316" spans="1:8" x14ac:dyDescent="0.2">
      <c r="A316" t="str">
        <f t="shared" si="13"/>
        <v>RHEKBIWSTOV-Es1d1b2</v>
      </c>
      <c r="B316">
        <f t="shared" si="12"/>
        <v>49</v>
      </c>
      <c r="C316" t="s">
        <v>116</v>
      </c>
      <c r="D316" t="s">
        <v>171</v>
      </c>
      <c r="E316" t="s">
        <v>262</v>
      </c>
      <c r="F316" t="s">
        <v>132</v>
      </c>
      <c r="G316">
        <v>2012</v>
      </c>
      <c r="H316">
        <v>0.6472</v>
      </c>
    </row>
    <row r="317" spans="1:8" x14ac:dyDescent="0.2">
      <c r="A317" t="str">
        <f t="shared" si="13"/>
        <v>RHEKBIWSTOV-Es1d1b3</v>
      </c>
      <c r="B317">
        <f t="shared" si="12"/>
        <v>49</v>
      </c>
      <c r="C317" t="s">
        <v>116</v>
      </c>
      <c r="D317" t="s">
        <v>171</v>
      </c>
      <c r="E317" t="s">
        <v>263</v>
      </c>
      <c r="F317" t="s">
        <v>132</v>
      </c>
      <c r="G317">
        <v>2012</v>
      </c>
      <c r="H317">
        <v>0.85950000000000004</v>
      </c>
    </row>
    <row r="318" spans="1:8" x14ac:dyDescent="0.2">
      <c r="A318" t="str">
        <f t="shared" si="13"/>
        <v>RHEKBIWSTOV-Es2d1b1</v>
      </c>
      <c r="B318">
        <f t="shared" si="12"/>
        <v>49</v>
      </c>
      <c r="C318" t="s">
        <v>116</v>
      </c>
      <c r="D318" t="s">
        <v>171</v>
      </c>
      <c r="E318" t="s">
        <v>264</v>
      </c>
      <c r="F318" t="s">
        <v>132</v>
      </c>
      <c r="G318">
        <v>2012</v>
      </c>
      <c r="H318">
        <v>0.22650000000000001</v>
      </c>
    </row>
    <row r="319" spans="1:8" x14ac:dyDescent="0.2">
      <c r="A319" t="str">
        <f t="shared" si="13"/>
        <v>RHEKBIWSTOV-Es2d1b2</v>
      </c>
      <c r="B319">
        <f t="shared" si="12"/>
        <v>49</v>
      </c>
      <c r="C319" t="s">
        <v>116</v>
      </c>
      <c r="D319" t="s">
        <v>171</v>
      </c>
      <c r="E319" t="s">
        <v>265</v>
      </c>
      <c r="F319" t="s">
        <v>132</v>
      </c>
      <c r="G319">
        <v>2012</v>
      </c>
      <c r="H319">
        <v>0.55369999999999997</v>
      </c>
    </row>
    <row r="320" spans="1:8" x14ac:dyDescent="0.2">
      <c r="A320" t="str">
        <f t="shared" si="13"/>
        <v>RHEKBIWSTOV-Es2d1b3</v>
      </c>
      <c r="B320">
        <f t="shared" si="12"/>
        <v>49</v>
      </c>
      <c r="C320" t="s">
        <v>116</v>
      </c>
      <c r="D320" t="s">
        <v>171</v>
      </c>
      <c r="E320" t="s">
        <v>266</v>
      </c>
      <c r="F320" t="s">
        <v>132</v>
      </c>
      <c r="G320">
        <v>2012</v>
      </c>
      <c r="H320">
        <v>1</v>
      </c>
    </row>
    <row r="321" spans="1:8" x14ac:dyDescent="0.2">
      <c r="A321" t="str">
        <f t="shared" si="13"/>
        <v>RHEKBIWSTOV-Es2d1b4</v>
      </c>
      <c r="B321">
        <f t="shared" si="12"/>
        <v>49</v>
      </c>
      <c r="C321" t="s">
        <v>116</v>
      </c>
      <c r="D321" t="s">
        <v>171</v>
      </c>
      <c r="E321" t="s">
        <v>267</v>
      </c>
      <c r="F321" t="s">
        <v>132</v>
      </c>
      <c r="G321">
        <v>2012</v>
      </c>
      <c r="H321">
        <v>0.70509999999999995</v>
      </c>
    </row>
    <row r="322" spans="1:8" x14ac:dyDescent="0.2">
      <c r="A322" t="str">
        <f t="shared" si="13"/>
        <v>RHEKBIWSTOV-Es2d1b5</v>
      </c>
      <c r="B322">
        <f t="shared" si="12"/>
        <v>49</v>
      </c>
      <c r="C322" t="s">
        <v>116</v>
      </c>
      <c r="D322" t="s">
        <v>171</v>
      </c>
      <c r="E322" t="s">
        <v>268</v>
      </c>
      <c r="F322" t="s">
        <v>132</v>
      </c>
      <c r="G322">
        <v>2012</v>
      </c>
      <c r="H322">
        <v>0.33400000000000002</v>
      </c>
    </row>
    <row r="323" spans="1:8" x14ac:dyDescent="0.2">
      <c r="A323" t="str">
        <f t="shared" si="13"/>
        <v>RHEKOKEPRIMUS-Es1d1b1</v>
      </c>
      <c r="B323">
        <f t="shared" ref="B323:B386" si="14">MATCH(D323,$M$3:$M$66,0)</f>
        <v>50</v>
      </c>
      <c r="C323" t="s">
        <v>116</v>
      </c>
      <c r="D323" t="s">
        <v>172</v>
      </c>
      <c r="E323" t="s">
        <v>261</v>
      </c>
      <c r="F323" t="s">
        <v>132</v>
      </c>
      <c r="G323">
        <v>2012</v>
      </c>
      <c r="H323">
        <v>0.27060000000000001</v>
      </c>
    </row>
    <row r="324" spans="1:8" x14ac:dyDescent="0.2">
      <c r="A324" t="str">
        <f t="shared" ref="A324:A387" si="15">D324&amp;E324</f>
        <v>RHEKOKEPRIMUS-Es1d1b2</v>
      </c>
      <c r="B324">
        <f t="shared" si="14"/>
        <v>50</v>
      </c>
      <c r="C324" t="s">
        <v>116</v>
      </c>
      <c r="D324" t="s">
        <v>172</v>
      </c>
      <c r="E324" t="s">
        <v>262</v>
      </c>
      <c r="F324" t="s">
        <v>132</v>
      </c>
      <c r="G324">
        <v>2012</v>
      </c>
      <c r="H324">
        <v>0.6472</v>
      </c>
    </row>
    <row r="325" spans="1:8" x14ac:dyDescent="0.2">
      <c r="A325" t="str">
        <f t="shared" si="15"/>
        <v>RHEKOKEPRIMUS-Es1d1b3</v>
      </c>
      <c r="B325">
        <f t="shared" si="14"/>
        <v>50</v>
      </c>
      <c r="C325" t="s">
        <v>116</v>
      </c>
      <c r="D325" t="s">
        <v>172</v>
      </c>
      <c r="E325" t="s">
        <v>263</v>
      </c>
      <c r="F325" t="s">
        <v>132</v>
      </c>
      <c r="G325">
        <v>2012</v>
      </c>
      <c r="H325">
        <v>0.85950000000000004</v>
      </c>
    </row>
    <row r="326" spans="1:8" x14ac:dyDescent="0.2">
      <c r="A326" t="str">
        <f t="shared" si="15"/>
        <v>RHEKOKEPRIMUS-Es2d1b1</v>
      </c>
      <c r="B326">
        <f t="shared" si="14"/>
        <v>50</v>
      </c>
      <c r="C326" t="s">
        <v>116</v>
      </c>
      <c r="D326" t="s">
        <v>172</v>
      </c>
      <c r="E326" t="s">
        <v>264</v>
      </c>
      <c r="F326" t="s">
        <v>132</v>
      </c>
      <c r="G326">
        <v>2012</v>
      </c>
      <c r="H326">
        <v>0.22650000000000001</v>
      </c>
    </row>
    <row r="327" spans="1:8" x14ac:dyDescent="0.2">
      <c r="A327" t="str">
        <f t="shared" si="15"/>
        <v>RHEKOKEPRIMUS-Es2d1b2</v>
      </c>
      <c r="B327">
        <f t="shared" si="14"/>
        <v>50</v>
      </c>
      <c r="C327" t="s">
        <v>116</v>
      </c>
      <c r="D327" t="s">
        <v>172</v>
      </c>
      <c r="E327" t="s">
        <v>265</v>
      </c>
      <c r="F327" t="s">
        <v>132</v>
      </c>
      <c r="G327">
        <v>2012</v>
      </c>
      <c r="H327">
        <v>0.55369999999999997</v>
      </c>
    </row>
    <row r="328" spans="1:8" x14ac:dyDescent="0.2">
      <c r="A328" t="str">
        <f t="shared" si="15"/>
        <v>RHEKOKEPRIMUS-Es2d1b3</v>
      </c>
      <c r="B328">
        <f t="shared" si="14"/>
        <v>50</v>
      </c>
      <c r="C328" t="s">
        <v>116</v>
      </c>
      <c r="D328" t="s">
        <v>172</v>
      </c>
      <c r="E328" t="s">
        <v>266</v>
      </c>
      <c r="F328" t="s">
        <v>132</v>
      </c>
      <c r="G328">
        <v>2012</v>
      </c>
      <c r="H328">
        <v>1</v>
      </c>
    </row>
    <row r="329" spans="1:8" x14ac:dyDescent="0.2">
      <c r="A329" t="str">
        <f t="shared" si="15"/>
        <v>RHEKOKEPRIMUS-Es2d1b4</v>
      </c>
      <c r="B329">
        <f t="shared" si="14"/>
        <v>50</v>
      </c>
      <c r="C329" t="s">
        <v>116</v>
      </c>
      <c r="D329" t="s">
        <v>172</v>
      </c>
      <c r="E329" t="s">
        <v>267</v>
      </c>
      <c r="F329" t="s">
        <v>132</v>
      </c>
      <c r="G329">
        <v>2012</v>
      </c>
      <c r="H329">
        <v>0.70509999999999995</v>
      </c>
    </row>
    <row r="330" spans="1:8" x14ac:dyDescent="0.2">
      <c r="A330" t="str">
        <f t="shared" si="15"/>
        <v>RHEKOKEPRIMUS-Es2d1b5</v>
      </c>
      <c r="B330">
        <f t="shared" si="14"/>
        <v>50</v>
      </c>
      <c r="C330" t="s">
        <v>116</v>
      </c>
      <c r="D330" t="s">
        <v>172</v>
      </c>
      <c r="E330" t="s">
        <v>268</v>
      </c>
      <c r="F330" t="s">
        <v>132</v>
      </c>
      <c r="G330">
        <v>2012</v>
      </c>
      <c r="H330">
        <v>0.33400000000000002</v>
      </c>
    </row>
    <row r="331" spans="1:8" x14ac:dyDescent="0.2">
      <c r="A331" t="str">
        <f t="shared" si="15"/>
        <v>RHEKGASSTOV-Es1d1b1</v>
      </c>
      <c r="B331">
        <f t="shared" si="14"/>
        <v>51</v>
      </c>
      <c r="C331" t="s">
        <v>116</v>
      </c>
      <c r="D331" t="s">
        <v>173</v>
      </c>
      <c r="E331" t="s">
        <v>261</v>
      </c>
      <c r="F331" t="s">
        <v>132</v>
      </c>
      <c r="G331">
        <v>2012</v>
      </c>
      <c r="H331">
        <v>0.27060000000000001</v>
      </c>
    </row>
    <row r="332" spans="1:8" x14ac:dyDescent="0.2">
      <c r="A332" t="str">
        <f t="shared" si="15"/>
        <v>RHEKGASSTOV-Es1d1b2</v>
      </c>
      <c r="B332">
        <f t="shared" si="14"/>
        <v>51</v>
      </c>
      <c r="C332" t="s">
        <v>116</v>
      </c>
      <c r="D332" t="s">
        <v>173</v>
      </c>
      <c r="E332" t="s">
        <v>262</v>
      </c>
      <c r="F332" t="s">
        <v>132</v>
      </c>
      <c r="G332">
        <v>2012</v>
      </c>
      <c r="H332">
        <v>0.6472</v>
      </c>
    </row>
    <row r="333" spans="1:8" x14ac:dyDescent="0.2">
      <c r="A333" t="str">
        <f t="shared" si="15"/>
        <v>RHEKGASSTOV-Es1d1b3</v>
      </c>
      <c r="B333">
        <f t="shared" si="14"/>
        <v>51</v>
      </c>
      <c r="C333" t="s">
        <v>116</v>
      </c>
      <c r="D333" t="s">
        <v>173</v>
      </c>
      <c r="E333" t="s">
        <v>263</v>
      </c>
      <c r="F333" t="s">
        <v>132</v>
      </c>
      <c r="G333">
        <v>2012</v>
      </c>
      <c r="H333">
        <v>0.85950000000000004</v>
      </c>
    </row>
    <row r="334" spans="1:8" x14ac:dyDescent="0.2">
      <c r="A334" t="str">
        <f t="shared" si="15"/>
        <v>RHEKGASSTOV-Es2d1b1</v>
      </c>
      <c r="B334">
        <f t="shared" si="14"/>
        <v>51</v>
      </c>
      <c r="C334" t="s">
        <v>116</v>
      </c>
      <c r="D334" t="s">
        <v>173</v>
      </c>
      <c r="E334" t="s">
        <v>264</v>
      </c>
      <c r="F334" t="s">
        <v>132</v>
      </c>
      <c r="G334">
        <v>2012</v>
      </c>
      <c r="H334">
        <v>0.22650000000000001</v>
      </c>
    </row>
    <row r="335" spans="1:8" x14ac:dyDescent="0.2">
      <c r="A335" t="str">
        <f t="shared" si="15"/>
        <v>RHEKGASSTOV-Es2d1b2</v>
      </c>
      <c r="B335">
        <f t="shared" si="14"/>
        <v>51</v>
      </c>
      <c r="C335" t="s">
        <v>116</v>
      </c>
      <c r="D335" t="s">
        <v>173</v>
      </c>
      <c r="E335" t="s">
        <v>265</v>
      </c>
      <c r="F335" t="s">
        <v>132</v>
      </c>
      <c r="G335">
        <v>2012</v>
      </c>
      <c r="H335">
        <v>0.55369999999999997</v>
      </c>
    </row>
    <row r="336" spans="1:8" x14ac:dyDescent="0.2">
      <c r="A336" t="str">
        <f t="shared" si="15"/>
        <v>RHEKGASSTOV-Es2d1b3</v>
      </c>
      <c r="B336">
        <f t="shared" si="14"/>
        <v>51</v>
      </c>
      <c r="C336" t="s">
        <v>116</v>
      </c>
      <c r="D336" t="s">
        <v>173</v>
      </c>
      <c r="E336" t="s">
        <v>266</v>
      </c>
      <c r="F336" t="s">
        <v>132</v>
      </c>
      <c r="G336">
        <v>2012</v>
      </c>
      <c r="H336">
        <v>1</v>
      </c>
    </row>
    <row r="337" spans="1:8" x14ac:dyDescent="0.2">
      <c r="A337" t="str">
        <f t="shared" si="15"/>
        <v>RHEKGASSTOV-Es2d1b4</v>
      </c>
      <c r="B337">
        <f t="shared" si="14"/>
        <v>51</v>
      </c>
      <c r="C337" t="s">
        <v>116</v>
      </c>
      <c r="D337" t="s">
        <v>173</v>
      </c>
      <c r="E337" t="s">
        <v>267</v>
      </c>
      <c r="F337" t="s">
        <v>132</v>
      </c>
      <c r="G337">
        <v>2012</v>
      </c>
      <c r="H337">
        <v>0.70509999999999995</v>
      </c>
    </row>
    <row r="338" spans="1:8" x14ac:dyDescent="0.2">
      <c r="A338" t="str">
        <f t="shared" si="15"/>
        <v>RHEKGASSTOV-Es2d1b5</v>
      </c>
      <c r="B338">
        <f t="shared" si="14"/>
        <v>51</v>
      </c>
      <c r="C338" t="s">
        <v>116</v>
      </c>
      <c r="D338" t="s">
        <v>173</v>
      </c>
      <c r="E338" t="s">
        <v>268</v>
      </c>
      <c r="F338" t="s">
        <v>132</v>
      </c>
      <c r="G338">
        <v>2012</v>
      </c>
      <c r="H338">
        <v>0.33400000000000002</v>
      </c>
    </row>
    <row r="339" spans="1:8" x14ac:dyDescent="0.2">
      <c r="A339" t="str">
        <f t="shared" si="15"/>
        <v>RHEHELCHEATFIN-Es1d1b1</v>
      </c>
      <c r="B339">
        <f t="shared" si="14"/>
        <v>52</v>
      </c>
      <c r="C339" t="s">
        <v>116</v>
      </c>
      <c r="D339" t="s">
        <v>174</v>
      </c>
      <c r="E339" t="s">
        <v>261</v>
      </c>
      <c r="F339" t="s">
        <v>132</v>
      </c>
      <c r="G339">
        <v>2012</v>
      </c>
      <c r="H339">
        <v>0.14949999999999999</v>
      </c>
    </row>
    <row r="340" spans="1:8" x14ac:dyDescent="0.2">
      <c r="A340" t="str">
        <f t="shared" si="15"/>
        <v>RHEHELCHEATFIN-Es1d1b2</v>
      </c>
      <c r="B340">
        <f t="shared" si="14"/>
        <v>52</v>
      </c>
      <c r="C340" t="s">
        <v>116</v>
      </c>
      <c r="D340" t="s">
        <v>174</v>
      </c>
      <c r="E340" t="s">
        <v>262</v>
      </c>
      <c r="F340" t="s">
        <v>132</v>
      </c>
      <c r="G340">
        <v>2012</v>
      </c>
      <c r="H340">
        <v>2.5000000000000001E-3</v>
      </c>
    </row>
    <row r="341" spans="1:8" x14ac:dyDescent="0.2">
      <c r="A341" t="str">
        <f t="shared" si="15"/>
        <v>RHEHELCHEATFIN-Es1d1b3</v>
      </c>
      <c r="B341">
        <f t="shared" si="14"/>
        <v>52</v>
      </c>
      <c r="C341" t="s">
        <v>116</v>
      </c>
      <c r="D341" t="s">
        <v>174</v>
      </c>
      <c r="E341" t="s">
        <v>263</v>
      </c>
      <c r="F341" t="s">
        <v>132</v>
      </c>
      <c r="G341">
        <v>2012</v>
      </c>
      <c r="H341">
        <v>3.5000000000000001E-3</v>
      </c>
    </row>
    <row r="342" spans="1:8" x14ac:dyDescent="0.2">
      <c r="A342" t="str">
        <f t="shared" si="15"/>
        <v>RHEHELCHEATFIN-Es2d1b1</v>
      </c>
      <c r="B342">
        <f t="shared" si="14"/>
        <v>52</v>
      </c>
      <c r="C342" t="s">
        <v>116</v>
      </c>
      <c r="D342" t="s">
        <v>174</v>
      </c>
      <c r="E342" t="s">
        <v>264</v>
      </c>
      <c r="F342" t="s">
        <v>132</v>
      </c>
      <c r="G342">
        <v>2012</v>
      </c>
      <c r="H342">
        <v>0.38640000000000002</v>
      </c>
    </row>
    <row r="343" spans="1:8" x14ac:dyDescent="0.2">
      <c r="A343" t="str">
        <f t="shared" si="15"/>
        <v>RHEHELCHEATFIN-Es2d1b2</v>
      </c>
      <c r="B343">
        <f t="shared" si="14"/>
        <v>52</v>
      </c>
      <c r="C343" t="s">
        <v>116</v>
      </c>
      <c r="D343" t="s">
        <v>174</v>
      </c>
      <c r="E343" t="s">
        <v>265</v>
      </c>
      <c r="F343" t="s">
        <v>132</v>
      </c>
      <c r="G343">
        <v>2012</v>
      </c>
      <c r="H343">
        <v>0.53559999999999997</v>
      </c>
    </row>
    <row r="344" spans="1:8" x14ac:dyDescent="0.2">
      <c r="A344" t="str">
        <f t="shared" si="15"/>
        <v>RHEHELCHEATFIN-Es2d1b3</v>
      </c>
      <c r="B344">
        <f t="shared" si="14"/>
        <v>52</v>
      </c>
      <c r="C344" t="s">
        <v>116</v>
      </c>
      <c r="D344" t="s">
        <v>174</v>
      </c>
      <c r="E344" t="s">
        <v>266</v>
      </c>
      <c r="F344" t="s">
        <v>132</v>
      </c>
      <c r="G344">
        <v>2012</v>
      </c>
      <c r="H344">
        <v>0.49719999999999998</v>
      </c>
    </row>
    <row r="345" spans="1:8" x14ac:dyDescent="0.2">
      <c r="A345" t="str">
        <f t="shared" si="15"/>
        <v>RHEHELCHEATFIN-Es2d1b4</v>
      </c>
      <c r="B345">
        <f t="shared" si="14"/>
        <v>52</v>
      </c>
      <c r="C345" t="s">
        <v>116</v>
      </c>
      <c r="D345" t="s">
        <v>174</v>
      </c>
      <c r="E345" t="s">
        <v>267</v>
      </c>
      <c r="F345" t="s">
        <v>132</v>
      </c>
      <c r="G345">
        <v>2012</v>
      </c>
      <c r="H345">
        <v>1</v>
      </c>
    </row>
    <row r="346" spans="1:8" x14ac:dyDescent="0.2">
      <c r="A346" t="str">
        <f t="shared" si="15"/>
        <v>RHEHELCHEATFIN-Es2d1b5</v>
      </c>
      <c r="B346">
        <f t="shared" si="14"/>
        <v>52</v>
      </c>
      <c r="C346" t="s">
        <v>116</v>
      </c>
      <c r="D346" t="s">
        <v>174</v>
      </c>
      <c r="E346" t="s">
        <v>268</v>
      </c>
      <c r="F346" t="s">
        <v>132</v>
      </c>
      <c r="G346">
        <v>2012</v>
      </c>
      <c r="H346">
        <v>0.83030000000000004</v>
      </c>
    </row>
    <row r="347" spans="1:8" x14ac:dyDescent="0.2">
      <c r="A347" t="str">
        <f t="shared" si="15"/>
        <v>RHEHOKEHEAT-Es1d1b1</v>
      </c>
      <c r="B347">
        <f t="shared" si="14"/>
        <v>53</v>
      </c>
      <c r="C347" t="s">
        <v>116</v>
      </c>
      <c r="D347" t="s">
        <v>175</v>
      </c>
      <c r="E347" t="s">
        <v>261</v>
      </c>
      <c r="F347" t="s">
        <v>132</v>
      </c>
      <c r="G347">
        <v>2012</v>
      </c>
      <c r="H347">
        <v>0.14949999999999999</v>
      </c>
    </row>
    <row r="348" spans="1:8" x14ac:dyDescent="0.2">
      <c r="A348" t="str">
        <f t="shared" si="15"/>
        <v>RHEHOKEHEAT-Es1d1b2</v>
      </c>
      <c r="B348">
        <f t="shared" si="14"/>
        <v>53</v>
      </c>
      <c r="C348" t="s">
        <v>116</v>
      </c>
      <c r="D348" t="s">
        <v>175</v>
      </c>
      <c r="E348" t="s">
        <v>262</v>
      </c>
      <c r="F348" t="s">
        <v>132</v>
      </c>
      <c r="G348">
        <v>2012</v>
      </c>
      <c r="H348">
        <v>2.5000000000000001E-3</v>
      </c>
    </row>
    <row r="349" spans="1:8" x14ac:dyDescent="0.2">
      <c r="A349" t="str">
        <f t="shared" si="15"/>
        <v>RHEHOKEHEAT-Es1d1b3</v>
      </c>
      <c r="B349">
        <f t="shared" si="14"/>
        <v>53</v>
      </c>
      <c r="C349" t="s">
        <v>116</v>
      </c>
      <c r="D349" t="s">
        <v>175</v>
      </c>
      <c r="E349" t="s">
        <v>263</v>
      </c>
      <c r="F349" t="s">
        <v>132</v>
      </c>
      <c r="G349">
        <v>2012</v>
      </c>
      <c r="H349">
        <v>3.5000000000000001E-3</v>
      </c>
    </row>
    <row r="350" spans="1:8" x14ac:dyDescent="0.2">
      <c r="A350" t="str">
        <f t="shared" si="15"/>
        <v>RHEHOKEHEAT-Es2d1b1</v>
      </c>
      <c r="B350">
        <f t="shared" si="14"/>
        <v>53</v>
      </c>
      <c r="C350" t="s">
        <v>116</v>
      </c>
      <c r="D350" t="s">
        <v>175</v>
      </c>
      <c r="E350" t="s">
        <v>264</v>
      </c>
      <c r="F350" t="s">
        <v>132</v>
      </c>
      <c r="G350">
        <v>2012</v>
      </c>
      <c r="H350">
        <v>0.38640000000000002</v>
      </c>
    </row>
    <row r="351" spans="1:8" x14ac:dyDescent="0.2">
      <c r="A351" t="str">
        <f t="shared" si="15"/>
        <v>RHEHOKEHEAT-Es2d1b2</v>
      </c>
      <c r="B351">
        <f t="shared" si="14"/>
        <v>53</v>
      </c>
      <c r="C351" t="s">
        <v>116</v>
      </c>
      <c r="D351" t="s">
        <v>175</v>
      </c>
      <c r="E351" t="s">
        <v>265</v>
      </c>
      <c r="F351" t="s">
        <v>132</v>
      </c>
      <c r="G351">
        <v>2012</v>
      </c>
      <c r="H351">
        <v>0.53559999999999997</v>
      </c>
    </row>
    <row r="352" spans="1:8" x14ac:dyDescent="0.2">
      <c r="A352" t="str">
        <f t="shared" si="15"/>
        <v>RHEHOKEHEAT-Es2d1b3</v>
      </c>
      <c r="B352">
        <f t="shared" si="14"/>
        <v>53</v>
      </c>
      <c r="C352" t="s">
        <v>116</v>
      </c>
      <c r="D352" t="s">
        <v>175</v>
      </c>
      <c r="E352" t="s">
        <v>266</v>
      </c>
      <c r="F352" t="s">
        <v>132</v>
      </c>
      <c r="G352">
        <v>2012</v>
      </c>
      <c r="H352">
        <v>0.49719999999999998</v>
      </c>
    </row>
    <row r="353" spans="1:8" x14ac:dyDescent="0.2">
      <c r="A353" t="str">
        <f t="shared" si="15"/>
        <v>RHEHOKEHEAT-Es2d1b4</v>
      </c>
      <c r="B353">
        <f t="shared" si="14"/>
        <v>53</v>
      </c>
      <c r="C353" t="s">
        <v>116</v>
      </c>
      <c r="D353" t="s">
        <v>175</v>
      </c>
      <c r="E353" t="s">
        <v>267</v>
      </c>
      <c r="F353" t="s">
        <v>132</v>
      </c>
      <c r="G353">
        <v>2012</v>
      </c>
      <c r="H353">
        <v>1</v>
      </c>
    </row>
    <row r="354" spans="1:8" x14ac:dyDescent="0.2">
      <c r="A354" t="str">
        <f t="shared" si="15"/>
        <v>RHEHOKEHEAT-Es2d1b5</v>
      </c>
      <c r="B354">
        <f t="shared" si="14"/>
        <v>53</v>
      </c>
      <c r="C354" t="s">
        <v>116</v>
      </c>
      <c r="D354" t="s">
        <v>175</v>
      </c>
      <c r="E354" t="s">
        <v>268</v>
      </c>
      <c r="F354" t="s">
        <v>132</v>
      </c>
      <c r="G354">
        <v>2012</v>
      </c>
      <c r="H354">
        <v>0.83030000000000004</v>
      </c>
    </row>
    <row r="355" spans="1:8" x14ac:dyDescent="0.2">
      <c r="A355" t="str">
        <f t="shared" si="15"/>
        <v>RHEHBIWSTOV-Es1d1b1</v>
      </c>
      <c r="B355">
        <f t="shared" si="14"/>
        <v>54</v>
      </c>
      <c r="C355" t="s">
        <v>116</v>
      </c>
      <c r="D355" t="s">
        <v>176</v>
      </c>
      <c r="E355" t="s">
        <v>261</v>
      </c>
      <c r="F355" t="s">
        <v>132</v>
      </c>
      <c r="G355">
        <v>2012</v>
      </c>
      <c r="H355">
        <v>0.14949999999999999</v>
      </c>
    </row>
    <row r="356" spans="1:8" x14ac:dyDescent="0.2">
      <c r="A356" t="str">
        <f t="shared" si="15"/>
        <v>RHEHBIWSTOV-Es1d1b2</v>
      </c>
      <c r="B356">
        <f t="shared" si="14"/>
        <v>54</v>
      </c>
      <c r="C356" t="s">
        <v>116</v>
      </c>
      <c r="D356" t="s">
        <v>176</v>
      </c>
      <c r="E356" t="s">
        <v>262</v>
      </c>
      <c r="F356" t="s">
        <v>132</v>
      </c>
      <c r="G356">
        <v>2012</v>
      </c>
      <c r="H356">
        <v>2.5000000000000001E-3</v>
      </c>
    </row>
    <row r="357" spans="1:8" x14ac:dyDescent="0.2">
      <c r="A357" t="str">
        <f t="shared" si="15"/>
        <v>RHEHBIWSTOV-Es1d1b3</v>
      </c>
      <c r="B357">
        <f t="shared" si="14"/>
        <v>54</v>
      </c>
      <c r="C357" t="s">
        <v>116</v>
      </c>
      <c r="D357" t="s">
        <v>176</v>
      </c>
      <c r="E357" t="s">
        <v>263</v>
      </c>
      <c r="F357" t="s">
        <v>132</v>
      </c>
      <c r="G357">
        <v>2012</v>
      </c>
      <c r="H357">
        <v>3.5000000000000001E-3</v>
      </c>
    </row>
    <row r="358" spans="1:8" x14ac:dyDescent="0.2">
      <c r="A358" t="str">
        <f t="shared" si="15"/>
        <v>RHEHBIWSTOV-Es2d1b1</v>
      </c>
      <c r="B358">
        <f t="shared" si="14"/>
        <v>54</v>
      </c>
      <c r="C358" t="s">
        <v>116</v>
      </c>
      <c r="D358" t="s">
        <v>176</v>
      </c>
      <c r="E358" t="s">
        <v>264</v>
      </c>
      <c r="F358" t="s">
        <v>132</v>
      </c>
      <c r="G358">
        <v>2012</v>
      </c>
      <c r="H358">
        <v>0.38640000000000002</v>
      </c>
    </row>
    <row r="359" spans="1:8" x14ac:dyDescent="0.2">
      <c r="A359" t="str">
        <f t="shared" si="15"/>
        <v>RHEHBIWSTOV-Es2d1b2</v>
      </c>
      <c r="B359">
        <f t="shared" si="14"/>
        <v>54</v>
      </c>
      <c r="C359" t="s">
        <v>116</v>
      </c>
      <c r="D359" t="s">
        <v>176</v>
      </c>
      <c r="E359" t="s">
        <v>265</v>
      </c>
      <c r="F359" t="s">
        <v>132</v>
      </c>
      <c r="G359">
        <v>2012</v>
      </c>
      <c r="H359">
        <v>0.53559999999999997</v>
      </c>
    </row>
    <row r="360" spans="1:8" x14ac:dyDescent="0.2">
      <c r="A360" t="str">
        <f t="shared" si="15"/>
        <v>RHEHBIWSTOV-Es2d1b3</v>
      </c>
      <c r="B360">
        <f t="shared" si="14"/>
        <v>54</v>
      </c>
      <c r="C360" t="s">
        <v>116</v>
      </c>
      <c r="D360" t="s">
        <v>176</v>
      </c>
      <c r="E360" t="s">
        <v>266</v>
      </c>
      <c r="F360" t="s">
        <v>132</v>
      </c>
      <c r="G360">
        <v>2012</v>
      </c>
      <c r="H360">
        <v>0.49719999999999998</v>
      </c>
    </row>
    <row r="361" spans="1:8" x14ac:dyDescent="0.2">
      <c r="A361" t="str">
        <f t="shared" si="15"/>
        <v>RHEHBIWSTOV-Es2d1b4</v>
      </c>
      <c r="B361">
        <f t="shared" si="14"/>
        <v>54</v>
      </c>
      <c r="C361" t="s">
        <v>116</v>
      </c>
      <c r="D361" t="s">
        <v>176</v>
      </c>
      <c r="E361" t="s">
        <v>267</v>
      </c>
      <c r="F361" t="s">
        <v>132</v>
      </c>
      <c r="G361">
        <v>2012</v>
      </c>
      <c r="H361">
        <v>1</v>
      </c>
    </row>
    <row r="362" spans="1:8" x14ac:dyDescent="0.2">
      <c r="A362" t="str">
        <f t="shared" si="15"/>
        <v>RHEHBIWSTOV-Es2d1b5</v>
      </c>
      <c r="B362">
        <f t="shared" si="14"/>
        <v>54</v>
      </c>
      <c r="C362" t="s">
        <v>116</v>
      </c>
      <c r="D362" t="s">
        <v>176</v>
      </c>
      <c r="E362" t="s">
        <v>268</v>
      </c>
      <c r="F362" t="s">
        <v>132</v>
      </c>
      <c r="G362">
        <v>2012</v>
      </c>
      <c r="H362">
        <v>0.83030000000000004</v>
      </c>
    </row>
    <row r="363" spans="1:8" x14ac:dyDescent="0.2">
      <c r="A363" t="str">
        <f t="shared" si="15"/>
        <v>RHEHCOASTOV-Es1d1b1</v>
      </c>
      <c r="B363">
        <f t="shared" si="14"/>
        <v>55</v>
      </c>
      <c r="C363" t="s">
        <v>116</v>
      </c>
      <c r="D363" t="s">
        <v>177</v>
      </c>
      <c r="E363" t="s">
        <v>261</v>
      </c>
      <c r="F363" t="s">
        <v>132</v>
      </c>
      <c r="G363">
        <v>2012</v>
      </c>
      <c r="H363">
        <v>0.14949999999999999</v>
      </c>
    </row>
    <row r="364" spans="1:8" x14ac:dyDescent="0.2">
      <c r="A364" t="str">
        <f t="shared" si="15"/>
        <v>RHEHCOASTOV-Es1d1b2</v>
      </c>
      <c r="B364">
        <f t="shared" si="14"/>
        <v>55</v>
      </c>
      <c r="C364" t="s">
        <v>116</v>
      </c>
      <c r="D364" t="s">
        <v>177</v>
      </c>
      <c r="E364" t="s">
        <v>262</v>
      </c>
      <c r="F364" t="s">
        <v>132</v>
      </c>
      <c r="G364">
        <v>2012</v>
      </c>
      <c r="H364">
        <v>2.5000000000000001E-3</v>
      </c>
    </row>
    <row r="365" spans="1:8" x14ac:dyDescent="0.2">
      <c r="A365" t="str">
        <f t="shared" si="15"/>
        <v>RHEHCOASTOV-Es1d1b3</v>
      </c>
      <c r="B365">
        <f t="shared" si="14"/>
        <v>55</v>
      </c>
      <c r="C365" t="s">
        <v>116</v>
      </c>
      <c r="D365" t="s">
        <v>177</v>
      </c>
      <c r="E365" t="s">
        <v>263</v>
      </c>
      <c r="F365" t="s">
        <v>132</v>
      </c>
      <c r="G365">
        <v>2012</v>
      </c>
      <c r="H365">
        <v>3.5000000000000001E-3</v>
      </c>
    </row>
    <row r="366" spans="1:8" x14ac:dyDescent="0.2">
      <c r="A366" t="str">
        <f t="shared" si="15"/>
        <v>RHEHCOASTOV-Es2d1b1</v>
      </c>
      <c r="B366">
        <f t="shared" si="14"/>
        <v>55</v>
      </c>
      <c r="C366" t="s">
        <v>116</v>
      </c>
      <c r="D366" t="s">
        <v>177</v>
      </c>
      <c r="E366" t="s">
        <v>264</v>
      </c>
      <c r="F366" t="s">
        <v>132</v>
      </c>
      <c r="G366">
        <v>2012</v>
      </c>
      <c r="H366">
        <v>0.38640000000000002</v>
      </c>
    </row>
    <row r="367" spans="1:8" x14ac:dyDescent="0.2">
      <c r="A367" t="str">
        <f t="shared" si="15"/>
        <v>RHEHCOASTOV-Es2d1b2</v>
      </c>
      <c r="B367">
        <f t="shared" si="14"/>
        <v>55</v>
      </c>
      <c r="C367" t="s">
        <v>116</v>
      </c>
      <c r="D367" t="s">
        <v>177</v>
      </c>
      <c r="E367" t="s">
        <v>265</v>
      </c>
      <c r="F367" t="s">
        <v>132</v>
      </c>
      <c r="G367">
        <v>2012</v>
      </c>
      <c r="H367">
        <v>0.53559999999999997</v>
      </c>
    </row>
    <row r="368" spans="1:8" x14ac:dyDescent="0.2">
      <c r="A368" t="str">
        <f t="shared" si="15"/>
        <v>RHEHCOASTOV-Es2d1b3</v>
      </c>
      <c r="B368">
        <f t="shared" si="14"/>
        <v>55</v>
      </c>
      <c r="C368" t="s">
        <v>116</v>
      </c>
      <c r="D368" t="s">
        <v>177</v>
      </c>
      <c r="E368" t="s">
        <v>266</v>
      </c>
      <c r="F368" t="s">
        <v>132</v>
      </c>
      <c r="G368">
        <v>2012</v>
      </c>
      <c r="H368">
        <v>0.49719999999999998</v>
      </c>
    </row>
    <row r="369" spans="1:8" x14ac:dyDescent="0.2">
      <c r="A369" t="str">
        <f t="shared" si="15"/>
        <v>RHEHCOASTOV-Es2d1b4</v>
      </c>
      <c r="B369">
        <f t="shared" si="14"/>
        <v>55</v>
      </c>
      <c r="C369" t="s">
        <v>116</v>
      </c>
      <c r="D369" t="s">
        <v>177</v>
      </c>
      <c r="E369" t="s">
        <v>267</v>
      </c>
      <c r="F369" t="s">
        <v>132</v>
      </c>
      <c r="G369">
        <v>2012</v>
      </c>
      <c r="H369">
        <v>1</v>
      </c>
    </row>
    <row r="370" spans="1:8" x14ac:dyDescent="0.2">
      <c r="A370" t="str">
        <f t="shared" si="15"/>
        <v>RHEHCOASTOV-Es2d1b5</v>
      </c>
      <c r="B370">
        <f t="shared" si="14"/>
        <v>55</v>
      </c>
      <c r="C370" t="s">
        <v>116</v>
      </c>
      <c r="D370" t="s">
        <v>177</v>
      </c>
      <c r="E370" t="s">
        <v>268</v>
      </c>
      <c r="F370" t="s">
        <v>132</v>
      </c>
      <c r="G370">
        <v>2012</v>
      </c>
      <c r="H370">
        <v>0.83030000000000004</v>
      </c>
    </row>
    <row r="371" spans="1:8" x14ac:dyDescent="0.2">
      <c r="A371" t="str">
        <f t="shared" si="15"/>
        <v>RHEHOLPHEAT-Es1d1b1</v>
      </c>
      <c r="B371">
        <f t="shared" si="14"/>
        <v>56</v>
      </c>
      <c r="C371" t="s">
        <v>116</v>
      </c>
      <c r="D371" t="s">
        <v>178</v>
      </c>
      <c r="E371" t="s">
        <v>261</v>
      </c>
      <c r="F371" t="s">
        <v>132</v>
      </c>
      <c r="G371">
        <v>2012</v>
      </c>
      <c r="H371">
        <v>0.14949999999999999</v>
      </c>
    </row>
    <row r="372" spans="1:8" x14ac:dyDescent="0.2">
      <c r="A372" t="str">
        <f t="shared" si="15"/>
        <v>RHEHOLPHEAT-Es1d1b2</v>
      </c>
      <c r="B372">
        <f t="shared" si="14"/>
        <v>56</v>
      </c>
      <c r="C372" t="s">
        <v>116</v>
      </c>
      <c r="D372" t="s">
        <v>178</v>
      </c>
      <c r="E372" t="s">
        <v>262</v>
      </c>
      <c r="F372" t="s">
        <v>132</v>
      </c>
      <c r="G372">
        <v>2012</v>
      </c>
      <c r="H372">
        <v>2.5000000000000001E-3</v>
      </c>
    </row>
    <row r="373" spans="1:8" x14ac:dyDescent="0.2">
      <c r="A373" t="str">
        <f t="shared" si="15"/>
        <v>RHEHOLPHEAT-Es1d1b3</v>
      </c>
      <c r="B373">
        <f t="shared" si="14"/>
        <v>56</v>
      </c>
      <c r="C373" t="s">
        <v>116</v>
      </c>
      <c r="D373" t="s">
        <v>178</v>
      </c>
      <c r="E373" t="s">
        <v>263</v>
      </c>
      <c r="F373" t="s">
        <v>132</v>
      </c>
      <c r="G373">
        <v>2012</v>
      </c>
      <c r="H373">
        <v>3.5000000000000001E-3</v>
      </c>
    </row>
    <row r="374" spans="1:8" x14ac:dyDescent="0.2">
      <c r="A374" t="str">
        <f t="shared" si="15"/>
        <v>RHEHOLPHEAT-Es2d1b1</v>
      </c>
      <c r="B374">
        <f t="shared" si="14"/>
        <v>56</v>
      </c>
      <c r="C374" t="s">
        <v>116</v>
      </c>
      <c r="D374" t="s">
        <v>178</v>
      </c>
      <c r="E374" t="s">
        <v>264</v>
      </c>
      <c r="F374" t="s">
        <v>132</v>
      </c>
      <c r="G374">
        <v>2012</v>
      </c>
      <c r="H374">
        <v>0.38640000000000002</v>
      </c>
    </row>
    <row r="375" spans="1:8" x14ac:dyDescent="0.2">
      <c r="A375" t="str">
        <f t="shared" si="15"/>
        <v>RHEHOLPHEAT-Es2d1b2</v>
      </c>
      <c r="B375">
        <f t="shared" si="14"/>
        <v>56</v>
      </c>
      <c r="C375" t="s">
        <v>116</v>
      </c>
      <c r="D375" t="s">
        <v>178</v>
      </c>
      <c r="E375" t="s">
        <v>265</v>
      </c>
      <c r="F375" t="s">
        <v>132</v>
      </c>
      <c r="G375">
        <v>2012</v>
      </c>
      <c r="H375">
        <v>0.53559999999999997</v>
      </c>
    </row>
    <row r="376" spans="1:8" x14ac:dyDescent="0.2">
      <c r="A376" t="str">
        <f t="shared" si="15"/>
        <v>RHEHOLPHEAT-Es2d1b3</v>
      </c>
      <c r="B376">
        <f t="shared" si="14"/>
        <v>56</v>
      </c>
      <c r="C376" t="s">
        <v>116</v>
      </c>
      <c r="D376" t="s">
        <v>178</v>
      </c>
      <c r="E376" t="s">
        <v>266</v>
      </c>
      <c r="F376" t="s">
        <v>132</v>
      </c>
      <c r="G376">
        <v>2012</v>
      </c>
      <c r="H376">
        <v>0.49719999999999998</v>
      </c>
    </row>
    <row r="377" spans="1:8" x14ac:dyDescent="0.2">
      <c r="A377" t="str">
        <f t="shared" si="15"/>
        <v>RHEHOLPHEAT-Es2d1b4</v>
      </c>
      <c r="B377">
        <f t="shared" si="14"/>
        <v>56</v>
      </c>
      <c r="C377" t="s">
        <v>116</v>
      </c>
      <c r="D377" t="s">
        <v>178</v>
      </c>
      <c r="E377" t="s">
        <v>267</v>
      </c>
      <c r="F377" t="s">
        <v>132</v>
      </c>
      <c r="G377">
        <v>2012</v>
      </c>
      <c r="H377">
        <v>1</v>
      </c>
    </row>
    <row r="378" spans="1:8" x14ac:dyDescent="0.2">
      <c r="A378" t="str">
        <f t="shared" si="15"/>
        <v>RHEHOLPHEAT-Es2d1b5</v>
      </c>
      <c r="B378">
        <f t="shared" si="14"/>
        <v>56</v>
      </c>
      <c r="C378" t="s">
        <v>116</v>
      </c>
      <c r="D378" t="s">
        <v>178</v>
      </c>
      <c r="E378" t="s">
        <v>268</v>
      </c>
      <c r="F378" t="s">
        <v>132</v>
      </c>
      <c r="G378">
        <v>2012</v>
      </c>
      <c r="H378">
        <v>0.83030000000000004</v>
      </c>
    </row>
    <row r="379" spans="1:8" x14ac:dyDescent="0.2">
      <c r="A379" t="str">
        <f t="shared" si="15"/>
        <v>RHEHGASHEAT-Ns1d1b1</v>
      </c>
      <c r="B379">
        <f t="shared" si="14"/>
        <v>57</v>
      </c>
      <c r="C379" t="s">
        <v>116</v>
      </c>
      <c r="D379" t="s">
        <v>179</v>
      </c>
      <c r="E379" t="s">
        <v>261</v>
      </c>
      <c r="F379" t="s">
        <v>132</v>
      </c>
      <c r="G379">
        <v>2012</v>
      </c>
      <c r="H379">
        <v>0.14949999999999999</v>
      </c>
    </row>
    <row r="380" spans="1:8" x14ac:dyDescent="0.2">
      <c r="A380" t="str">
        <f t="shared" si="15"/>
        <v>RHEHGASHEAT-Ns1d1b2</v>
      </c>
      <c r="B380">
        <f t="shared" si="14"/>
        <v>57</v>
      </c>
      <c r="C380" t="s">
        <v>116</v>
      </c>
      <c r="D380" t="s">
        <v>179</v>
      </c>
      <c r="E380" t="s">
        <v>262</v>
      </c>
      <c r="F380" t="s">
        <v>132</v>
      </c>
      <c r="G380">
        <v>2012</v>
      </c>
      <c r="H380">
        <v>2.5000000000000001E-3</v>
      </c>
    </row>
    <row r="381" spans="1:8" x14ac:dyDescent="0.2">
      <c r="A381" t="str">
        <f t="shared" si="15"/>
        <v>RHEHGASHEAT-Ns1d1b3</v>
      </c>
      <c r="B381">
        <f t="shared" si="14"/>
        <v>57</v>
      </c>
      <c r="C381" t="s">
        <v>116</v>
      </c>
      <c r="D381" t="s">
        <v>179</v>
      </c>
      <c r="E381" t="s">
        <v>263</v>
      </c>
      <c r="F381" t="s">
        <v>132</v>
      </c>
      <c r="G381">
        <v>2012</v>
      </c>
      <c r="H381">
        <v>3.5000000000000001E-3</v>
      </c>
    </row>
    <row r="382" spans="1:8" x14ac:dyDescent="0.2">
      <c r="A382" t="str">
        <f t="shared" si="15"/>
        <v>RHEHGASHEAT-Ns2d1b1</v>
      </c>
      <c r="B382">
        <f t="shared" si="14"/>
        <v>57</v>
      </c>
      <c r="C382" t="s">
        <v>116</v>
      </c>
      <c r="D382" t="s">
        <v>179</v>
      </c>
      <c r="E382" t="s">
        <v>264</v>
      </c>
      <c r="F382" t="s">
        <v>132</v>
      </c>
      <c r="G382">
        <v>2012</v>
      </c>
      <c r="H382">
        <v>0.38640000000000002</v>
      </c>
    </row>
    <row r="383" spans="1:8" x14ac:dyDescent="0.2">
      <c r="A383" t="str">
        <f t="shared" si="15"/>
        <v>RHEHGASHEAT-Ns2d1b2</v>
      </c>
      <c r="B383">
        <f t="shared" si="14"/>
        <v>57</v>
      </c>
      <c r="C383" t="s">
        <v>116</v>
      </c>
      <c r="D383" t="s">
        <v>179</v>
      </c>
      <c r="E383" t="s">
        <v>265</v>
      </c>
      <c r="F383" t="s">
        <v>132</v>
      </c>
      <c r="G383">
        <v>2012</v>
      </c>
      <c r="H383">
        <v>0.53559999999999997</v>
      </c>
    </row>
    <row r="384" spans="1:8" x14ac:dyDescent="0.2">
      <c r="A384" t="str">
        <f t="shared" si="15"/>
        <v>RHEHGASHEAT-Ns2d1b3</v>
      </c>
      <c r="B384">
        <f t="shared" si="14"/>
        <v>57</v>
      </c>
      <c r="C384" t="s">
        <v>116</v>
      </c>
      <c r="D384" t="s">
        <v>179</v>
      </c>
      <c r="E384" t="s">
        <v>266</v>
      </c>
      <c r="F384" t="s">
        <v>132</v>
      </c>
      <c r="G384">
        <v>2012</v>
      </c>
      <c r="H384">
        <v>0.49719999999999998</v>
      </c>
    </row>
    <row r="385" spans="1:8" x14ac:dyDescent="0.2">
      <c r="A385" t="str">
        <f t="shared" si="15"/>
        <v>RHEHGASHEAT-Ns2d1b4</v>
      </c>
      <c r="B385">
        <f t="shared" si="14"/>
        <v>57</v>
      </c>
      <c r="C385" t="s">
        <v>116</v>
      </c>
      <c r="D385" t="s">
        <v>179</v>
      </c>
      <c r="E385" t="s">
        <v>267</v>
      </c>
      <c r="F385" t="s">
        <v>132</v>
      </c>
      <c r="G385">
        <v>2012</v>
      </c>
      <c r="H385">
        <v>1</v>
      </c>
    </row>
    <row r="386" spans="1:8" x14ac:dyDescent="0.2">
      <c r="A386" t="str">
        <f t="shared" si="15"/>
        <v>RHEHGASHEAT-Ns2d1b5</v>
      </c>
      <c r="B386">
        <f t="shared" si="14"/>
        <v>57</v>
      </c>
      <c r="C386" t="s">
        <v>116</v>
      </c>
      <c r="D386" t="s">
        <v>179</v>
      </c>
      <c r="E386" t="s">
        <v>268</v>
      </c>
      <c r="F386" t="s">
        <v>132</v>
      </c>
      <c r="G386">
        <v>2012</v>
      </c>
      <c r="H386">
        <v>0.83030000000000004</v>
      </c>
    </row>
    <row r="387" spans="1:8" x14ac:dyDescent="0.2">
      <c r="A387" t="str">
        <f t="shared" si="15"/>
        <v>RHEWELCGEY-Es1d1b1</v>
      </c>
      <c r="B387">
        <f t="shared" ref="B387:B434" si="16">MATCH(D387,$M$3:$M$66,0)</f>
        <v>58</v>
      </c>
      <c r="C387" t="s">
        <v>116</v>
      </c>
      <c r="D387" t="s">
        <v>180</v>
      </c>
      <c r="E387" t="s">
        <v>261</v>
      </c>
      <c r="F387" t="s">
        <v>132</v>
      </c>
      <c r="G387">
        <v>2012</v>
      </c>
      <c r="H387">
        <v>0.31969999999999998</v>
      </c>
    </row>
    <row r="388" spans="1:8" x14ac:dyDescent="0.2">
      <c r="A388" t="str">
        <f t="shared" ref="A388:A434" si="17">D388&amp;E388</f>
        <v>RHEWELCGEY-Es1d1b2</v>
      </c>
      <c r="B388">
        <f t="shared" si="16"/>
        <v>58</v>
      </c>
      <c r="C388" t="s">
        <v>116</v>
      </c>
      <c r="D388" t="s">
        <v>180</v>
      </c>
      <c r="E388" t="s">
        <v>262</v>
      </c>
      <c r="F388" t="s">
        <v>132</v>
      </c>
      <c r="G388">
        <v>2012</v>
      </c>
      <c r="H388">
        <v>0.57640000000000002</v>
      </c>
    </row>
    <row r="389" spans="1:8" x14ac:dyDescent="0.2">
      <c r="A389" t="str">
        <f t="shared" si="17"/>
        <v>RHEWELCGEY-Es1d1b3</v>
      </c>
      <c r="B389">
        <f t="shared" si="16"/>
        <v>58</v>
      </c>
      <c r="C389" t="s">
        <v>116</v>
      </c>
      <c r="D389" t="s">
        <v>180</v>
      </c>
      <c r="E389" t="s">
        <v>263</v>
      </c>
      <c r="F389" t="s">
        <v>132</v>
      </c>
      <c r="G389">
        <v>2012</v>
      </c>
      <c r="H389">
        <v>0.8347</v>
      </c>
    </row>
    <row r="390" spans="1:8" x14ac:dyDescent="0.2">
      <c r="A390" t="str">
        <f t="shared" si="17"/>
        <v>RHEWELCGEY-Es2d1b1</v>
      </c>
      <c r="B390">
        <f t="shared" si="16"/>
        <v>58</v>
      </c>
      <c r="C390" t="s">
        <v>116</v>
      </c>
      <c r="D390" t="s">
        <v>180</v>
      </c>
      <c r="E390" t="s">
        <v>264</v>
      </c>
      <c r="F390" t="s">
        <v>132</v>
      </c>
      <c r="G390">
        <v>2012</v>
      </c>
      <c r="H390">
        <v>0.35389999999999999</v>
      </c>
    </row>
    <row r="391" spans="1:8" x14ac:dyDescent="0.2">
      <c r="A391" t="str">
        <f t="shared" si="17"/>
        <v>RHEWELCGEY-Es2d1b2</v>
      </c>
      <c r="B391">
        <f t="shared" si="16"/>
        <v>58</v>
      </c>
      <c r="C391" t="s">
        <v>116</v>
      </c>
      <c r="D391" t="s">
        <v>180</v>
      </c>
      <c r="E391" t="s">
        <v>265</v>
      </c>
      <c r="F391" t="s">
        <v>132</v>
      </c>
      <c r="G391">
        <v>2012</v>
      </c>
      <c r="H391">
        <v>1</v>
      </c>
    </row>
    <row r="392" spans="1:8" x14ac:dyDescent="0.2">
      <c r="A392" t="str">
        <f t="shared" si="17"/>
        <v>RHEWELCGEY-Es2d1b3</v>
      </c>
      <c r="B392">
        <f t="shared" si="16"/>
        <v>58</v>
      </c>
      <c r="C392" t="s">
        <v>116</v>
      </c>
      <c r="D392" t="s">
        <v>180</v>
      </c>
      <c r="E392" t="s">
        <v>266</v>
      </c>
      <c r="F392" t="s">
        <v>132</v>
      </c>
      <c r="G392">
        <v>2012</v>
      </c>
      <c r="H392">
        <v>0.35830000000000001</v>
      </c>
    </row>
    <row r="393" spans="1:8" x14ac:dyDescent="0.2">
      <c r="A393" t="str">
        <f t="shared" si="17"/>
        <v>RHEWELCGEY-Es2d1b4</v>
      </c>
      <c r="B393">
        <f t="shared" si="16"/>
        <v>58</v>
      </c>
      <c r="C393" t="s">
        <v>116</v>
      </c>
      <c r="D393" t="s">
        <v>180</v>
      </c>
      <c r="E393" t="s">
        <v>267</v>
      </c>
      <c r="F393" t="s">
        <v>132</v>
      </c>
      <c r="G393">
        <v>2012</v>
      </c>
      <c r="H393">
        <v>0.79810000000000003</v>
      </c>
    </row>
    <row r="394" spans="1:8" x14ac:dyDescent="0.2">
      <c r="A394" t="str">
        <f t="shared" si="17"/>
        <v>RHEWELCGEY-Es2d1b5</v>
      </c>
      <c r="B394">
        <f t="shared" si="16"/>
        <v>58</v>
      </c>
      <c r="C394" t="s">
        <v>116</v>
      </c>
      <c r="D394" t="s">
        <v>180</v>
      </c>
      <c r="E394" t="s">
        <v>268</v>
      </c>
      <c r="F394" t="s">
        <v>132</v>
      </c>
      <c r="G394">
        <v>2012</v>
      </c>
      <c r="H394">
        <v>0.80679999999999996</v>
      </c>
    </row>
    <row r="395" spans="1:8" x14ac:dyDescent="0.2">
      <c r="A395" t="str">
        <f t="shared" si="17"/>
        <v>RHEWELCCHP-Ns1d1b1</v>
      </c>
      <c r="B395">
        <f t="shared" si="16"/>
        <v>59</v>
      </c>
      <c r="C395" t="s">
        <v>116</v>
      </c>
      <c r="D395" t="s">
        <v>181</v>
      </c>
      <c r="E395" t="s">
        <v>261</v>
      </c>
      <c r="F395" t="s">
        <v>132</v>
      </c>
      <c r="G395">
        <v>2012</v>
      </c>
      <c r="H395">
        <v>0.31969999999999998</v>
      </c>
    </row>
    <row r="396" spans="1:8" x14ac:dyDescent="0.2">
      <c r="A396" t="str">
        <f t="shared" si="17"/>
        <v>RHEWELCCHP-Ns1d1b2</v>
      </c>
      <c r="B396">
        <f t="shared" si="16"/>
        <v>59</v>
      </c>
      <c r="C396" t="s">
        <v>116</v>
      </c>
      <c r="D396" t="s">
        <v>181</v>
      </c>
      <c r="E396" t="s">
        <v>262</v>
      </c>
      <c r="F396" t="s">
        <v>132</v>
      </c>
      <c r="G396">
        <v>2012</v>
      </c>
      <c r="H396">
        <v>0.57640000000000002</v>
      </c>
    </row>
    <row r="397" spans="1:8" x14ac:dyDescent="0.2">
      <c r="A397" t="str">
        <f t="shared" si="17"/>
        <v>RHEWELCCHP-Ns1d1b3</v>
      </c>
      <c r="B397">
        <f t="shared" si="16"/>
        <v>59</v>
      </c>
      <c r="C397" t="s">
        <v>116</v>
      </c>
      <c r="D397" t="s">
        <v>181</v>
      </c>
      <c r="E397" t="s">
        <v>263</v>
      </c>
      <c r="F397" t="s">
        <v>132</v>
      </c>
      <c r="G397">
        <v>2012</v>
      </c>
      <c r="H397">
        <v>0.8347</v>
      </c>
    </row>
    <row r="398" spans="1:8" x14ac:dyDescent="0.2">
      <c r="A398" t="str">
        <f t="shared" si="17"/>
        <v>RHEWELCCHP-Ns2d1b1</v>
      </c>
      <c r="B398">
        <f t="shared" si="16"/>
        <v>59</v>
      </c>
      <c r="C398" t="s">
        <v>116</v>
      </c>
      <c r="D398" t="s">
        <v>181</v>
      </c>
      <c r="E398" t="s">
        <v>264</v>
      </c>
      <c r="F398" t="s">
        <v>132</v>
      </c>
      <c r="G398">
        <v>2012</v>
      </c>
      <c r="H398">
        <v>0.35389999999999999</v>
      </c>
    </row>
    <row r="399" spans="1:8" x14ac:dyDescent="0.2">
      <c r="A399" t="str">
        <f t="shared" si="17"/>
        <v>RHEWELCCHP-Ns2d1b2</v>
      </c>
      <c r="B399">
        <f t="shared" si="16"/>
        <v>59</v>
      </c>
      <c r="C399" t="s">
        <v>116</v>
      </c>
      <c r="D399" t="s">
        <v>181</v>
      </c>
      <c r="E399" t="s">
        <v>265</v>
      </c>
      <c r="F399" t="s">
        <v>132</v>
      </c>
      <c r="G399">
        <v>2012</v>
      </c>
      <c r="H399">
        <v>1</v>
      </c>
    </row>
    <row r="400" spans="1:8" x14ac:dyDescent="0.2">
      <c r="A400" t="str">
        <f t="shared" si="17"/>
        <v>RHEWELCCHP-Ns2d1b3</v>
      </c>
      <c r="B400">
        <f t="shared" si="16"/>
        <v>59</v>
      </c>
      <c r="C400" t="s">
        <v>116</v>
      </c>
      <c r="D400" t="s">
        <v>181</v>
      </c>
      <c r="E400" t="s">
        <v>266</v>
      </c>
      <c r="F400" t="s">
        <v>132</v>
      </c>
      <c r="G400">
        <v>2012</v>
      </c>
      <c r="H400">
        <v>0.35830000000000001</v>
      </c>
    </row>
    <row r="401" spans="1:8" x14ac:dyDescent="0.2">
      <c r="A401" t="str">
        <f t="shared" si="17"/>
        <v>RHEWELCCHP-Ns2d1b4</v>
      </c>
      <c r="B401">
        <f t="shared" si="16"/>
        <v>59</v>
      </c>
      <c r="C401" t="s">
        <v>116</v>
      </c>
      <c r="D401" t="s">
        <v>181</v>
      </c>
      <c r="E401" t="s">
        <v>267</v>
      </c>
      <c r="F401" t="s">
        <v>132</v>
      </c>
      <c r="G401">
        <v>2012</v>
      </c>
      <c r="H401">
        <v>0.79810000000000003</v>
      </c>
    </row>
    <row r="402" spans="1:8" x14ac:dyDescent="0.2">
      <c r="A402" t="str">
        <f t="shared" si="17"/>
        <v>RHEWELCCHP-Ns2d1b5</v>
      </c>
      <c r="B402">
        <f t="shared" si="16"/>
        <v>59</v>
      </c>
      <c r="C402" t="s">
        <v>116</v>
      </c>
      <c r="D402" t="s">
        <v>181</v>
      </c>
      <c r="E402" t="s">
        <v>268</v>
      </c>
      <c r="F402" t="s">
        <v>132</v>
      </c>
      <c r="G402">
        <v>2012</v>
      </c>
      <c r="H402">
        <v>0.80679999999999996</v>
      </c>
    </row>
    <row r="403" spans="1:8" x14ac:dyDescent="0.2">
      <c r="A403" t="str">
        <f t="shared" si="17"/>
        <v>RHEWELCSWH-Es1d1b1</v>
      </c>
      <c r="B403">
        <f t="shared" si="16"/>
        <v>60</v>
      </c>
      <c r="C403" t="s">
        <v>116</v>
      </c>
      <c r="D403" t="s">
        <v>182</v>
      </c>
      <c r="E403" t="s">
        <v>261</v>
      </c>
      <c r="F403" t="s">
        <v>132</v>
      </c>
      <c r="G403">
        <v>2012</v>
      </c>
      <c r="H403">
        <v>0.31969999999999998</v>
      </c>
    </row>
    <row r="404" spans="1:8" x14ac:dyDescent="0.2">
      <c r="A404" t="str">
        <f t="shared" si="17"/>
        <v>RHEWELCSWH-Es1d1b2</v>
      </c>
      <c r="B404">
        <f t="shared" si="16"/>
        <v>60</v>
      </c>
      <c r="C404" t="s">
        <v>116</v>
      </c>
      <c r="D404" t="s">
        <v>182</v>
      </c>
      <c r="E404" t="s">
        <v>262</v>
      </c>
      <c r="F404" t="s">
        <v>132</v>
      </c>
      <c r="G404">
        <v>2012</v>
      </c>
      <c r="H404">
        <v>0.57640000000000002</v>
      </c>
    </row>
    <row r="405" spans="1:8" x14ac:dyDescent="0.2">
      <c r="A405" t="str">
        <f t="shared" si="17"/>
        <v>RHEWELCSWH-Es1d1b3</v>
      </c>
      <c r="B405">
        <f t="shared" si="16"/>
        <v>60</v>
      </c>
      <c r="C405" t="s">
        <v>116</v>
      </c>
      <c r="D405" t="s">
        <v>182</v>
      </c>
      <c r="E405" t="s">
        <v>263</v>
      </c>
      <c r="F405" t="s">
        <v>132</v>
      </c>
      <c r="G405">
        <v>2012</v>
      </c>
      <c r="H405">
        <v>0.8347</v>
      </c>
    </row>
    <row r="406" spans="1:8" x14ac:dyDescent="0.2">
      <c r="A406" t="str">
        <f t="shared" si="17"/>
        <v>RHEWELCSWH-Es2d1b1</v>
      </c>
      <c r="B406">
        <f t="shared" si="16"/>
        <v>60</v>
      </c>
      <c r="C406" t="s">
        <v>116</v>
      </c>
      <c r="D406" t="s">
        <v>182</v>
      </c>
      <c r="E406" t="s">
        <v>264</v>
      </c>
      <c r="F406" t="s">
        <v>132</v>
      </c>
      <c r="G406">
        <v>2012</v>
      </c>
      <c r="H406">
        <v>0.35389999999999999</v>
      </c>
    </row>
    <row r="407" spans="1:8" x14ac:dyDescent="0.2">
      <c r="A407" t="str">
        <f t="shared" si="17"/>
        <v>RHEWELCSWH-Es2d1b2</v>
      </c>
      <c r="B407">
        <f t="shared" si="16"/>
        <v>60</v>
      </c>
      <c r="C407" t="s">
        <v>116</v>
      </c>
      <c r="D407" t="s">
        <v>182</v>
      </c>
      <c r="E407" t="s">
        <v>265</v>
      </c>
      <c r="F407" t="s">
        <v>132</v>
      </c>
      <c r="G407">
        <v>2012</v>
      </c>
      <c r="H407">
        <v>1</v>
      </c>
    </row>
    <row r="408" spans="1:8" x14ac:dyDescent="0.2">
      <c r="A408" t="str">
        <f t="shared" si="17"/>
        <v>RHEWELCSWH-Es2d1b3</v>
      </c>
      <c r="B408">
        <f t="shared" si="16"/>
        <v>60</v>
      </c>
      <c r="C408" t="s">
        <v>116</v>
      </c>
      <c r="D408" t="s">
        <v>182</v>
      </c>
      <c r="E408" t="s">
        <v>266</v>
      </c>
      <c r="F408" t="s">
        <v>132</v>
      </c>
      <c r="G408">
        <v>2012</v>
      </c>
      <c r="H408">
        <v>0.35830000000000001</v>
      </c>
    </row>
    <row r="409" spans="1:8" x14ac:dyDescent="0.2">
      <c r="A409" t="str">
        <f t="shared" si="17"/>
        <v>RHEWELCSWH-Es2d1b4</v>
      </c>
      <c r="B409">
        <f t="shared" si="16"/>
        <v>60</v>
      </c>
      <c r="C409" t="s">
        <v>116</v>
      </c>
      <c r="D409" t="s">
        <v>182</v>
      </c>
      <c r="E409" t="s">
        <v>267</v>
      </c>
      <c r="F409" t="s">
        <v>132</v>
      </c>
      <c r="G409">
        <v>2012</v>
      </c>
      <c r="H409">
        <v>0.79810000000000003</v>
      </c>
    </row>
    <row r="410" spans="1:8" x14ac:dyDescent="0.2">
      <c r="A410" t="str">
        <f t="shared" si="17"/>
        <v>RHEWELCSWH-Es2d1b5</v>
      </c>
      <c r="B410">
        <f t="shared" si="16"/>
        <v>60</v>
      </c>
      <c r="C410" t="s">
        <v>116</v>
      </c>
      <c r="D410" t="s">
        <v>182</v>
      </c>
      <c r="E410" t="s">
        <v>268</v>
      </c>
      <c r="F410" t="s">
        <v>132</v>
      </c>
      <c r="G410">
        <v>2012</v>
      </c>
      <c r="H410">
        <v>0.80679999999999996</v>
      </c>
    </row>
    <row r="411" spans="1:8" x14ac:dyDescent="0.2">
      <c r="A411" t="str">
        <f t="shared" si="17"/>
        <v>RHEWOKESTOV-Es1d1b1</v>
      </c>
      <c r="B411">
        <f t="shared" si="16"/>
        <v>61</v>
      </c>
      <c r="C411" t="s">
        <v>116</v>
      </c>
      <c r="D411" t="s">
        <v>183</v>
      </c>
      <c r="E411" t="s">
        <v>261</v>
      </c>
      <c r="F411" t="s">
        <v>132</v>
      </c>
      <c r="G411">
        <v>2012</v>
      </c>
      <c r="H411">
        <v>0.31969999999999998</v>
      </c>
    </row>
    <row r="412" spans="1:8" x14ac:dyDescent="0.2">
      <c r="A412" t="str">
        <f t="shared" si="17"/>
        <v>RHEWOKESTOV-Es1d1b2</v>
      </c>
      <c r="B412">
        <f t="shared" si="16"/>
        <v>61</v>
      </c>
      <c r="C412" t="s">
        <v>116</v>
      </c>
      <c r="D412" t="s">
        <v>183</v>
      </c>
      <c r="E412" t="s">
        <v>262</v>
      </c>
      <c r="F412" t="s">
        <v>132</v>
      </c>
      <c r="G412">
        <v>2012</v>
      </c>
      <c r="H412">
        <v>0.57640000000000002</v>
      </c>
    </row>
    <row r="413" spans="1:8" x14ac:dyDescent="0.2">
      <c r="A413" t="str">
        <f t="shared" si="17"/>
        <v>RHEWOKESTOV-Es1d1b3</v>
      </c>
      <c r="B413">
        <f t="shared" si="16"/>
        <v>61</v>
      </c>
      <c r="C413" t="s">
        <v>116</v>
      </c>
      <c r="D413" t="s">
        <v>183</v>
      </c>
      <c r="E413" t="s">
        <v>263</v>
      </c>
      <c r="F413" t="s">
        <v>132</v>
      </c>
      <c r="G413">
        <v>2012</v>
      </c>
      <c r="H413">
        <v>0.8347</v>
      </c>
    </row>
    <row r="414" spans="1:8" x14ac:dyDescent="0.2">
      <c r="A414" t="str">
        <f t="shared" si="17"/>
        <v>RHEWOKESTOV-Es2d1b1</v>
      </c>
      <c r="B414">
        <f t="shared" si="16"/>
        <v>61</v>
      </c>
      <c r="C414" t="s">
        <v>116</v>
      </c>
      <c r="D414" t="s">
        <v>183</v>
      </c>
      <c r="E414" t="s">
        <v>264</v>
      </c>
      <c r="F414" t="s">
        <v>132</v>
      </c>
      <c r="G414">
        <v>2012</v>
      </c>
      <c r="H414">
        <v>0.35389999999999999</v>
      </c>
    </row>
    <row r="415" spans="1:8" x14ac:dyDescent="0.2">
      <c r="A415" t="str">
        <f t="shared" si="17"/>
        <v>RHEWOKESTOV-Es2d1b2</v>
      </c>
      <c r="B415">
        <f t="shared" si="16"/>
        <v>61</v>
      </c>
      <c r="C415" t="s">
        <v>116</v>
      </c>
      <c r="D415" t="s">
        <v>183</v>
      </c>
      <c r="E415" t="s">
        <v>265</v>
      </c>
      <c r="F415" t="s">
        <v>132</v>
      </c>
      <c r="G415">
        <v>2012</v>
      </c>
      <c r="H415">
        <v>1</v>
      </c>
    </row>
    <row r="416" spans="1:8" x14ac:dyDescent="0.2">
      <c r="A416" t="str">
        <f t="shared" si="17"/>
        <v>RHEWOKESTOV-Es2d1b3</v>
      </c>
      <c r="B416">
        <f t="shared" si="16"/>
        <v>61</v>
      </c>
      <c r="C416" t="s">
        <v>116</v>
      </c>
      <c r="D416" t="s">
        <v>183</v>
      </c>
      <c r="E416" t="s">
        <v>266</v>
      </c>
      <c r="F416" t="s">
        <v>132</v>
      </c>
      <c r="G416">
        <v>2012</v>
      </c>
      <c r="H416">
        <v>0.35830000000000001</v>
      </c>
    </row>
    <row r="417" spans="1:8" x14ac:dyDescent="0.2">
      <c r="A417" t="str">
        <f t="shared" si="17"/>
        <v>RHEWOKESTOV-Es2d1b4</v>
      </c>
      <c r="B417">
        <f t="shared" si="16"/>
        <v>61</v>
      </c>
      <c r="C417" t="s">
        <v>116</v>
      </c>
      <c r="D417" t="s">
        <v>183</v>
      </c>
      <c r="E417" t="s">
        <v>267</v>
      </c>
      <c r="F417" t="s">
        <v>132</v>
      </c>
      <c r="G417">
        <v>2012</v>
      </c>
      <c r="H417">
        <v>0.79810000000000003</v>
      </c>
    </row>
    <row r="418" spans="1:8" x14ac:dyDescent="0.2">
      <c r="A418" t="str">
        <f t="shared" si="17"/>
        <v>RHEWOKESTOV-Es2d1b5</v>
      </c>
      <c r="B418">
        <f t="shared" si="16"/>
        <v>61</v>
      </c>
      <c r="C418" t="s">
        <v>116</v>
      </c>
      <c r="D418" t="s">
        <v>183</v>
      </c>
      <c r="E418" t="s">
        <v>268</v>
      </c>
      <c r="F418" t="s">
        <v>132</v>
      </c>
      <c r="G418">
        <v>2012</v>
      </c>
      <c r="H418">
        <v>0.80679999999999996</v>
      </c>
    </row>
    <row r="419" spans="1:8" x14ac:dyDescent="0.2">
      <c r="A419" t="str">
        <f t="shared" si="17"/>
        <v>RHEWOLPSTOV-Es1d1b1</v>
      </c>
      <c r="B419">
        <f t="shared" si="16"/>
        <v>62</v>
      </c>
      <c r="C419" t="s">
        <v>116</v>
      </c>
      <c r="D419" t="s">
        <v>184</v>
      </c>
      <c r="E419" t="s">
        <v>261</v>
      </c>
      <c r="F419" t="s">
        <v>132</v>
      </c>
      <c r="G419">
        <v>2012</v>
      </c>
      <c r="H419">
        <v>0.31969999999999998</v>
      </c>
    </row>
    <row r="420" spans="1:8" x14ac:dyDescent="0.2">
      <c r="A420" t="str">
        <f t="shared" si="17"/>
        <v>RHEWOLPSTOV-Es1d1b2</v>
      </c>
      <c r="B420">
        <f t="shared" si="16"/>
        <v>62</v>
      </c>
      <c r="C420" t="s">
        <v>116</v>
      </c>
      <c r="D420" t="s">
        <v>184</v>
      </c>
      <c r="E420" t="s">
        <v>262</v>
      </c>
      <c r="F420" t="s">
        <v>132</v>
      </c>
      <c r="G420">
        <v>2012</v>
      </c>
      <c r="H420">
        <v>0.57640000000000002</v>
      </c>
    </row>
    <row r="421" spans="1:8" x14ac:dyDescent="0.2">
      <c r="A421" t="str">
        <f t="shared" si="17"/>
        <v>RHEWOLPSTOV-Es1d1b3</v>
      </c>
      <c r="B421">
        <f t="shared" si="16"/>
        <v>62</v>
      </c>
      <c r="C421" t="s">
        <v>116</v>
      </c>
      <c r="D421" t="s">
        <v>184</v>
      </c>
      <c r="E421" t="s">
        <v>263</v>
      </c>
      <c r="F421" t="s">
        <v>132</v>
      </c>
      <c r="G421">
        <v>2012</v>
      </c>
      <c r="H421">
        <v>0.8347</v>
      </c>
    </row>
    <row r="422" spans="1:8" x14ac:dyDescent="0.2">
      <c r="A422" t="str">
        <f t="shared" si="17"/>
        <v>RHEWOLPSTOV-Es2d1b1</v>
      </c>
      <c r="B422">
        <f t="shared" si="16"/>
        <v>62</v>
      </c>
      <c r="C422" t="s">
        <v>116</v>
      </c>
      <c r="D422" t="s">
        <v>184</v>
      </c>
      <c r="E422" t="s">
        <v>264</v>
      </c>
      <c r="F422" t="s">
        <v>132</v>
      </c>
      <c r="G422">
        <v>2012</v>
      </c>
      <c r="H422">
        <v>0.35389999999999999</v>
      </c>
    </row>
    <row r="423" spans="1:8" x14ac:dyDescent="0.2">
      <c r="A423" t="str">
        <f t="shared" si="17"/>
        <v>RHEWOLPSTOV-Es2d1b2</v>
      </c>
      <c r="B423">
        <f t="shared" si="16"/>
        <v>62</v>
      </c>
      <c r="C423" t="s">
        <v>116</v>
      </c>
      <c r="D423" t="s">
        <v>184</v>
      </c>
      <c r="E423" t="s">
        <v>265</v>
      </c>
      <c r="F423" t="s">
        <v>132</v>
      </c>
      <c r="G423">
        <v>2012</v>
      </c>
      <c r="H423">
        <v>1</v>
      </c>
    </row>
    <row r="424" spans="1:8" x14ac:dyDescent="0.2">
      <c r="A424" t="str">
        <f t="shared" si="17"/>
        <v>RHEWOLPSTOV-Es2d1b3</v>
      </c>
      <c r="B424">
        <f t="shared" si="16"/>
        <v>62</v>
      </c>
      <c r="C424" t="s">
        <v>116</v>
      </c>
      <c r="D424" t="s">
        <v>184</v>
      </c>
      <c r="E424" t="s">
        <v>266</v>
      </c>
      <c r="F424" t="s">
        <v>132</v>
      </c>
      <c r="G424">
        <v>2012</v>
      </c>
      <c r="H424">
        <v>0.35830000000000001</v>
      </c>
    </row>
    <row r="425" spans="1:8" x14ac:dyDescent="0.2">
      <c r="A425" t="str">
        <f t="shared" si="17"/>
        <v>RHEWOLPSTOV-Es2d1b4</v>
      </c>
      <c r="B425">
        <f t="shared" si="16"/>
        <v>62</v>
      </c>
      <c r="C425" t="s">
        <v>116</v>
      </c>
      <c r="D425" t="s">
        <v>184</v>
      </c>
      <c r="E425" t="s">
        <v>267</v>
      </c>
      <c r="F425" t="s">
        <v>132</v>
      </c>
      <c r="G425">
        <v>2012</v>
      </c>
      <c r="H425">
        <v>0.79810000000000003</v>
      </c>
    </row>
    <row r="426" spans="1:8" x14ac:dyDescent="0.2">
      <c r="A426" t="str">
        <f t="shared" si="17"/>
        <v>RHEWOLPSTOV-Es2d1b5</v>
      </c>
      <c r="B426">
        <f t="shared" si="16"/>
        <v>62</v>
      </c>
      <c r="C426" t="s">
        <v>116</v>
      </c>
      <c r="D426" t="s">
        <v>184</v>
      </c>
      <c r="E426" t="s">
        <v>268</v>
      </c>
      <c r="F426" t="s">
        <v>132</v>
      </c>
      <c r="G426">
        <v>2012</v>
      </c>
      <c r="H426">
        <v>0.80679999999999996</v>
      </c>
    </row>
    <row r="427" spans="1:8" x14ac:dyDescent="0.2">
      <c r="A427" t="str">
        <f t="shared" si="17"/>
        <v>RHEWGASHEAT-Ns1d1b1</v>
      </c>
      <c r="B427">
        <f t="shared" si="16"/>
        <v>63</v>
      </c>
      <c r="C427" t="s">
        <v>116</v>
      </c>
      <c r="D427" t="s">
        <v>185</v>
      </c>
      <c r="E427" t="s">
        <v>261</v>
      </c>
      <c r="F427" t="s">
        <v>132</v>
      </c>
      <c r="G427">
        <v>2012</v>
      </c>
      <c r="H427">
        <v>0.31969999999999998</v>
      </c>
    </row>
    <row r="428" spans="1:8" x14ac:dyDescent="0.2">
      <c r="A428" t="str">
        <f t="shared" si="17"/>
        <v>RHEWGASHEAT-Ns1d1b2</v>
      </c>
      <c r="B428">
        <f t="shared" si="16"/>
        <v>63</v>
      </c>
      <c r="C428" t="s">
        <v>116</v>
      </c>
      <c r="D428" t="s">
        <v>185</v>
      </c>
      <c r="E428" t="s">
        <v>262</v>
      </c>
      <c r="F428" t="s">
        <v>132</v>
      </c>
      <c r="G428">
        <v>2012</v>
      </c>
      <c r="H428">
        <v>0.57640000000000002</v>
      </c>
    </row>
    <row r="429" spans="1:8" x14ac:dyDescent="0.2">
      <c r="A429" t="str">
        <f t="shared" si="17"/>
        <v>RHEWGASHEAT-Ns1d1b3</v>
      </c>
      <c r="B429">
        <f t="shared" si="16"/>
        <v>63</v>
      </c>
      <c r="C429" t="s">
        <v>116</v>
      </c>
      <c r="D429" t="s">
        <v>185</v>
      </c>
      <c r="E429" t="s">
        <v>263</v>
      </c>
      <c r="F429" t="s">
        <v>132</v>
      </c>
      <c r="G429">
        <v>2012</v>
      </c>
      <c r="H429">
        <v>0.8347</v>
      </c>
    </row>
    <row r="430" spans="1:8" x14ac:dyDescent="0.2">
      <c r="A430" t="str">
        <f t="shared" si="17"/>
        <v>RHEWGASHEAT-Ns2d1b1</v>
      </c>
      <c r="B430">
        <f t="shared" si="16"/>
        <v>63</v>
      </c>
      <c r="C430" t="s">
        <v>116</v>
      </c>
      <c r="D430" t="s">
        <v>185</v>
      </c>
      <c r="E430" t="s">
        <v>264</v>
      </c>
      <c r="F430" t="s">
        <v>132</v>
      </c>
      <c r="G430">
        <v>2012</v>
      </c>
      <c r="H430">
        <v>0.35389999999999999</v>
      </c>
    </row>
    <row r="431" spans="1:8" x14ac:dyDescent="0.2">
      <c r="A431" t="str">
        <f t="shared" si="17"/>
        <v>RHEWGASHEAT-Ns2d1b2</v>
      </c>
      <c r="B431">
        <f t="shared" si="16"/>
        <v>63</v>
      </c>
      <c r="C431" t="s">
        <v>116</v>
      </c>
      <c r="D431" t="s">
        <v>185</v>
      </c>
      <c r="E431" t="s">
        <v>265</v>
      </c>
      <c r="F431" t="s">
        <v>132</v>
      </c>
      <c r="G431">
        <v>2012</v>
      </c>
      <c r="H431">
        <v>1</v>
      </c>
    </row>
    <row r="432" spans="1:8" x14ac:dyDescent="0.2">
      <c r="A432" t="str">
        <f t="shared" si="17"/>
        <v>RHEWGASHEAT-Ns2d1b3</v>
      </c>
      <c r="B432">
        <f t="shared" si="16"/>
        <v>63</v>
      </c>
      <c r="C432" t="s">
        <v>116</v>
      </c>
      <c r="D432" t="s">
        <v>185</v>
      </c>
      <c r="E432" t="s">
        <v>266</v>
      </c>
      <c r="F432" t="s">
        <v>132</v>
      </c>
      <c r="G432">
        <v>2012</v>
      </c>
      <c r="H432">
        <v>0.35830000000000001</v>
      </c>
    </row>
    <row r="433" spans="1:8" x14ac:dyDescent="0.2">
      <c r="A433" t="str">
        <f t="shared" si="17"/>
        <v>RHEWGASHEAT-Ns2d1b4</v>
      </c>
      <c r="B433">
        <f t="shared" si="16"/>
        <v>63</v>
      </c>
      <c r="C433" t="s">
        <v>116</v>
      </c>
      <c r="D433" t="s">
        <v>185</v>
      </c>
      <c r="E433" t="s">
        <v>267</v>
      </c>
      <c r="F433" t="s">
        <v>132</v>
      </c>
      <c r="G433">
        <v>2012</v>
      </c>
      <c r="H433">
        <v>0.79810000000000003</v>
      </c>
    </row>
    <row r="434" spans="1:8" x14ac:dyDescent="0.2">
      <c r="A434" t="str">
        <f t="shared" si="17"/>
        <v>RHEWGASHEAT-Ns2d1b5</v>
      </c>
      <c r="B434">
        <f t="shared" si="16"/>
        <v>63</v>
      </c>
      <c r="C434" t="s">
        <v>116</v>
      </c>
      <c r="D434" t="s">
        <v>185</v>
      </c>
      <c r="E434" t="s">
        <v>268</v>
      </c>
      <c r="F434" t="s">
        <v>132</v>
      </c>
      <c r="G434">
        <v>2012</v>
      </c>
      <c r="H434">
        <v>0.80679999999999996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9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>
      <pane xSplit="4" ySplit="7" topLeftCell="E8" activePane="bottomRight" state="frozen"/>
      <selection pane="topRight" activeCell="E1" sqref="E1"/>
      <selection pane="bottomLeft" activeCell="A8" sqref="A8"/>
      <selection pane="bottomRight"/>
    </sheetView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>
      <pane xSplit="7" ySplit="7" topLeftCell="H8" activePane="bottomRight" state="frozen"/>
      <selection pane="topRight" activeCell="J1" sqref="J1"/>
      <selection pane="bottomLeft" activeCell="A8" sqref="A8"/>
      <selection pane="bottomRight"/>
    </sheetView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zoomScaleNormal="100" workbookViewId="0">
      <pane xSplit="7" ySplit="7" topLeftCell="H8" activePane="bottomRight" state="frozen"/>
      <selection pane="topRight" activeCell="G1" sqref="G1"/>
      <selection pane="bottomLeft" activeCell="A8" sqref="A8"/>
      <selection pane="bottomRight"/>
    </sheetView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9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9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9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>
      <pane ySplit="7" topLeftCell="A8" activePane="bottomLeft" state="frozen"/>
      <selection pane="bottomLeft" activeCell="A9" sqref="A9"/>
    </sheetView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ANSv2-692-Home</vt:lpstr>
      <vt:lpstr>Processes</vt:lpstr>
      <vt:lpstr>ProcData</vt:lpstr>
      <vt:lpstr>RawDatafrombuFile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alison</cp:lastModifiedBy>
  <cp:lastPrinted>2005-06-23T04:07:43Z</cp:lastPrinted>
  <dcterms:created xsi:type="dcterms:W3CDTF">2005-05-01T12:39:10Z</dcterms:created>
  <dcterms:modified xsi:type="dcterms:W3CDTF">2020-07-23T12:02:44Z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