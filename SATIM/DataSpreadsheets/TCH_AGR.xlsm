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7.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8.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1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1.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drawings/drawing12.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14.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15.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C8F6C1F1-F79C-4AB7-B995-EA9A313BF3CE}" xr6:coauthVersionLast="45" xr6:coauthVersionMax="45" xr10:uidLastSave="{00000000-0000-0000-0000-000000000000}"/>
  <bookViews>
    <workbookView xWindow="4395" yWindow="1905" windowWidth="21600" windowHeight="13695" tabRatio="761" firstSheet="8" activeTab="14" xr2:uid="{00000000-000D-0000-FFFF-FFFF00000000}"/>
  </bookViews>
  <sheets>
    <sheet name="Change Log" sheetId="9" r:id="rId1"/>
    <sheet name="Index" sheetId="34" r:id="rId2"/>
    <sheet name="AGRIC RES" sheetId="3" r:id="rId3"/>
    <sheet name="Sources" sheetId="11" r:id="rId4"/>
    <sheet name="Appendix 1" sheetId="14" r:id="rId5"/>
    <sheet name="Appendix 2" sheetId="12" r:id="rId6"/>
    <sheet name="Appendix 3" sheetId="16" r:id="rId7"/>
    <sheet name="Appendix 4" sheetId="13" r:id="rId8"/>
    <sheet name="Appendix 5" sheetId="7" r:id="rId9"/>
    <sheet name="Appendix 6" sheetId="8" r:id="rId10"/>
    <sheet name="Appendix 7" sheetId="35" r:id="rId11"/>
    <sheet name="REGIONS" sheetId="17" r:id="rId12"/>
    <sheet name="Final Demand" sheetId="15" r:id="rId13"/>
    <sheet name="Sheet1" sheetId="36" r:id="rId14"/>
    <sheet name="AGR" sheetId="18" r:id="rId15"/>
    <sheet name="ITEMS_Tech" sheetId="19" r:id="rId16"/>
    <sheet name="TS DTech" sheetId="20" r:id="rId17"/>
    <sheet name="TS DMARK" sheetId="32" r:id="rId18"/>
    <sheet name="TID DTech" sheetId="21" r:id="rId19"/>
    <sheet name="ITEMS_Comm" sheetId="22" r:id="rId20"/>
    <sheet name="TS BYDem" sheetId="23" r:id="rId21"/>
    <sheet name="TS COMFR" sheetId="31" r:id="rId22"/>
    <sheet name="TS COMFR_10" sheetId="33" r:id="rId23"/>
    <sheet name="TS FTech" sheetId="24" r:id="rId24"/>
    <sheet name="TID FTech" sheetId="25" r:id="rId25"/>
    <sheet name="TS Emiss" sheetId="26" r:id="rId26"/>
    <sheet name="TID Emiss" sheetId="27" r:id="rId27"/>
    <sheet name="NameConv" sheetId="28" r:id="rId28"/>
    <sheet name="AFA" sheetId="29" r:id="rId29"/>
  </sheets>
  <externalReferences>
    <externalReference r:id="rId30"/>
    <externalReference r:id="rId31"/>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rPAMS">Sheet1!$B$10</definedName>
    <definedName name="ComTechs">AGR!$B$74</definedName>
    <definedName name="eps">NameConv!$F$1</definedName>
    <definedName name="FuelNames">NameConv!$D$3:$E$23</definedName>
    <definedName name="_xlnm.Print_Area" localSheetId="0">'Change Log'!$A$1:$B$39</definedName>
    <definedName name="_xlnm.Print_Area" localSheetId="3">Sources!$A$1:$K$35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 i="18" l="1"/>
  <c r="D7" i="18" l="1"/>
  <c r="A2" i="32" l="1"/>
  <c r="F7" i="29" l="1"/>
  <c r="E7" i="29"/>
  <c r="D7" i="29"/>
  <c r="C7" i="29"/>
  <c r="B7" i="29"/>
  <c r="J109" i="33"/>
  <c r="G109" i="33"/>
  <c r="D109" i="33"/>
  <c r="J108" i="33"/>
  <c r="G108" i="33"/>
  <c r="D108" i="33"/>
  <c r="J107" i="33"/>
  <c r="G107" i="33"/>
  <c r="D107" i="33"/>
  <c r="J106" i="33"/>
  <c r="G106" i="33"/>
  <c r="D106" i="33"/>
  <c r="J105" i="33"/>
  <c r="G105" i="33"/>
  <c r="D105" i="33"/>
  <c r="J104" i="33"/>
  <c r="G104" i="33"/>
  <c r="D104" i="33"/>
  <c r="J103" i="33"/>
  <c r="G103" i="33"/>
  <c r="D103" i="33"/>
  <c r="J102" i="33"/>
  <c r="G102" i="33"/>
  <c r="D102" i="33"/>
  <c r="J101" i="33"/>
  <c r="G101" i="33"/>
  <c r="D101" i="33"/>
  <c r="J100" i="33"/>
  <c r="G100" i="33"/>
  <c r="D100" i="33"/>
  <c r="J99" i="33"/>
  <c r="G99" i="33"/>
  <c r="D99" i="33"/>
  <c r="J98" i="33"/>
  <c r="G98" i="33"/>
  <c r="D98" i="33"/>
  <c r="J97" i="33"/>
  <c r="G97" i="33"/>
  <c r="D97" i="33"/>
  <c r="J96" i="33"/>
  <c r="G96" i="33"/>
  <c r="D96" i="33"/>
  <c r="J95" i="33"/>
  <c r="G95" i="33"/>
  <c r="D95" i="33"/>
  <c r="J94" i="33"/>
  <c r="G94" i="33"/>
  <c r="D94" i="33"/>
  <c r="J93" i="33"/>
  <c r="G93" i="33"/>
  <c r="D93" i="33"/>
  <c r="J92" i="33"/>
  <c r="G92" i="33"/>
  <c r="D92" i="33"/>
  <c r="J91" i="33"/>
  <c r="G91" i="33"/>
  <c r="D91" i="33"/>
  <c r="J90" i="33"/>
  <c r="G90" i="33"/>
  <c r="D90" i="33"/>
  <c r="J89" i="33"/>
  <c r="G89" i="33"/>
  <c r="D89" i="33"/>
  <c r="J88" i="33"/>
  <c r="G88" i="33"/>
  <c r="D88" i="33"/>
  <c r="J87" i="33"/>
  <c r="G87" i="33"/>
  <c r="D87" i="33"/>
  <c r="J86" i="33"/>
  <c r="G86" i="33"/>
  <c r="D86" i="33"/>
  <c r="J85" i="33"/>
  <c r="G85" i="33"/>
  <c r="D85" i="33"/>
  <c r="J84" i="33"/>
  <c r="G84" i="33"/>
  <c r="D84" i="33"/>
  <c r="J83" i="33"/>
  <c r="G83" i="33"/>
  <c r="D83" i="33"/>
  <c r="J82" i="33"/>
  <c r="G82" i="33"/>
  <c r="D82" i="33"/>
  <c r="J81" i="33"/>
  <c r="G81" i="33"/>
  <c r="D81" i="33"/>
  <c r="J80" i="33"/>
  <c r="G80" i="33"/>
  <c r="D80" i="33"/>
  <c r="J79" i="33"/>
  <c r="G79" i="33"/>
  <c r="D79" i="33"/>
  <c r="J78" i="33"/>
  <c r="G78" i="33"/>
  <c r="D78" i="33"/>
  <c r="J77" i="33"/>
  <c r="G77" i="33"/>
  <c r="D77" i="33"/>
  <c r="J76" i="33"/>
  <c r="G76" i="33"/>
  <c r="D76" i="33"/>
  <c r="J75" i="33"/>
  <c r="G75" i="33"/>
  <c r="D75" i="33"/>
  <c r="J74" i="33"/>
  <c r="G74" i="33"/>
  <c r="D74" i="33"/>
  <c r="J73" i="33"/>
  <c r="G73" i="33"/>
  <c r="D73" i="33"/>
  <c r="J72" i="33"/>
  <c r="G72" i="33"/>
  <c r="D72" i="33"/>
  <c r="J71" i="33"/>
  <c r="G71" i="33"/>
  <c r="D71" i="33"/>
  <c r="J70" i="33"/>
  <c r="G70" i="33"/>
  <c r="D70" i="33"/>
  <c r="J69" i="33"/>
  <c r="G69" i="33"/>
  <c r="D69" i="33"/>
  <c r="J68" i="33"/>
  <c r="G68" i="33"/>
  <c r="D68" i="33"/>
  <c r="J67" i="33"/>
  <c r="G67" i="33"/>
  <c r="D67" i="33"/>
  <c r="J66" i="33"/>
  <c r="G66" i="33"/>
  <c r="D66" i="33"/>
  <c r="J65" i="33"/>
  <c r="G65" i="33"/>
  <c r="D65" i="33"/>
  <c r="J64" i="33"/>
  <c r="G64" i="33"/>
  <c r="D64" i="33"/>
  <c r="J63" i="33"/>
  <c r="G63" i="33"/>
  <c r="D63" i="33"/>
  <c r="J62" i="33"/>
  <c r="G62" i="33"/>
  <c r="D62" i="33"/>
  <c r="J61" i="33"/>
  <c r="G61" i="33"/>
  <c r="D61" i="33"/>
  <c r="J60" i="33"/>
  <c r="G60" i="33"/>
  <c r="D60" i="33"/>
  <c r="J59" i="33"/>
  <c r="G59" i="33"/>
  <c r="D59" i="33"/>
  <c r="J58" i="33"/>
  <c r="G58" i="33"/>
  <c r="D58" i="33"/>
  <c r="J57" i="33"/>
  <c r="G57" i="33"/>
  <c r="D57" i="33"/>
  <c r="J56" i="33"/>
  <c r="G56" i="33"/>
  <c r="D56" i="33"/>
  <c r="J55" i="33"/>
  <c r="G55" i="33"/>
  <c r="D55" i="33"/>
  <c r="J54" i="33"/>
  <c r="G54" i="33"/>
  <c r="D54" i="33"/>
  <c r="J53" i="33"/>
  <c r="G53" i="33"/>
  <c r="D53" i="33"/>
  <c r="J52" i="33"/>
  <c r="G52" i="33"/>
  <c r="D52" i="33"/>
  <c r="J51" i="33"/>
  <c r="G51" i="33"/>
  <c r="D51" i="33"/>
  <c r="J50" i="33"/>
  <c r="G50" i="33"/>
  <c r="D50" i="33"/>
  <c r="J49" i="33"/>
  <c r="G49" i="33"/>
  <c r="D49" i="33"/>
  <c r="J48" i="33"/>
  <c r="G48" i="33"/>
  <c r="D48" i="33"/>
  <c r="J47" i="33"/>
  <c r="G47" i="33"/>
  <c r="D47" i="33"/>
  <c r="J46" i="33"/>
  <c r="G46" i="33"/>
  <c r="D46" i="33"/>
  <c r="J45" i="33"/>
  <c r="G45" i="33"/>
  <c r="D45" i="33"/>
  <c r="J44" i="33"/>
  <c r="G44" i="33"/>
  <c r="D44" i="33"/>
  <c r="J43" i="33"/>
  <c r="G43" i="33"/>
  <c r="D43" i="33"/>
  <c r="J42" i="33"/>
  <c r="G42" i="33"/>
  <c r="D42" i="33"/>
  <c r="J41" i="33"/>
  <c r="G41" i="33"/>
  <c r="D41" i="33"/>
  <c r="J40" i="33"/>
  <c r="G40" i="33"/>
  <c r="D40" i="33"/>
  <c r="J39" i="33"/>
  <c r="G39" i="33"/>
  <c r="D39" i="33"/>
  <c r="J38" i="33"/>
  <c r="G38" i="33"/>
  <c r="D38" i="33"/>
  <c r="J37" i="33"/>
  <c r="G37" i="33"/>
  <c r="D37" i="33"/>
  <c r="J36" i="33"/>
  <c r="G36" i="33"/>
  <c r="D36" i="33"/>
  <c r="J35" i="33"/>
  <c r="G35" i="33"/>
  <c r="D35" i="33"/>
  <c r="J34" i="33"/>
  <c r="G34" i="33"/>
  <c r="D34" i="33"/>
  <c r="J33" i="33"/>
  <c r="G33" i="33"/>
  <c r="D33" i="33"/>
  <c r="J32" i="33"/>
  <c r="G32" i="33"/>
  <c r="D32" i="33"/>
  <c r="J31" i="33"/>
  <c r="G31" i="33"/>
  <c r="D31" i="33"/>
  <c r="J30" i="33"/>
  <c r="G30" i="33"/>
  <c r="D30" i="33"/>
  <c r="J29" i="33"/>
  <c r="G29" i="33"/>
  <c r="D29" i="33"/>
  <c r="J28" i="33"/>
  <c r="G28" i="33"/>
  <c r="D28" i="33"/>
  <c r="J27" i="33"/>
  <c r="G27" i="33"/>
  <c r="D27" i="33"/>
  <c r="J26" i="33"/>
  <c r="G26" i="33"/>
  <c r="D26" i="33"/>
  <c r="J25" i="33"/>
  <c r="G25" i="33"/>
  <c r="D25" i="33"/>
  <c r="J24" i="33"/>
  <c r="G24" i="33"/>
  <c r="D24" i="33"/>
  <c r="J23" i="33"/>
  <c r="G23" i="33"/>
  <c r="D23" i="33"/>
  <c r="J22" i="33"/>
  <c r="G22" i="33"/>
  <c r="D22" i="33"/>
  <c r="J21" i="33"/>
  <c r="G21" i="33"/>
  <c r="D21" i="33"/>
  <c r="J20" i="33"/>
  <c r="G20" i="33"/>
  <c r="D20" i="33"/>
  <c r="J19" i="33"/>
  <c r="G19" i="33"/>
  <c r="D19" i="33"/>
  <c r="J18" i="33"/>
  <c r="G18" i="33"/>
  <c r="D18" i="33"/>
  <c r="J17" i="33"/>
  <c r="G17" i="33"/>
  <c r="D17" i="33"/>
  <c r="J16" i="33"/>
  <c r="G16" i="33"/>
  <c r="D16" i="33"/>
  <c r="J15" i="33"/>
  <c r="G15" i="33"/>
  <c r="D15" i="33"/>
  <c r="J14" i="33"/>
  <c r="G14" i="33"/>
  <c r="D14" i="33"/>
  <c r="J13" i="33"/>
  <c r="G13" i="33"/>
  <c r="D13" i="33"/>
  <c r="J12" i="33"/>
  <c r="G12" i="33"/>
  <c r="D12" i="33"/>
  <c r="J11" i="33"/>
  <c r="G11" i="33"/>
  <c r="D11" i="33"/>
  <c r="J10" i="33"/>
  <c r="G10" i="33"/>
  <c r="D10" i="33"/>
  <c r="F6" i="29"/>
  <c r="E6" i="29"/>
  <c r="D6" i="29"/>
  <c r="C6" i="29"/>
  <c r="B6" i="29"/>
  <c r="F3" i="29"/>
  <c r="E3" i="29"/>
  <c r="D3" i="29"/>
  <c r="C3" i="29"/>
  <c r="B3" i="29"/>
  <c r="J109" i="31"/>
  <c r="G109" i="31"/>
  <c r="D109" i="31"/>
  <c r="J108" i="31"/>
  <c r="G108" i="31"/>
  <c r="D108" i="31"/>
  <c r="J107" i="31"/>
  <c r="G107" i="31"/>
  <c r="D107" i="31"/>
  <c r="J106" i="31"/>
  <c r="G106" i="31"/>
  <c r="D106" i="31"/>
  <c r="J105" i="31"/>
  <c r="G105" i="31"/>
  <c r="D105" i="31"/>
  <c r="J104" i="31"/>
  <c r="G104" i="31"/>
  <c r="D104" i="31"/>
  <c r="J103" i="31"/>
  <c r="G103" i="31"/>
  <c r="D103" i="31"/>
  <c r="J102" i="31"/>
  <c r="G102" i="31"/>
  <c r="D102" i="31"/>
  <c r="J101" i="31"/>
  <c r="G101" i="31"/>
  <c r="D101" i="31"/>
  <c r="J100" i="31"/>
  <c r="G100" i="31"/>
  <c r="D100" i="31"/>
  <c r="J99" i="31"/>
  <c r="G99" i="31"/>
  <c r="D99" i="31"/>
  <c r="J98" i="31"/>
  <c r="G98" i="31"/>
  <c r="D98" i="31"/>
  <c r="J97" i="31"/>
  <c r="G97" i="31"/>
  <c r="D97" i="31"/>
  <c r="J96" i="31"/>
  <c r="G96" i="31"/>
  <c r="D96" i="31"/>
  <c r="J95" i="31"/>
  <c r="G95" i="31"/>
  <c r="D95" i="31"/>
  <c r="J94" i="31"/>
  <c r="G94" i="31"/>
  <c r="D94" i="31"/>
  <c r="J93" i="31"/>
  <c r="G93" i="31"/>
  <c r="D93" i="31"/>
  <c r="J92" i="31"/>
  <c r="G92" i="31"/>
  <c r="D92" i="31"/>
  <c r="J91" i="31"/>
  <c r="G91" i="31"/>
  <c r="D91" i="31"/>
  <c r="J90" i="31"/>
  <c r="G90" i="31"/>
  <c r="D90" i="31"/>
  <c r="J89" i="31"/>
  <c r="G89" i="31"/>
  <c r="D89" i="31"/>
  <c r="J88" i="31"/>
  <c r="G88" i="31"/>
  <c r="D88" i="31"/>
  <c r="J87" i="31"/>
  <c r="G87" i="31"/>
  <c r="D87" i="31"/>
  <c r="J86" i="31"/>
  <c r="G86" i="31"/>
  <c r="D86" i="31"/>
  <c r="J85" i="31"/>
  <c r="G85" i="31"/>
  <c r="D85" i="31"/>
  <c r="J84" i="31"/>
  <c r="G84" i="31"/>
  <c r="D84" i="31"/>
  <c r="J83" i="31"/>
  <c r="G83" i="31"/>
  <c r="D83" i="31"/>
  <c r="J82" i="31"/>
  <c r="G82" i="31"/>
  <c r="D82" i="31"/>
  <c r="J81" i="31"/>
  <c r="G81" i="31"/>
  <c r="D81" i="31"/>
  <c r="J80" i="31"/>
  <c r="G80" i="31"/>
  <c r="D80" i="31"/>
  <c r="J79" i="31"/>
  <c r="G79" i="31"/>
  <c r="D79" i="31"/>
  <c r="J78" i="31"/>
  <c r="G78" i="31"/>
  <c r="D78" i="31"/>
  <c r="J77" i="31"/>
  <c r="G77" i="31"/>
  <c r="D77" i="31"/>
  <c r="J76" i="31"/>
  <c r="G76" i="31"/>
  <c r="D76" i="31"/>
  <c r="J75" i="31"/>
  <c r="G75" i="31"/>
  <c r="D75" i="31"/>
  <c r="J74" i="31"/>
  <c r="G74" i="31"/>
  <c r="D74" i="31"/>
  <c r="J73" i="31"/>
  <c r="G73" i="31"/>
  <c r="D73" i="31"/>
  <c r="J72" i="31"/>
  <c r="G72" i="31"/>
  <c r="D72" i="31"/>
  <c r="J71" i="31"/>
  <c r="G71" i="31"/>
  <c r="D71" i="31"/>
  <c r="J70" i="31"/>
  <c r="G70" i="31"/>
  <c r="D70" i="31"/>
  <c r="J69" i="31"/>
  <c r="G69" i="31"/>
  <c r="D69" i="31"/>
  <c r="J68" i="31"/>
  <c r="G68" i="31"/>
  <c r="D68" i="31"/>
  <c r="J67" i="31"/>
  <c r="G67" i="31"/>
  <c r="D67" i="31"/>
  <c r="J66" i="31"/>
  <c r="G66" i="31"/>
  <c r="D66" i="31"/>
  <c r="J65" i="31"/>
  <c r="G65" i="31"/>
  <c r="D65" i="31"/>
  <c r="J64" i="31"/>
  <c r="G64" i="31"/>
  <c r="D64" i="31"/>
  <c r="J63" i="31"/>
  <c r="G63" i="31"/>
  <c r="D63" i="31"/>
  <c r="J62" i="31"/>
  <c r="G62" i="31"/>
  <c r="D62" i="31"/>
  <c r="J61" i="31"/>
  <c r="G61" i="31"/>
  <c r="D61" i="31"/>
  <c r="J60" i="31"/>
  <c r="G60" i="31"/>
  <c r="D60" i="31"/>
  <c r="J59" i="31"/>
  <c r="G59" i="31"/>
  <c r="D59" i="31"/>
  <c r="J58" i="31"/>
  <c r="G58" i="31"/>
  <c r="D58" i="31"/>
  <c r="J57" i="31"/>
  <c r="G57" i="31"/>
  <c r="D57" i="31"/>
  <c r="J56" i="31"/>
  <c r="G56" i="31"/>
  <c r="D56" i="31"/>
  <c r="J55" i="31"/>
  <c r="G55" i="31"/>
  <c r="D55" i="31"/>
  <c r="J54" i="31"/>
  <c r="G54" i="31"/>
  <c r="D54" i="31"/>
  <c r="J53" i="31"/>
  <c r="G53" i="31"/>
  <c r="D53" i="31"/>
  <c r="J52" i="31"/>
  <c r="G52" i="31"/>
  <c r="D52" i="31"/>
  <c r="J51" i="31"/>
  <c r="G51" i="31"/>
  <c r="D51" i="31"/>
  <c r="J50" i="31"/>
  <c r="G50" i="31"/>
  <c r="D50" i="31"/>
  <c r="J49" i="31"/>
  <c r="G49" i="31"/>
  <c r="D49" i="31"/>
  <c r="J48" i="31"/>
  <c r="G48" i="31"/>
  <c r="D48" i="31"/>
  <c r="J47" i="31"/>
  <c r="G47" i="31"/>
  <c r="D47" i="31"/>
  <c r="J46" i="31"/>
  <c r="G46" i="31"/>
  <c r="D46" i="31"/>
  <c r="J45" i="31"/>
  <c r="G45" i="31"/>
  <c r="D45" i="31"/>
  <c r="J44" i="31"/>
  <c r="G44" i="31"/>
  <c r="D44" i="31"/>
  <c r="J43" i="31"/>
  <c r="G43" i="31"/>
  <c r="D43" i="31"/>
  <c r="J42" i="31"/>
  <c r="G42" i="31"/>
  <c r="D42" i="31"/>
  <c r="J41" i="31"/>
  <c r="G41" i="31"/>
  <c r="D41" i="31"/>
  <c r="J40" i="31"/>
  <c r="G40" i="31"/>
  <c r="D40" i="31"/>
  <c r="J39" i="31"/>
  <c r="G39" i="31"/>
  <c r="D39" i="31"/>
  <c r="J38" i="31"/>
  <c r="G38" i="31"/>
  <c r="D38" i="31"/>
  <c r="J37" i="31"/>
  <c r="G37" i="31"/>
  <c r="D37" i="31"/>
  <c r="J36" i="31"/>
  <c r="G36" i="31"/>
  <c r="D36" i="31"/>
  <c r="J35" i="31"/>
  <c r="G35" i="31"/>
  <c r="D35" i="31"/>
  <c r="J34" i="31"/>
  <c r="G34" i="31"/>
  <c r="D34" i="31"/>
  <c r="J33" i="31"/>
  <c r="G33" i="31"/>
  <c r="D33" i="31"/>
  <c r="J32" i="31"/>
  <c r="G32" i="31"/>
  <c r="D32" i="31"/>
  <c r="J31" i="31"/>
  <c r="G31" i="31"/>
  <c r="D31" i="31"/>
  <c r="J30" i="31"/>
  <c r="G30" i="31"/>
  <c r="D30" i="31"/>
  <c r="J29" i="31"/>
  <c r="G29" i="31"/>
  <c r="D29" i="31"/>
  <c r="J28" i="31"/>
  <c r="G28" i="31"/>
  <c r="D28" i="31"/>
  <c r="J27" i="31"/>
  <c r="G27" i="31"/>
  <c r="D27" i="31"/>
  <c r="J26" i="31"/>
  <c r="G26" i="31"/>
  <c r="D26" i="31"/>
  <c r="J25" i="31"/>
  <c r="G25" i="31"/>
  <c r="D25" i="31"/>
  <c r="J24" i="31"/>
  <c r="G24" i="31"/>
  <c r="D24" i="31"/>
  <c r="J23" i="31"/>
  <c r="G23" i="31"/>
  <c r="D23" i="31"/>
  <c r="J22" i="31"/>
  <c r="G22" i="31"/>
  <c r="D22" i="31"/>
  <c r="J21" i="31"/>
  <c r="G21" i="31"/>
  <c r="D21" i="31"/>
  <c r="J20" i="31"/>
  <c r="G20" i="31"/>
  <c r="D20" i="31"/>
  <c r="J19" i="31"/>
  <c r="G19" i="31"/>
  <c r="D19" i="31"/>
  <c r="J18" i="31"/>
  <c r="G18" i="31"/>
  <c r="D18" i="31"/>
  <c r="J17" i="31"/>
  <c r="G17" i="31"/>
  <c r="D17" i="31"/>
  <c r="J16" i="31"/>
  <c r="G16" i="31"/>
  <c r="D16" i="31"/>
  <c r="J15" i="31"/>
  <c r="G15" i="31"/>
  <c r="D15" i="31"/>
  <c r="J14" i="31"/>
  <c r="G14" i="31"/>
  <c r="D14" i="31"/>
  <c r="J13" i="31"/>
  <c r="G13" i="31"/>
  <c r="D13" i="31"/>
  <c r="J12" i="31"/>
  <c r="G12" i="31"/>
  <c r="D12" i="31"/>
  <c r="J11" i="31"/>
  <c r="G11" i="31"/>
  <c r="D11" i="31"/>
  <c r="J10" i="31"/>
  <c r="G10" i="31"/>
  <c r="D10" i="31"/>
  <c r="V49" i="18" l="1"/>
  <c r="V44" i="18"/>
  <c r="AC44" i="18"/>
  <c r="AB49" i="18"/>
  <c r="AC49" i="18"/>
  <c r="Z49" i="18"/>
  <c r="AA49" i="18"/>
  <c r="Y49" i="18"/>
  <c r="T49" i="18"/>
  <c r="U49" i="18"/>
  <c r="S49" i="18"/>
  <c r="A29" i="9" l="1"/>
  <c r="AK47" i="18" l="1"/>
  <c r="AJ47" i="18"/>
  <c r="R35" i="18"/>
  <c r="R36" i="18" s="1"/>
  <c r="M6" i="36" l="1"/>
  <c r="L6" i="36"/>
  <c r="L9" i="36" s="1"/>
  <c r="L10" i="36" s="1"/>
  <c r="K6" i="36"/>
  <c r="K9" i="36" s="1"/>
  <c r="K10" i="36" s="1"/>
  <c r="J6" i="36"/>
  <c r="J9" i="36" s="1"/>
  <c r="J10" i="36" s="1"/>
  <c r="I6" i="36"/>
  <c r="H6" i="36"/>
  <c r="G6" i="36"/>
  <c r="H9" i="36" l="1"/>
  <c r="H10" i="36" s="1"/>
  <c r="I9" i="36"/>
  <c r="I10" i="36" s="1"/>
  <c r="M9" i="36"/>
  <c r="M10" i="36" s="1"/>
  <c r="G9" i="36"/>
  <c r="G10" i="36" s="1"/>
  <c r="AG69" i="18"/>
  <c r="AH69" i="18" s="1"/>
  <c r="AG68" i="18"/>
  <c r="AH68" i="18" s="1"/>
  <c r="AG67" i="18"/>
  <c r="AH67" i="18" s="1"/>
  <c r="AG64" i="18"/>
  <c r="AH64" i="18" s="1"/>
  <c r="AG63" i="18"/>
  <c r="AH63" i="18" s="1"/>
  <c r="AG62" i="18"/>
  <c r="AH62" i="18" s="1"/>
  <c r="AG56" i="18"/>
  <c r="AH56" i="18" s="1"/>
  <c r="AG55" i="18"/>
  <c r="AH55" i="18" s="1"/>
  <c r="AG54" i="18"/>
  <c r="AH54" i="18" s="1"/>
  <c r="AG53" i="18"/>
  <c r="AH53" i="18" s="1"/>
  <c r="AG52" i="18"/>
  <c r="AH52" i="18" s="1"/>
  <c r="C12" i="35" l="1"/>
  <c r="C34" i="15" l="1"/>
  <c r="C33" i="15"/>
  <c r="C32" i="15"/>
  <c r="C35" i="15"/>
  <c r="B59" i="15" l="1"/>
  <c r="A1" i="33" l="1"/>
  <c r="F4" i="29" l="1"/>
  <c r="E4" i="29"/>
  <c r="D4" i="29" l="1"/>
  <c r="B4" i="29" l="1"/>
  <c r="C4" i="29"/>
  <c r="A1" i="31" l="1"/>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E55" i="18" l="1"/>
  <c r="F55" i="18" s="1"/>
  <c r="A30" i="19"/>
  <c r="D30" i="19" s="1"/>
  <c r="A35" i="19"/>
  <c r="E35" i="19" s="1"/>
  <c r="A38" i="19"/>
  <c r="C38" i="19" s="1"/>
  <c r="E63" i="18"/>
  <c r="F63" i="18" s="1"/>
  <c r="I7" i="18"/>
  <c r="H7" i="18"/>
  <c r="F7" i="18"/>
  <c r="E7" i="18"/>
  <c r="C7" i="18"/>
  <c r="E6" i="18"/>
  <c r="C59" i="18" s="1"/>
  <c r="C6" i="18"/>
  <c r="D6" i="18"/>
  <c r="F6" i="18"/>
  <c r="C64" i="18" s="1"/>
  <c r="G6" i="18"/>
  <c r="C53" i="18" s="1"/>
  <c r="H6" i="18"/>
  <c r="C54" i="18" s="1"/>
  <c r="I6" i="18"/>
  <c r="C31" i="18"/>
  <c r="G31" i="18"/>
  <c r="P31" i="18" s="1"/>
  <c r="P39" i="18" s="1"/>
  <c r="H31" i="18"/>
  <c r="Q31" i="18" s="1"/>
  <c r="Q39" i="18" s="1"/>
  <c r="I31" i="18"/>
  <c r="R31" i="18" s="1"/>
  <c r="R39" i="18" s="1"/>
  <c r="E52" i="18"/>
  <c r="F52" i="18" s="1"/>
  <c r="A25" i="19"/>
  <c r="D9" i="19"/>
  <c r="E33" i="15"/>
  <c r="E34" i="15"/>
  <c r="E35" i="15"/>
  <c r="E32" i="15"/>
  <c r="E30" i="15"/>
  <c r="E31" i="15"/>
  <c r="E29" i="15"/>
  <c r="E68" i="18"/>
  <c r="F68" i="18" s="1"/>
  <c r="E69" i="18"/>
  <c r="F69" i="18" s="1"/>
  <c r="E67" i="18"/>
  <c r="F67" i="18" s="1"/>
  <c r="E64" i="18"/>
  <c r="F64" i="18" s="1"/>
  <c r="E62" i="18"/>
  <c r="F62" i="18" s="1"/>
  <c r="E56" i="18"/>
  <c r="F56" i="18" s="1"/>
  <c r="E54" i="18"/>
  <c r="F54" i="18" s="1"/>
  <c r="E53" i="18"/>
  <c r="F53" i="18" s="1"/>
  <c r="C29" i="18"/>
  <c r="L29" i="18" s="1"/>
  <c r="L37" i="18" s="1"/>
  <c r="D29" i="18"/>
  <c r="F29" i="18"/>
  <c r="O29" i="18" s="1"/>
  <c r="O37" i="18" s="1"/>
  <c r="G29" i="18"/>
  <c r="P29" i="18" s="1"/>
  <c r="P37" i="18" s="1"/>
  <c r="H29" i="18"/>
  <c r="Q29" i="18" s="1"/>
  <c r="Q37" i="18" s="1"/>
  <c r="I29" i="18"/>
  <c r="R29" i="18" s="1"/>
  <c r="R37" i="18" s="1"/>
  <c r="C30" i="18"/>
  <c r="E30" i="18"/>
  <c r="N30" i="18" s="1"/>
  <c r="N38" i="18" s="1"/>
  <c r="G30" i="18"/>
  <c r="H30" i="18"/>
  <c r="I30" i="18"/>
  <c r="C32" i="18"/>
  <c r="L32" i="18" s="1"/>
  <c r="L40" i="18" s="1"/>
  <c r="D32" i="18"/>
  <c r="F32" i="18"/>
  <c r="O32" i="18" s="1"/>
  <c r="O40" i="18" s="1"/>
  <c r="G32" i="18"/>
  <c r="H32" i="18"/>
  <c r="I32" i="18"/>
  <c r="R32" i="18" s="1"/>
  <c r="R40" i="18" s="1"/>
  <c r="D28" i="18"/>
  <c r="M28" i="18" s="1"/>
  <c r="M36" i="18" s="1"/>
  <c r="E28" i="18"/>
  <c r="N28" i="18" s="1"/>
  <c r="N36" i="18" s="1"/>
  <c r="F28" i="18"/>
  <c r="O28" i="18" s="1"/>
  <c r="O36" i="18" s="1"/>
  <c r="I28" i="18"/>
  <c r="H43" i="15"/>
  <c r="H28" i="18" s="1"/>
  <c r="G28" i="18"/>
  <c r="P36" i="18" s="1"/>
  <c r="B43" i="15"/>
  <c r="C28" i="18" s="1"/>
  <c r="C42" i="15"/>
  <c r="D42" i="15"/>
  <c r="E42" i="15"/>
  <c r="F42" i="15"/>
  <c r="G42" i="15"/>
  <c r="H42" i="15"/>
  <c r="I42" i="15"/>
  <c r="B42" i="15"/>
  <c r="F35" i="15"/>
  <c r="A43" i="27"/>
  <c r="I43" i="27" s="1"/>
  <c r="J15" i="27"/>
  <c r="A15" i="27" s="1"/>
  <c r="I15" i="27" s="1"/>
  <c r="D13" i="27"/>
  <c r="D12" i="27"/>
  <c r="D11" i="27"/>
  <c r="D10" i="27"/>
  <c r="A51" i="26"/>
  <c r="J16" i="26"/>
  <c r="A16" i="26" s="1"/>
  <c r="H16" i="26" s="1"/>
  <c r="D14" i="26"/>
  <c r="D13" i="26"/>
  <c r="D12" i="26"/>
  <c r="D11" i="26"/>
  <c r="D10" i="26"/>
  <c r="J9" i="26"/>
  <c r="H41" i="25"/>
  <c r="G41" i="25"/>
  <c r="F41" i="25"/>
  <c r="H40" i="25"/>
  <c r="G40" i="25"/>
  <c r="F40" i="25"/>
  <c r="H39" i="25"/>
  <c r="G39" i="25"/>
  <c r="F39" i="25"/>
  <c r="H38" i="25"/>
  <c r="G38" i="25"/>
  <c r="F38" i="25"/>
  <c r="H37" i="25"/>
  <c r="G37" i="25"/>
  <c r="F37" i="25"/>
  <c r="H36" i="25"/>
  <c r="G36" i="25"/>
  <c r="F36" i="25"/>
  <c r="H35" i="25"/>
  <c r="G35" i="25"/>
  <c r="F35" i="25"/>
  <c r="H34" i="25"/>
  <c r="G34" i="25"/>
  <c r="F34" i="25"/>
  <c r="H33" i="25"/>
  <c r="G33" i="25"/>
  <c r="F33" i="25"/>
  <c r="H32" i="25"/>
  <c r="G32" i="25"/>
  <c r="F32" i="25"/>
  <c r="H31" i="25"/>
  <c r="G31" i="25"/>
  <c r="F31" i="25"/>
  <c r="H30" i="25"/>
  <c r="G30" i="25"/>
  <c r="F30" i="25"/>
  <c r="H29" i="25"/>
  <c r="G29" i="25"/>
  <c r="F29" i="25"/>
  <c r="H28" i="25"/>
  <c r="G28" i="25"/>
  <c r="F28" i="25"/>
  <c r="H27" i="25"/>
  <c r="G27" i="25"/>
  <c r="F27" i="25"/>
  <c r="H26" i="25"/>
  <c r="G26" i="25"/>
  <c r="F26" i="25"/>
  <c r="H25" i="25"/>
  <c r="G25" i="25"/>
  <c r="F25" i="25"/>
  <c r="H24" i="25"/>
  <c r="G24" i="25"/>
  <c r="F24" i="25"/>
  <c r="H23" i="25"/>
  <c r="G23" i="25"/>
  <c r="F23" i="25"/>
  <c r="H22" i="25"/>
  <c r="G22" i="25"/>
  <c r="F22" i="25"/>
  <c r="H21" i="25"/>
  <c r="G21" i="25"/>
  <c r="F21" i="25"/>
  <c r="H20" i="25"/>
  <c r="G20" i="25"/>
  <c r="F20" i="25"/>
  <c r="H19" i="25"/>
  <c r="G19" i="25"/>
  <c r="F19" i="25"/>
  <c r="H18" i="25"/>
  <c r="G18" i="25"/>
  <c r="F18" i="25"/>
  <c r="H17" i="25"/>
  <c r="G17" i="25"/>
  <c r="F17" i="25"/>
  <c r="H16" i="25"/>
  <c r="G16" i="25"/>
  <c r="F16" i="25"/>
  <c r="H15" i="25"/>
  <c r="G15" i="25"/>
  <c r="F15" i="25"/>
  <c r="H14" i="25"/>
  <c r="G14" i="25"/>
  <c r="F14" i="25"/>
  <c r="B14" i="25"/>
  <c r="I14" i="25" s="1"/>
  <c r="B16" i="24"/>
  <c r="J9" i="24"/>
  <c r="K7" i="24"/>
  <c r="L7" i="24" s="1"/>
  <c r="M7" i="24" s="1"/>
  <c r="N7" i="24" s="1"/>
  <c r="O7" i="24" s="1"/>
  <c r="P7" i="24" s="1"/>
  <c r="Q7" i="24" s="1"/>
  <c r="R7" i="24" s="1"/>
  <c r="S7" i="24" s="1"/>
  <c r="T7" i="24" s="1"/>
  <c r="U7" i="24" s="1"/>
  <c r="V7" i="24" s="1"/>
  <c r="W7" i="24" s="1"/>
  <c r="X7" i="24" s="1"/>
  <c r="Y7" i="24" s="1"/>
  <c r="Z7" i="24" s="1"/>
  <c r="AA7" i="24" s="1"/>
  <c r="AB7" i="24" s="1"/>
  <c r="AC7" i="24" s="1"/>
  <c r="AD7" i="24" s="1"/>
  <c r="AE7" i="24" s="1"/>
  <c r="AF7" i="24" s="1"/>
  <c r="AG7" i="24" s="1"/>
  <c r="AH7" i="24" s="1"/>
  <c r="I10" i="23"/>
  <c r="I11" i="23" s="1"/>
  <c r="I12" i="23" s="1"/>
  <c r="I13" i="23" s="1"/>
  <c r="I14" i="23" s="1"/>
  <c r="B10" i="23"/>
  <c r="B11" i="23" s="1"/>
  <c r="B12" i="23" s="1"/>
  <c r="B13" i="23" s="1"/>
  <c r="B14" i="23" s="1"/>
  <c r="M12" i="21"/>
  <c r="A22" i="19"/>
  <c r="F22" i="19" s="1"/>
  <c r="B15" i="19"/>
  <c r="B14" i="19"/>
  <c r="B13" i="19"/>
  <c r="B12" i="19"/>
  <c r="B11" i="19"/>
  <c r="I10" i="19"/>
  <c r="I11" i="19" s="1"/>
  <c r="B10" i="19"/>
  <c r="B9" i="19"/>
  <c r="Q74" i="18"/>
  <c r="D50" i="18"/>
  <c r="M9" i="21" s="1"/>
  <c r="A41" i="18"/>
  <c r="B32" i="18"/>
  <c r="B40" i="18" s="1"/>
  <c r="A32" i="18"/>
  <c r="A40" i="18" s="1"/>
  <c r="B31" i="18"/>
  <c r="B39" i="18" s="1"/>
  <c r="A31" i="18"/>
  <c r="A39" i="18" s="1"/>
  <c r="B30" i="18"/>
  <c r="B38" i="18" s="1"/>
  <c r="A30" i="18"/>
  <c r="A38" i="18" s="1"/>
  <c r="B29" i="18"/>
  <c r="B37" i="18" s="1"/>
  <c r="A29" i="18"/>
  <c r="A37" i="18" s="1"/>
  <c r="B28" i="18"/>
  <c r="B36" i="18" s="1"/>
  <c r="A28" i="18"/>
  <c r="A36" i="18" s="1"/>
  <c r="I27" i="18"/>
  <c r="I35" i="18" s="1"/>
  <c r="H27" i="18"/>
  <c r="H35" i="18" s="1"/>
  <c r="G27" i="18"/>
  <c r="G35" i="18" s="1"/>
  <c r="F27" i="18"/>
  <c r="F35" i="18" s="1"/>
  <c r="E27" i="18"/>
  <c r="E35" i="18" s="1"/>
  <c r="D27" i="18"/>
  <c r="D35" i="18" s="1"/>
  <c r="C27" i="18"/>
  <c r="C35" i="18" s="1"/>
  <c r="C11" i="18"/>
  <c r="N10" i="18"/>
  <c r="N11" i="18" s="1"/>
  <c r="N12" i="18" s="1"/>
  <c r="N13" i="18" s="1"/>
  <c r="D4" i="18"/>
  <c r="E4" i="18" s="1"/>
  <c r="F4" i="18" s="1"/>
  <c r="G4" i="18" s="1"/>
  <c r="H4" i="18" s="1"/>
  <c r="I4" i="18" s="1"/>
  <c r="B17" i="15"/>
  <c r="B13" i="15"/>
  <c r="B21" i="15"/>
  <c r="B20" i="15"/>
  <c r="B18" i="15"/>
  <c r="D19" i="15"/>
  <c r="B19" i="15"/>
  <c r="D36" i="15"/>
  <c r="D37" i="15"/>
  <c r="B70" i="15"/>
  <c r="B71" i="15"/>
  <c r="B72" i="15"/>
  <c r="B73" i="15"/>
  <c r="G32" i="14"/>
  <c r="G33" i="14"/>
  <c r="G34" i="14"/>
  <c r="G35" i="14"/>
  <c r="G36" i="14"/>
  <c r="G37" i="14"/>
  <c r="G38" i="14"/>
  <c r="C39" i="14"/>
  <c r="C14" i="16"/>
  <c r="B43" i="27"/>
  <c r="C43" i="27"/>
  <c r="D43" i="27"/>
  <c r="A26" i="31"/>
  <c r="A21" i="31"/>
  <c r="A28" i="31"/>
  <c r="A22" i="31"/>
  <c r="A17" i="31"/>
  <c r="A49" i="31"/>
  <c r="A47" i="31"/>
  <c r="A45" i="31"/>
  <c r="A42" i="31"/>
  <c r="A38" i="31"/>
  <c r="A36" i="31"/>
  <c r="A34" i="31"/>
  <c r="A40" i="31"/>
  <c r="A32" i="31"/>
  <c r="A31" i="31"/>
  <c r="A25" i="31"/>
  <c r="A29" i="31"/>
  <c r="A23" i="31"/>
  <c r="A48" i="31"/>
  <c r="A43" i="31"/>
  <c r="A37" i="31"/>
  <c r="A44" i="31"/>
  <c r="A33" i="31"/>
  <c r="A20" i="31"/>
  <c r="A19" i="31"/>
  <c r="A16" i="31"/>
  <c r="A30" i="31"/>
  <c r="A39" i="31"/>
  <c r="A35" i="31"/>
  <c r="A41" i="31"/>
  <c r="A46" i="31"/>
  <c r="A18" i="31"/>
  <c r="A27" i="31"/>
  <c r="A24" i="31"/>
  <c r="AJ58" i="18" l="1"/>
  <c r="AK58" i="18" s="1"/>
  <c r="AJ60" i="18"/>
  <c r="AK60" i="18" s="1"/>
  <c r="AJ57" i="18"/>
  <c r="AK57" i="18" s="1"/>
  <c r="AJ71" i="18"/>
  <c r="AK71" i="18" s="1"/>
  <c r="AJ70" i="18"/>
  <c r="AK70" i="18" s="1"/>
  <c r="AJ61" i="18"/>
  <c r="AK61" i="18" s="1"/>
  <c r="AJ75" i="18"/>
  <c r="AJ76" i="18"/>
  <c r="AJ78" i="18"/>
  <c r="AJ77" i="18"/>
  <c r="AJ65" i="18"/>
  <c r="AK65" i="18" s="1"/>
  <c r="AJ66" i="18"/>
  <c r="AK66" i="18" s="1"/>
  <c r="C10" i="19"/>
  <c r="E10" i="19" s="1"/>
  <c r="C16" i="24"/>
  <c r="J16" i="24" s="1"/>
  <c r="D36" i="18"/>
  <c r="C37" i="18"/>
  <c r="C30" i="19"/>
  <c r="E50" i="18"/>
  <c r="M11" i="21"/>
  <c r="H37" i="18"/>
  <c r="I33" i="18"/>
  <c r="H39" i="18"/>
  <c r="J7" i="18"/>
  <c r="F30" i="19"/>
  <c r="E30" i="19"/>
  <c r="D35" i="19"/>
  <c r="D12" i="22"/>
  <c r="I38" i="18"/>
  <c r="R30" i="18"/>
  <c r="R38" i="18" s="1"/>
  <c r="R41" i="18" s="1"/>
  <c r="H38" i="18"/>
  <c r="Q30" i="18"/>
  <c r="Q38" i="18" s="1"/>
  <c r="D72" i="18"/>
  <c r="D22" i="19"/>
  <c r="C38" i="18"/>
  <c r="L30" i="18"/>
  <c r="L38" i="18" s="1"/>
  <c r="A52" i="18"/>
  <c r="A13" i="32" s="1"/>
  <c r="D13" i="23"/>
  <c r="G38" i="18"/>
  <c r="P30" i="18"/>
  <c r="P38" i="18" s="1"/>
  <c r="H40" i="18"/>
  <c r="Q32" i="18"/>
  <c r="Q40" i="18" s="1"/>
  <c r="G40" i="18"/>
  <c r="P32" i="18"/>
  <c r="P40" i="18" s="1"/>
  <c r="C39" i="18"/>
  <c r="L31" i="18"/>
  <c r="L39" i="18" s="1"/>
  <c r="D11" i="22"/>
  <c r="D37" i="18"/>
  <c r="M29" i="18"/>
  <c r="M37" i="18" s="1"/>
  <c r="C11" i="22"/>
  <c r="D40" i="18"/>
  <c r="M32" i="18"/>
  <c r="M40" i="18" s="1"/>
  <c r="H33" i="18"/>
  <c r="Q28" i="18"/>
  <c r="Q36" i="18" s="1"/>
  <c r="C36" i="18"/>
  <c r="L28" i="18"/>
  <c r="L36" i="18" s="1"/>
  <c r="D14" i="25"/>
  <c r="D12" i="23"/>
  <c r="C63" i="18"/>
  <c r="E72" i="18"/>
  <c r="F72" i="18" s="1"/>
  <c r="AG72" i="18"/>
  <c r="AH72" i="18" s="1"/>
  <c r="C14" i="25"/>
  <c r="E14" i="25" s="1"/>
  <c r="H36" i="18"/>
  <c r="G43" i="27"/>
  <c r="D10" i="19"/>
  <c r="E59" i="18"/>
  <c r="F59" i="18" s="1"/>
  <c r="AG59" i="18"/>
  <c r="AH59" i="18" s="1"/>
  <c r="H43" i="27"/>
  <c r="I36" i="18"/>
  <c r="F43" i="27"/>
  <c r="F36" i="18"/>
  <c r="B38" i="19"/>
  <c r="E43" i="27"/>
  <c r="B22" i="19"/>
  <c r="E38" i="19"/>
  <c r="D38" i="19"/>
  <c r="F38" i="19"/>
  <c r="C40" i="18"/>
  <c r="F40" i="18"/>
  <c r="E38" i="18"/>
  <c r="G37" i="18"/>
  <c r="D14" i="23"/>
  <c r="B22" i="15"/>
  <c r="C22" i="15" s="1"/>
  <c r="B30" i="19"/>
  <c r="A61" i="18"/>
  <c r="C13" i="22"/>
  <c r="I37" i="18"/>
  <c r="C33" i="18"/>
  <c r="AQ14" i="32"/>
  <c r="AR14" i="32" s="1"/>
  <c r="AQ17" i="20"/>
  <c r="AR17" i="20" s="1"/>
  <c r="K15" i="21"/>
  <c r="L15" i="21" s="1"/>
  <c r="K16" i="21" s="1"/>
  <c r="L16" i="21" s="1"/>
  <c r="C20" i="15"/>
  <c r="A51" i="18"/>
  <c r="A53" i="18"/>
  <c r="A55" i="18"/>
  <c r="A56" i="18"/>
  <c r="A54" i="18"/>
  <c r="D9" i="22"/>
  <c r="I40" i="18"/>
  <c r="C18" i="15"/>
  <c r="D53" i="18"/>
  <c r="AJ53" i="18" s="1"/>
  <c r="AK53" i="18" s="1"/>
  <c r="C9" i="22"/>
  <c r="D54" i="18"/>
  <c r="D56" i="18"/>
  <c r="D52" i="18"/>
  <c r="C19" i="15"/>
  <c r="C21" i="15"/>
  <c r="A58" i="18"/>
  <c r="A59" i="18"/>
  <c r="D10" i="22"/>
  <c r="D13" i="22"/>
  <c r="A71" i="18"/>
  <c r="A36" i="19" s="1"/>
  <c r="E36" i="19" s="1"/>
  <c r="D10" i="23"/>
  <c r="C17" i="15"/>
  <c r="D11" i="23"/>
  <c r="D59" i="18"/>
  <c r="C10" i="22"/>
  <c r="C12" i="22"/>
  <c r="D68" i="18"/>
  <c r="D67" i="18"/>
  <c r="D69" i="18"/>
  <c r="D62" i="18"/>
  <c r="D64" i="18"/>
  <c r="D63" i="18"/>
  <c r="AJ63" i="18" s="1"/>
  <c r="AK63" i="18" s="1"/>
  <c r="D16" i="24"/>
  <c r="E16" i="24"/>
  <c r="F16" i="24"/>
  <c r="G16" i="24"/>
  <c r="I16" i="24"/>
  <c r="H16" i="24"/>
  <c r="G33" i="18"/>
  <c r="G36" i="18"/>
  <c r="D55" i="18"/>
  <c r="I39" i="18"/>
  <c r="E36" i="18"/>
  <c r="F37" i="18"/>
  <c r="C72" i="18"/>
  <c r="C56" i="18"/>
  <c r="C68" i="18"/>
  <c r="C22" i="19"/>
  <c r="E22" i="19"/>
  <c r="I12" i="19"/>
  <c r="D12" i="19" s="1"/>
  <c r="D11" i="19"/>
  <c r="E25" i="19"/>
  <c r="C25" i="19"/>
  <c r="F25" i="19"/>
  <c r="D25" i="19"/>
  <c r="A66" i="18"/>
  <c r="G39" i="18"/>
  <c r="AI7" i="24"/>
  <c r="AJ7" i="24" s="1"/>
  <c r="AK7" i="24" s="1"/>
  <c r="AL7" i="24" s="1"/>
  <c r="AM7" i="24" s="1"/>
  <c r="AN7" i="24" s="1"/>
  <c r="AO7" i="24" s="1"/>
  <c r="AP7" i="24" s="1"/>
  <c r="AQ7" i="24" s="1"/>
  <c r="B4" i="18"/>
  <c r="A64" i="18"/>
  <c r="N53" i="18"/>
  <c r="C69" i="18"/>
  <c r="C52" i="18"/>
  <c r="C67" i="18"/>
  <c r="C55" i="18"/>
  <c r="N54" i="18"/>
  <c r="C62" i="18"/>
  <c r="C9" i="19"/>
  <c r="E9" i="19" s="1"/>
  <c r="B25" i="19"/>
  <c r="F35" i="19"/>
  <c r="C35" i="19"/>
  <c r="C11" i="19"/>
  <c r="E11" i="19" s="1"/>
  <c r="B35" i="19"/>
  <c r="F10" i="19"/>
  <c r="G15" i="27"/>
  <c r="E15" i="27"/>
  <c r="F15" i="27"/>
  <c r="B15" i="27"/>
  <c r="D15" i="27"/>
  <c r="H15" i="27"/>
  <c r="C15" i="27"/>
  <c r="I16" i="26"/>
  <c r="F16" i="26"/>
  <c r="G16" i="26"/>
  <c r="B16" i="26"/>
  <c r="C16" i="26"/>
  <c r="E16" i="26" s="1"/>
  <c r="D16" i="26"/>
  <c r="G68" i="18" l="1"/>
  <c r="H68" i="18" s="1"/>
  <c r="G72" i="18"/>
  <c r="H72" i="18" s="1"/>
  <c r="AJ56" i="18"/>
  <c r="AK56" i="18" s="1"/>
  <c r="C12" i="19"/>
  <c r="E12" i="19" s="1"/>
  <c r="B54" i="18"/>
  <c r="AJ54" i="18"/>
  <c r="AK54" i="18" s="1"/>
  <c r="G67" i="18"/>
  <c r="H67" i="18" s="1"/>
  <c r="I13" i="19"/>
  <c r="G55" i="18"/>
  <c r="H55" i="18" s="1"/>
  <c r="AJ55" i="18"/>
  <c r="AK55" i="18" s="1"/>
  <c r="G69" i="18"/>
  <c r="H69" i="18" s="1"/>
  <c r="G52" i="18"/>
  <c r="H52" i="18" s="1"/>
  <c r="AJ52" i="18"/>
  <c r="G64" i="18"/>
  <c r="H64" i="18" s="1"/>
  <c r="G62" i="18"/>
  <c r="H62" i="18" s="1"/>
  <c r="A63" i="18"/>
  <c r="A28" i="19" s="1"/>
  <c r="B28" i="19" s="1"/>
  <c r="AS10" i="20"/>
  <c r="AS10" i="32"/>
  <c r="A20" i="19"/>
  <c r="F20" i="19" s="1"/>
  <c r="A18" i="19"/>
  <c r="B18" i="19" s="1"/>
  <c r="A17" i="19"/>
  <c r="B17" i="19" s="1"/>
  <c r="A21" i="19"/>
  <c r="F21" i="19" s="1"/>
  <c r="A23" i="19"/>
  <c r="F23" i="19" s="1"/>
  <c r="A31" i="19"/>
  <c r="B31" i="19" s="1"/>
  <c r="A19" i="19"/>
  <c r="B19" i="19" s="1"/>
  <c r="A26" i="19"/>
  <c r="C26" i="19" s="1"/>
  <c r="A24" i="19"/>
  <c r="B24" i="19" s="1"/>
  <c r="A29" i="19"/>
  <c r="E29" i="19" s="1"/>
  <c r="G13" i="32"/>
  <c r="H13" i="32"/>
  <c r="I13" i="32"/>
  <c r="O63" i="18"/>
  <c r="P63" i="18" s="1"/>
  <c r="V28" i="18"/>
  <c r="Z56" i="18" s="1"/>
  <c r="AY10" i="24"/>
  <c r="G50" i="18"/>
  <c r="B72" i="18"/>
  <c r="O56" i="18"/>
  <c r="P56" i="18" s="1"/>
  <c r="O54" i="18"/>
  <c r="P54" i="18" s="1"/>
  <c r="Z28" i="18"/>
  <c r="Z55" i="18" s="1"/>
  <c r="G54" i="18"/>
  <c r="H54" i="18" s="1"/>
  <c r="I41" i="18"/>
  <c r="A14" i="21"/>
  <c r="B14" i="21" s="1"/>
  <c r="I14" i="21" s="1"/>
  <c r="A16" i="20"/>
  <c r="A14" i="32"/>
  <c r="H41" i="18"/>
  <c r="D17" i="19"/>
  <c r="T28" i="18"/>
  <c r="Z52" i="18" s="1"/>
  <c r="Y28" i="18"/>
  <c r="Z54" i="18" s="1"/>
  <c r="X28" i="18"/>
  <c r="Z53" i="18" s="1"/>
  <c r="W28" i="18"/>
  <c r="L41" i="18"/>
  <c r="T36" i="18"/>
  <c r="U28" i="18"/>
  <c r="Q41" i="18"/>
  <c r="P41" i="18"/>
  <c r="C41" i="18"/>
  <c r="F36" i="19"/>
  <c r="A72" i="18"/>
  <c r="A37" i="19" s="1"/>
  <c r="D37" i="19" s="1"/>
  <c r="A15" i="21"/>
  <c r="H15" i="21" s="1"/>
  <c r="AQ15" i="32"/>
  <c r="AR15" i="32" s="1"/>
  <c r="A15" i="32" s="1"/>
  <c r="B60" i="15"/>
  <c r="B61" i="15" s="1"/>
  <c r="C61" i="15" s="1"/>
  <c r="G41" i="18"/>
  <c r="A17" i="20"/>
  <c r="B13" i="32"/>
  <c r="J36" i="18"/>
  <c r="G53" i="18"/>
  <c r="H53" i="18" s="1"/>
  <c r="B53" i="18"/>
  <c r="AW17" i="24"/>
  <c r="AQ17" i="26"/>
  <c r="K15" i="25"/>
  <c r="K16" i="27"/>
  <c r="B68" i="18"/>
  <c r="A68" i="18"/>
  <c r="B52" i="18"/>
  <c r="D36" i="19"/>
  <c r="C36" i="19"/>
  <c r="B36" i="19"/>
  <c r="G56" i="18"/>
  <c r="H56" i="18" s="1"/>
  <c r="B56" i="18"/>
  <c r="AR7" i="24"/>
  <c r="AS7" i="24" s="1"/>
  <c r="AT7" i="24" s="1"/>
  <c r="AU7" i="24" s="1"/>
  <c r="AQ18" i="20"/>
  <c r="AR18" i="20" s="1"/>
  <c r="AQ19" i="20" s="1"/>
  <c r="AR19" i="20" s="1"/>
  <c r="A19" i="20" s="1"/>
  <c r="G63" i="18"/>
  <c r="H63" i="18" s="1"/>
  <c r="B63" i="18"/>
  <c r="O53" i="18"/>
  <c r="P53" i="18" s="1"/>
  <c r="B64" i="18"/>
  <c r="G59" i="18"/>
  <c r="H59" i="18" s="1"/>
  <c r="B59" i="18"/>
  <c r="N52" i="18"/>
  <c r="O52" i="18" s="1"/>
  <c r="B69" i="18"/>
  <c r="A69" i="18"/>
  <c r="B55" i="18"/>
  <c r="N55" i="18"/>
  <c r="O55" i="18" s="1"/>
  <c r="B67" i="18"/>
  <c r="A67" i="18"/>
  <c r="B62" i="18"/>
  <c r="A62" i="18"/>
  <c r="F9" i="19"/>
  <c r="K17" i="21"/>
  <c r="L17" i="21" s="1"/>
  <c r="A16" i="21"/>
  <c r="F11" i="19"/>
  <c r="C13" i="19"/>
  <c r="I14" i="19"/>
  <c r="D13" i="19"/>
  <c r="F12" i="19" l="1"/>
  <c r="AK52" i="18"/>
  <c r="E17" i="19"/>
  <c r="F24" i="19"/>
  <c r="K63" i="18"/>
  <c r="K52" i="18"/>
  <c r="K54" i="18"/>
  <c r="K53" i="18"/>
  <c r="K56" i="18"/>
  <c r="C24" i="19"/>
  <c r="F17" i="19"/>
  <c r="D21" i="19"/>
  <c r="E21" i="19"/>
  <c r="D18" i="19"/>
  <c r="F26" i="19"/>
  <c r="F18" i="19"/>
  <c r="B26" i="19"/>
  <c r="E28" i="19"/>
  <c r="J63" i="18"/>
  <c r="E18" i="19"/>
  <c r="E26" i="19"/>
  <c r="D28" i="19"/>
  <c r="B21" i="19"/>
  <c r="F28" i="19"/>
  <c r="D26" i="19"/>
  <c r="F19" i="19"/>
  <c r="E19" i="19"/>
  <c r="C28" i="19"/>
  <c r="D19" i="19"/>
  <c r="C19" i="19"/>
  <c r="D31" i="19"/>
  <c r="C31" i="19"/>
  <c r="E24" i="19"/>
  <c r="E20" i="19"/>
  <c r="E31" i="19"/>
  <c r="D20" i="19"/>
  <c r="B20" i="19"/>
  <c r="F31" i="19"/>
  <c r="J54" i="18"/>
  <c r="F29" i="19"/>
  <c r="B23" i="19"/>
  <c r="D23" i="19"/>
  <c r="D29" i="19"/>
  <c r="C23" i="19"/>
  <c r="E23" i="19"/>
  <c r="B29" i="19"/>
  <c r="C29" i="19"/>
  <c r="D24" i="19"/>
  <c r="A32" i="19"/>
  <c r="C32" i="19" s="1"/>
  <c r="A33" i="19"/>
  <c r="B33" i="19" s="1"/>
  <c r="C18" i="19"/>
  <c r="A27" i="19"/>
  <c r="B27" i="19" s="1"/>
  <c r="A34" i="19"/>
  <c r="F34" i="19" s="1"/>
  <c r="C21" i="19"/>
  <c r="H14" i="32"/>
  <c r="I14" i="32"/>
  <c r="G14" i="32"/>
  <c r="G15" i="32"/>
  <c r="H15" i="32"/>
  <c r="I15" i="32"/>
  <c r="F13" i="32"/>
  <c r="E13" i="32"/>
  <c r="B17" i="20"/>
  <c r="D17" i="20" s="1"/>
  <c r="B19" i="20"/>
  <c r="H19" i="20" s="1"/>
  <c r="C13" i="32"/>
  <c r="D13" i="32" s="1"/>
  <c r="Q59" i="32" a="1"/>
  <c r="Q59" i="32" s="1"/>
  <c r="Z59" i="32" s="1" a="1"/>
  <c r="Z59" i="32" s="1"/>
  <c r="AI59" i="32" s="1" a="1"/>
  <c r="AI59" i="32" s="1"/>
  <c r="K60" i="32" a="1"/>
  <c r="K60" i="32" s="1"/>
  <c r="T60" i="32" s="1" a="1"/>
  <c r="T60" i="32" s="1"/>
  <c r="AC60" i="32" s="1" a="1"/>
  <c r="AC60" i="32" s="1"/>
  <c r="AL60" i="32" s="1" a="1"/>
  <c r="AL60" i="32" s="1"/>
  <c r="M61" i="32" a="1"/>
  <c r="M61" i="32" s="1"/>
  <c r="V61" i="32" s="1" a="1"/>
  <c r="V61" i="32" s="1"/>
  <c r="AE61" i="32" s="1" a="1"/>
  <c r="AE61" i="32" s="1"/>
  <c r="AN61" i="32" s="1" a="1"/>
  <c r="AN61" i="32" s="1"/>
  <c r="N62" i="32" a="1"/>
  <c r="N62" i="32" s="1"/>
  <c r="W62" i="32" s="1" a="1"/>
  <c r="W62" i="32" s="1"/>
  <c r="AF62" i="32" s="1" a="1"/>
  <c r="AF62" i="32" s="1"/>
  <c r="AO62" i="32" s="1" a="1"/>
  <c r="AO62" i="32" s="1"/>
  <c r="N63" i="32" a="1"/>
  <c r="N63" i="32" s="1"/>
  <c r="W63" i="32" s="1" a="1"/>
  <c r="W63" i="32" s="1"/>
  <c r="AF63" i="32" s="1" a="1"/>
  <c r="AF63" i="32" s="1"/>
  <c r="AO63" i="32" s="1" a="1"/>
  <c r="AO63" i="32" s="1"/>
  <c r="K65" i="32" a="1"/>
  <c r="K65" i="32" s="1"/>
  <c r="T65" i="32" s="1" a="1"/>
  <c r="T65" i="32" s="1"/>
  <c r="AC65" i="32" s="1" a="1"/>
  <c r="AC65" i="32" s="1"/>
  <c r="AL65" i="32" s="1" a="1"/>
  <c r="AL65" i="32" s="1"/>
  <c r="M66" i="32" a="1"/>
  <c r="M66" i="32" s="1"/>
  <c r="V66" i="32" s="1" a="1"/>
  <c r="V66" i="32" s="1"/>
  <c r="AE66" i="32" s="1" a="1"/>
  <c r="AE66" i="32" s="1"/>
  <c r="AN66" i="32" s="1" a="1"/>
  <c r="AN66" i="32" s="1"/>
  <c r="M68" i="32" a="1"/>
  <c r="M68" i="32" s="1"/>
  <c r="V68" i="32" s="1" a="1"/>
  <c r="V68" i="32" s="1"/>
  <c r="AE68" i="32" s="1" a="1"/>
  <c r="AE68" i="32" s="1"/>
  <c r="AN68" i="32" s="1" a="1"/>
  <c r="AN68" i="32" s="1"/>
  <c r="O69" i="32" a="1"/>
  <c r="O69" i="32" s="1"/>
  <c r="X69" i="32" s="1" a="1"/>
  <c r="X69" i="32" s="1"/>
  <c r="AG69" i="32" s="1" a="1"/>
  <c r="AG69" i="32" s="1"/>
  <c r="AP69" i="32" s="1" a="1"/>
  <c r="AP69" i="32" s="1"/>
  <c r="J70" i="32" a="1"/>
  <c r="J70" i="32" s="1"/>
  <c r="S70" i="32" s="1" a="1"/>
  <c r="S70" i="32" s="1"/>
  <c r="AB70" i="32" s="1" a="1"/>
  <c r="AB70" i="32" s="1"/>
  <c r="AK70" i="32" s="1" a="1"/>
  <c r="AK70" i="32" s="1"/>
  <c r="Q70" i="32" a="1"/>
  <c r="Q70" i="32" s="1"/>
  <c r="Z70" i="32" s="1" a="1"/>
  <c r="Z70" i="32" s="1"/>
  <c r="AI70" i="32" s="1" a="1"/>
  <c r="AI70" i="32" s="1"/>
  <c r="J71" i="32" a="1"/>
  <c r="J71" i="32" s="1"/>
  <c r="S71" i="32" s="1" a="1"/>
  <c r="S71" i="32" s="1"/>
  <c r="AB71" i="32" s="1" a="1"/>
  <c r="AB71" i="32" s="1"/>
  <c r="AK71" i="32" s="1" a="1"/>
  <c r="AK71" i="32" s="1"/>
  <c r="M71" i="32" a="1"/>
  <c r="M71" i="32" s="1"/>
  <c r="V71" i="32" s="1" a="1"/>
  <c r="V71" i="32" s="1"/>
  <c r="AE71" i="32" s="1" a="1"/>
  <c r="AE71" i="32" s="1"/>
  <c r="AN71" i="32" s="1" a="1"/>
  <c r="AN71" i="32" s="1"/>
  <c r="P70" i="32" a="1"/>
  <c r="P70" i="32" s="1"/>
  <c r="Y70" i="32" s="1" a="1"/>
  <c r="Y70" i="32" s="1"/>
  <c r="AH70" i="32" s="1" a="1"/>
  <c r="AH70" i="32" s="1"/>
  <c r="L60" i="32" a="1"/>
  <c r="L60" i="32" s="1"/>
  <c r="U60" i="32" s="1" a="1"/>
  <c r="U60" i="32" s="1"/>
  <c r="AD60" i="32" s="1" a="1"/>
  <c r="AD60" i="32" s="1"/>
  <c r="AM60" i="32" s="1" a="1"/>
  <c r="AM60" i="32" s="1"/>
  <c r="N61" i="32" a="1"/>
  <c r="N61" i="32" s="1"/>
  <c r="W61" i="32" s="1" a="1"/>
  <c r="W61" i="32" s="1"/>
  <c r="AF61" i="32" s="1" a="1"/>
  <c r="AF61" i="32" s="1"/>
  <c r="AO61" i="32" s="1" a="1"/>
  <c r="AO61" i="32" s="1"/>
  <c r="Q64" i="32" a="1"/>
  <c r="Q64" i="32" s="1"/>
  <c r="Z64" i="32" s="1" a="1"/>
  <c r="Z64" i="32" s="1"/>
  <c r="AI64" i="32" s="1" a="1"/>
  <c r="AI64" i="32" s="1"/>
  <c r="L65" i="32" a="1"/>
  <c r="L65" i="32" s="1"/>
  <c r="U65" i="32" s="1" a="1"/>
  <c r="U65" i="32" s="1"/>
  <c r="AD65" i="32" s="1" a="1"/>
  <c r="AD65" i="32" s="1"/>
  <c r="AM65" i="32" s="1" a="1"/>
  <c r="AM65" i="32" s="1"/>
  <c r="N66" i="32" a="1"/>
  <c r="N66" i="32" s="1"/>
  <c r="W66" i="32" s="1" a="1"/>
  <c r="W66" i="32" s="1"/>
  <c r="AF66" i="32" s="1" a="1"/>
  <c r="AF66" i="32" s="1"/>
  <c r="AO66" i="32" s="1" a="1"/>
  <c r="AO66" i="32" s="1"/>
  <c r="M67" i="32" a="1"/>
  <c r="M67" i="32" s="1"/>
  <c r="V67" i="32" s="1" a="1"/>
  <c r="V67" i="32" s="1"/>
  <c r="AE67" i="32" s="1" a="1"/>
  <c r="AE67" i="32" s="1"/>
  <c r="AN67" i="32" s="1" a="1"/>
  <c r="AN67" i="32" s="1"/>
  <c r="R70" i="32" a="1"/>
  <c r="R70" i="32" s="1"/>
  <c r="AA70" i="32" s="1" a="1"/>
  <c r="AA70" i="32" s="1"/>
  <c r="AJ70" i="32" s="1" a="1"/>
  <c r="AJ70" i="32" s="1"/>
  <c r="Q72" i="32" a="1"/>
  <c r="Q72" i="32" s="1"/>
  <c r="Z72" i="32" s="1" a="1"/>
  <c r="Z72" i="32" s="1"/>
  <c r="AI72" i="32" s="1" a="1"/>
  <c r="AI72" i="32" s="1"/>
  <c r="K72" i="32" a="1"/>
  <c r="K72" i="32" s="1"/>
  <c r="T72" i="32" s="1" a="1"/>
  <c r="T72" i="32" s="1"/>
  <c r="AC72" i="32" s="1" a="1"/>
  <c r="AC72" i="32" s="1"/>
  <c r="AL72" i="32" s="1" a="1"/>
  <c r="AL72" i="32" s="1"/>
  <c r="L66" i="32" a="1"/>
  <c r="L66" i="32" s="1"/>
  <c r="U66" i="32" s="1" a="1"/>
  <c r="U66" i="32" s="1"/>
  <c r="AD66" i="32" s="1" a="1"/>
  <c r="AD66" i="32" s="1"/>
  <c r="AM66" i="32" s="1" a="1"/>
  <c r="AM66" i="32" s="1"/>
  <c r="M69" i="32" a="1"/>
  <c r="M69" i="32" s="1"/>
  <c r="V69" i="32" s="1" a="1"/>
  <c r="V69" i="32" s="1"/>
  <c r="AE69" i="32" s="1" a="1"/>
  <c r="AE69" i="32" s="1"/>
  <c r="AN69" i="32" s="1" a="1"/>
  <c r="AN69" i="32" s="1"/>
  <c r="R59" i="32" a="1"/>
  <c r="R59" i="32" s="1"/>
  <c r="AA59" i="32" s="1" a="1"/>
  <c r="AA59" i="32" s="1"/>
  <c r="AJ59" i="32" s="1" a="1"/>
  <c r="AJ59" i="32" s="1"/>
  <c r="M60" i="32" a="1"/>
  <c r="M60" i="32" s="1"/>
  <c r="V60" i="32" s="1" a="1"/>
  <c r="V60" i="32" s="1"/>
  <c r="AE60" i="32" s="1" a="1"/>
  <c r="AE60" i="32" s="1"/>
  <c r="AN60" i="32" s="1" a="1"/>
  <c r="AN60" i="32" s="1"/>
  <c r="O62" i="32" a="1"/>
  <c r="O62" i="32" s="1"/>
  <c r="X62" i="32" s="1" a="1"/>
  <c r="X62" i="32" s="1"/>
  <c r="AG62" i="32" s="1" a="1"/>
  <c r="AG62" i="32" s="1"/>
  <c r="AP62" i="32" s="1" a="1"/>
  <c r="AP62" i="32" s="1"/>
  <c r="O63" i="32" a="1"/>
  <c r="O63" i="32" s="1"/>
  <c r="X63" i="32" s="1" a="1"/>
  <c r="X63" i="32" s="1"/>
  <c r="AG63" i="32" s="1" a="1"/>
  <c r="AG63" i="32" s="1"/>
  <c r="AP63" i="32" s="1" a="1"/>
  <c r="AP63" i="32" s="1"/>
  <c r="J64" i="32" a="1"/>
  <c r="J64" i="32" s="1"/>
  <c r="S64" i="32" s="1" a="1"/>
  <c r="S64" i="32" s="1"/>
  <c r="AB64" i="32" s="1" a="1"/>
  <c r="AB64" i="32" s="1"/>
  <c r="AK64" i="32" s="1" a="1"/>
  <c r="AK64" i="32" s="1"/>
  <c r="M65" i="32" a="1"/>
  <c r="M65" i="32" s="1"/>
  <c r="V65" i="32" s="1" a="1"/>
  <c r="V65" i="32" s="1"/>
  <c r="AE65" i="32" s="1" a="1"/>
  <c r="AE65" i="32" s="1"/>
  <c r="AN65" i="32" s="1" a="1"/>
  <c r="AN65" i="32" s="1"/>
  <c r="O66" i="32" a="1"/>
  <c r="O66" i="32" s="1"/>
  <c r="X66" i="32" s="1" a="1"/>
  <c r="X66" i="32" s="1"/>
  <c r="AG66" i="32" s="1" a="1"/>
  <c r="AG66" i="32" s="1"/>
  <c r="AP66" i="32" s="1" a="1"/>
  <c r="AP66" i="32" s="1"/>
  <c r="N67" i="32" a="1"/>
  <c r="N67" i="32" s="1"/>
  <c r="W67" i="32" s="1" a="1"/>
  <c r="W67" i="32" s="1"/>
  <c r="AF67" i="32" s="1" a="1"/>
  <c r="AF67" i="32" s="1"/>
  <c r="AO67" i="32" s="1" a="1"/>
  <c r="AO67" i="32" s="1"/>
  <c r="N68" i="32" a="1"/>
  <c r="N68" i="32" s="1"/>
  <c r="W68" i="32" s="1" a="1"/>
  <c r="W68" i="32" s="1"/>
  <c r="AF68" i="32" s="1" a="1"/>
  <c r="AF68" i="32" s="1"/>
  <c r="AO68" i="32" s="1" a="1"/>
  <c r="AO68" i="32" s="1"/>
  <c r="P69" i="32" a="1"/>
  <c r="P69" i="32" s="1"/>
  <c r="Y69" i="32" s="1" a="1"/>
  <c r="Y69" i="32" s="1"/>
  <c r="AH69" i="32" s="1" a="1"/>
  <c r="AH69" i="32" s="1"/>
  <c r="K70" i="32" a="1"/>
  <c r="K70" i="32" s="1"/>
  <c r="T70" i="32" s="1" a="1"/>
  <c r="T70" i="32" s="1"/>
  <c r="AC70" i="32" s="1" a="1"/>
  <c r="AC70" i="32" s="1"/>
  <c r="AL70" i="32" s="1" a="1"/>
  <c r="AL70" i="32" s="1"/>
  <c r="K71" i="32" a="1"/>
  <c r="K71" i="32" s="1"/>
  <c r="T71" i="32" s="1" a="1"/>
  <c r="T71" i="32" s="1"/>
  <c r="AC71" i="32" s="1" a="1"/>
  <c r="AC71" i="32" s="1"/>
  <c r="AL71" i="32" s="1" a="1"/>
  <c r="AL71" i="32" s="1"/>
  <c r="R72" i="32" a="1"/>
  <c r="R72" i="32" s="1"/>
  <c r="AA72" i="32" s="1" a="1"/>
  <c r="AA72" i="32" s="1"/>
  <c r="AJ72" i="32" s="1" a="1"/>
  <c r="AJ72" i="32" s="1"/>
  <c r="J59" i="32" a="1"/>
  <c r="J59" i="32" s="1"/>
  <c r="S59" i="32" s="1" a="1"/>
  <c r="S59" i="32" s="1"/>
  <c r="AB59" i="32" s="1" a="1"/>
  <c r="AB59" i="32" s="1"/>
  <c r="AK59" i="32" s="1" a="1"/>
  <c r="AK59" i="32" s="1"/>
  <c r="O61" i="32" a="1"/>
  <c r="O61" i="32" s="1"/>
  <c r="X61" i="32" s="1" a="1"/>
  <c r="X61" i="32" s="1"/>
  <c r="AG61" i="32" s="1" a="1"/>
  <c r="AG61" i="32" s="1"/>
  <c r="AP61" i="32" s="1" a="1"/>
  <c r="AP61" i="32" s="1"/>
  <c r="P63" i="32" a="1"/>
  <c r="P63" i="32" s="1"/>
  <c r="Y63" i="32" s="1" a="1"/>
  <c r="Y63" i="32" s="1"/>
  <c r="AH63" i="32" s="1" a="1"/>
  <c r="AH63" i="32" s="1"/>
  <c r="R64" i="32" a="1"/>
  <c r="R64" i="32" s="1"/>
  <c r="AA64" i="32" s="1" a="1"/>
  <c r="AA64" i="32" s="1"/>
  <c r="AJ64" i="32" s="1" a="1"/>
  <c r="AJ64" i="32" s="1"/>
  <c r="N65" i="32" a="1"/>
  <c r="N65" i="32" s="1"/>
  <c r="W65" i="32" s="1" a="1"/>
  <c r="W65" i="32" s="1"/>
  <c r="AF65" i="32" s="1" a="1"/>
  <c r="AF65" i="32" s="1"/>
  <c r="AO65" i="32" s="1" a="1"/>
  <c r="AO65" i="32" s="1"/>
  <c r="P66" i="32" a="1"/>
  <c r="P66" i="32" s="1"/>
  <c r="Y66" i="32" s="1" a="1"/>
  <c r="Y66" i="32" s="1"/>
  <c r="AH66" i="32" s="1" a="1"/>
  <c r="AH66" i="32" s="1"/>
  <c r="O67" i="32" a="1"/>
  <c r="O67" i="32" s="1"/>
  <c r="X67" i="32" s="1" a="1"/>
  <c r="X67" i="32" s="1"/>
  <c r="AG67" i="32" s="1" a="1"/>
  <c r="AG67" i="32" s="1"/>
  <c r="AP67" i="32" s="1" a="1"/>
  <c r="AP67" i="32" s="1"/>
  <c r="O68" i="32" a="1"/>
  <c r="O68" i="32" s="1"/>
  <c r="X68" i="32" s="1" a="1"/>
  <c r="X68" i="32" s="1"/>
  <c r="AG68" i="32" s="1" a="1"/>
  <c r="AG68" i="32" s="1"/>
  <c r="AP68" i="32" s="1" a="1"/>
  <c r="AP68" i="32" s="1"/>
  <c r="L70" i="32" a="1"/>
  <c r="L70" i="32" s="1"/>
  <c r="U70" i="32" s="1" a="1"/>
  <c r="U70" i="32" s="1"/>
  <c r="AD70" i="32" s="1" a="1"/>
  <c r="AD70" i="32" s="1"/>
  <c r="AM70" i="32" s="1" a="1"/>
  <c r="AM70" i="32" s="1"/>
  <c r="L71" i="32" a="1"/>
  <c r="L71" i="32" s="1"/>
  <c r="U71" i="32" s="1" a="1"/>
  <c r="U71" i="32" s="1"/>
  <c r="AD71" i="32" s="1" a="1"/>
  <c r="AD71" i="32" s="1"/>
  <c r="AM71" i="32" s="1" a="1"/>
  <c r="AM71" i="32" s="1"/>
  <c r="J72" i="32" a="1"/>
  <c r="J72" i="32" s="1"/>
  <c r="S72" i="32" s="1" a="1"/>
  <c r="S72" i="32" s="1"/>
  <c r="AB72" i="32" s="1" a="1"/>
  <c r="AB72" i="32" s="1"/>
  <c r="AK72" i="32" s="1" a="1"/>
  <c r="AK72" i="32" s="1"/>
  <c r="L68" i="32" a="1"/>
  <c r="L68" i="32" s="1"/>
  <c r="U68" i="32" s="1" a="1"/>
  <c r="U68" i="32" s="1"/>
  <c r="AD68" i="32" s="1" a="1"/>
  <c r="AD68" i="32" s="1"/>
  <c r="AM68" i="32" s="1" a="1"/>
  <c r="AM68" i="32" s="1"/>
  <c r="K59" i="32" a="1"/>
  <c r="K59" i="32" s="1"/>
  <c r="T59" i="32" s="1" a="1"/>
  <c r="T59" i="32" s="1"/>
  <c r="AC59" i="32" s="1" a="1"/>
  <c r="AC59" i="32" s="1"/>
  <c r="AL59" i="32" s="1" a="1"/>
  <c r="AL59" i="32" s="1"/>
  <c r="N60" i="32" a="1"/>
  <c r="N60" i="32" s="1"/>
  <c r="W60" i="32" s="1" a="1"/>
  <c r="W60" i="32" s="1"/>
  <c r="AF60" i="32" s="1" a="1"/>
  <c r="AF60" i="32" s="1"/>
  <c r="AO60" i="32" s="1" a="1"/>
  <c r="AO60" i="32" s="1"/>
  <c r="P61" i="32" a="1"/>
  <c r="P61" i="32" s="1"/>
  <c r="Y61" i="32" s="1" a="1"/>
  <c r="Y61" i="32" s="1"/>
  <c r="AH61" i="32" s="1" a="1"/>
  <c r="AH61" i="32" s="1"/>
  <c r="P62" i="32" a="1"/>
  <c r="P62" i="32" s="1"/>
  <c r="Y62" i="32" s="1" a="1"/>
  <c r="Y62" i="32" s="1"/>
  <c r="AH62" i="32" s="1" a="1"/>
  <c r="AH62" i="32" s="1"/>
  <c r="Q63" i="32" a="1"/>
  <c r="Q63" i="32" s="1"/>
  <c r="Z63" i="32" s="1" a="1"/>
  <c r="Z63" i="32" s="1"/>
  <c r="AI63" i="32" s="1" a="1"/>
  <c r="AI63" i="32" s="1"/>
  <c r="K64" i="32" a="1"/>
  <c r="K64" i="32" s="1"/>
  <c r="T64" i="32" s="1" a="1"/>
  <c r="T64" i="32" s="1"/>
  <c r="AC64" i="32" s="1" a="1"/>
  <c r="AC64" i="32" s="1"/>
  <c r="AL64" i="32" s="1" a="1"/>
  <c r="AL64" i="32" s="1"/>
  <c r="P68" i="32" a="1"/>
  <c r="P68" i="32" s="1"/>
  <c r="Y68" i="32" s="1" a="1"/>
  <c r="Y68" i="32" s="1"/>
  <c r="AH68" i="32" s="1" a="1"/>
  <c r="AH68" i="32" s="1"/>
  <c r="Q69" i="32" a="1"/>
  <c r="Q69" i="32" s="1"/>
  <c r="Z69" i="32" s="1" a="1"/>
  <c r="Z69" i="32" s="1"/>
  <c r="AI69" i="32" s="1" a="1"/>
  <c r="AI69" i="32" s="1"/>
  <c r="J65" i="32" a="1"/>
  <c r="J65" i="32" s="1"/>
  <c r="S65" i="32" s="1" a="1"/>
  <c r="S65" i="32" s="1"/>
  <c r="AB65" i="32" s="1" a="1"/>
  <c r="AB65" i="32" s="1"/>
  <c r="AK65" i="32" s="1" a="1"/>
  <c r="AK65" i="32" s="1"/>
  <c r="L59" i="32" a="1"/>
  <c r="L59" i="32" s="1"/>
  <c r="U59" i="32" s="1" a="1"/>
  <c r="U59" i="32" s="1"/>
  <c r="AD59" i="32" s="1" a="1"/>
  <c r="AD59" i="32" s="1"/>
  <c r="AM59" i="32" s="1" a="1"/>
  <c r="AM59" i="32" s="1"/>
  <c r="R63" i="32" a="1"/>
  <c r="R63" i="32" s="1"/>
  <c r="AA63" i="32" s="1" a="1"/>
  <c r="AA63" i="32" s="1"/>
  <c r="AJ63" i="32" s="1" a="1"/>
  <c r="AJ63" i="32" s="1"/>
  <c r="O65" i="32" a="1"/>
  <c r="O65" i="32" s="1"/>
  <c r="X65" i="32" s="1" a="1"/>
  <c r="X65" i="32" s="1"/>
  <c r="AG65" i="32" s="1" a="1"/>
  <c r="AG65" i="32" s="1"/>
  <c r="AP65" i="32" s="1" a="1"/>
  <c r="AP65" i="32" s="1"/>
  <c r="Q66" i="32" a="1"/>
  <c r="Q66" i="32" s="1"/>
  <c r="Z66" i="32" s="1" a="1"/>
  <c r="Z66" i="32" s="1"/>
  <c r="AI66" i="32" s="1" a="1"/>
  <c r="AI66" i="32" s="1"/>
  <c r="P67" i="32" a="1"/>
  <c r="P67" i="32" s="1"/>
  <c r="Y67" i="32" s="1" a="1"/>
  <c r="Y67" i="32" s="1"/>
  <c r="AH67" i="32" s="1" a="1"/>
  <c r="AH67" i="32" s="1"/>
  <c r="J69" i="32" a="1"/>
  <c r="J69" i="32" s="1"/>
  <c r="S69" i="32" s="1" a="1"/>
  <c r="S69" i="32" s="1"/>
  <c r="AB69" i="32" s="1" a="1"/>
  <c r="AB69" i="32" s="1"/>
  <c r="AK69" i="32" s="1" a="1"/>
  <c r="AK69" i="32" s="1"/>
  <c r="R69" i="32" a="1"/>
  <c r="R69" i="32" s="1"/>
  <c r="AA69" i="32" s="1" a="1"/>
  <c r="AA69" i="32" s="1"/>
  <c r="AJ69" i="32" s="1" a="1"/>
  <c r="AJ69" i="32" s="1"/>
  <c r="M70" i="32" a="1"/>
  <c r="M70" i="32" s="1"/>
  <c r="V70" i="32" s="1" a="1"/>
  <c r="V70" i="32" s="1"/>
  <c r="AE70" i="32" s="1" a="1"/>
  <c r="AE70" i="32" s="1"/>
  <c r="AN70" i="32" s="1" a="1"/>
  <c r="AN70" i="32" s="1"/>
  <c r="M62" i="32" a="1"/>
  <c r="M62" i="32" s="1"/>
  <c r="V62" i="32" s="1" a="1"/>
  <c r="V62" i="32" s="1"/>
  <c r="AE62" i="32" s="1" a="1"/>
  <c r="AE62" i="32" s="1"/>
  <c r="AN62" i="32" s="1" a="1"/>
  <c r="AN62" i="32" s="1"/>
  <c r="O72" i="32" a="1"/>
  <c r="O72" i="32" s="1"/>
  <c r="X72" i="32" s="1" a="1"/>
  <c r="X72" i="32" s="1"/>
  <c r="AG72" i="32" s="1" a="1"/>
  <c r="AG72" i="32" s="1"/>
  <c r="AP72" i="32" s="1" a="1"/>
  <c r="AP72" i="32" s="1"/>
  <c r="O60" i="32" a="1"/>
  <c r="O60" i="32" s="1"/>
  <c r="X60" i="32" s="1" a="1"/>
  <c r="X60" i="32" s="1"/>
  <c r="AG60" i="32" s="1" a="1"/>
  <c r="AG60" i="32" s="1"/>
  <c r="AP60" i="32" s="1" a="1"/>
  <c r="AP60" i="32" s="1"/>
  <c r="Q61" i="32" a="1"/>
  <c r="Q61" i="32" s="1"/>
  <c r="Z61" i="32" s="1" a="1"/>
  <c r="Z61" i="32" s="1"/>
  <c r="AI61" i="32" s="1" a="1"/>
  <c r="AI61" i="32" s="1"/>
  <c r="J62" i="32" a="1"/>
  <c r="J62" i="32" s="1"/>
  <c r="S62" i="32" s="1" a="1"/>
  <c r="S62" i="32" s="1"/>
  <c r="AB62" i="32" s="1" a="1"/>
  <c r="AB62" i="32" s="1"/>
  <c r="AK62" i="32" s="1" a="1"/>
  <c r="AK62" i="32" s="1"/>
  <c r="Q62" i="32" a="1"/>
  <c r="Q62" i="32" s="1"/>
  <c r="Z62" i="32" s="1" a="1"/>
  <c r="Z62" i="32" s="1"/>
  <c r="AI62" i="32" s="1" a="1"/>
  <c r="AI62" i="32" s="1"/>
  <c r="J63" i="32" a="1"/>
  <c r="J63" i="32" s="1"/>
  <c r="S63" i="32" s="1" a="1"/>
  <c r="S63" i="32" s="1"/>
  <c r="AB63" i="32" s="1" a="1"/>
  <c r="AB63" i="32" s="1"/>
  <c r="AK63" i="32" s="1" a="1"/>
  <c r="AK63" i="32" s="1"/>
  <c r="L64" i="32" a="1"/>
  <c r="L64" i="32" s="1"/>
  <c r="U64" i="32" s="1" a="1"/>
  <c r="U64" i="32" s="1"/>
  <c r="AD64" i="32" s="1" a="1"/>
  <c r="AD64" i="32" s="1"/>
  <c r="AM64" i="32" s="1" a="1"/>
  <c r="AM64" i="32" s="1"/>
  <c r="P65" i="32" a="1"/>
  <c r="P65" i="32" s="1"/>
  <c r="Y65" i="32" s="1" a="1"/>
  <c r="Y65" i="32" s="1"/>
  <c r="AH65" i="32" s="1" a="1"/>
  <c r="AH65" i="32" s="1"/>
  <c r="J66" i="32" a="1"/>
  <c r="J66" i="32" s="1"/>
  <c r="S66" i="32" s="1" a="1"/>
  <c r="S66" i="32" s="1"/>
  <c r="AB66" i="32" s="1" a="1"/>
  <c r="AB66" i="32" s="1"/>
  <c r="AK66" i="32" s="1" a="1"/>
  <c r="AK66" i="32" s="1"/>
  <c r="Q68" i="32" a="1"/>
  <c r="Q68" i="32" s="1"/>
  <c r="Z68" i="32" s="1" a="1"/>
  <c r="Z68" i="32" s="1"/>
  <c r="AI68" i="32" s="1" a="1"/>
  <c r="AI68" i="32" s="1"/>
  <c r="N71" i="32" a="1"/>
  <c r="N71" i="32" s="1"/>
  <c r="W71" i="32" s="1" a="1"/>
  <c r="W71" i="32" s="1"/>
  <c r="AF71" i="32" s="1" a="1"/>
  <c r="AF71" i="32" s="1"/>
  <c r="AO71" i="32" s="1" a="1"/>
  <c r="AO71" i="32" s="1"/>
  <c r="L72" i="32" a="1"/>
  <c r="L72" i="32" s="1"/>
  <c r="U72" i="32" s="1" a="1"/>
  <c r="U72" i="32" s="1"/>
  <c r="AD72" i="32" s="1" a="1"/>
  <c r="AD72" i="32" s="1"/>
  <c r="AM72" i="32" s="1" a="1"/>
  <c r="AM72" i="32" s="1"/>
  <c r="K67" i="32" a="1"/>
  <c r="K67" i="32" s="1"/>
  <c r="T67" i="32" s="1" a="1"/>
  <c r="T67" i="32" s="1"/>
  <c r="AC67" i="32" s="1" a="1"/>
  <c r="AC67" i="32" s="1"/>
  <c r="AL67" i="32" s="1" a="1"/>
  <c r="AL67" i="32" s="1"/>
  <c r="M59" i="32" a="1"/>
  <c r="M59" i="32" s="1"/>
  <c r="V59" i="32" s="1" a="1"/>
  <c r="V59" i="32" s="1"/>
  <c r="AE59" i="32" s="1" a="1"/>
  <c r="AE59" i="32" s="1"/>
  <c r="AN59" i="32" s="1" a="1"/>
  <c r="AN59" i="32" s="1"/>
  <c r="R61" i="32" a="1"/>
  <c r="R61" i="32" s="1"/>
  <c r="AA61" i="32" s="1" a="1"/>
  <c r="AA61" i="32" s="1"/>
  <c r="AJ61" i="32" s="1" a="1"/>
  <c r="AJ61" i="32" s="1"/>
  <c r="K62" i="32" a="1"/>
  <c r="K62" i="32" s="1"/>
  <c r="T62" i="32" s="1" a="1"/>
  <c r="T62" i="32" s="1"/>
  <c r="AC62" i="32" s="1" a="1"/>
  <c r="AC62" i="32" s="1"/>
  <c r="AL62" i="32" s="1" a="1"/>
  <c r="AL62" i="32" s="1"/>
  <c r="R62" i="32" a="1"/>
  <c r="R62" i="32" s="1"/>
  <c r="AA62" i="32" s="1" a="1"/>
  <c r="AA62" i="32" s="1"/>
  <c r="AJ62" i="32" s="1" a="1"/>
  <c r="AJ62" i="32" s="1"/>
  <c r="K63" i="32" a="1"/>
  <c r="K63" i="32" s="1"/>
  <c r="T63" i="32" s="1" a="1"/>
  <c r="T63" i="32" s="1"/>
  <c r="AC63" i="32" s="1" a="1"/>
  <c r="AC63" i="32" s="1"/>
  <c r="AL63" i="32" s="1" a="1"/>
  <c r="AL63" i="32" s="1"/>
  <c r="M64" i="32" a="1"/>
  <c r="M64" i="32" s="1"/>
  <c r="V64" i="32" s="1" a="1"/>
  <c r="V64" i="32" s="1"/>
  <c r="AE64" i="32" s="1" a="1"/>
  <c r="AE64" i="32" s="1"/>
  <c r="AN64" i="32" s="1" a="1"/>
  <c r="AN64" i="32" s="1"/>
  <c r="R66" i="32" a="1"/>
  <c r="R66" i="32" s="1"/>
  <c r="AA66" i="32" s="1" a="1"/>
  <c r="AA66" i="32" s="1"/>
  <c r="AJ66" i="32" s="1" a="1"/>
  <c r="AJ66" i="32" s="1"/>
  <c r="Q67" i="32" a="1"/>
  <c r="Q67" i="32" s="1"/>
  <c r="Z67" i="32" s="1" a="1"/>
  <c r="Z67" i="32" s="1"/>
  <c r="AI67" i="32" s="1" a="1"/>
  <c r="AI67" i="32" s="1"/>
  <c r="R68" i="32" a="1"/>
  <c r="R68" i="32" s="1"/>
  <c r="AA68" i="32" s="1" a="1"/>
  <c r="AA68" i="32" s="1"/>
  <c r="AJ68" i="32" s="1" a="1"/>
  <c r="AJ68" i="32" s="1"/>
  <c r="K69" i="32" a="1"/>
  <c r="K69" i="32" s="1"/>
  <c r="T69" i="32" s="1" a="1"/>
  <c r="T69" i="32" s="1"/>
  <c r="AC69" i="32" s="1" a="1"/>
  <c r="AC69" i="32" s="1"/>
  <c r="AL69" i="32" s="1" a="1"/>
  <c r="AL69" i="32" s="1"/>
  <c r="N70" i="32" a="1"/>
  <c r="N70" i="32" s="1"/>
  <c r="W70" i="32" s="1" a="1"/>
  <c r="W70" i="32" s="1"/>
  <c r="AF70" i="32" s="1" a="1"/>
  <c r="AF70" i="32" s="1"/>
  <c r="AO70" i="32" s="1" a="1"/>
  <c r="AO70" i="32" s="1"/>
  <c r="O71" i="32" a="1"/>
  <c r="O71" i="32" s="1"/>
  <c r="X71" i="32" s="1" a="1"/>
  <c r="X71" i="32" s="1"/>
  <c r="AG71" i="32" s="1" a="1"/>
  <c r="AG71" i="32" s="1"/>
  <c r="AP71" i="32" s="1" a="1"/>
  <c r="AP71" i="32" s="1"/>
  <c r="M72" i="32" a="1"/>
  <c r="M72" i="32" s="1"/>
  <c r="V72" i="32" s="1" a="1"/>
  <c r="V72" i="32" s="1"/>
  <c r="AE72" i="32" s="1" a="1"/>
  <c r="AE72" i="32" s="1"/>
  <c r="AN72" i="32" s="1" a="1"/>
  <c r="AN72" i="32" s="1"/>
  <c r="P71" i="32" a="1"/>
  <c r="P71" i="32" s="1"/>
  <c r="Y71" i="32" s="1" a="1"/>
  <c r="Y71" i="32" s="1"/>
  <c r="AH71" i="32" s="1" a="1"/>
  <c r="AH71" i="32" s="1"/>
  <c r="O59" i="32" a="1"/>
  <c r="O59" i="32" s="1"/>
  <c r="X59" i="32" s="1" a="1"/>
  <c r="X59" i="32" s="1"/>
  <c r="AG59" i="32" s="1" a="1"/>
  <c r="AG59" i="32" s="1"/>
  <c r="AP59" i="32" s="1" a="1"/>
  <c r="AP59" i="32" s="1"/>
  <c r="P60" i="32" a="1"/>
  <c r="P60" i="32" s="1"/>
  <c r="Y60" i="32" s="1" a="1"/>
  <c r="Y60" i="32" s="1"/>
  <c r="AH60" i="32" s="1" a="1"/>
  <c r="AH60" i="32" s="1"/>
  <c r="J61" i="32" a="1"/>
  <c r="J61" i="32" s="1"/>
  <c r="S61" i="32" s="1" a="1"/>
  <c r="S61" i="32" s="1"/>
  <c r="AB61" i="32" s="1" a="1"/>
  <c r="AB61" i="32" s="1"/>
  <c r="AK61" i="32" s="1" a="1"/>
  <c r="AK61" i="32" s="1"/>
  <c r="Q65" i="32" a="1"/>
  <c r="Q65" i="32" s="1"/>
  <c r="Z65" i="32" s="1" a="1"/>
  <c r="Z65" i="32" s="1"/>
  <c r="AI65" i="32" s="1" a="1"/>
  <c r="AI65" i="32" s="1"/>
  <c r="K66" i="32" a="1"/>
  <c r="K66" i="32" s="1"/>
  <c r="T66" i="32" s="1" a="1"/>
  <c r="T66" i="32" s="1"/>
  <c r="AC66" i="32" s="1" a="1"/>
  <c r="AC66" i="32" s="1"/>
  <c r="AL66" i="32" s="1" a="1"/>
  <c r="AL66" i="32" s="1"/>
  <c r="J67" i="32" a="1"/>
  <c r="J67" i="32" s="1"/>
  <c r="S67" i="32" s="1" a="1"/>
  <c r="S67" i="32" s="1"/>
  <c r="AB67" i="32" s="1" a="1"/>
  <c r="AB67" i="32" s="1"/>
  <c r="AK67" i="32" s="1" a="1"/>
  <c r="AK67" i="32" s="1"/>
  <c r="R67" i="32" a="1"/>
  <c r="R67" i="32" s="1"/>
  <c r="AA67" i="32" s="1" a="1"/>
  <c r="AA67" i="32" s="1"/>
  <c r="AJ67" i="32" s="1" a="1"/>
  <c r="AJ67" i="32" s="1"/>
  <c r="J68" i="32" a="1"/>
  <c r="J68" i="32" s="1"/>
  <c r="S68" i="32" s="1" a="1"/>
  <c r="S68" i="32" s="1"/>
  <c r="AB68" i="32" s="1" a="1"/>
  <c r="AB68" i="32" s="1"/>
  <c r="AK68" i="32" s="1" a="1"/>
  <c r="AK68" i="32" s="1"/>
  <c r="L69" i="32" a="1"/>
  <c r="L69" i="32" s="1"/>
  <c r="U69" i="32" s="1" a="1"/>
  <c r="U69" i="32" s="1"/>
  <c r="AD69" i="32" s="1" a="1"/>
  <c r="AD69" i="32" s="1"/>
  <c r="AM69" i="32" s="1" a="1"/>
  <c r="AM69" i="32" s="1"/>
  <c r="O70" i="32" a="1"/>
  <c r="O70" i="32" s="1"/>
  <c r="X70" i="32" s="1" a="1"/>
  <c r="X70" i="32" s="1"/>
  <c r="AG70" i="32" s="1" a="1"/>
  <c r="AG70" i="32" s="1"/>
  <c r="AP70" i="32" s="1" a="1"/>
  <c r="AP70" i="32" s="1"/>
  <c r="Q71" i="32" a="1"/>
  <c r="Q71" i="32" s="1"/>
  <c r="Z71" i="32" s="1" a="1"/>
  <c r="Z71" i="32" s="1"/>
  <c r="AI71" i="32" s="1" a="1"/>
  <c r="AI71" i="32" s="1"/>
  <c r="Q60" i="32" a="1"/>
  <c r="Q60" i="32" s="1"/>
  <c r="Z60" i="32" s="1" a="1"/>
  <c r="Z60" i="32" s="1"/>
  <c r="AI60" i="32" s="1" a="1"/>
  <c r="AI60" i="32" s="1"/>
  <c r="N59" i="32" a="1"/>
  <c r="N59" i="32" s="1"/>
  <c r="W59" i="32" s="1" a="1"/>
  <c r="W59" i="32" s="1"/>
  <c r="AF59" i="32" s="1" a="1"/>
  <c r="AF59" i="32" s="1"/>
  <c r="AO59" i="32" s="1" a="1"/>
  <c r="AO59" i="32" s="1"/>
  <c r="K61" i="32" a="1"/>
  <c r="K61" i="32" s="1"/>
  <c r="T61" i="32" s="1" a="1"/>
  <c r="T61" i="32" s="1"/>
  <c r="AC61" i="32" s="1" a="1"/>
  <c r="AC61" i="32" s="1"/>
  <c r="AL61" i="32" s="1" a="1"/>
  <c r="AL61" i="32" s="1"/>
  <c r="L62" i="32" a="1"/>
  <c r="L62" i="32" s="1"/>
  <c r="U62" i="32" s="1" a="1"/>
  <c r="U62" i="32" s="1"/>
  <c r="AD62" i="32" s="1" a="1"/>
  <c r="AD62" i="32" s="1"/>
  <c r="AM62" i="32" s="1" a="1"/>
  <c r="AM62" i="32" s="1"/>
  <c r="L63" i="32" a="1"/>
  <c r="L63" i="32" s="1"/>
  <c r="U63" i="32" s="1" a="1"/>
  <c r="U63" i="32" s="1"/>
  <c r="AD63" i="32" s="1" a="1"/>
  <c r="AD63" i="32" s="1"/>
  <c r="AM63" i="32" s="1" a="1"/>
  <c r="AM63" i="32" s="1"/>
  <c r="N64" i="32" a="1"/>
  <c r="N64" i="32" s="1"/>
  <c r="W64" i="32" s="1" a="1"/>
  <c r="W64" i="32" s="1"/>
  <c r="AF64" i="32" s="1" a="1"/>
  <c r="AF64" i="32" s="1"/>
  <c r="AO64" i="32" s="1" a="1"/>
  <c r="AO64" i="32" s="1"/>
  <c r="R65" i="32" a="1"/>
  <c r="R65" i="32" s="1"/>
  <c r="AA65" i="32" s="1" a="1"/>
  <c r="AA65" i="32" s="1"/>
  <c r="AJ65" i="32" s="1" a="1"/>
  <c r="AJ65" i="32" s="1"/>
  <c r="K68" i="32" a="1"/>
  <c r="K68" i="32" s="1"/>
  <c r="T68" i="32" s="1" a="1"/>
  <c r="T68" i="32" s="1"/>
  <c r="AC68" i="32" s="1" a="1"/>
  <c r="AC68" i="32" s="1"/>
  <c r="AL68" i="32" s="1" a="1"/>
  <c r="AL68" i="32" s="1"/>
  <c r="N72" i="32" a="1"/>
  <c r="N72" i="32" s="1"/>
  <c r="W72" i="32" s="1" a="1"/>
  <c r="W72" i="32" s="1"/>
  <c r="AF72" i="32" s="1" a="1"/>
  <c r="AF72" i="32" s="1"/>
  <c r="AO72" i="32" s="1" a="1"/>
  <c r="AO72" i="32" s="1"/>
  <c r="O64" i="32" a="1"/>
  <c r="O64" i="32" s="1"/>
  <c r="X64" i="32" s="1" a="1"/>
  <c r="X64" i="32" s="1"/>
  <c r="AG64" i="32" s="1" a="1"/>
  <c r="AG64" i="32" s="1"/>
  <c r="AP64" i="32" s="1" a="1"/>
  <c r="AP64" i="32" s="1"/>
  <c r="R71" i="32" a="1"/>
  <c r="R71" i="32" s="1"/>
  <c r="AA71" i="32" s="1" a="1"/>
  <c r="AA71" i="32" s="1"/>
  <c r="AJ71" i="32" s="1" a="1"/>
  <c r="AJ71" i="32" s="1"/>
  <c r="P59" i="32" a="1"/>
  <c r="P59" i="32" s="1"/>
  <c r="Y59" i="32" s="1" a="1"/>
  <c r="Y59" i="32" s="1"/>
  <c r="AH59" i="32" s="1" a="1"/>
  <c r="AH59" i="32" s="1"/>
  <c r="J60" i="32" a="1"/>
  <c r="J60" i="32" s="1"/>
  <c r="S60" i="32" s="1" a="1"/>
  <c r="S60" i="32" s="1"/>
  <c r="AB60" i="32" s="1" a="1"/>
  <c r="AB60" i="32" s="1"/>
  <c r="AK60" i="32" s="1" a="1"/>
  <c r="AK60" i="32" s="1"/>
  <c r="R60" i="32" a="1"/>
  <c r="R60" i="32" s="1"/>
  <c r="AA60" i="32" s="1" a="1"/>
  <c r="AA60" i="32" s="1"/>
  <c r="AJ60" i="32" s="1" a="1"/>
  <c r="AJ60" i="32" s="1"/>
  <c r="L61" i="32" a="1"/>
  <c r="L61" i="32" s="1"/>
  <c r="U61" i="32" s="1" a="1"/>
  <c r="U61" i="32" s="1"/>
  <c r="AD61" i="32" s="1" a="1"/>
  <c r="AD61" i="32" s="1"/>
  <c r="AM61" i="32" s="1" a="1"/>
  <c r="AM61" i="32" s="1"/>
  <c r="M63" i="32" a="1"/>
  <c r="M63" i="32" s="1"/>
  <c r="V63" i="32" s="1" a="1"/>
  <c r="V63" i="32" s="1"/>
  <c r="AE63" i="32" s="1" a="1"/>
  <c r="AE63" i="32" s="1"/>
  <c r="AN63" i="32" s="1" a="1"/>
  <c r="AN63" i="32" s="1"/>
  <c r="P64" i="32" a="1"/>
  <c r="P64" i="32" s="1"/>
  <c r="Y64" i="32" s="1" a="1"/>
  <c r="Y64" i="32" s="1"/>
  <c r="AH64" i="32" s="1" a="1"/>
  <c r="AH64" i="32" s="1"/>
  <c r="L67" i="32" a="1"/>
  <c r="L67" i="32" s="1"/>
  <c r="U67" i="32" s="1" a="1"/>
  <c r="U67" i="32" s="1"/>
  <c r="AD67" i="32" s="1" a="1"/>
  <c r="AD67" i="32" s="1"/>
  <c r="AM67" i="32" s="1" a="1"/>
  <c r="AM67" i="32" s="1"/>
  <c r="N69" i="32" a="1"/>
  <c r="N69" i="32" s="1"/>
  <c r="W69" i="32" s="1" a="1"/>
  <c r="W69" i="32" s="1"/>
  <c r="AF69" i="32" s="1" a="1"/>
  <c r="AF69" i="32" s="1"/>
  <c r="AO69" i="32" s="1" a="1"/>
  <c r="AO69" i="32" s="1"/>
  <c r="P72" i="32" a="1"/>
  <c r="P72" i="32" s="1"/>
  <c r="Y72" i="32" s="1" a="1"/>
  <c r="Y72" i="32" s="1"/>
  <c r="AH72" i="32" s="1" a="1"/>
  <c r="AH72" i="32" s="1"/>
  <c r="B14" i="32"/>
  <c r="AS11" i="32"/>
  <c r="AS11" i="20"/>
  <c r="AY11" i="24"/>
  <c r="I50" i="18"/>
  <c r="C16" i="20"/>
  <c r="D14" i="21"/>
  <c r="B16" i="20"/>
  <c r="E37" i="19"/>
  <c r="F14" i="21"/>
  <c r="G14" i="21"/>
  <c r="H14" i="21"/>
  <c r="E14" i="21"/>
  <c r="AQ20" i="20"/>
  <c r="AR20" i="20" s="1"/>
  <c r="AQ21" i="20" s="1"/>
  <c r="AR21" i="20" s="1"/>
  <c r="AQ22" i="20" s="1"/>
  <c r="AR22" i="20" s="1"/>
  <c r="AQ16" i="32"/>
  <c r="AR16" i="32" s="1"/>
  <c r="AQ17" i="32" s="1"/>
  <c r="AR17" i="32" s="1"/>
  <c r="B37" i="19"/>
  <c r="C37" i="19"/>
  <c r="F37" i="19"/>
  <c r="G15" i="21"/>
  <c r="C14" i="21"/>
  <c r="C14" i="32"/>
  <c r="D14" i="32" s="1"/>
  <c r="F15" i="21"/>
  <c r="C15" i="21"/>
  <c r="B15" i="21"/>
  <c r="E15" i="21" s="1"/>
  <c r="P52" i="18"/>
  <c r="J52" i="18" s="1"/>
  <c r="D17" i="15"/>
  <c r="D18" i="15"/>
  <c r="D20" i="15"/>
  <c r="C36" i="15" s="1"/>
  <c r="D21" i="15"/>
  <c r="J56" i="18"/>
  <c r="C17" i="20"/>
  <c r="J53" i="18"/>
  <c r="A18" i="20"/>
  <c r="AR17" i="26"/>
  <c r="AQ18" i="26" s="1"/>
  <c r="C19" i="20"/>
  <c r="B17" i="24"/>
  <c r="AX17" i="24"/>
  <c r="O57" i="18"/>
  <c r="L16" i="27"/>
  <c r="K17" i="27" s="1"/>
  <c r="C17" i="19"/>
  <c r="L15" i="25"/>
  <c r="B15" i="25"/>
  <c r="C34" i="19"/>
  <c r="D34" i="19"/>
  <c r="P55" i="18"/>
  <c r="C20" i="19"/>
  <c r="B74" i="18"/>
  <c r="K18" i="21"/>
  <c r="L18" i="21" s="1"/>
  <c r="A17" i="21"/>
  <c r="B16" i="21"/>
  <c r="E16" i="21" s="1"/>
  <c r="F16" i="21"/>
  <c r="C16" i="21"/>
  <c r="H16" i="21"/>
  <c r="G16" i="21"/>
  <c r="C15" i="32"/>
  <c r="D15" i="32" s="1"/>
  <c r="B15" i="32"/>
  <c r="D14" i="19"/>
  <c r="I15" i="19"/>
  <c r="C14" i="19"/>
  <c r="F13" i="19"/>
  <c r="E13" i="19"/>
  <c r="L19" i="20" l="1" a="1"/>
  <c r="L19" i="20" s="1"/>
  <c r="AD17" i="20" a="1"/>
  <c r="AD17" i="20" s="1"/>
  <c r="S17" i="20" a="1"/>
  <c r="S17" i="20" s="1"/>
  <c r="AA17" i="20" a="1"/>
  <c r="AA17" i="20" s="1"/>
  <c r="R17" i="20" a="1"/>
  <c r="R17" i="20" s="1"/>
  <c r="AN17" i="20" a="1"/>
  <c r="AN17" i="20" s="1"/>
  <c r="M16" i="20" a="1"/>
  <c r="M16" i="20" s="1"/>
  <c r="AO17" i="20" a="1"/>
  <c r="AO17" i="20" s="1"/>
  <c r="AG17" i="20" a="1"/>
  <c r="AG17" i="20" s="1"/>
  <c r="X17" i="20" a="1"/>
  <c r="X17" i="20" s="1"/>
  <c r="AO19" i="20" a="1"/>
  <c r="AO19" i="20" s="1"/>
  <c r="O19" i="20" a="1"/>
  <c r="O19" i="20" s="1"/>
  <c r="J17" i="20" a="1"/>
  <c r="J17" i="20" s="1"/>
  <c r="K19" i="20" a="1"/>
  <c r="K19" i="20" s="1"/>
  <c r="AC17" i="20" a="1"/>
  <c r="AC17" i="20" s="1"/>
  <c r="AL17" i="20" a="1"/>
  <c r="AL17" i="20" s="1"/>
  <c r="AH19" i="20" a="1"/>
  <c r="AH19" i="20" s="1"/>
  <c r="AN19" i="20" a="1"/>
  <c r="AN19" i="20" s="1"/>
  <c r="T19" i="20" a="1"/>
  <c r="T19" i="20" s="1"/>
  <c r="AF19" i="20" a="1"/>
  <c r="AF19" i="20" s="1"/>
  <c r="AO16" i="20" a="1"/>
  <c r="AO16" i="20" s="1"/>
  <c r="Y17" i="20" a="1"/>
  <c r="Y17" i="20" s="1"/>
  <c r="AF17" i="20" a="1"/>
  <c r="AF17" i="20" s="1"/>
  <c r="AB19" i="20" a="1"/>
  <c r="AB19" i="20" s="1"/>
  <c r="S19" i="20" a="1"/>
  <c r="S19" i="20" s="1"/>
  <c r="N19" i="20" a="1"/>
  <c r="N19" i="20" s="1"/>
  <c r="AK19" i="20" a="1"/>
  <c r="AK19" i="20" s="1"/>
  <c r="Q17" i="20" a="1"/>
  <c r="Q17" i="20" s="1"/>
  <c r="P17" i="20" a="1"/>
  <c r="P17" i="20" s="1"/>
  <c r="Z17" i="20" a="1"/>
  <c r="Z17" i="20" s="1"/>
  <c r="W19" i="20" a="1"/>
  <c r="W19" i="20" s="1"/>
  <c r="J19" i="20" a="1"/>
  <c r="J19" i="20" s="1"/>
  <c r="AP19" i="20" a="1"/>
  <c r="AP19" i="20" s="1"/>
  <c r="O17" i="20" a="1"/>
  <c r="O17" i="20" s="1"/>
  <c r="K17" i="20" a="1"/>
  <c r="K17" i="20" s="1"/>
  <c r="AI17" i="20" a="1"/>
  <c r="AI17" i="20" s="1"/>
  <c r="T17" i="20" a="1"/>
  <c r="T17" i="20" s="1"/>
  <c r="M19" i="20" a="1"/>
  <c r="M19" i="20" s="1"/>
  <c r="AC19" i="20" a="1"/>
  <c r="AC19" i="20" s="1"/>
  <c r="AJ19" i="20" a="1"/>
  <c r="AJ19" i="20" s="1"/>
  <c r="L17" i="20" a="1"/>
  <c r="L17" i="20" s="1"/>
  <c r="AK17" i="20" a="1"/>
  <c r="AK17" i="20" s="1"/>
  <c r="M17" i="20" a="1"/>
  <c r="M17" i="20" s="1"/>
  <c r="N17" i="20" a="1"/>
  <c r="N17" i="20" s="1"/>
  <c r="Q19" i="20" a="1"/>
  <c r="Q19" i="20" s="1"/>
  <c r="AM19" i="20" a="1"/>
  <c r="AM19" i="20" s="1"/>
  <c r="AD19" i="20" a="1"/>
  <c r="AD19" i="20" s="1"/>
  <c r="AL19" i="20" a="1"/>
  <c r="AL19" i="20" s="1"/>
  <c r="AE17" i="20" a="1"/>
  <c r="AE17" i="20" s="1"/>
  <c r="AH17" i="20" a="1"/>
  <c r="AH17" i="20" s="1"/>
  <c r="AP17" i="20" a="1"/>
  <c r="AP17" i="20" s="1"/>
  <c r="Y19" i="20" a="1"/>
  <c r="Y19" i="20" s="1"/>
  <c r="AG19" i="20" a="1"/>
  <c r="AG19" i="20" s="1"/>
  <c r="X19" i="20" a="1"/>
  <c r="X19" i="20" s="1"/>
  <c r="AE19" i="20" a="1"/>
  <c r="AE19" i="20" s="1"/>
  <c r="V19" i="20" a="1"/>
  <c r="V19" i="20" s="1"/>
  <c r="Z19" i="20" a="1"/>
  <c r="Z19" i="20" s="1"/>
  <c r="AB17" i="20" a="1"/>
  <c r="AB17" i="20" s="1"/>
  <c r="W17" i="20" a="1"/>
  <c r="W17" i="20" s="1"/>
  <c r="AJ17" i="20" a="1"/>
  <c r="AJ17" i="20" s="1"/>
  <c r="P19" i="20" a="1"/>
  <c r="P19" i="20" s="1"/>
  <c r="AA19" i="20" a="1"/>
  <c r="AA19" i="20" s="1"/>
  <c r="R19" i="20" a="1"/>
  <c r="R19" i="20" s="1"/>
  <c r="U17" i="20" a="1"/>
  <c r="U17" i="20" s="1"/>
  <c r="V17" i="20" a="1"/>
  <c r="V17" i="20" s="1"/>
  <c r="AM17" i="20" a="1"/>
  <c r="AM17" i="20" s="1"/>
  <c r="AI19" i="20" a="1"/>
  <c r="AI19" i="20" s="1"/>
  <c r="U19" i="20" a="1"/>
  <c r="U19" i="20" s="1"/>
  <c r="L16" i="20" a="1"/>
  <c r="L16" i="20" s="1"/>
  <c r="P16" i="20" a="1"/>
  <c r="P16" i="20" s="1"/>
  <c r="U16" i="20" a="1"/>
  <c r="U16" i="20" s="1"/>
  <c r="K16" i="20" a="1"/>
  <c r="K16" i="20" s="1"/>
  <c r="O16" i="20" a="1"/>
  <c r="O16" i="20" s="1"/>
  <c r="AB16" i="20" a="1"/>
  <c r="AB16" i="20" s="1"/>
  <c r="AL16" i="20" a="1"/>
  <c r="AL16" i="20" s="1"/>
  <c r="AP16" i="20" a="1"/>
  <c r="AP16" i="20" s="1"/>
  <c r="V16" i="20" a="1"/>
  <c r="V16" i="20" s="1"/>
  <c r="AF16" i="20" a="1"/>
  <c r="AF16" i="20" s="1"/>
  <c r="AJ16" i="20" a="1"/>
  <c r="AJ16" i="20" s="1"/>
  <c r="AM16" i="20" a="1"/>
  <c r="AM16" i="20" s="1"/>
  <c r="Z16" i="20" a="1"/>
  <c r="Z16" i="20" s="1"/>
  <c r="R16" i="20" a="1"/>
  <c r="R16" i="20" s="1"/>
  <c r="AA16" i="20" a="1"/>
  <c r="AA16" i="20" s="1"/>
  <c r="N16" i="20" a="1"/>
  <c r="N16" i="20" s="1"/>
  <c r="AC16" i="20" a="1"/>
  <c r="AC16" i="20" s="1"/>
  <c r="T16" i="20" a="1"/>
  <c r="T16" i="20" s="1"/>
  <c r="AK16" i="20" a="1"/>
  <c r="AK16" i="20" s="1"/>
  <c r="AH16" i="20" a="1"/>
  <c r="AH16" i="20" s="1"/>
  <c r="X16" i="20" a="1"/>
  <c r="X16" i="20" s="1"/>
  <c r="AE16" i="20" a="1"/>
  <c r="AE16" i="20" s="1"/>
  <c r="AD16" i="20" a="1"/>
  <c r="AD16" i="20" s="1"/>
  <c r="AI16" i="20" a="1"/>
  <c r="AI16" i="20" s="1"/>
  <c r="Y16" i="20" a="1"/>
  <c r="Y16" i="20" s="1"/>
  <c r="W16" i="20" a="1"/>
  <c r="W16" i="20" s="1"/>
  <c r="Q16" i="20" a="1"/>
  <c r="Q16" i="20" s="1"/>
  <c r="S16" i="20" a="1"/>
  <c r="S16" i="20" s="1"/>
  <c r="AG16" i="20" a="1"/>
  <c r="AG16" i="20" s="1"/>
  <c r="AN16" i="20" a="1"/>
  <c r="AN16" i="20" s="1"/>
  <c r="J16" i="20" a="1"/>
  <c r="J16" i="20" s="1"/>
  <c r="B34" i="19"/>
  <c r="E27" i="19"/>
  <c r="C27" i="19"/>
  <c r="F27" i="19"/>
  <c r="D27" i="19"/>
  <c r="E34" i="19"/>
  <c r="D32" i="19"/>
  <c r="B32" i="19"/>
  <c r="E32" i="19"/>
  <c r="F32" i="19"/>
  <c r="D33" i="19"/>
  <c r="F33" i="19"/>
  <c r="E33" i="19"/>
  <c r="C33" i="19"/>
  <c r="N13" i="32" a="1"/>
  <c r="N13" i="32" s="1"/>
  <c r="W13" i="32" s="1" a="1"/>
  <c r="W13" i="32" s="1"/>
  <c r="AF13" i="32" s="1" a="1"/>
  <c r="AF13" i="32" s="1"/>
  <c r="AO13" i="32" s="1" a="1"/>
  <c r="AO13" i="32" s="1"/>
  <c r="R13" i="32" a="1"/>
  <c r="R13" i="32" s="1"/>
  <c r="AA13" i="32" s="1" a="1"/>
  <c r="AA13" i="32" s="1"/>
  <c r="AJ13" i="32" s="1" a="1"/>
  <c r="AJ13" i="32" s="1"/>
  <c r="E14" i="32"/>
  <c r="Q14" i="32" a="1"/>
  <c r="Q14" i="32" s="1"/>
  <c r="Z14" i="32" s="1" a="1"/>
  <c r="Z14" i="32" s="1"/>
  <c r="AI14" i="32" s="1" a="1"/>
  <c r="AI14" i="32" s="1"/>
  <c r="F14" i="32"/>
  <c r="R14" i="32" a="1"/>
  <c r="R14" i="32" s="1"/>
  <c r="AA14" i="32" s="1" a="1"/>
  <c r="AA14" i="32" s="1"/>
  <c r="AJ14" i="32" s="1" a="1"/>
  <c r="AJ14" i="32" s="1"/>
  <c r="F15" i="32"/>
  <c r="K15" i="32" a="1"/>
  <c r="K15" i="32" s="1"/>
  <c r="T15" i="32" s="1" a="1"/>
  <c r="T15" i="32" s="1"/>
  <c r="AC15" i="32" s="1" a="1"/>
  <c r="AC15" i="32" s="1"/>
  <c r="AL15" i="32" s="1" a="1"/>
  <c r="AL15" i="32" s="1"/>
  <c r="E15" i="32"/>
  <c r="O13" i="32" a="1"/>
  <c r="O13" i="32" s="1"/>
  <c r="X13" i="32" s="1" a="1"/>
  <c r="X13" i="32" s="1"/>
  <c r="AG13" i="32" s="1" a="1"/>
  <c r="AG13" i="32" s="1"/>
  <c r="K14" i="32" a="1"/>
  <c r="K14" i="32" s="1"/>
  <c r="T14" i="32" s="1" a="1"/>
  <c r="T14" i="32" s="1"/>
  <c r="AC14" i="32" s="1" a="1"/>
  <c r="AC14" i="32" s="1"/>
  <c r="AL14" i="32" s="1" a="1"/>
  <c r="AL14" i="32" s="1"/>
  <c r="L13" i="32" a="1"/>
  <c r="L13" i="32" s="1"/>
  <c r="U13" i="32" s="1" a="1"/>
  <c r="U13" i="32" s="1"/>
  <c r="AD13" i="32" s="1" a="1"/>
  <c r="AD13" i="32" s="1"/>
  <c r="AM13" i="32" s="1" a="1"/>
  <c r="AM13" i="32" s="1"/>
  <c r="P13" i="32" a="1"/>
  <c r="P13" i="32" s="1"/>
  <c r="Y13" i="32" s="1" a="1"/>
  <c r="Y13" i="32" s="1"/>
  <c r="AH13" i="32" s="1" a="1"/>
  <c r="AH13" i="32" s="1"/>
  <c r="K13" i="32" a="1"/>
  <c r="K13" i="32" s="1"/>
  <c r="T13" i="32" s="1" a="1"/>
  <c r="T13" i="32" s="1"/>
  <c r="AC13" i="32" s="1" a="1"/>
  <c r="AC13" i="32" s="1"/>
  <c r="AL13" i="32" s="1" a="1"/>
  <c r="AL13" i="32" s="1"/>
  <c r="Q13" i="32" a="1"/>
  <c r="Q13" i="32" s="1"/>
  <c r="Z13" i="32" s="1" a="1"/>
  <c r="Z13" i="32" s="1"/>
  <c r="AI13" i="32" s="1" a="1"/>
  <c r="AI13" i="32" s="1"/>
  <c r="G19" i="20"/>
  <c r="E19" i="20"/>
  <c r="F19" i="20"/>
  <c r="I19" i="20"/>
  <c r="D19" i="20"/>
  <c r="G17" i="20"/>
  <c r="F17" i="20"/>
  <c r="E17" i="20"/>
  <c r="H17" i="20"/>
  <c r="I17" i="20"/>
  <c r="C18" i="20"/>
  <c r="A21" i="20"/>
  <c r="F16" i="20"/>
  <c r="A20" i="20"/>
  <c r="G16" i="20"/>
  <c r="A16" i="32"/>
  <c r="H16" i="20"/>
  <c r="I16" i="20"/>
  <c r="D16" i="20"/>
  <c r="AS13" i="20"/>
  <c r="J50" i="18"/>
  <c r="AY13" i="24"/>
  <c r="E16" i="20"/>
  <c r="I15" i="21"/>
  <c r="D15" i="21"/>
  <c r="J16" i="27"/>
  <c r="A16" i="27" s="1"/>
  <c r="G16" i="27" s="1"/>
  <c r="J17" i="26"/>
  <c r="A17" i="26" s="1"/>
  <c r="I17" i="26" s="1"/>
  <c r="R56" i="18"/>
  <c r="D44" i="15"/>
  <c r="E29" i="18" s="1"/>
  <c r="B74" i="15"/>
  <c r="C29" i="15"/>
  <c r="C30" i="15"/>
  <c r="C31" i="15"/>
  <c r="D22" i="15"/>
  <c r="B18" i="20"/>
  <c r="P57" i="18"/>
  <c r="I15" i="25"/>
  <c r="D15" i="25"/>
  <c r="AW18" i="24"/>
  <c r="C17" i="24"/>
  <c r="J17" i="24" s="1"/>
  <c r="AR18" i="26"/>
  <c r="AQ19" i="26" s="1"/>
  <c r="K16" i="25"/>
  <c r="C15" i="25"/>
  <c r="E15" i="25" s="1"/>
  <c r="I17" i="24"/>
  <c r="E17" i="24"/>
  <c r="G17" i="24"/>
  <c r="F17" i="24"/>
  <c r="D17" i="24"/>
  <c r="H17" i="24"/>
  <c r="L17" i="27"/>
  <c r="K18" i="27" s="1"/>
  <c r="R52" i="18"/>
  <c r="J10" i="23"/>
  <c r="R55" i="18"/>
  <c r="J55" i="18"/>
  <c r="R54" i="18"/>
  <c r="I16" i="21"/>
  <c r="R53" i="18"/>
  <c r="V53" i="18" s="1"/>
  <c r="D16" i="21"/>
  <c r="F17" i="21"/>
  <c r="G17" i="21"/>
  <c r="C17" i="21"/>
  <c r="B17" i="21"/>
  <c r="E17" i="21" s="1"/>
  <c r="H17" i="21"/>
  <c r="K19" i="21"/>
  <c r="L19" i="21" s="1"/>
  <c r="A18" i="21"/>
  <c r="A17" i="32"/>
  <c r="AQ18" i="32"/>
  <c r="AR18" i="32" s="1"/>
  <c r="E14" i="19"/>
  <c r="F14" i="19"/>
  <c r="C15" i="19"/>
  <c r="D15" i="19"/>
  <c r="A22" i="20"/>
  <c r="AQ23" i="20"/>
  <c r="AR23" i="20" s="1"/>
  <c r="M18" i="20" l="1" a="1"/>
  <c r="M18" i="20" s="1"/>
  <c r="AK18" i="20" a="1"/>
  <c r="AK18" i="20" s="1"/>
  <c r="AC18" i="20" a="1"/>
  <c r="AC18" i="20" s="1"/>
  <c r="W18" i="20" a="1"/>
  <c r="W18" i="20" s="1"/>
  <c r="Z18" i="20" a="1"/>
  <c r="Z18" i="20" s="1"/>
  <c r="AF18" i="20" a="1"/>
  <c r="AF18" i="20" s="1"/>
  <c r="Q18" i="20" a="1"/>
  <c r="Q18" i="20" s="1"/>
  <c r="AE18" i="20" a="1"/>
  <c r="AE18" i="20" s="1"/>
  <c r="J18" i="20" a="1"/>
  <c r="J18" i="20" s="1"/>
  <c r="K18" i="20" a="1"/>
  <c r="K18" i="20" s="1"/>
  <c r="T18" i="20" a="1"/>
  <c r="T18" i="20" s="1"/>
  <c r="AP18" i="20" a="1"/>
  <c r="AP18" i="20" s="1"/>
  <c r="AM18" i="20" a="1"/>
  <c r="AM18" i="20" s="1"/>
  <c r="AB18" i="20" a="1"/>
  <c r="AB18" i="20" s="1"/>
  <c r="AJ18" i="20" a="1"/>
  <c r="AJ18" i="20" s="1"/>
  <c r="AG18" i="20" a="1"/>
  <c r="AG18" i="20" s="1"/>
  <c r="S18" i="20" a="1"/>
  <c r="S18" i="20" s="1"/>
  <c r="AD18" i="20" a="1"/>
  <c r="AD18" i="20" s="1"/>
  <c r="AA18" i="20" a="1"/>
  <c r="AA18" i="20" s="1"/>
  <c r="AL18" i="20" a="1"/>
  <c r="AL18" i="20" s="1"/>
  <c r="X18" i="20" a="1"/>
  <c r="X18" i="20" s="1"/>
  <c r="U18" i="20" a="1"/>
  <c r="U18" i="20" s="1"/>
  <c r="P18" i="20" a="1"/>
  <c r="P18" i="20" s="1"/>
  <c r="R18" i="20" a="1"/>
  <c r="R18" i="20" s="1"/>
  <c r="O18" i="20" a="1"/>
  <c r="O18" i="20" s="1"/>
  <c r="AH18" i="20" a="1"/>
  <c r="AH18" i="20" s="1"/>
  <c r="L18" i="20" a="1"/>
  <c r="L18" i="20" s="1"/>
  <c r="Y18" i="20" a="1"/>
  <c r="Y18" i="20" s="1"/>
  <c r="AO18" i="20" a="1"/>
  <c r="AO18" i="20" s="1"/>
  <c r="O22" i="20" a="1"/>
  <c r="O22" i="20" s="1"/>
  <c r="U22" i="20" a="1"/>
  <c r="U22" i="20" s="1"/>
  <c r="AA22" i="20" a="1"/>
  <c r="AA22" i="20" s="1"/>
  <c r="AG22" i="20" a="1"/>
  <c r="AG22" i="20" s="1"/>
  <c r="AM22" i="20" a="1"/>
  <c r="AM22" i="20" s="1"/>
  <c r="K22" i="20" a="1"/>
  <c r="K22" i="20" s="1"/>
  <c r="Q22" i="20" a="1"/>
  <c r="Q22" i="20" s="1"/>
  <c r="W22" i="20" a="1"/>
  <c r="W22" i="20" s="1"/>
  <c r="AC22" i="20" a="1"/>
  <c r="AC22" i="20" s="1"/>
  <c r="AI22" i="20" a="1"/>
  <c r="AI22" i="20" s="1"/>
  <c r="AO22" i="20" a="1"/>
  <c r="AO22" i="20" s="1"/>
  <c r="L22" i="20" a="1"/>
  <c r="L22" i="20" s="1"/>
  <c r="R22" i="20" a="1"/>
  <c r="R22" i="20" s="1"/>
  <c r="X22" i="20" a="1"/>
  <c r="X22" i="20" s="1"/>
  <c r="AD22" i="20" a="1"/>
  <c r="AD22" i="20" s="1"/>
  <c r="AJ22" i="20" a="1"/>
  <c r="AJ22" i="20" s="1"/>
  <c r="AP22" i="20" a="1"/>
  <c r="AP22" i="20" s="1"/>
  <c r="M22" i="20" a="1"/>
  <c r="M22" i="20" s="1"/>
  <c r="AE22" i="20" a="1"/>
  <c r="AE22" i="20" s="1"/>
  <c r="V22" i="20" a="1"/>
  <c r="V22" i="20" s="1"/>
  <c r="AN22" i="20" a="1"/>
  <c r="AN22" i="20" s="1"/>
  <c r="N22" i="20" a="1"/>
  <c r="N22" i="20" s="1"/>
  <c r="AF22" i="20" a="1"/>
  <c r="AF22" i="20" s="1"/>
  <c r="Z22" i="20" a="1"/>
  <c r="Z22" i="20" s="1"/>
  <c r="S22" i="20" a="1"/>
  <c r="S22" i="20" s="1"/>
  <c r="AB22" i="20" a="1"/>
  <c r="AB22" i="20" s="1"/>
  <c r="AK22" i="20" a="1"/>
  <c r="AK22" i="20" s="1"/>
  <c r="AH22" i="20" a="1"/>
  <c r="AH22" i="20" s="1"/>
  <c r="J22" i="20" a="1"/>
  <c r="J22" i="20" s="1"/>
  <c r="AL22" i="20" a="1"/>
  <c r="AL22" i="20" s="1"/>
  <c r="P22" i="20" a="1"/>
  <c r="P22" i="20" s="1"/>
  <c r="T22" i="20" a="1"/>
  <c r="T22" i="20" s="1"/>
  <c r="Y22" i="20" a="1"/>
  <c r="Y22" i="20" s="1"/>
  <c r="L21" i="20" a="1"/>
  <c r="L21" i="20" s="1"/>
  <c r="R21" i="20" a="1"/>
  <c r="R21" i="20" s="1"/>
  <c r="X21" i="20" a="1"/>
  <c r="X21" i="20" s="1"/>
  <c r="AD21" i="20" a="1"/>
  <c r="AD21" i="20" s="1"/>
  <c r="AJ21" i="20" a="1"/>
  <c r="AJ21" i="20" s="1"/>
  <c r="AP21" i="20" a="1"/>
  <c r="AP21" i="20" s="1"/>
  <c r="N21" i="20" a="1"/>
  <c r="N21" i="20" s="1"/>
  <c r="T21" i="20" a="1"/>
  <c r="T21" i="20" s="1"/>
  <c r="Z21" i="20" a="1"/>
  <c r="Z21" i="20" s="1"/>
  <c r="AF21" i="20" a="1"/>
  <c r="AF21" i="20" s="1"/>
  <c r="AL21" i="20" a="1"/>
  <c r="AL21" i="20" s="1"/>
  <c r="O21" i="20" a="1"/>
  <c r="O21" i="20" s="1"/>
  <c r="U21" i="20" a="1"/>
  <c r="U21" i="20" s="1"/>
  <c r="AA21" i="20" a="1"/>
  <c r="AA21" i="20" s="1"/>
  <c r="AG21" i="20" a="1"/>
  <c r="AG21" i="20" s="1"/>
  <c r="AM21" i="20" a="1"/>
  <c r="AM21" i="20" s="1"/>
  <c r="J21" i="20" a="1"/>
  <c r="J21" i="20" s="1"/>
  <c r="AB21" i="20" a="1"/>
  <c r="AB21" i="20" s="1"/>
  <c r="S21" i="20" a="1"/>
  <c r="S21" i="20" s="1"/>
  <c r="AK21" i="20" a="1"/>
  <c r="AK21" i="20" s="1"/>
  <c r="K21" i="20" a="1"/>
  <c r="K21" i="20" s="1"/>
  <c r="AC21" i="20" a="1"/>
  <c r="AC21" i="20" s="1"/>
  <c r="W21" i="20" a="1"/>
  <c r="W21" i="20" s="1"/>
  <c r="AO21" i="20" a="1"/>
  <c r="AO21" i="20" s="1"/>
  <c r="P21" i="20" a="1"/>
  <c r="P21" i="20" s="1"/>
  <c r="AH21" i="20" a="1"/>
  <c r="AH21" i="20" s="1"/>
  <c r="AI21" i="20" a="1"/>
  <c r="AI21" i="20" s="1"/>
  <c r="V21" i="20" a="1"/>
  <c r="V21" i="20" s="1"/>
  <c r="AN21" i="20" a="1"/>
  <c r="AN21" i="20" s="1"/>
  <c r="M21" i="20" a="1"/>
  <c r="M21" i="20" s="1"/>
  <c r="Q21" i="20" a="1"/>
  <c r="Q21" i="20" s="1"/>
  <c r="Y21" i="20" a="1"/>
  <c r="Y21" i="20" s="1"/>
  <c r="AE21" i="20" a="1"/>
  <c r="AE21" i="20" s="1"/>
  <c r="N18" i="20" a="1"/>
  <c r="N18" i="20" s="1"/>
  <c r="AI18" i="20" a="1"/>
  <c r="AI18" i="20" s="1"/>
  <c r="AN18" i="20" a="1"/>
  <c r="AN18" i="20" s="1"/>
  <c r="V18" i="20" a="1"/>
  <c r="V18" i="20" s="1"/>
  <c r="J13" i="32" a="1"/>
  <c r="J13" i="32" s="1"/>
  <c r="S13" i="32" s="1" a="1"/>
  <c r="S13" i="32" s="1"/>
  <c r="V55" i="18"/>
  <c r="V54" i="18"/>
  <c r="H16" i="32"/>
  <c r="G16" i="32"/>
  <c r="I16" i="32"/>
  <c r="G17" i="32"/>
  <c r="H17" i="32"/>
  <c r="I17" i="32"/>
  <c r="P15" i="32" a="1"/>
  <c r="P15" i="32" s="1"/>
  <c r="Y15" i="32" s="1" a="1"/>
  <c r="Y15" i="32" s="1"/>
  <c r="AH15" i="32" s="1" a="1"/>
  <c r="AH15" i="32" s="1"/>
  <c r="L14" i="32" a="1"/>
  <c r="L14" i="32" s="1"/>
  <c r="U14" i="32" s="1" a="1"/>
  <c r="U14" i="32" s="1"/>
  <c r="AD14" i="32" s="1" a="1"/>
  <c r="AD14" i="32" s="1"/>
  <c r="AM14" i="32" s="1" a="1"/>
  <c r="AM14" i="32" s="1"/>
  <c r="P14" i="32" a="1"/>
  <c r="P14" i="32" s="1"/>
  <c r="Y14" i="32" s="1" a="1"/>
  <c r="Y14" i="32" s="1"/>
  <c r="AH14" i="32" s="1" a="1"/>
  <c r="AH14" i="32" s="1"/>
  <c r="L15" i="32" a="1"/>
  <c r="L15" i="32" s="1"/>
  <c r="U15" i="32" s="1" a="1"/>
  <c r="U15" i="32" s="1"/>
  <c r="AD15" i="32" s="1" a="1"/>
  <c r="AD15" i="32" s="1"/>
  <c r="AM15" i="32" s="1" a="1"/>
  <c r="AM15" i="32" s="1"/>
  <c r="J14" i="32" a="1"/>
  <c r="J14" i="32" s="1"/>
  <c r="S14" i="32" s="1" a="1"/>
  <c r="S14" i="32" s="1"/>
  <c r="Q15" i="32" a="1"/>
  <c r="Q15" i="32" s="1"/>
  <c r="Z15" i="32" s="1" a="1"/>
  <c r="Z15" i="32" s="1"/>
  <c r="AI15" i="32" s="1" a="1"/>
  <c r="AI15" i="32" s="1"/>
  <c r="J15" i="32" a="1"/>
  <c r="J15" i="32" s="1"/>
  <c r="S15" i="32" s="1" a="1"/>
  <c r="S15" i="32" s="1"/>
  <c r="R15" i="32" a="1"/>
  <c r="R15" i="32" s="1"/>
  <c r="AA15" i="32" s="1" a="1"/>
  <c r="AA15" i="32" s="1"/>
  <c r="AJ15" i="32" s="1" a="1"/>
  <c r="AJ15" i="32" s="1"/>
  <c r="N15" i="32" a="1"/>
  <c r="N15" i="32" s="1"/>
  <c r="W15" i="32" s="1" a="1"/>
  <c r="W15" i="32" s="1"/>
  <c r="AF15" i="32" s="1" a="1"/>
  <c r="AF15" i="32" s="1"/>
  <c r="AO15" i="32" s="1" a="1"/>
  <c r="AO15" i="32" s="1"/>
  <c r="N14" i="32" a="1"/>
  <c r="N14" i="32" s="1"/>
  <c r="W14" i="32" s="1" a="1"/>
  <c r="W14" i="32" s="1"/>
  <c r="AF14" i="32" s="1" a="1"/>
  <c r="AF14" i="32" s="1"/>
  <c r="AO14" i="32" s="1" a="1"/>
  <c r="AO14" i="32" s="1"/>
  <c r="O14" i="32" a="1"/>
  <c r="O14" i="32" s="1"/>
  <c r="X14" i="32" s="1" a="1"/>
  <c r="X14" i="32" s="1"/>
  <c r="AG14" i="32" s="1" a="1"/>
  <c r="AG14" i="32" s="1"/>
  <c r="AP14" i="32" s="1" a="1"/>
  <c r="AP14" i="32" s="1"/>
  <c r="O15" i="32" a="1"/>
  <c r="O15" i="32" s="1"/>
  <c r="X15" i="32" s="1" a="1"/>
  <c r="X15" i="32" s="1"/>
  <c r="AG15" i="32" s="1" a="1"/>
  <c r="AG15" i="32" s="1"/>
  <c r="AP15" i="32" s="1" a="1"/>
  <c r="AP15" i="32" s="1"/>
  <c r="F21" i="20"/>
  <c r="B21" i="20"/>
  <c r="D21" i="20"/>
  <c r="E21" i="20"/>
  <c r="B16" i="32"/>
  <c r="H21" i="20"/>
  <c r="C21" i="20"/>
  <c r="I21" i="20"/>
  <c r="B20" i="20"/>
  <c r="H20" i="20" s="1"/>
  <c r="V52" i="18"/>
  <c r="AP13" i="32" s="1" a="1"/>
  <c r="AP13" i="32" s="1"/>
  <c r="C16" i="32"/>
  <c r="D16" i="32" s="1"/>
  <c r="G21" i="20"/>
  <c r="U56" i="18"/>
  <c r="V56" i="18"/>
  <c r="C20" i="20"/>
  <c r="X56" i="18"/>
  <c r="AY14" i="24"/>
  <c r="AS14" i="20"/>
  <c r="U52" i="18"/>
  <c r="T56" i="18"/>
  <c r="S56" i="18"/>
  <c r="E37" i="18"/>
  <c r="O59" i="18" s="1"/>
  <c r="N29" i="18"/>
  <c r="N37" i="18" s="1"/>
  <c r="AJ59" i="18" s="1"/>
  <c r="I16" i="27"/>
  <c r="E16" i="27"/>
  <c r="B16" i="27"/>
  <c r="D16" i="27"/>
  <c r="H16" i="27"/>
  <c r="C16" i="27"/>
  <c r="F16" i="27"/>
  <c r="G17" i="26"/>
  <c r="C17" i="26"/>
  <c r="E17" i="26" s="1"/>
  <c r="H17" i="26"/>
  <c r="D17" i="26"/>
  <c r="B17" i="26"/>
  <c r="F17" i="26"/>
  <c r="F18" i="20"/>
  <c r="E18" i="20"/>
  <c r="H18" i="20"/>
  <c r="I18" i="20"/>
  <c r="C37" i="15"/>
  <c r="D46" i="15"/>
  <c r="E31" i="18" s="1"/>
  <c r="N31" i="18" s="1"/>
  <c r="N39" i="18" s="1"/>
  <c r="AJ68" i="18" s="1"/>
  <c r="AK68" i="18" s="1"/>
  <c r="B68" i="15"/>
  <c r="C27" i="15"/>
  <c r="F31" i="15"/>
  <c r="C46" i="15"/>
  <c r="D31" i="18" s="1"/>
  <c r="B67" i="15"/>
  <c r="F31" i="18"/>
  <c r="B69" i="15"/>
  <c r="C28" i="15"/>
  <c r="X52" i="18"/>
  <c r="D18" i="20"/>
  <c r="G18" i="20"/>
  <c r="I17" i="21"/>
  <c r="D17" i="21"/>
  <c r="T52" i="18"/>
  <c r="B18" i="24"/>
  <c r="AX18" i="24"/>
  <c r="B16" i="25"/>
  <c r="L16" i="25"/>
  <c r="AR19" i="26"/>
  <c r="AQ20" i="26" s="1"/>
  <c r="S52" i="18"/>
  <c r="M13" i="32" s="1" a="1"/>
  <c r="M13" i="32" s="1"/>
  <c r="V13" i="32" s="1" a="1"/>
  <c r="V13" i="32" s="1"/>
  <c r="AE13" i="32" s="1" a="1"/>
  <c r="AE13" i="32" s="1"/>
  <c r="J17" i="27"/>
  <c r="A17" i="27" s="1"/>
  <c r="J18" i="26"/>
  <c r="A18" i="26" s="1"/>
  <c r="L18" i="27"/>
  <c r="K19" i="27" s="1"/>
  <c r="S54" i="18"/>
  <c r="T54" i="18"/>
  <c r="U54" i="18"/>
  <c r="X54" i="18"/>
  <c r="U53" i="18"/>
  <c r="X53" i="18"/>
  <c r="S53" i="18"/>
  <c r="T53" i="18"/>
  <c r="X55" i="18"/>
  <c r="S55" i="18"/>
  <c r="U55" i="18"/>
  <c r="T55" i="18"/>
  <c r="A19" i="21"/>
  <c r="K20" i="21"/>
  <c r="L20" i="21" s="1"/>
  <c r="B18" i="21"/>
  <c r="I18" i="21" s="1"/>
  <c r="H18" i="21"/>
  <c r="G18" i="21"/>
  <c r="C18" i="21"/>
  <c r="F18" i="21"/>
  <c r="B17" i="32"/>
  <c r="C17" i="32"/>
  <c r="D17" i="32" s="1"/>
  <c r="A18" i="32"/>
  <c r="D18" i="32" s="1"/>
  <c r="AQ19" i="32"/>
  <c r="AR19" i="32" s="1"/>
  <c r="E15" i="19"/>
  <c r="F15" i="19"/>
  <c r="A23" i="20"/>
  <c r="AQ24" i="20"/>
  <c r="AR24" i="20" s="1"/>
  <c r="F22" i="20"/>
  <c r="B22" i="20"/>
  <c r="C22" i="20"/>
  <c r="I22" i="20"/>
  <c r="AK59" i="18" l="1"/>
  <c r="V20" i="20" a="1"/>
  <c r="V20" i="20" s="1"/>
  <c r="AM20" i="20" a="1"/>
  <c r="AM20" i="20" s="1"/>
  <c r="AD20" i="20" a="1"/>
  <c r="AD20" i="20" s="1"/>
  <c r="AA20" i="20" a="1"/>
  <c r="AA20" i="20" s="1"/>
  <c r="Q20" i="20" a="1"/>
  <c r="Q20" i="20" s="1"/>
  <c r="N20" i="20" a="1"/>
  <c r="N20" i="20" s="1"/>
  <c r="AP20" i="20" a="1"/>
  <c r="AP20" i="20" s="1"/>
  <c r="AK20" i="20" a="1"/>
  <c r="AK20" i="20" s="1"/>
  <c r="Y20" i="20" a="1"/>
  <c r="Y20" i="20" s="1"/>
  <c r="K20" i="20" a="1"/>
  <c r="K20" i="20" s="1"/>
  <c r="S20" i="20" a="1"/>
  <c r="S20" i="20" s="1"/>
  <c r="AJ20" i="20" a="1"/>
  <c r="AJ20" i="20" s="1"/>
  <c r="AG20" i="20" a="1"/>
  <c r="AG20" i="20" s="1"/>
  <c r="AN20" i="20" a="1"/>
  <c r="AN20" i="20" s="1"/>
  <c r="X20" i="20" a="1"/>
  <c r="X20" i="20" s="1"/>
  <c r="U20" i="20" a="1"/>
  <c r="U20" i="20" s="1"/>
  <c r="AE20" i="20" a="1"/>
  <c r="AE20" i="20" s="1"/>
  <c r="R20" i="20" a="1"/>
  <c r="R20" i="20" s="1"/>
  <c r="O20" i="20" a="1"/>
  <c r="O20" i="20" s="1"/>
  <c r="M20" i="20" a="1"/>
  <c r="M20" i="20" s="1"/>
  <c r="L20" i="20" a="1"/>
  <c r="L20" i="20" s="1"/>
  <c r="AL20" i="20" a="1"/>
  <c r="AL20" i="20" s="1"/>
  <c r="AO20" i="20" a="1"/>
  <c r="AO20" i="20" s="1"/>
  <c r="T20" i="20" a="1"/>
  <c r="T20" i="20" s="1"/>
  <c r="AI20" i="20" a="1"/>
  <c r="AI20" i="20" s="1"/>
  <c r="AF20" i="20" a="1"/>
  <c r="AF20" i="20" s="1"/>
  <c r="Z20" i="20" a="1"/>
  <c r="Z20" i="20" s="1"/>
  <c r="AC20" i="20" a="1"/>
  <c r="AC20" i="20" s="1"/>
  <c r="AB20" i="20" a="1"/>
  <c r="AB20" i="20" s="1"/>
  <c r="AH20" i="20" a="1"/>
  <c r="AH20" i="20" s="1"/>
  <c r="W20" i="20" a="1"/>
  <c r="W20" i="20" s="1"/>
  <c r="J20" i="20" a="1"/>
  <c r="J20" i="20" s="1"/>
  <c r="P20" i="20" a="1"/>
  <c r="P20" i="20" s="1"/>
  <c r="AN13" i="32" a="1"/>
  <c r="AN13" i="32" s="1"/>
  <c r="AB13" i="32" a="1"/>
  <c r="AB13" i="32" s="1"/>
  <c r="AK13" i="32" s="1" a="1"/>
  <c r="AK13" i="32" s="1"/>
  <c r="AB15" i="32" a="1"/>
  <c r="AB15" i="32" s="1"/>
  <c r="AK15" i="32" s="1" a="1"/>
  <c r="AK15" i="32" s="1"/>
  <c r="AB14" i="32" a="1"/>
  <c r="AB14" i="32" s="1"/>
  <c r="AK14" i="32" s="1" a="1"/>
  <c r="AK14" i="32" s="1"/>
  <c r="M15" i="32" a="1"/>
  <c r="M15" i="32" s="1"/>
  <c r="V15" i="32" s="1" a="1"/>
  <c r="V15" i="32" s="1"/>
  <c r="AE15" i="32" s="1" a="1"/>
  <c r="AE15" i="32" s="1"/>
  <c r="AN15" i="32" s="1" a="1"/>
  <c r="AN15" i="32" s="1"/>
  <c r="M14" i="32" a="1"/>
  <c r="M14" i="32" s="1"/>
  <c r="V14" i="32" s="1" a="1"/>
  <c r="V14" i="32" s="1"/>
  <c r="AE14" i="32" s="1" a="1"/>
  <c r="AE14" i="32" s="1"/>
  <c r="AN14" i="32" s="1" a="1"/>
  <c r="AN14" i="32" s="1"/>
  <c r="G18" i="32"/>
  <c r="H18" i="32"/>
  <c r="I18" i="32"/>
  <c r="F16" i="32"/>
  <c r="L16" i="32" a="1"/>
  <c r="L16" i="32" s="1"/>
  <c r="U16" i="32" s="1" a="1"/>
  <c r="U16" i="32" s="1"/>
  <c r="AD16" i="32" s="1" a="1"/>
  <c r="AD16" i="32" s="1"/>
  <c r="AM16" i="32" s="1" a="1"/>
  <c r="AM16" i="32" s="1"/>
  <c r="E16" i="32"/>
  <c r="Q17" i="32" a="1"/>
  <c r="Q17" i="32" s="1"/>
  <c r="Z17" i="32" s="1" a="1"/>
  <c r="Z17" i="32" s="1"/>
  <c r="AI17" i="32" s="1" a="1"/>
  <c r="AI17" i="32" s="1"/>
  <c r="F17" i="32"/>
  <c r="E17" i="32"/>
  <c r="J18" i="32" a="1"/>
  <c r="J18" i="32" s="1"/>
  <c r="E18" i="32"/>
  <c r="F18" i="32"/>
  <c r="Q16" i="32" a="1"/>
  <c r="Q16" i="32" s="1"/>
  <c r="Z16" i="32" s="1" a="1"/>
  <c r="Z16" i="32" s="1"/>
  <c r="AI16" i="32" s="1" a="1"/>
  <c r="AI16" i="32" s="1"/>
  <c r="K16" i="32" a="1"/>
  <c r="K16" i="32" s="1"/>
  <c r="T16" i="32" s="1" a="1"/>
  <c r="T16" i="32" s="1"/>
  <c r="AC16" i="32" s="1" a="1"/>
  <c r="AC16" i="32" s="1"/>
  <c r="AL16" i="32" s="1" a="1"/>
  <c r="AL16" i="32" s="1"/>
  <c r="J16" i="32" a="1"/>
  <c r="J16" i="32" s="1"/>
  <c r="S16" i="32" s="1" a="1"/>
  <c r="S16" i="32" s="1"/>
  <c r="AB16" i="32" s="1" a="1"/>
  <c r="AB16" i="32" s="1"/>
  <c r="AK16" i="32" s="1" a="1"/>
  <c r="AK16" i="32" s="1"/>
  <c r="P16" i="32" a="1"/>
  <c r="P16" i="32" s="1"/>
  <c r="Y16" i="32" s="1" a="1"/>
  <c r="Y16" i="32" s="1"/>
  <c r="AH16" i="32" s="1" a="1"/>
  <c r="AH16" i="32" s="1"/>
  <c r="F20" i="20"/>
  <c r="E20" i="20"/>
  <c r="I20" i="20"/>
  <c r="G20" i="20"/>
  <c r="D20" i="20"/>
  <c r="D22" i="20"/>
  <c r="Y52" i="18"/>
  <c r="AB52" i="18"/>
  <c r="AC52" i="18"/>
  <c r="Y56" i="18"/>
  <c r="AB56" i="18"/>
  <c r="AC56" i="18"/>
  <c r="AA56" i="18"/>
  <c r="Y53" i="18"/>
  <c r="AC53" i="18"/>
  <c r="AA53" i="18"/>
  <c r="AB53" i="18"/>
  <c r="Y54" i="18"/>
  <c r="AC54" i="18"/>
  <c r="AA54" i="18"/>
  <c r="AB54" i="18"/>
  <c r="Y55" i="18"/>
  <c r="AC55" i="18"/>
  <c r="AA55" i="18"/>
  <c r="AB55" i="18"/>
  <c r="H22" i="20"/>
  <c r="G22" i="20"/>
  <c r="E22" i="20"/>
  <c r="V29" i="18"/>
  <c r="Z59" i="18" s="1"/>
  <c r="X29" i="18"/>
  <c r="W29" i="18"/>
  <c r="Z29" i="18"/>
  <c r="T37" i="18"/>
  <c r="Y29" i="18"/>
  <c r="U29" i="18"/>
  <c r="T29" i="18"/>
  <c r="AA52" i="18"/>
  <c r="F39" i="18"/>
  <c r="O69" i="18" s="1"/>
  <c r="P69" i="18" s="1"/>
  <c r="J69" i="18" s="1"/>
  <c r="O31" i="18"/>
  <c r="O39" i="18" s="1"/>
  <c r="AJ69" i="18" s="1"/>
  <c r="AK69" i="18" s="1"/>
  <c r="D39" i="18"/>
  <c r="O67" i="18" s="1"/>
  <c r="M31" i="18"/>
  <c r="M39" i="18" s="1"/>
  <c r="AJ67" i="18" s="1"/>
  <c r="AK67" i="18" s="1"/>
  <c r="J37" i="18"/>
  <c r="B66" i="15"/>
  <c r="F30" i="18"/>
  <c r="O30" i="18" s="1"/>
  <c r="O38" i="18" s="1"/>
  <c r="AJ64" i="18" s="1"/>
  <c r="AK64" i="18" s="1"/>
  <c r="E39" i="18"/>
  <c r="B75" i="15"/>
  <c r="D47" i="15"/>
  <c r="E32" i="18" s="1"/>
  <c r="C38" i="15"/>
  <c r="F28" i="15"/>
  <c r="F37" i="15" s="1"/>
  <c r="B65" i="15"/>
  <c r="C45" i="15"/>
  <c r="D30" i="18" s="1"/>
  <c r="M30" i="18" s="1"/>
  <c r="M38" i="18" s="1"/>
  <c r="AJ62" i="18" s="1"/>
  <c r="AK62" i="18" s="1"/>
  <c r="J19" i="26"/>
  <c r="A19" i="26" s="1"/>
  <c r="I19" i="26" s="1"/>
  <c r="AW19" i="24"/>
  <c r="C18" i="24"/>
  <c r="J18" i="24" s="1"/>
  <c r="H18" i="24"/>
  <c r="I18" i="24"/>
  <c r="D18" i="24"/>
  <c r="F18" i="24"/>
  <c r="E18" i="24"/>
  <c r="G18" i="24"/>
  <c r="L19" i="27"/>
  <c r="K20" i="27" s="1"/>
  <c r="D16" i="25"/>
  <c r="I16" i="25"/>
  <c r="C17" i="27"/>
  <c r="I17" i="27"/>
  <c r="H17" i="27"/>
  <c r="F17" i="27"/>
  <c r="B17" i="27"/>
  <c r="E17" i="27"/>
  <c r="D17" i="27"/>
  <c r="G17" i="27"/>
  <c r="B18" i="26"/>
  <c r="F18" i="26"/>
  <c r="H18" i="26"/>
  <c r="E18" i="26"/>
  <c r="C18" i="26"/>
  <c r="I18" i="26"/>
  <c r="G18" i="26"/>
  <c r="D18" i="26"/>
  <c r="AR20" i="26"/>
  <c r="AQ21" i="26" s="1"/>
  <c r="J18" i="27"/>
  <c r="A18" i="27" s="1"/>
  <c r="K17" i="25"/>
  <c r="C16" i="25"/>
  <c r="E16" i="25" s="1"/>
  <c r="D18" i="21"/>
  <c r="E18" i="21"/>
  <c r="K21" i="21"/>
  <c r="L21" i="21" s="1"/>
  <c r="A20" i="21"/>
  <c r="B19" i="21"/>
  <c r="E19" i="21" s="1"/>
  <c r="C19" i="21"/>
  <c r="H19" i="21"/>
  <c r="F19" i="21"/>
  <c r="G19" i="21"/>
  <c r="A19" i="32"/>
  <c r="D19" i="32" s="1"/>
  <c r="AQ20" i="32"/>
  <c r="AR20" i="32" s="1"/>
  <c r="B18" i="32"/>
  <c r="C18" i="32"/>
  <c r="AQ25" i="20"/>
  <c r="AR25" i="20" s="1"/>
  <c r="A24" i="20"/>
  <c r="B23" i="20"/>
  <c r="C23" i="20"/>
  <c r="B76" i="15" l="1"/>
  <c r="N23" i="20" a="1"/>
  <c r="N23" i="20" s="1"/>
  <c r="W23" i="20" a="1"/>
  <c r="W23" i="20" s="1"/>
  <c r="AN23" i="20" a="1"/>
  <c r="AN23" i="20" s="1"/>
  <c r="AI23" i="20" a="1"/>
  <c r="AI23" i="20" s="1"/>
  <c r="AO23" i="20" a="1"/>
  <c r="AO23" i="20" s="1"/>
  <c r="AJ23" i="20" a="1"/>
  <c r="AJ23" i="20" s="1"/>
  <c r="AD23" i="20" a="1"/>
  <c r="AD23" i="20" s="1"/>
  <c r="AB23" i="20" a="1"/>
  <c r="AB23" i="20" s="1"/>
  <c r="Y23" i="20" a="1"/>
  <c r="Y23" i="20" s="1"/>
  <c r="AP23" i="20" a="1"/>
  <c r="AP23" i="20" s="1"/>
  <c r="V23" i="20" a="1"/>
  <c r="V23" i="20" s="1"/>
  <c r="P23" i="20" a="1"/>
  <c r="P23" i="20" s="1"/>
  <c r="X23" i="20" a="1"/>
  <c r="X23" i="20" s="1"/>
  <c r="M23" i="20" a="1"/>
  <c r="M23" i="20" s="1"/>
  <c r="AM23" i="20" a="1"/>
  <c r="AM23" i="20" s="1"/>
  <c r="R23" i="20" a="1"/>
  <c r="R23" i="20" s="1"/>
  <c r="S23" i="20" a="1"/>
  <c r="S23" i="20" s="1"/>
  <c r="AG23" i="20" a="1"/>
  <c r="AG23" i="20" s="1"/>
  <c r="L23" i="20" a="1"/>
  <c r="L23" i="20" s="1"/>
  <c r="AL23" i="20" a="1"/>
  <c r="AL23" i="20" s="1"/>
  <c r="AA23" i="20" a="1"/>
  <c r="AA23" i="20" s="1"/>
  <c r="AK23" i="20" a="1"/>
  <c r="AK23" i="20" s="1"/>
  <c r="U23" i="20" a="1"/>
  <c r="U23" i="20" s="1"/>
  <c r="AC23" i="20" a="1"/>
  <c r="AC23" i="20" s="1"/>
  <c r="O23" i="20" a="1"/>
  <c r="O23" i="20" s="1"/>
  <c r="AF23" i="20" a="1"/>
  <c r="AF23" i="20" s="1"/>
  <c r="K23" i="20" a="1"/>
  <c r="K23" i="20" s="1"/>
  <c r="Z23" i="20" a="1"/>
  <c r="Z23" i="20" s="1"/>
  <c r="O24" i="20" a="1"/>
  <c r="O24" i="20" s="1"/>
  <c r="U24" i="20" a="1"/>
  <c r="U24" i="20" s="1"/>
  <c r="AA24" i="20" a="1"/>
  <c r="AA24" i="20" s="1"/>
  <c r="AG24" i="20" a="1"/>
  <c r="AG24" i="20" s="1"/>
  <c r="AM24" i="20" a="1"/>
  <c r="AM24" i="20" s="1"/>
  <c r="L24" i="20" a="1"/>
  <c r="L24" i="20" s="1"/>
  <c r="R24" i="20" a="1"/>
  <c r="R24" i="20" s="1"/>
  <c r="X24" i="20" a="1"/>
  <c r="X24" i="20" s="1"/>
  <c r="AD24" i="20" a="1"/>
  <c r="AD24" i="20" s="1"/>
  <c r="AJ24" i="20" a="1"/>
  <c r="AJ24" i="20" s="1"/>
  <c r="AP24" i="20" a="1"/>
  <c r="AP24" i="20" s="1"/>
  <c r="P24" i="20" a="1"/>
  <c r="P24" i="20" s="1"/>
  <c r="AF24" i="20" a="1"/>
  <c r="AF24" i="20" s="1"/>
  <c r="AN24" i="20" a="1"/>
  <c r="AN24" i="20" s="1"/>
  <c r="Z24" i="20" a="1"/>
  <c r="Z24" i="20" s="1"/>
  <c r="Q24" i="20" a="1"/>
  <c r="Q24" i="20" s="1"/>
  <c r="Y24" i="20" a="1"/>
  <c r="Y24" i="20" s="1"/>
  <c r="AO24" i="20" a="1"/>
  <c r="AO24" i="20" s="1"/>
  <c r="J24" i="20" a="1"/>
  <c r="J24" i="20" s="1"/>
  <c r="AH24" i="20" a="1"/>
  <c r="AH24" i="20" s="1"/>
  <c r="T24" i="20" a="1"/>
  <c r="T24" i="20" s="1"/>
  <c r="AB24" i="20" a="1"/>
  <c r="AB24" i="20" s="1"/>
  <c r="M24" i="20" a="1"/>
  <c r="M24" i="20" s="1"/>
  <c r="AC24" i="20" a="1"/>
  <c r="AC24" i="20" s="1"/>
  <c r="AK24" i="20" a="1"/>
  <c r="AK24" i="20" s="1"/>
  <c r="W24" i="20" a="1"/>
  <c r="W24" i="20" s="1"/>
  <c r="AI24" i="20" a="1"/>
  <c r="AI24" i="20" s="1"/>
  <c r="K24" i="20" a="1"/>
  <c r="K24" i="20" s="1"/>
  <c r="AE24" i="20" a="1"/>
  <c r="AE24" i="20" s="1"/>
  <c r="N24" i="20" a="1"/>
  <c r="N24" i="20" s="1"/>
  <c r="S24" i="20" a="1"/>
  <c r="S24" i="20" s="1"/>
  <c r="AL24" i="20" a="1"/>
  <c r="AL24" i="20" s="1"/>
  <c r="V24" i="20" a="1"/>
  <c r="V24" i="20" s="1"/>
  <c r="AE23" i="20" a="1"/>
  <c r="AE23" i="20" s="1"/>
  <c r="Q23" i="20" a="1"/>
  <c r="Q23" i="20" s="1"/>
  <c r="T23" i="20" a="1"/>
  <c r="T23" i="20" s="1"/>
  <c r="J23" i="20" a="1"/>
  <c r="J23" i="20" s="1"/>
  <c r="AH23" i="20" a="1"/>
  <c r="AH23" i="20" s="1"/>
  <c r="K68" i="18"/>
  <c r="G19" i="32"/>
  <c r="I19" i="32"/>
  <c r="H19" i="32"/>
  <c r="P17" i="32" a="1"/>
  <c r="P17" i="32" s="1"/>
  <c r="Y17" i="32" s="1" a="1"/>
  <c r="Y17" i="32" s="1"/>
  <c r="AH17" i="32" s="1" a="1"/>
  <c r="AH17" i="32" s="1"/>
  <c r="R17" i="32" a="1"/>
  <c r="R17" i="32" s="1"/>
  <c r="AA17" i="32" s="1" a="1"/>
  <c r="AA17" i="32" s="1"/>
  <c r="AJ17" i="32" s="1" a="1"/>
  <c r="AJ17" i="32" s="1"/>
  <c r="K17" i="32" a="1"/>
  <c r="K17" i="32" s="1"/>
  <c r="T17" i="32" s="1" a="1"/>
  <c r="T17" i="32" s="1"/>
  <c r="AC17" i="32" s="1" a="1"/>
  <c r="AC17" i="32" s="1"/>
  <c r="AL17" i="32" s="1" a="1"/>
  <c r="AL17" i="32" s="1"/>
  <c r="L17" i="32" a="1"/>
  <c r="L17" i="32" s="1"/>
  <c r="U17" i="32" s="1" a="1"/>
  <c r="U17" i="32" s="1"/>
  <c r="AD17" i="32" s="1" a="1"/>
  <c r="AD17" i="32" s="1"/>
  <c r="AM17" i="32" s="1" a="1"/>
  <c r="AM17" i="32" s="1"/>
  <c r="R16" i="32" a="1"/>
  <c r="R16" i="32" s="1"/>
  <c r="AA16" i="32" s="1" a="1"/>
  <c r="AA16" i="32" s="1"/>
  <c r="AJ16" i="32" s="1" a="1"/>
  <c r="AJ16" i="32" s="1"/>
  <c r="J17" i="32" a="1"/>
  <c r="J17" i="32" s="1"/>
  <c r="S17" i="32" s="1" a="1"/>
  <c r="S17" i="32" s="1"/>
  <c r="AB17" i="32" s="1" a="1"/>
  <c r="AB17" i="32" s="1"/>
  <c r="AK17" i="32" s="1" a="1"/>
  <c r="AK17" i="32" s="1"/>
  <c r="J19" i="32" a="1"/>
  <c r="J19" i="32" s="1"/>
  <c r="E19" i="32"/>
  <c r="F19" i="32"/>
  <c r="K18" i="32" a="1"/>
  <c r="K18" i="32" s="1"/>
  <c r="T18" i="32" s="1" a="1"/>
  <c r="T18" i="32" s="1"/>
  <c r="AC18" i="32" s="1" a="1"/>
  <c r="AC18" i="32" s="1"/>
  <c r="AL18" i="32" s="1" a="1"/>
  <c r="AL18" i="32" s="1"/>
  <c r="M17" i="32" a="1"/>
  <c r="M17" i="32" s="1"/>
  <c r="V17" i="32" s="1" a="1"/>
  <c r="V17" i="32" s="1"/>
  <c r="AE17" i="32" s="1" a="1"/>
  <c r="AE17" i="32" s="1"/>
  <c r="AN17" i="32" s="1" a="1"/>
  <c r="AN17" i="32" s="1"/>
  <c r="N17" i="32" a="1"/>
  <c r="N17" i="32" s="1"/>
  <c r="W17" i="32" s="1" a="1"/>
  <c r="W17" i="32" s="1"/>
  <c r="AF17" i="32" s="1" a="1"/>
  <c r="AF17" i="32" s="1"/>
  <c r="AO17" i="32" s="1" a="1"/>
  <c r="AO17" i="32" s="1"/>
  <c r="P18" i="32" a="1"/>
  <c r="P18" i="32" s="1"/>
  <c r="Y18" i="32" s="1" a="1"/>
  <c r="Y18" i="32" s="1"/>
  <c r="AH18" i="32" s="1" a="1"/>
  <c r="AH18" i="32" s="1"/>
  <c r="L18" i="32" a="1"/>
  <c r="L18" i="32" s="1"/>
  <c r="U18" i="32" s="1" a="1"/>
  <c r="U18" i="32" s="1"/>
  <c r="AD18" i="32" s="1" a="1"/>
  <c r="AD18" i="32" s="1"/>
  <c r="AM18" i="32" s="1" a="1"/>
  <c r="AM18" i="32" s="1"/>
  <c r="N18" i="32" a="1"/>
  <c r="N18" i="32" s="1"/>
  <c r="W18" i="32" s="1" a="1"/>
  <c r="W18" i="32" s="1"/>
  <c r="AF18" i="32" s="1" a="1"/>
  <c r="AF18" i="32" s="1"/>
  <c r="AO18" i="32" s="1" a="1"/>
  <c r="AO18" i="32" s="1"/>
  <c r="O18" i="32" a="1"/>
  <c r="O18" i="32" s="1"/>
  <c r="X18" i="32" s="1" a="1"/>
  <c r="X18" i="32" s="1"/>
  <c r="AG18" i="32" s="1" a="1"/>
  <c r="AG18" i="32" s="1"/>
  <c r="AP18" i="32" s="1" a="1"/>
  <c r="AP18" i="32" s="1"/>
  <c r="O17" i="32" a="1"/>
  <c r="O17" i="32" s="1"/>
  <c r="X17" i="32" s="1" a="1"/>
  <c r="X17" i="32" s="1"/>
  <c r="AG17" i="32" s="1" a="1"/>
  <c r="AG17" i="32" s="1"/>
  <c r="AP17" i="32" s="1" a="1"/>
  <c r="AP17" i="32" s="1"/>
  <c r="M16" i="32" a="1"/>
  <c r="M16" i="32" s="1"/>
  <c r="V16" i="32" s="1" a="1"/>
  <c r="V16" i="32" s="1"/>
  <c r="AE16" i="32" s="1" a="1"/>
  <c r="AE16" i="32" s="1"/>
  <c r="AN16" i="32" s="1" a="1"/>
  <c r="AN16" i="32" s="1"/>
  <c r="N16" i="32" a="1"/>
  <c r="N16" i="32" s="1"/>
  <c r="W16" i="32" s="1" a="1"/>
  <c r="W16" i="32" s="1"/>
  <c r="AF16" i="32" s="1" a="1"/>
  <c r="AF16" i="32" s="1"/>
  <c r="AO16" i="32" s="1" a="1"/>
  <c r="AO16" i="32" s="1"/>
  <c r="R18" i="32" a="1"/>
  <c r="R18" i="32" s="1"/>
  <c r="AA18" i="32" s="1" a="1"/>
  <c r="AA18" i="32" s="1"/>
  <c r="AJ18" i="32" s="1" a="1"/>
  <c r="AJ18" i="32" s="1"/>
  <c r="O16" i="32" a="1"/>
  <c r="O16" i="32" s="1"/>
  <c r="X16" i="32" s="1" a="1"/>
  <c r="X16" i="32" s="1"/>
  <c r="AG16" i="32" s="1" a="1"/>
  <c r="AG16" i="32" s="1"/>
  <c r="AP16" i="32" s="1" a="1"/>
  <c r="AP16" i="32" s="1"/>
  <c r="Q18" i="32" a="1"/>
  <c r="Q18" i="32" s="1"/>
  <c r="Z18" i="32" s="1" a="1"/>
  <c r="Z18" i="32" s="1"/>
  <c r="AI18" i="32" s="1" a="1"/>
  <c r="AI18" i="32" s="1"/>
  <c r="S18" i="32" a="1"/>
  <c r="S18" i="32" s="1"/>
  <c r="AB18" i="32" s="1" a="1"/>
  <c r="AB18" i="32" s="1"/>
  <c r="AK18" i="32" s="1" a="1"/>
  <c r="AK18" i="32" s="1"/>
  <c r="I19" i="21"/>
  <c r="D19" i="21"/>
  <c r="J39" i="18"/>
  <c r="O41" i="18"/>
  <c r="W30" i="18"/>
  <c r="Z64" i="18" s="1"/>
  <c r="M41" i="18"/>
  <c r="U30" i="18"/>
  <c r="Z62" i="18" s="1"/>
  <c r="Z30" i="18"/>
  <c r="T38" i="18"/>
  <c r="X30" i="18"/>
  <c r="T30" i="18"/>
  <c r="V30" i="18"/>
  <c r="Z63" i="18" s="1"/>
  <c r="Y30" i="18"/>
  <c r="U31" i="18"/>
  <c r="Z67" i="18" s="1"/>
  <c r="X31" i="18"/>
  <c r="Z31" i="18"/>
  <c r="Y31" i="18"/>
  <c r="T39" i="18"/>
  <c r="T31" i="18"/>
  <c r="K59" i="18"/>
  <c r="W31" i="18"/>
  <c r="Z69" i="18" s="1"/>
  <c r="V31" i="18"/>
  <c r="Z68" i="18" s="1"/>
  <c r="O60" i="18"/>
  <c r="P59" i="18"/>
  <c r="E40" i="18"/>
  <c r="E41" i="18" s="1"/>
  <c r="N32" i="18"/>
  <c r="N40" i="18" s="1"/>
  <c r="AJ72" i="18" s="1"/>
  <c r="AK72" i="18" s="1"/>
  <c r="J19" i="27"/>
  <c r="A19" i="27" s="1"/>
  <c r="F19" i="27" s="1"/>
  <c r="D33" i="18"/>
  <c r="D38" i="18"/>
  <c r="P67" i="18"/>
  <c r="E33" i="18"/>
  <c r="F33" i="18"/>
  <c r="F38" i="18"/>
  <c r="O68" i="18"/>
  <c r="P68" i="18" s="1"/>
  <c r="D19" i="26"/>
  <c r="F19" i="26"/>
  <c r="G19" i="26"/>
  <c r="B19" i="26"/>
  <c r="H19" i="26"/>
  <c r="C19" i="26"/>
  <c r="E19" i="26" s="1"/>
  <c r="B17" i="25"/>
  <c r="L17" i="25"/>
  <c r="H18" i="27"/>
  <c r="C18" i="27"/>
  <c r="I18" i="27"/>
  <c r="E18" i="27"/>
  <c r="B18" i="27"/>
  <c r="F18" i="27"/>
  <c r="G18" i="27"/>
  <c r="D18" i="27"/>
  <c r="AR21" i="26"/>
  <c r="AQ22" i="26" s="1"/>
  <c r="J20" i="26"/>
  <c r="A20" i="26" s="1"/>
  <c r="L20" i="27"/>
  <c r="K21" i="27" s="1"/>
  <c r="AX19" i="24"/>
  <c r="B19" i="24"/>
  <c r="I20" i="21"/>
  <c r="F20" i="21"/>
  <c r="H20" i="21"/>
  <c r="B20" i="21"/>
  <c r="D20" i="21" s="1"/>
  <c r="C20" i="21"/>
  <c r="G20" i="21"/>
  <c r="K22" i="21"/>
  <c r="L22" i="21" s="1"/>
  <c r="A21" i="21"/>
  <c r="A20" i="32"/>
  <c r="AQ21" i="32"/>
  <c r="AR21" i="32" s="1"/>
  <c r="C19" i="32"/>
  <c r="B19" i="32"/>
  <c r="F23" i="20"/>
  <c r="H23" i="20"/>
  <c r="G23" i="20"/>
  <c r="I23" i="20"/>
  <c r="E23" i="20"/>
  <c r="B24" i="20"/>
  <c r="C24" i="20"/>
  <c r="D23" i="20"/>
  <c r="A25" i="20"/>
  <c r="AQ26" i="20"/>
  <c r="AR26" i="20" s="1"/>
  <c r="R68" i="18" l="1"/>
  <c r="X68" i="18" s="1"/>
  <c r="AJ73" i="18"/>
  <c r="L25" i="20" a="1"/>
  <c r="L25" i="20" s="1"/>
  <c r="R25" i="20" a="1"/>
  <c r="R25" i="20" s="1"/>
  <c r="X25" i="20" a="1"/>
  <c r="X25" i="20" s="1"/>
  <c r="AD25" i="20" a="1"/>
  <c r="AD25" i="20" s="1"/>
  <c r="AJ25" i="20" a="1"/>
  <c r="AJ25" i="20" s="1"/>
  <c r="AP25" i="20" a="1"/>
  <c r="AP25" i="20" s="1"/>
  <c r="O25" i="20" a="1"/>
  <c r="O25" i="20" s="1"/>
  <c r="U25" i="20" a="1"/>
  <c r="U25" i="20" s="1"/>
  <c r="AA25" i="20" a="1"/>
  <c r="AA25" i="20" s="1"/>
  <c r="AG25" i="20" a="1"/>
  <c r="AG25" i="20" s="1"/>
  <c r="AM25" i="20" a="1"/>
  <c r="AM25" i="20" s="1"/>
  <c r="W25" i="20" a="1"/>
  <c r="W25" i="20" s="1"/>
  <c r="AE25" i="20" a="1"/>
  <c r="AE25" i="20" s="1"/>
  <c r="P25" i="20" a="1"/>
  <c r="P25" i="20" s="1"/>
  <c r="AF25" i="20" a="1"/>
  <c r="AF25" i="20" s="1"/>
  <c r="AN25" i="20" a="1"/>
  <c r="AN25" i="20" s="1"/>
  <c r="K25" i="20" a="1"/>
  <c r="K25" i="20" s="1"/>
  <c r="S25" i="20" a="1"/>
  <c r="S25" i="20" s="1"/>
  <c r="AI25" i="20" a="1"/>
  <c r="AI25" i="20" s="1"/>
  <c r="T25" i="20" a="1"/>
  <c r="T25" i="20" s="1"/>
  <c r="AB25" i="20" a="1"/>
  <c r="AB25" i="20" s="1"/>
  <c r="J25" i="20" a="1"/>
  <c r="J25" i="20" s="1"/>
  <c r="Z25" i="20" a="1"/>
  <c r="Z25" i="20" s="1"/>
  <c r="AC25" i="20" a="1"/>
  <c r="AC25" i="20" s="1"/>
  <c r="N25" i="20" a="1"/>
  <c r="N25" i="20" s="1"/>
  <c r="Q25" i="20" a="1"/>
  <c r="Q25" i="20" s="1"/>
  <c r="M25" i="20" a="1"/>
  <c r="M25" i="20" s="1"/>
  <c r="AH25" i="20" a="1"/>
  <c r="AH25" i="20" s="1"/>
  <c r="V25" i="20" a="1"/>
  <c r="V25" i="20" s="1"/>
  <c r="Y25" i="20" a="1"/>
  <c r="Y25" i="20" s="1"/>
  <c r="AK25" i="20" a="1"/>
  <c r="AK25" i="20" s="1"/>
  <c r="AL25" i="20" a="1"/>
  <c r="AL25" i="20" s="1"/>
  <c r="AO25" i="20" a="1"/>
  <c r="AO25" i="20" s="1"/>
  <c r="K64" i="18"/>
  <c r="K67" i="18"/>
  <c r="K69" i="18"/>
  <c r="K62" i="18"/>
  <c r="N19" i="32" a="1"/>
  <c r="N19" i="32" s="1"/>
  <c r="W19" i="32" s="1" a="1"/>
  <c r="W19" i="32" s="1"/>
  <c r="AF19" i="32" s="1" a="1"/>
  <c r="AF19" i="32" s="1"/>
  <c r="AO19" i="32" s="1" a="1"/>
  <c r="AO19" i="32" s="1"/>
  <c r="K19" i="32" a="1"/>
  <c r="K19" i="32" s="1"/>
  <c r="T19" i="32" s="1" a="1"/>
  <c r="T19" i="32" s="1"/>
  <c r="AC19" i="32" s="1" a="1"/>
  <c r="AC19" i="32" s="1"/>
  <c r="AL19" i="32" s="1" a="1"/>
  <c r="AL19" i="32" s="1"/>
  <c r="I20" i="32"/>
  <c r="H20" i="32"/>
  <c r="G20" i="32"/>
  <c r="S19" i="32" a="1"/>
  <c r="S19" i="32" s="1"/>
  <c r="AB19" i="32" s="1" a="1"/>
  <c r="AB19" i="32" s="1"/>
  <c r="AK19" i="32" s="1" a="1"/>
  <c r="AK19" i="32" s="1"/>
  <c r="R19" i="32" a="1"/>
  <c r="R19" i="32" s="1"/>
  <c r="AA19" i="32" s="1" a="1"/>
  <c r="AA19" i="32" s="1"/>
  <c r="AJ19" i="32" s="1" a="1"/>
  <c r="AJ19" i="32" s="1"/>
  <c r="Q19" i="32" a="1"/>
  <c r="Q19" i="32" s="1"/>
  <c r="Z19" i="32" s="1" a="1"/>
  <c r="Z19" i="32" s="1"/>
  <c r="AI19" i="32" s="1" a="1"/>
  <c r="AI19" i="32" s="1"/>
  <c r="M18" i="32" a="1"/>
  <c r="M18" i="32" s="1"/>
  <c r="V18" i="32" s="1" a="1"/>
  <c r="V18" i="32" s="1"/>
  <c r="AE18" i="32" s="1" a="1"/>
  <c r="AE18" i="32" s="1"/>
  <c r="AN18" i="32" s="1" a="1"/>
  <c r="AN18" i="32" s="1"/>
  <c r="L19" i="32" a="1"/>
  <c r="L19" i="32" s="1"/>
  <c r="U19" i="32" s="1" a="1"/>
  <c r="U19" i="32" s="1"/>
  <c r="AD19" i="32" s="1" a="1"/>
  <c r="AD19" i="32" s="1"/>
  <c r="AM19" i="32" s="1" a="1"/>
  <c r="AM19" i="32" s="1"/>
  <c r="P19" i="32" a="1"/>
  <c r="P19" i="32" s="1"/>
  <c r="Y19" i="32" s="1" a="1"/>
  <c r="Y19" i="32" s="1"/>
  <c r="AH19" i="32" s="1" a="1"/>
  <c r="AH19" i="32" s="1"/>
  <c r="F24" i="20"/>
  <c r="D24" i="20"/>
  <c r="E24" i="20"/>
  <c r="G24" i="20"/>
  <c r="I24" i="20"/>
  <c r="E20" i="21"/>
  <c r="H24" i="20"/>
  <c r="O72" i="18"/>
  <c r="J40" i="18"/>
  <c r="U37" i="18"/>
  <c r="N41" i="18"/>
  <c r="V32" i="18"/>
  <c r="Z72" i="18" s="1"/>
  <c r="Z32" i="18"/>
  <c r="W32" i="18"/>
  <c r="Y32" i="18"/>
  <c r="T32" i="18"/>
  <c r="U32" i="18"/>
  <c r="X32" i="18"/>
  <c r="T40" i="18"/>
  <c r="T41" i="18" s="1"/>
  <c r="U39" i="18"/>
  <c r="R59" i="18"/>
  <c r="J59" i="18"/>
  <c r="J11" i="23"/>
  <c r="P60" i="18"/>
  <c r="H19" i="27"/>
  <c r="C19" i="27"/>
  <c r="G19" i="27"/>
  <c r="D19" i="27"/>
  <c r="E19" i="27"/>
  <c r="I19" i="27"/>
  <c r="B19" i="27"/>
  <c r="J68" i="18"/>
  <c r="R67" i="18"/>
  <c r="R69" i="18"/>
  <c r="J13" i="23"/>
  <c r="P70" i="18"/>
  <c r="J67" i="18"/>
  <c r="D41" i="18"/>
  <c r="O62" i="18"/>
  <c r="J38" i="18"/>
  <c r="O64" i="18"/>
  <c r="P64" i="18" s="1"/>
  <c r="J64" i="18" s="1"/>
  <c r="F41" i="18"/>
  <c r="O70" i="18"/>
  <c r="J20" i="27"/>
  <c r="A20" i="27" s="1"/>
  <c r="I20" i="27" s="1"/>
  <c r="J21" i="26"/>
  <c r="A21" i="26" s="1"/>
  <c r="G21" i="26" s="1"/>
  <c r="K18" i="25"/>
  <c r="C17" i="25"/>
  <c r="E17" i="25" s="1"/>
  <c r="I17" i="25"/>
  <c r="D17" i="25"/>
  <c r="E19" i="24"/>
  <c r="F19" i="24"/>
  <c r="G19" i="24"/>
  <c r="I19" i="24"/>
  <c r="D19" i="24"/>
  <c r="H19" i="24"/>
  <c r="C19" i="24"/>
  <c r="J19" i="24" s="1"/>
  <c r="AW20" i="24"/>
  <c r="D20" i="26"/>
  <c r="B20" i="26"/>
  <c r="G20" i="26"/>
  <c r="H20" i="26"/>
  <c r="F20" i="26"/>
  <c r="C20" i="26"/>
  <c r="E20" i="26" s="1"/>
  <c r="I20" i="26"/>
  <c r="L21" i="27"/>
  <c r="K22" i="27" s="1"/>
  <c r="AR22" i="26"/>
  <c r="AQ23" i="26" s="1"/>
  <c r="C21" i="21"/>
  <c r="F21" i="21"/>
  <c r="G21" i="21"/>
  <c r="H21" i="21"/>
  <c r="B21" i="21"/>
  <c r="I21" i="21" s="1"/>
  <c r="K23" i="21"/>
  <c r="L23" i="21" s="1"/>
  <c r="A22" i="21"/>
  <c r="AQ22" i="32"/>
  <c r="AR22" i="32" s="1"/>
  <c r="A21" i="32"/>
  <c r="D21" i="32" s="1"/>
  <c r="C20" i="32"/>
  <c r="D20" i="32" s="1"/>
  <c r="B20" i="32"/>
  <c r="A26" i="20"/>
  <c r="AQ27" i="20"/>
  <c r="AR27" i="20" s="1"/>
  <c r="B25" i="20"/>
  <c r="H25" i="20"/>
  <c r="D25" i="20"/>
  <c r="C25" i="20"/>
  <c r="F25" i="20"/>
  <c r="I25" i="20"/>
  <c r="U38" i="18" l="1"/>
  <c r="K72" i="18"/>
  <c r="V59" i="18"/>
  <c r="V69" i="18"/>
  <c r="V67" i="18"/>
  <c r="V68" i="18"/>
  <c r="H21" i="32"/>
  <c r="G21" i="32"/>
  <c r="I21" i="32"/>
  <c r="F20" i="32"/>
  <c r="E20" i="32"/>
  <c r="J20" i="32" a="1"/>
  <c r="J20" i="32" s="1"/>
  <c r="S20" i="32" s="1" a="1"/>
  <c r="S20" i="32" s="1"/>
  <c r="J21" i="32" a="1"/>
  <c r="J21" i="32" s="1"/>
  <c r="E21" i="32"/>
  <c r="F21" i="32"/>
  <c r="M19" i="32" a="1"/>
  <c r="M19" i="32" s="1"/>
  <c r="V19" i="32" s="1" a="1"/>
  <c r="V19" i="32" s="1"/>
  <c r="AE19" i="32" s="1" a="1"/>
  <c r="AE19" i="32" s="1"/>
  <c r="AN19" i="32" s="1" a="1"/>
  <c r="AN19" i="32" s="1"/>
  <c r="O19" i="32" a="1"/>
  <c r="O19" i="32" s="1"/>
  <c r="X19" i="32" s="1" a="1"/>
  <c r="X19" i="32" s="1"/>
  <c r="AG19" i="32" s="1" a="1"/>
  <c r="AG19" i="32" s="1"/>
  <c r="AP19" i="32" s="1" a="1"/>
  <c r="AP19" i="32" s="1"/>
  <c r="E25" i="20"/>
  <c r="G25" i="20"/>
  <c r="J41" i="18"/>
  <c r="P72" i="18"/>
  <c r="J72" i="18" s="1"/>
  <c r="X59" i="18"/>
  <c r="U59" i="18"/>
  <c r="S59" i="18"/>
  <c r="T59" i="18"/>
  <c r="B20" i="27"/>
  <c r="H20" i="27"/>
  <c r="D20" i="27"/>
  <c r="T68" i="18"/>
  <c r="U68" i="18"/>
  <c r="S68" i="18"/>
  <c r="O65" i="18"/>
  <c r="P62" i="18"/>
  <c r="X69" i="18"/>
  <c r="U67" i="18"/>
  <c r="X67" i="18"/>
  <c r="S67" i="18"/>
  <c r="T67" i="18"/>
  <c r="I21" i="26"/>
  <c r="H21" i="26"/>
  <c r="C20" i="27"/>
  <c r="F21" i="26"/>
  <c r="G20" i="27"/>
  <c r="F20" i="27"/>
  <c r="E20" i="27"/>
  <c r="D21" i="26"/>
  <c r="C21" i="26"/>
  <c r="E21" i="26" s="1"/>
  <c r="B21" i="26"/>
  <c r="AR23" i="26"/>
  <c r="AQ24" i="26" s="1"/>
  <c r="L22" i="27"/>
  <c r="K23" i="27" s="1"/>
  <c r="J22" i="26"/>
  <c r="A22" i="26" s="1"/>
  <c r="AX20" i="24"/>
  <c r="B20" i="24"/>
  <c r="J21" i="27"/>
  <c r="A21" i="27" s="1"/>
  <c r="B18" i="25"/>
  <c r="L18" i="25"/>
  <c r="D21" i="21"/>
  <c r="E21" i="21"/>
  <c r="A23" i="21"/>
  <c r="K24" i="21"/>
  <c r="L24" i="21" s="1"/>
  <c r="F22" i="21"/>
  <c r="C22" i="21"/>
  <c r="H22" i="21"/>
  <c r="I22" i="21"/>
  <c r="B22" i="21"/>
  <c r="E22" i="21"/>
  <c r="G22" i="21"/>
  <c r="D22" i="21"/>
  <c r="AQ23" i="32"/>
  <c r="AR23" i="32" s="1"/>
  <c r="A22" i="32"/>
  <c r="D22" i="32" s="1"/>
  <c r="C21" i="32"/>
  <c r="B21" i="32"/>
  <c r="A27" i="20"/>
  <c r="AQ28" i="20"/>
  <c r="AR28" i="20" s="1"/>
  <c r="B26" i="20"/>
  <c r="C26" i="20"/>
  <c r="U40" i="18" l="1"/>
  <c r="J14" i="23"/>
  <c r="AB20" i="32" a="1"/>
  <c r="AB20" i="32" s="1"/>
  <c r="AK20" i="32" s="1" a="1"/>
  <c r="AK20" i="32" s="1"/>
  <c r="H22" i="32"/>
  <c r="I22" i="32"/>
  <c r="G22" i="32"/>
  <c r="K20" i="32" a="1"/>
  <c r="K20" i="32" s="1"/>
  <c r="T20" i="32" s="1" a="1"/>
  <c r="T20" i="32" s="1"/>
  <c r="AC20" i="32" s="1" a="1"/>
  <c r="AC20" i="32" s="1"/>
  <c r="AL20" i="32" s="1" a="1"/>
  <c r="AL20" i="32" s="1"/>
  <c r="K21" i="32" a="1"/>
  <c r="K21" i="32" s="1"/>
  <c r="T21" i="32" s="1" a="1"/>
  <c r="T21" i="32" s="1"/>
  <c r="AC21" i="32" s="1" a="1"/>
  <c r="AC21" i="32" s="1"/>
  <c r="AL21" i="32" s="1" a="1"/>
  <c r="AL21" i="32" s="1"/>
  <c r="R20" i="32" a="1"/>
  <c r="R20" i="32" s="1"/>
  <c r="AA20" i="32" s="1" a="1"/>
  <c r="AA20" i="32" s="1"/>
  <c r="AJ20" i="32" s="1" a="1"/>
  <c r="AJ20" i="32" s="1"/>
  <c r="Q20" i="32" a="1"/>
  <c r="Q20" i="32" s="1"/>
  <c r="Z20" i="32" s="1" a="1"/>
  <c r="Z20" i="32" s="1"/>
  <c r="AI20" i="32" s="1" a="1"/>
  <c r="AI20" i="32" s="1"/>
  <c r="L20" i="32" a="1"/>
  <c r="L20" i="32" s="1"/>
  <c r="U20" i="32" s="1" a="1"/>
  <c r="U20" i="32" s="1"/>
  <c r="AD20" i="32" s="1" a="1"/>
  <c r="AD20" i="32" s="1"/>
  <c r="AM20" i="32" s="1" a="1"/>
  <c r="AM20" i="32" s="1"/>
  <c r="P20" i="32" a="1"/>
  <c r="P20" i="32" s="1"/>
  <c r="Y20" i="32" s="1" a="1"/>
  <c r="Y20" i="32" s="1"/>
  <c r="AH20" i="32" s="1" a="1"/>
  <c r="AH20" i="32" s="1"/>
  <c r="J22" i="32" a="1"/>
  <c r="J22" i="32" s="1"/>
  <c r="E22" i="32"/>
  <c r="F22" i="32"/>
  <c r="Q21" i="32" a="1"/>
  <c r="Q21" i="32" s="1"/>
  <c r="Z21" i="32" s="1" a="1"/>
  <c r="Z21" i="32" s="1"/>
  <c r="AI21" i="32" s="1" a="1"/>
  <c r="AI21" i="32" s="1"/>
  <c r="N20" i="32" a="1"/>
  <c r="N20" i="32" s="1"/>
  <c r="W20" i="32" s="1" a="1"/>
  <c r="W20" i="32" s="1"/>
  <c r="AF20" i="32" s="1" a="1"/>
  <c r="AF20" i="32" s="1"/>
  <c r="AO20" i="32" s="1" a="1"/>
  <c r="AO20" i="32" s="1"/>
  <c r="R21" i="32" a="1"/>
  <c r="R21" i="32" s="1"/>
  <c r="AA21" i="32" s="1" a="1"/>
  <c r="AA21" i="32" s="1"/>
  <c r="AJ21" i="32" s="1" a="1"/>
  <c r="AJ21" i="32" s="1"/>
  <c r="L21" i="32" a="1"/>
  <c r="L21" i="32" s="1"/>
  <c r="U21" i="32" s="1" a="1"/>
  <c r="U21" i="32" s="1"/>
  <c r="AD21" i="32" s="1" a="1"/>
  <c r="AD21" i="32" s="1"/>
  <c r="AM21" i="32" s="1" a="1"/>
  <c r="AM21" i="32" s="1"/>
  <c r="P21" i="32" a="1"/>
  <c r="P21" i="32" s="1"/>
  <c r="Y21" i="32" s="1" a="1"/>
  <c r="Y21" i="32" s="1"/>
  <c r="AH21" i="32" s="1" a="1"/>
  <c r="AH21" i="32" s="1"/>
  <c r="M20" i="32" a="1"/>
  <c r="M20" i="32" s="1"/>
  <c r="V20" i="32" s="1" a="1"/>
  <c r="V20" i="32" s="1"/>
  <c r="AE20" i="32" s="1" a="1"/>
  <c r="AE20" i="32" s="1"/>
  <c r="AN20" i="32" s="1" a="1"/>
  <c r="AN20" i="32" s="1"/>
  <c r="O20" i="32" a="1"/>
  <c r="O20" i="32" s="1"/>
  <c r="X20" i="32" s="1" a="1"/>
  <c r="X20" i="32" s="1"/>
  <c r="AG20" i="32" s="1" a="1"/>
  <c r="AG20" i="32" s="1"/>
  <c r="AP20" i="32" s="1" a="1"/>
  <c r="AP20" i="32" s="1"/>
  <c r="S21" i="32" a="1"/>
  <c r="S21" i="32" s="1"/>
  <c r="AB21" i="32" s="1" a="1"/>
  <c r="AB21" i="32" s="1"/>
  <c r="AK21" i="32" s="1" a="1"/>
  <c r="AK21" i="32" s="1"/>
  <c r="J26" i="20"/>
  <c r="Z26" i="20"/>
  <c r="AA26" i="20"/>
  <c r="L26" i="20"/>
  <c r="M26" i="20"/>
  <c r="N26" i="20"/>
  <c r="O26" i="20"/>
  <c r="P26" i="20"/>
  <c r="AO26" i="20"/>
  <c r="Q26" i="20"/>
  <c r="V26" i="20"/>
  <c r="Y59" i="18"/>
  <c r="AC59" i="18"/>
  <c r="AA59" i="18"/>
  <c r="AB59" i="18"/>
  <c r="Y67" i="18"/>
  <c r="AB67" i="18"/>
  <c r="AC67" i="18"/>
  <c r="AA67" i="18"/>
  <c r="Y68" i="18"/>
  <c r="AB68" i="18"/>
  <c r="AC68" i="18"/>
  <c r="AA68" i="18"/>
  <c r="Y69" i="18"/>
  <c r="AA69" i="18"/>
  <c r="AB69" i="18"/>
  <c r="AC69" i="18"/>
  <c r="R72" i="18"/>
  <c r="O73" i="18"/>
  <c r="J22" i="27"/>
  <c r="A22" i="27" s="1"/>
  <c r="E22" i="27" s="1"/>
  <c r="R64" i="18"/>
  <c r="J62" i="18"/>
  <c r="R62" i="18"/>
  <c r="J12" i="23"/>
  <c r="P65" i="18"/>
  <c r="P73" i="18" s="1"/>
  <c r="R63" i="18"/>
  <c r="K19" i="25"/>
  <c r="C18" i="25"/>
  <c r="E18" i="25" s="1"/>
  <c r="I18" i="25"/>
  <c r="D18" i="25"/>
  <c r="G21" i="27"/>
  <c r="B21" i="27"/>
  <c r="D21" i="27"/>
  <c r="I21" i="27"/>
  <c r="C21" i="27"/>
  <c r="E21" i="27"/>
  <c r="H21" i="27"/>
  <c r="F21" i="27"/>
  <c r="L23" i="27"/>
  <c r="K24" i="27" s="1"/>
  <c r="G20" i="24"/>
  <c r="D20" i="24"/>
  <c r="E20" i="24"/>
  <c r="I20" i="24"/>
  <c r="H20" i="24"/>
  <c r="F20" i="24"/>
  <c r="C20" i="24"/>
  <c r="J20" i="24" s="1"/>
  <c r="AW21" i="24"/>
  <c r="J23" i="26"/>
  <c r="A23" i="26" s="1"/>
  <c r="D22" i="26"/>
  <c r="G22" i="26"/>
  <c r="I22" i="26"/>
  <c r="H22" i="26"/>
  <c r="C22" i="26"/>
  <c r="E22" i="26" s="1"/>
  <c r="B22" i="26"/>
  <c r="F22" i="26"/>
  <c r="AR24" i="26"/>
  <c r="AQ25" i="26" s="1"/>
  <c r="A24" i="21"/>
  <c r="K25" i="21"/>
  <c r="L25" i="21" s="1"/>
  <c r="G23" i="21"/>
  <c r="C23" i="21"/>
  <c r="H23" i="21"/>
  <c r="B23" i="21"/>
  <c r="I23" i="21" s="1"/>
  <c r="F23" i="21"/>
  <c r="C22" i="32"/>
  <c r="B22" i="32"/>
  <c r="AQ24" i="32"/>
  <c r="AR24" i="32" s="1"/>
  <c r="A23" i="32"/>
  <c r="G26" i="20"/>
  <c r="D26" i="20"/>
  <c r="A28" i="20"/>
  <c r="AQ29" i="20"/>
  <c r="AR29" i="20" s="1"/>
  <c r="C27" i="20"/>
  <c r="B27" i="20"/>
  <c r="F26" i="20"/>
  <c r="H26" i="20"/>
  <c r="I26" i="20"/>
  <c r="E26" i="20"/>
  <c r="Q27" i="20" l="1" a="1"/>
  <c r="Q27" i="20" s="1"/>
  <c r="O27" i="20" a="1"/>
  <c r="O27" i="20" s="1"/>
  <c r="AJ27" i="20" a="1"/>
  <c r="AJ27" i="20" s="1"/>
  <c r="Y27" i="20" a="1"/>
  <c r="Y27" i="20" s="1"/>
  <c r="AH27" i="20" a="1"/>
  <c r="AH27" i="20" s="1"/>
  <c r="AL27" i="20" a="1"/>
  <c r="AL27" i="20" s="1"/>
  <c r="X27" i="20" a="1"/>
  <c r="X27" i="20" s="1"/>
  <c r="P27" i="20" a="1"/>
  <c r="P27" i="20" s="1"/>
  <c r="AG27" i="20" a="1"/>
  <c r="AG27" i="20" s="1"/>
  <c r="N27" i="20" a="1"/>
  <c r="N27" i="20" s="1"/>
  <c r="AP27" i="20" a="1"/>
  <c r="AP27" i="20" s="1"/>
  <c r="U27" i="20" a="1"/>
  <c r="U27" i="20" s="1"/>
  <c r="Z27" i="20" a="1"/>
  <c r="Z27" i="20" s="1"/>
  <c r="AD27" i="20" a="1"/>
  <c r="AD27" i="20" s="1"/>
  <c r="AF27" i="20" a="1"/>
  <c r="AF27" i="20" s="1"/>
  <c r="AB27" i="20" a="1"/>
  <c r="AB27" i="20" s="1"/>
  <c r="R27" i="20" a="1"/>
  <c r="R27" i="20" s="1"/>
  <c r="AO27" i="20" a="1"/>
  <c r="AO27" i="20" s="1"/>
  <c r="AK27" i="20" a="1"/>
  <c r="AK27" i="20" s="1"/>
  <c r="L27" i="20" a="1"/>
  <c r="L27" i="20" s="1"/>
  <c r="AI27" i="20" a="1"/>
  <c r="AI27" i="20" s="1"/>
  <c r="AE27" i="20" a="1"/>
  <c r="AE27" i="20" s="1"/>
  <c r="V27" i="20" a="1"/>
  <c r="V27" i="20" s="1"/>
  <c r="AC27" i="20" a="1"/>
  <c r="AC27" i="20" s="1"/>
  <c r="S27" i="20" a="1"/>
  <c r="S27" i="20" s="1"/>
  <c r="AM27" i="20" a="1"/>
  <c r="AM27" i="20" s="1"/>
  <c r="W27" i="20" a="1"/>
  <c r="W27" i="20" s="1"/>
  <c r="M27" i="20" a="1"/>
  <c r="M27" i="20" s="1"/>
  <c r="AA27" i="20" a="1"/>
  <c r="AA27" i="20" s="1"/>
  <c r="J27" i="20" a="1"/>
  <c r="J27" i="20" s="1"/>
  <c r="AN27" i="20" a="1"/>
  <c r="AN27" i="20" s="1"/>
  <c r="T27" i="20" a="1"/>
  <c r="T27" i="20" s="1"/>
  <c r="K27" i="20" a="1"/>
  <c r="K27" i="20" s="1"/>
  <c r="N7" i="18"/>
  <c r="H16" i="18" a="1"/>
  <c r="H16" i="18" s="1"/>
  <c r="D16" i="18"/>
  <c r="K22" i="32" a="1"/>
  <c r="K22" i="32" s="1"/>
  <c r="T22" i="32" s="1" a="1"/>
  <c r="T22" i="32" s="1"/>
  <c r="AC22" i="32" s="1" a="1"/>
  <c r="AC22" i="32" s="1"/>
  <c r="AL22" i="32" s="1" a="1"/>
  <c r="AL22" i="32" s="1"/>
  <c r="I16" i="18"/>
  <c r="G16" i="18"/>
  <c r="N22" i="32" a="1"/>
  <c r="N22" i="32" s="1"/>
  <c r="W22" i="32" s="1" a="1"/>
  <c r="W22" i="32" s="1"/>
  <c r="AF22" i="32" s="1" a="1"/>
  <c r="AF22" i="32" s="1"/>
  <c r="AO22" i="32" s="1" a="1"/>
  <c r="AO22" i="32" s="1"/>
  <c r="S22" i="32" a="1"/>
  <c r="S22" i="32" s="1"/>
  <c r="AB22" i="32" s="1" a="1"/>
  <c r="AB22" i="32" s="1"/>
  <c r="AK22" i="32" s="1" a="1"/>
  <c r="AK22" i="32" s="1"/>
  <c r="V64" i="18"/>
  <c r="V63" i="18"/>
  <c r="V62" i="18"/>
  <c r="G23" i="32"/>
  <c r="I23" i="32"/>
  <c r="H23" i="32"/>
  <c r="M22" i="32" a="1"/>
  <c r="M22" i="32" s="1"/>
  <c r="V22" i="32" s="1" a="1"/>
  <c r="V22" i="32" s="1"/>
  <c r="AE22" i="32" s="1" a="1"/>
  <c r="AE22" i="32" s="1"/>
  <c r="AN22" i="32" s="1" a="1"/>
  <c r="AN22" i="32" s="1"/>
  <c r="M21" i="32" a="1"/>
  <c r="M21" i="32" s="1"/>
  <c r="V21" i="32" s="1" a="1"/>
  <c r="V21" i="32" s="1"/>
  <c r="AE21" i="32" s="1" a="1"/>
  <c r="AE21" i="32" s="1"/>
  <c r="AN21" i="32" s="1" a="1"/>
  <c r="AN21" i="32" s="1"/>
  <c r="N21" i="32" a="1"/>
  <c r="N21" i="32" s="1"/>
  <c r="W21" i="32" s="1" a="1"/>
  <c r="W21" i="32" s="1"/>
  <c r="AF21" i="32" s="1" a="1"/>
  <c r="AF21" i="32" s="1"/>
  <c r="AO21" i="32" s="1" a="1"/>
  <c r="AO21" i="32" s="1"/>
  <c r="P22" i="32" a="1"/>
  <c r="P22" i="32" s="1"/>
  <c r="Y22" i="32" s="1" a="1"/>
  <c r="Y22" i="32" s="1"/>
  <c r="AH22" i="32" s="1" a="1"/>
  <c r="AH22" i="32" s="1"/>
  <c r="L22" i="32" a="1"/>
  <c r="L22" i="32" s="1"/>
  <c r="U22" i="32" s="1" a="1"/>
  <c r="U22" i="32" s="1"/>
  <c r="AD22" i="32" s="1" a="1"/>
  <c r="AD22" i="32" s="1"/>
  <c r="AM22" i="32" s="1" a="1"/>
  <c r="AM22" i="32" s="1"/>
  <c r="O21" i="32" a="1"/>
  <c r="O21" i="32" s="1"/>
  <c r="X21" i="32" s="1" a="1"/>
  <c r="X21" i="32" s="1"/>
  <c r="AG21" i="32" s="1" a="1"/>
  <c r="AG21" i="32" s="1"/>
  <c r="AP21" i="32" s="1" a="1"/>
  <c r="AP21" i="32" s="1"/>
  <c r="R22" i="32" a="1"/>
  <c r="R22" i="32" s="1"/>
  <c r="AA22" i="32" s="1" a="1"/>
  <c r="AA22" i="32" s="1"/>
  <c r="AJ22" i="32" s="1" a="1"/>
  <c r="AJ22" i="32" s="1"/>
  <c r="Q22" i="32" a="1"/>
  <c r="Q22" i="32" s="1"/>
  <c r="Z22" i="32" s="1" a="1"/>
  <c r="Z22" i="32" s="1"/>
  <c r="AI22" i="32" s="1" a="1"/>
  <c r="AI22" i="32" s="1"/>
  <c r="W26" i="20"/>
  <c r="AB26" i="20"/>
  <c r="AG26" i="20"/>
  <c r="AM26" i="20"/>
  <c r="AL26" i="20"/>
  <c r="AN26" i="20"/>
  <c r="AP26" i="20" s="1"/>
  <c r="R26" i="20"/>
  <c r="S72" i="18"/>
  <c r="V72" i="18"/>
  <c r="C16" i="18"/>
  <c r="F16" i="18"/>
  <c r="E16" i="18"/>
  <c r="E23" i="21"/>
  <c r="D23" i="21"/>
  <c r="X72" i="18"/>
  <c r="T72" i="18"/>
  <c r="U72" i="18"/>
  <c r="C22" i="27"/>
  <c r="D22" i="27"/>
  <c r="I22" i="27"/>
  <c r="H22" i="27"/>
  <c r="G22" i="27"/>
  <c r="B22" i="27"/>
  <c r="F22" i="27"/>
  <c r="G27" i="20"/>
  <c r="X64" i="18"/>
  <c r="U62" i="18"/>
  <c r="T62" i="18"/>
  <c r="X62" i="18"/>
  <c r="S62" i="18"/>
  <c r="T63" i="18"/>
  <c r="U63" i="18"/>
  <c r="X63" i="18"/>
  <c r="S63" i="18"/>
  <c r="J23" i="27"/>
  <c r="A23" i="27" s="1"/>
  <c r="F23" i="27" s="1"/>
  <c r="J24" i="26"/>
  <c r="A24" i="26" s="1"/>
  <c r="F24" i="26" s="1"/>
  <c r="AR25" i="26"/>
  <c r="AQ26" i="26" s="1"/>
  <c r="L24" i="27"/>
  <c r="K25" i="27" s="1"/>
  <c r="B23" i="26"/>
  <c r="H23" i="26"/>
  <c r="D23" i="26"/>
  <c r="C23" i="26"/>
  <c r="E23" i="26" s="1"/>
  <c r="I23" i="26"/>
  <c r="G23" i="26"/>
  <c r="F23" i="26"/>
  <c r="AX21" i="24"/>
  <c r="B21" i="24"/>
  <c r="B19" i="25"/>
  <c r="L19" i="25"/>
  <c r="K26" i="21"/>
  <c r="L26" i="21" s="1"/>
  <c r="A25" i="21"/>
  <c r="F24" i="21"/>
  <c r="H24" i="21"/>
  <c r="G24" i="21"/>
  <c r="C24" i="21"/>
  <c r="B24" i="21"/>
  <c r="I24" i="21" s="1"/>
  <c r="C23" i="32"/>
  <c r="D23" i="32" s="1"/>
  <c r="B23" i="32"/>
  <c r="A24" i="32"/>
  <c r="AQ25" i="32"/>
  <c r="AR25" i="32" s="1"/>
  <c r="I27" i="20"/>
  <c r="E27" i="20"/>
  <c r="H27" i="20"/>
  <c r="C28" i="20"/>
  <c r="B28" i="20"/>
  <c r="F27" i="20"/>
  <c r="D27" i="20"/>
  <c r="AQ30" i="20"/>
  <c r="AR30" i="20" s="1"/>
  <c r="A29" i="20"/>
  <c r="K28" i="20" l="1" a="1"/>
  <c r="K28" i="20" s="1"/>
  <c r="P28" i="20" a="1"/>
  <c r="P28" i="20" s="1"/>
  <c r="AJ28" i="20" a="1"/>
  <c r="AJ28" i="20" s="1"/>
  <c r="AB28" i="20" a="1"/>
  <c r="AB28" i="20" s="1"/>
  <c r="AP28" i="20" a="1"/>
  <c r="AP28" i="20" s="1"/>
  <c r="AM28" i="20" a="1"/>
  <c r="AM28" i="20" s="1"/>
  <c r="AD28" i="20" a="1"/>
  <c r="AD28" i="20" s="1"/>
  <c r="N29" i="20" a="1"/>
  <c r="N29" i="20" s="1"/>
  <c r="T29" i="20" a="1"/>
  <c r="T29" i="20" s="1"/>
  <c r="Z29" i="20" a="1"/>
  <c r="Z29" i="20" s="1"/>
  <c r="AF29" i="20" a="1"/>
  <c r="AF29" i="20" s="1"/>
  <c r="AL29" i="20" a="1"/>
  <c r="AL29" i="20" s="1"/>
  <c r="O29" i="20" a="1"/>
  <c r="O29" i="20" s="1"/>
  <c r="U29" i="20" a="1"/>
  <c r="U29" i="20" s="1"/>
  <c r="AA29" i="20" a="1"/>
  <c r="AA29" i="20" s="1"/>
  <c r="AG29" i="20" a="1"/>
  <c r="AG29" i="20" s="1"/>
  <c r="AM29" i="20" a="1"/>
  <c r="AM29" i="20" s="1"/>
  <c r="J29" i="20" a="1"/>
  <c r="J29" i="20" s="1"/>
  <c r="P29" i="20" a="1"/>
  <c r="P29" i="20" s="1"/>
  <c r="V29" i="20" a="1"/>
  <c r="V29" i="20" s="1"/>
  <c r="AB29" i="20" a="1"/>
  <c r="AB29" i="20" s="1"/>
  <c r="AH29" i="20" a="1"/>
  <c r="AH29" i="20" s="1"/>
  <c r="AN29" i="20" a="1"/>
  <c r="AN29" i="20" s="1"/>
  <c r="L29" i="20" a="1"/>
  <c r="L29" i="20" s="1"/>
  <c r="R29" i="20" a="1"/>
  <c r="R29" i="20" s="1"/>
  <c r="X29" i="20" a="1"/>
  <c r="X29" i="20" s="1"/>
  <c r="AD29" i="20" a="1"/>
  <c r="AD29" i="20" s="1"/>
  <c r="AJ29" i="20" a="1"/>
  <c r="AJ29" i="20" s="1"/>
  <c r="AP29" i="20" a="1"/>
  <c r="AP29" i="20" s="1"/>
  <c r="S29" i="20" a="1"/>
  <c r="S29" i="20" s="1"/>
  <c r="AE29" i="20" a="1"/>
  <c r="AE29" i="20" s="1"/>
  <c r="K29" i="20" a="1"/>
  <c r="K29" i="20" s="1"/>
  <c r="W29" i="20" a="1"/>
  <c r="W29" i="20" s="1"/>
  <c r="AI29" i="20" a="1"/>
  <c r="AI29" i="20" s="1"/>
  <c r="M29" i="20" a="1"/>
  <c r="M29" i="20" s="1"/>
  <c r="AK29" i="20" a="1"/>
  <c r="AK29" i="20" s="1"/>
  <c r="AO29" i="20" a="1"/>
  <c r="AO29" i="20" s="1"/>
  <c r="Q29" i="20" a="1"/>
  <c r="Q29" i="20" s="1"/>
  <c r="Y29" i="20" a="1"/>
  <c r="Y29" i="20" s="1"/>
  <c r="AC29" i="20" a="1"/>
  <c r="AC29" i="20" s="1"/>
  <c r="N28" i="20" a="1"/>
  <c r="N28" i="20" s="1"/>
  <c r="AG28" i="20" a="1"/>
  <c r="AG28" i="20" s="1"/>
  <c r="X28" i="20" a="1"/>
  <c r="X28" i="20" s="1"/>
  <c r="J28" i="20" a="1"/>
  <c r="J28" i="20" s="1"/>
  <c r="AA28" i="20" a="1"/>
  <c r="AA28" i="20" s="1"/>
  <c r="R28" i="20" a="1"/>
  <c r="R28" i="20" s="1"/>
  <c r="AL28" i="20" a="1"/>
  <c r="AL28" i="20" s="1"/>
  <c r="U28" i="20" a="1"/>
  <c r="U28" i="20" s="1"/>
  <c r="L28" i="20" a="1"/>
  <c r="L28" i="20" s="1"/>
  <c r="AH28" i="20" a="1"/>
  <c r="AH28" i="20" s="1"/>
  <c r="O28" i="20" a="1"/>
  <c r="O28" i="20" s="1"/>
  <c r="AO28" i="20" a="1"/>
  <c r="AO28" i="20" s="1"/>
  <c r="Z28" i="20" a="1"/>
  <c r="Z28" i="20" s="1"/>
  <c r="AK28" i="20" a="1"/>
  <c r="AK28" i="20" s="1"/>
  <c r="AI28" i="20" a="1"/>
  <c r="AI28" i="20" s="1"/>
  <c r="V28" i="20" a="1"/>
  <c r="V28" i="20" s="1"/>
  <c r="AE28" i="20" a="1"/>
  <c r="AE28" i="20" s="1"/>
  <c r="AC28" i="20" a="1"/>
  <c r="AC28" i="20" s="1"/>
  <c r="AF28" i="20" a="1"/>
  <c r="AF28" i="20" s="1"/>
  <c r="Y28" i="20" a="1"/>
  <c r="Y28" i="20" s="1"/>
  <c r="W28" i="20" a="1"/>
  <c r="W28" i="20" s="1"/>
  <c r="T28" i="20" a="1"/>
  <c r="T28" i="20" s="1"/>
  <c r="S28" i="20" a="1"/>
  <c r="S28" i="20" s="1"/>
  <c r="Q28" i="20" a="1"/>
  <c r="Q28" i="20" s="1"/>
  <c r="AN28" i="20" a="1"/>
  <c r="AN28" i="20" s="1"/>
  <c r="M28" i="20" a="1"/>
  <c r="M28" i="20" s="1"/>
  <c r="I24" i="32"/>
  <c r="G24" i="32"/>
  <c r="H24" i="32"/>
  <c r="R23" i="32" a="1"/>
  <c r="R23" i="32" s="1"/>
  <c r="AA23" i="32" s="1" a="1"/>
  <c r="AA23" i="32" s="1"/>
  <c r="AJ23" i="32" s="1" a="1"/>
  <c r="AJ23" i="32" s="1"/>
  <c r="F23" i="32"/>
  <c r="Q23" i="32" a="1"/>
  <c r="Q23" i="32" s="1"/>
  <c r="Z23" i="32" s="1" a="1"/>
  <c r="Z23" i="32" s="1"/>
  <c r="AI23" i="32" s="1" a="1"/>
  <c r="AI23" i="32" s="1"/>
  <c r="E23" i="32"/>
  <c r="K23" i="32" a="1"/>
  <c r="K23" i="32" s="1"/>
  <c r="T23" i="32" s="1" a="1"/>
  <c r="T23" i="32" s="1"/>
  <c r="AC23" i="32" s="1" a="1"/>
  <c r="AC23" i="32" s="1"/>
  <c r="AL23" i="32" s="1" a="1"/>
  <c r="AL23" i="32" s="1"/>
  <c r="J23" i="32" a="1"/>
  <c r="J23" i="32" s="1"/>
  <c r="S23" i="32" s="1" a="1"/>
  <c r="S23" i="32" s="1"/>
  <c r="AB23" i="32" s="1" a="1"/>
  <c r="AB23" i="32" s="1"/>
  <c r="AK23" i="32" s="1" a="1"/>
  <c r="AK23" i="32" s="1"/>
  <c r="L23" i="32" a="1"/>
  <c r="L23" i="32" s="1"/>
  <c r="U23" i="32" s="1" a="1"/>
  <c r="U23" i="32" s="1"/>
  <c r="AD23" i="32" s="1" a="1"/>
  <c r="AD23" i="32" s="1"/>
  <c r="AM23" i="32" s="1" a="1"/>
  <c r="AM23" i="32" s="1"/>
  <c r="P23" i="32" a="1"/>
  <c r="P23" i="32" s="1"/>
  <c r="Y23" i="32" s="1" a="1"/>
  <c r="Y23" i="32" s="1"/>
  <c r="AH23" i="32" s="1" a="1"/>
  <c r="AH23" i="32" s="1"/>
  <c r="O22" i="32" a="1"/>
  <c r="O22" i="32" s="1"/>
  <c r="X22" i="32" s="1" a="1"/>
  <c r="X22" i="32" s="1"/>
  <c r="AG22" i="32" s="1" a="1"/>
  <c r="AG22" i="32" s="1"/>
  <c r="AP22" i="32" s="1" a="1"/>
  <c r="AP22" i="32" s="1"/>
  <c r="Y63" i="18"/>
  <c r="AC63" i="18"/>
  <c r="AA63" i="18"/>
  <c r="AB63" i="18"/>
  <c r="Y72" i="18"/>
  <c r="AB72" i="18"/>
  <c r="AC72" i="18"/>
  <c r="AA72" i="18"/>
  <c r="Y64" i="18"/>
  <c r="AB64" i="18"/>
  <c r="AC64" i="18"/>
  <c r="AA64" i="18"/>
  <c r="Y62" i="18"/>
  <c r="AA62" i="18"/>
  <c r="AB62" i="18"/>
  <c r="AC62" i="18"/>
  <c r="D28" i="20"/>
  <c r="C23" i="27"/>
  <c r="G23" i="27"/>
  <c r="D24" i="26"/>
  <c r="B23" i="27"/>
  <c r="C24" i="26"/>
  <c r="E24" i="26" s="1"/>
  <c r="B24" i="26"/>
  <c r="H23" i="27"/>
  <c r="G24" i="26"/>
  <c r="H24" i="26"/>
  <c r="J24" i="27"/>
  <c r="A24" i="27" s="1"/>
  <c r="E24" i="27" s="1"/>
  <c r="E23" i="27"/>
  <c r="D23" i="27"/>
  <c r="I24" i="26"/>
  <c r="I23" i="27"/>
  <c r="J25" i="26"/>
  <c r="A25" i="26" s="1"/>
  <c r="F25" i="26" s="1"/>
  <c r="I19" i="25"/>
  <c r="D19" i="25"/>
  <c r="H21" i="24"/>
  <c r="I21" i="24"/>
  <c r="E21" i="24"/>
  <c r="F21" i="24"/>
  <c r="G21" i="24"/>
  <c r="D21" i="24"/>
  <c r="AW22" i="24"/>
  <c r="C21" i="24"/>
  <c r="J21" i="24" s="1"/>
  <c r="L25" i="27"/>
  <c r="K26" i="27" s="1"/>
  <c r="K20" i="25"/>
  <c r="C19" i="25"/>
  <c r="E19" i="25" s="1"/>
  <c r="AR26" i="26"/>
  <c r="AQ27" i="26" s="1"/>
  <c r="D24" i="21"/>
  <c r="B25" i="21"/>
  <c r="E25" i="21" s="1"/>
  <c r="F25" i="21"/>
  <c r="C25" i="21"/>
  <c r="H25" i="21"/>
  <c r="G25" i="21"/>
  <c r="E24" i="21"/>
  <c r="K27" i="21"/>
  <c r="L27" i="21" s="1"/>
  <c r="A26" i="21"/>
  <c r="AQ26" i="32"/>
  <c r="AR26" i="32" s="1"/>
  <c r="A25" i="32"/>
  <c r="C24" i="32"/>
  <c r="D24" i="32" s="1"/>
  <c r="B24" i="32"/>
  <c r="I28" i="20"/>
  <c r="H28" i="20"/>
  <c r="E28" i="20"/>
  <c r="F28" i="20"/>
  <c r="B29" i="20"/>
  <c r="C29" i="20"/>
  <c r="AQ31" i="20"/>
  <c r="AR31" i="20" s="1"/>
  <c r="A30" i="20"/>
  <c r="G28" i="20"/>
  <c r="K30" i="20" l="1" a="1"/>
  <c r="K30" i="20" s="1"/>
  <c r="Q30" i="20" a="1"/>
  <c r="Q30" i="20" s="1"/>
  <c r="W30" i="20" a="1"/>
  <c r="W30" i="20" s="1"/>
  <c r="AC30" i="20" a="1"/>
  <c r="AC30" i="20" s="1"/>
  <c r="AI30" i="20" a="1"/>
  <c r="AI30" i="20" s="1"/>
  <c r="AO30" i="20" a="1"/>
  <c r="AO30" i="20" s="1"/>
  <c r="L30" i="20" a="1"/>
  <c r="L30" i="20" s="1"/>
  <c r="R30" i="20" a="1"/>
  <c r="R30" i="20" s="1"/>
  <c r="X30" i="20" a="1"/>
  <c r="X30" i="20" s="1"/>
  <c r="AD30" i="20" a="1"/>
  <c r="AD30" i="20" s="1"/>
  <c r="AJ30" i="20" a="1"/>
  <c r="AJ30" i="20" s="1"/>
  <c r="AP30" i="20" a="1"/>
  <c r="AP30" i="20" s="1"/>
  <c r="M30" i="20" a="1"/>
  <c r="M30" i="20" s="1"/>
  <c r="S30" i="20" a="1"/>
  <c r="S30" i="20" s="1"/>
  <c r="Y30" i="20" a="1"/>
  <c r="Y30" i="20" s="1"/>
  <c r="AE30" i="20" a="1"/>
  <c r="AE30" i="20" s="1"/>
  <c r="AK30" i="20" a="1"/>
  <c r="AK30" i="20" s="1"/>
  <c r="O30" i="20" a="1"/>
  <c r="O30" i="20" s="1"/>
  <c r="U30" i="20" a="1"/>
  <c r="U30" i="20" s="1"/>
  <c r="AA30" i="20" a="1"/>
  <c r="AA30" i="20" s="1"/>
  <c r="AG30" i="20" a="1"/>
  <c r="AG30" i="20" s="1"/>
  <c r="AM30" i="20" a="1"/>
  <c r="AM30" i="20" s="1"/>
  <c r="J30" i="20" a="1"/>
  <c r="J30" i="20" s="1"/>
  <c r="V30" i="20" a="1"/>
  <c r="V30" i="20" s="1"/>
  <c r="AH30" i="20" a="1"/>
  <c r="AH30" i="20" s="1"/>
  <c r="N30" i="20" a="1"/>
  <c r="N30" i="20" s="1"/>
  <c r="Z30" i="20" a="1"/>
  <c r="Z30" i="20" s="1"/>
  <c r="AL30" i="20" a="1"/>
  <c r="AL30" i="20" s="1"/>
  <c r="AB30" i="20" a="1"/>
  <c r="AB30" i="20" s="1"/>
  <c r="AF30" i="20" a="1"/>
  <c r="AF30" i="20" s="1"/>
  <c r="P30" i="20" a="1"/>
  <c r="P30" i="20" s="1"/>
  <c r="AN30" i="20" a="1"/>
  <c r="AN30" i="20" s="1"/>
  <c r="T30" i="20" a="1"/>
  <c r="T30" i="20" s="1"/>
  <c r="G25" i="32"/>
  <c r="H25" i="32"/>
  <c r="I25" i="32"/>
  <c r="F24" i="32"/>
  <c r="K24" i="32" a="1"/>
  <c r="K24" i="32" s="1"/>
  <c r="T24" i="32" s="1" a="1"/>
  <c r="T24" i="32" s="1"/>
  <c r="AC24" i="32" s="1" a="1"/>
  <c r="AC24" i="32" s="1"/>
  <c r="AL24" i="32" s="1" a="1"/>
  <c r="AL24" i="32" s="1"/>
  <c r="E24" i="32"/>
  <c r="N23" i="32" a="1"/>
  <c r="N23" i="32" s="1"/>
  <c r="W23" i="32" s="1" a="1"/>
  <c r="W23" i="32" s="1"/>
  <c r="AF23" i="32" s="1" a="1"/>
  <c r="AF23" i="32" s="1"/>
  <c r="AO23" i="32" s="1" a="1"/>
  <c r="AO23" i="32" s="1"/>
  <c r="O23" i="32" a="1"/>
  <c r="O23" i="32" s="1"/>
  <c r="X23" i="32" s="1" a="1"/>
  <c r="X23" i="32" s="1"/>
  <c r="AG23" i="32" s="1" a="1"/>
  <c r="AG23" i="32" s="1"/>
  <c r="AP23" i="32" s="1" a="1"/>
  <c r="AP23" i="32" s="1"/>
  <c r="M23" i="32" a="1"/>
  <c r="M23" i="32" s="1"/>
  <c r="V23" i="32" s="1" a="1"/>
  <c r="V23" i="32" s="1"/>
  <c r="AE23" i="32" s="1" a="1"/>
  <c r="AE23" i="32" s="1"/>
  <c r="AN23" i="32" s="1" a="1"/>
  <c r="AN23" i="32" s="1"/>
  <c r="H29" i="20"/>
  <c r="D29" i="20"/>
  <c r="G29" i="20"/>
  <c r="I29" i="20"/>
  <c r="F29" i="20"/>
  <c r="E29" i="20"/>
  <c r="G24" i="27"/>
  <c r="D24" i="27"/>
  <c r="D25" i="26"/>
  <c r="E25" i="26"/>
  <c r="I25" i="26"/>
  <c r="B25" i="26"/>
  <c r="C25" i="26"/>
  <c r="I24" i="27"/>
  <c r="H24" i="27"/>
  <c r="G25" i="26"/>
  <c r="C24" i="27"/>
  <c r="F24" i="27"/>
  <c r="H25" i="26"/>
  <c r="J26" i="26"/>
  <c r="A26" i="26" s="1"/>
  <c r="C26" i="26" s="1"/>
  <c r="E26" i="26" s="1"/>
  <c r="B24" i="27"/>
  <c r="J25" i="27"/>
  <c r="A25" i="27" s="1"/>
  <c r="C25" i="27" s="1"/>
  <c r="L20" i="25"/>
  <c r="B20" i="25"/>
  <c r="L26" i="27"/>
  <c r="K27" i="27" s="1"/>
  <c r="AR27" i="26"/>
  <c r="AQ28" i="26" s="1"/>
  <c r="B22" i="24"/>
  <c r="AX22" i="24"/>
  <c r="I25" i="21"/>
  <c r="D25" i="21"/>
  <c r="F26" i="21"/>
  <c r="B26" i="21"/>
  <c r="I26" i="21" s="1"/>
  <c r="H26" i="21"/>
  <c r="C26" i="21"/>
  <c r="G26" i="21"/>
  <c r="A27" i="21"/>
  <c r="K28" i="21"/>
  <c r="L28" i="21" s="1"/>
  <c r="AQ27" i="32"/>
  <c r="AR27" i="32" s="1"/>
  <c r="A26" i="32"/>
  <c r="D26" i="32" s="1"/>
  <c r="B25" i="32"/>
  <c r="C25" i="32"/>
  <c r="D25" i="32" s="1"/>
  <c r="A31" i="20"/>
  <c r="AQ32" i="20"/>
  <c r="AR32" i="20" s="1"/>
  <c r="F30" i="20"/>
  <c r="D30" i="20"/>
  <c r="C30" i="20"/>
  <c r="G30" i="20"/>
  <c r="H30" i="20"/>
  <c r="B30" i="20"/>
  <c r="I26" i="32" l="1"/>
  <c r="H26" i="32"/>
  <c r="G26" i="32"/>
  <c r="L24" i="32" a="1"/>
  <c r="L24" i="32" s="1"/>
  <c r="U24" i="32" s="1" a="1"/>
  <c r="U24" i="32" s="1"/>
  <c r="AD24" i="32" s="1" a="1"/>
  <c r="AD24" i="32" s="1"/>
  <c r="AM24" i="32" s="1" a="1"/>
  <c r="AM24" i="32" s="1"/>
  <c r="P24" i="32" a="1"/>
  <c r="P24" i="32" s="1"/>
  <c r="Y24" i="32" s="1" a="1"/>
  <c r="Y24" i="32" s="1"/>
  <c r="AH24" i="32" s="1" a="1"/>
  <c r="AH24" i="32" s="1"/>
  <c r="J24" i="32" a="1"/>
  <c r="J24" i="32" s="1"/>
  <c r="S24" i="32" s="1" a="1"/>
  <c r="S24" i="32" s="1"/>
  <c r="AB24" i="32" s="1" a="1"/>
  <c r="AB24" i="32" s="1"/>
  <c r="AK24" i="32" s="1" a="1"/>
  <c r="AK24" i="32" s="1"/>
  <c r="R24" i="32" a="1"/>
  <c r="R24" i="32" s="1"/>
  <c r="AA24" i="32" s="1" a="1"/>
  <c r="AA24" i="32" s="1"/>
  <c r="AJ24" i="32" s="1" a="1"/>
  <c r="AJ24" i="32" s="1"/>
  <c r="Q25" i="32" a="1"/>
  <c r="Q25" i="32" s="1"/>
  <c r="Z25" i="32" s="1" a="1"/>
  <c r="Z25" i="32" s="1"/>
  <c r="AI25" i="32" s="1" a="1"/>
  <c r="AI25" i="32" s="1"/>
  <c r="P25" i="32" a="1"/>
  <c r="P25" i="32" s="1"/>
  <c r="Y25" i="32" s="1" a="1"/>
  <c r="Y25" i="32" s="1"/>
  <c r="AH25" i="32" s="1" a="1"/>
  <c r="AH25" i="32" s="1"/>
  <c r="F25" i="32"/>
  <c r="E25" i="32"/>
  <c r="Q24" i="32" a="1"/>
  <c r="Q24" i="32" s="1"/>
  <c r="Z24" i="32" s="1" a="1"/>
  <c r="Z24" i="32" s="1"/>
  <c r="AI24" i="32" s="1" a="1"/>
  <c r="AI24" i="32" s="1"/>
  <c r="J26" i="32" a="1"/>
  <c r="J26" i="32" s="1"/>
  <c r="F26" i="32"/>
  <c r="E26" i="32"/>
  <c r="O24" i="32" a="1"/>
  <c r="O24" i="32" s="1"/>
  <c r="X24" i="32" s="1" a="1"/>
  <c r="X24" i="32" s="1"/>
  <c r="AG24" i="32" s="1" a="1"/>
  <c r="AG24" i="32" s="1"/>
  <c r="AP24" i="32" s="1" a="1"/>
  <c r="AP24" i="32" s="1"/>
  <c r="M24" i="32" a="1"/>
  <c r="M24" i="32" s="1"/>
  <c r="V24" i="32" s="1" a="1"/>
  <c r="V24" i="32" s="1"/>
  <c r="AE24" i="32" s="1" a="1"/>
  <c r="AE24" i="32" s="1"/>
  <c r="AN24" i="32" s="1" a="1"/>
  <c r="AN24" i="32" s="1"/>
  <c r="N24" i="32" a="1"/>
  <c r="N24" i="32" s="1"/>
  <c r="W24" i="32" s="1" a="1"/>
  <c r="W24" i="32" s="1"/>
  <c r="AF24" i="32" s="1" a="1"/>
  <c r="AF24" i="32" s="1"/>
  <c r="AO24" i="32" s="1" a="1"/>
  <c r="AO24" i="32" s="1"/>
  <c r="K25" i="32" a="1"/>
  <c r="K25" i="32" s="1"/>
  <c r="T25" i="32" s="1" a="1"/>
  <c r="T25" i="32" s="1"/>
  <c r="AC25" i="32" s="1" a="1"/>
  <c r="AC25" i="32" s="1"/>
  <c r="AL25" i="32" s="1" a="1"/>
  <c r="AL25" i="32" s="1"/>
  <c r="I30" i="20"/>
  <c r="E30" i="20"/>
  <c r="H26" i="26"/>
  <c r="H25" i="27"/>
  <c r="E25" i="27"/>
  <c r="I25" i="27"/>
  <c r="B25" i="27"/>
  <c r="F25" i="27"/>
  <c r="D25" i="27"/>
  <c r="G25" i="27"/>
  <c r="G26" i="26"/>
  <c r="D26" i="26"/>
  <c r="B26" i="26"/>
  <c r="I26" i="26"/>
  <c r="F26" i="26"/>
  <c r="J27" i="26"/>
  <c r="A27" i="26" s="1"/>
  <c r="G27" i="26" s="1"/>
  <c r="K21" i="25"/>
  <c r="C20" i="25"/>
  <c r="E20" i="25" s="1"/>
  <c r="AW23" i="24"/>
  <c r="C22" i="24"/>
  <c r="J22" i="24" s="1"/>
  <c r="AR28" i="26"/>
  <c r="AQ29" i="26" s="1"/>
  <c r="J26" i="27"/>
  <c r="A26" i="27" s="1"/>
  <c r="F22" i="24"/>
  <c r="D22" i="24"/>
  <c r="G22" i="24"/>
  <c r="E22" i="24"/>
  <c r="I22" i="24"/>
  <c r="H22" i="24"/>
  <c r="L27" i="27"/>
  <c r="K28" i="27" s="1"/>
  <c r="D20" i="25"/>
  <c r="I20" i="25"/>
  <c r="D26" i="21"/>
  <c r="E26" i="21"/>
  <c r="D27" i="21"/>
  <c r="C27" i="21"/>
  <c r="F27" i="21"/>
  <c r="H27" i="21"/>
  <c r="G27" i="21"/>
  <c r="B27" i="21"/>
  <c r="E27" i="21" s="1"/>
  <c r="K29" i="21"/>
  <c r="L29" i="21" s="1"/>
  <c r="A28" i="21"/>
  <c r="B26" i="32"/>
  <c r="C26" i="32"/>
  <c r="A27" i="32"/>
  <c r="D27" i="32" s="1"/>
  <c r="AQ28" i="32"/>
  <c r="AR28" i="32" s="1"/>
  <c r="AQ33" i="20"/>
  <c r="AR33" i="20" s="1"/>
  <c r="A32" i="20"/>
  <c r="C31" i="20"/>
  <c r="B31" i="20"/>
  <c r="N31" i="20" l="1" a="1"/>
  <c r="N31" i="20" s="1"/>
  <c r="Y31" i="20" a="1"/>
  <c r="Y31" i="20" s="1"/>
  <c r="P31" i="20" a="1"/>
  <c r="P31" i="20" s="1"/>
  <c r="AP31" i="20" a="1"/>
  <c r="AP31" i="20" s="1"/>
  <c r="AM31" i="20" a="1"/>
  <c r="AM31" i="20" s="1"/>
  <c r="J31" i="20" a="1"/>
  <c r="J31" i="20" s="1"/>
  <c r="AI31" i="20" a="1"/>
  <c r="AI31" i="20" s="1"/>
  <c r="AD31" i="20" a="1"/>
  <c r="AD31" i="20" s="1"/>
  <c r="AA31" i="20" a="1"/>
  <c r="AA31" i="20" s="1"/>
  <c r="K31" i="20" a="1"/>
  <c r="K31" i="20" s="1"/>
  <c r="AE31" i="20" a="1"/>
  <c r="AE31" i="20" s="1"/>
  <c r="X31" i="20" a="1"/>
  <c r="X31" i="20" s="1"/>
  <c r="U31" i="20" a="1"/>
  <c r="U31" i="20" s="1"/>
  <c r="AJ31" i="20" a="1"/>
  <c r="AJ31" i="20" s="1"/>
  <c r="AG31" i="20" a="1"/>
  <c r="AG31" i="20" s="1"/>
  <c r="W31" i="20" a="1"/>
  <c r="W31" i="20" s="1"/>
  <c r="R31" i="20" a="1"/>
  <c r="R31" i="20" s="1"/>
  <c r="O31" i="20" a="1"/>
  <c r="O31" i="20" s="1"/>
  <c r="S31" i="20" a="1"/>
  <c r="S31" i="20" s="1"/>
  <c r="L31" i="20" a="1"/>
  <c r="L31" i="20" s="1"/>
  <c r="AL31" i="20" a="1"/>
  <c r="AL31" i="20" s="1"/>
  <c r="AO31" i="20" a="1"/>
  <c r="AO31" i="20" s="1"/>
  <c r="AN31" i="20" a="1"/>
  <c r="AN31" i="20" s="1"/>
  <c r="AF31" i="20" a="1"/>
  <c r="AF31" i="20" s="1"/>
  <c r="M31" i="20" a="1"/>
  <c r="M31" i="20" s="1"/>
  <c r="AC31" i="20" a="1"/>
  <c r="AC31" i="20" s="1"/>
  <c r="AH31" i="20" a="1"/>
  <c r="AH31" i="20" s="1"/>
  <c r="Z31" i="20" a="1"/>
  <c r="Z31" i="20" s="1"/>
  <c r="Q31" i="20" a="1"/>
  <c r="Q31" i="20" s="1"/>
  <c r="AB31" i="20" a="1"/>
  <c r="AB31" i="20" s="1"/>
  <c r="T31" i="20" a="1"/>
  <c r="T31" i="20" s="1"/>
  <c r="AK31" i="20" a="1"/>
  <c r="AK31" i="20" s="1"/>
  <c r="V31" i="20" a="1"/>
  <c r="V31" i="20" s="1"/>
  <c r="G27" i="32"/>
  <c r="H27" i="32"/>
  <c r="I27" i="32"/>
  <c r="L25" i="32" a="1"/>
  <c r="L25" i="32" s="1"/>
  <c r="U25" i="32" s="1" a="1"/>
  <c r="U25" i="32" s="1"/>
  <c r="AD25" i="32" s="1" a="1"/>
  <c r="AD25" i="32" s="1"/>
  <c r="AM25" i="32" s="1" a="1"/>
  <c r="AM25" i="32" s="1"/>
  <c r="J25" i="32" a="1"/>
  <c r="J25" i="32" s="1"/>
  <c r="S25" i="32" s="1" a="1"/>
  <c r="S25" i="32" s="1"/>
  <c r="AB25" i="32" s="1" a="1"/>
  <c r="AB25" i="32" s="1"/>
  <c r="AK25" i="32" s="1" a="1"/>
  <c r="AK25" i="32" s="1"/>
  <c r="R25" i="32" a="1"/>
  <c r="R25" i="32" s="1"/>
  <c r="AA25" i="32" s="1" a="1"/>
  <c r="AA25" i="32" s="1"/>
  <c r="AJ25" i="32" s="1" a="1"/>
  <c r="AJ25" i="32" s="1"/>
  <c r="J27" i="32" a="1"/>
  <c r="J27" i="32" s="1"/>
  <c r="E27" i="32"/>
  <c r="F27" i="32"/>
  <c r="M25" i="32" a="1"/>
  <c r="M25" i="32" s="1"/>
  <c r="V25" i="32" s="1" a="1"/>
  <c r="V25" i="32" s="1"/>
  <c r="AE25" i="32" s="1" a="1"/>
  <c r="AE25" i="32" s="1"/>
  <c r="AN25" i="32" s="1" a="1"/>
  <c r="AN25" i="32" s="1"/>
  <c r="P26" i="32" a="1"/>
  <c r="P26" i="32" s="1"/>
  <c r="Y26" i="32" s="1" a="1"/>
  <c r="Y26" i="32" s="1"/>
  <c r="AH26" i="32" s="1" a="1"/>
  <c r="AH26" i="32" s="1"/>
  <c r="L26" i="32" a="1"/>
  <c r="L26" i="32" s="1"/>
  <c r="U26" i="32" s="1" a="1"/>
  <c r="U26" i="32" s="1"/>
  <c r="AD26" i="32" s="1" a="1"/>
  <c r="AD26" i="32" s="1"/>
  <c r="AM26" i="32" s="1" a="1"/>
  <c r="AM26" i="32" s="1"/>
  <c r="K26" i="32" a="1"/>
  <c r="K26" i="32" s="1"/>
  <c r="T26" i="32" s="1" a="1"/>
  <c r="T26" i="32" s="1"/>
  <c r="AC26" i="32" s="1" a="1"/>
  <c r="AC26" i="32" s="1"/>
  <c r="AL26" i="32" s="1" a="1"/>
  <c r="AL26" i="32" s="1"/>
  <c r="Q26" i="32" a="1"/>
  <c r="Q26" i="32" s="1"/>
  <c r="Z26" i="32" s="1" a="1"/>
  <c r="Z26" i="32" s="1"/>
  <c r="AI26" i="32" s="1" a="1"/>
  <c r="AI26" i="32" s="1"/>
  <c r="O25" i="32" a="1"/>
  <c r="O25" i="32" s="1"/>
  <c r="X25" i="32" s="1" a="1"/>
  <c r="X25" i="32" s="1"/>
  <c r="AG25" i="32" s="1" a="1"/>
  <c r="AG25" i="32" s="1"/>
  <c r="AP25" i="32" s="1" a="1"/>
  <c r="AP25" i="32" s="1"/>
  <c r="N25" i="32" a="1"/>
  <c r="N25" i="32" s="1"/>
  <c r="W25" i="32" s="1" a="1"/>
  <c r="W25" i="32" s="1"/>
  <c r="AF25" i="32" s="1" a="1"/>
  <c r="AF25" i="32" s="1"/>
  <c r="AO25" i="32" s="1" a="1"/>
  <c r="AO25" i="32" s="1"/>
  <c r="R26" i="32" a="1"/>
  <c r="R26" i="32" s="1"/>
  <c r="AA26" i="32" s="1" a="1"/>
  <c r="AA26" i="32" s="1"/>
  <c r="AJ26" i="32" s="1" a="1"/>
  <c r="AJ26" i="32" s="1"/>
  <c r="S26" i="32" a="1"/>
  <c r="S26" i="32" s="1"/>
  <c r="AB26" i="32" s="1" a="1"/>
  <c r="AB26" i="32" s="1"/>
  <c r="AK26" i="32" s="1" a="1"/>
  <c r="AK26" i="32" s="1"/>
  <c r="I27" i="21"/>
  <c r="I31" i="20"/>
  <c r="H27" i="26"/>
  <c r="F27" i="26"/>
  <c r="B27" i="26"/>
  <c r="D27" i="26"/>
  <c r="I27" i="26"/>
  <c r="C27" i="26"/>
  <c r="E27" i="26" s="1"/>
  <c r="J28" i="26"/>
  <c r="A28" i="26" s="1"/>
  <c r="I28" i="26" s="1"/>
  <c r="L28" i="27"/>
  <c r="K29" i="27" s="1"/>
  <c r="J27" i="27"/>
  <c r="A27" i="27" s="1"/>
  <c r="AR29" i="26"/>
  <c r="AQ30" i="26" s="1"/>
  <c r="B23" i="24"/>
  <c r="AX23" i="24"/>
  <c r="E26" i="27"/>
  <c r="H26" i="27"/>
  <c r="C26" i="27"/>
  <c r="B26" i="27"/>
  <c r="D26" i="27"/>
  <c r="G26" i="27"/>
  <c r="F26" i="27"/>
  <c r="I26" i="27"/>
  <c r="B21" i="25"/>
  <c r="L21" i="25"/>
  <c r="F28" i="21"/>
  <c r="G28" i="21"/>
  <c r="H28" i="21"/>
  <c r="C28" i="21"/>
  <c r="B28" i="21"/>
  <c r="E28" i="21" s="1"/>
  <c r="K30" i="21"/>
  <c r="L30" i="21" s="1"/>
  <c r="A29" i="21"/>
  <c r="A28" i="32"/>
  <c r="AQ29" i="32"/>
  <c r="AR29" i="32" s="1"/>
  <c r="B27" i="32"/>
  <c r="C27" i="32"/>
  <c r="H31" i="20"/>
  <c r="D31" i="20"/>
  <c r="G31" i="20"/>
  <c r="E31" i="20"/>
  <c r="B32" i="20"/>
  <c r="C32" i="20"/>
  <c r="A33" i="20"/>
  <c r="AQ34" i="20"/>
  <c r="AR34" i="20" s="1"/>
  <c r="F31" i="20"/>
  <c r="K32" i="20" l="1" a="1"/>
  <c r="K32" i="20" s="1"/>
  <c r="P32" i="20" a="1"/>
  <c r="P32" i="20" s="1"/>
  <c r="AJ32" i="20" a="1"/>
  <c r="AJ32" i="20" s="1"/>
  <c r="AB32" i="20" a="1"/>
  <c r="AB32" i="20" s="1"/>
  <c r="AP32" i="20" a="1"/>
  <c r="AP32" i="20" s="1"/>
  <c r="AM32" i="20" a="1"/>
  <c r="AM32" i="20" s="1"/>
  <c r="AD32" i="20" a="1"/>
  <c r="AD32" i="20" s="1"/>
  <c r="V32" i="20" a="1"/>
  <c r="V32" i="20" s="1"/>
  <c r="AG32" i="20" a="1"/>
  <c r="AG32" i="20" s="1"/>
  <c r="X32" i="20" a="1"/>
  <c r="X32" i="20" s="1"/>
  <c r="Z32" i="20" a="1"/>
  <c r="Z32" i="20" s="1"/>
  <c r="AA32" i="20" a="1"/>
  <c r="AA32" i="20" s="1"/>
  <c r="R32" i="20" a="1"/>
  <c r="R32" i="20" s="1"/>
  <c r="N32" i="20" a="1"/>
  <c r="N32" i="20" s="1"/>
  <c r="U32" i="20" a="1"/>
  <c r="U32" i="20" s="1"/>
  <c r="L32" i="20" a="1"/>
  <c r="L32" i="20" s="1"/>
  <c r="AL32" i="20" a="1"/>
  <c r="AL32" i="20" s="1"/>
  <c r="O32" i="20" a="1"/>
  <c r="O32" i="20" s="1"/>
  <c r="AO32" i="20" a="1"/>
  <c r="AO32" i="20" s="1"/>
  <c r="AH32" i="20" a="1"/>
  <c r="AH32" i="20" s="1"/>
  <c r="AK32" i="20" a="1"/>
  <c r="AK32" i="20" s="1"/>
  <c r="AI32" i="20" a="1"/>
  <c r="AI32" i="20" s="1"/>
  <c r="J32" i="20" a="1"/>
  <c r="J32" i="20" s="1"/>
  <c r="AE32" i="20" a="1"/>
  <c r="AE32" i="20" s="1"/>
  <c r="AC32" i="20" a="1"/>
  <c r="AC32" i="20" s="1"/>
  <c r="AF32" i="20" a="1"/>
  <c r="AF32" i="20" s="1"/>
  <c r="Y32" i="20" a="1"/>
  <c r="Y32" i="20" s="1"/>
  <c r="W32" i="20" a="1"/>
  <c r="W32" i="20" s="1"/>
  <c r="T32" i="20" a="1"/>
  <c r="T32" i="20" s="1"/>
  <c r="S32" i="20" a="1"/>
  <c r="S32" i="20" s="1"/>
  <c r="Q32" i="20" a="1"/>
  <c r="Q32" i="20" s="1"/>
  <c r="AN32" i="20" a="1"/>
  <c r="AN32" i="20" s="1"/>
  <c r="M32" i="20" a="1"/>
  <c r="M32" i="20" s="1"/>
  <c r="S27" i="32" a="1"/>
  <c r="S27" i="32" s="1"/>
  <c r="AB27" i="32" s="1" a="1"/>
  <c r="AB27" i="32" s="1"/>
  <c r="AK27" i="32" s="1" a="1"/>
  <c r="AK27" i="32" s="1"/>
  <c r="H28" i="32"/>
  <c r="G28" i="32"/>
  <c r="I28" i="32"/>
  <c r="N26" i="32" a="1"/>
  <c r="N26" i="32" s="1"/>
  <c r="W26" i="32" s="1" a="1"/>
  <c r="W26" i="32" s="1"/>
  <c r="AF26" i="32" s="1" a="1"/>
  <c r="AF26" i="32" s="1"/>
  <c r="AO26" i="32" s="1" a="1"/>
  <c r="AO26" i="32" s="1"/>
  <c r="M26" i="32" a="1"/>
  <c r="M26" i="32" s="1"/>
  <c r="V26" i="32" s="1" a="1"/>
  <c r="V26" i="32" s="1"/>
  <c r="AE26" i="32" s="1" a="1"/>
  <c r="AE26" i="32" s="1"/>
  <c r="AN26" i="32" s="1" a="1"/>
  <c r="AN26" i="32" s="1"/>
  <c r="Q27" i="32" a="1"/>
  <c r="Q27" i="32" s="1"/>
  <c r="Z27" i="32" s="1" a="1"/>
  <c r="Z27" i="32" s="1"/>
  <c r="AI27" i="32" s="1" a="1"/>
  <c r="AI27" i="32" s="1"/>
  <c r="K27" i="32" a="1"/>
  <c r="K27" i="32" s="1"/>
  <c r="T27" i="32" s="1" a="1"/>
  <c r="T27" i="32" s="1"/>
  <c r="AC27" i="32" s="1" a="1"/>
  <c r="AC27" i="32" s="1"/>
  <c r="AL27" i="32" s="1" a="1"/>
  <c r="AL27" i="32" s="1"/>
  <c r="R27" i="32" a="1"/>
  <c r="R27" i="32" s="1"/>
  <c r="AA27" i="32" s="1" a="1"/>
  <c r="AA27" i="32" s="1"/>
  <c r="AJ27" i="32" s="1" a="1"/>
  <c r="AJ27" i="32" s="1"/>
  <c r="L27" i="32" a="1"/>
  <c r="L27" i="32" s="1"/>
  <c r="U27" i="32" s="1" a="1"/>
  <c r="U27" i="32" s="1"/>
  <c r="AD27" i="32" s="1" a="1"/>
  <c r="AD27" i="32" s="1"/>
  <c r="AM27" i="32" s="1" a="1"/>
  <c r="AM27" i="32" s="1"/>
  <c r="P27" i="32" a="1"/>
  <c r="P27" i="32" s="1"/>
  <c r="Y27" i="32" s="1" a="1"/>
  <c r="Y27" i="32" s="1"/>
  <c r="AH27" i="32" s="1" a="1"/>
  <c r="AH27" i="32" s="1"/>
  <c r="M27" i="32" a="1"/>
  <c r="M27" i="32" s="1"/>
  <c r="V27" i="32" s="1" a="1"/>
  <c r="V27" i="32" s="1"/>
  <c r="AE27" i="32" s="1" a="1"/>
  <c r="AE27" i="32" s="1"/>
  <c r="AN27" i="32" s="1" a="1"/>
  <c r="AN27" i="32" s="1"/>
  <c r="O27" i="32" a="1"/>
  <c r="O27" i="32" s="1"/>
  <c r="X27" i="32" s="1" a="1"/>
  <c r="X27" i="32" s="1"/>
  <c r="AG27" i="32" s="1" a="1"/>
  <c r="AG27" i="32" s="1"/>
  <c r="AP27" i="32" s="1" a="1"/>
  <c r="AP27" i="32" s="1"/>
  <c r="O26" i="32" a="1"/>
  <c r="O26" i="32" s="1"/>
  <c r="X26" i="32" s="1" a="1"/>
  <c r="X26" i="32" s="1"/>
  <c r="AG26" i="32" s="1" a="1"/>
  <c r="AG26" i="32" s="1"/>
  <c r="AP26" i="32" s="1" a="1"/>
  <c r="AP26" i="32" s="1"/>
  <c r="D28" i="21"/>
  <c r="I28" i="21"/>
  <c r="D32" i="20"/>
  <c r="D28" i="26"/>
  <c r="C28" i="26"/>
  <c r="E28" i="26" s="1"/>
  <c r="G28" i="26"/>
  <c r="F28" i="26"/>
  <c r="H28" i="26"/>
  <c r="B28" i="26"/>
  <c r="C23" i="24"/>
  <c r="AW24" i="24"/>
  <c r="J23" i="24"/>
  <c r="H23" i="24"/>
  <c r="G23" i="24"/>
  <c r="D23" i="24"/>
  <c r="F23" i="24"/>
  <c r="I23" i="24"/>
  <c r="E23" i="24"/>
  <c r="K22" i="25"/>
  <c r="C21" i="25"/>
  <c r="E21" i="25"/>
  <c r="I21" i="25"/>
  <c r="D21" i="25"/>
  <c r="AR30" i="26"/>
  <c r="AQ31" i="26" s="1"/>
  <c r="H27" i="27"/>
  <c r="C27" i="27"/>
  <c r="I27" i="27"/>
  <c r="F27" i="27"/>
  <c r="D27" i="27"/>
  <c r="B27" i="27"/>
  <c r="E27" i="27"/>
  <c r="G27" i="27"/>
  <c r="J29" i="26"/>
  <c r="A29" i="26" s="1"/>
  <c r="J28" i="27"/>
  <c r="A28" i="27" s="1"/>
  <c r="L29" i="27"/>
  <c r="K30" i="27" s="1"/>
  <c r="H29" i="21"/>
  <c r="B29" i="21"/>
  <c r="D29" i="21" s="1"/>
  <c r="C29" i="21"/>
  <c r="F29" i="21"/>
  <c r="G29" i="21"/>
  <c r="H32" i="20"/>
  <c r="K31" i="21"/>
  <c r="L31" i="21" s="1"/>
  <c r="A30" i="21"/>
  <c r="AQ30" i="32"/>
  <c r="AR30" i="32" s="1"/>
  <c r="A29" i="32"/>
  <c r="C28" i="32"/>
  <c r="D28" i="32" s="1"/>
  <c r="B28" i="32"/>
  <c r="E32" i="20"/>
  <c r="I32" i="20"/>
  <c r="F32" i="20"/>
  <c r="G32" i="20"/>
  <c r="A34" i="20"/>
  <c r="AQ35" i="20"/>
  <c r="AR35" i="20" s="1"/>
  <c r="B33" i="20"/>
  <c r="C33" i="20"/>
  <c r="Z33" i="20" l="1" a="1"/>
  <c r="Z33" i="20" s="1"/>
  <c r="K33" i="20" a="1"/>
  <c r="K33" i="20" s="1"/>
  <c r="V33" i="20" a="1"/>
  <c r="V33" i="20" s="1"/>
  <c r="N33" i="20" a="1"/>
  <c r="N33" i="20" s="1"/>
  <c r="W33" i="20" a="1"/>
  <c r="W33" i="20" s="1"/>
  <c r="AB33" i="20" a="1"/>
  <c r="AB33" i="20" s="1"/>
  <c r="T33" i="20" a="1"/>
  <c r="T33" i="20" s="1"/>
  <c r="AE33" i="20" a="1"/>
  <c r="AE33" i="20" s="1"/>
  <c r="P33" i="20" a="1"/>
  <c r="P33" i="20" s="1"/>
  <c r="S33" i="20" a="1"/>
  <c r="S33" i="20" s="1"/>
  <c r="J33" i="20" a="1"/>
  <c r="J33" i="20" s="1"/>
  <c r="AP33" i="20" a="1"/>
  <c r="AP33" i="20" s="1"/>
  <c r="AM33" i="20" a="1"/>
  <c r="AM33" i="20" s="1"/>
  <c r="Q33" i="20" a="1"/>
  <c r="Q33" i="20" s="1"/>
  <c r="AJ33" i="20" a="1"/>
  <c r="AJ33" i="20" s="1"/>
  <c r="AG33" i="20" a="1"/>
  <c r="AG33" i="20" s="1"/>
  <c r="AC33" i="20" a="1"/>
  <c r="AC33" i="20" s="1"/>
  <c r="AD33" i="20" a="1"/>
  <c r="AD33" i="20" s="1"/>
  <c r="AA33" i="20" a="1"/>
  <c r="AA33" i="20" s="1"/>
  <c r="AK33" i="20" a="1"/>
  <c r="AK33" i="20" s="1"/>
  <c r="X33" i="20" a="1"/>
  <c r="X33" i="20" s="1"/>
  <c r="U33" i="20" a="1"/>
  <c r="U33" i="20" s="1"/>
  <c r="K34" i="20" a="1"/>
  <c r="K34" i="20" s="1"/>
  <c r="Q34" i="20" a="1"/>
  <c r="Q34" i="20" s="1"/>
  <c r="W34" i="20" a="1"/>
  <c r="W34" i="20" s="1"/>
  <c r="AC34" i="20" a="1"/>
  <c r="AC34" i="20" s="1"/>
  <c r="AI34" i="20" a="1"/>
  <c r="AI34" i="20" s="1"/>
  <c r="AO34" i="20" a="1"/>
  <c r="AO34" i="20" s="1"/>
  <c r="L34" i="20" a="1"/>
  <c r="L34" i="20" s="1"/>
  <c r="R34" i="20" a="1"/>
  <c r="R34" i="20" s="1"/>
  <c r="X34" i="20" a="1"/>
  <c r="X34" i="20" s="1"/>
  <c r="AD34" i="20" a="1"/>
  <c r="AD34" i="20" s="1"/>
  <c r="AJ34" i="20" a="1"/>
  <c r="AJ34" i="20" s="1"/>
  <c r="AP34" i="20" a="1"/>
  <c r="AP34" i="20" s="1"/>
  <c r="M34" i="20" a="1"/>
  <c r="M34" i="20" s="1"/>
  <c r="S34" i="20" a="1"/>
  <c r="S34" i="20" s="1"/>
  <c r="Y34" i="20" a="1"/>
  <c r="Y34" i="20" s="1"/>
  <c r="AE34" i="20" a="1"/>
  <c r="AE34" i="20" s="1"/>
  <c r="AK34" i="20" a="1"/>
  <c r="AK34" i="20" s="1"/>
  <c r="O34" i="20" a="1"/>
  <c r="O34" i="20" s="1"/>
  <c r="U34" i="20" a="1"/>
  <c r="U34" i="20" s="1"/>
  <c r="AA34" i="20" a="1"/>
  <c r="AA34" i="20" s="1"/>
  <c r="AG34" i="20" a="1"/>
  <c r="AG34" i="20" s="1"/>
  <c r="AM34" i="20" a="1"/>
  <c r="AM34" i="20" s="1"/>
  <c r="J34" i="20" a="1"/>
  <c r="J34" i="20" s="1"/>
  <c r="V34" i="20" a="1"/>
  <c r="V34" i="20" s="1"/>
  <c r="AH34" i="20" a="1"/>
  <c r="AH34" i="20" s="1"/>
  <c r="N34" i="20" a="1"/>
  <c r="N34" i="20" s="1"/>
  <c r="Z34" i="20" a="1"/>
  <c r="Z34" i="20" s="1"/>
  <c r="AL34" i="20" a="1"/>
  <c r="AL34" i="20" s="1"/>
  <c r="P34" i="20" a="1"/>
  <c r="P34" i="20" s="1"/>
  <c r="AN34" i="20" a="1"/>
  <c r="AN34" i="20" s="1"/>
  <c r="T34" i="20" a="1"/>
  <c r="T34" i="20" s="1"/>
  <c r="AB34" i="20" a="1"/>
  <c r="AB34" i="20" s="1"/>
  <c r="AF34" i="20" a="1"/>
  <c r="AF34" i="20" s="1"/>
  <c r="AO33" i="20" a="1"/>
  <c r="AO33" i="20" s="1"/>
  <c r="R33" i="20" a="1"/>
  <c r="R33" i="20" s="1"/>
  <c r="O33" i="20" a="1"/>
  <c r="O33" i="20" s="1"/>
  <c r="M33" i="20" a="1"/>
  <c r="M33" i="20" s="1"/>
  <c r="L33" i="20" a="1"/>
  <c r="L33" i="20" s="1"/>
  <c r="AL33" i="20" a="1"/>
  <c r="AL33" i="20" s="1"/>
  <c r="Y33" i="20" a="1"/>
  <c r="Y33" i="20" s="1"/>
  <c r="AN33" i="20" a="1"/>
  <c r="AN33" i="20" s="1"/>
  <c r="AF33" i="20" a="1"/>
  <c r="AF33" i="20" s="1"/>
  <c r="AI33" i="20" a="1"/>
  <c r="AI33" i="20" s="1"/>
  <c r="AH33" i="20" a="1"/>
  <c r="AH33" i="20" s="1"/>
  <c r="G29" i="32"/>
  <c r="H29" i="32"/>
  <c r="I29" i="32"/>
  <c r="F28" i="32"/>
  <c r="E28" i="32"/>
  <c r="N27" i="32" a="1"/>
  <c r="N27" i="32" s="1"/>
  <c r="W27" i="32" s="1" a="1"/>
  <c r="W27" i="32" s="1"/>
  <c r="AF27" i="32" s="1" a="1"/>
  <c r="AF27" i="32" s="1"/>
  <c r="AO27" i="32" s="1" a="1"/>
  <c r="AO27" i="32" s="1"/>
  <c r="K28" i="32" a="1"/>
  <c r="K28" i="32" s="1"/>
  <c r="T28" i="32" s="1" a="1"/>
  <c r="T28" i="32" s="1"/>
  <c r="AC28" i="32" s="1" a="1"/>
  <c r="AC28" i="32" s="1"/>
  <c r="AL28" i="32" s="1" a="1"/>
  <c r="AL28" i="32" s="1"/>
  <c r="P28" i="32" a="1"/>
  <c r="P28" i="32" s="1"/>
  <c r="Y28" i="32" s="1" a="1"/>
  <c r="Y28" i="32" s="1"/>
  <c r="AH28" i="32" s="1" a="1"/>
  <c r="AH28" i="32" s="1"/>
  <c r="L28" i="32" a="1"/>
  <c r="L28" i="32" s="1"/>
  <c r="U28" i="32" s="1" a="1"/>
  <c r="U28" i="32" s="1"/>
  <c r="AD28" i="32" s="1" a="1"/>
  <c r="AD28" i="32" s="1"/>
  <c r="AM28" i="32" s="1" a="1"/>
  <c r="AM28" i="32" s="1"/>
  <c r="Q28" i="32" a="1"/>
  <c r="Q28" i="32" s="1"/>
  <c r="Z28" i="32" s="1" a="1"/>
  <c r="Z28" i="32" s="1"/>
  <c r="AI28" i="32" s="1" a="1"/>
  <c r="AI28" i="32" s="1"/>
  <c r="R28" i="32" a="1"/>
  <c r="R28" i="32" s="1"/>
  <c r="AA28" i="32" s="1" a="1"/>
  <c r="AA28" i="32" s="1"/>
  <c r="AJ28" i="32" s="1" a="1"/>
  <c r="AJ28" i="32" s="1"/>
  <c r="J28" i="32" a="1"/>
  <c r="J28" i="32" s="1"/>
  <c r="D33" i="20"/>
  <c r="L22" i="25"/>
  <c r="B22" i="25"/>
  <c r="J30" i="26"/>
  <c r="A30" i="26" s="1"/>
  <c r="AR31" i="26"/>
  <c r="AQ32" i="26" s="1"/>
  <c r="L30" i="27"/>
  <c r="K31" i="27" s="1"/>
  <c r="J29" i="27"/>
  <c r="A29" i="27" s="1"/>
  <c r="B28" i="27"/>
  <c r="H28" i="27"/>
  <c r="G28" i="27"/>
  <c r="I28" i="27"/>
  <c r="C28" i="27"/>
  <c r="D28" i="27"/>
  <c r="E28" i="27"/>
  <c r="F28" i="27"/>
  <c r="B24" i="24"/>
  <c r="AX24" i="24"/>
  <c r="F29" i="26"/>
  <c r="H29" i="26"/>
  <c r="G29" i="26"/>
  <c r="D29" i="26"/>
  <c r="B29" i="26"/>
  <c r="I29" i="26"/>
  <c r="C29" i="26"/>
  <c r="E29" i="26" s="1"/>
  <c r="E29" i="21"/>
  <c r="I29" i="21"/>
  <c r="A31" i="21"/>
  <c r="K32" i="21"/>
  <c r="L32" i="21" s="1"/>
  <c r="F30" i="21"/>
  <c r="G30" i="21"/>
  <c r="C30" i="21"/>
  <c r="H30" i="21"/>
  <c r="B30" i="21"/>
  <c r="D30" i="21" s="1"/>
  <c r="AQ31" i="32"/>
  <c r="AR31" i="32" s="1"/>
  <c r="A30" i="32"/>
  <c r="B29" i="32"/>
  <c r="C29" i="32"/>
  <c r="D29" i="32" s="1"/>
  <c r="H33" i="20"/>
  <c r="I33" i="20"/>
  <c r="E33" i="20"/>
  <c r="G33" i="20"/>
  <c r="AQ36" i="20"/>
  <c r="AR36" i="20" s="1"/>
  <c r="A35" i="20"/>
  <c r="F33" i="20"/>
  <c r="D34" i="20"/>
  <c r="B34" i="20"/>
  <c r="C34" i="20"/>
  <c r="N35" i="20" l="1" a="1"/>
  <c r="N35" i="20" s="1"/>
  <c r="T35" i="20" a="1"/>
  <c r="T35" i="20" s="1"/>
  <c r="Z35" i="20" a="1"/>
  <c r="Z35" i="20" s="1"/>
  <c r="AF35" i="20" a="1"/>
  <c r="AF35" i="20" s="1"/>
  <c r="AL35" i="20" a="1"/>
  <c r="AL35" i="20" s="1"/>
  <c r="O35" i="20" a="1"/>
  <c r="O35" i="20" s="1"/>
  <c r="U35" i="20" a="1"/>
  <c r="U35" i="20" s="1"/>
  <c r="AA35" i="20" a="1"/>
  <c r="AA35" i="20" s="1"/>
  <c r="AG35" i="20" a="1"/>
  <c r="AG35" i="20" s="1"/>
  <c r="AM35" i="20" a="1"/>
  <c r="AM35" i="20" s="1"/>
  <c r="J35" i="20" a="1"/>
  <c r="J35" i="20" s="1"/>
  <c r="P35" i="20" a="1"/>
  <c r="P35" i="20" s="1"/>
  <c r="V35" i="20" a="1"/>
  <c r="V35" i="20" s="1"/>
  <c r="AB35" i="20" a="1"/>
  <c r="AB35" i="20" s="1"/>
  <c r="AH35" i="20" a="1"/>
  <c r="AH35" i="20" s="1"/>
  <c r="AN35" i="20" a="1"/>
  <c r="AN35" i="20" s="1"/>
  <c r="L35" i="20" a="1"/>
  <c r="L35" i="20" s="1"/>
  <c r="R35" i="20" a="1"/>
  <c r="R35" i="20" s="1"/>
  <c r="X35" i="20" a="1"/>
  <c r="X35" i="20" s="1"/>
  <c r="AD35" i="20" a="1"/>
  <c r="AD35" i="20" s="1"/>
  <c r="AJ35" i="20" a="1"/>
  <c r="AJ35" i="20" s="1"/>
  <c r="AP35" i="20" a="1"/>
  <c r="AP35" i="20" s="1"/>
  <c r="M35" i="20" a="1"/>
  <c r="M35" i="20" s="1"/>
  <c r="Y35" i="20" a="1"/>
  <c r="Y35" i="20" s="1"/>
  <c r="AK35" i="20" a="1"/>
  <c r="AK35" i="20" s="1"/>
  <c r="Q35" i="20" a="1"/>
  <c r="Q35" i="20" s="1"/>
  <c r="AC35" i="20" a="1"/>
  <c r="AC35" i="20" s="1"/>
  <c r="AO35" i="20" a="1"/>
  <c r="AO35" i="20" s="1"/>
  <c r="AE35" i="20" a="1"/>
  <c r="AE35" i="20" s="1"/>
  <c r="K35" i="20" a="1"/>
  <c r="K35" i="20" s="1"/>
  <c r="AI35" i="20" a="1"/>
  <c r="AI35" i="20" s="1"/>
  <c r="W35" i="20" a="1"/>
  <c r="W35" i="20" s="1"/>
  <c r="S35" i="20" a="1"/>
  <c r="S35" i="20" s="1"/>
  <c r="H30" i="32"/>
  <c r="G30" i="32"/>
  <c r="I30" i="32"/>
  <c r="K29" i="32" a="1"/>
  <c r="K29" i="32" s="1"/>
  <c r="T29" i="32" s="1" a="1"/>
  <c r="T29" i="32" s="1"/>
  <c r="AC29" i="32" s="1" a="1"/>
  <c r="AC29" i="32" s="1"/>
  <c r="AL29" i="32" s="1" a="1"/>
  <c r="AL29" i="32" s="1"/>
  <c r="P29" i="32" a="1"/>
  <c r="P29" i="32" s="1"/>
  <c r="Y29" i="32" s="1" a="1"/>
  <c r="Y29" i="32" s="1"/>
  <c r="AH29" i="32" s="1" a="1"/>
  <c r="AH29" i="32" s="1"/>
  <c r="F29" i="32"/>
  <c r="E29" i="32"/>
  <c r="S28" i="32" a="1"/>
  <c r="S28" i="32" s="1"/>
  <c r="AB28" i="32" s="1" a="1"/>
  <c r="AB28" i="32" s="1"/>
  <c r="AK28" i="32" s="1" a="1"/>
  <c r="AK28" i="32" s="1"/>
  <c r="M28" i="32" a="1"/>
  <c r="M28" i="32" s="1"/>
  <c r="V28" i="32" s="1" a="1"/>
  <c r="V28" i="32" s="1"/>
  <c r="AE28" i="32" s="1" a="1"/>
  <c r="AE28" i="32" s="1"/>
  <c r="AN28" i="32" s="1" a="1"/>
  <c r="AN28" i="32" s="1"/>
  <c r="O28" i="32" a="1"/>
  <c r="O28" i="32" s="1"/>
  <c r="X28" i="32" s="1" a="1"/>
  <c r="X28" i="32" s="1"/>
  <c r="AG28" i="32" s="1" a="1"/>
  <c r="AG28" i="32" s="1"/>
  <c r="AP28" i="32" s="1" a="1"/>
  <c r="AP28" i="32" s="1"/>
  <c r="N28" i="32" a="1"/>
  <c r="N28" i="32" s="1"/>
  <c r="W28" i="32" s="1" a="1"/>
  <c r="W28" i="32" s="1"/>
  <c r="AF28" i="32" s="1" a="1"/>
  <c r="AF28" i="32" s="1"/>
  <c r="AO28" i="32" s="1" a="1"/>
  <c r="AO28" i="32" s="1"/>
  <c r="J29" i="32" a="1"/>
  <c r="J29" i="32" s="1"/>
  <c r="S29" i="32" s="1" a="1"/>
  <c r="S29" i="32" s="1"/>
  <c r="AB29" i="32" s="1" a="1"/>
  <c r="AB29" i="32" s="1"/>
  <c r="AK29" i="32" s="1" a="1"/>
  <c r="AK29" i="32" s="1"/>
  <c r="L29" i="32" a="1"/>
  <c r="L29" i="32" s="1"/>
  <c r="U29" i="32" s="1" a="1"/>
  <c r="U29" i="32" s="1"/>
  <c r="AD29" i="32" s="1" a="1"/>
  <c r="AD29" i="32" s="1"/>
  <c r="AM29" i="32" s="1" a="1"/>
  <c r="AM29" i="32" s="1"/>
  <c r="I34" i="20"/>
  <c r="E34" i="20"/>
  <c r="F34" i="20"/>
  <c r="H34" i="20"/>
  <c r="G34" i="20"/>
  <c r="J30" i="27"/>
  <c r="A30" i="27" s="1"/>
  <c r="C30" i="27" s="1"/>
  <c r="J31" i="26"/>
  <c r="A31" i="26" s="1"/>
  <c r="C31" i="26" s="1"/>
  <c r="E31" i="26" s="1"/>
  <c r="I29" i="27"/>
  <c r="E29" i="27"/>
  <c r="G29" i="27"/>
  <c r="D29" i="27"/>
  <c r="H29" i="27"/>
  <c r="C29" i="27"/>
  <c r="F29" i="27"/>
  <c r="B29" i="27"/>
  <c r="L31" i="27"/>
  <c r="K32" i="27" s="1"/>
  <c r="AR32" i="26"/>
  <c r="AQ33" i="26" s="1"/>
  <c r="H30" i="26"/>
  <c r="G30" i="26"/>
  <c r="B30" i="26"/>
  <c r="I30" i="26"/>
  <c r="D30" i="26"/>
  <c r="C30" i="26"/>
  <c r="E30" i="26" s="1"/>
  <c r="F30" i="26"/>
  <c r="C24" i="24"/>
  <c r="AW25" i="24"/>
  <c r="E22" i="25"/>
  <c r="I22" i="25"/>
  <c r="D22" i="25"/>
  <c r="I24" i="24"/>
  <c r="G24" i="24"/>
  <c r="J24" i="24"/>
  <c r="H24" i="24"/>
  <c r="D24" i="24"/>
  <c r="E24" i="24"/>
  <c r="F24" i="24"/>
  <c r="K23" i="25"/>
  <c r="C22" i="25"/>
  <c r="E30" i="21"/>
  <c r="K33" i="21"/>
  <c r="L33" i="21" s="1"/>
  <c r="A32" i="21"/>
  <c r="I30" i="21"/>
  <c r="F31" i="21"/>
  <c r="G31" i="21"/>
  <c r="H31" i="21"/>
  <c r="B31" i="21"/>
  <c r="E31" i="21" s="1"/>
  <c r="C31" i="21"/>
  <c r="B30" i="32"/>
  <c r="C30" i="32"/>
  <c r="D30" i="32" s="1"/>
  <c r="A31" i="32"/>
  <c r="D31" i="32" s="1"/>
  <c r="AQ32" i="32"/>
  <c r="AR32" i="32" s="1"/>
  <c r="AQ37" i="20"/>
  <c r="AR37" i="20" s="1"/>
  <c r="A36" i="20"/>
  <c r="E35" i="20"/>
  <c r="F35" i="20"/>
  <c r="C35" i="20"/>
  <c r="B35" i="20"/>
  <c r="G35" i="20"/>
  <c r="D35" i="20"/>
  <c r="G31" i="32" l="1"/>
  <c r="I31" i="32"/>
  <c r="H31" i="32"/>
  <c r="Q29" i="32" a="1"/>
  <c r="Q29" i="32" s="1"/>
  <c r="Z29" i="32" s="1" a="1"/>
  <c r="Z29" i="32" s="1"/>
  <c r="AI29" i="32" s="1" a="1"/>
  <c r="AI29" i="32" s="1"/>
  <c r="R29" i="32" a="1"/>
  <c r="R29" i="32" s="1"/>
  <c r="AA29" i="32" s="1" a="1"/>
  <c r="AA29" i="32" s="1"/>
  <c r="AJ29" i="32" s="1" a="1"/>
  <c r="AJ29" i="32" s="1"/>
  <c r="E30" i="32"/>
  <c r="F30" i="32"/>
  <c r="K30" i="32" a="1"/>
  <c r="K30" i="32" s="1"/>
  <c r="T30" i="32" s="1" a="1"/>
  <c r="T30" i="32" s="1"/>
  <c r="AC30" i="32" s="1" a="1"/>
  <c r="AC30" i="32" s="1"/>
  <c r="AL30" i="32" s="1" a="1"/>
  <c r="AL30" i="32" s="1"/>
  <c r="R30" i="32" a="1"/>
  <c r="R30" i="32" s="1"/>
  <c r="AA30" i="32" s="1" a="1"/>
  <c r="AA30" i="32" s="1"/>
  <c r="AJ30" i="32" s="1" a="1"/>
  <c r="AJ30" i="32" s="1"/>
  <c r="J31" i="32" a="1"/>
  <c r="J31" i="32" s="1"/>
  <c r="E31" i="32"/>
  <c r="F31" i="32"/>
  <c r="M29" i="32" a="1"/>
  <c r="M29" i="32" s="1"/>
  <c r="V29" i="32" s="1" a="1"/>
  <c r="V29" i="32" s="1"/>
  <c r="AE29" i="32" s="1" a="1"/>
  <c r="AE29" i="32" s="1"/>
  <c r="AN29" i="32" s="1" a="1"/>
  <c r="AN29" i="32" s="1"/>
  <c r="N29" i="32" a="1"/>
  <c r="N29" i="32" s="1"/>
  <c r="W29" i="32" s="1" a="1"/>
  <c r="W29" i="32" s="1"/>
  <c r="AF29" i="32" s="1" a="1"/>
  <c r="AF29" i="32" s="1"/>
  <c r="AO29" i="32" s="1" a="1"/>
  <c r="AO29" i="32" s="1"/>
  <c r="J30" i="32" a="1"/>
  <c r="J30" i="32" s="1"/>
  <c r="S30" i="32" s="1" a="1"/>
  <c r="S30" i="32" s="1"/>
  <c r="AB30" i="32" s="1" a="1"/>
  <c r="AB30" i="32" s="1"/>
  <c r="AK30" i="32" s="1" a="1"/>
  <c r="AK30" i="32" s="1"/>
  <c r="P30" i="32" a="1"/>
  <c r="P30" i="32" s="1"/>
  <c r="Y30" i="32" s="1" a="1"/>
  <c r="Y30" i="32" s="1"/>
  <c r="AH30" i="32" s="1" a="1"/>
  <c r="AH30" i="32" s="1"/>
  <c r="O29" i="32" a="1"/>
  <c r="O29" i="32" s="1"/>
  <c r="X29" i="32" s="1" a="1"/>
  <c r="X29" i="32" s="1"/>
  <c r="AG29" i="32" s="1" a="1"/>
  <c r="AG29" i="32" s="1"/>
  <c r="AP29" i="32" s="1" a="1"/>
  <c r="AP29" i="32" s="1"/>
  <c r="H35" i="20"/>
  <c r="I35" i="20"/>
  <c r="I31" i="26"/>
  <c r="H31" i="26"/>
  <c r="G31" i="26"/>
  <c r="F31" i="26"/>
  <c r="D31" i="26"/>
  <c r="B31" i="26"/>
  <c r="E30" i="27"/>
  <c r="F30" i="27"/>
  <c r="H30" i="27"/>
  <c r="B30" i="27"/>
  <c r="I30" i="27"/>
  <c r="D30" i="27"/>
  <c r="G30" i="27"/>
  <c r="J32" i="26"/>
  <c r="A32" i="26" s="1"/>
  <c r="D32" i="26" s="1"/>
  <c r="L23" i="25"/>
  <c r="B23" i="25"/>
  <c r="AR33" i="26"/>
  <c r="AQ34" i="26" s="1"/>
  <c r="J31" i="27"/>
  <c r="A31" i="27" s="1"/>
  <c r="B25" i="24"/>
  <c r="AX25" i="24"/>
  <c r="L32" i="27"/>
  <c r="K33" i="27" s="1"/>
  <c r="F32" i="21"/>
  <c r="H32" i="21"/>
  <c r="C32" i="21"/>
  <c r="G32" i="21"/>
  <c r="D32" i="21"/>
  <c r="B32" i="21"/>
  <c r="I32" i="21" s="1"/>
  <c r="I31" i="21"/>
  <c r="D31" i="21"/>
  <c r="K34" i="21"/>
  <c r="L34" i="21" s="1"/>
  <c r="A33" i="21"/>
  <c r="A32" i="32"/>
  <c r="D32" i="32" s="1"/>
  <c r="AQ33" i="32"/>
  <c r="AR33" i="32" s="1"/>
  <c r="B31" i="32"/>
  <c r="C31" i="32"/>
  <c r="B36" i="20"/>
  <c r="C36" i="20"/>
  <c r="A37" i="20"/>
  <c r="AQ38" i="20"/>
  <c r="AR38" i="20" s="1"/>
  <c r="K36" i="20" l="1" a="1"/>
  <c r="K36" i="20" s="1"/>
  <c r="T36" i="20" a="1"/>
  <c r="T36" i="20" s="1"/>
  <c r="P36" i="20" a="1"/>
  <c r="P36" i="20" s="1"/>
  <c r="S36" i="20" a="1"/>
  <c r="S36" i="20" s="1"/>
  <c r="AJ36" i="20" a="1"/>
  <c r="AJ36" i="20" s="1"/>
  <c r="Q36" i="20" a="1"/>
  <c r="Q36" i="20" s="1"/>
  <c r="AB36" i="20" a="1"/>
  <c r="AB36" i="20" s="1"/>
  <c r="AP36" i="20" a="1"/>
  <c r="AP36" i="20" s="1"/>
  <c r="N37" i="20" a="1"/>
  <c r="N37" i="20" s="1"/>
  <c r="T37" i="20" a="1"/>
  <c r="T37" i="20" s="1"/>
  <c r="Z37" i="20" a="1"/>
  <c r="Z37" i="20" s="1"/>
  <c r="AF37" i="20" a="1"/>
  <c r="AF37" i="20" s="1"/>
  <c r="AL37" i="20" a="1"/>
  <c r="AL37" i="20" s="1"/>
  <c r="O37" i="20" a="1"/>
  <c r="O37" i="20" s="1"/>
  <c r="U37" i="20" a="1"/>
  <c r="U37" i="20" s="1"/>
  <c r="AA37" i="20" a="1"/>
  <c r="AA37" i="20" s="1"/>
  <c r="AG37" i="20" a="1"/>
  <c r="AG37" i="20" s="1"/>
  <c r="AM37" i="20" a="1"/>
  <c r="AM37" i="20" s="1"/>
  <c r="J37" i="20" a="1"/>
  <c r="J37" i="20" s="1"/>
  <c r="P37" i="20" a="1"/>
  <c r="P37" i="20" s="1"/>
  <c r="V37" i="20" a="1"/>
  <c r="V37" i="20" s="1"/>
  <c r="AB37" i="20" a="1"/>
  <c r="AB37" i="20" s="1"/>
  <c r="AH37" i="20" a="1"/>
  <c r="AH37" i="20" s="1"/>
  <c r="AN37" i="20" a="1"/>
  <c r="AN37" i="20" s="1"/>
  <c r="L37" i="20" a="1"/>
  <c r="L37" i="20" s="1"/>
  <c r="R37" i="20" a="1"/>
  <c r="R37" i="20" s="1"/>
  <c r="X37" i="20" a="1"/>
  <c r="X37" i="20" s="1"/>
  <c r="AD37" i="20" a="1"/>
  <c r="AD37" i="20" s="1"/>
  <c r="AJ37" i="20" a="1"/>
  <c r="AJ37" i="20" s="1"/>
  <c r="AP37" i="20" a="1"/>
  <c r="AP37" i="20" s="1"/>
  <c r="S37" i="20" a="1"/>
  <c r="S37" i="20" s="1"/>
  <c r="AE37" i="20" a="1"/>
  <c r="AE37" i="20" s="1"/>
  <c r="K37" i="20" a="1"/>
  <c r="K37" i="20" s="1"/>
  <c r="W37" i="20" a="1"/>
  <c r="W37" i="20" s="1"/>
  <c r="AI37" i="20" a="1"/>
  <c r="AI37" i="20" s="1"/>
  <c r="M37" i="20" a="1"/>
  <c r="M37" i="20" s="1"/>
  <c r="AK37" i="20" a="1"/>
  <c r="AK37" i="20" s="1"/>
  <c r="Q37" i="20" a="1"/>
  <c r="Q37" i="20" s="1"/>
  <c r="Y37" i="20" a="1"/>
  <c r="Y37" i="20" s="1"/>
  <c r="AO37" i="20" a="1"/>
  <c r="AO37" i="20" s="1"/>
  <c r="AC37" i="20" a="1"/>
  <c r="AC37" i="20" s="1"/>
  <c r="AM36" i="20" a="1"/>
  <c r="AM36" i="20" s="1"/>
  <c r="AD36" i="20" a="1"/>
  <c r="AD36" i="20" s="1"/>
  <c r="X36" i="20" a="1"/>
  <c r="X36" i="20" s="1"/>
  <c r="AL36" i="20" a="1"/>
  <c r="AL36" i="20" s="1"/>
  <c r="AA36" i="20" a="1"/>
  <c r="AA36" i="20" s="1"/>
  <c r="R36" i="20" a="1"/>
  <c r="R36" i="20" s="1"/>
  <c r="N36" i="20" a="1"/>
  <c r="N36" i="20" s="1"/>
  <c r="AG36" i="20" a="1"/>
  <c r="AG36" i="20" s="1"/>
  <c r="AH36" i="20" a="1"/>
  <c r="AH36" i="20" s="1"/>
  <c r="U36" i="20" a="1"/>
  <c r="U36" i="20" s="1"/>
  <c r="L36" i="20" a="1"/>
  <c r="L36" i="20" s="1"/>
  <c r="J36" i="20" a="1"/>
  <c r="J36" i="20" s="1"/>
  <c r="O36" i="20" a="1"/>
  <c r="O36" i="20" s="1"/>
  <c r="AO36" i="20" a="1"/>
  <c r="AO36" i="20" s="1"/>
  <c r="Z36" i="20" a="1"/>
  <c r="Z36" i="20" s="1"/>
  <c r="AK36" i="20" a="1"/>
  <c r="AK36" i="20" s="1"/>
  <c r="AI36" i="20" a="1"/>
  <c r="AI36" i="20" s="1"/>
  <c r="V36" i="20" a="1"/>
  <c r="V36" i="20" s="1"/>
  <c r="AE36" i="20" a="1"/>
  <c r="AE36" i="20" s="1"/>
  <c r="AC36" i="20" a="1"/>
  <c r="AC36" i="20" s="1"/>
  <c r="AF36" i="20" a="1"/>
  <c r="AF36" i="20" s="1"/>
  <c r="Y36" i="20" a="1"/>
  <c r="Y36" i="20" s="1"/>
  <c r="W36" i="20" a="1"/>
  <c r="W36" i="20" s="1"/>
  <c r="AN36" i="20" a="1"/>
  <c r="AN36" i="20" s="1"/>
  <c r="M36" i="20" a="1"/>
  <c r="M36" i="20" s="1"/>
  <c r="H32" i="32"/>
  <c r="G32" i="32"/>
  <c r="I32" i="32"/>
  <c r="Q30" i="32" a="1"/>
  <c r="Q30" i="32" s="1"/>
  <c r="Z30" i="32" s="1" a="1"/>
  <c r="Z30" i="32" s="1"/>
  <c r="AI30" i="32" s="1" a="1"/>
  <c r="AI30" i="32" s="1"/>
  <c r="L30" i="32" a="1"/>
  <c r="L30" i="32" s="1"/>
  <c r="U30" i="32" s="1" a="1"/>
  <c r="U30" i="32" s="1"/>
  <c r="AD30" i="32" s="1" a="1"/>
  <c r="AD30" i="32" s="1"/>
  <c r="AM30" i="32" s="1" a="1"/>
  <c r="AM30" i="32" s="1"/>
  <c r="J32" i="32" a="1"/>
  <c r="J32" i="32" s="1"/>
  <c r="E32" i="32"/>
  <c r="F32" i="32"/>
  <c r="L31" i="32" a="1"/>
  <c r="L31" i="32" s="1"/>
  <c r="U31" i="32" s="1" a="1"/>
  <c r="U31" i="32" s="1"/>
  <c r="AD31" i="32" s="1" a="1"/>
  <c r="AD31" i="32" s="1"/>
  <c r="AM31" i="32" s="1" a="1"/>
  <c r="AM31" i="32" s="1"/>
  <c r="P31" i="32" a="1"/>
  <c r="P31" i="32" s="1"/>
  <c r="Y31" i="32" s="1" a="1"/>
  <c r="Y31" i="32" s="1"/>
  <c r="AH31" i="32" s="1" a="1"/>
  <c r="AH31" i="32" s="1"/>
  <c r="K31" i="32" a="1"/>
  <c r="K31" i="32" s="1"/>
  <c r="T31" i="32" s="1" a="1"/>
  <c r="T31" i="32" s="1"/>
  <c r="AC31" i="32" s="1" a="1"/>
  <c r="AC31" i="32" s="1"/>
  <c r="AL31" i="32" s="1" a="1"/>
  <c r="AL31" i="32" s="1"/>
  <c r="S31" i="32" a="1"/>
  <c r="S31" i="32" s="1"/>
  <c r="AB31" i="32" s="1" a="1"/>
  <c r="AB31" i="32" s="1"/>
  <c r="AK31" i="32" s="1" a="1"/>
  <c r="AK31" i="32" s="1"/>
  <c r="O30" i="32" a="1"/>
  <c r="O30" i="32" s="1"/>
  <c r="X30" i="32" s="1" a="1"/>
  <c r="X30" i="32" s="1"/>
  <c r="AG30" i="32" s="1" a="1"/>
  <c r="AG30" i="32" s="1"/>
  <c r="AP30" i="32" s="1" a="1"/>
  <c r="AP30" i="32" s="1"/>
  <c r="N30" i="32" a="1"/>
  <c r="N30" i="32" s="1"/>
  <c r="W30" i="32" s="1" a="1"/>
  <c r="W30" i="32" s="1"/>
  <c r="AF30" i="32" s="1" a="1"/>
  <c r="AF30" i="32" s="1"/>
  <c r="AO30" i="32" s="1" a="1"/>
  <c r="AO30" i="32" s="1"/>
  <c r="M30" i="32" a="1"/>
  <c r="M30" i="32" s="1"/>
  <c r="V30" i="32" s="1" a="1"/>
  <c r="V30" i="32" s="1"/>
  <c r="AE30" i="32" s="1" a="1"/>
  <c r="AE30" i="32" s="1"/>
  <c r="AN30" i="32" s="1" a="1"/>
  <c r="AN30" i="32" s="1"/>
  <c r="Q31" i="32" a="1"/>
  <c r="Q31" i="32" s="1"/>
  <c r="Z31" i="32" s="1" a="1"/>
  <c r="Z31" i="32" s="1"/>
  <c r="AI31" i="32" s="1" a="1"/>
  <c r="AI31" i="32" s="1"/>
  <c r="R31" i="32" a="1"/>
  <c r="R31" i="32" s="1"/>
  <c r="AA31" i="32" s="1" a="1"/>
  <c r="AA31" i="32" s="1"/>
  <c r="AJ31" i="32" s="1" a="1"/>
  <c r="AJ31" i="32" s="1"/>
  <c r="E32" i="21"/>
  <c r="G32" i="26"/>
  <c r="B32" i="26"/>
  <c r="I32" i="26"/>
  <c r="C32" i="26"/>
  <c r="E32" i="26"/>
  <c r="H32" i="26"/>
  <c r="F32" i="26"/>
  <c r="I36" i="20"/>
  <c r="J32" i="27"/>
  <c r="A32" i="27" s="1"/>
  <c r="H32" i="27" s="1"/>
  <c r="J33" i="26"/>
  <c r="A33" i="26" s="1"/>
  <c r="H33" i="26" s="1"/>
  <c r="C25" i="24"/>
  <c r="AW26" i="24"/>
  <c r="G31" i="27"/>
  <c r="D31" i="27"/>
  <c r="B31" i="27"/>
  <c r="F31" i="27"/>
  <c r="C31" i="27"/>
  <c r="E31" i="27"/>
  <c r="H31" i="27"/>
  <c r="I31" i="27"/>
  <c r="AR34" i="26"/>
  <c r="AQ35" i="26" s="1"/>
  <c r="I25" i="24"/>
  <c r="G25" i="24"/>
  <c r="D25" i="24"/>
  <c r="H25" i="24"/>
  <c r="E25" i="24"/>
  <c r="J25" i="24"/>
  <c r="F25" i="24"/>
  <c r="I23" i="25"/>
  <c r="E23" i="25"/>
  <c r="D23" i="25"/>
  <c r="L33" i="27"/>
  <c r="K34" i="27" s="1"/>
  <c r="K24" i="25"/>
  <c r="C23" i="25"/>
  <c r="F36" i="20"/>
  <c r="A34" i="21"/>
  <c r="K35" i="21"/>
  <c r="L35" i="21" s="1"/>
  <c r="H33" i="21"/>
  <c r="F33" i="21"/>
  <c r="C33" i="21"/>
  <c r="G33" i="21"/>
  <c r="B33" i="21"/>
  <c r="I33" i="21" s="1"/>
  <c r="B32" i="32"/>
  <c r="C32" i="32"/>
  <c r="A33" i="32"/>
  <c r="AQ34" i="32"/>
  <c r="AR34" i="32" s="1"/>
  <c r="A38" i="20"/>
  <c r="AQ39" i="20"/>
  <c r="AR39" i="20" s="1"/>
  <c r="H37" i="20"/>
  <c r="C37" i="20"/>
  <c r="B37" i="20"/>
  <c r="G36" i="20"/>
  <c r="E36" i="20"/>
  <c r="D36" i="20"/>
  <c r="H36" i="20"/>
  <c r="K38" i="20" l="1" a="1"/>
  <c r="K38" i="20" s="1"/>
  <c r="Q38" i="20" a="1"/>
  <c r="Q38" i="20" s="1"/>
  <c r="W38" i="20" a="1"/>
  <c r="W38" i="20" s="1"/>
  <c r="AC38" i="20" a="1"/>
  <c r="AC38" i="20" s="1"/>
  <c r="AI38" i="20" a="1"/>
  <c r="AI38" i="20" s="1"/>
  <c r="AO38" i="20" a="1"/>
  <c r="AO38" i="20" s="1"/>
  <c r="L38" i="20" a="1"/>
  <c r="L38" i="20" s="1"/>
  <c r="R38" i="20" a="1"/>
  <c r="R38" i="20" s="1"/>
  <c r="X38" i="20" a="1"/>
  <c r="X38" i="20" s="1"/>
  <c r="AD38" i="20" a="1"/>
  <c r="AD38" i="20" s="1"/>
  <c r="AJ38" i="20" a="1"/>
  <c r="AJ38" i="20" s="1"/>
  <c r="AP38" i="20" a="1"/>
  <c r="AP38" i="20" s="1"/>
  <c r="M38" i="20" a="1"/>
  <c r="M38" i="20" s="1"/>
  <c r="S38" i="20" a="1"/>
  <c r="S38" i="20" s="1"/>
  <c r="Y38" i="20" a="1"/>
  <c r="Y38" i="20" s="1"/>
  <c r="AE38" i="20" a="1"/>
  <c r="AE38" i="20" s="1"/>
  <c r="AK38" i="20" a="1"/>
  <c r="AK38" i="20" s="1"/>
  <c r="O38" i="20" a="1"/>
  <c r="O38" i="20" s="1"/>
  <c r="U38" i="20" a="1"/>
  <c r="U38" i="20" s="1"/>
  <c r="AA38" i="20" a="1"/>
  <c r="AA38" i="20" s="1"/>
  <c r="AG38" i="20" a="1"/>
  <c r="AG38" i="20" s="1"/>
  <c r="AM38" i="20" a="1"/>
  <c r="AM38" i="20" s="1"/>
  <c r="J38" i="20" a="1"/>
  <c r="J38" i="20" s="1"/>
  <c r="V38" i="20" a="1"/>
  <c r="V38" i="20" s="1"/>
  <c r="AH38" i="20" a="1"/>
  <c r="AH38" i="20" s="1"/>
  <c r="N38" i="20" a="1"/>
  <c r="N38" i="20" s="1"/>
  <c r="Z38" i="20" a="1"/>
  <c r="Z38" i="20" s="1"/>
  <c r="AL38" i="20" a="1"/>
  <c r="AL38" i="20" s="1"/>
  <c r="AB38" i="20" a="1"/>
  <c r="AB38" i="20" s="1"/>
  <c r="AF38" i="20" a="1"/>
  <c r="AF38" i="20" s="1"/>
  <c r="AN38" i="20" a="1"/>
  <c r="AN38" i="20" s="1"/>
  <c r="T38" i="20" a="1"/>
  <c r="T38" i="20" s="1"/>
  <c r="P38" i="20" a="1"/>
  <c r="P38" i="20" s="1"/>
  <c r="G33" i="32"/>
  <c r="H33" i="32"/>
  <c r="I33" i="32"/>
  <c r="S32" i="32" a="1"/>
  <c r="S32" i="32" s="1"/>
  <c r="AB32" i="32" s="1" a="1"/>
  <c r="AB32" i="32" s="1"/>
  <c r="AK32" i="32" s="1" a="1"/>
  <c r="AK32" i="32" s="1"/>
  <c r="N32" i="32" a="1"/>
  <c r="N32" i="32" s="1"/>
  <c r="W32" i="32" s="1" a="1"/>
  <c r="W32" i="32" s="1"/>
  <c r="AF32" i="32" s="1" a="1"/>
  <c r="AF32" i="32" s="1"/>
  <c r="AO32" i="32" s="1" a="1"/>
  <c r="AO32" i="32" s="1"/>
  <c r="M32" i="32" a="1"/>
  <c r="M32" i="32" s="1"/>
  <c r="V32" i="32" s="1" a="1"/>
  <c r="V32" i="32" s="1"/>
  <c r="AE32" i="32" s="1" a="1"/>
  <c r="AE32" i="32" s="1"/>
  <c r="AN32" i="32" s="1" a="1"/>
  <c r="AN32" i="32" s="1"/>
  <c r="N31" i="32" a="1"/>
  <c r="N31" i="32" s="1"/>
  <c r="W31" i="32" s="1" a="1"/>
  <c r="W31" i="32" s="1"/>
  <c r="AF31" i="32" s="1" a="1"/>
  <c r="AF31" i="32" s="1"/>
  <c r="AO31" i="32" s="1" a="1"/>
  <c r="AO31" i="32" s="1"/>
  <c r="M31" i="32" a="1"/>
  <c r="M31" i="32" s="1"/>
  <c r="V31" i="32" s="1" a="1"/>
  <c r="V31" i="32" s="1"/>
  <c r="AE31" i="32" s="1" a="1"/>
  <c r="AE31" i="32" s="1"/>
  <c r="AN31" i="32" s="1" a="1"/>
  <c r="AN31" i="32" s="1"/>
  <c r="K32" i="32" a="1"/>
  <c r="K32" i="32" s="1"/>
  <c r="T32" i="32" s="1" a="1"/>
  <c r="T32" i="32" s="1"/>
  <c r="AC32" i="32" s="1" a="1"/>
  <c r="AC32" i="32" s="1"/>
  <c r="AL32" i="32" s="1" a="1"/>
  <c r="AL32" i="32" s="1"/>
  <c r="P32" i="32" a="1"/>
  <c r="P32" i="32" s="1"/>
  <c r="Y32" i="32" s="1" a="1"/>
  <c r="Y32" i="32" s="1"/>
  <c r="AH32" i="32" s="1" a="1"/>
  <c r="AH32" i="32" s="1"/>
  <c r="L32" i="32" a="1"/>
  <c r="L32" i="32" s="1"/>
  <c r="U32" i="32" s="1" a="1"/>
  <c r="U32" i="32" s="1"/>
  <c r="AD32" i="32" s="1" a="1"/>
  <c r="AD32" i="32" s="1"/>
  <c r="AM32" i="32" s="1" a="1"/>
  <c r="AM32" i="32" s="1"/>
  <c r="R32" i="32" a="1"/>
  <c r="R32" i="32" s="1"/>
  <c r="AA32" i="32" s="1" a="1"/>
  <c r="AA32" i="32" s="1"/>
  <c r="AJ32" i="32" s="1" a="1"/>
  <c r="AJ32" i="32" s="1"/>
  <c r="Q32" i="32" a="1"/>
  <c r="Q32" i="32" s="1"/>
  <c r="Z32" i="32" s="1" a="1"/>
  <c r="Z32" i="32" s="1"/>
  <c r="AI32" i="32" s="1" a="1"/>
  <c r="AI32" i="32" s="1"/>
  <c r="O31" i="32" a="1"/>
  <c r="O31" i="32" s="1"/>
  <c r="X31" i="32" s="1" a="1"/>
  <c r="X31" i="32" s="1"/>
  <c r="AG31" i="32" s="1" a="1"/>
  <c r="AG31" i="32" s="1"/>
  <c r="AP31" i="32" s="1" a="1"/>
  <c r="AP31" i="32" s="1"/>
  <c r="D33" i="21"/>
  <c r="E33" i="21"/>
  <c r="D37" i="20"/>
  <c r="G37" i="20"/>
  <c r="I37" i="20"/>
  <c r="F37" i="20"/>
  <c r="E37" i="20"/>
  <c r="J33" i="27"/>
  <c r="A33" i="27" s="1"/>
  <c r="F33" i="27" s="1"/>
  <c r="G33" i="26"/>
  <c r="F33" i="26"/>
  <c r="B33" i="26"/>
  <c r="I33" i="26"/>
  <c r="D33" i="26"/>
  <c r="C33" i="26"/>
  <c r="E33" i="26" s="1"/>
  <c r="B32" i="27"/>
  <c r="G32" i="27"/>
  <c r="I32" i="27"/>
  <c r="C32" i="27"/>
  <c r="J34" i="26"/>
  <c r="A34" i="26" s="1"/>
  <c r="D34" i="26" s="1"/>
  <c r="F32" i="27"/>
  <c r="D32" i="27"/>
  <c r="E32" i="27"/>
  <c r="L34" i="27"/>
  <c r="K35" i="27" s="1"/>
  <c r="AR35" i="26"/>
  <c r="AQ36" i="26" s="1"/>
  <c r="B24" i="25"/>
  <c r="L24" i="25"/>
  <c r="B26" i="24"/>
  <c r="AX26" i="24"/>
  <c r="K36" i="21"/>
  <c r="L36" i="21" s="1"/>
  <c r="A35" i="21"/>
  <c r="H34" i="21"/>
  <c r="B34" i="21"/>
  <c r="I34" i="21" s="1"/>
  <c r="F34" i="21"/>
  <c r="G34" i="21"/>
  <c r="C34" i="21"/>
  <c r="A34" i="32"/>
  <c r="D34" i="32" s="1"/>
  <c r="AQ35" i="32"/>
  <c r="AR35" i="32" s="1"/>
  <c r="B33" i="32"/>
  <c r="C33" i="32"/>
  <c r="D33" i="32" s="1"/>
  <c r="A39" i="20"/>
  <c r="AQ40" i="20"/>
  <c r="AR40" i="20" s="1"/>
  <c r="C38" i="20"/>
  <c r="B38" i="20"/>
  <c r="I34" i="32" l="1"/>
  <c r="G34" i="32"/>
  <c r="H34" i="32"/>
  <c r="Q33" i="32" a="1"/>
  <c r="Q33" i="32" s="1"/>
  <c r="Z33" i="32" s="1" a="1"/>
  <c r="Z33" i="32" s="1"/>
  <c r="AI33" i="32" s="1" a="1"/>
  <c r="AI33" i="32" s="1"/>
  <c r="F33" i="32"/>
  <c r="E33" i="32"/>
  <c r="J34" i="32" a="1"/>
  <c r="J34" i="32" s="1"/>
  <c r="F34" i="32"/>
  <c r="E34" i="32"/>
  <c r="K33" i="32" a="1"/>
  <c r="K33" i="32" s="1"/>
  <c r="T33" i="32" s="1" a="1"/>
  <c r="T33" i="32" s="1"/>
  <c r="AC33" i="32" s="1" a="1"/>
  <c r="AC33" i="32" s="1"/>
  <c r="AL33" i="32" s="1" a="1"/>
  <c r="AL33" i="32" s="1"/>
  <c r="O32" i="32" a="1"/>
  <c r="O32" i="32" s="1"/>
  <c r="X32" i="32" s="1" a="1"/>
  <c r="X32" i="32" s="1"/>
  <c r="AG32" i="32" s="1" a="1"/>
  <c r="AG32" i="32" s="1"/>
  <c r="AP32" i="32" s="1" a="1"/>
  <c r="AP32" i="32" s="1"/>
  <c r="J33" i="32" a="1"/>
  <c r="J33" i="32" s="1"/>
  <c r="S33" i="32" s="1" a="1"/>
  <c r="S33" i="32" s="1"/>
  <c r="AB33" i="32" s="1" a="1"/>
  <c r="AB33" i="32" s="1"/>
  <c r="AK33" i="32" s="1" a="1"/>
  <c r="AK33" i="32" s="1"/>
  <c r="E38" i="20"/>
  <c r="F38" i="20"/>
  <c r="H38" i="20"/>
  <c r="I38" i="20"/>
  <c r="G38" i="20"/>
  <c r="D38" i="20"/>
  <c r="B33" i="27"/>
  <c r="E33" i="27"/>
  <c r="G33" i="27"/>
  <c r="C33" i="27"/>
  <c r="I33" i="27"/>
  <c r="H33" i="27"/>
  <c r="D33" i="27"/>
  <c r="G34" i="26"/>
  <c r="C34" i="26"/>
  <c r="E34" i="26" s="1"/>
  <c r="H34" i="26"/>
  <c r="F34" i="26"/>
  <c r="I34" i="26"/>
  <c r="B34" i="26"/>
  <c r="F26" i="24"/>
  <c r="D26" i="24"/>
  <c r="I26" i="24"/>
  <c r="H26" i="24"/>
  <c r="E26" i="24"/>
  <c r="G26" i="24"/>
  <c r="J26" i="24"/>
  <c r="E24" i="25"/>
  <c r="D24" i="25"/>
  <c r="I24" i="25"/>
  <c r="AR36" i="26"/>
  <c r="AQ37" i="26" s="1"/>
  <c r="J35" i="26"/>
  <c r="A35" i="26" s="1"/>
  <c r="J34" i="27"/>
  <c r="A34" i="27" s="1"/>
  <c r="C26" i="24"/>
  <c r="AW27" i="24"/>
  <c r="K25" i="25"/>
  <c r="C24" i="25"/>
  <c r="L35" i="27"/>
  <c r="K36" i="27" s="1"/>
  <c r="F35" i="21"/>
  <c r="B35" i="21"/>
  <c r="D35" i="21" s="1"/>
  <c r="G35" i="21"/>
  <c r="H35" i="21"/>
  <c r="E35" i="21"/>
  <c r="C35" i="21"/>
  <c r="I35" i="21"/>
  <c r="D34" i="21"/>
  <c r="E34" i="21"/>
  <c r="A36" i="21"/>
  <c r="K37" i="21"/>
  <c r="L37" i="21" s="1"/>
  <c r="A35" i="32"/>
  <c r="D35" i="32" s="1"/>
  <c r="AQ36" i="32"/>
  <c r="AR36" i="32" s="1"/>
  <c r="B34" i="32"/>
  <c r="C34" i="32"/>
  <c r="B39" i="20"/>
  <c r="C39" i="20"/>
  <c r="AQ41" i="20"/>
  <c r="AR41" i="20" s="1"/>
  <c r="A40" i="20"/>
  <c r="N39" i="20" l="1" a="1"/>
  <c r="N39" i="20" s="1"/>
  <c r="K39" i="20" a="1"/>
  <c r="K39" i="20" s="1"/>
  <c r="W39" i="20" a="1"/>
  <c r="W39" i="20" s="1"/>
  <c r="Z39" i="20" a="1"/>
  <c r="Z39" i="20" s="1"/>
  <c r="AG39" i="20" a="1"/>
  <c r="AG39" i="20" s="1"/>
  <c r="AA39" i="20" a="1"/>
  <c r="AA39" i="20" s="1"/>
  <c r="O39" i="20" a="1"/>
  <c r="O39" i="20" s="1"/>
  <c r="S39" i="20" a="1"/>
  <c r="S39" i="20" s="1"/>
  <c r="X39" i="20" a="1"/>
  <c r="X39" i="20" s="1"/>
  <c r="AH39" i="20" a="1"/>
  <c r="AH39" i="20" s="1"/>
  <c r="R39" i="20" a="1"/>
  <c r="R39" i="20" s="1"/>
  <c r="AJ39" i="20" a="1"/>
  <c r="AJ39" i="20" s="1"/>
  <c r="AF39" i="20" a="1"/>
  <c r="AF39" i="20" s="1"/>
  <c r="AB39" i="20" a="1"/>
  <c r="AB39" i="20" s="1"/>
  <c r="V39" i="20" a="1"/>
  <c r="V39" i="20" s="1"/>
  <c r="AD39" i="20" a="1"/>
  <c r="AD39" i="20" s="1"/>
  <c r="AL39" i="20" a="1"/>
  <c r="AL39" i="20" s="1"/>
  <c r="AI39" i="20" a="1"/>
  <c r="AI39" i="20" s="1"/>
  <c r="L39" i="20" a="1"/>
  <c r="L39" i="20" s="1"/>
  <c r="AE39" i="20" a="1"/>
  <c r="AE39" i="20" s="1"/>
  <c r="Q39" i="20" a="1"/>
  <c r="Q39" i="20" s="1"/>
  <c r="P39" i="20" a="1"/>
  <c r="P39" i="20" s="1"/>
  <c r="AC39" i="20" a="1"/>
  <c r="AC39" i="20" s="1"/>
  <c r="AP39" i="20" a="1"/>
  <c r="AP39" i="20" s="1"/>
  <c r="J39" i="20" a="1"/>
  <c r="J39" i="20" s="1"/>
  <c r="AM39" i="20" a="1"/>
  <c r="AM39" i="20" s="1"/>
  <c r="AN39" i="20" a="1"/>
  <c r="AN39" i="20" s="1"/>
  <c r="U39" i="20" a="1"/>
  <c r="U39" i="20" s="1"/>
  <c r="AO39" i="20" a="1"/>
  <c r="AO39" i="20" s="1"/>
  <c r="Y39" i="20" a="1"/>
  <c r="Y39" i="20" s="1"/>
  <c r="T39" i="20" a="1"/>
  <c r="T39" i="20" s="1"/>
  <c r="AK39" i="20" a="1"/>
  <c r="AK39" i="20" s="1"/>
  <c r="M39" i="20" a="1"/>
  <c r="M39" i="20" s="1"/>
  <c r="G35" i="32"/>
  <c r="H35" i="32"/>
  <c r="I35" i="32"/>
  <c r="P33" i="32" a="1"/>
  <c r="P33" i="32" s="1"/>
  <c r="Y33" i="32" s="1" a="1"/>
  <c r="Y33" i="32" s="1"/>
  <c r="AH33" i="32" s="1" a="1"/>
  <c r="AH33" i="32" s="1"/>
  <c r="L33" i="32" a="1"/>
  <c r="L33" i="32" s="1"/>
  <c r="U33" i="32" s="1" a="1"/>
  <c r="U33" i="32" s="1"/>
  <c r="AD33" i="32" s="1" a="1"/>
  <c r="AD33" i="32" s="1"/>
  <c r="AM33" i="32" s="1" a="1"/>
  <c r="AM33" i="32" s="1"/>
  <c r="R33" i="32" a="1"/>
  <c r="R33" i="32" s="1"/>
  <c r="AA33" i="32" s="1" a="1"/>
  <c r="AA33" i="32" s="1"/>
  <c r="AJ33" i="32" s="1" a="1"/>
  <c r="AJ33" i="32" s="1"/>
  <c r="J35" i="32" a="1"/>
  <c r="J35" i="32" s="1"/>
  <c r="E35" i="32"/>
  <c r="F35" i="32"/>
  <c r="P34" i="32" a="1"/>
  <c r="P34" i="32" s="1"/>
  <c r="Y34" i="32" s="1" a="1"/>
  <c r="Y34" i="32" s="1"/>
  <c r="AH34" i="32" s="1" a="1"/>
  <c r="AH34" i="32" s="1"/>
  <c r="L34" i="32" a="1"/>
  <c r="L34" i="32" s="1"/>
  <c r="U34" i="32" s="1" a="1"/>
  <c r="U34" i="32" s="1"/>
  <c r="AD34" i="32" s="1" a="1"/>
  <c r="AD34" i="32" s="1"/>
  <c r="AM34" i="32" s="1" a="1"/>
  <c r="AM34" i="32" s="1"/>
  <c r="K34" i="32" a="1"/>
  <c r="K34" i="32" s="1"/>
  <c r="T34" i="32" s="1" a="1"/>
  <c r="T34" i="32" s="1"/>
  <c r="AC34" i="32" s="1" a="1"/>
  <c r="AC34" i="32" s="1"/>
  <c r="AL34" i="32" s="1" a="1"/>
  <c r="AL34" i="32" s="1"/>
  <c r="R34" i="32" a="1"/>
  <c r="R34" i="32" s="1"/>
  <c r="AA34" i="32" s="1" a="1"/>
  <c r="AA34" i="32" s="1"/>
  <c r="AJ34" i="32" s="1" a="1"/>
  <c r="AJ34" i="32" s="1"/>
  <c r="Q34" i="32" a="1"/>
  <c r="Q34" i="32" s="1"/>
  <c r="Z34" i="32" s="1" a="1"/>
  <c r="Z34" i="32" s="1"/>
  <c r="AI34" i="32" s="1" a="1"/>
  <c r="AI34" i="32" s="1"/>
  <c r="N33" i="32" a="1"/>
  <c r="N33" i="32" s="1"/>
  <c r="W33" i="32" s="1" a="1"/>
  <c r="W33" i="32" s="1"/>
  <c r="AF33" i="32" s="1" a="1"/>
  <c r="AF33" i="32" s="1"/>
  <c r="AO33" i="32" s="1" a="1"/>
  <c r="AO33" i="32" s="1"/>
  <c r="O33" i="32" a="1"/>
  <c r="O33" i="32" s="1"/>
  <c r="X33" i="32" s="1" a="1"/>
  <c r="X33" i="32" s="1"/>
  <c r="AG33" i="32" s="1" a="1"/>
  <c r="AG33" i="32" s="1"/>
  <c r="AP33" i="32" s="1" a="1"/>
  <c r="AP33" i="32" s="1"/>
  <c r="M33" i="32" a="1"/>
  <c r="M33" i="32" s="1"/>
  <c r="V33" i="32" s="1" a="1"/>
  <c r="V33" i="32" s="1"/>
  <c r="AE33" i="32" s="1" a="1"/>
  <c r="AE33" i="32" s="1"/>
  <c r="AN33" i="32" s="1" a="1"/>
  <c r="AN33" i="32" s="1"/>
  <c r="S34" i="32" a="1"/>
  <c r="S34" i="32" s="1"/>
  <c r="AB34" i="32" s="1" a="1"/>
  <c r="AB34" i="32" s="1"/>
  <c r="AK34" i="32" s="1" a="1"/>
  <c r="AK34" i="32" s="1"/>
  <c r="AX27" i="24"/>
  <c r="B27" i="24"/>
  <c r="F34" i="27"/>
  <c r="C34" i="27"/>
  <c r="D34" i="27"/>
  <c r="I34" i="27"/>
  <c r="E34" i="27"/>
  <c r="B34" i="27"/>
  <c r="H34" i="27"/>
  <c r="G34" i="27"/>
  <c r="AR37" i="26"/>
  <c r="AQ38" i="26" s="1"/>
  <c r="B35" i="26"/>
  <c r="C35" i="26"/>
  <c r="E35" i="26" s="1"/>
  <c r="H35" i="26"/>
  <c r="D35" i="26"/>
  <c r="I35" i="26"/>
  <c r="G35" i="26"/>
  <c r="F35" i="26"/>
  <c r="L36" i="27"/>
  <c r="K37" i="27" s="1"/>
  <c r="J35" i="27"/>
  <c r="A35" i="27" s="1"/>
  <c r="J36" i="26"/>
  <c r="A36" i="26" s="1"/>
  <c r="L25" i="25"/>
  <c r="B25" i="25"/>
  <c r="E39" i="20"/>
  <c r="F39" i="20"/>
  <c r="A37" i="21"/>
  <c r="K38" i="21"/>
  <c r="L38" i="21" s="1"/>
  <c r="H36" i="21"/>
  <c r="C36" i="21"/>
  <c r="F36" i="21"/>
  <c r="B36" i="21"/>
  <c r="E36" i="21" s="1"/>
  <c r="G36" i="21"/>
  <c r="AQ37" i="32"/>
  <c r="AR37" i="32" s="1"/>
  <c r="A36" i="32"/>
  <c r="C35" i="32"/>
  <c r="B35" i="32"/>
  <c r="H39" i="20"/>
  <c r="D39" i="20"/>
  <c r="G39" i="20"/>
  <c r="I39" i="20"/>
  <c r="C40" i="20"/>
  <c r="B40" i="20"/>
  <c r="AQ42" i="20"/>
  <c r="AR42" i="20" s="1"/>
  <c r="A41" i="20"/>
  <c r="Q40" i="20" l="1" a="1"/>
  <c r="Q40" i="20" s="1"/>
  <c r="X40" i="20" a="1"/>
  <c r="X40" i="20" s="1"/>
  <c r="AA40" i="20" a="1"/>
  <c r="AA40" i="20" s="1"/>
  <c r="AI40" i="20" a="1"/>
  <c r="AI40" i="20" s="1"/>
  <c r="J40" i="20" a="1"/>
  <c r="J40" i="20" s="1"/>
  <c r="AH40" i="20" a="1"/>
  <c r="AH40" i="20" s="1"/>
  <c r="L40" i="20" a="1"/>
  <c r="L40" i="20" s="1"/>
  <c r="O40" i="20" a="1"/>
  <c r="O40" i="20" s="1"/>
  <c r="AM40" i="20" a="1"/>
  <c r="AM40" i="20" s="1"/>
  <c r="Y40" i="20" a="1"/>
  <c r="Y40" i="20" s="1"/>
  <c r="AK40" i="20" a="1"/>
  <c r="AK40" i="20" s="1"/>
  <c r="AJ40" i="20" a="1"/>
  <c r="AJ40" i="20" s="1"/>
  <c r="AP40" i="20" a="1"/>
  <c r="AP40" i="20" s="1"/>
  <c r="W40" i="20" a="1"/>
  <c r="W40" i="20" s="1"/>
  <c r="AC40" i="20" a="1"/>
  <c r="AC40" i="20" s="1"/>
  <c r="AO40" i="20" a="1"/>
  <c r="AO40" i="20" s="1"/>
  <c r="AF40" i="20" a="1"/>
  <c r="AF40" i="20" s="1"/>
  <c r="V40" i="20" a="1"/>
  <c r="V40" i="20" s="1"/>
  <c r="S40" i="20" a="1"/>
  <c r="S40" i="20" s="1"/>
  <c r="R40" i="20" a="1"/>
  <c r="R40" i="20" s="1"/>
  <c r="N40" i="20" a="1"/>
  <c r="N40" i="20" s="1"/>
  <c r="Z40" i="20" a="1"/>
  <c r="Z40" i="20" s="1"/>
  <c r="AD40" i="20" a="1"/>
  <c r="AD40" i="20" s="1"/>
  <c r="U40" i="20" a="1"/>
  <c r="U40" i="20" s="1"/>
  <c r="M40" i="20" a="1"/>
  <c r="M40" i="20" s="1"/>
  <c r="P40" i="20" a="1"/>
  <c r="P40" i="20" s="1"/>
  <c r="AG40" i="20" a="1"/>
  <c r="AG40" i="20" s="1"/>
  <c r="K40" i="20" a="1"/>
  <c r="K40" i="20" s="1"/>
  <c r="AL40" i="20" a="1"/>
  <c r="AL40" i="20" s="1"/>
  <c r="AN40" i="20" a="1"/>
  <c r="AN40" i="20" s="1"/>
  <c r="AE40" i="20" a="1"/>
  <c r="AE40" i="20" s="1"/>
  <c r="AB40" i="20" a="1"/>
  <c r="AB40" i="20" s="1"/>
  <c r="T40" i="20" a="1"/>
  <c r="T40" i="20" s="1"/>
  <c r="H36" i="32"/>
  <c r="G36" i="32"/>
  <c r="I36" i="32"/>
  <c r="M35" i="32" a="1"/>
  <c r="M35" i="32" s="1"/>
  <c r="V35" i="32" s="1" a="1"/>
  <c r="V35" i="32" s="1"/>
  <c r="AE35" i="32" s="1" a="1"/>
  <c r="AE35" i="32" s="1"/>
  <c r="AN35" i="32" s="1" a="1"/>
  <c r="AN35" i="32" s="1"/>
  <c r="K35" i="32" a="1"/>
  <c r="K35" i="32" s="1"/>
  <c r="T35" i="32" s="1" a="1"/>
  <c r="T35" i="32" s="1"/>
  <c r="AC35" i="32" s="1" a="1"/>
  <c r="AC35" i="32" s="1"/>
  <c r="AL35" i="32" s="1" a="1"/>
  <c r="AL35" i="32" s="1"/>
  <c r="R35" i="32" a="1"/>
  <c r="R35" i="32" s="1"/>
  <c r="AA35" i="32" s="1" a="1"/>
  <c r="AA35" i="32" s="1"/>
  <c r="AJ35" i="32" s="1" a="1"/>
  <c r="AJ35" i="32" s="1"/>
  <c r="Q35" i="32" a="1"/>
  <c r="Q35" i="32" s="1"/>
  <c r="Z35" i="32" s="1" a="1"/>
  <c r="Z35" i="32" s="1"/>
  <c r="AI35" i="32" s="1" a="1"/>
  <c r="AI35" i="32" s="1"/>
  <c r="M34" i="32" a="1"/>
  <c r="M34" i="32" s="1"/>
  <c r="V34" i="32" s="1" a="1"/>
  <c r="V34" i="32" s="1"/>
  <c r="AE34" i="32" s="1" a="1"/>
  <c r="AE34" i="32" s="1"/>
  <c r="AN34" i="32" s="1" a="1"/>
  <c r="AN34" i="32" s="1"/>
  <c r="P35" i="32" a="1"/>
  <c r="P35" i="32" s="1"/>
  <c r="Y35" i="32" s="1" a="1"/>
  <c r="Y35" i="32" s="1"/>
  <c r="AH35" i="32" s="1" a="1"/>
  <c r="AH35" i="32" s="1"/>
  <c r="L35" i="32" a="1"/>
  <c r="L35" i="32" s="1"/>
  <c r="U35" i="32" s="1" a="1"/>
  <c r="U35" i="32" s="1"/>
  <c r="AD35" i="32" s="1" a="1"/>
  <c r="AD35" i="32" s="1"/>
  <c r="AM35" i="32" s="1" a="1"/>
  <c r="AM35" i="32" s="1"/>
  <c r="N34" i="32" a="1"/>
  <c r="N34" i="32" s="1"/>
  <c r="W34" i="32" s="1" a="1"/>
  <c r="W34" i="32" s="1"/>
  <c r="AF34" i="32" s="1" a="1"/>
  <c r="AF34" i="32" s="1"/>
  <c r="AO34" i="32" s="1" a="1"/>
  <c r="AO34" i="32" s="1"/>
  <c r="O34" i="32" a="1"/>
  <c r="O34" i="32" s="1"/>
  <c r="X34" i="32" s="1" a="1"/>
  <c r="X34" i="32" s="1"/>
  <c r="AG34" i="32" s="1" a="1"/>
  <c r="AG34" i="32" s="1"/>
  <c r="AP34" i="32" s="1" a="1"/>
  <c r="AP34" i="32" s="1"/>
  <c r="S35" i="32" a="1"/>
  <c r="S35" i="32" s="1"/>
  <c r="AB35" i="32" s="1" a="1"/>
  <c r="AB35" i="32" s="1"/>
  <c r="AK35" i="32" s="1" a="1"/>
  <c r="AK35" i="32" s="1"/>
  <c r="D36" i="21"/>
  <c r="I36" i="21"/>
  <c r="G40" i="20"/>
  <c r="C25" i="25"/>
  <c r="K26" i="25"/>
  <c r="H36" i="26"/>
  <c r="I36" i="26"/>
  <c r="G36" i="26"/>
  <c r="B36" i="26"/>
  <c r="C36" i="26"/>
  <c r="E36" i="26" s="1"/>
  <c r="F36" i="26"/>
  <c r="D36" i="26"/>
  <c r="B35" i="27"/>
  <c r="G35" i="27"/>
  <c r="D35" i="27"/>
  <c r="H35" i="27"/>
  <c r="F35" i="27"/>
  <c r="I35" i="27"/>
  <c r="C35" i="27"/>
  <c r="E35" i="27"/>
  <c r="L37" i="27"/>
  <c r="K38" i="27" s="1"/>
  <c r="J36" i="27"/>
  <c r="A36" i="27" s="1"/>
  <c r="AR38" i="26"/>
  <c r="AQ39" i="26" s="1"/>
  <c r="J37" i="26"/>
  <c r="A37" i="26" s="1"/>
  <c r="D27" i="24"/>
  <c r="F27" i="24"/>
  <c r="I27" i="24"/>
  <c r="J27" i="24"/>
  <c r="H27" i="24"/>
  <c r="G27" i="24"/>
  <c r="E27" i="24"/>
  <c r="E25" i="25"/>
  <c r="I25" i="25"/>
  <c r="D25" i="25"/>
  <c r="C27" i="24"/>
  <c r="AW28" i="24"/>
  <c r="A38" i="21"/>
  <c r="K39" i="21"/>
  <c r="L39" i="21" s="1"/>
  <c r="E40" i="20"/>
  <c r="H37" i="21"/>
  <c r="F37" i="21"/>
  <c r="B37" i="21"/>
  <c r="E37" i="21" s="1"/>
  <c r="G37" i="21"/>
  <c r="C37" i="21"/>
  <c r="C36" i="32"/>
  <c r="D36" i="32" s="1"/>
  <c r="B36" i="32"/>
  <c r="A37" i="32"/>
  <c r="AQ38" i="32"/>
  <c r="AR38" i="32" s="1"/>
  <c r="H40" i="20"/>
  <c r="D40" i="20"/>
  <c r="I40" i="20"/>
  <c r="B41" i="20"/>
  <c r="C41" i="20"/>
  <c r="F40" i="20"/>
  <c r="AQ43" i="20"/>
  <c r="AR43" i="20" s="1"/>
  <c r="A42" i="20"/>
  <c r="X41" i="20" l="1" a="1"/>
  <c r="X41" i="20" s="1"/>
  <c r="AJ41" i="20" a="1"/>
  <c r="AJ41" i="20" s="1"/>
  <c r="AI41" i="20" a="1"/>
  <c r="AI41" i="20" s="1"/>
  <c r="AA41" i="20" a="1"/>
  <c r="AA41" i="20" s="1"/>
  <c r="AE41" i="20" a="1"/>
  <c r="AE41" i="20" s="1"/>
  <c r="T41" i="20" a="1"/>
  <c r="T41" i="20" s="1"/>
  <c r="V41" i="20" a="1"/>
  <c r="V41" i="20" s="1"/>
  <c r="M41" i="20" a="1"/>
  <c r="M41" i="20" s="1"/>
  <c r="W41" i="20" a="1"/>
  <c r="W41" i="20" s="1"/>
  <c r="AG41" i="20" a="1"/>
  <c r="AG41" i="20" s="1"/>
  <c r="L41" i="20" a="1"/>
  <c r="L41" i="20" s="1"/>
  <c r="U41" i="20" a="1"/>
  <c r="U41" i="20" s="1"/>
  <c r="S41" i="20" a="1"/>
  <c r="S41" i="20" s="1"/>
  <c r="R41" i="20" a="1"/>
  <c r="R41" i="20" s="1"/>
  <c r="AL41" i="20" a="1"/>
  <c r="AL41" i="20" s="1"/>
  <c r="AB41" i="20" a="1"/>
  <c r="AB41" i="20" s="1"/>
  <c r="AM41" i="20" a="1"/>
  <c r="AM41" i="20" s="1"/>
  <c r="AC41" i="20" a="1"/>
  <c r="AC41" i="20" s="1"/>
  <c r="N41" i="20" a="1"/>
  <c r="N41" i="20" s="1"/>
  <c r="AF41" i="20" a="1"/>
  <c r="AF41" i="20" s="1"/>
  <c r="O41" i="20" a="1"/>
  <c r="O41" i="20" s="1"/>
  <c r="AP41" i="20" a="1"/>
  <c r="AP41" i="20" s="1"/>
  <c r="Y41" i="20" a="1"/>
  <c r="Y41" i="20" s="1"/>
  <c r="AK41" i="20" a="1"/>
  <c r="AK41" i="20" s="1"/>
  <c r="Z41" i="20" a="1"/>
  <c r="Z41" i="20" s="1"/>
  <c r="Q41" i="20" a="1"/>
  <c r="Q41" i="20" s="1"/>
  <c r="AD41" i="20" a="1"/>
  <c r="AD41" i="20" s="1"/>
  <c r="K41" i="20" a="1"/>
  <c r="K41" i="20" s="1"/>
  <c r="J41" i="20" a="1"/>
  <c r="J41" i="20" s="1"/>
  <c r="P41" i="20" a="1"/>
  <c r="P41" i="20" s="1"/>
  <c r="AO41" i="20" a="1"/>
  <c r="AO41" i="20" s="1"/>
  <c r="AN41" i="20" a="1"/>
  <c r="AN41" i="20" s="1"/>
  <c r="AH41" i="20" a="1"/>
  <c r="AH41" i="20" s="1"/>
  <c r="G37" i="32"/>
  <c r="H37" i="32"/>
  <c r="I37" i="32"/>
  <c r="P36" i="32" a="1"/>
  <c r="P36" i="32" s="1"/>
  <c r="Y36" i="32" s="1" a="1"/>
  <c r="Y36" i="32" s="1"/>
  <c r="AH36" i="32" s="1" a="1"/>
  <c r="AH36" i="32" s="1"/>
  <c r="F36" i="32"/>
  <c r="E36" i="32"/>
  <c r="O35" i="32" a="1"/>
  <c r="O35" i="32" s="1"/>
  <c r="X35" i="32" s="1" a="1"/>
  <c r="X35" i="32" s="1"/>
  <c r="AG35" i="32" s="1" a="1"/>
  <c r="AG35" i="32" s="1"/>
  <c r="AP35" i="32" s="1" a="1"/>
  <c r="AP35" i="32" s="1"/>
  <c r="N35" i="32" a="1"/>
  <c r="N35" i="32" s="1"/>
  <c r="W35" i="32" s="1" a="1"/>
  <c r="W35" i="32" s="1"/>
  <c r="AF35" i="32" s="1" a="1"/>
  <c r="AF35" i="32" s="1"/>
  <c r="AO35" i="32" s="1" a="1"/>
  <c r="AO35" i="32" s="1"/>
  <c r="H41" i="20"/>
  <c r="J37" i="27"/>
  <c r="A37" i="27" s="1"/>
  <c r="G37" i="27" s="1"/>
  <c r="J38" i="26"/>
  <c r="A38" i="26" s="1"/>
  <c r="I38" i="26" s="1"/>
  <c r="B37" i="26"/>
  <c r="F37" i="26"/>
  <c r="D37" i="26"/>
  <c r="C37" i="26"/>
  <c r="E37" i="26" s="1"/>
  <c r="I37" i="26"/>
  <c r="H37" i="26"/>
  <c r="G37" i="26"/>
  <c r="AR39" i="26"/>
  <c r="AQ40" i="26" s="1"/>
  <c r="B36" i="27"/>
  <c r="G36" i="27"/>
  <c r="H36" i="27"/>
  <c r="E36" i="27"/>
  <c r="D36" i="27"/>
  <c r="C36" i="27"/>
  <c r="I36" i="27"/>
  <c r="F36" i="27"/>
  <c r="B28" i="24"/>
  <c r="AX28" i="24"/>
  <c r="L38" i="27"/>
  <c r="K39" i="27" s="1"/>
  <c r="B26" i="25"/>
  <c r="L26" i="25"/>
  <c r="D37" i="21"/>
  <c r="K40" i="21"/>
  <c r="L40" i="21" s="1"/>
  <c r="A39" i="21"/>
  <c r="I37" i="21"/>
  <c r="G38" i="21"/>
  <c r="C38" i="21"/>
  <c r="H38" i="21"/>
  <c r="F38" i="21"/>
  <c r="B38" i="21"/>
  <c r="D38" i="21" s="1"/>
  <c r="AQ39" i="32"/>
  <c r="AR39" i="32" s="1"/>
  <c r="A38" i="32"/>
  <c r="C37" i="32"/>
  <c r="D37" i="32" s="1"/>
  <c r="B37" i="32"/>
  <c r="F41" i="20"/>
  <c r="G41" i="20"/>
  <c r="E41" i="20"/>
  <c r="I41" i="20"/>
  <c r="D41" i="20"/>
  <c r="AQ44" i="20"/>
  <c r="AR44" i="20" s="1"/>
  <c r="A43" i="20"/>
  <c r="C42" i="20"/>
  <c r="B42" i="20"/>
  <c r="AP42" i="20" l="1" a="1"/>
  <c r="AP42" i="20" s="1"/>
  <c r="AO42" i="20" a="1"/>
  <c r="AO42" i="20" s="1"/>
  <c r="AC42" i="20" a="1"/>
  <c r="AC42" i="20" s="1"/>
  <c r="AI42" i="20" a="1"/>
  <c r="AI42" i="20" s="1"/>
  <c r="AF42" i="20" a="1"/>
  <c r="AF42" i="20" s="1"/>
  <c r="N42" i="20" a="1"/>
  <c r="N42" i="20" s="1"/>
  <c r="AB42" i="20" a="1"/>
  <c r="AB42" i="20" s="1"/>
  <c r="Z42" i="20" a="1"/>
  <c r="Z42" i="20" s="1"/>
  <c r="AL42" i="20" a="1"/>
  <c r="AL42" i="20" s="1"/>
  <c r="T42" i="20" a="1"/>
  <c r="T42" i="20" s="1"/>
  <c r="V42" i="20" a="1"/>
  <c r="V42" i="20" s="1"/>
  <c r="X42" i="20" a="1"/>
  <c r="X42" i="20" s="1"/>
  <c r="M42" i="20" a="1"/>
  <c r="M42" i="20" s="1"/>
  <c r="AG42" i="20" a="1"/>
  <c r="AG42" i="20" s="1"/>
  <c r="J42" i="20" a="1"/>
  <c r="J42" i="20" s="1"/>
  <c r="AA42" i="20" a="1"/>
  <c r="AA42" i="20" s="1"/>
  <c r="S42" i="20" a="1"/>
  <c r="S42" i="20" s="1"/>
  <c r="AK42" i="20" a="1"/>
  <c r="AK42" i="20" s="1"/>
  <c r="AM42" i="20" a="1"/>
  <c r="AM42" i="20" s="1"/>
  <c r="AH42" i="20" a="1"/>
  <c r="AH42" i="20" s="1"/>
  <c r="AD42" i="20" a="1"/>
  <c r="AD42" i="20" s="1"/>
  <c r="Y42" i="20" a="1"/>
  <c r="Y42" i="20" s="1"/>
  <c r="W42" i="20" a="1"/>
  <c r="W42" i="20" s="1"/>
  <c r="AJ42" i="20" a="1"/>
  <c r="AJ42" i="20" s="1"/>
  <c r="P42" i="20" a="1"/>
  <c r="P42" i="20" s="1"/>
  <c r="Q42" i="20" a="1"/>
  <c r="Q42" i="20" s="1"/>
  <c r="R42" i="20" a="1"/>
  <c r="R42" i="20" s="1"/>
  <c r="O42" i="20" a="1"/>
  <c r="O42" i="20" s="1"/>
  <c r="AN42" i="20" a="1"/>
  <c r="AN42" i="20" s="1"/>
  <c r="AE42" i="20" a="1"/>
  <c r="AE42" i="20" s="1"/>
  <c r="U42" i="20" a="1"/>
  <c r="U42" i="20" s="1"/>
  <c r="L42" i="20" a="1"/>
  <c r="L42" i="20" s="1"/>
  <c r="K42" i="20" a="1"/>
  <c r="K42" i="20" s="1"/>
  <c r="H38" i="32"/>
  <c r="I38" i="32"/>
  <c r="G38" i="32"/>
  <c r="R36" i="32" a="1"/>
  <c r="R36" i="32" s="1"/>
  <c r="AA36" i="32" s="1" a="1"/>
  <c r="AA36" i="32" s="1"/>
  <c r="AJ36" i="32" s="1" a="1"/>
  <c r="AJ36" i="32" s="1"/>
  <c r="J36" i="32" a="1"/>
  <c r="J36" i="32" s="1"/>
  <c r="S36" i="32" s="1" a="1"/>
  <c r="S36" i="32" s="1"/>
  <c r="AB36" i="32" s="1" a="1"/>
  <c r="AB36" i="32" s="1"/>
  <c r="AK36" i="32" s="1" a="1"/>
  <c r="AK36" i="32" s="1"/>
  <c r="L37" i="32" a="1"/>
  <c r="L37" i="32" s="1"/>
  <c r="U37" i="32" s="1" a="1"/>
  <c r="U37" i="32" s="1"/>
  <c r="AD37" i="32" s="1" a="1"/>
  <c r="AD37" i="32" s="1"/>
  <c r="AM37" i="32" s="1" a="1"/>
  <c r="AM37" i="32" s="1"/>
  <c r="Q36" i="32" a="1"/>
  <c r="Q36" i="32" s="1"/>
  <c r="Z36" i="32" s="1" a="1"/>
  <c r="Z36" i="32" s="1"/>
  <c r="AI36" i="32" s="1" a="1"/>
  <c r="AI36" i="32" s="1"/>
  <c r="K36" i="32" a="1"/>
  <c r="K36" i="32" s="1"/>
  <c r="T36" i="32" s="1" a="1"/>
  <c r="T36" i="32" s="1"/>
  <c r="AC36" i="32" s="1" a="1"/>
  <c r="AC36" i="32" s="1"/>
  <c r="AL36" i="32" s="1" a="1"/>
  <c r="AL36" i="32" s="1"/>
  <c r="K37" i="32" a="1"/>
  <c r="K37" i="32" s="1"/>
  <c r="T37" i="32" s="1" a="1"/>
  <c r="T37" i="32" s="1"/>
  <c r="AC37" i="32" s="1" a="1"/>
  <c r="AC37" i="32" s="1"/>
  <c r="AL37" i="32" s="1" a="1"/>
  <c r="AL37" i="32" s="1"/>
  <c r="F37" i="32"/>
  <c r="L36" i="32" a="1"/>
  <c r="L36" i="32" s="1"/>
  <c r="U36" i="32" s="1" a="1"/>
  <c r="U36" i="32" s="1"/>
  <c r="AD36" i="32" s="1" a="1"/>
  <c r="AD36" i="32" s="1"/>
  <c r="AM36" i="32" s="1" a="1"/>
  <c r="AM36" i="32" s="1"/>
  <c r="E37" i="32"/>
  <c r="P37" i="32" a="1"/>
  <c r="P37" i="32" s="1"/>
  <c r="Y37" i="32" s="1" a="1"/>
  <c r="Y37" i="32" s="1"/>
  <c r="AH37" i="32" s="1" a="1"/>
  <c r="AH37" i="32" s="1"/>
  <c r="M36" i="32" a="1"/>
  <c r="M36" i="32" s="1"/>
  <c r="V36" i="32" s="1" a="1"/>
  <c r="V36" i="32" s="1"/>
  <c r="AE36" i="32" s="1" a="1"/>
  <c r="AE36" i="32" s="1"/>
  <c r="AN36" i="32" s="1" a="1"/>
  <c r="AN36" i="32" s="1"/>
  <c r="O36" i="32" a="1"/>
  <c r="O36" i="32" s="1"/>
  <c r="X36" i="32" s="1" a="1"/>
  <c r="X36" i="32" s="1"/>
  <c r="AG36" i="32" s="1" a="1"/>
  <c r="AG36" i="32" s="1"/>
  <c r="AP36" i="32" s="1" a="1"/>
  <c r="AP36" i="32" s="1"/>
  <c r="N36" i="32" a="1"/>
  <c r="N36" i="32" s="1"/>
  <c r="W36" i="32" s="1" a="1"/>
  <c r="W36" i="32" s="1"/>
  <c r="AF36" i="32" s="1" a="1"/>
  <c r="AF36" i="32" s="1"/>
  <c r="AO36" i="32" s="1" a="1"/>
  <c r="AO36" i="32" s="1"/>
  <c r="B37" i="27"/>
  <c r="F42" i="20"/>
  <c r="D37" i="27"/>
  <c r="I37" i="27"/>
  <c r="C37" i="27"/>
  <c r="H37" i="27"/>
  <c r="E37" i="27"/>
  <c r="F37" i="27"/>
  <c r="H38" i="26"/>
  <c r="B38" i="26"/>
  <c r="F38" i="26"/>
  <c r="G38" i="26"/>
  <c r="D38" i="26"/>
  <c r="C38" i="26"/>
  <c r="E38" i="26" s="1"/>
  <c r="J39" i="26"/>
  <c r="A39" i="26" s="1"/>
  <c r="G39" i="26" s="1"/>
  <c r="D26" i="25"/>
  <c r="I26" i="25"/>
  <c r="E26" i="25"/>
  <c r="AR40" i="26"/>
  <c r="AQ41" i="26" s="1"/>
  <c r="L39" i="27"/>
  <c r="K40" i="27" s="1"/>
  <c r="J38" i="27"/>
  <c r="A38" i="27" s="1"/>
  <c r="C28" i="24"/>
  <c r="AW29" i="24"/>
  <c r="K27" i="25"/>
  <c r="C26" i="25"/>
  <c r="F28" i="24"/>
  <c r="G28" i="24"/>
  <c r="E28" i="24"/>
  <c r="J28" i="24"/>
  <c r="I28" i="24"/>
  <c r="D28" i="24"/>
  <c r="H28" i="24"/>
  <c r="E38" i="21"/>
  <c r="I38" i="21"/>
  <c r="F39" i="21"/>
  <c r="H39" i="21"/>
  <c r="G39" i="21"/>
  <c r="B39" i="21"/>
  <c r="E39" i="21" s="1"/>
  <c r="C39" i="21"/>
  <c r="K41" i="21"/>
  <c r="L41" i="21" s="1"/>
  <c r="A40" i="21"/>
  <c r="A39" i="32"/>
  <c r="AQ40" i="32"/>
  <c r="AR40" i="32" s="1"/>
  <c r="B38" i="32"/>
  <c r="C38" i="32"/>
  <c r="D38" i="32" s="1"/>
  <c r="D42" i="20"/>
  <c r="I42" i="20"/>
  <c r="E42" i="20"/>
  <c r="G42" i="20"/>
  <c r="C43" i="20"/>
  <c r="B43" i="20"/>
  <c r="H42" i="20"/>
  <c r="A44" i="20"/>
  <c r="AQ45" i="20"/>
  <c r="AR45" i="20" s="1"/>
  <c r="AC43" i="20" l="1" a="1"/>
  <c r="AC43" i="20" s="1"/>
  <c r="M43" i="20" a="1"/>
  <c r="M43" i="20" s="1"/>
  <c r="T43" i="20" a="1"/>
  <c r="T43" i="20" s="1"/>
  <c r="S43" i="20" a="1"/>
  <c r="S43" i="20" s="1"/>
  <c r="N43" i="20" a="1"/>
  <c r="N43" i="20" s="1"/>
  <c r="AL43" i="20" a="1"/>
  <c r="AL43" i="20" s="1"/>
  <c r="K43" i="20" a="1"/>
  <c r="K43" i="20" s="1"/>
  <c r="AB43" i="20" a="1"/>
  <c r="AB43" i="20" s="1"/>
  <c r="Q43" i="20" a="1"/>
  <c r="Q43" i="20" s="1"/>
  <c r="R43" i="20" a="1"/>
  <c r="R43" i="20" s="1"/>
  <c r="AA43" i="20" a="1"/>
  <c r="AA43" i="20" s="1"/>
  <c r="AK43" i="20" a="1"/>
  <c r="AK43" i="20" s="1"/>
  <c r="X43" i="20" a="1"/>
  <c r="X43" i="20" s="1"/>
  <c r="Z43" i="20" a="1"/>
  <c r="Z43" i="20" s="1"/>
  <c r="O43" i="20" a="1"/>
  <c r="O43" i="20" s="1"/>
  <c r="AP43" i="20" a="1"/>
  <c r="AP43" i="20" s="1"/>
  <c r="AO43" i="20" a="1"/>
  <c r="AO43" i="20" s="1"/>
  <c r="AF43" i="20" a="1"/>
  <c r="AF43" i="20" s="1"/>
  <c r="AJ43" i="20" a="1"/>
  <c r="AJ43" i="20" s="1"/>
  <c r="AM43" i="20" a="1"/>
  <c r="AM43" i="20" s="1"/>
  <c r="AH43" i="20" a="1"/>
  <c r="AH43" i="20" s="1"/>
  <c r="AD43" i="20" a="1"/>
  <c r="AD43" i="20" s="1"/>
  <c r="AI43" i="20" a="1"/>
  <c r="AI43" i="20" s="1"/>
  <c r="V43" i="20" a="1"/>
  <c r="V43" i="20" s="1"/>
  <c r="W43" i="20" a="1"/>
  <c r="W43" i="20" s="1"/>
  <c r="AG43" i="20" a="1"/>
  <c r="AG43" i="20" s="1"/>
  <c r="J43" i="20" a="1"/>
  <c r="J43" i="20" s="1"/>
  <c r="P43" i="20" a="1"/>
  <c r="P43" i="20" s="1"/>
  <c r="L43" i="20" a="1"/>
  <c r="L43" i="20" s="1"/>
  <c r="AE43" i="20" a="1"/>
  <c r="AE43" i="20" s="1"/>
  <c r="O44" i="20" a="1"/>
  <c r="O44" i="20" s="1"/>
  <c r="U44" i="20" a="1"/>
  <c r="U44" i="20" s="1"/>
  <c r="AA44" i="20" a="1"/>
  <c r="AA44" i="20" s="1"/>
  <c r="R44" i="20" a="1"/>
  <c r="R44" i="20" s="1"/>
  <c r="AB44" i="20" a="1"/>
  <c r="AB44" i="20" s="1"/>
  <c r="AJ44" i="20" a="1"/>
  <c r="AJ44" i="20" s="1"/>
  <c r="V44" i="20" a="1"/>
  <c r="V44" i="20" s="1"/>
  <c r="AE44" i="20" a="1"/>
  <c r="AE44" i="20" s="1"/>
  <c r="L44" i="20" a="1"/>
  <c r="L44" i="20" s="1"/>
  <c r="Y44" i="20" a="1"/>
  <c r="Y44" i="20" s="1"/>
  <c r="AK44" i="20" a="1"/>
  <c r="AK44" i="20" s="1"/>
  <c r="M44" i="20" a="1"/>
  <c r="M44" i="20" s="1"/>
  <c r="Q44" i="20" a="1"/>
  <c r="Q44" i="20" s="1"/>
  <c r="AD44" i="20" a="1"/>
  <c r="AD44" i="20" s="1"/>
  <c r="AO44" i="20" a="1"/>
  <c r="AO44" i="20" s="1"/>
  <c r="W44" i="20" a="1"/>
  <c r="W44" i="20" s="1"/>
  <c r="AL44" i="20" a="1"/>
  <c r="AL44" i="20" s="1"/>
  <c r="AM44" i="20" a="1"/>
  <c r="AM44" i="20" s="1"/>
  <c r="K44" i="20" a="1"/>
  <c r="K44" i="20" s="1"/>
  <c r="AG44" i="20" a="1"/>
  <c r="AG44" i="20" s="1"/>
  <c r="N44" i="20" a="1"/>
  <c r="N44" i="20" s="1"/>
  <c r="AH44" i="20" a="1"/>
  <c r="AH44" i="20" s="1"/>
  <c r="T44" i="20" a="1"/>
  <c r="T44" i="20" s="1"/>
  <c r="AP44" i="20" a="1"/>
  <c r="AP44" i="20" s="1"/>
  <c r="P44" i="20" a="1"/>
  <c r="P44" i="20" s="1"/>
  <c r="AF44" i="20" a="1"/>
  <c r="AF44" i="20" s="1"/>
  <c r="J44" i="20" a="1"/>
  <c r="J44" i="20" s="1"/>
  <c r="AC44" i="20" a="1"/>
  <c r="AC44" i="20" s="1"/>
  <c r="S44" i="20" a="1"/>
  <c r="S44" i="20" s="1"/>
  <c r="Z44" i="20" a="1"/>
  <c r="Z44" i="20" s="1"/>
  <c r="AN44" i="20" a="1"/>
  <c r="AN44" i="20" s="1"/>
  <c r="AI44" i="20" a="1"/>
  <c r="AI44" i="20" s="1"/>
  <c r="X44" i="20" a="1"/>
  <c r="X44" i="20" s="1"/>
  <c r="Y43" i="20" a="1"/>
  <c r="Y43" i="20" s="1"/>
  <c r="AN43" i="20" a="1"/>
  <c r="AN43" i="20" s="1"/>
  <c r="U43" i="20" a="1"/>
  <c r="U43" i="20" s="1"/>
  <c r="G39" i="32"/>
  <c r="I39" i="32"/>
  <c r="H39" i="32"/>
  <c r="J37" i="32" a="1"/>
  <c r="J37" i="32" s="1"/>
  <c r="S37" i="32" s="1" a="1"/>
  <c r="S37" i="32" s="1"/>
  <c r="AB37" i="32" s="1" a="1"/>
  <c r="AB37" i="32" s="1"/>
  <c r="AK37" i="32" s="1" a="1"/>
  <c r="AK37" i="32" s="1"/>
  <c r="R37" i="32" a="1"/>
  <c r="R37" i="32" s="1"/>
  <c r="AA37" i="32" s="1" a="1"/>
  <c r="AA37" i="32" s="1"/>
  <c r="AJ37" i="32" s="1" a="1"/>
  <c r="AJ37" i="32" s="1"/>
  <c r="Q37" i="32" a="1"/>
  <c r="Q37" i="32" s="1"/>
  <c r="Z37" i="32" s="1" a="1"/>
  <c r="Z37" i="32" s="1"/>
  <c r="AI37" i="32" s="1" a="1"/>
  <c r="AI37" i="32" s="1"/>
  <c r="F38" i="32"/>
  <c r="E38" i="32"/>
  <c r="J38" i="32" a="1"/>
  <c r="J38" i="32" s="1"/>
  <c r="S38" i="32" s="1" a="1"/>
  <c r="S38" i="32" s="1"/>
  <c r="AB38" i="32" s="1" a="1"/>
  <c r="AB38" i="32" s="1"/>
  <c r="AK38" i="32" s="1" a="1"/>
  <c r="AK38" i="32" s="1"/>
  <c r="M37" i="32" a="1"/>
  <c r="M37" i="32" s="1"/>
  <c r="V37" i="32" s="1" a="1"/>
  <c r="V37" i="32" s="1"/>
  <c r="AE37" i="32" s="1" a="1"/>
  <c r="AE37" i="32" s="1"/>
  <c r="AN37" i="32" s="1" a="1"/>
  <c r="AN37" i="32" s="1"/>
  <c r="L38" i="32" a="1"/>
  <c r="L38" i="32" s="1"/>
  <c r="U38" i="32" s="1" a="1"/>
  <c r="U38" i="32" s="1"/>
  <c r="AD38" i="32" s="1" a="1"/>
  <c r="AD38" i="32" s="1"/>
  <c r="AM38" i="32" s="1" a="1"/>
  <c r="AM38" i="32" s="1"/>
  <c r="K38" i="32" a="1"/>
  <c r="K38" i="32" s="1"/>
  <c r="T38" i="32" s="1" a="1"/>
  <c r="T38" i="32" s="1"/>
  <c r="AC38" i="32" s="1" a="1"/>
  <c r="AC38" i="32" s="1"/>
  <c r="AL38" i="32" s="1" a="1"/>
  <c r="AL38" i="32" s="1"/>
  <c r="N37" i="32" a="1"/>
  <c r="N37" i="32" s="1"/>
  <c r="W37" i="32" s="1" a="1"/>
  <c r="W37" i="32" s="1"/>
  <c r="AF37" i="32" s="1" a="1"/>
  <c r="AF37" i="32" s="1"/>
  <c r="AO37" i="32" s="1" a="1"/>
  <c r="AO37" i="32" s="1"/>
  <c r="O37" i="32" a="1"/>
  <c r="O37" i="32" s="1"/>
  <c r="X37" i="32" s="1" a="1"/>
  <c r="X37" i="32" s="1"/>
  <c r="AG37" i="32" s="1" a="1"/>
  <c r="AG37" i="32" s="1"/>
  <c r="AP37" i="32" s="1" a="1"/>
  <c r="AP37" i="32" s="1"/>
  <c r="J40" i="26"/>
  <c r="A40" i="26" s="1"/>
  <c r="D40" i="26" s="1"/>
  <c r="I43" i="20"/>
  <c r="C39" i="26"/>
  <c r="F39" i="26"/>
  <c r="B39" i="26"/>
  <c r="E39" i="26"/>
  <c r="I39" i="26"/>
  <c r="H39" i="26"/>
  <c r="D39" i="26"/>
  <c r="L40" i="27"/>
  <c r="K41" i="27" s="1"/>
  <c r="J39" i="27"/>
  <c r="A39" i="27" s="1"/>
  <c r="H38" i="27"/>
  <c r="D38" i="27"/>
  <c r="I38" i="27"/>
  <c r="F38" i="27"/>
  <c r="G38" i="27"/>
  <c r="E38" i="27"/>
  <c r="C38" i="27"/>
  <c r="B38" i="27"/>
  <c r="L27" i="25"/>
  <c r="B27" i="25"/>
  <c r="AX29" i="24"/>
  <c r="B29" i="24"/>
  <c r="AR41" i="26"/>
  <c r="AQ42" i="26" s="1"/>
  <c r="I39" i="21"/>
  <c r="D39" i="21"/>
  <c r="K42" i="21"/>
  <c r="L42" i="21" s="1"/>
  <c r="A41" i="21"/>
  <c r="B40" i="21"/>
  <c r="D40" i="21" s="1"/>
  <c r="G40" i="21"/>
  <c r="F40" i="21"/>
  <c r="C40" i="21"/>
  <c r="H40" i="21"/>
  <c r="A40" i="32"/>
  <c r="AQ41" i="32"/>
  <c r="AR41" i="32" s="1"/>
  <c r="C39" i="32"/>
  <c r="D39" i="32" s="1"/>
  <c r="B39" i="32"/>
  <c r="E39" i="32" s="1"/>
  <c r="E43" i="20"/>
  <c r="F43" i="20"/>
  <c r="H43" i="20"/>
  <c r="G43" i="20"/>
  <c r="AQ46" i="20"/>
  <c r="AR46" i="20" s="1"/>
  <c r="A45" i="20"/>
  <c r="B44" i="20"/>
  <c r="C44" i="20"/>
  <c r="D43" i="20"/>
  <c r="R45" i="20" l="1" a="1"/>
  <c r="R45" i="20" s="1"/>
  <c r="AP45" i="20" a="1"/>
  <c r="AP45" i="20" s="1"/>
  <c r="K45" i="20" a="1"/>
  <c r="K45" i="20" s="1"/>
  <c r="S45" i="20" a="1"/>
  <c r="S45" i="20" s="1"/>
  <c r="AA45" i="20" a="1"/>
  <c r="AA45" i="20" s="1"/>
  <c r="AI45" i="20" a="1"/>
  <c r="AI45" i="20" s="1"/>
  <c r="N45" i="20" a="1"/>
  <c r="N45" i="20" s="1"/>
  <c r="V45" i="20" a="1"/>
  <c r="V45" i="20" s="1"/>
  <c r="AL45" i="20" a="1"/>
  <c r="AL45" i="20" s="1"/>
  <c r="X45" i="20" a="1"/>
  <c r="X45" i="20" s="1"/>
  <c r="O45" i="20" a="1"/>
  <c r="O45" i="20" s="1"/>
  <c r="Y45" i="20" a="1"/>
  <c r="Y45" i="20" s="1"/>
  <c r="AJ45" i="20" a="1"/>
  <c r="AJ45" i="20" s="1"/>
  <c r="AC45" i="20" a="1"/>
  <c r="AC45" i="20" s="1"/>
  <c r="AN45" i="20" a="1"/>
  <c r="AN45" i="20" s="1"/>
  <c r="T45" i="20" a="1"/>
  <c r="T45" i="20" s="1"/>
  <c r="AG45" i="20" a="1"/>
  <c r="AG45" i="20" s="1"/>
  <c r="J45" i="20" a="1"/>
  <c r="J45" i="20" s="1"/>
  <c r="AM45" i="20" a="1"/>
  <c r="AM45" i="20" s="1"/>
  <c r="U45" i="20" a="1"/>
  <c r="U45" i="20" s="1"/>
  <c r="AO45" i="20" a="1"/>
  <c r="AO45" i="20" s="1"/>
  <c r="W45" i="20" a="1"/>
  <c r="W45" i="20" s="1"/>
  <c r="Z45" i="20" a="1"/>
  <c r="Z45" i="20" s="1"/>
  <c r="AB45" i="20" a="1"/>
  <c r="AB45" i="20" s="1"/>
  <c r="AF45" i="20" a="1"/>
  <c r="AF45" i="20" s="1"/>
  <c r="Q45" i="20" a="1"/>
  <c r="Q45" i="20" s="1"/>
  <c r="AD45" i="20" a="1"/>
  <c r="AD45" i="20" s="1"/>
  <c r="AK45" i="20" a="1"/>
  <c r="AK45" i="20" s="1"/>
  <c r="AE45" i="20" a="1"/>
  <c r="AE45" i="20" s="1"/>
  <c r="P45" i="20" a="1"/>
  <c r="P45" i="20" s="1"/>
  <c r="L45" i="20" a="1"/>
  <c r="L45" i="20" s="1"/>
  <c r="M45" i="20" a="1"/>
  <c r="M45" i="20" s="1"/>
  <c r="AH45" i="20" a="1"/>
  <c r="AH45" i="20" s="1"/>
  <c r="H40" i="32"/>
  <c r="I40" i="32"/>
  <c r="G40" i="32"/>
  <c r="P38" i="32" a="1"/>
  <c r="P38" i="32" s="1"/>
  <c r="Y38" i="32" s="1" a="1"/>
  <c r="Y38" i="32" s="1"/>
  <c r="AH38" i="32" s="1" a="1"/>
  <c r="AH38" i="32" s="1"/>
  <c r="R38" i="32" a="1"/>
  <c r="R38" i="32" s="1"/>
  <c r="AA38" i="32" s="1" a="1"/>
  <c r="AA38" i="32" s="1"/>
  <c r="AJ38" i="32" s="1" a="1"/>
  <c r="AJ38" i="32" s="1"/>
  <c r="Q38" i="32" a="1"/>
  <c r="Q38" i="32" s="1"/>
  <c r="Z38" i="32" s="1" a="1"/>
  <c r="Z38" i="32" s="1"/>
  <c r="AI38" i="32" s="1" a="1"/>
  <c r="AI38" i="32" s="1"/>
  <c r="F39" i="32"/>
  <c r="Q39" i="32" a="1"/>
  <c r="Q39" i="32" s="1"/>
  <c r="Z39" i="32" s="1" a="1"/>
  <c r="Z39" i="32" s="1"/>
  <c r="AI39" i="32" s="1" a="1"/>
  <c r="AI39" i="32" s="1"/>
  <c r="M38" i="32" a="1"/>
  <c r="M38" i="32" s="1"/>
  <c r="V38" i="32" s="1" a="1"/>
  <c r="V38" i="32" s="1"/>
  <c r="AE38" i="32" s="1" a="1"/>
  <c r="AE38" i="32" s="1"/>
  <c r="AN38" i="32" s="1" a="1"/>
  <c r="AN38" i="32" s="1"/>
  <c r="O38" i="32" a="1"/>
  <c r="O38" i="32" s="1"/>
  <c r="X38" i="32" s="1" a="1"/>
  <c r="X38" i="32" s="1"/>
  <c r="AG38" i="32" s="1" a="1"/>
  <c r="AG38" i="32" s="1"/>
  <c r="AP38" i="32" s="1" a="1"/>
  <c r="AP38" i="32" s="1"/>
  <c r="N38" i="32" a="1"/>
  <c r="N38" i="32" s="1"/>
  <c r="W38" i="32" s="1" a="1"/>
  <c r="W38" i="32" s="1"/>
  <c r="AF38" i="32" s="1" a="1"/>
  <c r="AF38" i="32" s="1"/>
  <c r="AO38" i="32" s="1" a="1"/>
  <c r="AO38" i="32" s="1"/>
  <c r="H44" i="20"/>
  <c r="F44" i="20"/>
  <c r="D44" i="20"/>
  <c r="E44" i="20"/>
  <c r="I44" i="20"/>
  <c r="G44" i="20"/>
  <c r="I40" i="26"/>
  <c r="J41" i="26"/>
  <c r="A41" i="26" s="1"/>
  <c r="B41" i="26" s="1"/>
  <c r="F40" i="26"/>
  <c r="C40" i="26"/>
  <c r="E40" i="26" s="1"/>
  <c r="G40" i="26"/>
  <c r="H40" i="26"/>
  <c r="B40" i="26"/>
  <c r="AR42" i="26"/>
  <c r="AQ43" i="26" s="1"/>
  <c r="E29" i="24"/>
  <c r="I29" i="24"/>
  <c r="J29" i="24"/>
  <c r="G29" i="24"/>
  <c r="H29" i="24"/>
  <c r="F29" i="24"/>
  <c r="D29" i="24"/>
  <c r="D27" i="25"/>
  <c r="I27" i="25"/>
  <c r="E27" i="25"/>
  <c r="K28" i="25"/>
  <c r="C27" i="25"/>
  <c r="E39" i="27"/>
  <c r="C39" i="27"/>
  <c r="F39" i="27"/>
  <c r="G39" i="27"/>
  <c r="D39" i="27"/>
  <c r="H39" i="27"/>
  <c r="I39" i="27"/>
  <c r="B39" i="27"/>
  <c r="AW30" i="24"/>
  <c r="C29" i="24"/>
  <c r="L41" i="27"/>
  <c r="K42" i="27" s="1"/>
  <c r="J40" i="27"/>
  <c r="A40" i="27" s="1"/>
  <c r="E40" i="21"/>
  <c r="B41" i="21"/>
  <c r="I41" i="21" s="1"/>
  <c r="F41" i="21"/>
  <c r="G41" i="21"/>
  <c r="H41" i="21"/>
  <c r="C41" i="21"/>
  <c r="I40" i="21"/>
  <c r="A42" i="21"/>
  <c r="K43" i="21"/>
  <c r="L43" i="21" s="1"/>
  <c r="C40" i="32"/>
  <c r="D40" i="32" s="1"/>
  <c r="B40" i="32"/>
  <c r="AQ42" i="32"/>
  <c r="AR42" i="32" s="1"/>
  <c r="A41" i="32"/>
  <c r="D41" i="32" s="1"/>
  <c r="H45" i="20"/>
  <c r="C45" i="20"/>
  <c r="B45" i="20"/>
  <c r="AQ47" i="20"/>
  <c r="AR47" i="20" s="1"/>
  <c r="A46" i="20"/>
  <c r="G41" i="32" l="1"/>
  <c r="H41" i="32"/>
  <c r="I41" i="32"/>
  <c r="P39" i="32" a="1"/>
  <c r="P39" i="32" s="1"/>
  <c r="Y39" i="32" s="1" a="1"/>
  <c r="Y39" i="32" s="1"/>
  <c r="AH39" i="32" s="1" a="1"/>
  <c r="AH39" i="32" s="1"/>
  <c r="L39" i="32" a="1"/>
  <c r="L39" i="32" s="1"/>
  <c r="U39" i="32" s="1" a="1"/>
  <c r="U39" i="32" s="1"/>
  <c r="AD39" i="32" s="1" a="1"/>
  <c r="AD39" i="32" s="1"/>
  <c r="AM39" i="32" s="1" a="1"/>
  <c r="AM39" i="32" s="1"/>
  <c r="K39" i="32" a="1"/>
  <c r="K39" i="32" s="1"/>
  <c r="T39" i="32" s="1" a="1"/>
  <c r="T39" i="32" s="1"/>
  <c r="AC39" i="32" s="1" a="1"/>
  <c r="AC39" i="32" s="1"/>
  <c r="AL39" i="32" s="1" a="1"/>
  <c r="AL39" i="32" s="1"/>
  <c r="J40" i="32" a="1"/>
  <c r="J40" i="32" s="1"/>
  <c r="S40" i="32" s="1" a="1"/>
  <c r="S40" i="32" s="1"/>
  <c r="AB40" i="32" s="1" a="1"/>
  <c r="AB40" i="32" s="1"/>
  <c r="AK40" i="32" s="1" a="1"/>
  <c r="AK40" i="32" s="1"/>
  <c r="J39" i="32" a="1"/>
  <c r="J39" i="32" s="1"/>
  <c r="S39" i="32" s="1" a="1"/>
  <c r="S39" i="32" s="1"/>
  <c r="AB39" i="32" s="1" a="1"/>
  <c r="AB39" i="32" s="1"/>
  <c r="AK39" i="32" s="1" a="1"/>
  <c r="AK39" i="32" s="1"/>
  <c r="R39" i="32" a="1"/>
  <c r="R39" i="32" s="1"/>
  <c r="AA39" i="32" s="1" a="1"/>
  <c r="AA39" i="32" s="1"/>
  <c r="AJ39" i="32" s="1" a="1"/>
  <c r="AJ39" i="32" s="1"/>
  <c r="F40" i="32"/>
  <c r="E40" i="32"/>
  <c r="J41" i="32" a="1"/>
  <c r="J41" i="32" s="1"/>
  <c r="E41" i="32"/>
  <c r="F41" i="32"/>
  <c r="M39" i="32" a="1"/>
  <c r="M39" i="32" s="1"/>
  <c r="V39" i="32" s="1" a="1"/>
  <c r="V39" i="32" s="1"/>
  <c r="AE39" i="32" s="1" a="1"/>
  <c r="AE39" i="32" s="1"/>
  <c r="AN39" i="32" s="1" a="1"/>
  <c r="AN39" i="32" s="1"/>
  <c r="O39" i="32" a="1"/>
  <c r="O39" i="32" s="1"/>
  <c r="X39" i="32" s="1" a="1"/>
  <c r="X39" i="32" s="1"/>
  <c r="AG39" i="32" s="1" a="1"/>
  <c r="AG39" i="32" s="1"/>
  <c r="AP39" i="32" s="1" a="1"/>
  <c r="AP39" i="32" s="1"/>
  <c r="N39" i="32" a="1"/>
  <c r="N39" i="32" s="1"/>
  <c r="W39" i="32" s="1" a="1"/>
  <c r="W39" i="32" s="1"/>
  <c r="AF39" i="32" s="1" a="1"/>
  <c r="AF39" i="32" s="1"/>
  <c r="AO39" i="32" s="1" a="1"/>
  <c r="AO39" i="32" s="1"/>
  <c r="D45" i="20"/>
  <c r="F45" i="20"/>
  <c r="E45" i="20"/>
  <c r="I45" i="20"/>
  <c r="G45" i="20"/>
  <c r="C41" i="26"/>
  <c r="E41" i="26" s="1"/>
  <c r="G41" i="26"/>
  <c r="D41" i="26"/>
  <c r="F41" i="26"/>
  <c r="H41" i="26"/>
  <c r="I41" i="26"/>
  <c r="J41" i="27"/>
  <c r="A41" i="27" s="1"/>
  <c r="G41" i="27" s="1"/>
  <c r="J42" i="26"/>
  <c r="A42" i="26" s="1"/>
  <c r="H42" i="26" s="1"/>
  <c r="B30" i="24"/>
  <c r="AX30" i="24"/>
  <c r="L28" i="25"/>
  <c r="B28" i="25"/>
  <c r="H40" i="27"/>
  <c r="E40" i="27"/>
  <c r="C40" i="27"/>
  <c r="G40" i="27"/>
  <c r="B40" i="27"/>
  <c r="D40" i="27"/>
  <c r="F40" i="27"/>
  <c r="I40" i="27"/>
  <c r="L42" i="27"/>
  <c r="J42" i="27" s="1"/>
  <c r="A42" i="27" s="1"/>
  <c r="AR43" i="26"/>
  <c r="AQ44" i="26" s="1"/>
  <c r="E41" i="21"/>
  <c r="D41" i="21"/>
  <c r="K44" i="21"/>
  <c r="L44" i="21" s="1"/>
  <c r="A43" i="21"/>
  <c r="G42" i="21"/>
  <c r="B42" i="21"/>
  <c r="I42" i="21" s="1"/>
  <c r="H42" i="21"/>
  <c r="C42" i="21"/>
  <c r="F42" i="21"/>
  <c r="B41" i="32"/>
  <c r="C41" i="32"/>
  <c r="A42" i="32"/>
  <c r="D42" i="32" s="1"/>
  <c r="AQ43" i="32"/>
  <c r="AR43" i="32" s="1"/>
  <c r="B46" i="20"/>
  <c r="C46" i="20"/>
  <c r="A47" i="20"/>
  <c r="AQ48" i="20"/>
  <c r="AR48" i="20" s="1"/>
  <c r="AG46" i="20" l="1" a="1"/>
  <c r="AG46" i="20" s="1"/>
  <c r="S46" i="20" a="1"/>
  <c r="S46" i="20" s="1"/>
  <c r="X46" i="20" a="1"/>
  <c r="X46" i="20" s="1"/>
  <c r="AM46" i="20" a="1"/>
  <c r="AM46" i="20" s="1"/>
  <c r="N46" i="20" a="1"/>
  <c r="N46" i="20" s="1"/>
  <c r="P46" i="20" a="1"/>
  <c r="P46" i="20" s="1"/>
  <c r="AI46" i="20" a="1"/>
  <c r="AI46" i="20" s="1"/>
  <c r="U46" i="20" a="1"/>
  <c r="U46" i="20" s="1"/>
  <c r="AF46" i="20" a="1"/>
  <c r="AF46" i="20" s="1"/>
  <c r="AK46" i="20" a="1"/>
  <c r="AK46" i="20" s="1"/>
  <c r="K46" i="20" a="1"/>
  <c r="K46" i="20" s="1"/>
  <c r="L46" i="20" a="1"/>
  <c r="L46" i="20" s="1"/>
  <c r="AC46" i="20" a="1"/>
  <c r="AC46" i="20" s="1"/>
  <c r="AJ46" i="20" a="1"/>
  <c r="AJ46" i="20" s="1"/>
  <c r="Y46" i="20" a="1"/>
  <c r="Y46" i="20" s="1"/>
  <c r="M46" i="20" a="1"/>
  <c r="M46" i="20" s="1"/>
  <c r="O47" i="20" a="1"/>
  <c r="O47" i="20" s="1"/>
  <c r="AK47" i="20" a="1"/>
  <c r="AK47" i="20" s="1"/>
  <c r="P47" i="20" a="1"/>
  <c r="P47" i="20" s="1"/>
  <c r="W47" i="20" a="1"/>
  <c r="W47" i="20" s="1"/>
  <c r="AD47" i="20" a="1"/>
  <c r="AD47" i="20" s="1"/>
  <c r="K47" i="20" a="1"/>
  <c r="K47" i="20" s="1"/>
  <c r="R47" i="20" a="1"/>
  <c r="R47" i="20" s="1"/>
  <c r="AN47" i="20" a="1"/>
  <c r="AN47" i="20" s="1"/>
  <c r="AE47" i="20" a="1"/>
  <c r="AE47" i="20" s="1"/>
  <c r="L47" i="20" a="1"/>
  <c r="L47" i="20" s="1"/>
  <c r="U47" i="20" a="1"/>
  <c r="U47" i="20" s="1"/>
  <c r="AO47" i="20" a="1"/>
  <c r="AO47" i="20" s="1"/>
  <c r="Y47" i="20" a="1"/>
  <c r="Y47" i="20" s="1"/>
  <c r="V47" i="20" a="1"/>
  <c r="V47" i="20" s="1"/>
  <c r="AI47" i="20" a="1"/>
  <c r="AI47" i="20" s="1"/>
  <c r="J47" i="20" a="1"/>
  <c r="J47" i="20" s="1"/>
  <c r="N47" i="20" a="1"/>
  <c r="N47" i="20" s="1"/>
  <c r="AA47" i="20" a="1"/>
  <c r="AA47" i="20" s="1"/>
  <c r="AM47" i="20" a="1"/>
  <c r="AM47" i="20" s="1"/>
  <c r="AB47" i="20" a="1"/>
  <c r="AB47" i="20" s="1"/>
  <c r="M47" i="20" a="1"/>
  <c r="M47" i="20" s="1"/>
  <c r="AH47" i="20" a="1"/>
  <c r="AH47" i="20" s="1"/>
  <c r="AC47" i="20" a="1"/>
  <c r="AC47" i="20" s="1"/>
  <c r="AF47" i="20" a="1"/>
  <c r="AF47" i="20" s="1"/>
  <c r="Q47" i="20" a="1"/>
  <c r="Q47" i="20" s="1"/>
  <c r="AL47" i="20" a="1"/>
  <c r="AL47" i="20" s="1"/>
  <c r="T47" i="20" a="1"/>
  <c r="T47" i="20" s="1"/>
  <c r="X47" i="20" a="1"/>
  <c r="X47" i="20" s="1"/>
  <c r="Z47" i="20" a="1"/>
  <c r="Z47" i="20" s="1"/>
  <c r="AJ47" i="20" a="1"/>
  <c r="AJ47" i="20" s="1"/>
  <c r="AG47" i="20" a="1"/>
  <c r="AG47" i="20" s="1"/>
  <c r="S47" i="20" a="1"/>
  <c r="S47" i="20" s="1"/>
  <c r="AP47" i="20" a="1"/>
  <c r="AP47" i="20" s="1"/>
  <c r="AE46" i="20" a="1"/>
  <c r="AE46" i="20" s="1"/>
  <c r="T46" i="20" a="1"/>
  <c r="T46" i="20" s="1"/>
  <c r="AH46" i="20" a="1"/>
  <c r="AH46" i="20" s="1"/>
  <c r="AA46" i="20" a="1"/>
  <c r="AA46" i="20" s="1"/>
  <c r="AD46" i="20" a="1"/>
  <c r="AD46" i="20" s="1"/>
  <c r="Z46" i="20" a="1"/>
  <c r="Z46" i="20" s="1"/>
  <c r="V46" i="20" a="1"/>
  <c r="V46" i="20" s="1"/>
  <c r="O46" i="20" a="1"/>
  <c r="O46" i="20" s="1"/>
  <c r="R46" i="20" a="1"/>
  <c r="R46" i="20" s="1"/>
  <c r="AL46" i="20" a="1"/>
  <c r="AL46" i="20" s="1"/>
  <c r="AP46" i="20" a="1"/>
  <c r="AP46" i="20" s="1"/>
  <c r="J46" i="20" a="1"/>
  <c r="J46" i="20" s="1"/>
  <c r="W46" i="20" a="1"/>
  <c r="W46" i="20" s="1"/>
  <c r="AB46" i="20" a="1"/>
  <c r="AB46" i="20" s="1"/>
  <c r="AO46" i="20" a="1"/>
  <c r="AO46" i="20" s="1"/>
  <c r="AN46" i="20" a="1"/>
  <c r="AN46" i="20" s="1"/>
  <c r="Q46" i="20" a="1"/>
  <c r="Q46" i="20" s="1"/>
  <c r="G42" i="32"/>
  <c r="H42" i="32"/>
  <c r="I42" i="32"/>
  <c r="Q40" i="32" a="1"/>
  <c r="Q40" i="32" s="1"/>
  <c r="Z40" i="32" s="1" a="1"/>
  <c r="Z40" i="32" s="1"/>
  <c r="AI40" i="32" s="1" a="1"/>
  <c r="AI40" i="32" s="1"/>
  <c r="R40" i="32" a="1"/>
  <c r="R40" i="32" s="1"/>
  <c r="AA40" i="32" s="1" a="1"/>
  <c r="AA40" i="32" s="1"/>
  <c r="AJ40" i="32" s="1" a="1"/>
  <c r="AJ40" i="32" s="1"/>
  <c r="K40" i="32" a="1"/>
  <c r="K40" i="32" s="1"/>
  <c r="T40" i="32" s="1" a="1"/>
  <c r="T40" i="32" s="1"/>
  <c r="AC40" i="32" s="1" a="1"/>
  <c r="AC40" i="32" s="1"/>
  <c r="AL40" i="32" s="1" a="1"/>
  <c r="AL40" i="32" s="1"/>
  <c r="P40" i="32" a="1"/>
  <c r="P40" i="32" s="1"/>
  <c r="Y40" i="32" s="1" a="1"/>
  <c r="Y40" i="32" s="1"/>
  <c r="AH40" i="32" s="1" a="1"/>
  <c r="AH40" i="32" s="1"/>
  <c r="L40" i="32" a="1"/>
  <c r="L40" i="32" s="1"/>
  <c r="U40" i="32" s="1" a="1"/>
  <c r="U40" i="32" s="1"/>
  <c r="AD40" i="32" s="1" a="1"/>
  <c r="AD40" i="32" s="1"/>
  <c r="AM40" i="32" s="1" a="1"/>
  <c r="AM40" i="32" s="1"/>
  <c r="J42" i="32" a="1"/>
  <c r="J42" i="32" s="1"/>
  <c r="E42" i="32"/>
  <c r="F42" i="32"/>
  <c r="R41" i="32" a="1"/>
  <c r="R41" i="32" s="1"/>
  <c r="AA41" i="32" s="1" a="1"/>
  <c r="AA41" i="32" s="1"/>
  <c r="AJ41" i="32" s="1" a="1"/>
  <c r="AJ41" i="32" s="1"/>
  <c r="M41" i="32" a="1"/>
  <c r="M41" i="32" s="1"/>
  <c r="V41" i="32" s="1" a="1"/>
  <c r="V41" i="32" s="1"/>
  <c r="AE41" i="32" s="1" a="1"/>
  <c r="AE41" i="32" s="1"/>
  <c r="AN41" i="32" s="1" a="1"/>
  <c r="AN41" i="32" s="1"/>
  <c r="O41" i="32" a="1"/>
  <c r="O41" i="32" s="1"/>
  <c r="X41" i="32" s="1" a="1"/>
  <c r="X41" i="32" s="1"/>
  <c r="AG41" i="32" s="1" a="1"/>
  <c r="AG41" i="32" s="1"/>
  <c r="AP41" i="32" s="1" a="1"/>
  <c r="AP41" i="32" s="1"/>
  <c r="S41" i="32" a="1"/>
  <c r="S41" i="32" s="1"/>
  <c r="AB41" i="32" s="1" a="1"/>
  <c r="AB41" i="32" s="1"/>
  <c r="AK41" i="32" s="1" a="1"/>
  <c r="AK41" i="32" s="1"/>
  <c r="K41" i="32" a="1"/>
  <c r="K41" i="32" s="1"/>
  <c r="T41" i="32" s="1" a="1"/>
  <c r="T41" i="32" s="1"/>
  <c r="AC41" i="32" s="1" a="1"/>
  <c r="AC41" i="32" s="1"/>
  <c r="AL41" i="32" s="1" a="1"/>
  <c r="AL41" i="32" s="1"/>
  <c r="M40" i="32" a="1"/>
  <c r="M40" i="32" s="1"/>
  <c r="V40" i="32" s="1" a="1"/>
  <c r="V40" i="32" s="1"/>
  <c r="AE40" i="32" s="1" a="1"/>
  <c r="AE40" i="32" s="1"/>
  <c r="AN40" i="32" s="1" a="1"/>
  <c r="AN40" i="32" s="1"/>
  <c r="O40" i="32" a="1"/>
  <c r="O40" i="32" s="1"/>
  <c r="X40" i="32" s="1" a="1"/>
  <c r="X40" i="32" s="1"/>
  <c r="AG40" i="32" s="1" a="1"/>
  <c r="AG40" i="32" s="1"/>
  <c r="AP40" i="32" s="1" a="1"/>
  <c r="AP40" i="32" s="1"/>
  <c r="N40" i="32" a="1"/>
  <c r="N40" i="32" s="1"/>
  <c r="W40" i="32" s="1" a="1"/>
  <c r="W40" i="32" s="1"/>
  <c r="AF40" i="32" s="1" a="1"/>
  <c r="AF40" i="32" s="1"/>
  <c r="AO40" i="32" s="1" a="1"/>
  <c r="AO40" i="32" s="1"/>
  <c r="Q41" i="32" a="1"/>
  <c r="Q41" i="32" s="1"/>
  <c r="Z41" i="32" s="1" a="1"/>
  <c r="Z41" i="32" s="1"/>
  <c r="AI41" i="32" s="1" a="1"/>
  <c r="AI41" i="32" s="1"/>
  <c r="P41" i="32" a="1"/>
  <c r="P41" i="32" s="1"/>
  <c r="Y41" i="32" s="1" a="1"/>
  <c r="Y41" i="32" s="1"/>
  <c r="AH41" i="32" s="1" a="1"/>
  <c r="AH41" i="32" s="1"/>
  <c r="L41" i="32" a="1"/>
  <c r="L41" i="32" s="1"/>
  <c r="U41" i="32" s="1" a="1"/>
  <c r="U41" i="32" s="1"/>
  <c r="AD41" i="32" s="1" a="1"/>
  <c r="AD41" i="32" s="1"/>
  <c r="AM41" i="32" s="1" a="1"/>
  <c r="AM41" i="32" s="1"/>
  <c r="D42" i="21"/>
  <c r="E42" i="21"/>
  <c r="J43" i="26"/>
  <c r="A43" i="26" s="1"/>
  <c r="F43" i="26" s="1"/>
  <c r="H46" i="20"/>
  <c r="C42" i="26"/>
  <c r="E42" i="26" s="1"/>
  <c r="H41" i="27"/>
  <c r="D42" i="26"/>
  <c r="C41" i="27"/>
  <c r="B42" i="26"/>
  <c r="D41" i="27"/>
  <c r="I42" i="26"/>
  <c r="I41" i="27"/>
  <c r="F42" i="26"/>
  <c r="B41" i="27"/>
  <c r="F41" i="27"/>
  <c r="G42" i="26"/>
  <c r="E41" i="27"/>
  <c r="AR44" i="26"/>
  <c r="AQ45" i="26" s="1"/>
  <c r="F42" i="27"/>
  <c r="D42" i="27"/>
  <c r="E42" i="27"/>
  <c r="I42" i="27"/>
  <c r="G42" i="27"/>
  <c r="C42" i="27"/>
  <c r="H42" i="27"/>
  <c r="B42" i="27"/>
  <c r="C28" i="25"/>
  <c r="D28" i="25" s="1"/>
  <c r="K29" i="25"/>
  <c r="E28" i="25"/>
  <c r="I28" i="25"/>
  <c r="C30" i="24"/>
  <c r="AW31" i="24"/>
  <c r="E30" i="24"/>
  <c r="F30" i="24"/>
  <c r="H30" i="24"/>
  <c r="D30" i="24"/>
  <c r="G30" i="24"/>
  <c r="J30" i="24"/>
  <c r="I30" i="24"/>
  <c r="C43" i="21"/>
  <c r="H43" i="21"/>
  <c r="G43" i="21"/>
  <c r="B43" i="21"/>
  <c r="I43" i="21" s="1"/>
  <c r="F43" i="21"/>
  <c r="K45" i="21"/>
  <c r="L45" i="21" s="1"/>
  <c r="A44" i="21"/>
  <c r="A43" i="32"/>
  <c r="AQ44" i="32"/>
  <c r="AR44" i="32" s="1"/>
  <c r="C42" i="32"/>
  <c r="B42" i="32"/>
  <c r="I46" i="20"/>
  <c r="D46" i="20"/>
  <c r="G46" i="20"/>
  <c r="E46" i="20"/>
  <c r="F46" i="20"/>
  <c r="AQ49" i="20"/>
  <c r="AR49" i="20" s="1"/>
  <c r="A48" i="20"/>
  <c r="B47" i="20"/>
  <c r="C47" i="20"/>
  <c r="K48" i="20" l="1" a="1"/>
  <c r="K48" i="20" s="1"/>
  <c r="R48" i="20" a="1"/>
  <c r="R48" i="20" s="1"/>
  <c r="AN48" i="20" a="1"/>
  <c r="AN48" i="20" s="1"/>
  <c r="S48" i="20" a="1"/>
  <c r="S48" i="20" s="1"/>
  <c r="Z48" i="20" a="1"/>
  <c r="Z48" i="20" s="1"/>
  <c r="AG48" i="20" a="1"/>
  <c r="AG48" i="20" s="1"/>
  <c r="N48" i="20" a="1"/>
  <c r="N48" i="20" s="1"/>
  <c r="U48" i="20" a="1"/>
  <c r="U48" i="20" s="1"/>
  <c r="AJ48" i="20" a="1"/>
  <c r="AJ48" i="20" s="1"/>
  <c r="Q48" i="20" a="1"/>
  <c r="Q48" i="20" s="1"/>
  <c r="AA48" i="20" a="1"/>
  <c r="AA48" i="20" s="1"/>
  <c r="AK48" i="20" a="1"/>
  <c r="AK48" i="20" s="1"/>
  <c r="AD48" i="20" a="1"/>
  <c r="AD48" i="20" s="1"/>
  <c r="AM48" i="20" a="1"/>
  <c r="AM48" i="20" s="1"/>
  <c r="AB48" i="20" a="1"/>
  <c r="AB48" i="20" s="1"/>
  <c r="AO48" i="20" a="1"/>
  <c r="AO48" i="20" s="1"/>
  <c r="O48" i="20" a="1"/>
  <c r="O48" i="20" s="1"/>
  <c r="AC48" i="20" a="1"/>
  <c r="AC48" i="20" s="1"/>
  <c r="T48" i="20" a="1"/>
  <c r="T48" i="20" s="1"/>
  <c r="AF48" i="20" a="1"/>
  <c r="AF48" i="20" s="1"/>
  <c r="L48" i="20" a="1"/>
  <c r="L48" i="20" s="1"/>
  <c r="M48" i="20" a="1"/>
  <c r="M48" i="20" s="1"/>
  <c r="AE48" i="20" a="1"/>
  <c r="AE48" i="20" s="1"/>
  <c r="AI48" i="20" a="1"/>
  <c r="AI48" i="20" s="1"/>
  <c r="V48" i="20" a="1"/>
  <c r="V48" i="20" s="1"/>
  <c r="AP48" i="20" a="1"/>
  <c r="AP48" i="20" s="1"/>
  <c r="Y48" i="20" a="1"/>
  <c r="Y48" i="20" s="1"/>
  <c r="W48" i="20" a="1"/>
  <c r="W48" i="20" s="1"/>
  <c r="AH48" i="20" a="1"/>
  <c r="AH48" i="20" s="1"/>
  <c r="P48" i="20" a="1"/>
  <c r="P48" i="20" s="1"/>
  <c r="X48" i="20" a="1"/>
  <c r="X48" i="20" s="1"/>
  <c r="J48" i="20" a="1"/>
  <c r="J48" i="20" s="1"/>
  <c r="AL48" i="20" a="1"/>
  <c r="AL48" i="20" s="1"/>
  <c r="G43" i="32"/>
  <c r="H43" i="32"/>
  <c r="I43" i="32"/>
  <c r="K42" i="32" a="1"/>
  <c r="K42" i="32" s="1"/>
  <c r="T42" i="32" s="1" a="1"/>
  <c r="T42" i="32" s="1"/>
  <c r="AC42" i="32" s="1" a="1"/>
  <c r="AC42" i="32" s="1"/>
  <c r="AL42" i="32" s="1" a="1"/>
  <c r="AL42" i="32" s="1"/>
  <c r="Q42" i="32" a="1"/>
  <c r="Q42" i="32" s="1"/>
  <c r="Z42" i="32" s="1" a="1"/>
  <c r="Z42" i="32" s="1"/>
  <c r="AI42" i="32" s="1" a="1"/>
  <c r="AI42" i="32" s="1"/>
  <c r="M42" i="32" a="1"/>
  <c r="M42" i="32" s="1"/>
  <c r="V42" i="32" s="1" a="1"/>
  <c r="V42" i="32" s="1"/>
  <c r="AE42" i="32" s="1" a="1"/>
  <c r="AE42" i="32" s="1"/>
  <c r="AN42" i="32" s="1" a="1"/>
  <c r="AN42" i="32" s="1"/>
  <c r="O42" i="32" a="1"/>
  <c r="O42" i="32" s="1"/>
  <c r="X42" i="32" s="1" a="1"/>
  <c r="X42" i="32" s="1"/>
  <c r="AG42" i="32" s="1" a="1"/>
  <c r="AG42" i="32" s="1"/>
  <c r="AP42" i="32" s="1" a="1"/>
  <c r="AP42" i="32" s="1"/>
  <c r="L42" i="32" a="1"/>
  <c r="L42" i="32" s="1"/>
  <c r="U42" i="32" s="1" a="1"/>
  <c r="U42" i="32" s="1"/>
  <c r="AD42" i="32" s="1" a="1"/>
  <c r="AD42" i="32" s="1"/>
  <c r="AM42" i="32" s="1" a="1"/>
  <c r="AM42" i="32" s="1"/>
  <c r="P42" i="32" a="1"/>
  <c r="P42" i="32" s="1"/>
  <c r="Y42" i="32" s="1" a="1"/>
  <c r="Y42" i="32" s="1"/>
  <c r="AH42" i="32" s="1" a="1"/>
  <c r="AH42" i="32" s="1"/>
  <c r="N42" i="32" a="1"/>
  <c r="N42" i="32" s="1"/>
  <c r="W42" i="32" s="1" a="1"/>
  <c r="W42" i="32" s="1"/>
  <c r="AF42" i="32" s="1" a="1"/>
  <c r="AF42" i="32" s="1"/>
  <c r="AO42" i="32" s="1" a="1"/>
  <c r="AO42" i="32" s="1"/>
  <c r="R42" i="32" a="1"/>
  <c r="R42" i="32" s="1"/>
  <c r="AA42" i="32" s="1" a="1"/>
  <c r="AA42" i="32" s="1"/>
  <c r="AJ42" i="32" s="1" a="1"/>
  <c r="AJ42" i="32" s="1"/>
  <c r="N41" i="32" a="1"/>
  <c r="N41" i="32" s="1"/>
  <c r="W41" i="32" s="1" a="1"/>
  <c r="W41" i="32" s="1"/>
  <c r="AF41" i="32" s="1" a="1"/>
  <c r="AF41" i="32" s="1"/>
  <c r="AO41" i="32" s="1" a="1"/>
  <c r="AO41" i="32" s="1"/>
  <c r="S42" i="32" a="1"/>
  <c r="S42" i="32" s="1"/>
  <c r="AB42" i="32" s="1" a="1"/>
  <c r="AB42" i="32" s="1"/>
  <c r="AK42" i="32" s="1" a="1"/>
  <c r="AK42" i="32" s="1"/>
  <c r="G47" i="20"/>
  <c r="E47" i="20"/>
  <c r="E43" i="21"/>
  <c r="F47" i="20"/>
  <c r="D47" i="20"/>
  <c r="I47" i="20"/>
  <c r="D43" i="21"/>
  <c r="H47" i="20"/>
  <c r="I43" i="26"/>
  <c r="H43" i="26"/>
  <c r="G43" i="26"/>
  <c r="D43" i="26"/>
  <c r="C43" i="26"/>
  <c r="E43" i="26" s="1"/>
  <c r="B43" i="26"/>
  <c r="J44" i="26"/>
  <c r="A44" i="26" s="1"/>
  <c r="F44" i="26" s="1"/>
  <c r="B31" i="24"/>
  <c r="AX31" i="24"/>
  <c r="L29" i="25"/>
  <c r="B29" i="25"/>
  <c r="AR45" i="26"/>
  <c r="AQ46" i="26" s="1"/>
  <c r="C44" i="21"/>
  <c r="H44" i="21"/>
  <c r="F44" i="21"/>
  <c r="G44" i="21"/>
  <c r="B44" i="21"/>
  <c r="I44" i="21" s="1"/>
  <c r="A45" i="21"/>
  <c r="K46" i="21"/>
  <c r="L46" i="21" s="1"/>
  <c r="A44" i="32"/>
  <c r="D44" i="32" s="1"/>
  <c r="AQ45" i="32"/>
  <c r="AR45" i="32" s="1"/>
  <c r="C43" i="32"/>
  <c r="D43" i="32" s="1"/>
  <c r="B43" i="32"/>
  <c r="C48" i="20"/>
  <c r="B48" i="20"/>
  <c r="AQ50" i="20"/>
  <c r="AR50" i="20" s="1"/>
  <c r="A49" i="20"/>
  <c r="G44" i="32" l="1"/>
  <c r="H44" i="32"/>
  <c r="I44" i="32"/>
  <c r="K43" i="32" a="1"/>
  <c r="K43" i="32" s="1"/>
  <c r="T43" i="32" s="1" a="1"/>
  <c r="T43" i="32" s="1"/>
  <c r="AC43" i="32" s="1" a="1"/>
  <c r="AC43" i="32" s="1"/>
  <c r="AL43" i="32" s="1" a="1"/>
  <c r="AL43" i="32" s="1"/>
  <c r="F43" i="32"/>
  <c r="P43" i="32" a="1"/>
  <c r="P43" i="32" s="1"/>
  <c r="Y43" i="32" s="1" a="1"/>
  <c r="Y43" i="32" s="1"/>
  <c r="AH43" i="32" s="1" a="1"/>
  <c r="AH43" i="32" s="1"/>
  <c r="E43" i="32"/>
  <c r="J44" i="32" a="1"/>
  <c r="J44" i="32" s="1"/>
  <c r="F44" i="32"/>
  <c r="E44" i="32"/>
  <c r="L43" i="32" a="1"/>
  <c r="L43" i="32" s="1"/>
  <c r="U43" i="32" s="1" a="1"/>
  <c r="U43" i="32" s="1"/>
  <c r="AD43" i="32" s="1" a="1"/>
  <c r="AD43" i="32" s="1"/>
  <c r="AM43" i="32" s="1" a="1"/>
  <c r="AM43" i="32" s="1"/>
  <c r="H48" i="20"/>
  <c r="E48" i="20"/>
  <c r="I48" i="20"/>
  <c r="F48" i="20"/>
  <c r="G48" i="20"/>
  <c r="D48" i="20"/>
  <c r="I44" i="26"/>
  <c r="B44" i="26"/>
  <c r="C44" i="26"/>
  <c r="E44" i="26" s="1"/>
  <c r="G44" i="26"/>
  <c r="D44" i="26"/>
  <c r="H44" i="26"/>
  <c r="AR46" i="26"/>
  <c r="AQ47" i="26" s="1"/>
  <c r="J45" i="26"/>
  <c r="A45" i="26" s="1"/>
  <c r="E29" i="25"/>
  <c r="I29" i="25"/>
  <c r="K30" i="25"/>
  <c r="C29" i="25"/>
  <c r="D29" i="25" s="1"/>
  <c r="AW32" i="24"/>
  <c r="C31" i="24"/>
  <c r="E31" i="24"/>
  <c r="I31" i="24"/>
  <c r="F31" i="24"/>
  <c r="G31" i="24"/>
  <c r="D31" i="24"/>
  <c r="H31" i="24"/>
  <c r="J31" i="24"/>
  <c r="E44" i="21"/>
  <c r="D44" i="21"/>
  <c r="B45" i="21"/>
  <c r="E45" i="21" s="1"/>
  <c r="G45" i="21"/>
  <c r="C45" i="21"/>
  <c r="F45" i="21"/>
  <c r="H45" i="21"/>
  <c r="A46" i="21"/>
  <c r="K47" i="21"/>
  <c r="L47" i="21" s="1"/>
  <c r="A45" i="32"/>
  <c r="D45" i="32" s="1"/>
  <c r="AQ46" i="32"/>
  <c r="AR46" i="32" s="1"/>
  <c r="B44" i="32"/>
  <c r="C44" i="32"/>
  <c r="AQ51" i="20"/>
  <c r="AR51" i="20" s="1"/>
  <c r="A50" i="20"/>
  <c r="C49" i="20"/>
  <c r="B49" i="20"/>
  <c r="N49" i="20" l="1" a="1"/>
  <c r="N49" i="20" s="1"/>
  <c r="AE49" i="20" a="1"/>
  <c r="AE49" i="20" s="1"/>
  <c r="M49" i="20" a="1"/>
  <c r="M49" i="20" s="1"/>
  <c r="V49" i="20" a="1"/>
  <c r="V49" i="20" s="1"/>
  <c r="AD49" i="20" a="1"/>
  <c r="AD49" i="20" s="1"/>
  <c r="L49" i="20" a="1"/>
  <c r="L49" i="20" s="1"/>
  <c r="AI49" i="20" a="1"/>
  <c r="AI49" i="20" s="1"/>
  <c r="S49" i="20" a="1"/>
  <c r="S49" i="20" s="1"/>
  <c r="AK49" i="20" a="1"/>
  <c r="AK49" i="20" s="1"/>
  <c r="O49" i="20" a="1"/>
  <c r="O49" i="20" s="1"/>
  <c r="X49" i="20" a="1"/>
  <c r="X49" i="20" s="1"/>
  <c r="AM49" i="20" a="1"/>
  <c r="AM49" i="20" s="1"/>
  <c r="AL49" i="20" a="1"/>
  <c r="AL49" i="20" s="1"/>
  <c r="Q49" i="20" a="1"/>
  <c r="Q49" i="20" s="1"/>
  <c r="AF49" i="20" a="1"/>
  <c r="AF49" i="20" s="1"/>
  <c r="Y49" i="20" a="1"/>
  <c r="Y49" i="20" s="1"/>
  <c r="AH49" i="20" a="1"/>
  <c r="AH49" i="20" s="1"/>
  <c r="J49" i="20" a="1"/>
  <c r="J49" i="20" s="1"/>
  <c r="AA49" i="20" a="1"/>
  <c r="AA49" i="20" s="1"/>
  <c r="P49" i="20" a="1"/>
  <c r="P49" i="20" s="1"/>
  <c r="T49" i="20" a="1"/>
  <c r="T49" i="20" s="1"/>
  <c r="AJ49" i="20" a="1"/>
  <c r="AJ49" i="20" s="1"/>
  <c r="K49" i="20" a="1"/>
  <c r="K49" i="20" s="1"/>
  <c r="AG49" i="20" a="1"/>
  <c r="AG49" i="20" s="1"/>
  <c r="AC49" i="20" a="1"/>
  <c r="AC49" i="20" s="1"/>
  <c r="AB49" i="20" a="1"/>
  <c r="AB49" i="20" s="1"/>
  <c r="Z49" i="20" a="1"/>
  <c r="Z49" i="20" s="1"/>
  <c r="AP49" i="20" a="1"/>
  <c r="AP49" i="20" s="1"/>
  <c r="AN49" i="20" a="1"/>
  <c r="AN49" i="20" s="1"/>
  <c r="AO49" i="20" a="1"/>
  <c r="AO49" i="20" s="1"/>
  <c r="U49" i="20" a="1"/>
  <c r="U49" i="20" s="1"/>
  <c r="R49" i="20" a="1"/>
  <c r="R49" i="20" s="1"/>
  <c r="W49" i="20" a="1"/>
  <c r="W49" i="20" s="1"/>
  <c r="G45" i="32"/>
  <c r="H45" i="32"/>
  <c r="I45" i="32"/>
  <c r="J43" i="32" a="1"/>
  <c r="J43" i="32" s="1"/>
  <c r="S43" i="32" s="1" a="1"/>
  <c r="S43" i="32" s="1"/>
  <c r="AB43" i="32" s="1" a="1"/>
  <c r="AB43" i="32" s="1"/>
  <c r="AK43" i="32" s="1" a="1"/>
  <c r="AK43" i="32" s="1"/>
  <c r="R43" i="32" a="1"/>
  <c r="R43" i="32" s="1"/>
  <c r="AA43" i="32" s="1" a="1"/>
  <c r="AA43" i="32" s="1"/>
  <c r="AJ43" i="32" s="1" a="1"/>
  <c r="AJ43" i="32" s="1"/>
  <c r="Q43" i="32" a="1"/>
  <c r="Q43" i="32" s="1"/>
  <c r="Z43" i="32" s="1" a="1"/>
  <c r="Z43" i="32" s="1"/>
  <c r="AI43" i="32" s="1" a="1"/>
  <c r="AI43" i="32" s="1"/>
  <c r="J45" i="32" a="1"/>
  <c r="J45" i="32" s="1"/>
  <c r="E45" i="32"/>
  <c r="F45" i="32"/>
  <c r="K44" i="32" a="1"/>
  <c r="K44" i="32" s="1"/>
  <c r="T44" i="32" s="1" a="1"/>
  <c r="T44" i="32" s="1"/>
  <c r="AC44" i="32" s="1" a="1"/>
  <c r="AC44" i="32" s="1"/>
  <c r="AL44" i="32" s="1" a="1"/>
  <c r="AL44" i="32" s="1"/>
  <c r="R44" i="32" a="1"/>
  <c r="R44" i="32" s="1"/>
  <c r="AA44" i="32" s="1" a="1"/>
  <c r="AA44" i="32" s="1"/>
  <c r="AJ44" i="32" s="1" a="1"/>
  <c r="AJ44" i="32" s="1"/>
  <c r="N43" i="32" a="1"/>
  <c r="N43" i="32" s="1"/>
  <c r="W43" i="32" s="1" a="1"/>
  <c r="W43" i="32" s="1"/>
  <c r="AF43" i="32" s="1" a="1"/>
  <c r="AF43" i="32" s="1"/>
  <c r="AO43" i="32" s="1" a="1"/>
  <c r="AO43" i="32" s="1"/>
  <c r="L44" i="32" a="1"/>
  <c r="L44" i="32" s="1"/>
  <c r="U44" i="32" s="1" a="1"/>
  <c r="U44" i="32" s="1"/>
  <c r="AD44" i="32" s="1" a="1"/>
  <c r="AD44" i="32" s="1"/>
  <c r="AM44" i="32" s="1" a="1"/>
  <c r="AM44" i="32" s="1"/>
  <c r="P44" i="32" a="1"/>
  <c r="P44" i="32" s="1"/>
  <c r="Y44" i="32" s="1" a="1"/>
  <c r="Y44" i="32" s="1"/>
  <c r="AH44" i="32" s="1" a="1"/>
  <c r="AH44" i="32" s="1"/>
  <c r="N44" i="32" a="1"/>
  <c r="N44" i="32" s="1"/>
  <c r="W44" i="32" s="1" a="1"/>
  <c r="W44" i="32" s="1"/>
  <c r="AF44" i="32" s="1" a="1"/>
  <c r="AF44" i="32" s="1"/>
  <c r="AO44" i="32" s="1" a="1"/>
  <c r="AO44" i="32" s="1"/>
  <c r="Q44" i="32" a="1"/>
  <c r="Q44" i="32" s="1"/>
  <c r="Z44" i="32" s="1" a="1"/>
  <c r="Z44" i="32" s="1"/>
  <c r="AI44" i="32" s="1" a="1"/>
  <c r="AI44" i="32" s="1"/>
  <c r="M43" i="32" a="1"/>
  <c r="M43" i="32" s="1"/>
  <c r="V43" i="32" s="1" a="1"/>
  <c r="V43" i="32" s="1"/>
  <c r="AE43" i="32" s="1" a="1"/>
  <c r="AE43" i="32" s="1"/>
  <c r="AN43" i="32" s="1" a="1"/>
  <c r="AN43" i="32" s="1"/>
  <c r="S44" i="32" a="1"/>
  <c r="S44" i="32" s="1"/>
  <c r="AB44" i="32" s="1" a="1"/>
  <c r="AB44" i="32" s="1"/>
  <c r="AK44" i="32" s="1" a="1"/>
  <c r="AK44" i="32" s="1"/>
  <c r="O43" i="32" a="1"/>
  <c r="O43" i="32" s="1"/>
  <c r="X43" i="32" s="1" a="1"/>
  <c r="X43" i="32" s="1"/>
  <c r="AG43" i="32" s="1" a="1"/>
  <c r="AG43" i="32" s="1"/>
  <c r="AP43" i="32" s="1" a="1"/>
  <c r="AP43" i="32" s="1"/>
  <c r="I45" i="21"/>
  <c r="D45" i="21"/>
  <c r="J46" i="26"/>
  <c r="A46" i="26" s="1"/>
  <c r="F46" i="26" s="1"/>
  <c r="L30" i="25"/>
  <c r="B30" i="25"/>
  <c r="B45" i="26"/>
  <c r="C45" i="26"/>
  <c r="E45" i="26" s="1"/>
  <c r="F45" i="26"/>
  <c r="H45" i="26"/>
  <c r="I45" i="26"/>
  <c r="D45" i="26"/>
  <c r="G45" i="26"/>
  <c r="AX32" i="24"/>
  <c r="B32" i="24"/>
  <c r="AR47" i="26"/>
  <c r="AQ48" i="26" s="1"/>
  <c r="A47" i="21"/>
  <c r="K48" i="21"/>
  <c r="L48" i="21" s="1"/>
  <c r="F46" i="21"/>
  <c r="G46" i="21"/>
  <c r="B46" i="21"/>
  <c r="E46" i="21" s="1"/>
  <c r="C46" i="21"/>
  <c r="H46" i="21"/>
  <c r="C45" i="32"/>
  <c r="B45" i="32"/>
  <c r="A46" i="32"/>
  <c r="AQ47" i="32"/>
  <c r="AR47" i="32" s="1"/>
  <c r="E49" i="20"/>
  <c r="D49" i="20"/>
  <c r="H49" i="20"/>
  <c r="I49" i="20"/>
  <c r="F49" i="20"/>
  <c r="B50" i="20"/>
  <c r="C50" i="20"/>
  <c r="G49" i="20"/>
  <c r="AQ52" i="20"/>
  <c r="AR52" i="20" s="1"/>
  <c r="A51" i="20"/>
  <c r="K50" i="20" l="1" a="1"/>
  <c r="K50" i="20" s="1"/>
  <c r="AC50" i="20" a="1"/>
  <c r="AC50" i="20" s="1"/>
  <c r="AP50" i="20" a="1"/>
  <c r="AP50" i="20" s="1"/>
  <c r="AF50" i="20" a="1"/>
  <c r="AF50" i="20" s="1"/>
  <c r="AJ50" i="20" a="1"/>
  <c r="AJ50" i="20" s="1"/>
  <c r="AO50" i="20" a="1"/>
  <c r="AO50" i="20" s="1"/>
  <c r="AN50" i="20" a="1"/>
  <c r="AN50" i="20" s="1"/>
  <c r="R50" i="20" a="1"/>
  <c r="R50" i="20" s="1"/>
  <c r="AB50" i="20" a="1"/>
  <c r="AB50" i="20" s="1"/>
  <c r="X50" i="20" a="1"/>
  <c r="X50" i="20" s="1"/>
  <c r="J50" i="20" a="1"/>
  <c r="J50" i="20" s="1"/>
  <c r="M50" i="20" a="1"/>
  <c r="M50" i="20" s="1"/>
  <c r="P50" i="20" a="1"/>
  <c r="P50" i="20" s="1"/>
  <c r="AD50" i="20" a="1"/>
  <c r="AD50" i="20" s="1"/>
  <c r="AK50" i="20" a="1"/>
  <c r="AK50" i="20" s="1"/>
  <c r="AM50" i="20" a="1"/>
  <c r="AM50" i="20" s="1"/>
  <c r="W50" i="20" a="1"/>
  <c r="W50" i="20" s="1"/>
  <c r="Z50" i="20" a="1"/>
  <c r="Z50" i="20" s="1"/>
  <c r="AG50" i="20" a="1"/>
  <c r="AG50" i="20" s="1"/>
  <c r="Q50" i="20" a="1"/>
  <c r="Q50" i="20" s="1"/>
  <c r="AH50" i="20" a="1"/>
  <c r="AH50" i="20" s="1"/>
  <c r="AA50" i="20" a="1"/>
  <c r="AA50" i="20" s="1"/>
  <c r="N50" i="20" a="1"/>
  <c r="N50" i="20" s="1"/>
  <c r="V50" i="20" a="1"/>
  <c r="V50" i="20" s="1"/>
  <c r="U50" i="20" a="1"/>
  <c r="U50" i="20" s="1"/>
  <c r="Y50" i="20" a="1"/>
  <c r="Y50" i="20" s="1"/>
  <c r="L50" i="20" a="1"/>
  <c r="L50" i="20" s="1"/>
  <c r="O50" i="20" a="1"/>
  <c r="O50" i="20" s="1"/>
  <c r="AL50" i="20" a="1"/>
  <c r="AL50" i="20" s="1"/>
  <c r="AI50" i="20" a="1"/>
  <c r="AI50" i="20" s="1"/>
  <c r="T50" i="20" a="1"/>
  <c r="T50" i="20" s="1"/>
  <c r="S50" i="20" a="1"/>
  <c r="S50" i="20" s="1"/>
  <c r="AE50" i="20" a="1"/>
  <c r="AE50" i="20" s="1"/>
  <c r="H46" i="32"/>
  <c r="I46" i="32"/>
  <c r="G46" i="32"/>
  <c r="M45" i="32" a="1"/>
  <c r="M45" i="32" s="1"/>
  <c r="V45" i="32" s="1" a="1"/>
  <c r="V45" i="32" s="1"/>
  <c r="AE45" i="32" s="1" a="1"/>
  <c r="AE45" i="32" s="1"/>
  <c r="AN45" i="32" s="1" a="1"/>
  <c r="AN45" i="32" s="1"/>
  <c r="M44" i="32" a="1"/>
  <c r="M44" i="32" s="1"/>
  <c r="V44" i="32" s="1" a="1"/>
  <c r="V44" i="32" s="1"/>
  <c r="AE44" i="32" s="1" a="1"/>
  <c r="AE44" i="32" s="1"/>
  <c r="AN44" i="32" s="1" a="1"/>
  <c r="AN44" i="32" s="1"/>
  <c r="P45" i="32" a="1"/>
  <c r="P45" i="32" s="1"/>
  <c r="Y45" i="32" s="1" a="1"/>
  <c r="Y45" i="32" s="1"/>
  <c r="AH45" i="32" s="1" a="1"/>
  <c r="AH45" i="32" s="1"/>
  <c r="L45" i="32" a="1"/>
  <c r="L45" i="32" s="1"/>
  <c r="U45" i="32" s="1" a="1"/>
  <c r="U45" i="32" s="1"/>
  <c r="AD45" i="32" s="1" a="1"/>
  <c r="AD45" i="32" s="1"/>
  <c r="AM45" i="32" s="1" a="1"/>
  <c r="AM45" i="32" s="1"/>
  <c r="O44" i="32" a="1"/>
  <c r="O44" i="32" s="1"/>
  <c r="X44" i="32" s="1" a="1"/>
  <c r="X44" i="32" s="1"/>
  <c r="AG44" i="32" s="1" a="1"/>
  <c r="AG44" i="32" s="1"/>
  <c r="AP44" i="32" s="1" a="1"/>
  <c r="AP44" i="32" s="1"/>
  <c r="S45" i="32" a="1"/>
  <c r="S45" i="32" s="1"/>
  <c r="AB45" i="32" s="1" a="1"/>
  <c r="AB45" i="32" s="1"/>
  <c r="AK45" i="32" s="1" a="1"/>
  <c r="AK45" i="32" s="1"/>
  <c r="Q45" i="32" a="1"/>
  <c r="Q45" i="32" s="1"/>
  <c r="Z45" i="32" s="1" a="1"/>
  <c r="Z45" i="32" s="1"/>
  <c r="AI45" i="32" s="1" a="1"/>
  <c r="AI45" i="32" s="1"/>
  <c r="R45" i="32" a="1"/>
  <c r="R45" i="32" s="1"/>
  <c r="AA45" i="32" s="1" a="1"/>
  <c r="AA45" i="32" s="1"/>
  <c r="AJ45" i="32" s="1" a="1"/>
  <c r="AJ45" i="32" s="1"/>
  <c r="K45" i="32" a="1"/>
  <c r="K45" i="32" s="1"/>
  <c r="T45" i="32" s="1" a="1"/>
  <c r="T45" i="32" s="1"/>
  <c r="AC45" i="32" s="1" a="1"/>
  <c r="AC45" i="32" s="1"/>
  <c r="AL45" i="32" s="1" a="1"/>
  <c r="AL45" i="32" s="1"/>
  <c r="D46" i="21"/>
  <c r="I46" i="21"/>
  <c r="H46" i="26"/>
  <c r="B46" i="26"/>
  <c r="E46" i="26"/>
  <c r="C46" i="26"/>
  <c r="I46" i="26"/>
  <c r="D46" i="26"/>
  <c r="G46" i="26"/>
  <c r="D50" i="20"/>
  <c r="J47" i="26"/>
  <c r="A47" i="26" s="1"/>
  <c r="AR48" i="26"/>
  <c r="AQ49" i="26" s="1"/>
  <c r="E32" i="24"/>
  <c r="D32" i="24"/>
  <c r="J32" i="24"/>
  <c r="G32" i="24"/>
  <c r="H32" i="24"/>
  <c r="F32" i="24"/>
  <c r="I32" i="24"/>
  <c r="AW33" i="24"/>
  <c r="C32" i="24"/>
  <c r="I30" i="25"/>
  <c r="E30" i="25"/>
  <c r="K31" i="25"/>
  <c r="C30" i="25"/>
  <c r="D30" i="25" s="1"/>
  <c r="A48" i="21"/>
  <c r="K49" i="21"/>
  <c r="L49" i="21" s="1"/>
  <c r="H47" i="21"/>
  <c r="F47" i="21"/>
  <c r="G47" i="21"/>
  <c r="B47" i="21"/>
  <c r="I47" i="21" s="1"/>
  <c r="C47" i="21"/>
  <c r="B46" i="32"/>
  <c r="C46" i="32"/>
  <c r="D46" i="32" s="1"/>
  <c r="A47" i="32"/>
  <c r="AQ48" i="32"/>
  <c r="AR48" i="32" s="1"/>
  <c r="I50" i="20"/>
  <c r="E50" i="20"/>
  <c r="H50" i="20"/>
  <c r="G50" i="20"/>
  <c r="F50" i="20"/>
  <c r="C51" i="20"/>
  <c r="B51" i="20"/>
  <c r="A52" i="20"/>
  <c r="AQ53" i="20"/>
  <c r="AR53" i="20" s="1"/>
  <c r="W51" i="20" l="1" a="1"/>
  <c r="W51" i="20" s="1"/>
  <c r="AI51" i="20" a="1"/>
  <c r="AI51" i="20" s="1"/>
  <c r="AB51" i="20" a="1"/>
  <c r="AB51" i="20" s="1"/>
  <c r="AM51" i="20" a="1"/>
  <c r="AM51" i="20" s="1"/>
  <c r="T51" i="20" a="1"/>
  <c r="T51" i="20" s="1"/>
  <c r="AK51" i="20" a="1"/>
  <c r="AK51" i="20" s="1"/>
  <c r="AE51" i="20" a="1"/>
  <c r="AE51" i="20" s="1"/>
  <c r="P51" i="20" a="1"/>
  <c r="P51" i="20" s="1"/>
  <c r="V51" i="20" a="1"/>
  <c r="V51" i="20" s="1"/>
  <c r="O51" i="20" a="1"/>
  <c r="O51" i="20" s="1"/>
  <c r="AL51" i="20" a="1"/>
  <c r="AL51" i="20" s="1"/>
  <c r="N51" i="20" a="1"/>
  <c r="N51" i="20" s="1"/>
  <c r="AP51" i="20" a="1"/>
  <c r="AP51" i="20" s="1"/>
  <c r="S51" i="20" a="1"/>
  <c r="S51" i="20" s="1"/>
  <c r="AG51" i="20" a="1"/>
  <c r="AG51" i="20" s="1"/>
  <c r="AJ51" i="20" a="1"/>
  <c r="AJ51" i="20" s="1"/>
  <c r="AN51" i="20" a="1"/>
  <c r="AN51" i="20" s="1"/>
  <c r="K51" i="20" a="1"/>
  <c r="K51" i="20" s="1"/>
  <c r="AD51" i="20" a="1"/>
  <c r="AD51" i="20" s="1"/>
  <c r="O52" i="20" a="1"/>
  <c r="O52" i="20" s="1"/>
  <c r="U52" i="20" a="1"/>
  <c r="U52" i="20" s="1"/>
  <c r="AA52" i="20" a="1"/>
  <c r="AA52" i="20" s="1"/>
  <c r="AG52" i="20" a="1"/>
  <c r="AG52" i="20" s="1"/>
  <c r="AM52" i="20" a="1"/>
  <c r="AM52" i="20" s="1"/>
  <c r="V52" i="20" a="1"/>
  <c r="V52" i="20" s="1"/>
  <c r="AD52" i="20" a="1"/>
  <c r="AD52" i="20" s="1"/>
  <c r="N52" i="20" a="1"/>
  <c r="N52" i="20" s="1"/>
  <c r="AL52" i="20" a="1"/>
  <c r="AL52" i="20" s="1"/>
  <c r="Q52" i="20" a="1"/>
  <c r="Q52" i="20" s="1"/>
  <c r="Y52" i="20" a="1"/>
  <c r="Y52" i="20" s="1"/>
  <c r="AO52" i="20" a="1"/>
  <c r="AO52" i="20" s="1"/>
  <c r="J52" i="20" a="1"/>
  <c r="J52" i="20" s="1"/>
  <c r="AE52" i="20" a="1"/>
  <c r="AE52" i="20" s="1"/>
  <c r="AP52" i="20" a="1"/>
  <c r="AP52" i="20" s="1"/>
  <c r="T52" i="20" a="1"/>
  <c r="T52" i="20" s="1"/>
  <c r="M52" i="20" a="1"/>
  <c r="M52" i="20" s="1"/>
  <c r="AI52" i="20" a="1"/>
  <c r="AI52" i="20" s="1"/>
  <c r="R52" i="20" a="1"/>
  <c r="R52" i="20" s="1"/>
  <c r="AF52" i="20" a="1"/>
  <c r="AF52" i="20" s="1"/>
  <c r="AH52" i="20" a="1"/>
  <c r="AH52" i="20" s="1"/>
  <c r="X52" i="20" a="1"/>
  <c r="X52" i="20" s="1"/>
  <c r="AK52" i="20" a="1"/>
  <c r="AK52" i="20" s="1"/>
  <c r="K52" i="20" a="1"/>
  <c r="K52" i="20" s="1"/>
  <c r="AB52" i="20" a="1"/>
  <c r="AB52" i="20" s="1"/>
  <c r="L52" i="20" a="1"/>
  <c r="L52" i="20" s="1"/>
  <c r="AJ52" i="20" a="1"/>
  <c r="AJ52" i="20" s="1"/>
  <c r="W52" i="20" a="1"/>
  <c r="W52" i="20" s="1"/>
  <c r="Z52" i="20" a="1"/>
  <c r="Z52" i="20" s="1"/>
  <c r="P52" i="20" a="1"/>
  <c r="P52" i="20" s="1"/>
  <c r="S52" i="20" a="1"/>
  <c r="S52" i="20" s="1"/>
  <c r="AC52" i="20" a="1"/>
  <c r="AC52" i="20" s="1"/>
  <c r="AN52" i="20" a="1"/>
  <c r="AN52" i="20" s="1"/>
  <c r="AC51" i="20" a="1"/>
  <c r="AC51" i="20" s="1"/>
  <c r="AF51" i="20" a="1"/>
  <c r="AF51" i="20" s="1"/>
  <c r="X51" i="20" a="1"/>
  <c r="X51" i="20" s="1"/>
  <c r="Q51" i="20" a="1"/>
  <c r="Q51" i="20" s="1"/>
  <c r="U51" i="20" a="1"/>
  <c r="U51" i="20" s="1"/>
  <c r="R51" i="20" a="1"/>
  <c r="R51" i="20" s="1"/>
  <c r="M51" i="20" a="1"/>
  <c r="M51" i="20" s="1"/>
  <c r="AH51" i="20" a="1"/>
  <c r="AH51" i="20" s="1"/>
  <c r="L51" i="20" a="1"/>
  <c r="L51" i="20" s="1"/>
  <c r="AA51" i="20" a="1"/>
  <c r="AA51" i="20" s="1"/>
  <c r="Z51" i="20" a="1"/>
  <c r="Z51" i="20" s="1"/>
  <c r="Y51" i="20" a="1"/>
  <c r="Y51" i="20" s="1"/>
  <c r="J51" i="20" a="1"/>
  <c r="J51" i="20" s="1"/>
  <c r="AO51" i="20" a="1"/>
  <c r="AO51" i="20" s="1"/>
  <c r="G47" i="32"/>
  <c r="I47" i="32"/>
  <c r="H47" i="32"/>
  <c r="F46" i="32"/>
  <c r="E46" i="32"/>
  <c r="J46" i="32" a="1"/>
  <c r="J46" i="32" s="1"/>
  <c r="S46" i="32" s="1" a="1"/>
  <c r="S46" i="32" s="1"/>
  <c r="AB46" i="32" s="1" a="1"/>
  <c r="AB46" i="32" s="1"/>
  <c r="AK46" i="32" s="1" a="1"/>
  <c r="AK46" i="32" s="1"/>
  <c r="N45" i="32" a="1"/>
  <c r="N45" i="32" s="1"/>
  <c r="W45" i="32" s="1" a="1"/>
  <c r="W45" i="32" s="1"/>
  <c r="AF45" i="32" s="1" a="1"/>
  <c r="AF45" i="32" s="1"/>
  <c r="AO45" i="32" s="1" a="1"/>
  <c r="AO45" i="32" s="1"/>
  <c r="O45" i="32" a="1"/>
  <c r="O45" i="32" s="1"/>
  <c r="X45" i="32" s="1" a="1"/>
  <c r="X45" i="32" s="1"/>
  <c r="AG45" i="32" s="1" a="1"/>
  <c r="AG45" i="32" s="1"/>
  <c r="AP45" i="32" s="1" a="1"/>
  <c r="AP45" i="32" s="1"/>
  <c r="D51" i="20"/>
  <c r="J48" i="26"/>
  <c r="A48" i="26" s="1"/>
  <c r="G48" i="26" s="1"/>
  <c r="B33" i="24"/>
  <c r="AX33" i="24"/>
  <c r="AR49" i="26"/>
  <c r="AQ50" i="26" s="1"/>
  <c r="B31" i="25"/>
  <c r="L31" i="25"/>
  <c r="H47" i="26"/>
  <c r="D47" i="26"/>
  <c r="B47" i="26"/>
  <c r="F47" i="26"/>
  <c r="C47" i="26"/>
  <c r="E47" i="26" s="1"/>
  <c r="G47" i="26"/>
  <c r="I47" i="26"/>
  <c r="F51" i="20"/>
  <c r="E47" i="21"/>
  <c r="K50" i="21"/>
  <c r="L50" i="21" s="1"/>
  <c r="A49" i="21"/>
  <c r="D47" i="21"/>
  <c r="F48" i="21"/>
  <c r="B48" i="21"/>
  <c r="D48" i="21" s="1"/>
  <c r="G48" i="21"/>
  <c r="C48" i="21"/>
  <c r="H48" i="21"/>
  <c r="AQ49" i="32"/>
  <c r="AR49" i="32" s="1"/>
  <c r="A48" i="32"/>
  <c r="C47" i="32"/>
  <c r="D47" i="32" s="1"/>
  <c r="B47" i="32"/>
  <c r="H51" i="20"/>
  <c r="G51" i="20"/>
  <c r="I51" i="20"/>
  <c r="E51" i="20"/>
  <c r="AQ54" i="20"/>
  <c r="AR54" i="20" s="1"/>
  <c r="A53" i="20"/>
  <c r="H52" i="20"/>
  <c r="C52" i="20"/>
  <c r="B52" i="20"/>
  <c r="E52" i="20"/>
  <c r="G52" i="20"/>
  <c r="I52" i="20"/>
  <c r="L53" i="20" l="1" a="1"/>
  <c r="L53" i="20" s="1"/>
  <c r="R53" i="20" a="1"/>
  <c r="R53" i="20" s="1"/>
  <c r="X53" i="20" a="1"/>
  <c r="X53" i="20" s="1"/>
  <c r="AD53" i="20" a="1"/>
  <c r="AD53" i="20" s="1"/>
  <c r="AJ53" i="20" a="1"/>
  <c r="AJ53" i="20" s="1"/>
  <c r="AP53" i="20" a="1"/>
  <c r="AP53" i="20" s="1"/>
  <c r="M53" i="20" a="1"/>
  <c r="M53" i="20" s="1"/>
  <c r="U53" i="20" a="1"/>
  <c r="U53" i="20" s="1"/>
  <c r="AB53" i="20" a="1"/>
  <c r="AB53" i="20" s="1"/>
  <c r="AI53" i="20" a="1"/>
  <c r="AI53" i="20" s="1"/>
  <c r="P53" i="20" a="1"/>
  <c r="P53" i="20" s="1"/>
  <c r="AE53" i="20" a="1"/>
  <c r="AE53" i="20" s="1"/>
  <c r="AL53" i="20" a="1"/>
  <c r="AL53" i="20" s="1"/>
  <c r="S53" i="20" a="1"/>
  <c r="S53" i="20" s="1"/>
  <c r="AC53" i="20" a="1"/>
  <c r="AC53" i="20" s="1"/>
  <c r="AM53" i="20" a="1"/>
  <c r="AM53" i="20" s="1"/>
  <c r="W53" i="20" a="1"/>
  <c r="W53" i="20" s="1"/>
  <c r="AG53" i="20" a="1"/>
  <c r="AG53" i="20" s="1"/>
  <c r="N53" i="20" a="1"/>
  <c r="N53" i="20" s="1"/>
  <c r="Z53" i="20" a="1"/>
  <c r="Z53" i="20" s="1"/>
  <c r="AN53" i="20" a="1"/>
  <c r="AN53" i="20" s="1"/>
  <c r="O53" i="20" a="1"/>
  <c r="O53" i="20" s="1"/>
  <c r="AA53" i="20" a="1"/>
  <c r="AA53" i="20" s="1"/>
  <c r="AF53" i="20" a="1"/>
  <c r="AF53" i="20" s="1"/>
  <c r="AH53" i="20" a="1"/>
  <c r="AH53" i="20" s="1"/>
  <c r="K53" i="20" a="1"/>
  <c r="K53" i="20" s="1"/>
  <c r="AK53" i="20" a="1"/>
  <c r="AK53" i="20" s="1"/>
  <c r="Q53" i="20" a="1"/>
  <c r="Q53" i="20" s="1"/>
  <c r="AO53" i="20" a="1"/>
  <c r="AO53" i="20" s="1"/>
  <c r="T53" i="20" a="1"/>
  <c r="T53" i="20" s="1"/>
  <c r="Y53" i="20" a="1"/>
  <c r="Y53" i="20" s="1"/>
  <c r="V53" i="20" a="1"/>
  <c r="V53" i="20" s="1"/>
  <c r="J53" i="20" a="1"/>
  <c r="J53" i="20" s="1"/>
  <c r="H48" i="32"/>
  <c r="I48" i="32"/>
  <c r="G48" i="32"/>
  <c r="L46" i="32" a="1"/>
  <c r="L46" i="32" s="1"/>
  <c r="U46" i="32" s="1" a="1"/>
  <c r="U46" i="32" s="1"/>
  <c r="AD46" i="32" s="1" a="1"/>
  <c r="AD46" i="32" s="1"/>
  <c r="AM46" i="32" s="1" a="1"/>
  <c r="AM46" i="32" s="1"/>
  <c r="K46" i="32" a="1"/>
  <c r="K46" i="32" s="1"/>
  <c r="T46" i="32" s="1" a="1"/>
  <c r="T46" i="32" s="1"/>
  <c r="AC46" i="32" s="1" a="1"/>
  <c r="AC46" i="32" s="1"/>
  <c r="AL46" i="32" s="1" a="1"/>
  <c r="AL46" i="32" s="1"/>
  <c r="Q46" i="32" a="1"/>
  <c r="Q46" i="32" s="1"/>
  <c r="Z46" i="32" s="1" a="1"/>
  <c r="Z46" i="32" s="1"/>
  <c r="AI46" i="32" s="1" a="1"/>
  <c r="AI46" i="32" s="1"/>
  <c r="P46" i="32" a="1"/>
  <c r="P46" i="32" s="1"/>
  <c r="Y46" i="32" s="1" a="1"/>
  <c r="Y46" i="32" s="1"/>
  <c r="AH46" i="32" s="1" a="1"/>
  <c r="AH46" i="32" s="1"/>
  <c r="R46" i="32" a="1"/>
  <c r="R46" i="32" s="1"/>
  <c r="AA46" i="32" s="1" a="1"/>
  <c r="AA46" i="32" s="1"/>
  <c r="AJ46" i="32" s="1" a="1"/>
  <c r="AJ46" i="32" s="1"/>
  <c r="P47" i="32" a="1"/>
  <c r="P47" i="32" s="1"/>
  <c r="Y47" i="32" s="1" a="1"/>
  <c r="Y47" i="32" s="1"/>
  <c r="AH47" i="32" s="1" a="1"/>
  <c r="AH47" i="32" s="1"/>
  <c r="Q47" i="32" a="1"/>
  <c r="Q47" i="32" s="1"/>
  <c r="Z47" i="32" s="1" a="1"/>
  <c r="Z47" i="32" s="1"/>
  <c r="AI47" i="32" s="1" a="1"/>
  <c r="AI47" i="32" s="1"/>
  <c r="F47" i="32"/>
  <c r="E47" i="32"/>
  <c r="M46" i="32" a="1"/>
  <c r="M46" i="32" s="1"/>
  <c r="V46" i="32" s="1" a="1"/>
  <c r="V46" i="32" s="1"/>
  <c r="AE46" i="32" s="1" a="1"/>
  <c r="AE46" i="32" s="1"/>
  <c r="AN46" i="32" s="1" a="1"/>
  <c r="AN46" i="32" s="1"/>
  <c r="N46" i="32" a="1"/>
  <c r="N46" i="32" s="1"/>
  <c r="W46" i="32" s="1" a="1"/>
  <c r="W46" i="32" s="1"/>
  <c r="AF46" i="32" s="1" a="1"/>
  <c r="AF46" i="32" s="1"/>
  <c r="AO46" i="32" s="1" a="1"/>
  <c r="AO46" i="32" s="1"/>
  <c r="O46" i="32" a="1"/>
  <c r="O46" i="32" s="1"/>
  <c r="X46" i="32" s="1" a="1"/>
  <c r="X46" i="32" s="1"/>
  <c r="AG46" i="32" s="1" a="1"/>
  <c r="AG46" i="32" s="1"/>
  <c r="AP46" i="32" s="1" a="1"/>
  <c r="AP46" i="32" s="1"/>
  <c r="D52" i="20"/>
  <c r="F52" i="20"/>
  <c r="B48" i="26"/>
  <c r="I48" i="26"/>
  <c r="C48" i="26"/>
  <c r="E48" i="26" s="1"/>
  <c r="H48" i="26"/>
  <c r="F48" i="26"/>
  <c r="D48" i="26"/>
  <c r="I31" i="25"/>
  <c r="E31" i="25"/>
  <c r="AR50" i="26"/>
  <c r="J50" i="26" s="1"/>
  <c r="A50" i="26" s="1"/>
  <c r="K32" i="25"/>
  <c r="C31" i="25"/>
  <c r="D31" i="25" s="1"/>
  <c r="J49" i="26"/>
  <c r="A49" i="26" s="1"/>
  <c r="C33" i="24"/>
  <c r="AW34" i="24"/>
  <c r="D33" i="24"/>
  <c r="G33" i="24"/>
  <c r="J33" i="24"/>
  <c r="E33" i="24"/>
  <c r="I33" i="24"/>
  <c r="H33" i="24"/>
  <c r="F33" i="24"/>
  <c r="B49" i="21"/>
  <c r="E49" i="21" s="1"/>
  <c r="C49" i="21"/>
  <c r="F49" i="21"/>
  <c r="H49" i="21"/>
  <c r="G49" i="21"/>
  <c r="E48" i="21"/>
  <c r="I48" i="21"/>
  <c r="A50" i="21"/>
  <c r="K51" i="21"/>
  <c r="L51" i="21" s="1"/>
  <c r="C48" i="32"/>
  <c r="D48" i="32" s="1"/>
  <c r="B48" i="32"/>
  <c r="AQ50" i="32"/>
  <c r="AR50" i="32" s="1"/>
  <c r="A49" i="32"/>
  <c r="D49" i="32" s="1"/>
  <c r="C53" i="20"/>
  <c r="B53" i="20"/>
  <c r="AQ55" i="20"/>
  <c r="AR55" i="20" s="1"/>
  <c r="A54" i="20"/>
  <c r="G49" i="32" l="1"/>
  <c r="H49" i="32"/>
  <c r="I49" i="32"/>
  <c r="L47" i="32" a="1"/>
  <c r="L47" i="32" s="1"/>
  <c r="U47" i="32" s="1" a="1"/>
  <c r="U47" i="32" s="1"/>
  <c r="AD47" i="32" s="1" a="1"/>
  <c r="AD47" i="32" s="1"/>
  <c r="AM47" i="32" s="1" a="1"/>
  <c r="AM47" i="32" s="1"/>
  <c r="K47" i="32" a="1"/>
  <c r="K47" i="32" s="1"/>
  <c r="T47" i="32" s="1" a="1"/>
  <c r="T47" i="32" s="1"/>
  <c r="AC47" i="32" s="1" a="1"/>
  <c r="AC47" i="32" s="1"/>
  <c r="AL47" i="32" s="1" a="1"/>
  <c r="AL47" i="32" s="1"/>
  <c r="R47" i="32" a="1"/>
  <c r="R47" i="32" s="1"/>
  <c r="AA47" i="32" s="1" a="1"/>
  <c r="AA47" i="32" s="1"/>
  <c r="AJ47" i="32" s="1" a="1"/>
  <c r="AJ47" i="32" s="1"/>
  <c r="J47" i="32" a="1"/>
  <c r="J47" i="32" s="1"/>
  <c r="S47" i="32" s="1" a="1"/>
  <c r="S47" i="32" s="1"/>
  <c r="AB47" i="32" s="1" a="1"/>
  <c r="AB47" i="32" s="1"/>
  <c r="AK47" i="32" s="1" a="1"/>
  <c r="AK47" i="32" s="1"/>
  <c r="F48" i="32"/>
  <c r="E48" i="32"/>
  <c r="K48" i="32" a="1"/>
  <c r="K48" i="32" s="1"/>
  <c r="T48" i="32" s="1" a="1"/>
  <c r="T48" i="32" s="1"/>
  <c r="AC48" i="32" s="1" a="1"/>
  <c r="AC48" i="32" s="1"/>
  <c r="AL48" i="32" s="1" a="1"/>
  <c r="AL48" i="32" s="1"/>
  <c r="J49" i="32" a="1"/>
  <c r="J49" i="32" s="1"/>
  <c r="E49" i="32"/>
  <c r="F49" i="32"/>
  <c r="N47" i="32" a="1"/>
  <c r="N47" i="32" s="1"/>
  <c r="W47" i="32" s="1" a="1"/>
  <c r="W47" i="32" s="1"/>
  <c r="AF47" i="32" s="1" a="1"/>
  <c r="AF47" i="32" s="1"/>
  <c r="AO47" i="32" s="1" a="1"/>
  <c r="AO47" i="32" s="1"/>
  <c r="O47" i="32" a="1"/>
  <c r="O47" i="32" s="1"/>
  <c r="X47" i="32" s="1" a="1"/>
  <c r="X47" i="32" s="1"/>
  <c r="AG47" i="32" s="1" a="1"/>
  <c r="AG47" i="32" s="1"/>
  <c r="AP47" i="32" s="1" a="1"/>
  <c r="AP47" i="32" s="1"/>
  <c r="P48" i="32" a="1"/>
  <c r="P48" i="32" s="1"/>
  <c r="Y48" i="32" s="1" a="1"/>
  <c r="Y48" i="32" s="1"/>
  <c r="AH48" i="32" s="1" a="1"/>
  <c r="AH48" i="32" s="1"/>
  <c r="L48" i="32" a="1"/>
  <c r="L48" i="32" s="1"/>
  <c r="U48" i="32" s="1" a="1"/>
  <c r="U48" i="32" s="1"/>
  <c r="AD48" i="32" s="1" a="1"/>
  <c r="AD48" i="32" s="1"/>
  <c r="AM48" i="32" s="1" a="1"/>
  <c r="AM48" i="32" s="1"/>
  <c r="M47" i="32" a="1"/>
  <c r="M47" i="32" s="1"/>
  <c r="V47" i="32" s="1" a="1"/>
  <c r="V47" i="32" s="1"/>
  <c r="AE47" i="32" s="1" a="1"/>
  <c r="AE47" i="32" s="1"/>
  <c r="AN47" i="32" s="1" a="1"/>
  <c r="AN47" i="32" s="1"/>
  <c r="J48" i="32" a="1"/>
  <c r="J48" i="32" s="1"/>
  <c r="E53" i="20"/>
  <c r="F53" i="20"/>
  <c r="I53" i="20"/>
  <c r="H53" i="20"/>
  <c r="G53" i="20"/>
  <c r="D53" i="20"/>
  <c r="F50" i="26"/>
  <c r="D50" i="26"/>
  <c r="B50" i="26"/>
  <c r="C50" i="26"/>
  <c r="E50" i="26" s="1"/>
  <c r="G50" i="26"/>
  <c r="H50" i="26"/>
  <c r="I50" i="26"/>
  <c r="B49" i="26"/>
  <c r="H49" i="26"/>
  <c r="C49" i="26"/>
  <c r="E49" i="26" s="1"/>
  <c r="F49" i="26"/>
  <c r="G49" i="26"/>
  <c r="I49" i="26"/>
  <c r="D49" i="26"/>
  <c r="B32" i="25"/>
  <c r="L32" i="25"/>
  <c r="B34" i="24"/>
  <c r="AX34" i="24"/>
  <c r="I49" i="21"/>
  <c r="D49" i="21"/>
  <c r="K52" i="21"/>
  <c r="L52" i="21" s="1"/>
  <c r="A51" i="21"/>
  <c r="F50" i="21"/>
  <c r="H50" i="21"/>
  <c r="G50" i="21"/>
  <c r="B50" i="21"/>
  <c r="D50" i="21" s="1"/>
  <c r="C50" i="21"/>
  <c r="B49" i="32"/>
  <c r="C49" i="32"/>
  <c r="AQ51" i="32"/>
  <c r="AR51" i="32" s="1"/>
  <c r="A50" i="32"/>
  <c r="D50" i="32" s="1"/>
  <c r="B54" i="20"/>
  <c r="C54" i="20"/>
  <c r="O54" i="20" s="1" a="1"/>
  <c r="O54" i="20" s="1"/>
  <c r="AQ56" i="20"/>
  <c r="AR56" i="20" s="1"/>
  <c r="A55" i="20"/>
  <c r="AB54" i="20" l="1" a="1"/>
  <c r="AB54" i="20" s="1"/>
  <c r="N54" i="20" a="1"/>
  <c r="N54" i="20" s="1"/>
  <c r="Y54" i="20" a="1"/>
  <c r="Y54" i="20" s="1"/>
  <c r="AI54" i="20" a="1"/>
  <c r="AI54" i="20" s="1"/>
  <c r="AN54" i="20" a="1"/>
  <c r="AN54" i="20" s="1"/>
  <c r="AH54" i="20" a="1"/>
  <c r="AH54" i="20" s="1"/>
  <c r="M54" i="20" a="1"/>
  <c r="M54" i="20" s="1"/>
  <c r="AJ54" i="20" a="1"/>
  <c r="AJ54" i="20" s="1"/>
  <c r="Q54" i="20" a="1"/>
  <c r="Q54" i="20" s="1"/>
  <c r="K54" i="20" a="1"/>
  <c r="K54" i="20" s="1"/>
  <c r="R54" i="20" a="1"/>
  <c r="R54" i="20" s="1"/>
  <c r="J54" i="20" a="1"/>
  <c r="J54" i="20" s="1"/>
  <c r="AO54" i="20" a="1"/>
  <c r="AO54" i="20" s="1"/>
  <c r="P54" i="20" a="1"/>
  <c r="P54" i="20" s="1"/>
  <c r="AL54" i="20" a="1"/>
  <c r="AL54" i="20" s="1"/>
  <c r="Z54" i="20" a="1"/>
  <c r="Z54" i="20" s="1"/>
  <c r="AK54" i="20" a="1"/>
  <c r="AK54" i="20" s="1"/>
  <c r="AE54" i="20" a="1"/>
  <c r="AE54" i="20" s="1"/>
  <c r="V54" i="20" a="1"/>
  <c r="V54" i="20" s="1"/>
  <c r="W54" i="20" a="1"/>
  <c r="W54" i="20" s="1"/>
  <c r="X54" i="20" a="1"/>
  <c r="X54" i="20" s="1"/>
  <c r="AP54" i="20" a="1"/>
  <c r="AP54" i="20" s="1"/>
  <c r="L54" i="20" a="1"/>
  <c r="L54" i="20" s="1"/>
  <c r="AG54" i="20" a="1"/>
  <c r="AG54" i="20" s="1"/>
  <c r="AM54" i="20" a="1"/>
  <c r="AM54" i="20" s="1"/>
  <c r="AF54" i="20" a="1"/>
  <c r="AF54" i="20" s="1"/>
  <c r="AA54" i="20" a="1"/>
  <c r="AA54" i="20" s="1"/>
  <c r="AD54" i="20" a="1"/>
  <c r="AD54" i="20" s="1"/>
  <c r="T54" i="20" a="1"/>
  <c r="T54" i="20" s="1"/>
  <c r="U54" i="20" a="1"/>
  <c r="U54" i="20" s="1"/>
  <c r="AC54" i="20" a="1"/>
  <c r="AC54" i="20" s="1"/>
  <c r="S54" i="20" a="1"/>
  <c r="S54" i="20" s="1"/>
  <c r="G50" i="32"/>
  <c r="H50" i="32"/>
  <c r="I50" i="32"/>
  <c r="Q48" i="32" a="1"/>
  <c r="Q48" i="32" s="1"/>
  <c r="Z48" i="32" s="1" a="1"/>
  <c r="Z48" i="32" s="1"/>
  <c r="AI48" i="32" s="1" a="1"/>
  <c r="AI48" i="32" s="1"/>
  <c r="R48" i="32" a="1"/>
  <c r="R48" i="32" s="1"/>
  <c r="AA48" i="32" s="1" a="1"/>
  <c r="AA48" i="32" s="1"/>
  <c r="AJ48" i="32" s="1" a="1"/>
  <c r="AJ48" i="32" s="1"/>
  <c r="J50" i="32" a="1"/>
  <c r="J50" i="32" s="1"/>
  <c r="E50" i="32"/>
  <c r="F50" i="32"/>
  <c r="S48" i="32" a="1"/>
  <c r="S48" i="32" s="1"/>
  <c r="AB48" i="32" s="1" a="1"/>
  <c r="AB48" i="32" s="1"/>
  <c r="AK48" i="32" s="1" a="1"/>
  <c r="AK48" i="32" s="1"/>
  <c r="M48" i="32" a="1"/>
  <c r="M48" i="32" s="1"/>
  <c r="V48" i="32" s="1" a="1"/>
  <c r="V48" i="32" s="1"/>
  <c r="AE48" i="32" s="1" a="1"/>
  <c r="AE48" i="32" s="1"/>
  <c r="AN48" i="32" s="1" a="1"/>
  <c r="AN48" i="32" s="1"/>
  <c r="P49" i="32" a="1"/>
  <c r="P49" i="32" s="1"/>
  <c r="Y49" i="32" s="1" a="1"/>
  <c r="Y49" i="32" s="1"/>
  <c r="AH49" i="32" s="1" a="1"/>
  <c r="AH49" i="32" s="1"/>
  <c r="L49" i="32" a="1"/>
  <c r="L49" i="32" s="1"/>
  <c r="U49" i="32" s="1" a="1"/>
  <c r="U49" i="32" s="1"/>
  <c r="AD49" i="32" s="1" a="1"/>
  <c r="AD49" i="32" s="1"/>
  <c r="AM49" i="32" s="1" a="1"/>
  <c r="AM49" i="32" s="1"/>
  <c r="M49" i="32" a="1"/>
  <c r="M49" i="32" s="1"/>
  <c r="V49" i="32" s="1" a="1"/>
  <c r="V49" i="32" s="1"/>
  <c r="AE49" i="32" s="1" a="1"/>
  <c r="AE49" i="32" s="1"/>
  <c r="AN49" i="32" s="1" a="1"/>
  <c r="AN49" i="32" s="1"/>
  <c r="N48" i="32" a="1"/>
  <c r="N48" i="32" s="1"/>
  <c r="W48" i="32" s="1" a="1"/>
  <c r="W48" i="32" s="1"/>
  <c r="AF48" i="32" s="1" a="1"/>
  <c r="AF48" i="32" s="1"/>
  <c r="AO48" i="32" s="1" a="1"/>
  <c r="AO48" i="32" s="1"/>
  <c r="R49" i="32" a="1"/>
  <c r="R49" i="32" s="1"/>
  <c r="AA49" i="32" s="1" a="1"/>
  <c r="AA49" i="32" s="1"/>
  <c r="AJ49" i="32" s="1" a="1"/>
  <c r="AJ49" i="32" s="1"/>
  <c r="K49" i="32" a="1"/>
  <c r="K49" i="32" s="1"/>
  <c r="T49" i="32" s="1" a="1"/>
  <c r="T49" i="32" s="1"/>
  <c r="AC49" i="32" s="1" a="1"/>
  <c r="AC49" i="32" s="1"/>
  <c r="AL49" i="32" s="1" a="1"/>
  <c r="AL49" i="32" s="1"/>
  <c r="O48" i="32" a="1"/>
  <c r="O48" i="32" s="1"/>
  <c r="X48" i="32" s="1" a="1"/>
  <c r="X48" i="32" s="1"/>
  <c r="AG48" i="32" s="1" a="1"/>
  <c r="AG48" i="32" s="1"/>
  <c r="AP48" i="32" s="1" a="1"/>
  <c r="AP48" i="32" s="1"/>
  <c r="Q49" i="32" a="1"/>
  <c r="Q49" i="32" s="1"/>
  <c r="Z49" i="32" s="1" a="1"/>
  <c r="Z49" i="32" s="1"/>
  <c r="AI49" i="32" s="1" a="1"/>
  <c r="AI49" i="32" s="1"/>
  <c r="S49" i="32" a="1"/>
  <c r="S49" i="32" s="1"/>
  <c r="AB49" i="32" s="1" a="1"/>
  <c r="AB49" i="32" s="1"/>
  <c r="AK49" i="32" s="1" a="1"/>
  <c r="AK49" i="32" s="1"/>
  <c r="E50" i="21"/>
  <c r="I50" i="21"/>
  <c r="G54" i="20"/>
  <c r="AW35" i="24"/>
  <c r="C34" i="24"/>
  <c r="I34" i="24"/>
  <c r="D34" i="24"/>
  <c r="E34" i="24"/>
  <c r="J34" i="24"/>
  <c r="H34" i="24"/>
  <c r="G34" i="24"/>
  <c r="F34" i="24"/>
  <c r="C32" i="25"/>
  <c r="D32" i="25" s="1"/>
  <c r="K33" i="25"/>
  <c r="I32" i="25"/>
  <c r="E32" i="25"/>
  <c r="B51" i="21"/>
  <c r="I51" i="21" s="1"/>
  <c r="F51" i="21"/>
  <c r="H51" i="21"/>
  <c r="C51" i="21"/>
  <c r="G51" i="21"/>
  <c r="A52" i="21"/>
  <c r="K53" i="21"/>
  <c r="L53" i="21" s="1"/>
  <c r="C50" i="32"/>
  <c r="B50" i="32"/>
  <c r="AQ52" i="32"/>
  <c r="AR52" i="32" s="1"/>
  <c r="A51" i="32"/>
  <c r="I54" i="20"/>
  <c r="F54" i="20"/>
  <c r="D54" i="20"/>
  <c r="E54" i="20"/>
  <c r="B55" i="20"/>
  <c r="C55" i="20"/>
  <c r="AQ57" i="20"/>
  <c r="AR57" i="20" s="1"/>
  <c r="A56" i="20"/>
  <c r="H54" i="20"/>
  <c r="AH55" i="20" l="1" a="1"/>
  <c r="AH55" i="20" s="1"/>
  <c r="AP55" i="20" a="1"/>
  <c r="AP55" i="20" s="1"/>
  <c r="AA55" i="20" a="1"/>
  <c r="AA55" i="20" s="1"/>
  <c r="N55" i="20" a="1"/>
  <c r="N55" i="20" s="1"/>
  <c r="O55" i="20" a="1"/>
  <c r="O55" i="20" s="1"/>
  <c r="AF55" i="20" a="1"/>
  <c r="AF55" i="20" s="1"/>
  <c r="U55" i="20" a="1"/>
  <c r="U55" i="20" s="1"/>
  <c r="AD55" i="20" a="1"/>
  <c r="AD55" i="20" s="1"/>
  <c r="P55" i="20" a="1"/>
  <c r="P55" i="20" s="1"/>
  <c r="AL55" i="20" a="1"/>
  <c r="AL55" i="20" s="1"/>
  <c r="AC55" i="20" a="1"/>
  <c r="AC55" i="20" s="1"/>
  <c r="AI55" i="20" a="1"/>
  <c r="AI55" i="20" s="1"/>
  <c r="Y55" i="20" a="1"/>
  <c r="Y55" i="20" s="1"/>
  <c r="T55" i="20" a="1"/>
  <c r="T55" i="20" s="1"/>
  <c r="W55" i="20" a="1"/>
  <c r="W55" i="20" s="1"/>
  <c r="L55" i="20" a="1"/>
  <c r="L55" i="20" s="1"/>
  <c r="AO55" i="20" a="1"/>
  <c r="AO55" i="20" s="1"/>
  <c r="K55" i="20" a="1"/>
  <c r="K55" i="20" s="1"/>
  <c r="AE55" i="20" a="1"/>
  <c r="AE55" i="20" s="1"/>
  <c r="AK55" i="20" a="1"/>
  <c r="AK55" i="20" s="1"/>
  <c r="AN55" i="20" a="1"/>
  <c r="AN55" i="20" s="1"/>
  <c r="R55" i="20" a="1"/>
  <c r="R55" i="20" s="1"/>
  <c r="Z55" i="20" a="1"/>
  <c r="Z55" i="20" s="1"/>
  <c r="AJ55" i="20" a="1"/>
  <c r="AJ55" i="20" s="1"/>
  <c r="AM55" i="20" a="1"/>
  <c r="AM55" i="20" s="1"/>
  <c r="AB55" i="20" a="1"/>
  <c r="AB55" i="20" s="1"/>
  <c r="V55" i="20" a="1"/>
  <c r="V55" i="20" s="1"/>
  <c r="S55" i="20" a="1"/>
  <c r="S55" i="20" s="1"/>
  <c r="X55" i="20" a="1"/>
  <c r="X55" i="20" s="1"/>
  <c r="AG55" i="20" a="1"/>
  <c r="AG55" i="20" s="1"/>
  <c r="J55" i="20" a="1"/>
  <c r="J55" i="20" s="1"/>
  <c r="M55" i="20" a="1"/>
  <c r="M55" i="20" s="1"/>
  <c r="Q55" i="20" a="1"/>
  <c r="Q55" i="20" s="1"/>
  <c r="G51" i="32"/>
  <c r="H51" i="32"/>
  <c r="I51" i="32"/>
  <c r="Q50" i="32" a="1"/>
  <c r="Q50" i="32" s="1"/>
  <c r="Z50" i="32" s="1" a="1"/>
  <c r="Z50" i="32" s="1"/>
  <c r="AI50" i="32" s="1" a="1"/>
  <c r="AI50" i="32" s="1"/>
  <c r="R50" i="32" a="1"/>
  <c r="R50" i="32" s="1"/>
  <c r="AA50" i="32" s="1" a="1"/>
  <c r="AA50" i="32" s="1"/>
  <c r="AJ50" i="32" s="1" a="1"/>
  <c r="AJ50" i="32" s="1"/>
  <c r="P50" i="32" a="1"/>
  <c r="P50" i="32" s="1"/>
  <c r="Y50" i="32" s="1" a="1"/>
  <c r="Y50" i="32" s="1"/>
  <c r="AH50" i="32" s="1" a="1"/>
  <c r="AH50" i="32" s="1"/>
  <c r="L50" i="32" a="1"/>
  <c r="L50" i="32" s="1"/>
  <c r="U50" i="32" s="1" a="1"/>
  <c r="U50" i="32" s="1"/>
  <c r="AD50" i="32" s="1" a="1"/>
  <c r="AD50" i="32" s="1"/>
  <c r="AM50" i="32" s="1" a="1"/>
  <c r="AM50" i="32" s="1"/>
  <c r="O49" i="32" a="1"/>
  <c r="O49" i="32" s="1"/>
  <c r="X49" i="32" s="1" a="1"/>
  <c r="X49" i="32" s="1"/>
  <c r="AG49" i="32" s="1" a="1"/>
  <c r="AG49" i="32" s="1"/>
  <c r="AP49" i="32" s="1" a="1"/>
  <c r="AP49" i="32" s="1"/>
  <c r="N49" i="32" a="1"/>
  <c r="N49" i="32" s="1"/>
  <c r="W49" i="32" s="1" a="1"/>
  <c r="W49" i="32" s="1"/>
  <c r="AF49" i="32" s="1" a="1"/>
  <c r="AF49" i="32" s="1"/>
  <c r="AO49" i="32" s="1" a="1"/>
  <c r="AO49" i="32" s="1"/>
  <c r="S50" i="32" a="1"/>
  <c r="S50" i="32" s="1"/>
  <c r="AB50" i="32" s="1" a="1"/>
  <c r="AB50" i="32" s="1"/>
  <c r="AK50" i="32" s="1" a="1"/>
  <c r="AK50" i="32" s="1"/>
  <c r="K50" i="32" a="1"/>
  <c r="K50" i="32" s="1"/>
  <c r="T50" i="32" s="1" a="1"/>
  <c r="T50" i="32" s="1"/>
  <c r="AC50" i="32" s="1" a="1"/>
  <c r="AC50" i="32" s="1"/>
  <c r="AL50" i="32" s="1" a="1"/>
  <c r="AL50" i="32" s="1"/>
  <c r="E51" i="21"/>
  <c r="D51" i="21"/>
  <c r="L33" i="25"/>
  <c r="B33" i="25"/>
  <c r="AX35" i="24"/>
  <c r="B35" i="24"/>
  <c r="A53" i="21"/>
  <c r="K54" i="21"/>
  <c r="L54" i="21" s="1"/>
  <c r="F52" i="21"/>
  <c r="C52" i="21"/>
  <c r="G52" i="21"/>
  <c r="H52" i="21"/>
  <c r="B52" i="21"/>
  <c r="E52" i="21" s="1"/>
  <c r="B51" i="32"/>
  <c r="C51" i="32"/>
  <c r="D51" i="32" s="1"/>
  <c r="A52" i="32"/>
  <c r="AQ53" i="32"/>
  <c r="AR53" i="32" s="1"/>
  <c r="G55" i="20"/>
  <c r="D55" i="20"/>
  <c r="H55" i="20"/>
  <c r="F55" i="20"/>
  <c r="I55" i="20"/>
  <c r="E55" i="20"/>
  <c r="C56" i="20"/>
  <c r="B56" i="20"/>
  <c r="AQ58" i="20"/>
  <c r="AR58" i="20" s="1"/>
  <c r="A57" i="20"/>
  <c r="W56" i="20" l="1" a="1"/>
  <c r="W56" i="20" s="1"/>
  <c r="AE56" i="20" a="1"/>
  <c r="AE56" i="20" s="1"/>
  <c r="X56" i="20" a="1"/>
  <c r="X56" i="20" s="1"/>
  <c r="Q56" i="20" a="1"/>
  <c r="Q56" i="20" s="1"/>
  <c r="Y56" i="20" a="1"/>
  <c r="Y56" i="20" s="1"/>
  <c r="O56" i="20" a="1"/>
  <c r="O56" i="20" s="1"/>
  <c r="V56" i="20" a="1"/>
  <c r="V56" i="20" s="1"/>
  <c r="AB56" i="20" a="1"/>
  <c r="AB56" i="20" s="1"/>
  <c r="AJ56" i="20" a="1"/>
  <c r="AJ56" i="20" s="1"/>
  <c r="AF56" i="20" a="1"/>
  <c r="AF56" i="20" s="1"/>
  <c r="AP56" i="20" a="1"/>
  <c r="AP56" i="20" s="1"/>
  <c r="P56" i="20" a="1"/>
  <c r="P56" i="20" s="1"/>
  <c r="S56" i="20" a="1"/>
  <c r="S56" i="20" s="1"/>
  <c r="T56" i="20" a="1"/>
  <c r="T56" i="20" s="1"/>
  <c r="AL56" i="20" a="1"/>
  <c r="AL56" i="20" s="1"/>
  <c r="U56" i="20" a="1"/>
  <c r="U56" i="20" s="1"/>
  <c r="AN56" i="20" a="1"/>
  <c r="AN56" i="20" s="1"/>
  <c r="L56" i="20" a="1"/>
  <c r="L56" i="20" s="1"/>
  <c r="R56" i="20" a="1"/>
  <c r="R56" i="20" s="1"/>
  <c r="AK56" i="20" a="1"/>
  <c r="AK56" i="20" s="1"/>
  <c r="AO56" i="20" a="1"/>
  <c r="AO56" i="20" s="1"/>
  <c r="J56" i="20" a="1"/>
  <c r="J56" i="20" s="1"/>
  <c r="K56" i="20" a="1"/>
  <c r="K56" i="20" s="1"/>
  <c r="Z56" i="20" a="1"/>
  <c r="Z56" i="20" s="1"/>
  <c r="AH56" i="20" a="1"/>
  <c r="AH56" i="20" s="1"/>
  <c r="AA56" i="20" a="1"/>
  <c r="AA56" i="20" s="1"/>
  <c r="AI56" i="20" a="1"/>
  <c r="AI56" i="20" s="1"/>
  <c r="M56" i="20" a="1"/>
  <c r="M56" i="20" s="1"/>
  <c r="N57" i="20" a="1"/>
  <c r="N57" i="20" s="1"/>
  <c r="T57" i="20" a="1"/>
  <c r="T57" i="20" s="1"/>
  <c r="Z57" i="20" a="1"/>
  <c r="Z57" i="20" s="1"/>
  <c r="AF57" i="20" a="1"/>
  <c r="AF57" i="20" s="1"/>
  <c r="AL57" i="20" a="1"/>
  <c r="AL57" i="20" s="1"/>
  <c r="P57" i="20" a="1"/>
  <c r="P57" i="20" s="1"/>
  <c r="Q57" i="20" a="1"/>
  <c r="Q57" i="20" s="1"/>
  <c r="X57" i="20" a="1"/>
  <c r="X57" i="20" s="1"/>
  <c r="AE57" i="20" a="1"/>
  <c r="AE57" i="20" s="1"/>
  <c r="L57" i="20" a="1"/>
  <c r="L57" i="20" s="1"/>
  <c r="S57" i="20" a="1"/>
  <c r="S57" i="20" s="1"/>
  <c r="AO57" i="20" a="1"/>
  <c r="AO57" i="20" s="1"/>
  <c r="J57" i="20" a="1"/>
  <c r="J57" i="20" s="1"/>
  <c r="AC57" i="20" a="1"/>
  <c r="AC57" i="20" s="1"/>
  <c r="AM57" i="20" a="1"/>
  <c r="AM57" i="20" s="1"/>
  <c r="K57" i="20" a="1"/>
  <c r="K57" i="20" s="1"/>
  <c r="W57" i="20" a="1"/>
  <c r="W57" i="20" s="1"/>
  <c r="AG57" i="20" a="1"/>
  <c r="AG57" i="20" s="1"/>
  <c r="U57" i="20" a="1"/>
  <c r="U57" i="20" s="1"/>
  <c r="AH57" i="20" a="1"/>
  <c r="AH57" i="20" s="1"/>
  <c r="AI57" i="20" a="1"/>
  <c r="AI57" i="20" s="1"/>
  <c r="M57" i="20" a="1"/>
  <c r="M57" i="20" s="1"/>
  <c r="AK57" i="20" a="1"/>
  <c r="AK57" i="20" s="1"/>
  <c r="Y57" i="20" a="1"/>
  <c r="Y57" i="20" s="1"/>
  <c r="AP57" i="20" a="1"/>
  <c r="AP57" i="20" s="1"/>
  <c r="AA57" i="20" a="1"/>
  <c r="AA57" i="20" s="1"/>
  <c r="O57" i="20" a="1"/>
  <c r="O57" i="20" s="1"/>
  <c r="V57" i="20" a="1"/>
  <c r="V57" i="20" s="1"/>
  <c r="AB57" i="20" a="1"/>
  <c r="AB57" i="20" s="1"/>
  <c r="AJ57" i="20" a="1"/>
  <c r="AJ57" i="20" s="1"/>
  <c r="AN57" i="20" a="1"/>
  <c r="AN57" i="20" s="1"/>
  <c r="AD57" i="20" a="1"/>
  <c r="AD57" i="20" s="1"/>
  <c r="R57" i="20" a="1"/>
  <c r="R57" i="20" s="1"/>
  <c r="AD56" i="20" a="1"/>
  <c r="AD56" i="20" s="1"/>
  <c r="N56" i="20" a="1"/>
  <c r="N56" i="20" s="1"/>
  <c r="AC56" i="20" a="1"/>
  <c r="AC56" i="20" s="1"/>
  <c r="AM56" i="20" a="1"/>
  <c r="AM56" i="20" s="1"/>
  <c r="AG56" i="20" a="1"/>
  <c r="AG56" i="20" s="1"/>
  <c r="H52" i="32"/>
  <c r="G52" i="32"/>
  <c r="I52" i="32"/>
  <c r="K51" i="32" a="1"/>
  <c r="K51" i="32" s="1"/>
  <c r="T51" i="32" s="1" a="1"/>
  <c r="T51" i="32" s="1"/>
  <c r="AC51" i="32" s="1" a="1"/>
  <c r="AC51" i="32" s="1"/>
  <c r="AL51" i="32" s="1" a="1"/>
  <c r="AL51" i="32" s="1"/>
  <c r="F51" i="32"/>
  <c r="E51" i="32"/>
  <c r="O50" i="32" a="1"/>
  <c r="O50" i="32" s="1"/>
  <c r="X50" i="32" s="1" a="1"/>
  <c r="X50" i="32" s="1"/>
  <c r="AG50" i="32" s="1" a="1"/>
  <c r="AG50" i="32" s="1"/>
  <c r="AP50" i="32" s="1" a="1"/>
  <c r="AP50" i="32" s="1"/>
  <c r="N50" i="32" a="1"/>
  <c r="N50" i="32" s="1"/>
  <c r="W50" i="32" s="1" a="1"/>
  <c r="W50" i="32" s="1"/>
  <c r="AF50" i="32" s="1" a="1"/>
  <c r="AF50" i="32" s="1"/>
  <c r="AO50" i="32" s="1" a="1"/>
  <c r="AO50" i="32" s="1"/>
  <c r="M50" i="32" a="1"/>
  <c r="M50" i="32" s="1"/>
  <c r="V50" i="32" s="1" a="1"/>
  <c r="V50" i="32" s="1"/>
  <c r="AE50" i="32" s="1" a="1"/>
  <c r="AE50" i="32" s="1"/>
  <c r="AN50" i="32" s="1" a="1"/>
  <c r="AN50" i="32" s="1"/>
  <c r="G56" i="20"/>
  <c r="G35" i="24"/>
  <c r="F35" i="24"/>
  <c r="J35" i="24"/>
  <c r="I35" i="24"/>
  <c r="E35" i="24"/>
  <c r="H35" i="24"/>
  <c r="D35" i="24"/>
  <c r="C35" i="24"/>
  <c r="AW36" i="24"/>
  <c r="I33" i="25"/>
  <c r="E33" i="25"/>
  <c r="K34" i="25"/>
  <c r="C33" i="25"/>
  <c r="D33" i="25" s="1"/>
  <c r="D52" i="21"/>
  <c r="K55" i="21"/>
  <c r="L55" i="21" s="1"/>
  <c r="A54" i="21"/>
  <c r="I52" i="21"/>
  <c r="B53" i="21"/>
  <c r="I53" i="21" s="1"/>
  <c r="C53" i="21"/>
  <c r="G53" i="21"/>
  <c r="F53" i="21"/>
  <c r="H53" i="21"/>
  <c r="AQ54" i="32"/>
  <c r="AR54" i="32" s="1"/>
  <c r="A53" i="32"/>
  <c r="B52" i="32"/>
  <c r="C52" i="32"/>
  <c r="D52" i="32" s="1"/>
  <c r="D56" i="20"/>
  <c r="F56" i="20"/>
  <c r="E56" i="20"/>
  <c r="H56" i="20"/>
  <c r="I56" i="20"/>
  <c r="B57" i="20"/>
  <c r="C57" i="20"/>
  <c r="D57" i="20"/>
  <c r="I57" i="20"/>
  <c r="F57" i="20"/>
  <c r="AQ59" i="20"/>
  <c r="AR59" i="20" s="1"/>
  <c r="A58" i="20"/>
  <c r="K58" i="20" l="1" a="1"/>
  <c r="K58" i="20" s="1"/>
  <c r="Q58" i="20" a="1"/>
  <c r="Q58" i="20" s="1"/>
  <c r="W58" i="20" a="1"/>
  <c r="W58" i="20" s="1"/>
  <c r="AC58" i="20" a="1"/>
  <c r="AC58" i="20" s="1"/>
  <c r="AI58" i="20" a="1"/>
  <c r="AI58" i="20" s="1"/>
  <c r="AO58" i="20" a="1"/>
  <c r="AO58" i="20" s="1"/>
  <c r="L58" i="20" a="1"/>
  <c r="L58" i="20" s="1"/>
  <c r="S58" i="20" a="1"/>
  <c r="S58" i="20" s="1"/>
  <c r="T58" i="20" a="1"/>
  <c r="T58" i="20" s="1"/>
  <c r="AA58" i="20" a="1"/>
  <c r="AA58" i="20" s="1"/>
  <c r="AH58" i="20" a="1"/>
  <c r="AH58" i="20" s="1"/>
  <c r="O58" i="20" a="1"/>
  <c r="O58" i="20" s="1"/>
  <c r="V58" i="20" a="1"/>
  <c r="V58" i="20" s="1"/>
  <c r="P58" i="20" a="1"/>
  <c r="P58" i="20" s="1"/>
  <c r="Y58" i="20" a="1"/>
  <c r="Y58" i="20" s="1"/>
  <c r="M58" i="20" a="1"/>
  <c r="M58" i="20" s="1"/>
  <c r="Z58" i="20" a="1"/>
  <c r="Z58" i="20" s="1"/>
  <c r="AM58" i="20" a="1"/>
  <c r="AM58" i="20" s="1"/>
  <c r="N58" i="20" a="1"/>
  <c r="N58" i="20" s="1"/>
  <c r="R58" i="20" a="1"/>
  <c r="R58" i="20" s="1"/>
  <c r="AE58" i="20" a="1"/>
  <c r="AE58" i="20" s="1"/>
  <c r="AG58" i="20" a="1"/>
  <c r="AG58" i="20" s="1"/>
  <c r="X58" i="20" a="1"/>
  <c r="X58" i="20" s="1"/>
  <c r="J58" i="20" a="1"/>
  <c r="J58" i="20" s="1"/>
  <c r="AB58" i="20" a="1"/>
  <c r="AB58" i="20" s="1"/>
  <c r="AD58" i="20" a="1"/>
  <c r="AD58" i="20" s="1"/>
  <c r="AJ58" i="20" a="1"/>
  <c r="AJ58" i="20" s="1"/>
  <c r="U58" i="20" a="1"/>
  <c r="U58" i="20" s="1"/>
  <c r="AF58" i="20" a="1"/>
  <c r="AF58" i="20" s="1"/>
  <c r="AN58" i="20" a="1"/>
  <c r="AN58" i="20" s="1"/>
  <c r="AK58" i="20" a="1"/>
  <c r="AK58" i="20" s="1"/>
  <c r="AP58" i="20" a="1"/>
  <c r="AP58" i="20" s="1"/>
  <c r="AL58" i="20" a="1"/>
  <c r="AL58" i="20" s="1"/>
  <c r="H53" i="32"/>
  <c r="G53" i="32"/>
  <c r="I53" i="32"/>
  <c r="Q51" i="32" a="1"/>
  <c r="Q51" i="32" s="1"/>
  <c r="Z51" i="32" s="1" a="1"/>
  <c r="Z51" i="32" s="1"/>
  <c r="AI51" i="32" s="1" a="1"/>
  <c r="AI51" i="32" s="1"/>
  <c r="L51" i="32" a="1"/>
  <c r="L51" i="32" s="1"/>
  <c r="U51" i="32" s="1" a="1"/>
  <c r="U51" i="32" s="1"/>
  <c r="AD51" i="32" s="1" a="1"/>
  <c r="AD51" i="32" s="1"/>
  <c r="AM51" i="32" s="1" a="1"/>
  <c r="AM51" i="32" s="1"/>
  <c r="J51" i="32" a="1"/>
  <c r="J51" i="32" s="1"/>
  <c r="S51" i="32" s="1" a="1"/>
  <c r="S51" i="32" s="1"/>
  <c r="AB51" i="32" s="1" a="1"/>
  <c r="AB51" i="32" s="1"/>
  <c r="AK51" i="32" s="1" a="1"/>
  <c r="AK51" i="32" s="1"/>
  <c r="R51" i="32" a="1"/>
  <c r="R51" i="32" s="1"/>
  <c r="AA51" i="32" s="1" a="1"/>
  <c r="AA51" i="32" s="1"/>
  <c r="AJ51" i="32" s="1" a="1"/>
  <c r="AJ51" i="32" s="1"/>
  <c r="P51" i="32" a="1"/>
  <c r="P51" i="32" s="1"/>
  <c r="Y51" i="32" s="1" a="1"/>
  <c r="Y51" i="32" s="1"/>
  <c r="AH51" i="32" s="1" a="1"/>
  <c r="AH51" i="32" s="1"/>
  <c r="R52" i="32" a="1"/>
  <c r="R52" i="32" s="1"/>
  <c r="AA52" i="32" s="1" a="1"/>
  <c r="AA52" i="32" s="1"/>
  <c r="AJ52" i="32" s="1" a="1"/>
  <c r="AJ52" i="32" s="1"/>
  <c r="Q52" i="32" a="1"/>
  <c r="Q52" i="32" s="1"/>
  <c r="Z52" i="32" s="1" a="1"/>
  <c r="Z52" i="32" s="1"/>
  <c r="AI52" i="32" s="1" a="1"/>
  <c r="AI52" i="32" s="1"/>
  <c r="F52" i="32"/>
  <c r="E52" i="32"/>
  <c r="K52" i="32" a="1"/>
  <c r="K52" i="32" s="1"/>
  <c r="T52" i="32" s="1" a="1"/>
  <c r="T52" i="32" s="1"/>
  <c r="AC52" i="32" s="1" a="1"/>
  <c r="AC52" i="32" s="1"/>
  <c r="AL52" i="32" s="1" a="1"/>
  <c r="AL52" i="32" s="1"/>
  <c r="O51" i="32" a="1"/>
  <c r="O51" i="32" s="1"/>
  <c r="X51" i="32" s="1" a="1"/>
  <c r="X51" i="32" s="1"/>
  <c r="AG51" i="32" s="1" a="1"/>
  <c r="AG51" i="32" s="1"/>
  <c r="AP51" i="32" s="1" a="1"/>
  <c r="AP51" i="32" s="1"/>
  <c r="N51" i="32" a="1"/>
  <c r="N51" i="32" s="1"/>
  <c r="W51" i="32" s="1" a="1"/>
  <c r="W51" i="32" s="1"/>
  <c r="AF51" i="32" s="1" a="1"/>
  <c r="AF51" i="32" s="1"/>
  <c r="AO51" i="32" s="1" a="1"/>
  <c r="AO51" i="32" s="1"/>
  <c r="J52" i="32" a="1"/>
  <c r="J52" i="32" s="1"/>
  <c r="S52" i="32" s="1" a="1"/>
  <c r="S52" i="32" s="1"/>
  <c r="AB52" i="32" s="1" a="1"/>
  <c r="AB52" i="32" s="1"/>
  <c r="AK52" i="32" s="1" a="1"/>
  <c r="AK52" i="32" s="1"/>
  <c r="P52" i="32" a="1"/>
  <c r="P52" i="32" s="1"/>
  <c r="Y52" i="32" s="1" a="1"/>
  <c r="Y52" i="32" s="1"/>
  <c r="AH52" i="32" s="1" a="1"/>
  <c r="AH52" i="32" s="1"/>
  <c r="L52" i="32" a="1"/>
  <c r="L52" i="32" s="1"/>
  <c r="U52" i="32" s="1" a="1"/>
  <c r="U52" i="32" s="1"/>
  <c r="AD52" i="32" s="1" a="1"/>
  <c r="AD52" i="32" s="1"/>
  <c r="AM52" i="32" s="1" a="1"/>
  <c r="AM52" i="32" s="1"/>
  <c r="M51" i="32" a="1"/>
  <c r="M51" i="32" s="1"/>
  <c r="V51" i="32" s="1" a="1"/>
  <c r="V51" i="32" s="1"/>
  <c r="AE51" i="32" s="1" a="1"/>
  <c r="AE51" i="32" s="1"/>
  <c r="AN51" i="32" s="1" a="1"/>
  <c r="AN51" i="32" s="1"/>
  <c r="E57" i="20"/>
  <c r="H57" i="20"/>
  <c r="G57" i="20"/>
  <c r="L34" i="25"/>
  <c r="B34" i="25"/>
  <c r="B36" i="24"/>
  <c r="AX36" i="24"/>
  <c r="D53" i="21"/>
  <c r="E53" i="21"/>
  <c r="C54" i="21"/>
  <c r="F54" i="21"/>
  <c r="B54" i="21"/>
  <c r="D54" i="21" s="1"/>
  <c r="G54" i="21"/>
  <c r="H54" i="21"/>
  <c r="A55" i="21"/>
  <c r="K56" i="21"/>
  <c r="L56" i="21" s="1"/>
  <c r="B53" i="32"/>
  <c r="C53" i="32"/>
  <c r="D53" i="32" s="1"/>
  <c r="A54" i="32"/>
  <c r="D54" i="32" s="1"/>
  <c r="AQ55" i="32"/>
  <c r="AR55" i="32" s="1"/>
  <c r="C58" i="20"/>
  <c r="B58" i="20"/>
  <c r="H58" i="20"/>
  <c r="E58" i="20"/>
  <c r="I58" i="20"/>
  <c r="G58" i="20"/>
  <c r="D58" i="20"/>
  <c r="A59" i="20"/>
  <c r="AQ60" i="20"/>
  <c r="AR60" i="20" s="1"/>
  <c r="H54" i="32" l="1"/>
  <c r="I54" i="32"/>
  <c r="G54" i="32"/>
  <c r="Q53" i="32" a="1"/>
  <c r="Q53" i="32" s="1"/>
  <c r="Z53" i="32" s="1" a="1"/>
  <c r="Z53" i="32" s="1"/>
  <c r="AI53" i="32" s="1" a="1"/>
  <c r="AI53" i="32" s="1"/>
  <c r="F53" i="32"/>
  <c r="E53" i="32"/>
  <c r="J54" i="32" a="1"/>
  <c r="J54" i="32" s="1"/>
  <c r="E54" i="32"/>
  <c r="F54" i="32"/>
  <c r="M52" i="32" a="1"/>
  <c r="M52" i="32" s="1"/>
  <c r="V52" i="32" s="1" a="1"/>
  <c r="V52" i="32" s="1"/>
  <c r="AE52" i="32" s="1" a="1"/>
  <c r="AE52" i="32" s="1"/>
  <c r="AN52" i="32" s="1" a="1"/>
  <c r="AN52" i="32" s="1"/>
  <c r="P53" i="32" a="1"/>
  <c r="P53" i="32" s="1"/>
  <c r="Y53" i="32" s="1" a="1"/>
  <c r="Y53" i="32" s="1"/>
  <c r="AH53" i="32" s="1" a="1"/>
  <c r="AH53" i="32" s="1"/>
  <c r="L53" i="32" a="1"/>
  <c r="L53" i="32" s="1"/>
  <c r="U53" i="32" s="1" a="1"/>
  <c r="U53" i="32" s="1"/>
  <c r="AD53" i="32" s="1" a="1"/>
  <c r="AD53" i="32" s="1"/>
  <c r="AM53" i="32" s="1" a="1"/>
  <c r="AM53" i="32" s="1"/>
  <c r="N52" i="32" a="1"/>
  <c r="N52" i="32" s="1"/>
  <c r="W52" i="32" s="1" a="1"/>
  <c r="W52" i="32" s="1"/>
  <c r="AF52" i="32" s="1" a="1"/>
  <c r="AF52" i="32" s="1"/>
  <c r="AO52" i="32" s="1" a="1"/>
  <c r="AO52" i="32" s="1"/>
  <c r="O52" i="32" a="1"/>
  <c r="O52" i="32" s="1"/>
  <c r="X52" i="32" s="1" a="1"/>
  <c r="X52" i="32" s="1"/>
  <c r="AG52" i="32" s="1" a="1"/>
  <c r="AG52" i="32" s="1"/>
  <c r="AP52" i="32" s="1" a="1"/>
  <c r="AP52" i="32" s="1"/>
  <c r="J53" i="32" a="1"/>
  <c r="J53" i="32" s="1"/>
  <c r="F58" i="20"/>
  <c r="C36" i="24"/>
  <c r="AW37" i="24"/>
  <c r="J36" i="24"/>
  <c r="H36" i="24"/>
  <c r="E36" i="24"/>
  <c r="I36" i="24"/>
  <c r="G36" i="24"/>
  <c r="D36" i="24"/>
  <c r="F36" i="24"/>
  <c r="E34" i="25"/>
  <c r="I34" i="25"/>
  <c r="C34" i="25"/>
  <c r="D34" i="25" s="1"/>
  <c r="K35" i="25"/>
  <c r="I54" i="21"/>
  <c r="E54" i="21"/>
  <c r="B55" i="21"/>
  <c r="D55" i="21" s="1"/>
  <c r="F55" i="21"/>
  <c r="I55" i="21"/>
  <c r="G55" i="21"/>
  <c r="C55" i="21"/>
  <c r="H55" i="21"/>
  <c r="A56" i="21"/>
  <c r="K57" i="21"/>
  <c r="L57" i="21" s="1"/>
  <c r="C54" i="32"/>
  <c r="B54" i="32"/>
  <c r="A55" i="32"/>
  <c r="D55" i="32" s="1"/>
  <c r="AQ56" i="32"/>
  <c r="AR56" i="32" s="1"/>
  <c r="A60" i="20"/>
  <c r="AQ61" i="20"/>
  <c r="AR61" i="20" s="1"/>
  <c r="C59" i="20"/>
  <c r="B59" i="20"/>
  <c r="AJ59" i="20" s="1" a="1"/>
  <c r="AJ59" i="20" s="1"/>
  <c r="N59" i="20" l="1" a="1"/>
  <c r="N59" i="20" s="1"/>
  <c r="AA59" i="20" a="1"/>
  <c r="AA59" i="20" s="1"/>
  <c r="Y59" i="20" a="1"/>
  <c r="Y59" i="20" s="1"/>
  <c r="R59" i="20" a="1"/>
  <c r="R59" i="20" s="1"/>
  <c r="X59" i="20" a="1"/>
  <c r="X59" i="20" s="1"/>
  <c r="K59" i="20" a="1"/>
  <c r="K59" i="20" s="1"/>
  <c r="AO59" i="20" a="1"/>
  <c r="AO59" i="20" s="1"/>
  <c r="J59" i="20" a="1"/>
  <c r="J59" i="20" s="1"/>
  <c r="AK59" i="20" a="1"/>
  <c r="AK59" i="20" s="1"/>
  <c r="AL59" i="20" a="1"/>
  <c r="AL59" i="20" s="1"/>
  <c r="AG59" i="20" a="1"/>
  <c r="AG59" i="20" s="1"/>
  <c r="AD59" i="20" a="1"/>
  <c r="AD59" i="20" s="1"/>
  <c r="P59" i="20" a="1"/>
  <c r="P59" i="20" s="1"/>
  <c r="S59" i="20" a="1"/>
  <c r="S59" i="20" s="1"/>
  <c r="W59" i="20" a="1"/>
  <c r="W59" i="20" s="1"/>
  <c r="AC59" i="20" a="1"/>
  <c r="AC59" i="20" s="1"/>
  <c r="AH59" i="20" a="1"/>
  <c r="AH59" i="20" s="1"/>
  <c r="V59" i="20" a="1"/>
  <c r="V59" i="20" s="1"/>
  <c r="AI59" i="20" a="1"/>
  <c r="AI59" i="20" s="1"/>
  <c r="AN59" i="20" a="1"/>
  <c r="AN59" i="20" s="1"/>
  <c r="O59" i="20" a="1"/>
  <c r="O59" i="20" s="1"/>
  <c r="J60" i="20" a="1"/>
  <c r="J60" i="20" s="1"/>
  <c r="P60" i="20" a="1"/>
  <c r="P60" i="20" s="1"/>
  <c r="V60" i="20" a="1"/>
  <c r="V60" i="20" s="1"/>
  <c r="AB60" i="20" a="1"/>
  <c r="AB60" i="20" s="1"/>
  <c r="AH60" i="20" a="1"/>
  <c r="AH60" i="20" s="1"/>
  <c r="AN60" i="20" a="1"/>
  <c r="AN60" i="20" s="1"/>
  <c r="W60" i="20" a="1"/>
  <c r="W60" i="20" s="1"/>
  <c r="AE60" i="20" a="1"/>
  <c r="AE60" i="20" s="1"/>
  <c r="O60" i="20" a="1"/>
  <c r="O60" i="20" s="1"/>
  <c r="AM60" i="20" a="1"/>
  <c r="AM60" i="20" s="1"/>
  <c r="R60" i="20" a="1"/>
  <c r="R60" i="20" s="1"/>
  <c r="Z60" i="20" a="1"/>
  <c r="Z60" i="20" s="1"/>
  <c r="AP60" i="20" a="1"/>
  <c r="AP60" i="20" s="1"/>
  <c r="K60" i="20" a="1"/>
  <c r="K60" i="20" s="1"/>
  <c r="AF60" i="20" a="1"/>
  <c r="AF60" i="20" s="1"/>
  <c r="U60" i="20" a="1"/>
  <c r="U60" i="20" s="1"/>
  <c r="N60" i="20" a="1"/>
  <c r="N60" i="20" s="1"/>
  <c r="AJ60" i="20" a="1"/>
  <c r="AJ60" i="20" s="1"/>
  <c r="AD60" i="20" a="1"/>
  <c r="AD60" i="20" s="1"/>
  <c r="Y60" i="20" a="1"/>
  <c r="Y60" i="20" s="1"/>
  <c r="AL60" i="20" a="1"/>
  <c r="AL60" i="20" s="1"/>
  <c r="L60" i="20" a="1"/>
  <c r="L60" i="20" s="1"/>
  <c r="M60" i="20" a="1"/>
  <c r="M60" i="20" s="1"/>
  <c r="AA60" i="20" a="1"/>
  <c r="AA60" i="20" s="1"/>
  <c r="AO60" i="20" a="1"/>
  <c r="AO60" i="20" s="1"/>
  <c r="Q60" i="20" a="1"/>
  <c r="Q60" i="20" s="1"/>
  <c r="AK60" i="20" a="1"/>
  <c r="AK60" i="20" s="1"/>
  <c r="T60" i="20" a="1"/>
  <c r="T60" i="20" s="1"/>
  <c r="AC60" i="20" a="1"/>
  <c r="AC60" i="20" s="1"/>
  <c r="AG60" i="20" a="1"/>
  <c r="AG60" i="20" s="1"/>
  <c r="AI60" i="20" a="1"/>
  <c r="AI60" i="20" s="1"/>
  <c r="X60" i="20" a="1"/>
  <c r="X60" i="20" s="1"/>
  <c r="S60" i="20" a="1"/>
  <c r="S60" i="20" s="1"/>
  <c r="Q59" i="20" a="1"/>
  <c r="Q59" i="20" s="1"/>
  <c r="AE59" i="20" a="1"/>
  <c r="AE59" i="20" s="1"/>
  <c r="AF59" i="20" a="1"/>
  <c r="AF59" i="20" s="1"/>
  <c r="AB59" i="20" a="1"/>
  <c r="AB59" i="20" s="1"/>
  <c r="U59" i="20" a="1"/>
  <c r="U59" i="20" s="1"/>
  <c r="Z59" i="20" a="1"/>
  <c r="Z59" i="20" s="1"/>
  <c r="M59" i="20" a="1"/>
  <c r="M59" i="20" s="1"/>
  <c r="L59" i="20" a="1"/>
  <c r="L59" i="20" s="1"/>
  <c r="T59" i="20" a="1"/>
  <c r="T59" i="20" s="1"/>
  <c r="AP59" i="20" a="1"/>
  <c r="AP59" i="20" s="1"/>
  <c r="AM59" i="20" a="1"/>
  <c r="AM59" i="20" s="1"/>
  <c r="S54" i="32" a="1"/>
  <c r="S54" i="32" s="1"/>
  <c r="AB54" i="32" s="1" a="1"/>
  <c r="AB54" i="32" s="1"/>
  <c r="AK54" i="32" s="1" a="1"/>
  <c r="AK54" i="32" s="1"/>
  <c r="G55" i="32"/>
  <c r="I55" i="32"/>
  <c r="H55" i="32"/>
  <c r="R53" i="32" a="1"/>
  <c r="R53" i="32" s="1"/>
  <c r="AA53" i="32" s="1" a="1"/>
  <c r="AA53" i="32" s="1"/>
  <c r="AJ53" i="32" s="1" a="1"/>
  <c r="AJ53" i="32" s="1"/>
  <c r="M54" i="32" a="1"/>
  <c r="M54" i="32" s="1"/>
  <c r="V54" i="32" s="1" a="1"/>
  <c r="V54" i="32" s="1"/>
  <c r="AE54" i="32" s="1" a="1"/>
  <c r="AE54" i="32" s="1"/>
  <c r="AN54" i="32" s="1" a="1"/>
  <c r="AN54" i="32" s="1"/>
  <c r="K53" i="32" a="1"/>
  <c r="K53" i="32" s="1"/>
  <c r="T53" i="32" s="1" a="1"/>
  <c r="T53" i="32" s="1"/>
  <c r="AC53" i="32" s="1" a="1"/>
  <c r="AC53" i="32" s="1"/>
  <c r="AL53" i="32" s="1" a="1"/>
  <c r="AL53" i="32" s="1"/>
  <c r="N54" i="32" a="1"/>
  <c r="N54" i="32" s="1"/>
  <c r="W54" i="32" s="1" a="1"/>
  <c r="W54" i="32" s="1"/>
  <c r="AF54" i="32" s="1" a="1"/>
  <c r="AF54" i="32" s="1"/>
  <c r="AO54" i="32" s="1" a="1"/>
  <c r="AO54" i="32" s="1"/>
  <c r="J55" i="32" a="1"/>
  <c r="J55" i="32" s="1"/>
  <c r="E55" i="32"/>
  <c r="F55" i="32"/>
  <c r="Q54" i="32" a="1"/>
  <c r="Q54" i="32" s="1"/>
  <c r="Z54" i="32" s="1" a="1"/>
  <c r="Z54" i="32" s="1"/>
  <c r="AI54" i="32" s="1" a="1"/>
  <c r="AI54" i="32" s="1"/>
  <c r="S53" i="32" a="1"/>
  <c r="S53" i="32" s="1"/>
  <c r="AB53" i="32" s="1" a="1"/>
  <c r="AB53" i="32" s="1"/>
  <c r="AK53" i="32" s="1" a="1"/>
  <c r="AK53" i="32" s="1"/>
  <c r="O53" i="32" a="1"/>
  <c r="O53" i="32" s="1"/>
  <c r="X53" i="32" s="1" a="1"/>
  <c r="X53" i="32" s="1"/>
  <c r="AG53" i="32" s="1" a="1"/>
  <c r="AG53" i="32" s="1"/>
  <c r="AP53" i="32" s="1" a="1"/>
  <c r="AP53" i="32" s="1"/>
  <c r="K54" i="32" a="1"/>
  <c r="K54" i="32" s="1"/>
  <c r="T54" i="32" s="1" a="1"/>
  <c r="T54" i="32" s="1"/>
  <c r="AC54" i="32" s="1" a="1"/>
  <c r="AC54" i="32" s="1"/>
  <c r="AL54" i="32" s="1" a="1"/>
  <c r="AL54" i="32" s="1"/>
  <c r="P54" i="32" a="1"/>
  <c r="P54" i="32" s="1"/>
  <c r="Y54" i="32" s="1" a="1"/>
  <c r="Y54" i="32" s="1"/>
  <c r="AH54" i="32" s="1" a="1"/>
  <c r="AH54" i="32" s="1"/>
  <c r="L54" i="32" a="1"/>
  <c r="L54" i="32" s="1"/>
  <c r="U54" i="32" s="1" a="1"/>
  <c r="U54" i="32" s="1"/>
  <c r="AD54" i="32" s="1" a="1"/>
  <c r="AD54" i="32" s="1"/>
  <c r="AM54" i="32" s="1" a="1"/>
  <c r="AM54" i="32" s="1"/>
  <c r="M53" i="32" a="1"/>
  <c r="M53" i="32" s="1"/>
  <c r="V53" i="32" s="1" a="1"/>
  <c r="V53" i="32" s="1"/>
  <c r="AE53" i="32" s="1" a="1"/>
  <c r="AE53" i="32" s="1"/>
  <c r="AN53" i="32" s="1" a="1"/>
  <c r="AN53" i="32" s="1"/>
  <c r="N53" i="32" a="1"/>
  <c r="N53" i="32" s="1"/>
  <c r="W53" i="32" s="1" a="1"/>
  <c r="W53" i="32" s="1"/>
  <c r="AF53" i="32" s="1" a="1"/>
  <c r="AF53" i="32" s="1"/>
  <c r="AO53" i="32" s="1" a="1"/>
  <c r="AO53" i="32" s="1"/>
  <c r="R54" i="32" a="1"/>
  <c r="R54" i="32" s="1"/>
  <c r="AA54" i="32" s="1" a="1"/>
  <c r="AA54" i="32" s="1"/>
  <c r="AJ54" i="32" s="1" a="1"/>
  <c r="AJ54" i="32" s="1"/>
  <c r="E55" i="21"/>
  <c r="E59" i="20"/>
  <c r="B37" i="24"/>
  <c r="AX37" i="24"/>
  <c r="L35" i="25"/>
  <c r="B35" i="25"/>
  <c r="K58" i="21"/>
  <c r="L58" i="21" s="1"/>
  <c r="A57" i="21"/>
  <c r="D56" i="21"/>
  <c r="I56" i="21"/>
  <c r="B56" i="21"/>
  <c r="E56" i="21" s="1"/>
  <c r="H56" i="21"/>
  <c r="C56" i="21"/>
  <c r="G56" i="21"/>
  <c r="F56" i="21"/>
  <c r="A56" i="32"/>
  <c r="AQ57" i="32"/>
  <c r="AR57" i="32" s="1"/>
  <c r="B55" i="32"/>
  <c r="C55" i="32"/>
  <c r="F59" i="20"/>
  <c r="I59" i="20"/>
  <c r="G59" i="20"/>
  <c r="D59" i="20"/>
  <c r="A61" i="20"/>
  <c r="AQ62" i="20"/>
  <c r="AR62" i="20" s="1"/>
  <c r="H59" i="20"/>
  <c r="C60" i="20"/>
  <c r="B60" i="20"/>
  <c r="D60" i="20"/>
  <c r="H60" i="20"/>
  <c r="I60" i="20"/>
  <c r="M61" i="20" l="1" a="1"/>
  <c r="M61" i="20" s="1"/>
  <c r="S61" i="20" a="1"/>
  <c r="S61" i="20" s="1"/>
  <c r="Y61" i="20" a="1"/>
  <c r="Y61" i="20" s="1"/>
  <c r="AE61" i="20" a="1"/>
  <c r="AE61" i="20" s="1"/>
  <c r="AK61" i="20" a="1"/>
  <c r="AK61" i="20" s="1"/>
  <c r="N61" i="20" a="1"/>
  <c r="N61" i="20" s="1"/>
  <c r="V61" i="20" a="1"/>
  <c r="V61" i="20" s="1"/>
  <c r="AL61" i="20" a="1"/>
  <c r="AL61" i="20" s="1"/>
  <c r="AD61" i="20" a="1"/>
  <c r="AD61" i="20" s="1"/>
  <c r="Q61" i="20" a="1"/>
  <c r="Q61" i="20" s="1"/>
  <c r="AG61" i="20" a="1"/>
  <c r="AG61" i="20" s="1"/>
  <c r="AO61" i="20" a="1"/>
  <c r="AO61" i="20" s="1"/>
  <c r="J61" i="20" a="1"/>
  <c r="J61" i="20" s="1"/>
  <c r="T61" i="20" a="1"/>
  <c r="T61" i="20" s="1"/>
  <c r="AF61" i="20" a="1"/>
  <c r="AF61" i="20" s="1"/>
  <c r="AP61" i="20" a="1"/>
  <c r="AP61" i="20" s="1"/>
  <c r="X61" i="20" a="1"/>
  <c r="X61" i="20" s="1"/>
  <c r="AI61" i="20" a="1"/>
  <c r="AI61" i="20" s="1"/>
  <c r="L61" i="20" a="1"/>
  <c r="L61" i="20" s="1"/>
  <c r="AA61" i="20" a="1"/>
  <c r="AA61" i="20" s="1"/>
  <c r="U61" i="20" a="1"/>
  <c r="U61" i="20" s="1"/>
  <c r="W61" i="20" a="1"/>
  <c r="W61" i="20" s="1"/>
  <c r="AJ61" i="20" a="1"/>
  <c r="AJ61" i="20" s="1"/>
  <c r="AN61" i="20" a="1"/>
  <c r="AN61" i="20" s="1"/>
  <c r="P61" i="20" a="1"/>
  <c r="P61" i="20" s="1"/>
  <c r="AM61" i="20" a="1"/>
  <c r="AM61" i="20" s="1"/>
  <c r="AB61" i="20" a="1"/>
  <c r="AB61" i="20" s="1"/>
  <c r="AC61" i="20" a="1"/>
  <c r="AC61" i="20" s="1"/>
  <c r="O61" i="20" a="1"/>
  <c r="O61" i="20" s="1"/>
  <c r="AH61" i="20" a="1"/>
  <c r="AH61" i="20" s="1"/>
  <c r="R61" i="20" a="1"/>
  <c r="R61" i="20" s="1"/>
  <c r="K61" i="20" a="1"/>
  <c r="K61" i="20" s="1"/>
  <c r="Z61" i="20" a="1"/>
  <c r="Z61" i="20" s="1"/>
  <c r="G56" i="32"/>
  <c r="I56" i="32"/>
  <c r="H56" i="32"/>
  <c r="O55" i="32" a="1"/>
  <c r="O55" i="32" s="1"/>
  <c r="X55" i="32" s="1" a="1"/>
  <c r="X55" i="32" s="1"/>
  <c r="AG55" i="32" s="1" a="1"/>
  <c r="AG55" i="32" s="1"/>
  <c r="AP55" i="32" s="1" a="1"/>
  <c r="AP55" i="32" s="1"/>
  <c r="N55" i="32" a="1"/>
  <c r="N55" i="32" s="1"/>
  <c r="W55" i="32" s="1" a="1"/>
  <c r="W55" i="32" s="1"/>
  <c r="AF55" i="32" s="1" a="1"/>
  <c r="AF55" i="32" s="1"/>
  <c r="AO55" i="32" s="1" a="1"/>
  <c r="AO55" i="32" s="1"/>
  <c r="L55" i="32" a="1"/>
  <c r="L55" i="32" s="1"/>
  <c r="U55" i="32" s="1" a="1"/>
  <c r="U55" i="32" s="1"/>
  <c r="AD55" i="32" s="1" a="1"/>
  <c r="AD55" i="32" s="1"/>
  <c r="AM55" i="32" s="1" a="1"/>
  <c r="AM55" i="32" s="1"/>
  <c r="P55" i="32" a="1"/>
  <c r="P55" i="32" s="1"/>
  <c r="Y55" i="32" s="1" a="1"/>
  <c r="Y55" i="32" s="1"/>
  <c r="AH55" i="32" s="1" a="1"/>
  <c r="AH55" i="32" s="1"/>
  <c r="K55" i="32" a="1"/>
  <c r="K55" i="32" s="1"/>
  <c r="T55" i="32" s="1" a="1"/>
  <c r="T55" i="32" s="1"/>
  <c r="AC55" i="32" s="1" a="1"/>
  <c r="AC55" i="32" s="1"/>
  <c r="AL55" i="32" s="1" a="1"/>
  <c r="AL55" i="32" s="1"/>
  <c r="Q55" i="32" a="1"/>
  <c r="Q55" i="32" s="1"/>
  <c r="Z55" i="32" s="1" a="1"/>
  <c r="Z55" i="32" s="1"/>
  <c r="AI55" i="32" s="1" a="1"/>
  <c r="AI55" i="32" s="1"/>
  <c r="R55" i="32" a="1"/>
  <c r="R55" i="32" s="1"/>
  <c r="AA55" i="32" s="1" a="1"/>
  <c r="AA55" i="32" s="1"/>
  <c r="AJ55" i="32" s="1" a="1"/>
  <c r="AJ55" i="32" s="1"/>
  <c r="O54" i="32" a="1"/>
  <c r="O54" i="32" s="1"/>
  <c r="X54" i="32" s="1" a="1"/>
  <c r="X54" i="32" s="1"/>
  <c r="AG54" i="32" s="1" a="1"/>
  <c r="AG54" i="32" s="1"/>
  <c r="AP54" i="32" s="1" a="1"/>
  <c r="AP54" i="32" s="1"/>
  <c r="S55" i="32" a="1"/>
  <c r="S55" i="32" s="1"/>
  <c r="AB55" i="32" s="1" a="1"/>
  <c r="AB55" i="32" s="1"/>
  <c r="AK55" i="32" s="1" a="1"/>
  <c r="AK55" i="32" s="1"/>
  <c r="E60" i="20"/>
  <c r="F60" i="20"/>
  <c r="G60" i="20"/>
  <c r="E35" i="25"/>
  <c r="I35" i="25"/>
  <c r="C35" i="25"/>
  <c r="D35" i="25" s="1"/>
  <c r="K36" i="25"/>
  <c r="C37" i="24"/>
  <c r="AW38" i="24"/>
  <c r="I37" i="24"/>
  <c r="E37" i="24"/>
  <c r="F37" i="24"/>
  <c r="G37" i="24"/>
  <c r="H37" i="24"/>
  <c r="J37" i="24"/>
  <c r="D37" i="24"/>
  <c r="C57" i="21"/>
  <c r="F57" i="21"/>
  <c r="G57" i="21"/>
  <c r="B57" i="21"/>
  <c r="E57" i="21" s="1"/>
  <c r="H57" i="21"/>
  <c r="A58" i="21"/>
  <c r="K59" i="21"/>
  <c r="L59" i="21" s="1"/>
  <c r="A57" i="32"/>
  <c r="D57" i="32" s="1"/>
  <c r="AQ58" i="32"/>
  <c r="AR58" i="32" s="1"/>
  <c r="A58" i="32" s="1"/>
  <c r="D58" i="32" s="1"/>
  <c r="B56" i="32"/>
  <c r="C56" i="32"/>
  <c r="D56" i="32" s="1"/>
  <c r="AQ63" i="20"/>
  <c r="AR63" i="20" s="1"/>
  <c r="A62" i="20"/>
  <c r="B61" i="20"/>
  <c r="C61" i="20"/>
  <c r="E61" i="20"/>
  <c r="I61" i="20"/>
  <c r="F61" i="20"/>
  <c r="G57" i="32" l="1"/>
  <c r="H57" i="32"/>
  <c r="I57" i="32"/>
  <c r="G58" i="32"/>
  <c r="I58" i="32"/>
  <c r="H58" i="32"/>
  <c r="E56" i="32"/>
  <c r="F56" i="32"/>
  <c r="Q56" i="32" a="1"/>
  <c r="Q56" i="32" s="1"/>
  <c r="Z56" i="32" s="1" a="1"/>
  <c r="Z56" i="32" s="1"/>
  <c r="AI56" i="32" s="1" a="1"/>
  <c r="AI56" i="32" s="1"/>
  <c r="J56" i="32" a="1"/>
  <c r="J56" i="32" s="1"/>
  <c r="S56" i="32" s="1" a="1"/>
  <c r="S56" i="32" s="1"/>
  <c r="AB56" i="32" s="1" a="1"/>
  <c r="AB56" i="32" s="1"/>
  <c r="AK56" i="32" s="1" a="1"/>
  <c r="AK56" i="32" s="1"/>
  <c r="L56" i="32" a="1"/>
  <c r="L56" i="32" s="1"/>
  <c r="U56" i="32" s="1" a="1"/>
  <c r="U56" i="32" s="1"/>
  <c r="AD56" i="32" s="1" a="1"/>
  <c r="AD56" i="32" s="1"/>
  <c r="AM56" i="32" s="1" a="1"/>
  <c r="AM56" i="32" s="1"/>
  <c r="M55" i="32" a="1"/>
  <c r="M55" i="32" s="1"/>
  <c r="V55" i="32" s="1" a="1"/>
  <c r="V55" i="32" s="1"/>
  <c r="AE55" i="32" s="1" a="1"/>
  <c r="AE55" i="32" s="1"/>
  <c r="AN55" i="32" s="1" a="1"/>
  <c r="AN55" i="32" s="1"/>
  <c r="J57" i="32" a="1"/>
  <c r="J57" i="32" s="1"/>
  <c r="J58" i="32" a="1"/>
  <c r="J58" i="32" s="1"/>
  <c r="G61" i="20"/>
  <c r="D61" i="20"/>
  <c r="H61" i="20"/>
  <c r="AX38" i="24"/>
  <c r="B38" i="24"/>
  <c r="L36" i="25"/>
  <c r="B36" i="25"/>
  <c r="I57" i="21"/>
  <c r="D57" i="21"/>
  <c r="G58" i="21"/>
  <c r="F58" i="21"/>
  <c r="I58" i="21"/>
  <c r="B58" i="21"/>
  <c r="E58" i="21" s="1"/>
  <c r="D58" i="21"/>
  <c r="C58" i="21"/>
  <c r="H58" i="21"/>
  <c r="A59" i="21"/>
  <c r="K60" i="21"/>
  <c r="L60" i="21" s="1"/>
  <c r="E58" i="32"/>
  <c r="B58" i="32"/>
  <c r="C58" i="32"/>
  <c r="B57" i="32"/>
  <c r="E57" i="32"/>
  <c r="F57" i="32"/>
  <c r="C57" i="32"/>
  <c r="B62" i="20"/>
  <c r="C62" i="20"/>
  <c r="A63" i="20"/>
  <c r="AQ64" i="20"/>
  <c r="AR64" i="20" s="1"/>
  <c r="J62" i="20" l="1" a="1"/>
  <c r="J62" i="20" s="1"/>
  <c r="X62" i="20" a="1"/>
  <c r="X62" i="20" s="1"/>
  <c r="U62" i="20" a="1"/>
  <c r="U62" i="20" s="1"/>
  <c r="AP62" i="20" a="1"/>
  <c r="AP62" i="20" s="1"/>
  <c r="R62" i="20" a="1"/>
  <c r="R62" i="20" s="1"/>
  <c r="AA62" i="20" a="1"/>
  <c r="AA62" i="20" s="1"/>
  <c r="Q62" i="20" a="1"/>
  <c r="Q62" i="20" s="1"/>
  <c r="AM62" i="20" a="1"/>
  <c r="AM62" i="20" s="1"/>
  <c r="AL62" i="20" a="1"/>
  <c r="AL62" i="20" s="1"/>
  <c r="AF62" i="20" a="1"/>
  <c r="AF62" i="20" s="1"/>
  <c r="AK62" i="20" a="1"/>
  <c r="AK62" i="20" s="1"/>
  <c r="N62" i="20" a="1"/>
  <c r="N62" i="20" s="1"/>
  <c r="O62" i="20" a="1"/>
  <c r="O62" i="20" s="1"/>
  <c r="AC62" i="20" a="1"/>
  <c r="AC62" i="20" s="1"/>
  <c r="AJ62" i="20" a="1"/>
  <c r="AJ62" i="20" s="1"/>
  <c r="M62" i="20" a="1"/>
  <c r="M62" i="20" s="1"/>
  <c r="AI62" i="20" a="1"/>
  <c r="AI62" i="20" s="1"/>
  <c r="W62" i="20" a="1"/>
  <c r="W62" i="20" s="1"/>
  <c r="AN62" i="20" a="1"/>
  <c r="AN62" i="20" s="1"/>
  <c r="AG62" i="20" a="1"/>
  <c r="AG62" i="20" s="1"/>
  <c r="L62" i="20" a="1"/>
  <c r="L62" i="20" s="1"/>
  <c r="AH62" i="20" a="1"/>
  <c r="AH62" i="20" s="1"/>
  <c r="K62" i="20" a="1"/>
  <c r="K62" i="20" s="1"/>
  <c r="AE62" i="20" a="1"/>
  <c r="AE62" i="20" s="1"/>
  <c r="AB62" i="20" a="1"/>
  <c r="AB62" i="20" s="1"/>
  <c r="Z62" i="20" a="1"/>
  <c r="Z62" i="20" s="1"/>
  <c r="AO62" i="20" a="1"/>
  <c r="AO62" i="20" s="1"/>
  <c r="V62" i="20" a="1"/>
  <c r="V62" i="20" s="1"/>
  <c r="Y62" i="20" a="1"/>
  <c r="Y62" i="20" s="1"/>
  <c r="AD62" i="20" a="1"/>
  <c r="AD62" i="20" s="1"/>
  <c r="P62" i="20" a="1"/>
  <c r="P62" i="20" s="1"/>
  <c r="T62" i="20" a="1"/>
  <c r="T62" i="20" s="1"/>
  <c r="S62" i="20" a="1"/>
  <c r="S62" i="20" s="1"/>
  <c r="P56" i="32" a="1"/>
  <c r="P56" i="32" s="1"/>
  <c r="Y56" i="32" s="1" a="1"/>
  <c r="Y56" i="32" s="1"/>
  <c r="AH56" i="32" s="1" a="1"/>
  <c r="AH56" i="32" s="1"/>
  <c r="K56" i="32" a="1"/>
  <c r="K56" i="32" s="1"/>
  <c r="T56" i="32" s="1" a="1"/>
  <c r="T56" i="32" s="1"/>
  <c r="AC56" i="32" s="1" a="1"/>
  <c r="AC56" i="32" s="1"/>
  <c r="AL56" i="32" s="1" a="1"/>
  <c r="AL56" i="32" s="1"/>
  <c r="R56" i="32" a="1"/>
  <c r="R56" i="32" s="1"/>
  <c r="AA56" i="32" s="1" a="1"/>
  <c r="AA56" i="32" s="1"/>
  <c r="AJ56" i="32" s="1" a="1"/>
  <c r="AJ56" i="32" s="1"/>
  <c r="O56" i="32" a="1"/>
  <c r="O56" i="32" s="1"/>
  <c r="X56" i="32" s="1" a="1"/>
  <c r="X56" i="32" s="1"/>
  <c r="AG56" i="32" s="1" a="1"/>
  <c r="AG56" i="32" s="1"/>
  <c r="AP56" i="32" s="1" a="1"/>
  <c r="AP56" i="32" s="1"/>
  <c r="N56" i="32" a="1"/>
  <c r="N56" i="32" s="1"/>
  <c r="W56" i="32" s="1" a="1"/>
  <c r="W56" i="32" s="1"/>
  <c r="AF56" i="32" s="1" a="1"/>
  <c r="AF56" i="32" s="1"/>
  <c r="AO56" i="32" s="1" a="1"/>
  <c r="AO56" i="32" s="1"/>
  <c r="M56" i="32" a="1"/>
  <c r="M56" i="32" s="1"/>
  <c r="V56" i="32" s="1" a="1"/>
  <c r="V56" i="32" s="1"/>
  <c r="AE56" i="32" s="1" a="1"/>
  <c r="AE56" i="32" s="1"/>
  <c r="AN56" i="32" s="1" a="1"/>
  <c r="AN56" i="32" s="1"/>
  <c r="S57" i="32" a="1"/>
  <c r="S57" i="32" s="1"/>
  <c r="AB57" i="32" s="1" a="1"/>
  <c r="AB57" i="32" s="1"/>
  <c r="AK57" i="32" s="1" a="1"/>
  <c r="AK57" i="32" s="1"/>
  <c r="R57" i="32" a="1"/>
  <c r="R57" i="32" s="1"/>
  <c r="AA57" i="32" s="1" a="1"/>
  <c r="AA57" i="32" s="1"/>
  <c r="AJ57" i="32" s="1" a="1"/>
  <c r="AJ57" i="32" s="1"/>
  <c r="Q57" i="32" a="1"/>
  <c r="Q57" i="32" s="1"/>
  <c r="Z57" i="32" s="1" a="1"/>
  <c r="Z57" i="32" s="1"/>
  <c r="AI57" i="32" s="1" a="1"/>
  <c r="AI57" i="32" s="1"/>
  <c r="N57" i="32" a="1"/>
  <c r="N57" i="32" s="1"/>
  <c r="W57" i="32" s="1" a="1"/>
  <c r="W57" i="32" s="1"/>
  <c r="AF57" i="32" s="1" a="1"/>
  <c r="AF57" i="32" s="1"/>
  <c r="AO57" i="32" s="1" a="1"/>
  <c r="AO57" i="32" s="1"/>
  <c r="O57" i="32" a="1"/>
  <c r="O57" i="32" s="1"/>
  <c r="X57" i="32" s="1" a="1"/>
  <c r="X57" i="32" s="1"/>
  <c r="AG57" i="32" s="1" a="1"/>
  <c r="AG57" i="32" s="1"/>
  <c r="AP57" i="32" s="1" a="1"/>
  <c r="AP57" i="32" s="1"/>
  <c r="K57" i="32" a="1"/>
  <c r="K57" i="32" s="1"/>
  <c r="T57" i="32" s="1" a="1"/>
  <c r="T57" i="32" s="1"/>
  <c r="AC57" i="32" s="1" a="1"/>
  <c r="AC57" i="32" s="1"/>
  <c r="AL57" i="32" s="1" a="1"/>
  <c r="AL57" i="32" s="1"/>
  <c r="P57" i="32" a="1"/>
  <c r="P57" i="32" s="1"/>
  <c r="Y57" i="32" s="1" a="1"/>
  <c r="Y57" i="32" s="1"/>
  <c r="AH57" i="32" s="1" a="1"/>
  <c r="AH57" i="32" s="1"/>
  <c r="L57" i="32" a="1"/>
  <c r="L57" i="32" s="1"/>
  <c r="U57" i="32" s="1" a="1"/>
  <c r="U57" i="32" s="1"/>
  <c r="AD57" i="32" s="1" a="1"/>
  <c r="AD57" i="32" s="1"/>
  <c r="AM57" i="32" s="1" a="1"/>
  <c r="AM57" i="32" s="1"/>
  <c r="L58" i="32" a="1"/>
  <c r="L58" i="32" s="1"/>
  <c r="U58" i="32" s="1" a="1"/>
  <c r="U58" i="32" s="1"/>
  <c r="AD58" i="32" s="1" a="1"/>
  <c r="AD58" i="32" s="1"/>
  <c r="AM58" i="32" s="1" a="1"/>
  <c r="AM58" i="32" s="1"/>
  <c r="P58" i="32" a="1"/>
  <c r="P58" i="32" s="1"/>
  <c r="Y58" i="32" s="1" a="1"/>
  <c r="Y58" i="32" s="1"/>
  <c r="AH58" i="32" s="1" a="1"/>
  <c r="AH58" i="32" s="1"/>
  <c r="K58" i="32" a="1"/>
  <c r="K58" i="32" s="1"/>
  <c r="T58" i="32" s="1" a="1"/>
  <c r="T58" i="32" s="1"/>
  <c r="AC58" i="32" s="1" a="1"/>
  <c r="AC58" i="32" s="1"/>
  <c r="AL58" i="32" s="1" a="1"/>
  <c r="AL58" i="32" s="1"/>
  <c r="N58" i="32" a="1"/>
  <c r="N58" i="32" s="1"/>
  <c r="W58" i="32" s="1" a="1"/>
  <c r="W58" i="32" s="1"/>
  <c r="AF58" i="32" s="1" a="1"/>
  <c r="AF58" i="32" s="1"/>
  <c r="AO58" i="32" s="1" a="1"/>
  <c r="AO58" i="32" s="1"/>
  <c r="R58" i="32" a="1"/>
  <c r="R58" i="32" s="1"/>
  <c r="AA58" i="32" s="1" a="1"/>
  <c r="AA58" i="32" s="1"/>
  <c r="AJ58" i="32" s="1" a="1"/>
  <c r="AJ58" i="32" s="1"/>
  <c r="Q58" i="32" a="1"/>
  <c r="Q58" i="32" s="1"/>
  <c r="Z58" i="32" s="1" a="1"/>
  <c r="Z58" i="32" s="1"/>
  <c r="AI58" i="32" s="1" a="1"/>
  <c r="AI58" i="32" s="1"/>
  <c r="S58" i="32" a="1"/>
  <c r="S58" i="32" s="1"/>
  <c r="AB58" i="32" s="1" a="1"/>
  <c r="AB58" i="32" s="1"/>
  <c r="AK58" i="32" s="1" a="1"/>
  <c r="AK58" i="32" s="1"/>
  <c r="M57" i="32" a="1"/>
  <c r="M57" i="32" s="1"/>
  <c r="V57" i="32" s="1" a="1"/>
  <c r="V57" i="32" s="1"/>
  <c r="AE57" i="32" s="1" a="1"/>
  <c r="AE57" i="32" s="1"/>
  <c r="AN57" i="32" s="1" a="1"/>
  <c r="AN57" i="32" s="1"/>
  <c r="M58" i="32" a="1"/>
  <c r="M58" i="32" s="1"/>
  <c r="V58" i="32" s="1" a="1"/>
  <c r="V58" i="32" s="1"/>
  <c r="AE58" i="32" s="1" a="1"/>
  <c r="AE58" i="32" s="1"/>
  <c r="AN58" i="32" s="1" a="1"/>
  <c r="AN58" i="32" s="1"/>
  <c r="F58" i="32"/>
  <c r="O58" i="32" s="1" a="1"/>
  <c r="O58" i="32" s="1"/>
  <c r="X58" i="32" s="1" a="1"/>
  <c r="X58" i="32" s="1"/>
  <c r="AG58" i="32" s="1" a="1"/>
  <c r="AG58" i="32" s="1"/>
  <c r="AP58" i="32" s="1" a="1"/>
  <c r="AP58" i="32" s="1"/>
  <c r="D62" i="20"/>
  <c r="K37" i="25"/>
  <c r="C36" i="25"/>
  <c r="D36" i="25" s="1"/>
  <c r="H38" i="24"/>
  <c r="F38" i="24"/>
  <c r="I38" i="24"/>
  <c r="D38" i="24"/>
  <c r="E38" i="24"/>
  <c r="G38" i="24"/>
  <c r="J38" i="24"/>
  <c r="I36" i="25"/>
  <c r="E36" i="25"/>
  <c r="C38" i="24"/>
  <c r="AW39" i="24"/>
  <c r="K61" i="21"/>
  <c r="L61" i="21" s="1"/>
  <c r="A60" i="21"/>
  <c r="G59" i="21"/>
  <c r="C59" i="21"/>
  <c r="H59" i="21"/>
  <c r="B59" i="21"/>
  <c r="D59" i="21" s="1"/>
  <c r="F59" i="21"/>
  <c r="G62" i="20"/>
  <c r="E62" i="20"/>
  <c r="A64" i="20"/>
  <c r="AQ65" i="20"/>
  <c r="AR65" i="20" s="1"/>
  <c r="C63" i="20"/>
  <c r="B63" i="20"/>
  <c r="F62" i="20"/>
  <c r="I62" i="20"/>
  <c r="H62" i="20"/>
  <c r="AI63" i="20" l="1" a="1"/>
  <c r="AI63" i="20" s="1"/>
  <c r="AJ63" i="20" a="1"/>
  <c r="AJ63" i="20" s="1"/>
  <c r="Q63" i="20" a="1"/>
  <c r="Q63" i="20" s="1"/>
  <c r="AB63" i="20" a="1"/>
  <c r="AB63" i="20" s="1"/>
  <c r="X63" i="20" a="1"/>
  <c r="X63" i="20" s="1"/>
  <c r="AO63" i="20" a="1"/>
  <c r="AO63" i="20" s="1"/>
  <c r="L63" i="20" a="1"/>
  <c r="L63" i="20" s="1"/>
  <c r="P63" i="20" a="1"/>
  <c r="P63" i="20" s="1"/>
  <c r="AF63" i="20" a="1"/>
  <c r="AF63" i="20" s="1"/>
  <c r="AA63" i="20" a="1"/>
  <c r="AA63" i="20" s="1"/>
  <c r="U63" i="20" a="1"/>
  <c r="U63" i="20" s="1"/>
  <c r="K63" i="20" a="1"/>
  <c r="K63" i="20" s="1"/>
  <c r="T63" i="20" a="1"/>
  <c r="T63" i="20" s="1"/>
  <c r="AH63" i="20" a="1"/>
  <c r="AH63" i="20" s="1"/>
  <c r="AC63" i="20" a="1"/>
  <c r="AC63" i="20" s="1"/>
  <c r="AK63" i="20" a="1"/>
  <c r="AK63" i="20" s="1"/>
  <c r="J63" i="20" a="1"/>
  <c r="J63" i="20" s="1"/>
  <c r="R63" i="20" a="1"/>
  <c r="R63" i="20" s="1"/>
  <c r="AE63" i="20" a="1"/>
  <c r="AE63" i="20" s="1"/>
  <c r="AG63" i="20" a="1"/>
  <c r="AG63" i="20" s="1"/>
  <c r="AL63" i="20" a="1"/>
  <c r="AL63" i="20" s="1"/>
  <c r="Y63" i="20" a="1"/>
  <c r="Y63" i="20" s="1"/>
  <c r="V63" i="20" a="1"/>
  <c r="V63" i="20" s="1"/>
  <c r="AD63" i="20" a="1"/>
  <c r="AD63" i="20" s="1"/>
  <c r="S63" i="20" a="1"/>
  <c r="S63" i="20" s="1"/>
  <c r="AN63" i="20" a="1"/>
  <c r="AN63" i="20" s="1"/>
  <c r="W63" i="20" a="1"/>
  <c r="W63" i="20" s="1"/>
  <c r="M63" i="20" a="1"/>
  <c r="M63" i="20" s="1"/>
  <c r="Z63" i="20" a="1"/>
  <c r="Z63" i="20" s="1"/>
  <c r="O63" i="20" a="1"/>
  <c r="O63" i="20" s="1"/>
  <c r="N63" i="20" a="1"/>
  <c r="N63" i="20" s="1"/>
  <c r="AP63" i="20" a="1"/>
  <c r="AP63" i="20" s="1"/>
  <c r="AM63" i="20" a="1"/>
  <c r="AM63" i="20" s="1"/>
  <c r="I59" i="21"/>
  <c r="E59" i="21"/>
  <c r="E63" i="20"/>
  <c r="AX39" i="24"/>
  <c r="B39" i="24"/>
  <c r="L37" i="25"/>
  <c r="B37" i="25"/>
  <c r="G60" i="21"/>
  <c r="C60" i="21"/>
  <c r="H60" i="21"/>
  <c r="F60" i="21"/>
  <c r="B60" i="21"/>
  <c r="D60" i="21" s="1"/>
  <c r="A61" i="21"/>
  <c r="K62" i="21"/>
  <c r="L62" i="21" s="1"/>
  <c r="G63" i="20"/>
  <c r="H63" i="20"/>
  <c r="F63" i="20"/>
  <c r="D63" i="20"/>
  <c r="AQ66" i="20"/>
  <c r="AR66" i="20" s="1"/>
  <c r="A65" i="20"/>
  <c r="I63" i="20"/>
  <c r="C64" i="20"/>
  <c r="B64" i="20"/>
  <c r="AL64" i="20" l="1" a="1"/>
  <c r="AL64" i="20" s="1"/>
  <c r="AO64" i="20" a="1"/>
  <c r="AO64" i="20" s="1"/>
  <c r="AP64" i="20" a="1"/>
  <c r="AP64" i="20" s="1"/>
  <c r="AE64" i="20" a="1"/>
  <c r="AE64" i="20" s="1"/>
  <c r="O64" i="20" a="1"/>
  <c r="O64" i="20" s="1"/>
  <c r="AJ64" i="20" a="1"/>
  <c r="AJ64" i="20" s="1"/>
  <c r="AD64" i="20" a="1"/>
  <c r="AD64" i="20" s="1"/>
  <c r="M64" i="20" a="1"/>
  <c r="M64" i="20" s="1"/>
  <c r="K64" i="20" a="1"/>
  <c r="K64" i="20" s="1"/>
  <c r="W64" i="20" a="1"/>
  <c r="W64" i="20" s="1"/>
  <c r="AI64" i="20" a="1"/>
  <c r="AI64" i="20" s="1"/>
  <c r="AK64" i="20" a="1"/>
  <c r="AK64" i="20" s="1"/>
  <c r="AN64" i="20" a="1"/>
  <c r="AN64" i="20" s="1"/>
  <c r="AA64" i="20" a="1"/>
  <c r="AA64" i="20" s="1"/>
  <c r="R64" i="20" a="1"/>
  <c r="R64" i="20" s="1"/>
  <c r="AH64" i="20" a="1"/>
  <c r="AH64" i="20" s="1"/>
  <c r="Q64" i="20" a="1"/>
  <c r="Q64" i="20" s="1"/>
  <c r="Y64" i="20" a="1"/>
  <c r="Y64" i="20" s="1"/>
  <c r="AB64" i="20" a="1"/>
  <c r="AB64" i="20" s="1"/>
  <c r="AM64" i="20" a="1"/>
  <c r="AM64" i="20" s="1"/>
  <c r="X64" i="20" a="1"/>
  <c r="X64" i="20" s="1"/>
  <c r="V64" i="20" a="1"/>
  <c r="V64" i="20" s="1"/>
  <c r="AC64" i="20" a="1"/>
  <c r="AC64" i="20" s="1"/>
  <c r="N64" i="20" a="1"/>
  <c r="N64" i="20" s="1"/>
  <c r="P64" i="20" a="1"/>
  <c r="P64" i="20" s="1"/>
  <c r="U64" i="20" a="1"/>
  <c r="U64" i="20" s="1"/>
  <c r="AG64" i="20" a="1"/>
  <c r="AG64" i="20" s="1"/>
  <c r="J64" i="20" a="1"/>
  <c r="J64" i="20" s="1"/>
  <c r="L64" i="20" a="1"/>
  <c r="L64" i="20" s="1"/>
  <c r="Z64" i="20" a="1"/>
  <c r="Z64" i="20" s="1"/>
  <c r="AF64" i="20" a="1"/>
  <c r="AF64" i="20" s="1"/>
  <c r="S64" i="20" a="1"/>
  <c r="S64" i="20" s="1"/>
  <c r="T64" i="20" a="1"/>
  <c r="T64" i="20" s="1"/>
  <c r="F64" i="20"/>
  <c r="E37" i="25"/>
  <c r="I37" i="25"/>
  <c r="K38" i="25"/>
  <c r="C37" i="25"/>
  <c r="D37" i="25" s="1"/>
  <c r="I39" i="24"/>
  <c r="E39" i="24"/>
  <c r="J39" i="24"/>
  <c r="D39" i="24"/>
  <c r="G39" i="24"/>
  <c r="H39" i="24"/>
  <c r="F39" i="24"/>
  <c r="C39" i="24"/>
  <c r="AW40" i="24"/>
  <c r="E60" i="21"/>
  <c r="I60" i="21"/>
  <c r="B61" i="21"/>
  <c r="I61" i="21" s="1"/>
  <c r="F61" i="21"/>
  <c r="G61" i="21"/>
  <c r="H61" i="21"/>
  <c r="C61" i="21"/>
  <c r="K63" i="21"/>
  <c r="L63" i="21" s="1"/>
  <c r="A62" i="21"/>
  <c r="I64" i="20"/>
  <c r="E64" i="20"/>
  <c r="G64" i="20"/>
  <c r="D64" i="20"/>
  <c r="H64" i="20"/>
  <c r="B65" i="20"/>
  <c r="C65" i="20"/>
  <c r="AQ67" i="20"/>
  <c r="AR67" i="20" s="1"/>
  <c r="A66" i="20"/>
  <c r="M65" i="20" l="1" a="1"/>
  <c r="M65" i="20" s="1"/>
  <c r="AM65" i="20" a="1"/>
  <c r="AM65" i="20" s="1"/>
  <c r="AC65" i="20" a="1"/>
  <c r="AC65" i="20" s="1"/>
  <c r="P65" i="20" a="1"/>
  <c r="P65" i="20" s="1"/>
  <c r="T65" i="20" a="1"/>
  <c r="T65" i="20" s="1"/>
  <c r="X65" i="20" a="1"/>
  <c r="X65" i="20" s="1"/>
  <c r="J65" i="20" a="1"/>
  <c r="J65" i="20" s="1"/>
  <c r="AJ65" i="20" a="1"/>
  <c r="AJ65" i="20" s="1"/>
  <c r="AI65" i="20" a="1"/>
  <c r="AI65" i="20" s="1"/>
  <c r="AO65" i="20" a="1"/>
  <c r="AO65" i="20" s="1"/>
  <c r="AD65" i="20" a="1"/>
  <c r="AD65" i="20" s="1"/>
  <c r="K65" i="20" a="1"/>
  <c r="K65" i="20" s="1"/>
  <c r="AB65" i="20" a="1"/>
  <c r="AB65" i="20" s="1"/>
  <c r="Q65" i="20" a="1"/>
  <c r="Q65" i="20" s="1"/>
  <c r="AH65" i="20" a="1"/>
  <c r="AH65" i="20" s="1"/>
  <c r="U65" i="20" a="1"/>
  <c r="U65" i="20" s="1"/>
  <c r="V65" i="20" a="1"/>
  <c r="V65" i="20" s="1"/>
  <c r="AN65" i="20" a="1"/>
  <c r="AN65" i="20" s="1"/>
  <c r="AF65" i="20" a="1"/>
  <c r="AF65" i="20" s="1"/>
  <c r="Z65" i="20" a="1"/>
  <c r="Z65" i="20" s="1"/>
  <c r="AA65" i="20" a="1"/>
  <c r="AA65" i="20" s="1"/>
  <c r="S65" i="20" a="1"/>
  <c r="S65" i="20" s="1"/>
  <c r="R65" i="20" a="1"/>
  <c r="R65" i="20" s="1"/>
  <c r="AE65" i="20" a="1"/>
  <c r="AE65" i="20" s="1"/>
  <c r="L65" i="20" a="1"/>
  <c r="L65" i="20" s="1"/>
  <c r="AG65" i="20" a="1"/>
  <c r="AG65" i="20" s="1"/>
  <c r="W65" i="20" a="1"/>
  <c r="W65" i="20" s="1"/>
  <c r="AL65" i="20" a="1"/>
  <c r="AL65" i="20" s="1"/>
  <c r="O65" i="20" a="1"/>
  <c r="O65" i="20" s="1"/>
  <c r="N65" i="20" a="1"/>
  <c r="N65" i="20" s="1"/>
  <c r="Y65" i="20" a="1"/>
  <c r="Y65" i="20" s="1"/>
  <c r="AP65" i="20" a="1"/>
  <c r="AP65" i="20" s="1"/>
  <c r="AK65" i="20" a="1"/>
  <c r="AK65" i="20" s="1"/>
  <c r="AX40" i="24"/>
  <c r="B40" i="24"/>
  <c r="L38" i="25"/>
  <c r="B38" i="25"/>
  <c r="D61" i="21"/>
  <c r="E61" i="21"/>
  <c r="K64" i="21"/>
  <c r="L64" i="21" s="1"/>
  <c r="A63" i="21"/>
  <c r="H62" i="21"/>
  <c r="B62" i="21"/>
  <c r="I62" i="21" s="1"/>
  <c r="F62" i="21"/>
  <c r="G62" i="21"/>
  <c r="C62" i="21"/>
  <c r="F65" i="20"/>
  <c r="I65" i="20"/>
  <c r="AQ68" i="20"/>
  <c r="AR68" i="20" s="1"/>
  <c r="A67" i="20"/>
  <c r="G65" i="20"/>
  <c r="H65" i="20"/>
  <c r="D65" i="20"/>
  <c r="B66" i="20"/>
  <c r="C66" i="20"/>
  <c r="E65" i="20"/>
  <c r="U66" i="20" l="1" a="1"/>
  <c r="U66" i="20" s="1"/>
  <c r="AN66" i="20" a="1"/>
  <c r="AN66" i="20" s="1"/>
  <c r="Q66" i="20" a="1"/>
  <c r="Q66" i="20" s="1"/>
  <c r="P66" i="20" a="1"/>
  <c r="P66" i="20" s="1"/>
  <c r="AD66" i="20" a="1"/>
  <c r="AD66" i="20" s="1"/>
  <c r="W66" i="20" a="1"/>
  <c r="W66" i="20" s="1"/>
  <c r="AI66" i="20" a="1"/>
  <c r="AI66" i="20" s="1"/>
  <c r="S66" i="20" a="1"/>
  <c r="S66" i="20" s="1"/>
  <c r="K66" i="20" a="1"/>
  <c r="K66" i="20" s="1"/>
  <c r="L66" i="20" a="1"/>
  <c r="L66" i="20" s="1"/>
  <c r="AC66" i="20" a="1"/>
  <c r="AC66" i="20" s="1"/>
  <c r="AK66" i="20" a="1"/>
  <c r="AK66" i="20" s="1"/>
  <c r="J67" i="20" a="1"/>
  <c r="J67" i="20" s="1"/>
  <c r="P67" i="20" a="1"/>
  <c r="P67" i="20" s="1"/>
  <c r="V67" i="20" a="1"/>
  <c r="V67" i="20" s="1"/>
  <c r="AB67" i="20" a="1"/>
  <c r="AB67" i="20" s="1"/>
  <c r="AH67" i="20" a="1"/>
  <c r="AH67" i="20" s="1"/>
  <c r="AN67" i="20" a="1"/>
  <c r="AN67" i="20" s="1"/>
  <c r="M67" i="20" a="1"/>
  <c r="M67" i="20" s="1"/>
  <c r="AC67" i="20" a="1"/>
  <c r="AC67" i="20" s="1"/>
  <c r="AK67" i="20" a="1"/>
  <c r="AK67" i="20" s="1"/>
  <c r="U67" i="20" a="1"/>
  <c r="U67" i="20" s="1"/>
  <c r="X67" i="20" a="1"/>
  <c r="X67" i="20" s="1"/>
  <c r="AF67" i="20" a="1"/>
  <c r="AF67" i="20" s="1"/>
  <c r="R67" i="20" a="1"/>
  <c r="R67" i="20" s="1"/>
  <c r="AM67" i="20" a="1"/>
  <c r="AM67" i="20" s="1"/>
  <c r="L67" i="20" a="1"/>
  <c r="L67" i="20" s="1"/>
  <c r="N67" i="20" a="1"/>
  <c r="N67" i="20" s="1"/>
  <c r="Y67" i="20" a="1"/>
  <c r="Y67" i="20" s="1"/>
  <c r="AI67" i="20" a="1"/>
  <c r="AI67" i="20" s="1"/>
  <c r="AA67" i="20" a="1"/>
  <c r="AA67" i="20" s="1"/>
  <c r="W67" i="20" a="1"/>
  <c r="W67" i="20" s="1"/>
  <c r="AP67" i="20" a="1"/>
  <c r="AP67" i="20" s="1"/>
  <c r="Z67" i="20" a="1"/>
  <c r="Z67" i="20" s="1"/>
  <c r="K67" i="20" a="1"/>
  <c r="K67" i="20" s="1"/>
  <c r="AE67" i="20" a="1"/>
  <c r="AE67" i="20" s="1"/>
  <c r="AL67" i="20" a="1"/>
  <c r="AL67" i="20" s="1"/>
  <c r="T67" i="20" a="1"/>
  <c r="T67" i="20" s="1"/>
  <c r="AD67" i="20" a="1"/>
  <c r="AD67" i="20" s="1"/>
  <c r="AJ67" i="20" a="1"/>
  <c r="AJ67" i="20" s="1"/>
  <c r="Q67" i="20" a="1"/>
  <c r="Q67" i="20" s="1"/>
  <c r="AO67" i="20" a="1"/>
  <c r="AO67" i="20" s="1"/>
  <c r="O67" i="20" a="1"/>
  <c r="O67" i="20" s="1"/>
  <c r="S67" i="20" a="1"/>
  <c r="S67" i="20" s="1"/>
  <c r="AG67" i="20" a="1"/>
  <c r="AG67" i="20" s="1"/>
  <c r="AA66" i="20" a="1"/>
  <c r="AA66" i="20" s="1"/>
  <c r="AM66" i="20" a="1"/>
  <c r="AM66" i="20" s="1"/>
  <c r="AO66" i="20" a="1"/>
  <c r="AO66" i="20" s="1"/>
  <c r="AE66" i="20" a="1"/>
  <c r="AE66" i="20" s="1"/>
  <c r="AP66" i="20" a="1"/>
  <c r="AP66" i="20" s="1"/>
  <c r="T66" i="20" a="1"/>
  <c r="T66" i="20" s="1"/>
  <c r="AG66" i="20" a="1"/>
  <c r="AG66" i="20" s="1"/>
  <c r="Y66" i="20" a="1"/>
  <c r="Y66" i="20" s="1"/>
  <c r="AB66" i="20" a="1"/>
  <c r="AB66" i="20" s="1"/>
  <c r="X66" i="20" a="1"/>
  <c r="X66" i="20" s="1"/>
  <c r="R66" i="20" a="1"/>
  <c r="R66" i="20" s="1"/>
  <c r="AJ66" i="20" a="1"/>
  <c r="AJ66" i="20" s="1"/>
  <c r="V66" i="20" a="1"/>
  <c r="V66" i="20" s="1"/>
  <c r="J66" i="20" a="1"/>
  <c r="J66" i="20" s="1"/>
  <c r="O66" i="20" a="1"/>
  <c r="O66" i="20" s="1"/>
  <c r="AL66" i="20" a="1"/>
  <c r="AL66" i="20" s="1"/>
  <c r="AH66" i="20" a="1"/>
  <c r="AH66" i="20" s="1"/>
  <c r="Z66" i="20" a="1"/>
  <c r="Z66" i="20" s="1"/>
  <c r="M66" i="20" a="1"/>
  <c r="M66" i="20" s="1"/>
  <c r="AF66" i="20" a="1"/>
  <c r="AF66" i="20" s="1"/>
  <c r="N66" i="20" a="1"/>
  <c r="N66" i="20" s="1"/>
  <c r="H66" i="20"/>
  <c r="I38" i="25"/>
  <c r="E38" i="25"/>
  <c r="K39" i="25"/>
  <c r="C38" i="25"/>
  <c r="D38" i="25" s="1"/>
  <c r="D40" i="24"/>
  <c r="G40" i="24"/>
  <c r="F40" i="24"/>
  <c r="E40" i="24"/>
  <c r="H40" i="24"/>
  <c r="J40" i="24"/>
  <c r="I40" i="24"/>
  <c r="C40" i="24"/>
  <c r="AW41" i="24"/>
  <c r="D62" i="21"/>
  <c r="G63" i="21"/>
  <c r="F63" i="21"/>
  <c r="B63" i="21"/>
  <c r="E63" i="21" s="1"/>
  <c r="C63" i="21"/>
  <c r="H63" i="21"/>
  <c r="E62" i="21"/>
  <c r="K65" i="21"/>
  <c r="L65" i="21" s="1"/>
  <c r="A64" i="21"/>
  <c r="I66" i="20"/>
  <c r="F66" i="20"/>
  <c r="A68" i="20"/>
  <c r="AQ69" i="20"/>
  <c r="AR69" i="20" s="1"/>
  <c r="E66" i="20"/>
  <c r="G66" i="20"/>
  <c r="D66" i="20"/>
  <c r="D67" i="20"/>
  <c r="C67" i="20"/>
  <c r="I67" i="20"/>
  <c r="G67" i="20"/>
  <c r="E67" i="20"/>
  <c r="B67" i="20"/>
  <c r="M68" i="20" l="1" a="1"/>
  <c r="M68" i="20" s="1"/>
  <c r="S68" i="20" a="1"/>
  <c r="S68" i="20" s="1"/>
  <c r="Y68" i="20" a="1"/>
  <c r="Y68" i="20" s="1"/>
  <c r="AE68" i="20" a="1"/>
  <c r="AE68" i="20" s="1"/>
  <c r="AK68" i="20" a="1"/>
  <c r="AK68" i="20" s="1"/>
  <c r="T68" i="20" a="1"/>
  <c r="T68" i="20" s="1"/>
  <c r="AB68" i="20" a="1"/>
  <c r="AB68" i="20" s="1"/>
  <c r="L68" i="20" a="1"/>
  <c r="L68" i="20" s="1"/>
  <c r="AJ68" i="20" a="1"/>
  <c r="AJ68" i="20" s="1"/>
  <c r="O68" i="20" a="1"/>
  <c r="O68" i="20" s="1"/>
  <c r="W68" i="20" a="1"/>
  <c r="W68" i="20" s="1"/>
  <c r="AM68" i="20" a="1"/>
  <c r="AM68" i="20" s="1"/>
  <c r="Q68" i="20" a="1"/>
  <c r="Q68" i="20" s="1"/>
  <c r="AA68" i="20" a="1"/>
  <c r="AA68" i="20" s="1"/>
  <c r="K68" i="20" a="1"/>
  <c r="K68" i="20" s="1"/>
  <c r="AG68" i="20" a="1"/>
  <c r="AG68" i="20" s="1"/>
  <c r="AH68" i="20" a="1"/>
  <c r="AH68" i="20" s="1"/>
  <c r="N68" i="20" a="1"/>
  <c r="N68" i="20" s="1"/>
  <c r="X68" i="20" a="1"/>
  <c r="X68" i="20" s="1"/>
  <c r="AL68" i="20" a="1"/>
  <c r="AL68" i="20" s="1"/>
  <c r="AI68" i="20" a="1"/>
  <c r="AI68" i="20" s="1"/>
  <c r="Z68" i="20" a="1"/>
  <c r="Z68" i="20" s="1"/>
  <c r="AP68" i="20" a="1"/>
  <c r="AP68" i="20" s="1"/>
  <c r="AC68" i="20" a="1"/>
  <c r="AC68" i="20" s="1"/>
  <c r="J68" i="20" a="1"/>
  <c r="J68" i="20" s="1"/>
  <c r="P68" i="20" a="1"/>
  <c r="P68" i="20" s="1"/>
  <c r="AN68" i="20" a="1"/>
  <c r="AN68" i="20" s="1"/>
  <c r="U68" i="20" a="1"/>
  <c r="U68" i="20" s="1"/>
  <c r="V68" i="20" a="1"/>
  <c r="V68" i="20" s="1"/>
  <c r="R68" i="20" a="1"/>
  <c r="R68" i="20" s="1"/>
  <c r="AF68" i="20" a="1"/>
  <c r="AF68" i="20" s="1"/>
  <c r="AO68" i="20" a="1"/>
  <c r="AO68" i="20" s="1"/>
  <c r="AD68" i="20" a="1"/>
  <c r="AD68" i="20" s="1"/>
  <c r="H67" i="20"/>
  <c r="F67" i="20"/>
  <c r="AX41" i="24"/>
  <c r="B41" i="24"/>
  <c r="B39" i="25"/>
  <c r="L39" i="25"/>
  <c r="D63" i="21"/>
  <c r="I63" i="21"/>
  <c r="C64" i="21"/>
  <c r="G64" i="21"/>
  <c r="H64" i="21"/>
  <c r="F64" i="21"/>
  <c r="B64" i="21"/>
  <c r="E64" i="21" s="1"/>
  <c r="A65" i="21"/>
  <c r="K66" i="21"/>
  <c r="L66" i="21" s="1"/>
  <c r="AQ70" i="20"/>
  <c r="AR70" i="20" s="1"/>
  <c r="A69" i="20"/>
  <c r="C68" i="20"/>
  <c r="B68" i="20"/>
  <c r="I68" i="20" l="1"/>
  <c r="G68" i="20"/>
  <c r="D68" i="20"/>
  <c r="H68" i="20"/>
  <c r="F68" i="20"/>
  <c r="E68" i="20"/>
  <c r="E39" i="25"/>
  <c r="I39" i="25"/>
  <c r="C39" i="25"/>
  <c r="D39" i="25" s="1"/>
  <c r="K40" i="25"/>
  <c r="H41" i="24"/>
  <c r="J41" i="24"/>
  <c r="F41" i="24"/>
  <c r="E41" i="24"/>
  <c r="G41" i="24"/>
  <c r="I41" i="24"/>
  <c r="D41" i="24"/>
  <c r="AW42" i="24"/>
  <c r="C41" i="24"/>
  <c r="D64" i="21"/>
  <c r="I64" i="21"/>
  <c r="D65" i="21"/>
  <c r="E65" i="21"/>
  <c r="G65" i="21"/>
  <c r="H65" i="21"/>
  <c r="C65" i="21"/>
  <c r="B65" i="21"/>
  <c r="I65" i="21" s="1"/>
  <c r="F65" i="21"/>
  <c r="K67" i="21"/>
  <c r="L67" i="21" s="1"/>
  <c r="A66" i="21"/>
  <c r="C69" i="20"/>
  <c r="B69" i="20"/>
  <c r="L69" i="20" s="1" a="1"/>
  <c r="L69" i="20" s="1"/>
  <c r="AQ71" i="20"/>
  <c r="AR71" i="20" s="1"/>
  <c r="A70" i="20"/>
  <c r="J69" i="20" l="1" a="1"/>
  <c r="J69" i="20" s="1"/>
  <c r="M69" i="20" a="1"/>
  <c r="M69" i="20" s="1"/>
  <c r="W69" i="20" a="1"/>
  <c r="W69" i="20" s="1"/>
  <c r="AK69" i="20" a="1"/>
  <c r="AK69" i="20" s="1"/>
  <c r="AD69" i="20" a="1"/>
  <c r="AD69" i="20" s="1"/>
  <c r="N69" i="20" a="1"/>
  <c r="N69" i="20" s="1"/>
  <c r="T69" i="20" a="1"/>
  <c r="T69" i="20" s="1"/>
  <c r="O69" i="20" a="1"/>
  <c r="O69" i="20" s="1"/>
  <c r="Q69" i="20" a="1"/>
  <c r="Q69" i="20" s="1"/>
  <c r="AA69" i="20" a="1"/>
  <c r="AA69" i="20" s="1"/>
  <c r="AG69" i="20" a="1"/>
  <c r="AG69" i="20" s="1"/>
  <c r="AO69" i="20" a="1"/>
  <c r="AO69" i="20" s="1"/>
  <c r="AI69" i="20" a="1"/>
  <c r="AI69" i="20" s="1"/>
  <c r="AC69" i="20" a="1"/>
  <c r="AC69" i="20" s="1"/>
  <c r="S69" i="20" a="1"/>
  <c r="S69" i="20" s="1"/>
  <c r="Y69" i="20" a="1"/>
  <c r="Y69" i="20" s="1"/>
  <c r="K69" i="20" a="1"/>
  <c r="K69" i="20" s="1"/>
  <c r="AN69" i="20" a="1"/>
  <c r="AN69" i="20" s="1"/>
  <c r="M70" i="20" a="1"/>
  <c r="M70" i="20" s="1"/>
  <c r="S70" i="20" a="1"/>
  <c r="S70" i="20" s="1"/>
  <c r="Y70" i="20" a="1"/>
  <c r="Y70" i="20" s="1"/>
  <c r="AE70" i="20" a="1"/>
  <c r="AE70" i="20" s="1"/>
  <c r="AK70" i="20" a="1"/>
  <c r="AK70" i="20" s="1"/>
  <c r="J70" i="20" a="1"/>
  <c r="J70" i="20" s="1"/>
  <c r="Z70" i="20" a="1"/>
  <c r="Z70" i="20" s="1"/>
  <c r="AH70" i="20" a="1"/>
  <c r="AH70" i="20" s="1"/>
  <c r="R70" i="20" a="1"/>
  <c r="R70" i="20" s="1"/>
  <c r="AP70" i="20" a="1"/>
  <c r="AP70" i="20" s="1"/>
  <c r="U70" i="20" a="1"/>
  <c r="U70" i="20" s="1"/>
  <c r="AC70" i="20" a="1"/>
  <c r="AC70" i="20" s="1"/>
  <c r="O70" i="20" a="1"/>
  <c r="O70" i="20" s="1"/>
  <c r="AJ70" i="20" a="1"/>
  <c r="AJ70" i="20" s="1"/>
  <c r="AO70" i="20" a="1"/>
  <c r="AO70" i="20" s="1"/>
  <c r="K70" i="20" a="1"/>
  <c r="K70" i="20" s="1"/>
  <c r="V70" i="20" a="1"/>
  <c r="V70" i="20" s="1"/>
  <c r="AF70" i="20" a="1"/>
  <c r="AF70" i="20" s="1"/>
  <c r="X70" i="20" a="1"/>
  <c r="X70" i="20" s="1"/>
  <c r="P70" i="20" a="1"/>
  <c r="P70" i="20" s="1"/>
  <c r="AG70" i="20" a="1"/>
  <c r="AG70" i="20" s="1"/>
  <c r="AI70" i="20" a="1"/>
  <c r="AI70" i="20" s="1"/>
  <c r="Q70" i="20" a="1"/>
  <c r="Q70" i="20" s="1"/>
  <c r="AL70" i="20" a="1"/>
  <c r="AL70" i="20" s="1"/>
  <c r="W70" i="20" a="1"/>
  <c r="W70" i="20" s="1"/>
  <c r="AN70" i="20" a="1"/>
  <c r="AN70" i="20" s="1"/>
  <c r="AD70" i="20" a="1"/>
  <c r="AD70" i="20" s="1"/>
  <c r="T70" i="20" a="1"/>
  <c r="T70" i="20" s="1"/>
  <c r="AA70" i="20" a="1"/>
  <c r="AA70" i="20" s="1"/>
  <c r="AB70" i="20" a="1"/>
  <c r="AB70" i="20" s="1"/>
  <c r="L70" i="20" a="1"/>
  <c r="L70" i="20" s="1"/>
  <c r="AM70" i="20" a="1"/>
  <c r="AM70" i="20" s="1"/>
  <c r="N70" i="20" a="1"/>
  <c r="N70" i="20" s="1"/>
  <c r="X69" i="20" a="1"/>
  <c r="X69" i="20" s="1"/>
  <c r="AP69" i="20" a="1"/>
  <c r="AP69" i="20" s="1"/>
  <c r="AH69" i="20" a="1"/>
  <c r="AH69" i="20" s="1"/>
  <c r="AJ69" i="20" a="1"/>
  <c r="AJ69" i="20" s="1"/>
  <c r="AF69" i="20" a="1"/>
  <c r="AF69" i="20" s="1"/>
  <c r="AB69" i="20" a="1"/>
  <c r="AB69" i="20" s="1"/>
  <c r="R69" i="20" a="1"/>
  <c r="R69" i="20" s="1"/>
  <c r="U69" i="20" a="1"/>
  <c r="U69" i="20" s="1"/>
  <c r="V69" i="20" a="1"/>
  <c r="V69" i="20" s="1"/>
  <c r="AE69" i="20" a="1"/>
  <c r="AE69" i="20" s="1"/>
  <c r="Z69" i="20" a="1"/>
  <c r="Z69" i="20" s="1"/>
  <c r="P69" i="20" a="1"/>
  <c r="P69" i="20" s="1"/>
  <c r="AM69" i="20" a="1"/>
  <c r="AM69" i="20" s="1"/>
  <c r="AL69" i="20" a="1"/>
  <c r="AL69" i="20" s="1"/>
  <c r="F69" i="20"/>
  <c r="B40" i="25"/>
  <c r="L40" i="25"/>
  <c r="AX42" i="24"/>
  <c r="B42" i="24"/>
  <c r="I69" i="20"/>
  <c r="D69" i="20"/>
  <c r="F66" i="21"/>
  <c r="G66" i="21"/>
  <c r="H66" i="21"/>
  <c r="I66" i="21"/>
  <c r="E66" i="21"/>
  <c r="B66" i="21"/>
  <c r="D66" i="21" s="1"/>
  <c r="C66" i="21"/>
  <c r="A67" i="21"/>
  <c r="K68" i="21"/>
  <c r="L68" i="21" s="1"/>
  <c r="G69" i="20"/>
  <c r="E69" i="20"/>
  <c r="F70" i="20"/>
  <c r="G70" i="20"/>
  <c r="I70" i="20"/>
  <c r="E70" i="20"/>
  <c r="C70" i="20"/>
  <c r="B70" i="20"/>
  <c r="H69" i="20"/>
  <c r="A71" i="20"/>
  <c r="AQ72" i="20"/>
  <c r="AR72" i="20" s="1"/>
  <c r="J71" i="20" l="1" a="1"/>
  <c r="J71" i="20" s="1"/>
  <c r="P71" i="20" a="1"/>
  <c r="P71" i="20" s="1"/>
  <c r="V71" i="20" a="1"/>
  <c r="V71" i="20" s="1"/>
  <c r="AB71" i="20" a="1"/>
  <c r="AB71" i="20" s="1"/>
  <c r="AH71" i="20" a="1"/>
  <c r="AH71" i="20" s="1"/>
  <c r="AN71" i="20" a="1"/>
  <c r="AN71" i="20" s="1"/>
  <c r="Q71" i="20" a="1"/>
  <c r="Q71" i="20" s="1"/>
  <c r="Y71" i="20" a="1"/>
  <c r="Y71" i="20" s="1"/>
  <c r="AO71" i="20" a="1"/>
  <c r="AO71" i="20" s="1"/>
  <c r="AG71" i="20" a="1"/>
  <c r="AG71" i="20" s="1"/>
  <c r="L71" i="20" a="1"/>
  <c r="L71" i="20" s="1"/>
  <c r="T71" i="20" a="1"/>
  <c r="T71" i="20" s="1"/>
  <c r="AJ71" i="20" a="1"/>
  <c r="AJ71" i="20" s="1"/>
  <c r="N71" i="20" a="1"/>
  <c r="N71" i="20" s="1"/>
  <c r="X71" i="20" a="1"/>
  <c r="X71" i="20" s="1"/>
  <c r="AD71" i="20" a="1"/>
  <c r="AD71" i="20" s="1"/>
  <c r="AE71" i="20" a="1"/>
  <c r="AE71" i="20" s="1"/>
  <c r="AP71" i="20" a="1"/>
  <c r="AP71" i="20" s="1"/>
  <c r="K71" i="20" a="1"/>
  <c r="K71" i="20" s="1"/>
  <c r="U71" i="20" a="1"/>
  <c r="U71" i="20" s="1"/>
  <c r="AI71" i="20" a="1"/>
  <c r="AI71" i="20" s="1"/>
  <c r="AA71" i="20" a="1"/>
  <c r="AA71" i="20" s="1"/>
  <c r="R71" i="20" a="1"/>
  <c r="R71" i="20" s="1"/>
  <c r="S71" i="20" a="1"/>
  <c r="S71" i="20" s="1"/>
  <c r="AL71" i="20" a="1"/>
  <c r="AL71" i="20" s="1"/>
  <c r="AF71" i="20" a="1"/>
  <c r="AF71" i="20" s="1"/>
  <c r="O71" i="20" a="1"/>
  <c r="O71" i="20" s="1"/>
  <c r="W71" i="20" a="1"/>
  <c r="W71" i="20" s="1"/>
  <c r="Z71" i="20" a="1"/>
  <c r="Z71" i="20" s="1"/>
  <c r="AC71" i="20" a="1"/>
  <c r="AC71" i="20" s="1"/>
  <c r="M71" i="20" a="1"/>
  <c r="M71" i="20" s="1"/>
  <c r="AM71" i="20" a="1"/>
  <c r="AM71" i="20" s="1"/>
  <c r="AK71" i="20" a="1"/>
  <c r="AK71" i="20" s="1"/>
  <c r="D70" i="20"/>
  <c r="H70" i="20"/>
  <c r="H42" i="24"/>
  <c r="D42" i="24"/>
  <c r="J42" i="24"/>
  <c r="E42" i="24"/>
  <c r="I42" i="24"/>
  <c r="G42" i="24"/>
  <c r="F42" i="24"/>
  <c r="AW43" i="24"/>
  <c r="C42" i="24"/>
  <c r="C40" i="25"/>
  <c r="D40" i="25" s="1"/>
  <c r="K41" i="25"/>
  <c r="E40" i="25"/>
  <c r="I40" i="25"/>
  <c r="K69" i="21"/>
  <c r="L69" i="21" s="1"/>
  <c r="A68" i="21"/>
  <c r="F67" i="21"/>
  <c r="C67" i="21"/>
  <c r="G67" i="21"/>
  <c r="H67" i="21"/>
  <c r="B67" i="21"/>
  <c r="D67" i="21" s="1"/>
  <c r="G71" i="20"/>
  <c r="E71" i="20"/>
  <c r="C71" i="20"/>
  <c r="B71" i="20"/>
  <c r="AQ73" i="20"/>
  <c r="AR73" i="20" s="1"/>
  <c r="A72" i="20"/>
  <c r="F71" i="20" l="1"/>
  <c r="D71" i="20"/>
  <c r="H71" i="20"/>
  <c r="I71" i="20"/>
  <c r="B43" i="24"/>
  <c r="AX43" i="24"/>
  <c r="L41" i="25"/>
  <c r="C41" i="25" s="1"/>
  <c r="B41" i="25"/>
  <c r="I67" i="21"/>
  <c r="G68" i="21"/>
  <c r="B68" i="21"/>
  <c r="I68" i="21" s="1"/>
  <c r="C68" i="21"/>
  <c r="F68" i="21"/>
  <c r="H68" i="21"/>
  <c r="E67" i="21"/>
  <c r="A69" i="21"/>
  <c r="K70" i="21"/>
  <c r="L70" i="21" s="1"/>
  <c r="A73" i="20"/>
  <c r="AQ74" i="20"/>
  <c r="AR74" i="20" s="1"/>
  <c r="C72" i="20"/>
  <c r="B72" i="20"/>
  <c r="M72" i="20" l="1" a="1"/>
  <c r="M72" i="20" s="1"/>
  <c r="U72" i="20" a="1"/>
  <c r="U72" i="20" s="1"/>
  <c r="V72" i="20" a="1"/>
  <c r="V72" i="20" s="1"/>
  <c r="N72" i="20" a="1"/>
  <c r="N72" i="20" s="1"/>
  <c r="AH72" i="20" a="1"/>
  <c r="AH72" i="20" s="1"/>
  <c r="L72" i="20" a="1"/>
  <c r="L72" i="20" s="1"/>
  <c r="AJ72" i="20" a="1"/>
  <c r="AJ72" i="20" s="1"/>
  <c r="AD72" i="20" a="1"/>
  <c r="AD72" i="20" s="1"/>
  <c r="AI72" i="20" a="1"/>
  <c r="AI72" i="20" s="1"/>
  <c r="AA72" i="20" a="1"/>
  <c r="AA72" i="20" s="1"/>
  <c r="K72" i="20" a="1"/>
  <c r="K72" i="20" s="1"/>
  <c r="X72" i="20" a="1"/>
  <c r="X72" i="20" s="1"/>
  <c r="AN72" i="20" a="1"/>
  <c r="AN72" i="20" s="1"/>
  <c r="AF72" i="20" a="1"/>
  <c r="AF72" i="20" s="1"/>
  <c r="AO72" i="20" a="1"/>
  <c r="AO72" i="20" s="1"/>
  <c r="P72" i="20" a="1"/>
  <c r="P72" i="20" s="1"/>
  <c r="Q72" i="20" a="1"/>
  <c r="Q72" i="20" s="1"/>
  <c r="T72" i="20" a="1"/>
  <c r="T72" i="20" s="1"/>
  <c r="AK72" i="20" a="1"/>
  <c r="AK72" i="20" s="1"/>
  <c r="J72" i="20" a="1"/>
  <c r="J72" i="20" s="1"/>
  <c r="AB72" i="20" a="1"/>
  <c r="AB72" i="20" s="1"/>
  <c r="O72" i="20" a="1"/>
  <c r="O72" i="20" s="1"/>
  <c r="AE72" i="20" a="1"/>
  <c r="AE72" i="20" s="1"/>
  <c r="AM72" i="20" a="1"/>
  <c r="AM72" i="20" s="1"/>
  <c r="Y72" i="20" a="1"/>
  <c r="Y72" i="20" s="1"/>
  <c r="AL72" i="20" a="1"/>
  <c r="AL72" i="20" s="1"/>
  <c r="AG72" i="20" a="1"/>
  <c r="AG72" i="20" s="1"/>
  <c r="AC72" i="20" a="1"/>
  <c r="AC72" i="20" s="1"/>
  <c r="Z72" i="20" a="1"/>
  <c r="Z72" i="20" s="1"/>
  <c r="R72" i="20" a="1"/>
  <c r="R72" i="20" s="1"/>
  <c r="S72" i="20" a="1"/>
  <c r="S72" i="20" s="1"/>
  <c r="AP72" i="20" a="1"/>
  <c r="AP72" i="20" s="1"/>
  <c r="W72" i="20" a="1"/>
  <c r="W72" i="20" s="1"/>
  <c r="E68" i="21"/>
  <c r="D68" i="21"/>
  <c r="G72" i="20"/>
  <c r="D41" i="25"/>
  <c r="E41" i="25"/>
  <c r="I41" i="25"/>
  <c r="AW44" i="24"/>
  <c r="C43" i="24"/>
  <c r="H43" i="24"/>
  <c r="J43" i="24"/>
  <c r="D43" i="24"/>
  <c r="G43" i="24"/>
  <c r="F43" i="24"/>
  <c r="I43" i="24"/>
  <c r="E43" i="24"/>
  <c r="I72" i="20"/>
  <c r="F72" i="20"/>
  <c r="A70" i="21"/>
  <c r="K71" i="21"/>
  <c r="L71" i="21" s="1"/>
  <c r="F69" i="21"/>
  <c r="G69" i="21"/>
  <c r="B69" i="21"/>
  <c r="D69" i="21" s="1"/>
  <c r="H69" i="21"/>
  <c r="C69" i="21"/>
  <c r="E72" i="20"/>
  <c r="H72" i="20"/>
  <c r="D72" i="20"/>
  <c r="A74" i="20"/>
  <c r="AQ75" i="20"/>
  <c r="AR75" i="20" s="1"/>
  <c r="B73" i="20"/>
  <c r="C73" i="20"/>
  <c r="AM73" i="20" l="1" a="1"/>
  <c r="AM73" i="20" s="1"/>
  <c r="X73" i="20" a="1"/>
  <c r="X73" i="20" s="1"/>
  <c r="K73" i="20" a="1"/>
  <c r="K73" i="20" s="1"/>
  <c r="O73" i="20" a="1"/>
  <c r="O73" i="20" s="1"/>
  <c r="AK73" i="20" a="1"/>
  <c r="AK73" i="20" s="1"/>
  <c r="U73" i="20" a="1"/>
  <c r="U73" i="20" s="1"/>
  <c r="AE73" i="20" a="1"/>
  <c r="AE73" i="20" s="1"/>
  <c r="AF73" i="20" a="1"/>
  <c r="AF73" i="20" s="1"/>
  <c r="AO73" i="20" a="1"/>
  <c r="AO73" i="20" s="1"/>
  <c r="W73" i="20" a="1"/>
  <c r="W73" i="20" s="1"/>
  <c r="AJ73" i="20" a="1"/>
  <c r="AJ73" i="20" s="1"/>
  <c r="AC73" i="20" a="1"/>
  <c r="AC73" i="20" s="1"/>
  <c r="AN73" i="20" a="1"/>
  <c r="AN73" i="20" s="1"/>
  <c r="M73" i="20" a="1"/>
  <c r="M73" i="20" s="1"/>
  <c r="S73" i="20" a="1"/>
  <c r="S73" i="20" s="1"/>
  <c r="AH73" i="20" a="1"/>
  <c r="AH73" i="20" s="1"/>
  <c r="Y73" i="20" a="1"/>
  <c r="Y73" i="20" s="1"/>
  <c r="AL73" i="20" a="1"/>
  <c r="AL73" i="20" s="1"/>
  <c r="AB73" i="20" a="1"/>
  <c r="AB73" i="20" s="1"/>
  <c r="T73" i="20" a="1"/>
  <c r="T73" i="20" s="1"/>
  <c r="AG73" i="20" a="1"/>
  <c r="AG73" i="20" s="1"/>
  <c r="V73" i="20" a="1"/>
  <c r="V73" i="20" s="1"/>
  <c r="Q73" i="20" a="1"/>
  <c r="Q73" i="20" s="1"/>
  <c r="L73" i="20" a="1"/>
  <c r="L73" i="20" s="1"/>
  <c r="P73" i="20" a="1"/>
  <c r="P73" i="20" s="1"/>
  <c r="AD73" i="20" a="1"/>
  <c r="AD73" i="20" s="1"/>
  <c r="AP73" i="20" a="1"/>
  <c r="AP73" i="20" s="1"/>
  <c r="J73" i="20" a="1"/>
  <c r="J73" i="20" s="1"/>
  <c r="AI73" i="20" a="1"/>
  <c r="AI73" i="20" s="1"/>
  <c r="Z73" i="20" a="1"/>
  <c r="Z73" i="20" s="1"/>
  <c r="N73" i="20" a="1"/>
  <c r="N73" i="20" s="1"/>
  <c r="R73" i="20" a="1"/>
  <c r="R73" i="20" s="1"/>
  <c r="AA73" i="20" a="1"/>
  <c r="AA73" i="20" s="1"/>
  <c r="E69" i="21"/>
  <c r="I69" i="21"/>
  <c r="B44" i="24"/>
  <c r="AX44" i="24"/>
  <c r="A71" i="21"/>
  <c r="K72" i="21"/>
  <c r="L72" i="21" s="1"/>
  <c r="G70" i="21"/>
  <c r="B70" i="21"/>
  <c r="I70" i="21" s="1"/>
  <c r="C70" i="21"/>
  <c r="H70" i="21"/>
  <c r="F70" i="21"/>
  <c r="D73" i="20"/>
  <c r="H73" i="20"/>
  <c r="G73" i="20"/>
  <c r="I73" i="20"/>
  <c r="F73" i="20"/>
  <c r="AQ76" i="20"/>
  <c r="AR76" i="20" s="1"/>
  <c r="A75" i="20"/>
  <c r="E73" i="20"/>
  <c r="C74" i="20"/>
  <c r="B74" i="20"/>
  <c r="M74" i="20" l="1" a="1"/>
  <c r="M74" i="20" s="1"/>
  <c r="AC74" i="20" a="1"/>
  <c r="AC74" i="20" s="1"/>
  <c r="AO74" i="20" a="1"/>
  <c r="AO74" i="20" s="1"/>
  <c r="AJ74" i="20" a="1"/>
  <c r="AJ74" i="20" s="1"/>
  <c r="AG74" i="20" a="1"/>
  <c r="AG74" i="20" s="1"/>
  <c r="T74" i="20" a="1"/>
  <c r="T74" i="20" s="1"/>
  <c r="Q74" i="20" a="1"/>
  <c r="Q74" i="20" s="1"/>
  <c r="J75" i="20" a="1"/>
  <c r="J75" i="20" s="1"/>
  <c r="P75" i="20" a="1"/>
  <c r="P75" i="20" s="1"/>
  <c r="V75" i="20" a="1"/>
  <c r="V75" i="20" s="1"/>
  <c r="AB75" i="20" a="1"/>
  <c r="AB75" i="20" s="1"/>
  <c r="AH75" i="20" a="1"/>
  <c r="AH75" i="20" s="1"/>
  <c r="AN75" i="20" a="1"/>
  <c r="AN75" i="20" s="1"/>
  <c r="M75" i="20" a="1"/>
  <c r="M75" i="20" s="1"/>
  <c r="AC75" i="20" a="1"/>
  <c r="AC75" i="20" s="1"/>
  <c r="AK75" i="20" a="1"/>
  <c r="AK75" i="20" s="1"/>
  <c r="U75" i="20" a="1"/>
  <c r="U75" i="20" s="1"/>
  <c r="X75" i="20" a="1"/>
  <c r="X75" i="20" s="1"/>
  <c r="AF75" i="20" a="1"/>
  <c r="AF75" i="20" s="1"/>
  <c r="T75" i="20" a="1"/>
  <c r="T75" i="20" s="1"/>
  <c r="AP75" i="20" a="1"/>
  <c r="AP75" i="20" s="1"/>
  <c r="O75" i="20" a="1"/>
  <c r="O75" i="20" s="1"/>
  <c r="Z75" i="20" a="1"/>
  <c r="Z75" i="20" s="1"/>
  <c r="AJ75" i="20" a="1"/>
  <c r="AJ75" i="20" s="1"/>
  <c r="Q75" i="20" a="1"/>
  <c r="Q75" i="20" s="1"/>
  <c r="AL75" i="20" a="1"/>
  <c r="AL75" i="20" s="1"/>
  <c r="AA75" i="20" a="1"/>
  <c r="AA75" i="20" s="1"/>
  <c r="AE75" i="20" a="1"/>
  <c r="AE75" i="20" s="1"/>
  <c r="N75" i="20" a="1"/>
  <c r="N75" i="20" s="1"/>
  <c r="AG75" i="20" a="1"/>
  <c r="AG75" i="20" s="1"/>
  <c r="R75" i="20" a="1"/>
  <c r="R75" i="20" s="1"/>
  <c r="AI75" i="20" a="1"/>
  <c r="AI75" i="20" s="1"/>
  <c r="W75" i="20" a="1"/>
  <c r="W75" i="20" s="1"/>
  <c r="AO75" i="20" a="1"/>
  <c r="AO75" i="20" s="1"/>
  <c r="K75" i="20" a="1"/>
  <c r="K75" i="20" s="1"/>
  <c r="L75" i="20" a="1"/>
  <c r="L75" i="20" s="1"/>
  <c r="Y75" i="20" a="1"/>
  <c r="Y75" i="20" s="1"/>
  <c r="AD75" i="20" a="1"/>
  <c r="AD75" i="20" s="1"/>
  <c r="AM75" i="20" a="1"/>
  <c r="AM75" i="20" s="1"/>
  <c r="S75" i="20" a="1"/>
  <c r="S75" i="20" s="1"/>
  <c r="W74" i="20" a="1"/>
  <c r="W74" i="20" s="1"/>
  <c r="AP74" i="20" a="1"/>
  <c r="AP74" i="20" s="1"/>
  <c r="AD74" i="20" a="1"/>
  <c r="AD74" i="20" s="1"/>
  <c r="AI74" i="20" a="1"/>
  <c r="AI74" i="20" s="1"/>
  <c r="AF74" i="20" a="1"/>
  <c r="AF74" i="20" s="1"/>
  <c r="AL74" i="20" a="1"/>
  <c r="AL74" i="20" s="1"/>
  <c r="X74" i="20" a="1"/>
  <c r="X74" i="20" s="1"/>
  <c r="AN74" i="20" a="1"/>
  <c r="AN74" i="20" s="1"/>
  <c r="V74" i="20" a="1"/>
  <c r="V74" i="20" s="1"/>
  <c r="P74" i="20" a="1"/>
  <c r="P74" i="20" s="1"/>
  <c r="R74" i="20" a="1"/>
  <c r="R74" i="20" s="1"/>
  <c r="N74" i="20" a="1"/>
  <c r="N74" i="20" s="1"/>
  <c r="O74" i="20" a="1"/>
  <c r="O74" i="20" s="1"/>
  <c r="AM74" i="20" a="1"/>
  <c r="AM74" i="20" s="1"/>
  <c r="AK74" i="20" a="1"/>
  <c r="AK74" i="20" s="1"/>
  <c r="J74" i="20" a="1"/>
  <c r="J74" i="20" s="1"/>
  <c r="AB74" i="20" a="1"/>
  <c r="AB74" i="20" s="1"/>
  <c r="AE74" i="20" a="1"/>
  <c r="AE74" i="20" s="1"/>
  <c r="Z74" i="20" a="1"/>
  <c r="Z74" i="20" s="1"/>
  <c r="AA74" i="20" a="1"/>
  <c r="AA74" i="20" s="1"/>
  <c r="Y74" i="20" a="1"/>
  <c r="Y74" i="20" s="1"/>
  <c r="AH74" i="20" a="1"/>
  <c r="AH74" i="20" s="1"/>
  <c r="U74" i="20" a="1"/>
  <c r="U74" i="20" s="1"/>
  <c r="S74" i="20" a="1"/>
  <c r="S74" i="20" s="1"/>
  <c r="L74" i="20" a="1"/>
  <c r="L74" i="20" s="1"/>
  <c r="K74" i="20" a="1"/>
  <c r="K74" i="20" s="1"/>
  <c r="C44" i="24"/>
  <c r="J44" i="24" s="1"/>
  <c r="AW45" i="24"/>
  <c r="D44" i="24"/>
  <c r="G44" i="24"/>
  <c r="H44" i="24"/>
  <c r="E44" i="24"/>
  <c r="I44" i="24"/>
  <c r="F44" i="24"/>
  <c r="D70" i="21"/>
  <c r="K73" i="21"/>
  <c r="L73" i="21" s="1"/>
  <c r="A72" i="21"/>
  <c r="E70" i="21"/>
  <c r="H71" i="21"/>
  <c r="B71" i="21"/>
  <c r="I71" i="21" s="1"/>
  <c r="F71" i="21"/>
  <c r="C71" i="21"/>
  <c r="G71" i="21"/>
  <c r="A76" i="20"/>
  <c r="AQ77" i="20"/>
  <c r="AR77" i="20" s="1"/>
  <c r="I74" i="20"/>
  <c r="G74" i="20"/>
  <c r="H74" i="20"/>
  <c r="D74" i="20"/>
  <c r="C75" i="20"/>
  <c r="B75" i="20"/>
  <c r="E74" i="20"/>
  <c r="F74" i="20"/>
  <c r="M76" i="20" l="1" a="1"/>
  <c r="M76" i="20" s="1"/>
  <c r="S76" i="20" a="1"/>
  <c r="S76" i="20" s="1"/>
  <c r="Y76" i="20" a="1"/>
  <c r="Y76" i="20" s="1"/>
  <c r="AE76" i="20" a="1"/>
  <c r="AE76" i="20" s="1"/>
  <c r="AK76" i="20" a="1"/>
  <c r="AK76" i="20" s="1"/>
  <c r="T76" i="20" a="1"/>
  <c r="T76" i="20" s="1"/>
  <c r="AB76" i="20" a="1"/>
  <c r="AB76" i="20" s="1"/>
  <c r="L76" i="20" a="1"/>
  <c r="L76" i="20" s="1"/>
  <c r="AJ76" i="20" a="1"/>
  <c r="AJ76" i="20" s="1"/>
  <c r="O76" i="20" a="1"/>
  <c r="O76" i="20" s="1"/>
  <c r="W76" i="20" a="1"/>
  <c r="W76" i="20" s="1"/>
  <c r="AM76" i="20" a="1"/>
  <c r="AM76" i="20" s="1"/>
  <c r="AD76" i="20" a="1"/>
  <c r="AD76" i="20" s="1"/>
  <c r="AO76" i="20" a="1"/>
  <c r="AO76" i="20" s="1"/>
  <c r="AI76" i="20" a="1"/>
  <c r="AI76" i="20" s="1"/>
  <c r="P76" i="20" a="1"/>
  <c r="P76" i="20" s="1"/>
  <c r="Z76" i="20" a="1"/>
  <c r="Z76" i="20" s="1"/>
  <c r="AL76" i="20" a="1"/>
  <c r="AL76" i="20" s="1"/>
  <c r="R76" i="20" a="1"/>
  <c r="R76" i="20" s="1"/>
  <c r="J76" i="20" a="1"/>
  <c r="J76" i="20" s="1"/>
  <c r="AA76" i="20" a="1"/>
  <c r="AA76" i="20" s="1"/>
  <c r="U76" i="20" a="1"/>
  <c r="U76" i="20" s="1"/>
  <c r="V76" i="20" a="1"/>
  <c r="V76" i="20" s="1"/>
  <c r="AN76" i="20" a="1"/>
  <c r="AN76" i="20" s="1"/>
  <c r="X76" i="20" a="1"/>
  <c r="X76" i="20" s="1"/>
  <c r="K76" i="20" a="1"/>
  <c r="K76" i="20" s="1"/>
  <c r="AP76" i="20" a="1"/>
  <c r="AP76" i="20" s="1"/>
  <c r="N76" i="20" a="1"/>
  <c r="N76" i="20" s="1"/>
  <c r="Q76" i="20" a="1"/>
  <c r="Q76" i="20" s="1"/>
  <c r="AC76" i="20" a="1"/>
  <c r="AC76" i="20" s="1"/>
  <c r="AH76" i="20" a="1"/>
  <c r="AH76" i="20" s="1"/>
  <c r="AG76" i="20" a="1"/>
  <c r="AG76" i="20" s="1"/>
  <c r="AF76" i="20" a="1"/>
  <c r="AF76" i="20" s="1"/>
  <c r="E75" i="20"/>
  <c r="D75" i="20"/>
  <c r="F75" i="20"/>
  <c r="I75" i="20"/>
  <c r="G75" i="20"/>
  <c r="H75" i="20"/>
  <c r="AX45" i="24"/>
  <c r="B45" i="24"/>
  <c r="E71" i="21"/>
  <c r="D71" i="21"/>
  <c r="B72" i="21"/>
  <c r="D72" i="21" s="1"/>
  <c r="C72" i="21"/>
  <c r="F72" i="21"/>
  <c r="G72" i="21"/>
  <c r="H72" i="21"/>
  <c r="A73" i="21"/>
  <c r="K74" i="21"/>
  <c r="L74" i="21" s="1"/>
  <c r="AQ78" i="20"/>
  <c r="AR78" i="20" s="1"/>
  <c r="A77" i="20"/>
  <c r="C76" i="20"/>
  <c r="B76" i="20"/>
  <c r="D76" i="20" l="1"/>
  <c r="F76" i="20"/>
  <c r="H76" i="20"/>
  <c r="G76" i="20"/>
  <c r="I76" i="20"/>
  <c r="E76" i="20"/>
  <c r="E45" i="24"/>
  <c r="F45" i="24"/>
  <c r="D45" i="24"/>
  <c r="H45" i="24"/>
  <c r="G45" i="24"/>
  <c r="I45" i="24"/>
  <c r="C45" i="24"/>
  <c r="J45" i="24" s="1"/>
  <c r="AW46" i="24"/>
  <c r="I72" i="21"/>
  <c r="E72" i="21"/>
  <c r="K75" i="21"/>
  <c r="L75" i="21" s="1"/>
  <c r="A74" i="21"/>
  <c r="C73" i="21"/>
  <c r="G73" i="21"/>
  <c r="B73" i="21"/>
  <c r="I73" i="21" s="1"/>
  <c r="F73" i="21"/>
  <c r="H73" i="21"/>
  <c r="C77" i="20"/>
  <c r="B77" i="20"/>
  <c r="AQ79" i="20"/>
  <c r="AR79" i="20" s="1"/>
  <c r="A78" i="20"/>
  <c r="J77" i="20" l="1" a="1"/>
  <c r="J77" i="20" s="1"/>
  <c r="AO77" i="20" a="1"/>
  <c r="AO77" i="20" s="1"/>
  <c r="AD77" i="20" a="1"/>
  <c r="AD77" i="20" s="1"/>
  <c r="AI77" i="20" a="1"/>
  <c r="AI77" i="20" s="1"/>
  <c r="S77" i="20" a="1"/>
  <c r="S77" i="20" s="1"/>
  <c r="N77" i="20" a="1"/>
  <c r="N77" i="20" s="1"/>
  <c r="K77" i="20" a="1"/>
  <c r="K77" i="20" s="1"/>
  <c r="Q77" i="20" a="1"/>
  <c r="Q77" i="20" s="1"/>
  <c r="AC77" i="20" a="1"/>
  <c r="AC77" i="20" s="1"/>
  <c r="AN77" i="20" a="1"/>
  <c r="AN77" i="20" s="1"/>
  <c r="AM77" i="20" a="1"/>
  <c r="AM77" i="20" s="1"/>
  <c r="AF77" i="20" a="1"/>
  <c r="AF77" i="20" s="1"/>
  <c r="AH77" i="20" a="1"/>
  <c r="AH77" i="20" s="1"/>
  <c r="L77" i="20" a="1"/>
  <c r="L77" i="20" s="1"/>
  <c r="Z77" i="20" a="1"/>
  <c r="Z77" i="20" s="1"/>
  <c r="T77" i="20" a="1"/>
  <c r="T77" i="20" s="1"/>
  <c r="M77" i="20" a="1"/>
  <c r="M77" i="20" s="1"/>
  <c r="Y77" i="20" a="1"/>
  <c r="Y77" i="20" s="1"/>
  <c r="AB77" i="20" a="1"/>
  <c r="AB77" i="20" s="1"/>
  <c r="AG77" i="20" a="1"/>
  <c r="AG77" i="20" s="1"/>
  <c r="O77" i="20" a="1"/>
  <c r="O77" i="20" s="1"/>
  <c r="AJ77" i="20" a="1"/>
  <c r="AJ77" i="20" s="1"/>
  <c r="AE77" i="20" a="1"/>
  <c r="AE77" i="20" s="1"/>
  <c r="X77" i="20" a="1"/>
  <c r="X77" i="20" s="1"/>
  <c r="V77" i="20" a="1"/>
  <c r="V77" i="20" s="1"/>
  <c r="AP77" i="20" a="1"/>
  <c r="AP77" i="20" s="1"/>
  <c r="R77" i="20" a="1"/>
  <c r="R77" i="20" s="1"/>
  <c r="P77" i="20" a="1"/>
  <c r="P77" i="20" s="1"/>
  <c r="U77" i="20" a="1"/>
  <c r="U77" i="20" s="1"/>
  <c r="AA77" i="20" a="1"/>
  <c r="AA77" i="20" s="1"/>
  <c r="AK77" i="20" a="1"/>
  <c r="AK77" i="20" s="1"/>
  <c r="W77" i="20" a="1"/>
  <c r="W77" i="20" s="1"/>
  <c r="AL77" i="20" a="1"/>
  <c r="AL77" i="20" s="1"/>
  <c r="E73" i="21"/>
  <c r="D73" i="21"/>
  <c r="F77" i="20"/>
  <c r="B46" i="24"/>
  <c r="AX46" i="24"/>
  <c r="D77" i="20"/>
  <c r="H74" i="21"/>
  <c r="B74" i="21"/>
  <c r="D74" i="21" s="1"/>
  <c r="C74" i="21"/>
  <c r="F74" i="21"/>
  <c r="G74" i="21"/>
  <c r="A75" i="21"/>
  <c r="K76" i="21"/>
  <c r="L76" i="21" s="1"/>
  <c r="H77" i="20"/>
  <c r="E77" i="20"/>
  <c r="G77" i="20"/>
  <c r="B78" i="20"/>
  <c r="C78" i="20"/>
  <c r="AQ80" i="20"/>
  <c r="AR80" i="20" s="1"/>
  <c r="A79" i="20"/>
  <c r="I77" i="20"/>
  <c r="M78" i="20" l="1" a="1"/>
  <c r="M78" i="20" s="1"/>
  <c r="O78" i="20" a="1"/>
  <c r="O78" i="20" s="1"/>
  <c r="AC78" i="20" a="1"/>
  <c r="AC78" i="20" s="1"/>
  <c r="AA78" i="20" a="1"/>
  <c r="AA78" i="20" s="1"/>
  <c r="U78" i="20" a="1"/>
  <c r="U78" i="20" s="1"/>
  <c r="P78" i="20" a="1"/>
  <c r="P78" i="20" s="1"/>
  <c r="AP78" i="20" a="1"/>
  <c r="AP78" i="20" s="1"/>
  <c r="AO78" i="20" a="1"/>
  <c r="AO78" i="20" s="1"/>
  <c r="AB78" i="20" a="1"/>
  <c r="AB78" i="20" s="1"/>
  <c r="R78" i="20" a="1"/>
  <c r="R78" i="20" s="1"/>
  <c r="AJ78" i="20" a="1"/>
  <c r="AJ78" i="20" s="1"/>
  <c r="X78" i="20" a="1"/>
  <c r="X78" i="20" s="1"/>
  <c r="AH78" i="20" a="1"/>
  <c r="AH78" i="20" s="1"/>
  <c r="V78" i="20" a="1"/>
  <c r="V78" i="20" s="1"/>
  <c r="AI78" i="20" a="1"/>
  <c r="AI78" i="20" s="1"/>
  <c r="Z78" i="20" a="1"/>
  <c r="Z78" i="20" s="1"/>
  <c r="AD78" i="20" a="1"/>
  <c r="AD78" i="20" s="1"/>
  <c r="N78" i="20" a="1"/>
  <c r="N78" i="20" s="1"/>
  <c r="J78" i="20" a="1"/>
  <c r="J78" i="20" s="1"/>
  <c r="T78" i="20" a="1"/>
  <c r="T78" i="20" s="1"/>
  <c r="AG78" i="20" a="1"/>
  <c r="AG78" i="20" s="1"/>
  <c r="AK78" i="20" a="1"/>
  <c r="AK78" i="20" s="1"/>
  <c r="K78" i="20" a="1"/>
  <c r="K78" i="20" s="1"/>
  <c r="W78" i="20" a="1"/>
  <c r="W78" i="20" s="1"/>
  <c r="AE78" i="20" a="1"/>
  <c r="AE78" i="20" s="1"/>
  <c r="AN78" i="20" a="1"/>
  <c r="AN78" i="20" s="1"/>
  <c r="L78" i="20" a="1"/>
  <c r="L78" i="20" s="1"/>
  <c r="Y78" i="20" a="1"/>
  <c r="Y78" i="20" s="1"/>
  <c r="AL78" i="20" a="1"/>
  <c r="AL78" i="20" s="1"/>
  <c r="AM78" i="20" a="1"/>
  <c r="AM78" i="20" s="1"/>
  <c r="S78" i="20" a="1"/>
  <c r="S78" i="20" s="1"/>
  <c r="AF78" i="20" a="1"/>
  <c r="AF78" i="20" s="1"/>
  <c r="Q78" i="20" a="1"/>
  <c r="Q78" i="20" s="1"/>
  <c r="E74" i="21"/>
  <c r="I74" i="21"/>
  <c r="C46" i="24"/>
  <c r="J46" i="24" s="1"/>
  <c r="AW47" i="24"/>
  <c r="D46" i="24"/>
  <c r="F46" i="24"/>
  <c r="G46" i="24"/>
  <c r="H46" i="24"/>
  <c r="E46" i="24"/>
  <c r="I46" i="24"/>
  <c r="A76" i="21"/>
  <c r="K77" i="21"/>
  <c r="L77" i="21" s="1"/>
  <c r="F75" i="21"/>
  <c r="G75" i="21"/>
  <c r="C75" i="21"/>
  <c r="B75" i="21"/>
  <c r="E75" i="21" s="1"/>
  <c r="H75" i="21"/>
  <c r="F78" i="20"/>
  <c r="E78" i="20"/>
  <c r="I78" i="20"/>
  <c r="G78" i="20"/>
  <c r="H78" i="20"/>
  <c r="D78" i="20"/>
  <c r="B79" i="20"/>
  <c r="C79" i="20"/>
  <c r="AQ81" i="20"/>
  <c r="AR81" i="20" s="1"/>
  <c r="A80" i="20"/>
  <c r="AB79" i="20" l="1" a="1"/>
  <c r="AB79" i="20" s="1"/>
  <c r="M80" i="20" a="1"/>
  <c r="M80" i="20" s="1"/>
  <c r="P80" i="20" a="1"/>
  <c r="P80" i="20" s="1"/>
  <c r="W80" i="20" a="1"/>
  <c r="W80" i="20" s="1"/>
  <c r="AD80" i="20" a="1"/>
  <c r="AD80" i="20" s="1"/>
  <c r="AK80" i="20" a="1"/>
  <c r="AK80" i="20" s="1"/>
  <c r="AL80" i="20" a="1"/>
  <c r="AL80" i="20" s="1"/>
  <c r="K80" i="20" a="1"/>
  <c r="K80" i="20" s="1"/>
  <c r="Z80" i="20" a="1"/>
  <c r="Z80" i="20" s="1"/>
  <c r="AG80" i="20" a="1"/>
  <c r="AG80" i="20" s="1"/>
  <c r="AN80" i="20" a="1"/>
  <c r="AN80" i="20" s="1"/>
  <c r="U80" i="20" a="1"/>
  <c r="U80" i="20" s="1"/>
  <c r="AE80" i="20" a="1"/>
  <c r="AE80" i="20" s="1"/>
  <c r="AO80" i="20" a="1"/>
  <c r="AO80" i="20" s="1"/>
  <c r="L80" i="20" a="1"/>
  <c r="L80" i="20" s="1"/>
  <c r="T80" i="20" a="1"/>
  <c r="T80" i="20" s="1"/>
  <c r="AH80" i="20" a="1"/>
  <c r="AH80" i="20" s="1"/>
  <c r="N80" i="20" a="1"/>
  <c r="N80" i="20" s="1"/>
  <c r="AA80" i="20" a="1"/>
  <c r="AA80" i="20" s="1"/>
  <c r="AM80" i="20" a="1"/>
  <c r="AM80" i="20" s="1"/>
  <c r="O80" i="20" a="1"/>
  <c r="O80" i="20" s="1"/>
  <c r="AB80" i="20" a="1"/>
  <c r="AB80" i="20" s="1"/>
  <c r="Q80" i="20" a="1"/>
  <c r="Q80" i="20" s="1"/>
  <c r="AP80" i="20" a="1"/>
  <c r="AP80" i="20" s="1"/>
  <c r="S80" i="20" a="1"/>
  <c r="S80" i="20" s="1"/>
  <c r="AC80" i="20" a="1"/>
  <c r="AC80" i="20" s="1"/>
  <c r="AF80" i="20" a="1"/>
  <c r="AF80" i="20" s="1"/>
  <c r="AJ80" i="20" a="1"/>
  <c r="AJ80" i="20" s="1"/>
  <c r="R80" i="20" a="1"/>
  <c r="R80" i="20" s="1"/>
  <c r="V80" i="20" a="1"/>
  <c r="V80" i="20" s="1"/>
  <c r="Y80" i="20" a="1"/>
  <c r="Y80" i="20" s="1"/>
  <c r="AI80" i="20" a="1"/>
  <c r="AI80" i="20" s="1"/>
  <c r="X80" i="20" a="1"/>
  <c r="X80" i="20" s="1"/>
  <c r="J80" i="20" a="1"/>
  <c r="J80" i="20" s="1"/>
  <c r="AM79" i="20" a="1"/>
  <c r="AM79" i="20" s="1"/>
  <c r="AL79" i="20" a="1"/>
  <c r="AL79" i="20" s="1"/>
  <c r="V79" i="20" a="1"/>
  <c r="V79" i="20" s="1"/>
  <c r="AK79" i="20" a="1"/>
  <c r="AK79" i="20" s="1"/>
  <c r="AA79" i="20" a="1"/>
  <c r="AA79" i="20" s="1"/>
  <c r="P79" i="20" a="1"/>
  <c r="P79" i="20" s="1"/>
  <c r="S79" i="20" a="1"/>
  <c r="S79" i="20" s="1"/>
  <c r="AJ79" i="20" a="1"/>
  <c r="AJ79" i="20" s="1"/>
  <c r="J79" i="20" a="1"/>
  <c r="J79" i="20" s="1"/>
  <c r="AE79" i="20" a="1"/>
  <c r="AE79" i="20" s="1"/>
  <c r="T79" i="20" a="1"/>
  <c r="T79" i="20" s="1"/>
  <c r="N79" i="20" a="1"/>
  <c r="N79" i="20" s="1"/>
  <c r="L79" i="20" a="1"/>
  <c r="L79" i="20" s="1"/>
  <c r="AD79" i="20" a="1"/>
  <c r="AD79" i="20" s="1"/>
  <c r="AG79" i="20" a="1"/>
  <c r="AG79" i="20" s="1"/>
  <c r="U79" i="20" a="1"/>
  <c r="U79" i="20" s="1"/>
  <c r="K79" i="20" a="1"/>
  <c r="K79" i="20" s="1"/>
  <c r="AO79" i="20" a="1"/>
  <c r="AO79" i="20" s="1"/>
  <c r="AP79" i="20" a="1"/>
  <c r="AP79" i="20" s="1"/>
  <c r="O79" i="20" a="1"/>
  <c r="O79" i="20" s="1"/>
  <c r="Y79" i="20" a="1"/>
  <c r="Y79" i="20" s="1"/>
  <c r="AC79" i="20" a="1"/>
  <c r="AC79" i="20" s="1"/>
  <c r="AI79" i="20" a="1"/>
  <c r="AI79" i="20" s="1"/>
  <c r="Q79" i="20" a="1"/>
  <c r="Q79" i="20" s="1"/>
  <c r="Z79" i="20" a="1"/>
  <c r="Z79" i="20" s="1"/>
  <c r="W79" i="20" a="1"/>
  <c r="W79" i="20" s="1"/>
  <c r="AN79" i="20" a="1"/>
  <c r="AN79" i="20" s="1"/>
  <c r="X79" i="20" a="1"/>
  <c r="X79" i="20" s="1"/>
  <c r="M79" i="20" a="1"/>
  <c r="M79" i="20" s="1"/>
  <c r="AH79" i="20" a="1"/>
  <c r="AH79" i="20" s="1"/>
  <c r="R79" i="20" a="1"/>
  <c r="R79" i="20" s="1"/>
  <c r="AF79" i="20" a="1"/>
  <c r="AF79" i="20" s="1"/>
  <c r="D79" i="20"/>
  <c r="AX47" i="24"/>
  <c r="B47" i="24"/>
  <c r="D75" i="21"/>
  <c r="I75" i="21"/>
  <c r="K78" i="21"/>
  <c r="L78" i="21" s="1"/>
  <c r="A77" i="21"/>
  <c r="F76" i="21"/>
  <c r="B76" i="21"/>
  <c r="I76" i="21" s="1"/>
  <c r="G76" i="21"/>
  <c r="H76" i="21"/>
  <c r="C76" i="21"/>
  <c r="H79" i="20"/>
  <c r="F79" i="20"/>
  <c r="E79" i="20"/>
  <c r="I79" i="20"/>
  <c r="G79" i="20"/>
  <c r="B80" i="20"/>
  <c r="C80" i="20"/>
  <c r="A81" i="20"/>
  <c r="AQ82" i="20"/>
  <c r="AR82" i="20" s="1"/>
  <c r="K81" i="20" l="1" a="1"/>
  <c r="K81" i="20" s="1"/>
  <c r="X81" i="20" a="1"/>
  <c r="X81" i="20" s="1"/>
  <c r="AE81" i="20" a="1"/>
  <c r="AE81" i="20" s="1"/>
  <c r="R81" i="20" a="1"/>
  <c r="R81" i="20" s="1"/>
  <c r="Y81" i="20" a="1"/>
  <c r="Y81" i="20" s="1"/>
  <c r="AL81" i="20" a="1"/>
  <c r="AL81" i="20" s="1"/>
  <c r="N81" i="20" a="1"/>
  <c r="N81" i="20" s="1"/>
  <c r="AA81" i="20" a="1"/>
  <c r="AA81" i="20" s="1"/>
  <c r="AN81" i="20" a="1"/>
  <c r="AN81" i="20" s="1"/>
  <c r="AG81" i="20" a="1"/>
  <c r="AG81" i="20" s="1"/>
  <c r="P81" i="20" a="1"/>
  <c r="P81" i="20" s="1"/>
  <c r="AH81" i="20" a="1"/>
  <c r="AH81" i="20" s="1"/>
  <c r="AP81" i="20" a="1"/>
  <c r="AP81" i="20" s="1"/>
  <c r="J81" i="20" a="1"/>
  <c r="J81" i="20" s="1"/>
  <c r="AB81" i="20" a="1"/>
  <c r="AB81" i="20" s="1"/>
  <c r="AJ81" i="20" a="1"/>
  <c r="AJ81" i="20" s="1"/>
  <c r="M81" i="20" a="1"/>
  <c r="M81" i="20" s="1"/>
  <c r="W81" i="20" a="1"/>
  <c r="W81" i="20" s="1"/>
  <c r="S81" i="20" a="1"/>
  <c r="S81" i="20" s="1"/>
  <c r="AO81" i="20" a="1"/>
  <c r="AO81" i="20" s="1"/>
  <c r="T81" i="20" a="1"/>
  <c r="T81" i="20" s="1"/>
  <c r="AD81" i="20" a="1"/>
  <c r="AD81" i="20" s="1"/>
  <c r="U81" i="20" a="1"/>
  <c r="U81" i="20" s="1"/>
  <c r="AF81" i="20" a="1"/>
  <c r="AF81" i="20" s="1"/>
  <c r="L81" i="20" a="1"/>
  <c r="L81" i="20" s="1"/>
  <c r="AI81" i="20" a="1"/>
  <c r="AI81" i="20" s="1"/>
  <c r="O81" i="20" a="1"/>
  <c r="O81" i="20" s="1"/>
  <c r="AK81" i="20" a="1"/>
  <c r="AK81" i="20" s="1"/>
  <c r="Q81" i="20" a="1"/>
  <c r="Q81" i="20" s="1"/>
  <c r="AM81" i="20" a="1"/>
  <c r="AM81" i="20" s="1"/>
  <c r="Z81" i="20" a="1"/>
  <c r="Z81" i="20" s="1"/>
  <c r="V81" i="20" a="1"/>
  <c r="V81" i="20" s="1"/>
  <c r="AC81" i="20" a="1"/>
  <c r="AC81" i="20" s="1"/>
  <c r="F80" i="20"/>
  <c r="E80" i="20"/>
  <c r="I80" i="20"/>
  <c r="H80" i="20"/>
  <c r="D80" i="20"/>
  <c r="G80" i="20"/>
  <c r="G47" i="24"/>
  <c r="F47" i="24"/>
  <c r="E47" i="24"/>
  <c r="D47" i="24"/>
  <c r="I47" i="24"/>
  <c r="H47" i="24"/>
  <c r="C47" i="24"/>
  <c r="J47" i="24" s="1"/>
  <c r="AW48" i="24"/>
  <c r="E76" i="21"/>
  <c r="C77" i="21"/>
  <c r="H77" i="21"/>
  <c r="B77" i="21"/>
  <c r="I77" i="21" s="1"/>
  <c r="G77" i="21"/>
  <c r="F77" i="21"/>
  <c r="D76" i="21"/>
  <c r="A78" i="21"/>
  <c r="K79" i="21"/>
  <c r="L79" i="21" s="1"/>
  <c r="AQ83" i="20"/>
  <c r="AR83" i="20" s="1"/>
  <c r="A82" i="20"/>
  <c r="B81" i="20"/>
  <c r="C81" i="20"/>
  <c r="D81" i="20" l="1"/>
  <c r="I81" i="20"/>
  <c r="E81" i="20"/>
  <c r="F81" i="20"/>
  <c r="G81" i="20"/>
  <c r="H81" i="20"/>
  <c r="AX48" i="24"/>
  <c r="B48" i="24"/>
  <c r="D77" i="21"/>
  <c r="E77" i="21"/>
  <c r="A79" i="21"/>
  <c r="K80" i="21"/>
  <c r="L80" i="21" s="1"/>
  <c r="F78" i="21"/>
  <c r="C78" i="21"/>
  <c r="H78" i="21"/>
  <c r="G78" i="21"/>
  <c r="B78" i="21"/>
  <c r="D78" i="21" s="1"/>
  <c r="AQ84" i="20"/>
  <c r="AR84" i="20" s="1"/>
  <c r="A83" i="20"/>
  <c r="B82" i="20"/>
  <c r="C82" i="20"/>
  <c r="K82" i="20" l="1" a="1"/>
  <c r="K82" i="20" s="1"/>
  <c r="P82" i="20" a="1"/>
  <c r="P82" i="20" s="1"/>
  <c r="AB82" i="20" a="1"/>
  <c r="AB82" i="20" s="1"/>
  <c r="AP82" i="20" a="1"/>
  <c r="AP82" i="20" s="1"/>
  <c r="W82" i="20" a="1"/>
  <c r="W82" i="20" s="1"/>
  <c r="AA82" i="20" a="1"/>
  <c r="AA82" i="20" s="1"/>
  <c r="AI82" i="20" a="1"/>
  <c r="AI82" i="20" s="1"/>
  <c r="Z82" i="20" a="1"/>
  <c r="Z82" i="20" s="1"/>
  <c r="Q82" i="20" a="1"/>
  <c r="Q82" i="20" s="1"/>
  <c r="AC82" i="20" a="1"/>
  <c r="AC82" i="20" s="1"/>
  <c r="Y82" i="20" a="1"/>
  <c r="Y82" i="20" s="1"/>
  <c r="AN82" i="20" a="1"/>
  <c r="AN82" i="20" s="1"/>
  <c r="AG82" i="20" a="1"/>
  <c r="AG82" i="20" s="1"/>
  <c r="T82" i="20" a="1"/>
  <c r="T82" i="20" s="1"/>
  <c r="AE82" i="20" a="1"/>
  <c r="AE82" i="20" s="1"/>
  <c r="M82" i="20" a="1"/>
  <c r="M82" i="20" s="1"/>
  <c r="AJ82" i="20" a="1"/>
  <c r="AJ82" i="20" s="1"/>
  <c r="Q83" i="20" a="1"/>
  <c r="Q83" i="20" s="1"/>
  <c r="W83" i="20" a="1"/>
  <c r="W83" i="20" s="1"/>
  <c r="AC83" i="20" a="1"/>
  <c r="AC83" i="20" s="1"/>
  <c r="AI83" i="20" a="1"/>
  <c r="AI83" i="20" s="1"/>
  <c r="AO83" i="20" a="1"/>
  <c r="AO83" i="20" s="1"/>
  <c r="K83" i="20" a="1"/>
  <c r="K83" i="20" s="1"/>
  <c r="J83" i="20" a="1"/>
  <c r="J83" i="20" s="1"/>
  <c r="S83" i="20" a="1"/>
  <c r="S83" i="20" s="1"/>
  <c r="AA83" i="20" a="1"/>
  <c r="AA83" i="20" s="1"/>
  <c r="T83" i="20" a="1"/>
  <c r="T83" i="20" s="1"/>
  <c r="AJ83" i="20" a="1"/>
  <c r="AJ83" i="20" s="1"/>
  <c r="V83" i="20" a="1"/>
  <c r="V83" i="20" s="1"/>
  <c r="P83" i="20" a="1"/>
  <c r="P83" i="20" s="1"/>
  <c r="AL83" i="20" a="1"/>
  <c r="AL83" i="20" s="1"/>
  <c r="L83" i="20" a="1"/>
  <c r="L83" i="20" s="1"/>
  <c r="AG83" i="20" a="1"/>
  <c r="AG83" i="20" s="1"/>
  <c r="M83" i="20" a="1"/>
  <c r="M83" i="20" s="1"/>
  <c r="X83" i="20" a="1"/>
  <c r="X83" i="20" s="1"/>
  <c r="Z83" i="20" a="1"/>
  <c r="Z83" i="20" s="1"/>
  <c r="AK83" i="20" a="1"/>
  <c r="AK83" i="20" s="1"/>
  <c r="AM83" i="20" a="1"/>
  <c r="AM83" i="20" s="1"/>
  <c r="AD83" i="20" a="1"/>
  <c r="AD83" i="20" s="1"/>
  <c r="N83" i="20" a="1"/>
  <c r="N83" i="20" s="1"/>
  <c r="AE83" i="20" a="1"/>
  <c r="AE83" i="20" s="1"/>
  <c r="R83" i="20" a="1"/>
  <c r="R83" i="20" s="1"/>
  <c r="AN83" i="20" a="1"/>
  <c r="AN83" i="20" s="1"/>
  <c r="U83" i="20" a="1"/>
  <c r="U83" i="20" s="1"/>
  <c r="Y83" i="20" a="1"/>
  <c r="Y83" i="20" s="1"/>
  <c r="AF83" i="20" a="1"/>
  <c r="AF83" i="20" s="1"/>
  <c r="AH83" i="20" a="1"/>
  <c r="AH83" i="20" s="1"/>
  <c r="AB83" i="20" a="1"/>
  <c r="AB83" i="20" s="1"/>
  <c r="AP83" i="20" a="1"/>
  <c r="AP83" i="20" s="1"/>
  <c r="O83" i="20" a="1"/>
  <c r="O83" i="20" s="1"/>
  <c r="J82" i="20" a="1"/>
  <c r="J82" i="20" s="1"/>
  <c r="R82" i="20" a="1"/>
  <c r="R82" i="20" s="1"/>
  <c r="V82" i="20" a="1"/>
  <c r="V82" i="20" s="1"/>
  <c r="AM82" i="20" a="1"/>
  <c r="AM82" i="20" s="1"/>
  <c r="AF82" i="20" a="1"/>
  <c r="AF82" i="20" s="1"/>
  <c r="AK82" i="20" a="1"/>
  <c r="AK82" i="20" s="1"/>
  <c r="AH82" i="20" a="1"/>
  <c r="AH82" i="20" s="1"/>
  <c r="S82" i="20" a="1"/>
  <c r="S82" i="20" s="1"/>
  <c r="AD82" i="20" a="1"/>
  <c r="AD82" i="20" s="1"/>
  <c r="AL82" i="20" a="1"/>
  <c r="AL82" i="20" s="1"/>
  <c r="X82" i="20" a="1"/>
  <c r="X82" i="20" s="1"/>
  <c r="N82" i="20" a="1"/>
  <c r="N82" i="20" s="1"/>
  <c r="O82" i="20" a="1"/>
  <c r="O82" i="20" s="1"/>
  <c r="AO82" i="20" a="1"/>
  <c r="AO82" i="20" s="1"/>
  <c r="L82" i="20" a="1"/>
  <c r="L82" i="20" s="1"/>
  <c r="U82" i="20" a="1"/>
  <c r="U82" i="20" s="1"/>
  <c r="E78" i="21"/>
  <c r="I78" i="21"/>
  <c r="G82" i="20"/>
  <c r="D48" i="24"/>
  <c r="G48" i="24"/>
  <c r="I48" i="24"/>
  <c r="F48" i="24"/>
  <c r="E48" i="24"/>
  <c r="H48" i="24"/>
  <c r="C48" i="24"/>
  <c r="J48" i="24" s="1"/>
  <c r="AW49" i="24"/>
  <c r="K81" i="21"/>
  <c r="L81" i="21" s="1"/>
  <c r="A80" i="21"/>
  <c r="F79" i="21"/>
  <c r="G79" i="21"/>
  <c r="B79" i="21"/>
  <c r="D79" i="21" s="1"/>
  <c r="H79" i="21"/>
  <c r="C79" i="21"/>
  <c r="H82" i="20"/>
  <c r="D82" i="20"/>
  <c r="I82" i="20"/>
  <c r="F82" i="20"/>
  <c r="B83" i="20"/>
  <c r="F83" i="20"/>
  <c r="C83" i="20"/>
  <c r="I83" i="20"/>
  <c r="H83" i="20"/>
  <c r="E82" i="20"/>
  <c r="A84" i="20"/>
  <c r="AQ85" i="20"/>
  <c r="AR85" i="20" s="1"/>
  <c r="N84" i="20" l="1" a="1"/>
  <c r="N84" i="20" s="1"/>
  <c r="T84" i="20" a="1"/>
  <c r="T84" i="20" s="1"/>
  <c r="Z84" i="20" a="1"/>
  <c r="Z84" i="20" s="1"/>
  <c r="AF84" i="20" a="1"/>
  <c r="AF84" i="20" s="1"/>
  <c r="AL84" i="20" a="1"/>
  <c r="AL84" i="20" s="1"/>
  <c r="J84" i="20" a="1"/>
  <c r="J84" i="20" s="1"/>
  <c r="R84" i="20" a="1"/>
  <c r="R84" i="20" s="1"/>
  <c r="AH84" i="20" a="1"/>
  <c r="AH84" i="20" s="1"/>
  <c r="AP84" i="20" a="1"/>
  <c r="AP84" i="20" s="1"/>
  <c r="K84" i="20" a="1"/>
  <c r="K84" i="20" s="1"/>
  <c r="AA84" i="20" a="1"/>
  <c r="AA84" i="20" s="1"/>
  <c r="AI84" i="20" a="1"/>
  <c r="AI84" i="20" s="1"/>
  <c r="M84" i="20" a="1"/>
  <c r="M84" i="20" s="1"/>
  <c r="AK84" i="20" a="1"/>
  <c r="AK84" i="20" s="1"/>
  <c r="Y84" i="20" a="1"/>
  <c r="Y84" i="20" s="1"/>
  <c r="U84" i="20" a="1"/>
  <c r="U84" i="20" s="1"/>
  <c r="AE84" i="20" a="1"/>
  <c r="AE84" i="20" s="1"/>
  <c r="V84" i="20" a="1"/>
  <c r="V84" i="20" s="1"/>
  <c r="L84" i="20" a="1"/>
  <c r="L84" i="20" s="1"/>
  <c r="W84" i="20" a="1"/>
  <c r="W84" i="20" s="1"/>
  <c r="AG84" i="20" a="1"/>
  <c r="AG84" i="20" s="1"/>
  <c r="O84" i="20" a="1"/>
  <c r="O84" i="20" s="1"/>
  <c r="AJ84" i="20" a="1"/>
  <c r="AJ84" i="20" s="1"/>
  <c r="AN84" i="20" a="1"/>
  <c r="AN84" i="20" s="1"/>
  <c r="P84" i="20" a="1"/>
  <c r="P84" i="20" s="1"/>
  <c r="Q84" i="20" a="1"/>
  <c r="Q84" i="20" s="1"/>
  <c r="AM84" i="20" a="1"/>
  <c r="AM84" i="20" s="1"/>
  <c r="AO84" i="20" a="1"/>
  <c r="AO84" i="20" s="1"/>
  <c r="S84" i="20" a="1"/>
  <c r="S84" i="20" s="1"/>
  <c r="AB84" i="20" a="1"/>
  <c r="AB84" i="20" s="1"/>
  <c r="AD84" i="20" a="1"/>
  <c r="AD84" i="20" s="1"/>
  <c r="X84" i="20" a="1"/>
  <c r="X84" i="20" s="1"/>
  <c r="AC84" i="20" a="1"/>
  <c r="AC84" i="20" s="1"/>
  <c r="I79" i="21"/>
  <c r="D83" i="20"/>
  <c r="E79" i="21"/>
  <c r="E83" i="20"/>
  <c r="G83" i="20"/>
  <c r="AX49" i="24"/>
  <c r="B49" i="24"/>
  <c r="B80" i="21"/>
  <c r="D80" i="21" s="1"/>
  <c r="H80" i="21"/>
  <c r="G80" i="21"/>
  <c r="C80" i="21"/>
  <c r="F80" i="21"/>
  <c r="K82" i="21"/>
  <c r="L82" i="21" s="1"/>
  <c r="A81" i="21"/>
  <c r="A85" i="20"/>
  <c r="AQ86" i="20"/>
  <c r="AR86" i="20" s="1"/>
  <c r="C84" i="20"/>
  <c r="B84" i="20"/>
  <c r="F84" i="20" l="1"/>
  <c r="I84" i="20"/>
  <c r="E84" i="20"/>
  <c r="D84" i="20"/>
  <c r="H84" i="20"/>
  <c r="G84" i="20"/>
  <c r="C49" i="24"/>
  <c r="J49" i="24" s="1"/>
  <c r="AW50" i="24"/>
  <c r="G49" i="24"/>
  <c r="F49" i="24"/>
  <c r="H49" i="24"/>
  <c r="I49" i="24"/>
  <c r="D49" i="24"/>
  <c r="E49" i="24"/>
  <c r="I80" i="21"/>
  <c r="E80" i="21"/>
  <c r="F81" i="21"/>
  <c r="G81" i="21"/>
  <c r="H81" i="21"/>
  <c r="B81" i="21"/>
  <c r="D81" i="21"/>
  <c r="C81" i="21"/>
  <c r="E81" i="21"/>
  <c r="I81" i="21"/>
  <c r="K83" i="21"/>
  <c r="L83" i="21" s="1"/>
  <c r="A82" i="21"/>
  <c r="A86" i="20"/>
  <c r="AQ87" i="20"/>
  <c r="AR87" i="20" s="1"/>
  <c r="C85" i="20"/>
  <c r="B85" i="20"/>
  <c r="AF85" i="20" l="1" a="1"/>
  <c r="AF85" i="20" s="1"/>
  <c r="N85" i="20" a="1"/>
  <c r="N85" i="20" s="1"/>
  <c r="M85" i="20" a="1"/>
  <c r="M85" i="20" s="1"/>
  <c r="AJ85" i="20" a="1"/>
  <c r="AJ85" i="20" s="1"/>
  <c r="P85" i="20" a="1"/>
  <c r="P85" i="20" s="1"/>
  <c r="AA85" i="20" a="1"/>
  <c r="AA85" i="20" s="1"/>
  <c r="O85" i="20" a="1"/>
  <c r="O85" i="20" s="1"/>
  <c r="AH85" i="20" a="1"/>
  <c r="AH85" i="20" s="1"/>
  <c r="V85" i="20" a="1"/>
  <c r="V85" i="20" s="1"/>
  <c r="K85" i="20" a="1"/>
  <c r="K85" i="20" s="1"/>
  <c r="AB85" i="20" a="1"/>
  <c r="AB85" i="20" s="1"/>
  <c r="AN85" i="20" a="1"/>
  <c r="AN85" i="20" s="1"/>
  <c r="AG85" i="20" a="1"/>
  <c r="AG85" i="20" s="1"/>
  <c r="Z85" i="20" a="1"/>
  <c r="Z85" i="20" s="1"/>
  <c r="X85" i="20" a="1"/>
  <c r="X85" i="20" s="1"/>
  <c r="R85" i="20" a="1"/>
  <c r="R85" i="20" s="1"/>
  <c r="Y85" i="20" a="1"/>
  <c r="Y85" i="20" s="1"/>
  <c r="L85" i="20" a="1"/>
  <c r="L85" i="20" s="1"/>
  <c r="AE85" i="20" a="1"/>
  <c r="AE85" i="20" s="1"/>
  <c r="AO85" i="20" a="1"/>
  <c r="AO85" i="20" s="1"/>
  <c r="AL85" i="20" a="1"/>
  <c r="AL85" i="20" s="1"/>
  <c r="U85" i="20" a="1"/>
  <c r="U85" i="20" s="1"/>
  <c r="AI85" i="20" a="1"/>
  <c r="AI85" i="20" s="1"/>
  <c r="J85" i="20" a="1"/>
  <c r="J85" i="20" s="1"/>
  <c r="AC85" i="20" a="1"/>
  <c r="AC85" i="20" s="1"/>
  <c r="AP85" i="20" a="1"/>
  <c r="AP85" i="20" s="1"/>
  <c r="AM85" i="20" a="1"/>
  <c r="AM85" i="20" s="1"/>
  <c r="W85" i="20" a="1"/>
  <c r="W85" i="20" s="1"/>
  <c r="AK85" i="20" a="1"/>
  <c r="AK85" i="20" s="1"/>
  <c r="AD85" i="20" a="1"/>
  <c r="AD85" i="20" s="1"/>
  <c r="Q85" i="20" a="1"/>
  <c r="Q85" i="20" s="1"/>
  <c r="S85" i="20" a="1"/>
  <c r="S85" i="20" s="1"/>
  <c r="T85" i="20" a="1"/>
  <c r="T85" i="20" s="1"/>
  <c r="H85" i="20"/>
  <c r="B50" i="24"/>
  <c r="AX50" i="24"/>
  <c r="C50" i="24" s="1"/>
  <c r="F82" i="21"/>
  <c r="C82" i="21"/>
  <c r="G82" i="21"/>
  <c r="B82" i="21"/>
  <c r="D82" i="21" s="1"/>
  <c r="H82" i="21"/>
  <c r="A83" i="21"/>
  <c r="K84" i="21"/>
  <c r="L84" i="21" s="1"/>
  <c r="I85" i="20"/>
  <c r="E85" i="20"/>
  <c r="F85" i="20"/>
  <c r="G85" i="20"/>
  <c r="D85" i="20"/>
  <c r="C86" i="20"/>
  <c r="B86" i="20"/>
  <c r="AQ88" i="20"/>
  <c r="AR88" i="20" s="1"/>
  <c r="A87" i="20"/>
  <c r="AE86" i="20" l="1" a="1"/>
  <c r="AE86" i="20" s="1"/>
  <c r="T86" i="20" a="1"/>
  <c r="T86" i="20" s="1"/>
  <c r="S86" i="20" a="1"/>
  <c r="S86" i="20" s="1"/>
  <c r="AH86" i="20" a="1"/>
  <c r="AH86" i="20" s="1"/>
  <c r="AN86" i="20" a="1"/>
  <c r="AN86" i="20" s="1"/>
  <c r="N86" i="20" a="1"/>
  <c r="N86" i="20" s="1"/>
  <c r="AP86" i="20" a="1"/>
  <c r="AP86" i="20" s="1"/>
  <c r="X86" i="20" a="1"/>
  <c r="X86" i="20" s="1"/>
  <c r="Y86" i="20" a="1"/>
  <c r="Y86" i="20" s="1"/>
  <c r="Q86" i="20" a="1"/>
  <c r="Q86" i="20" s="1"/>
  <c r="AM86" i="20" a="1"/>
  <c r="AM86" i="20" s="1"/>
  <c r="J86" i="20" a="1"/>
  <c r="J86" i="20" s="1"/>
  <c r="AJ86" i="20" a="1"/>
  <c r="AJ86" i="20" s="1"/>
  <c r="AG86" i="20" a="1"/>
  <c r="AG86" i="20" s="1"/>
  <c r="AD86" i="20" a="1"/>
  <c r="AD86" i="20" s="1"/>
  <c r="AC86" i="20" a="1"/>
  <c r="AC86" i="20" s="1"/>
  <c r="W86" i="20" a="1"/>
  <c r="W86" i="20" s="1"/>
  <c r="K86" i="20" a="1"/>
  <c r="K86" i="20" s="1"/>
  <c r="AB86" i="20" a="1"/>
  <c r="AB86" i="20" s="1"/>
  <c r="AO86" i="20" a="1"/>
  <c r="AO86" i="20" s="1"/>
  <c r="AK86" i="20" a="1"/>
  <c r="AK86" i="20" s="1"/>
  <c r="U86" i="20" a="1"/>
  <c r="U86" i="20" s="1"/>
  <c r="O86" i="20" a="1"/>
  <c r="O86" i="20" s="1"/>
  <c r="AA86" i="20" a="1"/>
  <c r="AA86" i="20" s="1"/>
  <c r="AL86" i="20" a="1"/>
  <c r="AL86" i="20" s="1"/>
  <c r="L86" i="20" a="1"/>
  <c r="L86" i="20" s="1"/>
  <c r="R86" i="20" a="1"/>
  <c r="R86" i="20" s="1"/>
  <c r="AF86" i="20" a="1"/>
  <c r="AF86" i="20" s="1"/>
  <c r="M86" i="20" a="1"/>
  <c r="M86" i="20" s="1"/>
  <c r="AI86" i="20" a="1"/>
  <c r="AI86" i="20" s="1"/>
  <c r="Z86" i="20" a="1"/>
  <c r="Z86" i="20" s="1"/>
  <c r="V86" i="20" a="1"/>
  <c r="V86" i="20" s="1"/>
  <c r="P86" i="20" a="1"/>
  <c r="P86" i="20" s="1"/>
  <c r="I82" i="21"/>
  <c r="E82" i="21"/>
  <c r="F86" i="20"/>
  <c r="H50" i="24"/>
  <c r="E50" i="24"/>
  <c r="D50" i="24"/>
  <c r="J50" i="24"/>
  <c r="G50" i="24"/>
  <c r="I50" i="24"/>
  <c r="F50" i="24"/>
  <c r="A84" i="21"/>
  <c r="K85" i="21"/>
  <c r="L85" i="21" s="1"/>
  <c r="F83" i="21"/>
  <c r="C83" i="21"/>
  <c r="B83" i="21"/>
  <c r="E83" i="21" s="1"/>
  <c r="H83" i="21"/>
  <c r="G83" i="21"/>
  <c r="I86" i="20"/>
  <c r="E86" i="20"/>
  <c r="G86" i="20"/>
  <c r="D86" i="20"/>
  <c r="C87" i="20"/>
  <c r="B87" i="20"/>
  <c r="AQ89" i="20"/>
  <c r="AR89" i="20" s="1"/>
  <c r="A88" i="20"/>
  <c r="H86" i="20"/>
  <c r="T87" i="20" l="1" a="1"/>
  <c r="T87" i="20" s="1"/>
  <c r="Z87" i="20" a="1"/>
  <c r="Z87" i="20" s="1"/>
  <c r="AM87" i="20" a="1"/>
  <c r="AM87" i="20" s="1"/>
  <c r="AG87" i="20" a="1"/>
  <c r="AG87" i="20" s="1"/>
  <c r="AF87" i="20" a="1"/>
  <c r="AF87" i="20" s="1"/>
  <c r="AD87" i="20" a="1"/>
  <c r="AD87" i="20" s="1"/>
  <c r="N87" i="20" a="1"/>
  <c r="N87" i="20" s="1"/>
  <c r="J87" i="20" a="1"/>
  <c r="J87" i="20" s="1"/>
  <c r="R87" i="20" a="1"/>
  <c r="R87" i="20" s="1"/>
  <c r="AP87" i="20" a="1"/>
  <c r="AP87" i="20" s="1"/>
  <c r="AE87" i="20" a="1"/>
  <c r="AE87" i="20" s="1"/>
  <c r="U87" i="20" a="1"/>
  <c r="U87" i="20" s="1"/>
  <c r="V87" i="20" a="1"/>
  <c r="V87" i="20" s="1"/>
  <c r="X87" i="20" a="1"/>
  <c r="X87" i="20" s="1"/>
  <c r="O87" i="20" a="1"/>
  <c r="O87" i="20" s="1"/>
  <c r="M87" i="20" a="1"/>
  <c r="M87" i="20" s="1"/>
  <c r="AO87" i="20" a="1"/>
  <c r="AO87" i="20" s="1"/>
  <c r="AL87" i="20" a="1"/>
  <c r="AL87" i="20" s="1"/>
  <c r="L87" i="20" a="1"/>
  <c r="L87" i="20" s="1"/>
  <c r="AI87" i="20" a="1"/>
  <c r="AI87" i="20" s="1"/>
  <c r="AB87" i="20" a="1"/>
  <c r="AB87" i="20" s="1"/>
  <c r="AJ87" i="20" a="1"/>
  <c r="AJ87" i="20" s="1"/>
  <c r="AC87" i="20" a="1"/>
  <c r="AC87" i="20" s="1"/>
  <c r="AN87" i="20" a="1"/>
  <c r="AN87" i="20" s="1"/>
  <c r="P87" i="20" a="1"/>
  <c r="P87" i="20" s="1"/>
  <c r="W87" i="20" a="1"/>
  <c r="W87" i="20" s="1"/>
  <c r="Y87" i="20" a="1"/>
  <c r="Y87" i="20" s="1"/>
  <c r="AH87" i="20" a="1"/>
  <c r="AH87" i="20" s="1"/>
  <c r="Q87" i="20" a="1"/>
  <c r="Q87" i="20" s="1"/>
  <c r="AK87" i="20" a="1"/>
  <c r="AK87" i="20" s="1"/>
  <c r="AA87" i="20" a="1"/>
  <c r="AA87" i="20" s="1"/>
  <c r="K87" i="20" a="1"/>
  <c r="K87" i="20" s="1"/>
  <c r="S87" i="20" a="1"/>
  <c r="S87" i="20" s="1"/>
  <c r="D83" i="21"/>
  <c r="A85" i="21"/>
  <c r="K86" i="21"/>
  <c r="L86" i="21" s="1"/>
  <c r="I83" i="21"/>
  <c r="G84" i="21"/>
  <c r="H84" i="21"/>
  <c r="C84" i="21"/>
  <c r="F84" i="21"/>
  <c r="B84" i="21"/>
  <c r="E84" i="21" s="1"/>
  <c r="D87" i="20"/>
  <c r="H87" i="20"/>
  <c r="E87" i="20"/>
  <c r="I87" i="20"/>
  <c r="F87" i="20"/>
  <c r="C88" i="20"/>
  <c r="B88" i="20"/>
  <c r="A89" i="20"/>
  <c r="AQ90" i="20"/>
  <c r="AR90" i="20" s="1"/>
  <c r="G87" i="20"/>
  <c r="Z88" i="20" l="1" a="1"/>
  <c r="Z88" i="20" s="1"/>
  <c r="U88" i="20" a="1"/>
  <c r="U88" i="20" s="1"/>
  <c r="L88" i="20" a="1"/>
  <c r="L88" i="20" s="1"/>
  <c r="T88" i="20" a="1"/>
  <c r="T88" i="20" s="1"/>
  <c r="S88" i="20" a="1"/>
  <c r="S88" i="20" s="1"/>
  <c r="AK88" i="20" a="1"/>
  <c r="AK88" i="20" s="1"/>
  <c r="N88" i="20" a="1"/>
  <c r="N88" i="20" s="1"/>
  <c r="Q88" i="20" a="1"/>
  <c r="Q88" i="20" s="1"/>
  <c r="AD88" i="20" a="1"/>
  <c r="AD88" i="20" s="1"/>
  <c r="AO88" i="20" a="1"/>
  <c r="AO88" i="20" s="1"/>
  <c r="W88" i="20" a="1"/>
  <c r="W88" i="20" s="1"/>
  <c r="Y88" i="20" a="1"/>
  <c r="Y88" i="20" s="1"/>
  <c r="AP88" i="20" a="1"/>
  <c r="AP88" i="20" s="1"/>
  <c r="K88" i="20" a="1"/>
  <c r="K88" i="20" s="1"/>
  <c r="J88" i="20" a="1"/>
  <c r="J88" i="20" s="1"/>
  <c r="AI88" i="20" a="1"/>
  <c r="AI88" i="20" s="1"/>
  <c r="AM88" i="20" a="1"/>
  <c r="AM88" i="20" s="1"/>
  <c r="AN88" i="20" a="1"/>
  <c r="AN88" i="20" s="1"/>
  <c r="M88" i="20" a="1"/>
  <c r="M88" i="20" s="1"/>
  <c r="O88" i="20" a="1"/>
  <c r="O88" i="20" s="1"/>
  <c r="AE88" i="20" a="1"/>
  <c r="AE88" i="20" s="1"/>
  <c r="AH88" i="20" a="1"/>
  <c r="AH88" i="20" s="1"/>
  <c r="AG88" i="20" a="1"/>
  <c r="AG88" i="20" s="1"/>
  <c r="AC88" i="20" a="1"/>
  <c r="AC88" i="20" s="1"/>
  <c r="AA88" i="20" a="1"/>
  <c r="AA88" i="20" s="1"/>
  <c r="X88" i="20" a="1"/>
  <c r="X88" i="20" s="1"/>
  <c r="AB88" i="20" a="1"/>
  <c r="AB88" i="20" s="1"/>
  <c r="AL88" i="20" a="1"/>
  <c r="AL88" i="20" s="1"/>
  <c r="P88" i="20" a="1"/>
  <c r="P88" i="20" s="1"/>
  <c r="R88" i="20" a="1"/>
  <c r="R88" i="20" s="1"/>
  <c r="AF88" i="20" a="1"/>
  <c r="AF88" i="20" s="1"/>
  <c r="AJ88" i="20" a="1"/>
  <c r="AJ88" i="20" s="1"/>
  <c r="V88" i="20" a="1"/>
  <c r="V88" i="20" s="1"/>
  <c r="D88" i="20"/>
  <c r="I84" i="21"/>
  <c r="K87" i="21"/>
  <c r="L87" i="21" s="1"/>
  <c r="A86" i="21"/>
  <c r="D84" i="21"/>
  <c r="C85" i="21"/>
  <c r="F85" i="21"/>
  <c r="H85" i="21"/>
  <c r="G85" i="21"/>
  <c r="B85" i="21"/>
  <c r="D85" i="21" s="1"/>
  <c r="G88" i="20"/>
  <c r="E88" i="20"/>
  <c r="H88" i="20"/>
  <c r="F88" i="20"/>
  <c r="A90" i="20"/>
  <c r="AQ91" i="20"/>
  <c r="AR91" i="20" s="1"/>
  <c r="I88" i="20"/>
  <c r="B89" i="20"/>
  <c r="C89" i="20"/>
  <c r="AC89" i="20" l="1" a="1"/>
  <c r="AC89" i="20" s="1"/>
  <c r="AE89" i="20" a="1"/>
  <c r="AE89" i="20" s="1"/>
  <c r="V89" i="20" a="1"/>
  <c r="V89" i="20" s="1"/>
  <c r="W89" i="20" a="1"/>
  <c r="W89" i="20" s="1"/>
  <c r="L89" i="20" a="1"/>
  <c r="L89" i="20" s="1"/>
  <c r="M89" i="20" a="1"/>
  <c r="M89" i="20" s="1"/>
  <c r="Q89" i="20" a="1"/>
  <c r="Q89" i="20" s="1"/>
  <c r="AF89" i="20" a="1"/>
  <c r="AF89" i="20" s="1"/>
  <c r="AN89" i="20" a="1"/>
  <c r="AN89" i="20" s="1"/>
  <c r="K89" i="20" a="1"/>
  <c r="K89" i="20" s="1"/>
  <c r="T89" i="20" a="1"/>
  <c r="T89" i="20" s="1"/>
  <c r="AG89" i="20" a="1"/>
  <c r="AG89" i="20" s="1"/>
  <c r="N90" i="20" a="1"/>
  <c r="N90" i="20" s="1"/>
  <c r="T90" i="20" a="1"/>
  <c r="T90" i="20" s="1"/>
  <c r="AF90" i="20" a="1"/>
  <c r="AF90" i="20" s="1"/>
  <c r="L90" i="20" a="1"/>
  <c r="L90" i="20" s="1"/>
  <c r="S90" i="20" a="1"/>
  <c r="S90" i="20" s="1"/>
  <c r="Z90" i="20" a="1"/>
  <c r="Z90" i="20" s="1"/>
  <c r="AM90" i="20" a="1"/>
  <c r="AM90" i="20" s="1"/>
  <c r="AB90" i="20" a="1"/>
  <c r="AB90" i="20" s="1"/>
  <c r="AI90" i="20" a="1"/>
  <c r="AI90" i="20" s="1"/>
  <c r="R90" i="20" a="1"/>
  <c r="R90" i="20" s="1"/>
  <c r="AC90" i="20" a="1"/>
  <c r="AC90" i="20" s="1"/>
  <c r="AK90" i="20" a="1"/>
  <c r="AK90" i="20" s="1"/>
  <c r="M90" i="20" a="1"/>
  <c r="M90" i="20" s="1"/>
  <c r="W90" i="20" a="1"/>
  <c r="W90" i="20" s="1"/>
  <c r="AE90" i="20" a="1"/>
  <c r="AE90" i="20" s="1"/>
  <c r="AN90" i="20" a="1"/>
  <c r="AN90" i="20" s="1"/>
  <c r="Y90" i="20" a="1"/>
  <c r="Y90" i="20" s="1"/>
  <c r="U90" i="20" a="1"/>
  <c r="U90" i="20" s="1"/>
  <c r="AG90" i="20" a="1"/>
  <c r="AG90" i="20" s="1"/>
  <c r="V90" i="20" a="1"/>
  <c r="V90" i="20" s="1"/>
  <c r="AJ90" i="20" a="1"/>
  <c r="AJ90" i="20" s="1"/>
  <c r="AP90" i="20" a="1"/>
  <c r="AP90" i="20" s="1"/>
  <c r="X90" i="20" a="1"/>
  <c r="X90" i="20" s="1"/>
  <c r="K90" i="20" a="1"/>
  <c r="K90" i="20" s="1"/>
  <c r="AH90" i="20" a="1"/>
  <c r="AH90" i="20" s="1"/>
  <c r="J90" i="20" a="1"/>
  <c r="J90" i="20" s="1"/>
  <c r="O90" i="20" a="1"/>
  <c r="O90" i="20" s="1"/>
  <c r="AO90" i="20" a="1"/>
  <c r="AO90" i="20" s="1"/>
  <c r="Q90" i="20" a="1"/>
  <c r="Q90" i="20" s="1"/>
  <c r="AL90" i="20" a="1"/>
  <c r="AL90" i="20" s="1"/>
  <c r="P90" i="20" a="1"/>
  <c r="P90" i="20" s="1"/>
  <c r="AA90" i="20" a="1"/>
  <c r="AA90" i="20" s="1"/>
  <c r="AD90" i="20" a="1"/>
  <c r="AD90" i="20" s="1"/>
  <c r="AB89" i="20" a="1"/>
  <c r="AB89" i="20" s="1"/>
  <c r="Z89" i="20" a="1"/>
  <c r="Z89" i="20" s="1"/>
  <c r="O89" i="20" a="1"/>
  <c r="O89" i="20" s="1"/>
  <c r="AL89" i="20" a="1"/>
  <c r="AL89" i="20" s="1"/>
  <c r="R89" i="20" a="1"/>
  <c r="R89" i="20" s="1"/>
  <c r="AH89" i="20" a="1"/>
  <c r="AH89" i="20" s="1"/>
  <c r="P89" i="20" a="1"/>
  <c r="P89" i="20" s="1"/>
  <c r="S89" i="20" a="1"/>
  <c r="S89" i="20" s="1"/>
  <c r="AJ89" i="20" a="1"/>
  <c r="AJ89" i="20" s="1"/>
  <c r="AK89" i="20" a="1"/>
  <c r="AK89" i="20" s="1"/>
  <c r="AM89" i="20" a="1"/>
  <c r="AM89" i="20" s="1"/>
  <c r="AA89" i="20" a="1"/>
  <c r="AA89" i="20" s="1"/>
  <c r="AD89" i="20" a="1"/>
  <c r="AD89" i="20" s="1"/>
  <c r="Y89" i="20" a="1"/>
  <c r="Y89" i="20" s="1"/>
  <c r="X89" i="20" a="1"/>
  <c r="X89" i="20" s="1"/>
  <c r="AO89" i="20" a="1"/>
  <c r="AO89" i="20" s="1"/>
  <c r="U89" i="20" a="1"/>
  <c r="U89" i="20" s="1"/>
  <c r="N89" i="20" a="1"/>
  <c r="N89" i="20" s="1"/>
  <c r="AI89" i="20" a="1"/>
  <c r="AI89" i="20" s="1"/>
  <c r="J89" i="20" a="1"/>
  <c r="J89" i="20" s="1"/>
  <c r="AP89" i="20" a="1"/>
  <c r="AP89" i="20" s="1"/>
  <c r="I89" i="20"/>
  <c r="I85" i="21"/>
  <c r="E85" i="21"/>
  <c r="E89" i="20"/>
  <c r="F89" i="20"/>
  <c r="A87" i="21"/>
  <c r="K88" i="21"/>
  <c r="L88" i="21" s="1"/>
  <c r="G86" i="21"/>
  <c r="H86" i="21"/>
  <c r="F86" i="21"/>
  <c r="B86" i="21"/>
  <c r="I86" i="21" s="1"/>
  <c r="C86" i="21"/>
  <c r="H89" i="20"/>
  <c r="G89" i="20"/>
  <c r="A91" i="20"/>
  <c r="AQ92" i="20"/>
  <c r="AR92" i="20" s="1"/>
  <c r="B90" i="20"/>
  <c r="C90" i="20"/>
  <c r="D89" i="20"/>
  <c r="L91" i="20" l="1" a="1"/>
  <c r="L91" i="20" s="1"/>
  <c r="Y91" i="20" a="1"/>
  <c r="Y91" i="20" s="1"/>
  <c r="AF91" i="20" a="1"/>
  <c r="AF91" i="20" s="1"/>
  <c r="S91" i="20" a="1"/>
  <c r="S91" i="20" s="1"/>
  <c r="Z91" i="20" a="1"/>
  <c r="Z91" i="20" s="1"/>
  <c r="AM91" i="20" a="1"/>
  <c r="AM91" i="20" s="1"/>
  <c r="O91" i="20" a="1"/>
  <c r="O91" i="20" s="1"/>
  <c r="AB91" i="20" a="1"/>
  <c r="AB91" i="20" s="1"/>
  <c r="AO91" i="20" a="1"/>
  <c r="AO91" i="20" s="1"/>
  <c r="U91" i="20" a="1"/>
  <c r="U91" i="20" s="1"/>
  <c r="AL91" i="20" a="1"/>
  <c r="AL91" i="20" s="1"/>
  <c r="M91" i="20" a="1"/>
  <c r="M91" i="20" s="1"/>
  <c r="V91" i="20" a="1"/>
  <c r="V91" i="20" s="1"/>
  <c r="AD91" i="20" a="1"/>
  <c r="AD91" i="20" s="1"/>
  <c r="P91" i="20" a="1"/>
  <c r="P91" i="20" s="1"/>
  <c r="X91" i="20" a="1"/>
  <c r="X91" i="20" s="1"/>
  <c r="AP91" i="20" a="1"/>
  <c r="AP91" i="20" s="1"/>
  <c r="AN91" i="20" a="1"/>
  <c r="AN91" i="20" s="1"/>
  <c r="J91" i="20" a="1"/>
  <c r="J91" i="20" s="1"/>
  <c r="AH91" i="20" a="1"/>
  <c r="AH91" i="20" s="1"/>
  <c r="W91" i="20" a="1"/>
  <c r="W91" i="20" s="1"/>
  <c r="AI91" i="20" a="1"/>
  <c r="AI91" i="20" s="1"/>
  <c r="K91" i="20" a="1"/>
  <c r="K91" i="20" s="1"/>
  <c r="AA91" i="20" a="1"/>
  <c r="AA91" i="20" s="1"/>
  <c r="AK91" i="20" a="1"/>
  <c r="AK91" i="20" s="1"/>
  <c r="AC91" i="20" a="1"/>
  <c r="AC91" i="20" s="1"/>
  <c r="N91" i="20" a="1"/>
  <c r="N91" i="20" s="1"/>
  <c r="AE91" i="20" a="1"/>
  <c r="AE91" i="20" s="1"/>
  <c r="R91" i="20" a="1"/>
  <c r="R91" i="20" s="1"/>
  <c r="AG91" i="20" a="1"/>
  <c r="AG91" i="20" s="1"/>
  <c r="T91" i="20" a="1"/>
  <c r="T91" i="20" s="1"/>
  <c r="AJ91" i="20" a="1"/>
  <c r="AJ91" i="20" s="1"/>
  <c r="Q91" i="20" a="1"/>
  <c r="Q91" i="20" s="1"/>
  <c r="E90" i="20"/>
  <c r="I90" i="20"/>
  <c r="F90" i="20"/>
  <c r="D90" i="20"/>
  <c r="G90" i="20"/>
  <c r="H90" i="20"/>
  <c r="D86" i="21"/>
  <c r="K89" i="21"/>
  <c r="L89" i="21" s="1"/>
  <c r="A88" i="21"/>
  <c r="E86" i="21"/>
  <c r="H87" i="21"/>
  <c r="C87" i="21"/>
  <c r="B87" i="21"/>
  <c r="E87" i="21" s="1"/>
  <c r="G87" i="21"/>
  <c r="F87" i="21"/>
  <c r="AQ93" i="20"/>
  <c r="AR93" i="20" s="1"/>
  <c r="A92" i="20"/>
  <c r="B91" i="20"/>
  <c r="C91" i="20"/>
  <c r="G91" i="20" l="1"/>
  <c r="H91" i="20"/>
  <c r="D91" i="20"/>
  <c r="E91" i="20"/>
  <c r="F91" i="20"/>
  <c r="I91" i="20"/>
  <c r="I87" i="21"/>
  <c r="H88" i="21"/>
  <c r="C88" i="21"/>
  <c r="B88" i="21"/>
  <c r="I88" i="21" s="1"/>
  <c r="F88" i="21"/>
  <c r="G88" i="21"/>
  <c r="D87" i="21"/>
  <c r="A89" i="21"/>
  <c r="K90" i="21"/>
  <c r="L90" i="21" s="1"/>
  <c r="C92" i="20"/>
  <c r="B92" i="20"/>
  <c r="AQ94" i="20"/>
  <c r="AR94" i="20" s="1"/>
  <c r="A93" i="20"/>
  <c r="L92" i="20" l="1" a="1"/>
  <c r="L92" i="20" s="1"/>
  <c r="X92" i="20" a="1"/>
  <c r="X92" i="20" s="1"/>
  <c r="O92" i="20" a="1"/>
  <c r="O92" i="20" s="1"/>
  <c r="Q92" i="20" a="1"/>
  <c r="Q92" i="20" s="1"/>
  <c r="AD92" i="20" a="1"/>
  <c r="AD92" i="20" s="1"/>
  <c r="N92" i="20" a="1"/>
  <c r="N92" i="20" s="1"/>
  <c r="AM92" i="20" a="1"/>
  <c r="AM92" i="20" s="1"/>
  <c r="AO92" i="20" a="1"/>
  <c r="AO92" i="20" s="1"/>
  <c r="V92" i="20" a="1"/>
  <c r="V92" i="20" s="1"/>
  <c r="J92" i="20" a="1"/>
  <c r="J92" i="20" s="1"/>
  <c r="AP92" i="20" a="1"/>
  <c r="AP92" i="20" s="1"/>
  <c r="K92" i="20" a="1"/>
  <c r="K92" i="20" s="1"/>
  <c r="AG92" i="20" a="1"/>
  <c r="AG92" i="20" s="1"/>
  <c r="P92" i="20" a="1"/>
  <c r="P92" i="20" s="1"/>
  <c r="AA92" i="20" a="1"/>
  <c r="AA92" i="20" s="1"/>
  <c r="AI92" i="20" a="1"/>
  <c r="AI92" i="20" s="1"/>
  <c r="AL92" i="20" a="1"/>
  <c r="AL92" i="20" s="1"/>
  <c r="U92" i="20" a="1"/>
  <c r="U92" i="20" s="1"/>
  <c r="M92" i="20" a="1"/>
  <c r="M92" i="20" s="1"/>
  <c r="AF92" i="20" a="1"/>
  <c r="AF92" i="20" s="1"/>
  <c r="AB92" i="20" a="1"/>
  <c r="AB92" i="20" s="1"/>
  <c r="AK92" i="20" a="1"/>
  <c r="AK92" i="20" s="1"/>
  <c r="AN92" i="20" a="1"/>
  <c r="AN92" i="20" s="1"/>
  <c r="R92" i="20" a="1"/>
  <c r="R92" i="20" s="1"/>
  <c r="AE92" i="20" a="1"/>
  <c r="AE92" i="20" s="1"/>
  <c r="J93" i="20" a="1"/>
  <c r="J93" i="20" s="1"/>
  <c r="P93" i="20" a="1"/>
  <c r="P93" i="20" s="1"/>
  <c r="V93" i="20" a="1"/>
  <c r="V93" i="20" s="1"/>
  <c r="AB93" i="20" a="1"/>
  <c r="AB93" i="20" s="1"/>
  <c r="AH93" i="20" a="1"/>
  <c r="AH93" i="20" s="1"/>
  <c r="AN93" i="20" a="1"/>
  <c r="AN93" i="20" s="1"/>
  <c r="L93" i="20" a="1"/>
  <c r="L93" i="20" s="1"/>
  <c r="R93" i="20" a="1"/>
  <c r="R93" i="20" s="1"/>
  <c r="X93" i="20" a="1"/>
  <c r="X93" i="20" s="1"/>
  <c r="AD93" i="20" a="1"/>
  <c r="AD93" i="20" s="1"/>
  <c r="AJ93" i="20" a="1"/>
  <c r="AJ93" i="20" s="1"/>
  <c r="AP93" i="20" a="1"/>
  <c r="AP93" i="20" s="1"/>
  <c r="U93" i="20" a="1"/>
  <c r="U93" i="20" s="1"/>
  <c r="N93" i="20" a="1"/>
  <c r="N93" i="20" s="1"/>
  <c r="AL93" i="20" a="1"/>
  <c r="AL93" i="20" s="1"/>
  <c r="Q93" i="20" a="1"/>
  <c r="Q93" i="20" s="1"/>
  <c r="Y93" i="20" a="1"/>
  <c r="Y93" i="20" s="1"/>
  <c r="AO93" i="20" a="1"/>
  <c r="AO93" i="20" s="1"/>
  <c r="AA93" i="20" a="1"/>
  <c r="AA93" i="20" s="1"/>
  <c r="W93" i="20" a="1"/>
  <c r="W93" i="20" s="1"/>
  <c r="AG93" i="20" a="1"/>
  <c r="AG93" i="20" s="1"/>
  <c r="M93" i="20" a="1"/>
  <c r="M93" i="20" s="1"/>
  <c r="AI93" i="20" a="1"/>
  <c r="AI93" i="20" s="1"/>
  <c r="AK93" i="20" a="1"/>
  <c r="AK93" i="20" s="1"/>
  <c r="AM93" i="20" a="1"/>
  <c r="AM93" i="20" s="1"/>
  <c r="T93" i="20" a="1"/>
  <c r="T93" i="20" s="1"/>
  <c r="AC93" i="20" a="1"/>
  <c r="AC93" i="20" s="1"/>
  <c r="O93" i="20" a="1"/>
  <c r="O93" i="20" s="1"/>
  <c r="S93" i="20" a="1"/>
  <c r="S93" i="20" s="1"/>
  <c r="AE93" i="20" a="1"/>
  <c r="AE93" i="20" s="1"/>
  <c r="AF93" i="20" a="1"/>
  <c r="AF93" i="20" s="1"/>
  <c r="K93" i="20" a="1"/>
  <c r="K93" i="20" s="1"/>
  <c r="Z93" i="20" a="1"/>
  <c r="Z93" i="20" s="1"/>
  <c r="AC92" i="20" a="1"/>
  <c r="AC92" i="20" s="1"/>
  <c r="AH92" i="20" a="1"/>
  <c r="AH92" i="20" s="1"/>
  <c r="Y92" i="20" a="1"/>
  <c r="Y92" i="20" s="1"/>
  <c r="T92" i="20" a="1"/>
  <c r="T92" i="20" s="1"/>
  <c r="Z92" i="20" a="1"/>
  <c r="Z92" i="20" s="1"/>
  <c r="S92" i="20" a="1"/>
  <c r="S92" i="20" s="1"/>
  <c r="AJ92" i="20" a="1"/>
  <c r="AJ92" i="20" s="1"/>
  <c r="W92" i="20" a="1"/>
  <c r="W92" i="20" s="1"/>
  <c r="E88" i="21"/>
  <c r="D88" i="21"/>
  <c r="E92" i="20"/>
  <c r="A90" i="21"/>
  <c r="K91" i="21"/>
  <c r="L91" i="21" s="1"/>
  <c r="F89" i="21"/>
  <c r="C89" i="21"/>
  <c r="G89" i="21"/>
  <c r="B89" i="21"/>
  <c r="D89" i="21" s="1"/>
  <c r="H89" i="21"/>
  <c r="E89" i="21"/>
  <c r="I89" i="21"/>
  <c r="I92" i="20"/>
  <c r="B93" i="20"/>
  <c r="C93" i="20"/>
  <c r="G93" i="20"/>
  <c r="F93" i="20"/>
  <c r="AQ95" i="20"/>
  <c r="AR95" i="20" s="1"/>
  <c r="A94" i="20"/>
  <c r="H92" i="20"/>
  <c r="G92" i="20"/>
  <c r="D92" i="20"/>
  <c r="F92" i="20"/>
  <c r="M94" i="20" l="1" a="1"/>
  <c r="M94" i="20" s="1"/>
  <c r="S94" i="20" a="1"/>
  <c r="S94" i="20" s="1"/>
  <c r="Y94" i="20" a="1"/>
  <c r="Y94" i="20" s="1"/>
  <c r="AE94" i="20" a="1"/>
  <c r="AE94" i="20" s="1"/>
  <c r="AK94" i="20" a="1"/>
  <c r="AK94" i="20" s="1"/>
  <c r="O94" i="20" a="1"/>
  <c r="O94" i="20" s="1"/>
  <c r="U94" i="20" a="1"/>
  <c r="U94" i="20" s="1"/>
  <c r="AA94" i="20" a="1"/>
  <c r="AA94" i="20" s="1"/>
  <c r="AG94" i="20" a="1"/>
  <c r="AG94" i="20" s="1"/>
  <c r="AM94" i="20" a="1"/>
  <c r="AM94" i="20" s="1"/>
  <c r="L94" i="20" a="1"/>
  <c r="L94" i="20" s="1"/>
  <c r="AJ94" i="20" a="1"/>
  <c r="AJ94" i="20" s="1"/>
  <c r="AC94" i="20" a="1"/>
  <c r="AC94" i="20" s="1"/>
  <c r="P94" i="20" a="1"/>
  <c r="P94" i="20" s="1"/>
  <c r="AF94" i="20" a="1"/>
  <c r="AF94" i="20" s="1"/>
  <c r="AN94" i="20" a="1"/>
  <c r="AN94" i="20" s="1"/>
  <c r="AL94" i="20" a="1"/>
  <c r="AL94" i="20" s="1"/>
  <c r="V94" i="20" a="1"/>
  <c r="V94" i="20" s="1"/>
  <c r="AP94" i="20" a="1"/>
  <c r="AP94" i="20" s="1"/>
  <c r="K94" i="20" a="1"/>
  <c r="K94" i="20" s="1"/>
  <c r="W94" i="20" a="1"/>
  <c r="W94" i="20" s="1"/>
  <c r="AH94" i="20" a="1"/>
  <c r="AH94" i="20" s="1"/>
  <c r="Z94" i="20" a="1"/>
  <c r="Z94" i="20" s="1"/>
  <c r="X94" i="20" a="1"/>
  <c r="X94" i="20" s="1"/>
  <c r="AO94" i="20" a="1"/>
  <c r="AO94" i="20" s="1"/>
  <c r="J94" i="20" a="1"/>
  <c r="J94" i="20" s="1"/>
  <c r="Q94" i="20" a="1"/>
  <c r="Q94" i="20" s="1"/>
  <c r="T94" i="20" a="1"/>
  <c r="T94" i="20" s="1"/>
  <c r="AB94" i="20" a="1"/>
  <c r="AB94" i="20" s="1"/>
  <c r="AD94" i="20" a="1"/>
  <c r="AD94" i="20" s="1"/>
  <c r="N94" i="20" a="1"/>
  <c r="N94" i="20" s="1"/>
  <c r="R94" i="20" a="1"/>
  <c r="R94" i="20" s="1"/>
  <c r="AI94" i="20" a="1"/>
  <c r="AI94" i="20" s="1"/>
  <c r="H93" i="20"/>
  <c r="E93" i="20"/>
  <c r="D93" i="20"/>
  <c r="I93" i="20"/>
  <c r="A91" i="21"/>
  <c r="K92" i="21"/>
  <c r="L92" i="21" s="1"/>
  <c r="C90" i="21"/>
  <c r="F90" i="21"/>
  <c r="B90" i="21"/>
  <c r="E90" i="21" s="1"/>
  <c r="H90" i="21"/>
  <c r="G90" i="21"/>
  <c r="I94" i="20"/>
  <c r="C94" i="20"/>
  <c r="B94" i="20"/>
  <c r="A95" i="20"/>
  <c r="AQ96" i="20"/>
  <c r="AR96" i="20" s="1"/>
  <c r="D94" i="20" l="1"/>
  <c r="G94" i="20"/>
  <c r="F94" i="20"/>
  <c r="H94" i="20"/>
  <c r="E94" i="20"/>
  <c r="D90" i="21"/>
  <c r="A92" i="21"/>
  <c r="K93" i="21"/>
  <c r="L93" i="21" s="1"/>
  <c r="I90" i="21"/>
  <c r="H91" i="21"/>
  <c r="B91" i="21"/>
  <c r="I91" i="21" s="1"/>
  <c r="G91" i="21"/>
  <c r="F91" i="21"/>
  <c r="C91" i="21"/>
  <c r="A96" i="20"/>
  <c r="AQ97" i="20"/>
  <c r="AR97" i="20" s="1"/>
  <c r="C95" i="20"/>
  <c r="B95" i="20"/>
  <c r="L95" i="20" l="1" a="1"/>
  <c r="L95" i="20" s="1"/>
  <c r="AB95" i="20" a="1"/>
  <c r="AB95" i="20" s="1"/>
  <c r="V95" i="20" a="1"/>
  <c r="V95" i="20" s="1"/>
  <c r="AK95" i="20" a="1"/>
  <c r="AK95" i="20" s="1"/>
  <c r="AO95" i="20" a="1"/>
  <c r="AO95" i="20" s="1"/>
  <c r="Q95" i="20" a="1"/>
  <c r="Q95" i="20" s="1"/>
  <c r="W95" i="20" a="1"/>
  <c r="W95" i="20" s="1"/>
  <c r="AM95" i="20" a="1"/>
  <c r="AM95" i="20" s="1"/>
  <c r="T95" i="20" a="1"/>
  <c r="T95" i="20" s="1"/>
  <c r="J95" i="20" a="1"/>
  <c r="J95" i="20" s="1"/>
  <c r="N95" i="20" a="1"/>
  <c r="N95" i="20" s="1"/>
  <c r="O95" i="20" a="1"/>
  <c r="O95" i="20" s="1"/>
  <c r="AG95" i="20" a="1"/>
  <c r="AG95" i="20" s="1"/>
  <c r="Z95" i="20" a="1"/>
  <c r="Z95" i="20" s="1"/>
  <c r="S95" i="20" a="1"/>
  <c r="S95" i="20" s="1"/>
  <c r="AE95" i="20" a="1"/>
  <c r="AE95" i="20" s="1"/>
  <c r="AN95" i="20" a="1"/>
  <c r="AN95" i="20" s="1"/>
  <c r="AA95" i="20" a="1"/>
  <c r="AA95" i="20" s="1"/>
  <c r="K95" i="20" a="1"/>
  <c r="K95" i="20" s="1"/>
  <c r="Y95" i="20" a="1"/>
  <c r="Y95" i="20" s="1"/>
  <c r="AP95" i="20" a="1"/>
  <c r="AP95" i="20" s="1"/>
  <c r="AF95" i="20" a="1"/>
  <c r="AF95" i="20" s="1"/>
  <c r="AJ95" i="20" a="1"/>
  <c r="AJ95" i="20" s="1"/>
  <c r="AL95" i="20" a="1"/>
  <c r="AL95" i="20" s="1"/>
  <c r="AD95" i="20" a="1"/>
  <c r="AD95" i="20" s="1"/>
  <c r="P95" i="20" a="1"/>
  <c r="P95" i="20" s="1"/>
  <c r="AC95" i="20" a="1"/>
  <c r="AC95" i="20" s="1"/>
  <c r="X95" i="20" a="1"/>
  <c r="X95" i="20" s="1"/>
  <c r="M95" i="20" a="1"/>
  <c r="M95" i="20" s="1"/>
  <c r="AH95" i="20" a="1"/>
  <c r="AH95" i="20" s="1"/>
  <c r="R95" i="20" a="1"/>
  <c r="R95" i="20" s="1"/>
  <c r="AI95" i="20" a="1"/>
  <c r="AI95" i="20" s="1"/>
  <c r="U95" i="20" a="1"/>
  <c r="U95" i="20" s="1"/>
  <c r="D91" i="21"/>
  <c r="E91" i="21"/>
  <c r="H95" i="20"/>
  <c r="F95" i="20"/>
  <c r="I95" i="20"/>
  <c r="E95" i="20"/>
  <c r="K94" i="21"/>
  <c r="L94" i="21" s="1"/>
  <c r="A93" i="21"/>
  <c r="G95" i="20"/>
  <c r="B92" i="21"/>
  <c r="D92" i="21" s="1"/>
  <c r="F92" i="21"/>
  <c r="C92" i="21"/>
  <c r="G92" i="21"/>
  <c r="H92" i="21"/>
  <c r="AQ98" i="20"/>
  <c r="AR98" i="20" s="1"/>
  <c r="A97" i="20"/>
  <c r="D95" i="20"/>
  <c r="C96" i="20"/>
  <c r="B96" i="20"/>
  <c r="O96" i="20" l="1" a="1"/>
  <c r="O96" i="20" s="1"/>
  <c r="W96" i="20" a="1"/>
  <c r="W96" i="20" s="1"/>
  <c r="X96" i="20" a="1"/>
  <c r="X96" i="20" s="1"/>
  <c r="AP96" i="20" a="1"/>
  <c r="AP96" i="20" s="1"/>
  <c r="Q96" i="20" a="1"/>
  <c r="Q96" i="20" s="1"/>
  <c r="K96" i="20" a="1"/>
  <c r="K96" i="20" s="1"/>
  <c r="J96" i="20" a="1"/>
  <c r="J96" i="20" s="1"/>
  <c r="AN96" i="20" a="1"/>
  <c r="AN96" i="20" s="1"/>
  <c r="AO96" i="20" a="1"/>
  <c r="AO96" i="20" s="1"/>
  <c r="AJ96" i="20" a="1"/>
  <c r="AJ96" i="20" s="1"/>
  <c r="AE96" i="20" a="1"/>
  <c r="AE96" i="20" s="1"/>
  <c r="AL96" i="20" a="1"/>
  <c r="AL96" i="20" s="1"/>
  <c r="AC96" i="20" a="1"/>
  <c r="AC96" i="20" s="1"/>
  <c r="R96" i="20" a="1"/>
  <c r="R96" i="20" s="1"/>
  <c r="AB96" i="20" a="1"/>
  <c r="AB96" i="20" s="1"/>
  <c r="V96" i="20" a="1"/>
  <c r="V96" i="20" s="1"/>
  <c r="M96" i="20" a="1"/>
  <c r="M96" i="20" s="1"/>
  <c r="S96" i="20" a="1"/>
  <c r="S96" i="20" s="1"/>
  <c r="N96" i="20" a="1"/>
  <c r="N96" i="20" s="1"/>
  <c r="L96" i="20" a="1"/>
  <c r="L96" i="20" s="1"/>
  <c r="AI96" i="20" a="1"/>
  <c r="AI96" i="20" s="1"/>
  <c r="AM96" i="20" a="1"/>
  <c r="AM96" i="20" s="1"/>
  <c r="AK96" i="20" a="1"/>
  <c r="AK96" i="20" s="1"/>
  <c r="Z96" i="20" a="1"/>
  <c r="Z96" i="20" s="1"/>
  <c r="AG96" i="20" a="1"/>
  <c r="AG96" i="20" s="1"/>
  <c r="T96" i="20" a="1"/>
  <c r="T96" i="20" s="1"/>
  <c r="P96" i="20" a="1"/>
  <c r="P96" i="20" s="1"/>
  <c r="AA96" i="20" a="1"/>
  <c r="AA96" i="20" s="1"/>
  <c r="AF96" i="20" a="1"/>
  <c r="AF96" i="20" s="1"/>
  <c r="AH96" i="20" a="1"/>
  <c r="AH96" i="20" s="1"/>
  <c r="U96" i="20" a="1"/>
  <c r="U96" i="20" s="1"/>
  <c r="AD96" i="20" a="1"/>
  <c r="AD96" i="20" s="1"/>
  <c r="Y96" i="20" a="1"/>
  <c r="Y96" i="20" s="1"/>
  <c r="I92" i="21"/>
  <c r="E92" i="21"/>
  <c r="H96" i="20"/>
  <c r="I96" i="20"/>
  <c r="D96" i="20"/>
  <c r="F96" i="20"/>
  <c r="G93" i="21"/>
  <c r="C93" i="21"/>
  <c r="H93" i="21"/>
  <c r="F93" i="21"/>
  <c r="B93" i="21"/>
  <c r="I93" i="21" s="1"/>
  <c r="G96" i="20"/>
  <c r="K95" i="21"/>
  <c r="L95" i="21" s="1"/>
  <c r="A94" i="21"/>
  <c r="E96" i="20"/>
  <c r="C97" i="20"/>
  <c r="B97" i="20"/>
  <c r="AQ99" i="20"/>
  <c r="AR99" i="20" s="1"/>
  <c r="A98" i="20"/>
  <c r="AD97" i="20" l="1" a="1"/>
  <c r="AD97" i="20" s="1"/>
  <c r="O98" i="20" a="1"/>
  <c r="O98" i="20" s="1"/>
  <c r="U98" i="20" a="1"/>
  <c r="U98" i="20" s="1"/>
  <c r="AA98" i="20" a="1"/>
  <c r="AA98" i="20" s="1"/>
  <c r="AG98" i="20" a="1"/>
  <c r="AG98" i="20" s="1"/>
  <c r="AM98" i="20" a="1"/>
  <c r="AM98" i="20" s="1"/>
  <c r="M98" i="20" a="1"/>
  <c r="M98" i="20" s="1"/>
  <c r="T98" i="20" a="1"/>
  <c r="T98" i="20" s="1"/>
  <c r="AB98" i="20" a="1"/>
  <c r="AB98" i="20" s="1"/>
  <c r="AI98" i="20" a="1"/>
  <c r="AI98" i="20" s="1"/>
  <c r="AP98" i="20" a="1"/>
  <c r="AP98" i="20" s="1"/>
  <c r="P98" i="20" a="1"/>
  <c r="P98" i="20" s="1"/>
  <c r="W98" i="20" a="1"/>
  <c r="W98" i="20" s="1"/>
  <c r="AD98" i="20" a="1"/>
  <c r="AD98" i="20" s="1"/>
  <c r="K98" i="20" a="1"/>
  <c r="K98" i="20" s="1"/>
  <c r="AE98" i="20" a="1"/>
  <c r="AE98" i="20" s="1"/>
  <c r="AN98" i="20" a="1"/>
  <c r="AN98" i="20" s="1"/>
  <c r="Q98" i="20" a="1"/>
  <c r="Q98" i="20" s="1"/>
  <c r="Z98" i="20" a="1"/>
  <c r="Z98" i="20" s="1"/>
  <c r="AJ98" i="20" a="1"/>
  <c r="AJ98" i="20" s="1"/>
  <c r="AK98" i="20" a="1"/>
  <c r="AK98" i="20" s="1"/>
  <c r="X98" i="20" a="1"/>
  <c r="X98" i="20" s="1"/>
  <c r="AO98" i="20" a="1"/>
  <c r="AO98" i="20" s="1"/>
  <c r="J98" i="20" a="1"/>
  <c r="J98" i="20" s="1"/>
  <c r="Y98" i="20" a="1"/>
  <c r="Y98" i="20" s="1"/>
  <c r="L98" i="20" a="1"/>
  <c r="L98" i="20" s="1"/>
  <c r="AH98" i="20" a="1"/>
  <c r="AH98" i="20" s="1"/>
  <c r="R98" i="20" a="1"/>
  <c r="R98" i="20" s="1"/>
  <c r="V98" i="20" a="1"/>
  <c r="V98" i="20" s="1"/>
  <c r="AC98" i="20" a="1"/>
  <c r="AC98" i="20" s="1"/>
  <c r="AL98" i="20" a="1"/>
  <c r="AL98" i="20" s="1"/>
  <c r="N98" i="20" a="1"/>
  <c r="N98" i="20" s="1"/>
  <c r="S98" i="20" a="1"/>
  <c r="S98" i="20" s="1"/>
  <c r="AF98" i="20" a="1"/>
  <c r="AF98" i="20" s="1"/>
  <c r="N97" i="20" a="1"/>
  <c r="N97" i="20" s="1"/>
  <c r="O97" i="20" a="1"/>
  <c r="O97" i="20" s="1"/>
  <c r="X97" i="20" a="1"/>
  <c r="X97" i="20" s="1"/>
  <c r="AG97" i="20" a="1"/>
  <c r="AG97" i="20" s="1"/>
  <c r="AA97" i="20" a="1"/>
  <c r="AA97" i="20" s="1"/>
  <c r="R97" i="20" a="1"/>
  <c r="R97" i="20" s="1"/>
  <c r="AB97" i="20" a="1"/>
  <c r="AB97" i="20" s="1"/>
  <c r="T97" i="20" a="1"/>
  <c r="T97" i="20" s="1"/>
  <c r="L97" i="20" a="1"/>
  <c r="L97" i="20" s="1"/>
  <c r="Z97" i="20" a="1"/>
  <c r="Z97" i="20" s="1"/>
  <c r="M97" i="20" a="1"/>
  <c r="M97" i="20" s="1"/>
  <c r="AH97" i="20" a="1"/>
  <c r="AH97" i="20" s="1"/>
  <c r="AM97" i="20" a="1"/>
  <c r="AM97" i="20" s="1"/>
  <c r="AO97" i="20" a="1"/>
  <c r="AO97" i="20" s="1"/>
  <c r="AF97" i="20" a="1"/>
  <c r="AF97" i="20" s="1"/>
  <c r="AC97" i="20" a="1"/>
  <c r="AC97" i="20" s="1"/>
  <c r="AE97" i="20" a="1"/>
  <c r="AE97" i="20" s="1"/>
  <c r="Y97" i="20" a="1"/>
  <c r="Y97" i="20" s="1"/>
  <c r="P97" i="20" a="1"/>
  <c r="P97" i="20" s="1"/>
  <c r="V97" i="20" a="1"/>
  <c r="V97" i="20" s="1"/>
  <c r="Q97" i="20" a="1"/>
  <c r="Q97" i="20" s="1"/>
  <c r="W97" i="20" a="1"/>
  <c r="W97" i="20" s="1"/>
  <c r="U97" i="20" a="1"/>
  <c r="U97" i="20" s="1"/>
  <c r="J97" i="20" a="1"/>
  <c r="J97" i="20" s="1"/>
  <c r="S97" i="20" a="1"/>
  <c r="S97" i="20" s="1"/>
  <c r="AN97" i="20" a="1"/>
  <c r="AN97" i="20" s="1"/>
  <c r="AP97" i="20" a="1"/>
  <c r="AP97" i="20" s="1"/>
  <c r="AL97" i="20" a="1"/>
  <c r="AL97" i="20" s="1"/>
  <c r="K97" i="20" a="1"/>
  <c r="K97" i="20" s="1"/>
  <c r="AJ97" i="20" a="1"/>
  <c r="AJ97" i="20" s="1"/>
  <c r="AK97" i="20" a="1"/>
  <c r="AK97" i="20" s="1"/>
  <c r="AI97" i="20" a="1"/>
  <c r="AI97" i="20" s="1"/>
  <c r="E93" i="21"/>
  <c r="D93" i="21"/>
  <c r="C94" i="21"/>
  <c r="H94" i="21"/>
  <c r="F94" i="21"/>
  <c r="B94" i="21"/>
  <c r="E94" i="21" s="1"/>
  <c r="G94" i="21"/>
  <c r="K96" i="21"/>
  <c r="L96" i="21" s="1"/>
  <c r="A95" i="21"/>
  <c r="D97" i="20"/>
  <c r="AQ100" i="20"/>
  <c r="AR100" i="20" s="1"/>
  <c r="A99" i="20"/>
  <c r="I97" i="20"/>
  <c r="H97" i="20"/>
  <c r="F97" i="20"/>
  <c r="E97" i="20"/>
  <c r="C98" i="20"/>
  <c r="B98" i="20"/>
  <c r="D98" i="20"/>
  <c r="I98" i="20"/>
  <c r="G97" i="20"/>
  <c r="L99" i="20" l="1" a="1"/>
  <c r="L99" i="20" s="1"/>
  <c r="R99" i="20" a="1"/>
  <c r="R99" i="20" s="1"/>
  <c r="X99" i="20" a="1"/>
  <c r="X99" i="20" s="1"/>
  <c r="AD99" i="20" a="1"/>
  <c r="AD99" i="20" s="1"/>
  <c r="AJ99" i="20" a="1"/>
  <c r="AJ99" i="20" s="1"/>
  <c r="AP99" i="20" a="1"/>
  <c r="AP99" i="20" s="1"/>
  <c r="P99" i="20" a="1"/>
  <c r="P99" i="20" s="1"/>
  <c r="W99" i="20" a="1"/>
  <c r="W99" i="20" s="1"/>
  <c r="AE99" i="20" a="1"/>
  <c r="AE99" i="20" s="1"/>
  <c r="AL99" i="20" a="1"/>
  <c r="AL99" i="20" s="1"/>
  <c r="S99" i="20" a="1"/>
  <c r="S99" i="20" s="1"/>
  <c r="Z99" i="20" a="1"/>
  <c r="Z99" i="20" s="1"/>
  <c r="AG99" i="20" a="1"/>
  <c r="AG99" i="20" s="1"/>
  <c r="Q99" i="20" a="1"/>
  <c r="Q99" i="20" s="1"/>
  <c r="U99" i="20" a="1"/>
  <c r="U99" i="20" s="1"/>
  <c r="AO99" i="20" a="1"/>
  <c r="AO99" i="20" s="1"/>
  <c r="M99" i="20" a="1"/>
  <c r="M99" i="20" s="1"/>
  <c r="V99" i="20" a="1"/>
  <c r="V99" i="20" s="1"/>
  <c r="AF99" i="20" a="1"/>
  <c r="AF99" i="20" s="1"/>
  <c r="O99" i="20" a="1"/>
  <c r="O99" i="20" s="1"/>
  <c r="AI99" i="20" a="1"/>
  <c r="AI99" i="20" s="1"/>
  <c r="Y99" i="20" a="1"/>
  <c r="Y99" i="20" s="1"/>
  <c r="AN99" i="20" a="1"/>
  <c r="AN99" i="20" s="1"/>
  <c r="J99" i="20" a="1"/>
  <c r="J99" i="20" s="1"/>
  <c r="AA99" i="20" a="1"/>
  <c r="AA99" i="20" s="1"/>
  <c r="AB99" i="20" a="1"/>
  <c r="AB99" i="20" s="1"/>
  <c r="AH99" i="20" a="1"/>
  <c r="AH99" i="20" s="1"/>
  <c r="T99" i="20" a="1"/>
  <c r="T99" i="20" s="1"/>
  <c r="K99" i="20" a="1"/>
  <c r="K99" i="20" s="1"/>
  <c r="AC99" i="20" a="1"/>
  <c r="AC99" i="20" s="1"/>
  <c r="AK99" i="20" a="1"/>
  <c r="AK99" i="20" s="1"/>
  <c r="AM99" i="20" a="1"/>
  <c r="AM99" i="20" s="1"/>
  <c r="N99" i="20" a="1"/>
  <c r="N99" i="20" s="1"/>
  <c r="E98" i="20"/>
  <c r="G98" i="20"/>
  <c r="F98" i="20"/>
  <c r="H98" i="20"/>
  <c r="D94" i="21"/>
  <c r="I94" i="21"/>
  <c r="A96" i="21"/>
  <c r="K97" i="21"/>
  <c r="L97" i="21" s="1"/>
  <c r="C95" i="21"/>
  <c r="G95" i="21"/>
  <c r="H95" i="21"/>
  <c r="B95" i="21"/>
  <c r="I95" i="21" s="1"/>
  <c r="F95" i="21"/>
  <c r="C99" i="20"/>
  <c r="B99" i="20"/>
  <c r="AQ101" i="20"/>
  <c r="AR101" i="20" s="1"/>
  <c r="A100" i="20"/>
  <c r="F99" i="20" l="1"/>
  <c r="G99" i="20"/>
  <c r="D99" i="20"/>
  <c r="E99" i="20"/>
  <c r="I99" i="20"/>
  <c r="H99" i="20"/>
  <c r="E95" i="21"/>
  <c r="K98" i="21"/>
  <c r="L98" i="21" s="1"/>
  <c r="A97" i="21"/>
  <c r="D95" i="21"/>
  <c r="B96" i="21"/>
  <c r="I96" i="21" s="1"/>
  <c r="E96" i="21"/>
  <c r="C96" i="21"/>
  <c r="F96" i="21"/>
  <c r="H96" i="21"/>
  <c r="G96" i="21"/>
  <c r="C100" i="20"/>
  <c r="B100" i="20"/>
  <c r="A101" i="20"/>
  <c r="AQ102" i="20"/>
  <c r="AR102" i="20" s="1"/>
  <c r="O100" i="20" l="1" a="1"/>
  <c r="O100" i="20" s="1"/>
  <c r="K100" i="20" a="1"/>
  <c r="K100" i="20" s="1"/>
  <c r="AN100" i="20" a="1"/>
  <c r="AN100" i="20" s="1"/>
  <c r="AL100" i="20" a="1"/>
  <c r="AL100" i="20" s="1"/>
  <c r="R100" i="20" a="1"/>
  <c r="R100" i="20" s="1"/>
  <c r="AF100" i="20" a="1"/>
  <c r="AF100" i="20" s="1"/>
  <c r="AB100" i="20" a="1"/>
  <c r="AB100" i="20" s="1"/>
  <c r="AI100" i="20" a="1"/>
  <c r="AI100" i="20" s="1"/>
  <c r="AC100" i="20" a="1"/>
  <c r="AC100" i="20" s="1"/>
  <c r="V100" i="20" a="1"/>
  <c r="V100" i="20" s="1"/>
  <c r="AE100" i="20" a="1"/>
  <c r="AE100" i="20" s="1"/>
  <c r="AO100" i="20" a="1"/>
  <c r="AO100" i="20" s="1"/>
  <c r="AD100" i="20" a="1"/>
  <c r="AD100" i="20" s="1"/>
  <c r="W100" i="20" a="1"/>
  <c r="W100" i="20" s="1"/>
  <c r="T100" i="20" a="1"/>
  <c r="T100" i="20" s="1"/>
  <c r="AH100" i="20" a="1"/>
  <c r="AH100" i="20" s="1"/>
  <c r="AP100" i="20" a="1"/>
  <c r="AP100" i="20" s="1"/>
  <c r="L100" i="20" a="1"/>
  <c r="L100" i="20" s="1"/>
  <c r="AM100" i="20" a="1"/>
  <c r="AM100" i="20" s="1"/>
  <c r="X100" i="20" a="1"/>
  <c r="X100" i="20" s="1"/>
  <c r="Z100" i="20" a="1"/>
  <c r="Z100" i="20" s="1"/>
  <c r="S100" i="20" a="1"/>
  <c r="S100" i="20" s="1"/>
  <c r="N100" i="20" a="1"/>
  <c r="N100" i="20" s="1"/>
  <c r="AK100" i="20" a="1"/>
  <c r="AK100" i="20" s="1"/>
  <c r="AG100" i="20" a="1"/>
  <c r="AG100" i="20" s="1"/>
  <c r="P100" i="20" a="1"/>
  <c r="P100" i="20" s="1"/>
  <c r="Q100" i="20" a="1"/>
  <c r="Q100" i="20" s="1"/>
  <c r="AA100" i="20" a="1"/>
  <c r="AA100" i="20" s="1"/>
  <c r="Y100" i="20" a="1"/>
  <c r="Y100" i="20" s="1"/>
  <c r="M100" i="20" a="1"/>
  <c r="M100" i="20" s="1"/>
  <c r="U100" i="20" a="1"/>
  <c r="U100" i="20" s="1"/>
  <c r="J100" i="20" a="1"/>
  <c r="J100" i="20" s="1"/>
  <c r="AJ100" i="20" a="1"/>
  <c r="AJ100" i="20" s="1"/>
  <c r="D96" i="21"/>
  <c r="G100" i="20"/>
  <c r="I100" i="20"/>
  <c r="E100" i="20"/>
  <c r="H100" i="20"/>
  <c r="C97" i="21"/>
  <c r="F97" i="21"/>
  <c r="B97" i="21"/>
  <c r="D97" i="21" s="1"/>
  <c r="H97" i="21"/>
  <c r="G97" i="21"/>
  <c r="D100" i="20"/>
  <c r="A98" i="21"/>
  <c r="K99" i="21"/>
  <c r="L99" i="21" s="1"/>
  <c r="A102" i="20"/>
  <c r="AQ103" i="20"/>
  <c r="AR103" i="20" s="1"/>
  <c r="C101" i="20"/>
  <c r="B101" i="20"/>
  <c r="F100" i="20"/>
  <c r="O101" i="20" l="1" a="1"/>
  <c r="O101" i="20" s="1"/>
  <c r="AE101" i="20" a="1"/>
  <c r="AE101" i="20" s="1"/>
  <c r="J101" i="20" a="1"/>
  <c r="J101" i="20" s="1"/>
  <c r="AC101" i="20" a="1"/>
  <c r="AC101" i="20" s="1"/>
  <c r="T101" i="20" a="1"/>
  <c r="T101" i="20" s="1"/>
  <c r="Q101" i="20" a="1"/>
  <c r="Q101" i="20" s="1"/>
  <c r="V101" i="20" a="1"/>
  <c r="V101" i="20" s="1"/>
  <c r="AI101" i="20" a="1"/>
  <c r="AI101" i="20" s="1"/>
  <c r="N101" i="20" a="1"/>
  <c r="N101" i="20" s="1"/>
  <c r="AP101" i="20" a="1"/>
  <c r="AP101" i="20" s="1"/>
  <c r="U101" i="20" a="1"/>
  <c r="U101" i="20" s="1"/>
  <c r="AG101" i="20" a="1"/>
  <c r="AG101" i="20" s="1"/>
  <c r="AJ101" i="20" a="1"/>
  <c r="AJ101" i="20" s="1"/>
  <c r="AL101" i="20" a="1"/>
  <c r="AL101" i="20" s="1"/>
  <c r="W101" i="20" a="1"/>
  <c r="W101" i="20" s="1"/>
  <c r="AD101" i="20" a="1"/>
  <c r="AD101" i="20" s="1"/>
  <c r="S101" i="20" a="1"/>
  <c r="S101" i="20" s="1"/>
  <c r="M101" i="20" a="1"/>
  <c r="M101" i="20" s="1"/>
  <c r="X101" i="20" a="1"/>
  <c r="X101" i="20" s="1"/>
  <c r="P101" i="20" a="1"/>
  <c r="P101" i="20" s="1"/>
  <c r="AA101" i="20" a="1"/>
  <c r="AA101" i="20" s="1"/>
  <c r="R101" i="20" a="1"/>
  <c r="R101" i="20" s="1"/>
  <c r="AH101" i="20" a="1"/>
  <c r="AH101" i="20" s="1"/>
  <c r="AM101" i="20" a="1"/>
  <c r="AM101" i="20" s="1"/>
  <c r="L101" i="20" a="1"/>
  <c r="L101" i="20" s="1"/>
  <c r="AB101" i="20" a="1"/>
  <c r="AB101" i="20" s="1"/>
  <c r="AF101" i="20" a="1"/>
  <c r="AF101" i="20" s="1"/>
  <c r="K101" i="20" a="1"/>
  <c r="K101" i="20" s="1"/>
  <c r="Y101" i="20" a="1"/>
  <c r="Y101" i="20" s="1"/>
  <c r="AN101" i="20" a="1"/>
  <c r="AN101" i="20" s="1"/>
  <c r="AK101" i="20" a="1"/>
  <c r="AK101" i="20" s="1"/>
  <c r="AO101" i="20" a="1"/>
  <c r="AO101" i="20" s="1"/>
  <c r="Z101" i="20" a="1"/>
  <c r="Z101" i="20" s="1"/>
  <c r="E97" i="21"/>
  <c r="I97" i="21"/>
  <c r="D101" i="20"/>
  <c r="A99" i="21"/>
  <c r="K100" i="21"/>
  <c r="L100" i="21" s="1"/>
  <c r="B98" i="21"/>
  <c r="I98" i="21" s="1"/>
  <c r="C98" i="21"/>
  <c r="H98" i="21"/>
  <c r="F98" i="21"/>
  <c r="G98" i="21"/>
  <c r="G101" i="20"/>
  <c r="I101" i="20"/>
  <c r="H101" i="20"/>
  <c r="F101" i="20"/>
  <c r="A103" i="20"/>
  <c r="AQ104" i="20"/>
  <c r="AR104" i="20" s="1"/>
  <c r="E101" i="20"/>
  <c r="C102" i="20"/>
  <c r="B102" i="20"/>
  <c r="AF102" i="20" l="1" a="1"/>
  <c r="AF102" i="20" s="1"/>
  <c r="AO102" i="20" a="1"/>
  <c r="AO102" i="20" s="1"/>
  <c r="Q102" i="20" a="1"/>
  <c r="Q102" i="20" s="1"/>
  <c r="Y102" i="20" a="1"/>
  <c r="Y102" i="20" s="1"/>
  <c r="AD102" i="20" a="1"/>
  <c r="AD102" i="20" s="1"/>
  <c r="M102" i="20" a="1"/>
  <c r="M102" i="20" s="1"/>
  <c r="AM102" i="20" a="1"/>
  <c r="AM102" i="20" s="1"/>
  <c r="P102" i="20" a="1"/>
  <c r="P102" i="20" s="1"/>
  <c r="AL102" i="20" a="1"/>
  <c r="AL102" i="20" s="1"/>
  <c r="AG102" i="20" a="1"/>
  <c r="AG102" i="20" s="1"/>
  <c r="N102" i="20" a="1"/>
  <c r="N102" i="20" s="1"/>
  <c r="AC102" i="20" a="1"/>
  <c r="AC102" i="20" s="1"/>
  <c r="AA102" i="20" a="1"/>
  <c r="AA102" i="20" s="1"/>
  <c r="L103" i="20" a="1"/>
  <c r="L103" i="20" s="1"/>
  <c r="R103" i="20" a="1"/>
  <c r="R103" i="20" s="1"/>
  <c r="X103" i="20" a="1"/>
  <c r="X103" i="20" s="1"/>
  <c r="AB103" i="20" a="1"/>
  <c r="AB103" i="20" s="1"/>
  <c r="AO103" i="20" a="1"/>
  <c r="AO103" i="20" s="1"/>
  <c r="N103" i="20" a="1"/>
  <c r="N103" i="20" s="1"/>
  <c r="U103" i="20" a="1"/>
  <c r="U103" i="20" s="1"/>
  <c r="AI103" i="20" a="1"/>
  <c r="AI103" i="20" s="1"/>
  <c r="AK103" i="20" a="1"/>
  <c r="AK103" i="20" s="1"/>
  <c r="AP103" i="20" a="1"/>
  <c r="AP103" i="20" s="1"/>
  <c r="O103" i="20" a="1"/>
  <c r="O103" i="20" s="1"/>
  <c r="Y103" i="20" a="1"/>
  <c r="Y103" i="20" s="1"/>
  <c r="AG103" i="20" a="1"/>
  <c r="AG103" i="20" s="1"/>
  <c r="AA103" i="20" a="1"/>
  <c r="AA103" i="20" s="1"/>
  <c r="K103" i="20" a="1"/>
  <c r="K103" i="20" s="1"/>
  <c r="W103" i="20" a="1"/>
  <c r="W103" i="20" s="1"/>
  <c r="AJ103" i="20" a="1"/>
  <c r="AJ103" i="20" s="1"/>
  <c r="Z103" i="20" a="1"/>
  <c r="Z103" i="20" s="1"/>
  <c r="AL103" i="20" a="1"/>
  <c r="AL103" i="20" s="1"/>
  <c r="AD103" i="20" a="1"/>
  <c r="AD103" i="20" s="1"/>
  <c r="T103" i="20" a="1"/>
  <c r="T103" i="20" s="1"/>
  <c r="AM103" i="20" a="1"/>
  <c r="AM103" i="20" s="1"/>
  <c r="J103" i="20" a="1"/>
  <c r="J103" i="20" s="1"/>
  <c r="AE103" i="20" a="1"/>
  <c r="AE103" i="20" s="1"/>
  <c r="AC103" i="20" a="1"/>
  <c r="AC103" i="20" s="1"/>
  <c r="AH103" i="20" a="1"/>
  <c r="AH103" i="20" s="1"/>
  <c r="M103" i="20" a="1"/>
  <c r="M103" i="20" s="1"/>
  <c r="AN103" i="20" a="1"/>
  <c r="AN103" i="20" s="1"/>
  <c r="P103" i="20" a="1"/>
  <c r="P103" i="20" s="1"/>
  <c r="Q103" i="20" a="1"/>
  <c r="Q103" i="20" s="1"/>
  <c r="S103" i="20" a="1"/>
  <c r="S103" i="20" s="1"/>
  <c r="V103" i="20" a="1"/>
  <c r="V103" i="20" s="1"/>
  <c r="AF103" i="20" a="1"/>
  <c r="AF103" i="20" s="1"/>
  <c r="Z102" i="20" a="1"/>
  <c r="Z102" i="20" s="1"/>
  <c r="S102" i="20" a="1"/>
  <c r="S102" i="20" s="1"/>
  <c r="U102" i="20" a="1"/>
  <c r="U102" i="20" s="1"/>
  <c r="V102" i="20" a="1"/>
  <c r="V102" i="20" s="1"/>
  <c r="AP102" i="20" a="1"/>
  <c r="AP102" i="20" s="1"/>
  <c r="O102" i="20" a="1"/>
  <c r="O102" i="20" s="1"/>
  <c r="AK102" i="20" a="1"/>
  <c r="AK102" i="20" s="1"/>
  <c r="AI102" i="20" a="1"/>
  <c r="AI102" i="20" s="1"/>
  <c r="X102" i="20" a="1"/>
  <c r="X102" i="20" s="1"/>
  <c r="AB102" i="20" a="1"/>
  <c r="AB102" i="20" s="1"/>
  <c r="L102" i="20" a="1"/>
  <c r="L102" i="20" s="1"/>
  <c r="AN102" i="20" a="1"/>
  <c r="AN102" i="20" s="1"/>
  <c r="W102" i="20" a="1"/>
  <c r="W102" i="20" s="1"/>
  <c r="AH102" i="20" a="1"/>
  <c r="AH102" i="20" s="1"/>
  <c r="R102" i="20" a="1"/>
  <c r="R102" i="20" s="1"/>
  <c r="J102" i="20" a="1"/>
  <c r="J102" i="20" s="1"/>
  <c r="T102" i="20" a="1"/>
  <c r="T102" i="20" s="1"/>
  <c r="K102" i="20" a="1"/>
  <c r="K102" i="20" s="1"/>
  <c r="AJ102" i="20" a="1"/>
  <c r="AJ102" i="20" s="1"/>
  <c r="AE102" i="20" a="1"/>
  <c r="AE102" i="20" s="1"/>
  <c r="F102" i="20"/>
  <c r="E98" i="21"/>
  <c r="D98" i="21"/>
  <c r="K101" i="21"/>
  <c r="L101" i="21" s="1"/>
  <c r="A100" i="21"/>
  <c r="F99" i="21"/>
  <c r="G99" i="21"/>
  <c r="H99" i="21"/>
  <c r="B99" i="21"/>
  <c r="D99" i="21" s="1"/>
  <c r="C99" i="21"/>
  <c r="H102" i="20"/>
  <c r="G102" i="20"/>
  <c r="B103" i="20"/>
  <c r="C103" i="20"/>
  <c r="I102" i="20"/>
  <c r="D102" i="20"/>
  <c r="E102" i="20"/>
  <c r="A104" i="20"/>
  <c r="AQ105" i="20"/>
  <c r="AR105" i="20" s="1"/>
  <c r="N104" i="20" l="1" a="1"/>
  <c r="N104" i="20" s="1"/>
  <c r="T104" i="20" a="1"/>
  <c r="T104" i="20" s="1"/>
  <c r="Z104" i="20" a="1"/>
  <c r="Z104" i="20" s="1"/>
  <c r="AF104" i="20" a="1"/>
  <c r="AF104" i="20" s="1"/>
  <c r="AL104" i="20" a="1"/>
  <c r="AL104" i="20" s="1"/>
  <c r="Q104" i="20" a="1"/>
  <c r="Q104" i="20" s="1"/>
  <c r="AG104" i="20" a="1"/>
  <c r="AG104" i="20" s="1"/>
  <c r="AO104" i="20" a="1"/>
  <c r="AO104" i="20" s="1"/>
  <c r="Y104" i="20" a="1"/>
  <c r="Y104" i="20" s="1"/>
  <c r="L104" i="20" a="1"/>
  <c r="L104" i="20" s="1"/>
  <c r="AB104" i="20" a="1"/>
  <c r="AB104" i="20" s="1"/>
  <c r="AJ104" i="20" a="1"/>
  <c r="AJ104" i="20" s="1"/>
  <c r="X104" i="20" a="1"/>
  <c r="X104" i="20" s="1"/>
  <c r="O104" i="20" a="1"/>
  <c r="O104" i="20" s="1"/>
  <c r="AA104" i="20" a="1"/>
  <c r="AA104" i="20" s="1"/>
  <c r="AK104" i="20" a="1"/>
  <c r="AK104" i="20" s="1"/>
  <c r="S104" i="20" a="1"/>
  <c r="S104" i="20" s="1"/>
  <c r="AD104" i="20" a="1"/>
  <c r="AD104" i="20" s="1"/>
  <c r="AN104" i="20" a="1"/>
  <c r="AN104" i="20" s="1"/>
  <c r="V104" i="20" a="1"/>
  <c r="V104" i="20" s="1"/>
  <c r="AM104" i="20" a="1"/>
  <c r="AM104" i="20" s="1"/>
  <c r="J104" i="20" a="1"/>
  <c r="J104" i="20" s="1"/>
  <c r="AP104" i="20" a="1"/>
  <c r="AP104" i="20" s="1"/>
  <c r="M104" i="20" a="1"/>
  <c r="M104" i="20" s="1"/>
  <c r="U104" i="20" a="1"/>
  <c r="U104" i="20" s="1"/>
  <c r="K104" i="20" a="1"/>
  <c r="K104" i="20" s="1"/>
  <c r="AH104" i="20" a="1"/>
  <c r="AH104" i="20" s="1"/>
  <c r="AI104" i="20" a="1"/>
  <c r="AI104" i="20" s="1"/>
  <c r="P104" i="20" a="1"/>
  <c r="P104" i="20" s="1"/>
  <c r="AE104" i="20" a="1"/>
  <c r="AE104" i="20" s="1"/>
  <c r="AC104" i="20" a="1"/>
  <c r="AC104" i="20" s="1"/>
  <c r="R104" i="20" a="1"/>
  <c r="R104" i="20" s="1"/>
  <c r="W104" i="20" a="1"/>
  <c r="W104" i="20" s="1"/>
  <c r="D103" i="20"/>
  <c r="I103" i="20"/>
  <c r="E103" i="20"/>
  <c r="G103" i="20"/>
  <c r="H103" i="20"/>
  <c r="F103" i="20"/>
  <c r="E99" i="21"/>
  <c r="G100" i="21"/>
  <c r="H100" i="21"/>
  <c r="B100" i="21"/>
  <c r="I100" i="21" s="1"/>
  <c r="C100" i="21"/>
  <c r="F100" i="21"/>
  <c r="I99" i="21"/>
  <c r="A101" i="21"/>
  <c r="K102" i="21"/>
  <c r="L102" i="21" s="1"/>
  <c r="AQ106" i="20"/>
  <c r="AR106" i="20" s="1"/>
  <c r="A105" i="20"/>
  <c r="C104" i="20"/>
  <c r="B104" i="20"/>
  <c r="F104" i="20" l="1"/>
  <c r="E104" i="20"/>
  <c r="D104" i="20"/>
  <c r="G104" i="20"/>
  <c r="I104" i="20"/>
  <c r="H104" i="20"/>
  <c r="D100" i="21"/>
  <c r="E100" i="21"/>
  <c r="K103" i="21"/>
  <c r="L103" i="21" s="1"/>
  <c r="A102" i="21"/>
  <c r="H101" i="21"/>
  <c r="E101" i="21"/>
  <c r="B101" i="21"/>
  <c r="I101" i="21" s="1"/>
  <c r="C101" i="21"/>
  <c r="F101" i="21"/>
  <c r="G101" i="21"/>
  <c r="B105" i="20"/>
  <c r="C105" i="20"/>
  <c r="AQ107" i="20"/>
  <c r="AR107" i="20" s="1"/>
  <c r="A106" i="20"/>
  <c r="K105" i="20" l="1" a="1"/>
  <c r="K105" i="20" s="1"/>
  <c r="V105" i="20" a="1"/>
  <c r="V105" i="20" s="1"/>
  <c r="AL105" i="20" a="1"/>
  <c r="AL105" i="20" s="1"/>
  <c r="U105" i="20" a="1"/>
  <c r="U105" i="20" s="1"/>
  <c r="AM105" i="20" a="1"/>
  <c r="AM105" i="20" s="1"/>
  <c r="AA105" i="20" a="1"/>
  <c r="AA105" i="20" s="1"/>
  <c r="AB105" i="20" a="1"/>
  <c r="AB105" i="20" s="1"/>
  <c r="S105" i="20" a="1"/>
  <c r="S105" i="20" s="1"/>
  <c r="AN105" i="20" a="1"/>
  <c r="AN105" i="20" s="1"/>
  <c r="AK105" i="20" a="1"/>
  <c r="AK105" i="20" s="1"/>
  <c r="P105" i="20" a="1"/>
  <c r="P105" i="20" s="1"/>
  <c r="L105" i="20" a="1"/>
  <c r="L105" i="20" s="1"/>
  <c r="AE105" i="20" a="1"/>
  <c r="AE105" i="20" s="1"/>
  <c r="AF105" i="20" a="1"/>
  <c r="AF105" i="20" s="1"/>
  <c r="T105" i="20" a="1"/>
  <c r="T105" i="20" s="1"/>
  <c r="X105" i="20" a="1"/>
  <c r="X105" i="20" s="1"/>
  <c r="Z105" i="20" a="1"/>
  <c r="Z105" i="20" s="1"/>
  <c r="AO105" i="20" a="1"/>
  <c r="AO105" i="20" s="1"/>
  <c r="N106" i="20" a="1"/>
  <c r="N106" i="20" s="1"/>
  <c r="T106" i="20" a="1"/>
  <c r="T106" i="20" s="1"/>
  <c r="Z106" i="20" a="1"/>
  <c r="Z106" i="20" s="1"/>
  <c r="AF106" i="20" a="1"/>
  <c r="AF106" i="20" s="1"/>
  <c r="AL106" i="20" a="1"/>
  <c r="AL106" i="20" s="1"/>
  <c r="O106" i="20" a="1"/>
  <c r="O106" i="20" s="1"/>
  <c r="W106" i="20" a="1"/>
  <c r="W106" i="20" s="1"/>
  <c r="AM106" i="20" a="1"/>
  <c r="AM106" i="20" s="1"/>
  <c r="AE106" i="20" a="1"/>
  <c r="AE106" i="20" s="1"/>
  <c r="J106" i="20" a="1"/>
  <c r="J106" i="20" s="1"/>
  <c r="R106" i="20" a="1"/>
  <c r="R106" i="20" s="1"/>
  <c r="AH106" i="20" a="1"/>
  <c r="AH106" i="20" s="1"/>
  <c r="AP106" i="20" a="1"/>
  <c r="AP106" i="20" s="1"/>
  <c r="L106" i="20" a="1"/>
  <c r="L106" i="20" s="1"/>
  <c r="V106" i="20" a="1"/>
  <c r="V106" i="20" s="1"/>
  <c r="X106" i="20" a="1"/>
  <c r="X106" i="20" s="1"/>
  <c r="AI106" i="20" a="1"/>
  <c r="AI106" i="20" s="1"/>
  <c r="M106" i="20" a="1"/>
  <c r="M106" i="20" s="1"/>
  <c r="AB106" i="20" a="1"/>
  <c r="AB106" i="20" s="1"/>
  <c r="AN106" i="20" a="1"/>
  <c r="AN106" i="20" s="1"/>
  <c r="K106" i="20" a="1"/>
  <c r="K106" i="20" s="1"/>
  <c r="AC106" i="20" a="1"/>
  <c r="AC106" i="20" s="1"/>
  <c r="AA106" i="20" a="1"/>
  <c r="AA106" i="20" s="1"/>
  <c r="P106" i="20" a="1"/>
  <c r="P106" i="20" s="1"/>
  <c r="AK106" i="20" a="1"/>
  <c r="AK106" i="20" s="1"/>
  <c r="Q106" i="20" a="1"/>
  <c r="Q106" i="20" s="1"/>
  <c r="AO106" i="20" a="1"/>
  <c r="AO106" i="20" s="1"/>
  <c r="S106" i="20" a="1"/>
  <c r="S106" i="20" s="1"/>
  <c r="Y106" i="20" a="1"/>
  <c r="Y106" i="20" s="1"/>
  <c r="AJ106" i="20" a="1"/>
  <c r="AJ106" i="20" s="1"/>
  <c r="AD106" i="20" a="1"/>
  <c r="AD106" i="20" s="1"/>
  <c r="AG106" i="20" a="1"/>
  <c r="AG106" i="20" s="1"/>
  <c r="U106" i="20" a="1"/>
  <c r="U106" i="20" s="1"/>
  <c r="AI105" i="20" a="1"/>
  <c r="AI105" i="20" s="1"/>
  <c r="AP105" i="20" a="1"/>
  <c r="AP105" i="20" s="1"/>
  <c r="Y105" i="20" a="1"/>
  <c r="Y105" i="20" s="1"/>
  <c r="AC105" i="20" a="1"/>
  <c r="AC105" i="20" s="1"/>
  <c r="O105" i="20" a="1"/>
  <c r="O105" i="20" s="1"/>
  <c r="AG105" i="20" a="1"/>
  <c r="AG105" i="20" s="1"/>
  <c r="AJ105" i="20" a="1"/>
  <c r="AJ105" i="20" s="1"/>
  <c r="R105" i="20" a="1"/>
  <c r="R105" i="20" s="1"/>
  <c r="N105" i="20" a="1"/>
  <c r="N105" i="20" s="1"/>
  <c r="W105" i="20" a="1"/>
  <c r="W105" i="20" s="1"/>
  <c r="J105" i="20" a="1"/>
  <c r="J105" i="20" s="1"/>
  <c r="AH105" i="20" a="1"/>
  <c r="AH105" i="20" s="1"/>
  <c r="Q105" i="20" a="1"/>
  <c r="Q105" i="20" s="1"/>
  <c r="AD105" i="20" a="1"/>
  <c r="AD105" i="20" s="1"/>
  <c r="M105" i="20" a="1"/>
  <c r="M105" i="20" s="1"/>
  <c r="D101" i="21"/>
  <c r="G105" i="20"/>
  <c r="E105" i="20"/>
  <c r="I105" i="20"/>
  <c r="F105" i="20"/>
  <c r="H105" i="20"/>
  <c r="D105" i="20"/>
  <c r="H102" i="21"/>
  <c r="G102" i="21"/>
  <c r="B102" i="21"/>
  <c r="E102" i="21" s="1"/>
  <c r="F102" i="21"/>
  <c r="C102" i="21"/>
  <c r="K104" i="21"/>
  <c r="L104" i="21" s="1"/>
  <c r="A103" i="21"/>
  <c r="B106" i="20"/>
  <c r="C106" i="20"/>
  <c r="AQ108" i="20"/>
  <c r="AR108" i="20" s="1"/>
  <c r="A107" i="20"/>
  <c r="K107" i="20" l="1" a="1"/>
  <c r="K107" i="20" s="1"/>
  <c r="Q107" i="20" a="1"/>
  <c r="Q107" i="20" s="1"/>
  <c r="W107" i="20" a="1"/>
  <c r="W107" i="20" s="1"/>
  <c r="AC107" i="20" a="1"/>
  <c r="AC107" i="20" s="1"/>
  <c r="AI107" i="20" a="1"/>
  <c r="AI107" i="20" s="1"/>
  <c r="AO107" i="20" a="1"/>
  <c r="AO107" i="20" s="1"/>
  <c r="N107" i="20" a="1"/>
  <c r="N107" i="20" s="1"/>
  <c r="AD107" i="20" a="1"/>
  <c r="AD107" i="20" s="1"/>
  <c r="AL107" i="20" a="1"/>
  <c r="AL107" i="20" s="1"/>
  <c r="V107" i="20" a="1"/>
  <c r="V107" i="20" s="1"/>
  <c r="Y107" i="20" a="1"/>
  <c r="Y107" i="20" s="1"/>
  <c r="AG107" i="20" a="1"/>
  <c r="AG107" i="20" s="1"/>
  <c r="U107" i="20" a="1"/>
  <c r="U107" i="20" s="1"/>
  <c r="L107" i="20" a="1"/>
  <c r="L107" i="20" s="1"/>
  <c r="X107" i="20" a="1"/>
  <c r="X107" i="20" s="1"/>
  <c r="AH107" i="20" a="1"/>
  <c r="AH107" i="20" s="1"/>
  <c r="P107" i="20" a="1"/>
  <c r="P107" i="20" s="1"/>
  <c r="AA107" i="20" a="1"/>
  <c r="AA107" i="20" s="1"/>
  <c r="AK107" i="20" a="1"/>
  <c r="AK107" i="20" s="1"/>
  <c r="S107" i="20" a="1"/>
  <c r="S107" i="20" s="1"/>
  <c r="AJ107" i="20" a="1"/>
  <c r="AJ107" i="20" s="1"/>
  <c r="AM107" i="20" a="1"/>
  <c r="AM107" i="20" s="1"/>
  <c r="AP107" i="20" a="1"/>
  <c r="AP107" i="20" s="1"/>
  <c r="J107" i="20" a="1"/>
  <c r="J107" i="20" s="1"/>
  <c r="R107" i="20" a="1"/>
  <c r="R107" i="20" s="1"/>
  <c r="AE107" i="20" a="1"/>
  <c r="AE107" i="20" s="1"/>
  <c r="AF107" i="20" a="1"/>
  <c r="AF107" i="20" s="1"/>
  <c r="M107" i="20" a="1"/>
  <c r="M107" i="20" s="1"/>
  <c r="AN107" i="20" a="1"/>
  <c r="AN107" i="20" s="1"/>
  <c r="O107" i="20" a="1"/>
  <c r="O107" i="20" s="1"/>
  <c r="T107" i="20" a="1"/>
  <c r="T107" i="20" s="1"/>
  <c r="AB107" i="20" a="1"/>
  <c r="AB107" i="20" s="1"/>
  <c r="Z107" i="20" a="1"/>
  <c r="Z107" i="20" s="1"/>
  <c r="G106" i="20"/>
  <c r="E106" i="20"/>
  <c r="I102" i="21"/>
  <c r="I106" i="20"/>
  <c r="D106" i="20"/>
  <c r="F106" i="20"/>
  <c r="D102" i="21"/>
  <c r="H106" i="20"/>
  <c r="B103" i="21"/>
  <c r="I103" i="21" s="1"/>
  <c r="H103" i="21"/>
  <c r="G103" i="21"/>
  <c r="C103" i="21"/>
  <c r="F103" i="21"/>
  <c r="A104" i="21"/>
  <c r="K105" i="21"/>
  <c r="L105" i="21" s="1"/>
  <c r="A105" i="21" s="1"/>
  <c r="C107" i="20"/>
  <c r="B107" i="20"/>
  <c r="AQ109" i="20"/>
  <c r="AR109" i="20" s="1"/>
  <c r="A108" i="20"/>
  <c r="G107" i="20" l="1"/>
  <c r="F107" i="20"/>
  <c r="H107" i="20"/>
  <c r="D107" i="20"/>
  <c r="E107" i="20"/>
  <c r="I107" i="20"/>
  <c r="D103" i="21"/>
  <c r="E103" i="21"/>
  <c r="G105" i="21"/>
  <c r="C105" i="21"/>
  <c r="D105" i="21"/>
  <c r="E105" i="21"/>
  <c r="H105" i="21"/>
  <c r="B105" i="21"/>
  <c r="I105" i="21" s="1"/>
  <c r="F105" i="21"/>
  <c r="B104" i="21"/>
  <c r="E104" i="21" s="1"/>
  <c r="G104" i="21"/>
  <c r="D104" i="21"/>
  <c r="C104" i="21"/>
  <c r="I104" i="21"/>
  <c r="H104" i="21"/>
  <c r="F104" i="21"/>
  <c r="B108" i="20"/>
  <c r="C108" i="20"/>
  <c r="A109" i="20"/>
  <c r="AQ110" i="20"/>
  <c r="AR110" i="20" s="1"/>
  <c r="N108" i="20" l="1" a="1"/>
  <c r="N108" i="20" s="1"/>
  <c r="Y108" i="20" a="1"/>
  <c r="Y108" i="20" s="1"/>
  <c r="S108" i="20" a="1"/>
  <c r="S108" i="20" s="1"/>
  <c r="AI108" i="20" a="1"/>
  <c r="AI108" i="20" s="1"/>
  <c r="AN108" i="20" a="1"/>
  <c r="AN108" i="20" s="1"/>
  <c r="X108" i="20" a="1"/>
  <c r="X108" i="20" s="1"/>
  <c r="AK108" i="20" a="1"/>
  <c r="AK108" i="20" s="1"/>
  <c r="AJ108" i="20" a="1"/>
  <c r="AJ108" i="20" s="1"/>
  <c r="M108" i="20" a="1"/>
  <c r="M108" i="20" s="1"/>
  <c r="R108" i="20" a="1"/>
  <c r="R108" i="20" s="1"/>
  <c r="AC108" i="20" a="1"/>
  <c r="AC108" i="20" s="1"/>
  <c r="L108" i="20" a="1"/>
  <c r="L108" i="20" s="1"/>
  <c r="AG108" i="20" a="1"/>
  <c r="AG108" i="20" s="1"/>
  <c r="U108" i="20" a="1"/>
  <c r="U108" i="20" s="1"/>
  <c r="P108" i="20" a="1"/>
  <c r="P108" i="20" s="1"/>
  <c r="Q108" i="20" a="1"/>
  <c r="Q108" i="20" s="1"/>
  <c r="AL108" i="20" a="1"/>
  <c r="AL108" i="20" s="1"/>
  <c r="AM108" i="20" a="1"/>
  <c r="AM108" i="20" s="1"/>
  <c r="K108" i="20" a="1"/>
  <c r="K108" i="20" s="1"/>
  <c r="AF108" i="20" a="1"/>
  <c r="AF108" i="20" s="1"/>
  <c r="V108" i="20" a="1"/>
  <c r="V108" i="20" s="1"/>
  <c r="O108" i="20" a="1"/>
  <c r="O108" i="20" s="1"/>
  <c r="AP108" i="20" a="1"/>
  <c r="AP108" i="20" s="1"/>
  <c r="Z108" i="20" a="1"/>
  <c r="Z108" i="20" s="1"/>
  <c r="AB108" i="20" a="1"/>
  <c r="AB108" i="20" s="1"/>
  <c r="AD108" i="20" a="1"/>
  <c r="AD108" i="20" s="1"/>
  <c r="AA108" i="20" a="1"/>
  <c r="AA108" i="20" s="1"/>
  <c r="AE108" i="20" a="1"/>
  <c r="AE108" i="20" s="1"/>
  <c r="T108" i="20" a="1"/>
  <c r="T108" i="20" s="1"/>
  <c r="AH108" i="20" a="1"/>
  <c r="AH108" i="20" s="1"/>
  <c r="W108" i="20" a="1"/>
  <c r="W108" i="20" s="1"/>
  <c r="AO108" i="20" a="1"/>
  <c r="AO108" i="20" s="1"/>
  <c r="J108" i="20" a="1"/>
  <c r="J108" i="20" s="1"/>
  <c r="H108" i="20"/>
  <c r="E108" i="20"/>
  <c r="F108" i="20"/>
  <c r="I108" i="20"/>
  <c r="D108" i="20"/>
  <c r="G108" i="20"/>
  <c r="AQ111" i="20"/>
  <c r="AR111" i="20" s="1"/>
  <c r="A110" i="20"/>
  <c r="B109" i="20"/>
  <c r="C109" i="20"/>
  <c r="AI109" i="20" l="1" a="1"/>
  <c r="AI109" i="20" s="1"/>
  <c r="AN109" i="20" a="1"/>
  <c r="AN109" i="20" s="1"/>
  <c r="J109" i="20" a="1"/>
  <c r="J109" i="20" s="1"/>
  <c r="AC109" i="20" a="1"/>
  <c r="AC109" i="20" s="1"/>
  <c r="P109" i="20" a="1"/>
  <c r="P109" i="20" s="1"/>
  <c r="AM109" i="20" a="1"/>
  <c r="AM109" i="20" s="1"/>
  <c r="W109" i="20" a="1"/>
  <c r="W109" i="20" s="1"/>
  <c r="AJ109" i="20" a="1"/>
  <c r="AJ109" i="20" s="1"/>
  <c r="AD109" i="20" a="1"/>
  <c r="AD109" i="20" s="1"/>
  <c r="Q109" i="20" a="1"/>
  <c r="Q109" i="20" s="1"/>
  <c r="N109" i="20" a="1"/>
  <c r="N109" i="20" s="1"/>
  <c r="V109" i="20" a="1"/>
  <c r="V109" i="20" s="1"/>
  <c r="K109" i="20" a="1"/>
  <c r="K109" i="20" s="1"/>
  <c r="M109" i="20" a="1"/>
  <c r="M109" i="20" s="1"/>
  <c r="O109" i="20" a="1"/>
  <c r="O109" i="20" s="1"/>
  <c r="AL109" i="20" a="1"/>
  <c r="AL109" i="20" s="1"/>
  <c r="AH109" i="20" a="1"/>
  <c r="AH109" i="20" s="1"/>
  <c r="AK109" i="20" a="1"/>
  <c r="AK109" i="20" s="1"/>
  <c r="AA109" i="20" a="1"/>
  <c r="AA109" i="20" s="1"/>
  <c r="AB109" i="20" a="1"/>
  <c r="AB109" i="20" s="1"/>
  <c r="R109" i="20" a="1"/>
  <c r="R109" i="20" s="1"/>
  <c r="T109" i="20" a="1"/>
  <c r="T109" i="20" s="1"/>
  <c r="Z109" i="20" a="1"/>
  <c r="Z109" i="20" s="1"/>
  <c r="AF109" i="20" a="1"/>
  <c r="AF109" i="20" s="1"/>
  <c r="S109" i="20" a="1"/>
  <c r="S109" i="20" s="1"/>
  <c r="Y109" i="20" a="1"/>
  <c r="Y109" i="20" s="1"/>
  <c r="AG109" i="20" a="1"/>
  <c r="AG109" i="20" s="1"/>
  <c r="L109" i="20" a="1"/>
  <c r="L109" i="20" s="1"/>
  <c r="AP109" i="20" a="1"/>
  <c r="AP109" i="20" s="1"/>
  <c r="X109" i="20" a="1"/>
  <c r="X109" i="20" s="1"/>
  <c r="AO109" i="20" a="1"/>
  <c r="AO109" i="20" s="1"/>
  <c r="AE109" i="20" a="1"/>
  <c r="AE109" i="20" s="1"/>
  <c r="U109" i="20" a="1"/>
  <c r="U109" i="20" s="1"/>
  <c r="G109" i="20"/>
  <c r="E109" i="20"/>
  <c r="I109" i="20"/>
  <c r="F109" i="20"/>
  <c r="D109" i="20"/>
  <c r="C110" i="20"/>
  <c r="B110" i="20"/>
  <c r="H109" i="20"/>
  <c r="A111" i="20"/>
  <c r="AQ112" i="20"/>
  <c r="AR112" i="20" s="1"/>
  <c r="N110" i="20" l="1" a="1"/>
  <c r="N110" i="20" s="1"/>
  <c r="X110" i="20" a="1"/>
  <c r="X110" i="20" s="1"/>
  <c r="R110" i="20" a="1"/>
  <c r="R110" i="20" s="1"/>
  <c r="AP110" i="20" a="1"/>
  <c r="AP110" i="20" s="1"/>
  <c r="K110" i="20" a="1"/>
  <c r="K110" i="20" s="1"/>
  <c r="AG110" i="20" a="1"/>
  <c r="AG110" i="20" s="1"/>
  <c r="AK110" i="20" a="1"/>
  <c r="AK110" i="20" s="1"/>
  <c r="AO110" i="20" a="1"/>
  <c r="AO110" i="20" s="1"/>
  <c r="S110" i="20" a="1"/>
  <c r="S110" i="20" s="1"/>
  <c r="AD110" i="20" a="1"/>
  <c r="AD110" i="20" s="1"/>
  <c r="AN110" i="20" a="1"/>
  <c r="AN110" i="20" s="1"/>
  <c r="AM110" i="20" a="1"/>
  <c r="AM110" i="20" s="1"/>
  <c r="W110" i="20" a="1"/>
  <c r="W110" i="20" s="1"/>
  <c r="AJ110" i="20" a="1"/>
  <c r="AJ110" i="20" s="1"/>
  <c r="AC110" i="20" a="1"/>
  <c r="AC110" i="20" s="1"/>
  <c r="V110" i="20" a="1"/>
  <c r="V110" i="20" s="1"/>
  <c r="AB110" i="20" a="1"/>
  <c r="AB110" i="20" s="1"/>
  <c r="J110" i="20" a="1"/>
  <c r="J110" i="20" s="1"/>
  <c r="O110" i="20" a="1"/>
  <c r="O110" i="20" s="1"/>
  <c r="U110" i="20" a="1"/>
  <c r="U110" i="20" s="1"/>
  <c r="Q110" i="20" a="1"/>
  <c r="Q110" i="20" s="1"/>
  <c r="AL110" i="20" a="1"/>
  <c r="AL110" i="20" s="1"/>
  <c r="L110" i="20" a="1"/>
  <c r="L110" i="20" s="1"/>
  <c r="AI110" i="20" a="1"/>
  <c r="AI110" i="20" s="1"/>
  <c r="AF110" i="20" a="1"/>
  <c r="AF110" i="20" s="1"/>
  <c r="M110" i="20" a="1"/>
  <c r="M110" i="20" s="1"/>
  <c r="P110" i="20" a="1"/>
  <c r="P110" i="20" s="1"/>
  <c r="Z110" i="20" a="1"/>
  <c r="Z110" i="20" s="1"/>
  <c r="AE110" i="20" a="1"/>
  <c r="AE110" i="20" s="1"/>
  <c r="AH110" i="20" a="1"/>
  <c r="AH110" i="20" s="1"/>
  <c r="T110" i="20" a="1"/>
  <c r="T110" i="20" s="1"/>
  <c r="AA110" i="20" a="1"/>
  <c r="AA110" i="20" s="1"/>
  <c r="Y110" i="20" a="1"/>
  <c r="Y110" i="20" s="1"/>
  <c r="D110" i="20"/>
  <c r="I110" i="20"/>
  <c r="G110" i="20"/>
  <c r="F110" i="20"/>
  <c r="E110" i="20"/>
  <c r="AQ113" i="20"/>
  <c r="AR113" i="20" s="1"/>
  <c r="A112" i="20"/>
  <c r="H110" i="20"/>
  <c r="C111" i="20"/>
  <c r="B111" i="20"/>
  <c r="AG111" i="20" l="1" a="1"/>
  <c r="AG111" i="20" s="1"/>
  <c r="AL111" i="20" a="1"/>
  <c r="AL111" i="20" s="1"/>
  <c r="AK111" i="20" a="1"/>
  <c r="AK111" i="20" s="1"/>
  <c r="Z111" i="20" a="1"/>
  <c r="Z111" i="20" s="1"/>
  <c r="AE111" i="20" a="1"/>
  <c r="AE111" i="20" s="1"/>
  <c r="Y111" i="20" a="1"/>
  <c r="Y111" i="20" s="1"/>
  <c r="AF111" i="20" a="1"/>
  <c r="AF111" i="20" s="1"/>
  <c r="X111" i="20" a="1"/>
  <c r="X111" i="20" s="1"/>
  <c r="V111" i="20" a="1"/>
  <c r="V111" i="20" s="1"/>
  <c r="R111" i="20" a="1"/>
  <c r="R111" i="20" s="1"/>
  <c r="T111" i="20" a="1"/>
  <c r="T111" i="20" s="1"/>
  <c r="L111" i="20" a="1"/>
  <c r="L111" i="20" s="1"/>
  <c r="AO111" i="20" a="1"/>
  <c r="AO111" i="20" s="1"/>
  <c r="AP111" i="20" a="1"/>
  <c r="AP111" i="20" s="1"/>
  <c r="AM111" i="20" a="1"/>
  <c r="AM111" i="20" s="1"/>
  <c r="AI111" i="20" a="1"/>
  <c r="AI111" i="20" s="1"/>
  <c r="S111" i="20" a="1"/>
  <c r="S111" i="20" s="1"/>
  <c r="AD111" i="20" a="1"/>
  <c r="AD111" i="20" s="1"/>
  <c r="AC111" i="20" a="1"/>
  <c r="AC111" i="20" s="1"/>
  <c r="AH111" i="20" a="1"/>
  <c r="AH111" i="20" s="1"/>
  <c r="J111" i="20" a="1"/>
  <c r="J111" i="20" s="1"/>
  <c r="W111" i="20" a="1"/>
  <c r="W111" i="20" s="1"/>
  <c r="M111" i="20" a="1"/>
  <c r="M111" i="20" s="1"/>
  <c r="AB111" i="20" a="1"/>
  <c r="AB111" i="20" s="1"/>
  <c r="Q111" i="20" a="1"/>
  <c r="Q111" i="20" s="1"/>
  <c r="AJ111" i="20" a="1"/>
  <c r="AJ111" i="20" s="1"/>
  <c r="U111" i="20" a="1"/>
  <c r="U111" i="20" s="1"/>
  <c r="K111" i="20" a="1"/>
  <c r="K111" i="20" s="1"/>
  <c r="AA111" i="20" a="1"/>
  <c r="AA111" i="20" s="1"/>
  <c r="N111" i="20" a="1"/>
  <c r="N111" i="20" s="1"/>
  <c r="P111" i="20" a="1"/>
  <c r="P111" i="20" s="1"/>
  <c r="AN111" i="20" a="1"/>
  <c r="AN111" i="20" s="1"/>
  <c r="D111" i="20"/>
  <c r="E111" i="20"/>
  <c r="I111" i="20"/>
  <c r="C112" i="20"/>
  <c r="B112" i="20"/>
  <c r="AQ114" i="20"/>
  <c r="AR114" i="20" s="1"/>
  <c r="A113" i="20"/>
  <c r="H111" i="20"/>
  <c r="F111" i="20"/>
  <c r="G111" i="20"/>
  <c r="N112" i="20" l="1" a="1"/>
  <c r="N112" i="20" s="1"/>
  <c r="L112" i="20" a="1"/>
  <c r="L112" i="20" s="1"/>
  <c r="AE112" i="20" a="1"/>
  <c r="AE112" i="20" s="1"/>
  <c r="K112" i="20" a="1"/>
  <c r="K112" i="20" s="1"/>
  <c r="X112" i="20" a="1"/>
  <c r="X112" i="20" s="1"/>
  <c r="K113" i="20" a="1"/>
  <c r="K113" i="20" s="1"/>
  <c r="Q113" i="20" a="1"/>
  <c r="Q113" i="20" s="1"/>
  <c r="W113" i="20" a="1"/>
  <c r="W113" i="20" s="1"/>
  <c r="AC113" i="20" a="1"/>
  <c r="AC113" i="20" s="1"/>
  <c r="X113" i="20" a="1"/>
  <c r="X113" i="20" s="1"/>
  <c r="AE113" i="20" a="1"/>
  <c r="AE113" i="20" s="1"/>
  <c r="AL113" i="20" a="1"/>
  <c r="AL113" i="20" s="1"/>
  <c r="J113" i="20" a="1"/>
  <c r="J113" i="20" s="1"/>
  <c r="AF113" i="20" a="1"/>
  <c r="AF113" i="20" s="1"/>
  <c r="T113" i="20" a="1"/>
  <c r="T113" i="20" s="1"/>
  <c r="AA113" i="20" a="1"/>
  <c r="AA113" i="20" s="1"/>
  <c r="AH113" i="20" a="1"/>
  <c r="AH113" i="20" s="1"/>
  <c r="M113" i="20" a="1"/>
  <c r="M113" i="20" s="1"/>
  <c r="V113" i="20" a="1"/>
  <c r="V113" i="20" s="1"/>
  <c r="AO113" i="20" a="1"/>
  <c r="AO113" i="20" s="1"/>
  <c r="N113" i="20" a="1"/>
  <c r="N113" i="20" s="1"/>
  <c r="AG113" i="20" a="1"/>
  <c r="AG113" i="20" s="1"/>
  <c r="P113" i="20" a="1"/>
  <c r="P113" i="20" s="1"/>
  <c r="AM113" i="20" a="1"/>
  <c r="AM113" i="20" s="1"/>
  <c r="AN113" i="20" a="1"/>
  <c r="AN113" i="20" s="1"/>
  <c r="S113" i="20" a="1"/>
  <c r="S113" i="20" s="1"/>
  <c r="AP113" i="20" a="1"/>
  <c r="AP113" i="20" s="1"/>
  <c r="AB113" i="20" a="1"/>
  <c r="AB113" i="20" s="1"/>
  <c r="AD113" i="20" a="1"/>
  <c r="AD113" i="20" s="1"/>
  <c r="L113" i="20" a="1"/>
  <c r="L113" i="20" s="1"/>
  <c r="R113" i="20" a="1"/>
  <c r="R113" i="20" s="1"/>
  <c r="AJ113" i="20" a="1"/>
  <c r="AJ113" i="20" s="1"/>
  <c r="O113" i="20" a="1"/>
  <c r="O113" i="20" s="1"/>
  <c r="U113" i="20" a="1"/>
  <c r="U113" i="20" s="1"/>
  <c r="Y113" i="20" a="1"/>
  <c r="Y113" i="20" s="1"/>
  <c r="Z113" i="20" a="1"/>
  <c r="Z113" i="20" s="1"/>
  <c r="AI113" i="20" a="1"/>
  <c r="AI113" i="20" s="1"/>
  <c r="AK113" i="20" a="1"/>
  <c r="AK113" i="20" s="1"/>
  <c r="AH112" i="20" a="1"/>
  <c r="AH112" i="20" s="1"/>
  <c r="Q112" i="20" a="1"/>
  <c r="Q112" i="20" s="1"/>
  <c r="AM112" i="20" a="1"/>
  <c r="AM112" i="20" s="1"/>
  <c r="V112" i="20" a="1"/>
  <c r="V112" i="20" s="1"/>
  <c r="AJ112" i="20" a="1"/>
  <c r="AJ112" i="20" s="1"/>
  <c r="M112" i="20" a="1"/>
  <c r="M112" i="20" s="1"/>
  <c r="AG112" i="20" a="1"/>
  <c r="AG112" i="20" s="1"/>
  <c r="AC112" i="20" a="1"/>
  <c r="AC112" i="20" s="1"/>
  <c r="AD112" i="20" a="1"/>
  <c r="AD112" i="20" s="1"/>
  <c r="S112" i="20" a="1"/>
  <c r="S112" i="20" s="1"/>
  <c r="AB112" i="20" a="1"/>
  <c r="AB112" i="20" s="1"/>
  <c r="W112" i="20" a="1"/>
  <c r="W112" i="20" s="1"/>
  <c r="AN112" i="20" a="1"/>
  <c r="AN112" i="20" s="1"/>
  <c r="U112" i="20" a="1"/>
  <c r="U112" i="20" s="1"/>
  <c r="AP112" i="20" a="1"/>
  <c r="AP112" i="20" s="1"/>
  <c r="AK112" i="20" a="1"/>
  <c r="AK112" i="20" s="1"/>
  <c r="AL112" i="20" a="1"/>
  <c r="AL112" i="20" s="1"/>
  <c r="O112" i="20" a="1"/>
  <c r="O112" i="20" s="1"/>
  <c r="AA112" i="20" a="1"/>
  <c r="AA112" i="20" s="1"/>
  <c r="AF112" i="20" a="1"/>
  <c r="AF112" i="20" s="1"/>
  <c r="J112" i="20" a="1"/>
  <c r="J112" i="20" s="1"/>
  <c r="R112" i="20" a="1"/>
  <c r="R112" i="20" s="1"/>
  <c r="Z112" i="20" a="1"/>
  <c r="Z112" i="20" s="1"/>
  <c r="AO112" i="20" a="1"/>
  <c r="AO112" i="20" s="1"/>
  <c r="AI112" i="20" a="1"/>
  <c r="AI112" i="20" s="1"/>
  <c r="T112" i="20" a="1"/>
  <c r="T112" i="20" s="1"/>
  <c r="Y112" i="20" a="1"/>
  <c r="Y112" i="20" s="1"/>
  <c r="P112" i="20" a="1"/>
  <c r="P112" i="20" s="1"/>
  <c r="I112" i="20"/>
  <c r="D112" i="20"/>
  <c r="H112" i="20"/>
  <c r="G112" i="20"/>
  <c r="F112" i="20"/>
  <c r="B113" i="20"/>
  <c r="C113" i="20"/>
  <c r="E112" i="20"/>
  <c r="AQ115" i="20"/>
  <c r="AR115" i="20" s="1"/>
  <c r="A114" i="20"/>
  <c r="R114" i="20" l="1" a="1"/>
  <c r="R114" i="20" s="1"/>
  <c r="L114" i="20" a="1"/>
  <c r="L114" i="20" s="1"/>
  <c r="Y114" i="20" a="1"/>
  <c r="Y114" i="20" s="1"/>
  <c r="AE114" i="20" a="1"/>
  <c r="AE114" i="20" s="1"/>
  <c r="AK114" i="20" a="1"/>
  <c r="AK114" i="20" s="1"/>
  <c r="N114" i="20" a="1"/>
  <c r="N114" i="20" s="1"/>
  <c r="AA114" i="20" a="1"/>
  <c r="AA114" i="20" s="1"/>
  <c r="AG114" i="20" a="1"/>
  <c r="AG114" i="20" s="1"/>
  <c r="AM114" i="20" a="1"/>
  <c r="AM114" i="20" s="1"/>
  <c r="P114" i="20" a="1"/>
  <c r="P114" i="20" s="1"/>
  <c r="AO114" i="20" a="1"/>
  <c r="AO114" i="20" s="1"/>
  <c r="Q114" i="20" a="1"/>
  <c r="Q114" i="20" s="1"/>
  <c r="Z114" i="20" a="1"/>
  <c r="Z114" i="20" s="1"/>
  <c r="AH114" i="20" a="1"/>
  <c r="AH114" i="20" s="1"/>
  <c r="K114" i="20" a="1"/>
  <c r="K114" i="20" s="1"/>
  <c r="T114" i="20" a="1"/>
  <c r="T114" i="20" s="1"/>
  <c r="AJ114" i="20" a="1"/>
  <c r="AJ114" i="20" s="1"/>
  <c r="AC114" i="20" a="1"/>
  <c r="AC114" i="20" s="1"/>
  <c r="AD114" i="20" a="1"/>
  <c r="AD114" i="20" s="1"/>
  <c r="J114" i="20" a="1"/>
  <c r="J114" i="20" s="1"/>
  <c r="V114" i="20" a="1"/>
  <c r="V114" i="20" s="1"/>
  <c r="W114" i="20" a="1"/>
  <c r="W114" i="20" s="1"/>
  <c r="AP114" i="20" a="1"/>
  <c r="AP114" i="20" s="1"/>
  <c r="AF114" i="20" a="1"/>
  <c r="AF114" i="20" s="1"/>
  <c r="O114" i="20" a="1"/>
  <c r="O114" i="20" s="1"/>
  <c r="AI114" i="20" a="1"/>
  <c r="AI114" i="20" s="1"/>
  <c r="U114" i="20" a="1"/>
  <c r="U114" i="20" s="1"/>
  <c r="AL114" i="20" a="1"/>
  <c r="AL114" i="20" s="1"/>
  <c r="M114" i="20" a="1"/>
  <c r="M114" i="20" s="1"/>
  <c r="S114" i="20" a="1"/>
  <c r="S114" i="20" s="1"/>
  <c r="X114" i="20" a="1"/>
  <c r="X114" i="20" s="1"/>
  <c r="AB114" i="20" a="1"/>
  <c r="AB114" i="20" s="1"/>
  <c r="AN114" i="20" a="1"/>
  <c r="AN114" i="20" s="1"/>
  <c r="E113" i="20"/>
  <c r="F113" i="20"/>
  <c r="H113" i="20"/>
  <c r="D113" i="20"/>
  <c r="I113" i="20"/>
  <c r="G113" i="20"/>
  <c r="B114" i="20"/>
  <c r="C114" i="20"/>
  <c r="I114" i="20"/>
  <c r="AQ116" i="20"/>
  <c r="AR116" i="20" s="1"/>
  <c r="A115" i="20"/>
  <c r="E114" i="20" l="1"/>
  <c r="D114" i="20"/>
  <c r="H114" i="20"/>
  <c r="G114" i="20"/>
  <c r="F114" i="20"/>
  <c r="B115" i="20"/>
  <c r="C115" i="20"/>
  <c r="A116" i="20"/>
  <c r="AQ117" i="20"/>
  <c r="AR117" i="20" s="1"/>
  <c r="Z115" i="20" l="1" a="1"/>
  <c r="Z115" i="20" s="1"/>
  <c r="AN115" i="20" a="1"/>
  <c r="AN115" i="20" s="1"/>
  <c r="AE115" i="20" a="1"/>
  <c r="AE115" i="20" s="1"/>
  <c r="AL115" i="20" a="1"/>
  <c r="AL115" i="20" s="1"/>
  <c r="AA115" i="20" a="1"/>
  <c r="AA115" i="20" s="1"/>
  <c r="L115" i="20" a="1"/>
  <c r="L115" i="20" s="1"/>
  <c r="AH115" i="20" a="1"/>
  <c r="AH115" i="20" s="1"/>
  <c r="W115" i="20" a="1"/>
  <c r="W115" i="20" s="1"/>
  <c r="AO115" i="20" a="1"/>
  <c r="AO115" i="20" s="1"/>
  <c r="AB115" i="20" a="1"/>
  <c r="AB115" i="20" s="1"/>
  <c r="T115" i="20" a="1"/>
  <c r="T115" i="20" s="1"/>
  <c r="V115" i="20" a="1"/>
  <c r="V115" i="20" s="1"/>
  <c r="O115" i="20" a="1"/>
  <c r="O115" i="20" s="1"/>
  <c r="Q115" i="20" a="1"/>
  <c r="Q115" i="20" s="1"/>
  <c r="P115" i="20" a="1"/>
  <c r="P115" i="20" s="1"/>
  <c r="N115" i="20" a="1"/>
  <c r="N115" i="20" s="1"/>
  <c r="AF115" i="20" a="1"/>
  <c r="AF115" i="20" s="1"/>
  <c r="J115" i="20" a="1"/>
  <c r="J115" i="20" s="1"/>
  <c r="AC115" i="20" a="1"/>
  <c r="AC115" i="20" s="1"/>
  <c r="AP115" i="20" a="1"/>
  <c r="AP115" i="20" s="1"/>
  <c r="M116" i="20" a="1"/>
  <c r="M116" i="20" s="1"/>
  <c r="S116" i="20" a="1"/>
  <c r="S116" i="20" s="1"/>
  <c r="Y116" i="20" a="1"/>
  <c r="Y116" i="20" s="1"/>
  <c r="AE116" i="20" a="1"/>
  <c r="AE116" i="20" s="1"/>
  <c r="AK116" i="20" a="1"/>
  <c r="AK116" i="20" s="1"/>
  <c r="O116" i="20" a="1"/>
  <c r="O116" i="20" s="1"/>
  <c r="U116" i="20" a="1"/>
  <c r="U116" i="20" s="1"/>
  <c r="AA116" i="20" a="1"/>
  <c r="AA116" i="20" s="1"/>
  <c r="AG116" i="20" a="1"/>
  <c r="AG116" i="20" s="1"/>
  <c r="AM116" i="20" a="1"/>
  <c r="AM116" i="20" s="1"/>
  <c r="W116" i="20" a="1"/>
  <c r="W116" i="20" s="1"/>
  <c r="P116" i="20" a="1"/>
  <c r="P116" i="20" s="1"/>
  <c r="AF116" i="20" a="1"/>
  <c r="AF116" i="20" s="1"/>
  <c r="AN116" i="20" a="1"/>
  <c r="AN116" i="20" s="1"/>
  <c r="R116" i="20" a="1"/>
  <c r="R116" i="20" s="1"/>
  <c r="AP116" i="20" a="1"/>
  <c r="AP116" i="20" s="1"/>
  <c r="J116" i="20" a="1"/>
  <c r="J116" i="20" s="1"/>
  <c r="AD116" i="20" a="1"/>
  <c r="AD116" i="20" s="1"/>
  <c r="K116" i="20" a="1"/>
  <c r="K116" i="20" s="1"/>
  <c r="X116" i="20" a="1"/>
  <c r="X116" i="20" s="1"/>
  <c r="L116" i="20" a="1"/>
  <c r="L116" i="20" s="1"/>
  <c r="AB116" i="20" a="1"/>
  <c r="AB116" i="20" s="1"/>
  <c r="AC116" i="20" a="1"/>
  <c r="AC116" i="20" s="1"/>
  <c r="AI116" i="20" a="1"/>
  <c r="AI116" i="20" s="1"/>
  <c r="Q116" i="20" a="1"/>
  <c r="Q116" i="20" s="1"/>
  <c r="T116" i="20" a="1"/>
  <c r="T116" i="20" s="1"/>
  <c r="V116" i="20" a="1"/>
  <c r="V116" i="20" s="1"/>
  <c r="AL116" i="20" a="1"/>
  <c r="AL116" i="20" s="1"/>
  <c r="Z116" i="20" a="1"/>
  <c r="Z116" i="20" s="1"/>
  <c r="N116" i="20" a="1"/>
  <c r="N116" i="20" s="1"/>
  <c r="AH116" i="20" a="1"/>
  <c r="AH116" i="20" s="1"/>
  <c r="AO116" i="20" a="1"/>
  <c r="AO116" i="20" s="1"/>
  <c r="AJ116" i="20" a="1"/>
  <c r="AJ116" i="20" s="1"/>
  <c r="Y115" i="20" a="1"/>
  <c r="Y115" i="20" s="1"/>
  <c r="AG115" i="20" a="1"/>
  <c r="AG115" i="20" s="1"/>
  <c r="AJ115" i="20" a="1"/>
  <c r="AJ115" i="20" s="1"/>
  <c r="U115" i="20" a="1"/>
  <c r="U115" i="20" s="1"/>
  <c r="AD115" i="20" a="1"/>
  <c r="AD115" i="20" s="1"/>
  <c r="M115" i="20" a="1"/>
  <c r="M115" i="20" s="1"/>
  <c r="K115" i="20" a="1"/>
  <c r="K115" i="20" s="1"/>
  <c r="X115" i="20" a="1"/>
  <c r="X115" i="20" s="1"/>
  <c r="AK115" i="20" a="1"/>
  <c r="AK115" i="20" s="1"/>
  <c r="AM115" i="20" a="1"/>
  <c r="AM115" i="20" s="1"/>
  <c r="R115" i="20" a="1"/>
  <c r="R115" i="20" s="1"/>
  <c r="AI115" i="20" a="1"/>
  <c r="AI115" i="20" s="1"/>
  <c r="S115" i="20" a="1"/>
  <c r="S115" i="20" s="1"/>
  <c r="D115" i="20"/>
  <c r="G115" i="20"/>
  <c r="F115" i="20"/>
  <c r="E115" i="20"/>
  <c r="H115" i="20"/>
  <c r="A117" i="20"/>
  <c r="AQ118" i="20"/>
  <c r="AR118" i="20" s="1"/>
  <c r="C116" i="20"/>
  <c r="B116" i="20"/>
  <c r="I115" i="20"/>
  <c r="J117" i="20" l="1" a="1"/>
  <c r="J117" i="20" s="1"/>
  <c r="P117" i="20" a="1"/>
  <c r="P117" i="20" s="1"/>
  <c r="V117" i="20" a="1"/>
  <c r="V117" i="20" s="1"/>
  <c r="AB117" i="20" a="1"/>
  <c r="AB117" i="20" s="1"/>
  <c r="AH117" i="20" a="1"/>
  <c r="AH117" i="20" s="1"/>
  <c r="L117" i="20" a="1"/>
  <c r="L117" i="20" s="1"/>
  <c r="R117" i="20" a="1"/>
  <c r="R117" i="20" s="1"/>
  <c r="X117" i="20" a="1"/>
  <c r="X117" i="20" s="1"/>
  <c r="AD117" i="20" a="1"/>
  <c r="AD117" i="20" s="1"/>
  <c r="AJ117" i="20" a="1"/>
  <c r="AJ117" i="20" s="1"/>
  <c r="AP117" i="20" a="1"/>
  <c r="AP117" i="20" s="1"/>
  <c r="N117" i="20" a="1"/>
  <c r="N117" i="20" s="1"/>
  <c r="AL117" i="20" a="1"/>
  <c r="AL117" i="20" s="1"/>
  <c r="W117" i="20" a="1"/>
  <c r="W117" i="20" s="1"/>
  <c r="AE117" i="20" a="1"/>
  <c r="AE117" i="20" s="1"/>
  <c r="AG117" i="20" a="1"/>
  <c r="AG117" i="20" s="1"/>
  <c r="AO117" i="20" a="1"/>
  <c r="AO117" i="20" s="1"/>
  <c r="O117" i="20" a="1"/>
  <c r="O117" i="20" s="1"/>
  <c r="Z117" i="20" a="1"/>
  <c r="Z117" i="20" s="1"/>
  <c r="Q117" i="20" a="1"/>
  <c r="Q117" i="20" s="1"/>
  <c r="AA117" i="20" a="1"/>
  <c r="AA117" i="20" s="1"/>
  <c r="T117" i="20" a="1"/>
  <c r="T117" i="20" s="1"/>
  <c r="AM117" i="20" a="1"/>
  <c r="AM117" i="20" s="1"/>
  <c r="AF117" i="20" a="1"/>
  <c r="AF117" i="20" s="1"/>
  <c r="K117" i="20" a="1"/>
  <c r="K117" i="20" s="1"/>
  <c r="AK117" i="20" a="1"/>
  <c r="AK117" i="20" s="1"/>
  <c r="S117" i="20" a="1"/>
  <c r="S117" i="20" s="1"/>
  <c r="M117" i="20" a="1"/>
  <c r="M117" i="20" s="1"/>
  <c r="AN117" i="20" a="1"/>
  <c r="AN117" i="20" s="1"/>
  <c r="U117" i="20" a="1"/>
  <c r="U117" i="20" s="1"/>
  <c r="AI117" i="20" a="1"/>
  <c r="AI117" i="20" s="1"/>
  <c r="Y117" i="20" a="1"/>
  <c r="Y117" i="20" s="1"/>
  <c r="AC117" i="20" a="1"/>
  <c r="AC117" i="20" s="1"/>
  <c r="E116" i="20"/>
  <c r="F116" i="20"/>
  <c r="D116" i="20"/>
  <c r="G116" i="20"/>
  <c r="I116" i="20"/>
  <c r="H116" i="20"/>
  <c r="A118" i="20"/>
  <c r="AQ119" i="20"/>
  <c r="AR119" i="20" s="1"/>
  <c r="D117" i="20"/>
  <c r="H117" i="20"/>
  <c r="G117" i="20"/>
  <c r="E117" i="20"/>
  <c r="B117" i="20"/>
  <c r="C117" i="20"/>
  <c r="I117" i="20" l="1"/>
  <c r="F117" i="20"/>
  <c r="AQ120" i="20"/>
  <c r="AR120" i="20" s="1"/>
  <c r="A119" i="20"/>
  <c r="C118" i="20"/>
  <c r="B118" i="20"/>
  <c r="AH118" i="20" l="1" a="1"/>
  <c r="AH118" i="20" s="1"/>
  <c r="N118" i="20" a="1"/>
  <c r="N118" i="20" s="1"/>
  <c r="AN118" i="20" a="1"/>
  <c r="AN118" i="20" s="1"/>
  <c r="AJ118" i="20" a="1"/>
  <c r="AJ118" i="20" s="1"/>
  <c r="AC118" i="20" a="1"/>
  <c r="AC118" i="20" s="1"/>
  <c r="AL118" i="20" a="1"/>
  <c r="AL118" i="20" s="1"/>
  <c r="Z118" i="20" a="1"/>
  <c r="Z118" i="20" s="1"/>
  <c r="Q118" i="20" a="1"/>
  <c r="Q118" i="20" s="1"/>
  <c r="L118" i="20" a="1"/>
  <c r="L118" i="20" s="1"/>
  <c r="AM118" i="20" a="1"/>
  <c r="AM118" i="20" s="1"/>
  <c r="AG118" i="20" a="1"/>
  <c r="AG118" i="20" s="1"/>
  <c r="X118" i="20" a="1"/>
  <c r="X118" i="20" s="1"/>
  <c r="AA118" i="20" a="1"/>
  <c r="AA118" i="20" s="1"/>
  <c r="AE118" i="20" a="1"/>
  <c r="AE118" i="20" s="1"/>
  <c r="AF118" i="20" a="1"/>
  <c r="AF118" i="20" s="1"/>
  <c r="O118" i="20" a="1"/>
  <c r="O118" i="20" s="1"/>
  <c r="AD118" i="20" a="1"/>
  <c r="AD118" i="20" s="1"/>
  <c r="W118" i="20" a="1"/>
  <c r="W118" i="20" s="1"/>
  <c r="K118" i="20" a="1"/>
  <c r="K118" i="20" s="1"/>
  <c r="AP118" i="20" a="1"/>
  <c r="AP118" i="20" s="1"/>
  <c r="U118" i="20" a="1"/>
  <c r="U118" i="20" s="1"/>
  <c r="P118" i="20" a="1"/>
  <c r="P118" i="20" s="1"/>
  <c r="AK118" i="20" a="1"/>
  <c r="AK118" i="20" s="1"/>
  <c r="Y118" i="20" a="1"/>
  <c r="Y118" i="20" s="1"/>
  <c r="M118" i="20" a="1"/>
  <c r="M118" i="20" s="1"/>
  <c r="V118" i="20" a="1"/>
  <c r="V118" i="20" s="1"/>
  <c r="J118" i="20" a="1"/>
  <c r="J118" i="20" s="1"/>
  <c r="T118" i="20" a="1"/>
  <c r="T118" i="20" s="1"/>
  <c r="S118" i="20" a="1"/>
  <c r="S118" i="20" s="1"/>
  <c r="AI118" i="20" a="1"/>
  <c r="AI118" i="20" s="1"/>
  <c r="AO118" i="20" a="1"/>
  <c r="AO118" i="20" s="1"/>
  <c r="R118" i="20" a="1"/>
  <c r="R118" i="20" s="1"/>
  <c r="AB118" i="20" a="1"/>
  <c r="AB118" i="20" s="1"/>
  <c r="H118" i="20"/>
  <c r="I118" i="20"/>
  <c r="A120" i="20"/>
  <c r="AQ121" i="20"/>
  <c r="AR121" i="20" s="1"/>
  <c r="E118" i="20"/>
  <c r="F118" i="20"/>
  <c r="G118" i="20"/>
  <c r="B119" i="20"/>
  <c r="C119" i="20"/>
  <c r="D118" i="20"/>
  <c r="AN119" i="20" l="1" a="1"/>
  <c r="AN119" i="20" s="1"/>
  <c r="Y119" i="20" a="1"/>
  <c r="Y119" i="20" s="1"/>
  <c r="T119" i="20" a="1"/>
  <c r="T119" i="20" s="1"/>
  <c r="AD119" i="20" a="1"/>
  <c r="AD119" i="20" s="1"/>
  <c r="AE119" i="20" a="1"/>
  <c r="AE119" i="20" s="1"/>
  <c r="K119" i="20" a="1"/>
  <c r="K119" i="20" s="1"/>
  <c r="AG119" i="20" a="1"/>
  <c r="AG119" i="20" s="1"/>
  <c r="W119" i="20" a="1"/>
  <c r="W119" i="20" s="1"/>
  <c r="U119" i="20" a="1"/>
  <c r="U119" i="20" s="1"/>
  <c r="AB119" i="20" a="1"/>
  <c r="AB119" i="20" s="1"/>
  <c r="R119" i="20" a="1"/>
  <c r="R119" i="20" s="1"/>
  <c r="AO119" i="20" a="1"/>
  <c r="AO119" i="20" s="1"/>
  <c r="V119" i="20" a="1"/>
  <c r="V119" i="20" s="1"/>
  <c r="AK119" i="20" a="1"/>
  <c r="AK119" i="20" s="1"/>
  <c r="N119" i="20" a="1"/>
  <c r="N119" i="20" s="1"/>
  <c r="AP119" i="20" a="1"/>
  <c r="AP119" i="20" s="1"/>
  <c r="AA119" i="20" a="1"/>
  <c r="AA119" i="20" s="1"/>
  <c r="AL119" i="20" a="1"/>
  <c r="AL119" i="20" s="1"/>
  <c r="X119" i="20" a="1"/>
  <c r="X119" i="20" s="1"/>
  <c r="Z119" i="20" a="1"/>
  <c r="Z119" i="20" s="1"/>
  <c r="S119" i="20" a="1"/>
  <c r="S119" i="20" s="1"/>
  <c r="L119" i="20" a="1"/>
  <c r="L119" i="20" s="1"/>
  <c r="Q119" i="20" a="1"/>
  <c r="Q119" i="20" s="1"/>
  <c r="AF119" i="20" a="1"/>
  <c r="AF119" i="20" s="1"/>
  <c r="P119" i="20" a="1"/>
  <c r="P119" i="20" s="1"/>
  <c r="M119" i="20" a="1"/>
  <c r="M119" i="20" s="1"/>
  <c r="O119" i="20" a="1"/>
  <c r="O119" i="20" s="1"/>
  <c r="AH119" i="20" a="1"/>
  <c r="AH119" i="20" s="1"/>
  <c r="AM119" i="20" a="1"/>
  <c r="AM119" i="20" s="1"/>
  <c r="J119" i="20" a="1"/>
  <c r="J119" i="20" s="1"/>
  <c r="AC119" i="20" a="1"/>
  <c r="AC119" i="20" s="1"/>
  <c r="AJ119" i="20" a="1"/>
  <c r="AJ119" i="20" s="1"/>
  <c r="AI119" i="20" a="1"/>
  <c r="AI119" i="20" s="1"/>
  <c r="B120" i="20"/>
  <c r="H120" i="20" s="1"/>
  <c r="G119" i="20"/>
  <c r="C120" i="20"/>
  <c r="A121" i="20"/>
  <c r="AQ122" i="20"/>
  <c r="AR122" i="20" s="1"/>
  <c r="F119" i="20"/>
  <c r="E119" i="20"/>
  <c r="H119" i="20"/>
  <c r="I119" i="20"/>
  <c r="D119" i="20"/>
  <c r="J120" i="20" l="1" a="1"/>
  <c r="J120" i="20" s="1"/>
  <c r="AP120" i="20" a="1"/>
  <c r="AP120" i="20" s="1"/>
  <c r="AD120" i="20" a="1"/>
  <c r="AD120" i="20" s="1"/>
  <c r="Z120" i="20" a="1"/>
  <c r="Z120" i="20" s="1"/>
  <c r="L121" i="20" a="1"/>
  <c r="L121" i="20" s="1"/>
  <c r="R121" i="20" a="1"/>
  <c r="R121" i="20" s="1"/>
  <c r="X121" i="20" a="1"/>
  <c r="X121" i="20" s="1"/>
  <c r="AD121" i="20" a="1"/>
  <c r="AD121" i="20" s="1"/>
  <c r="AJ121" i="20" a="1"/>
  <c r="AJ121" i="20" s="1"/>
  <c r="AP121" i="20" a="1"/>
  <c r="AP121" i="20" s="1"/>
  <c r="N121" i="20" a="1"/>
  <c r="N121" i="20" s="1"/>
  <c r="U121" i="20" a="1"/>
  <c r="U121" i="20" s="1"/>
  <c r="V121" i="20" a="1"/>
  <c r="V121" i="20" s="1"/>
  <c r="AC121" i="20" a="1"/>
  <c r="AC121" i="20" s="1"/>
  <c r="J121" i="20" a="1"/>
  <c r="J121" i="20" s="1"/>
  <c r="Q121" i="20" a="1"/>
  <c r="Q121" i="20" s="1"/>
  <c r="AM121" i="20" a="1"/>
  <c r="AM121" i="20" s="1"/>
  <c r="AE121" i="20" a="1"/>
  <c r="AE121" i="20" s="1"/>
  <c r="AG121" i="20" a="1"/>
  <c r="AG121" i="20" s="1"/>
  <c r="O121" i="20" a="1"/>
  <c r="O121" i="20" s="1"/>
  <c r="Y121" i="20" a="1"/>
  <c r="Y121" i="20" s="1"/>
  <c r="AH121" i="20" a="1"/>
  <c r="AH121" i="20" s="1"/>
  <c r="AK121" i="20" a="1"/>
  <c r="AK121" i="20" s="1"/>
  <c r="K121" i="20" a="1"/>
  <c r="K121" i="20" s="1"/>
  <c r="Z121" i="20" a="1"/>
  <c r="Z121" i="20" s="1"/>
  <c r="AN121" i="20" a="1"/>
  <c r="AN121" i="20" s="1"/>
  <c r="P121" i="20" a="1"/>
  <c r="P121" i="20" s="1"/>
  <c r="AB121" i="20" a="1"/>
  <c r="AB121" i="20" s="1"/>
  <c r="AF121" i="20" a="1"/>
  <c r="AF121" i="20" s="1"/>
  <c r="AI121" i="20" a="1"/>
  <c r="AI121" i="20" s="1"/>
  <c r="M121" i="20" a="1"/>
  <c r="M121" i="20" s="1"/>
  <c r="AL121" i="20" a="1"/>
  <c r="AL121" i="20" s="1"/>
  <c r="AO121" i="20" a="1"/>
  <c r="AO121" i="20" s="1"/>
  <c r="T121" i="20" a="1"/>
  <c r="T121" i="20" s="1"/>
  <c r="S121" i="20" a="1"/>
  <c r="S121" i="20" s="1"/>
  <c r="W121" i="20" a="1"/>
  <c r="W121" i="20" s="1"/>
  <c r="AA121" i="20" a="1"/>
  <c r="AA121" i="20" s="1"/>
  <c r="X120" i="20" a="1"/>
  <c r="X120" i="20" s="1"/>
  <c r="L120" i="20" a="1"/>
  <c r="L120" i="20" s="1"/>
  <c r="R120" i="20" a="1"/>
  <c r="R120" i="20" s="1"/>
  <c r="W120" i="20" a="1"/>
  <c r="W120" i="20" s="1"/>
  <c r="AL120" i="20" a="1"/>
  <c r="AL120" i="20" s="1"/>
  <c r="K120" i="20" a="1"/>
  <c r="K120" i="20" s="1"/>
  <c r="AC120" i="20" a="1"/>
  <c r="AC120" i="20" s="1"/>
  <c r="AM120" i="20" a="1"/>
  <c r="AM120" i="20" s="1"/>
  <c r="Q120" i="20" a="1"/>
  <c r="Q120" i="20" s="1"/>
  <c r="AB120" i="20" a="1"/>
  <c r="AB120" i="20" s="1"/>
  <c r="AG120" i="20" a="1"/>
  <c r="AG120" i="20" s="1"/>
  <c r="M120" i="20" a="1"/>
  <c r="M120" i="20" s="1"/>
  <c r="AI120" i="20" a="1"/>
  <c r="AI120" i="20" s="1"/>
  <c r="AA120" i="20" a="1"/>
  <c r="AA120" i="20" s="1"/>
  <c r="AJ120" i="20" a="1"/>
  <c r="AJ120" i="20" s="1"/>
  <c r="Y120" i="20" a="1"/>
  <c r="Y120" i="20" s="1"/>
  <c r="U120" i="20" a="1"/>
  <c r="U120" i="20" s="1"/>
  <c r="AF120" i="20" a="1"/>
  <c r="AF120" i="20" s="1"/>
  <c r="AH120" i="20" a="1"/>
  <c r="AH120" i="20" s="1"/>
  <c r="AK120" i="20" a="1"/>
  <c r="AK120" i="20" s="1"/>
  <c r="AO120" i="20" a="1"/>
  <c r="AO120" i="20" s="1"/>
  <c r="AN120" i="20" a="1"/>
  <c r="AN120" i="20" s="1"/>
  <c r="V120" i="20" a="1"/>
  <c r="V120" i="20" s="1"/>
  <c r="P120" i="20" a="1"/>
  <c r="P120" i="20" s="1"/>
  <c r="O120" i="20" a="1"/>
  <c r="O120" i="20" s="1"/>
  <c r="T120" i="20" a="1"/>
  <c r="T120" i="20" s="1"/>
  <c r="N120" i="20" a="1"/>
  <c r="N120" i="20" s="1"/>
  <c r="AE120" i="20" a="1"/>
  <c r="AE120" i="20" s="1"/>
  <c r="S120" i="20" a="1"/>
  <c r="S120" i="20" s="1"/>
  <c r="D120" i="20"/>
  <c r="I120" i="20"/>
  <c r="G120" i="20"/>
  <c r="E120" i="20"/>
  <c r="F120" i="20"/>
  <c r="A122" i="20"/>
  <c r="AQ123" i="20"/>
  <c r="AR123" i="20" s="1"/>
  <c r="B121" i="20"/>
  <c r="C121" i="20"/>
  <c r="O122" i="20" l="1" a="1"/>
  <c r="O122" i="20" s="1"/>
  <c r="U122" i="20" a="1"/>
  <c r="U122" i="20" s="1"/>
  <c r="AA122" i="20" a="1"/>
  <c r="AA122" i="20" s="1"/>
  <c r="AG122" i="20" a="1"/>
  <c r="AG122" i="20" s="1"/>
  <c r="AM122" i="20" a="1"/>
  <c r="AM122" i="20" s="1"/>
  <c r="J122" i="20" a="1"/>
  <c r="J122" i="20" s="1"/>
  <c r="Q122" i="20" a="1"/>
  <c r="Q122" i="20" s="1"/>
  <c r="X122" i="20" a="1"/>
  <c r="X122" i="20" s="1"/>
  <c r="Y122" i="20" a="1"/>
  <c r="Y122" i="20" s="1"/>
  <c r="AF122" i="20" a="1"/>
  <c r="AF122" i="20" s="1"/>
  <c r="M122" i="20" a="1"/>
  <c r="M122" i="20" s="1"/>
  <c r="T122" i="20" a="1"/>
  <c r="T122" i="20" s="1"/>
  <c r="AI122" i="20" a="1"/>
  <c r="AI122" i="20" s="1"/>
  <c r="AC122" i="20" a="1"/>
  <c r="AC122" i="20" s="1"/>
  <c r="AL122" i="20" a="1"/>
  <c r="AL122" i="20" s="1"/>
  <c r="K122" i="20" a="1"/>
  <c r="K122" i="20" s="1"/>
  <c r="AN122" i="20" a="1"/>
  <c r="AN122" i="20" s="1"/>
  <c r="P122" i="20" a="1"/>
  <c r="P122" i="20" s="1"/>
  <c r="AP122" i="20" a="1"/>
  <c r="AP122" i="20" s="1"/>
  <c r="S122" i="20" a="1"/>
  <c r="S122" i="20" s="1"/>
  <c r="L122" i="20" a="1"/>
  <c r="L122" i="20" s="1"/>
  <c r="AK122" i="20" a="1"/>
  <c r="AK122" i="20" s="1"/>
  <c r="R122" i="20" a="1"/>
  <c r="R122" i="20" s="1"/>
  <c r="AO122" i="20" a="1"/>
  <c r="AO122" i="20" s="1"/>
  <c r="Z122" i="20" a="1"/>
  <c r="Z122" i="20" s="1"/>
  <c r="V122" i="20" a="1"/>
  <c r="V122" i="20" s="1"/>
  <c r="W122" i="20" a="1"/>
  <c r="W122" i="20" s="1"/>
  <c r="AB122" i="20" a="1"/>
  <c r="AB122" i="20" s="1"/>
  <c r="AD122" i="20" a="1"/>
  <c r="AD122" i="20" s="1"/>
  <c r="AE122" i="20" a="1"/>
  <c r="AE122" i="20" s="1"/>
  <c r="AH122" i="20" a="1"/>
  <c r="AH122" i="20" s="1"/>
  <c r="N122" i="20" a="1"/>
  <c r="N122" i="20" s="1"/>
  <c r="AJ122" i="20" a="1"/>
  <c r="AJ122" i="20" s="1"/>
  <c r="G121" i="20"/>
  <c r="I121" i="20"/>
  <c r="F121" i="20"/>
  <c r="E121" i="20"/>
  <c r="D121" i="20"/>
  <c r="H121" i="20"/>
  <c r="A123" i="20"/>
  <c r="AQ124" i="20"/>
  <c r="AR124" i="20" s="1"/>
  <c r="B122" i="20"/>
  <c r="C122" i="20"/>
  <c r="G122" i="20" l="1"/>
  <c r="H122" i="20"/>
  <c r="I122" i="20"/>
  <c r="F122" i="20"/>
  <c r="D122" i="20"/>
  <c r="E122" i="20"/>
  <c r="AQ125" i="20"/>
  <c r="AR125" i="20" s="1"/>
  <c r="A124" i="20"/>
  <c r="B123" i="20"/>
  <c r="C123" i="20"/>
  <c r="M123" i="20" l="1" a="1"/>
  <c r="M123" i="20" s="1"/>
  <c r="AI123" i="20" a="1"/>
  <c r="AI123" i="20" s="1"/>
  <c r="AP123" i="20" a="1"/>
  <c r="AP123" i="20" s="1"/>
  <c r="AK123" i="20" a="1"/>
  <c r="AK123" i="20" s="1"/>
  <c r="AE123" i="20" a="1"/>
  <c r="AE123" i="20" s="1"/>
  <c r="N123" i="20" a="1"/>
  <c r="N123" i="20" s="1"/>
  <c r="AF123" i="20" a="1"/>
  <c r="AF123" i="20" s="1"/>
  <c r="J123" i="20" a="1"/>
  <c r="J123" i="20" s="1"/>
  <c r="L123" i="20" a="1"/>
  <c r="L123" i="20" s="1"/>
  <c r="Z123" i="20" a="1"/>
  <c r="Z123" i="20" s="1"/>
  <c r="P123" i="20" a="1"/>
  <c r="P123" i="20" s="1"/>
  <c r="AC123" i="20" a="1"/>
  <c r="AC123" i="20" s="1"/>
  <c r="Q123" i="20" a="1"/>
  <c r="Q123" i="20" s="1"/>
  <c r="U123" i="20" a="1"/>
  <c r="U123" i="20" s="1"/>
  <c r="W123" i="20" a="1"/>
  <c r="W123" i="20" s="1"/>
  <c r="AB123" i="20" a="1"/>
  <c r="AB123" i="20" s="1"/>
  <c r="AO123" i="20" a="1"/>
  <c r="AO123" i="20" s="1"/>
  <c r="V123" i="20" a="1"/>
  <c r="V123" i="20" s="1"/>
  <c r="AA123" i="20" a="1"/>
  <c r="AA123" i="20" s="1"/>
  <c r="O123" i="20" a="1"/>
  <c r="O123" i="20" s="1"/>
  <c r="AJ123" i="20" a="1"/>
  <c r="AJ123" i="20" s="1"/>
  <c r="K123" i="20" a="1"/>
  <c r="K123" i="20" s="1"/>
  <c r="AL123" i="20" a="1"/>
  <c r="AL123" i="20" s="1"/>
  <c r="AG123" i="20" a="1"/>
  <c r="AG123" i="20" s="1"/>
  <c r="S123" i="20" a="1"/>
  <c r="S123" i="20" s="1"/>
  <c r="AH123" i="20" a="1"/>
  <c r="AH123" i="20" s="1"/>
  <c r="T123" i="20" a="1"/>
  <c r="T123" i="20" s="1"/>
  <c r="AN123" i="20" a="1"/>
  <c r="AN123" i="20" s="1"/>
  <c r="AD123" i="20" a="1"/>
  <c r="AD123" i="20" s="1"/>
  <c r="X123" i="20" a="1"/>
  <c r="X123" i="20" s="1"/>
  <c r="R123" i="20" a="1"/>
  <c r="R123" i="20" s="1"/>
  <c r="AM123" i="20" a="1"/>
  <c r="AM123" i="20" s="1"/>
  <c r="Y123" i="20" a="1"/>
  <c r="Y123" i="20" s="1"/>
  <c r="G123" i="20"/>
  <c r="F123" i="20"/>
  <c r="E123" i="20"/>
  <c r="B124" i="20"/>
  <c r="C124" i="20"/>
  <c r="H123" i="20"/>
  <c r="D123" i="20"/>
  <c r="I123" i="20"/>
  <c r="AQ126" i="20"/>
  <c r="AR126" i="20" s="1"/>
  <c r="A125" i="20"/>
  <c r="P124" i="20" l="1" a="1"/>
  <c r="P124" i="20" s="1"/>
  <c r="T124" i="20" a="1"/>
  <c r="T124" i="20" s="1"/>
  <c r="U124" i="20" a="1"/>
  <c r="U124" i="20" s="1"/>
  <c r="AN124" i="20" a="1"/>
  <c r="AN124" i="20" s="1"/>
  <c r="K124" i="20" a="1"/>
  <c r="K124" i="20" s="1"/>
  <c r="O124" i="20" a="1"/>
  <c r="O124" i="20" s="1"/>
  <c r="AF124" i="20" a="1"/>
  <c r="AF124" i="20" s="1"/>
  <c r="AO124" i="20" a="1"/>
  <c r="AO124" i="20" s="1"/>
  <c r="L124" i="20" a="1"/>
  <c r="L124" i="20" s="1"/>
  <c r="AE124" i="20" a="1"/>
  <c r="AE124" i="20" s="1"/>
  <c r="Q124" i="20" a="1"/>
  <c r="Q124" i="20" s="1"/>
  <c r="V124" i="20" a="1"/>
  <c r="V124" i="20" s="1"/>
  <c r="AL124" i="20" a="1"/>
  <c r="AL124" i="20" s="1"/>
  <c r="AJ124" i="20" a="1"/>
  <c r="AJ124" i="20" s="1"/>
  <c r="X124" i="20" a="1"/>
  <c r="X124" i="20" s="1"/>
  <c r="Y124" i="20" a="1"/>
  <c r="Y124" i="20" s="1"/>
  <c r="AM124" i="20" a="1"/>
  <c r="AM124" i="20" s="1"/>
  <c r="AP124" i="20" a="1"/>
  <c r="AP124" i="20" s="1"/>
  <c r="AG124" i="20" a="1"/>
  <c r="AG124" i="20" s="1"/>
  <c r="AI124" i="20" a="1"/>
  <c r="AI124" i="20" s="1"/>
  <c r="AA124" i="20" a="1"/>
  <c r="AA124" i="20" s="1"/>
  <c r="J124" i="20" a="1"/>
  <c r="J124" i="20" s="1"/>
  <c r="Z124" i="20" a="1"/>
  <c r="Z124" i="20" s="1"/>
  <c r="AH124" i="20" a="1"/>
  <c r="AH124" i="20" s="1"/>
  <c r="S124" i="20" a="1"/>
  <c r="S124" i="20" s="1"/>
  <c r="M124" i="20" a="1"/>
  <c r="M124" i="20" s="1"/>
  <c r="AD124" i="20" a="1"/>
  <c r="AD124" i="20" s="1"/>
  <c r="R124" i="20" a="1"/>
  <c r="R124" i="20" s="1"/>
  <c r="AB124" i="20" a="1"/>
  <c r="AB124" i="20" s="1"/>
  <c r="AC124" i="20" a="1"/>
  <c r="AC124" i="20" s="1"/>
  <c r="W124" i="20" a="1"/>
  <c r="W124" i="20" s="1"/>
  <c r="AK124" i="20" a="1"/>
  <c r="AK124" i="20" s="1"/>
  <c r="N124" i="20" a="1"/>
  <c r="N124" i="20" s="1"/>
  <c r="G124" i="20"/>
  <c r="D124" i="20"/>
  <c r="I124" i="20"/>
  <c r="F124" i="20"/>
  <c r="H124" i="20"/>
  <c r="B125" i="20"/>
  <c r="C125" i="20"/>
  <c r="A126" i="20"/>
  <c r="AQ127" i="20"/>
  <c r="AR127" i="20" s="1"/>
  <c r="E124" i="20"/>
  <c r="L125" i="20" l="1" a="1"/>
  <c r="L125" i="20" s="1"/>
  <c r="T125" i="20" a="1"/>
  <c r="T125" i="20" s="1"/>
  <c r="AP125" i="20" a="1"/>
  <c r="AP125" i="20" s="1"/>
  <c r="AJ125" i="20" a="1"/>
  <c r="AJ125" i="20" s="1"/>
  <c r="AL125" i="20" a="1"/>
  <c r="AL125" i="20" s="1"/>
  <c r="P125" i="20" a="1"/>
  <c r="P125" i="20" s="1"/>
  <c r="Y125" i="20" a="1"/>
  <c r="Y125" i="20" s="1"/>
  <c r="AK125" i="20" a="1"/>
  <c r="AK125" i="20" s="1"/>
  <c r="O125" i="20" a="1"/>
  <c r="O125" i="20" s="1"/>
  <c r="V125" i="20" a="1"/>
  <c r="V125" i="20" s="1"/>
  <c r="O126" i="20" a="1"/>
  <c r="O126" i="20" s="1"/>
  <c r="U126" i="20" a="1"/>
  <c r="U126" i="20" s="1"/>
  <c r="AA126" i="20" a="1"/>
  <c r="AA126" i="20" s="1"/>
  <c r="AG126" i="20" a="1"/>
  <c r="AG126" i="20" s="1"/>
  <c r="AM126" i="20" a="1"/>
  <c r="AM126" i="20" s="1"/>
  <c r="V126" i="20" a="1"/>
  <c r="V126" i="20" s="1"/>
  <c r="AC126" i="20" a="1"/>
  <c r="AC126" i="20" s="1"/>
  <c r="AJ126" i="20" a="1"/>
  <c r="AJ126" i="20" s="1"/>
  <c r="AK126" i="20" a="1"/>
  <c r="AK126" i="20" s="1"/>
  <c r="Y126" i="20" a="1"/>
  <c r="Y126" i="20" s="1"/>
  <c r="AF126" i="20" a="1"/>
  <c r="AF126" i="20" s="1"/>
  <c r="R126" i="20" a="1"/>
  <c r="R126" i="20" s="1"/>
  <c r="L126" i="20" a="1"/>
  <c r="L126" i="20" s="1"/>
  <c r="AO126" i="20" a="1"/>
  <c r="AO126" i="20" s="1"/>
  <c r="M126" i="20" a="1"/>
  <c r="M126" i="20" s="1"/>
  <c r="W126" i="20" a="1"/>
  <c r="W126" i="20" s="1"/>
  <c r="AL126" i="20" a="1"/>
  <c r="AL126" i="20" s="1"/>
  <c r="P126" i="20" a="1"/>
  <c r="P126" i="20" s="1"/>
  <c r="AB126" i="20" a="1"/>
  <c r="AB126" i="20" s="1"/>
  <c r="AP126" i="20" a="1"/>
  <c r="AP126" i="20" s="1"/>
  <c r="S126" i="20" a="1"/>
  <c r="S126" i="20" s="1"/>
  <c r="AE126" i="20" a="1"/>
  <c r="AE126" i="20" s="1"/>
  <c r="T126" i="20" a="1"/>
  <c r="T126" i="20" s="1"/>
  <c r="AH126" i="20" a="1"/>
  <c r="AH126" i="20" s="1"/>
  <c r="AN126" i="20" a="1"/>
  <c r="AN126" i="20" s="1"/>
  <c r="X126" i="20" a="1"/>
  <c r="X126" i="20" s="1"/>
  <c r="Z126" i="20" a="1"/>
  <c r="Z126" i="20" s="1"/>
  <c r="K126" i="20" a="1"/>
  <c r="K126" i="20" s="1"/>
  <c r="AD126" i="20" a="1"/>
  <c r="AD126" i="20" s="1"/>
  <c r="J126" i="20" a="1"/>
  <c r="J126" i="20" s="1"/>
  <c r="Q126" i="20" a="1"/>
  <c r="Q126" i="20" s="1"/>
  <c r="AI126" i="20" a="1"/>
  <c r="AI126" i="20" s="1"/>
  <c r="N126" i="20" a="1"/>
  <c r="N126" i="20" s="1"/>
  <c r="AO125" i="20" a="1"/>
  <c r="AO125" i="20" s="1"/>
  <c r="AH125" i="20" a="1"/>
  <c r="AH125" i="20" s="1"/>
  <c r="AB125" i="20" a="1"/>
  <c r="AB125" i="20" s="1"/>
  <c r="W125" i="20" a="1"/>
  <c r="W125" i="20" s="1"/>
  <c r="AG125" i="20" a="1"/>
  <c r="AG125" i="20" s="1"/>
  <c r="AI125" i="20" a="1"/>
  <c r="AI125" i="20" s="1"/>
  <c r="U125" i="20" a="1"/>
  <c r="U125" i="20" s="1"/>
  <c r="J125" i="20" a="1"/>
  <c r="J125" i="20" s="1"/>
  <c r="Z125" i="20" a="1"/>
  <c r="Z125" i="20" s="1"/>
  <c r="AM125" i="20" a="1"/>
  <c r="AM125" i="20" s="1"/>
  <c r="AF125" i="20" a="1"/>
  <c r="AF125" i="20" s="1"/>
  <c r="S125" i="20" a="1"/>
  <c r="S125" i="20" s="1"/>
  <c r="N125" i="20" a="1"/>
  <c r="N125" i="20" s="1"/>
  <c r="AA125" i="20" a="1"/>
  <c r="AA125" i="20" s="1"/>
  <c r="AD125" i="20" a="1"/>
  <c r="AD125" i="20" s="1"/>
  <c r="AE125" i="20" a="1"/>
  <c r="AE125" i="20" s="1"/>
  <c r="Q125" i="20" a="1"/>
  <c r="Q125" i="20" s="1"/>
  <c r="X125" i="20" a="1"/>
  <c r="X125" i="20" s="1"/>
  <c r="K125" i="20" a="1"/>
  <c r="K125" i="20" s="1"/>
  <c r="M125" i="20" a="1"/>
  <c r="M125" i="20" s="1"/>
  <c r="R125" i="20" a="1"/>
  <c r="R125" i="20" s="1"/>
  <c r="AN125" i="20" a="1"/>
  <c r="AN125" i="20" s="1"/>
  <c r="AC125" i="20" a="1"/>
  <c r="AC125" i="20" s="1"/>
  <c r="H125" i="20"/>
  <c r="D125" i="20"/>
  <c r="F125" i="20"/>
  <c r="I125" i="20"/>
  <c r="E125" i="20"/>
  <c r="G125" i="20"/>
  <c r="A127" i="20"/>
  <c r="AQ128" i="20"/>
  <c r="AR128" i="20" s="1"/>
  <c r="C126" i="20"/>
  <c r="B126" i="20"/>
  <c r="L127" i="20" l="1" a="1"/>
  <c r="L127" i="20" s="1"/>
  <c r="R127" i="20" a="1"/>
  <c r="R127" i="20" s="1"/>
  <c r="X127" i="20" a="1"/>
  <c r="X127" i="20" s="1"/>
  <c r="AD127" i="20" a="1"/>
  <c r="AD127" i="20" s="1"/>
  <c r="AJ127" i="20" a="1"/>
  <c r="AJ127" i="20" s="1"/>
  <c r="AP127" i="20" a="1"/>
  <c r="AP127" i="20" s="1"/>
  <c r="Y127" i="20" a="1"/>
  <c r="Y127" i="20" s="1"/>
  <c r="AF127" i="20" a="1"/>
  <c r="AF127" i="20" s="1"/>
  <c r="AM127" i="20" a="1"/>
  <c r="AM127" i="20" s="1"/>
  <c r="K127" i="20" a="1"/>
  <c r="K127" i="20" s="1"/>
  <c r="AN127" i="20" a="1"/>
  <c r="AN127" i="20" s="1"/>
  <c r="AB127" i="20" a="1"/>
  <c r="AB127" i="20" s="1"/>
  <c r="AI127" i="20" a="1"/>
  <c r="AI127" i="20" s="1"/>
  <c r="N127" i="20" a="1"/>
  <c r="N127" i="20" s="1"/>
  <c r="W127" i="20" a="1"/>
  <c r="W127" i="20" s="1"/>
  <c r="AG127" i="20" a="1"/>
  <c r="AG127" i="20" s="1"/>
  <c r="Q127" i="20" a="1"/>
  <c r="Q127" i="20" s="1"/>
  <c r="AA127" i="20" a="1"/>
  <c r="AA127" i="20" s="1"/>
  <c r="AK127" i="20" a="1"/>
  <c r="AK127" i="20" s="1"/>
  <c r="S127" i="20" a="1"/>
  <c r="S127" i="20" s="1"/>
  <c r="U127" i="20" a="1"/>
  <c r="U127" i="20" s="1"/>
  <c r="AH127" i="20" a="1"/>
  <c r="AH127" i="20" s="1"/>
  <c r="V127" i="20" a="1"/>
  <c r="V127" i="20" s="1"/>
  <c r="M127" i="20" a="1"/>
  <c r="M127" i="20" s="1"/>
  <c r="Z127" i="20" a="1"/>
  <c r="Z127" i="20" s="1"/>
  <c r="J127" i="20" a="1"/>
  <c r="J127" i="20" s="1"/>
  <c r="AE127" i="20" a="1"/>
  <c r="AE127" i="20" s="1"/>
  <c r="O127" i="20" a="1"/>
  <c r="O127" i="20" s="1"/>
  <c r="AL127" i="20" a="1"/>
  <c r="AL127" i="20" s="1"/>
  <c r="P127" i="20" a="1"/>
  <c r="P127" i="20" s="1"/>
  <c r="AC127" i="20" a="1"/>
  <c r="AC127" i="20" s="1"/>
  <c r="AO127" i="20" a="1"/>
  <c r="AO127" i="20" s="1"/>
  <c r="T127" i="20" a="1"/>
  <c r="T127" i="20" s="1"/>
  <c r="E126" i="20"/>
  <c r="D126" i="20"/>
  <c r="H126" i="20"/>
  <c r="G126" i="20"/>
  <c r="F126" i="20"/>
  <c r="I126" i="20"/>
  <c r="A128" i="20"/>
  <c r="AQ129" i="20"/>
  <c r="AR129" i="20" s="1"/>
  <c r="B127" i="20"/>
  <c r="C127" i="20"/>
  <c r="G127" i="20" l="1"/>
  <c r="F127" i="20"/>
  <c r="H127" i="20"/>
  <c r="E127" i="20"/>
  <c r="I127" i="20"/>
  <c r="D127" i="20"/>
  <c r="B128" i="20"/>
  <c r="C128" i="20"/>
  <c r="A129" i="20"/>
  <c r="AQ130" i="20"/>
  <c r="AR130" i="20" s="1"/>
  <c r="A130" i="20" s="1"/>
  <c r="U128" i="20" l="1" a="1"/>
  <c r="U128" i="20" s="1"/>
  <c r="AH128" i="20" a="1"/>
  <c r="AH128" i="20" s="1"/>
  <c r="AN128" i="20" a="1"/>
  <c r="AN128" i="20" s="1"/>
  <c r="AL128" i="20" a="1"/>
  <c r="AL128" i="20" s="1"/>
  <c r="O128" i="20" a="1"/>
  <c r="O128" i="20" s="1"/>
  <c r="N128" i="20" a="1"/>
  <c r="N128" i="20" s="1"/>
  <c r="K128" i="20" a="1"/>
  <c r="K128" i="20" s="1"/>
  <c r="AD128" i="20" a="1"/>
  <c r="AD128" i="20" s="1"/>
  <c r="P128" i="20" a="1"/>
  <c r="P128" i="20" s="1"/>
  <c r="AF128" i="20" a="1"/>
  <c r="AF128" i="20" s="1"/>
  <c r="V128" i="20" a="1"/>
  <c r="V128" i="20" s="1"/>
  <c r="Z128" i="20" a="1"/>
  <c r="Z128" i="20" s="1"/>
  <c r="M128" i="20" a="1"/>
  <c r="M128" i="20" s="1"/>
  <c r="AC128" i="20" a="1"/>
  <c r="AC128" i="20" s="1"/>
  <c r="Q128" i="20" a="1"/>
  <c r="Q128" i="20" s="1"/>
  <c r="AI128" i="20" a="1"/>
  <c r="AI128" i="20" s="1"/>
  <c r="AK128" i="20" a="1"/>
  <c r="AK128" i="20" s="1"/>
  <c r="R128" i="20" a="1"/>
  <c r="R128" i="20" s="1"/>
  <c r="S128" i="20" a="1"/>
  <c r="S128" i="20" s="1"/>
  <c r="J128" i="20" a="1"/>
  <c r="J128" i="20" s="1"/>
  <c r="AJ128" i="20" a="1"/>
  <c r="AJ128" i="20" s="1"/>
  <c r="AO128" i="20" a="1"/>
  <c r="AO128" i="20" s="1"/>
  <c r="Q130" i="20" a="1"/>
  <c r="Q130" i="20" s="1"/>
  <c r="W130" i="20" a="1"/>
  <c r="W130" i="20" s="1"/>
  <c r="AC130" i="20" a="1"/>
  <c r="AC130" i="20" s="1"/>
  <c r="AI130" i="20" a="1"/>
  <c r="AI130" i="20" s="1"/>
  <c r="AO130" i="20" a="1"/>
  <c r="AO130" i="20" s="1"/>
  <c r="P130" i="20" a="1"/>
  <c r="P130" i="20" s="1"/>
  <c r="AK130" i="20" a="1"/>
  <c r="AK130" i="20" s="1"/>
  <c r="X130" i="20" a="1"/>
  <c r="X130" i="20" s="1"/>
  <c r="AF130" i="20" a="1"/>
  <c r="AF130" i="20" s="1"/>
  <c r="AN130" i="20" a="1"/>
  <c r="AN130" i="20" s="1"/>
  <c r="R130" i="20" a="1"/>
  <c r="R130" i="20" s="1"/>
  <c r="K130" i="20" a="1"/>
  <c r="K130" i="20" s="1"/>
  <c r="S130" i="20" a="1"/>
  <c r="S130" i="20" s="1"/>
  <c r="AA130" i="20" a="1"/>
  <c r="AA130" i="20" s="1"/>
  <c r="AE130" i="20" a="1"/>
  <c r="AE130" i="20" s="1"/>
  <c r="T130" i="20" a="1"/>
  <c r="T130" i="20" s="1"/>
  <c r="AG130" i="20" a="1"/>
  <c r="AG130" i="20" s="1"/>
  <c r="AH130" i="20" a="1"/>
  <c r="AH130" i="20" s="1"/>
  <c r="V130" i="20" a="1"/>
  <c r="V130" i="20" s="1"/>
  <c r="AJ130" i="20" a="1"/>
  <c r="AJ130" i="20" s="1"/>
  <c r="AD130" i="20" a="1"/>
  <c r="AD130" i="20" s="1"/>
  <c r="U130" i="20" a="1"/>
  <c r="U130" i="20" s="1"/>
  <c r="J130" i="20" a="1"/>
  <c r="J130" i="20" s="1"/>
  <c r="Y130" i="20" a="1"/>
  <c r="Y130" i="20" s="1"/>
  <c r="AL130" i="20" a="1"/>
  <c r="AL130" i="20" s="1"/>
  <c r="L130" i="20" a="1"/>
  <c r="L130" i="20" s="1"/>
  <c r="AM130" i="20" a="1"/>
  <c r="AM130" i="20" s="1"/>
  <c r="M130" i="20" a="1"/>
  <c r="M130" i="20" s="1"/>
  <c r="Z130" i="20" a="1"/>
  <c r="Z130" i="20" s="1"/>
  <c r="O130" i="20" a="1"/>
  <c r="O130" i="20" s="1"/>
  <c r="N130" i="20" a="1"/>
  <c r="N130" i="20" s="1"/>
  <c r="AB130" i="20" a="1"/>
  <c r="AB130" i="20" s="1"/>
  <c r="AP130" i="20" a="1"/>
  <c r="AP130" i="20" s="1"/>
  <c r="X128" i="20" a="1"/>
  <c r="X128" i="20" s="1"/>
  <c r="AB128" i="20" a="1"/>
  <c r="AB128" i="20" s="1"/>
  <c r="Y128" i="20" a="1"/>
  <c r="Y128" i="20" s="1"/>
  <c r="T128" i="20" a="1"/>
  <c r="T128" i="20" s="1"/>
  <c r="AG128" i="20" a="1"/>
  <c r="AG128" i="20" s="1"/>
  <c r="AA128" i="20" a="1"/>
  <c r="AA128" i="20" s="1"/>
  <c r="U129" i="20" a="1"/>
  <c r="U129" i="20" s="1"/>
  <c r="AB129" i="20" a="1"/>
  <c r="AB129" i="20" s="1"/>
  <c r="AO129" i="20" a="1"/>
  <c r="AO129" i="20" s="1"/>
  <c r="K129" i="20" a="1"/>
  <c r="K129" i="20" s="1"/>
  <c r="X129" i="20" a="1"/>
  <c r="X129" i="20" s="1"/>
  <c r="AK129" i="20" a="1"/>
  <c r="AK129" i="20" s="1"/>
  <c r="J129" i="20" a="1"/>
  <c r="J129" i="20" s="1"/>
  <c r="R129" i="20" a="1"/>
  <c r="R129" i="20" s="1"/>
  <c r="AG129" i="20" a="1"/>
  <c r="AG129" i="20" s="1"/>
  <c r="M129" i="20" a="1"/>
  <c r="M129" i="20" s="1"/>
  <c r="V129" i="20" a="1"/>
  <c r="V129" i="20" s="1"/>
  <c r="T129" i="20" a="1"/>
  <c r="T129" i="20" s="1"/>
  <c r="AL129" i="20" a="1"/>
  <c r="AL129" i="20" s="1"/>
  <c r="W129" i="20" a="1"/>
  <c r="W129" i="20" s="1"/>
  <c r="AN129" i="20" a="1"/>
  <c r="AN129" i="20" s="1"/>
  <c r="N129" i="20" a="1"/>
  <c r="N129" i="20" s="1"/>
  <c r="AF129" i="20" a="1"/>
  <c r="AF129" i="20" s="1"/>
  <c r="P129" i="20" a="1"/>
  <c r="P129" i="20" s="1"/>
  <c r="Y129" i="20" a="1"/>
  <c r="Y129" i="20" s="1"/>
  <c r="AH129" i="20" a="1"/>
  <c r="AH129" i="20" s="1"/>
  <c r="Q129" i="20" a="1"/>
  <c r="Q129" i="20" s="1"/>
  <c r="Z129" i="20" a="1"/>
  <c r="Z129" i="20" s="1"/>
  <c r="AA129" i="20" a="1"/>
  <c r="AA129" i="20" s="1"/>
  <c r="AP129" i="20" a="1"/>
  <c r="AP129" i="20" s="1"/>
  <c r="S129" i="20" a="1"/>
  <c r="S129" i="20" s="1"/>
  <c r="AM129" i="20" a="1"/>
  <c r="AM129" i="20" s="1"/>
  <c r="L129" i="20" a="1"/>
  <c r="L129" i="20" s="1"/>
  <c r="AC129" i="20" a="1"/>
  <c r="AC129" i="20" s="1"/>
  <c r="O129" i="20" a="1"/>
  <c r="O129" i="20" s="1"/>
  <c r="AD129" i="20" a="1"/>
  <c r="AD129" i="20" s="1"/>
  <c r="AE129" i="20" a="1"/>
  <c r="AE129" i="20" s="1"/>
  <c r="AI129" i="20" a="1"/>
  <c r="AI129" i="20" s="1"/>
  <c r="AJ129" i="20" a="1"/>
  <c r="AJ129" i="20" s="1"/>
  <c r="AE128" i="20" a="1"/>
  <c r="AE128" i="20" s="1"/>
  <c r="AP128" i="20" a="1"/>
  <c r="AP128" i="20" s="1"/>
  <c r="L128" i="20" a="1"/>
  <c r="L128" i="20" s="1"/>
  <c r="W128" i="20" a="1"/>
  <c r="W128" i="20" s="1"/>
  <c r="AM128" i="20" a="1"/>
  <c r="AM128" i="20" s="1"/>
  <c r="H128" i="20"/>
  <c r="G128" i="20"/>
  <c r="I128" i="20"/>
  <c r="E128" i="20"/>
  <c r="F128" i="20"/>
  <c r="D128" i="20"/>
  <c r="B130" i="20"/>
  <c r="F130" i="20" s="1"/>
  <c r="C130" i="20"/>
  <c r="C129" i="20"/>
  <c r="B129" i="20"/>
  <c r="F129" i="20" l="1"/>
  <c r="E130" i="20"/>
  <c r="H130" i="20"/>
  <c r="I129" i="20"/>
  <c r="G129" i="20"/>
  <c r="G130" i="20"/>
  <c r="D130" i="20"/>
  <c r="D129" i="20"/>
  <c r="I130" i="20"/>
  <c r="H129" i="20"/>
  <c r="E129" i="20"/>
  <c r="A10" i="33" l="1"/>
  <c r="A11" i="33" l="1"/>
  <c r="A12" i="33"/>
  <c r="A13" i="33" l="1"/>
  <c r="A14" i="33" l="1"/>
  <c r="A15" i="33" l="1"/>
  <c r="A16" i="33" l="1"/>
  <c r="A17" i="33" l="1"/>
  <c r="A18" i="33" l="1"/>
  <c r="A19" i="33" l="1"/>
  <c r="A20" i="33" l="1"/>
  <c r="A21" i="33" l="1"/>
  <c r="A22" i="33" l="1"/>
  <c r="A23" i="33" l="1"/>
  <c r="A24" i="33" l="1"/>
  <c r="A25" i="33" l="1"/>
  <c r="A26" i="33" l="1"/>
  <c r="A27" i="33" l="1"/>
  <c r="A28" i="33" l="1"/>
  <c r="A29" i="33" l="1"/>
  <c r="A30" i="33" l="1"/>
  <c r="A31" i="33" l="1"/>
  <c r="A32" i="33" l="1"/>
  <c r="A33" i="33" l="1"/>
  <c r="A34" i="33" l="1"/>
  <c r="A35" i="33" l="1"/>
  <c r="A36" i="33" l="1"/>
  <c r="A37" i="33" l="1"/>
  <c r="A38" i="33" l="1"/>
  <c r="A39" i="33" l="1"/>
  <c r="A40" i="33" l="1"/>
  <c r="A41" i="33" l="1"/>
  <c r="A42" i="33" l="1"/>
  <c r="A43" i="33" l="1"/>
  <c r="A44" i="33" l="1"/>
  <c r="A45" i="33" l="1"/>
  <c r="A46" i="33" l="1"/>
  <c r="A47" i="33" l="1"/>
  <c r="A48" i="33" l="1"/>
  <c r="A49" i="33" l="1"/>
  <c r="AK73" i="18" l="1"/>
  <c r="U36" i="18"/>
  <c r="U41" i="18" s="1"/>
  <c r="K55" i="18"/>
  <c r="O111" i="20" s="1" a="1"/>
  <c r="O111"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Fadiel Ahjum</author>
  </authors>
  <commentList>
    <comment ref="B1" authorId="0" shapeId="0" xr:uid="{00000000-0006-0000-0000-000001000000}">
      <text>
        <r>
          <rPr>
            <sz val="9"/>
            <color indexed="81"/>
            <rFont val="Tahoma"/>
            <family val="2"/>
          </rPr>
          <t>Flag should be be set in TCH_TIME_SLICES where all sectors can be set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Mary Haw</author>
  </authors>
  <commentList>
    <comment ref="G42" authorId="0" shapeId="0" xr:uid="{00000000-0006-0000-0400-000001000000}">
      <text>
        <r>
          <rPr>
            <b/>
            <sz val="8"/>
            <color indexed="81"/>
            <rFont val="Tahoma"/>
            <family val="2"/>
          </rPr>
          <t>Mary Haw:</t>
        </r>
        <r>
          <rPr>
            <sz val="8"/>
            <color indexed="81"/>
            <rFont val="Tahoma"/>
            <family val="2"/>
          </rPr>
          <t xml:space="preserve">
from useful energy demand</t>
        </r>
      </text>
    </comment>
    <comment ref="F43" authorId="0" shapeId="0" xr:uid="{00000000-0006-0000-0400-000002000000}">
      <text>
        <r>
          <rPr>
            <b/>
            <sz val="8"/>
            <color indexed="81"/>
            <rFont val="Tahoma"/>
            <family val="2"/>
          </rPr>
          <t>Mary Haw:</t>
        </r>
        <r>
          <rPr>
            <sz val="8"/>
            <color indexed="81"/>
            <rFont val="Tahoma"/>
            <family val="2"/>
          </rPr>
          <t xml:space="preserve">
or Million R/PJ
</t>
        </r>
      </text>
    </comment>
    <comment ref="G43" authorId="0" shapeId="0" xr:uid="{00000000-0006-0000-0400-000003000000}">
      <text>
        <r>
          <rPr>
            <b/>
            <sz val="8"/>
            <color indexed="81"/>
            <rFont val="Tahoma"/>
            <family val="2"/>
          </rPr>
          <t>Mary Haw:</t>
        </r>
        <r>
          <rPr>
            <sz val="8"/>
            <color indexed="81"/>
            <rFont val="Tahoma"/>
            <family val="2"/>
          </rPr>
          <t xml:space="preserve">
NOTE: this is in TJ so needs to be changed to PJ before input to MARKAL. (current model does not do this)</t>
        </r>
      </text>
    </comment>
    <comment ref="A49" authorId="0" shapeId="0" xr:uid="{00000000-0006-0000-0400-000004000000}">
      <text>
        <r>
          <rPr>
            <b/>
            <sz val="8"/>
            <color indexed="81"/>
            <rFont val="Tahoma"/>
            <family val="2"/>
          </rPr>
          <t>Mary Haw:</t>
        </r>
        <r>
          <rPr>
            <sz val="8"/>
            <color indexed="81"/>
            <rFont val="Tahoma"/>
            <family val="2"/>
          </rPr>
          <t xml:space="preserve">
17 July: added as requested by the DME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Adrian Stone</author>
    <author>Hughes</author>
    <author>Gregory</author>
  </authors>
  <commentList>
    <comment ref="B17" authorId="0" shapeId="0" xr:uid="{00000000-0006-0000-0C00-000001000000}">
      <text>
        <r>
          <rPr>
            <b/>
            <sz val="11"/>
            <color indexed="81"/>
            <rFont val="Tahoma"/>
            <family val="2"/>
          </rPr>
          <t>Adrian Stone:</t>
        </r>
        <r>
          <rPr>
            <sz val="11"/>
            <color indexed="81"/>
            <rFont val="Tahoma"/>
            <family val="2"/>
          </rPr>
          <t xml:space="preserve">
This is an aggregation of the IEP energy services split (see Howells, Kenny &amp; Solomon, 2002). This split was for electricity only. This table was generated by applying the IEP assumptions to the 2001 energy balance. These were: 
1. That 29% of electrcity consumption is irrigation pumping,
2. That irrigation final energy share by electrcity, diesel &amp; gasoline is 76%, 12% and 12%
3. That IEP categories 'Processing' and 'Materials Handling' are aggregated to 'Processing' and are 26% of electricity consumption.
4. That the remaining IEP energy services are aggregated into 'Other' and have a 45% share of electricity consumption</t>
        </r>
      </text>
    </comment>
    <comment ref="E27" authorId="1" shapeId="0" xr:uid="{00000000-0006-0000-0C00-000002000000}">
      <text>
        <r>
          <rPr>
            <b/>
            <sz val="8"/>
            <color indexed="81"/>
            <rFont val="Tahoma"/>
            <family val="2"/>
          </rPr>
          <t>Hughes:</t>
        </r>
        <r>
          <rPr>
            <sz val="8"/>
            <color indexed="81"/>
            <rFont val="Tahoma"/>
            <family val="2"/>
          </rPr>
          <t xml:space="preserve">
seems traktors should be replaced after around 5000 hours, but can last as much as 8000 if they are looked after 
</t>
        </r>
      </text>
    </comment>
    <comment ref="B28" authorId="2" shapeId="0" xr:uid="{00000000-0006-0000-0C00-000003000000}">
      <text>
        <r>
          <rPr>
            <b/>
            <sz val="11"/>
            <color indexed="81"/>
            <rFont val="Tahoma"/>
            <family val="2"/>
          </rPr>
          <t>Gregory:</t>
        </r>
        <r>
          <rPr>
            <sz val="11"/>
            <color indexed="81"/>
            <rFont val="Tahoma"/>
            <family val="2"/>
          </rPr>
          <t xml:space="preserve">
2012 energy balance has no petrol in agriculture</t>
        </r>
      </text>
    </comment>
    <comment ref="B29" authorId="0" shapeId="0" xr:uid="{00000000-0006-0000-0C00-000004000000}">
      <text>
        <r>
          <rPr>
            <b/>
            <sz val="11"/>
            <color indexed="81"/>
            <rFont val="Tahoma"/>
            <family val="2"/>
          </rPr>
          <t xml:space="preserve">Adrian Stone:
</t>
        </r>
        <r>
          <rPr>
            <sz val="11"/>
            <color indexed="81"/>
            <rFont val="Tahoma"/>
            <family val="2"/>
          </rPr>
          <t>The Irrigation FINAL Energy shares assumed for the IEP and LTMS were:
Electricity: 76%
Diesel: 12%
Gasoline: 12%
This translates to a USEFUL energy split of:
Electricity: 91%
Diesel: 5%
Gasoline: 4%
because of the disparate efficiencies.
The final energy split has been adjusted from the above in favour of electricity to reflect increased rural electrification and dominance of large industrial farms.</t>
        </r>
      </text>
    </comment>
    <comment ref="B31" authorId="2" shapeId="0" xr:uid="{00000000-0006-0000-0C00-000005000000}">
      <text>
        <r>
          <rPr>
            <b/>
            <sz val="11"/>
            <color indexed="81"/>
            <rFont val="Tahoma"/>
            <family val="2"/>
          </rPr>
          <t>Gregory:</t>
        </r>
        <r>
          <rPr>
            <sz val="11"/>
            <color indexed="81"/>
            <rFont val="Tahoma"/>
            <family val="2"/>
          </rPr>
          <t xml:space="preserve">
Adjusted to fit 2012 Energy Balance which has no petrol assigned to the AGR sector. 
It's share has been assigned to diesel. Slight change in elec share due to efficiency differences.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tc={B78C0C49-1324-4E57-B96B-6176ABAF428B}</author>
    <author>Bruno Merven</author>
    <author>Fadiel</author>
    <author>Gregory</author>
    <author>ESAP PC</author>
  </authors>
  <commentList>
    <comment ref="D7" authorId="0" shapeId="0" xr:uid="{B78C0C49-1324-4E57-B96B-6176ABAF428B}">
      <text>
        <t>[Threaded comment]
Your version of Excel allows you to read this threaded comment; however, any edits to it will get removed if the file is opened in a newer version of Excel. Learn more: https://go.microsoft.com/fwlink/?linkid=870924
Comment:
    adjusted based on ESRG EB 2017</t>
      </text>
    </comment>
    <comment ref="H7" authorId="1" shapeId="0" xr:uid="{00000000-0006-0000-0E00-000001000000}">
      <text>
        <r>
          <rPr>
            <b/>
            <sz val="8"/>
            <color indexed="81"/>
            <rFont val="Tahoma"/>
            <family val="2"/>
          </rPr>
          <t>Bruno Merven:</t>
        </r>
        <r>
          <rPr>
            <sz val="8"/>
            <color indexed="81"/>
            <rFont val="Tahoma"/>
            <family val="2"/>
          </rPr>
          <t xml:space="preserve">
need to subtract some from RES</t>
        </r>
      </text>
    </comment>
    <comment ref="I7" authorId="1" shapeId="0" xr:uid="{00000000-0006-0000-0E00-000002000000}">
      <text>
        <r>
          <rPr>
            <b/>
            <sz val="8"/>
            <color indexed="81"/>
            <rFont val="Tahoma"/>
            <family val="2"/>
          </rPr>
          <t>Bruno Merven:</t>
        </r>
        <r>
          <rPr>
            <sz val="8"/>
            <color indexed="81"/>
            <rFont val="Tahoma"/>
            <family val="2"/>
          </rPr>
          <t xml:space="preserve">
LPG balance is suspicious</t>
        </r>
      </text>
    </comment>
    <comment ref="L35" authorId="2" shapeId="0" xr:uid="{0A859FC9-CB5D-414A-B993-2A29F1EF7809}">
      <text>
        <r>
          <rPr>
            <b/>
            <sz val="9"/>
            <color indexed="81"/>
            <rFont val="Tahoma"/>
            <family val="2"/>
          </rPr>
          <t>Fadiel:</t>
        </r>
        <r>
          <rPr>
            <sz val="9"/>
            <color indexed="81"/>
            <rFont val="Tahoma"/>
            <family val="2"/>
          </rPr>
          <t xml:space="preserve">
From 2017 EB wb</t>
        </r>
      </text>
    </comment>
    <comment ref="U36" authorId="2" shapeId="0" xr:uid="{1FD86C05-8C59-4393-8796-595589E10548}">
      <text>
        <r>
          <rPr>
            <b/>
            <sz val="9"/>
            <color indexed="81"/>
            <rFont val="Tahoma"/>
            <family val="2"/>
          </rPr>
          <t>Fadiel:</t>
        </r>
        <r>
          <rPr>
            <sz val="9"/>
            <color indexed="81"/>
            <rFont val="Tahoma"/>
            <family val="2"/>
          </rPr>
          <t xml:space="preserve">
linked to DMD.PRJ[AGR]</t>
        </r>
      </text>
    </comment>
    <comment ref="S43" authorId="3" shapeId="0" xr:uid="{00000000-0006-0000-0E00-000003000000}">
      <text>
        <r>
          <rPr>
            <b/>
            <sz val="11"/>
            <color indexed="81"/>
            <rFont val="Tahoma"/>
            <family val="2"/>
          </rPr>
          <t>Gregory:</t>
        </r>
        <r>
          <rPr>
            <sz val="11"/>
            <color indexed="81"/>
            <rFont val="Tahoma"/>
            <family val="2"/>
          </rPr>
          <t xml:space="preserve">
Changed market share limit years from 2010 to 2016 to reflect 6 year base year shift from 2006 to 2012. Otherwise unchanged.</t>
        </r>
      </text>
    </comment>
    <comment ref="X49" authorId="4" shapeId="0" xr:uid="{00000000-0006-0000-0E00-000004000000}">
      <text>
        <r>
          <rPr>
            <b/>
            <sz val="10"/>
            <color indexed="81"/>
            <rFont val="Tahoma"/>
            <family val="2"/>
          </rPr>
          <t>ESAP PC:</t>
        </r>
        <r>
          <rPr>
            <sz val="10"/>
            <color indexed="81"/>
            <rFont val="Tahoma"/>
            <family val="2"/>
          </rPr>
          <t xml:space="preserve">
Shifted base tech share year to 2012 and next lower limits to 2015
(Gregory)</t>
        </r>
      </text>
    </comment>
    <comment ref="G52" authorId="1" shapeId="0" xr:uid="{00000000-0006-0000-0E00-000005000000}">
      <text>
        <r>
          <rPr>
            <b/>
            <sz val="8"/>
            <color indexed="81"/>
            <rFont val="Tahoma"/>
            <family val="2"/>
          </rPr>
          <t>Bruno Merven:</t>
        </r>
        <r>
          <rPr>
            <sz val="8"/>
            <color indexed="81"/>
            <rFont val="Tahoma"/>
            <family val="2"/>
          </rPr>
          <t xml:space="preserve">
From load curve data</t>
        </r>
      </text>
    </comment>
    <comment ref="G67" authorId="1" shapeId="0" xr:uid="{00000000-0006-0000-0E00-000006000000}">
      <text>
        <r>
          <rPr>
            <b/>
            <sz val="8"/>
            <color indexed="81"/>
            <rFont val="Tahoma"/>
            <family val="2"/>
          </rPr>
          <t>Bruno Merven:</t>
        </r>
        <r>
          <rPr>
            <sz val="8"/>
            <color indexed="81"/>
            <rFont val="Tahoma"/>
            <family val="2"/>
          </rPr>
          <t xml:space="preserve">
From load curve data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<sst xmlns="http://schemas.openxmlformats.org/spreadsheetml/2006/main" count="2144" uniqueCount="419">
  <si>
    <t>Petrol Transport</t>
    <phoneticPr fontId="7" type="noConversion"/>
  </si>
  <si>
    <t>Petrol Pumps</t>
    <phoneticPr fontId="7" type="noConversion"/>
  </si>
  <si>
    <t>Project:</t>
  </si>
  <si>
    <t>Calculation:</t>
  </si>
  <si>
    <t>Author:</t>
  </si>
  <si>
    <t>Energy Research Centre</t>
  </si>
  <si>
    <t>University of Cape Town</t>
  </si>
  <si>
    <t>Issue:</t>
  </si>
  <si>
    <t>Draft 1</t>
  </si>
  <si>
    <t>Date:</t>
  </si>
  <si>
    <t>o128424000</t>
    <phoneticPr fontId="7" type="noConversion"/>
  </si>
  <si>
    <t>ARC-INSTITUTE OF AGRIC ENGINEERING</t>
    <phoneticPr fontId="7" type="noConversion"/>
  </si>
  <si>
    <t>Y</t>
    <phoneticPr fontId="7" type="noConversion"/>
  </si>
  <si>
    <t>Interviewed</t>
    <phoneticPr fontId="7" type="noConversion"/>
  </si>
  <si>
    <t>Company/Organisation</t>
    <phoneticPr fontId="7" type="noConversion"/>
  </si>
  <si>
    <t>Name</t>
    <phoneticPr fontId="7" type="noConversion"/>
  </si>
  <si>
    <t>Contact number</t>
    <phoneticPr fontId="7" type="noConversion"/>
  </si>
  <si>
    <t>address</t>
    <phoneticPr fontId="7" type="noConversion"/>
  </si>
  <si>
    <t>Email</t>
    <phoneticPr fontId="7" type="noConversion"/>
  </si>
  <si>
    <t>website</t>
    <phoneticPr fontId="7" type="noConversion"/>
  </si>
  <si>
    <t>progress</t>
    <phoneticPr fontId="7" type="noConversion"/>
  </si>
  <si>
    <t>Eskom</t>
    <phoneticPr fontId="7" type="noConversion"/>
  </si>
  <si>
    <t>Neels Bezuidenhout(refered by Felix)</t>
    <phoneticPr fontId="7" type="noConversion"/>
  </si>
  <si>
    <t>o834400131</t>
    <phoneticPr fontId="7" type="noConversion"/>
  </si>
  <si>
    <t>Other Kerosene</t>
  </si>
  <si>
    <t>Gas Diesel</t>
  </si>
  <si>
    <t>HFO</t>
    <phoneticPr fontId="7" type="noConversion"/>
  </si>
  <si>
    <t>TOTAL</t>
    <phoneticPr fontId="7" type="noConversion"/>
  </si>
  <si>
    <t>Heat Thermal\Coal Bituminous</t>
  </si>
  <si>
    <t>Heat Thermal\Fuel Oil</t>
  </si>
  <si>
    <t>Heat Thermal\LPG</t>
  </si>
  <si>
    <t>Heat Thermal\Paraffin</t>
  </si>
  <si>
    <t>Irrigation\Diesel</t>
  </si>
  <si>
    <t>Irrigation\Elec</t>
  </si>
  <si>
    <t>Irrigation\Petrol</t>
  </si>
  <si>
    <t>Other\Elec</t>
  </si>
  <si>
    <t>Tractors harvestors transport\Diesel</t>
  </si>
  <si>
    <t>Heating</t>
    <phoneticPr fontId="7" type="noConversion"/>
  </si>
  <si>
    <t xml:space="preserve">Processing </t>
    <phoneticPr fontId="7" type="noConversion"/>
  </si>
  <si>
    <t>alfred.andrag@agrico.co.za</t>
  </si>
  <si>
    <t>SABI</t>
    <phoneticPr fontId="7" type="noConversion"/>
  </si>
  <si>
    <t>021 950 4111</t>
  </si>
  <si>
    <t>P O Box 364, Bellville 7535</t>
    <phoneticPr fontId="7" type="noConversion"/>
  </si>
  <si>
    <t>www.andragagrico.co.za</t>
  </si>
  <si>
    <t>Alfred Andrag</t>
  </si>
  <si>
    <t>AGRICO (Pty) Ltd</t>
  </si>
  <si>
    <t>Cobus</t>
    <phoneticPr fontId="7" type="noConversion"/>
  </si>
  <si>
    <t>o124256300</t>
    <phoneticPr fontId="7" type="noConversion"/>
  </si>
  <si>
    <t>o829202496</t>
    <phoneticPr fontId="7" type="noConversion"/>
  </si>
  <si>
    <t>SABI-Central branch</t>
    <phoneticPr fontId="7" type="noConversion"/>
  </si>
  <si>
    <t>Theuns Dreyer</t>
    <phoneticPr fontId="7" type="noConversion"/>
  </si>
  <si>
    <t>o184691331</t>
    <phoneticPr fontId="7" type="noConversion"/>
  </si>
  <si>
    <t>o825645955</t>
    <phoneticPr fontId="7" type="noConversion"/>
  </si>
  <si>
    <t>SENTER360</t>
    <phoneticPr fontId="7" type="noConversion"/>
  </si>
  <si>
    <t>www.senter360.co.za</t>
  </si>
  <si>
    <t>Y</t>
    <phoneticPr fontId="7" type="noConversion"/>
  </si>
  <si>
    <t>To send spreadsheet</t>
    <phoneticPr fontId="7" type="noConversion"/>
  </si>
  <si>
    <t>Rob</t>
    <phoneticPr fontId="7" type="noConversion"/>
  </si>
  <si>
    <t>SABI-KZN</t>
    <phoneticPr fontId="7" type="noConversion"/>
  </si>
  <si>
    <t>14h00</t>
    <phoneticPr fontId="7" type="noConversion"/>
  </si>
  <si>
    <t>Tony</t>
    <phoneticPr fontId="7" type="noConversion"/>
  </si>
  <si>
    <t>o333422491</t>
    <phoneticPr fontId="7" type="noConversion"/>
  </si>
  <si>
    <t>o437321927</t>
    <phoneticPr fontId="7" type="noConversion"/>
  </si>
  <si>
    <t>Monday</t>
    <phoneticPr fontId="7" type="noConversion"/>
  </si>
  <si>
    <t>DKIP</t>
    <phoneticPr fontId="7" type="noConversion"/>
  </si>
  <si>
    <t>Felix</t>
    <phoneticPr fontId="7" type="noConversion"/>
  </si>
  <si>
    <t>Tractors harvestors transport\Petrol</t>
  </si>
  <si>
    <t>Total</t>
  </si>
  <si>
    <t>%</t>
    <phoneticPr fontId="10" type="noConversion"/>
  </si>
  <si>
    <t>Tractors harvestors transport Demand</t>
  </si>
  <si>
    <t xml:space="preserve">Heating </t>
    <phoneticPr fontId="7" type="noConversion"/>
  </si>
  <si>
    <t xml:space="preserve">Irrigation </t>
    <phoneticPr fontId="7" type="noConversion"/>
  </si>
  <si>
    <t xml:space="preserve">Other </t>
    <phoneticPr fontId="7" type="noConversion"/>
  </si>
  <si>
    <t>Total</t>
    <phoneticPr fontId="7" type="noConversion"/>
  </si>
  <si>
    <t xml:space="preserve">Processes </t>
    <phoneticPr fontId="7" type="noConversion"/>
  </si>
  <si>
    <t>Electric equipment</t>
    <phoneticPr fontId="7" type="noConversion"/>
  </si>
  <si>
    <t>IEP</t>
    <phoneticPr fontId="7" type="noConversion"/>
  </si>
  <si>
    <t>DME Energy Balances 2006</t>
    <phoneticPr fontId="7" type="noConversion"/>
  </si>
  <si>
    <t>AGRICULTURE</t>
    <phoneticPr fontId="7" type="noConversion"/>
  </si>
  <si>
    <t>Irrigation</t>
  </si>
  <si>
    <t>Shares</t>
  </si>
  <si>
    <t>Diesel</t>
  </si>
  <si>
    <t>low</t>
  </si>
  <si>
    <t>up</t>
  </si>
  <si>
    <t>Petrol</t>
  </si>
  <si>
    <t>Sum</t>
  </si>
  <si>
    <t>Summer night</t>
  </si>
  <si>
    <t>Winter day</t>
  </si>
  <si>
    <t>Winter night</t>
  </si>
  <si>
    <t>Total</t>
    <phoneticPr fontId="7" type="noConversion"/>
  </si>
  <si>
    <t xml:space="preserve">Heating </t>
    <phoneticPr fontId="7" type="noConversion"/>
  </si>
  <si>
    <t>Processing</t>
    <phoneticPr fontId="7" type="noConversion"/>
  </si>
  <si>
    <t>Processing \Elec</t>
  </si>
  <si>
    <t>Processing \Elec</t>
    <phoneticPr fontId="7" type="noConversion"/>
  </si>
  <si>
    <r>
      <t>Irrigation\Elec</t>
    </r>
    <r>
      <rPr>
        <vertAlign val="superscript"/>
        <sz val="10"/>
        <rFont val="Arial"/>
        <family val="2"/>
      </rPr>
      <t>6</t>
    </r>
    <phoneticPr fontId="7" type="noConversion"/>
  </si>
  <si>
    <r>
      <t>Irrigation\Diesel</t>
    </r>
    <r>
      <rPr>
        <vertAlign val="superscript"/>
        <sz val="10"/>
        <rFont val="Arial"/>
        <family val="2"/>
      </rPr>
      <t>6</t>
    </r>
    <phoneticPr fontId="7" type="noConversion"/>
  </si>
  <si>
    <r>
      <t>Irrigation\Petrol</t>
    </r>
    <r>
      <rPr>
        <vertAlign val="superscript"/>
        <sz val="10"/>
        <rFont val="Arial"/>
        <family val="2"/>
      </rPr>
      <t>6</t>
    </r>
    <phoneticPr fontId="7" type="noConversion"/>
  </si>
  <si>
    <t>Heat Thermal\Renewable biomass</t>
  </si>
  <si>
    <t>Processes all elec\Elec</t>
  </si>
  <si>
    <t>Tractors harvestors transport\Biofuel Diesel</t>
  </si>
  <si>
    <t>Tractors harvestors transport\Biofuel Ethanol</t>
  </si>
  <si>
    <t>Absolute difference (TJ)</t>
  </si>
  <si>
    <t>Construction</t>
  </si>
  <si>
    <t>Road</t>
  </si>
  <si>
    <t>Commerce and Public Services</t>
  </si>
  <si>
    <t>Residential</t>
  </si>
  <si>
    <t>Mining and Quarrying</t>
  </si>
  <si>
    <t>Rail</t>
  </si>
  <si>
    <t>Gasoline</t>
  </si>
  <si>
    <t>LTMS Up-date</t>
    <phoneticPr fontId="7" type="noConversion"/>
  </si>
  <si>
    <t>Alfred Moyo</t>
    <phoneticPr fontId="7" type="noConversion"/>
  </si>
  <si>
    <t>Winkler, Harald et al 2006 "Energy Policies for sustainable Development in South Africa - Options for the Future", Energy Research Centre, University of Cape Town</t>
    <phoneticPr fontId="7" type="noConversion"/>
  </si>
  <si>
    <t xml:space="preserve">Spreadsheet from previous LTMS, suppied by Alison. See Appendix 1  </t>
    <phoneticPr fontId="7" type="noConversion"/>
  </si>
  <si>
    <t>Results from the LEAP Model. See Appendix 2</t>
    <phoneticPr fontId="7" type="noConversion"/>
  </si>
  <si>
    <t>DME energy balance 2006. See Appendix 3</t>
    <phoneticPr fontId="7" type="noConversion"/>
  </si>
  <si>
    <t>SAPIA energy balances. See Appendix 4</t>
    <phoneticPr fontId="7" type="noConversion"/>
  </si>
  <si>
    <t>Other</t>
  </si>
  <si>
    <t xml:space="preserve">External sources: </t>
  </si>
  <si>
    <t>Heating</t>
  </si>
  <si>
    <t>Tractors, harvesters and transport</t>
  </si>
  <si>
    <t>Bio-Diesel</t>
  </si>
  <si>
    <t>Bio-Ethanol</t>
  </si>
  <si>
    <t>Heat</t>
  </si>
  <si>
    <t>Coal</t>
  </si>
  <si>
    <t>Paraffin</t>
  </si>
  <si>
    <t>Renewables</t>
  </si>
  <si>
    <t xml:space="preserve">Traction </t>
    <phoneticPr fontId="7" type="noConversion"/>
  </si>
  <si>
    <t>Irrigation</t>
    <phoneticPr fontId="7" type="noConversion"/>
  </si>
  <si>
    <t>Other</t>
    <phoneticPr fontId="7" type="noConversion"/>
  </si>
  <si>
    <t>Coal heating</t>
    <phoneticPr fontId="7" type="noConversion"/>
  </si>
  <si>
    <t>LPG heating</t>
    <phoneticPr fontId="7" type="noConversion"/>
  </si>
  <si>
    <t>HFO heating</t>
    <phoneticPr fontId="7" type="noConversion"/>
  </si>
  <si>
    <t>Paraffin heating</t>
    <phoneticPr fontId="7" type="noConversion"/>
  </si>
  <si>
    <t xml:space="preserve">SECTOR: </t>
  </si>
  <si>
    <t>Electricity</t>
  </si>
  <si>
    <t>HFO</t>
  </si>
  <si>
    <t xml:space="preserve">Technology </t>
  </si>
  <si>
    <t>Coal</t>
    <phoneticPr fontId="7" type="noConversion"/>
  </si>
  <si>
    <t>LPG</t>
    <phoneticPr fontId="7" type="noConversion"/>
  </si>
  <si>
    <t xml:space="preserve">Parafin </t>
    <phoneticPr fontId="7" type="noConversion"/>
  </si>
  <si>
    <t>Traction</t>
    <phoneticPr fontId="7" type="noConversion"/>
  </si>
  <si>
    <t>Irrigation</t>
    <phoneticPr fontId="7" type="noConversion"/>
  </si>
  <si>
    <t>Other</t>
    <phoneticPr fontId="7" type="noConversion"/>
  </si>
  <si>
    <t>Diesel</t>
    <phoneticPr fontId="7" type="noConversion"/>
  </si>
  <si>
    <t>Petrol</t>
    <phoneticPr fontId="7" type="noConversion"/>
  </si>
  <si>
    <t>Diesel Transport</t>
    <phoneticPr fontId="7" type="noConversion"/>
  </si>
  <si>
    <t>Electric Pumps</t>
    <phoneticPr fontId="7" type="noConversion"/>
  </si>
  <si>
    <t>Diesel Pumps</t>
    <phoneticPr fontId="7" type="noConversion"/>
  </si>
  <si>
    <t>TJ</t>
  </si>
  <si>
    <t>Agriculture</t>
  </si>
  <si>
    <t>Butimous Coal</t>
  </si>
  <si>
    <t>LPG</t>
  </si>
  <si>
    <t>Motor Gasoline</t>
  </si>
  <si>
    <t>Other Agriculture</t>
    <phoneticPr fontId="7" type="noConversion"/>
  </si>
  <si>
    <t>Discussions with experts</t>
    <phoneticPr fontId="7" type="noConversion"/>
  </si>
  <si>
    <t>PJ</t>
    <phoneticPr fontId="7" type="noConversion"/>
  </si>
  <si>
    <t>End use Demand, 2006</t>
    <phoneticPr fontId="7" type="noConversion"/>
  </si>
  <si>
    <t>See Appendix 2</t>
    <phoneticPr fontId="7" type="noConversion"/>
  </si>
  <si>
    <t>See Appendix 2 for above</t>
    <phoneticPr fontId="7" type="noConversion"/>
  </si>
  <si>
    <r>
      <t>Tractors harvestors transport\Diesel</t>
    </r>
    <r>
      <rPr>
        <vertAlign val="superscript"/>
        <sz val="10"/>
        <rFont val="Arial"/>
        <family val="2"/>
      </rPr>
      <t>5</t>
    </r>
    <phoneticPr fontId="7" type="noConversion"/>
  </si>
  <si>
    <r>
      <t>Tractors harvestors transport\Petrol</t>
    </r>
    <r>
      <rPr>
        <vertAlign val="superscript"/>
        <sz val="10"/>
        <rFont val="Arial"/>
        <family val="2"/>
      </rPr>
      <t>5</t>
    </r>
    <phoneticPr fontId="7" type="noConversion"/>
  </si>
  <si>
    <t>Heat</t>
    <phoneticPr fontId="7" type="noConversion"/>
  </si>
  <si>
    <t>To email info</t>
    <phoneticPr fontId="7" type="noConversion"/>
  </si>
  <si>
    <t>refered me to Neels</t>
    <phoneticPr fontId="7" type="noConversion"/>
  </si>
  <si>
    <t>On leave, going back on 14/02/2011</t>
    <phoneticPr fontId="7" type="noConversion"/>
  </si>
  <si>
    <t>Efficiency (See Appendix 1)</t>
    <phoneticPr fontId="7" type="noConversion"/>
  </si>
  <si>
    <t>Tractors harvestors transport\Diesel</t>
    <phoneticPr fontId="7" type="noConversion"/>
  </si>
  <si>
    <t>Tractors harvestors transport\Petrol</t>
    <phoneticPr fontId="7" type="noConversion"/>
  </si>
  <si>
    <t>Irrigation\Diesel</t>
    <phoneticPr fontId="7" type="noConversion"/>
  </si>
  <si>
    <t>Irrigation\Elec</t>
    <phoneticPr fontId="7" type="noConversion"/>
  </si>
  <si>
    <t>Irrigation\Petrol</t>
    <phoneticPr fontId="7" type="noConversion"/>
  </si>
  <si>
    <t>Useful Demand 2006 (TJ)</t>
    <phoneticPr fontId="7" type="noConversion"/>
  </si>
  <si>
    <t>Shares used in the IEP. See Appendix 5</t>
    <phoneticPr fontId="7" type="noConversion"/>
  </si>
  <si>
    <t>Experts contacted for advice. See Appendix 6</t>
    <phoneticPr fontId="7" type="noConversion"/>
  </si>
  <si>
    <t>Final Energy Demand 2001 (source: spreadsheets for source 3)</t>
  </si>
  <si>
    <t>Fuel Use</t>
  </si>
  <si>
    <t>Efficiency</t>
  </si>
  <si>
    <t>[PJ]</t>
  </si>
  <si>
    <t>Pumps</t>
  </si>
  <si>
    <t>Tractors, harvesters, transport</t>
  </si>
  <si>
    <t xml:space="preserve">Diesel </t>
  </si>
  <si>
    <t>Processing and Handling</t>
  </si>
  <si>
    <t>since this is only using electricity, the efficiency is assumed to be 100%</t>
  </si>
  <si>
    <t>Fuel use [TJ]</t>
  </si>
  <si>
    <t>(source: 3 pg 131)</t>
  </si>
  <si>
    <t>Fuels [TJ]</t>
  </si>
  <si>
    <t>use</t>
  </si>
  <si>
    <t>PJ</t>
  </si>
  <si>
    <t>heat</t>
  </si>
  <si>
    <t>tractors etc</t>
  </si>
  <si>
    <t>processing, other, irrigation</t>
  </si>
  <si>
    <t>TOTAL</t>
  </si>
  <si>
    <t>note: this has been cross checked with the Final Energy Demand table above and is good</t>
  </si>
  <si>
    <t>Technology Information</t>
  </si>
  <si>
    <t>Fuel consumed</t>
  </si>
  <si>
    <t>device</t>
  </si>
  <si>
    <t>efficiency 2000</t>
  </si>
  <si>
    <t>efficiency 2030</t>
  </si>
  <si>
    <t>maximum potential improvement in energy efficiency</t>
  </si>
  <si>
    <t>Investment cost</t>
  </si>
  <si>
    <t>residual capacity</t>
  </si>
  <si>
    <t>lifetime</t>
  </si>
  <si>
    <t xml:space="preserve">[R/GJ] </t>
  </si>
  <si>
    <t>[TJ]</t>
  </si>
  <si>
    <t>[years]</t>
  </si>
  <si>
    <t>Tractors, Harvesters, Transport</t>
  </si>
  <si>
    <t>Bio-diesel</t>
  </si>
  <si>
    <t>THT</t>
  </si>
  <si>
    <t>Bio-ethanol</t>
  </si>
  <si>
    <t>Time of Use</t>
  </si>
  <si>
    <t>Processing</t>
  </si>
  <si>
    <t>Intermediate day</t>
  </si>
  <si>
    <t>Intermediate night</t>
  </si>
  <si>
    <t>Summer day</t>
  </si>
  <si>
    <t>Useful demand in the Agricultura sector</t>
  </si>
  <si>
    <t>Adjusting for heating</t>
  </si>
  <si>
    <t>REGIONS</t>
  </si>
  <si>
    <t>_GLOBAL,REGION1</t>
  </si>
  <si>
    <t>South Africa</t>
  </si>
  <si>
    <t>Base Year Energy Balance</t>
  </si>
  <si>
    <t>Base-year final energy aggregated by sector fuel</t>
  </si>
  <si>
    <t>Entry #</t>
  </si>
  <si>
    <t>Fuel #</t>
  </si>
  <si>
    <t>Sectoral Fuel Names</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</si>
  <si>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</si>
  <si>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</si>
  <si>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</si>
  <si>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</si>
  <si>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</si>
  <si>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</si>
  <si>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</si>
  <si>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</si>
  <si>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</si>
  <si>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</si>
  <si>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</si>
  <si>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</si>
  <si>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</si>
  <si>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</si>
  <si>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</si>
  <si>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</si>
  <si>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</si>
  <si>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</si>
  <si>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</si>
  <si>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</si>
  <si>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</si>
  <si>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</si>
  <si>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</si>
  <si>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</si>
  <si>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</si>
  <si>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</si>
  <si>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</si>
  <si>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</si>
  <si>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</si>
  <si>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</si>
  <si>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</si>
  <si>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</si>
  <si>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</si>
  <si>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</si>
  <si>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</si>
  <si>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</si>
  <si>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</si>
  <si>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</si>
  <si>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</si>
  <si>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</si>
  <si>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</si>
  <si>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</si>
  <si>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</si>
  <si>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</si>
  <si>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</si>
  <si>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</si>
  <si>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</si>
  <si>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</si>
  <si>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</si>
  <si>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</si>
  <si>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</si>
  <si>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</si>
  <si>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</si>
  <si>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</si>
  <si>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</si>
  <si>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</si>
  <si>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</si>
  <si>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</si>
  <si>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</si>
  <si>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</si>
  <si>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</si>
  <si>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</si>
  <si>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</si>
  <si>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</si>
  <si>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</si>
  <si>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</si>
  <si>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</si>
  <si>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</si>
  <si>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</si>
  <si>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</si>
  <si>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</si>
  <si>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</si>
  <si>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</si>
  <si>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</si>
  <si>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</si>
  <si>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</si>
  <si>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</si>
  <si>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</si>
  <si>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</si>
  <si>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</si>
  <si>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</si>
  <si>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</si>
  <si>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</si>
  <si>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</si>
  <si>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</si>
  <si>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</si>
  <si>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</si>
  <si>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</si>
  <si>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</si>
  <si>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</si>
  <si>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</si>
  <si>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</si>
  <si>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</si>
  <si>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</si>
  <si>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</si>
  <si>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</si>
  <si>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</si>
  <si>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</si>
  <si>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</si>
  <si>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</si>
  <si>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</si>
  <si>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COM_PROJ</t>
  </si>
  <si>
    <t>NCAP_COST</t>
  </si>
  <si>
    <t>FLO_EMIS</t>
  </si>
  <si>
    <t>checkValue</t>
  </si>
  <si>
    <t>eps</t>
  </si>
  <si>
    <t>COA</t>
  </si>
  <si>
    <t>ELC</t>
  </si>
  <si>
    <t>AGR</t>
  </si>
  <si>
    <t>Traction</t>
  </si>
  <si>
    <t>P</t>
  </si>
  <si>
    <t>T</t>
  </si>
  <si>
    <t>I</t>
  </si>
  <si>
    <t>A</t>
  </si>
  <si>
    <t xml:space="preserve"> </t>
  </si>
  <si>
    <t>End Use Shares</t>
  </si>
  <si>
    <t>COM,DEM,ANNUAL,RES</t>
  </si>
  <si>
    <t>COM_FR</t>
  </si>
  <si>
    <t>TimeSlice</t>
  </si>
  <si>
    <t>From: [ltms update_agriculture]Agric LEAP'!C36</t>
  </si>
  <si>
    <t>From: [SAPIA_EB_Comparison (version 1).xlsb]DieselComp'!D57</t>
  </si>
  <si>
    <t>SAPIA EB categories</t>
  </si>
  <si>
    <t>DME Energy Balances</t>
  </si>
  <si>
    <t>% difference (EB-SAPIA)/SAPIA</t>
  </si>
  <si>
    <t>Default Lower Limits</t>
  </si>
  <si>
    <t>Base Year Tech Share</t>
  </si>
  <si>
    <t>Upper Limit</t>
  </si>
  <si>
    <t>Lower Limit</t>
  </si>
  <si>
    <t>Default Upper Limits</t>
  </si>
  <si>
    <t>FLO_MARK</t>
  </si>
  <si>
    <t>U</t>
  </si>
  <si>
    <t>LO</t>
  </si>
  <si>
    <t>L</t>
  </si>
  <si>
    <t>Oil Diesel</t>
  </si>
  <si>
    <t>ODS</t>
  </si>
  <si>
    <t>Oil Gasoline</t>
  </si>
  <si>
    <t>OGS</t>
  </si>
  <si>
    <t>Oil HFO</t>
  </si>
  <si>
    <t>OHF</t>
  </si>
  <si>
    <t>Oil LPG</t>
  </si>
  <si>
    <t>OLP</t>
  </si>
  <si>
    <t>Oil Paraffin</t>
  </si>
  <si>
    <t>OKE</t>
  </si>
  <si>
    <t>Step 0</t>
  </si>
  <si>
    <t>Step 1</t>
  </si>
  <si>
    <t>Irrigation share is then split into electricity, diesel and gasoline shares in an 86%, 10%, 4% split.</t>
  </si>
  <si>
    <t>Step 2</t>
  </si>
  <si>
    <t>Step 3</t>
  </si>
  <si>
    <t>All Processing assumed to be electricity. This is assumed to be 29% of all electricity as per IEP the sum of 10% 'Process' and 16% 'Materials Handling'</t>
  </si>
  <si>
    <t>All 'Other' assumed electrical. This would be lighting etc. Calculated as (Total - Irrigation - Processing) ie Balancing Item</t>
  </si>
  <si>
    <t>Summary of Assumptions</t>
  </si>
  <si>
    <t>Remaining Diesel and Petrol is allocated to Traction</t>
  </si>
  <si>
    <t>Step 4</t>
  </si>
  <si>
    <t>Assumption Inputs</t>
  </si>
  <si>
    <t>LEAP Energy demand 2006 (%)</t>
  </si>
  <si>
    <t>Check</t>
  </si>
  <si>
    <t>Thermal fuel share is determined, allocated to 'Heating' and other shares adjusted by scaling 'LEAP Energy Demand 2006' shares</t>
  </si>
  <si>
    <t>20 timeslices</t>
  </si>
  <si>
    <t>shortened</t>
  </si>
  <si>
    <t>TimeSlice Version</t>
  </si>
  <si>
    <t>Short 8</t>
  </si>
  <si>
    <t>Long 20</t>
  </si>
  <si>
    <t>Energy Balances DME 2012</t>
  </si>
  <si>
    <t>Energy Balance 2012 - Appendix 7</t>
  </si>
  <si>
    <t>Energy Balances 2012</t>
  </si>
  <si>
    <t>Shares (2012)</t>
  </si>
  <si>
    <t>Energy use 2012 (TJ)</t>
  </si>
  <si>
    <t>1 PAMs</t>
  </si>
  <si>
    <t>0 Reference</t>
  </si>
  <si>
    <t>Reference</t>
  </si>
  <si>
    <t>PAM</t>
  </si>
  <si>
    <t>Efficiency 2020</t>
  </si>
  <si>
    <t>Baseline</t>
  </si>
  <si>
    <t xml:space="preserve">PAMS afolu calcs. </t>
  </si>
  <si>
    <t>Diesel PJ</t>
  </si>
  <si>
    <t>Afolu waste pams</t>
  </si>
  <si>
    <t>Liters</t>
  </si>
  <si>
    <t>PAMS ON:</t>
  </si>
  <si>
    <t>2017 EB</t>
  </si>
  <si>
    <t>End-use Shares by  service</t>
  </si>
  <si>
    <t xml:space="preserve">Total Final </t>
  </si>
  <si>
    <t xml:space="preserve">Total Useful </t>
  </si>
  <si>
    <t>fadiel</t>
  </si>
  <si>
    <t>Editor</t>
  </si>
  <si>
    <t>worksheets edited</t>
  </si>
  <si>
    <t>New Capacity Bound</t>
  </si>
  <si>
    <t>AGRCOA</t>
  </si>
  <si>
    <t>AGRODS</t>
  </si>
  <si>
    <t>AGRELC</t>
  </si>
  <si>
    <t>AGROGS</t>
  </si>
  <si>
    <t>AGROHF</t>
  </si>
  <si>
    <t>AGROKE</t>
  </si>
  <si>
    <t>AGROLP</t>
  </si>
  <si>
    <t>AGR; TS_DMARK; TS_FLOSHAR</t>
  </si>
  <si>
    <t>[1 ]Added minimum lower market shares   for 2017 for service demands to match final fuel consumption in UCT 2017 EB; 
[2] Also added:  Eff, AFA and  RESID values for 2017 in AGR; 
[3] changed lookup formulae in TS_DMARK; and
[4] ADDED TS_FLOSHAR as an alternative to FLO_MARK parameter [flag to switch parameters  is set in TS_FLOSHAR]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</si>
</sst>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 #,##0.00_ ;_ * \-#,##0.00_ ;_ * &quot;-&quot;??_ ;_ @_ "/>
    <numFmt numFmtId="165" formatCode="_(* #,##0.00_);_(* \(#,##0.00\);_(* &quot;-&quot;??_);_(@_)"/>
    <numFmt numFmtId="166" formatCode="dd/mm/yy;@"/>
    <numFmt numFmtId="167" formatCode="#,##0.0"/>
    <numFmt numFmtId="168" formatCode="0.0%"/>
    <numFmt numFmtId="169" formatCode="d\ mmmm\ yyyy"/>
    <numFmt numFmtId="170" formatCode="_ * #,##0_ ;_ * \-#,##0_ ;_ * &quot;-&quot;??_ ;_ @_ "/>
    <numFmt numFmtId="171" formatCode="#,##0.000"/>
    <numFmt numFmtId="172" formatCode="0.0_)"/>
    <numFmt numFmtId="173" formatCode="0.0"/>
    <numFmt numFmtId="174" formatCode="[$-809]General"/>
    <numFmt numFmtId="175" formatCode="#,##0.00&quot; &quot;;&quot; -&quot;#,##0.00&quot; &quot;;&quot; -&quot;#&quot; &quot;;@&quot; &quot;"/>
    <numFmt numFmtId="176" formatCode="[$£-809]#,##0.00;[Red]&quot;-&quot;[$£-809]#,##0.00"/>
    <numFmt numFmtId="177" formatCode="#,##0.0000000"/>
    <numFmt numFmtId="178" formatCode="0.0000"/>
    <numFmt numFmtId="179" formatCode="#,##0.0000"/>
    <numFmt numFmtId="180" formatCode="0.000"/>
    <numFmt numFmtId="181" formatCode="0.00000"/>
    <numFmt numFmtId="182" formatCode="#,##0.000000"/>
    <numFmt numFmtId="183" formatCode="_-* #,##0_-;\-* #,##0_-;_-* &quot;-&quot;??_-;_-@_-"/>
    <numFmt numFmtId="184" formatCode="_-* #,##0.000_-;\-* #,##0.000_-;_-* &quot;-&quot;??_-;_-@_-"/>
  </numFmts>
  <fonts count="68">
    <font>
      <sz val="10"/>
      <name val="Arial"/>
    </font>
    <font>
      <sz val="11"/>
      <color theme="1"/>
      <name val="Calibri"/>
      <family val="2"/>
      <scheme val="minor"/>
    </font>
    <font>
      <sz val="10"/>
      <name val="Arial"/>
      <family val="2"/>
    </font>
    <font>
      <b/>
      <sz val="10"/>
      <name val="Arial"/>
      <family val="2"/>
    </font>
    <font>
      <b/>
      <sz val="12"/>
      <name val="Arial"/>
      <family val="2"/>
    </font>
    <font>
      <b/>
      <sz val="10"/>
      <name val="Verdana"/>
      <family val="2"/>
    </font>
    <font>
      <b/>
      <sz val="10"/>
      <color indexed="9"/>
      <name val="Verdana"/>
      <family val="2"/>
    </font>
    <font>
      <sz val="8"/>
      <name val="Verdana"/>
      <family val="2"/>
    </font>
    <font>
      <u/>
      <sz val="10"/>
      <color indexed="12"/>
      <name val="Arial"/>
      <family val="2"/>
    </font>
    <font>
      <b/>
      <sz val="10"/>
      <name val="Helv"/>
    </font>
    <font>
      <sz val="8"/>
      <name val="Arial"/>
      <family val="2"/>
    </font>
    <font>
      <sz val="10"/>
      <color indexed="9"/>
      <name val="Arial"/>
      <family val="2"/>
    </font>
    <font>
      <sz val="14"/>
      <name val="Arial"/>
      <family val="2"/>
    </font>
    <font>
      <sz val="12"/>
      <name val="Arial"/>
      <family val="2"/>
    </font>
    <font>
      <b/>
      <sz val="10"/>
      <color indexed="9"/>
      <name val="Arial"/>
      <family val="2"/>
    </font>
    <font>
      <b/>
      <sz val="10"/>
      <color indexed="10"/>
      <name val="Arial"/>
      <family val="2"/>
    </font>
    <font>
      <sz val="11"/>
      <color indexed="16"/>
      <name val="Calibri"/>
      <family val="2"/>
    </font>
    <font>
      <b/>
      <sz val="8"/>
      <color indexed="81"/>
      <name val="Tahoma"/>
      <family val="2"/>
    </font>
    <font>
      <sz val="8"/>
      <color indexed="81"/>
      <name val="Tahoma"/>
      <family val="2"/>
    </font>
    <font>
      <vertAlign val="superscript"/>
      <sz val="10"/>
      <name val="Arial"/>
      <family val="2"/>
    </font>
    <font>
      <b/>
      <sz val="10"/>
      <color indexed="72"/>
      <name val="Arial"/>
      <family val="2"/>
    </font>
    <font>
      <sz val="10"/>
      <color indexed="10"/>
      <name val="Arial"/>
      <family val="2"/>
    </font>
    <font>
      <sz val="10"/>
      <name val="Arial"/>
      <family val="2"/>
    </font>
    <font>
      <b/>
      <sz val="8"/>
      <name val="Arial"/>
      <family val="2"/>
    </font>
    <font>
      <b/>
      <sz val="12"/>
      <name val="Arial"/>
      <family val="2"/>
      <charset val="238"/>
    </font>
    <font>
      <b/>
      <sz val="10"/>
      <name val="Arial"/>
      <family val="2"/>
      <charset val="238"/>
    </font>
    <font>
      <sz val="10"/>
      <name val="Arial"/>
      <family val="2"/>
      <charset val="238"/>
    </font>
    <font>
      <sz val="10"/>
      <color indexed="10"/>
      <name val="Arial"/>
      <family val="2"/>
      <charset val="238"/>
    </font>
    <font>
      <sz val="10"/>
      <color indexed="14"/>
      <name val="Arial"/>
      <family val="2"/>
      <charset val="238"/>
    </font>
    <font>
      <sz val="10"/>
      <color indexed="14"/>
      <name val="Arial"/>
      <family val="2"/>
    </font>
    <font>
      <b/>
      <sz val="8"/>
      <color indexed="8"/>
      <name val="Arial"/>
      <family val="2"/>
    </font>
    <font>
      <sz val="8"/>
      <color indexed="8"/>
      <name val="Arial"/>
      <family val="2"/>
    </font>
    <font>
      <sz val="10"/>
      <name val="Verdana"/>
      <family val="2"/>
    </font>
    <font>
      <b/>
      <sz val="11"/>
      <color indexed="81"/>
      <name val="Tahoma"/>
      <family val="2"/>
    </font>
    <font>
      <sz val="11"/>
      <color indexed="81"/>
      <name val="Tahoma"/>
      <family val="2"/>
    </font>
    <font>
      <sz val="12"/>
      <color theme="0"/>
      <name val="Calibri"/>
      <family val="2"/>
      <scheme val="minor"/>
    </font>
    <font>
      <sz val="11"/>
      <color rgb="FF9C0006"/>
      <name val="Calibri"/>
      <family val="2"/>
      <scheme val="minor"/>
    </font>
    <font>
      <sz val="10"/>
      <color theme="4"/>
      <name val="Arial"/>
      <family val="2"/>
    </font>
    <font>
      <b/>
      <sz val="12"/>
      <color rgb="FFFA7D00"/>
      <name val="Calibri"/>
      <family val="2"/>
      <scheme val="minor"/>
    </font>
    <font>
      <sz val="10"/>
      <color theme="1"/>
      <name val="Verdana1"/>
    </font>
    <font>
      <sz val="10"/>
      <color theme="1"/>
      <name val="Arial Unicode MS"/>
      <family val="2"/>
    </font>
    <font>
      <sz val="10"/>
      <color theme="6" tint="-0.24994659260841701"/>
      <name val="Arial"/>
      <family val="2"/>
      <charset val="238"/>
    </font>
    <font>
      <b/>
      <i/>
      <sz val="16"/>
      <color theme="1"/>
      <name val="Arial1"/>
    </font>
    <font>
      <u/>
      <sz val="10"/>
      <color theme="10"/>
      <name val="Arial"/>
      <family val="2"/>
    </font>
    <font>
      <sz val="12"/>
      <color rgb="FF3F3F76"/>
      <name val="Calibri"/>
      <family val="2"/>
      <scheme val="minor"/>
    </font>
    <font>
      <sz val="10"/>
      <color theme="9" tint="-0.24994659260841701"/>
      <name val="Arial"/>
      <family val="2"/>
    </font>
    <font>
      <sz val="11"/>
      <color theme="1"/>
      <name val="Calibri"/>
      <family val="2"/>
      <scheme val="minor"/>
    </font>
    <font>
      <b/>
      <i/>
      <u/>
      <sz val="11"/>
      <color theme="1"/>
      <name val="Arial1"/>
    </font>
    <font>
      <sz val="10"/>
      <color theme="3"/>
      <name val="Arial"/>
      <family val="2"/>
      <charset val="238"/>
    </font>
    <font>
      <b/>
      <sz val="10"/>
      <color theme="4"/>
      <name val="Arial"/>
      <family val="2"/>
    </font>
    <font>
      <b/>
      <sz val="10"/>
      <color theme="3"/>
      <name val="Arial"/>
      <family val="2"/>
    </font>
    <font>
      <sz val="10"/>
      <color theme="3"/>
      <name val="Arial"/>
      <family val="2"/>
    </font>
    <font>
      <b/>
      <sz val="8"/>
      <color rgb="FF800080"/>
      <name val="Arial"/>
      <family val="2"/>
    </font>
    <font>
      <sz val="8"/>
      <color rgb="FF800080"/>
      <name val="Arial"/>
      <family val="2"/>
    </font>
    <font>
      <sz val="10"/>
      <color theme="4"/>
      <name val="Arial"/>
      <family val="2"/>
      <charset val="238"/>
    </font>
    <font>
      <sz val="10"/>
      <color theme="5" tint="-0.249977111117893"/>
      <name val="Arial"/>
      <family val="2"/>
      <charset val="238"/>
    </font>
    <font>
      <sz val="10"/>
      <color rgb="FF3F3F76"/>
      <name val="Calibri"/>
      <family val="2"/>
      <scheme val="minor"/>
    </font>
    <font>
      <sz val="9"/>
      <color indexed="81"/>
      <name val="Tahoma"/>
      <family val="2"/>
    </font>
    <font>
      <b/>
      <sz val="10"/>
      <color indexed="81"/>
      <name val="Tahoma"/>
      <family val="2"/>
    </font>
    <font>
      <sz val="10"/>
      <color indexed="81"/>
      <name val="Tahoma"/>
      <family val="2"/>
    </font>
    <font>
      <b/>
      <sz val="8"/>
      <color rgb="FF333333"/>
      <name val="Arial"/>
      <family val="2"/>
    </font>
    <font>
      <sz val="8"/>
      <color rgb="FF3D3D3D"/>
      <name val="Arial"/>
      <family val="2"/>
    </font>
    <font>
      <b/>
      <sz val="8"/>
      <color rgb="FF3D3D3D"/>
      <name val="Arial"/>
      <family val="2"/>
    </font>
    <font>
      <sz val="10"/>
      <name val="MS Sans Serif"/>
      <family val="2"/>
    </font>
    <font>
      <sz val="10"/>
      <color theme="9" tint="-0.499984740745262"/>
      <name val="Arial"/>
      <family val="2"/>
    </font>
    <font>
      <b/>
      <sz val="10"/>
      <color theme="9" tint="-0.249977111117893"/>
      <name val="Arial"/>
      <family val="2"/>
    </font>
    <font>
      <b/>
      <sz val="9"/>
      <color indexed="81"/>
      <name val="Tahoma"/>
      <family val="2"/>
    </font>
    <font>
      <sz val="8"/>
      <color rgb="FFFF0000"/>
      <name val="Arial"/>
      <family val="2"/>
    </font>
  </fonts>
  <fills count="29">
    <fill>
      <patternFill patternType="none"/>
    </fill>
    <fill>
      <patternFill patternType="gray125"/>
    </fill>
    <fill>
      <patternFill patternType="solid">
        <fgColor indexed="45"/>
      </patternFill>
    </fill>
    <fill>
      <patternFill patternType="solid">
        <fgColor indexed="23"/>
        <bgColor indexed="24"/>
      </patternFill>
    </fill>
    <fill>
      <patternFill patternType="solid">
        <fgColor indexed="19"/>
        <bgColor indexed="54"/>
      </patternFill>
    </fill>
    <fill>
      <patternFill patternType="solid">
        <fgColor indexed="55"/>
        <bgColor indexed="24"/>
      </patternFill>
    </fill>
    <fill>
      <patternFill patternType="solid">
        <fgColor indexed="8"/>
        <bgColor indexed="19"/>
      </patternFill>
    </fill>
    <fill>
      <patternFill patternType="solid">
        <fgColor indexed="52"/>
        <bgColor indexed="58"/>
      </patternFill>
    </fill>
    <fill>
      <patternFill patternType="solid">
        <fgColor indexed="25"/>
        <bgColor indexed="61"/>
      </patternFill>
    </fill>
    <fill>
      <patternFill patternType="solid">
        <fgColor indexed="12"/>
        <bgColor indexed="39"/>
      </patternFill>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18"/>
        <bgColor indexed="64"/>
      </patternFill>
    </fill>
    <fill>
      <patternFill patternType="solid">
        <fgColor indexed="23"/>
        <bgColor indexed="55"/>
      </patternFill>
    </fill>
    <fill>
      <patternFill patternType="solid">
        <fgColor indexed="47"/>
        <bgColor indexed="64"/>
      </patternFill>
    </fill>
    <fill>
      <patternFill patternType="solid">
        <fgColor indexed="44"/>
        <bgColor indexed="64"/>
      </patternFill>
    </fill>
    <fill>
      <patternFill patternType="solid">
        <fgColor indexed="42"/>
        <bgColor indexed="64"/>
      </patternFill>
    </fill>
    <fill>
      <patternFill patternType="solid">
        <fgColor theme="9"/>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66FF33"/>
        <bgColor indexed="64"/>
      </patternFill>
    </fill>
    <fill>
      <patternFill patternType="solid">
        <fgColor rgb="FFFFC000"/>
        <bgColor indexed="64"/>
      </patternFill>
    </fill>
    <fill>
      <patternFill patternType="solid">
        <fgColor rgb="FFFFFF00"/>
        <bgColor indexed="64"/>
      </patternFill>
    </fill>
    <fill>
      <patternFill patternType="solid">
        <fgColor rgb="FFFFFFFF"/>
        <bgColor indexed="64"/>
      </patternFill>
    </fill>
    <fill>
      <patternFill patternType="solid">
        <fgColor rgb="FFE6EEEE"/>
        <bgColor indexed="64"/>
      </patternFill>
    </fill>
    <fill>
      <patternFill patternType="solid">
        <fgColor theme="9" tint="0.39997558519241921"/>
        <bgColor indexed="64"/>
      </patternFill>
    </fill>
  </fills>
  <borders count="40">
    <border>
      <left/>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9"/>
      </left>
      <right style="thin">
        <color indexed="9"/>
      </right>
      <top style="thin">
        <color indexed="9"/>
      </top>
      <bottom style="thin">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thin">
        <color indexed="64"/>
      </left>
      <right/>
      <top/>
      <bottom/>
      <diagonal/>
    </border>
    <border>
      <left style="thin">
        <color indexed="64"/>
      </left>
      <right/>
      <top style="medium">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medium">
        <color rgb="FFCDCDCD"/>
      </left>
      <right style="medium">
        <color rgb="FFCDCDCD"/>
      </right>
      <top style="medium">
        <color rgb="FFCDCDCD"/>
      </top>
      <bottom style="medium">
        <color rgb="FFCDCDCD"/>
      </bottom>
      <diagonal/>
    </border>
    <border>
      <left style="medium">
        <color rgb="FFCDCDCD"/>
      </left>
      <right/>
      <top style="medium">
        <color rgb="FFCDCDCD"/>
      </top>
      <bottom style="medium">
        <color rgb="FFCDCDCD"/>
      </bottom>
      <diagonal/>
    </border>
    <border>
      <left/>
      <right style="medium">
        <color rgb="FFCDCDCD"/>
      </right>
      <top style="medium">
        <color rgb="FFCDCDCD"/>
      </top>
      <bottom style="medium">
        <color rgb="FFCDCDCD"/>
      </bottom>
      <diagonal/>
    </border>
    <border>
      <left/>
      <right/>
      <top style="thin">
        <color indexed="64"/>
      </top>
      <bottom style="thin">
        <color indexed="64"/>
      </bottom>
      <diagonal/>
    </border>
  </borders>
  <cellStyleXfs count="33">
    <xf numFmtId="0" fontId="0" fillId="0" borderId="0"/>
    <xf numFmtId="0" fontId="35" fillId="18" borderId="0" applyNumberFormat="0" applyBorder="0" applyAlignment="0" applyProtection="0"/>
    <xf numFmtId="0" fontId="16" fillId="2" borderId="0" applyNumberFormat="0" applyBorder="0" applyAlignment="0" applyProtection="0"/>
    <xf numFmtId="0" fontId="36" fillId="19" borderId="0" applyNumberFormat="0" applyBorder="0" applyAlignment="0" applyProtection="0"/>
    <xf numFmtId="0" fontId="37" fillId="0" borderId="0" applyNumberFormat="0" applyFill="0" applyBorder="0" applyAlignment="0" applyProtection="0"/>
    <xf numFmtId="0" fontId="38" fillId="20" borderId="35" applyNumberFormat="0" applyAlignment="0" applyProtection="0"/>
    <xf numFmtId="165" fontId="2" fillId="0" borderId="0" applyFill="0" applyBorder="0" applyAlignment="0" applyProtection="0"/>
    <xf numFmtId="166" fontId="22" fillId="0" borderId="0" applyFont="0" applyFill="0" applyBorder="0" applyAlignment="0" applyProtection="0"/>
    <xf numFmtId="164" fontId="22" fillId="0" borderId="0" applyFont="0" applyFill="0" applyBorder="0" applyAlignment="0" applyProtection="0"/>
    <xf numFmtId="174" fontId="39" fillId="0" borderId="0"/>
    <xf numFmtId="0" fontId="32" fillId="0" borderId="0"/>
    <xf numFmtId="175" fontId="40" fillId="0" borderId="0"/>
    <xf numFmtId="4" fontId="41" fillId="0" borderId="0" applyNumberFormat="0" applyFill="0" applyBorder="0" applyAlignment="0" applyProtection="0">
      <alignment horizontal="center"/>
    </xf>
    <xf numFmtId="0" fontId="42" fillId="0" borderId="0">
      <alignment horizontal="center"/>
    </xf>
    <xf numFmtId="0" fontId="42" fillId="0" borderId="0">
      <alignment horizontal="center" textRotation="90"/>
    </xf>
    <xf numFmtId="0" fontId="8"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0" fontId="44" fillId="21" borderId="35" applyNumberFormat="0" applyAlignment="0" applyProtection="0"/>
    <xf numFmtId="0" fontId="45" fillId="0" borderId="0" applyNumberFormat="0" applyFill="0" applyBorder="0" applyAlignment="0" applyProtection="0"/>
    <xf numFmtId="0" fontId="22" fillId="0" borderId="0"/>
    <xf numFmtId="0" fontId="22" fillId="0" borderId="0"/>
    <xf numFmtId="0" fontId="22" fillId="0" borderId="0"/>
    <xf numFmtId="0" fontId="46" fillId="0" borderId="0"/>
    <xf numFmtId="0" fontId="46" fillId="0" borderId="0"/>
    <xf numFmtId="9" fontId="2" fillId="0" borderId="0" applyFill="0" applyBorder="0" applyAlignment="0" applyProtection="0"/>
    <xf numFmtId="9" fontId="22" fillId="0" borderId="0" applyFont="0" applyFill="0" applyBorder="0" applyAlignment="0" applyProtection="0"/>
    <xf numFmtId="9" fontId="46" fillId="0" borderId="0" applyFont="0" applyFill="0" applyBorder="0" applyAlignment="0" applyProtection="0"/>
    <xf numFmtId="9" fontId="22" fillId="0" borderId="0" applyFont="0" applyFill="0" applyBorder="0" applyAlignment="0" applyProtection="0"/>
    <xf numFmtId="0" fontId="47" fillId="0" borderId="0"/>
    <xf numFmtId="176" fontId="47" fillId="0" borderId="0"/>
    <xf numFmtId="0" fontId="1" fillId="0" borderId="0"/>
    <xf numFmtId="43" fontId="1" fillId="0" borderId="0" applyFont="0" applyFill="0" applyBorder="0" applyAlignment="0" applyProtection="0"/>
    <xf numFmtId="0" fontId="63" fillId="0" borderId="0"/>
  </cellStyleXfs>
  <cellXfs count="312">
    <xf numFmtId="0" fontId="0" fillId="0" borderId="0" xfId="0"/>
    <xf numFmtId="0" fontId="4" fillId="0" borderId="0" xfId="0" applyFont="1"/>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6" fillId="5" borderId="1" xfId="0" applyFont="1" applyFill="1" applyBorder="1" applyAlignment="1">
      <alignment horizontal="center" vertical="center"/>
    </xf>
    <xf numFmtId="0" fontId="0" fillId="0" borderId="0" xfId="0"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0" fillId="0" borderId="0" xfId="0" applyFont="1" applyBorder="1"/>
    <xf numFmtId="0" fontId="0" fillId="0" borderId="0" xfId="0" applyAlignment="1">
      <alignment horizontal="center"/>
    </xf>
    <xf numFmtId="0" fontId="6" fillId="6" borderId="1" xfId="0" applyFont="1" applyFill="1" applyBorder="1" applyAlignment="1">
      <alignment horizontal="center" vertical="center"/>
    </xf>
    <xf numFmtId="0" fontId="6" fillId="7" borderId="1" xfId="0" applyFont="1" applyFill="1" applyBorder="1" applyAlignment="1">
      <alignment horizontal="center" vertical="center"/>
    </xf>
    <xf numFmtId="0" fontId="6" fillId="8" borderId="2" xfId="0" applyFont="1" applyFill="1" applyBorder="1" applyAlignment="1">
      <alignment horizontal="center" vertical="center"/>
    </xf>
    <xf numFmtId="0" fontId="6" fillId="9" borderId="3" xfId="0" applyFont="1" applyFill="1" applyBorder="1" applyAlignment="1">
      <alignment horizontal="center" vertical="center"/>
    </xf>
    <xf numFmtId="0" fontId="0" fillId="0" borderId="0" xfId="0" applyNumberFormat="1"/>
    <xf numFmtId="0" fontId="0" fillId="0" borderId="0" xfId="0" applyNumberFormat="1" applyFill="1"/>
    <xf numFmtId="167" fontId="0" fillId="0" borderId="0" xfId="0" applyNumberFormat="1" applyFill="1"/>
    <xf numFmtId="167" fontId="5" fillId="0" borderId="0" xfId="0" applyNumberFormat="1" applyFont="1" applyFill="1"/>
    <xf numFmtId="0" fontId="3" fillId="0" borderId="0" xfId="0" applyNumberFormat="1" applyFont="1"/>
    <xf numFmtId="0" fontId="3" fillId="10" borderId="0" xfId="0" applyNumberFormat="1" applyFont="1" applyFill="1"/>
    <xf numFmtId="0" fontId="0" fillId="10" borderId="0" xfId="0" applyNumberFormat="1" applyFill="1"/>
    <xf numFmtId="0" fontId="3" fillId="10" borderId="4" xfId="0" applyNumberFormat="1" applyFont="1" applyFill="1" applyBorder="1"/>
    <xf numFmtId="0" fontId="3" fillId="10" borderId="5" xfId="0" applyNumberFormat="1" applyFont="1" applyFill="1" applyBorder="1"/>
    <xf numFmtId="0" fontId="3" fillId="10" borderId="6" xfId="0" applyNumberFormat="1" applyFont="1" applyFill="1" applyBorder="1"/>
    <xf numFmtId="0" fontId="3" fillId="10" borderId="7" xfId="0" applyNumberFormat="1" applyFont="1" applyFill="1" applyBorder="1" applyAlignment="1">
      <alignment vertical="top"/>
    </xf>
    <xf numFmtId="0" fontId="0" fillId="10" borderId="8" xfId="0" applyNumberFormat="1" applyFill="1" applyBorder="1"/>
    <xf numFmtId="168" fontId="2" fillId="11" borderId="0" xfId="24" applyNumberFormat="1" applyFill="1" applyBorder="1"/>
    <xf numFmtId="0" fontId="0" fillId="10" borderId="9" xfId="0" applyNumberFormat="1" applyFill="1" applyBorder="1"/>
    <xf numFmtId="0" fontId="0" fillId="10" borderId="10" xfId="0" applyNumberFormat="1" applyFill="1" applyBorder="1"/>
    <xf numFmtId="0" fontId="0" fillId="10" borderId="11" xfId="0" applyNumberFormat="1" applyFill="1" applyBorder="1"/>
    <xf numFmtId="0" fontId="0" fillId="10" borderId="12" xfId="0" applyNumberFormat="1" applyFill="1" applyBorder="1"/>
    <xf numFmtId="0" fontId="0" fillId="10" borderId="13" xfId="0" applyNumberFormat="1" applyFill="1" applyBorder="1"/>
    <xf numFmtId="0" fontId="3" fillId="10" borderId="14" xfId="0" applyNumberFormat="1" applyFont="1" applyFill="1" applyBorder="1"/>
    <xf numFmtId="168" fontId="2" fillId="11" borderId="15" xfId="24" applyNumberFormat="1" applyFill="1" applyBorder="1"/>
    <xf numFmtId="168" fontId="2" fillId="11" borderId="16" xfId="24" applyNumberFormat="1" applyFill="1" applyBorder="1"/>
    <xf numFmtId="168" fontId="0" fillId="10" borderId="0" xfId="0" applyNumberFormat="1" applyFill="1"/>
    <xf numFmtId="0" fontId="3" fillId="10" borderId="0" xfId="0" applyNumberFormat="1" applyFont="1" applyFill="1" applyBorder="1"/>
    <xf numFmtId="0" fontId="2" fillId="10" borderId="17" xfId="0" applyNumberFormat="1" applyFont="1" applyFill="1" applyBorder="1"/>
    <xf numFmtId="10" fontId="2" fillId="11" borderId="18" xfId="0" applyNumberFormat="1" applyFont="1" applyFill="1" applyBorder="1"/>
    <xf numFmtId="10" fontId="2" fillId="11" borderId="0" xfId="0" applyNumberFormat="1" applyFont="1" applyFill="1" applyBorder="1"/>
    <xf numFmtId="10" fontId="2" fillId="11" borderId="19" xfId="0" applyNumberFormat="1" applyFont="1" applyFill="1" applyBorder="1"/>
    <xf numFmtId="10" fontId="2" fillId="11" borderId="17" xfId="0" applyNumberFormat="1" applyFont="1" applyFill="1" applyBorder="1"/>
    <xf numFmtId="0" fontId="3" fillId="10" borderId="20" xfId="0" applyNumberFormat="1" applyFont="1" applyFill="1" applyBorder="1"/>
    <xf numFmtId="0" fontId="2" fillId="10" borderId="20" xfId="0" applyNumberFormat="1" applyFont="1" applyFill="1" applyBorder="1"/>
    <xf numFmtId="0" fontId="3" fillId="10" borderId="21" xfId="0" applyNumberFormat="1" applyFont="1" applyFill="1" applyBorder="1"/>
    <xf numFmtId="0" fontId="2" fillId="10" borderId="21" xfId="0" applyNumberFormat="1" applyFont="1" applyFill="1" applyBorder="1"/>
    <xf numFmtId="0" fontId="0" fillId="10" borderId="17" xfId="0" applyNumberFormat="1" applyFill="1" applyBorder="1"/>
    <xf numFmtId="0" fontId="0" fillId="10" borderId="21" xfId="0" applyNumberFormat="1" applyFill="1" applyBorder="1"/>
    <xf numFmtId="0" fontId="0" fillId="10" borderId="20" xfId="0" applyNumberFormat="1" applyFill="1" applyBorder="1"/>
    <xf numFmtId="0" fontId="0" fillId="10" borderId="22" xfId="0" applyNumberFormat="1" applyFill="1" applyBorder="1"/>
    <xf numFmtId="10" fontId="2" fillId="11" borderId="22" xfId="0" applyNumberFormat="1" applyFont="1" applyFill="1" applyBorder="1"/>
    <xf numFmtId="10" fontId="2" fillId="11" borderId="16" xfId="0" applyNumberFormat="1" applyFont="1" applyFill="1" applyBorder="1"/>
    <xf numFmtId="10" fontId="2" fillId="11" borderId="23" xfId="0" applyNumberFormat="1" applyFont="1" applyFill="1" applyBorder="1"/>
    <xf numFmtId="0" fontId="0" fillId="10" borderId="18" xfId="0" applyNumberFormat="1" applyFill="1" applyBorder="1"/>
    <xf numFmtId="168" fontId="2" fillId="11" borderId="18" xfId="24" applyNumberFormat="1" applyFill="1" applyBorder="1"/>
    <xf numFmtId="168" fontId="2" fillId="11" borderId="24" xfId="24" applyNumberFormat="1" applyFill="1" applyBorder="1"/>
    <xf numFmtId="168" fontId="2" fillId="11" borderId="17" xfId="24" applyNumberFormat="1" applyFill="1" applyBorder="1"/>
    <xf numFmtId="168" fontId="2" fillId="11" borderId="19" xfId="24" applyNumberFormat="1" applyFill="1" applyBorder="1"/>
    <xf numFmtId="0" fontId="3" fillId="10" borderId="7" xfId="0" applyNumberFormat="1" applyFont="1" applyFill="1" applyBorder="1"/>
    <xf numFmtId="0" fontId="0" fillId="10" borderId="25" xfId="0" applyNumberFormat="1" applyFill="1" applyBorder="1"/>
    <xf numFmtId="168" fontId="2" fillId="11" borderId="22" xfId="24" applyNumberFormat="1" applyFill="1" applyBorder="1"/>
    <xf numFmtId="168" fontId="2" fillId="11" borderId="23" xfId="24" applyNumberFormat="1" applyFill="1" applyBorder="1"/>
    <xf numFmtId="0" fontId="9" fillId="0" borderId="26" xfId="0" applyNumberFormat="1" applyFont="1" applyFill="1" applyBorder="1"/>
    <xf numFmtId="0" fontId="0" fillId="0" borderId="26" xfId="0" applyNumberFormat="1" applyFill="1" applyBorder="1"/>
    <xf numFmtId="0" fontId="3" fillId="0" borderId="26" xfId="0" applyNumberFormat="1" applyFont="1" applyFill="1" applyBorder="1"/>
    <xf numFmtId="4" fontId="0" fillId="0" borderId="26" xfId="0" applyNumberFormat="1" applyFill="1" applyBorder="1"/>
    <xf numFmtId="0" fontId="5" fillId="0" borderId="26" xfId="0" applyNumberFormat="1" applyFont="1" applyFill="1" applyBorder="1"/>
    <xf numFmtId="4" fontId="5" fillId="0" borderId="26" xfId="0" applyNumberFormat="1" applyFont="1" applyFill="1" applyBorder="1"/>
    <xf numFmtId="0" fontId="0" fillId="0" borderId="26" xfId="0" applyNumberFormat="1" applyBorder="1"/>
    <xf numFmtId="0" fontId="3" fillId="0" borderId="26" xfId="0" applyNumberFormat="1" applyFont="1" applyBorder="1"/>
    <xf numFmtId="4" fontId="0" fillId="0" borderId="26" xfId="0" applyNumberFormat="1" applyBorder="1"/>
    <xf numFmtId="4" fontId="3" fillId="0" borderId="26" xfId="0" applyNumberFormat="1" applyFont="1" applyBorder="1"/>
    <xf numFmtId="0" fontId="3" fillId="0" borderId="0" xfId="0" applyFont="1"/>
    <xf numFmtId="0" fontId="3" fillId="10" borderId="26" xfId="0" applyFont="1" applyFill="1" applyBorder="1"/>
    <xf numFmtId="0" fontId="0" fillId="0" borderId="26" xfId="0" applyBorder="1"/>
    <xf numFmtId="0" fontId="2" fillId="0" borderId="26" xfId="0" applyFont="1" applyBorder="1"/>
    <xf numFmtId="0" fontId="8" fillId="0" borderId="0" xfId="15" applyAlignment="1" applyProtection="1"/>
    <xf numFmtId="0" fontId="0" fillId="12" borderId="0" xfId="0" applyFill="1"/>
    <xf numFmtId="0" fontId="11" fillId="13" borderId="0" xfId="0" applyFont="1" applyFill="1"/>
    <xf numFmtId="0" fontId="0" fillId="0" borderId="0" xfId="0" applyFont="1" applyAlignment="1">
      <alignment vertical="center"/>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horizontal="left" vertical="center"/>
    </xf>
    <xf numFmtId="0" fontId="13" fillId="0" borderId="0" xfId="0" applyFont="1"/>
    <xf numFmtId="169" fontId="13" fillId="0" borderId="0" xfId="0" applyNumberFormat="1" applyFont="1" applyAlignment="1">
      <alignment horizontal="left" vertical="center"/>
    </xf>
    <xf numFmtId="0" fontId="0" fillId="14" borderId="0" xfId="0" applyFill="1"/>
    <xf numFmtId="0" fontId="14" fillId="14" borderId="0" xfId="0" applyFont="1" applyFill="1" applyBorder="1" applyAlignment="1">
      <alignment horizontal="left"/>
    </xf>
    <xf numFmtId="0" fontId="11" fillId="14" borderId="0" xfId="0" applyFont="1" applyFill="1"/>
    <xf numFmtId="0" fontId="0" fillId="0" borderId="0" xfId="0" applyAlignment="1">
      <alignment horizontal="left"/>
    </xf>
    <xf numFmtId="0" fontId="15" fillId="0" borderId="0" xfId="0" applyFont="1" applyFill="1" applyBorder="1"/>
    <xf numFmtId="170" fontId="0" fillId="0" borderId="0" xfId="6" applyNumberFormat="1" applyFont="1"/>
    <xf numFmtId="170" fontId="0" fillId="0" borderId="0" xfId="0" applyNumberFormat="1"/>
    <xf numFmtId="168" fontId="0" fillId="0" borderId="0" xfId="24" applyNumberFormat="1" applyFont="1"/>
    <xf numFmtId="168" fontId="16" fillId="2" borderId="0" xfId="2" applyNumberFormat="1"/>
    <xf numFmtId="170" fontId="16" fillId="2" borderId="0" xfId="2" applyNumberFormat="1"/>
    <xf numFmtId="9" fontId="0" fillId="0" borderId="0" xfId="24" applyFont="1"/>
    <xf numFmtId="9" fontId="16" fillId="2" borderId="0" xfId="2" applyNumberFormat="1"/>
    <xf numFmtId="0" fontId="12" fillId="11" borderId="0" xfId="0" applyFont="1" applyFill="1"/>
    <xf numFmtId="0" fontId="0" fillId="10" borderId="0" xfId="0" applyFill="1"/>
    <xf numFmtId="0" fontId="12" fillId="10" borderId="0" xfId="0" applyFont="1" applyFill="1"/>
    <xf numFmtId="0" fontId="2" fillId="0" borderId="0" xfId="0" applyFont="1"/>
    <xf numFmtId="0" fontId="12" fillId="0" borderId="26" xfId="0" applyFont="1" applyBorder="1"/>
    <xf numFmtId="0" fontId="3" fillId="0" borderId="26" xfId="0" applyFont="1" applyBorder="1"/>
    <xf numFmtId="0" fontId="2" fillId="0" borderId="26" xfId="0" applyFont="1" applyFill="1" applyBorder="1"/>
    <xf numFmtId="2" fontId="2" fillId="0" borderId="26" xfId="0" applyNumberFormat="1" applyFont="1" applyBorder="1"/>
    <xf numFmtId="2" fontId="3" fillId="0" borderId="26" xfId="0" applyNumberFormat="1" applyFont="1" applyBorder="1"/>
    <xf numFmtId="2" fontId="0" fillId="0" borderId="0" xfId="0" applyNumberFormat="1"/>
    <xf numFmtId="1" fontId="0" fillId="0" borderId="0" xfId="0" applyNumberFormat="1"/>
    <xf numFmtId="1" fontId="0" fillId="0" borderId="26" xfId="0" applyNumberFormat="1" applyBorder="1"/>
    <xf numFmtId="0" fontId="3" fillId="0" borderId="26" xfId="0" applyFont="1" applyFill="1" applyBorder="1"/>
    <xf numFmtId="1" fontId="3" fillId="0" borderId="26" xfId="0" applyNumberFormat="1" applyFont="1" applyBorder="1"/>
    <xf numFmtId="0" fontId="3" fillId="10" borderId="0" xfId="0" applyFont="1" applyFill="1" applyBorder="1"/>
    <xf numFmtId="0" fontId="0" fillId="10" borderId="0" xfId="0" applyFill="1" applyBorder="1"/>
    <xf numFmtId="1" fontId="3" fillId="10" borderId="0" xfId="0" applyNumberFormat="1" applyFont="1" applyFill="1" applyBorder="1"/>
    <xf numFmtId="0" fontId="0" fillId="0" borderId="26" xfId="0" applyFill="1" applyBorder="1"/>
    <xf numFmtId="0" fontId="0" fillId="15" borderId="26" xfId="0" applyFill="1" applyBorder="1"/>
    <xf numFmtId="0" fontId="0" fillId="0" borderId="26" xfId="0" applyFill="1" applyBorder="1" applyAlignment="1">
      <alignment horizontal="left"/>
    </xf>
    <xf numFmtId="0" fontId="0" fillId="15" borderId="26" xfId="0" applyFill="1" applyBorder="1" applyAlignment="1">
      <alignment horizontal="left"/>
    </xf>
    <xf numFmtId="0" fontId="0" fillId="10" borderId="27" xfId="0" applyFill="1" applyBorder="1"/>
    <xf numFmtId="0" fontId="0" fillId="10" borderId="28" xfId="0" applyFill="1" applyBorder="1"/>
    <xf numFmtId="0" fontId="0" fillId="10" borderId="29" xfId="0" applyFill="1" applyBorder="1"/>
    <xf numFmtId="0" fontId="0" fillId="10" borderId="7" xfId="0" applyFill="1" applyBorder="1"/>
    <xf numFmtId="2" fontId="0" fillId="11" borderId="17" xfId="0" applyNumberFormat="1" applyFill="1" applyBorder="1" applyAlignment="1">
      <alignment horizontal="center"/>
    </xf>
    <xf numFmtId="2" fontId="0" fillId="11" borderId="0" xfId="0" applyNumberFormat="1" applyFill="1" applyBorder="1" applyAlignment="1">
      <alignment horizontal="center"/>
    </xf>
    <xf numFmtId="2" fontId="0" fillId="11" borderId="30" xfId="0" applyNumberFormat="1" applyFill="1" applyBorder="1" applyAlignment="1">
      <alignment horizontal="center"/>
    </xf>
    <xf numFmtId="0" fontId="0" fillId="10" borderId="12" xfId="0" applyFill="1" applyBorder="1"/>
    <xf numFmtId="0" fontId="0" fillId="10" borderId="16" xfId="0" applyFill="1" applyBorder="1"/>
    <xf numFmtId="2" fontId="0" fillId="11" borderId="22" xfId="0" applyNumberFormat="1" applyFill="1" applyBorder="1" applyAlignment="1">
      <alignment horizontal="center"/>
    </xf>
    <xf numFmtId="2" fontId="0" fillId="11" borderId="16" xfId="0" applyNumberFormat="1" applyFill="1" applyBorder="1" applyAlignment="1">
      <alignment horizontal="center"/>
    </xf>
    <xf numFmtId="2" fontId="0" fillId="11" borderId="31" xfId="0" applyNumberFormat="1" applyFill="1" applyBorder="1" applyAlignment="1">
      <alignment horizontal="center"/>
    </xf>
    <xf numFmtId="0" fontId="2" fillId="0" borderId="26" xfId="0" applyNumberFormat="1" applyFont="1" applyFill="1" applyBorder="1"/>
    <xf numFmtId="4" fontId="20" fillId="0" borderId="26" xfId="0" applyNumberFormat="1" applyFont="1" applyBorder="1"/>
    <xf numFmtId="171" fontId="0" fillId="0" borderId="26" xfId="0" applyNumberFormat="1" applyBorder="1"/>
    <xf numFmtId="2" fontId="0" fillId="0" borderId="26" xfId="0" applyNumberFormat="1" applyBorder="1"/>
    <xf numFmtId="4" fontId="0" fillId="0" borderId="0" xfId="0" applyNumberFormat="1"/>
    <xf numFmtId="4" fontId="3" fillId="0" borderId="0" xfId="0" applyNumberFormat="1" applyFont="1"/>
    <xf numFmtId="0" fontId="23" fillId="0" borderId="0" xfId="19" applyFont="1"/>
    <xf numFmtId="0" fontId="10" fillId="0" borderId="0" xfId="19" applyFont="1"/>
    <xf numFmtId="0" fontId="24" fillId="0" borderId="0" xfId="19" applyFont="1" applyFill="1" applyAlignment="1">
      <alignment horizontal="center"/>
    </xf>
    <xf numFmtId="0" fontId="24" fillId="0" borderId="0" xfId="19" applyFont="1" applyFill="1" applyAlignment="1"/>
    <xf numFmtId="0" fontId="25" fillId="0" borderId="0" xfId="19" applyFont="1" applyFill="1"/>
    <xf numFmtId="0" fontId="26" fillId="0" borderId="0" xfId="19" applyFont="1" applyFill="1"/>
    <xf numFmtId="0" fontId="26" fillId="0" borderId="0" xfId="19" applyFont="1" applyAlignment="1">
      <alignment horizontal="center"/>
    </xf>
    <xf numFmtId="0" fontId="26" fillId="0" borderId="0" xfId="19" applyFont="1" applyFill="1" applyBorder="1" applyAlignment="1" applyProtection="1">
      <alignment horizontal="center"/>
      <protection locked="0"/>
    </xf>
    <xf numFmtId="0" fontId="26" fillId="0" borderId="0" xfId="19" applyFont="1" applyFill="1" applyAlignment="1">
      <alignment horizontal="center"/>
    </xf>
    <xf numFmtId="0" fontId="22" fillId="0" borderId="0" xfId="19"/>
    <xf numFmtId="0" fontId="25" fillId="0" borderId="0" xfId="19" applyFont="1" applyFill="1" applyAlignment="1">
      <alignment horizontal="left"/>
    </xf>
    <xf numFmtId="0" fontId="25" fillId="0" borderId="0" xfId="19" applyFont="1" applyFill="1" applyBorder="1" applyAlignment="1">
      <alignment horizontal="left"/>
    </xf>
    <xf numFmtId="0" fontId="22" fillId="0" borderId="0" xfId="19" applyAlignment="1">
      <alignment horizontal="center"/>
    </xf>
    <xf numFmtId="0" fontId="25" fillId="0" borderId="0" xfId="19" applyFont="1"/>
    <xf numFmtId="0" fontId="26" fillId="0" borderId="0" xfId="19" applyFont="1"/>
    <xf numFmtId="0" fontId="3" fillId="0" borderId="0" xfId="19" applyFont="1" applyFill="1" applyAlignment="1">
      <alignment horizontal="left"/>
    </xf>
    <xf numFmtId="0" fontId="22" fillId="0" borderId="0" xfId="19" applyFont="1" applyAlignment="1">
      <alignment horizontal="center"/>
    </xf>
    <xf numFmtId="0" fontId="22" fillId="0" borderId="0" xfId="19" applyFont="1"/>
    <xf numFmtId="2" fontId="26" fillId="0" borderId="0" xfId="19" applyNumberFormat="1" applyFont="1" applyFill="1" applyAlignment="1">
      <alignment horizontal="center"/>
    </xf>
    <xf numFmtId="4" fontId="41" fillId="0" borderId="0" xfId="12">
      <alignment horizontal="center"/>
    </xf>
    <xf numFmtId="2" fontId="27" fillId="0" borderId="0" xfId="19" applyNumberFormat="1" applyFont="1" applyFill="1" applyAlignment="1">
      <alignment horizontal="center"/>
    </xf>
    <xf numFmtId="0" fontId="22" fillId="0" borderId="0" xfId="19" applyFont="1" applyFill="1"/>
    <xf numFmtId="0" fontId="25" fillId="0" borderId="0" xfId="19" applyFont="1" applyAlignment="1">
      <alignment horizontal="center"/>
    </xf>
    <xf numFmtId="9" fontId="41" fillId="0" borderId="0" xfId="25" applyFont="1" applyAlignment="1">
      <alignment horizontal="center"/>
    </xf>
    <xf numFmtId="9" fontId="36" fillId="19" borderId="0" xfId="3" applyNumberFormat="1" applyAlignment="1">
      <alignment horizontal="center"/>
    </xf>
    <xf numFmtId="43" fontId="37" fillId="0" borderId="0" xfId="7" applyNumberFormat="1" applyFont="1"/>
    <xf numFmtId="0" fontId="25" fillId="0" borderId="32" xfId="19" applyFont="1" applyFill="1" applyBorder="1"/>
    <xf numFmtId="0" fontId="25" fillId="0" borderId="32" xfId="19" applyFont="1" applyFill="1" applyBorder="1" applyAlignment="1">
      <alignment horizontal="center"/>
    </xf>
    <xf numFmtId="2" fontId="27" fillId="0" borderId="0" xfId="19" applyNumberFormat="1" applyFont="1" applyFill="1" applyBorder="1" applyAlignment="1">
      <alignment horizontal="center"/>
    </xf>
    <xf numFmtId="2" fontId="26" fillId="0" borderId="0" xfId="19" applyNumberFormat="1" applyFont="1" applyFill="1" applyBorder="1" applyAlignment="1">
      <alignment horizontal="left"/>
    </xf>
    <xf numFmtId="0" fontId="22" fillId="0" borderId="0" xfId="19" applyFont="1" applyFill="1" applyAlignment="1">
      <alignment horizontal="center"/>
    </xf>
    <xf numFmtId="0" fontId="26" fillId="0" borderId="0" xfId="19" applyFont="1" applyFill="1" applyBorder="1"/>
    <xf numFmtId="172" fontId="26" fillId="0" borderId="0" xfId="19" applyNumberFormat="1" applyFont="1" applyFill="1" applyBorder="1" applyAlignment="1" applyProtection="1">
      <alignment horizontal="right"/>
      <protection locked="0"/>
    </xf>
    <xf numFmtId="2" fontId="28" fillId="0" borderId="0" xfId="19" applyNumberFormat="1" applyFont="1" applyFill="1" applyAlignment="1">
      <alignment horizontal="center"/>
    </xf>
    <xf numFmtId="0" fontId="48" fillId="0" borderId="32" xfId="19" applyFont="1" applyFill="1" applyBorder="1" applyAlignment="1" applyProtection="1">
      <alignment horizontal="center"/>
      <protection locked="0"/>
    </xf>
    <xf numFmtId="0" fontId="48" fillId="0" borderId="0" xfId="19" applyFont="1" applyFill="1" applyBorder="1" applyAlignment="1" applyProtection="1">
      <alignment horizontal="left"/>
      <protection locked="0"/>
    </xf>
    <xf numFmtId="0" fontId="48" fillId="0" borderId="0" xfId="19" applyFont="1" applyFill="1" applyBorder="1" applyAlignment="1" applyProtection="1">
      <alignment horizontal="center"/>
      <protection locked="0"/>
    </xf>
    <xf numFmtId="9" fontId="45" fillId="0" borderId="0" xfId="18" applyNumberFormat="1" applyAlignment="1">
      <alignment horizontal="center"/>
    </xf>
    <xf numFmtId="0" fontId="26" fillId="0" borderId="0" xfId="19" applyFont="1" applyBorder="1"/>
    <xf numFmtId="2" fontId="28" fillId="0" borderId="0" xfId="19" applyNumberFormat="1" applyFont="1" applyFill="1" applyBorder="1" applyAlignment="1">
      <alignment horizontal="center"/>
    </xf>
    <xf numFmtId="43" fontId="49" fillId="0" borderId="0" xfId="7" applyNumberFormat="1" applyFont="1"/>
    <xf numFmtId="0" fontId="3" fillId="16" borderId="0" xfId="19" applyFont="1" applyFill="1" applyBorder="1" applyAlignment="1">
      <alignment horizontal="center" wrapText="1"/>
    </xf>
    <xf numFmtId="0" fontId="24" fillId="17" borderId="33" xfId="19" applyFont="1" applyFill="1" applyBorder="1"/>
    <xf numFmtId="0" fontId="3" fillId="17" borderId="33" xfId="19" applyFont="1" applyFill="1" applyBorder="1" applyAlignment="1">
      <alignment horizontal="center" wrapText="1"/>
    </xf>
    <xf numFmtId="0" fontId="22" fillId="0" borderId="32" xfId="19" applyFont="1" applyFill="1" applyBorder="1"/>
    <xf numFmtId="0" fontId="50" fillId="0" borderId="0" xfId="19" applyFont="1" applyFill="1" applyBorder="1" applyAlignment="1">
      <alignment horizontal="center" wrapText="1"/>
    </xf>
    <xf numFmtId="0" fontId="22" fillId="0" borderId="0" xfId="19" applyFont="1" applyFill="1" applyAlignment="1">
      <alignment horizontal="center" wrapText="1"/>
    </xf>
    <xf numFmtId="0" fontId="22" fillId="0" borderId="0" xfId="19" applyFont="1" applyFill="1" applyBorder="1" applyAlignment="1" applyProtection="1">
      <alignment horizontal="center"/>
      <protection locked="0"/>
    </xf>
    <xf numFmtId="0" fontId="22" fillId="0" borderId="32" xfId="19" applyFont="1" applyFill="1" applyBorder="1" applyAlignment="1" applyProtection="1">
      <alignment horizontal="left"/>
      <protection locked="0"/>
    </xf>
    <xf numFmtId="0" fontId="51" fillId="0" borderId="0" xfId="19" applyFont="1" applyFill="1" applyBorder="1" applyAlignment="1" applyProtection="1">
      <alignment horizontal="left"/>
      <protection locked="0"/>
    </xf>
    <xf numFmtId="0" fontId="51" fillId="0" borderId="0" xfId="19" applyFont="1" applyFill="1" applyAlignment="1">
      <alignment horizontal="center"/>
    </xf>
    <xf numFmtId="168" fontId="29" fillId="0" borderId="0" xfId="25" applyNumberFormat="1" applyFont="1" applyFill="1" applyAlignment="1">
      <alignment horizontal="center"/>
    </xf>
    <xf numFmtId="2" fontId="28" fillId="0" borderId="0" xfId="19" applyNumberFormat="1" applyFont="1" applyAlignment="1">
      <alignment horizontal="center"/>
    </xf>
    <xf numFmtId="0" fontId="50" fillId="0" borderId="0" xfId="19" applyFont="1" applyFill="1" applyAlignment="1">
      <alignment horizontal="center" wrapText="1"/>
    </xf>
    <xf numFmtId="0" fontId="51" fillId="0" borderId="0" xfId="19" applyFont="1" applyFill="1" applyBorder="1" applyAlignment="1" applyProtection="1">
      <alignment horizontal="center"/>
      <protection locked="0"/>
    </xf>
    <xf numFmtId="173" fontId="45" fillId="0" borderId="0" xfId="18" applyNumberFormat="1" applyAlignment="1">
      <alignment horizontal="center"/>
    </xf>
    <xf numFmtId="1" fontId="45" fillId="0" borderId="0" xfId="18" applyNumberFormat="1" applyAlignment="1">
      <alignment horizontal="center"/>
    </xf>
    <xf numFmtId="2" fontId="37" fillId="0" borderId="0" xfId="4" applyNumberFormat="1" applyAlignment="1">
      <alignment horizontal="center"/>
    </xf>
    <xf numFmtId="2" fontId="26" fillId="0" borderId="0" xfId="19" applyNumberFormat="1" applyFont="1"/>
    <xf numFmtId="0" fontId="51" fillId="0" borderId="0" xfId="19" applyFont="1" applyFill="1" applyAlignment="1">
      <alignment horizontal="right"/>
    </xf>
    <xf numFmtId="0" fontId="51" fillId="0" borderId="0" xfId="19" applyFont="1" applyFill="1"/>
    <xf numFmtId="0" fontId="51" fillId="0" borderId="0" xfId="19" applyFont="1" applyFill="1" applyAlignment="1">
      <alignment horizontal="left" indent="1"/>
    </xf>
    <xf numFmtId="9" fontId="51" fillId="0" borderId="0" xfId="25" applyFont="1" applyFill="1" applyBorder="1" applyAlignment="1" applyProtection="1">
      <alignment horizontal="center"/>
      <protection locked="0"/>
    </xf>
    <xf numFmtId="2" fontId="49" fillId="0" borderId="0" xfId="4" applyNumberFormat="1" applyFont="1" applyAlignment="1">
      <alignment horizontal="center"/>
    </xf>
    <xf numFmtId="9" fontId="3" fillId="0" borderId="0" xfId="25" applyFont="1" applyAlignment="1">
      <alignment horizontal="center" wrapText="1"/>
    </xf>
    <xf numFmtId="0" fontId="3" fillId="0" borderId="0" xfId="19" applyFont="1" applyAlignment="1">
      <alignment horizontal="center" wrapText="1"/>
    </xf>
    <xf numFmtId="0" fontId="22" fillId="22" borderId="0" xfId="19" applyFont="1" applyFill="1"/>
    <xf numFmtId="0" fontId="22" fillId="22" borderId="0" xfId="19" applyFill="1"/>
    <xf numFmtId="0" fontId="30" fillId="0" borderId="0" xfId="19" applyFont="1"/>
    <xf numFmtId="0" fontId="52" fillId="0" borderId="0" xfId="19" applyFont="1" applyFill="1"/>
    <xf numFmtId="0" fontId="31" fillId="0" borderId="0" xfId="19" applyFont="1"/>
    <xf numFmtId="0" fontId="10" fillId="0" borderId="0" xfId="19" applyFont="1" applyFill="1"/>
    <xf numFmtId="0" fontId="23" fillId="0" borderId="0" xfId="19" applyFont="1" applyAlignment="1">
      <alignment horizontal="center" wrapText="1"/>
    </xf>
    <xf numFmtId="0" fontId="10" fillId="0" borderId="0" xfId="19" applyFont="1" applyAlignment="1">
      <alignment horizontal="center"/>
    </xf>
    <xf numFmtId="0" fontId="10" fillId="0" borderId="0" xfId="19" applyFont="1" applyAlignment="1">
      <alignment horizontal="center" wrapText="1"/>
    </xf>
    <xf numFmtId="0" fontId="52" fillId="0" borderId="0" xfId="19" applyFont="1" applyFill="1" applyAlignment="1">
      <alignment horizontal="center" wrapText="1"/>
    </xf>
    <xf numFmtId="0" fontId="53" fillId="0" borderId="0" xfId="19" applyFont="1" applyFill="1"/>
    <xf numFmtId="0" fontId="53" fillId="0" borderId="0" xfId="19" applyFont="1" applyFill="1" applyAlignment="1">
      <alignment horizontal="center"/>
    </xf>
    <xf numFmtId="11" fontId="22" fillId="0" borderId="0" xfId="19" applyNumberFormat="1"/>
    <xf numFmtId="177" fontId="0" fillId="0" borderId="0" xfId="0" applyNumberFormat="1"/>
    <xf numFmtId="0" fontId="0" fillId="0" borderId="0" xfId="0" applyNumberFormat="1" applyFont="1" applyFill="1" applyBorder="1"/>
    <xf numFmtId="9" fontId="22" fillId="0" borderId="0" xfId="24" applyFont="1" applyAlignment="1">
      <alignment horizontal="center"/>
    </xf>
    <xf numFmtId="0" fontId="3" fillId="0" borderId="34" xfId="0" applyNumberFormat="1" applyFont="1" applyFill="1" applyBorder="1"/>
    <xf numFmtId="9" fontId="22" fillId="0" borderId="26" xfId="24" applyFont="1" applyBorder="1"/>
    <xf numFmtId="9" fontId="22" fillId="0" borderId="26" xfId="24" applyFont="1" applyFill="1" applyBorder="1"/>
    <xf numFmtId="49" fontId="52" fillId="0" borderId="0" xfId="19" applyNumberFormat="1" applyFont="1" applyFill="1"/>
    <xf numFmtId="0" fontId="0" fillId="0" borderId="32" xfId="0" applyBorder="1"/>
    <xf numFmtId="9" fontId="0" fillId="0" borderId="32" xfId="24" applyFont="1" applyBorder="1"/>
    <xf numFmtId="2" fontId="10" fillId="0" borderId="0" xfId="19" applyNumberFormat="1" applyFont="1"/>
    <xf numFmtId="178" fontId="10" fillId="0" borderId="0" xfId="19" applyNumberFormat="1" applyFont="1"/>
    <xf numFmtId="2" fontId="36" fillId="0" borderId="0" xfId="3" applyNumberFormat="1" applyFill="1" applyBorder="1" applyAlignment="1" applyProtection="1">
      <alignment horizontal="center"/>
      <protection locked="0"/>
    </xf>
    <xf numFmtId="0" fontId="22" fillId="0" borderId="0" xfId="19" applyFill="1"/>
    <xf numFmtId="0" fontId="22" fillId="0" borderId="0" xfId="0" applyNumberFormat="1" applyFont="1"/>
    <xf numFmtId="0" fontId="22" fillId="0" borderId="0" xfId="0" applyFont="1"/>
    <xf numFmtId="0" fontId="26" fillId="0" borderId="0" xfId="0" applyFont="1"/>
    <xf numFmtId="0" fontId="38" fillId="20" borderId="35" xfId="5"/>
    <xf numFmtId="9" fontId="44" fillId="21" borderId="35" xfId="17" applyNumberFormat="1"/>
    <xf numFmtId="0" fontId="3" fillId="17" borderId="33" xfId="0" applyFont="1" applyFill="1" applyBorder="1" applyAlignment="1">
      <alignment horizontal="center" wrapText="1"/>
    </xf>
    <xf numFmtId="9" fontId="54" fillId="0" borderId="0" xfId="25" applyFont="1"/>
    <xf numFmtId="9" fontId="55" fillId="0" borderId="0" xfId="25" applyNumberFormat="1" applyFont="1"/>
    <xf numFmtId="0" fontId="35" fillId="18" borderId="0" xfId="1"/>
    <xf numFmtId="0" fontId="23" fillId="0" borderId="0" xfId="0" applyFont="1"/>
    <xf numFmtId="0" fontId="10" fillId="0" borderId="0" xfId="0" applyFont="1"/>
    <xf numFmtId="0" fontId="23" fillId="0" borderId="0" xfId="0" applyFont="1" applyAlignment="1">
      <alignment horizontal="center" wrapText="1"/>
    </xf>
    <xf numFmtId="0" fontId="10" fillId="0" borderId="0" xfId="0" applyFont="1" applyAlignment="1">
      <alignment horizontal="center"/>
    </xf>
    <xf numFmtId="0" fontId="52" fillId="0" borderId="0" xfId="0" applyFont="1" applyFill="1"/>
    <xf numFmtId="0" fontId="52" fillId="0" borderId="0" xfId="0" applyFont="1" applyFill="1" applyAlignment="1">
      <alignment horizontal="center" wrapText="1"/>
    </xf>
    <xf numFmtId="0" fontId="53" fillId="0" borderId="0" xfId="0" applyFont="1" applyFill="1"/>
    <xf numFmtId="173" fontId="10" fillId="0" borderId="0" xfId="0" applyNumberFormat="1" applyFont="1" applyFill="1"/>
    <xf numFmtId="9" fontId="26" fillId="0" borderId="0" xfId="19" applyNumberFormat="1" applyFont="1" applyFill="1"/>
    <xf numFmtId="9" fontId="22" fillId="0" borderId="0" xfId="19" applyNumberFormat="1" applyAlignment="1">
      <alignment horizontal="center"/>
    </xf>
    <xf numFmtId="4" fontId="36" fillId="19" borderId="0" xfId="3" applyNumberFormat="1" applyAlignment="1">
      <alignment horizontal="center"/>
    </xf>
    <xf numFmtId="0" fontId="22" fillId="0" borderId="0" xfId="0" applyNumberFormat="1" applyFont="1" applyFill="1" applyBorder="1"/>
    <xf numFmtId="4" fontId="0" fillId="23" borderId="26" xfId="0" applyNumberFormat="1" applyFill="1" applyBorder="1"/>
    <xf numFmtId="0" fontId="0" fillId="23" borderId="0" xfId="0" applyNumberFormat="1" applyFill="1"/>
    <xf numFmtId="43" fontId="56" fillId="0" borderId="0" xfId="17" applyNumberFormat="1" applyFont="1" applyFill="1" applyBorder="1"/>
    <xf numFmtId="0" fontId="3" fillId="0" borderId="26" xfId="0" applyNumberFormat="1" applyFont="1" applyFill="1" applyBorder="1" applyAlignment="1">
      <alignment wrapText="1"/>
    </xf>
    <xf numFmtId="179" fontId="41" fillId="0" borderId="0" xfId="12" applyNumberFormat="1">
      <alignment horizontal="center"/>
    </xf>
    <xf numFmtId="179" fontId="27" fillId="0" borderId="0" xfId="19" applyNumberFormat="1" applyFont="1" applyFill="1" applyAlignment="1">
      <alignment horizontal="center"/>
    </xf>
    <xf numFmtId="10" fontId="49" fillId="0" borderId="0" xfId="25" applyNumberFormat="1" applyFont="1" applyAlignment="1">
      <alignment horizontal="center"/>
    </xf>
    <xf numFmtId="181" fontId="36" fillId="19" borderId="0" xfId="3" applyNumberFormat="1" applyAlignment="1">
      <alignment horizontal="center"/>
    </xf>
    <xf numFmtId="182" fontId="26" fillId="0" borderId="0" xfId="19" applyNumberFormat="1" applyFont="1"/>
    <xf numFmtId="180" fontId="37" fillId="0" borderId="0" xfId="4" applyNumberFormat="1" applyAlignment="1">
      <alignment horizontal="center"/>
    </xf>
    <xf numFmtId="0" fontId="0" fillId="24" borderId="0" xfId="0" applyNumberFormat="1" applyFill="1" applyBorder="1"/>
    <xf numFmtId="4" fontId="0" fillId="24" borderId="0" xfId="0" applyNumberFormat="1" applyFill="1"/>
    <xf numFmtId="0" fontId="0" fillId="24" borderId="0" xfId="0" applyNumberFormat="1" applyFill="1"/>
    <xf numFmtId="4" fontId="21" fillId="24" borderId="0" xfId="0" applyNumberFormat="1" applyFont="1" applyFill="1"/>
    <xf numFmtId="10" fontId="54" fillId="0" borderId="0" xfId="25" applyNumberFormat="1" applyFont="1"/>
    <xf numFmtId="9" fontId="2" fillId="0" borderId="0" xfId="24"/>
    <xf numFmtId="9" fontId="2" fillId="23" borderId="26" xfId="24" applyFill="1" applyBorder="1"/>
    <xf numFmtId="10" fontId="0" fillId="0" borderId="0" xfId="0" applyNumberFormat="1"/>
    <xf numFmtId="0" fontId="32" fillId="25" borderId="0" xfId="0" applyFont="1" applyFill="1"/>
    <xf numFmtId="0" fontId="32" fillId="22" borderId="0" xfId="0" applyFont="1" applyFill="1"/>
    <xf numFmtId="0" fontId="0" fillId="25" borderId="0" xfId="0" applyFill="1"/>
    <xf numFmtId="0" fontId="44" fillId="21" borderId="35" xfId="17"/>
    <xf numFmtId="0" fontId="61" fillId="26" borderId="36" xfId="0" applyFont="1" applyFill="1" applyBorder="1" applyAlignment="1">
      <alignment horizontal="right" vertical="top" wrapText="1"/>
    </xf>
    <xf numFmtId="0" fontId="62" fillId="26" borderId="36" xfId="0" applyFont="1" applyFill="1" applyBorder="1" applyAlignment="1">
      <alignment horizontal="right" vertical="top" wrapText="1"/>
    </xf>
    <xf numFmtId="183" fontId="1" fillId="0" borderId="0" xfId="31" applyNumberFormat="1" applyFont="1" applyFill="1"/>
    <xf numFmtId="183" fontId="1" fillId="0" borderId="0" xfId="30" applyNumberFormat="1"/>
    <xf numFmtId="164" fontId="0" fillId="0" borderId="0" xfId="0" applyNumberFormat="1"/>
    <xf numFmtId="168" fontId="64" fillId="0" borderId="0" xfId="24" applyNumberFormat="1" applyFont="1"/>
    <xf numFmtId="0" fontId="2" fillId="0" borderId="0" xfId="19" applyFont="1"/>
    <xf numFmtId="168" fontId="65" fillId="0" borderId="0" xfId="25" applyNumberFormat="1" applyFont="1" applyFill="1"/>
    <xf numFmtId="0" fontId="2" fillId="17" borderId="33" xfId="19" applyFont="1" applyFill="1" applyBorder="1" applyAlignment="1">
      <alignment horizontal="left"/>
    </xf>
    <xf numFmtId="43" fontId="49" fillId="0" borderId="0" xfId="7" applyNumberFormat="1" applyFont="1" applyAlignment="1">
      <alignment horizontal="center"/>
    </xf>
    <xf numFmtId="22" fontId="0" fillId="0" borderId="0" xfId="0" applyNumberFormat="1"/>
    <xf numFmtId="14" fontId="0" fillId="0" borderId="0" xfId="0" applyNumberFormat="1"/>
    <xf numFmtId="0" fontId="2" fillId="0" borderId="0" xfId="0" applyFont="1" applyAlignment="1">
      <alignment wrapText="1"/>
    </xf>
    <xf numFmtId="180" fontId="65" fillId="0" borderId="0" xfId="25" applyNumberFormat="1" applyFont="1" applyFill="1"/>
    <xf numFmtId="0" fontId="28" fillId="0" borderId="0" xfId="19" applyFont="1" applyFill="1" applyBorder="1"/>
    <xf numFmtId="0" fontId="28" fillId="0" borderId="0" xfId="19" applyFont="1" applyFill="1" applyBorder="1" applyAlignment="1">
      <alignment horizontal="center"/>
    </xf>
    <xf numFmtId="0" fontId="26" fillId="0" borderId="32" xfId="19" applyFont="1" applyBorder="1"/>
    <xf numFmtId="0" fontId="22" fillId="0" borderId="32" xfId="19" applyBorder="1"/>
    <xf numFmtId="0" fontId="26" fillId="0" borderId="0" xfId="0" applyFont="1" applyBorder="1"/>
    <xf numFmtId="0" fontId="22" fillId="0" borderId="0" xfId="19" applyBorder="1"/>
    <xf numFmtId="0" fontId="50" fillId="0" borderId="32" xfId="19" applyFont="1" applyFill="1" applyBorder="1" applyAlignment="1" applyProtection="1">
      <alignment horizontal="left"/>
      <protection locked="0"/>
    </xf>
    <xf numFmtId="0" fontId="48" fillId="0" borderId="32" xfId="19" applyFont="1" applyFill="1" applyBorder="1" applyAlignment="1" applyProtection="1">
      <alignment horizontal="left"/>
      <protection locked="0"/>
    </xf>
    <xf numFmtId="43" fontId="49" fillId="0" borderId="32" xfId="7" applyNumberFormat="1" applyFont="1" applyBorder="1"/>
    <xf numFmtId="43" fontId="56" fillId="0" borderId="32" xfId="17" applyNumberFormat="1" applyFont="1" applyFill="1" applyBorder="1"/>
    <xf numFmtId="2" fontId="3" fillId="17" borderId="39" xfId="19" applyNumberFormat="1" applyFont="1" applyFill="1" applyBorder="1" applyAlignment="1">
      <alignment horizontal="right"/>
    </xf>
    <xf numFmtId="2" fontId="10" fillId="0" borderId="0" xfId="19" applyNumberFormat="1" applyFont="1" applyFill="1"/>
    <xf numFmtId="2" fontId="10" fillId="0" borderId="0" xfId="0" applyNumberFormat="1" applyFont="1" applyFill="1"/>
    <xf numFmtId="0" fontId="53" fillId="0" borderId="0" xfId="19" applyFont="1"/>
    <xf numFmtId="0" fontId="52" fillId="0" borderId="0" xfId="19" applyFont="1"/>
    <xf numFmtId="0" fontId="24" fillId="17" borderId="0" xfId="19" applyFont="1" applyFill="1" applyBorder="1"/>
    <xf numFmtId="0" fontId="3" fillId="17" borderId="0" xfId="19" applyFont="1" applyFill="1" applyBorder="1" applyAlignment="1">
      <alignment horizontal="center" wrapText="1"/>
    </xf>
    <xf numFmtId="0" fontId="3" fillId="17" borderId="0" xfId="0" applyFont="1" applyFill="1" applyBorder="1" applyAlignment="1">
      <alignment horizontal="center" wrapText="1"/>
    </xf>
    <xf numFmtId="2" fontId="67" fillId="0" borderId="0" xfId="19" applyNumberFormat="1" applyFont="1"/>
    <xf numFmtId="2" fontId="67" fillId="0" borderId="0" xfId="19" applyNumberFormat="1" applyFont="1" applyFill="1"/>
    <xf numFmtId="184" fontId="37" fillId="0" borderId="0" xfId="7" applyNumberFormat="1" applyFont="1"/>
    <xf numFmtId="43" fontId="49" fillId="28" borderId="0" xfId="7" applyNumberFormat="1" applyFont="1" applyFill="1" applyAlignment="1">
      <alignment horizontal="center"/>
    </xf>
    <xf numFmtId="0" fontId="3" fillId="0" borderId="26" xfId="0" applyFont="1" applyBorder="1" applyAlignment="1">
      <alignment horizontal="center"/>
    </xf>
    <xf numFmtId="0" fontId="4" fillId="0" borderId="0" xfId="0" applyFont="1" applyAlignment="1">
      <alignment horizontal="center"/>
    </xf>
    <xf numFmtId="0" fontId="60" fillId="27" borderId="37" xfId="0" applyFont="1" applyFill="1" applyBorder="1" applyAlignment="1">
      <alignment horizontal="left" vertical="center" wrapText="1"/>
    </xf>
    <xf numFmtId="0" fontId="60" fillId="27" borderId="38" xfId="0" applyFont="1" applyFill="1" applyBorder="1" applyAlignment="1">
      <alignment horizontal="left" vertical="center" wrapText="1"/>
    </xf>
    <xf numFmtId="0" fontId="24" fillId="0" borderId="0" xfId="19" applyFont="1" applyFill="1" applyAlignment="1">
      <alignment horizontal="center"/>
    </xf>
  </cellXfs>
  <cellStyles count="33">
    <cellStyle name="Accent6" xfId="1" builtinId="49"/>
    <cellStyle name="Bad" xfId="2" builtinId="27"/>
    <cellStyle name="Bad 2" xfId="3" xr:uid="{00000000-0005-0000-0000-000002000000}"/>
    <cellStyle name="Calc" xfId="4" xr:uid="{00000000-0005-0000-0000-000003000000}"/>
    <cellStyle name="Calculation" xfId="5" builtinId="22"/>
    <cellStyle name="Comma" xfId="6" builtinId="3"/>
    <cellStyle name="Comma 2" xfId="7" xr:uid="{00000000-0005-0000-0000-000006000000}"/>
    <cellStyle name="Comma 3" xfId="8" xr:uid="{00000000-0005-0000-0000-000007000000}"/>
    <cellStyle name="Comma 4" xfId="31" xr:uid="{00000000-0005-0000-0000-000008000000}"/>
    <cellStyle name="Excel Built-in Normal" xfId="9" xr:uid="{00000000-0005-0000-0000-000009000000}"/>
    <cellStyle name="Excel Built-in Normal 2" xfId="10" xr:uid="{00000000-0005-0000-0000-00000A000000}"/>
    <cellStyle name="Excel_BuiltIn_Comma" xfId="11" xr:uid="{00000000-0005-0000-0000-00000B000000}"/>
    <cellStyle name="External" xfId="12" xr:uid="{00000000-0005-0000-0000-00000C000000}"/>
    <cellStyle name="Heading" xfId="13" xr:uid="{00000000-0005-0000-0000-00000D000000}"/>
    <cellStyle name="Heading1" xfId="14" xr:uid="{00000000-0005-0000-0000-00000E000000}"/>
    <cellStyle name="Hyperlink" xfId="15" builtinId="8"/>
    <cellStyle name="Hyperlink 2" xfId="16" xr:uid="{00000000-0005-0000-0000-000010000000}"/>
    <cellStyle name="Input" xfId="17" builtinId="20"/>
    <cellStyle name="Linked" xfId="18" xr:uid="{00000000-0005-0000-0000-000012000000}"/>
    <cellStyle name="Normal" xfId="0" builtinId="0"/>
    <cellStyle name="Normal 2" xfId="19" xr:uid="{00000000-0005-0000-0000-000014000000}"/>
    <cellStyle name="Normal 2 2" xfId="20" xr:uid="{00000000-0005-0000-0000-000015000000}"/>
    <cellStyle name="Normal 2 3" xfId="32" xr:uid="{00000000-0005-0000-0000-000016000000}"/>
    <cellStyle name="Normal 3" xfId="21" xr:uid="{00000000-0005-0000-0000-000017000000}"/>
    <cellStyle name="Normal 3 2" xfId="22" xr:uid="{00000000-0005-0000-0000-000018000000}"/>
    <cellStyle name="Normal 4" xfId="23" xr:uid="{00000000-0005-0000-0000-000019000000}"/>
    <cellStyle name="Normal 5" xfId="30" xr:uid="{00000000-0005-0000-0000-00001A000000}"/>
    <cellStyle name="Percent" xfId="24" builtinId="5"/>
    <cellStyle name="Percent 2" xfId="25" xr:uid="{00000000-0005-0000-0000-00001C000000}"/>
    <cellStyle name="Percent 2 2" xfId="26" xr:uid="{00000000-0005-0000-0000-00001D000000}"/>
    <cellStyle name="Percent 3" xfId="27" xr:uid="{00000000-0005-0000-0000-00001E000000}"/>
    <cellStyle name="Result" xfId="28" xr:uid="{00000000-0005-0000-0000-00001F000000}"/>
    <cellStyle name="Result2" xfId="29" xr:uid="{00000000-0005-0000-0000-000020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9966CC"/>
      <rgbColor rgb="009999FF"/>
      <rgbColor rgb="0099284C"/>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66"/>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63171528753628"/>
          <c:y val="0.10588275843580897"/>
          <c:w val="0.83579033284368098"/>
          <c:h val="0.71764980717603855"/>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'Appendix 1'!$A$32:$A$38</c:f>
              <c:strCache>
                <c:ptCount val="7"/>
                <c:pt idx="0">
                  <c:v>Coal</c:v>
                </c:pt>
                <c:pt idx="1">
                  <c:v>LPG</c:v>
                </c:pt>
                <c:pt idx="2">
                  <c:v>Petrol</c:v>
                </c:pt>
                <c:pt idx="3">
                  <c:v>Paraffin</c:v>
                </c:pt>
                <c:pt idx="4">
                  <c:v>Diesel</c:v>
                </c:pt>
                <c:pt idx="5">
                  <c:v>HFO</c:v>
                </c:pt>
                <c:pt idx="6">
                  <c:v>Electricity</c:v>
                </c:pt>
              </c:strCache>
            </c:strRef>
          </c:cat>
          <c:val>
            <c:numRef>
              <c:f>'Appendix 1'!$G$32:$G$38</c:f>
              <c:numCache>
                <c:formatCode>General</c:formatCode>
                <c:ptCount val="7"/>
                <c:pt idx="0">
                  <c:v>1.5</c:v>
                </c:pt>
                <c:pt idx="1">
                  <c:v>0.1308070113</c:v>
                </c:pt>
                <c:pt idx="2">
                  <c:v>2.82</c:v>
                </c:pt>
                <c:pt idx="3">
                  <c:v>2.4</c:v>
                </c:pt>
                <c:pt idx="4">
                  <c:v>42.502151914499997</c:v>
                </c:pt>
                <c:pt idx="5">
                  <c:v>1.5663651328000001</c:v>
                </c:pt>
                <c:pt idx="6">
                  <c:v>21.872943597796453</c:v>
                </c:pt>
              </c:numCache>
            </c:numRef>
          </c:val>
          <c:extLst>
            <c:ext xmlns:c16="http://schemas.microsoft.com/office/drawing/2014/chart" uri="{C3380CC4-5D6E-409C-BE32-E72D297353CC}">
              <c16:uniqueId val="{00000000-9993-4AAC-A474-44CB190574B3}"/>
            </c:ext>
          </c:extLst>
        </c:ser>
        <c:dLbls>
          <c:showLegendKey val="0"/>
          <c:showVal val="0"/>
          <c:showCatName val="0"/>
          <c:showSerName val="0"/>
          <c:showPercent val="0"/>
          <c:showBubbleSize val="0"/>
        </c:dLbls>
        <c:gapWidth val="150"/>
        <c:axId val="401186520"/>
        <c:axId val="401186912"/>
      </c:barChart>
      <c:catAx>
        <c:axId val="401186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01186912"/>
        <c:crosses val="autoZero"/>
        <c:auto val="1"/>
        <c:lblAlgn val="ctr"/>
        <c:lblOffset val="100"/>
        <c:tickLblSkip val="1"/>
        <c:tickMarkSkip val="1"/>
        <c:noMultiLvlLbl val="0"/>
      </c:catAx>
      <c:valAx>
        <c:axId val="40118691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ZA"/>
                  <a:t>Final Energy use in PJ</a:t>
                </a:r>
              </a:p>
            </c:rich>
          </c:tx>
          <c:layout>
            <c:manualLayout>
              <c:xMode val="edge"/>
              <c:yMode val="edge"/>
              <c:x val="3.2019671225307363E-2"/>
              <c:y val="0.177778189491019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401186520"/>
        <c:crosses val="autoZero"/>
        <c:crossBetween val="between"/>
      </c:valAx>
      <c:spPr>
        <a:solidFill>
          <a:srgbClr val="C0C0C0"/>
        </a:solidFill>
        <a:ln w="12700">
          <a:solidFill>
            <a:srgbClr val="999999"/>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631691648822268"/>
          <c:y val="4.6153846153846156E-2"/>
          <c:w val="0.80513918629550318"/>
          <c:h val="0.81538461538461537"/>
        </c:manualLayout>
      </c:layout>
      <c:barChart>
        <c:barDir val="col"/>
        <c:grouping val="cluster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strRef>
              <c:f>'Final Demand'!$A$6:$A$12</c:f>
              <c:strCache>
                <c:ptCount val="7"/>
                <c:pt idx="0">
                  <c:v>Butimous Coal</c:v>
                </c:pt>
                <c:pt idx="1">
                  <c:v>LPG</c:v>
                </c:pt>
                <c:pt idx="2">
                  <c:v>Motor Gasoline</c:v>
                </c:pt>
                <c:pt idx="3">
                  <c:v>Other Kerosene</c:v>
                </c:pt>
                <c:pt idx="4">
                  <c:v>Gas Diesel</c:v>
                </c:pt>
                <c:pt idx="5">
                  <c:v>HFO</c:v>
                </c:pt>
                <c:pt idx="6">
                  <c:v>Electricity</c:v>
                </c:pt>
              </c:strCache>
            </c:strRef>
          </c:cat>
          <c:val>
            <c:numRef>
              <c:f>'Final Demand'!$B$6:$B$12</c:f>
              <c:numCache>
                <c:formatCode>#,##0.00</c:formatCode>
                <c:ptCount val="7"/>
                <c:pt idx="0">
                  <c:v>804.7</c:v>
                </c:pt>
                <c:pt idx="1">
                  <c:v>0</c:v>
                </c:pt>
                <c:pt idx="2">
                  <c:v>0</c:v>
                </c:pt>
                <c:pt idx="3">
                  <c:v>2830.48859519711</c:v>
                </c:pt>
                <c:pt idx="4">
                  <c:v>27936.051431163502</c:v>
                </c:pt>
                <c:pt idx="5">
                  <c:v>0</c:v>
                </c:pt>
                <c:pt idx="6">
                  <c:v>17140.014275167501</c:v>
                </c:pt>
              </c:numCache>
            </c:numRef>
          </c:val>
          <c:extLst>
            <c:ext xmlns:c16="http://schemas.microsoft.com/office/drawing/2014/chart" uri="{C3380CC4-5D6E-409C-BE32-E72D297353CC}">
              <c16:uniqueId val="{00000000-E6CF-4ECD-B2DD-513E63055719}"/>
            </c:ext>
          </c:extLst>
        </c:ser>
        <c:dLbls>
          <c:showLegendKey val="0"/>
          <c:showVal val="0"/>
          <c:showCatName val="0"/>
          <c:showSerName val="0"/>
          <c:showPercent val="0"/>
          <c:showBubbleSize val="0"/>
        </c:dLbls>
        <c:gapWidth val="150"/>
        <c:axId val="401190048"/>
        <c:axId val="487262304"/>
      </c:barChart>
      <c:catAx>
        <c:axId val="401190048"/>
        <c:scaling>
          <c:orientation val="minMax"/>
        </c:scaling>
        <c:delete val="0"/>
        <c:axPos val="b"/>
        <c:numFmt formatCode="General"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87262304"/>
        <c:crosses val="autoZero"/>
        <c:auto val="1"/>
        <c:lblAlgn val="ctr"/>
        <c:lblOffset val="100"/>
        <c:noMultiLvlLbl val="0"/>
      </c:catAx>
      <c:valAx>
        <c:axId val="487262304"/>
        <c:scaling>
          <c:orientation val="minMax"/>
        </c:scaling>
        <c:delete val="0"/>
        <c:axPos val="l"/>
        <c:majorGridlines>
          <c:spPr>
            <a:ln w="3175">
              <a:solidFill>
                <a:srgbClr val="999999"/>
              </a:solidFill>
              <a:prstDash val="solid"/>
            </a:ln>
          </c:spPr>
        </c:majorGridlines>
        <c:numFmt formatCode="#,##0.00"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01190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999999"/>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 Id="rId9"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 Id="rId9"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4.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4"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 Id="rId4" Type="http://schemas.openxmlformats.org/officeDocument/2006/relationships/image" Target="../media/image31.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 Id="rId9" Type="http://schemas.openxmlformats.org/officeDocument/2006/relationships/image" Target="../media/image35.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5" Type="http://schemas.openxmlformats.org/officeDocument/2006/relationships/image" Target="../media/image48.emf"/><Relationship Id="rId4" Type="http://schemas.openxmlformats.org/officeDocument/2006/relationships/image" Target="../media/image49.emf"/><Relationship Id="rId9"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5" Type="http://schemas.openxmlformats.org/officeDocument/2006/relationships/image" Target="../media/image57.emf"/><Relationship Id="rId4" Type="http://schemas.openxmlformats.org/officeDocument/2006/relationships/image" Target="../media/image56.emf"/><Relationship Id="rId9" Type="http://schemas.openxmlformats.org/officeDocument/2006/relationships/image" Target="../media/image61.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image" Target="../media/image68.emf"/><Relationship Id="rId7" Type="http://schemas.openxmlformats.org/officeDocument/2006/relationships/image" Target="../media/image64.emf"/><Relationship Id="rId2" Type="http://schemas.openxmlformats.org/officeDocument/2006/relationships/image" Target="../media/image69.emf"/><Relationship Id="rId1" Type="http://schemas.openxmlformats.org/officeDocument/2006/relationships/image" Target="../media/image70.emf"/><Relationship Id="rId6" Type="http://schemas.openxmlformats.org/officeDocument/2006/relationships/image" Target="../media/image65.emf"/><Relationship Id="rId5" Type="http://schemas.openxmlformats.org/officeDocument/2006/relationships/image" Target="../media/image66.emf"/><Relationship Id="rId4" Type="http://schemas.openxmlformats.org/officeDocument/2006/relationships/image" Target="../media/image67.emf"/><Relationship Id="rId9" Type="http://schemas.openxmlformats.org/officeDocument/2006/relationships/image" Target="../media/image62.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image" Target="../media/image76.emf"/><Relationship Id="rId7" Type="http://schemas.openxmlformats.org/officeDocument/2006/relationships/image" Target="../media/image72.emf"/><Relationship Id="rId2" Type="http://schemas.openxmlformats.org/officeDocument/2006/relationships/image" Target="../media/image77.emf"/><Relationship Id="rId1" Type="http://schemas.openxmlformats.org/officeDocument/2006/relationships/image" Target="../media/image78.emf"/><Relationship Id="rId6" Type="http://schemas.openxmlformats.org/officeDocument/2006/relationships/image" Target="../media/image73.emf"/><Relationship Id="rId5" Type="http://schemas.openxmlformats.org/officeDocument/2006/relationships/image" Target="../media/image74.emf"/><Relationship Id="rId4" Type="http://schemas.openxmlformats.org/officeDocument/2006/relationships/image" Target="../media/image75.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image" Target="../media/image85.emf"/><Relationship Id="rId7" Type="http://schemas.openxmlformats.org/officeDocument/2006/relationships/image" Target="../media/image81.emf"/><Relationship Id="rId2" Type="http://schemas.openxmlformats.org/officeDocument/2006/relationships/image" Target="../media/image86.emf"/><Relationship Id="rId1" Type="http://schemas.openxmlformats.org/officeDocument/2006/relationships/image" Target="../media/image87.emf"/><Relationship Id="rId6" Type="http://schemas.openxmlformats.org/officeDocument/2006/relationships/image" Target="../media/image82.emf"/><Relationship Id="rId5" Type="http://schemas.openxmlformats.org/officeDocument/2006/relationships/image" Target="../media/image83.emf"/><Relationship Id="rId4" Type="http://schemas.openxmlformats.org/officeDocument/2006/relationships/image" Target="../media/image84.emf"/><Relationship Id="rId9" Type="http://schemas.openxmlformats.org/officeDocument/2006/relationships/image" Target="../media/image79.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89.emf"/><Relationship Id="rId3" Type="http://schemas.openxmlformats.org/officeDocument/2006/relationships/image" Target="../media/image94.emf"/><Relationship Id="rId7" Type="http://schemas.openxmlformats.org/officeDocument/2006/relationships/image" Target="../media/image90.emf"/><Relationship Id="rId2" Type="http://schemas.openxmlformats.org/officeDocument/2006/relationships/image" Target="../media/image95.emf"/><Relationship Id="rId1" Type="http://schemas.openxmlformats.org/officeDocument/2006/relationships/image" Target="../media/image96.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3.emf"/><Relationship Id="rId9" Type="http://schemas.openxmlformats.org/officeDocument/2006/relationships/image" Target="../media/image88.emf"/></Relationships>
</file>

<file path=xl/drawings/drawing1.xml><?xml version="1.0" encoding="utf-8"?>
<xdr:wsDr xmlns:xdr="http://schemas.openxmlformats.org/drawingml/2006/spreadsheetDrawing" xmlns:a="http://schemas.openxmlformats.org/drawingml/2006/main">
  <xdr:twoCellAnchor>
    <xdr:from>
      <xdr:col>0</xdr:col>
      <xdr:colOff>266700</xdr:colOff>
      <xdr:row>3</xdr:row>
      <xdr:rowOff>7620</xdr:rowOff>
    </xdr:from>
    <xdr:to>
      <xdr:col>0</xdr:col>
      <xdr:colOff>274320</xdr:colOff>
      <xdr:row>34</xdr:row>
      <xdr:rowOff>106680</xdr:rowOff>
    </xdr:to>
    <xdr:sp macro="" textlink="">
      <xdr:nvSpPr>
        <xdr:cNvPr id="591503" name="Line 7">
          <a:extLst>
            <a:ext uri="{FF2B5EF4-FFF2-40B4-BE49-F238E27FC236}">
              <a16:creationId xmlns:a16="http://schemas.microsoft.com/office/drawing/2014/main" id="{00000000-0008-0000-0200-00008F060900}"/>
            </a:ext>
          </a:extLst>
        </xdr:cNvPr>
        <xdr:cNvSpPr>
          <a:spLocks noChangeShapeType="1"/>
        </xdr:cNvSpPr>
      </xdr:nvSpPr>
      <xdr:spPr bwMode="auto">
        <a:xfrm>
          <a:off x="266700" y="78486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5</xdr:row>
      <xdr:rowOff>167640</xdr:rowOff>
    </xdr:from>
    <xdr:to>
      <xdr:col>10</xdr:col>
      <xdr:colOff>434340</xdr:colOff>
      <xdr:row>6</xdr:row>
      <xdr:rowOff>7620</xdr:rowOff>
    </xdr:to>
    <xdr:sp macro="" textlink="">
      <xdr:nvSpPr>
        <xdr:cNvPr id="591504" name="Line 15">
          <a:extLst>
            <a:ext uri="{FF2B5EF4-FFF2-40B4-BE49-F238E27FC236}">
              <a16:creationId xmlns:a16="http://schemas.microsoft.com/office/drawing/2014/main" id="{00000000-0008-0000-0200-000090060900}"/>
            </a:ext>
          </a:extLst>
        </xdr:cNvPr>
        <xdr:cNvSpPr>
          <a:spLocks noChangeShapeType="1"/>
        </xdr:cNvSpPr>
      </xdr:nvSpPr>
      <xdr:spPr bwMode="auto">
        <a:xfrm flipV="1">
          <a:off x="960120" y="1280160"/>
          <a:ext cx="5547360" cy="762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198120</xdr:colOff>
      <xdr:row>20</xdr:row>
      <xdr:rowOff>0</xdr:rowOff>
    </xdr:from>
    <xdr:to>
      <xdr:col>12</xdr:col>
      <xdr:colOff>350520</xdr:colOff>
      <xdr:row>20</xdr:row>
      <xdr:rowOff>30480</xdr:rowOff>
    </xdr:to>
    <xdr:sp macro="" textlink="">
      <xdr:nvSpPr>
        <xdr:cNvPr id="591505" name="Line 17">
          <a:extLst>
            <a:ext uri="{FF2B5EF4-FFF2-40B4-BE49-F238E27FC236}">
              <a16:creationId xmlns:a16="http://schemas.microsoft.com/office/drawing/2014/main" id="{00000000-0008-0000-0200-000091060900}"/>
            </a:ext>
          </a:extLst>
        </xdr:cNvPr>
        <xdr:cNvSpPr>
          <a:spLocks noChangeShapeType="1"/>
        </xdr:cNvSpPr>
      </xdr:nvSpPr>
      <xdr:spPr bwMode="auto">
        <a:xfrm flipV="1">
          <a:off x="2948940" y="3627120"/>
          <a:ext cx="5036820" cy="30480"/>
        </a:xfrm>
        <a:prstGeom prst="line">
          <a:avLst/>
        </a:prstGeom>
        <a:noFill/>
        <a:ln w="36000">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10</xdr:row>
      <xdr:rowOff>160020</xdr:rowOff>
    </xdr:from>
    <xdr:to>
      <xdr:col>11</xdr:col>
      <xdr:colOff>472440</xdr:colOff>
      <xdr:row>10</xdr:row>
      <xdr:rowOff>160020</xdr:rowOff>
    </xdr:to>
    <xdr:sp macro="" textlink="">
      <xdr:nvSpPr>
        <xdr:cNvPr id="591506" name="Line 19">
          <a:extLst>
            <a:ext uri="{FF2B5EF4-FFF2-40B4-BE49-F238E27FC236}">
              <a16:creationId xmlns:a16="http://schemas.microsoft.com/office/drawing/2014/main" id="{00000000-0008-0000-0200-000092060900}"/>
            </a:ext>
          </a:extLst>
        </xdr:cNvPr>
        <xdr:cNvSpPr>
          <a:spLocks noChangeShapeType="1"/>
        </xdr:cNvSpPr>
      </xdr:nvSpPr>
      <xdr:spPr bwMode="auto">
        <a:xfrm>
          <a:off x="266700" y="2110740"/>
          <a:ext cx="705612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289560</xdr:colOff>
      <xdr:row>17</xdr:row>
      <xdr:rowOff>167640</xdr:rowOff>
    </xdr:from>
    <xdr:to>
      <xdr:col>12</xdr:col>
      <xdr:colOff>342900</xdr:colOff>
      <xdr:row>18</xdr:row>
      <xdr:rowOff>7620</xdr:rowOff>
    </xdr:to>
    <xdr:sp macro="" textlink="">
      <xdr:nvSpPr>
        <xdr:cNvPr id="591507" name="Line 29">
          <a:extLst>
            <a:ext uri="{FF2B5EF4-FFF2-40B4-BE49-F238E27FC236}">
              <a16:creationId xmlns:a16="http://schemas.microsoft.com/office/drawing/2014/main" id="{00000000-0008-0000-0200-000093060900}"/>
            </a:ext>
          </a:extLst>
        </xdr:cNvPr>
        <xdr:cNvSpPr>
          <a:spLocks noChangeShapeType="1"/>
        </xdr:cNvSpPr>
      </xdr:nvSpPr>
      <xdr:spPr bwMode="auto">
        <a:xfrm flipV="1">
          <a:off x="2537460" y="3291840"/>
          <a:ext cx="5440680" cy="7620"/>
        </a:xfrm>
        <a:prstGeom prst="line">
          <a:avLst/>
        </a:prstGeom>
        <a:noFill/>
        <a:ln w="36000">
          <a:solidFill>
            <a:srgbClr val="984807"/>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403860</xdr:colOff>
      <xdr:row>8</xdr:row>
      <xdr:rowOff>7620</xdr:rowOff>
    </xdr:from>
    <xdr:to>
      <xdr:col>10</xdr:col>
      <xdr:colOff>472440</xdr:colOff>
      <xdr:row>8</xdr:row>
      <xdr:rowOff>7620</xdr:rowOff>
    </xdr:to>
    <xdr:sp macro="" textlink="">
      <xdr:nvSpPr>
        <xdr:cNvPr id="591508" name="Line 38">
          <a:extLst>
            <a:ext uri="{FF2B5EF4-FFF2-40B4-BE49-F238E27FC236}">
              <a16:creationId xmlns:a16="http://schemas.microsoft.com/office/drawing/2014/main" id="{00000000-0008-0000-0200-000094060900}"/>
            </a:ext>
          </a:extLst>
        </xdr:cNvPr>
        <xdr:cNvSpPr>
          <a:spLocks noChangeShapeType="1"/>
        </xdr:cNvSpPr>
      </xdr:nvSpPr>
      <xdr:spPr bwMode="auto">
        <a:xfrm>
          <a:off x="2004060" y="1623060"/>
          <a:ext cx="4541520"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13</xdr:row>
      <xdr:rowOff>7620</xdr:rowOff>
    </xdr:from>
    <xdr:to>
      <xdr:col>11</xdr:col>
      <xdr:colOff>487680</xdr:colOff>
      <xdr:row>13</xdr:row>
      <xdr:rowOff>7620</xdr:rowOff>
    </xdr:to>
    <xdr:sp macro="" textlink="">
      <xdr:nvSpPr>
        <xdr:cNvPr id="591509" name="Line 15">
          <a:extLst>
            <a:ext uri="{FF2B5EF4-FFF2-40B4-BE49-F238E27FC236}">
              <a16:creationId xmlns:a16="http://schemas.microsoft.com/office/drawing/2014/main" id="{00000000-0008-0000-0200-000095060900}"/>
            </a:ext>
          </a:extLst>
        </xdr:cNvPr>
        <xdr:cNvSpPr>
          <a:spLocks noChangeShapeType="1"/>
        </xdr:cNvSpPr>
      </xdr:nvSpPr>
      <xdr:spPr bwMode="auto">
        <a:xfrm flipV="1">
          <a:off x="960120" y="2461260"/>
          <a:ext cx="6377940"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15</xdr:row>
      <xdr:rowOff>0</xdr:rowOff>
    </xdr:from>
    <xdr:to>
      <xdr:col>11</xdr:col>
      <xdr:colOff>502920</xdr:colOff>
      <xdr:row>15</xdr:row>
      <xdr:rowOff>7620</xdr:rowOff>
    </xdr:to>
    <xdr:sp macro="" textlink="">
      <xdr:nvSpPr>
        <xdr:cNvPr id="591510" name="Line 38">
          <a:extLst>
            <a:ext uri="{FF2B5EF4-FFF2-40B4-BE49-F238E27FC236}">
              <a16:creationId xmlns:a16="http://schemas.microsoft.com/office/drawing/2014/main" id="{00000000-0008-0000-0200-000096060900}"/>
            </a:ext>
          </a:extLst>
        </xdr:cNvPr>
        <xdr:cNvSpPr>
          <a:spLocks noChangeShapeType="1"/>
        </xdr:cNvSpPr>
      </xdr:nvSpPr>
      <xdr:spPr bwMode="auto">
        <a:xfrm flipV="1">
          <a:off x="1981200" y="2788920"/>
          <a:ext cx="5372100" cy="762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312420</xdr:colOff>
      <xdr:row>23</xdr:row>
      <xdr:rowOff>160020</xdr:rowOff>
    </xdr:from>
    <xdr:to>
      <xdr:col>12</xdr:col>
      <xdr:colOff>388620</xdr:colOff>
      <xdr:row>24</xdr:row>
      <xdr:rowOff>7620</xdr:rowOff>
    </xdr:to>
    <xdr:sp macro="" textlink="">
      <xdr:nvSpPr>
        <xdr:cNvPr id="591511" name="Line 18">
          <a:extLst>
            <a:ext uri="{FF2B5EF4-FFF2-40B4-BE49-F238E27FC236}">
              <a16:creationId xmlns:a16="http://schemas.microsoft.com/office/drawing/2014/main" id="{00000000-0008-0000-0200-000097060900}"/>
            </a:ext>
          </a:extLst>
        </xdr:cNvPr>
        <xdr:cNvSpPr>
          <a:spLocks noChangeShapeType="1"/>
        </xdr:cNvSpPr>
      </xdr:nvSpPr>
      <xdr:spPr bwMode="auto">
        <a:xfrm flipV="1">
          <a:off x="3878580" y="4290060"/>
          <a:ext cx="4145280" cy="1524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144780</xdr:colOff>
      <xdr:row>22</xdr:row>
      <xdr:rowOff>0</xdr:rowOff>
    </xdr:from>
    <xdr:to>
      <xdr:col>12</xdr:col>
      <xdr:colOff>342900</xdr:colOff>
      <xdr:row>22</xdr:row>
      <xdr:rowOff>7620</xdr:rowOff>
    </xdr:to>
    <xdr:sp macro="" textlink="">
      <xdr:nvSpPr>
        <xdr:cNvPr id="591512" name="Line 17">
          <a:extLst>
            <a:ext uri="{FF2B5EF4-FFF2-40B4-BE49-F238E27FC236}">
              <a16:creationId xmlns:a16="http://schemas.microsoft.com/office/drawing/2014/main" id="{00000000-0008-0000-0200-000098060900}"/>
            </a:ext>
          </a:extLst>
        </xdr:cNvPr>
        <xdr:cNvSpPr>
          <a:spLocks noChangeShapeType="1"/>
        </xdr:cNvSpPr>
      </xdr:nvSpPr>
      <xdr:spPr bwMode="auto">
        <a:xfrm>
          <a:off x="3307080" y="3962400"/>
          <a:ext cx="4671060" cy="762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274320</xdr:colOff>
      <xdr:row>28</xdr:row>
      <xdr:rowOff>160020</xdr:rowOff>
    </xdr:from>
    <xdr:to>
      <xdr:col>14</xdr:col>
      <xdr:colOff>373380</xdr:colOff>
      <xdr:row>28</xdr:row>
      <xdr:rowOff>167640</xdr:rowOff>
    </xdr:to>
    <xdr:sp macro="" textlink="">
      <xdr:nvSpPr>
        <xdr:cNvPr id="591513" name="Line 19">
          <a:extLst>
            <a:ext uri="{FF2B5EF4-FFF2-40B4-BE49-F238E27FC236}">
              <a16:creationId xmlns:a16="http://schemas.microsoft.com/office/drawing/2014/main" id="{00000000-0008-0000-0200-000099060900}"/>
            </a:ext>
          </a:extLst>
        </xdr:cNvPr>
        <xdr:cNvSpPr>
          <a:spLocks noChangeShapeType="1"/>
        </xdr:cNvSpPr>
      </xdr:nvSpPr>
      <xdr:spPr bwMode="auto">
        <a:xfrm flipV="1">
          <a:off x="274320" y="5128260"/>
          <a:ext cx="9471660" cy="762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160020</xdr:colOff>
      <xdr:row>3</xdr:row>
      <xdr:rowOff>7620</xdr:rowOff>
    </xdr:from>
    <xdr:to>
      <xdr:col>1</xdr:col>
      <xdr:colOff>175260</xdr:colOff>
      <xdr:row>34</xdr:row>
      <xdr:rowOff>106680</xdr:rowOff>
    </xdr:to>
    <xdr:sp macro="" textlink="">
      <xdr:nvSpPr>
        <xdr:cNvPr id="591514" name="Line 7">
          <a:extLst>
            <a:ext uri="{FF2B5EF4-FFF2-40B4-BE49-F238E27FC236}">
              <a16:creationId xmlns:a16="http://schemas.microsoft.com/office/drawing/2014/main" id="{00000000-0008-0000-0200-00009A060900}"/>
            </a:ext>
          </a:extLst>
        </xdr:cNvPr>
        <xdr:cNvSpPr>
          <a:spLocks noChangeShapeType="1"/>
        </xdr:cNvSpPr>
      </xdr:nvSpPr>
      <xdr:spPr bwMode="auto">
        <a:xfrm>
          <a:off x="94488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xdr:row>
      <xdr:rowOff>350520</xdr:rowOff>
    </xdr:from>
    <xdr:to>
      <xdr:col>2</xdr:col>
      <xdr:colOff>403860</xdr:colOff>
      <xdr:row>34</xdr:row>
      <xdr:rowOff>68580</xdr:rowOff>
    </xdr:to>
    <xdr:sp macro="" textlink="">
      <xdr:nvSpPr>
        <xdr:cNvPr id="591515" name="Line 7">
          <a:extLst>
            <a:ext uri="{FF2B5EF4-FFF2-40B4-BE49-F238E27FC236}">
              <a16:creationId xmlns:a16="http://schemas.microsoft.com/office/drawing/2014/main" id="{00000000-0008-0000-0200-00009B060900}"/>
            </a:ext>
          </a:extLst>
        </xdr:cNvPr>
        <xdr:cNvSpPr>
          <a:spLocks noChangeShapeType="1"/>
        </xdr:cNvSpPr>
      </xdr:nvSpPr>
      <xdr:spPr bwMode="auto">
        <a:xfrm>
          <a:off x="1981200" y="7467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236220</xdr:colOff>
      <xdr:row>3</xdr:row>
      <xdr:rowOff>7620</xdr:rowOff>
    </xdr:from>
    <xdr:to>
      <xdr:col>3</xdr:col>
      <xdr:colOff>259080</xdr:colOff>
      <xdr:row>34</xdr:row>
      <xdr:rowOff>106680</xdr:rowOff>
    </xdr:to>
    <xdr:sp macro="" textlink="">
      <xdr:nvSpPr>
        <xdr:cNvPr id="591516" name="Line 7">
          <a:extLst>
            <a:ext uri="{FF2B5EF4-FFF2-40B4-BE49-F238E27FC236}">
              <a16:creationId xmlns:a16="http://schemas.microsoft.com/office/drawing/2014/main" id="{00000000-0008-0000-0200-00009C060900}"/>
            </a:ext>
          </a:extLst>
        </xdr:cNvPr>
        <xdr:cNvSpPr>
          <a:spLocks noChangeShapeType="1"/>
        </xdr:cNvSpPr>
      </xdr:nvSpPr>
      <xdr:spPr bwMode="auto">
        <a:xfrm>
          <a:off x="2484120" y="7848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182880</xdr:colOff>
      <xdr:row>3</xdr:row>
      <xdr:rowOff>0</xdr:rowOff>
    </xdr:from>
    <xdr:to>
      <xdr:col>4</xdr:col>
      <xdr:colOff>198120</xdr:colOff>
      <xdr:row>34</xdr:row>
      <xdr:rowOff>99060</xdr:rowOff>
    </xdr:to>
    <xdr:sp macro="" textlink="">
      <xdr:nvSpPr>
        <xdr:cNvPr id="591517" name="Line 7">
          <a:extLst>
            <a:ext uri="{FF2B5EF4-FFF2-40B4-BE49-F238E27FC236}">
              <a16:creationId xmlns:a16="http://schemas.microsoft.com/office/drawing/2014/main" id="{00000000-0008-0000-0200-00009D060900}"/>
            </a:ext>
          </a:extLst>
        </xdr:cNvPr>
        <xdr:cNvSpPr>
          <a:spLocks noChangeShapeType="1"/>
        </xdr:cNvSpPr>
      </xdr:nvSpPr>
      <xdr:spPr bwMode="auto">
        <a:xfrm>
          <a:off x="2933700" y="77724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160020</xdr:colOff>
      <xdr:row>3</xdr:row>
      <xdr:rowOff>7620</xdr:rowOff>
    </xdr:from>
    <xdr:to>
      <xdr:col>5</xdr:col>
      <xdr:colOff>175260</xdr:colOff>
      <xdr:row>34</xdr:row>
      <xdr:rowOff>106680</xdr:rowOff>
    </xdr:to>
    <xdr:sp macro="" textlink="">
      <xdr:nvSpPr>
        <xdr:cNvPr id="591518" name="Line 7">
          <a:extLst>
            <a:ext uri="{FF2B5EF4-FFF2-40B4-BE49-F238E27FC236}">
              <a16:creationId xmlns:a16="http://schemas.microsoft.com/office/drawing/2014/main" id="{00000000-0008-0000-0200-00009E060900}"/>
            </a:ext>
          </a:extLst>
        </xdr:cNvPr>
        <xdr:cNvSpPr>
          <a:spLocks noChangeShapeType="1"/>
        </xdr:cNvSpPr>
      </xdr:nvSpPr>
      <xdr:spPr bwMode="auto">
        <a:xfrm>
          <a:off x="332232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320040</xdr:colOff>
      <xdr:row>2</xdr:row>
      <xdr:rowOff>373380</xdr:rowOff>
    </xdr:from>
    <xdr:to>
      <xdr:col>6</xdr:col>
      <xdr:colOff>320040</xdr:colOff>
      <xdr:row>34</xdr:row>
      <xdr:rowOff>91440</xdr:rowOff>
    </xdr:to>
    <xdr:sp macro="" textlink="">
      <xdr:nvSpPr>
        <xdr:cNvPr id="591519" name="Line 7">
          <a:extLst>
            <a:ext uri="{FF2B5EF4-FFF2-40B4-BE49-F238E27FC236}">
              <a16:creationId xmlns:a16="http://schemas.microsoft.com/office/drawing/2014/main" id="{00000000-0008-0000-0200-00009F060900}"/>
            </a:ext>
          </a:extLst>
        </xdr:cNvPr>
        <xdr:cNvSpPr>
          <a:spLocks noChangeShapeType="1"/>
        </xdr:cNvSpPr>
      </xdr:nvSpPr>
      <xdr:spPr bwMode="auto">
        <a:xfrm>
          <a:off x="388620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434340</xdr:colOff>
      <xdr:row>2</xdr:row>
      <xdr:rowOff>373380</xdr:rowOff>
    </xdr:from>
    <xdr:to>
      <xdr:col>10</xdr:col>
      <xdr:colOff>434340</xdr:colOff>
      <xdr:row>34</xdr:row>
      <xdr:rowOff>91440</xdr:rowOff>
    </xdr:to>
    <xdr:sp macro="" textlink="">
      <xdr:nvSpPr>
        <xdr:cNvPr id="591520" name="Line 7">
          <a:extLst>
            <a:ext uri="{FF2B5EF4-FFF2-40B4-BE49-F238E27FC236}">
              <a16:creationId xmlns:a16="http://schemas.microsoft.com/office/drawing/2014/main" id="{00000000-0008-0000-0200-0000A0060900}"/>
            </a:ext>
          </a:extLst>
        </xdr:cNvPr>
        <xdr:cNvSpPr>
          <a:spLocks noChangeShapeType="1"/>
        </xdr:cNvSpPr>
      </xdr:nvSpPr>
      <xdr:spPr bwMode="auto">
        <a:xfrm>
          <a:off x="650748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472440</xdr:colOff>
      <xdr:row>2</xdr:row>
      <xdr:rowOff>373380</xdr:rowOff>
    </xdr:from>
    <xdr:to>
      <xdr:col>11</xdr:col>
      <xdr:colOff>480060</xdr:colOff>
      <xdr:row>34</xdr:row>
      <xdr:rowOff>91440</xdr:rowOff>
    </xdr:to>
    <xdr:sp macro="" textlink="">
      <xdr:nvSpPr>
        <xdr:cNvPr id="591521" name="Line 7">
          <a:extLst>
            <a:ext uri="{FF2B5EF4-FFF2-40B4-BE49-F238E27FC236}">
              <a16:creationId xmlns:a16="http://schemas.microsoft.com/office/drawing/2014/main" id="{00000000-0008-0000-0200-0000A1060900}"/>
            </a:ext>
          </a:extLst>
        </xdr:cNvPr>
        <xdr:cNvSpPr>
          <a:spLocks noChangeShapeType="1"/>
        </xdr:cNvSpPr>
      </xdr:nvSpPr>
      <xdr:spPr bwMode="auto">
        <a:xfrm>
          <a:off x="732282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350520</xdr:colOff>
      <xdr:row>2</xdr:row>
      <xdr:rowOff>373380</xdr:rowOff>
    </xdr:from>
    <xdr:to>
      <xdr:col>12</xdr:col>
      <xdr:colOff>358140</xdr:colOff>
      <xdr:row>34</xdr:row>
      <xdr:rowOff>91440</xdr:rowOff>
    </xdr:to>
    <xdr:sp macro="" textlink="">
      <xdr:nvSpPr>
        <xdr:cNvPr id="591522" name="Line 7">
          <a:extLst>
            <a:ext uri="{FF2B5EF4-FFF2-40B4-BE49-F238E27FC236}">
              <a16:creationId xmlns:a16="http://schemas.microsoft.com/office/drawing/2014/main" id="{00000000-0008-0000-0200-0000A2060900}"/>
            </a:ext>
          </a:extLst>
        </xdr:cNvPr>
        <xdr:cNvSpPr>
          <a:spLocks noChangeShapeType="1"/>
        </xdr:cNvSpPr>
      </xdr:nvSpPr>
      <xdr:spPr bwMode="auto">
        <a:xfrm>
          <a:off x="798576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388620</xdr:colOff>
      <xdr:row>2</xdr:row>
      <xdr:rowOff>373380</xdr:rowOff>
    </xdr:from>
    <xdr:to>
      <xdr:col>14</xdr:col>
      <xdr:colOff>403860</xdr:colOff>
      <xdr:row>34</xdr:row>
      <xdr:rowOff>91440</xdr:rowOff>
    </xdr:to>
    <xdr:sp macro="" textlink="">
      <xdr:nvSpPr>
        <xdr:cNvPr id="591523" name="Line 7">
          <a:extLst>
            <a:ext uri="{FF2B5EF4-FFF2-40B4-BE49-F238E27FC236}">
              <a16:creationId xmlns:a16="http://schemas.microsoft.com/office/drawing/2014/main" id="{00000000-0008-0000-0200-0000A3060900}"/>
            </a:ext>
          </a:extLst>
        </xdr:cNvPr>
        <xdr:cNvSpPr>
          <a:spLocks noChangeShapeType="1"/>
        </xdr:cNvSpPr>
      </xdr:nvSpPr>
      <xdr:spPr bwMode="auto">
        <a:xfrm>
          <a:off x="9761220" y="76962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27</xdr:row>
      <xdr:rowOff>0</xdr:rowOff>
    </xdr:from>
    <xdr:to>
      <xdr:col>13</xdr:col>
      <xdr:colOff>403860</xdr:colOff>
      <xdr:row>27</xdr:row>
      <xdr:rowOff>30480</xdr:rowOff>
    </xdr:to>
    <xdr:sp macro="" textlink="">
      <xdr:nvSpPr>
        <xdr:cNvPr id="591524" name="Line 19">
          <a:extLst>
            <a:ext uri="{FF2B5EF4-FFF2-40B4-BE49-F238E27FC236}">
              <a16:creationId xmlns:a16="http://schemas.microsoft.com/office/drawing/2014/main" id="{00000000-0008-0000-0200-0000A4060900}"/>
            </a:ext>
          </a:extLst>
        </xdr:cNvPr>
        <xdr:cNvSpPr>
          <a:spLocks noChangeShapeType="1"/>
        </xdr:cNvSpPr>
      </xdr:nvSpPr>
      <xdr:spPr bwMode="auto">
        <a:xfrm flipV="1">
          <a:off x="266700" y="4800600"/>
          <a:ext cx="8641080" cy="3048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403860</xdr:colOff>
      <xdr:row>2</xdr:row>
      <xdr:rowOff>373380</xdr:rowOff>
    </xdr:from>
    <xdr:to>
      <xdr:col>13</xdr:col>
      <xdr:colOff>411480</xdr:colOff>
      <xdr:row>34</xdr:row>
      <xdr:rowOff>91440</xdr:rowOff>
    </xdr:to>
    <xdr:sp macro="" textlink="">
      <xdr:nvSpPr>
        <xdr:cNvPr id="591525" name="Line 7">
          <a:extLst>
            <a:ext uri="{FF2B5EF4-FFF2-40B4-BE49-F238E27FC236}">
              <a16:creationId xmlns:a16="http://schemas.microsoft.com/office/drawing/2014/main" id="{00000000-0008-0000-0200-0000A5060900}"/>
            </a:ext>
          </a:extLst>
        </xdr:cNvPr>
        <xdr:cNvSpPr>
          <a:spLocks noChangeShapeType="1"/>
        </xdr:cNvSpPr>
      </xdr:nvSpPr>
      <xdr:spPr bwMode="auto">
        <a:xfrm>
          <a:off x="890778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76200</xdr:colOff>
      <xdr:row>23</xdr:row>
      <xdr:rowOff>7620</xdr:rowOff>
    </xdr:from>
    <xdr:to>
      <xdr:col>15</xdr:col>
      <xdr:colOff>480060</xdr:colOff>
      <xdr:row>38</xdr:row>
      <xdr:rowOff>7620</xdr:rowOff>
    </xdr:to>
    <xdr:graphicFrame macro="">
      <xdr:nvGraphicFramePr>
        <xdr:cNvPr id="97529" name="Chart 5">
          <a:extLst>
            <a:ext uri="{FF2B5EF4-FFF2-40B4-BE49-F238E27FC236}">
              <a16:creationId xmlns:a16="http://schemas.microsoft.com/office/drawing/2014/main" id="{00000000-0008-0000-0400-0000F97C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60960</xdr:colOff>
      <xdr:row>1</xdr:row>
      <xdr:rowOff>68580</xdr:rowOff>
    </xdr:from>
    <xdr:to>
      <xdr:col>13</xdr:col>
      <xdr:colOff>716280</xdr:colOff>
      <xdr:row>20</xdr:row>
      <xdr:rowOff>68580</xdr:rowOff>
    </xdr:to>
    <xdr:graphicFrame macro="">
      <xdr:nvGraphicFramePr>
        <xdr:cNvPr id="102646" name="Chart 1">
          <a:extLst>
            <a:ext uri="{FF2B5EF4-FFF2-40B4-BE49-F238E27FC236}">
              <a16:creationId xmlns:a16="http://schemas.microsoft.com/office/drawing/2014/main" id="{00000000-0008-0000-0C00-0000F690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241665" name="cmdCheckItemsSheet" hidden="1">
              <a:extLst>
                <a:ext uri="{63B3BB69-23CF-44E3-9099-C40C66FF867C}">
                  <a14:compatExt spid="_x0000_s241665"/>
                </a:ext>
                <a:ext uri="{FF2B5EF4-FFF2-40B4-BE49-F238E27FC236}">
                  <a16:creationId xmlns:a16="http://schemas.microsoft.com/office/drawing/2014/main" id="{00000000-0008-0000-0F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241666" name="cmdSpecifyComponent" hidden="1">
              <a:extLst>
                <a:ext uri="{63B3BB69-23CF-44E3-9099-C40C66FF867C}">
                  <a14:compatExt spid="_x0000_s241666"/>
                </a:ext>
                <a:ext uri="{FF2B5EF4-FFF2-40B4-BE49-F238E27FC236}">
                  <a16:creationId xmlns:a16="http://schemas.microsoft.com/office/drawing/2014/main" id="{00000000-0008-0000-0F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241667" name="cmdSpecifyUnits" hidden="1">
              <a:extLst>
                <a:ext uri="{63B3BB69-23CF-44E3-9099-C40C66FF867C}">
                  <a14:compatExt spid="_x0000_s241667"/>
                </a:ext>
                <a:ext uri="{FF2B5EF4-FFF2-40B4-BE49-F238E27FC236}">
                  <a16:creationId xmlns:a16="http://schemas.microsoft.com/office/drawing/2014/main" id="{00000000-0008-0000-0F00-000003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241668" name="cmdSpecifySets" hidden="1">
              <a:extLst>
                <a:ext uri="{63B3BB69-23CF-44E3-9099-C40C66FF867C}">
                  <a14:compatExt spid="_x0000_s241668"/>
                </a:ext>
                <a:ext uri="{FF2B5EF4-FFF2-40B4-BE49-F238E27FC236}">
                  <a16:creationId xmlns:a16="http://schemas.microsoft.com/office/drawing/2014/main" id="{00000000-0008-0000-0F00-000004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66675</xdr:rowOff>
        </xdr:from>
        <xdr:to>
          <xdr:col>2</xdr:col>
          <xdr:colOff>57150</xdr:colOff>
          <xdr:row>2</xdr:row>
          <xdr:rowOff>161925</xdr:rowOff>
        </xdr:to>
        <xdr:sp macro="" textlink="">
          <xdr:nvSpPr>
            <xdr:cNvPr id="242689" name="cmdCheckTSandTIDDataSheet" hidden="1">
              <a:extLst>
                <a:ext uri="{63B3BB69-23CF-44E3-9099-C40C66FF867C}">
                  <a14:compatExt spid="_x0000_s242689"/>
                </a:ext>
                <a:ext uri="{FF2B5EF4-FFF2-40B4-BE49-F238E27FC236}">
                  <a16:creationId xmlns:a16="http://schemas.microsoft.com/office/drawing/2014/main" id="{00000000-0008-0000-1000-000001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2690" name="cmdSpecifyParameter" hidden="1">
              <a:extLst>
                <a:ext uri="{63B3BB69-23CF-44E3-9099-C40C66FF867C}">
                  <a14:compatExt spid="_x0000_s242690"/>
                </a:ext>
                <a:ext uri="{FF2B5EF4-FFF2-40B4-BE49-F238E27FC236}">
                  <a16:creationId xmlns:a16="http://schemas.microsoft.com/office/drawing/2014/main" id="{00000000-0008-0000-1000-000002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2691" name="cmdSpecifyArg1" hidden="1">
              <a:extLst>
                <a:ext uri="{63B3BB69-23CF-44E3-9099-C40C66FF867C}">
                  <a14:compatExt spid="_x0000_s242691"/>
                </a:ext>
                <a:ext uri="{FF2B5EF4-FFF2-40B4-BE49-F238E27FC236}">
                  <a16:creationId xmlns:a16="http://schemas.microsoft.com/office/drawing/2014/main" id="{00000000-0008-0000-1000-000003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2692" name="cmdSpecifyArg2" hidden="1">
              <a:extLst>
                <a:ext uri="{63B3BB69-23CF-44E3-9099-C40C66FF867C}">
                  <a14:compatExt spid="_x0000_s242692"/>
                </a:ext>
                <a:ext uri="{FF2B5EF4-FFF2-40B4-BE49-F238E27FC236}">
                  <a16:creationId xmlns:a16="http://schemas.microsoft.com/office/drawing/2014/main" id="{00000000-0008-0000-1000-000004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2693" name="cmdSpecifyArg3" hidden="1">
              <a:extLst>
                <a:ext uri="{63B3BB69-23CF-44E3-9099-C40C66FF867C}">
                  <a14:compatExt spid="_x0000_s242693"/>
                </a:ext>
                <a:ext uri="{FF2B5EF4-FFF2-40B4-BE49-F238E27FC236}">
                  <a16:creationId xmlns:a16="http://schemas.microsoft.com/office/drawing/2014/main" id="{00000000-0008-0000-1000-000005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2694" name="cmdSpecifyArg4" hidden="1">
              <a:extLst>
                <a:ext uri="{63B3BB69-23CF-44E3-9099-C40C66FF867C}">
                  <a14:compatExt spid="_x0000_s242694"/>
                </a:ext>
                <a:ext uri="{FF2B5EF4-FFF2-40B4-BE49-F238E27FC236}">
                  <a16:creationId xmlns:a16="http://schemas.microsoft.com/office/drawing/2014/main" id="{00000000-0008-0000-1000-000006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2695" name="cmdSpecifyArg5" hidden="1">
              <a:extLst>
                <a:ext uri="{63B3BB69-23CF-44E3-9099-C40C66FF867C}">
                  <a14:compatExt spid="_x0000_s242695"/>
                </a:ext>
                <a:ext uri="{FF2B5EF4-FFF2-40B4-BE49-F238E27FC236}">
                  <a16:creationId xmlns:a16="http://schemas.microsoft.com/office/drawing/2014/main" id="{00000000-0008-0000-1000-000007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2696" name="cmdSpecifyArg6" hidden="1">
              <a:extLst>
                <a:ext uri="{63B3BB69-23CF-44E3-9099-C40C66FF867C}">
                  <a14:compatExt spid="_x0000_s242696"/>
                </a:ext>
                <a:ext uri="{FF2B5EF4-FFF2-40B4-BE49-F238E27FC236}">
                  <a16:creationId xmlns:a16="http://schemas.microsoft.com/office/drawing/2014/main" id="{00000000-0008-0000-1000-000008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2697" name="cmdSpecifyIEOptcode" hidden="1">
              <a:extLst>
                <a:ext uri="{63B3BB69-23CF-44E3-9099-C40C66FF867C}">
                  <a14:compatExt spid="_x0000_s242697"/>
                </a:ext>
                <a:ext uri="{FF2B5EF4-FFF2-40B4-BE49-F238E27FC236}">
                  <a16:creationId xmlns:a16="http://schemas.microsoft.com/office/drawing/2014/main" id="{00000000-0008-0000-1000-000009B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47625</xdr:rowOff>
        </xdr:from>
        <xdr:to>
          <xdr:col>2</xdr:col>
          <xdr:colOff>28575</xdr:colOff>
          <xdr:row>2</xdr:row>
          <xdr:rowOff>142875</xdr:rowOff>
        </xdr:to>
        <xdr:sp macro="" textlink="">
          <xdr:nvSpPr>
            <xdr:cNvPr id="482305" name="cmdCheckTSandTIDDataSheet" hidden="1">
              <a:extLst>
                <a:ext uri="{63B3BB69-23CF-44E3-9099-C40C66FF867C}">
                  <a14:compatExt spid="_x0000_s482305"/>
                </a:ext>
                <a:ext uri="{FF2B5EF4-FFF2-40B4-BE49-F238E27FC236}">
                  <a16:creationId xmlns:a16="http://schemas.microsoft.com/office/drawing/2014/main" id="{00000000-0008-0000-1100-000001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482306" name="cmdSpecifyParameter" hidden="1">
              <a:extLst>
                <a:ext uri="{63B3BB69-23CF-44E3-9099-C40C66FF867C}">
                  <a14:compatExt spid="_x0000_s482306"/>
                </a:ext>
                <a:ext uri="{FF2B5EF4-FFF2-40B4-BE49-F238E27FC236}">
                  <a16:creationId xmlns:a16="http://schemas.microsoft.com/office/drawing/2014/main" id="{00000000-0008-0000-1100-000002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482307" name="cmdSpecifyArg1" hidden="1">
              <a:extLst>
                <a:ext uri="{63B3BB69-23CF-44E3-9099-C40C66FF867C}">
                  <a14:compatExt spid="_x0000_s482307"/>
                </a:ext>
                <a:ext uri="{FF2B5EF4-FFF2-40B4-BE49-F238E27FC236}">
                  <a16:creationId xmlns:a16="http://schemas.microsoft.com/office/drawing/2014/main" id="{00000000-0008-0000-1100-000003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482308" name="cmdSpecifyArg2" hidden="1">
              <a:extLst>
                <a:ext uri="{63B3BB69-23CF-44E3-9099-C40C66FF867C}">
                  <a14:compatExt spid="_x0000_s482308"/>
                </a:ext>
                <a:ext uri="{FF2B5EF4-FFF2-40B4-BE49-F238E27FC236}">
                  <a16:creationId xmlns:a16="http://schemas.microsoft.com/office/drawing/2014/main" id="{00000000-0008-0000-1100-000004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482309" name="cmdSpecifyArg3" hidden="1">
              <a:extLst>
                <a:ext uri="{63B3BB69-23CF-44E3-9099-C40C66FF867C}">
                  <a14:compatExt spid="_x0000_s482309"/>
                </a:ext>
                <a:ext uri="{FF2B5EF4-FFF2-40B4-BE49-F238E27FC236}">
                  <a16:creationId xmlns:a16="http://schemas.microsoft.com/office/drawing/2014/main" id="{00000000-0008-0000-1100-000005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482310" name="cmdSpecifyArg4" hidden="1">
              <a:extLst>
                <a:ext uri="{63B3BB69-23CF-44E3-9099-C40C66FF867C}">
                  <a14:compatExt spid="_x0000_s482310"/>
                </a:ext>
                <a:ext uri="{FF2B5EF4-FFF2-40B4-BE49-F238E27FC236}">
                  <a16:creationId xmlns:a16="http://schemas.microsoft.com/office/drawing/2014/main" id="{00000000-0008-0000-1100-000006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482311" name="cmdSpecifyArg5" hidden="1">
              <a:extLst>
                <a:ext uri="{63B3BB69-23CF-44E3-9099-C40C66FF867C}">
                  <a14:compatExt spid="_x0000_s482311"/>
                </a:ext>
                <a:ext uri="{FF2B5EF4-FFF2-40B4-BE49-F238E27FC236}">
                  <a16:creationId xmlns:a16="http://schemas.microsoft.com/office/drawing/2014/main" id="{00000000-0008-0000-1100-000007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482312" name="cmdSpecifyArg6" hidden="1">
              <a:extLst>
                <a:ext uri="{63B3BB69-23CF-44E3-9099-C40C66FF867C}">
                  <a14:compatExt spid="_x0000_s482312"/>
                </a:ext>
                <a:ext uri="{FF2B5EF4-FFF2-40B4-BE49-F238E27FC236}">
                  <a16:creationId xmlns:a16="http://schemas.microsoft.com/office/drawing/2014/main" id="{00000000-0008-0000-1100-000008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482313" name="cmdSpecifyIEOptcode" hidden="1">
              <a:extLst>
                <a:ext uri="{63B3BB69-23CF-44E3-9099-C40C66FF867C}">
                  <a14:compatExt spid="_x0000_s482313"/>
                </a:ext>
                <a:ext uri="{FF2B5EF4-FFF2-40B4-BE49-F238E27FC236}">
                  <a16:creationId xmlns:a16="http://schemas.microsoft.com/office/drawing/2014/main" id="{00000000-0008-0000-1100-0000095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243713" name="cmdCheckTIDDataSheet" hidden="1">
              <a:extLst>
                <a:ext uri="{63B3BB69-23CF-44E3-9099-C40C66FF867C}">
                  <a14:compatExt spid="_x0000_s243713"/>
                </a:ext>
                <a:ext uri="{FF2B5EF4-FFF2-40B4-BE49-F238E27FC236}">
                  <a16:creationId xmlns:a16="http://schemas.microsoft.com/office/drawing/2014/main" id="{00000000-0008-0000-1200-000001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243714" name="cmdSpecifyParameter" hidden="1">
              <a:extLst>
                <a:ext uri="{63B3BB69-23CF-44E3-9099-C40C66FF867C}">
                  <a14:compatExt spid="_x0000_s243714"/>
                </a:ext>
                <a:ext uri="{FF2B5EF4-FFF2-40B4-BE49-F238E27FC236}">
                  <a16:creationId xmlns:a16="http://schemas.microsoft.com/office/drawing/2014/main" id="{00000000-0008-0000-1200-000002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243715" name="cmdSpecifyArg1" hidden="1">
              <a:extLst>
                <a:ext uri="{63B3BB69-23CF-44E3-9099-C40C66FF867C}">
                  <a14:compatExt spid="_x0000_s243715"/>
                </a:ext>
                <a:ext uri="{FF2B5EF4-FFF2-40B4-BE49-F238E27FC236}">
                  <a16:creationId xmlns:a16="http://schemas.microsoft.com/office/drawing/2014/main" id="{00000000-0008-0000-1200-000003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243716" name="cmdSpecifyArg2" hidden="1">
              <a:extLst>
                <a:ext uri="{63B3BB69-23CF-44E3-9099-C40C66FF867C}">
                  <a14:compatExt spid="_x0000_s243716"/>
                </a:ext>
                <a:ext uri="{FF2B5EF4-FFF2-40B4-BE49-F238E27FC236}">
                  <a16:creationId xmlns:a16="http://schemas.microsoft.com/office/drawing/2014/main" id="{00000000-0008-0000-1200-000004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243717" name="cmdSpecifyArg3" hidden="1">
              <a:extLst>
                <a:ext uri="{63B3BB69-23CF-44E3-9099-C40C66FF867C}">
                  <a14:compatExt spid="_x0000_s243717"/>
                </a:ext>
                <a:ext uri="{FF2B5EF4-FFF2-40B4-BE49-F238E27FC236}">
                  <a16:creationId xmlns:a16="http://schemas.microsoft.com/office/drawing/2014/main" id="{00000000-0008-0000-1200-000005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243718" name="cmdSpecifyArg4" hidden="1">
              <a:extLst>
                <a:ext uri="{63B3BB69-23CF-44E3-9099-C40C66FF867C}">
                  <a14:compatExt spid="_x0000_s243718"/>
                </a:ext>
                <a:ext uri="{FF2B5EF4-FFF2-40B4-BE49-F238E27FC236}">
                  <a16:creationId xmlns:a16="http://schemas.microsoft.com/office/drawing/2014/main" id="{00000000-0008-0000-1200-000006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243719" name="cmdSpecifyArg5" hidden="1">
              <a:extLst>
                <a:ext uri="{63B3BB69-23CF-44E3-9099-C40C66FF867C}">
                  <a14:compatExt spid="_x0000_s243719"/>
                </a:ext>
                <a:ext uri="{FF2B5EF4-FFF2-40B4-BE49-F238E27FC236}">
                  <a16:creationId xmlns:a16="http://schemas.microsoft.com/office/drawing/2014/main" id="{00000000-0008-0000-1200-000007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243720" name="cmdSpecifyArg6" hidden="1">
              <a:extLst>
                <a:ext uri="{63B3BB69-23CF-44E3-9099-C40C66FF867C}">
                  <a14:compatExt spid="_x0000_s243720"/>
                </a:ext>
                <a:ext uri="{FF2B5EF4-FFF2-40B4-BE49-F238E27FC236}">
                  <a16:creationId xmlns:a16="http://schemas.microsoft.com/office/drawing/2014/main" id="{00000000-0008-0000-1200-000008B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244737" name="cmdCheckItemsSheet" hidden="1">
              <a:extLst>
                <a:ext uri="{63B3BB69-23CF-44E3-9099-C40C66FF867C}">
                  <a14:compatExt spid="_x0000_s244737"/>
                </a:ext>
                <a:ext uri="{FF2B5EF4-FFF2-40B4-BE49-F238E27FC236}">
                  <a16:creationId xmlns:a16="http://schemas.microsoft.com/office/drawing/2014/main" id="{00000000-0008-0000-1300-000001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244738" name="cmdSpecifyComponent" hidden="1">
              <a:extLst>
                <a:ext uri="{63B3BB69-23CF-44E3-9099-C40C66FF867C}">
                  <a14:compatExt spid="_x0000_s244738"/>
                </a:ext>
                <a:ext uri="{FF2B5EF4-FFF2-40B4-BE49-F238E27FC236}">
                  <a16:creationId xmlns:a16="http://schemas.microsoft.com/office/drawing/2014/main" id="{00000000-0008-0000-1300-000002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244739" name="cmdSpecifyUnits" hidden="1">
              <a:extLst>
                <a:ext uri="{63B3BB69-23CF-44E3-9099-C40C66FF867C}">
                  <a14:compatExt spid="_x0000_s244739"/>
                </a:ext>
                <a:ext uri="{FF2B5EF4-FFF2-40B4-BE49-F238E27FC236}">
                  <a16:creationId xmlns:a16="http://schemas.microsoft.com/office/drawing/2014/main" id="{00000000-0008-0000-1300-000003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244740" name="cmdSpecifySets" hidden="1">
              <a:extLst>
                <a:ext uri="{63B3BB69-23CF-44E3-9099-C40C66FF867C}">
                  <a14:compatExt spid="_x0000_s244740"/>
                </a:ext>
                <a:ext uri="{FF2B5EF4-FFF2-40B4-BE49-F238E27FC236}">
                  <a16:creationId xmlns:a16="http://schemas.microsoft.com/office/drawing/2014/main" id="{00000000-0008-0000-1300-000004B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5761" name="cmdCheckTSandTIDDataSheet" hidden="1">
              <a:extLst>
                <a:ext uri="{63B3BB69-23CF-44E3-9099-C40C66FF867C}">
                  <a14:compatExt spid="_x0000_s245761"/>
                </a:ext>
                <a:ext uri="{FF2B5EF4-FFF2-40B4-BE49-F238E27FC236}">
                  <a16:creationId xmlns:a16="http://schemas.microsoft.com/office/drawing/2014/main" id="{00000000-0008-0000-1400-000001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5762" name="cmdSpecifyParameter" hidden="1">
              <a:extLst>
                <a:ext uri="{63B3BB69-23CF-44E3-9099-C40C66FF867C}">
                  <a14:compatExt spid="_x0000_s245762"/>
                </a:ext>
                <a:ext uri="{FF2B5EF4-FFF2-40B4-BE49-F238E27FC236}">
                  <a16:creationId xmlns:a16="http://schemas.microsoft.com/office/drawing/2014/main" id="{00000000-0008-0000-1400-000002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5763" name="cmdSpecifyArg1" hidden="1">
              <a:extLst>
                <a:ext uri="{63B3BB69-23CF-44E3-9099-C40C66FF867C}">
                  <a14:compatExt spid="_x0000_s245763"/>
                </a:ext>
                <a:ext uri="{FF2B5EF4-FFF2-40B4-BE49-F238E27FC236}">
                  <a16:creationId xmlns:a16="http://schemas.microsoft.com/office/drawing/2014/main" id="{00000000-0008-0000-1400-000003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5764" name="cmdSpecifyArg2" hidden="1">
              <a:extLst>
                <a:ext uri="{63B3BB69-23CF-44E3-9099-C40C66FF867C}">
                  <a14:compatExt spid="_x0000_s245764"/>
                </a:ext>
                <a:ext uri="{FF2B5EF4-FFF2-40B4-BE49-F238E27FC236}">
                  <a16:creationId xmlns:a16="http://schemas.microsoft.com/office/drawing/2014/main" id="{00000000-0008-0000-1400-000004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5765" name="cmdSpecifyArg3" hidden="1">
              <a:extLst>
                <a:ext uri="{63B3BB69-23CF-44E3-9099-C40C66FF867C}">
                  <a14:compatExt spid="_x0000_s245765"/>
                </a:ext>
                <a:ext uri="{FF2B5EF4-FFF2-40B4-BE49-F238E27FC236}">
                  <a16:creationId xmlns:a16="http://schemas.microsoft.com/office/drawing/2014/main" id="{00000000-0008-0000-1400-000005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5766" name="cmdSpecifyArg4" hidden="1">
              <a:extLst>
                <a:ext uri="{63B3BB69-23CF-44E3-9099-C40C66FF867C}">
                  <a14:compatExt spid="_x0000_s245766"/>
                </a:ext>
                <a:ext uri="{FF2B5EF4-FFF2-40B4-BE49-F238E27FC236}">
                  <a16:creationId xmlns:a16="http://schemas.microsoft.com/office/drawing/2014/main" id="{00000000-0008-0000-1400-000006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5767" name="cmdSpecifyArg5" hidden="1">
              <a:extLst>
                <a:ext uri="{63B3BB69-23CF-44E3-9099-C40C66FF867C}">
                  <a14:compatExt spid="_x0000_s245767"/>
                </a:ext>
                <a:ext uri="{FF2B5EF4-FFF2-40B4-BE49-F238E27FC236}">
                  <a16:creationId xmlns:a16="http://schemas.microsoft.com/office/drawing/2014/main" id="{00000000-0008-0000-1400-000007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5768" name="cmdSpecifyArg6" hidden="1">
              <a:extLst>
                <a:ext uri="{63B3BB69-23CF-44E3-9099-C40C66FF867C}">
                  <a14:compatExt spid="_x0000_s245768"/>
                </a:ext>
                <a:ext uri="{FF2B5EF4-FFF2-40B4-BE49-F238E27FC236}">
                  <a16:creationId xmlns:a16="http://schemas.microsoft.com/office/drawing/2014/main" id="{00000000-0008-0000-1400-000008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5769" name="cmdSpecifyIEOptcode" hidden="1">
              <a:extLst>
                <a:ext uri="{63B3BB69-23CF-44E3-9099-C40C66FF867C}">
                  <a14:compatExt spid="_x0000_s245769"/>
                </a:ext>
                <a:ext uri="{FF2B5EF4-FFF2-40B4-BE49-F238E27FC236}">
                  <a16:creationId xmlns:a16="http://schemas.microsoft.com/office/drawing/2014/main" id="{00000000-0008-0000-1400-000009C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439297" name="cmdCheckTSandTIDDataSheet" hidden="1">
              <a:extLst>
                <a:ext uri="{63B3BB69-23CF-44E3-9099-C40C66FF867C}">
                  <a14:compatExt spid="_x0000_s439297"/>
                </a:ext>
                <a:ext uri="{FF2B5EF4-FFF2-40B4-BE49-F238E27FC236}">
                  <a16:creationId xmlns:a16="http://schemas.microsoft.com/office/drawing/2014/main" id="{00000000-0008-0000-1500-000001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439298" name="cmdSpecifyParameter" hidden="1">
              <a:extLst>
                <a:ext uri="{63B3BB69-23CF-44E3-9099-C40C66FF867C}">
                  <a14:compatExt spid="_x0000_s439298"/>
                </a:ext>
                <a:ext uri="{FF2B5EF4-FFF2-40B4-BE49-F238E27FC236}">
                  <a16:creationId xmlns:a16="http://schemas.microsoft.com/office/drawing/2014/main" id="{00000000-0008-0000-1500-000002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439299" name="cmdSpecifyArg1" hidden="1">
              <a:extLst>
                <a:ext uri="{63B3BB69-23CF-44E3-9099-C40C66FF867C}">
                  <a14:compatExt spid="_x0000_s439299"/>
                </a:ext>
                <a:ext uri="{FF2B5EF4-FFF2-40B4-BE49-F238E27FC236}">
                  <a16:creationId xmlns:a16="http://schemas.microsoft.com/office/drawing/2014/main" id="{00000000-0008-0000-1500-000003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439300" name="cmdSpecifyArg2" hidden="1">
              <a:extLst>
                <a:ext uri="{63B3BB69-23CF-44E3-9099-C40C66FF867C}">
                  <a14:compatExt spid="_x0000_s439300"/>
                </a:ext>
                <a:ext uri="{FF2B5EF4-FFF2-40B4-BE49-F238E27FC236}">
                  <a16:creationId xmlns:a16="http://schemas.microsoft.com/office/drawing/2014/main" id="{00000000-0008-0000-1500-000004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439301" name="cmdSpecifyArg3" hidden="1">
              <a:extLst>
                <a:ext uri="{63B3BB69-23CF-44E3-9099-C40C66FF867C}">
                  <a14:compatExt spid="_x0000_s439301"/>
                </a:ext>
                <a:ext uri="{FF2B5EF4-FFF2-40B4-BE49-F238E27FC236}">
                  <a16:creationId xmlns:a16="http://schemas.microsoft.com/office/drawing/2014/main" id="{00000000-0008-0000-1500-000005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439302" name="cmdSpecifyArg4" hidden="1">
              <a:extLst>
                <a:ext uri="{63B3BB69-23CF-44E3-9099-C40C66FF867C}">
                  <a14:compatExt spid="_x0000_s439302"/>
                </a:ext>
                <a:ext uri="{FF2B5EF4-FFF2-40B4-BE49-F238E27FC236}">
                  <a16:creationId xmlns:a16="http://schemas.microsoft.com/office/drawing/2014/main" id="{00000000-0008-0000-1500-000006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439303" name="cmdSpecifyArg5" hidden="1">
              <a:extLst>
                <a:ext uri="{63B3BB69-23CF-44E3-9099-C40C66FF867C}">
                  <a14:compatExt spid="_x0000_s439303"/>
                </a:ext>
                <a:ext uri="{FF2B5EF4-FFF2-40B4-BE49-F238E27FC236}">
                  <a16:creationId xmlns:a16="http://schemas.microsoft.com/office/drawing/2014/main" id="{00000000-0008-0000-1500-000007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439304" name="cmdSpecifyArg6" hidden="1">
              <a:extLst>
                <a:ext uri="{63B3BB69-23CF-44E3-9099-C40C66FF867C}">
                  <a14:compatExt spid="_x0000_s439304"/>
                </a:ext>
                <a:ext uri="{FF2B5EF4-FFF2-40B4-BE49-F238E27FC236}">
                  <a16:creationId xmlns:a16="http://schemas.microsoft.com/office/drawing/2014/main" id="{00000000-0008-0000-1500-000008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439305" name="cmdSpecifyIEOptcode" hidden="1">
              <a:extLst>
                <a:ext uri="{63B3BB69-23CF-44E3-9099-C40C66FF867C}">
                  <a14:compatExt spid="_x0000_s439305"/>
                </a:ext>
                <a:ext uri="{FF2B5EF4-FFF2-40B4-BE49-F238E27FC236}">
                  <a16:creationId xmlns:a16="http://schemas.microsoft.com/office/drawing/2014/main" id="{00000000-0008-0000-1500-000009B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47625</xdr:rowOff>
        </xdr:to>
        <xdr:sp macro="" textlink="">
          <xdr:nvSpPr>
            <xdr:cNvPr id="501761" name="cmdCheckTSandTIDDataSheet" hidden="1">
              <a:extLst>
                <a:ext uri="{63B3BB69-23CF-44E3-9099-C40C66FF867C}">
                  <a14:compatExt spid="_x0000_s501761"/>
                </a:ext>
                <a:ext uri="{FF2B5EF4-FFF2-40B4-BE49-F238E27FC236}">
                  <a16:creationId xmlns:a16="http://schemas.microsoft.com/office/drawing/2014/main" id="{00000000-0008-0000-1600-000001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01762" name="cmdSpecifyParameter" hidden="1">
              <a:extLst>
                <a:ext uri="{63B3BB69-23CF-44E3-9099-C40C66FF867C}">
                  <a14:compatExt spid="_x0000_s501762"/>
                </a:ext>
                <a:ext uri="{FF2B5EF4-FFF2-40B4-BE49-F238E27FC236}">
                  <a16:creationId xmlns:a16="http://schemas.microsoft.com/office/drawing/2014/main" id="{00000000-0008-0000-1600-000002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501763" name="cmdSpecifyArg1" hidden="1">
              <a:extLst>
                <a:ext uri="{63B3BB69-23CF-44E3-9099-C40C66FF867C}">
                  <a14:compatExt spid="_x0000_s501763"/>
                </a:ext>
                <a:ext uri="{FF2B5EF4-FFF2-40B4-BE49-F238E27FC236}">
                  <a16:creationId xmlns:a16="http://schemas.microsoft.com/office/drawing/2014/main" id="{00000000-0008-0000-1600-000003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501764" name="cmdSpecifyArg2" hidden="1">
              <a:extLst>
                <a:ext uri="{63B3BB69-23CF-44E3-9099-C40C66FF867C}">
                  <a14:compatExt spid="_x0000_s501764"/>
                </a:ext>
                <a:ext uri="{FF2B5EF4-FFF2-40B4-BE49-F238E27FC236}">
                  <a16:creationId xmlns:a16="http://schemas.microsoft.com/office/drawing/2014/main" id="{00000000-0008-0000-1600-000004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01765" name="cmdSpecifyArg3" hidden="1">
              <a:extLst>
                <a:ext uri="{63B3BB69-23CF-44E3-9099-C40C66FF867C}">
                  <a14:compatExt spid="_x0000_s501765"/>
                </a:ext>
                <a:ext uri="{FF2B5EF4-FFF2-40B4-BE49-F238E27FC236}">
                  <a16:creationId xmlns:a16="http://schemas.microsoft.com/office/drawing/2014/main" id="{00000000-0008-0000-1600-000005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01766" name="cmdSpecifyArg4" hidden="1">
              <a:extLst>
                <a:ext uri="{63B3BB69-23CF-44E3-9099-C40C66FF867C}">
                  <a14:compatExt spid="_x0000_s501766"/>
                </a:ext>
                <a:ext uri="{FF2B5EF4-FFF2-40B4-BE49-F238E27FC236}">
                  <a16:creationId xmlns:a16="http://schemas.microsoft.com/office/drawing/2014/main" id="{00000000-0008-0000-1600-000006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01767" name="cmdSpecifyArg5" hidden="1">
              <a:extLst>
                <a:ext uri="{63B3BB69-23CF-44E3-9099-C40C66FF867C}">
                  <a14:compatExt spid="_x0000_s501767"/>
                </a:ext>
                <a:ext uri="{FF2B5EF4-FFF2-40B4-BE49-F238E27FC236}">
                  <a16:creationId xmlns:a16="http://schemas.microsoft.com/office/drawing/2014/main" id="{00000000-0008-0000-1600-000007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01768" name="cmdSpecifyArg6" hidden="1">
              <a:extLst>
                <a:ext uri="{63B3BB69-23CF-44E3-9099-C40C66FF867C}">
                  <a14:compatExt spid="_x0000_s501768"/>
                </a:ext>
                <a:ext uri="{FF2B5EF4-FFF2-40B4-BE49-F238E27FC236}">
                  <a16:creationId xmlns:a16="http://schemas.microsoft.com/office/drawing/2014/main" id="{00000000-0008-0000-1600-000008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501769" name="cmdSpecifyIEOptcode" hidden="1">
              <a:extLst>
                <a:ext uri="{63B3BB69-23CF-44E3-9099-C40C66FF867C}">
                  <a14:compatExt spid="_x0000_s501769"/>
                </a:ext>
                <a:ext uri="{FF2B5EF4-FFF2-40B4-BE49-F238E27FC236}">
                  <a16:creationId xmlns:a16="http://schemas.microsoft.com/office/drawing/2014/main" id="{00000000-0008-0000-1600-000009A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6785" name="cmdCheckTSandTIDDataSheet" hidden="1">
              <a:extLst>
                <a:ext uri="{63B3BB69-23CF-44E3-9099-C40C66FF867C}">
                  <a14:compatExt spid="_x0000_s246785"/>
                </a:ext>
                <a:ext uri="{FF2B5EF4-FFF2-40B4-BE49-F238E27FC236}">
                  <a16:creationId xmlns:a16="http://schemas.microsoft.com/office/drawing/2014/main" id="{00000000-0008-0000-1700-000001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6786" name="cmdSpecifyParameter" hidden="1">
              <a:extLst>
                <a:ext uri="{63B3BB69-23CF-44E3-9099-C40C66FF867C}">
                  <a14:compatExt spid="_x0000_s246786"/>
                </a:ext>
                <a:ext uri="{FF2B5EF4-FFF2-40B4-BE49-F238E27FC236}">
                  <a16:creationId xmlns:a16="http://schemas.microsoft.com/office/drawing/2014/main" id="{00000000-0008-0000-1700-000002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6787" name="cmdSpecifyArg1" hidden="1">
              <a:extLst>
                <a:ext uri="{63B3BB69-23CF-44E3-9099-C40C66FF867C}">
                  <a14:compatExt spid="_x0000_s246787"/>
                </a:ext>
                <a:ext uri="{FF2B5EF4-FFF2-40B4-BE49-F238E27FC236}">
                  <a16:creationId xmlns:a16="http://schemas.microsoft.com/office/drawing/2014/main" id="{00000000-0008-0000-1700-000003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6788" name="cmdSpecifyArg2" hidden="1">
              <a:extLst>
                <a:ext uri="{63B3BB69-23CF-44E3-9099-C40C66FF867C}">
                  <a14:compatExt spid="_x0000_s246788"/>
                </a:ext>
                <a:ext uri="{FF2B5EF4-FFF2-40B4-BE49-F238E27FC236}">
                  <a16:creationId xmlns:a16="http://schemas.microsoft.com/office/drawing/2014/main" id="{00000000-0008-0000-1700-000004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6789" name="cmdSpecifyArg3" hidden="1">
              <a:extLst>
                <a:ext uri="{63B3BB69-23CF-44E3-9099-C40C66FF867C}">
                  <a14:compatExt spid="_x0000_s246789"/>
                </a:ext>
                <a:ext uri="{FF2B5EF4-FFF2-40B4-BE49-F238E27FC236}">
                  <a16:creationId xmlns:a16="http://schemas.microsoft.com/office/drawing/2014/main" id="{00000000-0008-0000-1700-000005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6790" name="cmdSpecifyArg4" hidden="1">
              <a:extLst>
                <a:ext uri="{63B3BB69-23CF-44E3-9099-C40C66FF867C}">
                  <a14:compatExt spid="_x0000_s246790"/>
                </a:ext>
                <a:ext uri="{FF2B5EF4-FFF2-40B4-BE49-F238E27FC236}">
                  <a16:creationId xmlns:a16="http://schemas.microsoft.com/office/drawing/2014/main" id="{00000000-0008-0000-1700-000006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6791" name="cmdSpecifyArg5" hidden="1">
              <a:extLst>
                <a:ext uri="{63B3BB69-23CF-44E3-9099-C40C66FF867C}">
                  <a14:compatExt spid="_x0000_s246791"/>
                </a:ext>
                <a:ext uri="{FF2B5EF4-FFF2-40B4-BE49-F238E27FC236}">
                  <a16:creationId xmlns:a16="http://schemas.microsoft.com/office/drawing/2014/main" id="{00000000-0008-0000-1700-000007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6792" name="cmdSpecifyArg6" hidden="1">
              <a:extLst>
                <a:ext uri="{63B3BB69-23CF-44E3-9099-C40C66FF867C}">
                  <a14:compatExt spid="_x0000_s246792"/>
                </a:ext>
                <a:ext uri="{FF2B5EF4-FFF2-40B4-BE49-F238E27FC236}">
                  <a16:creationId xmlns:a16="http://schemas.microsoft.com/office/drawing/2014/main" id="{00000000-0008-0000-1700-000008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6793" name="cmdSpecifyIEOptcode" hidden="1">
              <a:extLst>
                <a:ext uri="{63B3BB69-23CF-44E3-9099-C40C66FF867C}">
                  <a14:compatExt spid="_x0000_s246793"/>
                </a:ext>
                <a:ext uri="{FF2B5EF4-FFF2-40B4-BE49-F238E27FC236}">
                  <a16:creationId xmlns:a16="http://schemas.microsoft.com/office/drawing/2014/main" id="{00000000-0008-0000-1700-000009C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247809" name="cmdCheckTIDDataSheet" hidden="1">
              <a:extLst>
                <a:ext uri="{63B3BB69-23CF-44E3-9099-C40C66FF867C}">
                  <a14:compatExt spid="_x0000_s247809"/>
                </a:ext>
                <a:ext uri="{FF2B5EF4-FFF2-40B4-BE49-F238E27FC236}">
                  <a16:creationId xmlns:a16="http://schemas.microsoft.com/office/drawing/2014/main" id="{00000000-0008-0000-1800-000001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247810" name="cmdSpecifyParameter" hidden="1">
              <a:extLst>
                <a:ext uri="{63B3BB69-23CF-44E3-9099-C40C66FF867C}">
                  <a14:compatExt spid="_x0000_s247810"/>
                </a:ext>
                <a:ext uri="{FF2B5EF4-FFF2-40B4-BE49-F238E27FC236}">
                  <a16:creationId xmlns:a16="http://schemas.microsoft.com/office/drawing/2014/main" id="{00000000-0008-0000-1800-000002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247811" name="cmdSpecifyArg1" hidden="1">
              <a:extLst>
                <a:ext uri="{63B3BB69-23CF-44E3-9099-C40C66FF867C}">
                  <a14:compatExt spid="_x0000_s247811"/>
                </a:ext>
                <a:ext uri="{FF2B5EF4-FFF2-40B4-BE49-F238E27FC236}">
                  <a16:creationId xmlns:a16="http://schemas.microsoft.com/office/drawing/2014/main" id="{00000000-0008-0000-1800-000003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247812" name="cmdSpecifyArg2" hidden="1">
              <a:extLst>
                <a:ext uri="{63B3BB69-23CF-44E3-9099-C40C66FF867C}">
                  <a14:compatExt spid="_x0000_s247812"/>
                </a:ext>
                <a:ext uri="{FF2B5EF4-FFF2-40B4-BE49-F238E27FC236}">
                  <a16:creationId xmlns:a16="http://schemas.microsoft.com/office/drawing/2014/main" id="{00000000-0008-0000-1800-000004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247813" name="cmdSpecifyArg3" hidden="1">
              <a:extLst>
                <a:ext uri="{63B3BB69-23CF-44E3-9099-C40C66FF867C}">
                  <a14:compatExt spid="_x0000_s247813"/>
                </a:ext>
                <a:ext uri="{FF2B5EF4-FFF2-40B4-BE49-F238E27FC236}">
                  <a16:creationId xmlns:a16="http://schemas.microsoft.com/office/drawing/2014/main" id="{00000000-0008-0000-1800-000005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247814" name="cmdSpecifyArg4" hidden="1">
              <a:extLst>
                <a:ext uri="{63B3BB69-23CF-44E3-9099-C40C66FF867C}">
                  <a14:compatExt spid="_x0000_s247814"/>
                </a:ext>
                <a:ext uri="{FF2B5EF4-FFF2-40B4-BE49-F238E27FC236}">
                  <a16:creationId xmlns:a16="http://schemas.microsoft.com/office/drawing/2014/main" id="{00000000-0008-0000-1800-000006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247815" name="cmdSpecifyArg5" hidden="1">
              <a:extLst>
                <a:ext uri="{63B3BB69-23CF-44E3-9099-C40C66FF867C}">
                  <a14:compatExt spid="_x0000_s247815"/>
                </a:ext>
                <a:ext uri="{FF2B5EF4-FFF2-40B4-BE49-F238E27FC236}">
                  <a16:creationId xmlns:a16="http://schemas.microsoft.com/office/drawing/2014/main" id="{00000000-0008-0000-1800-000007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247816" name="cmdSpecifyArg6" hidden="1">
              <a:extLst>
                <a:ext uri="{63B3BB69-23CF-44E3-9099-C40C66FF867C}">
                  <a14:compatExt spid="_x0000_s247816"/>
                </a:ext>
                <a:ext uri="{FF2B5EF4-FFF2-40B4-BE49-F238E27FC236}">
                  <a16:creationId xmlns:a16="http://schemas.microsoft.com/office/drawing/2014/main" id="{00000000-0008-0000-1800-000008C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8833" name="cmdCheckTSandTIDDataSheet" hidden="1">
              <a:extLst>
                <a:ext uri="{63B3BB69-23CF-44E3-9099-C40C66FF867C}">
                  <a14:compatExt spid="_x0000_s248833"/>
                </a:ext>
                <a:ext uri="{FF2B5EF4-FFF2-40B4-BE49-F238E27FC236}">
                  <a16:creationId xmlns:a16="http://schemas.microsoft.com/office/drawing/2014/main" id="{00000000-0008-0000-1900-000001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8834" name="cmdSpecifyParameter" hidden="1">
              <a:extLst>
                <a:ext uri="{63B3BB69-23CF-44E3-9099-C40C66FF867C}">
                  <a14:compatExt spid="_x0000_s248834"/>
                </a:ext>
                <a:ext uri="{FF2B5EF4-FFF2-40B4-BE49-F238E27FC236}">
                  <a16:creationId xmlns:a16="http://schemas.microsoft.com/office/drawing/2014/main" id="{00000000-0008-0000-1900-000002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8835" name="cmdSpecifyArg1" hidden="1">
              <a:extLst>
                <a:ext uri="{63B3BB69-23CF-44E3-9099-C40C66FF867C}">
                  <a14:compatExt spid="_x0000_s248835"/>
                </a:ext>
                <a:ext uri="{FF2B5EF4-FFF2-40B4-BE49-F238E27FC236}">
                  <a16:creationId xmlns:a16="http://schemas.microsoft.com/office/drawing/2014/main" id="{00000000-0008-0000-1900-000003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8836" name="cmdSpecifyArg2" hidden="1">
              <a:extLst>
                <a:ext uri="{63B3BB69-23CF-44E3-9099-C40C66FF867C}">
                  <a14:compatExt spid="_x0000_s248836"/>
                </a:ext>
                <a:ext uri="{FF2B5EF4-FFF2-40B4-BE49-F238E27FC236}">
                  <a16:creationId xmlns:a16="http://schemas.microsoft.com/office/drawing/2014/main" id="{00000000-0008-0000-1900-000004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8837" name="cmdSpecifyArg3" hidden="1">
              <a:extLst>
                <a:ext uri="{63B3BB69-23CF-44E3-9099-C40C66FF867C}">
                  <a14:compatExt spid="_x0000_s248837"/>
                </a:ext>
                <a:ext uri="{FF2B5EF4-FFF2-40B4-BE49-F238E27FC236}">
                  <a16:creationId xmlns:a16="http://schemas.microsoft.com/office/drawing/2014/main" id="{00000000-0008-0000-1900-000005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8838" name="cmdSpecifyArg4" hidden="1">
              <a:extLst>
                <a:ext uri="{63B3BB69-23CF-44E3-9099-C40C66FF867C}">
                  <a14:compatExt spid="_x0000_s248838"/>
                </a:ext>
                <a:ext uri="{FF2B5EF4-FFF2-40B4-BE49-F238E27FC236}">
                  <a16:creationId xmlns:a16="http://schemas.microsoft.com/office/drawing/2014/main" id="{00000000-0008-0000-1900-000006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8839" name="cmdSpecifyArg5" hidden="1">
              <a:extLst>
                <a:ext uri="{63B3BB69-23CF-44E3-9099-C40C66FF867C}">
                  <a14:compatExt spid="_x0000_s248839"/>
                </a:ext>
                <a:ext uri="{FF2B5EF4-FFF2-40B4-BE49-F238E27FC236}">
                  <a16:creationId xmlns:a16="http://schemas.microsoft.com/office/drawing/2014/main" id="{00000000-0008-0000-1900-000007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8840" name="cmdSpecifyArg6" hidden="1">
              <a:extLst>
                <a:ext uri="{63B3BB69-23CF-44E3-9099-C40C66FF867C}">
                  <a14:compatExt spid="_x0000_s248840"/>
                </a:ext>
                <a:ext uri="{FF2B5EF4-FFF2-40B4-BE49-F238E27FC236}">
                  <a16:creationId xmlns:a16="http://schemas.microsoft.com/office/drawing/2014/main" id="{00000000-0008-0000-1900-000008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248841" name="cmdSpecifyIEOptcode" hidden="1">
              <a:extLst>
                <a:ext uri="{63B3BB69-23CF-44E3-9099-C40C66FF867C}">
                  <a14:compatExt spid="_x0000_s248841"/>
                </a:ext>
                <a:ext uri="{FF2B5EF4-FFF2-40B4-BE49-F238E27FC236}">
                  <a16:creationId xmlns:a16="http://schemas.microsoft.com/office/drawing/2014/main" id="{00000000-0008-0000-1900-000009C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249857" name="cmdCheckTSandTIDDataSheet" hidden="1">
              <a:extLst>
                <a:ext uri="{63B3BB69-23CF-44E3-9099-C40C66FF867C}">
                  <a14:compatExt spid="_x0000_s249857"/>
                </a:ext>
                <a:ext uri="{FF2B5EF4-FFF2-40B4-BE49-F238E27FC236}">
                  <a16:creationId xmlns:a16="http://schemas.microsoft.com/office/drawing/2014/main" id="{00000000-0008-0000-1A00-000001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249858" name="cmdSpecifyParameter" hidden="1">
              <a:extLst>
                <a:ext uri="{63B3BB69-23CF-44E3-9099-C40C66FF867C}">
                  <a14:compatExt spid="_x0000_s249858"/>
                </a:ext>
                <a:ext uri="{FF2B5EF4-FFF2-40B4-BE49-F238E27FC236}">
                  <a16:creationId xmlns:a16="http://schemas.microsoft.com/office/drawing/2014/main" id="{00000000-0008-0000-1A00-000002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249859" name="cmdSpecifyArg1" hidden="1">
              <a:extLst>
                <a:ext uri="{63B3BB69-23CF-44E3-9099-C40C66FF867C}">
                  <a14:compatExt spid="_x0000_s249859"/>
                </a:ext>
                <a:ext uri="{FF2B5EF4-FFF2-40B4-BE49-F238E27FC236}">
                  <a16:creationId xmlns:a16="http://schemas.microsoft.com/office/drawing/2014/main" id="{00000000-0008-0000-1A00-000003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9525</xdr:colOff>
          <xdr:row>4</xdr:row>
          <xdr:rowOff>104775</xdr:rowOff>
        </xdr:to>
        <xdr:sp macro="" textlink="">
          <xdr:nvSpPr>
            <xdr:cNvPr id="249860" name="cmdSpecifyArg2" hidden="1">
              <a:extLst>
                <a:ext uri="{63B3BB69-23CF-44E3-9099-C40C66FF867C}">
                  <a14:compatExt spid="_x0000_s249860"/>
                </a:ext>
                <a:ext uri="{FF2B5EF4-FFF2-40B4-BE49-F238E27FC236}">
                  <a16:creationId xmlns:a16="http://schemas.microsoft.com/office/drawing/2014/main" id="{00000000-0008-0000-1A00-000004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249861" name="cmdSpecifyArg3" hidden="1">
              <a:extLst>
                <a:ext uri="{63B3BB69-23CF-44E3-9099-C40C66FF867C}">
                  <a14:compatExt spid="_x0000_s249861"/>
                </a:ext>
                <a:ext uri="{FF2B5EF4-FFF2-40B4-BE49-F238E27FC236}">
                  <a16:creationId xmlns:a16="http://schemas.microsoft.com/office/drawing/2014/main" id="{00000000-0008-0000-1A00-000005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249862" name="cmdSpecifyArg4" hidden="1">
              <a:extLst>
                <a:ext uri="{63B3BB69-23CF-44E3-9099-C40C66FF867C}">
                  <a14:compatExt spid="_x0000_s249862"/>
                </a:ext>
                <a:ext uri="{FF2B5EF4-FFF2-40B4-BE49-F238E27FC236}">
                  <a16:creationId xmlns:a16="http://schemas.microsoft.com/office/drawing/2014/main" id="{00000000-0008-0000-1A00-000006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249863" name="cmdSpecifyArg5" hidden="1">
              <a:extLst>
                <a:ext uri="{63B3BB69-23CF-44E3-9099-C40C66FF867C}">
                  <a14:compatExt spid="_x0000_s249863"/>
                </a:ext>
                <a:ext uri="{FF2B5EF4-FFF2-40B4-BE49-F238E27FC236}">
                  <a16:creationId xmlns:a16="http://schemas.microsoft.com/office/drawing/2014/main" id="{00000000-0008-0000-1A00-000007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249864" name="cmdSpecifyArg6" hidden="1">
              <a:extLst>
                <a:ext uri="{63B3BB69-23CF-44E3-9099-C40C66FF867C}">
                  <a14:compatExt spid="_x0000_s249864"/>
                </a:ext>
                <a:ext uri="{FF2B5EF4-FFF2-40B4-BE49-F238E27FC236}">
                  <a16:creationId xmlns:a16="http://schemas.microsoft.com/office/drawing/2014/main" id="{00000000-0008-0000-1A00-000008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8</xdr:col>
          <xdr:colOff>438150</xdr:colOff>
          <xdr:row>4</xdr:row>
          <xdr:rowOff>95250</xdr:rowOff>
        </xdr:to>
        <xdr:sp macro="" textlink="">
          <xdr:nvSpPr>
            <xdr:cNvPr id="249865" name="cmdSpecifyIEOptcode" hidden="1">
              <a:extLst>
                <a:ext uri="{63B3BB69-23CF-44E3-9099-C40C66FF867C}">
                  <a14:compatExt spid="_x0000_s249865"/>
                </a:ext>
                <a:ext uri="{FF2B5EF4-FFF2-40B4-BE49-F238E27FC236}">
                  <a16:creationId xmlns:a16="http://schemas.microsoft.com/office/drawing/2014/main" id="{00000000-0008-0000-1A00-000009D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TIMGE_03/SATM/TIME_SLI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ATIMGE_03/SATM/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3">
          <cell r="BL3" t="str">
            <v>AH</v>
          </cell>
          <cell r="BM3" t="str">
            <v>AP</v>
          </cell>
          <cell r="BN3" t="str">
            <v>AT</v>
          </cell>
          <cell r="BO3" t="str">
            <v>AI</v>
          </cell>
          <cell r="BP3" t="str">
            <v>AO</v>
          </cell>
        </row>
        <row r="156">
          <cell r="BL156">
            <v>0.62809999999999999</v>
          </cell>
          <cell r="BM156">
            <v>0.69469999999999998</v>
          </cell>
          <cell r="BN156">
            <v>0.53790000000000004</v>
          </cell>
          <cell r="BO156">
            <v>0.72960000000000003</v>
          </cell>
          <cell r="BP156">
            <v>0.75770000000000004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0">
          <cell r="D10" t="str">
            <v>AH</v>
          </cell>
          <cell r="G10" t="str">
            <v>s1d1b1</v>
          </cell>
          <cell r="J10">
            <v>5.4890000000000001E-2</v>
          </cell>
        </row>
        <row r="11">
          <cell r="D11" t="str">
            <v>AH</v>
          </cell>
          <cell r="G11" t="str">
            <v>s1d1b2</v>
          </cell>
          <cell r="J11">
            <v>0.16960000000000011</v>
          </cell>
        </row>
        <row r="12">
          <cell r="D12" t="str">
            <v>AH</v>
          </cell>
          <cell r="G12" t="str">
            <v>s1d1b3</v>
          </cell>
          <cell r="J12">
            <v>2.503E-2</v>
          </cell>
        </row>
        <row r="13">
          <cell r="D13" t="str">
            <v>AH</v>
          </cell>
          <cell r="G13" t="str">
            <v>s1d2b1</v>
          </cell>
          <cell r="J13">
            <v>3.7060000000000003E-2</v>
          </cell>
        </row>
        <row r="14">
          <cell r="D14" t="str">
            <v>AH</v>
          </cell>
          <cell r="G14" t="str">
            <v>s1d2b2</v>
          </cell>
          <cell r="J14">
            <v>5.5059999999999998E-2</v>
          </cell>
        </row>
        <row r="15">
          <cell r="D15" t="str">
            <v>AH</v>
          </cell>
          <cell r="G15" t="str">
            <v>s1d2b3</v>
          </cell>
          <cell r="J15">
            <v>1.4919999999999999E-2</v>
          </cell>
        </row>
        <row r="16">
          <cell r="D16" t="str">
            <v>AH</v>
          </cell>
          <cell r="G16" t="str">
            <v>s2d1b1</v>
          </cell>
          <cell r="J16">
            <v>4.2380000000000001E-2</v>
          </cell>
        </row>
        <row r="17">
          <cell r="D17" t="str">
            <v>AH</v>
          </cell>
          <cell r="G17" t="str">
            <v>s2d1b2</v>
          </cell>
          <cell r="J17">
            <v>5.3069999999999999E-2</v>
          </cell>
        </row>
        <row r="18">
          <cell r="D18" t="str">
            <v>AH</v>
          </cell>
          <cell r="G18" t="str">
            <v>s2d1b3</v>
          </cell>
          <cell r="J18">
            <v>9.2329999999999995E-2</v>
          </cell>
        </row>
        <row r="19">
          <cell r="D19" t="str">
            <v>AH</v>
          </cell>
          <cell r="G19" t="str">
            <v>s2d1b4</v>
          </cell>
          <cell r="J19">
            <v>1.6820000000000002E-2</v>
          </cell>
        </row>
        <row r="20">
          <cell r="D20" t="str">
            <v>AH</v>
          </cell>
          <cell r="G20" t="str">
            <v>s2d1b5</v>
          </cell>
          <cell r="J20">
            <v>9.3200000000000002E-3</v>
          </cell>
        </row>
        <row r="21">
          <cell r="D21" t="str">
            <v>AH</v>
          </cell>
          <cell r="G21" t="str">
            <v>s2d2b1</v>
          </cell>
          <cell r="J21">
            <v>3.1859999999999999E-2</v>
          </cell>
        </row>
        <row r="22">
          <cell r="D22" t="str">
            <v>AH</v>
          </cell>
          <cell r="G22" t="str">
            <v>s2d2b2</v>
          </cell>
          <cell r="J22">
            <v>4.7329999999999997E-2</v>
          </cell>
        </row>
        <row r="23">
          <cell r="D23" t="str">
            <v>AH</v>
          </cell>
          <cell r="G23" t="str">
            <v>s2d2b3</v>
          </cell>
          <cell r="J23">
            <v>1.2829999999999999E-2</v>
          </cell>
        </row>
        <row r="24">
          <cell r="D24" t="str">
            <v>AH</v>
          </cell>
          <cell r="G24" t="str">
            <v>s3d1b1</v>
          </cell>
          <cell r="J24">
            <v>6.7519999999999997E-2</v>
          </cell>
        </row>
        <row r="25">
          <cell r="D25" t="str">
            <v>AH</v>
          </cell>
          <cell r="G25" t="str">
            <v>s3d1b2</v>
          </cell>
          <cell r="J25">
            <v>0.15060999999999999</v>
          </cell>
        </row>
        <row r="26">
          <cell r="D26" t="str">
            <v>AH</v>
          </cell>
          <cell r="G26" t="str">
            <v>s3d1b3</v>
          </cell>
          <cell r="J26">
            <v>2.4320000000000001E-2</v>
          </cell>
        </row>
        <row r="27">
          <cell r="D27" t="str">
            <v>AH</v>
          </cell>
          <cell r="G27" t="str">
            <v>s3d2b1</v>
          </cell>
          <cell r="J27">
            <v>3.2910000000000002E-2</v>
          </cell>
        </row>
        <row r="28">
          <cell r="D28" t="str">
            <v>AH</v>
          </cell>
          <cell r="G28" t="str">
            <v>s3d2b2</v>
          </cell>
          <cell r="J28">
            <v>4.8890000000000003E-2</v>
          </cell>
        </row>
        <row r="29">
          <cell r="D29" t="str">
            <v>AH</v>
          </cell>
          <cell r="G29" t="str">
            <v>s3d2b3</v>
          </cell>
          <cell r="J29">
            <v>1.325E-2</v>
          </cell>
        </row>
        <row r="30">
          <cell r="D30" t="str">
            <v>AP</v>
          </cell>
          <cell r="G30" t="str">
            <v>s1d1b1</v>
          </cell>
          <cell r="J30">
            <v>6.4519999999999994E-2</v>
          </cell>
        </row>
        <row r="31">
          <cell r="D31" t="str">
            <v>AP</v>
          </cell>
          <cell r="G31" t="str">
            <v>s1d1b2</v>
          </cell>
          <cell r="J31">
            <v>0.15222999999999987</v>
          </cell>
        </row>
        <row r="32">
          <cell r="D32" t="str">
            <v>AP</v>
          </cell>
          <cell r="G32" t="str">
            <v>s1d1b3</v>
          </cell>
          <cell r="J32">
            <v>3.279E-2</v>
          </cell>
        </row>
        <row r="33">
          <cell r="D33" t="str">
            <v>AP</v>
          </cell>
          <cell r="G33" t="str">
            <v>s1d2b1</v>
          </cell>
          <cell r="J33">
            <v>3.7620000000000001E-2</v>
          </cell>
        </row>
        <row r="34">
          <cell r="D34" t="str">
            <v>AP</v>
          </cell>
          <cell r="G34" t="str">
            <v>s1d2b2</v>
          </cell>
          <cell r="J34">
            <v>5.321E-2</v>
          </cell>
        </row>
        <row r="35">
          <cell r="D35" t="str">
            <v>AP</v>
          </cell>
          <cell r="G35" t="str">
            <v>s1d2b3</v>
          </cell>
          <cell r="J35">
            <v>1.6199999999999999E-2</v>
          </cell>
        </row>
        <row r="36">
          <cell r="D36" t="str">
            <v>AP</v>
          </cell>
          <cell r="G36" t="str">
            <v>s2d1b1</v>
          </cell>
          <cell r="J36">
            <v>5.0790000000000002E-2</v>
          </cell>
        </row>
        <row r="37">
          <cell r="D37" t="str">
            <v>AP</v>
          </cell>
          <cell r="G37" t="str">
            <v>s2d1b2</v>
          </cell>
          <cell r="J37">
            <v>4.7980000000000002E-2</v>
          </cell>
        </row>
        <row r="38">
          <cell r="D38" t="str">
            <v>AP</v>
          </cell>
          <cell r="G38" t="str">
            <v>s2d1b3</v>
          </cell>
          <cell r="J38">
            <v>8.3580000000000002E-2</v>
          </cell>
        </row>
        <row r="39">
          <cell r="D39" t="str">
            <v>AP</v>
          </cell>
          <cell r="G39" t="str">
            <v>s2d1b4</v>
          </cell>
          <cell r="J39">
            <v>1.966E-2</v>
          </cell>
        </row>
        <row r="40">
          <cell r="D40" t="str">
            <v>AP</v>
          </cell>
          <cell r="G40" t="str">
            <v>s2d1b5</v>
          </cell>
          <cell r="J40">
            <v>1.1900000000000001E-2</v>
          </cell>
        </row>
        <row r="41">
          <cell r="D41" t="str">
            <v>AP</v>
          </cell>
          <cell r="G41" t="str">
            <v>s2d2b1</v>
          </cell>
          <cell r="J41">
            <v>3.3829999999999999E-2</v>
          </cell>
        </row>
        <row r="42">
          <cell r="D42" t="str">
            <v>AP</v>
          </cell>
          <cell r="G42" t="str">
            <v>s2d2b2</v>
          </cell>
          <cell r="J42">
            <v>4.4670000000000001E-2</v>
          </cell>
        </row>
        <row r="43">
          <cell r="D43" t="str">
            <v>AP</v>
          </cell>
          <cell r="G43" t="str">
            <v>s2d2b3</v>
          </cell>
          <cell r="J43">
            <v>1.3520000000000001E-2</v>
          </cell>
        </row>
        <row r="44">
          <cell r="D44" t="str">
            <v>AP</v>
          </cell>
          <cell r="G44" t="str">
            <v>s3d1b1</v>
          </cell>
          <cell r="J44">
            <v>7.4759999999999993E-2</v>
          </cell>
        </row>
        <row r="45">
          <cell r="D45" t="str">
            <v>AP</v>
          </cell>
          <cell r="G45" t="str">
            <v>s3d1b2</v>
          </cell>
          <cell r="J45">
            <v>0.13583000000000001</v>
          </cell>
        </row>
        <row r="46">
          <cell r="D46" t="str">
            <v>AP</v>
          </cell>
          <cell r="G46" t="str">
            <v>s3d1b3</v>
          </cell>
          <cell r="J46">
            <v>3.1859999999999999E-2</v>
          </cell>
        </row>
        <row r="47">
          <cell r="D47" t="str">
            <v>AP</v>
          </cell>
          <cell r="G47" t="str">
            <v>s3d2b1</v>
          </cell>
          <cell r="J47">
            <v>3.3410000000000002E-2</v>
          </cell>
        </row>
        <row r="48">
          <cell r="D48" t="str">
            <v>AP</v>
          </cell>
          <cell r="G48" t="str">
            <v>s3d2b2</v>
          </cell>
          <cell r="J48">
            <v>4.725E-2</v>
          </cell>
        </row>
        <row r="49">
          <cell r="D49" t="str">
            <v>AP</v>
          </cell>
          <cell r="G49" t="str">
            <v>s3d2b3</v>
          </cell>
          <cell r="J49">
            <v>1.439E-2</v>
          </cell>
        </row>
        <row r="50">
          <cell r="D50" t="str">
            <v>AT</v>
          </cell>
          <cell r="G50" t="str">
            <v>s1d1b1</v>
          </cell>
          <cell r="J50">
            <v>5.6610000000000001E-2</v>
          </cell>
        </row>
        <row r="51">
          <cell r="D51" t="str">
            <v>AT</v>
          </cell>
          <cell r="G51" t="str">
            <v>s1d1b2</v>
          </cell>
          <cell r="J51">
            <v>0.1235500000000001</v>
          </cell>
        </row>
        <row r="52">
          <cell r="D52" t="str">
            <v>AT</v>
          </cell>
          <cell r="G52" t="str">
            <v>s1d1b3</v>
          </cell>
          <cell r="J52">
            <v>6.9360000000000005E-2</v>
          </cell>
        </row>
        <row r="53">
          <cell r="D53" t="str">
            <v>AT</v>
          </cell>
          <cell r="G53" t="str">
            <v>s1d2b1</v>
          </cell>
          <cell r="J53">
            <v>2.9499999999999998E-2</v>
          </cell>
        </row>
        <row r="54">
          <cell r="D54" t="str">
            <v>AT</v>
          </cell>
          <cell r="G54" t="str">
            <v>s1d2b2</v>
          </cell>
          <cell r="J54">
            <v>4.9419999999999999E-2</v>
          </cell>
        </row>
        <row r="55">
          <cell r="D55" t="str">
            <v>AT</v>
          </cell>
          <cell r="G55" t="str">
            <v>s1d2b3</v>
          </cell>
          <cell r="J55">
            <v>2.811E-2</v>
          </cell>
        </row>
        <row r="56">
          <cell r="D56" t="str">
            <v>AT</v>
          </cell>
          <cell r="G56" t="str">
            <v>s2d1b1</v>
          </cell>
          <cell r="J56">
            <v>3.7999999999999999E-2</v>
          </cell>
        </row>
        <row r="57">
          <cell r="D57" t="str">
            <v>AT</v>
          </cell>
          <cell r="G57" t="str">
            <v>s2d1b2</v>
          </cell>
          <cell r="J57">
            <v>5.0319999999999997E-2</v>
          </cell>
        </row>
        <row r="58">
          <cell r="D58" t="str">
            <v>AT</v>
          </cell>
          <cell r="G58" t="str">
            <v>s2d1b3</v>
          </cell>
          <cell r="J58">
            <v>5.561E-2</v>
          </cell>
        </row>
        <row r="59">
          <cell r="D59" t="str">
            <v>AT</v>
          </cell>
          <cell r="G59" t="str">
            <v>s2d1b4</v>
          </cell>
          <cell r="J59">
            <v>4.648E-2</v>
          </cell>
        </row>
        <row r="60">
          <cell r="D60" t="str">
            <v>AT</v>
          </cell>
          <cell r="G60" t="str">
            <v>s2d1b5</v>
          </cell>
          <cell r="J60">
            <v>2.3519999999999999E-2</v>
          </cell>
        </row>
        <row r="61">
          <cell r="D61" t="str">
            <v>AT</v>
          </cell>
          <cell r="G61" t="str">
            <v>s2d2b1</v>
          </cell>
          <cell r="J61">
            <v>2.537E-2</v>
          </cell>
        </row>
        <row r="62">
          <cell r="D62" t="str">
            <v>AT</v>
          </cell>
          <cell r="G62" t="str">
            <v>s2d2b2</v>
          </cell>
          <cell r="J62">
            <v>4.249E-2</v>
          </cell>
        </row>
        <row r="63">
          <cell r="D63" t="str">
            <v>AT</v>
          </cell>
          <cell r="G63" t="str">
            <v>s2d2b3</v>
          </cell>
          <cell r="J63">
            <v>2.4160000000000001E-2</v>
          </cell>
        </row>
        <row r="64">
          <cell r="D64" t="str">
            <v>AT</v>
          </cell>
          <cell r="G64" t="str">
            <v>s3d1b1</v>
          </cell>
          <cell r="J64">
            <v>7.0690000000000003E-2</v>
          </cell>
        </row>
        <row r="65">
          <cell r="D65" t="str">
            <v>AT</v>
          </cell>
          <cell r="G65" t="str">
            <v>s3d1b2</v>
          </cell>
          <cell r="J65">
            <v>0.10437</v>
          </cell>
        </row>
        <row r="66">
          <cell r="D66" t="str">
            <v>AT</v>
          </cell>
          <cell r="G66" t="str">
            <v>s3d1b3</v>
          </cell>
          <cell r="J66">
            <v>6.7390000000000005E-2</v>
          </cell>
        </row>
        <row r="67">
          <cell r="D67" t="str">
            <v>AT</v>
          </cell>
          <cell r="G67" t="str">
            <v>s3d2b1</v>
          </cell>
          <cell r="J67">
            <v>2.6200000000000001E-2</v>
          </cell>
        </row>
        <row r="68">
          <cell r="D68" t="str">
            <v>AT</v>
          </cell>
          <cell r="G68" t="str">
            <v>s3d2b2</v>
          </cell>
          <cell r="J68">
            <v>4.3889999999999998E-2</v>
          </cell>
        </row>
        <row r="69">
          <cell r="D69" t="str">
            <v>AT</v>
          </cell>
          <cell r="G69" t="str">
            <v>s3d2b3</v>
          </cell>
          <cell r="J69">
            <v>2.496E-2</v>
          </cell>
        </row>
        <row r="70">
          <cell r="D70" t="str">
            <v>AI</v>
          </cell>
          <cell r="G70" t="str">
            <v>s1d1b1</v>
          </cell>
          <cell r="J70">
            <v>6.1920000000000003E-2</v>
          </cell>
        </row>
        <row r="71">
          <cell r="D71" t="str">
            <v>AI</v>
          </cell>
          <cell r="G71" t="str">
            <v>s1d1b2</v>
          </cell>
          <cell r="J71">
            <v>0.14323999999999973</v>
          </cell>
        </row>
        <row r="72">
          <cell r="D72" t="str">
            <v>AI</v>
          </cell>
          <cell r="G72" t="str">
            <v>s1d1b3</v>
          </cell>
          <cell r="J72">
            <v>4.4359999999999997E-2</v>
          </cell>
        </row>
        <row r="73">
          <cell r="D73" t="str">
            <v>AI</v>
          </cell>
          <cell r="G73" t="str">
            <v>s1d2b1</v>
          </cell>
          <cell r="J73">
            <v>3.0980000000000001E-2</v>
          </cell>
        </row>
        <row r="74">
          <cell r="D74" t="str">
            <v>AI</v>
          </cell>
          <cell r="G74" t="str">
            <v>s1d2b2</v>
          </cell>
          <cell r="J74">
            <v>5.7020000000000001E-2</v>
          </cell>
        </row>
        <row r="75">
          <cell r="D75" t="str">
            <v>AI</v>
          </cell>
          <cell r="G75" t="str">
            <v>s1d2b3</v>
          </cell>
          <cell r="J75">
            <v>1.9029999999999998E-2</v>
          </cell>
        </row>
        <row r="76">
          <cell r="D76" t="str">
            <v>AI</v>
          </cell>
          <cell r="G76" t="str">
            <v>s2d1b1</v>
          </cell>
          <cell r="J76">
            <v>4.4650000000000002E-2</v>
          </cell>
        </row>
        <row r="77">
          <cell r="D77" t="str">
            <v>AI</v>
          </cell>
          <cell r="G77" t="str">
            <v>s2d1b2</v>
          </cell>
          <cell r="J77">
            <v>4.5690000000000001E-2</v>
          </cell>
        </row>
        <row r="78">
          <cell r="D78" t="str">
            <v>AI</v>
          </cell>
          <cell r="G78" t="str">
            <v>s2d1b3</v>
          </cell>
          <cell r="J78">
            <v>7.7109999999999998E-2</v>
          </cell>
        </row>
        <row r="79">
          <cell r="D79" t="str">
            <v>AI</v>
          </cell>
          <cell r="G79" t="str">
            <v>s2d1b4</v>
          </cell>
          <cell r="J79">
            <v>2.895E-2</v>
          </cell>
        </row>
        <row r="80">
          <cell r="D80" t="str">
            <v>AI</v>
          </cell>
          <cell r="G80" t="str">
            <v>s2d1b5</v>
          </cell>
          <cell r="J80">
            <v>1.7520000000000001E-2</v>
          </cell>
        </row>
        <row r="81">
          <cell r="D81" t="str">
            <v>AI</v>
          </cell>
          <cell r="G81" t="str">
            <v>s2d2b1</v>
          </cell>
          <cell r="J81">
            <v>2.6630000000000001E-2</v>
          </cell>
        </row>
        <row r="82">
          <cell r="D82" t="str">
            <v>AI</v>
          </cell>
          <cell r="G82" t="str">
            <v>s2d2b2</v>
          </cell>
          <cell r="J82">
            <v>4.9029999999999997E-2</v>
          </cell>
        </row>
        <row r="83">
          <cell r="D83" t="str">
            <v>AI</v>
          </cell>
          <cell r="G83" t="str">
            <v>s2d2b3</v>
          </cell>
          <cell r="J83">
            <v>1.636E-2</v>
          </cell>
        </row>
        <row r="84">
          <cell r="D84" t="str">
            <v>AI</v>
          </cell>
          <cell r="G84" t="str">
            <v>s3d1b1</v>
          </cell>
          <cell r="J84">
            <v>7.0180000000000006E-2</v>
          </cell>
        </row>
        <row r="85">
          <cell r="D85" t="str">
            <v>AI</v>
          </cell>
          <cell r="G85" t="str">
            <v>s3d1b2</v>
          </cell>
          <cell r="J85">
            <v>0.12917000000000001</v>
          </cell>
        </row>
        <row r="86">
          <cell r="D86" t="str">
            <v>AI</v>
          </cell>
          <cell r="G86" t="str">
            <v>s3d1b3</v>
          </cell>
          <cell r="J86">
            <v>4.3110000000000002E-2</v>
          </cell>
        </row>
        <row r="87">
          <cell r="D87" t="str">
            <v>AI</v>
          </cell>
          <cell r="G87" t="str">
            <v>s3d2b1</v>
          </cell>
          <cell r="J87">
            <v>2.751E-2</v>
          </cell>
        </row>
        <row r="88">
          <cell r="D88" t="str">
            <v>AI</v>
          </cell>
          <cell r="G88" t="str">
            <v>s3d2b2</v>
          </cell>
          <cell r="J88">
            <v>5.0639999999999998E-2</v>
          </cell>
        </row>
        <row r="89">
          <cell r="D89" t="str">
            <v>AI</v>
          </cell>
          <cell r="G89" t="str">
            <v>s3d2b3</v>
          </cell>
          <cell r="J89">
            <v>1.6899999999999998E-2</v>
          </cell>
        </row>
        <row r="90">
          <cell r="D90" t="str">
            <v>AO</v>
          </cell>
          <cell r="G90" t="str">
            <v>s1d1b1</v>
          </cell>
          <cell r="J90">
            <v>7.7240000000000003E-2</v>
          </cell>
        </row>
        <row r="91">
          <cell r="D91" t="str">
            <v>AO</v>
          </cell>
          <cell r="G91" t="str">
            <v>s1d1b2</v>
          </cell>
          <cell r="J91">
            <v>0.13851000000000011</v>
          </cell>
        </row>
        <row r="92">
          <cell r="D92" t="str">
            <v>AO</v>
          </cell>
          <cell r="G92" t="str">
            <v>s1d1b3</v>
          </cell>
          <cell r="J92">
            <v>3.3770000000000001E-2</v>
          </cell>
        </row>
        <row r="93">
          <cell r="D93" t="str">
            <v>AO</v>
          </cell>
          <cell r="G93" t="str">
            <v>s1d2b1</v>
          </cell>
          <cell r="J93">
            <v>4.1419999999999998E-2</v>
          </cell>
        </row>
        <row r="94">
          <cell r="D94" t="str">
            <v>AO</v>
          </cell>
          <cell r="G94" t="str">
            <v>s1d2b2</v>
          </cell>
          <cell r="J94">
            <v>4.9360000000000001E-2</v>
          </cell>
        </row>
        <row r="95">
          <cell r="D95" t="str">
            <v>AO</v>
          </cell>
          <cell r="G95" t="str">
            <v>s1d2b3</v>
          </cell>
          <cell r="J95">
            <v>1.6250000000000001E-2</v>
          </cell>
        </row>
        <row r="96">
          <cell r="D96" t="str">
            <v>AO</v>
          </cell>
          <cell r="G96" t="str">
            <v>s2d1b1</v>
          </cell>
          <cell r="J96">
            <v>5.8340000000000003E-2</v>
          </cell>
        </row>
        <row r="97">
          <cell r="D97" t="str">
            <v>AO</v>
          </cell>
          <cell r="G97" t="str">
            <v>s2d1b2</v>
          </cell>
          <cell r="J97">
            <v>4.3990000000000001E-2</v>
          </cell>
        </row>
        <row r="98">
          <cell r="D98" t="str">
            <v>AO</v>
          </cell>
          <cell r="G98" t="str">
            <v>s2d1b3</v>
          </cell>
          <cell r="J98">
            <v>7.5999999999999998E-2</v>
          </cell>
        </row>
        <row r="99">
          <cell r="D99" t="str">
            <v>AO</v>
          </cell>
          <cell r="G99" t="str">
            <v>s2d1b4</v>
          </cell>
          <cell r="J99">
            <v>2.1649999999999999E-2</v>
          </cell>
        </row>
        <row r="100">
          <cell r="D100" t="str">
            <v>AO</v>
          </cell>
          <cell r="G100" t="str">
            <v>s2d1b5</v>
          </cell>
          <cell r="J100">
            <v>1.3939999999999999E-2</v>
          </cell>
        </row>
        <row r="101">
          <cell r="D101" t="str">
            <v>AO</v>
          </cell>
          <cell r="G101" t="str">
            <v>s2d2b1</v>
          </cell>
          <cell r="J101">
            <v>3.5490000000000001E-2</v>
          </cell>
        </row>
        <row r="102">
          <cell r="D102" t="str">
            <v>AO</v>
          </cell>
          <cell r="G102" t="str">
            <v>s2d2b2</v>
          </cell>
          <cell r="J102">
            <v>4.2590000000000003E-2</v>
          </cell>
        </row>
        <row r="103">
          <cell r="D103" t="str">
            <v>AO</v>
          </cell>
          <cell r="G103" t="str">
            <v>s2d2b3</v>
          </cell>
          <cell r="J103">
            <v>1.3950000000000001E-2</v>
          </cell>
        </row>
        <row r="104">
          <cell r="D104" t="str">
            <v>AO</v>
          </cell>
          <cell r="G104" t="str">
            <v>s3d1b1</v>
          </cell>
          <cell r="J104">
            <v>8.7169999999999997E-2</v>
          </cell>
        </row>
        <row r="105">
          <cell r="D105" t="str">
            <v>AO</v>
          </cell>
          <cell r="G105" t="str">
            <v>s3d1b2</v>
          </cell>
          <cell r="J105">
            <v>0.12247</v>
          </cell>
        </row>
        <row r="106">
          <cell r="D106" t="str">
            <v>AO</v>
          </cell>
          <cell r="G106" t="str">
            <v>s3d1b3</v>
          </cell>
          <cell r="J106">
            <v>3.2809999999999999E-2</v>
          </cell>
        </row>
        <row r="107">
          <cell r="D107" t="str">
            <v>AO</v>
          </cell>
          <cell r="G107" t="str">
            <v>s3d2b1</v>
          </cell>
          <cell r="J107">
            <v>3.678E-2</v>
          </cell>
        </row>
        <row r="108">
          <cell r="D108" t="str">
            <v>AO</v>
          </cell>
          <cell r="G108" t="str">
            <v>s3d2b2</v>
          </cell>
          <cell r="J108">
            <v>4.3839999999999997E-2</v>
          </cell>
        </row>
        <row r="109">
          <cell r="D109" t="str">
            <v>AO</v>
          </cell>
          <cell r="G109" t="str">
            <v>s3d2b3</v>
          </cell>
          <cell r="J109">
            <v>1.443E-2</v>
          </cell>
        </row>
      </sheetData>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0">
          <cell r="D10" t="str">
            <v>AH</v>
          </cell>
          <cell r="G10" t="str">
            <v>s1d1b1</v>
          </cell>
          <cell r="J10">
            <v>0.26507000000000003</v>
          </cell>
        </row>
        <row r="11">
          <cell r="D11" t="str">
            <v>AH</v>
          </cell>
          <cell r="G11" t="str">
            <v>s1d1b2</v>
          </cell>
          <cell r="J11">
            <v>0.32396999999999998</v>
          </cell>
        </row>
        <row r="12">
          <cell r="D12" t="str">
            <v>AH</v>
          </cell>
          <cell r="G12" t="str">
            <v>s1d1b3</v>
          </cell>
          <cell r="J12">
            <v>0.11781</v>
          </cell>
        </row>
        <row r="13">
          <cell r="D13" t="str">
            <v>AH</v>
          </cell>
          <cell r="G13" t="str">
            <v>s2d1b1</v>
          </cell>
          <cell r="J13">
            <v>9.7720000000000001E-2</v>
          </cell>
        </row>
        <row r="14">
          <cell r="D14" t="str">
            <v>AH</v>
          </cell>
          <cell r="G14" t="str">
            <v>s2d1b2</v>
          </cell>
          <cell r="J14">
            <v>4.8860000000000001E-2</v>
          </cell>
        </row>
        <row r="15">
          <cell r="D15" t="str">
            <v>AH</v>
          </cell>
          <cell r="G15" t="str">
            <v>s2d1b3</v>
          </cell>
          <cell r="J15">
            <v>8.5500000000000007E-2</v>
          </cell>
        </row>
        <row r="16">
          <cell r="D16" t="str">
            <v>AH</v>
          </cell>
          <cell r="G16" t="str">
            <v>s2d1b4</v>
          </cell>
          <cell r="J16">
            <v>3.6639999999999999E-2</v>
          </cell>
        </row>
        <row r="17">
          <cell r="D17" t="str">
            <v>AH</v>
          </cell>
          <cell r="G17" t="str">
            <v>s2d1b5</v>
          </cell>
          <cell r="J17">
            <v>2.443E-2</v>
          </cell>
        </row>
        <row r="18">
          <cell r="D18" t="str">
            <v>AP</v>
          </cell>
          <cell r="G18" t="str">
            <v>s1d1b1</v>
          </cell>
          <cell r="J18">
            <v>0.26507000000000003</v>
          </cell>
        </row>
        <row r="19">
          <cell r="D19" t="str">
            <v>AP</v>
          </cell>
          <cell r="G19" t="str">
            <v>s1d1b2</v>
          </cell>
          <cell r="J19">
            <v>0.32396999999999998</v>
          </cell>
        </row>
        <row r="20">
          <cell r="D20" t="str">
            <v>AP</v>
          </cell>
          <cell r="G20" t="str">
            <v>s1d1b3</v>
          </cell>
          <cell r="J20">
            <v>0.11781</v>
          </cell>
        </row>
        <row r="21">
          <cell r="D21" t="str">
            <v>AP</v>
          </cell>
          <cell r="G21" t="str">
            <v>s2d1b1</v>
          </cell>
          <cell r="J21">
            <v>9.7720000000000001E-2</v>
          </cell>
        </row>
        <row r="22">
          <cell r="D22" t="str">
            <v>AP</v>
          </cell>
          <cell r="G22" t="str">
            <v>s2d1b2</v>
          </cell>
          <cell r="J22">
            <v>4.8860000000000001E-2</v>
          </cell>
        </row>
        <row r="23">
          <cell r="D23" t="str">
            <v>AP</v>
          </cell>
          <cell r="G23" t="str">
            <v>s2d1b3</v>
          </cell>
          <cell r="J23">
            <v>8.5500000000000007E-2</v>
          </cell>
        </row>
        <row r="24">
          <cell r="D24" t="str">
            <v>AP</v>
          </cell>
          <cell r="G24" t="str">
            <v>s2d1b4</v>
          </cell>
          <cell r="J24">
            <v>3.6639999999999999E-2</v>
          </cell>
        </row>
        <row r="25">
          <cell r="D25" t="str">
            <v>AP</v>
          </cell>
          <cell r="G25" t="str">
            <v>s2d1b5</v>
          </cell>
          <cell r="J25">
            <v>2.443E-2</v>
          </cell>
        </row>
        <row r="26">
          <cell r="D26" t="str">
            <v>AT</v>
          </cell>
          <cell r="G26" t="str">
            <v>s1d1b1</v>
          </cell>
          <cell r="J26">
            <v>0.26507000000000003</v>
          </cell>
        </row>
        <row r="27">
          <cell r="D27" t="str">
            <v>AT</v>
          </cell>
          <cell r="G27" t="str">
            <v>s1d1b2</v>
          </cell>
          <cell r="J27">
            <v>0.32396999999999998</v>
          </cell>
        </row>
        <row r="28">
          <cell r="D28" t="str">
            <v>AT</v>
          </cell>
          <cell r="G28" t="str">
            <v>s1d1b3</v>
          </cell>
          <cell r="J28">
            <v>0.11781</v>
          </cell>
        </row>
        <row r="29">
          <cell r="D29" t="str">
            <v>AT</v>
          </cell>
          <cell r="G29" t="str">
            <v>s2d1b1</v>
          </cell>
          <cell r="J29">
            <v>9.7720000000000001E-2</v>
          </cell>
        </row>
        <row r="30">
          <cell r="D30" t="str">
            <v>AT</v>
          </cell>
          <cell r="G30" t="str">
            <v>s2d1b2</v>
          </cell>
          <cell r="J30">
            <v>4.8860000000000001E-2</v>
          </cell>
        </row>
        <row r="31">
          <cell r="D31" t="str">
            <v>AT</v>
          </cell>
          <cell r="G31" t="str">
            <v>s2d1b3</v>
          </cell>
          <cell r="J31">
            <v>8.5500000000000007E-2</v>
          </cell>
        </row>
        <row r="32">
          <cell r="D32" t="str">
            <v>AT</v>
          </cell>
          <cell r="G32" t="str">
            <v>s2d1b4</v>
          </cell>
          <cell r="J32">
            <v>3.6639999999999999E-2</v>
          </cell>
        </row>
        <row r="33">
          <cell r="D33" t="str">
            <v>AT</v>
          </cell>
          <cell r="G33" t="str">
            <v>s2d1b5</v>
          </cell>
          <cell r="J33">
            <v>2.443E-2</v>
          </cell>
        </row>
        <row r="34">
          <cell r="D34" t="str">
            <v>AI</v>
          </cell>
          <cell r="G34" t="str">
            <v>s1d1b1</v>
          </cell>
          <cell r="J34">
            <v>0.26507000000000003</v>
          </cell>
        </row>
        <row r="35">
          <cell r="D35" t="str">
            <v>AI</v>
          </cell>
          <cell r="G35" t="str">
            <v>s1d1b2</v>
          </cell>
          <cell r="J35">
            <v>0.32396999999999998</v>
          </cell>
        </row>
        <row r="36">
          <cell r="D36" t="str">
            <v>AI</v>
          </cell>
          <cell r="G36" t="str">
            <v>s1d1b3</v>
          </cell>
          <cell r="J36">
            <v>0.11781</v>
          </cell>
        </row>
        <row r="37">
          <cell r="D37" t="str">
            <v>AI</v>
          </cell>
          <cell r="G37" t="str">
            <v>s2d1b1</v>
          </cell>
          <cell r="J37">
            <v>9.7720000000000001E-2</v>
          </cell>
        </row>
        <row r="38">
          <cell r="D38" t="str">
            <v>AI</v>
          </cell>
          <cell r="G38" t="str">
            <v>s2d1b2</v>
          </cell>
          <cell r="J38">
            <v>4.8860000000000001E-2</v>
          </cell>
        </row>
        <row r="39">
          <cell r="D39" t="str">
            <v>AI</v>
          </cell>
          <cell r="G39" t="str">
            <v>s2d1b3</v>
          </cell>
          <cell r="J39">
            <v>8.5500000000000007E-2</v>
          </cell>
        </row>
        <row r="40">
          <cell r="D40" t="str">
            <v>AI</v>
          </cell>
          <cell r="G40" t="str">
            <v>s2d1b4</v>
          </cell>
          <cell r="J40">
            <v>3.6639999999999999E-2</v>
          </cell>
        </row>
        <row r="41">
          <cell r="D41" t="str">
            <v>AI</v>
          </cell>
          <cell r="G41" t="str">
            <v>s2d1b5</v>
          </cell>
          <cell r="J41">
            <v>2.443E-2</v>
          </cell>
        </row>
        <row r="42">
          <cell r="D42" t="str">
            <v>AO</v>
          </cell>
          <cell r="G42" t="str">
            <v>s1d1b1</v>
          </cell>
          <cell r="J42">
            <v>0.26507000000000003</v>
          </cell>
        </row>
        <row r="43">
          <cell r="D43" t="str">
            <v>AO</v>
          </cell>
          <cell r="G43" t="str">
            <v>s1d1b2</v>
          </cell>
          <cell r="J43">
            <v>0.32396999999999998</v>
          </cell>
        </row>
        <row r="44">
          <cell r="D44" t="str">
            <v>AO</v>
          </cell>
          <cell r="G44" t="str">
            <v>s1d1b3</v>
          </cell>
          <cell r="J44">
            <v>0.11781</v>
          </cell>
        </row>
        <row r="45">
          <cell r="D45" t="str">
            <v>AO</v>
          </cell>
          <cell r="G45" t="str">
            <v>s2d1b1</v>
          </cell>
          <cell r="J45">
            <v>9.7720000000000001E-2</v>
          </cell>
        </row>
        <row r="46">
          <cell r="D46" t="str">
            <v>AO</v>
          </cell>
          <cell r="G46" t="str">
            <v>s2d1b2</v>
          </cell>
          <cell r="J46">
            <v>4.8860000000000001E-2</v>
          </cell>
        </row>
        <row r="47">
          <cell r="D47" t="str">
            <v>AO</v>
          </cell>
          <cell r="G47" t="str">
            <v>s2d1b3</v>
          </cell>
          <cell r="J47">
            <v>8.5500000000000007E-2</v>
          </cell>
        </row>
        <row r="48">
          <cell r="D48" t="str">
            <v>AO</v>
          </cell>
          <cell r="G48" t="str">
            <v>s2d1b4</v>
          </cell>
          <cell r="J48">
            <v>3.6639999999999999E-2</v>
          </cell>
        </row>
        <row r="49">
          <cell r="D49" t="str">
            <v>AO</v>
          </cell>
          <cell r="G49" t="str">
            <v>s2d1b5</v>
          </cell>
          <cell r="J49">
            <v>2.443E-2</v>
          </cell>
        </row>
        <row r="50">
          <cell r="D50"/>
          <cell r="G50"/>
          <cell r="J50"/>
        </row>
        <row r="51">
          <cell r="D51"/>
          <cell r="G51"/>
          <cell r="J51"/>
        </row>
        <row r="52">
          <cell r="D52"/>
          <cell r="G52"/>
          <cell r="J52"/>
        </row>
        <row r="53">
          <cell r="D53"/>
          <cell r="G53"/>
          <cell r="J53"/>
        </row>
        <row r="54">
          <cell r="D54"/>
          <cell r="G54"/>
          <cell r="J54"/>
        </row>
        <row r="55">
          <cell r="D55"/>
          <cell r="G55"/>
          <cell r="J55"/>
        </row>
        <row r="56">
          <cell r="D56"/>
          <cell r="G56"/>
          <cell r="J56"/>
        </row>
        <row r="57">
          <cell r="D57"/>
          <cell r="G57"/>
          <cell r="J57"/>
        </row>
        <row r="58">
          <cell r="D58"/>
          <cell r="G58"/>
          <cell r="J58"/>
        </row>
        <row r="59">
          <cell r="D59"/>
          <cell r="G59"/>
          <cell r="J59"/>
        </row>
        <row r="60">
          <cell r="D60"/>
          <cell r="G60"/>
          <cell r="J60"/>
        </row>
        <row r="61">
          <cell r="D61"/>
          <cell r="G61"/>
          <cell r="J61"/>
        </row>
        <row r="62">
          <cell r="D62"/>
          <cell r="G62"/>
          <cell r="J62"/>
        </row>
        <row r="63">
          <cell r="D63"/>
          <cell r="G63"/>
          <cell r="J63"/>
        </row>
        <row r="64">
          <cell r="D64"/>
          <cell r="G64"/>
          <cell r="J64"/>
        </row>
        <row r="65">
          <cell r="D65"/>
          <cell r="G65"/>
          <cell r="J65"/>
        </row>
        <row r="66">
          <cell r="D66"/>
          <cell r="G66"/>
          <cell r="J66"/>
        </row>
        <row r="67">
          <cell r="D67"/>
          <cell r="G67"/>
          <cell r="J67"/>
        </row>
        <row r="68">
          <cell r="D68"/>
          <cell r="G68"/>
          <cell r="J68"/>
        </row>
        <row r="69">
          <cell r="D69"/>
          <cell r="G69"/>
          <cell r="J69"/>
        </row>
        <row r="70">
          <cell r="D70"/>
          <cell r="G70"/>
          <cell r="J70"/>
        </row>
        <row r="71">
          <cell r="D71"/>
          <cell r="G71"/>
          <cell r="J71"/>
        </row>
        <row r="72">
          <cell r="D72"/>
          <cell r="G72"/>
          <cell r="J72"/>
        </row>
        <row r="73">
          <cell r="D73"/>
          <cell r="G73"/>
          <cell r="J73"/>
        </row>
        <row r="74">
          <cell r="D74"/>
          <cell r="G74"/>
          <cell r="J74"/>
        </row>
        <row r="75">
          <cell r="D75"/>
          <cell r="G75"/>
          <cell r="J75"/>
        </row>
        <row r="76">
          <cell r="D76"/>
          <cell r="G76"/>
          <cell r="J76"/>
        </row>
        <row r="77">
          <cell r="D77"/>
          <cell r="G77"/>
          <cell r="J77"/>
        </row>
        <row r="78">
          <cell r="D78"/>
          <cell r="G78"/>
          <cell r="J78"/>
        </row>
        <row r="79">
          <cell r="D79"/>
          <cell r="G79"/>
          <cell r="J79"/>
        </row>
        <row r="80">
          <cell r="D80"/>
          <cell r="G80"/>
          <cell r="J80"/>
        </row>
        <row r="81">
          <cell r="D81"/>
          <cell r="G81"/>
          <cell r="J81"/>
        </row>
        <row r="82">
          <cell r="D82"/>
          <cell r="G82"/>
          <cell r="J82"/>
        </row>
        <row r="83">
          <cell r="D83"/>
          <cell r="G83"/>
          <cell r="J83"/>
        </row>
        <row r="84">
          <cell r="D84"/>
          <cell r="G84"/>
          <cell r="J84"/>
        </row>
        <row r="85">
          <cell r="D85"/>
          <cell r="G85"/>
          <cell r="J85"/>
        </row>
        <row r="86">
          <cell r="D86"/>
          <cell r="G86"/>
          <cell r="J86"/>
        </row>
        <row r="87">
          <cell r="D87"/>
          <cell r="G87"/>
          <cell r="J87"/>
        </row>
        <row r="88">
          <cell r="D88"/>
          <cell r="G88"/>
          <cell r="J88"/>
        </row>
        <row r="89">
          <cell r="D89"/>
          <cell r="G89"/>
          <cell r="J89"/>
        </row>
        <row r="90">
          <cell r="D90"/>
          <cell r="G90"/>
          <cell r="J90"/>
        </row>
      </sheetData>
      <sheetData sheetId="20"/>
      <sheetData sheetId="21"/>
      <sheetData sheetId="22"/>
      <sheetData sheetId="23">
        <row r="5">
          <cell r="AM5">
            <v>0.55130000000000001</v>
          </cell>
          <cell r="AN5">
            <v>0.74760000000000004</v>
          </cell>
          <cell r="AO5">
            <v>0.77659999999999996</v>
          </cell>
          <cell r="AP5">
            <v>0.80869999999999997</v>
          </cell>
          <cell r="AQ5">
            <v>1</v>
          </cell>
        </row>
      </sheetData>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8F2B230A-4217-4764-94B5-3EBAF0722969}"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7" dT="2020-07-30T13:05:23.56" personId="{8F2B230A-4217-4764-94B5-3EBAF0722969}" id="{B78C0C49-1324-4E57-B96B-6176ABAF428B}">
    <text>adjusted based on ESRG EB 2017</text>
  </threadedComment>
</ThreadedComment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hyperlink" Target="http://www.senter360.co.za/"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17.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10.xml"/><Relationship Id="rId18" Type="http://schemas.openxmlformats.org/officeDocument/2006/relationships/image" Target="../media/image12.emf"/><Relationship Id="rId3" Type="http://schemas.openxmlformats.org/officeDocument/2006/relationships/control" Target="../activeX/activeX5.xml"/><Relationship Id="rId7" Type="http://schemas.openxmlformats.org/officeDocument/2006/relationships/control" Target="../activeX/activeX7.xml"/><Relationship Id="rId12" Type="http://schemas.openxmlformats.org/officeDocument/2006/relationships/image" Target="../media/image9.emf"/><Relationship Id="rId17" Type="http://schemas.openxmlformats.org/officeDocument/2006/relationships/control" Target="../activeX/activeX12.xml"/><Relationship Id="rId2" Type="http://schemas.openxmlformats.org/officeDocument/2006/relationships/vmlDrawing" Target="../drawings/vmlDrawing6.vml"/><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drawing" Target="../drawings/drawing5.xml"/><Relationship Id="rId6" Type="http://schemas.openxmlformats.org/officeDocument/2006/relationships/image" Target="../media/image6.emf"/><Relationship Id="rId11" Type="http://schemas.openxmlformats.org/officeDocument/2006/relationships/control" Target="../activeX/activeX9.xml"/><Relationship Id="rId5" Type="http://schemas.openxmlformats.org/officeDocument/2006/relationships/control" Target="../activeX/activeX6.xml"/><Relationship Id="rId15" Type="http://schemas.openxmlformats.org/officeDocument/2006/relationships/control" Target="../activeX/activeX11.xml"/><Relationship Id="rId10" Type="http://schemas.openxmlformats.org/officeDocument/2006/relationships/image" Target="../media/image8.emf"/><Relationship Id="rId19" Type="http://schemas.openxmlformats.org/officeDocument/2006/relationships/control" Target="../activeX/activeX13.xml"/><Relationship Id="rId4" Type="http://schemas.openxmlformats.org/officeDocument/2006/relationships/image" Target="../media/image5.emf"/><Relationship Id="rId9" Type="http://schemas.openxmlformats.org/officeDocument/2006/relationships/control" Target="../activeX/activeX8.xml"/><Relationship Id="rId14" Type="http://schemas.openxmlformats.org/officeDocument/2006/relationships/image" Target="../media/image10.emf"/></Relationships>
</file>

<file path=xl/worksheets/_rels/sheet18.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ntrol" Target="../activeX/activeX19.xml"/><Relationship Id="rId18" Type="http://schemas.openxmlformats.org/officeDocument/2006/relationships/image" Target="../media/image21.emf"/><Relationship Id="rId3" Type="http://schemas.openxmlformats.org/officeDocument/2006/relationships/control" Target="../activeX/activeX14.xml"/><Relationship Id="rId7" Type="http://schemas.openxmlformats.org/officeDocument/2006/relationships/control" Target="../activeX/activeX16.xml"/><Relationship Id="rId12" Type="http://schemas.openxmlformats.org/officeDocument/2006/relationships/image" Target="../media/image18.emf"/><Relationship Id="rId17" Type="http://schemas.openxmlformats.org/officeDocument/2006/relationships/control" Target="../activeX/activeX21.xml"/><Relationship Id="rId2" Type="http://schemas.openxmlformats.org/officeDocument/2006/relationships/vmlDrawing" Target="../drawings/vmlDrawing7.vml"/><Relationship Id="rId16" Type="http://schemas.openxmlformats.org/officeDocument/2006/relationships/image" Target="../media/image20.emf"/><Relationship Id="rId20" Type="http://schemas.openxmlformats.org/officeDocument/2006/relationships/image" Target="../media/image22.emf"/><Relationship Id="rId1" Type="http://schemas.openxmlformats.org/officeDocument/2006/relationships/drawing" Target="../drawings/drawing6.xml"/><Relationship Id="rId6" Type="http://schemas.openxmlformats.org/officeDocument/2006/relationships/image" Target="../media/image15.emf"/><Relationship Id="rId11" Type="http://schemas.openxmlformats.org/officeDocument/2006/relationships/control" Target="../activeX/activeX18.xml"/><Relationship Id="rId5" Type="http://schemas.openxmlformats.org/officeDocument/2006/relationships/control" Target="../activeX/activeX15.xml"/><Relationship Id="rId15" Type="http://schemas.openxmlformats.org/officeDocument/2006/relationships/control" Target="../activeX/activeX20.xml"/><Relationship Id="rId10" Type="http://schemas.openxmlformats.org/officeDocument/2006/relationships/image" Target="../media/image17.emf"/><Relationship Id="rId19" Type="http://schemas.openxmlformats.org/officeDocument/2006/relationships/control" Target="../activeX/activeX22.xml"/><Relationship Id="rId4" Type="http://schemas.openxmlformats.org/officeDocument/2006/relationships/image" Target="../media/image14.emf"/><Relationship Id="rId9" Type="http://schemas.openxmlformats.org/officeDocument/2006/relationships/control" Target="../activeX/activeX17.xml"/><Relationship Id="rId14" Type="http://schemas.openxmlformats.org/officeDocument/2006/relationships/image" Target="../media/image19.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ntrol" Target="../activeX/activeX30.xml"/><Relationship Id="rId3" Type="http://schemas.openxmlformats.org/officeDocument/2006/relationships/vmlDrawing" Target="../drawings/vmlDrawing8.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7.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openxmlformats.org/officeDocument/2006/relationships/image" Target="../media/image30.emf"/><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9.vml"/><Relationship Id="rId7" Type="http://schemas.openxmlformats.org/officeDocument/2006/relationships/image" Target="../media/image32.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32.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4.xml"/><Relationship Id="rId4" Type="http://schemas.openxmlformats.org/officeDocument/2006/relationships/control" Target="../activeX/activeX31.xml"/><Relationship Id="rId9" Type="http://schemas.openxmlformats.org/officeDocument/2006/relationships/image" Target="../media/image33.emf"/></Relationships>
</file>

<file path=xl/worksheets/_rels/sheet21.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control" Target="../activeX/activeX40.xml"/><Relationship Id="rId18" Type="http://schemas.openxmlformats.org/officeDocument/2006/relationships/image" Target="../media/image42.emf"/><Relationship Id="rId3" Type="http://schemas.openxmlformats.org/officeDocument/2006/relationships/control" Target="../activeX/activeX35.xml"/><Relationship Id="rId7" Type="http://schemas.openxmlformats.org/officeDocument/2006/relationships/control" Target="../activeX/activeX37.xml"/><Relationship Id="rId12" Type="http://schemas.openxmlformats.org/officeDocument/2006/relationships/image" Target="../media/image39.emf"/><Relationship Id="rId17" Type="http://schemas.openxmlformats.org/officeDocument/2006/relationships/control" Target="../activeX/activeX42.xml"/><Relationship Id="rId2" Type="http://schemas.openxmlformats.org/officeDocument/2006/relationships/vmlDrawing" Target="../drawings/vmlDrawing10.vml"/><Relationship Id="rId16" Type="http://schemas.openxmlformats.org/officeDocument/2006/relationships/image" Target="../media/image41.emf"/><Relationship Id="rId20" Type="http://schemas.openxmlformats.org/officeDocument/2006/relationships/image" Target="../media/image43.emf"/><Relationship Id="rId1" Type="http://schemas.openxmlformats.org/officeDocument/2006/relationships/drawing" Target="../drawings/drawing9.xml"/><Relationship Id="rId6" Type="http://schemas.openxmlformats.org/officeDocument/2006/relationships/image" Target="../media/image36.emf"/><Relationship Id="rId11" Type="http://schemas.openxmlformats.org/officeDocument/2006/relationships/control" Target="../activeX/activeX39.xml"/><Relationship Id="rId5" Type="http://schemas.openxmlformats.org/officeDocument/2006/relationships/control" Target="../activeX/activeX36.xml"/><Relationship Id="rId15" Type="http://schemas.openxmlformats.org/officeDocument/2006/relationships/control" Target="../activeX/activeX41.xml"/><Relationship Id="rId10" Type="http://schemas.openxmlformats.org/officeDocument/2006/relationships/image" Target="../media/image38.emf"/><Relationship Id="rId19" Type="http://schemas.openxmlformats.org/officeDocument/2006/relationships/control" Target="../activeX/activeX43.xml"/><Relationship Id="rId4" Type="http://schemas.openxmlformats.org/officeDocument/2006/relationships/image" Target="../media/image35.emf"/><Relationship Id="rId9" Type="http://schemas.openxmlformats.org/officeDocument/2006/relationships/control" Target="../activeX/activeX38.xml"/><Relationship Id="rId14" Type="http://schemas.openxmlformats.org/officeDocument/2006/relationships/image" Target="../media/image4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13" Type="http://schemas.openxmlformats.org/officeDocument/2006/relationships/control" Target="../activeX/activeX49.xml"/><Relationship Id="rId18" Type="http://schemas.openxmlformats.org/officeDocument/2006/relationships/image" Target="../media/image51.emf"/><Relationship Id="rId3" Type="http://schemas.openxmlformats.org/officeDocument/2006/relationships/control" Target="../activeX/activeX44.xml"/><Relationship Id="rId7" Type="http://schemas.openxmlformats.org/officeDocument/2006/relationships/control" Target="../activeX/activeX46.xml"/><Relationship Id="rId12" Type="http://schemas.openxmlformats.org/officeDocument/2006/relationships/image" Target="../media/image48.emf"/><Relationship Id="rId17" Type="http://schemas.openxmlformats.org/officeDocument/2006/relationships/control" Target="../activeX/activeX51.xml"/><Relationship Id="rId2" Type="http://schemas.openxmlformats.org/officeDocument/2006/relationships/vmlDrawing" Target="../drawings/vmlDrawing11.vml"/><Relationship Id="rId16" Type="http://schemas.openxmlformats.org/officeDocument/2006/relationships/image" Target="../media/image50.emf"/><Relationship Id="rId20" Type="http://schemas.openxmlformats.org/officeDocument/2006/relationships/image" Target="../media/image52.emf"/><Relationship Id="rId1" Type="http://schemas.openxmlformats.org/officeDocument/2006/relationships/drawing" Target="../drawings/drawing10.xml"/><Relationship Id="rId6" Type="http://schemas.openxmlformats.org/officeDocument/2006/relationships/image" Target="../media/image45.emf"/><Relationship Id="rId11" Type="http://schemas.openxmlformats.org/officeDocument/2006/relationships/control" Target="../activeX/activeX48.xml"/><Relationship Id="rId5" Type="http://schemas.openxmlformats.org/officeDocument/2006/relationships/control" Target="../activeX/activeX45.xml"/><Relationship Id="rId15" Type="http://schemas.openxmlformats.org/officeDocument/2006/relationships/control" Target="../activeX/activeX50.xml"/><Relationship Id="rId10" Type="http://schemas.openxmlformats.org/officeDocument/2006/relationships/image" Target="../media/image47.emf"/><Relationship Id="rId19" Type="http://schemas.openxmlformats.org/officeDocument/2006/relationships/control" Target="../activeX/activeX52.xml"/><Relationship Id="rId4" Type="http://schemas.openxmlformats.org/officeDocument/2006/relationships/image" Target="../media/image44.emf"/><Relationship Id="rId9" Type="http://schemas.openxmlformats.org/officeDocument/2006/relationships/control" Target="../activeX/activeX47.xml"/><Relationship Id="rId14" Type="http://schemas.openxmlformats.org/officeDocument/2006/relationships/image" Target="../media/image49.emf"/></Relationships>
</file>

<file path=xl/worksheets/_rels/sheet23.xml.rels><?xml version="1.0" encoding="UTF-8" standalone="yes"?>
<Relationships xmlns="http://schemas.openxmlformats.org/package/2006/relationships"><Relationship Id="rId8" Type="http://schemas.openxmlformats.org/officeDocument/2006/relationships/image" Target="../media/image55.emf"/><Relationship Id="rId13" Type="http://schemas.openxmlformats.org/officeDocument/2006/relationships/control" Target="../activeX/activeX58.xml"/><Relationship Id="rId18" Type="http://schemas.openxmlformats.org/officeDocument/2006/relationships/image" Target="../media/image60.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7.emf"/><Relationship Id="rId17" Type="http://schemas.openxmlformats.org/officeDocument/2006/relationships/control" Target="../activeX/activeX60.xml"/><Relationship Id="rId2" Type="http://schemas.openxmlformats.org/officeDocument/2006/relationships/vmlDrawing" Target="../drawings/vmlDrawing12.vml"/><Relationship Id="rId16" Type="http://schemas.openxmlformats.org/officeDocument/2006/relationships/image" Target="../media/image59.emf"/><Relationship Id="rId20" Type="http://schemas.openxmlformats.org/officeDocument/2006/relationships/image" Target="../media/image61.emf"/><Relationship Id="rId1" Type="http://schemas.openxmlformats.org/officeDocument/2006/relationships/drawing" Target="../drawings/drawing11.xml"/><Relationship Id="rId6" Type="http://schemas.openxmlformats.org/officeDocument/2006/relationships/image" Target="../media/image54.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6.emf"/><Relationship Id="rId19" Type="http://schemas.openxmlformats.org/officeDocument/2006/relationships/control" Target="../activeX/activeX61.xml"/><Relationship Id="rId4" Type="http://schemas.openxmlformats.org/officeDocument/2006/relationships/image" Target="../media/image53.emf"/><Relationship Id="rId9" Type="http://schemas.openxmlformats.org/officeDocument/2006/relationships/control" Target="../activeX/activeX56.xml"/><Relationship Id="rId14" Type="http://schemas.openxmlformats.org/officeDocument/2006/relationships/image" Target="../media/image58.emf"/></Relationships>
</file>

<file path=xl/worksheets/_rels/sheet24.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ntrol" Target="../activeX/activeX67.xml"/><Relationship Id="rId18" Type="http://schemas.openxmlformats.org/officeDocument/2006/relationships/image" Target="../media/image69.emf"/><Relationship Id="rId3" Type="http://schemas.openxmlformats.org/officeDocument/2006/relationships/control" Target="../activeX/activeX62.xml"/><Relationship Id="rId7" Type="http://schemas.openxmlformats.org/officeDocument/2006/relationships/control" Target="../activeX/activeX64.xml"/><Relationship Id="rId12" Type="http://schemas.openxmlformats.org/officeDocument/2006/relationships/image" Target="../media/image66.emf"/><Relationship Id="rId17" Type="http://schemas.openxmlformats.org/officeDocument/2006/relationships/control" Target="../activeX/activeX69.xml"/><Relationship Id="rId2" Type="http://schemas.openxmlformats.org/officeDocument/2006/relationships/vmlDrawing" Target="../drawings/vmlDrawing13.vml"/><Relationship Id="rId16" Type="http://schemas.openxmlformats.org/officeDocument/2006/relationships/image" Target="../media/image68.emf"/><Relationship Id="rId20" Type="http://schemas.openxmlformats.org/officeDocument/2006/relationships/image" Target="../media/image70.emf"/><Relationship Id="rId1" Type="http://schemas.openxmlformats.org/officeDocument/2006/relationships/drawing" Target="../drawings/drawing12.xml"/><Relationship Id="rId6" Type="http://schemas.openxmlformats.org/officeDocument/2006/relationships/image" Target="../media/image63.emf"/><Relationship Id="rId11" Type="http://schemas.openxmlformats.org/officeDocument/2006/relationships/control" Target="../activeX/activeX66.xml"/><Relationship Id="rId5" Type="http://schemas.openxmlformats.org/officeDocument/2006/relationships/control" Target="../activeX/activeX63.xml"/><Relationship Id="rId15" Type="http://schemas.openxmlformats.org/officeDocument/2006/relationships/control" Target="../activeX/activeX68.xml"/><Relationship Id="rId10" Type="http://schemas.openxmlformats.org/officeDocument/2006/relationships/image" Target="../media/image65.emf"/><Relationship Id="rId19" Type="http://schemas.openxmlformats.org/officeDocument/2006/relationships/control" Target="../activeX/activeX70.xml"/><Relationship Id="rId4" Type="http://schemas.openxmlformats.org/officeDocument/2006/relationships/image" Target="../media/image62.emf"/><Relationship Id="rId9" Type="http://schemas.openxmlformats.org/officeDocument/2006/relationships/control" Target="../activeX/activeX65.xml"/><Relationship Id="rId14" Type="http://schemas.openxmlformats.org/officeDocument/2006/relationships/image" Target="../media/image67.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3.xml"/><Relationship Id="rId13" Type="http://schemas.openxmlformats.org/officeDocument/2006/relationships/image" Target="../media/image75.emf"/><Relationship Id="rId18" Type="http://schemas.openxmlformats.org/officeDocument/2006/relationships/control" Target="../activeX/activeX78.xml"/><Relationship Id="rId3" Type="http://schemas.openxmlformats.org/officeDocument/2006/relationships/vmlDrawing" Target="../drawings/vmlDrawing14.vml"/><Relationship Id="rId7" Type="http://schemas.openxmlformats.org/officeDocument/2006/relationships/image" Target="../media/image72.emf"/><Relationship Id="rId12" Type="http://schemas.openxmlformats.org/officeDocument/2006/relationships/control" Target="../activeX/activeX75.xml"/><Relationship Id="rId17" Type="http://schemas.openxmlformats.org/officeDocument/2006/relationships/image" Target="../media/image77.emf"/><Relationship Id="rId2" Type="http://schemas.openxmlformats.org/officeDocument/2006/relationships/drawing" Target="../drawings/drawing13.xml"/><Relationship Id="rId16" Type="http://schemas.openxmlformats.org/officeDocument/2006/relationships/control" Target="../activeX/activeX77.xml"/><Relationship Id="rId1" Type="http://schemas.openxmlformats.org/officeDocument/2006/relationships/printerSettings" Target="../printerSettings/printerSettings7.bin"/><Relationship Id="rId6" Type="http://schemas.openxmlformats.org/officeDocument/2006/relationships/control" Target="../activeX/activeX72.xml"/><Relationship Id="rId11" Type="http://schemas.openxmlformats.org/officeDocument/2006/relationships/image" Target="../media/image74.emf"/><Relationship Id="rId5" Type="http://schemas.openxmlformats.org/officeDocument/2006/relationships/image" Target="../media/image71.emf"/><Relationship Id="rId15" Type="http://schemas.openxmlformats.org/officeDocument/2006/relationships/image" Target="../media/image76.emf"/><Relationship Id="rId10" Type="http://schemas.openxmlformats.org/officeDocument/2006/relationships/control" Target="../activeX/activeX74.xml"/><Relationship Id="rId19" Type="http://schemas.openxmlformats.org/officeDocument/2006/relationships/image" Target="../media/image78.emf"/><Relationship Id="rId4" Type="http://schemas.openxmlformats.org/officeDocument/2006/relationships/control" Target="../activeX/activeX71.xml"/><Relationship Id="rId9" Type="http://schemas.openxmlformats.org/officeDocument/2006/relationships/image" Target="../media/image73.emf"/><Relationship Id="rId14" Type="http://schemas.openxmlformats.org/officeDocument/2006/relationships/control" Target="../activeX/activeX76.xml"/></Relationships>
</file>

<file path=xl/worksheets/_rels/sheet26.xml.rels><?xml version="1.0" encoding="UTF-8" standalone="yes"?>
<Relationships xmlns="http://schemas.openxmlformats.org/package/2006/relationships"><Relationship Id="rId8" Type="http://schemas.openxmlformats.org/officeDocument/2006/relationships/image" Target="../media/image81.emf"/><Relationship Id="rId13" Type="http://schemas.openxmlformats.org/officeDocument/2006/relationships/control" Target="../activeX/activeX84.xml"/><Relationship Id="rId18" Type="http://schemas.openxmlformats.org/officeDocument/2006/relationships/image" Target="../media/image86.emf"/><Relationship Id="rId3" Type="http://schemas.openxmlformats.org/officeDocument/2006/relationships/control" Target="../activeX/activeX79.xml"/><Relationship Id="rId7" Type="http://schemas.openxmlformats.org/officeDocument/2006/relationships/control" Target="../activeX/activeX81.xml"/><Relationship Id="rId12" Type="http://schemas.openxmlformats.org/officeDocument/2006/relationships/image" Target="../media/image83.emf"/><Relationship Id="rId17" Type="http://schemas.openxmlformats.org/officeDocument/2006/relationships/control" Target="../activeX/activeX86.xml"/><Relationship Id="rId2" Type="http://schemas.openxmlformats.org/officeDocument/2006/relationships/vmlDrawing" Target="../drawings/vmlDrawing15.vml"/><Relationship Id="rId16" Type="http://schemas.openxmlformats.org/officeDocument/2006/relationships/image" Target="../media/image85.emf"/><Relationship Id="rId20" Type="http://schemas.openxmlformats.org/officeDocument/2006/relationships/image" Target="../media/image87.emf"/><Relationship Id="rId1" Type="http://schemas.openxmlformats.org/officeDocument/2006/relationships/drawing" Target="../drawings/drawing14.xml"/><Relationship Id="rId6" Type="http://schemas.openxmlformats.org/officeDocument/2006/relationships/image" Target="../media/image80.emf"/><Relationship Id="rId11" Type="http://schemas.openxmlformats.org/officeDocument/2006/relationships/control" Target="../activeX/activeX83.xml"/><Relationship Id="rId5" Type="http://schemas.openxmlformats.org/officeDocument/2006/relationships/control" Target="../activeX/activeX80.xml"/><Relationship Id="rId15" Type="http://schemas.openxmlformats.org/officeDocument/2006/relationships/control" Target="../activeX/activeX85.xml"/><Relationship Id="rId10" Type="http://schemas.openxmlformats.org/officeDocument/2006/relationships/image" Target="../media/image82.emf"/><Relationship Id="rId19" Type="http://schemas.openxmlformats.org/officeDocument/2006/relationships/control" Target="../activeX/activeX87.xml"/><Relationship Id="rId4" Type="http://schemas.openxmlformats.org/officeDocument/2006/relationships/image" Target="../media/image79.emf"/><Relationship Id="rId9" Type="http://schemas.openxmlformats.org/officeDocument/2006/relationships/control" Target="../activeX/activeX82.xml"/><Relationship Id="rId14" Type="http://schemas.openxmlformats.org/officeDocument/2006/relationships/image" Target="../media/image84.emf"/></Relationships>
</file>

<file path=xl/worksheets/_rels/sheet27.x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control" Target="../activeX/activeX93.xml"/><Relationship Id="rId18" Type="http://schemas.openxmlformats.org/officeDocument/2006/relationships/image" Target="../media/image95.emf"/><Relationship Id="rId3" Type="http://schemas.openxmlformats.org/officeDocument/2006/relationships/control" Target="../activeX/activeX88.xml"/><Relationship Id="rId7" Type="http://schemas.openxmlformats.org/officeDocument/2006/relationships/control" Target="../activeX/activeX90.xml"/><Relationship Id="rId12" Type="http://schemas.openxmlformats.org/officeDocument/2006/relationships/image" Target="../media/image92.emf"/><Relationship Id="rId17" Type="http://schemas.openxmlformats.org/officeDocument/2006/relationships/control" Target="../activeX/activeX95.xml"/><Relationship Id="rId2" Type="http://schemas.openxmlformats.org/officeDocument/2006/relationships/vmlDrawing" Target="../drawings/vmlDrawing16.vml"/><Relationship Id="rId16" Type="http://schemas.openxmlformats.org/officeDocument/2006/relationships/image" Target="../media/image94.emf"/><Relationship Id="rId20" Type="http://schemas.openxmlformats.org/officeDocument/2006/relationships/image" Target="../media/image96.emf"/><Relationship Id="rId1" Type="http://schemas.openxmlformats.org/officeDocument/2006/relationships/drawing" Target="../drawings/drawing15.xml"/><Relationship Id="rId6" Type="http://schemas.openxmlformats.org/officeDocument/2006/relationships/image" Target="../media/image89.emf"/><Relationship Id="rId11" Type="http://schemas.openxmlformats.org/officeDocument/2006/relationships/control" Target="../activeX/activeX92.xml"/><Relationship Id="rId5" Type="http://schemas.openxmlformats.org/officeDocument/2006/relationships/control" Target="../activeX/activeX89.xml"/><Relationship Id="rId15" Type="http://schemas.openxmlformats.org/officeDocument/2006/relationships/control" Target="../activeX/activeX94.xml"/><Relationship Id="rId10" Type="http://schemas.openxmlformats.org/officeDocument/2006/relationships/image" Target="../media/image91.emf"/><Relationship Id="rId19" Type="http://schemas.openxmlformats.org/officeDocument/2006/relationships/control" Target="../activeX/activeX96.xml"/><Relationship Id="rId4" Type="http://schemas.openxmlformats.org/officeDocument/2006/relationships/image" Target="../media/image88.emf"/><Relationship Id="rId9" Type="http://schemas.openxmlformats.org/officeDocument/2006/relationships/control" Target="../activeX/activeX91.xml"/><Relationship Id="rId14" Type="http://schemas.openxmlformats.org/officeDocument/2006/relationships/image" Target="../media/image9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9"/>
  <sheetViews>
    <sheetView topLeftCell="A4" zoomScaleNormal="100" zoomScaleSheetLayoutView="100" workbookViewId="0">
      <selection activeCell="B15" sqref="B15"/>
    </sheetView>
  </sheetViews>
  <sheetFormatPr defaultColWidth="11.42578125" defaultRowHeight="12.75"/>
  <cols>
    <col min="1" max="1" width="15.85546875" bestFit="1" customWidth="1"/>
    <col min="2" max="2" width="68.140625" customWidth="1"/>
    <col min="3" max="3" width="16.140625" customWidth="1"/>
  </cols>
  <sheetData>
    <row r="1" spans="1:4" ht="18">
      <c r="A1" s="79" t="s">
        <v>2</v>
      </c>
      <c r="B1" s="80" t="s">
        <v>109</v>
      </c>
      <c r="C1" s="283" t="s">
        <v>408</v>
      </c>
      <c r="D1" s="100" t="s">
        <v>407</v>
      </c>
    </row>
    <row r="2" spans="1:4">
      <c r="A2" s="79"/>
      <c r="B2" s="79"/>
      <c r="C2" s="283"/>
    </row>
    <row r="3" spans="1:4" ht="15">
      <c r="A3" s="79" t="s">
        <v>3</v>
      </c>
      <c r="B3" s="81" t="s">
        <v>214</v>
      </c>
      <c r="C3" s="283"/>
    </row>
    <row r="4" spans="1:4">
      <c r="A4" s="79"/>
      <c r="B4" s="79"/>
      <c r="C4" s="283"/>
    </row>
    <row r="5" spans="1:4">
      <c r="A5" s="79"/>
      <c r="B5" s="79"/>
      <c r="C5" s="283"/>
    </row>
    <row r="6" spans="1:4" ht="15">
      <c r="A6" s="79" t="s">
        <v>4</v>
      </c>
      <c r="B6" s="82" t="s">
        <v>110</v>
      </c>
      <c r="C6" s="283"/>
    </row>
    <row r="7" spans="1:4" ht="15">
      <c r="B7" s="83" t="s">
        <v>5</v>
      </c>
      <c r="C7" s="283"/>
    </row>
    <row r="8" spans="1:4" ht="15">
      <c r="B8" s="83" t="s">
        <v>6</v>
      </c>
      <c r="C8" s="283"/>
    </row>
    <row r="9" spans="1:4" ht="15">
      <c r="B9" s="83"/>
      <c r="C9" s="283"/>
    </row>
    <row r="10" spans="1:4" ht="15">
      <c r="A10" t="s">
        <v>7</v>
      </c>
      <c r="B10" s="83" t="s">
        <v>8</v>
      </c>
      <c r="C10" s="283"/>
    </row>
    <row r="11" spans="1:4" ht="15">
      <c r="A11" s="79" t="s">
        <v>9</v>
      </c>
      <c r="B11" s="84">
        <v>40583</v>
      </c>
      <c r="C11" s="283"/>
    </row>
    <row r="12" spans="1:4">
      <c r="C12" s="283"/>
    </row>
    <row r="13" spans="1:4">
      <c r="C13" s="283"/>
    </row>
    <row r="14" spans="1:4" ht="76.5">
      <c r="A14" s="282">
        <v>44012.598508912037</v>
      </c>
      <c r="B14" s="283" t="s">
        <v>418</v>
      </c>
      <c r="C14" s="283" t="s">
        <v>417</v>
      </c>
      <c r="D14" s="100" t="s">
        <v>406</v>
      </c>
    </row>
    <row r="15" spans="1:4">
      <c r="C15" s="283"/>
    </row>
    <row r="16" spans="1:4">
      <c r="C16" s="283"/>
    </row>
    <row r="17" spans="1:3">
      <c r="C17" s="283"/>
    </row>
    <row r="29" spans="1:3">
      <c r="A29" s="281">
        <f ca="1">NOW()</f>
        <v>44043.269790740742</v>
      </c>
    </row>
  </sheetData>
  <phoneticPr fontId="7" type="noConversion"/>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C3"/>
  <sheetViews>
    <sheetView workbookViewId="0">
      <selection activeCell="B5" sqref="B5"/>
    </sheetView>
  </sheetViews>
  <sheetFormatPr defaultRowHeight="12.75"/>
  <sheetData>
    <row r="1" spans="1:3">
      <c r="A1" s="267" t="s">
        <v>383</v>
      </c>
      <c r="B1" s="268">
        <v>0</v>
      </c>
      <c r="C1" s="269"/>
    </row>
    <row r="2" spans="1:3">
      <c r="A2" s="269"/>
      <c r="B2" s="267">
        <v>0</v>
      </c>
      <c r="C2" s="267" t="s">
        <v>384</v>
      </c>
    </row>
    <row r="3" spans="1:3">
      <c r="A3" s="269"/>
      <c r="B3" s="267">
        <v>1</v>
      </c>
      <c r="C3" s="267" t="s">
        <v>385</v>
      </c>
    </row>
  </sheetData>
  <dataValidations count="1">
    <dataValidation type="list" allowBlank="1" showInputMessage="1" showErrorMessage="1" sqref="B1" xr:uid="{00000000-0002-0000-0000-000000000000}">
      <formula1>$B$2:$B$4</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59"/>
  <sheetViews>
    <sheetView zoomScale="125" zoomScaleNormal="80" workbookViewId="0">
      <selection activeCell="I16" sqref="I16"/>
    </sheetView>
  </sheetViews>
  <sheetFormatPr defaultColWidth="11.42578125" defaultRowHeight="12.75"/>
  <cols>
    <col min="2" max="2" width="11.85546875" customWidth="1"/>
    <col min="3" max="3" width="9.42578125" customWidth="1"/>
    <col min="4" max="4" width="7.28515625" customWidth="1"/>
    <col min="5" max="5" width="6" customWidth="1"/>
    <col min="6" max="6" width="5.85546875" customWidth="1"/>
    <col min="7" max="7" width="10.7109375" customWidth="1"/>
    <col min="8" max="8" width="3.85546875" customWidth="1"/>
    <col min="9" max="9" width="18.28515625" customWidth="1"/>
    <col min="10" max="10" width="3.7109375" customWidth="1"/>
    <col min="11" max="11" width="11.28515625" customWidth="1"/>
    <col min="13" max="13" width="12.7109375" bestFit="1" customWidth="1"/>
    <col min="14" max="14" width="12.7109375" customWidth="1"/>
    <col min="15" max="15" width="10.140625" customWidth="1"/>
  </cols>
  <sheetData>
    <row r="1" spans="1:15" s="72" customFormat="1" ht="15.75">
      <c r="A1" s="1" t="s">
        <v>133</v>
      </c>
      <c r="B1" s="1" t="s">
        <v>78</v>
      </c>
    </row>
    <row r="2" spans="1:15" ht="15.75">
      <c r="A2" s="1"/>
    </row>
    <row r="3" spans="1:15" s="5" customFormat="1" ht="30.2" customHeight="1">
      <c r="A3" s="13" t="s">
        <v>134</v>
      </c>
      <c r="B3" s="12" t="s">
        <v>143</v>
      </c>
      <c r="C3" s="2" t="s">
        <v>144</v>
      </c>
      <c r="D3" s="3" t="s">
        <v>137</v>
      </c>
      <c r="E3" s="11" t="s">
        <v>138</v>
      </c>
      <c r="F3" s="10" t="s">
        <v>135</v>
      </c>
      <c r="G3" s="4" t="s">
        <v>139</v>
      </c>
      <c r="I3" s="6" t="s">
        <v>136</v>
      </c>
      <c r="K3" s="6" t="s">
        <v>140</v>
      </c>
      <c r="L3" s="7" t="s">
        <v>141</v>
      </c>
      <c r="M3" s="6" t="s">
        <v>37</v>
      </c>
      <c r="N3" s="6" t="s">
        <v>38</v>
      </c>
      <c r="O3" s="7" t="s">
        <v>142</v>
      </c>
    </row>
    <row r="6" spans="1:15">
      <c r="I6" t="s">
        <v>145</v>
      </c>
    </row>
    <row r="8" spans="1:15">
      <c r="I8" t="s">
        <v>0</v>
      </c>
    </row>
    <row r="11" spans="1:15">
      <c r="I11" t="s">
        <v>146</v>
      </c>
    </row>
    <row r="13" spans="1:15">
      <c r="I13" t="s">
        <v>147</v>
      </c>
    </row>
    <row r="15" spans="1:15">
      <c r="I15" t="s">
        <v>1</v>
      </c>
    </row>
    <row r="18" spans="9:9">
      <c r="I18" t="s">
        <v>129</v>
      </c>
    </row>
    <row r="20" spans="9:9">
      <c r="I20" t="s">
        <v>130</v>
      </c>
    </row>
    <row r="22" spans="9:9">
      <c r="I22" t="s">
        <v>131</v>
      </c>
    </row>
    <row r="24" spans="9:9">
      <c r="I24" t="s">
        <v>132</v>
      </c>
    </row>
    <row r="27" spans="9:9">
      <c r="I27" t="s">
        <v>75</v>
      </c>
    </row>
    <row r="29" spans="9:9">
      <c r="I29" t="s">
        <v>153</v>
      </c>
    </row>
    <row r="31" spans="9:9">
      <c r="I31" s="8"/>
    </row>
    <row r="32" spans="9:9">
      <c r="I32" s="8"/>
    </row>
    <row r="33" spans="9:9">
      <c r="I33" s="8"/>
    </row>
    <row r="34" spans="9:9">
      <c r="I34" s="8"/>
    </row>
    <row r="35" spans="9:9">
      <c r="I35" s="8"/>
    </row>
    <row r="36" spans="9:9">
      <c r="I36" s="8"/>
    </row>
    <row r="37" spans="9:9">
      <c r="I37" s="8"/>
    </row>
    <row r="38" spans="9:9">
      <c r="I38" s="8"/>
    </row>
    <row r="39" spans="9:9">
      <c r="I39" s="8"/>
    </row>
    <row r="51" spans="9:9">
      <c r="I51" s="8"/>
    </row>
    <row r="59" spans="9:9">
      <c r="I59" s="9"/>
    </row>
  </sheetData>
  <sheetProtection selectLockedCells="1" selectUnlockedCells="1"/>
  <phoneticPr fontId="7" type="noConversion"/>
  <pageMargins left="0.78749999999999998" right="0.78749999999999998" top="1.0527777777777778" bottom="1.0527777777777778" header="0.78749999999999998" footer="0.78749999999999998"/>
  <pageSetup paperSize="9" orientation="portrait" horizontalDpi="300" verticalDpi="300"/>
  <headerFooter alignWithMargins="0">
    <oddHeader>&amp;C&amp;"Times New Roman,Regular"&amp;12&amp;A</oddHeader>
    <oddFooter>&amp;C&amp;"Times New Roman,Regular"&amp;12Page &amp;P</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33"/>
  <sheetViews>
    <sheetView zoomScale="125" zoomScaleNormal="125" zoomScaleSheetLayoutView="100" workbookViewId="0">
      <selection activeCell="B3" sqref="B3"/>
    </sheetView>
  </sheetViews>
  <sheetFormatPr defaultColWidth="11.42578125" defaultRowHeight="12.75"/>
  <cols>
    <col min="1" max="1" width="6.28515625" style="88" customWidth="1"/>
    <col min="2" max="2" width="17.140625" customWidth="1"/>
    <col min="4" max="4" width="16.7109375" customWidth="1"/>
  </cols>
  <sheetData>
    <row r="1" spans="1:2" s="87" customFormat="1">
      <c r="A1" s="86" t="s">
        <v>117</v>
      </c>
      <c r="B1" s="85"/>
    </row>
    <row r="2" spans="1:2">
      <c r="B2" s="89"/>
    </row>
    <row r="3" spans="1:2">
      <c r="A3" s="88">
        <v>1</v>
      </c>
      <c r="B3" t="s">
        <v>112</v>
      </c>
    </row>
    <row r="5" spans="1:2">
      <c r="A5" s="88">
        <v>2</v>
      </c>
      <c r="B5" t="s">
        <v>113</v>
      </c>
    </row>
    <row r="7" spans="1:2">
      <c r="A7" s="88">
        <v>3</v>
      </c>
      <c r="B7" t="s">
        <v>114</v>
      </c>
    </row>
    <row r="9" spans="1:2">
      <c r="A9" s="88">
        <v>4</v>
      </c>
      <c r="B9" t="s">
        <v>115</v>
      </c>
    </row>
    <row r="11" spans="1:2">
      <c r="A11" s="88">
        <v>5</v>
      </c>
      <c r="B11" t="s">
        <v>172</v>
      </c>
    </row>
    <row r="13" spans="1:2">
      <c r="A13" s="88">
        <v>6</v>
      </c>
      <c r="B13" t="s">
        <v>154</v>
      </c>
    </row>
    <row r="15" spans="1:2">
      <c r="A15" s="88">
        <v>7</v>
      </c>
      <c r="B15" t="s">
        <v>173</v>
      </c>
    </row>
    <row r="16" spans="1:2">
      <c r="A16"/>
    </row>
    <row r="17" spans="1:2">
      <c r="A17" s="88">
        <v>8</v>
      </c>
      <c r="B17" t="s">
        <v>111</v>
      </c>
    </row>
    <row r="18" spans="1:2">
      <c r="A18"/>
    </row>
    <row r="19" spans="1:2">
      <c r="A19"/>
    </row>
    <row r="20" spans="1:2">
      <c r="A20"/>
    </row>
    <row r="21" spans="1:2">
      <c r="A21"/>
    </row>
    <row r="22" spans="1:2">
      <c r="A22"/>
    </row>
    <row r="23" spans="1:2">
      <c r="A23"/>
    </row>
    <row r="24" spans="1:2">
      <c r="A24"/>
    </row>
    <row r="25" spans="1:2">
      <c r="A25"/>
    </row>
    <row r="26" spans="1:2">
      <c r="A26"/>
    </row>
    <row r="27" spans="1:2">
      <c r="A27"/>
    </row>
    <row r="28" spans="1:2">
      <c r="A28"/>
    </row>
    <row r="29" spans="1:2">
      <c r="A29"/>
    </row>
    <row r="30" spans="1:2">
      <c r="A30"/>
    </row>
    <row r="31" spans="1:2">
      <c r="A31"/>
    </row>
    <row r="32" spans="1:2">
      <c r="A32"/>
    </row>
    <row r="33" spans="1:1">
      <c r="A33"/>
    </row>
  </sheetData>
  <phoneticPr fontId="7" type="noConversion"/>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69"/>
  <sheetViews>
    <sheetView workbookViewId="0">
      <selection activeCell="D9" sqref="D9"/>
    </sheetView>
  </sheetViews>
  <sheetFormatPr defaultRowHeight="12.75"/>
  <cols>
    <col min="1" max="1" width="14.42578125" customWidth="1"/>
    <col min="2" max="2" width="11.42578125" customWidth="1"/>
    <col min="3" max="3" width="17.7109375" customWidth="1"/>
    <col min="4" max="4" width="14.140625" customWidth="1"/>
    <col min="6" max="6" width="10.140625" customWidth="1"/>
    <col min="7" max="7" width="11.85546875" customWidth="1"/>
  </cols>
  <sheetData>
    <row r="1" spans="1:4" s="98" customFormat="1" ht="18">
      <c r="A1" s="97" t="s">
        <v>149</v>
      </c>
    </row>
    <row r="2" spans="1:4" s="98" customFormat="1" ht="18">
      <c r="A2" s="99"/>
    </row>
    <row r="3" spans="1:4" s="100" customFormat="1" ht="12" customHeight="1">
      <c r="A3" s="72" t="s">
        <v>174</v>
      </c>
    </row>
    <row r="4" spans="1:4" ht="15" customHeight="1">
      <c r="A4" s="101"/>
      <c r="B4" s="74"/>
      <c r="C4" s="102" t="s">
        <v>175</v>
      </c>
      <c r="D4" s="102" t="s">
        <v>176</v>
      </c>
    </row>
    <row r="5" spans="1:4" ht="12.75" customHeight="1">
      <c r="A5" s="101"/>
      <c r="B5" s="74"/>
      <c r="C5" s="102" t="s">
        <v>177</v>
      </c>
      <c r="D5" s="74"/>
    </row>
    <row r="6" spans="1:4" ht="12.75" customHeight="1">
      <c r="A6" s="307" t="s">
        <v>79</v>
      </c>
      <c r="B6" s="307"/>
      <c r="C6" s="307"/>
      <c r="D6" s="307"/>
    </row>
    <row r="7" spans="1:4" ht="12.75" customHeight="1">
      <c r="A7" s="102" t="s">
        <v>178</v>
      </c>
      <c r="B7" s="75"/>
      <c r="C7" s="75"/>
      <c r="D7" s="75"/>
    </row>
    <row r="8" spans="1:4" ht="12.75" customHeight="1">
      <c r="A8" s="75" t="s">
        <v>81</v>
      </c>
      <c r="B8" s="75"/>
      <c r="C8" s="103">
        <v>1</v>
      </c>
      <c r="D8" s="75">
        <v>0.35</v>
      </c>
    </row>
    <row r="9" spans="1:4" ht="12.75" customHeight="1">
      <c r="A9" s="75" t="s">
        <v>134</v>
      </c>
      <c r="B9" s="75"/>
      <c r="C9" s="104">
        <v>6.3431536433609708</v>
      </c>
      <c r="D9" s="75">
        <v>0.95</v>
      </c>
    </row>
    <row r="10" spans="1:4" ht="12.75" customHeight="1">
      <c r="A10" s="75" t="s">
        <v>84</v>
      </c>
      <c r="B10" s="75"/>
      <c r="C10" s="75">
        <v>1</v>
      </c>
      <c r="D10" s="75">
        <v>0.25</v>
      </c>
    </row>
    <row r="11" spans="1:4" ht="12.75" customHeight="1">
      <c r="A11" s="102" t="s">
        <v>67</v>
      </c>
      <c r="B11" s="75"/>
      <c r="C11" s="105">
        <v>8.3431536433609708</v>
      </c>
      <c r="D11" s="75"/>
    </row>
    <row r="12" spans="1:4" ht="12.75" customHeight="1">
      <c r="A12" s="307" t="s">
        <v>179</v>
      </c>
      <c r="B12" s="307"/>
      <c r="C12" s="307"/>
      <c r="D12" s="307"/>
    </row>
    <row r="13" spans="1:4" ht="12.75" customHeight="1">
      <c r="A13" s="75" t="s">
        <v>180</v>
      </c>
      <c r="B13" s="75"/>
      <c r="C13" s="104">
        <v>41.502151914499997</v>
      </c>
      <c r="D13" s="75">
        <v>0.35</v>
      </c>
    </row>
    <row r="14" spans="1:4" ht="12.75" customHeight="1">
      <c r="A14" s="75" t="s">
        <v>84</v>
      </c>
      <c r="B14" s="75"/>
      <c r="C14" s="104">
        <v>1.82</v>
      </c>
      <c r="D14" s="75">
        <v>0.25</v>
      </c>
    </row>
    <row r="15" spans="1:4" ht="12.75" customHeight="1">
      <c r="A15" s="102" t="s">
        <v>67</v>
      </c>
      <c r="B15" s="75"/>
      <c r="C15" s="105">
        <v>43.322151914499997</v>
      </c>
      <c r="D15" s="75"/>
    </row>
    <row r="16" spans="1:4" ht="12.75" customHeight="1">
      <c r="A16" s="307" t="s">
        <v>122</v>
      </c>
      <c r="B16" s="307"/>
      <c r="C16" s="307"/>
      <c r="D16" s="307"/>
    </row>
    <row r="17" spans="1:8" ht="12.75" customHeight="1">
      <c r="A17" s="75" t="s">
        <v>123</v>
      </c>
      <c r="B17" s="75"/>
      <c r="C17" s="104">
        <v>1.5</v>
      </c>
      <c r="D17" s="75">
        <v>0.65</v>
      </c>
    </row>
    <row r="18" spans="1:8" ht="12.75" customHeight="1">
      <c r="A18" s="75" t="s">
        <v>135</v>
      </c>
      <c r="B18" s="75"/>
      <c r="C18" s="104">
        <v>1.5663651328000001</v>
      </c>
      <c r="D18" s="75">
        <v>0.7</v>
      </c>
    </row>
    <row r="19" spans="1:8" ht="12.75" customHeight="1">
      <c r="A19" s="75" t="s">
        <v>151</v>
      </c>
      <c r="B19" s="75"/>
      <c r="C19" s="104">
        <v>0.1308070113</v>
      </c>
      <c r="D19" s="75">
        <v>0.75</v>
      </c>
    </row>
    <row r="20" spans="1:8" ht="12.75" customHeight="1">
      <c r="A20" s="75" t="s">
        <v>124</v>
      </c>
      <c r="B20" s="75"/>
      <c r="C20" s="104">
        <v>2.4</v>
      </c>
      <c r="D20" s="75">
        <v>0.7</v>
      </c>
    </row>
    <row r="21" spans="1:8" ht="12.75" customHeight="1">
      <c r="A21" s="102" t="s">
        <v>67</v>
      </c>
      <c r="B21" s="75"/>
      <c r="C21" s="105">
        <v>5.5971721441</v>
      </c>
      <c r="D21" s="75"/>
    </row>
    <row r="22" spans="1:8" ht="12.75" customHeight="1">
      <c r="A22" s="307" t="s">
        <v>181</v>
      </c>
      <c r="B22" s="307"/>
      <c r="C22" s="307"/>
      <c r="D22" s="307"/>
    </row>
    <row r="23" spans="1:8" ht="12.75" customHeight="1">
      <c r="A23" s="75" t="s">
        <v>134</v>
      </c>
      <c r="B23" s="75"/>
      <c r="C23" s="104">
        <v>5.6869653354270779</v>
      </c>
      <c r="D23" s="75"/>
      <c r="E23" t="s">
        <v>182</v>
      </c>
    </row>
    <row r="24" spans="1:8" ht="12.75" customHeight="1">
      <c r="A24" s="102"/>
      <c r="B24" s="75"/>
      <c r="C24" s="105"/>
      <c r="D24" s="75"/>
    </row>
    <row r="25" spans="1:8" ht="12.75" customHeight="1">
      <c r="A25" s="307" t="s">
        <v>116</v>
      </c>
      <c r="B25" s="307"/>
      <c r="C25" s="307"/>
      <c r="D25" s="307"/>
    </row>
    <row r="26" spans="1:8" ht="12.75" customHeight="1">
      <c r="A26" s="75" t="s">
        <v>134</v>
      </c>
      <c r="B26" s="75"/>
      <c r="C26" s="104">
        <v>9.8428246190084039</v>
      </c>
      <c r="D26" s="75"/>
    </row>
    <row r="27" spans="1:8" ht="12.75" customHeight="1">
      <c r="A27" s="102"/>
      <c r="B27" s="75"/>
      <c r="C27" s="105"/>
      <c r="D27" s="75"/>
    </row>
    <row r="28" spans="1:8" s="98" customFormat="1" ht="12.75" customHeight="1">
      <c r="A28" s="99"/>
    </row>
    <row r="29" spans="1:8" s="98" customFormat="1" ht="12.75" customHeight="1">
      <c r="A29" s="99"/>
    </row>
    <row r="30" spans="1:8">
      <c r="C30" s="72" t="s">
        <v>183</v>
      </c>
      <c r="D30" t="s">
        <v>184</v>
      </c>
      <c r="H30" s="106"/>
    </row>
    <row r="31" spans="1:8">
      <c r="A31" s="102" t="s">
        <v>185</v>
      </c>
      <c r="B31" s="74"/>
      <c r="C31" s="102">
        <v>2001</v>
      </c>
      <c r="D31" s="102" t="s">
        <v>186</v>
      </c>
      <c r="F31" s="107"/>
      <c r="G31" t="s">
        <v>187</v>
      </c>
      <c r="H31" s="106"/>
    </row>
    <row r="32" spans="1:8">
      <c r="A32" s="74" t="s">
        <v>123</v>
      </c>
      <c r="B32" s="74"/>
      <c r="C32" s="108">
        <v>1500</v>
      </c>
      <c r="D32" s="74" t="s">
        <v>188</v>
      </c>
      <c r="G32">
        <f>C32/1000</f>
        <v>1.5</v>
      </c>
      <c r="H32" s="106"/>
    </row>
    <row r="33" spans="1:8">
      <c r="A33" s="74" t="s">
        <v>151</v>
      </c>
      <c r="B33" s="74"/>
      <c r="C33" s="108">
        <v>130.8070113</v>
      </c>
      <c r="D33" s="74" t="s">
        <v>188</v>
      </c>
      <c r="G33">
        <f t="shared" ref="G33:G38" si="0">C33/1000</f>
        <v>0.1308070113</v>
      </c>
      <c r="H33" s="106"/>
    </row>
    <row r="34" spans="1:8">
      <c r="A34" s="74" t="s">
        <v>84</v>
      </c>
      <c r="B34" s="74"/>
      <c r="C34" s="108">
        <v>2820</v>
      </c>
      <c r="D34" s="74" t="s">
        <v>189</v>
      </c>
      <c r="G34">
        <f t="shared" si="0"/>
        <v>2.82</v>
      </c>
      <c r="H34" s="106"/>
    </row>
    <row r="35" spans="1:8">
      <c r="A35" s="74" t="s">
        <v>124</v>
      </c>
      <c r="B35" s="74"/>
      <c r="C35" s="108">
        <v>2400</v>
      </c>
      <c r="D35" s="74" t="s">
        <v>188</v>
      </c>
      <c r="G35">
        <f t="shared" si="0"/>
        <v>2.4</v>
      </c>
      <c r="H35" s="106"/>
    </row>
    <row r="36" spans="1:8">
      <c r="A36" s="74" t="s">
        <v>81</v>
      </c>
      <c r="B36" s="74"/>
      <c r="C36" s="108">
        <v>42502.151914499998</v>
      </c>
      <c r="D36" s="74" t="s">
        <v>189</v>
      </c>
      <c r="G36">
        <f t="shared" si="0"/>
        <v>42.502151914499997</v>
      </c>
      <c r="H36" s="106"/>
    </row>
    <row r="37" spans="1:8">
      <c r="A37" s="74" t="s">
        <v>135</v>
      </c>
      <c r="B37" s="74"/>
      <c r="C37" s="108">
        <v>1566.3651328000001</v>
      </c>
      <c r="D37" s="74" t="s">
        <v>188</v>
      </c>
      <c r="G37">
        <f t="shared" si="0"/>
        <v>1.5663651328000001</v>
      </c>
      <c r="H37" s="106"/>
    </row>
    <row r="38" spans="1:8">
      <c r="A38" s="74" t="s">
        <v>134</v>
      </c>
      <c r="B38" s="74"/>
      <c r="C38" s="108">
        <v>21872.943597796453</v>
      </c>
      <c r="D38" s="74" t="s">
        <v>190</v>
      </c>
      <c r="G38">
        <f t="shared" si="0"/>
        <v>21.872943597796453</v>
      </c>
    </row>
    <row r="39" spans="1:8">
      <c r="A39" s="109" t="s">
        <v>191</v>
      </c>
      <c r="B39" s="74"/>
      <c r="C39" s="110">
        <f>SUM(C32:C38)</f>
        <v>72792.267656396449</v>
      </c>
      <c r="D39" s="74"/>
      <c r="F39" t="s">
        <v>192</v>
      </c>
    </row>
    <row r="40" spans="1:8" s="98" customFormat="1">
      <c r="A40" s="111"/>
      <c r="B40" s="112"/>
      <c r="C40" s="113"/>
      <c r="D40" s="112"/>
    </row>
    <row r="41" spans="1:8" ht="15.75">
      <c r="A41" s="308" t="s">
        <v>193</v>
      </c>
      <c r="B41" s="308"/>
      <c r="C41" s="308"/>
      <c r="D41" s="308"/>
      <c r="E41" s="308"/>
      <c r="F41" s="308"/>
      <c r="G41" s="308"/>
      <c r="H41" s="308"/>
    </row>
    <row r="42" spans="1:8">
      <c r="A42" s="74" t="s">
        <v>194</v>
      </c>
      <c r="B42" s="74" t="s">
        <v>195</v>
      </c>
      <c r="C42" s="74" t="s">
        <v>196</v>
      </c>
      <c r="D42" s="74" t="s">
        <v>197</v>
      </c>
      <c r="E42" s="74" t="s">
        <v>198</v>
      </c>
      <c r="F42" s="74" t="s">
        <v>199</v>
      </c>
      <c r="G42" s="74" t="s">
        <v>200</v>
      </c>
      <c r="H42" s="74" t="s">
        <v>201</v>
      </c>
    </row>
    <row r="43" spans="1:8">
      <c r="A43" s="74"/>
      <c r="B43" s="74"/>
      <c r="C43" s="74"/>
      <c r="D43" s="74"/>
      <c r="E43" s="74"/>
      <c r="F43" s="74" t="s">
        <v>202</v>
      </c>
      <c r="G43" s="74" t="s">
        <v>203</v>
      </c>
      <c r="H43" s="74" t="s">
        <v>204</v>
      </c>
    </row>
    <row r="44" spans="1:8">
      <c r="A44" s="307" t="s">
        <v>79</v>
      </c>
      <c r="B44" s="307"/>
      <c r="C44" s="307"/>
      <c r="D44" s="307"/>
      <c r="E44" s="307"/>
      <c r="F44" s="307"/>
      <c r="G44" s="307"/>
      <c r="H44" s="307"/>
    </row>
    <row r="45" spans="1:8">
      <c r="A45" s="74" t="s">
        <v>81</v>
      </c>
      <c r="B45" s="74" t="s">
        <v>178</v>
      </c>
      <c r="C45" s="114">
        <v>0.35</v>
      </c>
      <c r="D45" s="74">
        <v>0.35</v>
      </c>
      <c r="E45" s="74"/>
      <c r="F45" s="114"/>
      <c r="G45" s="74">
        <v>0.35</v>
      </c>
      <c r="H45" s="74">
        <v>15</v>
      </c>
    </row>
    <row r="46" spans="1:8">
      <c r="A46" s="74" t="s">
        <v>134</v>
      </c>
      <c r="B46" s="74" t="s">
        <v>178</v>
      </c>
      <c r="C46" s="74">
        <v>0.95</v>
      </c>
      <c r="D46" s="74">
        <v>0.95</v>
      </c>
      <c r="E46" s="74"/>
      <c r="F46" s="114"/>
      <c r="G46" s="74">
        <v>6.0259960000000001</v>
      </c>
      <c r="H46" s="74">
        <v>15</v>
      </c>
    </row>
    <row r="47" spans="1:8">
      <c r="A47" s="74" t="s">
        <v>84</v>
      </c>
      <c r="B47" s="74" t="s">
        <v>178</v>
      </c>
      <c r="C47" s="74">
        <v>0.25</v>
      </c>
      <c r="D47" s="74">
        <v>0.25</v>
      </c>
      <c r="E47" s="74"/>
      <c r="F47" s="114"/>
      <c r="G47" s="74">
        <v>0.25</v>
      </c>
      <c r="H47" s="74">
        <v>15</v>
      </c>
    </row>
    <row r="48" spans="1:8">
      <c r="A48" s="307" t="s">
        <v>205</v>
      </c>
      <c r="B48" s="307"/>
      <c r="C48" s="307"/>
      <c r="D48" s="307"/>
      <c r="E48" s="307"/>
      <c r="F48" s="307"/>
      <c r="G48" s="307"/>
      <c r="H48" s="307"/>
    </row>
    <row r="49" spans="1:8">
      <c r="A49" s="115" t="s">
        <v>206</v>
      </c>
      <c r="B49" s="74" t="s">
        <v>207</v>
      </c>
      <c r="C49" s="115">
        <v>1</v>
      </c>
      <c r="D49" s="115">
        <v>1</v>
      </c>
      <c r="E49" s="115"/>
      <c r="F49" s="115"/>
      <c r="G49" s="115">
        <v>0</v>
      </c>
      <c r="H49" s="115">
        <v>15</v>
      </c>
    </row>
    <row r="50" spans="1:8">
      <c r="A50" s="115" t="s">
        <v>208</v>
      </c>
      <c r="B50" s="74" t="s">
        <v>207</v>
      </c>
      <c r="C50" s="115">
        <v>1</v>
      </c>
      <c r="D50" s="115">
        <v>1</v>
      </c>
      <c r="E50" s="115"/>
      <c r="F50" s="115"/>
      <c r="G50" s="115">
        <v>0</v>
      </c>
      <c r="H50" s="115">
        <v>15</v>
      </c>
    </row>
    <row r="51" spans="1:8">
      <c r="A51" s="74" t="s">
        <v>81</v>
      </c>
      <c r="B51" s="74" t="s">
        <v>207</v>
      </c>
      <c r="C51" s="74">
        <v>0.35</v>
      </c>
      <c r="D51" s="74">
        <v>0.35</v>
      </c>
      <c r="E51" s="74"/>
      <c r="F51" s="74"/>
      <c r="G51" s="74">
        <v>14.53</v>
      </c>
      <c r="H51" s="74">
        <v>15</v>
      </c>
    </row>
    <row r="52" spans="1:8">
      <c r="A52" s="74" t="s">
        <v>84</v>
      </c>
      <c r="B52" s="74" t="s">
        <v>207</v>
      </c>
      <c r="C52" s="74">
        <v>0.25</v>
      </c>
      <c r="D52" s="74">
        <v>0.25</v>
      </c>
      <c r="E52" s="74"/>
      <c r="F52" s="74"/>
      <c r="G52" s="74">
        <v>0.46</v>
      </c>
      <c r="H52" s="74">
        <v>15</v>
      </c>
    </row>
    <row r="54" spans="1:8">
      <c r="A54" s="307" t="s">
        <v>122</v>
      </c>
      <c r="B54" s="307"/>
      <c r="C54" s="307"/>
      <c r="D54" s="307"/>
      <c r="E54" s="307"/>
      <c r="F54" s="307"/>
      <c r="G54" s="307"/>
      <c r="H54" s="307"/>
    </row>
    <row r="55" spans="1:8">
      <c r="A55" s="116" t="s">
        <v>123</v>
      </c>
      <c r="B55" s="74" t="s">
        <v>118</v>
      </c>
      <c r="C55" s="74">
        <v>0.65</v>
      </c>
      <c r="D55" s="74">
        <v>0.65</v>
      </c>
      <c r="E55" s="74"/>
      <c r="F55" s="74"/>
      <c r="G55" s="74">
        <v>0.98</v>
      </c>
      <c r="H55" s="74">
        <v>15</v>
      </c>
    </row>
    <row r="56" spans="1:8">
      <c r="A56" s="116" t="s">
        <v>135</v>
      </c>
      <c r="B56" s="74" t="s">
        <v>118</v>
      </c>
      <c r="C56" s="74">
        <v>0.7</v>
      </c>
      <c r="D56" s="74">
        <v>0.7</v>
      </c>
      <c r="E56" s="74"/>
      <c r="F56" s="74"/>
      <c r="G56" s="74">
        <v>1.1000000000000001</v>
      </c>
      <c r="H56" s="74">
        <v>15</v>
      </c>
    </row>
    <row r="57" spans="1:8">
      <c r="A57" s="116" t="s">
        <v>151</v>
      </c>
      <c r="B57" s="74" t="s">
        <v>118</v>
      </c>
      <c r="C57" s="74">
        <v>0.75</v>
      </c>
      <c r="D57" s="74">
        <v>0.75</v>
      </c>
      <c r="E57" s="74"/>
      <c r="F57" s="74"/>
      <c r="G57" s="74">
        <v>0.1</v>
      </c>
      <c r="H57" s="74">
        <v>15</v>
      </c>
    </row>
    <row r="58" spans="1:8">
      <c r="A58" s="116" t="s">
        <v>124</v>
      </c>
      <c r="B58" s="74" t="s">
        <v>118</v>
      </c>
      <c r="C58" s="74">
        <v>0.7</v>
      </c>
      <c r="D58" s="74">
        <v>0.7</v>
      </c>
      <c r="E58" s="74"/>
      <c r="F58" s="74"/>
      <c r="G58" s="74">
        <v>1.68</v>
      </c>
      <c r="H58" s="74">
        <v>15</v>
      </c>
    </row>
    <row r="59" spans="1:8">
      <c r="A59" s="117" t="s">
        <v>125</v>
      </c>
      <c r="B59" s="114" t="s">
        <v>118</v>
      </c>
      <c r="C59" s="115">
        <v>1</v>
      </c>
      <c r="D59" s="115">
        <v>1</v>
      </c>
      <c r="E59" s="115"/>
      <c r="F59" s="115"/>
      <c r="G59" s="115">
        <v>0</v>
      </c>
      <c r="H59" s="115">
        <v>15</v>
      </c>
    </row>
    <row r="61" spans="1:8" s="98" customFormat="1"/>
    <row r="62" spans="1:8" ht="13.5" thickBot="1">
      <c r="A62" t="s">
        <v>209</v>
      </c>
    </row>
    <row r="63" spans="1:8">
      <c r="A63" s="118"/>
      <c r="B63" s="119"/>
      <c r="C63" s="119" t="s">
        <v>210</v>
      </c>
      <c r="D63" s="119" t="s">
        <v>79</v>
      </c>
      <c r="E63" s="120" t="s">
        <v>116</v>
      </c>
    </row>
    <row r="64" spans="1:8">
      <c r="A64" s="121" t="s">
        <v>211</v>
      </c>
      <c r="B64" s="112"/>
      <c r="C64" s="122">
        <v>0.26</v>
      </c>
      <c r="D64" s="123">
        <v>0.25</v>
      </c>
      <c r="E64" s="124">
        <v>0.25</v>
      </c>
    </row>
    <row r="65" spans="1:5">
      <c r="A65" s="121" t="s">
        <v>212</v>
      </c>
      <c r="B65" s="112"/>
      <c r="C65" s="122">
        <v>0.1</v>
      </c>
      <c r="D65" s="123">
        <v>0.09</v>
      </c>
      <c r="E65" s="124">
        <v>0.09</v>
      </c>
    </row>
    <row r="66" spans="1:5">
      <c r="A66" s="121" t="s">
        <v>213</v>
      </c>
      <c r="B66" s="112"/>
      <c r="C66" s="122">
        <v>0.3</v>
      </c>
      <c r="D66" s="123">
        <v>0.28999999999999998</v>
      </c>
      <c r="E66" s="124">
        <v>0.28000000000000003</v>
      </c>
    </row>
    <row r="67" spans="1:5">
      <c r="A67" s="121" t="s">
        <v>86</v>
      </c>
      <c r="B67" s="112"/>
      <c r="C67" s="122">
        <v>0.11</v>
      </c>
      <c r="D67" s="123">
        <v>0.1</v>
      </c>
      <c r="E67" s="124">
        <v>0.1</v>
      </c>
    </row>
    <row r="68" spans="1:5">
      <c r="A68" s="121" t="s">
        <v>87</v>
      </c>
      <c r="B68" s="112"/>
      <c r="C68" s="122">
        <v>0.17</v>
      </c>
      <c r="D68" s="123">
        <v>0.2</v>
      </c>
      <c r="E68" s="124">
        <v>0.21</v>
      </c>
    </row>
    <row r="69" spans="1:5" ht="13.5" thickBot="1">
      <c r="A69" s="125" t="s">
        <v>88</v>
      </c>
      <c r="B69" s="126"/>
      <c r="C69" s="127">
        <v>0.06</v>
      </c>
      <c r="D69" s="128">
        <v>7.0000000000000007E-2</v>
      </c>
      <c r="E69" s="129">
        <v>7.0000000000000007E-2</v>
      </c>
    </row>
  </sheetData>
  <mergeCells count="9">
    <mergeCell ref="A44:H44"/>
    <mergeCell ref="A48:H48"/>
    <mergeCell ref="A54:H54"/>
    <mergeCell ref="A6:D6"/>
    <mergeCell ref="A12:D12"/>
    <mergeCell ref="A16:D16"/>
    <mergeCell ref="A22:D22"/>
    <mergeCell ref="A25:D25"/>
    <mergeCell ref="A41:H41"/>
  </mergeCells>
  <phoneticPr fontId="7" type="noConversion"/>
  <pageMargins left="0.36" right="0.55000000000000004" top="0.55000000000000004" bottom="0.59" header="0.5" footer="0.5"/>
  <pageSetup orientation="landscape" horizontalDpi="300" verticalDpi="300"/>
  <headerFooter alignWithMargins="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3:I19"/>
  <sheetViews>
    <sheetView topLeftCell="B1" zoomScaleNormal="100" workbookViewId="0">
      <selection activeCell="E11" sqref="E11"/>
    </sheetView>
  </sheetViews>
  <sheetFormatPr defaultColWidth="11.42578125" defaultRowHeight="12.75"/>
  <cols>
    <col min="2" max="2" width="39.140625" customWidth="1"/>
  </cols>
  <sheetData>
    <row r="3" spans="2:9">
      <c r="B3" s="74"/>
      <c r="C3" s="102">
        <v>2000</v>
      </c>
      <c r="D3" s="102">
        <v>2001</v>
      </c>
      <c r="E3" s="102">
        <v>2002</v>
      </c>
      <c r="F3" s="102">
        <v>2003</v>
      </c>
      <c r="G3" s="102">
        <v>2004</v>
      </c>
      <c r="H3" s="102">
        <v>2005</v>
      </c>
      <c r="I3" s="102">
        <v>2006</v>
      </c>
    </row>
    <row r="4" spans="2:9">
      <c r="B4" s="74" t="s">
        <v>28</v>
      </c>
      <c r="C4" s="74">
        <v>1.5</v>
      </c>
      <c r="D4" s="74">
        <v>1.5</v>
      </c>
      <c r="E4" s="74">
        <v>1.52</v>
      </c>
      <c r="F4" s="74">
        <v>1.54</v>
      </c>
      <c r="G4" s="74">
        <v>1.56</v>
      </c>
      <c r="H4" s="74">
        <v>1.58</v>
      </c>
      <c r="I4" s="74">
        <v>1.6</v>
      </c>
    </row>
    <row r="5" spans="2:9">
      <c r="B5" s="74" t="s">
        <v>29</v>
      </c>
      <c r="C5" s="74">
        <v>1.57</v>
      </c>
      <c r="D5" s="74">
        <v>1.57</v>
      </c>
      <c r="E5" s="74">
        <v>1.59</v>
      </c>
      <c r="F5" s="74">
        <v>1.61</v>
      </c>
      <c r="G5" s="74">
        <v>1.63</v>
      </c>
      <c r="H5" s="74">
        <v>1.65</v>
      </c>
      <c r="I5" s="74">
        <v>1.67</v>
      </c>
    </row>
    <row r="6" spans="2:9">
      <c r="B6" s="74" t="s">
        <v>30</v>
      </c>
      <c r="C6" s="74">
        <v>0.13</v>
      </c>
      <c r="D6" s="74">
        <v>0.13</v>
      </c>
      <c r="E6" s="74">
        <v>0.13</v>
      </c>
      <c r="F6" s="74">
        <v>0.13</v>
      </c>
      <c r="G6" s="74">
        <v>0.14000000000000001</v>
      </c>
      <c r="H6" s="74">
        <v>0.14000000000000001</v>
      </c>
      <c r="I6" s="74">
        <v>0.14000000000000001</v>
      </c>
    </row>
    <row r="7" spans="2:9">
      <c r="B7" s="74" t="s">
        <v>31</v>
      </c>
      <c r="C7" s="74">
        <v>2.4</v>
      </c>
      <c r="D7" s="74">
        <v>2.4</v>
      </c>
      <c r="E7" s="74">
        <v>2.4300000000000002</v>
      </c>
      <c r="F7" s="74">
        <v>2.46</v>
      </c>
      <c r="G7" s="74">
        <v>2.4900000000000002</v>
      </c>
      <c r="H7" s="74">
        <v>2.52</v>
      </c>
      <c r="I7" s="74">
        <v>2.56</v>
      </c>
    </row>
    <row r="8" spans="2:9">
      <c r="B8" s="74" t="s">
        <v>97</v>
      </c>
      <c r="C8" s="74">
        <v>0</v>
      </c>
      <c r="D8" s="74">
        <v>0</v>
      </c>
      <c r="E8" s="74">
        <v>0</v>
      </c>
      <c r="F8" s="74">
        <v>0</v>
      </c>
      <c r="G8" s="74">
        <v>0</v>
      </c>
      <c r="H8" s="74">
        <v>0</v>
      </c>
      <c r="I8" s="74">
        <v>0</v>
      </c>
    </row>
    <row r="9" spans="2:9">
      <c r="B9" s="74" t="s">
        <v>32</v>
      </c>
      <c r="C9" s="74">
        <v>1</v>
      </c>
      <c r="D9" s="74">
        <v>1</v>
      </c>
      <c r="E9" s="74">
        <v>1.01</v>
      </c>
      <c r="F9" s="74">
        <v>1.02</v>
      </c>
      <c r="G9" s="74">
        <v>1.04</v>
      </c>
      <c r="H9" s="74">
        <v>1.05</v>
      </c>
      <c r="I9" s="74">
        <v>1.06</v>
      </c>
    </row>
    <row r="10" spans="2:9">
      <c r="B10" s="74" t="s">
        <v>33</v>
      </c>
      <c r="C10" s="74">
        <v>6.34</v>
      </c>
      <c r="D10" s="74">
        <v>6.34</v>
      </c>
      <c r="E10" s="74">
        <v>6.42</v>
      </c>
      <c r="F10" s="74">
        <v>6.5</v>
      </c>
      <c r="G10" s="74">
        <v>6.58</v>
      </c>
      <c r="H10" s="74">
        <v>6.66</v>
      </c>
      <c r="I10" s="74">
        <v>6.74</v>
      </c>
    </row>
    <row r="11" spans="2:9">
      <c r="B11" s="74" t="s">
        <v>34</v>
      </c>
      <c r="C11" s="74">
        <v>1</v>
      </c>
      <c r="D11" s="74">
        <v>1</v>
      </c>
      <c r="E11" s="74">
        <v>1.01</v>
      </c>
      <c r="F11" s="74">
        <v>1.02</v>
      </c>
      <c r="G11" s="74">
        <v>1.04</v>
      </c>
      <c r="H11" s="74">
        <v>1.05</v>
      </c>
      <c r="I11" s="74">
        <v>1.06</v>
      </c>
    </row>
    <row r="12" spans="2:9">
      <c r="B12" s="74" t="s">
        <v>35</v>
      </c>
      <c r="C12" s="74">
        <v>9.84</v>
      </c>
      <c r="D12" s="74">
        <v>9.84</v>
      </c>
      <c r="E12" s="74">
        <v>9.9600000000000009</v>
      </c>
      <c r="F12" s="74">
        <v>10.09</v>
      </c>
      <c r="G12" s="74">
        <v>10.210000000000001</v>
      </c>
      <c r="H12" s="74">
        <v>10.34</v>
      </c>
      <c r="I12" s="74">
        <v>10.47</v>
      </c>
    </row>
    <row r="13" spans="2:9">
      <c r="B13" s="74" t="s">
        <v>98</v>
      </c>
      <c r="C13" s="74">
        <v>5.69</v>
      </c>
      <c r="D13" s="74">
        <v>5.69</v>
      </c>
      <c r="E13" s="74">
        <v>5.76</v>
      </c>
      <c r="F13" s="74">
        <v>5.83</v>
      </c>
      <c r="G13" s="74">
        <v>5.91</v>
      </c>
      <c r="H13" s="74">
        <v>5.98</v>
      </c>
      <c r="I13" s="74">
        <v>6.05</v>
      </c>
    </row>
    <row r="14" spans="2:9">
      <c r="B14" s="74" t="s">
        <v>99</v>
      </c>
      <c r="C14" s="74">
        <v>0</v>
      </c>
      <c r="D14" s="74">
        <v>0</v>
      </c>
      <c r="E14" s="74">
        <v>0</v>
      </c>
      <c r="F14" s="74">
        <v>0</v>
      </c>
      <c r="G14" s="74">
        <v>0</v>
      </c>
      <c r="H14" s="74">
        <v>0</v>
      </c>
      <c r="I14" s="74">
        <v>0</v>
      </c>
    </row>
    <row r="15" spans="2:9">
      <c r="B15" s="74" t="s">
        <v>100</v>
      </c>
      <c r="C15" s="74">
        <v>0</v>
      </c>
      <c r="D15" s="74">
        <v>0</v>
      </c>
      <c r="E15" s="74">
        <v>0</v>
      </c>
      <c r="F15" s="74">
        <v>0</v>
      </c>
      <c r="G15" s="74">
        <v>0</v>
      </c>
      <c r="H15" s="74">
        <v>0</v>
      </c>
      <c r="I15" s="74">
        <v>0</v>
      </c>
    </row>
    <row r="16" spans="2:9">
      <c r="B16" s="74" t="s">
        <v>36</v>
      </c>
      <c r="C16" s="74">
        <v>41.5</v>
      </c>
      <c r="D16" s="74">
        <v>41.5</v>
      </c>
      <c r="E16" s="74">
        <v>42.02</v>
      </c>
      <c r="F16" s="74">
        <v>42.54</v>
      </c>
      <c r="G16" s="74">
        <v>43.08</v>
      </c>
      <c r="H16" s="74">
        <v>43.62</v>
      </c>
      <c r="I16" s="74">
        <v>44.16</v>
      </c>
    </row>
    <row r="17" spans="2:9">
      <c r="B17" s="74" t="s">
        <v>66</v>
      </c>
      <c r="C17" s="74">
        <v>1.82</v>
      </c>
      <c r="D17" s="74">
        <v>1.82</v>
      </c>
      <c r="E17" s="74">
        <v>1.84</v>
      </c>
      <c r="F17" s="74">
        <v>1.87</v>
      </c>
      <c r="G17" s="74">
        <v>1.89</v>
      </c>
      <c r="H17" s="74">
        <v>1.91</v>
      </c>
      <c r="I17" s="74">
        <v>1.94</v>
      </c>
    </row>
    <row r="18" spans="2:9">
      <c r="B18" s="74" t="s">
        <v>67</v>
      </c>
      <c r="C18" s="74">
        <v>72.790000000000006</v>
      </c>
      <c r="D18" s="74">
        <v>72.790000000000006</v>
      </c>
      <c r="E18" s="74">
        <v>73.7</v>
      </c>
      <c r="F18" s="74">
        <v>74.62</v>
      </c>
      <c r="G18" s="74">
        <v>75.55</v>
      </c>
      <c r="H18" s="74">
        <v>76.5</v>
      </c>
      <c r="I18" s="74">
        <v>77.45</v>
      </c>
    </row>
    <row r="19" spans="2:9">
      <c r="B19" s="74"/>
      <c r="C19" s="74"/>
      <c r="D19" s="74"/>
      <c r="E19" s="74"/>
      <c r="F19" s="74"/>
      <c r="G19" s="74"/>
      <c r="H19" s="74"/>
      <c r="I19" s="74"/>
    </row>
  </sheetData>
  <phoneticPr fontId="7" type="noConversion"/>
  <pageMargins left="0.75" right="0.75" top="1" bottom="1" header="0.5" footer="0.5"/>
  <pageSetup paperSize="10"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3:D15"/>
  <sheetViews>
    <sheetView zoomScale="125" zoomScaleNormal="100" workbookViewId="0">
      <selection activeCell="B5" sqref="B5:C14"/>
    </sheetView>
  </sheetViews>
  <sheetFormatPr defaultColWidth="11.42578125" defaultRowHeight="12.75"/>
  <cols>
    <col min="2" max="2" width="38.42578125" bestFit="1" customWidth="1"/>
    <col min="3" max="3" width="23.140625" bestFit="1" customWidth="1"/>
  </cols>
  <sheetData>
    <row r="3" spans="2:4">
      <c r="B3" s="18"/>
      <c r="C3" s="14"/>
      <c r="D3" s="14"/>
    </row>
    <row r="4" spans="2:4">
      <c r="B4" s="14"/>
      <c r="C4" s="14"/>
      <c r="D4" s="14"/>
    </row>
    <row r="5" spans="2:4">
      <c r="B5" s="62" t="s">
        <v>148</v>
      </c>
      <c r="C5" s="64" t="s">
        <v>77</v>
      </c>
      <c r="D5" s="14"/>
    </row>
    <row r="6" spans="2:4">
      <c r="B6" s="64" t="s">
        <v>149</v>
      </c>
      <c r="C6" s="63"/>
      <c r="D6" s="14"/>
    </row>
    <row r="7" spans="2:4">
      <c r="B7" s="63" t="s">
        <v>150</v>
      </c>
      <c r="C7" s="65">
        <v>763.26300000000003</v>
      </c>
      <c r="D7" s="14"/>
    </row>
    <row r="8" spans="2:4">
      <c r="B8" s="63" t="s">
        <v>151</v>
      </c>
      <c r="C8" s="65">
        <v>1.3529157000000001</v>
      </c>
      <c r="D8" s="14"/>
    </row>
    <row r="9" spans="2:4">
      <c r="B9" s="63" t="s">
        <v>152</v>
      </c>
      <c r="C9" s="65">
        <v>4964.1961086000001</v>
      </c>
      <c r="D9" s="14"/>
    </row>
    <row r="10" spans="2:4">
      <c r="B10" s="63" t="s">
        <v>24</v>
      </c>
      <c r="C10" s="65">
        <v>2509.7758600000002</v>
      </c>
      <c r="D10" s="14"/>
    </row>
    <row r="11" spans="2:4">
      <c r="B11" s="63" t="s">
        <v>25</v>
      </c>
      <c r="C11" s="65">
        <v>38226.119077199997</v>
      </c>
      <c r="D11" s="14"/>
    </row>
    <row r="12" spans="2:4">
      <c r="B12" s="63" t="s">
        <v>26</v>
      </c>
      <c r="C12" s="65">
        <v>1763.8130432</v>
      </c>
      <c r="D12" s="14"/>
    </row>
    <row r="13" spans="2:4">
      <c r="B13" s="63" t="s">
        <v>134</v>
      </c>
      <c r="C13" s="65">
        <v>21029.392800000001</v>
      </c>
      <c r="D13" s="14"/>
    </row>
    <row r="14" spans="2:4">
      <c r="B14" s="66" t="s">
        <v>27</v>
      </c>
      <c r="C14" s="67">
        <f>SUM(C7:C13)</f>
        <v>69257.912804699998</v>
      </c>
      <c r="D14" s="14"/>
    </row>
    <row r="15" spans="2:4">
      <c r="B15" s="14"/>
      <c r="C15" s="14"/>
      <c r="D15" s="14"/>
    </row>
  </sheetData>
  <phoneticPr fontId="7" type="noConversion"/>
  <pageMargins left="0.75" right="0.75" top="1" bottom="1" header="0.5" footer="0.5"/>
  <pageSetup paperSize="10" orientation="portrait" horizontalDpi="4294967292" verticalDpi="42949672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U65"/>
  <sheetViews>
    <sheetView topLeftCell="H1" workbookViewId="0">
      <selection activeCell="I4" sqref="I4"/>
    </sheetView>
  </sheetViews>
  <sheetFormatPr defaultRowHeight="12.75"/>
  <cols>
    <col min="2" max="2" width="19.42578125" customWidth="1"/>
    <col min="3" max="6" width="9" customWidth="1"/>
    <col min="8" max="8" width="9.140625" customWidth="1"/>
    <col min="14" max="14" width="9" customWidth="1"/>
  </cols>
  <sheetData>
    <row r="1" spans="2:21">
      <c r="C1" s="72" t="s">
        <v>148</v>
      </c>
      <c r="D1" s="229" t="s">
        <v>344</v>
      </c>
      <c r="H1" s="72" t="s">
        <v>148</v>
      </c>
    </row>
    <row r="2" spans="2:21">
      <c r="C2" s="72" t="s">
        <v>345</v>
      </c>
      <c r="H2" s="72" t="s">
        <v>346</v>
      </c>
      <c r="M2" s="72" t="s">
        <v>347</v>
      </c>
      <c r="R2" s="72" t="s">
        <v>101</v>
      </c>
    </row>
    <row r="3" spans="2:21">
      <c r="B3" s="72" t="s">
        <v>81</v>
      </c>
      <c r="C3" s="72">
        <v>2003</v>
      </c>
      <c r="D3" s="72">
        <v>2004</v>
      </c>
      <c r="E3" s="72">
        <v>2005</v>
      </c>
      <c r="F3" s="72">
        <v>2006</v>
      </c>
      <c r="G3" s="72"/>
      <c r="H3" s="72">
        <v>2003</v>
      </c>
      <c r="I3" s="72">
        <v>2004</v>
      </c>
      <c r="J3" s="72">
        <v>2005</v>
      </c>
      <c r="K3" s="72">
        <v>2006</v>
      </c>
      <c r="L3" s="72"/>
      <c r="M3" s="18">
        <v>2003</v>
      </c>
      <c r="N3" s="18">
        <v>2004</v>
      </c>
      <c r="O3" s="18">
        <v>2005</v>
      </c>
      <c r="P3" s="18">
        <v>2006</v>
      </c>
      <c r="R3" s="72">
        <v>2003</v>
      </c>
      <c r="S3" s="72">
        <v>2004</v>
      </c>
      <c r="T3" s="72">
        <v>2005</v>
      </c>
      <c r="U3" s="72">
        <v>2006</v>
      </c>
    </row>
    <row r="4" spans="2:21" ht="15">
      <c r="B4" t="s">
        <v>149</v>
      </c>
      <c r="C4" s="90">
        <v>42091.02995163</v>
      </c>
      <c r="D4" s="90">
        <v>41345.548427991009</v>
      </c>
      <c r="E4" s="90">
        <v>40059.446957400003</v>
      </c>
      <c r="F4" s="90">
        <v>39927.450688500001</v>
      </c>
      <c r="H4" s="91">
        <v>42091.025901599998</v>
      </c>
      <c r="I4" s="91">
        <v>41345.996937000004</v>
      </c>
      <c r="J4" s="91">
        <v>40054.4700687</v>
      </c>
      <c r="K4" s="91">
        <v>38226.119077199997</v>
      </c>
      <c r="M4" s="92">
        <v>-9.6220738821095608E-8</v>
      </c>
      <c r="N4" s="92">
        <v>1.0847818593395786E-5</v>
      </c>
      <c r="O4" s="92">
        <v>-1.242375788486072E-4</v>
      </c>
      <c r="P4" s="93">
        <v>-4.2610574478526009E-2</v>
      </c>
      <c r="R4" s="90">
        <v>-4.0500300019630231E-3</v>
      </c>
      <c r="S4" s="90">
        <v>0.44850900899473345</v>
      </c>
      <c r="T4" s="90">
        <v>-4.9768887000027462</v>
      </c>
      <c r="U4" s="94">
        <v>-1701.3316113000037</v>
      </c>
    </row>
    <row r="5" spans="2:21">
      <c r="B5" t="s">
        <v>102</v>
      </c>
      <c r="C5" s="90">
        <v>9298.8050259240008</v>
      </c>
      <c r="D5" s="90">
        <v>8522.0823404850016</v>
      </c>
      <c r="E5" s="90">
        <v>8546.9243082000012</v>
      </c>
      <c r="F5" s="90">
        <v>8110.1326113000005</v>
      </c>
      <c r="H5" s="91">
        <v>9299.4139005000015</v>
      </c>
      <c r="I5" s="91">
        <v>8526.3211236000006</v>
      </c>
      <c r="J5" s="91">
        <v>8545.7609628000009</v>
      </c>
      <c r="K5" s="91">
        <v>7865.8203617999998</v>
      </c>
      <c r="M5" s="92">
        <v>6.547879800722356E-5</v>
      </c>
      <c r="N5" s="92">
        <v>4.9738819054367944E-4</v>
      </c>
      <c r="O5" s="92">
        <v>-1.3611275331926187E-4</v>
      </c>
      <c r="P5" s="92">
        <v>-3.0124322401287928E-2</v>
      </c>
      <c r="R5" s="90">
        <v>0.60887457600074413</v>
      </c>
      <c r="S5" s="90">
        <v>4.2387831149990234</v>
      </c>
      <c r="T5" s="90">
        <v>-1.163345400000253</v>
      </c>
      <c r="U5" s="90">
        <v>-244.31224950000069</v>
      </c>
    </row>
    <row r="6" spans="2:21" ht="15">
      <c r="B6" t="s">
        <v>103</v>
      </c>
      <c r="C6" s="90">
        <v>185282.1850367049</v>
      </c>
      <c r="D6" s="90">
        <v>203853.43063611304</v>
      </c>
      <c r="E6" s="90">
        <v>226578.42501090001</v>
      </c>
      <c r="F6" s="90">
        <v>248046.90293999997</v>
      </c>
      <c r="H6" s="91">
        <v>185337.94952910001</v>
      </c>
      <c r="I6" s="91">
        <v>204273.26879579999</v>
      </c>
      <c r="J6" s="91">
        <v>226314.28521659999</v>
      </c>
      <c r="K6" s="91">
        <v>239807.8881252</v>
      </c>
      <c r="M6" s="92">
        <v>3.0097061076883591E-4</v>
      </c>
      <c r="N6" s="92">
        <v>2.0595099056064381E-3</v>
      </c>
      <c r="O6" s="92">
        <v>-1.1657764603462129E-3</v>
      </c>
      <c r="P6" s="93">
        <v>-3.3215552047400121E-2</v>
      </c>
      <c r="R6" s="90">
        <v>55.764492395101115</v>
      </c>
      <c r="S6" s="90">
        <v>419.83815968694398</v>
      </c>
      <c r="T6" s="90">
        <v>-264.13979430001928</v>
      </c>
      <c r="U6" s="94">
        <v>-8239.0148147999716</v>
      </c>
    </row>
    <row r="7" spans="2:21">
      <c r="B7" t="s">
        <v>104</v>
      </c>
      <c r="C7" s="90">
        <v>2370.0247875</v>
      </c>
      <c r="D7" s="90">
        <v>1762.9768779000001</v>
      </c>
      <c r="E7" s="90">
        <v>841.99289310000006</v>
      </c>
      <c r="F7" s="90">
        <v>1746.0268356000001</v>
      </c>
      <c r="H7" s="91">
        <v>2370.0247875</v>
      </c>
      <c r="I7" s="91">
        <v>1766.7852015000001</v>
      </c>
      <c r="J7" s="91">
        <v>841.95483120000006</v>
      </c>
      <c r="K7" s="91">
        <v>1742.0246592000001</v>
      </c>
      <c r="M7" s="92">
        <v>0</v>
      </c>
      <c r="N7" s="92">
        <v>2.1601665045865026E-3</v>
      </c>
      <c r="O7" s="92">
        <v>-4.520453831846627E-5</v>
      </c>
      <c r="P7" s="92">
        <v>-2.2921620208802285E-3</v>
      </c>
      <c r="R7" s="90">
        <v>0</v>
      </c>
      <c r="S7" s="90">
        <v>3.8083235999999943</v>
      </c>
      <c r="T7" s="90">
        <v>-3.8061900000002424E-2</v>
      </c>
      <c r="U7" s="90">
        <v>-4.002176400000053</v>
      </c>
    </row>
    <row r="8" spans="2:21">
      <c r="B8" t="s">
        <v>105</v>
      </c>
      <c r="C8" s="90">
        <v>2071.59384258</v>
      </c>
      <c r="D8" s="90">
        <v>2022.0527631000002</v>
      </c>
      <c r="E8" s="90">
        <v>1979.7318546000001</v>
      </c>
      <c r="F8" s="90">
        <v>1809.9238122000002</v>
      </c>
      <c r="H8" s="91">
        <v>2022.5421576000001</v>
      </c>
      <c r="I8" s="91">
        <v>1979.8189130999999</v>
      </c>
      <c r="J8" s="91">
        <v>1979.7318546000001</v>
      </c>
      <c r="K8" s="91">
        <v>1776.3062772000001</v>
      </c>
      <c r="M8" s="92">
        <v>-2.3678234590092218E-2</v>
      </c>
      <c r="N8" s="92">
        <v>-2.088662114595452E-2</v>
      </c>
      <c r="O8" s="92">
        <v>0</v>
      </c>
      <c r="P8" s="92">
        <v>-1.8574005587084552E-2</v>
      </c>
      <c r="R8" s="90">
        <v>-49.051684979999891</v>
      </c>
      <c r="S8" s="90">
        <v>-42.233850000000302</v>
      </c>
      <c r="T8" s="90">
        <v>0</v>
      </c>
      <c r="U8" s="90">
        <v>-33.617535000000089</v>
      </c>
    </row>
    <row r="9" spans="2:21" ht="15">
      <c r="B9" t="s">
        <v>106</v>
      </c>
      <c r="C9" s="90">
        <v>26903.679314835004</v>
      </c>
      <c r="D9" s="90">
        <v>27041.143336451998</v>
      </c>
      <c r="E9" s="90">
        <v>28468.176134400001</v>
      </c>
      <c r="F9" s="90">
        <v>29146.618033799998</v>
      </c>
      <c r="H9" s="91">
        <v>26903.678653799998</v>
      </c>
      <c r="I9" s="91">
        <v>27077.504912700002</v>
      </c>
      <c r="J9" s="91">
        <v>28297.470570300004</v>
      </c>
      <c r="K9" s="91">
        <v>28149.155919000001</v>
      </c>
      <c r="M9" s="92">
        <v>-2.4570431356174538E-8</v>
      </c>
      <c r="N9" s="92">
        <v>1.3446759922679519E-3</v>
      </c>
      <c r="O9" s="92">
        <v>-5.9963646176026675E-3</v>
      </c>
      <c r="P9" s="93">
        <v>-3.422222480986592E-2</v>
      </c>
      <c r="R9" s="90">
        <v>-6.6103500648750924E-4</v>
      </c>
      <c r="S9" s="90">
        <v>36.361576248003985</v>
      </c>
      <c r="T9" s="90">
        <v>-170.70556409999699</v>
      </c>
      <c r="U9" s="94">
        <v>-997.46211479999693</v>
      </c>
    </row>
    <row r="10" spans="2:21">
      <c r="B10" t="s">
        <v>107</v>
      </c>
      <c r="C10" s="90">
        <v>8706.0246046800003</v>
      </c>
      <c r="D10" s="90">
        <v>7631.3904255300004</v>
      </c>
      <c r="E10" s="90">
        <v>2771.4467304</v>
      </c>
      <c r="F10" s="90">
        <v>2941.3312394999998</v>
      </c>
      <c r="H10" s="91">
        <v>8706.0224406000016</v>
      </c>
      <c r="I10" s="91">
        <v>7726.9441472999997</v>
      </c>
      <c r="J10" s="91">
        <v>2771.4467304000004</v>
      </c>
      <c r="K10" s="91">
        <v>2765.2212666</v>
      </c>
      <c r="M10" s="92">
        <v>-2.4857269498301804E-7</v>
      </c>
      <c r="N10" s="92">
        <v>1.2521141815826198E-2</v>
      </c>
      <c r="O10" s="92">
        <v>0</v>
      </c>
      <c r="P10" s="92">
        <v>-5.9874240117864796E-2</v>
      </c>
      <c r="R10" s="90">
        <v>-2.164079998692614E-3</v>
      </c>
      <c r="S10" s="90">
        <v>95.553721769999356</v>
      </c>
      <c r="T10" s="90">
        <v>0</v>
      </c>
      <c r="U10" s="90">
        <v>-176.10997289999978</v>
      </c>
    </row>
    <row r="12" spans="2:21">
      <c r="B12" s="72" t="s">
        <v>108</v>
      </c>
      <c r="C12" s="72">
        <v>2003</v>
      </c>
      <c r="D12" s="72">
        <v>2004</v>
      </c>
      <c r="E12" s="72">
        <v>2005</v>
      </c>
      <c r="F12" s="72">
        <v>2006</v>
      </c>
      <c r="G12" s="72"/>
      <c r="H12" s="72">
        <v>2003</v>
      </c>
      <c r="I12" s="72">
        <v>2004</v>
      </c>
      <c r="J12" s="72">
        <v>2005</v>
      </c>
      <c r="K12" s="72">
        <v>2006</v>
      </c>
      <c r="L12" s="72"/>
      <c r="M12" s="18">
        <v>2003</v>
      </c>
      <c r="N12" s="18">
        <v>2004</v>
      </c>
      <c r="O12" s="18">
        <v>2005</v>
      </c>
      <c r="P12" s="18">
        <v>2006</v>
      </c>
      <c r="R12" s="72">
        <v>2003</v>
      </c>
      <c r="S12" s="72">
        <v>2004</v>
      </c>
      <c r="T12" s="72">
        <v>2005</v>
      </c>
      <c r="U12" s="72">
        <v>2006</v>
      </c>
    </row>
    <row r="13" spans="2:21">
      <c r="B13" t="s">
        <v>149</v>
      </c>
      <c r="C13" s="90">
        <v>5092.2816066000005</v>
      </c>
      <c r="D13" s="90">
        <v>5052.7719540000007</v>
      </c>
      <c r="E13" s="90">
        <v>5310.6144750000003</v>
      </c>
      <c r="F13" s="90">
        <v>4964.196108600001</v>
      </c>
      <c r="H13" s="90">
        <v>5092.2816065999996</v>
      </c>
      <c r="I13" s="90">
        <v>5053.5936432000008</v>
      </c>
      <c r="J13" s="90">
        <v>5310.6144750000003</v>
      </c>
      <c r="K13" s="90">
        <v>4964.1961086000001</v>
      </c>
      <c r="L13" s="90"/>
      <c r="M13" s="92">
        <v>0</v>
      </c>
      <c r="N13" s="92">
        <v>1.6262146945877909E-4</v>
      </c>
      <c r="O13" s="92">
        <v>0</v>
      </c>
      <c r="P13" s="92">
        <v>0</v>
      </c>
      <c r="R13" s="90">
        <v>0</v>
      </c>
      <c r="S13" s="90">
        <v>0.82168920000003709</v>
      </c>
      <c r="T13" s="90">
        <v>0</v>
      </c>
      <c r="U13" s="90">
        <v>0</v>
      </c>
    </row>
    <row r="14" spans="2:21">
      <c r="B14" t="s">
        <v>102</v>
      </c>
      <c r="C14" s="90">
        <v>98.134403400000011</v>
      </c>
      <c r="D14" s="90">
        <v>95.03068500000002</v>
      </c>
      <c r="E14" s="90">
        <v>269.52705360000004</v>
      </c>
      <c r="F14" s="90">
        <v>64.448361000000006</v>
      </c>
      <c r="H14" s="90">
        <v>98.134403400000011</v>
      </c>
      <c r="I14" s="90">
        <v>95.030685000000005</v>
      </c>
      <c r="J14" s="90">
        <v>269.52705360000004</v>
      </c>
      <c r="K14" s="90">
        <v>64.448361000000006</v>
      </c>
      <c r="L14" s="90"/>
      <c r="M14" s="92">
        <v>0</v>
      </c>
      <c r="N14" s="92">
        <v>0</v>
      </c>
      <c r="O14" s="92">
        <v>0</v>
      </c>
      <c r="P14" s="92">
        <v>0</v>
      </c>
      <c r="R14" s="90">
        <v>0</v>
      </c>
      <c r="S14" s="90">
        <v>0</v>
      </c>
      <c r="T14" s="90">
        <v>0</v>
      </c>
      <c r="U14" s="90">
        <v>0</v>
      </c>
    </row>
    <row r="15" spans="2:21">
      <c r="B15" t="s">
        <v>103</v>
      </c>
      <c r="C15" s="90">
        <v>357159.4382034</v>
      </c>
      <c r="D15" s="90">
        <v>368266.52541779994</v>
      </c>
      <c r="E15" s="90">
        <v>374827.533138</v>
      </c>
      <c r="F15" s="90">
        <v>379189.0153962</v>
      </c>
      <c r="H15" s="90">
        <v>357205.2488298</v>
      </c>
      <c r="I15" s="90">
        <v>378929.15261280001</v>
      </c>
      <c r="J15" s="90">
        <v>374594.64704100002</v>
      </c>
      <c r="K15" s="90">
        <v>379688.8396752</v>
      </c>
      <c r="L15" s="90"/>
      <c r="M15" s="92">
        <v>1.2826379902053375E-4</v>
      </c>
      <c r="N15" s="92">
        <v>2.8953560693313785E-2</v>
      </c>
      <c r="O15" s="92">
        <v>-6.2131534215292827E-4</v>
      </c>
      <c r="P15" s="92">
        <v>1.3181401852522256E-3</v>
      </c>
      <c r="R15" s="90">
        <v>45.810626399994362</v>
      </c>
      <c r="S15" s="90">
        <v>10662.627195000066</v>
      </c>
      <c r="T15" s="90">
        <v>-232.88609699998051</v>
      </c>
      <c r="U15" s="90">
        <v>499.82427899999311</v>
      </c>
    </row>
    <row r="16" spans="2:21">
      <c r="B16" t="s">
        <v>104</v>
      </c>
      <c r="C16" s="90">
        <v>804.87805320000007</v>
      </c>
      <c r="D16" s="90">
        <v>654.31426320000003</v>
      </c>
      <c r="E16" s="90">
        <v>265.44603600000005</v>
      </c>
      <c r="F16" s="90">
        <v>237.1015548</v>
      </c>
      <c r="H16" s="90">
        <v>804.87805320000007</v>
      </c>
      <c r="I16" s="90">
        <v>658.16203680000001</v>
      </c>
      <c r="J16" s="90">
        <v>265.44603599999999</v>
      </c>
      <c r="K16" s="90">
        <v>237.1015548</v>
      </c>
      <c r="L16" s="90"/>
      <c r="M16" s="92">
        <v>0</v>
      </c>
      <c r="N16" s="92">
        <v>5.8806200879406578E-3</v>
      </c>
      <c r="O16" s="92">
        <v>0</v>
      </c>
      <c r="P16" s="92">
        <v>0</v>
      </c>
      <c r="R16" s="90">
        <v>0</v>
      </c>
      <c r="S16" s="90">
        <v>3.8477735999999823</v>
      </c>
      <c r="T16" s="90">
        <v>0</v>
      </c>
      <c r="U16" s="90">
        <v>0</v>
      </c>
    </row>
    <row r="17" spans="2:21">
      <c r="B17" t="s">
        <v>105</v>
      </c>
      <c r="C17" s="90">
        <v>1076.8117950000001</v>
      </c>
      <c r="D17" s="90">
        <v>878.23161540000012</v>
      </c>
      <c r="E17" s="90">
        <v>839.49936300000013</v>
      </c>
      <c r="F17" s="90">
        <v>731.68369200000006</v>
      </c>
      <c r="H17" s="90">
        <v>1046.7941472</v>
      </c>
      <c r="I17" s="90">
        <v>858.45960360000004</v>
      </c>
      <c r="J17" s="90">
        <v>836.61852599999997</v>
      </c>
      <c r="K17" s="90">
        <v>672.96424139999999</v>
      </c>
      <c r="L17" s="90"/>
      <c r="M17" s="92">
        <v>-2.787641065911628E-2</v>
      </c>
      <c r="N17" s="92">
        <v>-2.2513436607488502E-2</v>
      </c>
      <c r="O17" s="92">
        <v>-3.4316130862867E-3</v>
      </c>
      <c r="P17" s="92">
        <v>-8.0252506980844518E-2</v>
      </c>
      <c r="R17" s="90">
        <v>-30.017647800000077</v>
      </c>
      <c r="S17" s="90">
        <v>-19.772011800000087</v>
      </c>
      <c r="T17" s="90">
        <v>-2.880837000000156</v>
      </c>
      <c r="U17" s="90">
        <v>-58.719450600000073</v>
      </c>
    </row>
    <row r="18" spans="2:21">
      <c r="B18" t="s">
        <v>106</v>
      </c>
      <c r="C18" s="90">
        <v>595.22849640000004</v>
      </c>
      <c r="D18" s="90">
        <v>578.70114120000005</v>
      </c>
      <c r="E18" s="90">
        <v>527.66287380000006</v>
      </c>
      <c r="F18" s="90">
        <v>464.74475760000001</v>
      </c>
      <c r="H18" s="90">
        <v>595.22849640000004</v>
      </c>
      <c r="I18" s="90">
        <v>578.70114120000005</v>
      </c>
      <c r="J18" s="90">
        <v>527.21820539999999</v>
      </c>
      <c r="K18" s="90">
        <v>464.74479179999997</v>
      </c>
      <c r="L18" s="90"/>
      <c r="M18" s="92">
        <v>0</v>
      </c>
      <c r="N18" s="92">
        <v>0</v>
      </c>
      <c r="O18" s="92">
        <v>-8.4271306942207413E-4</v>
      </c>
      <c r="P18" s="92">
        <v>7.3588780402644716E-8</v>
      </c>
      <c r="R18" s="90">
        <v>0</v>
      </c>
      <c r="S18" s="90">
        <v>0</v>
      </c>
      <c r="T18" s="90">
        <v>-0.44466840000006869</v>
      </c>
      <c r="U18" s="90">
        <v>3.4199999959128036E-5</v>
      </c>
    </row>
    <row r="19" spans="2:21">
      <c r="B19" t="s">
        <v>107</v>
      </c>
      <c r="C19" s="90">
        <v>35.508868200000002</v>
      </c>
      <c r="D19" s="90">
        <v>3.1876794000000004</v>
      </c>
      <c r="E19" s="90">
        <v>7.3324800000000009E-2</v>
      </c>
      <c r="F19" s="90">
        <v>0.27360000000000001</v>
      </c>
      <c r="H19" s="90">
        <v>35.508868200000002</v>
      </c>
      <c r="I19" s="90">
        <v>4.8384450000000001</v>
      </c>
      <c r="J19" s="90">
        <v>7.3324800000000009E-2</v>
      </c>
      <c r="K19" s="90">
        <v>0.27360000000000001</v>
      </c>
      <c r="L19" s="90"/>
      <c r="M19" s="92">
        <v>0</v>
      </c>
      <c r="N19" s="92">
        <v>0.51785810078642136</v>
      </c>
      <c r="O19" s="92">
        <v>0</v>
      </c>
      <c r="P19" s="92">
        <v>0</v>
      </c>
      <c r="R19" s="90">
        <v>0</v>
      </c>
      <c r="S19" s="90">
        <v>1.6507655999999997</v>
      </c>
      <c r="T19" s="90">
        <v>0</v>
      </c>
      <c r="U19" s="90">
        <v>0</v>
      </c>
    </row>
    <row r="20" spans="2:21">
      <c r="C20" s="90"/>
      <c r="D20" s="90"/>
      <c r="E20" s="90"/>
      <c r="F20" s="90"/>
      <c r="M20" s="92"/>
      <c r="N20" s="92"/>
      <c r="O20" s="92"/>
      <c r="P20" s="92"/>
    </row>
    <row r="21" spans="2:21">
      <c r="B21" s="72" t="s">
        <v>124</v>
      </c>
      <c r="C21" s="72">
        <v>2003</v>
      </c>
      <c r="D21" s="72">
        <v>2004</v>
      </c>
      <c r="E21" s="72">
        <v>2005</v>
      </c>
      <c r="F21" s="72">
        <v>2006</v>
      </c>
      <c r="G21" s="72"/>
      <c r="H21" s="72">
        <v>2003</v>
      </c>
      <c r="I21" s="72">
        <v>2004</v>
      </c>
      <c r="J21" s="72">
        <v>2005</v>
      </c>
      <c r="K21" s="72">
        <v>2006</v>
      </c>
      <c r="L21" s="72"/>
      <c r="M21" s="18">
        <v>2003</v>
      </c>
      <c r="N21" s="18">
        <v>2004</v>
      </c>
      <c r="O21" s="18">
        <v>2005</v>
      </c>
      <c r="P21" s="18">
        <v>2006</v>
      </c>
      <c r="R21" s="72">
        <v>2003</v>
      </c>
      <c r="S21" s="72">
        <v>2004</v>
      </c>
      <c r="T21" s="72">
        <v>2005</v>
      </c>
      <c r="U21" s="72">
        <v>2006</v>
      </c>
    </row>
    <row r="22" spans="2:21">
      <c r="B22" t="s">
        <v>149</v>
      </c>
      <c r="C22" s="90">
        <v>3164.0995110000003</v>
      </c>
      <c r="D22" s="90">
        <v>3166.7065310000003</v>
      </c>
      <c r="E22" s="90">
        <v>2879.8418309999997</v>
      </c>
      <c r="F22" s="90">
        <v>2509.6307829999996</v>
      </c>
      <c r="H22" s="90">
        <v>3164.6642049999996</v>
      </c>
      <c r="I22" s="90">
        <v>3167.5209749999999</v>
      </c>
      <c r="J22" s="90">
        <v>2879.9720339999999</v>
      </c>
      <c r="K22" s="90">
        <v>2509.7758600000002</v>
      </c>
      <c r="M22" s="92">
        <v>1.784691025159546E-4</v>
      </c>
      <c r="N22" s="92">
        <v>2.5718960441301064E-4</v>
      </c>
      <c r="O22" s="92">
        <v>4.5211858025862028E-5</v>
      </c>
      <c r="P22" s="92">
        <v>5.7808105073942073E-5</v>
      </c>
      <c r="R22" s="90">
        <v>0.56469399999923553</v>
      </c>
      <c r="S22" s="90">
        <v>0.81444399999963935</v>
      </c>
      <c r="T22" s="90">
        <v>0.13020300000016505</v>
      </c>
      <c r="U22" s="90">
        <v>0.14507700000058321</v>
      </c>
    </row>
    <row r="23" spans="2:21">
      <c r="B23" t="s">
        <v>102</v>
      </c>
      <c r="C23" s="90">
        <v>140.82529299999999</v>
      </c>
      <c r="D23" s="90">
        <v>121.343979</v>
      </c>
      <c r="E23" s="90">
        <v>127.094667</v>
      </c>
      <c r="F23" s="90">
        <v>101.22996500000001</v>
      </c>
      <c r="H23" s="90">
        <v>149.68331499999999</v>
      </c>
      <c r="I23" s="90">
        <v>126.88650499999999</v>
      </c>
      <c r="J23" s="90">
        <v>131.96597600000001</v>
      </c>
      <c r="K23" s="90">
        <v>102.31021699999999</v>
      </c>
      <c r="M23" s="92">
        <v>6.2900788709880473E-2</v>
      </c>
      <c r="N23" s="92">
        <v>4.567615176027795E-2</v>
      </c>
      <c r="O23" s="92">
        <v>3.8328193581875558E-2</v>
      </c>
      <c r="P23" s="92">
        <v>1.0671267149010566E-2</v>
      </c>
      <c r="R23" s="90">
        <v>8.8580220000000054</v>
      </c>
      <c r="S23" s="90">
        <v>5.542525999999981</v>
      </c>
      <c r="T23" s="90">
        <v>4.8713090000000108</v>
      </c>
      <c r="U23" s="90">
        <v>1.0802519999999873</v>
      </c>
    </row>
    <row r="24" spans="2:21">
      <c r="B24" t="s">
        <v>103</v>
      </c>
      <c r="C24" s="90">
        <v>277.33442500000001</v>
      </c>
      <c r="D24" s="90">
        <v>208.442386</v>
      </c>
      <c r="E24" s="90">
        <v>298.659671</v>
      </c>
      <c r="F24" s="90">
        <v>271.08886200000001</v>
      </c>
      <c r="H24" s="90">
        <v>279.63108899999997</v>
      </c>
      <c r="I24" s="90">
        <v>209.85856099999998</v>
      </c>
      <c r="J24" s="90">
        <v>299.12069099999997</v>
      </c>
      <c r="K24" s="90">
        <v>271.16323199999999</v>
      </c>
      <c r="M24" s="92">
        <v>8.2812077873128942E-3</v>
      </c>
      <c r="N24" s="92">
        <v>6.7940836179067876E-3</v>
      </c>
      <c r="O24" s="92">
        <v>1.5436299064293113E-3</v>
      </c>
      <c r="P24" s="92">
        <v>2.7433808770793711E-4</v>
      </c>
      <c r="R24" s="90">
        <v>2.2966639999999643</v>
      </c>
      <c r="S24" s="90">
        <v>1.4161749999999813</v>
      </c>
      <c r="T24" s="90">
        <v>0.46101999999996224</v>
      </c>
      <c r="U24" s="90">
        <v>7.4369999999987613E-2</v>
      </c>
    </row>
    <row r="25" spans="2:21" ht="15">
      <c r="B25" t="s">
        <v>104</v>
      </c>
      <c r="C25" s="90">
        <v>102.833249</v>
      </c>
      <c r="D25" s="90">
        <v>95.412788000000006</v>
      </c>
      <c r="E25" s="90">
        <v>91.777056999999999</v>
      </c>
      <c r="F25" s="90">
        <v>368.75635600000004</v>
      </c>
      <c r="H25" s="90">
        <v>106.41884499999999</v>
      </c>
      <c r="I25" s="90">
        <v>95.412788000000006</v>
      </c>
      <c r="J25" s="90">
        <v>92.706718999999993</v>
      </c>
      <c r="K25" s="90">
        <v>1007.333806</v>
      </c>
      <c r="M25" s="92">
        <v>3.4868061010111528E-2</v>
      </c>
      <c r="N25" s="92">
        <v>0</v>
      </c>
      <c r="O25" s="92">
        <v>1.012956865679393E-2</v>
      </c>
      <c r="P25" s="93">
        <v>1.7317056088926095</v>
      </c>
      <c r="R25" s="90">
        <v>3.5855959999999953</v>
      </c>
      <c r="S25" s="90">
        <v>0</v>
      </c>
      <c r="T25" s="90">
        <v>0.92966199999999333</v>
      </c>
      <c r="U25" s="94">
        <v>638.57745</v>
      </c>
    </row>
    <row r="26" spans="2:21" ht="15">
      <c r="B26" t="s">
        <v>105</v>
      </c>
      <c r="C26" s="90">
        <v>24180.516131</v>
      </c>
      <c r="D26" s="90">
        <v>25356.067032999999</v>
      </c>
      <c r="E26" s="90">
        <v>24251.678082999999</v>
      </c>
      <c r="F26" s="90">
        <v>23565.245277000002</v>
      </c>
      <c r="H26" s="90">
        <v>24201.346797999999</v>
      </c>
      <c r="I26" s="90">
        <v>25387.318823999998</v>
      </c>
      <c r="J26" s="90">
        <v>24267.581829999999</v>
      </c>
      <c r="K26" s="90">
        <v>22930.938958999999</v>
      </c>
      <c r="M26" s="92">
        <v>8.6146494504690807E-4</v>
      </c>
      <c r="N26" s="92">
        <v>1.2325172890308433E-3</v>
      </c>
      <c r="O26" s="92">
        <v>6.5577923909310165E-4</v>
      </c>
      <c r="P26" s="93">
        <v>-2.6917025922878701E-2</v>
      </c>
      <c r="R26" s="90">
        <v>20.830666999998357</v>
      </c>
      <c r="S26" s="90">
        <v>31.251790999998775</v>
      </c>
      <c r="T26" s="90">
        <v>15.903747000000294</v>
      </c>
      <c r="U26" s="94">
        <v>-634.30631800000265</v>
      </c>
    </row>
    <row r="27" spans="2:21">
      <c r="B27" t="s">
        <v>106</v>
      </c>
      <c r="C27" s="90">
        <v>552.74984500000005</v>
      </c>
      <c r="D27" s="90">
        <v>511.55204700000002</v>
      </c>
      <c r="E27" s="90">
        <v>518.50634500000001</v>
      </c>
      <c r="F27" s="90">
        <v>496.51617199999998</v>
      </c>
      <c r="H27" s="90">
        <v>552.79424499999993</v>
      </c>
      <c r="I27" s="90">
        <v>515.30040599999995</v>
      </c>
      <c r="J27" s="90">
        <v>518.50634500000001</v>
      </c>
      <c r="K27" s="90">
        <v>496.51617199999998</v>
      </c>
      <c r="M27" s="92">
        <v>8.0325667029201853E-5</v>
      </c>
      <c r="N27" s="92">
        <v>7.3274244956740286E-3</v>
      </c>
      <c r="O27" s="92">
        <v>0</v>
      </c>
      <c r="P27" s="92">
        <v>0</v>
      </c>
      <c r="R27" s="90">
        <v>4.4399999999882311E-2</v>
      </c>
      <c r="S27" s="90">
        <v>3.7483589999999367</v>
      </c>
      <c r="T27" s="90">
        <v>0</v>
      </c>
      <c r="U27" s="90">
        <v>0</v>
      </c>
    </row>
    <row r="28" spans="2:21">
      <c r="B28" t="s">
        <v>107</v>
      </c>
      <c r="C28" s="90">
        <v>3.0720360000000002</v>
      </c>
      <c r="D28" s="90">
        <v>4.2538159999999996</v>
      </c>
      <c r="E28" s="90">
        <v>4.6931909999999997</v>
      </c>
      <c r="F28" s="90">
        <v>0.89244000000000001</v>
      </c>
      <c r="H28" s="90">
        <v>3.0720360000000002</v>
      </c>
      <c r="I28" s="90">
        <v>4.2538159999999996</v>
      </c>
      <c r="J28" s="90">
        <v>4.6931909999999997</v>
      </c>
      <c r="K28" s="90">
        <v>0.89244000000000001</v>
      </c>
      <c r="M28" s="92">
        <v>0</v>
      </c>
      <c r="N28" s="92">
        <v>0</v>
      </c>
      <c r="O28" s="92">
        <v>0</v>
      </c>
      <c r="P28" s="92">
        <v>0</v>
      </c>
      <c r="R28" s="90">
        <v>0</v>
      </c>
      <c r="S28" s="90">
        <v>0</v>
      </c>
      <c r="T28" s="90">
        <v>0</v>
      </c>
      <c r="U28" s="90">
        <v>0</v>
      </c>
    </row>
    <row r="29" spans="2:21">
      <c r="C29" s="90"/>
      <c r="D29" s="90"/>
      <c r="E29" s="90"/>
      <c r="F29" s="90"/>
    </row>
    <row r="30" spans="2:21">
      <c r="B30" s="72" t="s">
        <v>151</v>
      </c>
      <c r="C30" s="72">
        <v>2003</v>
      </c>
      <c r="D30" s="72">
        <v>2004</v>
      </c>
      <c r="E30" s="72">
        <v>2005</v>
      </c>
      <c r="F30" s="72">
        <v>2006</v>
      </c>
      <c r="G30" s="72"/>
      <c r="H30" s="72">
        <v>2003</v>
      </c>
      <c r="I30" s="72">
        <v>2004</v>
      </c>
      <c r="J30" s="72">
        <v>2005</v>
      </c>
      <c r="K30" s="72">
        <v>2006</v>
      </c>
      <c r="L30" s="72"/>
      <c r="M30" s="18">
        <v>2003</v>
      </c>
      <c r="N30" s="18">
        <v>2004</v>
      </c>
      <c r="O30" s="18">
        <v>2005</v>
      </c>
      <c r="P30" s="18">
        <v>2006</v>
      </c>
      <c r="R30" s="72">
        <v>2003</v>
      </c>
      <c r="S30" s="72">
        <v>2004</v>
      </c>
      <c r="T30" s="72">
        <v>2005</v>
      </c>
      <c r="U30" s="72">
        <v>2006</v>
      </c>
    </row>
    <row r="31" spans="2:21">
      <c r="B31" t="s">
        <v>149</v>
      </c>
      <c r="C31" s="90">
        <v>1.245288</v>
      </c>
      <c r="D31" s="90">
        <v>1.8485210999999999</v>
      </c>
      <c r="E31" s="90">
        <v>1.4765367</v>
      </c>
      <c r="F31" s="90">
        <v>1.3529157000000001</v>
      </c>
      <c r="H31" s="90">
        <v>1.2452880000000002</v>
      </c>
      <c r="I31" s="90">
        <v>1.8485211000000001</v>
      </c>
      <c r="J31" s="90">
        <v>1.4765367</v>
      </c>
      <c r="K31" s="90">
        <v>1.3529157000000001</v>
      </c>
      <c r="M31" s="95">
        <v>-8.0302644578367222E-7</v>
      </c>
      <c r="N31" s="95">
        <v>-5.4097270441033629E-7</v>
      </c>
      <c r="O31" s="95">
        <v>-6.7726005226198538E-7</v>
      </c>
      <c r="P31" s="95">
        <v>-7.391438068271583E-7</v>
      </c>
      <c r="R31" s="90">
        <v>0</v>
      </c>
      <c r="S31" s="90">
        <v>0</v>
      </c>
      <c r="T31" s="90">
        <v>0</v>
      </c>
      <c r="U31" s="90">
        <v>0</v>
      </c>
    </row>
    <row r="32" spans="2:21">
      <c r="B32" t="s">
        <v>102</v>
      </c>
      <c r="C32" s="90">
        <v>80.390709599999994</v>
      </c>
      <c r="D32" s="90">
        <v>2.0260493999999998</v>
      </c>
      <c r="E32" s="90">
        <v>178.2486126</v>
      </c>
      <c r="F32" s="90">
        <v>3.8018396999999999</v>
      </c>
      <c r="H32" s="90">
        <v>80.390709600000008</v>
      </c>
      <c r="I32" s="90">
        <v>2.0260494000000002</v>
      </c>
      <c r="J32" s="90">
        <v>178.2486126</v>
      </c>
      <c r="K32" s="90">
        <v>3.8018396999999999</v>
      </c>
      <c r="M32" s="95">
        <v>-1.2439247965012612E-8</v>
      </c>
      <c r="N32" s="95">
        <v>-4.9357113707237943E-7</v>
      </c>
      <c r="O32" s="95">
        <v>-5.6101417955645161E-9</v>
      </c>
      <c r="P32" s="95">
        <v>-2.6303048417108954E-7</v>
      </c>
      <c r="R32" s="90">
        <v>0</v>
      </c>
      <c r="S32" s="90">
        <v>0</v>
      </c>
      <c r="T32" s="90">
        <v>0</v>
      </c>
      <c r="U32" s="90">
        <v>0</v>
      </c>
    </row>
    <row r="33" spans="2:21">
      <c r="B33" t="s">
        <v>103</v>
      </c>
      <c r="C33" s="90">
        <v>18.149271599999999</v>
      </c>
      <c r="D33" s="90">
        <v>2.6165999999999998E-2</v>
      </c>
      <c r="E33" s="90">
        <v>0</v>
      </c>
      <c r="F33" s="90">
        <v>0</v>
      </c>
      <c r="H33" s="90">
        <v>18.1100493</v>
      </c>
      <c r="I33" s="90">
        <v>2.6166000000000002E-2</v>
      </c>
      <c r="J33" s="90">
        <v>0</v>
      </c>
      <c r="K33" s="90">
        <v>0</v>
      </c>
      <c r="M33" s="95">
        <v>-2.1611499735807449E-3</v>
      </c>
      <c r="N33" s="95">
        <v>-3.8216073680485962E-5</v>
      </c>
      <c r="O33" s="95">
        <v>0</v>
      </c>
      <c r="P33" s="95">
        <v>0</v>
      </c>
      <c r="R33" s="90">
        <v>-3.9222299999998711E-2</v>
      </c>
      <c r="S33" s="90">
        <v>0</v>
      </c>
      <c r="T33" s="90">
        <v>0</v>
      </c>
      <c r="U33" s="90">
        <v>0</v>
      </c>
    </row>
    <row r="34" spans="2:21" ht="15">
      <c r="B34" t="s">
        <v>104</v>
      </c>
      <c r="C34" s="90">
        <v>2694.2030159999999</v>
      </c>
      <c r="D34" s="90">
        <v>1975.6574487</v>
      </c>
      <c r="E34" s="90">
        <v>2222.5353941999997</v>
      </c>
      <c r="F34" s="90">
        <v>2763.4135010999998</v>
      </c>
      <c r="H34" s="90">
        <v>2694.5213601000005</v>
      </c>
      <c r="I34" s="90">
        <v>1.29495</v>
      </c>
      <c r="J34" s="90">
        <v>2222.5353942000002</v>
      </c>
      <c r="K34" s="90">
        <v>0</v>
      </c>
      <c r="M34" s="95">
        <v>1.181585418736919E-4</v>
      </c>
      <c r="N34" s="96">
        <v>-0.99934454730490008</v>
      </c>
      <c r="O34" s="95">
        <v>-4.4993631043155347E-10</v>
      </c>
      <c r="P34" s="96">
        <v>-1</v>
      </c>
      <c r="R34" s="90">
        <v>0.31834410000055868</v>
      </c>
      <c r="S34" s="94">
        <v>-1974.3624987000001</v>
      </c>
      <c r="T34" s="90">
        <v>0</v>
      </c>
      <c r="U34" s="94">
        <v>-2763.4135010999998</v>
      </c>
    </row>
    <row r="35" spans="2:21" ht="15">
      <c r="B35" t="s">
        <v>105</v>
      </c>
      <c r="C35" s="90">
        <v>12167.790268305298</v>
      </c>
      <c r="D35" s="90">
        <v>12878.9463222987</v>
      </c>
      <c r="E35" s="90">
        <v>12099.604450199999</v>
      </c>
      <c r="F35" s="90">
        <v>13373.267981999999</v>
      </c>
      <c r="H35" s="90">
        <v>12167.470937400001</v>
      </c>
      <c r="I35" s="90">
        <v>14854.473897900003</v>
      </c>
      <c r="J35" s="90">
        <v>12099.6044502</v>
      </c>
      <c r="K35" s="90">
        <v>13373.267981999999</v>
      </c>
      <c r="M35" s="95">
        <v>-2.6244034309397257E-5</v>
      </c>
      <c r="N35" s="96">
        <v>0.15339201864887575</v>
      </c>
      <c r="O35" s="95">
        <v>-8.2647222399145903E-11</v>
      </c>
      <c r="P35" s="95">
        <v>-7.4776074221460931E-11</v>
      </c>
      <c r="R35" s="90">
        <v>-0.31933090529673791</v>
      </c>
      <c r="S35" s="94">
        <v>1975.5275756013034</v>
      </c>
      <c r="T35" s="90">
        <v>0</v>
      </c>
      <c r="U35" s="90">
        <v>0</v>
      </c>
    </row>
    <row r="36" spans="2:21">
      <c r="B36" t="s">
        <v>106</v>
      </c>
      <c r="C36" s="90">
        <v>222.5852175</v>
      </c>
      <c r="D36" s="90">
        <v>188.48272259999999</v>
      </c>
      <c r="E36" s="90">
        <v>183.10248569999999</v>
      </c>
      <c r="F36" s="90">
        <v>6.1570199999999999E-2</v>
      </c>
      <c r="H36" s="90">
        <v>222.5852175</v>
      </c>
      <c r="I36" s="90">
        <v>188.48272260000002</v>
      </c>
      <c r="J36" s="90">
        <v>183.10248570000002</v>
      </c>
      <c r="K36" s="90">
        <v>6.1570199999999999E-2</v>
      </c>
      <c r="M36" s="95">
        <v>-4.4926613540496874E-9</v>
      </c>
      <c r="N36" s="95">
        <v>-5.3055259074952232E-9</v>
      </c>
      <c r="O36" s="95">
        <v>-5.4614220923454582E-9</v>
      </c>
      <c r="P36" s="95">
        <v>-1.6241359596658178E-5</v>
      </c>
      <c r="R36" s="90">
        <v>0</v>
      </c>
      <c r="S36" s="90">
        <v>0</v>
      </c>
      <c r="T36" s="90">
        <v>0</v>
      </c>
      <c r="U36" s="90">
        <v>0</v>
      </c>
    </row>
    <row r="37" spans="2:21">
      <c r="B37" t="s">
        <v>107</v>
      </c>
      <c r="C37" s="90">
        <v>0</v>
      </c>
      <c r="D37" s="90">
        <v>0</v>
      </c>
      <c r="E37" s="90">
        <v>0</v>
      </c>
      <c r="F37" s="90">
        <v>0</v>
      </c>
      <c r="M37" s="90"/>
      <c r="N37" s="90"/>
      <c r="O37" s="90"/>
      <c r="P37" s="90"/>
    </row>
    <row r="38" spans="2:21">
      <c r="C38" s="90"/>
      <c r="D38" s="90"/>
      <c r="E38" s="90"/>
      <c r="F38" s="90"/>
    </row>
    <row r="39" spans="2:21">
      <c r="C39" s="90"/>
      <c r="D39" s="90"/>
      <c r="E39" s="90"/>
      <c r="F39" s="90"/>
    </row>
    <row r="40" spans="2:21">
      <c r="C40" s="90"/>
      <c r="D40" s="90"/>
      <c r="E40" s="90"/>
      <c r="F40" s="90"/>
    </row>
    <row r="47" spans="2:21">
      <c r="C47" s="90"/>
      <c r="D47" s="90"/>
      <c r="E47" s="90"/>
      <c r="F47" s="90"/>
    </row>
    <row r="48" spans="2:21">
      <c r="C48" s="90"/>
      <c r="D48" s="90"/>
      <c r="E48" s="90"/>
      <c r="F48" s="90"/>
    </row>
    <row r="49" spans="3:6">
      <c r="C49" s="90"/>
      <c r="D49" s="90"/>
      <c r="E49" s="90"/>
      <c r="F49" s="90"/>
    </row>
    <row r="50" spans="3:6">
      <c r="C50" s="90"/>
      <c r="D50" s="90"/>
      <c r="E50" s="90"/>
      <c r="F50" s="90"/>
    </row>
    <row r="58" spans="3:6">
      <c r="C58" s="90"/>
      <c r="D58" s="90"/>
      <c r="E58" s="90"/>
      <c r="F58" s="90"/>
    </row>
    <row r="59" spans="3:6">
      <c r="C59" s="90"/>
      <c r="D59" s="90"/>
      <c r="E59" s="90"/>
      <c r="F59" s="90"/>
    </row>
    <row r="60" spans="3:6">
      <c r="C60" s="90"/>
      <c r="D60" s="90"/>
      <c r="E60" s="90"/>
      <c r="F60" s="90"/>
    </row>
    <row r="61" spans="3:6">
      <c r="C61" s="90"/>
      <c r="D61" s="90"/>
      <c r="E61" s="90"/>
      <c r="F61" s="90"/>
    </row>
    <row r="62" spans="3:6">
      <c r="C62" s="90"/>
      <c r="D62" s="90"/>
      <c r="E62" s="90"/>
      <c r="F62" s="90"/>
    </row>
    <row r="63" spans="3:6">
      <c r="C63" s="90"/>
      <c r="D63" s="90"/>
      <c r="E63" s="90"/>
      <c r="F63" s="90"/>
    </row>
    <row r="64" spans="3:6">
      <c r="C64" s="90"/>
      <c r="D64" s="90"/>
      <c r="E64" s="90"/>
      <c r="F64" s="90"/>
    </row>
    <row r="65" spans="3:6">
      <c r="C65" s="90"/>
      <c r="D65" s="90"/>
      <c r="E65" s="90"/>
      <c r="F65" s="90"/>
    </row>
  </sheetData>
  <phoneticPr fontId="7" type="noConversion"/>
  <pageMargins left="0.7" right="0.7" top="0.75" bottom="0.75" header="0.3" footer="0.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F59"/>
  <sheetViews>
    <sheetView topLeftCell="A16" zoomScale="125" zoomScaleNormal="125" workbookViewId="0">
      <selection activeCell="C35" sqref="C35"/>
    </sheetView>
  </sheetViews>
  <sheetFormatPr defaultColWidth="8.85546875" defaultRowHeight="12.75"/>
  <cols>
    <col min="1" max="1" width="24.7109375" style="14" customWidth="1"/>
    <col min="2" max="16384" width="8.85546875" style="14"/>
  </cols>
  <sheetData>
    <row r="1" spans="1:32">
      <c r="A1" s="228" t="s">
        <v>343</v>
      </c>
    </row>
    <row r="2" spans="1:32">
      <c r="A2" s="18" t="s">
        <v>76</v>
      </c>
    </row>
    <row r="4" spans="1:32" s="20" customFormat="1" ht="13.5" thickBot="1">
      <c r="A4" s="19" t="s">
        <v>79</v>
      </c>
    </row>
    <row r="5" spans="1:32" s="19" customFormat="1" ht="13.5" thickBot="1">
      <c r="A5" s="21" t="s">
        <v>80</v>
      </c>
      <c r="B5" s="22"/>
      <c r="C5" s="22">
        <v>2001</v>
      </c>
      <c r="D5" s="22">
        <v>2002</v>
      </c>
      <c r="E5" s="22">
        <v>2003</v>
      </c>
      <c r="F5" s="22">
        <v>2004</v>
      </c>
      <c r="G5" s="22">
        <v>2005</v>
      </c>
      <c r="H5" s="22">
        <v>2006</v>
      </c>
      <c r="I5" s="22">
        <v>2007</v>
      </c>
      <c r="J5" s="22">
        <v>2008</v>
      </c>
      <c r="K5" s="22">
        <v>2009</v>
      </c>
      <c r="L5" s="22">
        <v>2010</v>
      </c>
      <c r="M5" s="22">
        <v>2011</v>
      </c>
      <c r="N5" s="22">
        <v>2012</v>
      </c>
      <c r="O5" s="22">
        <v>2013</v>
      </c>
      <c r="P5" s="22">
        <v>2014</v>
      </c>
      <c r="Q5" s="22">
        <v>2015</v>
      </c>
      <c r="R5" s="22">
        <v>2016</v>
      </c>
      <c r="S5" s="22">
        <v>2017</v>
      </c>
      <c r="T5" s="22">
        <v>2018</v>
      </c>
      <c r="U5" s="22">
        <v>2019</v>
      </c>
      <c r="V5" s="22">
        <v>2020</v>
      </c>
      <c r="W5" s="22">
        <v>2021</v>
      </c>
      <c r="X5" s="22">
        <v>2022</v>
      </c>
      <c r="Y5" s="22">
        <v>2023</v>
      </c>
      <c r="Z5" s="22">
        <v>2024</v>
      </c>
      <c r="AA5" s="22">
        <v>2025</v>
      </c>
      <c r="AB5" s="22">
        <v>2026</v>
      </c>
      <c r="AC5" s="22">
        <v>2027</v>
      </c>
      <c r="AD5" s="22">
        <v>2028</v>
      </c>
      <c r="AE5" s="22">
        <v>2029</v>
      </c>
      <c r="AF5" s="23">
        <v>2030</v>
      </c>
    </row>
    <row r="6" spans="1:32" s="20" customFormat="1">
      <c r="A6" s="24" t="s">
        <v>81</v>
      </c>
      <c r="B6" s="25" t="s">
        <v>82</v>
      </c>
      <c r="C6" s="26">
        <v>0.11990407673860912</v>
      </c>
      <c r="D6" s="26">
        <v>0.11966824644549764</v>
      </c>
      <c r="E6" s="26">
        <v>0.11943793911007027</v>
      </c>
      <c r="F6" s="26">
        <v>0.12009237875288684</v>
      </c>
      <c r="G6" s="26">
        <v>0.11986301369863014</v>
      </c>
      <c r="H6" s="26">
        <v>0.11963882618510158</v>
      </c>
      <c r="I6" s="26">
        <v>0.12013348164627365</v>
      </c>
      <c r="J6" s="26">
        <v>0.11991199119911992</v>
      </c>
      <c r="K6" s="26">
        <v>0.11956521739130437</v>
      </c>
      <c r="L6" s="26">
        <v>0.120042872454448</v>
      </c>
      <c r="M6" s="26">
        <v>0.11970338983050849</v>
      </c>
      <c r="N6" s="26">
        <v>0.12016718913270637</v>
      </c>
      <c r="O6" s="26">
        <v>0.11983471074380164</v>
      </c>
      <c r="P6" s="26">
        <v>0.11950970377936668</v>
      </c>
      <c r="Q6" s="26">
        <v>0.11995967741935483</v>
      </c>
      <c r="R6" s="26">
        <v>0.11952191235059761</v>
      </c>
      <c r="S6" s="26">
        <v>0.11996066863323498</v>
      </c>
      <c r="T6" s="26">
        <v>0.11953352769679298</v>
      </c>
      <c r="U6" s="26">
        <v>0.11984659635666348</v>
      </c>
      <c r="V6" s="26">
        <v>0.12015137180700096</v>
      </c>
      <c r="W6" s="26">
        <v>0.11973807296538821</v>
      </c>
      <c r="X6" s="26">
        <v>0.12003693444136655</v>
      </c>
      <c r="Y6" s="26">
        <v>0.11963470319634703</v>
      </c>
      <c r="Z6" s="26">
        <v>0.11992786293958523</v>
      </c>
      <c r="AA6" s="26">
        <v>0.12010676156583633</v>
      </c>
      <c r="AB6" s="26">
        <v>0.11961301671064206</v>
      </c>
      <c r="AC6" s="26">
        <v>0.11989574283231973</v>
      </c>
      <c r="AD6" s="26">
        <v>0.12006861063464837</v>
      </c>
      <c r="AE6" s="26">
        <v>0.11959287531806614</v>
      </c>
      <c r="AF6" s="26">
        <v>0.1196652719665272</v>
      </c>
    </row>
    <row r="7" spans="1:32" s="20" customFormat="1">
      <c r="A7" s="27"/>
      <c r="B7" s="28" t="s">
        <v>83</v>
      </c>
      <c r="C7" s="26">
        <v>0.11990407673860912</v>
      </c>
      <c r="D7" s="26">
        <v>0.11966824644549764</v>
      </c>
      <c r="E7" s="26">
        <v>0.11943793911007027</v>
      </c>
      <c r="F7" s="26">
        <v>0.12009237875288684</v>
      </c>
      <c r="G7" s="26">
        <v>0.11986301369863014</v>
      </c>
      <c r="H7" s="26">
        <v>0.11963882618510158</v>
      </c>
      <c r="I7" s="26">
        <v>0.12013348164627365</v>
      </c>
      <c r="J7" s="26">
        <v>0.11991199119911992</v>
      </c>
      <c r="K7" s="26">
        <v>0.11956521739130437</v>
      </c>
      <c r="L7" s="26">
        <v>0.120042872454448</v>
      </c>
      <c r="M7" s="26">
        <v>0.11970338983050849</v>
      </c>
      <c r="N7" s="26">
        <v>0.12016718913270637</v>
      </c>
      <c r="O7" s="26">
        <v>0.11983471074380164</v>
      </c>
      <c r="P7" s="26">
        <v>0.11950970377936668</v>
      </c>
      <c r="Q7" s="26">
        <v>0.11995967741935483</v>
      </c>
      <c r="R7" s="26">
        <v>0.11952191235059761</v>
      </c>
      <c r="S7" s="26">
        <v>0.11996066863323498</v>
      </c>
      <c r="T7" s="26">
        <v>0.11953352769679298</v>
      </c>
      <c r="U7" s="26">
        <v>0.11984659635666348</v>
      </c>
      <c r="V7" s="26">
        <v>0.12015137180700096</v>
      </c>
      <c r="W7" s="26">
        <v>0.11973807296538821</v>
      </c>
      <c r="X7" s="26">
        <v>0.12003693444136655</v>
      </c>
      <c r="Y7" s="26">
        <v>0.11963470319634703</v>
      </c>
      <c r="Z7" s="26">
        <v>0.11992786293958523</v>
      </c>
      <c r="AA7" s="26">
        <v>0.12010676156583633</v>
      </c>
      <c r="AB7" s="26">
        <v>0.11961301671064206</v>
      </c>
      <c r="AC7" s="26">
        <v>0.11989574283231973</v>
      </c>
      <c r="AD7" s="26">
        <v>0.12006861063464837</v>
      </c>
      <c r="AE7" s="26">
        <v>0.11959287531806614</v>
      </c>
      <c r="AF7" s="26">
        <v>0.1196652719665272</v>
      </c>
    </row>
    <row r="8" spans="1:32" s="20" customFormat="1">
      <c r="A8" s="24" t="s">
        <v>134</v>
      </c>
      <c r="B8" s="29" t="s">
        <v>82</v>
      </c>
      <c r="C8" s="26">
        <v>0.76019184652278182</v>
      </c>
      <c r="D8" s="26">
        <v>0.76066350710900477</v>
      </c>
      <c r="E8" s="26">
        <v>0.76112412177985955</v>
      </c>
      <c r="F8" s="26">
        <v>0.75981524249422627</v>
      </c>
      <c r="G8" s="26">
        <v>0.76027397260273977</v>
      </c>
      <c r="H8" s="26">
        <v>0.76072234762979674</v>
      </c>
      <c r="I8" s="26">
        <v>0.75973303670745274</v>
      </c>
      <c r="J8" s="26">
        <v>0.76017601760176023</v>
      </c>
      <c r="K8" s="26">
        <v>0.76086956521739135</v>
      </c>
      <c r="L8" s="26">
        <v>0.75991425509110377</v>
      </c>
      <c r="M8" s="26">
        <v>0.76059322033898324</v>
      </c>
      <c r="N8" s="26">
        <v>0.75966562173458718</v>
      </c>
      <c r="O8" s="26">
        <v>0.76033057851239672</v>
      </c>
      <c r="P8" s="26">
        <v>0.76098059244126659</v>
      </c>
      <c r="Q8" s="26">
        <v>0.76008064516129037</v>
      </c>
      <c r="R8" s="26">
        <v>0.76095617529880477</v>
      </c>
      <c r="S8" s="26">
        <v>0.76007866273352986</v>
      </c>
      <c r="T8" s="26">
        <v>0.76093294460641392</v>
      </c>
      <c r="U8" s="26">
        <v>0.7603068072866731</v>
      </c>
      <c r="V8" s="26">
        <v>0.75969725638599817</v>
      </c>
      <c r="W8" s="26">
        <v>0.76052385406922374</v>
      </c>
      <c r="X8" s="26">
        <v>0.75992613111726681</v>
      </c>
      <c r="Y8" s="26">
        <v>0.76073059360730588</v>
      </c>
      <c r="Z8" s="26">
        <v>0.76014427412082952</v>
      </c>
      <c r="AA8" s="26">
        <v>0.75978647686832745</v>
      </c>
      <c r="AB8" s="26">
        <v>0.76077396657871599</v>
      </c>
      <c r="AC8" s="26">
        <v>0.76020851433536074</v>
      </c>
      <c r="AD8" s="26">
        <v>0.75986277873070318</v>
      </c>
      <c r="AE8" s="26">
        <v>0.76081424936386766</v>
      </c>
      <c r="AF8" s="26">
        <v>0.76066945606694569</v>
      </c>
    </row>
    <row r="9" spans="1:32" s="20" customFormat="1">
      <c r="A9" s="27"/>
      <c r="B9" s="28" t="s">
        <v>83</v>
      </c>
      <c r="C9" s="26">
        <v>0.76019184652278182</v>
      </c>
      <c r="D9" s="26">
        <v>0.76066350710900477</v>
      </c>
      <c r="E9" s="26">
        <v>0.76112412177985955</v>
      </c>
      <c r="F9" s="26">
        <v>0.75981524249422627</v>
      </c>
      <c r="G9" s="26">
        <v>0.76027397260273977</v>
      </c>
      <c r="H9" s="26">
        <v>0.76072234762979674</v>
      </c>
      <c r="I9" s="26">
        <v>0.75973303670745274</v>
      </c>
      <c r="J9" s="26">
        <v>0.76017601760176023</v>
      </c>
      <c r="K9" s="26">
        <v>0.76086956521739135</v>
      </c>
      <c r="L9" s="26">
        <v>0.75991425509110377</v>
      </c>
      <c r="M9" s="26">
        <v>0.76059322033898324</v>
      </c>
      <c r="N9" s="26">
        <v>0.75966562173458718</v>
      </c>
      <c r="O9" s="26">
        <v>0.76033057851239672</v>
      </c>
      <c r="P9" s="26">
        <v>0.76098059244126659</v>
      </c>
      <c r="Q9" s="26">
        <v>0.76008064516129037</v>
      </c>
      <c r="R9" s="26">
        <v>0.76095617529880477</v>
      </c>
      <c r="S9" s="26">
        <v>0.76007866273352986</v>
      </c>
      <c r="T9" s="26">
        <v>0.76093294460641392</v>
      </c>
      <c r="U9" s="26">
        <v>0.7603068072866731</v>
      </c>
      <c r="V9" s="26">
        <v>0.75969725638599817</v>
      </c>
      <c r="W9" s="26">
        <v>0.76052385406922374</v>
      </c>
      <c r="X9" s="26">
        <v>0.75992613111726681</v>
      </c>
      <c r="Y9" s="26">
        <v>0.76073059360730588</v>
      </c>
      <c r="Z9" s="26">
        <v>0.76014427412082952</v>
      </c>
      <c r="AA9" s="26">
        <v>0.75978647686832745</v>
      </c>
      <c r="AB9" s="26">
        <v>0.76077396657871599</v>
      </c>
      <c r="AC9" s="26">
        <v>0.76020851433536074</v>
      </c>
      <c r="AD9" s="26">
        <v>0.75986277873070318</v>
      </c>
      <c r="AE9" s="26">
        <v>0.76081424936386766</v>
      </c>
      <c r="AF9" s="26">
        <v>0.76066945606694569</v>
      </c>
    </row>
    <row r="10" spans="1:32" s="20" customFormat="1">
      <c r="A10" s="24" t="s">
        <v>84</v>
      </c>
      <c r="B10" s="29" t="s">
        <v>82</v>
      </c>
      <c r="C10" s="26">
        <v>0.11990407673860912</v>
      </c>
      <c r="D10" s="26">
        <v>0.11966824644549764</v>
      </c>
      <c r="E10" s="26">
        <v>0.11943793911007027</v>
      </c>
      <c r="F10" s="26">
        <v>0.12009237875288684</v>
      </c>
      <c r="G10" s="26">
        <v>0.11986301369863014</v>
      </c>
      <c r="H10" s="26">
        <v>0.11963882618510158</v>
      </c>
      <c r="I10" s="26">
        <v>0.12013348164627365</v>
      </c>
      <c r="J10" s="26">
        <v>0.11991199119911992</v>
      </c>
      <c r="K10" s="26">
        <v>0.11956521739130437</v>
      </c>
      <c r="L10" s="26">
        <v>0.120042872454448</v>
      </c>
      <c r="M10" s="26">
        <v>0.11970338983050849</v>
      </c>
      <c r="N10" s="26">
        <v>0.12016718913270637</v>
      </c>
      <c r="O10" s="26">
        <v>0.11983471074380164</v>
      </c>
      <c r="P10" s="26">
        <v>0.11950970377936668</v>
      </c>
      <c r="Q10" s="26">
        <v>0.11995967741935483</v>
      </c>
      <c r="R10" s="26">
        <v>0.11952191235059761</v>
      </c>
      <c r="S10" s="26">
        <v>0.11996066863323498</v>
      </c>
      <c r="T10" s="26">
        <v>0.11953352769679298</v>
      </c>
      <c r="U10" s="26">
        <v>0.11984659635666348</v>
      </c>
      <c r="V10" s="26">
        <v>0.12015137180700096</v>
      </c>
      <c r="W10" s="26">
        <v>0.11973807296538821</v>
      </c>
      <c r="X10" s="26">
        <v>0.12003693444136655</v>
      </c>
      <c r="Y10" s="26">
        <v>0.11963470319634703</v>
      </c>
      <c r="Z10" s="26">
        <v>0.11992786293958523</v>
      </c>
      <c r="AA10" s="26">
        <v>0.12010676156583633</v>
      </c>
      <c r="AB10" s="26">
        <v>0.11961301671064206</v>
      </c>
      <c r="AC10" s="26">
        <v>0.11989574283231973</v>
      </c>
      <c r="AD10" s="26">
        <v>0.12006861063464837</v>
      </c>
      <c r="AE10" s="26">
        <v>0.11959287531806614</v>
      </c>
      <c r="AF10" s="26">
        <v>0.1196652719665272</v>
      </c>
    </row>
    <row r="11" spans="1:32" s="20" customFormat="1" ht="13.5" thickBot="1">
      <c r="A11" s="30"/>
      <c r="B11" s="31" t="s">
        <v>83</v>
      </c>
      <c r="C11" s="26">
        <v>0.11990407673860912</v>
      </c>
      <c r="D11" s="26">
        <v>0.11966824644549764</v>
      </c>
      <c r="E11" s="26">
        <v>0.11943793911007027</v>
      </c>
      <c r="F11" s="26">
        <v>0.12009237875288684</v>
      </c>
      <c r="G11" s="26">
        <v>0.11986301369863014</v>
      </c>
      <c r="H11" s="26">
        <v>0.11963882618510158</v>
      </c>
      <c r="I11" s="26">
        <v>0.12013348164627365</v>
      </c>
      <c r="J11" s="26">
        <v>0.11991199119911992</v>
      </c>
      <c r="K11" s="26">
        <v>0.11956521739130437</v>
      </c>
      <c r="L11" s="26">
        <v>0.120042872454448</v>
      </c>
      <c r="M11" s="26">
        <v>0.11970338983050849</v>
      </c>
      <c r="N11" s="26">
        <v>0.12016718913270637</v>
      </c>
      <c r="O11" s="26">
        <v>0.11983471074380164</v>
      </c>
      <c r="P11" s="26">
        <v>0.11950970377936668</v>
      </c>
      <c r="Q11" s="26">
        <v>0.11995967741935483</v>
      </c>
      <c r="R11" s="26">
        <v>0.11952191235059761</v>
      </c>
      <c r="S11" s="26">
        <v>0.11996066863323498</v>
      </c>
      <c r="T11" s="26">
        <v>0.11953352769679298</v>
      </c>
      <c r="U11" s="26">
        <v>0.11984659635666348</v>
      </c>
      <c r="V11" s="26">
        <v>0.12015137180700096</v>
      </c>
      <c r="W11" s="26">
        <v>0.11973807296538821</v>
      </c>
      <c r="X11" s="26">
        <v>0.12003693444136655</v>
      </c>
      <c r="Y11" s="26">
        <v>0.11963470319634703</v>
      </c>
      <c r="Z11" s="26">
        <v>0.11992786293958523</v>
      </c>
      <c r="AA11" s="26">
        <v>0.12010676156583633</v>
      </c>
      <c r="AB11" s="26">
        <v>0.11961301671064206</v>
      </c>
      <c r="AC11" s="26">
        <v>0.11989574283231973</v>
      </c>
      <c r="AD11" s="26">
        <v>0.12006861063464837</v>
      </c>
      <c r="AE11" s="26">
        <v>0.11959287531806614</v>
      </c>
      <c r="AF11" s="26">
        <v>0.1196652719665272</v>
      </c>
    </row>
    <row r="12" spans="1:32" s="20" customFormat="1">
      <c r="A12" s="32" t="s">
        <v>85</v>
      </c>
      <c r="B12" s="29" t="s">
        <v>82</v>
      </c>
      <c r="C12" s="33">
        <v>1</v>
      </c>
      <c r="D12" s="33">
        <v>1</v>
      </c>
      <c r="E12" s="33">
        <v>1</v>
      </c>
      <c r="F12" s="33">
        <v>0.99999999999999989</v>
      </c>
      <c r="G12" s="33">
        <v>1</v>
      </c>
      <c r="H12" s="33">
        <v>0.99999999999999989</v>
      </c>
      <c r="I12" s="33">
        <v>1</v>
      </c>
      <c r="J12" s="33">
        <v>1</v>
      </c>
      <c r="K12" s="33">
        <v>1</v>
      </c>
      <c r="L12" s="33">
        <v>0.99999999999999978</v>
      </c>
      <c r="M12" s="33">
        <v>1.0000000000000002</v>
      </c>
      <c r="N12" s="33">
        <v>1</v>
      </c>
      <c r="O12" s="33">
        <v>1</v>
      </c>
      <c r="P12" s="33">
        <v>0.99999999999999989</v>
      </c>
      <c r="Q12" s="33">
        <v>1</v>
      </c>
      <c r="R12" s="33">
        <v>1</v>
      </c>
      <c r="S12" s="33">
        <v>0.99999999999999978</v>
      </c>
      <c r="T12" s="33">
        <v>1</v>
      </c>
      <c r="U12" s="33">
        <v>1</v>
      </c>
      <c r="V12" s="33">
        <v>1</v>
      </c>
      <c r="W12" s="33">
        <v>1.0000000000000002</v>
      </c>
      <c r="X12" s="33">
        <v>0.99999999999999989</v>
      </c>
      <c r="Y12" s="33">
        <v>1</v>
      </c>
      <c r="Z12" s="33">
        <v>1</v>
      </c>
      <c r="AA12" s="33">
        <v>1</v>
      </c>
      <c r="AB12" s="33">
        <v>1</v>
      </c>
      <c r="AC12" s="33">
        <v>1.0000000000000002</v>
      </c>
      <c r="AD12" s="33">
        <v>0.99999999999999989</v>
      </c>
      <c r="AE12" s="33">
        <v>1</v>
      </c>
      <c r="AF12" s="33">
        <v>1</v>
      </c>
    </row>
    <row r="13" spans="1:32" s="20" customFormat="1" ht="13.5" thickBot="1">
      <c r="A13" s="30"/>
      <c r="B13" s="31" t="s">
        <v>83</v>
      </c>
      <c r="C13" s="34">
        <v>1</v>
      </c>
      <c r="D13" s="34">
        <v>1</v>
      </c>
      <c r="E13" s="34">
        <v>1</v>
      </c>
      <c r="F13" s="34">
        <v>0.99999999999999989</v>
      </c>
      <c r="G13" s="34">
        <v>1</v>
      </c>
      <c r="H13" s="34">
        <v>0.99999999999999989</v>
      </c>
      <c r="I13" s="34">
        <v>1</v>
      </c>
      <c r="J13" s="34">
        <v>1</v>
      </c>
      <c r="K13" s="34">
        <v>1</v>
      </c>
      <c r="L13" s="34">
        <v>0.99999999999999978</v>
      </c>
      <c r="M13" s="34">
        <v>1.0000000000000002</v>
      </c>
      <c r="N13" s="34">
        <v>1</v>
      </c>
      <c r="O13" s="34">
        <v>1</v>
      </c>
      <c r="P13" s="34">
        <v>0.99999999999999989</v>
      </c>
      <c r="Q13" s="34">
        <v>1</v>
      </c>
      <c r="R13" s="34">
        <v>1</v>
      </c>
      <c r="S13" s="34">
        <v>0.99999999999999978</v>
      </c>
      <c r="T13" s="34">
        <v>1</v>
      </c>
      <c r="U13" s="34">
        <v>1</v>
      </c>
      <c r="V13" s="34">
        <v>1</v>
      </c>
      <c r="W13" s="34">
        <v>1.0000000000000002</v>
      </c>
      <c r="X13" s="34">
        <v>0.99999999999999989</v>
      </c>
      <c r="Y13" s="34">
        <v>1</v>
      </c>
      <c r="Z13" s="34">
        <v>1</v>
      </c>
      <c r="AA13" s="34">
        <v>1</v>
      </c>
      <c r="AB13" s="34">
        <v>1</v>
      </c>
      <c r="AC13" s="34">
        <v>1.0000000000000002</v>
      </c>
      <c r="AD13" s="34">
        <v>0.99999999999999989</v>
      </c>
      <c r="AE13" s="34">
        <v>1</v>
      </c>
      <c r="AF13" s="34">
        <v>1</v>
      </c>
    </row>
    <row r="14" spans="1:32" s="20" customFormat="1">
      <c r="C14" s="35"/>
    </row>
    <row r="15" spans="1:32" s="20" customFormat="1" ht="13.5" thickBot="1">
      <c r="A15" s="19" t="s">
        <v>119</v>
      </c>
    </row>
    <row r="16" spans="1:32" s="19" customFormat="1" ht="13.5" thickBot="1">
      <c r="A16" s="21" t="s">
        <v>80</v>
      </c>
      <c r="B16" s="22"/>
      <c r="C16" s="22">
        <v>2001</v>
      </c>
      <c r="D16" s="22">
        <v>2002</v>
      </c>
      <c r="E16" s="22">
        <v>2003</v>
      </c>
      <c r="F16" s="22">
        <v>2004</v>
      </c>
      <c r="G16" s="22">
        <v>2005</v>
      </c>
      <c r="H16" s="22">
        <v>2006</v>
      </c>
      <c r="I16" s="22">
        <v>2007</v>
      </c>
      <c r="J16" s="22">
        <v>2008</v>
      </c>
      <c r="K16" s="22">
        <v>2009</v>
      </c>
      <c r="L16" s="22">
        <v>2010</v>
      </c>
      <c r="M16" s="22">
        <v>2011</v>
      </c>
      <c r="N16" s="22">
        <v>2012</v>
      </c>
      <c r="O16" s="22">
        <v>2013</v>
      </c>
      <c r="P16" s="22">
        <v>2014</v>
      </c>
      <c r="Q16" s="22">
        <v>2015</v>
      </c>
      <c r="R16" s="22">
        <v>2016</v>
      </c>
      <c r="S16" s="22">
        <v>2017</v>
      </c>
      <c r="T16" s="22">
        <v>2018</v>
      </c>
      <c r="U16" s="22">
        <v>2019</v>
      </c>
      <c r="V16" s="22">
        <v>2020</v>
      </c>
      <c r="W16" s="22">
        <v>2021</v>
      </c>
      <c r="X16" s="22">
        <v>2022</v>
      </c>
      <c r="Y16" s="22">
        <v>2023</v>
      </c>
      <c r="Z16" s="22">
        <v>2024</v>
      </c>
      <c r="AA16" s="22">
        <v>2025</v>
      </c>
      <c r="AB16" s="22">
        <v>2026</v>
      </c>
      <c r="AC16" s="22">
        <v>2027</v>
      </c>
      <c r="AD16" s="22">
        <v>2028</v>
      </c>
      <c r="AE16" s="22">
        <v>2029</v>
      </c>
      <c r="AF16" s="23">
        <v>2030</v>
      </c>
    </row>
    <row r="17" spans="1:32" s="36" customFormat="1">
      <c r="A17" s="36" t="s">
        <v>120</v>
      </c>
      <c r="B17" s="37" t="s">
        <v>82</v>
      </c>
      <c r="C17" s="38">
        <v>0</v>
      </c>
      <c r="D17" s="39">
        <v>0</v>
      </c>
      <c r="E17" s="39">
        <v>0</v>
      </c>
      <c r="F17" s="39">
        <v>0</v>
      </c>
      <c r="G17" s="39">
        <v>0</v>
      </c>
      <c r="H17" s="39">
        <v>0</v>
      </c>
      <c r="I17" s="39">
        <v>0</v>
      </c>
      <c r="J17" s="39">
        <v>0</v>
      </c>
      <c r="K17" s="39">
        <v>0</v>
      </c>
      <c r="L17" s="39">
        <v>0</v>
      </c>
      <c r="M17" s="39">
        <v>0</v>
      </c>
      <c r="N17" s="39">
        <v>0</v>
      </c>
      <c r="O17" s="39">
        <v>0</v>
      </c>
      <c r="P17" s="39">
        <v>0</v>
      </c>
      <c r="Q17" s="39">
        <v>0</v>
      </c>
      <c r="R17" s="39">
        <v>0</v>
      </c>
      <c r="S17" s="39">
        <v>0</v>
      </c>
      <c r="T17" s="39">
        <v>0</v>
      </c>
      <c r="U17" s="39">
        <v>0</v>
      </c>
      <c r="V17" s="39">
        <v>0</v>
      </c>
      <c r="W17" s="39">
        <v>0</v>
      </c>
      <c r="X17" s="39">
        <v>0</v>
      </c>
      <c r="Y17" s="39">
        <v>0</v>
      </c>
      <c r="Z17" s="39">
        <v>0</v>
      </c>
      <c r="AA17" s="39">
        <v>0</v>
      </c>
      <c r="AB17" s="39">
        <v>0</v>
      </c>
      <c r="AC17" s="39">
        <v>0</v>
      </c>
      <c r="AD17" s="39">
        <v>0</v>
      </c>
      <c r="AE17" s="39">
        <v>0</v>
      </c>
      <c r="AF17" s="40">
        <v>0</v>
      </c>
    </row>
    <row r="18" spans="1:32" s="36" customFormat="1">
      <c r="B18" s="37" t="s">
        <v>83</v>
      </c>
      <c r="C18" s="41">
        <v>0</v>
      </c>
      <c r="D18" s="39">
        <v>0</v>
      </c>
      <c r="E18" s="39">
        <v>0</v>
      </c>
      <c r="F18" s="39">
        <v>0</v>
      </c>
      <c r="G18" s="39">
        <v>0</v>
      </c>
      <c r="H18" s="39">
        <v>0</v>
      </c>
      <c r="I18" s="39">
        <v>0</v>
      </c>
      <c r="J18" s="39">
        <v>0</v>
      </c>
      <c r="K18" s="39">
        <v>0</v>
      </c>
      <c r="L18" s="39">
        <v>0</v>
      </c>
      <c r="M18" s="39">
        <v>0</v>
      </c>
      <c r="N18" s="39">
        <v>0</v>
      </c>
      <c r="O18" s="39">
        <v>0</v>
      </c>
      <c r="P18" s="39">
        <v>0</v>
      </c>
      <c r="Q18" s="39">
        <v>0</v>
      </c>
      <c r="R18" s="39">
        <v>0</v>
      </c>
      <c r="S18" s="39">
        <v>0</v>
      </c>
      <c r="T18" s="39">
        <v>0</v>
      </c>
      <c r="U18" s="39">
        <v>0</v>
      </c>
      <c r="V18" s="39">
        <v>0</v>
      </c>
      <c r="W18" s="39">
        <v>0</v>
      </c>
      <c r="X18" s="39">
        <v>0</v>
      </c>
      <c r="Y18" s="39">
        <v>0</v>
      </c>
      <c r="Z18" s="39">
        <v>0</v>
      </c>
      <c r="AA18" s="39">
        <v>0</v>
      </c>
      <c r="AB18" s="39">
        <v>0</v>
      </c>
      <c r="AC18" s="39">
        <v>0</v>
      </c>
      <c r="AD18" s="39">
        <v>0</v>
      </c>
      <c r="AE18" s="39">
        <v>0</v>
      </c>
      <c r="AF18" s="40">
        <v>0</v>
      </c>
    </row>
    <row r="19" spans="1:32" s="36" customFormat="1">
      <c r="A19" s="42" t="s">
        <v>121</v>
      </c>
      <c r="B19" s="43" t="s">
        <v>82</v>
      </c>
      <c r="C19" s="41">
        <v>0</v>
      </c>
      <c r="D19" s="39">
        <v>0</v>
      </c>
      <c r="E19" s="39">
        <v>0</v>
      </c>
      <c r="F19" s="39">
        <v>0</v>
      </c>
      <c r="G19" s="39">
        <v>0</v>
      </c>
      <c r="H19" s="39">
        <v>0</v>
      </c>
      <c r="I19" s="39">
        <v>0</v>
      </c>
      <c r="J19" s="39">
        <v>0</v>
      </c>
      <c r="K19" s="39">
        <v>0</v>
      </c>
      <c r="L19" s="39">
        <v>0</v>
      </c>
      <c r="M19" s="39">
        <v>0</v>
      </c>
      <c r="N19" s="39">
        <v>0</v>
      </c>
      <c r="O19" s="39">
        <v>0</v>
      </c>
      <c r="P19" s="39">
        <v>0</v>
      </c>
      <c r="Q19" s="39">
        <v>0</v>
      </c>
      <c r="R19" s="39">
        <v>0</v>
      </c>
      <c r="S19" s="39">
        <v>0</v>
      </c>
      <c r="T19" s="39">
        <v>0</v>
      </c>
      <c r="U19" s="39">
        <v>0</v>
      </c>
      <c r="V19" s="39">
        <v>0</v>
      </c>
      <c r="W19" s="39">
        <v>0</v>
      </c>
      <c r="X19" s="39">
        <v>0</v>
      </c>
      <c r="Y19" s="39">
        <v>0</v>
      </c>
      <c r="Z19" s="39">
        <v>0</v>
      </c>
      <c r="AA19" s="39">
        <v>0</v>
      </c>
      <c r="AB19" s="39">
        <v>0</v>
      </c>
      <c r="AC19" s="39">
        <v>0</v>
      </c>
      <c r="AD19" s="39">
        <v>0</v>
      </c>
      <c r="AE19" s="39">
        <v>0</v>
      </c>
      <c r="AF19" s="40">
        <v>0</v>
      </c>
    </row>
    <row r="20" spans="1:32" s="36" customFormat="1">
      <c r="A20" s="44"/>
      <c r="B20" s="45" t="s">
        <v>83</v>
      </c>
      <c r="C20" s="41">
        <v>0</v>
      </c>
      <c r="D20" s="39">
        <v>0</v>
      </c>
      <c r="E20" s="39">
        <v>0</v>
      </c>
      <c r="F20" s="39">
        <v>0</v>
      </c>
      <c r="G20" s="39">
        <v>0</v>
      </c>
      <c r="H20" s="39">
        <v>0</v>
      </c>
      <c r="I20" s="39">
        <v>0</v>
      </c>
      <c r="J20" s="39">
        <v>0</v>
      </c>
      <c r="K20" s="39">
        <v>0</v>
      </c>
      <c r="L20" s="39">
        <v>0</v>
      </c>
      <c r="M20" s="39">
        <v>0</v>
      </c>
      <c r="N20" s="39">
        <v>0</v>
      </c>
      <c r="O20" s="39">
        <v>0</v>
      </c>
      <c r="P20" s="39">
        <v>0</v>
      </c>
      <c r="Q20" s="39">
        <v>0</v>
      </c>
      <c r="R20" s="39">
        <v>0</v>
      </c>
      <c r="S20" s="39">
        <v>0</v>
      </c>
      <c r="T20" s="39">
        <v>0</v>
      </c>
      <c r="U20" s="39">
        <v>0</v>
      </c>
      <c r="V20" s="39">
        <v>0</v>
      </c>
      <c r="W20" s="39">
        <v>0</v>
      </c>
      <c r="X20" s="39">
        <v>0</v>
      </c>
      <c r="Y20" s="39">
        <v>0</v>
      </c>
      <c r="Z20" s="39">
        <v>0</v>
      </c>
      <c r="AA20" s="39">
        <v>0</v>
      </c>
      <c r="AB20" s="39">
        <v>0</v>
      </c>
      <c r="AC20" s="39">
        <v>0</v>
      </c>
      <c r="AD20" s="39">
        <v>0</v>
      </c>
      <c r="AE20" s="39">
        <v>0</v>
      </c>
      <c r="AF20" s="40">
        <v>0</v>
      </c>
    </row>
    <row r="21" spans="1:32" s="20" customFormat="1">
      <c r="A21" s="24" t="s">
        <v>81</v>
      </c>
      <c r="B21" s="46" t="s">
        <v>82</v>
      </c>
      <c r="C21" s="41">
        <v>0.95798707294552166</v>
      </c>
      <c r="D21" s="39">
        <v>0.95804833561331504</v>
      </c>
      <c r="E21" s="39">
        <v>0.95789236658410271</v>
      </c>
      <c r="F21" s="39">
        <v>0.95797198132088057</v>
      </c>
      <c r="G21" s="39">
        <v>0.95804963760158146</v>
      </c>
      <c r="H21" s="39">
        <v>0.95791757049891546</v>
      </c>
      <c r="I21" s="39">
        <v>0.95800299978572956</v>
      </c>
      <c r="J21" s="39">
        <v>0.95789250952179428</v>
      </c>
      <c r="K21" s="39">
        <v>0.95799373040752356</v>
      </c>
      <c r="L21" s="39">
        <v>0.95789473684210524</v>
      </c>
      <c r="M21" s="39">
        <v>0.95800203873598366</v>
      </c>
      <c r="N21" s="39">
        <v>0.95792228709482574</v>
      </c>
      <c r="O21" s="39">
        <v>0.95803500397772479</v>
      </c>
      <c r="P21" s="39">
        <v>0.95797329143754906</v>
      </c>
      <c r="Q21" s="39">
        <v>0.95791311093871212</v>
      </c>
      <c r="R21" s="39">
        <v>0.95803793830235684</v>
      </c>
      <c r="S21" s="39">
        <v>0.95799432355723746</v>
      </c>
      <c r="T21" s="39">
        <v>0.95795178471313769</v>
      </c>
      <c r="U21" s="39">
        <v>0.95791805094130678</v>
      </c>
      <c r="V21" s="39">
        <v>0.95806745670009119</v>
      </c>
      <c r="W21" s="39">
        <v>0.95804825351098311</v>
      </c>
      <c r="X21" s="39">
        <v>0.95802952160768273</v>
      </c>
      <c r="Y21" s="39">
        <v>0.95802599227256757</v>
      </c>
      <c r="Z21" s="39">
        <v>0.95802254986990454</v>
      </c>
      <c r="AA21" s="39">
        <v>0.95802638341613833</v>
      </c>
      <c r="AB21" s="39">
        <v>0.95803722504230127</v>
      </c>
      <c r="AC21" s="39">
        <v>0.95805481283422467</v>
      </c>
      <c r="AD21" s="39">
        <v>0.95792079207920799</v>
      </c>
      <c r="AE21" s="39">
        <v>0.95794621026894866</v>
      </c>
      <c r="AF21" s="40">
        <v>0.95798454603992278</v>
      </c>
    </row>
    <row r="22" spans="1:32" s="20" customFormat="1">
      <c r="A22" s="27"/>
      <c r="B22" s="47" t="s">
        <v>83</v>
      </c>
      <c r="C22" s="41">
        <v>0.95798707294552166</v>
      </c>
      <c r="D22" s="39">
        <v>0.95804833561331504</v>
      </c>
      <c r="E22" s="39">
        <v>0.95789236658410271</v>
      </c>
      <c r="F22" s="39">
        <v>0.95797198132088057</v>
      </c>
      <c r="G22" s="39">
        <v>0.95804963760158146</v>
      </c>
      <c r="H22" s="39">
        <v>0.95791757049891546</v>
      </c>
      <c r="I22" s="39">
        <v>0.95800299978572956</v>
      </c>
      <c r="J22" s="39">
        <v>0.95789250952179428</v>
      </c>
      <c r="K22" s="39">
        <v>0.95799373040752356</v>
      </c>
      <c r="L22" s="39">
        <v>0.95789473684210524</v>
      </c>
      <c r="M22" s="39">
        <v>0.95800203873598366</v>
      </c>
      <c r="N22" s="39">
        <v>0.95792228709482574</v>
      </c>
      <c r="O22" s="39">
        <v>0.95803500397772479</v>
      </c>
      <c r="P22" s="39">
        <v>0.95797329143754906</v>
      </c>
      <c r="Q22" s="39">
        <v>0.95791311093871212</v>
      </c>
      <c r="R22" s="39">
        <v>0.95803793830235684</v>
      </c>
      <c r="S22" s="39">
        <v>0.95799432355723746</v>
      </c>
      <c r="T22" s="39">
        <v>0.95795178471313769</v>
      </c>
      <c r="U22" s="39">
        <v>0.95791805094130678</v>
      </c>
      <c r="V22" s="39">
        <v>0.95806745670009119</v>
      </c>
      <c r="W22" s="39">
        <v>0.95804825351098311</v>
      </c>
      <c r="X22" s="39">
        <v>0.95802952160768273</v>
      </c>
      <c r="Y22" s="39">
        <v>0.95802599227256757</v>
      </c>
      <c r="Z22" s="39">
        <v>0.95802254986990454</v>
      </c>
      <c r="AA22" s="39">
        <v>0.95802638341613833</v>
      </c>
      <c r="AB22" s="39">
        <v>0.95803722504230127</v>
      </c>
      <c r="AC22" s="39">
        <v>0.95805481283422467</v>
      </c>
      <c r="AD22" s="39">
        <v>0.95792079207920799</v>
      </c>
      <c r="AE22" s="39">
        <v>0.95794621026894866</v>
      </c>
      <c r="AF22" s="40">
        <v>0.95798454603992278</v>
      </c>
    </row>
    <row r="23" spans="1:32" s="20" customFormat="1">
      <c r="A23" s="24" t="s">
        <v>84</v>
      </c>
      <c r="B23" s="48" t="s">
        <v>82</v>
      </c>
      <c r="C23" s="41">
        <v>4.2012927054478302E-2</v>
      </c>
      <c r="D23" s="39">
        <v>4.1951664386684899E-2</v>
      </c>
      <c r="E23" s="39">
        <v>4.2107633415897329E-2</v>
      </c>
      <c r="F23" s="39">
        <v>4.2028018679119414E-2</v>
      </c>
      <c r="G23" s="39">
        <v>4.1950362398418629E-2</v>
      </c>
      <c r="H23" s="39">
        <v>4.2082429501084602E-2</v>
      </c>
      <c r="I23" s="39">
        <v>4.1997000214270407E-2</v>
      </c>
      <c r="J23" s="39">
        <v>4.2107490478205667E-2</v>
      </c>
      <c r="K23" s="39">
        <v>4.2006269592476483E-2</v>
      </c>
      <c r="L23" s="39">
        <v>4.2105263157894743E-2</v>
      </c>
      <c r="M23" s="39">
        <v>4.1997961264016309E-2</v>
      </c>
      <c r="N23" s="39">
        <v>4.2077712905174147E-2</v>
      </c>
      <c r="O23" s="39">
        <v>4.1964996022275255E-2</v>
      </c>
      <c r="P23" s="39">
        <v>4.2026708562450901E-2</v>
      </c>
      <c r="Q23" s="39">
        <v>4.2086889061287817E-2</v>
      </c>
      <c r="R23" s="39">
        <v>4.196206169764323E-2</v>
      </c>
      <c r="S23" s="39">
        <v>4.2005676442762541E-2</v>
      </c>
      <c r="T23" s="39">
        <v>4.204821528686227E-2</v>
      </c>
      <c r="U23" s="39">
        <v>4.2081949058693238E-2</v>
      </c>
      <c r="V23" s="39">
        <v>4.1932543299908843E-2</v>
      </c>
      <c r="W23" s="39">
        <v>4.1951746489016929E-2</v>
      </c>
      <c r="X23" s="39">
        <v>4.1970478392317268E-2</v>
      </c>
      <c r="Y23" s="39">
        <v>4.1974007727432386E-2</v>
      </c>
      <c r="Z23" s="39">
        <v>4.1977450130095406E-2</v>
      </c>
      <c r="AA23" s="39">
        <v>4.1973616583861575E-2</v>
      </c>
      <c r="AB23" s="39">
        <v>4.1962774957698817E-2</v>
      </c>
      <c r="AC23" s="39">
        <v>4.1945187165775402E-2</v>
      </c>
      <c r="AD23" s="39">
        <v>4.2079207920792082E-2</v>
      </c>
      <c r="AE23" s="39">
        <v>4.2053789731051346E-2</v>
      </c>
      <c r="AF23" s="40">
        <v>4.2015453960077269E-2</v>
      </c>
    </row>
    <row r="24" spans="1:32" s="20" customFormat="1" ht="13.5" thickBot="1">
      <c r="A24" s="30"/>
      <c r="B24" s="49" t="s">
        <v>83</v>
      </c>
      <c r="C24" s="50">
        <v>4.2012927054478302E-2</v>
      </c>
      <c r="D24" s="51">
        <v>4.1951664386684899E-2</v>
      </c>
      <c r="E24" s="51">
        <v>4.2107633415897329E-2</v>
      </c>
      <c r="F24" s="51">
        <v>4.2028018679119414E-2</v>
      </c>
      <c r="G24" s="51">
        <v>4.1950362398418629E-2</v>
      </c>
      <c r="H24" s="51">
        <v>4.2082429501084602E-2</v>
      </c>
      <c r="I24" s="51">
        <v>4.1997000214270407E-2</v>
      </c>
      <c r="J24" s="51">
        <v>4.2107490478205667E-2</v>
      </c>
      <c r="K24" s="51">
        <v>4.2006269592476483E-2</v>
      </c>
      <c r="L24" s="51">
        <v>4.2105263157894743E-2</v>
      </c>
      <c r="M24" s="51">
        <v>4.1997961264016309E-2</v>
      </c>
      <c r="N24" s="51">
        <v>4.2077712905174147E-2</v>
      </c>
      <c r="O24" s="51">
        <v>4.1964996022275255E-2</v>
      </c>
      <c r="P24" s="51">
        <v>4.2026708562450901E-2</v>
      </c>
      <c r="Q24" s="51">
        <v>4.2086889061287817E-2</v>
      </c>
      <c r="R24" s="51">
        <v>4.196206169764323E-2</v>
      </c>
      <c r="S24" s="51">
        <v>4.2005676442762541E-2</v>
      </c>
      <c r="T24" s="51">
        <v>4.204821528686227E-2</v>
      </c>
      <c r="U24" s="51">
        <v>4.2081949058693238E-2</v>
      </c>
      <c r="V24" s="51">
        <v>4.1932543299908843E-2</v>
      </c>
      <c r="W24" s="51">
        <v>4.1951746489016929E-2</v>
      </c>
      <c r="X24" s="51">
        <v>4.1970478392317268E-2</v>
      </c>
      <c r="Y24" s="51">
        <v>4.1974007727432386E-2</v>
      </c>
      <c r="Z24" s="51">
        <v>4.1977450130095406E-2</v>
      </c>
      <c r="AA24" s="51">
        <v>4.1973616583861575E-2</v>
      </c>
      <c r="AB24" s="51">
        <v>4.1962774957698817E-2</v>
      </c>
      <c r="AC24" s="51">
        <v>4.1945187165775402E-2</v>
      </c>
      <c r="AD24" s="51">
        <v>4.2079207920792082E-2</v>
      </c>
      <c r="AE24" s="51">
        <v>4.2053789731051346E-2</v>
      </c>
      <c r="AF24" s="52">
        <v>4.2015453960077269E-2</v>
      </c>
    </row>
    <row r="25" spans="1:32" s="20" customFormat="1">
      <c r="A25" s="32" t="s">
        <v>85</v>
      </c>
      <c r="B25" s="29" t="s">
        <v>82</v>
      </c>
      <c r="C25" s="26">
        <v>1</v>
      </c>
      <c r="D25" s="26">
        <v>0.99999999999999989</v>
      </c>
      <c r="E25" s="26">
        <v>1</v>
      </c>
      <c r="F25" s="26">
        <v>1</v>
      </c>
      <c r="G25" s="26">
        <v>1</v>
      </c>
      <c r="H25" s="26">
        <v>1</v>
      </c>
      <c r="I25" s="26">
        <v>1</v>
      </c>
      <c r="J25" s="26">
        <v>1</v>
      </c>
      <c r="K25" s="26">
        <v>1</v>
      </c>
      <c r="L25" s="26">
        <v>1</v>
      </c>
      <c r="M25" s="26">
        <v>1</v>
      </c>
      <c r="N25" s="26">
        <v>0.99999999999999989</v>
      </c>
      <c r="O25" s="26">
        <v>1</v>
      </c>
      <c r="P25" s="26">
        <v>1</v>
      </c>
      <c r="Q25" s="26">
        <v>0.99999999999999989</v>
      </c>
      <c r="R25" s="26">
        <v>1</v>
      </c>
      <c r="S25" s="26">
        <v>1</v>
      </c>
      <c r="T25" s="26">
        <v>1</v>
      </c>
      <c r="U25" s="26">
        <v>1</v>
      </c>
      <c r="V25" s="26">
        <v>1</v>
      </c>
      <c r="W25" s="26">
        <v>1</v>
      </c>
      <c r="X25" s="26">
        <v>1</v>
      </c>
      <c r="Y25" s="26">
        <v>1</v>
      </c>
      <c r="Z25" s="26">
        <v>1</v>
      </c>
      <c r="AA25" s="26">
        <v>0.99999999999999989</v>
      </c>
      <c r="AB25" s="26">
        <v>1</v>
      </c>
      <c r="AC25" s="26">
        <v>1</v>
      </c>
      <c r="AD25" s="26">
        <v>1</v>
      </c>
      <c r="AE25" s="26">
        <v>1</v>
      </c>
      <c r="AF25" s="26">
        <v>1</v>
      </c>
    </row>
    <row r="26" spans="1:32" s="20" customFormat="1" ht="13.5" thickBot="1">
      <c r="A26" s="30"/>
      <c r="B26" s="31" t="s">
        <v>83</v>
      </c>
      <c r="C26" s="34">
        <v>1</v>
      </c>
      <c r="D26" s="34">
        <v>0.99999999999999989</v>
      </c>
      <c r="E26" s="34">
        <v>1</v>
      </c>
      <c r="F26" s="34">
        <v>1</v>
      </c>
      <c r="G26" s="34">
        <v>1</v>
      </c>
      <c r="H26" s="34">
        <v>1</v>
      </c>
      <c r="I26" s="34">
        <v>1</v>
      </c>
      <c r="J26" s="34">
        <v>1</v>
      </c>
      <c r="K26" s="34">
        <v>1</v>
      </c>
      <c r="L26" s="34">
        <v>1</v>
      </c>
      <c r="M26" s="34">
        <v>1</v>
      </c>
      <c r="N26" s="34">
        <v>0.99999999999999989</v>
      </c>
      <c r="O26" s="34">
        <v>1</v>
      </c>
      <c r="P26" s="34">
        <v>1</v>
      </c>
      <c r="Q26" s="34">
        <v>0.99999999999999989</v>
      </c>
      <c r="R26" s="34">
        <v>1</v>
      </c>
      <c r="S26" s="34">
        <v>1</v>
      </c>
      <c r="T26" s="34">
        <v>1</v>
      </c>
      <c r="U26" s="34">
        <v>1</v>
      </c>
      <c r="V26" s="34">
        <v>1</v>
      </c>
      <c r="W26" s="34">
        <v>1</v>
      </c>
      <c r="X26" s="34">
        <v>1</v>
      </c>
      <c r="Y26" s="34">
        <v>1</v>
      </c>
      <c r="Z26" s="34">
        <v>1</v>
      </c>
      <c r="AA26" s="34">
        <v>0.99999999999999989</v>
      </c>
      <c r="AB26" s="34">
        <v>1</v>
      </c>
      <c r="AC26" s="34">
        <v>1</v>
      </c>
      <c r="AD26" s="34">
        <v>1</v>
      </c>
      <c r="AE26" s="34">
        <v>1</v>
      </c>
      <c r="AF26" s="34">
        <v>1</v>
      </c>
    </row>
    <row r="27" spans="1:32" s="20" customFormat="1"/>
    <row r="28" spans="1:32" s="20" customFormat="1" ht="13.5" thickBot="1">
      <c r="A28" s="19" t="s">
        <v>122</v>
      </c>
    </row>
    <row r="29" spans="1:32" s="19" customFormat="1" ht="13.5" thickBot="1">
      <c r="A29" s="21" t="s">
        <v>80</v>
      </c>
      <c r="B29" s="22"/>
      <c r="C29" s="22">
        <v>2001</v>
      </c>
      <c r="D29" s="22">
        <v>2002</v>
      </c>
      <c r="E29" s="22">
        <v>2003</v>
      </c>
      <c r="F29" s="22">
        <v>2004</v>
      </c>
      <c r="G29" s="22">
        <v>2005</v>
      </c>
      <c r="H29" s="22">
        <v>2006</v>
      </c>
      <c r="I29" s="22">
        <v>2007</v>
      </c>
      <c r="J29" s="22">
        <v>2008</v>
      </c>
      <c r="K29" s="22">
        <v>2009</v>
      </c>
      <c r="L29" s="22">
        <v>2010</v>
      </c>
      <c r="M29" s="22">
        <v>2011</v>
      </c>
      <c r="N29" s="22">
        <v>2012</v>
      </c>
      <c r="O29" s="22">
        <v>2013</v>
      </c>
      <c r="P29" s="22">
        <v>2014</v>
      </c>
      <c r="Q29" s="22">
        <v>2015</v>
      </c>
      <c r="R29" s="22">
        <v>2016</v>
      </c>
      <c r="S29" s="22">
        <v>2017</v>
      </c>
      <c r="T29" s="22">
        <v>2018</v>
      </c>
      <c r="U29" s="22">
        <v>2019</v>
      </c>
      <c r="V29" s="22">
        <v>2020</v>
      </c>
      <c r="W29" s="22">
        <v>2021</v>
      </c>
      <c r="X29" s="22">
        <v>2022</v>
      </c>
      <c r="Y29" s="22">
        <v>2023</v>
      </c>
      <c r="Z29" s="22">
        <v>2024</v>
      </c>
      <c r="AA29" s="22">
        <v>2025</v>
      </c>
      <c r="AB29" s="22">
        <v>2026</v>
      </c>
      <c r="AC29" s="22">
        <v>2027</v>
      </c>
      <c r="AD29" s="22">
        <v>2028</v>
      </c>
      <c r="AE29" s="22">
        <v>2029</v>
      </c>
      <c r="AF29" s="23">
        <v>2030</v>
      </c>
    </row>
    <row r="30" spans="1:32" s="20" customFormat="1">
      <c r="A30" s="24" t="s">
        <v>123</v>
      </c>
      <c r="B30" s="53" t="s">
        <v>82</v>
      </c>
      <c r="C30" s="54">
        <v>0.26785714285714285</v>
      </c>
      <c r="D30" s="26">
        <v>0.26807760141093473</v>
      </c>
      <c r="E30" s="26">
        <v>0.26829268292682928</v>
      </c>
      <c r="F30" s="26">
        <v>0.26804123711340205</v>
      </c>
      <c r="G30" s="26">
        <v>0.26825127334465193</v>
      </c>
      <c r="H30" s="26">
        <v>0.26800670016750416</v>
      </c>
      <c r="I30" s="26">
        <v>0.26821192052980136</v>
      </c>
      <c r="J30" s="26">
        <v>0.26841243862520459</v>
      </c>
      <c r="K30" s="26">
        <v>0.26860841423948217</v>
      </c>
      <c r="L30" s="26">
        <v>0.26794258373205743</v>
      </c>
      <c r="M30" s="26">
        <v>0.26813880126182965</v>
      </c>
      <c r="N30" s="26">
        <v>0.26791277258566976</v>
      </c>
      <c r="O30" s="26">
        <v>0.26769230769230767</v>
      </c>
      <c r="P30" s="26">
        <v>0.26788432267884321</v>
      </c>
      <c r="Q30" s="26">
        <v>0.2683658170914543</v>
      </c>
      <c r="R30" s="26">
        <v>0.26814814814814814</v>
      </c>
      <c r="S30" s="26">
        <v>0.26793557833089315</v>
      </c>
      <c r="T30" s="26">
        <v>0.26734104046242774</v>
      </c>
      <c r="U30" s="26">
        <v>0.26857142857142857</v>
      </c>
      <c r="V30" s="26">
        <v>0.26798307475317346</v>
      </c>
      <c r="W30" s="26">
        <v>0.26740947075208915</v>
      </c>
      <c r="X30" s="26">
        <v>0.26822558459422285</v>
      </c>
      <c r="Y30" s="26">
        <v>0.26766304347826086</v>
      </c>
      <c r="Z30" s="26">
        <v>0.26809651474530832</v>
      </c>
      <c r="AA30" s="26">
        <v>0.2675496688741722</v>
      </c>
      <c r="AB30" s="26">
        <v>0.26797385620915037</v>
      </c>
      <c r="AC30" s="26">
        <v>0.26778783958602842</v>
      </c>
      <c r="AD30" s="26">
        <v>0.26819923371647508</v>
      </c>
      <c r="AE30" s="26">
        <v>0.26826196473551639</v>
      </c>
      <c r="AF30" s="55">
        <v>0.26774595267745949</v>
      </c>
    </row>
    <row r="31" spans="1:32" s="20" customFormat="1">
      <c r="A31" s="27"/>
      <c r="B31" s="47" t="s">
        <v>83</v>
      </c>
      <c r="C31" s="56">
        <v>0.26785714285714285</v>
      </c>
      <c r="D31" s="26">
        <v>0.26807760141093473</v>
      </c>
      <c r="E31" s="26">
        <v>0.26829268292682928</v>
      </c>
      <c r="F31" s="26">
        <v>0.26804123711340205</v>
      </c>
      <c r="G31" s="26">
        <v>0.26825127334465193</v>
      </c>
      <c r="H31" s="26">
        <v>0.26800670016750416</v>
      </c>
      <c r="I31" s="26">
        <v>0.26821192052980136</v>
      </c>
      <c r="J31" s="26">
        <v>0.26841243862520459</v>
      </c>
      <c r="K31" s="26">
        <v>0.26860841423948217</v>
      </c>
      <c r="L31" s="26">
        <v>0.26794258373205743</v>
      </c>
      <c r="M31" s="26">
        <v>0.26813880126182965</v>
      </c>
      <c r="N31" s="26">
        <v>0.26791277258566976</v>
      </c>
      <c r="O31" s="26">
        <v>0.26769230769230767</v>
      </c>
      <c r="P31" s="26">
        <v>0.26788432267884321</v>
      </c>
      <c r="Q31" s="26">
        <v>0.2683658170914543</v>
      </c>
      <c r="R31" s="26">
        <v>0.26814814814814814</v>
      </c>
      <c r="S31" s="26">
        <v>0.26793557833089315</v>
      </c>
      <c r="T31" s="26">
        <v>0.26734104046242774</v>
      </c>
      <c r="U31" s="26">
        <v>0.26857142857142857</v>
      </c>
      <c r="V31" s="26">
        <v>0.26798307475317346</v>
      </c>
      <c r="W31" s="26">
        <v>0.26740947075208915</v>
      </c>
      <c r="X31" s="26">
        <v>0.26822558459422285</v>
      </c>
      <c r="Y31" s="26">
        <v>0.26766304347826086</v>
      </c>
      <c r="Z31" s="26">
        <v>0.26809651474530832</v>
      </c>
      <c r="AA31" s="26">
        <v>0.2675496688741722</v>
      </c>
      <c r="AB31" s="26">
        <v>0.26797385620915037</v>
      </c>
      <c r="AC31" s="26">
        <v>0.26778783958602842</v>
      </c>
      <c r="AD31" s="26">
        <v>0.26819923371647508</v>
      </c>
      <c r="AE31" s="26">
        <v>0.26826196473551639</v>
      </c>
      <c r="AF31" s="57">
        <v>0.26774595267745949</v>
      </c>
    </row>
    <row r="32" spans="1:32" s="20" customFormat="1">
      <c r="A32" s="24" t="s">
        <v>135</v>
      </c>
      <c r="B32" s="48" t="s">
        <v>82</v>
      </c>
      <c r="C32" s="56">
        <v>0.28035714285714286</v>
      </c>
      <c r="D32" s="26">
        <v>0.28042328042328046</v>
      </c>
      <c r="E32" s="26">
        <v>0.28048780487804881</v>
      </c>
      <c r="F32" s="26">
        <v>0.28006872852233672</v>
      </c>
      <c r="G32" s="26">
        <v>0.28013582342954158</v>
      </c>
      <c r="H32" s="26">
        <v>0.27973199329983245</v>
      </c>
      <c r="I32" s="26">
        <v>0.27980132450331124</v>
      </c>
      <c r="J32" s="26">
        <v>0.27986906710310966</v>
      </c>
      <c r="K32" s="26">
        <v>0.27993527508090615</v>
      </c>
      <c r="L32" s="26">
        <v>0.27910685805422647</v>
      </c>
      <c r="M32" s="26">
        <v>0.27917981072555204</v>
      </c>
      <c r="N32" s="26">
        <v>0.28037383177570097</v>
      </c>
      <c r="O32" s="26">
        <v>0.28000000000000003</v>
      </c>
      <c r="P32" s="26">
        <v>0.28006088280060881</v>
      </c>
      <c r="Q32" s="26">
        <v>0.27886056971514245</v>
      </c>
      <c r="R32" s="26">
        <v>0.27999999999999997</v>
      </c>
      <c r="S32" s="26">
        <v>0.27964860907759881</v>
      </c>
      <c r="T32" s="26">
        <v>0.28034682080924855</v>
      </c>
      <c r="U32" s="26">
        <v>0.27999999999999997</v>
      </c>
      <c r="V32" s="26">
        <v>0.27926657263751764</v>
      </c>
      <c r="W32" s="26">
        <v>0.27994428969359331</v>
      </c>
      <c r="X32" s="26">
        <v>0.27922971114167811</v>
      </c>
      <c r="Y32" s="26">
        <v>0.27989130434782611</v>
      </c>
      <c r="Z32" s="26">
        <v>0.28016085790884715</v>
      </c>
      <c r="AA32" s="26">
        <v>0.27947019867549666</v>
      </c>
      <c r="AB32" s="26">
        <v>0.27973856209150333</v>
      </c>
      <c r="AC32" s="26">
        <v>0.27943078913324709</v>
      </c>
      <c r="AD32" s="26">
        <v>0.27969348659003829</v>
      </c>
      <c r="AE32" s="26">
        <v>0.27959697732997485</v>
      </c>
      <c r="AF32" s="57">
        <v>0.28019925280199248</v>
      </c>
    </row>
    <row r="33" spans="1:32" s="20" customFormat="1">
      <c r="A33" s="27"/>
      <c r="B33" s="47" t="s">
        <v>83</v>
      </c>
      <c r="C33" s="56">
        <v>0.28035714285714286</v>
      </c>
      <c r="D33" s="26">
        <v>0.28042328042328046</v>
      </c>
      <c r="E33" s="26">
        <v>0.28048780487804881</v>
      </c>
      <c r="F33" s="26">
        <v>0.28006872852233672</v>
      </c>
      <c r="G33" s="26">
        <v>0.28013582342954158</v>
      </c>
      <c r="H33" s="26">
        <v>0.27973199329983245</v>
      </c>
      <c r="I33" s="26">
        <v>0.27980132450331124</v>
      </c>
      <c r="J33" s="26">
        <v>0.27986906710310966</v>
      </c>
      <c r="K33" s="26">
        <v>0.27993527508090615</v>
      </c>
      <c r="L33" s="26">
        <v>0.27910685805422647</v>
      </c>
      <c r="M33" s="26">
        <v>0.27917981072555204</v>
      </c>
      <c r="N33" s="26">
        <v>0.28037383177570097</v>
      </c>
      <c r="O33" s="26">
        <v>0.28000000000000003</v>
      </c>
      <c r="P33" s="26">
        <v>0.28006088280060881</v>
      </c>
      <c r="Q33" s="26">
        <v>0.27886056971514245</v>
      </c>
      <c r="R33" s="26">
        <v>0.27999999999999997</v>
      </c>
      <c r="S33" s="26">
        <v>0.27964860907759881</v>
      </c>
      <c r="T33" s="26">
        <v>0.28034682080924855</v>
      </c>
      <c r="U33" s="26">
        <v>0.27999999999999997</v>
      </c>
      <c r="V33" s="26">
        <v>0.27926657263751764</v>
      </c>
      <c r="W33" s="26">
        <v>0.27994428969359331</v>
      </c>
      <c r="X33" s="26">
        <v>0.27922971114167811</v>
      </c>
      <c r="Y33" s="26">
        <v>0.27989130434782611</v>
      </c>
      <c r="Z33" s="26">
        <v>0.28016085790884715</v>
      </c>
      <c r="AA33" s="26">
        <v>0.27947019867549666</v>
      </c>
      <c r="AB33" s="26">
        <v>0.27973856209150333</v>
      </c>
      <c r="AC33" s="26">
        <v>0.27943078913324709</v>
      </c>
      <c r="AD33" s="26">
        <v>0.27969348659003829</v>
      </c>
      <c r="AE33" s="26">
        <v>0.27959697732997485</v>
      </c>
      <c r="AF33" s="57">
        <v>0.28019925280199248</v>
      </c>
    </row>
    <row r="34" spans="1:32" s="20" customFormat="1">
      <c r="A34" s="24" t="s">
        <v>151</v>
      </c>
      <c r="B34" s="48" t="s">
        <v>82</v>
      </c>
      <c r="C34" s="56">
        <v>2.3214285714285715E-2</v>
      </c>
      <c r="D34" s="26">
        <v>2.2927689594356263E-2</v>
      </c>
      <c r="E34" s="26">
        <v>2.2648083623693381E-2</v>
      </c>
      <c r="F34" s="26">
        <v>2.4054982817869417E-2</v>
      </c>
      <c r="G34" s="26">
        <v>2.3769100169779286E-2</v>
      </c>
      <c r="H34" s="26">
        <v>2.3450586264656615E-2</v>
      </c>
      <c r="I34" s="26">
        <v>2.3178807947019868E-2</v>
      </c>
      <c r="J34" s="26">
        <v>2.2913256955810153E-2</v>
      </c>
      <c r="K34" s="26">
        <v>2.2653721682847898E-2</v>
      </c>
      <c r="L34" s="26">
        <v>2.3923444976076555E-2</v>
      </c>
      <c r="M34" s="26">
        <v>2.365930599369085E-2</v>
      </c>
      <c r="N34" s="26">
        <v>2.336448598130841E-2</v>
      </c>
      <c r="O34" s="26">
        <v>2.3076923076923075E-2</v>
      </c>
      <c r="P34" s="26">
        <v>2.2831050228310501E-2</v>
      </c>
      <c r="Q34" s="26">
        <v>2.3988005997001498E-2</v>
      </c>
      <c r="R34" s="26">
        <v>2.3703703703703703E-2</v>
      </c>
      <c r="S34" s="26">
        <v>2.3426061493411421E-2</v>
      </c>
      <c r="T34" s="26">
        <v>2.3121387283236997E-2</v>
      </c>
      <c r="U34" s="26">
        <v>2.2857142857142857E-2</v>
      </c>
      <c r="V34" s="26">
        <v>2.3977433004231313E-2</v>
      </c>
      <c r="W34" s="26">
        <v>2.3676880222841229E-2</v>
      </c>
      <c r="X34" s="26">
        <v>2.3383768913342505E-2</v>
      </c>
      <c r="Y34" s="26">
        <v>2.3097826086956524E-2</v>
      </c>
      <c r="Z34" s="26">
        <v>2.2788203753351208E-2</v>
      </c>
      <c r="AA34" s="26">
        <v>2.3841059602649005E-2</v>
      </c>
      <c r="AB34" s="26">
        <v>2.3529411764705885E-2</v>
      </c>
      <c r="AC34" s="26">
        <v>2.3285899094437255E-2</v>
      </c>
      <c r="AD34" s="26">
        <v>2.2988505747126436E-2</v>
      </c>
      <c r="AE34" s="26">
        <v>2.3929471032745595E-2</v>
      </c>
      <c r="AF34" s="57">
        <v>2.36612702366127E-2</v>
      </c>
    </row>
    <row r="35" spans="1:32" s="20" customFormat="1">
      <c r="A35" s="27"/>
      <c r="B35" s="47" t="s">
        <v>83</v>
      </c>
      <c r="C35" s="56">
        <v>2.3214285714285715E-2</v>
      </c>
      <c r="D35" s="26">
        <v>2.2927689594356263E-2</v>
      </c>
      <c r="E35" s="26">
        <v>2.2648083623693381E-2</v>
      </c>
      <c r="F35" s="26">
        <v>2.4054982817869417E-2</v>
      </c>
      <c r="G35" s="26">
        <v>2.3769100169779286E-2</v>
      </c>
      <c r="H35" s="26">
        <v>2.3450586264656615E-2</v>
      </c>
      <c r="I35" s="26">
        <v>2.3178807947019868E-2</v>
      </c>
      <c r="J35" s="26">
        <v>2.2913256955810153E-2</v>
      </c>
      <c r="K35" s="26">
        <v>2.2653721682847898E-2</v>
      </c>
      <c r="L35" s="26">
        <v>2.3923444976076555E-2</v>
      </c>
      <c r="M35" s="26">
        <v>2.365930599369085E-2</v>
      </c>
      <c r="N35" s="26">
        <v>2.336448598130841E-2</v>
      </c>
      <c r="O35" s="26">
        <v>2.3076923076923075E-2</v>
      </c>
      <c r="P35" s="26">
        <v>2.2831050228310501E-2</v>
      </c>
      <c r="Q35" s="26">
        <v>2.3988005997001498E-2</v>
      </c>
      <c r="R35" s="26">
        <v>2.3703703703703703E-2</v>
      </c>
      <c r="S35" s="26">
        <v>2.3426061493411421E-2</v>
      </c>
      <c r="T35" s="26">
        <v>2.3121387283236997E-2</v>
      </c>
      <c r="U35" s="26">
        <v>2.2857142857142857E-2</v>
      </c>
      <c r="V35" s="26">
        <v>2.3977433004231313E-2</v>
      </c>
      <c r="W35" s="26">
        <v>2.3676880222841229E-2</v>
      </c>
      <c r="X35" s="26">
        <v>2.3383768913342505E-2</v>
      </c>
      <c r="Y35" s="26">
        <v>2.3097826086956524E-2</v>
      </c>
      <c r="Z35" s="26">
        <v>2.2788203753351208E-2</v>
      </c>
      <c r="AA35" s="26">
        <v>2.3841059602649005E-2</v>
      </c>
      <c r="AB35" s="26">
        <v>2.3529411764705885E-2</v>
      </c>
      <c r="AC35" s="26">
        <v>2.3285899094437255E-2</v>
      </c>
      <c r="AD35" s="26">
        <v>2.2988505747126436E-2</v>
      </c>
      <c r="AE35" s="26">
        <v>2.3929471032745595E-2</v>
      </c>
      <c r="AF35" s="57">
        <v>2.36612702366127E-2</v>
      </c>
    </row>
    <row r="36" spans="1:32" s="20" customFormat="1">
      <c r="A36" s="24" t="s">
        <v>124</v>
      </c>
      <c r="B36" s="48" t="s">
        <v>82</v>
      </c>
      <c r="C36" s="56">
        <v>0.4285714285714286</v>
      </c>
      <c r="D36" s="26">
        <v>0.4285714285714286</v>
      </c>
      <c r="E36" s="26">
        <v>0.42857142857142855</v>
      </c>
      <c r="F36" s="26">
        <v>0.42783505154639179</v>
      </c>
      <c r="G36" s="26">
        <v>0.42784380305602715</v>
      </c>
      <c r="H36" s="26">
        <v>0.42881072026800665</v>
      </c>
      <c r="I36" s="26">
        <v>0.42880794701986752</v>
      </c>
      <c r="J36" s="26">
        <v>0.42880523731587566</v>
      </c>
      <c r="K36" s="26">
        <v>0.42880258899676377</v>
      </c>
      <c r="L36" s="26">
        <v>0.42902711323763959</v>
      </c>
      <c r="M36" s="26">
        <v>0.4290220820189275</v>
      </c>
      <c r="N36" s="26">
        <v>0.42834890965732086</v>
      </c>
      <c r="O36" s="26">
        <v>0.42923076923076925</v>
      </c>
      <c r="P36" s="26">
        <v>0.42922374429223742</v>
      </c>
      <c r="Q36" s="26">
        <v>0.4287856071964018</v>
      </c>
      <c r="R36" s="26">
        <v>0.42814814814814817</v>
      </c>
      <c r="S36" s="26">
        <v>0.42898975109809667</v>
      </c>
      <c r="T36" s="26">
        <v>0.42919075144508673</v>
      </c>
      <c r="U36" s="26">
        <v>0.42857142857142855</v>
      </c>
      <c r="V36" s="26">
        <v>0.42877291960507757</v>
      </c>
      <c r="W36" s="26">
        <v>0.42896935933147634</v>
      </c>
      <c r="X36" s="26">
        <v>0.42916093535075656</v>
      </c>
      <c r="Y36" s="26">
        <v>0.42934782608695654</v>
      </c>
      <c r="Z36" s="26">
        <v>0.42895442359249331</v>
      </c>
      <c r="AA36" s="26">
        <v>0.42913907284768216</v>
      </c>
      <c r="AB36" s="26">
        <v>0.42875816993464055</v>
      </c>
      <c r="AC36" s="26">
        <v>0.42949547218628714</v>
      </c>
      <c r="AD36" s="26">
        <v>0.42911877394636011</v>
      </c>
      <c r="AE36" s="26">
        <v>0.42821158690176325</v>
      </c>
      <c r="AF36" s="57">
        <v>0.42839352428393518</v>
      </c>
    </row>
    <row r="37" spans="1:32" s="20" customFormat="1">
      <c r="A37" s="27"/>
      <c r="B37" s="47" t="s">
        <v>83</v>
      </c>
      <c r="C37" s="56">
        <v>0.4285714285714286</v>
      </c>
      <c r="D37" s="26">
        <v>0.4285714285714286</v>
      </c>
      <c r="E37" s="26">
        <v>0.42857142857142855</v>
      </c>
      <c r="F37" s="26">
        <v>0.42783505154639179</v>
      </c>
      <c r="G37" s="26">
        <v>0.42784380305602715</v>
      </c>
      <c r="H37" s="26">
        <v>0.42881072026800665</v>
      </c>
      <c r="I37" s="26">
        <v>0.42880794701986752</v>
      </c>
      <c r="J37" s="26">
        <v>0.42880523731587566</v>
      </c>
      <c r="K37" s="26">
        <v>0.42880258899676377</v>
      </c>
      <c r="L37" s="26">
        <v>0.42902711323763959</v>
      </c>
      <c r="M37" s="26">
        <v>0.4290220820189275</v>
      </c>
      <c r="N37" s="26">
        <v>0.42834890965732086</v>
      </c>
      <c r="O37" s="26">
        <v>0.42923076923076925</v>
      </c>
      <c r="P37" s="26">
        <v>0.42922374429223742</v>
      </c>
      <c r="Q37" s="26">
        <v>0.4287856071964018</v>
      </c>
      <c r="R37" s="26">
        <v>0.42814814814814817</v>
      </c>
      <c r="S37" s="26">
        <v>0.42898975109809667</v>
      </c>
      <c r="T37" s="26">
        <v>0.42919075144508673</v>
      </c>
      <c r="U37" s="26">
        <v>0.42857142857142855</v>
      </c>
      <c r="V37" s="26">
        <v>0.42877291960507757</v>
      </c>
      <c r="W37" s="26">
        <v>0.42896935933147634</v>
      </c>
      <c r="X37" s="26">
        <v>0.42916093535075656</v>
      </c>
      <c r="Y37" s="26">
        <v>0.42934782608695654</v>
      </c>
      <c r="Z37" s="26">
        <v>0.42895442359249331</v>
      </c>
      <c r="AA37" s="26">
        <v>0.42913907284768216</v>
      </c>
      <c r="AB37" s="26">
        <v>0.42875816993464055</v>
      </c>
      <c r="AC37" s="26">
        <v>0.42949547218628714</v>
      </c>
      <c r="AD37" s="26">
        <v>0.42911877394636011</v>
      </c>
      <c r="AE37" s="26">
        <v>0.42821158690176325</v>
      </c>
      <c r="AF37" s="57">
        <v>0.42839352428393518</v>
      </c>
    </row>
    <row r="38" spans="1:32" s="20" customFormat="1">
      <c r="A38" s="58" t="s">
        <v>125</v>
      </c>
      <c r="B38" s="46" t="s">
        <v>82</v>
      </c>
      <c r="C38" s="5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57">
        <v>0</v>
      </c>
    </row>
    <row r="39" spans="1:32" s="20" customFormat="1" ht="13.5" thickBot="1">
      <c r="A39" s="59"/>
      <c r="B39" s="49" t="s">
        <v>83</v>
      </c>
      <c r="C39" s="60">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61">
        <v>0</v>
      </c>
    </row>
    <row r="40" spans="1:32" s="20" customFormat="1">
      <c r="A40" s="58" t="s">
        <v>85</v>
      </c>
      <c r="B40" s="46" t="s">
        <v>82</v>
      </c>
      <c r="C40" s="56">
        <v>1</v>
      </c>
      <c r="D40" s="33">
        <v>1</v>
      </c>
      <c r="E40" s="33">
        <v>1</v>
      </c>
      <c r="F40" s="33">
        <v>1</v>
      </c>
      <c r="G40" s="33">
        <v>1</v>
      </c>
      <c r="H40" s="33">
        <v>0.99999999999999978</v>
      </c>
      <c r="I40" s="33">
        <v>1</v>
      </c>
      <c r="J40" s="33">
        <v>1</v>
      </c>
      <c r="K40" s="33">
        <v>1</v>
      </c>
      <c r="L40" s="33">
        <v>1</v>
      </c>
      <c r="M40" s="33">
        <v>1</v>
      </c>
      <c r="N40" s="33">
        <v>1</v>
      </c>
      <c r="O40" s="33">
        <v>1</v>
      </c>
      <c r="P40" s="33">
        <v>0.99999999999999989</v>
      </c>
      <c r="Q40" s="33">
        <v>1</v>
      </c>
      <c r="R40" s="33">
        <v>0.99999999999999989</v>
      </c>
      <c r="S40" s="33">
        <v>1</v>
      </c>
      <c r="T40" s="33">
        <v>1</v>
      </c>
      <c r="U40" s="33">
        <v>1</v>
      </c>
      <c r="V40" s="33">
        <v>1</v>
      </c>
      <c r="W40" s="33">
        <v>1</v>
      </c>
      <c r="X40" s="33">
        <v>1</v>
      </c>
      <c r="Y40" s="33">
        <v>1</v>
      </c>
      <c r="Z40" s="33">
        <v>1</v>
      </c>
      <c r="AA40" s="33">
        <v>1</v>
      </c>
      <c r="AB40" s="33">
        <v>1</v>
      </c>
      <c r="AC40" s="33">
        <v>0.99999999999999989</v>
      </c>
      <c r="AD40" s="33">
        <v>0.99999999999999989</v>
      </c>
      <c r="AE40" s="33">
        <v>1</v>
      </c>
      <c r="AF40" s="33">
        <v>0.99999999999999989</v>
      </c>
    </row>
    <row r="41" spans="1:32" s="20" customFormat="1" ht="13.5" thickBot="1">
      <c r="A41" s="30"/>
      <c r="B41" s="49" t="s">
        <v>83</v>
      </c>
      <c r="C41" s="60">
        <v>1</v>
      </c>
      <c r="D41" s="34">
        <v>1</v>
      </c>
      <c r="E41" s="34">
        <v>1</v>
      </c>
      <c r="F41" s="34">
        <v>1</v>
      </c>
      <c r="G41" s="34">
        <v>1</v>
      </c>
      <c r="H41" s="34">
        <v>0.99999999999999978</v>
      </c>
      <c r="I41" s="34">
        <v>1</v>
      </c>
      <c r="J41" s="34">
        <v>1</v>
      </c>
      <c r="K41" s="34">
        <v>1</v>
      </c>
      <c r="L41" s="34">
        <v>1</v>
      </c>
      <c r="M41" s="34">
        <v>1</v>
      </c>
      <c r="N41" s="34">
        <v>1</v>
      </c>
      <c r="O41" s="34">
        <v>1</v>
      </c>
      <c r="P41" s="34">
        <v>0.99999999999999989</v>
      </c>
      <c r="Q41" s="34">
        <v>1</v>
      </c>
      <c r="R41" s="34">
        <v>0.99999999999999989</v>
      </c>
      <c r="S41" s="34">
        <v>1</v>
      </c>
      <c r="T41" s="34">
        <v>1</v>
      </c>
      <c r="U41" s="34">
        <v>1</v>
      </c>
      <c r="V41" s="34">
        <v>1</v>
      </c>
      <c r="W41" s="34">
        <v>1</v>
      </c>
      <c r="X41" s="34">
        <v>1</v>
      </c>
      <c r="Y41" s="34">
        <v>1</v>
      </c>
      <c r="Z41" s="34">
        <v>1</v>
      </c>
      <c r="AA41" s="34">
        <v>1</v>
      </c>
      <c r="AB41" s="34">
        <v>1</v>
      </c>
      <c r="AC41" s="34">
        <v>0.99999999999999989</v>
      </c>
      <c r="AD41" s="34">
        <v>0.99999999999999989</v>
      </c>
      <c r="AE41" s="34">
        <v>1</v>
      </c>
      <c r="AF41" s="34">
        <v>0.99999999999999989</v>
      </c>
    </row>
    <row r="43" spans="1:32">
      <c r="A43" s="14" t="s">
        <v>157</v>
      </c>
    </row>
    <row r="44" spans="1:32">
      <c r="A44" s="73" t="s">
        <v>156</v>
      </c>
      <c r="B44" s="74" t="s">
        <v>155</v>
      </c>
      <c r="C44" s="74" t="s">
        <v>68</v>
      </c>
      <c r="D44"/>
    </row>
    <row r="45" spans="1:32">
      <c r="A45" s="75" t="s">
        <v>70</v>
      </c>
      <c r="B45" s="74">
        <v>5.9700000000000006</v>
      </c>
      <c r="C45" s="132">
        <v>7.7081988379599746</v>
      </c>
      <c r="D45"/>
      <c r="F45"/>
    </row>
    <row r="46" spans="1:32">
      <c r="A46" s="75" t="s">
        <v>71</v>
      </c>
      <c r="B46" s="74">
        <v>8.8600000000000012</v>
      </c>
      <c r="C46" s="132">
        <v>11.439638476436413</v>
      </c>
      <c r="D46"/>
      <c r="F46"/>
    </row>
    <row r="47" spans="1:32">
      <c r="A47" s="75" t="s">
        <v>72</v>
      </c>
      <c r="B47" s="74">
        <v>10.47</v>
      </c>
      <c r="C47" s="132">
        <v>13.518398967075532</v>
      </c>
      <c r="D47"/>
      <c r="F47"/>
    </row>
    <row r="48" spans="1:32">
      <c r="A48" s="75" t="s">
        <v>74</v>
      </c>
      <c r="B48" s="74">
        <v>6.05</v>
      </c>
      <c r="C48" s="132">
        <v>7.8114912846998061</v>
      </c>
      <c r="D48"/>
      <c r="F48"/>
    </row>
    <row r="49" spans="1:6">
      <c r="A49" s="75" t="s">
        <v>69</v>
      </c>
      <c r="B49" s="74">
        <v>46.099999999999994</v>
      </c>
      <c r="C49" s="132">
        <v>59.52227243382827</v>
      </c>
      <c r="D49"/>
      <c r="F49"/>
    </row>
    <row r="50" spans="1:6">
      <c r="A50" s="74" t="s">
        <v>73</v>
      </c>
      <c r="B50" s="74">
        <v>77.45</v>
      </c>
      <c r="C50" s="132">
        <v>100</v>
      </c>
      <c r="D50"/>
      <c r="F50"/>
    </row>
    <row r="51" spans="1:6">
      <c r="F51"/>
    </row>
    <row r="52" spans="1:6">
      <c r="F52"/>
    </row>
    <row r="53" spans="1:6">
      <c r="F53"/>
    </row>
    <row r="54" spans="1:6">
      <c r="F54"/>
    </row>
    <row r="55" spans="1:6">
      <c r="F55"/>
    </row>
    <row r="56" spans="1:6">
      <c r="F56"/>
    </row>
    <row r="57" spans="1:6">
      <c r="F57"/>
    </row>
    <row r="58" spans="1:6">
      <c r="F58"/>
    </row>
    <row r="59" spans="1:6">
      <c r="F59"/>
    </row>
  </sheetData>
  <phoneticPr fontId="7" type="noConversion"/>
  <pageMargins left="0.75" right="0.75" top="1" bottom="1" header="0.5" footer="0.5"/>
  <pageSetup paperSize="10"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18"/>
  <sheetViews>
    <sheetView topLeftCell="A3" zoomScale="125" zoomScaleNormal="100" workbookViewId="0">
      <selection activeCell="D33" sqref="D33"/>
    </sheetView>
  </sheetViews>
  <sheetFormatPr defaultColWidth="11.42578125" defaultRowHeight="12.75"/>
  <cols>
    <col min="2" max="2" width="26.28515625" customWidth="1"/>
    <col min="3" max="3" width="13.85546875" customWidth="1"/>
    <col min="4" max="4" width="15" customWidth="1"/>
    <col min="5" max="5" width="13.140625" customWidth="1"/>
    <col min="7" max="7" width="19.42578125" bestFit="1" customWidth="1"/>
  </cols>
  <sheetData>
    <row r="1" spans="1:8">
      <c r="A1" s="72" t="s">
        <v>64</v>
      </c>
    </row>
    <row r="3" spans="1:8" s="78" customFormat="1">
      <c r="A3" s="78" t="s">
        <v>13</v>
      </c>
      <c r="B3" s="78" t="s">
        <v>14</v>
      </c>
      <c r="C3" s="78" t="s">
        <v>15</v>
      </c>
      <c r="D3" s="78" t="s">
        <v>16</v>
      </c>
      <c r="E3" s="78" t="s">
        <v>17</v>
      </c>
      <c r="F3" s="78" t="s">
        <v>18</v>
      </c>
      <c r="G3" s="78" t="s">
        <v>19</v>
      </c>
      <c r="H3" s="78" t="s">
        <v>20</v>
      </c>
    </row>
    <row r="4" spans="1:8">
      <c r="B4" t="s">
        <v>40</v>
      </c>
      <c r="H4" s="77"/>
    </row>
    <row r="5" spans="1:8">
      <c r="B5" t="s">
        <v>45</v>
      </c>
      <c r="C5" t="s">
        <v>44</v>
      </c>
      <c r="D5" t="s">
        <v>41</v>
      </c>
      <c r="E5" t="s">
        <v>42</v>
      </c>
      <c r="F5" t="s">
        <v>39</v>
      </c>
      <c r="G5" t="s">
        <v>43</v>
      </c>
      <c r="H5" s="77"/>
    </row>
    <row r="6" spans="1:8">
      <c r="B6" t="s">
        <v>49</v>
      </c>
      <c r="C6" t="s">
        <v>46</v>
      </c>
      <c r="D6" t="s">
        <v>47</v>
      </c>
      <c r="H6" s="77"/>
    </row>
    <row r="7" spans="1:8">
      <c r="D7" t="s">
        <v>48</v>
      </c>
      <c r="H7" s="77"/>
    </row>
    <row r="8" spans="1:8">
      <c r="A8" t="s">
        <v>55</v>
      </c>
      <c r="B8" t="s">
        <v>53</v>
      </c>
      <c r="C8" t="s">
        <v>50</v>
      </c>
      <c r="D8" t="s">
        <v>51</v>
      </c>
      <c r="G8" s="76" t="s">
        <v>54</v>
      </c>
      <c r="H8" s="77" t="s">
        <v>56</v>
      </c>
    </row>
    <row r="9" spans="1:8">
      <c r="D9" t="s">
        <v>52</v>
      </c>
      <c r="H9" s="77"/>
    </row>
    <row r="10" spans="1:8">
      <c r="A10" t="s">
        <v>12</v>
      </c>
      <c r="B10" t="s">
        <v>58</v>
      </c>
      <c r="C10" t="s">
        <v>57</v>
      </c>
      <c r="D10" t="s">
        <v>61</v>
      </c>
      <c r="H10" s="77" t="s">
        <v>59</v>
      </c>
    </row>
    <row r="11" spans="1:8">
      <c r="C11" t="s">
        <v>60</v>
      </c>
      <c r="D11" t="s">
        <v>62</v>
      </c>
      <c r="H11" s="77" t="s">
        <v>63</v>
      </c>
    </row>
    <row r="12" spans="1:8">
      <c r="A12" t="s">
        <v>12</v>
      </c>
      <c r="B12" t="s">
        <v>11</v>
      </c>
      <c r="C12" t="s">
        <v>65</v>
      </c>
      <c r="D12" t="s">
        <v>10</v>
      </c>
      <c r="H12" s="77" t="s">
        <v>163</v>
      </c>
    </row>
    <row r="13" spans="1:8">
      <c r="A13" t="s">
        <v>12</v>
      </c>
      <c r="B13" t="s">
        <v>21</v>
      </c>
      <c r="C13" t="s">
        <v>22</v>
      </c>
      <c r="D13" t="s">
        <v>23</v>
      </c>
      <c r="H13" s="77" t="s">
        <v>162</v>
      </c>
    </row>
    <row r="14" spans="1:8">
      <c r="H14" s="77" t="s">
        <v>164</v>
      </c>
    </row>
    <row r="15" spans="1:8">
      <c r="H15" s="77"/>
    </row>
    <row r="16" spans="1:8">
      <c r="H16" s="77"/>
    </row>
    <row r="17" spans="8:8">
      <c r="H17" s="77"/>
    </row>
    <row r="18" spans="8:8">
      <c r="H18" s="77"/>
    </row>
  </sheetData>
  <phoneticPr fontId="7" type="noConversion"/>
  <hyperlinks>
    <hyperlink ref="G8" r:id="rId1" xr:uid="{00000000-0004-0000-0900-000000000000}"/>
  </hyperlinks>
  <pageMargins left="0.75" right="0.75" top="1" bottom="1" header="0.5" footer="0.5"/>
  <pageSetup paperSize="10" orientation="portrait" horizontalDpi="4294967292" verticalDpi="429496729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B3:C12"/>
  <sheetViews>
    <sheetView workbookViewId="0">
      <selection activeCell="C9" sqref="C9"/>
    </sheetView>
  </sheetViews>
  <sheetFormatPr defaultRowHeight="12.75"/>
  <cols>
    <col min="2" max="2" width="24.5703125" customWidth="1"/>
    <col min="3" max="3" width="26.42578125" customWidth="1"/>
  </cols>
  <sheetData>
    <row r="3" spans="2:3">
      <c r="B3" s="62" t="s">
        <v>148</v>
      </c>
      <c r="C3" s="64" t="s">
        <v>388</v>
      </c>
    </row>
    <row r="4" spans="2:3">
      <c r="B4" s="64" t="s">
        <v>149</v>
      </c>
      <c r="C4" s="63"/>
    </row>
    <row r="5" spans="2:3">
      <c r="B5" s="63" t="s">
        <v>150</v>
      </c>
      <c r="C5" s="65">
        <v>804.7</v>
      </c>
    </row>
    <row r="6" spans="2:3">
      <c r="B6" s="63" t="s">
        <v>151</v>
      </c>
      <c r="C6" s="65">
        <v>0</v>
      </c>
    </row>
    <row r="7" spans="2:3">
      <c r="B7" s="63" t="s">
        <v>152</v>
      </c>
      <c r="C7" s="65">
        <v>0</v>
      </c>
    </row>
    <row r="8" spans="2:3">
      <c r="B8" s="63" t="s">
        <v>24</v>
      </c>
      <c r="C8" s="65">
        <v>2830.48859519711</v>
      </c>
    </row>
    <row r="9" spans="2:3">
      <c r="B9" s="63" t="s">
        <v>25</v>
      </c>
      <c r="C9" s="65">
        <v>27936.051431163502</v>
      </c>
    </row>
    <row r="10" spans="2:3">
      <c r="B10" s="63" t="s">
        <v>26</v>
      </c>
      <c r="C10" s="65">
        <v>0</v>
      </c>
    </row>
    <row r="11" spans="2:3">
      <c r="B11" s="63" t="s">
        <v>134</v>
      </c>
      <c r="C11" s="65">
        <v>17140.014275167501</v>
      </c>
    </row>
    <row r="12" spans="2:3">
      <c r="B12" s="66" t="s">
        <v>27</v>
      </c>
      <c r="C12" s="67">
        <f>SUM(C5:C11)</f>
        <v>48711.254301528112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B1"/>
  <sheetViews>
    <sheetView workbookViewId="0">
      <pane ySplit="1" topLeftCell="A2" activePane="bottomLeft" state="frozen"/>
      <selection activeCell="B3" sqref="B3"/>
      <selection pane="bottomLeft" activeCell="B1" sqref="B1"/>
    </sheetView>
  </sheetViews>
  <sheetFormatPr defaultColWidth="9.140625" defaultRowHeight="11.25"/>
  <cols>
    <col min="1" max="1" width="12.140625" style="137" customWidth="1"/>
    <col min="2" max="2" width="42.5703125" style="137" customWidth="1"/>
    <col min="3" max="3" width="28.5703125" style="137" customWidth="1"/>
    <col min="4" max="4" width="21.7109375" style="137" customWidth="1"/>
    <col min="5" max="16384" width="9.140625" style="137"/>
  </cols>
  <sheetData>
    <row r="1" spans="1:2">
      <c r="A1" s="136" t="s">
        <v>216</v>
      </c>
      <c r="B1" s="137" t="s">
        <v>217</v>
      </c>
    </row>
  </sheetData>
  <pageMargins left="0.75" right="0.75" top="1" bottom="1" header="0.5" footer="0.5"/>
  <pageSetup paperSize="9" orientation="portrait" horizontalDpi="1200" verticalDpi="0"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2:J79"/>
  <sheetViews>
    <sheetView zoomScale="70" zoomScaleNormal="70" workbookViewId="0">
      <selection activeCell="C57" sqref="C57"/>
    </sheetView>
  </sheetViews>
  <sheetFormatPr defaultColWidth="10.85546875" defaultRowHeight="12.75"/>
  <cols>
    <col min="1" max="1" width="39.140625" style="14" customWidth="1"/>
    <col min="2" max="2" width="36.28515625" style="14" customWidth="1"/>
    <col min="3" max="3" width="27" style="14" customWidth="1"/>
    <col min="4" max="4" width="23.7109375" style="14" customWidth="1"/>
    <col min="5" max="5" width="10.85546875" style="14"/>
    <col min="6" max="6" width="14.28515625" style="14" customWidth="1"/>
    <col min="7" max="9" width="13.7109375" style="14" customWidth="1"/>
    <col min="10" max="16384" width="10.85546875" style="14"/>
  </cols>
  <sheetData>
    <row r="2" spans="1:10">
      <c r="A2" s="18"/>
    </row>
    <row r="4" spans="1:10">
      <c r="A4" s="62" t="s">
        <v>148</v>
      </c>
      <c r="B4" s="64" t="s">
        <v>387</v>
      </c>
      <c r="G4" s="15"/>
      <c r="H4" s="15"/>
      <c r="I4" s="15"/>
      <c r="J4" s="15"/>
    </row>
    <row r="5" spans="1:10">
      <c r="A5" s="64" t="s">
        <v>149</v>
      </c>
      <c r="B5" s="63"/>
      <c r="G5" s="16"/>
      <c r="H5" s="16"/>
      <c r="I5" s="16"/>
      <c r="J5" s="15"/>
    </row>
    <row r="6" spans="1:10">
      <c r="A6" s="63" t="s">
        <v>150</v>
      </c>
      <c r="B6" s="65">
        <v>804.7</v>
      </c>
      <c r="G6" s="16"/>
      <c r="H6" s="16"/>
      <c r="I6" s="16"/>
      <c r="J6" s="15"/>
    </row>
    <row r="7" spans="1:10">
      <c r="A7" s="63" t="s">
        <v>151</v>
      </c>
      <c r="B7" s="65">
        <v>0</v>
      </c>
      <c r="G7" s="16"/>
      <c r="H7" s="16"/>
      <c r="I7" s="16"/>
      <c r="J7" s="15"/>
    </row>
    <row r="8" spans="1:10">
      <c r="A8" s="63" t="s">
        <v>152</v>
      </c>
      <c r="B8" s="65">
        <v>0</v>
      </c>
      <c r="G8" s="16"/>
      <c r="H8" s="16"/>
      <c r="I8" s="16"/>
      <c r="J8" s="15"/>
    </row>
    <row r="9" spans="1:10">
      <c r="A9" s="63" t="s">
        <v>24</v>
      </c>
      <c r="B9" s="65">
        <v>2830.48859519711</v>
      </c>
      <c r="G9" s="16"/>
      <c r="H9" s="16"/>
      <c r="I9" s="16"/>
      <c r="J9" s="15"/>
    </row>
    <row r="10" spans="1:10">
      <c r="A10" s="63" t="s">
        <v>25</v>
      </c>
      <c r="B10" s="65">
        <v>27936.051431163502</v>
      </c>
      <c r="G10" s="16"/>
      <c r="H10" s="16"/>
      <c r="I10" s="16"/>
      <c r="J10" s="15"/>
    </row>
    <row r="11" spans="1:10">
      <c r="A11" s="63" t="s">
        <v>26</v>
      </c>
      <c r="B11" s="65">
        <v>0</v>
      </c>
      <c r="G11" s="16"/>
      <c r="H11" s="16"/>
      <c r="I11" s="16"/>
      <c r="J11" s="15"/>
    </row>
    <row r="12" spans="1:10">
      <c r="A12" s="63" t="s">
        <v>134</v>
      </c>
      <c r="B12" s="65">
        <v>17140.014275167501</v>
      </c>
      <c r="G12" s="16"/>
      <c r="H12" s="16"/>
      <c r="I12" s="16"/>
      <c r="J12" s="16"/>
    </row>
    <row r="13" spans="1:10">
      <c r="A13" s="66" t="s">
        <v>27</v>
      </c>
      <c r="B13" s="67">
        <f>SUM(B6:B12)</f>
        <v>48711.254301528112</v>
      </c>
      <c r="G13" s="16"/>
      <c r="H13" s="16"/>
      <c r="I13" s="17"/>
      <c r="J13" s="15"/>
    </row>
    <row r="14" spans="1:10">
      <c r="G14" s="15"/>
      <c r="H14" s="15"/>
      <c r="I14" s="15"/>
      <c r="J14" s="15"/>
    </row>
    <row r="15" spans="1:10">
      <c r="G15" s="15"/>
      <c r="H15" s="15"/>
      <c r="I15" s="15"/>
      <c r="J15" s="15"/>
    </row>
    <row r="16" spans="1:10">
      <c r="A16" s="68"/>
      <c r="B16" s="69" t="s">
        <v>378</v>
      </c>
      <c r="C16" s="252" t="s">
        <v>386</v>
      </c>
      <c r="D16" s="14" t="s">
        <v>215</v>
      </c>
      <c r="G16" s="15"/>
      <c r="H16" s="15"/>
      <c r="I16" s="15"/>
      <c r="J16" s="15"/>
    </row>
    <row r="17" spans="1:10">
      <c r="A17" s="68" t="s">
        <v>126</v>
      </c>
      <c r="B17" s="249">
        <f>'Appendix 5'!C49</f>
        <v>59.52227243382827</v>
      </c>
      <c r="C17" s="70">
        <f t="shared" ref="C17:C22" si="0">(B17/100)*$B$13</f>
        <v>28994.045491290457</v>
      </c>
      <c r="D17" s="134">
        <f>C17+C61</f>
        <v>29023.938426997709</v>
      </c>
      <c r="G17" s="15"/>
      <c r="H17" s="15"/>
      <c r="I17" s="15"/>
      <c r="J17" s="15"/>
    </row>
    <row r="18" spans="1:10">
      <c r="A18" s="68" t="s">
        <v>127</v>
      </c>
      <c r="B18" s="249">
        <f>'Appendix 5'!C46</f>
        <v>11.439638476436413</v>
      </c>
      <c r="C18" s="70">
        <f t="shared" si="0"/>
        <v>5572.3913894323969</v>
      </c>
      <c r="D18" s="134">
        <f>C18+C61</f>
        <v>5602.2843251396489</v>
      </c>
    </row>
    <row r="19" spans="1:10">
      <c r="A19" s="68" t="s">
        <v>90</v>
      </c>
      <c r="B19" s="249">
        <f>'Appendix 5'!C45</f>
        <v>7.7081988379599746</v>
      </c>
      <c r="C19" s="70">
        <f t="shared" si="0"/>
        <v>3754.760338026118</v>
      </c>
      <c r="D19" s="134">
        <f>B59</f>
        <v>3635.1885951971099</v>
      </c>
    </row>
    <row r="20" spans="1:10">
      <c r="A20" s="68" t="s">
        <v>91</v>
      </c>
      <c r="B20" s="249">
        <f>'Appendix 5'!C48</f>
        <v>7.8114912846998061</v>
      </c>
      <c r="C20" s="70">
        <f t="shared" si="0"/>
        <v>3805.0753844318278</v>
      </c>
      <c r="D20" s="134">
        <f>C20+C61</f>
        <v>3834.9683201390799</v>
      </c>
    </row>
    <row r="21" spans="1:10">
      <c r="A21" s="68" t="s">
        <v>128</v>
      </c>
      <c r="B21" s="249">
        <f>'Appendix 5'!C47</f>
        <v>13.518398967075532</v>
      </c>
      <c r="C21" s="70">
        <f t="shared" si="0"/>
        <v>6584.981698347312</v>
      </c>
      <c r="D21" s="134">
        <f>C21+C61</f>
        <v>6614.874634054564</v>
      </c>
    </row>
    <row r="22" spans="1:10">
      <c r="A22" s="69" t="s">
        <v>89</v>
      </c>
      <c r="B22" s="71">
        <f>SUM(B17:B21)</f>
        <v>99.999999999999986</v>
      </c>
      <c r="C22" s="70">
        <f t="shared" si="0"/>
        <v>48711.254301528104</v>
      </c>
      <c r="D22" s="135">
        <f>SUM(D17:D21)</f>
        <v>48711.254301528112</v>
      </c>
    </row>
    <row r="23" spans="1:10">
      <c r="B23" s="14" t="s">
        <v>158</v>
      </c>
      <c r="I23" s="250"/>
      <c r="J23" s="228" t="s">
        <v>377</v>
      </c>
    </row>
    <row r="25" spans="1:10">
      <c r="I25" s="18" t="s">
        <v>374</v>
      </c>
    </row>
    <row r="26" spans="1:10">
      <c r="A26" s="68"/>
      <c r="B26" s="69" t="s">
        <v>389</v>
      </c>
      <c r="C26" s="69" t="s">
        <v>390</v>
      </c>
      <c r="D26" s="69" t="s">
        <v>165</v>
      </c>
      <c r="E26" s="218" t="s">
        <v>257</v>
      </c>
    </row>
    <row r="27" spans="1:10" ht="14.25">
      <c r="A27" s="63" t="s">
        <v>159</v>
      </c>
      <c r="B27" s="68">
        <v>1</v>
      </c>
      <c r="C27" s="71">
        <f>+B10-C29</f>
        <v>27207.754468895346</v>
      </c>
      <c r="D27" s="219">
        <v>0.35</v>
      </c>
      <c r="E27" s="14">
        <v>15</v>
      </c>
      <c r="I27" s="248" t="s">
        <v>367</v>
      </c>
      <c r="J27" s="248" t="s">
        <v>380</v>
      </c>
    </row>
    <row r="28" spans="1:10" ht="14.25">
      <c r="A28" s="63" t="s">
        <v>160</v>
      </c>
      <c r="B28" s="68">
        <v>0</v>
      </c>
      <c r="C28" s="71">
        <f>+B8-C31</f>
        <v>0</v>
      </c>
      <c r="D28" s="219">
        <v>0.25</v>
      </c>
      <c r="E28" s="134">
        <v>15</v>
      </c>
      <c r="F28" s="134">
        <f>SUM(C27:C28)</f>
        <v>27207.754468895346</v>
      </c>
      <c r="I28" s="14" t="s">
        <v>368</v>
      </c>
      <c r="J28" s="228" t="s">
        <v>369</v>
      </c>
    </row>
    <row r="29" spans="1:10" ht="14.25">
      <c r="A29" s="63" t="s">
        <v>95</v>
      </c>
      <c r="B29" s="265">
        <v>0.13</v>
      </c>
      <c r="C29" s="71">
        <f>B29*D18</f>
        <v>728.2969622681544</v>
      </c>
      <c r="D29" s="219">
        <v>0.35</v>
      </c>
      <c r="E29" s="14">
        <f>+'Appendix 1'!H45</f>
        <v>15</v>
      </c>
      <c r="I29" s="14" t="s">
        <v>370</v>
      </c>
      <c r="J29" s="228" t="s">
        <v>375</v>
      </c>
    </row>
    <row r="30" spans="1:10" ht="14.25">
      <c r="A30" s="130" t="s">
        <v>94</v>
      </c>
      <c r="B30" s="265">
        <v>0.87</v>
      </c>
      <c r="C30" s="131">
        <f>B30*D18</f>
        <v>4873.987362871495</v>
      </c>
      <c r="D30" s="219">
        <v>0.95</v>
      </c>
      <c r="E30" s="14">
        <f>+'Appendix 1'!H46</f>
        <v>15</v>
      </c>
      <c r="I30" s="228" t="s">
        <v>371</v>
      </c>
      <c r="J30" s="14" t="s">
        <v>372</v>
      </c>
    </row>
    <row r="31" spans="1:10" ht="14.25">
      <c r="A31" s="63" t="s">
        <v>96</v>
      </c>
      <c r="B31" s="265">
        <v>0</v>
      </c>
      <c r="C31" s="71">
        <f>B31*D18</f>
        <v>0</v>
      </c>
      <c r="D31" s="219">
        <v>0.25</v>
      </c>
      <c r="E31" s="14">
        <f>+'Appendix 1'!H47</f>
        <v>15</v>
      </c>
      <c r="F31" s="134">
        <f>SUM(C29:C31)</f>
        <v>5602.2843251396498</v>
      </c>
      <c r="I31" s="228" t="s">
        <v>376</v>
      </c>
      <c r="J31" s="14" t="s">
        <v>373</v>
      </c>
    </row>
    <row r="32" spans="1:10">
      <c r="A32" s="63" t="s">
        <v>28</v>
      </c>
      <c r="B32" s="68"/>
      <c r="C32" s="70">
        <f>B6</f>
        <v>804.7</v>
      </c>
      <c r="D32" s="220">
        <v>0.65</v>
      </c>
      <c r="E32" s="14">
        <f>+'Appendix 1'!H55</f>
        <v>15</v>
      </c>
    </row>
    <row r="33" spans="1:9">
      <c r="A33" s="63" t="s">
        <v>29</v>
      </c>
      <c r="B33" s="68"/>
      <c r="C33" s="70">
        <f>B11</f>
        <v>0</v>
      </c>
      <c r="D33" s="220">
        <v>0.7</v>
      </c>
      <c r="E33" s="14">
        <f>+'Appendix 1'!H56</f>
        <v>15</v>
      </c>
    </row>
    <row r="34" spans="1:9">
      <c r="A34" s="63" t="s">
        <v>30</v>
      </c>
      <c r="B34" s="68"/>
      <c r="C34" s="70">
        <f>B7</f>
        <v>0</v>
      </c>
      <c r="D34" s="220">
        <v>0.75</v>
      </c>
      <c r="E34" s="14">
        <f>+'Appendix 1'!H57</f>
        <v>15</v>
      </c>
    </row>
    <row r="35" spans="1:9">
      <c r="A35" s="63" t="s">
        <v>31</v>
      </c>
      <c r="B35" s="68"/>
      <c r="C35" s="70">
        <f>B9</f>
        <v>2830.48859519711</v>
      </c>
      <c r="D35" s="220">
        <v>0.7</v>
      </c>
      <c r="E35" s="14">
        <f>+'Appendix 1'!H58</f>
        <v>15</v>
      </c>
      <c r="F35" s="134">
        <f>SUM(C32:C35)</f>
        <v>3635.1885951971099</v>
      </c>
    </row>
    <row r="36" spans="1:9">
      <c r="A36" s="63" t="s">
        <v>93</v>
      </c>
      <c r="B36" s="68"/>
      <c r="C36" s="70">
        <f>D20</f>
        <v>3834.9683201390799</v>
      </c>
      <c r="D36" s="219">
        <f>1</f>
        <v>1</v>
      </c>
      <c r="E36" s="14">
        <v>15</v>
      </c>
    </row>
    <row r="37" spans="1:9">
      <c r="A37" s="63" t="s">
        <v>35</v>
      </c>
      <c r="B37" s="68"/>
      <c r="C37" s="70">
        <f>+B12-C36-C30</f>
        <v>8431.0585921569254</v>
      </c>
      <c r="D37" s="219">
        <f>1</f>
        <v>1</v>
      </c>
      <c r="E37" s="14">
        <v>15</v>
      </c>
      <c r="F37" s="215">
        <f>SUM(F28:F35)+C36+C37</f>
        <v>48711.254301528112</v>
      </c>
    </row>
    <row r="38" spans="1:9">
      <c r="A38" s="64" t="s">
        <v>67</v>
      </c>
      <c r="B38" s="69"/>
      <c r="C38" s="69">
        <f>SUM(C27:C37)</f>
        <v>48711.254301528112</v>
      </c>
      <c r="D38" s="219"/>
    </row>
    <row r="41" spans="1:9">
      <c r="A41" s="216" t="s">
        <v>339</v>
      </c>
    </row>
    <row r="42" spans="1:9">
      <c r="A42" s="68"/>
      <c r="B42" s="69" t="str">
        <f>+AGR!C5</f>
        <v>Coal</v>
      </c>
      <c r="C42" s="69" t="str">
        <f>+AGR!D5</f>
        <v>Oil Diesel</v>
      </c>
      <c r="D42" s="69" t="str">
        <f>+AGR!E5</f>
        <v>Electricity</v>
      </c>
      <c r="E42" s="69" t="e">
        <f>+AGR!#REF!</f>
        <v>#REF!</v>
      </c>
      <c r="F42" s="69" t="str">
        <f>+AGR!F5</f>
        <v>Oil Gasoline</v>
      </c>
      <c r="G42" s="69" t="str">
        <f>+AGR!G5</f>
        <v>Oil HFO</v>
      </c>
      <c r="H42" s="69" t="str">
        <f>+AGR!H5</f>
        <v>Oil Paraffin</v>
      </c>
      <c r="I42" s="69" t="str">
        <f>+AGR!I5</f>
        <v>Oil LPG</v>
      </c>
    </row>
    <row r="43" spans="1:9">
      <c r="A43" s="69" t="s">
        <v>118</v>
      </c>
      <c r="B43" s="133">
        <f>+C32/B6</f>
        <v>1</v>
      </c>
      <c r="C43" s="133"/>
      <c r="D43" s="133"/>
      <c r="E43" s="133"/>
      <c r="F43" s="133"/>
      <c r="G43" s="133">
        <v>0</v>
      </c>
      <c r="H43" s="133">
        <f>+C35/B9</f>
        <v>1</v>
      </c>
      <c r="I43" s="133">
        <v>0</v>
      </c>
    </row>
    <row r="44" spans="1:9">
      <c r="A44" s="69" t="s">
        <v>210</v>
      </c>
      <c r="B44" s="133"/>
      <c r="C44" s="133"/>
      <c r="D44" s="133">
        <f>+C36/B12</f>
        <v>0.22374358962437926</v>
      </c>
      <c r="E44" s="133"/>
      <c r="F44" s="133"/>
      <c r="G44" s="133"/>
      <c r="H44" s="133"/>
      <c r="I44" s="133"/>
    </row>
    <row r="45" spans="1:9">
      <c r="A45" s="69" t="s">
        <v>333</v>
      </c>
      <c r="B45" s="133"/>
      <c r="C45" s="133">
        <f>+C27/B10</f>
        <v>0.97392985318405745</v>
      </c>
      <c r="D45" s="133"/>
      <c r="E45" s="133"/>
      <c r="F45" s="133">
        <v>0</v>
      </c>
      <c r="G45" s="133"/>
      <c r="H45" s="133"/>
      <c r="I45" s="133"/>
    </row>
    <row r="46" spans="1:9">
      <c r="A46" s="69" t="s">
        <v>79</v>
      </c>
      <c r="B46" s="133"/>
      <c r="C46" s="133">
        <f>+C29/B10</f>
        <v>2.6070146815942549E-2</v>
      </c>
      <c r="D46" s="133">
        <f>+C30/B12</f>
        <v>0.28436308655430592</v>
      </c>
      <c r="E46" s="133"/>
      <c r="F46" s="133">
        <v>0</v>
      </c>
      <c r="G46" s="133"/>
      <c r="H46" s="133"/>
      <c r="I46" s="133"/>
    </row>
    <row r="47" spans="1:9">
      <c r="A47" s="69" t="s">
        <v>116</v>
      </c>
      <c r="B47" s="133"/>
      <c r="C47" s="133"/>
      <c r="D47" s="133">
        <f>+C37/B12</f>
        <v>0.49189332382131479</v>
      </c>
      <c r="E47" s="133"/>
      <c r="F47" s="133"/>
      <c r="G47" s="133"/>
      <c r="H47" s="133"/>
      <c r="I47" s="133"/>
    </row>
    <row r="59" spans="1:3">
      <c r="A59" s="259" t="s">
        <v>161</v>
      </c>
      <c r="B59" s="260">
        <f>SUM(C32:C35)</f>
        <v>3635.1885951971099</v>
      </c>
    </row>
    <row r="60" spans="1:3">
      <c r="A60" s="261"/>
      <c r="B60" s="260">
        <f>C19</f>
        <v>3754.760338026118</v>
      </c>
    </row>
    <row r="61" spans="1:3">
      <c r="A61" s="261"/>
      <c r="B61" s="262">
        <f>B60-B59</f>
        <v>119.57174282900814</v>
      </c>
      <c r="C61" s="261">
        <f>B61/4</f>
        <v>29.892935707252036</v>
      </c>
    </row>
    <row r="64" spans="1:3">
      <c r="A64" s="74"/>
      <c r="B64" s="102" t="s">
        <v>171</v>
      </c>
    </row>
    <row r="65" spans="1:3">
      <c r="A65" s="74" t="s">
        <v>166</v>
      </c>
      <c r="B65" s="70">
        <f>C27*D27</f>
        <v>9522.7140641133701</v>
      </c>
    </row>
    <row r="66" spans="1:3">
      <c r="A66" s="74" t="s">
        <v>167</v>
      </c>
      <c r="B66" s="70">
        <f t="shared" ref="B66:B75" si="1">C28*D28</f>
        <v>0</v>
      </c>
      <c r="C66"/>
    </row>
    <row r="67" spans="1:3">
      <c r="A67" s="74" t="s">
        <v>168</v>
      </c>
      <c r="B67" s="70">
        <f t="shared" si="1"/>
        <v>254.90393679385403</v>
      </c>
      <c r="C67"/>
    </row>
    <row r="68" spans="1:3">
      <c r="A68" s="74" t="s">
        <v>169</v>
      </c>
      <c r="B68" s="70">
        <f t="shared" si="1"/>
        <v>4630.2879947279198</v>
      </c>
      <c r="C68"/>
    </row>
    <row r="69" spans="1:3">
      <c r="A69" s="74" t="s">
        <v>170</v>
      </c>
      <c r="B69" s="70">
        <f t="shared" si="1"/>
        <v>0</v>
      </c>
      <c r="C69"/>
    </row>
    <row r="70" spans="1:3">
      <c r="A70" s="74" t="s">
        <v>28</v>
      </c>
      <c r="B70" s="70">
        <f t="shared" si="1"/>
        <v>523.05500000000006</v>
      </c>
      <c r="C70"/>
    </row>
    <row r="71" spans="1:3">
      <c r="A71" s="74" t="s">
        <v>29</v>
      </c>
      <c r="B71" s="70">
        <f t="shared" si="1"/>
        <v>0</v>
      </c>
      <c r="C71"/>
    </row>
    <row r="72" spans="1:3">
      <c r="A72" s="74" t="s">
        <v>30</v>
      </c>
      <c r="B72" s="70">
        <f t="shared" si="1"/>
        <v>0</v>
      </c>
      <c r="C72"/>
    </row>
    <row r="73" spans="1:3">
      <c r="A73" s="74" t="s">
        <v>31</v>
      </c>
      <c r="B73" s="70">
        <f t="shared" si="1"/>
        <v>1981.3420166379769</v>
      </c>
      <c r="C73"/>
    </row>
    <row r="74" spans="1:3">
      <c r="A74" s="74" t="s">
        <v>92</v>
      </c>
      <c r="B74" s="70">
        <f t="shared" si="1"/>
        <v>3834.9683201390799</v>
      </c>
      <c r="C74"/>
    </row>
    <row r="75" spans="1:3">
      <c r="A75" s="74" t="s">
        <v>35</v>
      </c>
      <c r="B75" s="70">
        <f t="shared" si="1"/>
        <v>8431.0585921569254</v>
      </c>
      <c r="C75"/>
    </row>
    <row r="76" spans="1:3">
      <c r="A76" s="74" t="s">
        <v>67</v>
      </c>
      <c r="B76" s="70">
        <f>SUM(B65:B75)</f>
        <v>29178.329924569127</v>
      </c>
      <c r="C76"/>
    </row>
    <row r="77" spans="1:3">
      <c r="A77"/>
      <c r="B77"/>
      <c r="C77"/>
    </row>
    <row r="78" spans="1:3">
      <c r="C78"/>
    </row>
    <row r="79" spans="1:3">
      <c r="C79"/>
    </row>
  </sheetData>
  <phoneticPr fontId="7" type="noConversion"/>
  <pageMargins left="0.75" right="0.75" top="1" bottom="1" header="0.5" footer="0.5"/>
  <pageSetup paperSize="10" orientation="portrait" horizontalDpi="4294967292" verticalDpi="4294967292"/>
  <headerFooter alignWithMargins="0"/>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N10"/>
  <sheetViews>
    <sheetView workbookViewId="0">
      <selection activeCell="G22" sqref="G22"/>
    </sheetView>
  </sheetViews>
  <sheetFormatPr defaultRowHeight="12.75"/>
  <cols>
    <col min="2" max="2" width="8.85546875" bestFit="1" customWidth="1"/>
    <col min="3" max="7" width="12.5703125" bestFit="1" customWidth="1"/>
    <col min="8" max="9" width="13.5703125" bestFit="1" customWidth="1"/>
  </cols>
  <sheetData>
    <row r="1" spans="1:14" ht="13.5" thickBot="1">
      <c r="A1" s="100" t="s">
        <v>397</v>
      </c>
      <c r="E1">
        <v>2012</v>
      </c>
      <c r="F1">
        <v>2015</v>
      </c>
      <c r="G1">
        <v>2020</v>
      </c>
      <c r="H1">
        <v>2025</v>
      </c>
      <c r="I1">
        <v>2030</v>
      </c>
      <c r="J1">
        <v>2035</v>
      </c>
      <c r="K1">
        <v>2040</v>
      </c>
      <c r="L1">
        <v>2045</v>
      </c>
      <c r="M1">
        <v>2050</v>
      </c>
    </row>
    <row r="2" spans="1:14" ht="13.5" thickBot="1">
      <c r="B2" s="100" t="s">
        <v>396</v>
      </c>
      <c r="C2" s="309" t="s">
        <v>398</v>
      </c>
      <c r="D2" s="310"/>
      <c r="E2" s="271">
        <v>-27.69</v>
      </c>
      <c r="F2" s="271">
        <v>-27.03</v>
      </c>
      <c r="G2" s="271">
        <v>-26.98</v>
      </c>
      <c r="H2" s="271">
        <v>-35.29</v>
      </c>
      <c r="I2" s="271">
        <v>-40.58</v>
      </c>
      <c r="J2" s="271">
        <v>-45.79</v>
      </c>
      <c r="K2" s="271">
        <v>-50.04</v>
      </c>
      <c r="L2" s="271">
        <v>-46.5</v>
      </c>
      <c r="M2" s="271">
        <v>-42.81</v>
      </c>
      <c r="N2" s="272">
        <v>-342.72</v>
      </c>
    </row>
    <row r="5" spans="1:14" ht="15">
      <c r="B5" s="100" t="s">
        <v>399</v>
      </c>
      <c r="C5" s="100" t="s">
        <v>400</v>
      </c>
      <c r="F5" s="273">
        <v>0</v>
      </c>
      <c r="G5" s="274">
        <v>16986919.348268345</v>
      </c>
      <c r="H5" s="274">
        <v>35510238.36170876</v>
      </c>
      <c r="I5" s="274">
        <v>54033557.375149176</v>
      </c>
      <c r="J5" s="274">
        <v>75424578.451194376</v>
      </c>
      <c r="K5" s="274">
        <v>96815599.527239576</v>
      </c>
      <c r="L5" s="274">
        <v>110260843.78994747</v>
      </c>
      <c r="M5" s="274">
        <v>123706088.05265535</v>
      </c>
    </row>
    <row r="6" spans="1:14">
      <c r="C6" s="100" t="s">
        <v>187</v>
      </c>
      <c r="D6">
        <v>38.6</v>
      </c>
      <c r="G6" s="275">
        <f>G5*$D$6/1000000000</f>
        <v>0.65569508684315814</v>
      </c>
      <c r="H6" s="275">
        <f t="shared" ref="H6:M6" si="0">H5*$D$6/1000000000</f>
        <v>1.3706952007619582</v>
      </c>
      <c r="I6" s="275">
        <f t="shared" si="0"/>
        <v>2.0856953146807582</v>
      </c>
      <c r="J6" s="275">
        <f t="shared" si="0"/>
        <v>2.9113887282161031</v>
      </c>
      <c r="K6" s="275">
        <f t="shared" si="0"/>
        <v>3.7370821417514475</v>
      </c>
      <c r="L6" s="275">
        <f t="shared" si="0"/>
        <v>4.2560685702919718</v>
      </c>
      <c r="M6" s="275">
        <f t="shared" si="0"/>
        <v>4.7750549988324966</v>
      </c>
    </row>
    <row r="9" spans="1:14">
      <c r="G9" s="266">
        <f>-G6/G2</f>
        <v>2.4303005442667093E-2</v>
      </c>
      <c r="H9" s="266">
        <f t="shared" ref="H9:M9" si="1">-H6/H2</f>
        <v>3.8840895459392413E-2</v>
      </c>
      <c r="I9" s="266">
        <f t="shared" si="1"/>
        <v>5.1397124560886111E-2</v>
      </c>
      <c r="J9" s="266">
        <f t="shared" si="1"/>
        <v>6.3581321865387702E-2</v>
      </c>
      <c r="K9" s="266">
        <f t="shared" si="1"/>
        <v>7.4681897317175214E-2</v>
      </c>
      <c r="L9" s="266">
        <f t="shared" si="1"/>
        <v>9.1528356350364992E-2</v>
      </c>
      <c r="M9" s="266">
        <f t="shared" si="1"/>
        <v>0.11154064468190834</v>
      </c>
    </row>
    <row r="10" spans="1:14">
      <c r="A10" s="100" t="s">
        <v>401</v>
      </c>
      <c r="B10" t="b">
        <v>1</v>
      </c>
      <c r="G10">
        <f>IF($B$10,G9,0)</f>
        <v>2.4303005442667093E-2</v>
      </c>
      <c r="H10">
        <f t="shared" ref="H10:M10" si="2">IF($B$10,H9,0)</f>
        <v>3.8840895459392413E-2</v>
      </c>
      <c r="I10">
        <f t="shared" si="2"/>
        <v>5.1397124560886111E-2</v>
      </c>
      <c r="J10">
        <f t="shared" si="2"/>
        <v>6.3581321865387702E-2</v>
      </c>
      <c r="K10">
        <f t="shared" si="2"/>
        <v>7.4681897317175214E-2</v>
      </c>
      <c r="L10">
        <f t="shared" si="2"/>
        <v>9.1528356350364992E-2</v>
      </c>
      <c r="M10">
        <f t="shared" si="2"/>
        <v>0.11154064468190834</v>
      </c>
    </row>
  </sheetData>
  <mergeCells count="1">
    <mergeCell ref="C2:D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5"/>
  </sheetPr>
  <dimension ref="A1:AK78"/>
  <sheetViews>
    <sheetView tabSelected="1" zoomScale="85" zoomScaleNormal="85" workbookViewId="0">
      <selection activeCell="G8" sqref="G8"/>
    </sheetView>
  </sheetViews>
  <sheetFormatPr defaultColWidth="9.140625" defaultRowHeight="12.75"/>
  <cols>
    <col min="1" max="1" width="52.7109375" style="145" customWidth="1"/>
    <col min="2" max="2" width="15.28515625" style="145" customWidth="1"/>
    <col min="3" max="3" width="20.7109375" style="145" customWidth="1"/>
    <col min="4" max="4" width="12.5703125" style="145" customWidth="1"/>
    <col min="5" max="6" width="13.140625" style="145" customWidth="1"/>
    <col min="7" max="8" width="10" style="145" customWidth="1"/>
    <col min="9" max="9" width="11.28515625" style="145" customWidth="1"/>
    <col min="10" max="11" width="10" style="145" customWidth="1"/>
    <col min="12" max="12" width="11.7109375" style="145" customWidth="1"/>
    <col min="13" max="13" width="10" style="145" customWidth="1"/>
    <col min="14" max="14" width="14.7109375" style="145" customWidth="1"/>
    <col min="15" max="15" width="10" style="145" customWidth="1"/>
    <col min="16" max="16" width="14" style="145" customWidth="1"/>
    <col min="17" max="24" width="10" style="145" customWidth="1"/>
    <col min="25" max="26" width="10.140625" style="145" customWidth="1"/>
    <col min="27" max="32" width="10" style="145" customWidth="1"/>
    <col min="33" max="33" width="11.140625" style="145" customWidth="1"/>
    <col min="34" max="35" width="10" style="145" customWidth="1"/>
    <col min="36" max="36" width="9.42578125" style="145" customWidth="1"/>
    <col min="37" max="37" width="10" style="145" customWidth="1"/>
    <col min="38" max="16384" width="9.140625" style="145"/>
  </cols>
  <sheetData>
    <row r="1" spans="1:37" s="141" customFormat="1" ht="15.75">
      <c r="A1" s="138" t="s">
        <v>218</v>
      </c>
      <c r="B1" s="311" t="s">
        <v>219</v>
      </c>
      <c r="C1" s="311"/>
      <c r="D1" s="311"/>
      <c r="E1" s="139" t="s">
        <v>149</v>
      </c>
      <c r="F1" s="139"/>
      <c r="G1" s="140"/>
      <c r="H1" s="138"/>
      <c r="I1" s="140"/>
      <c r="J1" s="140"/>
      <c r="K1" s="138"/>
    </row>
    <row r="2" spans="1:37">
      <c r="A2" s="142"/>
      <c r="B2" s="143"/>
      <c r="C2" s="143"/>
      <c r="D2" s="143"/>
      <c r="E2" s="143"/>
      <c r="F2" s="143"/>
      <c r="G2" s="144"/>
      <c r="H2" s="143"/>
      <c r="I2" s="143"/>
      <c r="J2" s="143"/>
      <c r="K2" s="143"/>
      <c r="N2" s="144"/>
      <c r="O2" s="143"/>
      <c r="Q2" s="143"/>
      <c r="R2" s="143"/>
      <c r="S2" s="143"/>
      <c r="T2" s="143"/>
      <c r="U2" s="143"/>
      <c r="V2" s="143"/>
      <c r="W2" s="143"/>
      <c r="X2" s="143"/>
      <c r="Y2" s="143"/>
      <c r="Z2" s="143"/>
      <c r="AA2" s="143"/>
      <c r="AB2" s="143"/>
      <c r="AC2" s="143"/>
      <c r="AD2" s="143"/>
      <c r="AE2" s="143"/>
      <c r="AF2" s="143"/>
      <c r="AG2" s="143"/>
      <c r="AH2" s="143"/>
      <c r="AI2" s="144"/>
      <c r="AJ2" s="143"/>
      <c r="AK2" s="143"/>
    </row>
    <row r="3" spans="1:37">
      <c r="A3" s="142"/>
      <c r="B3" s="142"/>
      <c r="C3" s="146" t="s">
        <v>220</v>
      </c>
      <c r="D3" s="146"/>
      <c r="E3" s="146"/>
      <c r="F3" s="146"/>
      <c r="G3" s="146"/>
      <c r="H3" s="146"/>
      <c r="I3" s="146"/>
      <c r="J3" s="146"/>
      <c r="K3" s="147"/>
      <c r="N3" s="148"/>
      <c r="O3" s="141" t="s">
        <v>221</v>
      </c>
      <c r="Q3" s="141"/>
      <c r="R3" s="141"/>
      <c r="S3" s="141"/>
      <c r="T3" s="141"/>
      <c r="U3" s="141"/>
      <c r="V3" s="141"/>
      <c r="W3" s="141"/>
      <c r="X3" s="141"/>
      <c r="Y3" s="141"/>
      <c r="Z3" s="141"/>
      <c r="AA3" s="141"/>
      <c r="AB3" s="141"/>
      <c r="AC3" s="141"/>
      <c r="AD3" s="141"/>
      <c r="AE3" s="143"/>
      <c r="AF3" s="143"/>
      <c r="AG3" s="143"/>
      <c r="AH3" s="143"/>
      <c r="AI3" s="143"/>
      <c r="AJ3" s="143"/>
      <c r="AK3" s="144"/>
    </row>
    <row r="4" spans="1:37">
      <c r="A4" s="149" t="s">
        <v>222</v>
      </c>
      <c r="B4" s="142">
        <f>COUNT(C4:O4)</f>
        <v>7</v>
      </c>
      <c r="C4" s="142">
        <v>1</v>
      </c>
      <c r="D4" s="142">
        <f t="shared" ref="D4:E4" si="0">C4+1</f>
        <v>2</v>
      </c>
      <c r="E4" s="142">
        <f t="shared" si="0"/>
        <v>3</v>
      </c>
      <c r="F4" s="142">
        <f>E4+1</f>
        <v>4</v>
      </c>
      <c r="G4" s="142">
        <f>F4+1</f>
        <v>5</v>
      </c>
      <c r="H4" s="142">
        <f>G4+1</f>
        <v>6</v>
      </c>
      <c r="I4" s="142">
        <f>H4+1</f>
        <v>7</v>
      </c>
      <c r="J4" s="143"/>
      <c r="N4" s="150"/>
      <c r="O4" s="150"/>
      <c r="Q4" s="150"/>
      <c r="R4" s="150"/>
      <c r="S4" s="150"/>
      <c r="T4" s="150"/>
      <c r="U4" s="150"/>
      <c r="V4" s="150"/>
      <c r="W4" s="150"/>
      <c r="X4" s="150"/>
      <c r="Y4" s="150"/>
      <c r="Z4" s="150"/>
      <c r="AA4" s="150"/>
      <c r="AB4" s="150"/>
      <c r="AC4" s="150"/>
      <c r="AD4" s="150"/>
      <c r="AE4" s="150"/>
      <c r="AF4" s="150"/>
      <c r="AG4" s="150"/>
      <c r="AH4" s="150"/>
      <c r="AI4" s="150"/>
      <c r="AJ4" s="150"/>
    </row>
    <row r="5" spans="1:37">
      <c r="A5" s="151" t="s">
        <v>149</v>
      </c>
      <c r="B5" s="152" t="s">
        <v>337</v>
      </c>
      <c r="C5" s="153" t="s">
        <v>123</v>
      </c>
      <c r="D5" s="144" t="s">
        <v>357</v>
      </c>
      <c r="E5" s="144" t="s">
        <v>134</v>
      </c>
      <c r="F5" s="144" t="s">
        <v>359</v>
      </c>
      <c r="G5" s="144" t="s">
        <v>361</v>
      </c>
      <c r="H5" s="144" t="s">
        <v>365</v>
      </c>
      <c r="I5" s="144" t="s">
        <v>363</v>
      </c>
      <c r="J5" s="143" t="s">
        <v>67</v>
      </c>
      <c r="N5" s="150" t="s">
        <v>379</v>
      </c>
      <c r="O5" s="141"/>
      <c r="Q5" s="143"/>
      <c r="R5" s="143"/>
      <c r="S5" s="143"/>
      <c r="T5" s="143"/>
      <c r="U5" s="143"/>
      <c r="V5" s="143"/>
      <c r="W5" s="143"/>
      <c r="X5" s="143"/>
      <c r="Y5" s="143"/>
      <c r="Z5" s="143"/>
      <c r="AA5" s="143"/>
      <c r="AB5" s="143"/>
      <c r="AC5" s="143"/>
      <c r="AD5" s="143"/>
      <c r="AE5" s="143"/>
      <c r="AF5" s="143"/>
      <c r="AG5" s="143"/>
      <c r="AH5" s="143"/>
      <c r="AI5" s="144"/>
      <c r="AJ5" s="143"/>
    </row>
    <row r="6" spans="1:37">
      <c r="A6" s="140" t="s">
        <v>223</v>
      </c>
      <c r="B6" s="144" t="s">
        <v>332</v>
      </c>
      <c r="C6" s="143" t="str">
        <f t="shared" ref="C6:E6" si="1">$B$6&amp;VLOOKUP(C5,FuelNames,2,FALSE)</f>
        <v>AGRCOA</v>
      </c>
      <c r="D6" s="143" t="str">
        <f t="shared" si="1"/>
        <v>AGRODS</v>
      </c>
      <c r="E6" s="143" t="str">
        <f t="shared" si="1"/>
        <v>AGRELC</v>
      </c>
      <c r="F6" s="143" t="str">
        <f>$B$6&amp;VLOOKUP(F5,FuelNames,2,FALSE)</f>
        <v>AGROGS</v>
      </c>
      <c r="G6" s="143" t="str">
        <f>$B$6&amp;VLOOKUP(G5,FuelNames,2,FALSE)</f>
        <v>AGROHF</v>
      </c>
      <c r="H6" s="143" t="str">
        <f>$B$6&amp;VLOOKUP(H5,FuelNames,2,FALSE)</f>
        <v>AGROKE</v>
      </c>
      <c r="I6" s="143" t="str">
        <f>$B$6&amp;VLOOKUP(I5,FuelNames,2,FALSE)</f>
        <v>AGROLP</v>
      </c>
      <c r="O6" s="150"/>
      <c r="Q6" s="150"/>
      <c r="R6" s="150"/>
      <c r="S6" s="150"/>
      <c r="T6" s="150"/>
      <c r="U6" s="150"/>
      <c r="V6" s="150"/>
      <c r="W6" s="150"/>
      <c r="X6" s="150"/>
      <c r="Y6" s="150"/>
      <c r="Z6" s="150"/>
      <c r="AA6" s="150"/>
      <c r="AB6" s="150"/>
      <c r="AC6" s="150"/>
      <c r="AD6" s="150"/>
      <c r="AE6" s="150"/>
      <c r="AF6" s="150"/>
      <c r="AG6" s="150"/>
      <c r="AH6" s="150"/>
      <c r="AI6" s="150"/>
      <c r="AJ6" s="150"/>
    </row>
    <row r="7" spans="1:37" ht="15">
      <c r="A7" s="140"/>
      <c r="B7" s="154" t="s">
        <v>187</v>
      </c>
      <c r="C7" s="155">
        <f>+'Final Demand'!C32/1000</f>
        <v>0.80470000000000008</v>
      </c>
      <c r="D7" s="155">
        <f>27.94/32.16*49.2</f>
        <v>42.74402985074628</v>
      </c>
      <c r="E7" s="155">
        <f>+'Final Demand'!B12/1000</f>
        <v>17.140014275167502</v>
      </c>
      <c r="F7" s="155">
        <f>+'Final Demand'!B8/1000</f>
        <v>0</v>
      </c>
      <c r="G7" s="155">
        <f>27.94/32.16*2.624</f>
        <v>2.2796815920398013</v>
      </c>
      <c r="H7" s="247">
        <f>+'Final Demand'!B9/1000</f>
        <v>2.8304885951971102</v>
      </c>
      <c r="I7" s="256">
        <f>+'Final Demand'!C34/1000</f>
        <v>0</v>
      </c>
      <c r="J7" s="253">
        <f>SUM(C7:I7)</f>
        <v>65.798914313150689</v>
      </c>
      <c r="N7" s="254">
        <f>SUM(O57,O60,O65,O70,O73)</f>
        <v>173.69558097901881</v>
      </c>
      <c r="O7" s="257"/>
      <c r="Q7" s="150"/>
      <c r="R7" s="150"/>
      <c r="S7" s="150"/>
      <c r="T7" s="150"/>
      <c r="U7" s="150"/>
      <c r="V7" s="150"/>
      <c r="W7" s="150"/>
      <c r="X7" s="150"/>
      <c r="Y7" s="150"/>
      <c r="Z7" s="150"/>
      <c r="AA7" s="150"/>
      <c r="AB7" s="150"/>
      <c r="AC7" s="150"/>
      <c r="AD7" s="150"/>
      <c r="AE7" s="150"/>
      <c r="AF7" s="150"/>
      <c r="AG7" s="150"/>
      <c r="AH7" s="150"/>
      <c r="AI7" s="141"/>
      <c r="AJ7" s="150"/>
    </row>
    <row r="8" spans="1:37">
      <c r="A8" s="140" t="s">
        <v>224</v>
      </c>
      <c r="B8" s="154" t="s">
        <v>225</v>
      </c>
      <c r="C8" s="155"/>
      <c r="D8" s="155"/>
      <c r="E8" s="155"/>
      <c r="F8" s="155"/>
      <c r="G8" s="155"/>
      <c r="H8" s="155"/>
      <c r="I8" s="155"/>
      <c r="J8" s="155"/>
      <c r="N8" s="156"/>
      <c r="O8" s="150"/>
      <c r="Q8" s="150"/>
      <c r="R8" s="150"/>
      <c r="S8" s="150"/>
      <c r="T8" s="150"/>
      <c r="U8" s="150"/>
      <c r="V8" s="150"/>
      <c r="W8" s="150"/>
      <c r="X8" s="150"/>
      <c r="Y8" s="150"/>
      <c r="Z8" s="150"/>
      <c r="AA8" s="150"/>
      <c r="AB8" s="150"/>
      <c r="AC8" s="150"/>
      <c r="AD8" s="150"/>
      <c r="AE8" s="150"/>
      <c r="AF8" s="150"/>
      <c r="AG8" s="150"/>
      <c r="AH8" s="150"/>
      <c r="AI8" s="141"/>
      <c r="AJ8" s="150"/>
    </row>
    <row r="9" spans="1:37">
      <c r="A9" s="157" t="s">
        <v>226</v>
      </c>
      <c r="B9" s="158" t="s">
        <v>227</v>
      </c>
      <c r="C9" s="152">
        <v>94.1</v>
      </c>
      <c r="D9" s="152">
        <v>74.099999999999994</v>
      </c>
      <c r="E9" s="152">
        <v>0</v>
      </c>
      <c r="F9" s="152">
        <v>69.3</v>
      </c>
      <c r="G9" s="152">
        <v>77.400000000000006</v>
      </c>
      <c r="H9" s="152">
        <v>71.900000000000006</v>
      </c>
      <c r="I9" s="152">
        <v>63.1</v>
      </c>
      <c r="J9" s="143"/>
      <c r="N9" s="142">
        <v>1</v>
      </c>
      <c r="Q9" s="150"/>
      <c r="R9" s="150"/>
      <c r="S9" s="150"/>
      <c r="T9" s="150"/>
      <c r="U9" s="150"/>
      <c r="V9" s="150"/>
      <c r="W9" s="150"/>
      <c r="X9" s="150"/>
      <c r="Y9" s="150"/>
      <c r="Z9" s="150"/>
      <c r="AA9" s="150"/>
      <c r="AB9" s="150"/>
      <c r="AC9" s="150"/>
      <c r="AD9" s="150"/>
      <c r="AE9" s="150"/>
      <c r="AF9" s="150"/>
      <c r="AG9" s="150"/>
      <c r="AH9" s="150"/>
      <c r="AI9" s="150"/>
      <c r="AJ9" s="150"/>
    </row>
    <row r="10" spans="1:37">
      <c r="A10" s="157" t="s">
        <v>228</v>
      </c>
      <c r="B10" s="158" t="s">
        <v>229</v>
      </c>
      <c r="C10" s="152">
        <v>1E-3</v>
      </c>
      <c r="D10" s="152">
        <v>3.0000000000000001E-3</v>
      </c>
      <c r="E10" s="152">
        <v>0</v>
      </c>
      <c r="F10" s="152">
        <v>3.0000000000000001E-3</v>
      </c>
      <c r="G10" s="152">
        <v>3.0000000000000001E-3</v>
      </c>
      <c r="H10" s="152">
        <v>3.0000000000000001E-3</v>
      </c>
      <c r="I10" s="152">
        <v>1E-3</v>
      </c>
      <c r="J10" s="143"/>
      <c r="N10" s="142">
        <f>N9+1</f>
        <v>2</v>
      </c>
      <c r="Q10" s="150"/>
      <c r="R10" s="150"/>
      <c r="S10" s="150"/>
      <c r="T10" s="150"/>
      <c r="U10" s="150"/>
      <c r="V10" s="150"/>
      <c r="W10" s="150"/>
      <c r="X10" s="150"/>
      <c r="Y10" s="150"/>
      <c r="Z10" s="150"/>
      <c r="AA10" s="150"/>
      <c r="AB10" s="150"/>
      <c r="AC10" s="150"/>
      <c r="AD10" s="150"/>
      <c r="AE10" s="150"/>
      <c r="AF10" s="150"/>
      <c r="AG10" s="150"/>
      <c r="AH10" s="150"/>
      <c r="AI10" s="150"/>
      <c r="AJ10" s="150"/>
    </row>
    <row r="11" spans="1:37">
      <c r="A11" s="157" t="s">
        <v>230</v>
      </c>
      <c r="B11" s="158" t="s">
        <v>231</v>
      </c>
      <c r="C11" s="152">
        <f>15/1000</f>
        <v>1.4999999999999999E-2</v>
      </c>
      <c r="D11" s="152">
        <v>5.9999999999999995E-4</v>
      </c>
      <c r="E11" s="152">
        <v>0</v>
      </c>
      <c r="F11" s="152">
        <v>5.9999999999999995E-4</v>
      </c>
      <c r="G11" s="152">
        <v>5.9999999999999995E-4</v>
      </c>
      <c r="H11" s="152">
        <v>5.9999999999999995E-4</v>
      </c>
      <c r="I11" s="152">
        <v>1E-4</v>
      </c>
      <c r="J11" s="143"/>
      <c r="N11" s="142">
        <f>N10+1</f>
        <v>3</v>
      </c>
      <c r="Q11" s="150"/>
      <c r="R11" s="150"/>
      <c r="S11" s="150"/>
      <c r="T11" s="150"/>
      <c r="U11" s="150"/>
      <c r="V11" s="150"/>
      <c r="W11" s="150"/>
      <c r="X11" s="150"/>
      <c r="Y11" s="150"/>
      <c r="Z11" s="150"/>
      <c r="AA11" s="150"/>
      <c r="AB11" s="150"/>
      <c r="AC11" s="150"/>
      <c r="AD11" s="150"/>
      <c r="AE11" s="150"/>
      <c r="AF11" s="150"/>
      <c r="AG11" s="150"/>
      <c r="AH11" s="150"/>
      <c r="AI11" s="150"/>
      <c r="AJ11" s="150"/>
    </row>
    <row r="12" spans="1:37">
      <c r="A12" s="157" t="s">
        <v>232</v>
      </c>
      <c r="B12" s="158" t="s">
        <v>233</v>
      </c>
      <c r="C12" s="152">
        <v>0.45440000000000003</v>
      </c>
      <c r="D12" s="152">
        <v>0.25290000000000001</v>
      </c>
      <c r="E12" s="152">
        <v>0</v>
      </c>
      <c r="F12" s="152">
        <v>4.6699999999999998E-2</v>
      </c>
      <c r="G12" s="152">
        <v>1.5290999999999999</v>
      </c>
      <c r="H12" s="152"/>
      <c r="I12" s="152"/>
      <c r="J12" s="143"/>
      <c r="N12" s="142">
        <f>N11+1</f>
        <v>4</v>
      </c>
      <c r="Q12" s="150"/>
      <c r="R12" s="150"/>
      <c r="S12" s="150"/>
      <c r="T12" s="150"/>
      <c r="U12" s="150"/>
      <c r="V12" s="150"/>
      <c r="W12" s="150"/>
      <c r="X12" s="150"/>
      <c r="Y12" s="150"/>
      <c r="Z12" s="150"/>
      <c r="AA12" s="150"/>
      <c r="AB12" s="150"/>
      <c r="AC12" s="150"/>
      <c r="AD12" s="150"/>
      <c r="AE12" s="150"/>
      <c r="AF12" s="150"/>
      <c r="AG12" s="150"/>
      <c r="AH12" s="150"/>
      <c r="AI12" s="150"/>
      <c r="AJ12" s="150"/>
    </row>
    <row r="13" spans="1:37">
      <c r="A13" s="157" t="s">
        <v>234</v>
      </c>
      <c r="B13" s="158" t="s">
        <v>235</v>
      </c>
      <c r="C13" s="152">
        <v>0.1</v>
      </c>
      <c r="D13" s="152">
        <v>0.1</v>
      </c>
      <c r="E13" s="152">
        <v>0</v>
      </c>
      <c r="F13" s="152">
        <v>0.1</v>
      </c>
      <c r="G13" s="152">
        <v>0.1</v>
      </c>
      <c r="H13" s="152"/>
      <c r="I13" s="152"/>
      <c r="J13" s="143"/>
      <c r="N13" s="142">
        <f>N12+1</f>
        <v>5</v>
      </c>
      <c r="Q13" s="150"/>
      <c r="R13" s="150"/>
      <c r="S13" s="150"/>
      <c r="T13" s="150"/>
      <c r="U13" s="150"/>
      <c r="V13" s="150"/>
      <c r="W13" s="150"/>
      <c r="X13" s="150"/>
      <c r="Y13" s="150"/>
      <c r="Z13" s="150"/>
      <c r="AA13" s="150"/>
      <c r="AB13" s="150"/>
      <c r="AC13" s="150"/>
      <c r="AD13" s="150"/>
      <c r="AE13" s="150"/>
      <c r="AF13" s="150"/>
      <c r="AG13" s="150"/>
      <c r="AH13" s="150"/>
      <c r="AI13" s="150"/>
      <c r="AJ13" s="150"/>
    </row>
    <row r="14" spans="1:37">
      <c r="A14" s="149"/>
      <c r="B14" s="142"/>
      <c r="C14" s="142"/>
      <c r="D14" s="142"/>
      <c r="E14" s="142"/>
      <c r="F14" s="142"/>
      <c r="G14" s="142"/>
      <c r="H14" s="142"/>
      <c r="I14" s="142"/>
      <c r="J14" s="142"/>
      <c r="K14" s="143"/>
      <c r="N14" s="150"/>
      <c r="O14" s="150"/>
      <c r="Q14" s="150"/>
      <c r="R14" s="150"/>
      <c r="S14" s="150"/>
      <c r="T14" s="150"/>
      <c r="U14" s="150"/>
      <c r="V14" s="150"/>
      <c r="W14" s="150"/>
      <c r="X14" s="150"/>
      <c r="Y14" s="150"/>
      <c r="Z14" s="150"/>
      <c r="AA14" s="150"/>
      <c r="AB14" s="150"/>
      <c r="AC14" s="150"/>
      <c r="AD14" s="150"/>
      <c r="AE14" s="150"/>
      <c r="AF14" s="150"/>
      <c r="AG14" s="150"/>
      <c r="AH14" s="150"/>
      <c r="AI14" s="150"/>
      <c r="AJ14" s="150"/>
    </row>
    <row r="15" spans="1:37" ht="15">
      <c r="A15" s="149" t="s">
        <v>236</v>
      </c>
      <c r="B15" s="142"/>
      <c r="C15" s="159">
        <v>0</v>
      </c>
      <c r="D15" s="159">
        <v>0</v>
      </c>
      <c r="E15" s="160">
        <v>0.1</v>
      </c>
      <c r="F15" s="159">
        <v>0</v>
      </c>
      <c r="G15" s="159">
        <v>0</v>
      </c>
      <c r="H15" s="159">
        <v>0</v>
      </c>
      <c r="I15" s="159">
        <v>0</v>
      </c>
      <c r="J15" s="159"/>
      <c r="K15" s="143"/>
      <c r="N15" s="150"/>
      <c r="O15" s="150"/>
      <c r="Q15" s="150"/>
      <c r="R15" s="150"/>
      <c r="S15" s="150"/>
      <c r="T15" s="150"/>
      <c r="U15" s="150"/>
      <c r="V15" s="150"/>
      <c r="W15" s="150"/>
      <c r="X15" s="150"/>
      <c r="Y15" s="150"/>
      <c r="Z15" s="150"/>
      <c r="AA15" s="150"/>
      <c r="AB15" s="150"/>
      <c r="AC15" s="150"/>
      <c r="AD15" s="150"/>
      <c r="AE15" s="150"/>
      <c r="AF15" s="150"/>
      <c r="AG15" s="150"/>
      <c r="AH15" s="150"/>
      <c r="AI15" s="150"/>
      <c r="AJ15" s="150"/>
    </row>
    <row r="16" spans="1:37">
      <c r="A16" s="149" t="s">
        <v>237</v>
      </c>
      <c r="B16" s="142" t="s">
        <v>238</v>
      </c>
      <c r="C16" s="161">
        <f ca="1">SUMPRODUCT(--($C$52:$C$74=C6),$O$52:$O$74)^2/(SUMPRODUCT(--($C$52:$C$74=C6),$O$52:$O$74,$G$52:$G$74)+eps)</f>
        <v>1.4596408160004648</v>
      </c>
      <c r="D16" s="161">
        <f ca="1">SUMPRODUCT(--($C$52:$C$74=D6),$O$52:$O$74)^2/(SUMPRODUCT(--($C$52:$C$74=D6),$O$52:$O$74,$G$52:$G$74)+eps)</f>
        <v>54.980709679137284</v>
      </c>
      <c r="E16" s="161">
        <f ca="1">SUMPRODUCT(--($C$52:$C$74=E6),$O$52:$O$74)^2/(SUMPRODUCT(--($C$52:$C$74=E6),$O$52:$O$74,$G$52:$G$74)+eps)</f>
        <v>19.277320482076334</v>
      </c>
      <c r="F16" s="161">
        <f ca="1">SUMPRODUCT(--($C$52:$C$74=F6),$O$52:$O$74)^2/(SUMPRODUCT(--($C$52:$C$74=F6),$O$52:$O$74,$G$52:$G$74)+eps)</f>
        <v>0</v>
      </c>
      <c r="G16" s="161">
        <f ca="1">SUMPRODUCT(--($C$52:$C$74=G6),$O$52:$O$74)^2/(SUMPRODUCT(--($C$52:$C$74=G6),$O$52:$O$74,$G$52:$G$74)+eps)</f>
        <v>0</v>
      </c>
      <c r="H16" s="161" cm="1">
        <f t="array" aca="1" ref="H16" ca="1">SUMPRODUCT(--($C$52:$C$74=H6),$O$52:$O$74)^2/(SUMPRODUCT(--($C$52:$C$74=H6),$O$52:$O$74,$G$52:$G$74)+eps)</f>
        <v>5.1342074679088814</v>
      </c>
      <c r="I16" s="161">
        <f ca="1">SUMPRODUCT(--($C$52:$C$74=I6),$O$52:$O$74)^2/(SUMPRODUCT(--($C$52:$C$74=I6),$O$52:$O$74,$G$52:$G$74)+eps)</f>
        <v>0</v>
      </c>
      <c r="J16" s="161"/>
      <c r="K16" s="143"/>
      <c r="N16" s="150"/>
      <c r="O16" s="150"/>
      <c r="Q16" s="150"/>
      <c r="R16" s="150"/>
      <c r="S16" s="150"/>
      <c r="T16" s="150"/>
      <c r="U16" s="150"/>
      <c r="V16" s="150"/>
      <c r="W16" s="150"/>
      <c r="X16" s="150"/>
      <c r="Y16" s="150"/>
      <c r="Z16" s="150"/>
      <c r="AA16" s="150"/>
      <c r="AB16" s="150"/>
      <c r="AC16" s="150"/>
      <c r="AD16" s="150"/>
      <c r="AE16" s="150"/>
      <c r="AF16" s="150"/>
      <c r="AG16" s="150"/>
      <c r="AH16" s="150"/>
      <c r="AI16" s="150"/>
      <c r="AJ16" s="150"/>
    </row>
    <row r="17" spans="1:37">
      <c r="A17" s="149"/>
      <c r="B17" s="142"/>
      <c r="C17" s="142"/>
      <c r="D17" s="142"/>
      <c r="E17" s="142"/>
      <c r="F17" s="142"/>
      <c r="G17" s="142"/>
      <c r="H17" s="142"/>
      <c r="I17" s="142"/>
      <c r="J17" s="142"/>
      <c r="K17" s="143"/>
      <c r="N17" s="150"/>
      <c r="O17" s="150"/>
      <c r="Q17" s="150"/>
      <c r="R17" s="150"/>
      <c r="S17" s="150"/>
      <c r="T17" s="150"/>
      <c r="U17" s="150"/>
      <c r="V17" s="150"/>
      <c r="W17" s="150"/>
      <c r="X17" s="150"/>
      <c r="Y17" s="150"/>
      <c r="Z17" s="150"/>
      <c r="AA17" s="150"/>
      <c r="AB17" s="150"/>
      <c r="AC17" s="150"/>
      <c r="AD17" s="150"/>
      <c r="AE17" s="150"/>
      <c r="AF17" s="150"/>
      <c r="AG17" s="150"/>
      <c r="AH17" s="150"/>
      <c r="AI17" s="150"/>
      <c r="AJ17" s="150"/>
    </row>
    <row r="18" spans="1:37">
      <c r="A18" s="162" t="s">
        <v>239</v>
      </c>
      <c r="B18" s="163" t="s">
        <v>240</v>
      </c>
      <c r="C18" s="164"/>
      <c r="D18" s="164"/>
      <c r="E18" s="164"/>
      <c r="F18" s="164"/>
      <c r="G18" s="164"/>
      <c r="H18" s="164"/>
      <c r="I18" s="164"/>
      <c r="J18" s="164"/>
      <c r="K18" s="164"/>
      <c r="L18" s="164"/>
      <c r="O18" s="143"/>
      <c r="P18" s="150"/>
      <c r="Q18" s="150"/>
      <c r="R18" s="150"/>
      <c r="S18" s="150"/>
      <c r="T18" s="150"/>
      <c r="U18" s="150"/>
      <c r="V18" s="150"/>
      <c r="W18" s="150"/>
      <c r="X18" s="150"/>
      <c r="Y18" s="150"/>
      <c r="Z18" s="150"/>
      <c r="AA18" s="150"/>
      <c r="AB18" s="150"/>
      <c r="AC18" s="150"/>
      <c r="AD18" s="150"/>
      <c r="AE18" s="150"/>
      <c r="AF18" s="150"/>
      <c r="AG18" s="150"/>
      <c r="AH18" s="150"/>
      <c r="AI18" s="150"/>
      <c r="AJ18" s="150"/>
      <c r="AK18" s="150"/>
    </row>
    <row r="19" spans="1:37">
      <c r="A19" s="165" t="s">
        <v>118</v>
      </c>
      <c r="B19" s="166" t="s">
        <v>241</v>
      </c>
      <c r="C19" s="164" t="s">
        <v>338</v>
      </c>
      <c r="D19" s="165"/>
      <c r="E19" s="164"/>
      <c r="F19" s="164"/>
      <c r="G19" s="164"/>
      <c r="H19" s="164"/>
      <c r="I19" s="164"/>
      <c r="J19" s="164"/>
      <c r="K19" s="164"/>
      <c r="L19" s="164"/>
      <c r="O19" s="143"/>
      <c r="P19" s="150"/>
      <c r="Q19" s="150"/>
      <c r="R19" s="150"/>
      <c r="S19" s="150"/>
      <c r="T19" s="150"/>
      <c r="U19" s="150"/>
      <c r="V19" s="150"/>
      <c r="W19" s="150"/>
      <c r="X19" s="150"/>
      <c r="Y19" s="150"/>
      <c r="Z19" s="150"/>
      <c r="AA19" s="150"/>
      <c r="AB19" s="150"/>
      <c r="AC19" s="150"/>
      <c r="AD19" s="150"/>
      <c r="AE19" s="150"/>
      <c r="AF19" s="150"/>
      <c r="AG19" s="150"/>
      <c r="AH19" s="150"/>
      <c r="AI19" s="150"/>
      <c r="AJ19" s="150"/>
      <c r="AK19" s="150"/>
    </row>
    <row r="20" spans="1:37">
      <c r="A20" s="167" t="s">
        <v>210</v>
      </c>
      <c r="B20" s="166" t="s">
        <v>334</v>
      </c>
      <c r="C20" s="164"/>
      <c r="D20" s="165"/>
      <c r="E20" s="164"/>
      <c r="F20" s="164"/>
      <c r="G20" s="164"/>
      <c r="H20" s="164"/>
      <c r="I20" s="164"/>
      <c r="J20" s="164"/>
      <c r="K20" s="164"/>
      <c r="L20" s="164"/>
      <c r="O20" s="143"/>
      <c r="P20" s="150"/>
      <c r="Q20" s="150"/>
      <c r="R20" s="150"/>
      <c r="S20" s="150"/>
      <c r="T20" s="150"/>
      <c r="U20" s="150"/>
      <c r="V20" s="150"/>
      <c r="W20" s="150"/>
      <c r="X20" s="150"/>
      <c r="Y20" s="150"/>
      <c r="Z20" s="150"/>
      <c r="AA20" s="150"/>
      <c r="AB20" s="150"/>
      <c r="AC20" s="150"/>
      <c r="AD20" s="150"/>
      <c r="AE20" s="150"/>
      <c r="AF20" s="150"/>
      <c r="AG20" s="150"/>
      <c r="AH20" s="150"/>
      <c r="AI20" s="150"/>
      <c r="AJ20" s="150"/>
      <c r="AK20" s="150"/>
    </row>
    <row r="21" spans="1:37">
      <c r="A21" s="167" t="s">
        <v>333</v>
      </c>
      <c r="B21" s="166" t="s">
        <v>335</v>
      </c>
      <c r="C21" s="164"/>
      <c r="D21" s="165"/>
      <c r="E21" s="164"/>
      <c r="F21" s="164"/>
      <c r="G21" s="164"/>
      <c r="H21" s="164"/>
      <c r="I21" s="164"/>
      <c r="J21" s="164"/>
      <c r="K21" s="164"/>
      <c r="L21" s="164"/>
      <c r="O21" s="143"/>
      <c r="P21" s="150"/>
      <c r="Q21" s="150"/>
      <c r="R21" s="150"/>
      <c r="S21" s="150"/>
      <c r="T21" s="150"/>
      <c r="U21" s="150"/>
      <c r="V21" s="150"/>
      <c r="W21" s="150"/>
      <c r="X21" s="150"/>
      <c r="Y21" s="150"/>
      <c r="Z21" s="150"/>
      <c r="AA21" s="150"/>
      <c r="AB21" s="150"/>
      <c r="AC21" s="150"/>
      <c r="AD21" s="150"/>
      <c r="AE21" s="150"/>
      <c r="AF21" s="150"/>
      <c r="AG21" s="150"/>
      <c r="AH21" s="150"/>
      <c r="AI21" s="150"/>
      <c r="AJ21" s="150"/>
      <c r="AK21" s="150"/>
    </row>
    <row r="22" spans="1:37">
      <c r="A22" s="167" t="s">
        <v>79</v>
      </c>
      <c r="B22" s="166" t="s">
        <v>336</v>
      </c>
      <c r="C22" s="164"/>
      <c r="D22" s="165"/>
      <c r="E22" s="164"/>
      <c r="F22" s="164"/>
      <c r="G22" s="164"/>
      <c r="H22" s="164"/>
      <c r="I22" s="164"/>
      <c r="J22" s="164"/>
      <c r="K22" s="164"/>
      <c r="L22" s="164"/>
      <c r="O22" s="143"/>
      <c r="P22" s="150"/>
      <c r="Q22" s="150"/>
      <c r="R22" s="150"/>
      <c r="S22" s="150"/>
      <c r="T22" s="150"/>
      <c r="U22" s="150"/>
      <c r="V22" s="150"/>
      <c r="W22" s="150"/>
      <c r="X22" s="150"/>
      <c r="Y22" s="150"/>
      <c r="Z22" s="150"/>
      <c r="AA22" s="150"/>
      <c r="AB22" s="150"/>
      <c r="AC22" s="150"/>
      <c r="AD22" s="150"/>
      <c r="AE22" s="150"/>
      <c r="AF22" s="150"/>
      <c r="AG22" s="150"/>
      <c r="AH22" s="150"/>
      <c r="AI22" s="150"/>
      <c r="AJ22" s="150"/>
      <c r="AK22" s="150"/>
    </row>
    <row r="23" spans="1:37">
      <c r="A23" s="167" t="s">
        <v>116</v>
      </c>
      <c r="B23" s="166" t="s">
        <v>242</v>
      </c>
      <c r="C23" s="164"/>
      <c r="D23" s="165"/>
      <c r="E23" s="164"/>
      <c r="F23" s="164"/>
      <c r="G23" s="164"/>
      <c r="H23" s="164"/>
      <c r="I23" s="164"/>
      <c r="J23" s="164"/>
      <c r="K23" s="164"/>
      <c r="L23" s="164"/>
      <c r="O23" s="143"/>
      <c r="P23" s="150"/>
      <c r="Q23" s="150"/>
      <c r="R23" s="150"/>
      <c r="S23" s="150"/>
      <c r="T23" s="150"/>
      <c r="U23" s="150"/>
      <c r="V23" s="150"/>
      <c r="W23" s="150"/>
      <c r="X23" s="150"/>
      <c r="Y23" s="150"/>
      <c r="Z23" s="150"/>
      <c r="AA23" s="150"/>
      <c r="AB23" s="150"/>
      <c r="AC23" s="150"/>
      <c r="AD23" s="150"/>
      <c r="AE23" s="150"/>
      <c r="AF23" s="150"/>
      <c r="AG23" s="150"/>
      <c r="AH23" s="150"/>
      <c r="AI23" s="150"/>
      <c r="AJ23" s="150"/>
      <c r="AK23" s="150"/>
    </row>
    <row r="24" spans="1:37">
      <c r="A24" s="168"/>
      <c r="B24" s="169"/>
      <c r="C24" s="169"/>
      <c r="D24" s="169"/>
      <c r="E24" s="169"/>
      <c r="F24" s="169"/>
      <c r="G24" s="169"/>
      <c r="H24" s="169"/>
      <c r="I24" s="169"/>
      <c r="J24" s="169"/>
      <c r="K24" s="169"/>
      <c r="L24" s="169"/>
      <c r="O24" s="143"/>
      <c r="X24" s="150"/>
      <c r="Y24" s="150"/>
      <c r="Z24" s="150"/>
      <c r="AA24" s="150"/>
      <c r="AB24" s="150"/>
      <c r="AC24" s="150"/>
      <c r="AD24" s="150"/>
      <c r="AE24" s="150"/>
      <c r="AF24" s="150"/>
      <c r="AG24" s="150"/>
      <c r="AH24" s="150"/>
      <c r="AI24" s="150"/>
      <c r="AJ24" s="150"/>
      <c r="AK24" s="150"/>
    </row>
    <row r="25" spans="1:37" ht="13.5" thickBot="1">
      <c r="A25" s="168"/>
      <c r="B25" s="169"/>
      <c r="C25" s="169"/>
      <c r="D25" s="169"/>
      <c r="E25" s="169"/>
      <c r="F25" s="169"/>
      <c r="G25" s="169"/>
      <c r="H25" s="169"/>
      <c r="I25" s="169"/>
      <c r="J25" s="169"/>
      <c r="K25" s="169"/>
      <c r="L25" s="179" t="s">
        <v>402</v>
      </c>
      <c r="M25" s="179"/>
      <c r="N25" s="179"/>
      <c r="O25" s="179"/>
      <c r="P25" s="179"/>
      <c r="Q25" s="179"/>
      <c r="R25" s="179"/>
      <c r="S25" s="179"/>
      <c r="T25" s="279" t="s">
        <v>403</v>
      </c>
      <c r="U25" s="179"/>
      <c r="V25" s="179"/>
      <c r="W25" s="179"/>
      <c r="X25" s="179"/>
      <c r="Y25" s="179"/>
      <c r="Z25" s="179"/>
      <c r="AC25" s="150"/>
      <c r="AH25" s="150"/>
      <c r="AI25" s="150"/>
      <c r="AJ25" s="150"/>
      <c r="AK25" s="150"/>
    </row>
    <row r="26" spans="1:37">
      <c r="A26" s="141"/>
      <c r="B26" s="150"/>
      <c r="C26" s="146" t="s">
        <v>243</v>
      </c>
      <c r="D26" s="146"/>
      <c r="E26" s="146"/>
      <c r="F26" s="146"/>
      <c r="G26" s="146"/>
      <c r="H26" s="146"/>
      <c r="I26" s="146"/>
      <c r="J26" s="146"/>
      <c r="K26" s="146"/>
      <c r="L26" s="146" t="s">
        <v>243</v>
      </c>
      <c r="M26" s="146"/>
      <c r="N26" s="146"/>
      <c r="O26" s="146"/>
      <c r="P26" s="146"/>
      <c r="Q26" s="146"/>
      <c r="R26" s="146"/>
      <c r="S26" s="150"/>
      <c r="T26" s="277" t="s">
        <v>330</v>
      </c>
      <c r="U26" s="277" t="s">
        <v>358</v>
      </c>
      <c r="V26" s="277" t="s">
        <v>331</v>
      </c>
      <c r="W26" s="277" t="s">
        <v>360</v>
      </c>
      <c r="X26" s="277" t="s">
        <v>362</v>
      </c>
      <c r="Y26" s="277" t="s">
        <v>366</v>
      </c>
      <c r="Z26" s="150" t="s">
        <v>364</v>
      </c>
      <c r="AC26" s="150"/>
      <c r="AH26" s="150"/>
      <c r="AI26" s="150"/>
      <c r="AJ26" s="150"/>
      <c r="AK26" s="150"/>
    </row>
    <row r="27" spans="1:37">
      <c r="A27" s="162" t="s">
        <v>244</v>
      </c>
      <c r="B27" s="162" t="s">
        <v>245</v>
      </c>
      <c r="C27" s="170" t="str">
        <f t="shared" ref="C27:E27" si="2">C5</f>
        <v>Coal</v>
      </c>
      <c r="D27" s="170" t="str">
        <f t="shared" si="2"/>
        <v>Oil Diesel</v>
      </c>
      <c r="E27" s="170" t="str">
        <f t="shared" si="2"/>
        <v>Electricity</v>
      </c>
      <c r="F27" s="170" t="str">
        <f>F5</f>
        <v>Oil Gasoline</v>
      </c>
      <c r="G27" s="170" t="str">
        <f>G5</f>
        <v>Oil HFO</v>
      </c>
      <c r="H27" s="170" t="str">
        <f>H5</f>
        <v>Oil Paraffin</v>
      </c>
      <c r="I27" s="170" t="str">
        <f>I5</f>
        <v>Oil LPG</v>
      </c>
      <c r="J27" s="172"/>
      <c r="K27" s="143"/>
      <c r="L27" s="170" t="s">
        <v>123</v>
      </c>
      <c r="M27" s="170" t="s">
        <v>357</v>
      </c>
      <c r="N27" s="170" t="s">
        <v>134</v>
      </c>
      <c r="O27" s="170" t="s">
        <v>359</v>
      </c>
      <c r="P27" s="170" t="s">
        <v>361</v>
      </c>
      <c r="Q27" s="170" t="s">
        <v>365</v>
      </c>
      <c r="R27" s="170" t="s">
        <v>363</v>
      </c>
      <c r="S27" s="150"/>
      <c r="T27" s="150" t="s">
        <v>123</v>
      </c>
      <c r="U27" s="150" t="s">
        <v>357</v>
      </c>
      <c r="V27" s="150" t="s">
        <v>134</v>
      </c>
      <c r="W27" s="150" t="s">
        <v>359</v>
      </c>
      <c r="X27" s="150" t="s">
        <v>361</v>
      </c>
      <c r="Y27" s="150" t="s">
        <v>365</v>
      </c>
      <c r="Z27" s="150" t="s">
        <v>363</v>
      </c>
      <c r="AC27" s="150"/>
      <c r="AH27" s="150"/>
      <c r="AI27" s="150"/>
      <c r="AJ27" s="150"/>
    </row>
    <row r="28" spans="1:37">
      <c r="A28" s="171" t="str">
        <f>$A$5&amp;" - "&amp;A19</f>
        <v>Agriculture - Heating</v>
      </c>
      <c r="B28" s="172" t="str">
        <f>$B$5&amp;B19</f>
        <v>AH</v>
      </c>
      <c r="C28" s="173">
        <f>+'Final Demand'!B43</f>
        <v>1</v>
      </c>
      <c r="D28" s="173">
        <f>+'Final Demand'!C43</f>
        <v>0</v>
      </c>
      <c r="E28" s="173">
        <f>+'Final Demand'!D43</f>
        <v>0</v>
      </c>
      <c r="F28" s="173">
        <f>+'Final Demand'!F43</f>
        <v>0</v>
      </c>
      <c r="G28" s="173">
        <f>+'Final Demand'!G43</f>
        <v>0</v>
      </c>
      <c r="H28" s="173">
        <f>+'Final Demand'!H43</f>
        <v>1</v>
      </c>
      <c r="I28" s="173">
        <f>+'Final Demand'!I43</f>
        <v>0</v>
      </c>
      <c r="J28" s="173"/>
      <c r="K28" s="143"/>
      <c r="L28" s="173">
        <f t="shared" ref="L28:O32" si="3">C28</f>
        <v>1</v>
      </c>
      <c r="M28" s="173">
        <f t="shared" si="3"/>
        <v>0</v>
      </c>
      <c r="N28" s="173">
        <f t="shared" si="3"/>
        <v>0</v>
      </c>
      <c r="O28" s="173">
        <f t="shared" si="3"/>
        <v>0</v>
      </c>
      <c r="P28" s="173">
        <v>1</v>
      </c>
      <c r="Q28" s="173">
        <f>H28</f>
        <v>1</v>
      </c>
      <c r="R28" s="173">
        <v>1</v>
      </c>
      <c r="S28" s="150"/>
      <c r="T28" s="276">
        <f t="shared" ref="T28:Z32" si="4">L36/SUM($L36:$R36)</f>
        <v>0.25520500702516286</v>
      </c>
      <c r="U28" s="276">
        <f t="shared" si="4"/>
        <v>0</v>
      </c>
      <c r="V28" s="276">
        <f t="shared" si="4"/>
        <v>0</v>
      </c>
      <c r="W28" s="276">
        <f t="shared" si="4"/>
        <v>0</v>
      </c>
      <c r="X28" s="276">
        <f t="shared" si="4"/>
        <v>0.33516413335036405</v>
      </c>
      <c r="Y28" s="276">
        <f t="shared" si="4"/>
        <v>0.40388299910588837</v>
      </c>
      <c r="Z28" s="276">
        <f t="shared" si="4"/>
        <v>5.7478605185847494E-3</v>
      </c>
      <c r="AC28" s="150"/>
      <c r="AH28" s="150"/>
      <c r="AI28" s="150"/>
      <c r="AJ28" s="150"/>
    </row>
    <row r="29" spans="1:37">
      <c r="A29" s="171" t="str">
        <f>$A$5&amp;" - "&amp;A20</f>
        <v>Agriculture - Processing</v>
      </c>
      <c r="B29" s="172" t="str">
        <f>$B$5&amp;B20</f>
        <v>AP</v>
      </c>
      <c r="C29" s="173">
        <f>+'Final Demand'!B44</f>
        <v>0</v>
      </c>
      <c r="D29" s="173">
        <f>+'Final Demand'!C44</f>
        <v>0</v>
      </c>
      <c r="E29" s="173">
        <f>+'Final Demand'!D44</f>
        <v>0.22374358962437926</v>
      </c>
      <c r="F29" s="173">
        <f>+'Final Demand'!F44</f>
        <v>0</v>
      </c>
      <c r="G29" s="173">
        <f>+'Final Demand'!G44</f>
        <v>0</v>
      </c>
      <c r="H29" s="173">
        <f>+'Final Demand'!H44</f>
        <v>0</v>
      </c>
      <c r="I29" s="173">
        <f>+'Final Demand'!I44</f>
        <v>0</v>
      </c>
      <c r="J29" s="173"/>
      <c r="K29" s="143"/>
      <c r="L29" s="173">
        <f t="shared" si="3"/>
        <v>0</v>
      </c>
      <c r="M29" s="173">
        <f t="shared" si="3"/>
        <v>0</v>
      </c>
      <c r="N29" s="173">
        <f t="shared" si="3"/>
        <v>0.22374358962437926</v>
      </c>
      <c r="O29" s="173">
        <f t="shared" si="3"/>
        <v>0</v>
      </c>
      <c r="P29" s="173">
        <f>G29</f>
        <v>0</v>
      </c>
      <c r="Q29" s="173">
        <f>H29</f>
        <v>0</v>
      </c>
      <c r="R29" s="173">
        <f>I29</f>
        <v>0</v>
      </c>
      <c r="S29" s="150"/>
      <c r="T29" s="276">
        <f t="shared" si="4"/>
        <v>0</v>
      </c>
      <c r="U29" s="276">
        <f t="shared" si="4"/>
        <v>0</v>
      </c>
      <c r="V29" s="276">
        <f t="shared" si="4"/>
        <v>1</v>
      </c>
      <c r="W29" s="276">
        <f t="shared" si="4"/>
        <v>0</v>
      </c>
      <c r="X29" s="276">
        <f t="shared" si="4"/>
        <v>0</v>
      </c>
      <c r="Y29" s="276">
        <f t="shared" si="4"/>
        <v>0</v>
      </c>
      <c r="Z29" s="276">
        <f t="shared" si="4"/>
        <v>0</v>
      </c>
      <c r="AC29" s="150"/>
      <c r="AH29" s="150"/>
      <c r="AI29" s="150"/>
      <c r="AJ29" s="150"/>
    </row>
    <row r="30" spans="1:37">
      <c r="A30" s="171" t="str">
        <f>$A$5&amp;" - "&amp;A21</f>
        <v>Agriculture - Traction</v>
      </c>
      <c r="B30" s="172" t="str">
        <f>$B$5&amp;B21</f>
        <v>AT</v>
      </c>
      <c r="C30" s="173">
        <f>+'Final Demand'!B45</f>
        <v>0</v>
      </c>
      <c r="D30" s="173">
        <f>+'Final Demand'!C45</f>
        <v>0.97392985318405745</v>
      </c>
      <c r="E30" s="173">
        <f>+'Final Demand'!D45</f>
        <v>0</v>
      </c>
      <c r="F30" s="173">
        <f>+'Final Demand'!F45</f>
        <v>0</v>
      </c>
      <c r="G30" s="173">
        <f>+'Final Demand'!G45</f>
        <v>0</v>
      </c>
      <c r="H30" s="173">
        <f>+'Final Demand'!H45</f>
        <v>0</v>
      </c>
      <c r="I30" s="173">
        <f>+'Final Demand'!I45</f>
        <v>0</v>
      </c>
      <c r="J30" s="173"/>
      <c r="K30" s="143"/>
      <c r="L30" s="173">
        <f t="shared" si="3"/>
        <v>0</v>
      </c>
      <c r="M30" s="173">
        <f t="shared" si="3"/>
        <v>0.97392985318405745</v>
      </c>
      <c r="N30" s="173">
        <f t="shared" si="3"/>
        <v>0</v>
      </c>
      <c r="O30" s="173">
        <f t="shared" si="3"/>
        <v>0</v>
      </c>
      <c r="P30" s="173">
        <f>G30</f>
        <v>0</v>
      </c>
      <c r="Q30" s="173">
        <f>H30</f>
        <v>0</v>
      </c>
      <c r="R30" s="173">
        <f>I30</f>
        <v>0</v>
      </c>
      <c r="S30" s="150"/>
      <c r="T30" s="276">
        <f t="shared" si="4"/>
        <v>0</v>
      </c>
      <c r="U30" s="276">
        <f t="shared" si="4"/>
        <v>1</v>
      </c>
      <c r="V30" s="276">
        <f t="shared" si="4"/>
        <v>0</v>
      </c>
      <c r="W30" s="276">
        <f t="shared" si="4"/>
        <v>0</v>
      </c>
      <c r="X30" s="276">
        <f t="shared" si="4"/>
        <v>0</v>
      </c>
      <c r="Y30" s="276">
        <f t="shared" si="4"/>
        <v>0</v>
      </c>
      <c r="Z30" s="276">
        <f t="shared" si="4"/>
        <v>0</v>
      </c>
      <c r="AC30" s="150"/>
      <c r="AH30" s="150"/>
      <c r="AI30" s="150"/>
      <c r="AJ30" s="150"/>
    </row>
    <row r="31" spans="1:37">
      <c r="A31" s="171" t="str">
        <f>$A$5&amp;" - "&amp;A22</f>
        <v>Agriculture - Irrigation</v>
      </c>
      <c r="B31" s="172" t="str">
        <f>$B$5&amp;B22</f>
        <v>AI</v>
      </c>
      <c r="C31" s="173">
        <f>+'Final Demand'!B46</f>
        <v>0</v>
      </c>
      <c r="D31" s="173">
        <f>+'Final Demand'!C46</f>
        <v>2.6070146815942549E-2</v>
      </c>
      <c r="E31" s="173">
        <f>+'Final Demand'!D46</f>
        <v>0.28436308655430592</v>
      </c>
      <c r="F31" s="173">
        <f>+'Final Demand'!F46</f>
        <v>0</v>
      </c>
      <c r="G31" s="173">
        <f>+'Final Demand'!G46</f>
        <v>0</v>
      </c>
      <c r="H31" s="173">
        <f>+'Final Demand'!H46</f>
        <v>0</v>
      </c>
      <c r="I31" s="173">
        <f>+'Final Demand'!I46</f>
        <v>0</v>
      </c>
      <c r="J31" s="173"/>
      <c r="K31" s="150"/>
      <c r="L31" s="173">
        <f t="shared" si="3"/>
        <v>0</v>
      </c>
      <c r="M31" s="173">
        <f t="shared" si="3"/>
        <v>2.6070146815942549E-2</v>
      </c>
      <c r="N31" s="173">
        <f t="shared" si="3"/>
        <v>0.28436308655430592</v>
      </c>
      <c r="O31" s="173">
        <f t="shared" si="3"/>
        <v>0</v>
      </c>
      <c r="P31" s="173">
        <f>G31</f>
        <v>0</v>
      </c>
      <c r="Q31" s="173">
        <f>H31</f>
        <v>0</v>
      </c>
      <c r="R31" s="173">
        <f>I31</f>
        <v>0</v>
      </c>
      <c r="S31" s="150"/>
      <c r="T31" s="276">
        <f t="shared" si="4"/>
        <v>0</v>
      </c>
      <c r="U31" s="276">
        <f t="shared" si="4"/>
        <v>0.17835102726148511</v>
      </c>
      <c r="V31" s="276">
        <f t="shared" si="4"/>
        <v>0.82164897273851489</v>
      </c>
      <c r="W31" s="276">
        <f t="shared" si="4"/>
        <v>0</v>
      </c>
      <c r="X31" s="276">
        <f t="shared" si="4"/>
        <v>0</v>
      </c>
      <c r="Y31" s="276">
        <f t="shared" si="4"/>
        <v>0</v>
      </c>
      <c r="Z31" s="276">
        <f t="shared" si="4"/>
        <v>0</v>
      </c>
      <c r="AC31" s="150"/>
      <c r="AH31" s="150"/>
      <c r="AI31" s="150"/>
      <c r="AJ31" s="150"/>
    </row>
    <row r="32" spans="1:37">
      <c r="A32" s="171" t="str">
        <f>$A$5&amp;" - "&amp;A23</f>
        <v>Agriculture - Other</v>
      </c>
      <c r="B32" s="172" t="str">
        <f>$B$5&amp;B23</f>
        <v>AO</v>
      </c>
      <c r="C32" s="173">
        <f>+'Final Demand'!B47</f>
        <v>0</v>
      </c>
      <c r="D32" s="173">
        <f>+'Final Demand'!C47</f>
        <v>0</v>
      </c>
      <c r="E32" s="173">
        <f>+'Final Demand'!D47</f>
        <v>0.49189332382131479</v>
      </c>
      <c r="F32" s="173">
        <f>+'Final Demand'!F47</f>
        <v>0</v>
      </c>
      <c r="G32" s="173">
        <f>+'Final Demand'!G47</f>
        <v>0</v>
      </c>
      <c r="H32" s="173">
        <f>+'Final Demand'!H47</f>
        <v>0</v>
      </c>
      <c r="I32" s="173">
        <f>+'Final Demand'!I47</f>
        <v>0</v>
      </c>
      <c r="J32" s="173"/>
      <c r="K32" s="150"/>
      <c r="L32" s="173">
        <f t="shared" si="3"/>
        <v>0</v>
      </c>
      <c r="M32" s="173">
        <f t="shared" si="3"/>
        <v>0</v>
      </c>
      <c r="N32" s="173">
        <f t="shared" si="3"/>
        <v>0.49189332382131479</v>
      </c>
      <c r="O32" s="173">
        <f t="shared" si="3"/>
        <v>0</v>
      </c>
      <c r="P32" s="173">
        <f>G32</f>
        <v>0</v>
      </c>
      <c r="Q32" s="173">
        <f>H32</f>
        <v>0</v>
      </c>
      <c r="R32" s="173">
        <f>I32</f>
        <v>0</v>
      </c>
      <c r="S32" s="150"/>
      <c r="T32" s="276">
        <f t="shared" si="4"/>
        <v>0</v>
      </c>
      <c r="U32" s="276">
        <f t="shared" si="4"/>
        <v>0</v>
      </c>
      <c r="V32" s="276">
        <f t="shared" si="4"/>
        <v>1</v>
      </c>
      <c r="W32" s="276">
        <f t="shared" si="4"/>
        <v>0</v>
      </c>
      <c r="X32" s="276">
        <f t="shared" si="4"/>
        <v>0</v>
      </c>
      <c r="Y32" s="276">
        <f t="shared" si="4"/>
        <v>0</v>
      </c>
      <c r="Z32" s="276">
        <f t="shared" si="4"/>
        <v>0</v>
      </c>
      <c r="AC32" s="150"/>
      <c r="AH32" s="150"/>
      <c r="AI32" s="150"/>
      <c r="AJ32" s="150"/>
    </row>
    <row r="33" spans="1:37">
      <c r="A33" s="171" t="s">
        <v>67</v>
      </c>
      <c r="B33" s="172"/>
      <c r="C33" s="255">
        <f>SUM(C28:C32)</f>
        <v>1</v>
      </c>
      <c r="D33" s="255">
        <f t="shared" ref="D33:E33" si="5">SUM(D28:D32)</f>
        <v>1</v>
      </c>
      <c r="E33" s="255">
        <f t="shared" si="5"/>
        <v>1</v>
      </c>
      <c r="F33" s="255">
        <f>SUM(F28:F32)</f>
        <v>0</v>
      </c>
      <c r="G33" s="255">
        <f>SUM(G28:G32)</f>
        <v>0</v>
      </c>
      <c r="H33" s="255">
        <f>SUM(H28:H32)</f>
        <v>1</v>
      </c>
      <c r="I33" s="255">
        <f>SUM(I28:I32)</f>
        <v>0</v>
      </c>
      <c r="J33" s="255"/>
      <c r="K33" s="150"/>
      <c r="L33" s="255"/>
      <c r="M33" s="255"/>
      <c r="N33" s="255"/>
      <c r="O33" s="255"/>
      <c r="P33" s="255"/>
      <c r="Q33" s="255"/>
      <c r="R33" s="255"/>
      <c r="S33" s="150"/>
      <c r="AC33" s="150"/>
      <c r="AH33" s="150"/>
      <c r="AI33" s="150"/>
      <c r="AJ33" s="150"/>
    </row>
    <row r="34" spans="1:37">
      <c r="A34" s="174"/>
      <c r="B34" s="174"/>
      <c r="C34" s="175"/>
      <c r="D34" s="175"/>
      <c r="E34" s="175"/>
      <c r="F34" s="175"/>
      <c r="G34" s="175"/>
      <c r="H34" s="175"/>
      <c r="I34" s="175"/>
      <c r="J34" s="175"/>
      <c r="K34" s="150"/>
      <c r="L34" s="143" t="s">
        <v>410</v>
      </c>
      <c r="M34" s="143" t="s">
        <v>411</v>
      </c>
      <c r="N34" s="143" t="s">
        <v>412</v>
      </c>
      <c r="O34" s="143" t="s">
        <v>413</v>
      </c>
      <c r="P34" s="143" t="s">
        <v>414</v>
      </c>
      <c r="Q34" s="143" t="s">
        <v>415</v>
      </c>
      <c r="R34" s="143" t="s">
        <v>416</v>
      </c>
      <c r="S34" s="150"/>
      <c r="AC34" s="150"/>
      <c r="AH34" s="150"/>
      <c r="AI34" s="150"/>
      <c r="AJ34" s="150"/>
    </row>
    <row r="35" spans="1:37" ht="13.5" thickBot="1">
      <c r="A35" s="162" t="s">
        <v>246</v>
      </c>
      <c r="B35" s="162" t="s">
        <v>245</v>
      </c>
      <c r="C35" s="170" t="str">
        <f>C27</f>
        <v>Coal</v>
      </c>
      <c r="D35" s="170" t="str">
        <f t="shared" ref="D35:E35" si="6">D27</f>
        <v>Oil Diesel</v>
      </c>
      <c r="E35" s="170" t="str">
        <f t="shared" si="6"/>
        <v>Electricity</v>
      </c>
      <c r="F35" s="170" t="str">
        <f>F27</f>
        <v>Oil Gasoline</v>
      </c>
      <c r="G35" s="170" t="str">
        <f>G27</f>
        <v>Oil HFO</v>
      </c>
      <c r="H35" s="170" t="str">
        <f>H27</f>
        <v>Oil Paraffin</v>
      </c>
      <c r="I35" s="170" t="str">
        <f>I27</f>
        <v>Oil LPG</v>
      </c>
      <c r="J35" s="170" t="s">
        <v>67</v>
      </c>
      <c r="L35" s="179">
        <v>1.998</v>
      </c>
      <c r="M35" s="179">
        <v>49.180999999999997</v>
      </c>
      <c r="N35" s="179">
        <v>20.771999999999998</v>
      </c>
      <c r="O35" s="179">
        <v>0</v>
      </c>
      <c r="P35" s="179">
        <v>2.6240000000000001</v>
      </c>
      <c r="Q35" s="179">
        <v>3.1619999999999999</v>
      </c>
      <c r="R35" s="179">
        <f>45/1000</f>
        <v>4.4999999999999998E-2</v>
      </c>
      <c r="S35" s="150"/>
      <c r="T35" s="279" t="s">
        <v>404</v>
      </c>
      <c r="U35" s="279" t="s">
        <v>405</v>
      </c>
      <c r="AC35" s="150"/>
      <c r="AH35" s="150"/>
      <c r="AI35" s="150"/>
      <c r="AJ35" s="150"/>
    </row>
    <row r="36" spans="1:37">
      <c r="A36" s="171" t="str">
        <f t="shared" ref="A36:B40" si="7">A28</f>
        <v>Agriculture - Heating</v>
      </c>
      <c r="B36" s="172" t="str">
        <f t="shared" si="7"/>
        <v>AH</v>
      </c>
      <c r="C36" s="161">
        <f>C28*C$7</f>
        <v>0.80470000000000008</v>
      </c>
      <c r="D36" s="161">
        <f t="shared" ref="C36:E40" si="8">D28*D$7</f>
        <v>0</v>
      </c>
      <c r="E36" s="251">
        <f t="shared" ref="E36:I38" si="9">E28*E$7</f>
        <v>0</v>
      </c>
      <c r="F36" s="161">
        <f t="shared" si="9"/>
        <v>0</v>
      </c>
      <c r="G36" s="161">
        <f t="shared" si="9"/>
        <v>0</v>
      </c>
      <c r="H36" s="161">
        <f t="shared" si="9"/>
        <v>2.8304885951971102</v>
      </c>
      <c r="I36" s="161">
        <f t="shared" si="9"/>
        <v>0</v>
      </c>
      <c r="J36" s="176">
        <f>SUM(C36:I36)</f>
        <v>3.6351885951971101</v>
      </c>
      <c r="L36" s="305">
        <f t="shared" ref="L36:R40" si="10">L28*L$35</f>
        <v>1.998</v>
      </c>
      <c r="M36" s="305">
        <f t="shared" si="10"/>
        <v>0</v>
      </c>
      <c r="N36" s="305">
        <f t="shared" si="10"/>
        <v>0</v>
      </c>
      <c r="O36" s="305">
        <f t="shared" si="10"/>
        <v>0</v>
      </c>
      <c r="P36" s="305">
        <f t="shared" si="10"/>
        <v>2.6240000000000001</v>
      </c>
      <c r="Q36" s="305">
        <f t="shared" si="10"/>
        <v>3.1619999999999999</v>
      </c>
      <c r="R36" s="305">
        <f t="shared" si="10"/>
        <v>4.4999999999999998E-2</v>
      </c>
      <c r="S36" s="150"/>
      <c r="T36" s="280">
        <f>SUM(L36:R36)</f>
        <v>7.8289999999999997</v>
      </c>
      <c r="U36" s="306">
        <f>SUMIFS($AK$52:$AK$73,$D$52:$D$73,$B36)</f>
        <v>5.3826499999999999</v>
      </c>
      <c r="AC36" s="150"/>
      <c r="AH36" s="150"/>
      <c r="AI36" s="150"/>
      <c r="AJ36" s="150"/>
    </row>
    <row r="37" spans="1:37">
      <c r="A37" s="171" t="str">
        <f t="shared" si="7"/>
        <v>Agriculture - Processing</v>
      </c>
      <c r="B37" s="172" t="str">
        <f t="shared" si="7"/>
        <v>AP</v>
      </c>
      <c r="C37" s="161">
        <f t="shared" si="8"/>
        <v>0</v>
      </c>
      <c r="D37" s="161">
        <f t="shared" si="8"/>
        <v>0</v>
      </c>
      <c r="E37" s="251">
        <f t="shared" si="9"/>
        <v>3.8349683201390801</v>
      </c>
      <c r="F37" s="161">
        <f t="shared" si="9"/>
        <v>0</v>
      </c>
      <c r="G37" s="161">
        <f t="shared" si="9"/>
        <v>0</v>
      </c>
      <c r="H37" s="161">
        <f t="shared" si="9"/>
        <v>0</v>
      </c>
      <c r="I37" s="161">
        <f t="shared" si="9"/>
        <v>0</v>
      </c>
      <c r="J37" s="176">
        <f>SUM(C37:I37)</f>
        <v>3.8349683201390801</v>
      </c>
      <c r="L37" s="305">
        <f t="shared" si="10"/>
        <v>0</v>
      </c>
      <c r="M37" s="305">
        <f t="shared" si="10"/>
        <v>0</v>
      </c>
      <c r="N37" s="305">
        <f t="shared" si="10"/>
        <v>4.6476018436776059</v>
      </c>
      <c r="O37" s="305">
        <f t="shared" si="10"/>
        <v>0</v>
      </c>
      <c r="P37" s="305">
        <f t="shared" si="10"/>
        <v>0</v>
      </c>
      <c r="Q37" s="305">
        <f t="shared" si="10"/>
        <v>0</v>
      </c>
      <c r="R37" s="305">
        <f t="shared" si="10"/>
        <v>0</v>
      </c>
      <c r="S37" s="150"/>
      <c r="T37" s="280">
        <f>SUM(L37:R37)</f>
        <v>4.6476018436776059</v>
      </c>
      <c r="U37" s="306">
        <f>SUMIFS($AK$52:$AK$73,$D$52:$D$73,$B37)</f>
        <v>4.6476018436776059</v>
      </c>
      <c r="AC37" s="150"/>
      <c r="AH37" s="150"/>
      <c r="AI37" s="150"/>
      <c r="AJ37" s="150"/>
    </row>
    <row r="38" spans="1:37">
      <c r="A38" s="171" t="str">
        <f t="shared" si="7"/>
        <v>Agriculture - Traction</v>
      </c>
      <c r="B38" s="172" t="str">
        <f t="shared" si="7"/>
        <v>AT</v>
      </c>
      <c r="C38" s="161">
        <f t="shared" si="8"/>
        <v>0</v>
      </c>
      <c r="D38" s="161">
        <f t="shared" si="8"/>
        <v>41.629686717032293</v>
      </c>
      <c r="E38" s="251">
        <f t="shared" si="9"/>
        <v>0</v>
      </c>
      <c r="F38" s="161">
        <f t="shared" si="9"/>
        <v>0</v>
      </c>
      <c r="G38" s="161">
        <f t="shared" si="9"/>
        <v>0</v>
      </c>
      <c r="H38" s="161">
        <f t="shared" si="9"/>
        <v>0</v>
      </c>
      <c r="I38" s="161">
        <f t="shared" si="9"/>
        <v>0</v>
      </c>
      <c r="J38" s="176">
        <f>SUM(C38:I38)</f>
        <v>41.629686717032293</v>
      </c>
      <c r="L38" s="305">
        <f t="shared" si="10"/>
        <v>0</v>
      </c>
      <c r="M38" s="305">
        <f t="shared" si="10"/>
        <v>47.898844109445129</v>
      </c>
      <c r="N38" s="305">
        <f t="shared" si="10"/>
        <v>0</v>
      </c>
      <c r="O38" s="305">
        <f t="shared" si="10"/>
        <v>0</v>
      </c>
      <c r="P38" s="305">
        <f t="shared" si="10"/>
        <v>0</v>
      </c>
      <c r="Q38" s="305">
        <f t="shared" si="10"/>
        <v>0</v>
      </c>
      <c r="R38" s="305">
        <f t="shared" si="10"/>
        <v>0</v>
      </c>
      <c r="S38" s="150"/>
      <c r="T38" s="280">
        <f>SUM(L38:R38)</f>
        <v>47.898844109445129</v>
      </c>
      <c r="U38" s="306">
        <f>SUMIFS($AK$52:$AK$73,$D$52:$D$73,$B38)</f>
        <v>16.764595438305793</v>
      </c>
      <c r="AC38" s="150"/>
      <c r="AH38" s="150"/>
      <c r="AI38" s="150"/>
      <c r="AJ38" s="150"/>
    </row>
    <row r="39" spans="1:37">
      <c r="A39" s="171" t="str">
        <f t="shared" si="7"/>
        <v>Agriculture - Irrigation</v>
      </c>
      <c r="B39" s="172" t="str">
        <f t="shared" si="7"/>
        <v>AI</v>
      </c>
      <c r="C39" s="161">
        <f t="shared" si="8"/>
        <v>0</v>
      </c>
      <c r="D39" s="161">
        <f t="shared" si="8"/>
        <v>1.1143431337139864</v>
      </c>
      <c r="E39" s="251">
        <f t="shared" si="8"/>
        <v>4.8739873628714951</v>
      </c>
      <c r="F39" s="161">
        <f t="shared" ref="F39:I40" si="11">F31*F$7</f>
        <v>0</v>
      </c>
      <c r="G39" s="161">
        <f t="shared" si="11"/>
        <v>0</v>
      </c>
      <c r="H39" s="161">
        <f t="shared" si="11"/>
        <v>0</v>
      </c>
      <c r="I39" s="161">
        <f t="shared" si="11"/>
        <v>0</v>
      </c>
      <c r="J39" s="176">
        <f>SUM(C39:I39)</f>
        <v>5.9883304965854816</v>
      </c>
      <c r="L39" s="305">
        <f t="shared" si="10"/>
        <v>0</v>
      </c>
      <c r="M39" s="305">
        <f t="shared" si="10"/>
        <v>1.2821558905548704</v>
      </c>
      <c r="N39" s="305">
        <f t="shared" si="10"/>
        <v>5.9067900339060424</v>
      </c>
      <c r="O39" s="305">
        <f t="shared" si="10"/>
        <v>0</v>
      </c>
      <c r="P39" s="305">
        <f t="shared" si="10"/>
        <v>0</v>
      </c>
      <c r="Q39" s="305">
        <f t="shared" si="10"/>
        <v>0</v>
      </c>
      <c r="R39" s="305">
        <f t="shared" si="10"/>
        <v>0</v>
      </c>
      <c r="S39" s="150"/>
      <c r="T39" s="280">
        <f>SUM(L39:R39)</f>
        <v>7.1889459244609126</v>
      </c>
      <c r="U39" s="306">
        <f>SUMIFS($AK$52:$AK$73,$D$52:$D$73,$B39)</f>
        <v>6.060205093904945</v>
      </c>
      <c r="AC39" s="150"/>
      <c r="AH39" s="150"/>
      <c r="AI39" s="150"/>
      <c r="AJ39" s="150"/>
    </row>
    <row r="40" spans="1:37">
      <c r="A40" s="171" t="str">
        <f t="shared" si="7"/>
        <v>Agriculture - Other</v>
      </c>
      <c r="B40" s="172" t="str">
        <f t="shared" si="7"/>
        <v>AO</v>
      </c>
      <c r="C40" s="161">
        <f t="shared" si="8"/>
        <v>0</v>
      </c>
      <c r="D40" s="161">
        <f t="shared" si="8"/>
        <v>0</v>
      </c>
      <c r="E40" s="251">
        <f t="shared" si="8"/>
        <v>8.4310585921569263</v>
      </c>
      <c r="F40" s="161">
        <f t="shared" si="11"/>
        <v>0</v>
      </c>
      <c r="G40" s="161">
        <f t="shared" si="11"/>
        <v>0</v>
      </c>
      <c r="H40" s="161">
        <f t="shared" si="11"/>
        <v>0</v>
      </c>
      <c r="I40" s="161">
        <f t="shared" si="11"/>
        <v>0</v>
      </c>
      <c r="J40" s="176">
        <f>SUM(C40:I40)</f>
        <v>8.4310585921569263</v>
      </c>
      <c r="K40" s="175"/>
      <c r="L40" s="305">
        <f t="shared" si="10"/>
        <v>0</v>
      </c>
      <c r="M40" s="305">
        <f t="shared" si="10"/>
        <v>0</v>
      </c>
      <c r="N40" s="305">
        <f t="shared" si="10"/>
        <v>10.217608122416349</v>
      </c>
      <c r="O40" s="305">
        <f t="shared" si="10"/>
        <v>0</v>
      </c>
      <c r="P40" s="305">
        <f t="shared" si="10"/>
        <v>0</v>
      </c>
      <c r="Q40" s="305">
        <f t="shared" si="10"/>
        <v>0</v>
      </c>
      <c r="R40" s="305">
        <f t="shared" si="10"/>
        <v>0</v>
      </c>
      <c r="S40" s="150"/>
      <c r="T40" s="280">
        <f>SUM(L40:R40)</f>
        <v>10.217608122416349</v>
      </c>
      <c r="U40" s="306">
        <f>SUMIFS($AK$52:$AK$73,$D$52:$D$73,$B40)</f>
        <v>10.217608122416349</v>
      </c>
      <c r="AC40" s="150"/>
      <c r="AH40" s="150"/>
      <c r="AI40" s="150"/>
      <c r="AJ40" s="150"/>
    </row>
    <row r="41" spans="1:37" s="288" customFormat="1" ht="12.75" customHeight="1">
      <c r="A41" s="291" t="str">
        <f>A33</f>
        <v>Total</v>
      </c>
      <c r="B41" s="292"/>
      <c r="C41" s="293">
        <f t="shared" ref="C41:E41" si="12">SUM(C36:C40)</f>
        <v>0.80470000000000008</v>
      </c>
      <c r="D41" s="293">
        <f t="shared" si="12"/>
        <v>42.74402985074628</v>
      </c>
      <c r="E41" s="294">
        <f t="shared" si="12"/>
        <v>17.140014275167502</v>
      </c>
      <c r="F41" s="293">
        <f>SUM(F36:F40)</f>
        <v>0</v>
      </c>
      <c r="G41" s="293">
        <f>SUM(G36:G40)</f>
        <v>0</v>
      </c>
      <c r="H41" s="293">
        <f>SUM(H36:H40)</f>
        <v>2.8304885951971102</v>
      </c>
      <c r="I41" s="293">
        <f>SUM(I36:I40)</f>
        <v>0</v>
      </c>
      <c r="J41" s="293">
        <f>SUM(J36:J40)</f>
        <v>63.519232721110896</v>
      </c>
      <c r="K41" s="175"/>
      <c r="L41" s="293">
        <f t="shared" ref="L41:R41" si="13">SUM(L36:L40)</f>
        <v>1.998</v>
      </c>
      <c r="M41" s="293">
        <f t="shared" si="13"/>
        <v>49.180999999999997</v>
      </c>
      <c r="N41" s="293">
        <f t="shared" si="13"/>
        <v>20.771999999999998</v>
      </c>
      <c r="O41" s="293">
        <f t="shared" si="13"/>
        <v>0</v>
      </c>
      <c r="P41" s="293">
        <f t="shared" si="13"/>
        <v>2.6240000000000001</v>
      </c>
      <c r="Q41" s="293">
        <f t="shared" si="13"/>
        <v>3.1619999999999999</v>
      </c>
      <c r="R41" s="293">
        <f t="shared" si="13"/>
        <v>4.4999999999999998E-2</v>
      </c>
      <c r="S41" s="287"/>
      <c r="T41" s="295">
        <f t="shared" ref="T41:U41" si="14">SUM(T36:T40)</f>
        <v>77.781999999999996</v>
      </c>
      <c r="U41" s="295">
        <f t="shared" si="14"/>
        <v>43.0726604983047</v>
      </c>
      <c r="AC41" s="287"/>
      <c r="AH41" s="287"/>
      <c r="AI41" s="287"/>
      <c r="AJ41" s="287"/>
    </row>
    <row r="42" spans="1:37" s="290" customFormat="1">
      <c r="A42" s="285"/>
      <c r="B42" s="286"/>
      <c r="C42" s="175"/>
      <c r="D42" s="175"/>
      <c r="E42" s="175"/>
      <c r="F42" s="175"/>
      <c r="G42" s="175"/>
      <c r="H42" s="175"/>
      <c r="I42" s="175"/>
      <c r="J42" s="175"/>
      <c r="K42" s="175"/>
      <c r="L42" s="175"/>
      <c r="O42" s="175"/>
      <c r="P42" s="174"/>
      <c r="Q42" s="289"/>
      <c r="R42" s="289"/>
      <c r="AD42" s="174"/>
      <c r="AE42" s="174"/>
      <c r="AF42" s="174"/>
      <c r="AG42" s="174"/>
      <c r="AH42" s="174"/>
      <c r="AI42" s="174"/>
    </row>
    <row r="43" spans="1:37">
      <c r="A43" s="285"/>
      <c r="B43" s="286"/>
      <c r="C43" s="175"/>
      <c r="D43" s="175"/>
      <c r="E43" s="175"/>
      <c r="F43" s="175"/>
      <c r="G43" s="175"/>
      <c r="H43" s="175"/>
      <c r="I43" s="175"/>
      <c r="J43" s="175"/>
      <c r="K43" s="175"/>
      <c r="L43" s="175"/>
      <c r="M43" s="175"/>
      <c r="O43" s="175"/>
      <c r="P43" s="150"/>
      <c r="Q43" s="230"/>
      <c r="R43" s="230"/>
      <c r="S43" s="230">
        <v>2015</v>
      </c>
      <c r="T43" s="230">
        <v>2030</v>
      </c>
      <c r="U43" s="230">
        <v>2050</v>
      </c>
      <c r="V43" s="230">
        <v>2070</v>
      </c>
      <c r="W43" s="230"/>
      <c r="X43" s="230"/>
      <c r="Y43" s="230">
        <v>2015</v>
      </c>
      <c r="Z43" s="230">
        <v>2017</v>
      </c>
      <c r="AA43" s="230">
        <v>2030</v>
      </c>
      <c r="AB43" s="230">
        <v>2050</v>
      </c>
      <c r="AC43" s="230">
        <v>2070</v>
      </c>
      <c r="AD43" s="150"/>
      <c r="AE43" s="150"/>
      <c r="AF43" s="150"/>
      <c r="AG43" s="150"/>
      <c r="AH43" s="150"/>
      <c r="AI43" s="150"/>
    </row>
    <row r="44" spans="1:37" ht="15.75">
      <c r="A44" s="174"/>
      <c r="B44" s="174"/>
      <c r="C44" s="164"/>
      <c r="D44" s="164"/>
      <c r="E44" s="164"/>
      <c r="F44" s="164"/>
      <c r="G44" s="164"/>
      <c r="H44" s="164"/>
      <c r="I44" s="164"/>
      <c r="J44" s="164"/>
      <c r="K44" s="164"/>
      <c r="L44" s="150"/>
      <c r="M44" s="150"/>
      <c r="N44" s="150"/>
      <c r="O44" s="150"/>
      <c r="P44" s="150"/>
      <c r="Q44" s="231" t="s">
        <v>352</v>
      </c>
      <c r="R44" s="231"/>
      <c r="S44" s="232">
        <v>0.5</v>
      </c>
      <c r="T44" s="232">
        <v>0.5</v>
      </c>
      <c r="U44" s="232">
        <v>1</v>
      </c>
      <c r="V44" s="232">
        <f>U44</f>
        <v>1</v>
      </c>
      <c r="W44" s="231" t="s">
        <v>348</v>
      </c>
      <c r="X44" s="231"/>
      <c r="Y44" s="232">
        <v>0.5</v>
      </c>
      <c r="Z44" s="232">
        <v>0.5</v>
      </c>
      <c r="AA44" s="232">
        <v>0.25</v>
      </c>
      <c r="AB44" s="232">
        <v>0</v>
      </c>
      <c r="AC44" s="232">
        <f>AB44</f>
        <v>0</v>
      </c>
      <c r="AD44" s="150"/>
      <c r="AE44" s="150"/>
      <c r="AG44" s="270">
        <v>1</v>
      </c>
      <c r="AH44" s="150" t="s">
        <v>392</v>
      </c>
      <c r="AI44" s="150"/>
    </row>
    <row r="45" spans="1:37">
      <c r="A45" s="174"/>
      <c r="B45" s="174"/>
      <c r="C45" s="164"/>
      <c r="D45" s="141" t="s">
        <v>247</v>
      </c>
      <c r="E45" s="141"/>
      <c r="F45" s="141"/>
      <c r="G45" s="141"/>
      <c r="H45" s="141"/>
      <c r="I45" s="141"/>
      <c r="J45" s="245">
        <v>0.01</v>
      </c>
      <c r="K45" s="245">
        <v>0.01</v>
      </c>
      <c r="L45" s="141"/>
      <c r="M45" s="141"/>
      <c r="N45" s="164"/>
      <c r="O45" s="150"/>
      <c r="P45" s="150"/>
      <c r="Q45" s="150"/>
      <c r="R45" s="150"/>
      <c r="S45" s="150"/>
      <c r="T45" s="150"/>
      <c r="U45" s="150"/>
      <c r="V45" s="150"/>
      <c r="W45" s="150"/>
      <c r="X45" s="150"/>
      <c r="Y45" s="150"/>
      <c r="Z45" s="150"/>
      <c r="AA45" s="150"/>
      <c r="AB45" s="150"/>
      <c r="AC45" s="150"/>
      <c r="AD45" s="150"/>
      <c r="AE45" s="150"/>
      <c r="AF45" s="150"/>
      <c r="AG45" s="150"/>
      <c r="AH45" s="150" t="s">
        <v>391</v>
      </c>
      <c r="AI45" s="150"/>
      <c r="AJ45" s="150"/>
      <c r="AK45" s="150"/>
    </row>
    <row r="46" spans="1:37" ht="25.5">
      <c r="A46" s="177" t="s">
        <v>248</v>
      </c>
      <c r="B46" s="177" t="s">
        <v>249</v>
      </c>
      <c r="C46" s="177" t="s">
        <v>250</v>
      </c>
      <c r="D46" s="177" t="s">
        <v>251</v>
      </c>
      <c r="E46" s="177" t="s">
        <v>299</v>
      </c>
      <c r="F46" s="177" t="s">
        <v>299</v>
      </c>
      <c r="G46" s="177" t="s">
        <v>305</v>
      </c>
      <c r="H46" s="177" t="s">
        <v>305</v>
      </c>
      <c r="I46" s="177" t="s">
        <v>310</v>
      </c>
      <c r="J46" s="177" t="s">
        <v>312</v>
      </c>
      <c r="K46" s="177" t="s">
        <v>312</v>
      </c>
      <c r="L46" s="177" t="s">
        <v>308</v>
      </c>
      <c r="M46" s="150"/>
      <c r="N46" s="150"/>
      <c r="O46" s="150"/>
      <c r="P46" s="150"/>
      <c r="Q46" s="150"/>
      <c r="R46" s="150" t="s">
        <v>306</v>
      </c>
      <c r="S46" s="150" t="s">
        <v>306</v>
      </c>
      <c r="T46" s="150" t="s">
        <v>306</v>
      </c>
      <c r="U46" s="150" t="s">
        <v>306</v>
      </c>
      <c r="V46" s="150" t="s">
        <v>306</v>
      </c>
      <c r="W46" s="150"/>
      <c r="X46" s="150" t="s">
        <v>355</v>
      </c>
      <c r="Y46" s="150" t="s">
        <v>355</v>
      </c>
      <c r="Z46" s="150" t="s">
        <v>355</v>
      </c>
      <c r="AA46" s="150" t="s">
        <v>355</v>
      </c>
      <c r="AB46" s="150" t="s">
        <v>355</v>
      </c>
      <c r="AC46" s="150" t="s">
        <v>355</v>
      </c>
      <c r="AD46" s="150"/>
      <c r="AE46" s="150"/>
      <c r="AF46" s="150"/>
      <c r="AG46" s="177" t="s">
        <v>393</v>
      </c>
      <c r="AH46" s="177" t="s">
        <v>394</v>
      </c>
      <c r="AJ46" s="145">
        <v>2017</v>
      </c>
      <c r="AK46" s="145">
        <v>2017</v>
      </c>
    </row>
    <row r="47" spans="1:37" ht="52.5" thickBot="1">
      <c r="A47" s="178" t="s">
        <v>252</v>
      </c>
      <c r="B47" s="179" t="s">
        <v>253</v>
      </c>
      <c r="C47" s="179" t="s">
        <v>254</v>
      </c>
      <c r="D47" s="179" t="s">
        <v>255</v>
      </c>
      <c r="E47" s="179" t="s">
        <v>176</v>
      </c>
      <c r="F47" s="179"/>
      <c r="G47" s="179" t="s">
        <v>256</v>
      </c>
      <c r="H47" s="179"/>
      <c r="I47" s="179" t="s">
        <v>257</v>
      </c>
      <c r="J47" s="179" t="s">
        <v>258</v>
      </c>
      <c r="K47" s="179"/>
      <c r="L47" s="179" t="s">
        <v>409</v>
      </c>
      <c r="N47" s="179" t="s">
        <v>259</v>
      </c>
      <c r="O47" s="179" t="s">
        <v>260</v>
      </c>
      <c r="P47" s="179" t="s">
        <v>261</v>
      </c>
      <c r="Q47" s="179" t="s">
        <v>262</v>
      </c>
      <c r="R47" s="233" t="s">
        <v>349</v>
      </c>
      <c r="S47" s="233" t="s">
        <v>350</v>
      </c>
      <c r="T47" s="233" t="s">
        <v>350</v>
      </c>
      <c r="U47" s="233" t="s">
        <v>350</v>
      </c>
      <c r="V47" s="233" t="s">
        <v>350</v>
      </c>
      <c r="W47"/>
      <c r="X47" s="233" t="s">
        <v>349</v>
      </c>
      <c r="Y47" s="233" t="s">
        <v>351</v>
      </c>
      <c r="Z47" s="233" t="s">
        <v>351</v>
      </c>
      <c r="AA47" s="233" t="s">
        <v>351</v>
      </c>
      <c r="AB47" s="233" t="s">
        <v>351</v>
      </c>
      <c r="AC47" s="233" t="s">
        <v>351</v>
      </c>
      <c r="AD47" s="179" t="s">
        <v>263</v>
      </c>
      <c r="AE47" s="150"/>
      <c r="AF47" s="150"/>
      <c r="AG47" s="179" t="s">
        <v>176</v>
      </c>
      <c r="AH47" s="179" t="s">
        <v>395</v>
      </c>
      <c r="AJ47" s="179" t="str">
        <f>AJ46&amp;" Final Energy"</f>
        <v>2017 Final Energy</v>
      </c>
      <c r="AK47" s="179" t="str">
        <f>AK46&amp;" Useful Energy"</f>
        <v>2017 Useful Energy</v>
      </c>
    </row>
    <row r="48" spans="1:37" ht="15.75">
      <c r="A48" s="300"/>
      <c r="B48" s="301"/>
      <c r="C48" s="301"/>
      <c r="D48" s="301"/>
      <c r="E48" s="301">
        <v>2012</v>
      </c>
      <c r="F48" s="301">
        <v>2017</v>
      </c>
      <c r="G48" s="301">
        <v>2012</v>
      </c>
      <c r="H48" s="301">
        <v>2017</v>
      </c>
      <c r="I48" s="301"/>
      <c r="J48" s="301">
        <v>2012</v>
      </c>
      <c r="K48" s="301">
        <v>2017</v>
      </c>
      <c r="L48" s="301"/>
      <c r="N48" s="301"/>
      <c r="O48" s="301"/>
      <c r="P48" s="301"/>
      <c r="Q48" s="301"/>
      <c r="R48" s="302"/>
      <c r="S48" s="302"/>
      <c r="T48" s="302"/>
      <c r="U48" s="302"/>
      <c r="V48" s="302"/>
      <c r="W48"/>
      <c r="X48" s="302"/>
      <c r="Y48" s="302"/>
      <c r="Z48" s="302"/>
      <c r="AA48" s="302"/>
      <c r="AB48" s="302"/>
      <c r="AC48" s="302"/>
      <c r="AD48" s="301"/>
      <c r="AE48" s="150"/>
      <c r="AF48" s="150"/>
      <c r="AG48" s="301"/>
      <c r="AH48" s="301"/>
      <c r="AJ48" s="301"/>
      <c r="AK48" s="301"/>
    </row>
    <row r="49" spans="1:37" ht="25.5">
      <c r="A49" s="180" t="s">
        <v>264</v>
      </c>
      <c r="B49" s="181"/>
      <c r="C49" s="181"/>
      <c r="D49" s="181"/>
      <c r="E49" s="182" t="s">
        <v>265</v>
      </c>
      <c r="F49" s="182"/>
      <c r="G49" s="182" t="s">
        <v>266</v>
      </c>
      <c r="H49" s="182"/>
      <c r="I49" s="166" t="s">
        <v>267</v>
      </c>
      <c r="J49" s="183" t="s">
        <v>268</v>
      </c>
      <c r="K49" s="183"/>
      <c r="N49" s="142" t="s">
        <v>269</v>
      </c>
      <c r="O49" s="142" t="s">
        <v>270</v>
      </c>
      <c r="P49" s="142" t="s">
        <v>270</v>
      </c>
      <c r="Q49" s="150"/>
      <c r="R49" s="230">
        <v>2012</v>
      </c>
      <c r="S49" s="230">
        <f>S43</f>
        <v>2015</v>
      </c>
      <c r="T49" s="230">
        <f>T43</f>
        <v>2030</v>
      </c>
      <c r="U49" s="230">
        <f>U43</f>
        <v>2050</v>
      </c>
      <c r="V49" s="230">
        <f>V43</f>
        <v>2070</v>
      </c>
      <c r="W49"/>
      <c r="X49" s="230">
        <v>2012</v>
      </c>
      <c r="Y49" s="230">
        <f>Y43</f>
        <v>2015</v>
      </c>
      <c r="Z49" s="230">
        <f>Z43</f>
        <v>2017</v>
      </c>
      <c r="AA49" s="230">
        <f>AA43</f>
        <v>2030</v>
      </c>
      <c r="AB49" s="230">
        <f>AB43</f>
        <v>2050</v>
      </c>
      <c r="AC49" s="230">
        <f>AC43</f>
        <v>2070</v>
      </c>
      <c r="AD49" s="150"/>
      <c r="AE49" s="150"/>
      <c r="AF49" s="150"/>
      <c r="AG49" s="182" t="s">
        <v>265</v>
      </c>
      <c r="AH49" s="182" t="s">
        <v>265</v>
      </c>
      <c r="AJ49" s="142" t="s">
        <v>270</v>
      </c>
      <c r="AK49" s="142" t="s">
        <v>270</v>
      </c>
    </row>
    <row r="50" spans="1:37">
      <c r="A50" s="184" t="s">
        <v>271</v>
      </c>
      <c r="B50" s="185"/>
      <c r="C50" s="186">
        <v>1</v>
      </c>
      <c r="D50" s="186">
        <f>C50+1</f>
        <v>2</v>
      </c>
      <c r="E50" s="186">
        <f>D50+1</f>
        <v>3</v>
      </c>
      <c r="F50" s="186"/>
      <c r="G50" s="186">
        <f>E50+1</f>
        <v>4</v>
      </c>
      <c r="H50" s="186"/>
      <c r="I50" s="186">
        <f>G50+1</f>
        <v>5</v>
      </c>
      <c r="J50" s="186">
        <f>I50+1</f>
        <v>6</v>
      </c>
      <c r="K50" s="186"/>
      <c r="N50" s="187"/>
      <c r="O50" s="188"/>
      <c r="P50" s="188"/>
      <c r="Q50" s="150"/>
      <c r="R50" s="230"/>
      <c r="S50" s="230"/>
      <c r="T50" s="230"/>
      <c r="U50" s="230"/>
      <c r="V50" s="230"/>
      <c r="W50"/>
      <c r="X50" s="230"/>
      <c r="Y50" s="230"/>
      <c r="Z50" s="230"/>
      <c r="AA50" s="230"/>
      <c r="AB50" s="230"/>
      <c r="AC50" s="230"/>
      <c r="AD50" s="150"/>
      <c r="AE50" s="150"/>
      <c r="AF50" s="150"/>
      <c r="AG50" s="186"/>
      <c r="AH50" s="186"/>
    </row>
    <row r="51" spans="1:37">
      <c r="A51" s="185" t="str">
        <f>"\I:"&amp;A36</f>
        <v>\I:Agriculture - Heating</v>
      </c>
      <c r="B51" s="189"/>
      <c r="G51" s="227"/>
      <c r="H51" s="227"/>
      <c r="N51" s="150"/>
      <c r="O51" s="150"/>
      <c r="P51" s="150"/>
      <c r="Q51" s="150"/>
      <c r="R51" s="230"/>
      <c r="S51" s="230"/>
      <c r="T51" s="230"/>
      <c r="U51" s="230"/>
      <c r="V51" s="230"/>
      <c r="W51"/>
      <c r="X51" s="230"/>
      <c r="Y51" s="230"/>
      <c r="Z51" s="230"/>
      <c r="AA51" s="230"/>
      <c r="AB51" s="230"/>
      <c r="AC51" s="230"/>
      <c r="AD51" s="150"/>
      <c r="AE51" s="150"/>
      <c r="AF51" s="150"/>
    </row>
    <row r="52" spans="1:37" ht="15">
      <c r="A52" s="185" t="str">
        <f>A36&amp;"-"&amp;C5&amp;" - Existing"</f>
        <v>Agriculture - Heating-Coal - Existing</v>
      </c>
      <c r="B52" s="185" t="str">
        <f>D52&amp;RIGHT(C52,3)&amp;"-E"</f>
        <v>AHCOA-E</v>
      </c>
      <c r="C52" s="190" t="str">
        <f>$C$6</f>
        <v>AGRCOA</v>
      </c>
      <c r="D52" s="190" t="str">
        <f>$B$36</f>
        <v>AH</v>
      </c>
      <c r="E52" s="191">
        <f>+'Final Demand'!D32</f>
        <v>0.65</v>
      </c>
      <c r="F52" s="191">
        <f>E52</f>
        <v>0.65</v>
      </c>
      <c r="G52" s="226">
        <f ca="1">SUMIF(AFA!$B$3:$S$3,D52,AFA!$B$4:$F$4)</f>
        <v>0.55130000000000001</v>
      </c>
      <c r="H52" s="226">
        <f ca="1">G52</f>
        <v>0.55130000000000001</v>
      </c>
      <c r="I52" s="192">
        <v>15</v>
      </c>
      <c r="J52" s="193">
        <f ca="1">P52/G52*(1+J$45)</f>
        <v>0.95825421730455296</v>
      </c>
      <c r="K52" s="193">
        <f ca="1">AK52/H52*(1+K$45)</f>
        <v>2.3792617449664428</v>
      </c>
      <c r="L52" s="145">
        <v>0</v>
      </c>
      <c r="N52" s="217">
        <f>SUMIF($C$6:$I$6,C52,$C$28:$I$28)</f>
        <v>1</v>
      </c>
      <c r="O52" s="193">
        <f>N52*SUMIF($C$6:$I$6,C52,$C$36:$I$36)</f>
        <v>0.80470000000000008</v>
      </c>
      <c r="P52" s="193">
        <f>O52*E52</f>
        <v>0.52305500000000005</v>
      </c>
      <c r="Q52" s="193"/>
      <c r="R52" s="234">
        <f>P52/SUMIF($D$52:$D$74,$D52,$P$52:$P$74)</f>
        <v>0.20885466502518607</v>
      </c>
      <c r="S52" s="235">
        <f>MIN(1,$R52+S$44)</f>
        <v>0.70885466502518613</v>
      </c>
      <c r="T52" s="235">
        <f t="shared" ref="T52:T68" si="15">MIN(1,$R52+T$44)</f>
        <v>0.70885466502518613</v>
      </c>
      <c r="U52" s="235">
        <f t="shared" ref="U52:V56" si="16">MIN(1,$R52+U$44)</f>
        <v>1</v>
      </c>
      <c r="V52" s="235">
        <f t="shared" si="16"/>
        <v>1</v>
      </c>
      <c r="W52"/>
      <c r="X52" s="234">
        <f>R52</f>
        <v>0.20885466502518607</v>
      </c>
      <c r="Y52" s="235">
        <f>AVERAGE(X52,Z52)</f>
        <v>0.23202983602517446</v>
      </c>
      <c r="Z52" s="284">
        <f>INDEX($T$28:$Z$32,MATCH($D52,$B$36:$B$40,0),MATCH(RIGHT($C52,3),$T$26:$Z$26,0))</f>
        <v>0.25520500702516286</v>
      </c>
      <c r="AA52" s="235">
        <f t="shared" ref="AA52:AC56" si="17">$X52*AA$44</f>
        <v>5.2213666256296518E-2</v>
      </c>
      <c r="AB52" s="235">
        <f t="shared" si="17"/>
        <v>0</v>
      </c>
      <c r="AC52" s="235">
        <f t="shared" si="17"/>
        <v>0</v>
      </c>
      <c r="AD52" s="150">
        <v>1</v>
      </c>
      <c r="AE52" s="150"/>
      <c r="AF52" s="150"/>
      <c r="AG52" s="191">
        <f>+'Final Demand'!D32</f>
        <v>0.65</v>
      </c>
      <c r="AH52" s="191">
        <f>$AG52</f>
        <v>0.65</v>
      </c>
      <c r="AJ52" s="193">
        <f>IFERROR(INDEX($L$36:$R$41,MATCH($D52,$B$36:$B$40,0),MATCH($C52,$L$34:$R$34,0)),"")</f>
        <v>1.998</v>
      </c>
      <c r="AK52" s="193">
        <f>IFERROR(AJ52*$F52,"")</f>
        <v>1.2987</v>
      </c>
    </row>
    <row r="53" spans="1:37" ht="15">
      <c r="A53" s="185" t="str">
        <f>A36&amp;" - "&amp;G5&amp;"- Existing"</f>
        <v>Agriculture - Heating - Oil HFO- Existing</v>
      </c>
      <c r="B53" s="185" t="str">
        <f>D53&amp;RIGHT(C53,3)&amp;"-E"</f>
        <v>AHOHF-E</v>
      </c>
      <c r="C53" s="190" t="str">
        <f>+G6</f>
        <v>AGROHF</v>
      </c>
      <c r="D53" s="190" t="str">
        <f>$B$36</f>
        <v>AH</v>
      </c>
      <c r="E53" s="191">
        <f>+'Final Demand'!D33</f>
        <v>0.7</v>
      </c>
      <c r="F53" s="191">
        <f t="shared" ref="F53:F72" si="18">E53</f>
        <v>0.7</v>
      </c>
      <c r="G53" s="226">
        <f ca="1">SUMIF(AFA!$B$3:$S$3,D53,AFA!$B$4:$F$4)</f>
        <v>0.55130000000000001</v>
      </c>
      <c r="H53" s="226">
        <f t="shared" ref="H53:H72" ca="1" si="19">G53</f>
        <v>0.55130000000000001</v>
      </c>
      <c r="I53" s="192">
        <v>15</v>
      </c>
      <c r="J53" s="193">
        <f ca="1">P53/G53*(1+$J$45)</f>
        <v>0</v>
      </c>
      <c r="K53" s="193">
        <f t="shared" ref="K53:K69" ca="1" si="20">AK53/H53*(1+K$45)</f>
        <v>3.3650789044077634</v>
      </c>
      <c r="L53" s="145">
        <v>0</v>
      </c>
      <c r="N53" s="217">
        <f>SUMIF($C$6:$I$6,C53,$C$28:$I$28)</f>
        <v>0</v>
      </c>
      <c r="O53" s="193">
        <f>N53*SUMIF($C$6:$I$6,C53,$C$36:$I$36)</f>
        <v>0</v>
      </c>
      <c r="P53" s="193">
        <f>O53*E53</f>
        <v>0</v>
      </c>
      <c r="Q53" s="150"/>
      <c r="R53" s="234">
        <f>P53/SUMIF($D$52:$D$74,$D53,$P$52:$P$74)</f>
        <v>0</v>
      </c>
      <c r="S53" s="235">
        <f>MIN(1,$R53+S$44)</f>
        <v>0.5</v>
      </c>
      <c r="T53" s="235">
        <f t="shared" si="15"/>
        <v>0.5</v>
      </c>
      <c r="U53" s="235">
        <f t="shared" si="16"/>
        <v>1</v>
      </c>
      <c r="V53" s="235">
        <f t="shared" si="16"/>
        <v>1</v>
      </c>
      <c r="W53"/>
      <c r="X53" s="234">
        <f>R53</f>
        <v>0</v>
      </c>
      <c r="Y53" s="235">
        <f t="shared" ref="Y53:Y72" si="21">AVERAGE(X53,Z53)</f>
        <v>0.16758206667518202</v>
      </c>
      <c r="Z53" s="284">
        <f>INDEX($T$28:$Z$32,MATCH($D53,$B$36:$B$40,0),MATCH(RIGHT($C53,3),$T$26:$Z$26,0))</f>
        <v>0.33516413335036405</v>
      </c>
      <c r="AA53" s="235">
        <f t="shared" si="17"/>
        <v>0</v>
      </c>
      <c r="AB53" s="235">
        <f t="shared" si="17"/>
        <v>0</v>
      </c>
      <c r="AC53" s="235">
        <f t="shared" si="17"/>
        <v>0</v>
      </c>
      <c r="AD53" s="150">
        <v>2</v>
      </c>
      <c r="AE53" s="150"/>
      <c r="AF53" s="150"/>
      <c r="AG53" s="191">
        <f>+'Final Demand'!D33</f>
        <v>0.7</v>
      </c>
      <c r="AH53" s="191">
        <f>$AG53</f>
        <v>0.7</v>
      </c>
      <c r="AJ53" s="193">
        <f t="shared" ref="AJ53:AJ78" si="22">IFERROR(INDEX($L$36:$R$41,MATCH($D53,$B$36:$B$40,0),MATCH($C53,$L$34:$R$34,0)),"")</f>
        <v>2.6240000000000001</v>
      </c>
      <c r="AK53" s="193">
        <f t="shared" ref="AK53:AK72" si="23">IFERROR(AJ53*$F53,"")</f>
        <v>1.8368</v>
      </c>
    </row>
    <row r="54" spans="1:37" ht="15">
      <c r="A54" s="185" t="str">
        <f>A36&amp;" - "&amp;H5&amp;"- Existing"</f>
        <v>Agriculture - Heating - Oil Paraffin- Existing</v>
      </c>
      <c r="B54" s="185" t="str">
        <f>D54&amp;RIGHT(C54,3)&amp;"-E"</f>
        <v>AHOKE-E</v>
      </c>
      <c r="C54" s="190" t="str">
        <f>$H$6</f>
        <v>AGROKE</v>
      </c>
      <c r="D54" s="190" t="str">
        <f>$B$36</f>
        <v>AH</v>
      </c>
      <c r="E54" s="191">
        <f>+'Final Demand'!D35</f>
        <v>0.7</v>
      </c>
      <c r="F54" s="191">
        <f t="shared" si="18"/>
        <v>0.7</v>
      </c>
      <c r="G54" s="226">
        <f ca="1">SUMIF(AFA!$B$3:$S$3,D54,AFA!$B$4:$F$4)</f>
        <v>0.55130000000000001</v>
      </c>
      <c r="H54" s="226">
        <f t="shared" ca="1" si="19"/>
        <v>0.55130000000000001</v>
      </c>
      <c r="I54" s="192">
        <v>15</v>
      </c>
      <c r="J54" s="193">
        <f ca="1">P54/G54*(1+$J$45)</f>
        <v>3.6298847030733845</v>
      </c>
      <c r="K54" s="193">
        <f t="shared" ca="1" si="20"/>
        <v>4.0550226736803907</v>
      </c>
      <c r="L54" s="145">
        <v>0</v>
      </c>
      <c r="N54" s="217">
        <f>SUMIF($C$6:$I$6,C54,$C$28:$I$28)</f>
        <v>1</v>
      </c>
      <c r="O54" s="193">
        <f>N54*SUMIF($C$6:$I$6,C54,$C$36:$I$36)</f>
        <v>2.8304885951971102</v>
      </c>
      <c r="P54" s="193">
        <f>O54*E54</f>
        <v>1.9813420166379769</v>
      </c>
      <c r="Q54" s="194"/>
      <c r="R54" s="234">
        <f>P54/SUMIF($D$52:$D$74,$D54,$P$52:$P$74)</f>
        <v>0.79114533497481387</v>
      </c>
      <c r="S54" s="235">
        <f>MIN(1,$R54+S$44)</f>
        <v>1</v>
      </c>
      <c r="T54" s="235">
        <f t="shared" si="15"/>
        <v>1</v>
      </c>
      <c r="U54" s="235">
        <f t="shared" si="16"/>
        <v>1</v>
      </c>
      <c r="V54" s="235">
        <f t="shared" si="16"/>
        <v>1</v>
      </c>
      <c r="W54"/>
      <c r="X54" s="234">
        <f>R54</f>
        <v>0.79114533497481387</v>
      </c>
      <c r="Y54" s="235">
        <f t="shared" si="21"/>
        <v>0.5975141670403511</v>
      </c>
      <c r="Z54" s="284">
        <f>INDEX($T$28:$Z$32,MATCH($D54,$B$36:$B$40,0),MATCH(RIGHT($C54,3),$T$26:$Z$26,0))</f>
        <v>0.40388299910588837</v>
      </c>
      <c r="AA54" s="235">
        <f t="shared" si="17"/>
        <v>0.19778633374370347</v>
      </c>
      <c r="AB54" s="235">
        <f t="shared" si="17"/>
        <v>0</v>
      </c>
      <c r="AC54" s="235">
        <f t="shared" si="17"/>
        <v>0</v>
      </c>
      <c r="AD54" s="150">
        <v>3</v>
      </c>
      <c r="AE54" s="150"/>
      <c r="AF54" s="150"/>
      <c r="AG54" s="191">
        <f>+'Final Demand'!D35</f>
        <v>0.7</v>
      </c>
      <c r="AH54" s="191">
        <f>$AG54</f>
        <v>0.7</v>
      </c>
      <c r="AJ54" s="193">
        <f t="shared" si="22"/>
        <v>3.1619999999999999</v>
      </c>
      <c r="AK54" s="193">
        <f t="shared" si="23"/>
        <v>2.2133999999999996</v>
      </c>
    </row>
    <row r="55" spans="1:37" ht="14.25" customHeight="1">
      <c r="A55" s="185" t="str">
        <f>A36&amp;" - "&amp;I5&amp;"- Existing"</f>
        <v>Agriculture - Heating - Oil LPG- Existing</v>
      </c>
      <c r="B55" s="185" t="str">
        <f>D55&amp;RIGHT(C55,3)&amp;"-E"</f>
        <v>AHOLP-E</v>
      </c>
      <c r="C55" s="190" t="str">
        <f>$I$6</f>
        <v>AGROLP</v>
      </c>
      <c r="D55" s="190" t="str">
        <f>$B$36</f>
        <v>AH</v>
      </c>
      <c r="E55" s="191">
        <f>'Final Demand'!D34</f>
        <v>0.75</v>
      </c>
      <c r="F55" s="191">
        <f t="shared" si="18"/>
        <v>0.75</v>
      </c>
      <c r="G55" s="226">
        <f ca="1">SUMIF(AFA!$B$3:$S$3,D55,AFA!$B$4:$F$4)</f>
        <v>0.55130000000000001</v>
      </c>
      <c r="H55" s="226">
        <f t="shared" ca="1" si="19"/>
        <v>0.55130000000000001</v>
      </c>
      <c r="I55" s="192">
        <v>15</v>
      </c>
      <c r="J55" s="193">
        <f ca="1">P55/G55*(1+$J$45)</f>
        <v>0</v>
      </c>
      <c r="K55" s="193">
        <f t="shared" ca="1" si="20"/>
        <v>6.1831126428441872E-2</v>
      </c>
      <c r="L55" s="145">
        <v>0</v>
      </c>
      <c r="N55" s="217">
        <f>SUMIF($C$6:$I$6,C55,$C$28:$I$28)</f>
        <v>0</v>
      </c>
      <c r="O55" s="258">
        <f>N55*SUMIF($C$6:$I$6,C55,$C$36:$I$36)</f>
        <v>0</v>
      </c>
      <c r="P55" s="258">
        <f>O55*E55</f>
        <v>0</v>
      </c>
      <c r="Q55" s="194"/>
      <c r="R55" s="263">
        <f>P55/SUMIF($D$52:$D$74,$D55,$P$52:$P$74)</f>
        <v>0</v>
      </c>
      <c r="S55" s="235">
        <f>MIN(1,$R55+S$44)</f>
        <v>0.5</v>
      </c>
      <c r="T55" s="235">
        <f t="shared" si="15"/>
        <v>0.5</v>
      </c>
      <c r="U55" s="235">
        <f t="shared" si="16"/>
        <v>1</v>
      </c>
      <c r="V55" s="235">
        <f t="shared" si="16"/>
        <v>1</v>
      </c>
      <c r="W55"/>
      <c r="X55" s="263">
        <f>R55</f>
        <v>0</v>
      </c>
      <c r="Y55" s="235">
        <f t="shared" si="21"/>
        <v>2.8739302592923747E-3</v>
      </c>
      <c r="Z55" s="284">
        <f>INDEX($T$28:$Z$32,MATCH($D55,$B$36:$B$40,0),MATCH(RIGHT($C55,3),$T$26:$Z$26,0))</f>
        <v>5.7478605185847494E-3</v>
      </c>
      <c r="AA55" s="235">
        <f t="shared" si="17"/>
        <v>0</v>
      </c>
      <c r="AB55" s="235">
        <f t="shared" si="17"/>
        <v>0</v>
      </c>
      <c r="AC55" s="235">
        <f t="shared" si="17"/>
        <v>0</v>
      </c>
      <c r="AD55" s="150">
        <v>4</v>
      </c>
      <c r="AE55" s="150"/>
      <c r="AF55" s="150"/>
      <c r="AG55" s="191">
        <f>'Final Demand'!D34</f>
        <v>0.75</v>
      </c>
      <c r="AH55" s="191">
        <f>$AG55</f>
        <v>0.75</v>
      </c>
      <c r="AJ55" s="193">
        <f t="shared" si="22"/>
        <v>4.4999999999999998E-2</v>
      </c>
      <c r="AK55" s="193">
        <f t="shared" si="23"/>
        <v>3.3750000000000002E-2</v>
      </c>
    </row>
    <row r="56" spans="1:37" ht="15">
      <c r="A56" s="185" t="str">
        <f>A36&amp;" - Electricity - Room - Existing"</f>
        <v>Agriculture - Heating - Electricity - Room - Existing</v>
      </c>
      <c r="B56" s="185" t="str">
        <f>D56&amp;RIGHT(C56,3)&amp;"-E"</f>
        <v>AHELC-E</v>
      </c>
      <c r="C56" s="190" t="str">
        <f>$E$6</f>
        <v>AGRELC</v>
      </c>
      <c r="D56" s="190" t="str">
        <f>$B$36</f>
        <v>AH</v>
      </c>
      <c r="E56" s="191">
        <f>+'Final Demand'!D34</f>
        <v>0.75</v>
      </c>
      <c r="F56" s="191">
        <f t="shared" si="18"/>
        <v>0.75</v>
      </c>
      <c r="G56" s="226">
        <f ca="1">SUMIF(AFA!$B$3:$S$3,D56,AFA!$B$4:$F$4)</f>
        <v>0.55130000000000001</v>
      </c>
      <c r="H56" s="226">
        <f t="shared" ca="1" si="19"/>
        <v>0.55130000000000001</v>
      </c>
      <c r="I56" s="192">
        <v>15</v>
      </c>
      <c r="J56" s="193">
        <f ca="1">P56/G56*(1+$J$45)</f>
        <v>0</v>
      </c>
      <c r="K56" s="193">
        <f t="shared" ca="1" si="20"/>
        <v>0</v>
      </c>
      <c r="L56" s="145">
        <v>0</v>
      </c>
      <c r="N56" s="217">
        <v>1</v>
      </c>
      <c r="O56" s="193">
        <f>N56*SUMIF($C$6:$I$6,C56,$C$36:$I$36)</f>
        <v>0</v>
      </c>
      <c r="P56" s="193">
        <f>O56*E56</f>
        <v>0</v>
      </c>
      <c r="Q56" s="150"/>
      <c r="R56" s="234">
        <f>P56/SUMIF($D$52:$D$74,$D56,$P$52:$P$74)</f>
        <v>0</v>
      </c>
      <c r="S56" s="235">
        <f>MIN(1,$R56+S$44)</f>
        <v>0.5</v>
      </c>
      <c r="T56" s="235">
        <f t="shared" si="15"/>
        <v>0.5</v>
      </c>
      <c r="U56" s="235">
        <f t="shared" si="16"/>
        <v>1</v>
      </c>
      <c r="V56" s="235">
        <f t="shared" si="16"/>
        <v>1</v>
      </c>
      <c r="W56"/>
      <c r="X56" s="234">
        <f>R56</f>
        <v>0</v>
      </c>
      <c r="Y56" s="235">
        <f t="shared" si="21"/>
        <v>0</v>
      </c>
      <c r="Z56" s="284">
        <f>INDEX($T$28:$Z$32,MATCH($D56,$B$36:$B$40,0),MATCH(RIGHT($C56,3),$T$26:$Z$26,0))</f>
        <v>0</v>
      </c>
      <c r="AA56" s="235">
        <f t="shared" si="17"/>
        <v>0</v>
      </c>
      <c r="AB56" s="235">
        <f t="shared" si="17"/>
        <v>0</v>
      </c>
      <c r="AC56" s="235">
        <f t="shared" si="17"/>
        <v>0</v>
      </c>
      <c r="AD56" s="150">
        <v>5</v>
      </c>
      <c r="AE56" s="150"/>
      <c r="AF56" s="150"/>
      <c r="AG56" s="191">
        <f>+'Final Demand'!D34</f>
        <v>0.75</v>
      </c>
      <c r="AH56" s="191">
        <f>$AG56</f>
        <v>0.75</v>
      </c>
      <c r="AJ56" s="193">
        <f t="shared" si="22"/>
        <v>0</v>
      </c>
      <c r="AK56" s="193">
        <f t="shared" si="23"/>
        <v>0</v>
      </c>
    </row>
    <row r="57" spans="1:37" ht="15">
      <c r="A57" s="195" t="s">
        <v>272</v>
      </c>
      <c r="B57" s="185"/>
      <c r="C57" s="196"/>
      <c r="D57" s="196"/>
      <c r="E57" s="197"/>
      <c r="F57" s="191"/>
      <c r="G57" s="226"/>
      <c r="H57" s="226"/>
      <c r="I57" s="186"/>
      <c r="J57" s="196"/>
      <c r="K57" s="193"/>
      <c r="N57" s="198"/>
      <c r="O57" s="199">
        <f>SUM(O52:O56)</f>
        <v>3.6351885951971101</v>
      </c>
      <c r="P57" s="199">
        <f>SUM(P52:P56)</f>
        <v>2.5043970166379772</v>
      </c>
      <c r="Q57" s="150"/>
      <c r="R57" s="234"/>
      <c r="S57" s="235"/>
      <c r="T57" s="235"/>
      <c r="U57" s="235"/>
      <c r="V57" s="235"/>
      <c r="W57"/>
      <c r="X57" s="234"/>
      <c r="Y57" s="235"/>
      <c r="Z57" s="278"/>
      <c r="AA57" s="235"/>
      <c r="AB57" s="235"/>
      <c r="AC57" s="235"/>
      <c r="AD57" s="150">
        <v>6</v>
      </c>
      <c r="AE57" s="150"/>
      <c r="AF57" s="150"/>
      <c r="AG57" s="197"/>
      <c r="AH57" s="191"/>
      <c r="AJ57" s="193" t="str">
        <f t="shared" si="22"/>
        <v/>
      </c>
      <c r="AK57" s="193" t="str">
        <f t="shared" si="23"/>
        <v/>
      </c>
    </row>
    <row r="58" spans="1:37" ht="15">
      <c r="A58" s="185" t="str">
        <f>"\I:"&amp;A37</f>
        <v>\I:Agriculture - Processing</v>
      </c>
      <c r="B58" s="185"/>
      <c r="C58" s="196"/>
      <c r="D58" s="196"/>
      <c r="E58" s="189"/>
      <c r="F58" s="191"/>
      <c r="G58" s="226"/>
      <c r="H58" s="226"/>
      <c r="I58" s="189"/>
      <c r="J58" s="189"/>
      <c r="K58" s="193"/>
      <c r="M58" s="200"/>
      <c r="N58" s="201"/>
      <c r="O58" s="201"/>
      <c r="P58" s="150"/>
      <c r="Q58" s="150"/>
      <c r="R58" s="234"/>
      <c r="S58" s="235"/>
      <c r="T58" s="235"/>
      <c r="U58" s="235"/>
      <c r="V58" s="235"/>
      <c r="W58"/>
      <c r="X58" s="234"/>
      <c r="Y58" s="235"/>
      <c r="Z58" s="278"/>
      <c r="AA58" s="235"/>
      <c r="AB58" s="235"/>
      <c r="AC58" s="235"/>
      <c r="AD58" s="150">
        <v>7</v>
      </c>
      <c r="AE58" s="150"/>
      <c r="AF58" s="150"/>
      <c r="AG58" s="189"/>
      <c r="AH58" s="191"/>
      <c r="AJ58" s="193" t="str">
        <f t="shared" si="22"/>
        <v/>
      </c>
      <c r="AK58" s="193" t="str">
        <f t="shared" si="23"/>
        <v/>
      </c>
    </row>
    <row r="59" spans="1:37" ht="15">
      <c r="A59" s="185" t="str">
        <f>A$37&amp;" - "&amp;VLOOKUP(RIGHT(C59,3),NameConv!$E$3:$F$16,2,FALSE)&amp;" - Existing"</f>
        <v>Agriculture - Processing - Electricity - Existing</v>
      </c>
      <c r="B59" s="185" t="str">
        <f>D59&amp;RIGHT(C59,3)&amp;"-E"</f>
        <v>APELC-E</v>
      </c>
      <c r="C59" s="190" t="str">
        <f>$E$6</f>
        <v>AGRELC</v>
      </c>
      <c r="D59" s="190" t="str">
        <f>$B$37</f>
        <v>AP</v>
      </c>
      <c r="E59" s="191">
        <f>+'Final Demand'!D36</f>
        <v>1</v>
      </c>
      <c r="F59" s="191">
        <f t="shared" si="18"/>
        <v>1</v>
      </c>
      <c r="G59" s="226">
        <f ca="1">SUMIF(AFA!$B$3:$S$3,D59,AFA!$B$4:$F$4)</f>
        <v>0.74760000000000004</v>
      </c>
      <c r="H59" s="226">
        <f t="shared" ca="1" si="19"/>
        <v>0.74760000000000004</v>
      </c>
      <c r="I59" s="192">
        <v>15</v>
      </c>
      <c r="J59" s="193">
        <f ca="1">P59/G59*(1+$J$45)</f>
        <v>5.1810032147411329</v>
      </c>
      <c r="K59" s="193">
        <f t="shared" ca="1" si="20"/>
        <v>6.2788628439197183</v>
      </c>
      <c r="L59" s="145">
        <v>0</v>
      </c>
      <c r="N59" s="217">
        <v>1</v>
      </c>
      <c r="O59" s="193">
        <f>N59*SUMIF($C$6:$I$6,C59,$C$37:$I$37)</f>
        <v>3.8349683201390801</v>
      </c>
      <c r="P59" s="193">
        <f>O59*E59</f>
        <v>3.8349683201390801</v>
      </c>
      <c r="R59" s="234">
        <f>P59/SUMIF($D$52:$D$74,$D59,$P$52:$P$74)</f>
        <v>1</v>
      </c>
      <c r="S59" s="235">
        <f>MIN(1,$R59+S$44)</f>
        <v>1</v>
      </c>
      <c r="T59" s="235">
        <f t="shared" si="15"/>
        <v>1</v>
      </c>
      <c r="U59" s="235">
        <f>MIN(1,$R59+U$44)</f>
        <v>1</v>
      </c>
      <c r="V59" s="235">
        <f>MIN(1,$R59+V$44)</f>
        <v>1</v>
      </c>
      <c r="W59" s="230"/>
      <c r="X59" s="234">
        <f>R59</f>
        <v>1</v>
      </c>
      <c r="Y59" s="235">
        <f t="shared" si="21"/>
        <v>1</v>
      </c>
      <c r="Z59" s="278">
        <f>INDEX($T$28:$Z$32,MATCH($D59,$B$36:$B$40,0),MATCH(RIGHT($C59,3),$T$26:$Z$26,0))</f>
        <v>1</v>
      </c>
      <c r="AA59" s="235">
        <f>$X59*AA$44</f>
        <v>0.25</v>
      </c>
      <c r="AB59" s="235">
        <f>$X59*AB$44</f>
        <v>0</v>
      </c>
      <c r="AC59" s="235">
        <f>$X59*AC$44</f>
        <v>0</v>
      </c>
      <c r="AD59" s="150">
        <v>8</v>
      </c>
      <c r="AG59" s="191">
        <f>+'Final Demand'!D36</f>
        <v>1</v>
      </c>
      <c r="AH59" s="191">
        <f>$AG59</f>
        <v>1</v>
      </c>
      <c r="AJ59" s="193">
        <f t="shared" si="22"/>
        <v>4.6476018436776059</v>
      </c>
      <c r="AK59" s="193">
        <f t="shared" si="23"/>
        <v>4.6476018436776059</v>
      </c>
    </row>
    <row r="60" spans="1:37" ht="15">
      <c r="A60" s="195" t="s">
        <v>272</v>
      </c>
      <c r="F60" s="191"/>
      <c r="G60" s="227"/>
      <c r="H60" s="226"/>
      <c r="K60" s="193"/>
      <c r="L60" s="145">
        <v>0</v>
      </c>
      <c r="N60" s="246"/>
      <c r="O60" s="199">
        <f>SUM(O59:O59)</f>
        <v>3.8349683201390801</v>
      </c>
      <c r="P60" s="199">
        <f>SUM(P59:P59)</f>
        <v>3.8349683201390801</v>
      </c>
      <c r="R60" s="234"/>
      <c r="S60" s="235"/>
      <c r="T60" s="235"/>
      <c r="U60" s="235"/>
      <c r="V60" s="235"/>
      <c r="W60" s="230"/>
      <c r="X60" s="230"/>
      <c r="Y60" s="235"/>
      <c r="Z60" s="278"/>
      <c r="AA60" s="235"/>
      <c r="AB60" s="235"/>
      <c r="AC60" s="235"/>
      <c r="AD60" s="150">
        <v>9</v>
      </c>
      <c r="AH60" s="191"/>
      <c r="AJ60" s="193" t="str">
        <f t="shared" si="22"/>
        <v/>
      </c>
      <c r="AK60" s="193" t="str">
        <f t="shared" si="23"/>
        <v/>
      </c>
    </row>
    <row r="61" spans="1:37" ht="15">
      <c r="A61" s="185" t="str">
        <f>"\I:"&amp;A38</f>
        <v>\I:Agriculture - Traction</v>
      </c>
      <c r="B61" s="185"/>
      <c r="C61" s="196"/>
      <c r="D61" s="196"/>
      <c r="E61" s="189"/>
      <c r="F61" s="191"/>
      <c r="G61" s="189"/>
      <c r="H61" s="226"/>
      <c r="I61" s="189"/>
      <c r="J61" s="189"/>
      <c r="K61" s="193"/>
      <c r="M61" s="200"/>
      <c r="N61" s="201"/>
      <c r="O61" s="201"/>
      <c r="P61" s="150"/>
      <c r="Q61" s="150"/>
      <c r="R61" s="234"/>
      <c r="S61" s="235"/>
      <c r="T61" s="235"/>
      <c r="U61" s="235"/>
      <c r="V61" s="235"/>
      <c r="W61"/>
      <c r="X61" s="234"/>
      <c r="Y61" s="235"/>
      <c r="Z61" s="278"/>
      <c r="AA61" s="235"/>
      <c r="AB61" s="235"/>
      <c r="AC61" s="235"/>
      <c r="AD61" s="150">
        <v>10</v>
      </c>
      <c r="AE61" s="150"/>
      <c r="AF61" s="150"/>
      <c r="AG61" s="189"/>
      <c r="AH61" s="191"/>
      <c r="AJ61" s="193" t="str">
        <f t="shared" si="22"/>
        <v/>
      </c>
      <c r="AK61" s="193" t="str">
        <f t="shared" si="23"/>
        <v/>
      </c>
    </row>
    <row r="62" spans="1:37" ht="15">
      <c r="A62" s="185" t="str">
        <f>A$38&amp;" - "&amp;VLOOKUP(RIGHT(C62,3),NameConv!$E$3:$F$16,2,FALSE)&amp;" - Existing"</f>
        <v>Agriculture - Traction - Oil Diesel - Existing</v>
      </c>
      <c r="B62" s="185" t="str">
        <f>D62&amp;RIGHT(C62,3)&amp;"-E"</f>
        <v>ATODS-E</v>
      </c>
      <c r="C62" s="190" t="str">
        <f>+D6</f>
        <v>AGRODS</v>
      </c>
      <c r="D62" s="190" t="str">
        <f>$B$38</f>
        <v>AT</v>
      </c>
      <c r="E62" s="191">
        <f>+'Final Demand'!D27</f>
        <v>0.35</v>
      </c>
      <c r="F62" s="191">
        <f t="shared" si="18"/>
        <v>0.35</v>
      </c>
      <c r="G62" s="226">
        <f ca="1">SUMIF(AFA!$B$3:$S$3,D62,AFA!$B$4:$F$4)</f>
        <v>0.77659999999999996</v>
      </c>
      <c r="H62" s="226">
        <f t="shared" ca="1" si="19"/>
        <v>0.77659999999999996</v>
      </c>
      <c r="I62" s="192">
        <v>15</v>
      </c>
      <c r="J62" s="193">
        <f ca="1">P62/G62*(1+$J$45)</f>
        <v>18.949387399524742</v>
      </c>
      <c r="K62" s="193">
        <f t="shared" ca="1" si="20"/>
        <v>21.803040680773695</v>
      </c>
      <c r="L62" s="145">
        <v>0</v>
      </c>
      <c r="N62" s="217">
        <v>1</v>
      </c>
      <c r="O62" s="193">
        <f>N62*SUMIF($C$6:$I$6,C62,$C$38:$I$38)</f>
        <v>41.629686717032293</v>
      </c>
      <c r="P62" s="193">
        <f>O62*E62</f>
        <v>14.570390350961301</v>
      </c>
      <c r="R62" s="234">
        <f>P62/SUMIF($D$52:$D$74,$D62,$P$52:$P$74)</f>
        <v>1</v>
      </c>
      <c r="S62" s="235">
        <f>MIN(1,$R62+S$44)</f>
        <v>1</v>
      </c>
      <c r="T62" s="235">
        <f t="shared" si="15"/>
        <v>1</v>
      </c>
      <c r="U62" s="235">
        <f t="shared" ref="U62:V64" si="24">MIN(1,$R62+U$44)</f>
        <v>1</v>
      </c>
      <c r="V62" s="235">
        <f t="shared" si="24"/>
        <v>1</v>
      </c>
      <c r="W62"/>
      <c r="X62" s="234">
        <f>R62</f>
        <v>1</v>
      </c>
      <c r="Y62" s="235">
        <f t="shared" si="21"/>
        <v>1</v>
      </c>
      <c r="Z62" s="278">
        <f>INDEX($T$28:$Z$32,MATCH($D62,$B$36:$B$40,0),MATCH(RIGHT($C62,3),$T$26:$Z$26,0))</f>
        <v>1</v>
      </c>
      <c r="AA62" s="235">
        <f t="shared" ref="AA62:AC64" si="25">$X62*AA$44</f>
        <v>0.25</v>
      </c>
      <c r="AB62" s="235">
        <f t="shared" si="25"/>
        <v>0</v>
      </c>
      <c r="AC62" s="235">
        <f t="shared" si="25"/>
        <v>0</v>
      </c>
      <c r="AD62" s="150">
        <v>11</v>
      </c>
      <c r="AG62" s="191">
        <f>+'Final Demand'!D27</f>
        <v>0.35</v>
      </c>
      <c r="AH62" s="191">
        <f>$AG62</f>
        <v>0.35</v>
      </c>
      <c r="AJ62" s="193">
        <f t="shared" si="22"/>
        <v>47.898844109445129</v>
      </c>
      <c r="AK62" s="193">
        <f t="shared" si="23"/>
        <v>16.764595438305793</v>
      </c>
    </row>
    <row r="63" spans="1:37" ht="15">
      <c r="A63" s="185" t="str">
        <f>A$38&amp;" - "&amp;VLOOKUP(RIGHT(C63,3),NameConv!$E$3:$F$16,2,FALSE)&amp;" - Existing"</f>
        <v>Agriculture - Traction - Electricity - Existing</v>
      </c>
      <c r="B63" s="185" t="str">
        <f>D63&amp;RIGHT(C63,3)&amp;"-E"</f>
        <v>ATELC-E</v>
      </c>
      <c r="C63" s="190" t="str">
        <f>+E6</f>
        <v>AGRELC</v>
      </c>
      <c r="D63" s="190" t="str">
        <f>$B$38</f>
        <v>AT</v>
      </c>
      <c r="E63" s="191">
        <f>+'Final Demand'!D30</f>
        <v>0.95</v>
      </c>
      <c r="F63" s="191">
        <f t="shared" si="18"/>
        <v>0.95</v>
      </c>
      <c r="G63" s="226">
        <f ca="1">SUMIF(AFA!$B$3:$S$3,D63,AFA!$B$4:$F$4)</f>
        <v>0.77659999999999996</v>
      </c>
      <c r="H63" s="226">
        <f t="shared" ca="1" si="19"/>
        <v>0.77659999999999996</v>
      </c>
      <c r="I63" s="192">
        <v>15</v>
      </c>
      <c r="J63" s="193">
        <f ca="1">P63/G63*(1+$J$45)</f>
        <v>0</v>
      </c>
      <c r="K63" s="193">
        <f t="shared" ca="1" si="20"/>
        <v>0</v>
      </c>
      <c r="L63" s="145">
        <v>0</v>
      </c>
      <c r="N63" s="217">
        <v>1</v>
      </c>
      <c r="O63" s="193">
        <f>N63*SUMIF($C$6:$I$6,C63,$C$38:$I$38)</f>
        <v>0</v>
      </c>
      <c r="P63" s="193">
        <f>O63*E63</f>
        <v>0</v>
      </c>
      <c r="R63" s="234">
        <f>P63/SUMIF($D$52:$D$74,$D63,$P$52:$P$74)</f>
        <v>0</v>
      </c>
      <c r="S63" s="235">
        <f>MIN(1,$R63+S$44)</f>
        <v>0.5</v>
      </c>
      <c r="T63" s="235">
        <f t="shared" si="15"/>
        <v>0.5</v>
      </c>
      <c r="U63" s="235">
        <f t="shared" si="24"/>
        <v>1</v>
      </c>
      <c r="V63" s="235">
        <f t="shared" si="24"/>
        <v>1</v>
      </c>
      <c r="W63"/>
      <c r="X63" s="234">
        <f>R63</f>
        <v>0</v>
      </c>
      <c r="Y63" s="235">
        <f t="shared" si="21"/>
        <v>0</v>
      </c>
      <c r="Z63" s="278">
        <f>INDEX($T$28:$Z$32,MATCH($D63,$B$36:$B$40,0),MATCH(RIGHT($C63,3),$T$26:$Z$26,0))</f>
        <v>0</v>
      </c>
      <c r="AA63" s="235">
        <f t="shared" si="25"/>
        <v>0</v>
      </c>
      <c r="AB63" s="235">
        <f t="shared" si="25"/>
        <v>0</v>
      </c>
      <c r="AC63" s="235">
        <f t="shared" si="25"/>
        <v>0</v>
      </c>
      <c r="AD63" s="150">
        <v>12</v>
      </c>
      <c r="AG63" s="191">
        <f>+'Final Demand'!D30</f>
        <v>0.95</v>
      </c>
      <c r="AH63" s="191">
        <f>AG63*1.1</f>
        <v>1.0449999999999999</v>
      </c>
      <c r="AJ63" s="193">
        <f t="shared" si="22"/>
        <v>0</v>
      </c>
      <c r="AK63" s="193">
        <f t="shared" si="23"/>
        <v>0</v>
      </c>
    </row>
    <row r="64" spans="1:37" ht="15">
      <c r="A64" s="185" t="str">
        <f>A$38&amp;" - "&amp;VLOOKUP(RIGHT(C64,3),NameConv!$E$3:$F$16,2,FALSE)&amp;" - Existing"</f>
        <v>Agriculture - Traction - Oil Gasoline - Existing</v>
      </c>
      <c r="B64" s="185" t="str">
        <f>D64&amp;RIGHT(C64,3)&amp;"-E"</f>
        <v>ATOGS-E</v>
      </c>
      <c r="C64" s="190" t="str">
        <f>$F$6</f>
        <v>AGROGS</v>
      </c>
      <c r="D64" s="190" t="str">
        <f>$B$38</f>
        <v>AT</v>
      </c>
      <c r="E64" s="191">
        <f>+'Final Demand'!D28</f>
        <v>0.25</v>
      </c>
      <c r="F64" s="191">
        <f t="shared" si="18"/>
        <v>0.25</v>
      </c>
      <c r="G64" s="226">
        <f ca="1">SUMIF(AFA!$B$3:$S$3,D64,AFA!$B$4:$F$4)</f>
        <v>0.77659999999999996</v>
      </c>
      <c r="H64" s="226">
        <f t="shared" ca="1" si="19"/>
        <v>0.77659999999999996</v>
      </c>
      <c r="I64" s="192">
        <v>15</v>
      </c>
      <c r="J64" s="193">
        <f ca="1">P64/G64*(1+$J$45)</f>
        <v>0</v>
      </c>
      <c r="K64" s="193">
        <f t="shared" ca="1" si="20"/>
        <v>0</v>
      </c>
      <c r="L64" s="145">
        <v>0</v>
      </c>
      <c r="N64" s="217">
        <v>1</v>
      </c>
      <c r="O64" s="193">
        <f>N64*SUMIF($C$6:$I$6,C64,$C$38:$I$38)</f>
        <v>0</v>
      </c>
      <c r="P64" s="193">
        <f>O64*E64</f>
        <v>0</v>
      </c>
      <c r="R64" s="234">
        <f>P64/SUMIF($D$52:$D$74,$D64,$P$52:$P$74)</f>
        <v>0</v>
      </c>
      <c r="S64" s="96">
        <v>0</v>
      </c>
      <c r="T64" s="96">
        <v>0</v>
      </c>
      <c r="U64" s="96">
        <v>0</v>
      </c>
      <c r="V64" s="235">
        <f t="shared" si="24"/>
        <v>1</v>
      </c>
      <c r="W64"/>
      <c r="X64" s="234">
        <f>R64</f>
        <v>0</v>
      </c>
      <c r="Y64" s="235">
        <f t="shared" si="21"/>
        <v>0</v>
      </c>
      <c r="Z64" s="278">
        <f>INDEX($T$28:$Z$32,MATCH($D64,$B$36:$B$40,0),MATCH(RIGHT($C64,3),$T$26:$Z$26,0))</f>
        <v>0</v>
      </c>
      <c r="AA64" s="235">
        <f t="shared" si="25"/>
        <v>0</v>
      </c>
      <c r="AB64" s="235">
        <f t="shared" si="25"/>
        <v>0</v>
      </c>
      <c r="AC64" s="235">
        <f t="shared" si="25"/>
        <v>0</v>
      </c>
      <c r="AD64" s="150">
        <v>13</v>
      </c>
      <c r="AG64" s="191">
        <f>+'Final Demand'!D28</f>
        <v>0.25</v>
      </c>
      <c r="AH64" s="191">
        <f>$AG64</f>
        <v>0.25</v>
      </c>
      <c r="AJ64" s="193">
        <f t="shared" si="22"/>
        <v>0</v>
      </c>
      <c r="AK64" s="193">
        <f t="shared" si="23"/>
        <v>0</v>
      </c>
    </row>
    <row r="65" spans="1:37" ht="15">
      <c r="A65" s="195" t="s">
        <v>272</v>
      </c>
      <c r="F65" s="191"/>
      <c r="G65" s="227"/>
      <c r="H65" s="226"/>
      <c r="K65" s="193"/>
      <c r="N65" s="246"/>
      <c r="O65" s="199">
        <f>SUM(O62:O64)</f>
        <v>41.629686717032293</v>
      </c>
      <c r="P65" s="199">
        <f>SUM(P62:P64)</f>
        <v>14.570390350961301</v>
      </c>
      <c r="R65" s="234"/>
      <c r="S65" s="235"/>
      <c r="T65" s="235"/>
      <c r="U65" s="235"/>
      <c r="V65" s="235"/>
      <c r="W65"/>
      <c r="X65"/>
      <c r="Y65" s="235"/>
      <c r="Z65" s="278"/>
      <c r="AA65" s="235"/>
      <c r="AB65" s="235"/>
      <c r="AC65" s="235"/>
      <c r="AD65" s="150">
        <v>14</v>
      </c>
      <c r="AH65" s="191"/>
      <c r="AJ65" s="193" t="str">
        <f t="shared" si="22"/>
        <v/>
      </c>
      <c r="AK65" s="193" t="str">
        <f t="shared" si="23"/>
        <v/>
      </c>
    </row>
    <row r="66" spans="1:37" ht="15">
      <c r="A66" s="185" t="str">
        <f>"\I:"&amp;A39</f>
        <v>\I:Agriculture - Irrigation</v>
      </c>
      <c r="B66" s="185"/>
      <c r="C66" s="196"/>
      <c r="D66" s="196"/>
      <c r="E66" s="189"/>
      <c r="F66" s="191"/>
      <c r="G66" s="189"/>
      <c r="H66" s="226"/>
      <c r="I66" s="189"/>
      <c r="J66" s="189"/>
      <c r="K66" s="193"/>
      <c r="M66" s="200"/>
      <c r="N66" s="201"/>
      <c r="O66" s="201"/>
      <c r="P66" s="150"/>
      <c r="Q66" s="150"/>
      <c r="R66" s="234"/>
      <c r="S66" s="235"/>
      <c r="T66" s="235"/>
      <c r="U66" s="235"/>
      <c r="V66" s="235"/>
      <c r="W66" s="230"/>
      <c r="X66" s="230"/>
      <c r="Y66" s="235"/>
      <c r="Z66" s="278"/>
      <c r="AA66" s="235"/>
      <c r="AB66" s="235"/>
      <c r="AC66" s="235"/>
      <c r="AD66" s="150">
        <v>15</v>
      </c>
      <c r="AE66" s="150"/>
      <c r="AF66" s="150"/>
      <c r="AG66" s="189"/>
      <c r="AH66" s="191"/>
      <c r="AJ66" s="193" t="str">
        <f t="shared" si="22"/>
        <v/>
      </c>
      <c r="AK66" s="193" t="str">
        <f t="shared" si="23"/>
        <v/>
      </c>
    </row>
    <row r="67" spans="1:37" ht="15">
      <c r="A67" s="185" t="str">
        <f>A$39&amp;" - "&amp;VLOOKUP(RIGHT(C67,3),NameConv!$E$3:$F$16,2,FALSE)&amp;" - Existing"</f>
        <v>Agriculture - Irrigation - Oil Diesel - Existing</v>
      </c>
      <c r="B67" s="185" t="str">
        <f>D67&amp;RIGHT(C67,3)&amp;"-E"</f>
        <v>AIODS-E</v>
      </c>
      <c r="C67" s="190" t="str">
        <f>$D$6</f>
        <v>AGRODS</v>
      </c>
      <c r="D67" s="190" t="str">
        <f>$B$39</f>
        <v>AI</v>
      </c>
      <c r="E67" s="191">
        <f>+'Final Demand'!D29</f>
        <v>0.35</v>
      </c>
      <c r="F67" s="191">
        <f t="shared" si="18"/>
        <v>0.35</v>
      </c>
      <c r="G67" s="226">
        <f ca="1">SUMIF(AFA!$B$3:$S$3,D67,AFA!$B$4:$F$4)</f>
        <v>0.80869999999999997</v>
      </c>
      <c r="H67" s="226">
        <f t="shared" ca="1" si="19"/>
        <v>0.80869999999999997</v>
      </c>
      <c r="I67" s="192">
        <v>15</v>
      </c>
      <c r="J67" s="193">
        <f ca="1">P67/G67*(1+$J$45)</f>
        <v>0.48710312571768793</v>
      </c>
      <c r="K67" s="193">
        <f t="shared" ca="1" si="20"/>
        <v>0.56045765711777762</v>
      </c>
      <c r="L67" s="145">
        <v>0</v>
      </c>
      <c r="N67" s="217">
        <v>1</v>
      </c>
      <c r="O67" s="193">
        <f>N67*SUMIF($C$6:$I$6,C67,$C$39:$I$39)</f>
        <v>1.1143431337139864</v>
      </c>
      <c r="P67" s="193">
        <f>O67*E67</f>
        <v>0.39002009679989524</v>
      </c>
      <c r="Q67" s="264"/>
      <c r="R67" s="234">
        <f>P67/SUMIF($D$52:$D$74,$D67,$P$52:$P$74)</f>
        <v>7.7688478413921722E-2</v>
      </c>
      <c r="S67" s="235">
        <f>MIN(1,$R67+S$44)</f>
        <v>0.57768847841392168</v>
      </c>
      <c r="T67" s="235">
        <f t="shared" si="15"/>
        <v>0.57768847841392168</v>
      </c>
      <c r="U67" s="235">
        <f t="shared" ref="U67:V69" si="26">MIN(1,$R67+U$44)</f>
        <v>1</v>
      </c>
      <c r="V67" s="235">
        <f t="shared" si="26"/>
        <v>1</v>
      </c>
      <c r="W67"/>
      <c r="X67" s="234">
        <f>R67</f>
        <v>7.7688478413921722E-2</v>
      </c>
      <c r="Y67" s="235">
        <f t="shared" si="21"/>
        <v>0.12801975283770342</v>
      </c>
      <c r="Z67" s="278">
        <f>INDEX($T$28:$Z$32,MATCH($D67,$B$36:$B$40,0),MATCH(RIGHT($C67,3),$T$26:$Z$26,0))</f>
        <v>0.17835102726148511</v>
      </c>
      <c r="AA67" s="235">
        <f t="shared" ref="AA67:AC69" si="27">$X67*AA$44</f>
        <v>1.942211960348043E-2</v>
      </c>
      <c r="AB67" s="235">
        <f t="shared" si="27"/>
        <v>0</v>
      </c>
      <c r="AC67" s="235">
        <f t="shared" si="27"/>
        <v>0</v>
      </c>
      <c r="AD67" s="150">
        <v>16</v>
      </c>
      <c r="AG67" s="191">
        <f>+'Final Demand'!D29</f>
        <v>0.35</v>
      </c>
      <c r="AH67" s="191">
        <f>$AG67</f>
        <v>0.35</v>
      </c>
      <c r="AJ67" s="193">
        <f t="shared" si="22"/>
        <v>1.2821558905548704</v>
      </c>
      <c r="AK67" s="193">
        <f t="shared" si="23"/>
        <v>0.44875456169420463</v>
      </c>
    </row>
    <row r="68" spans="1:37" ht="15">
      <c r="A68" s="185" t="str">
        <f>A$39&amp;" - "&amp;VLOOKUP(RIGHT(C68,3),NameConv!$E$3:$F$16,2,FALSE)&amp;" - Existing"</f>
        <v>Agriculture - Irrigation - Electricity - Existing</v>
      </c>
      <c r="B68" s="185" t="str">
        <f>D68&amp;RIGHT(C68,3)&amp;"-E"</f>
        <v>AIELC-E</v>
      </c>
      <c r="C68" s="190" t="str">
        <f>$E$6</f>
        <v>AGRELC</v>
      </c>
      <c r="D68" s="190" t="str">
        <f>$B$39</f>
        <v>AI</v>
      </c>
      <c r="E68" s="191">
        <f>+'Final Demand'!D30</f>
        <v>0.95</v>
      </c>
      <c r="F68" s="191">
        <f t="shared" si="18"/>
        <v>0.95</v>
      </c>
      <c r="G68" s="226">
        <f ca="1">SUMIF(AFA!$B$3:$S$3,D68,AFA!$B$4:$F$4)</f>
        <v>0.80869999999999997</v>
      </c>
      <c r="H68" s="226">
        <f t="shared" ca="1" si="19"/>
        <v>0.80869999999999997</v>
      </c>
      <c r="I68" s="192">
        <v>15</v>
      </c>
      <c r="J68" s="193">
        <f ca="1">P68/G68*(1+$J$45)</f>
        <v>5.7828500985225668</v>
      </c>
      <c r="K68" s="193">
        <f t="shared" ca="1" si="20"/>
        <v>7.0082416687682061</v>
      </c>
      <c r="L68" s="145">
        <v>0</v>
      </c>
      <c r="N68" s="217">
        <v>1</v>
      </c>
      <c r="O68" s="193">
        <f>N68*SUMIF($C$6:$I$6,C68,$C$39:$I$39)</f>
        <v>4.8739873628714951</v>
      </c>
      <c r="P68" s="193">
        <f>O68*E68</f>
        <v>4.6302879947279205</v>
      </c>
      <c r="Q68" s="264"/>
      <c r="R68" s="234">
        <f>P68/SUMIF($D$52:$D$74,$D68,$P$52:$P$74)*1.02</f>
        <v>0.94075775201779988</v>
      </c>
      <c r="S68" s="235">
        <f>MIN(1,$R68+S$44)</f>
        <v>1</v>
      </c>
      <c r="T68" s="235">
        <f t="shared" si="15"/>
        <v>1</v>
      </c>
      <c r="U68" s="235">
        <f t="shared" si="26"/>
        <v>1</v>
      </c>
      <c r="V68" s="235">
        <f t="shared" si="26"/>
        <v>1</v>
      </c>
      <c r="W68"/>
      <c r="X68" s="234">
        <f>R68/1.02</f>
        <v>0.92231152158607832</v>
      </c>
      <c r="Y68" s="235">
        <f t="shared" si="21"/>
        <v>0.87198024716229661</v>
      </c>
      <c r="Z68" s="278">
        <f>INDEX($T$28:$Z$32,MATCH($D68,$B$36:$B$40,0),MATCH(RIGHT($C68,3),$T$26:$Z$26,0))</f>
        <v>0.82164897273851489</v>
      </c>
      <c r="AA68" s="235">
        <f t="shared" si="27"/>
        <v>0.23057788039651958</v>
      </c>
      <c r="AB68" s="235">
        <f t="shared" si="27"/>
        <v>0</v>
      </c>
      <c r="AC68" s="235">
        <f t="shared" si="27"/>
        <v>0</v>
      </c>
      <c r="AD68" s="150">
        <v>17</v>
      </c>
      <c r="AG68" s="191">
        <f>+'Final Demand'!D30</f>
        <v>0.95</v>
      </c>
      <c r="AH68" s="191">
        <f>$AG68</f>
        <v>0.95</v>
      </c>
      <c r="AJ68" s="193">
        <f t="shared" si="22"/>
        <v>5.9067900339060424</v>
      </c>
      <c r="AK68" s="193">
        <f t="shared" si="23"/>
        <v>5.61145053221074</v>
      </c>
    </row>
    <row r="69" spans="1:37" ht="15">
      <c r="A69" s="185" t="str">
        <f>A$39&amp;" - "&amp;VLOOKUP(RIGHT(C69,3),NameConv!$E$3:$F$16,2,FALSE)&amp;" - Existing"</f>
        <v>Agriculture - Irrigation - Oil Gasoline - Existing</v>
      </c>
      <c r="B69" s="185" t="str">
        <f>D69&amp;RIGHT(C69,3)&amp;"-E"</f>
        <v>AIOGS-E</v>
      </c>
      <c r="C69" s="190" t="str">
        <f>$F$6</f>
        <v>AGROGS</v>
      </c>
      <c r="D69" s="190" t="str">
        <f>$B$39</f>
        <v>AI</v>
      </c>
      <c r="E69" s="191">
        <f>+'Final Demand'!D31</f>
        <v>0.25</v>
      </c>
      <c r="F69" s="191">
        <f t="shared" si="18"/>
        <v>0.25</v>
      </c>
      <c r="G69" s="226">
        <f ca="1">SUMIF(AFA!$B$3:$S$3,D69,AFA!$B$4:$F$4)</f>
        <v>0.80869999999999997</v>
      </c>
      <c r="H69" s="226">
        <f t="shared" ca="1" si="19"/>
        <v>0.80869999999999997</v>
      </c>
      <c r="I69" s="192">
        <v>15</v>
      </c>
      <c r="J69" s="193">
        <f ca="1">P69/G69*(1+$J$45)</f>
        <v>0</v>
      </c>
      <c r="K69" s="193">
        <f t="shared" ca="1" si="20"/>
        <v>0</v>
      </c>
      <c r="L69" s="145">
        <v>0</v>
      </c>
      <c r="N69" s="217">
        <v>1</v>
      </c>
      <c r="O69" s="193">
        <f>N69*SUMIF($C$6:$I$6,C69,$C$39:$I$39)</f>
        <v>0</v>
      </c>
      <c r="P69" s="193">
        <f>O69*E69</f>
        <v>0</v>
      </c>
      <c r="Q69" s="264"/>
      <c r="R69" s="234">
        <f>P69/SUMIF($D$52:$D$74,$D69,$P$52:$P$74)</f>
        <v>0</v>
      </c>
      <c r="S69" s="96">
        <v>0</v>
      </c>
      <c r="T69" s="96">
        <v>0</v>
      </c>
      <c r="U69" s="96">
        <v>0</v>
      </c>
      <c r="V69" s="235">
        <f t="shared" si="26"/>
        <v>1</v>
      </c>
      <c r="W69" s="230"/>
      <c r="X69" s="234">
        <f>R69</f>
        <v>0</v>
      </c>
      <c r="Y69" s="235">
        <f t="shared" si="21"/>
        <v>0</v>
      </c>
      <c r="Z69" s="278">
        <f>INDEX($T$28:$Z$32,MATCH($D69,$B$36:$B$40,0),MATCH(RIGHT($C69,3),$T$26:$Z$26,0))</f>
        <v>0</v>
      </c>
      <c r="AA69" s="235">
        <f t="shared" si="27"/>
        <v>0</v>
      </c>
      <c r="AB69" s="235">
        <f t="shared" si="27"/>
        <v>0</v>
      </c>
      <c r="AC69" s="235">
        <f t="shared" si="27"/>
        <v>0</v>
      </c>
      <c r="AD69" s="150">
        <v>18</v>
      </c>
      <c r="AG69" s="191">
        <f>+'Final Demand'!D31</f>
        <v>0.25</v>
      </c>
      <c r="AH69" s="191">
        <f>$AG69</f>
        <v>0.25</v>
      </c>
      <c r="AJ69" s="193">
        <f t="shared" si="22"/>
        <v>0</v>
      </c>
      <c r="AK69" s="193">
        <f t="shared" si="23"/>
        <v>0</v>
      </c>
    </row>
    <row r="70" spans="1:37" ht="15">
      <c r="A70" s="195" t="s">
        <v>272</v>
      </c>
      <c r="F70" s="191"/>
      <c r="G70" s="227"/>
      <c r="H70" s="226"/>
      <c r="K70" s="193"/>
      <c r="N70" s="246"/>
      <c r="O70" s="199">
        <f>SUM(O67:O69)</f>
        <v>5.9883304965854816</v>
      </c>
      <c r="P70" s="199">
        <f>SUM(P67:P69)</f>
        <v>5.0203080915278155</v>
      </c>
      <c r="R70" s="234"/>
      <c r="S70" s="235"/>
      <c r="T70" s="235"/>
      <c r="U70" s="235"/>
      <c r="V70" s="235"/>
      <c r="W70"/>
      <c r="X70" s="234"/>
      <c r="Y70" s="235"/>
      <c r="Z70" s="278"/>
      <c r="AA70" s="235"/>
      <c r="AB70" s="235"/>
      <c r="AC70" s="235"/>
      <c r="AD70" s="150">
        <v>19</v>
      </c>
      <c r="AH70" s="191"/>
      <c r="AJ70" s="193" t="str">
        <f t="shared" si="22"/>
        <v/>
      </c>
      <c r="AK70" s="193" t="str">
        <f t="shared" si="23"/>
        <v/>
      </c>
    </row>
    <row r="71" spans="1:37" ht="15">
      <c r="A71" s="185" t="str">
        <f>"\I:"&amp;A40</f>
        <v>\I:Agriculture - Other</v>
      </c>
      <c r="B71" s="185"/>
      <c r="C71" s="196"/>
      <c r="D71" s="196"/>
      <c r="E71" s="189"/>
      <c r="F71" s="191"/>
      <c r="G71" s="189"/>
      <c r="H71" s="226"/>
      <c r="I71" s="189"/>
      <c r="J71" s="189"/>
      <c r="K71" s="193"/>
      <c r="M71" s="200"/>
      <c r="N71" s="201"/>
      <c r="O71" s="201"/>
      <c r="P71" s="150"/>
      <c r="Q71" s="150"/>
      <c r="R71" s="234"/>
      <c r="S71" s="235"/>
      <c r="T71" s="235"/>
      <c r="U71" s="235"/>
      <c r="V71" s="235"/>
      <c r="W71"/>
      <c r="X71" s="234"/>
      <c r="Y71" s="235"/>
      <c r="Z71" s="278"/>
      <c r="AA71" s="235"/>
      <c r="AB71" s="235"/>
      <c r="AC71" s="235"/>
      <c r="AD71" s="150">
        <v>20</v>
      </c>
      <c r="AE71" s="150"/>
      <c r="AF71" s="150"/>
      <c r="AG71" s="189"/>
      <c r="AH71" s="191"/>
      <c r="AJ71" s="193" t="str">
        <f t="shared" si="22"/>
        <v/>
      </c>
      <c r="AK71" s="193" t="str">
        <f t="shared" si="23"/>
        <v/>
      </c>
    </row>
    <row r="72" spans="1:37" ht="15">
      <c r="A72" s="185" t="str">
        <f>A$40&amp;" - "&amp;VLOOKUP(RIGHT(C72,3),NameConv!$E$3:$F$16,2,FALSE)&amp;" - Existing"</f>
        <v>Agriculture - Other - Electricity - Existing</v>
      </c>
      <c r="B72" s="185" t="str">
        <f>D72&amp;RIGHT(C72,3)&amp;"-E"</f>
        <v>AOELC-E</v>
      </c>
      <c r="C72" s="190" t="str">
        <f>$E$6</f>
        <v>AGRELC</v>
      </c>
      <c r="D72" s="190" t="str">
        <f>$B$40</f>
        <v>AO</v>
      </c>
      <c r="E72" s="191">
        <f>+'Final Demand'!D37</f>
        <v>1</v>
      </c>
      <c r="F72" s="191">
        <f t="shared" si="18"/>
        <v>1</v>
      </c>
      <c r="G72" s="226">
        <f ca="1">SUMIF(AFA!$B$3:$S$3,D72,AFA!$B$4:$F$4)</f>
        <v>1</v>
      </c>
      <c r="H72" s="226">
        <f t="shared" ca="1" si="19"/>
        <v>1</v>
      </c>
      <c r="I72" s="192">
        <v>15</v>
      </c>
      <c r="J72" s="193">
        <f ca="1">P72/G72*(1+$J$45)</f>
        <v>8.5153691780784957</v>
      </c>
      <c r="K72" s="193">
        <f ca="1">AK72/H72*(1+K$45)</f>
        <v>10.319784203640513</v>
      </c>
      <c r="L72" s="145">
        <v>0</v>
      </c>
      <c r="N72" s="217">
        <v>1</v>
      </c>
      <c r="O72" s="193">
        <f>N72*SUMIF($C$6:$I$6,C72,$C$40:$I$40)</f>
        <v>8.4310585921569263</v>
      </c>
      <c r="P72" s="193">
        <f>O72*E72</f>
        <v>8.4310585921569263</v>
      </c>
      <c r="R72" s="234">
        <f>P72/SUMIF($D$52:$D$74,$D72,$P$52:$P$74)</f>
        <v>1</v>
      </c>
      <c r="S72" s="235">
        <f>MIN(1,$R72+S$44)</f>
        <v>1</v>
      </c>
      <c r="T72" s="235">
        <f>MIN(1,$R72+T$44)</f>
        <v>1</v>
      </c>
      <c r="U72" s="235">
        <f>MIN(1,$R72+U$44)</f>
        <v>1</v>
      </c>
      <c r="V72" s="235">
        <f>MIN(1,$R72+V$44)</f>
        <v>1</v>
      </c>
      <c r="W72"/>
      <c r="X72" s="234">
        <f>R72</f>
        <v>1</v>
      </c>
      <c r="Y72" s="235">
        <f t="shared" si="21"/>
        <v>1</v>
      </c>
      <c r="Z72" s="278">
        <f>INDEX($T$28:$Z$32,MATCH($D72,$B$36:$B$40,0),MATCH(RIGHT($C72,3),$T$26:$Z$26,0))</f>
        <v>1</v>
      </c>
      <c r="AA72" s="235">
        <f>$X72*AA$44</f>
        <v>0.25</v>
      </c>
      <c r="AB72" s="235">
        <f>$X72*AB$44</f>
        <v>0</v>
      </c>
      <c r="AC72" s="235">
        <f>$X72*AC$44</f>
        <v>0</v>
      </c>
      <c r="AD72" s="150">
        <v>21</v>
      </c>
      <c r="AG72" s="191">
        <f>+'Final Demand'!D37</f>
        <v>1</v>
      </c>
      <c r="AH72" s="191">
        <f>$AG72</f>
        <v>1</v>
      </c>
      <c r="AJ72" s="193">
        <f t="shared" si="22"/>
        <v>10.217608122416349</v>
      </c>
      <c r="AK72" s="193">
        <f t="shared" si="23"/>
        <v>10.217608122416349</v>
      </c>
    </row>
    <row r="73" spans="1:37" ht="15">
      <c r="A73" s="195" t="s">
        <v>272</v>
      </c>
      <c r="B73" s="185"/>
      <c r="C73" s="190"/>
      <c r="D73" s="190"/>
      <c r="E73" s="191"/>
      <c r="F73" s="191"/>
      <c r="G73" s="226"/>
      <c r="H73" s="226"/>
      <c r="I73" s="192"/>
      <c r="J73" s="193"/>
      <c r="K73" s="193"/>
      <c r="N73" s="217"/>
      <c r="O73" s="199">
        <f>SUM(O52:O72)</f>
        <v>118.60740685006485</v>
      </c>
      <c r="P73" s="199">
        <f>SUM(P52:P72)</f>
        <v>60.291186150689271</v>
      </c>
      <c r="R73" s="234"/>
      <c r="S73" s="235"/>
      <c r="T73" s="235"/>
      <c r="U73" s="235"/>
      <c r="V73" s="235"/>
      <c r="W73"/>
      <c r="X73" s="234"/>
      <c r="Y73" s="235"/>
      <c r="Z73" s="235"/>
      <c r="AA73" s="235"/>
      <c r="AB73" s="235"/>
      <c r="AC73" s="235"/>
      <c r="AD73" s="150">
        <v>22</v>
      </c>
      <c r="AG73" s="191"/>
      <c r="AH73" s="191"/>
      <c r="AJ73" s="199">
        <f>SUM(AJ52:AJ72)</f>
        <v>77.781999999999996</v>
      </c>
      <c r="AK73" s="199">
        <f>SUM(AK52:AK72)</f>
        <v>43.0726604983047</v>
      </c>
    </row>
    <row r="74" spans="1:37" s="203" customFormat="1" ht="15.75">
      <c r="A74" s="202" t="s">
        <v>273</v>
      </c>
      <c r="B74" s="203">
        <f>SUMPRODUCT(--(B52:B72&lt;&gt;""))</f>
        <v>13</v>
      </c>
      <c r="Q74" s="203">
        <f>ROW()-56</f>
        <v>18</v>
      </c>
      <c r="R74" s="236"/>
      <c r="S74" s="236"/>
      <c r="T74" s="236"/>
      <c r="U74" s="236"/>
      <c r="V74" s="236"/>
      <c r="W74" s="236"/>
      <c r="X74" s="236"/>
      <c r="Y74" s="236"/>
      <c r="Z74" s="236"/>
      <c r="AA74" s="236"/>
      <c r="AB74" s="236"/>
      <c r="AC74" s="236"/>
      <c r="AD74" s="236">
        <v>23</v>
      </c>
    </row>
    <row r="75" spans="1:37">
      <c r="AJ75" s="193" t="str">
        <f t="shared" si="22"/>
        <v/>
      </c>
    </row>
    <row r="76" spans="1:37">
      <c r="AJ76" s="193" t="str">
        <f t="shared" si="22"/>
        <v/>
      </c>
    </row>
    <row r="77" spans="1:37">
      <c r="AJ77" s="193" t="str">
        <f t="shared" si="22"/>
        <v/>
      </c>
    </row>
    <row r="78" spans="1:37">
      <c r="AJ78" s="193" t="str">
        <f t="shared" si="22"/>
        <v/>
      </c>
    </row>
  </sheetData>
  <mergeCells count="1">
    <mergeCell ref="B1:D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9" tint="-0.249977111117893"/>
  </sheetPr>
  <dimension ref="A1:I39"/>
  <sheetViews>
    <sheetView workbookViewId="0">
      <pane ySplit="7" topLeftCell="A8" activePane="bottomLeft" state="frozen"/>
      <selection activeCell="B3" sqref="B3"/>
      <selection pane="bottomLeft" activeCell="E47" sqref="E47"/>
    </sheetView>
  </sheetViews>
  <sheetFormatPr defaultColWidth="9.140625" defaultRowHeight="11.25"/>
  <cols>
    <col min="1" max="1" width="12.42578125" style="137" customWidth="1"/>
    <col min="2" max="2" width="9.140625" style="137"/>
    <col min="3" max="3" width="11" style="137" customWidth="1"/>
    <col min="4" max="4" width="27.42578125" style="137" customWidth="1"/>
    <col min="5" max="5" width="10.140625" style="137" customWidth="1"/>
    <col min="6" max="6" width="28.7109375" style="137" customWidth="1"/>
    <col min="7" max="16384" width="9.140625" style="137"/>
  </cols>
  <sheetData>
    <row r="1" spans="1:9">
      <c r="A1" s="136" t="s">
        <v>274</v>
      </c>
      <c r="B1" s="137" t="s">
        <v>275</v>
      </c>
      <c r="I1" s="137" t="s">
        <v>276</v>
      </c>
    </row>
    <row r="2" spans="1:9">
      <c r="A2" s="137" t="s">
        <v>277</v>
      </c>
    </row>
    <row r="3" spans="1:9" ht="18.75" customHeight="1">
      <c r="A3" s="137" t="s">
        <v>277</v>
      </c>
    </row>
    <row r="4" spans="1:9">
      <c r="A4" s="137" t="s">
        <v>277</v>
      </c>
    </row>
    <row r="5" spans="1:9">
      <c r="A5" s="137" t="s">
        <v>277</v>
      </c>
    </row>
    <row r="6" spans="1:9">
      <c r="A6" s="137" t="s">
        <v>277</v>
      </c>
    </row>
    <row r="7" spans="1:9">
      <c r="A7" s="137" t="s">
        <v>277</v>
      </c>
      <c r="B7" s="136" t="s">
        <v>278</v>
      </c>
      <c r="C7" s="204" t="s">
        <v>279</v>
      </c>
      <c r="D7" s="136" t="s">
        <v>280</v>
      </c>
      <c r="E7" s="136" t="s">
        <v>281</v>
      </c>
      <c r="F7" s="136" t="s">
        <v>282</v>
      </c>
      <c r="G7" s="136" t="s">
        <v>283</v>
      </c>
    </row>
    <row r="8" spans="1:9">
      <c r="A8" s="137" t="s">
        <v>277</v>
      </c>
      <c r="B8" s="136" t="s">
        <v>284</v>
      </c>
      <c r="C8" s="204"/>
      <c r="D8" s="136"/>
      <c r="E8" s="136"/>
      <c r="F8" s="136"/>
      <c r="G8" s="136"/>
    </row>
    <row r="9" spans="1:9">
      <c r="B9" s="205" t="str">
        <f t="shared" ref="B9:B15" si="0">IF(A9="*","","T")</f>
        <v>T</v>
      </c>
      <c r="C9" s="206" t="str">
        <f ca="1">"X"&amp;OFFSET(AGR!$B$6,0,I9)</f>
        <v>XAGRCOA</v>
      </c>
      <c r="D9" s="206" t="str">
        <f ca="1">"Agriculatural "&amp;OFFSET(AGR!$B$5,0,I9)</f>
        <v>Agriculatural Coal</v>
      </c>
      <c r="E9" s="205" t="str">
        <f ca="1">"PJ,"&amp;IF(RIGHT(C9,3)="ELC","GW","PJa")</f>
        <v>PJ,PJa</v>
      </c>
      <c r="F9" s="205" t="str">
        <f ca="1">"PRC,PRE,"&amp;IF(RIGHT(C9,3)="ELC","DAYNITE","ANNUAL")</f>
        <v>PRC,PRE,ANNUAL</v>
      </c>
      <c r="G9" s="136"/>
      <c r="I9" s="137">
        <v>1</v>
      </c>
    </row>
    <row r="10" spans="1:9">
      <c r="B10" s="205" t="str">
        <f t="shared" si="0"/>
        <v>T</v>
      </c>
      <c r="C10" s="206" t="str">
        <f ca="1">"X"&amp;OFFSET(AGR!$B$6,0,I10)</f>
        <v>XAGRODS</v>
      </c>
      <c r="D10" s="206" t="str">
        <f ca="1">"Agriculatural "&amp;OFFSET(AGR!$B$5,0,I10)</f>
        <v>Agriculatural Oil Diesel</v>
      </c>
      <c r="E10" s="205" t="str">
        <f t="shared" ref="E10:E15" ca="1" si="1">"PJ,"&amp;IF(RIGHT(C10,3)="ELC","GW","PJa")</f>
        <v>PJ,PJa</v>
      </c>
      <c r="F10" s="205" t="str">
        <f t="shared" ref="F10:F15" ca="1" si="2">"PRC,PRE,"&amp;IF(RIGHT(C10,3)="ELC","DAYNITE","ANNUAL")</f>
        <v>PRC,PRE,ANNUAL</v>
      </c>
      <c r="G10" s="136"/>
      <c r="I10" s="137">
        <f t="shared" ref="I10:I15" si="3">I9+1</f>
        <v>2</v>
      </c>
    </row>
    <row r="11" spans="1:9">
      <c r="B11" s="205" t="str">
        <f t="shared" si="0"/>
        <v>T</v>
      </c>
      <c r="C11" s="206" t="str">
        <f ca="1">"X"&amp;OFFSET(AGR!$B$6,0,I11)</f>
        <v>XAGRELC</v>
      </c>
      <c r="D11" s="206" t="str">
        <f ca="1">"Agriculatural "&amp;OFFSET(AGR!$B$5,0,I11)</f>
        <v>Agriculatural Electricity</v>
      </c>
      <c r="E11" s="205" t="str">
        <f t="shared" ca="1" si="1"/>
        <v>PJ,GW</v>
      </c>
      <c r="F11" s="205" t="str">
        <f t="shared" ca="1" si="2"/>
        <v>PRC,PRE,DAYNITE</v>
      </c>
      <c r="G11" s="136"/>
      <c r="I11" s="137">
        <f t="shared" si="3"/>
        <v>3</v>
      </c>
    </row>
    <row r="12" spans="1:9">
      <c r="B12" s="205" t="str">
        <f t="shared" si="0"/>
        <v>T</v>
      </c>
      <c r="C12" s="206" t="str">
        <f ca="1">"X"&amp;OFFSET(AGR!$B$6,0,I12)</f>
        <v>XAGROGS</v>
      </c>
      <c r="D12" s="206" t="str">
        <f ca="1">"Agriculatural "&amp;OFFSET(AGR!$B$5,0,I12)</f>
        <v>Agriculatural Oil Gasoline</v>
      </c>
      <c r="E12" s="205" t="str">
        <f t="shared" ca="1" si="1"/>
        <v>PJ,PJa</v>
      </c>
      <c r="F12" s="205" t="str">
        <f t="shared" ca="1" si="2"/>
        <v>PRC,PRE,ANNUAL</v>
      </c>
      <c r="G12" s="136"/>
      <c r="I12" s="137">
        <f t="shared" si="3"/>
        <v>4</v>
      </c>
    </row>
    <row r="13" spans="1:9">
      <c r="B13" s="205" t="str">
        <f t="shared" si="0"/>
        <v>T</v>
      </c>
      <c r="C13" s="206" t="str">
        <f ca="1">"X"&amp;OFFSET(AGR!$B$6,0,I13)</f>
        <v>XAGROHF</v>
      </c>
      <c r="D13" s="206" t="str">
        <f ca="1">"Agriculatural "&amp;OFFSET(AGR!$B$5,0,I13)</f>
        <v>Agriculatural Oil HFO</v>
      </c>
      <c r="E13" s="205" t="str">
        <f t="shared" ca="1" si="1"/>
        <v>PJ,PJa</v>
      </c>
      <c r="F13" s="205" t="str">
        <f t="shared" ca="1" si="2"/>
        <v>PRC,PRE,ANNUAL</v>
      </c>
      <c r="G13" s="136"/>
      <c r="I13" s="137">
        <f t="shared" si="3"/>
        <v>5</v>
      </c>
    </row>
    <row r="14" spans="1:9">
      <c r="B14" s="205" t="str">
        <f t="shared" si="0"/>
        <v>T</v>
      </c>
      <c r="C14" s="206" t="str">
        <f ca="1">"X"&amp;OFFSET(AGR!$B$6,0,I14)</f>
        <v>XAGROKE</v>
      </c>
      <c r="D14" s="206" t="str">
        <f ca="1">"Agriculatural "&amp;OFFSET(AGR!$B$5,0,I14)</f>
        <v>Agriculatural Oil Paraffin</v>
      </c>
      <c r="E14" s="205" t="str">
        <f t="shared" ca="1" si="1"/>
        <v>PJ,PJa</v>
      </c>
      <c r="F14" s="205" t="str">
        <f t="shared" ca="1" si="2"/>
        <v>PRC,PRE,ANNUAL</v>
      </c>
      <c r="G14" s="136"/>
      <c r="I14" s="137">
        <f t="shared" si="3"/>
        <v>6</v>
      </c>
    </row>
    <row r="15" spans="1:9">
      <c r="B15" s="205" t="str">
        <f t="shared" si="0"/>
        <v>T</v>
      </c>
      <c r="C15" s="206" t="str">
        <f ca="1">"X"&amp;OFFSET(AGR!$B$6,0,I15)</f>
        <v>XAGROLP</v>
      </c>
      <c r="D15" s="206" t="str">
        <f ca="1">"Agriculatural "&amp;OFFSET(AGR!$B$5,0,I15)</f>
        <v>Agriculatural Oil LPG</v>
      </c>
      <c r="E15" s="205" t="str">
        <f t="shared" ca="1" si="1"/>
        <v>PJ,PJa</v>
      </c>
      <c r="F15" s="205" t="str">
        <f t="shared" ca="1" si="2"/>
        <v>PRC,PRE,ANNUAL</v>
      </c>
      <c r="G15" s="136"/>
      <c r="I15" s="137">
        <f t="shared" si="3"/>
        <v>7</v>
      </c>
    </row>
    <row r="16" spans="1:9">
      <c r="A16" s="137" t="s">
        <v>277</v>
      </c>
      <c r="B16" s="136" t="s">
        <v>285</v>
      </c>
      <c r="C16" s="204"/>
      <c r="D16" s="136"/>
      <c r="E16" s="136"/>
      <c r="F16" s="136"/>
      <c r="G16" s="136"/>
    </row>
    <row r="17" spans="1:6">
      <c r="A17" s="137" t="str">
        <f>IF(LEFT(AGR!A52,2)="\I","*","")</f>
        <v/>
      </c>
      <c r="B17" s="205" t="str">
        <f t="shared" ref="B17:B24" si="4">IF(A17="*","","T")</f>
        <v>T</v>
      </c>
      <c r="C17" s="207" t="str">
        <f>IF(A17="*","",AGR!B52)</f>
        <v>AHCOA-E</v>
      </c>
      <c r="D17" s="207" t="str">
        <f>IF(A17="*","",AGR!A52)</f>
        <v>Agriculture - Heating-Coal - Existing</v>
      </c>
      <c r="E17" s="205" t="str">
        <f t="shared" ref="E17:E24" si="5">IF(A17="*","","PJ,PJa")</f>
        <v>PJ,PJa</v>
      </c>
      <c r="F17" s="205" t="str">
        <f>IF(A17="*","","PRC,DMD,ANNUAL")</f>
        <v>PRC,DMD,ANNUAL</v>
      </c>
    </row>
    <row r="18" spans="1:6">
      <c r="A18" s="137" t="str">
        <f>IF(LEFT(AGR!A53,2)="\I","*","")</f>
        <v/>
      </c>
      <c r="B18" s="205" t="str">
        <f t="shared" si="4"/>
        <v>T</v>
      </c>
      <c r="C18" s="207" t="str">
        <f>IF(A18="*","",AGR!B53)</f>
        <v>AHOHF-E</v>
      </c>
      <c r="D18" s="207" t="str">
        <f>IF(A18="*","",AGR!A53)</f>
        <v>Agriculture - Heating - Oil HFO- Existing</v>
      </c>
      <c r="E18" s="205" t="str">
        <f t="shared" si="5"/>
        <v>PJ,PJa</v>
      </c>
      <c r="F18" s="205" t="str">
        <f>IF(A18="*","","PRC,DMD,ANNUAL")</f>
        <v>PRC,DMD,ANNUAL</v>
      </c>
    </row>
    <row r="19" spans="1:6">
      <c r="A19" s="137" t="str">
        <f>IF(LEFT(AGR!A54,2)="\I","*","")</f>
        <v/>
      </c>
      <c r="B19" s="205" t="str">
        <f t="shared" si="4"/>
        <v>T</v>
      </c>
      <c r="C19" s="207" t="str">
        <f>IF(A19="*","",AGR!B54)</f>
        <v>AHOKE-E</v>
      </c>
      <c r="D19" s="207" t="str">
        <f>IF(A19="*","",AGR!A54)</f>
        <v>Agriculture - Heating - Oil Paraffin- Existing</v>
      </c>
      <c r="E19" s="205" t="str">
        <f t="shared" si="5"/>
        <v>PJ,PJa</v>
      </c>
      <c r="F19" s="205" t="str">
        <f>IF(A19="*","","PRC,DMD,ANNUAL")</f>
        <v>PRC,DMD,ANNUAL</v>
      </c>
    </row>
    <row r="20" spans="1:6">
      <c r="A20" s="137" t="str">
        <f>IF(LEFT(AGR!A55,2)="\I","*","")</f>
        <v/>
      </c>
      <c r="B20" s="205" t="str">
        <f t="shared" ref="B20" si="6">IF(A20="*","","T")</f>
        <v>T</v>
      </c>
      <c r="C20" s="207" t="str">
        <f>IF(A20="*","",AGR!B55)</f>
        <v>AHOLP-E</v>
      </c>
      <c r="D20" s="207" t="str">
        <f>IF(A20="*","",AGR!A55)</f>
        <v>Agriculture - Heating - Oil LPG- Existing</v>
      </c>
      <c r="E20" s="205" t="str">
        <f t="shared" ref="E20" si="7">IF(A20="*","","PJ,PJa")</f>
        <v>PJ,PJa</v>
      </c>
      <c r="F20" s="205" t="str">
        <f>IF(A20="*","","PRC,DMD,ANNUAL")</f>
        <v>PRC,DMD,ANNUAL</v>
      </c>
    </row>
    <row r="21" spans="1:6">
      <c r="A21" s="137" t="str">
        <f>IF(LEFT(AGR!A56,2)="\I","*","")</f>
        <v/>
      </c>
      <c r="B21" s="205" t="str">
        <f t="shared" si="4"/>
        <v>T</v>
      </c>
      <c r="C21" s="207" t="str">
        <f>IF(A21="*","",AGR!B56)</f>
        <v>AHELC-E</v>
      </c>
      <c r="D21" s="207" t="str">
        <f>IF(A21="*","",AGR!A56)</f>
        <v>Agriculture - Heating - Electricity - Room - Existing</v>
      </c>
      <c r="E21" s="205" t="str">
        <f t="shared" si="5"/>
        <v>PJ,PJa</v>
      </c>
      <c r="F21" s="205" t="str">
        <f t="shared" ref="F21:F26" si="8">IF(A21="*","","PRC,DMD,DAYNITE")</f>
        <v>PRC,DMD,DAYNITE</v>
      </c>
    </row>
    <row r="22" spans="1:6">
      <c r="A22" s="137" t="str">
        <f>IF(LEFT(AGR!A57,2)="\I","*","")</f>
        <v>*</v>
      </c>
      <c r="B22" s="205" t="str">
        <f t="shared" si="4"/>
        <v/>
      </c>
      <c r="C22" s="207" t="str">
        <f>IF(A22="*","",AGR!B57)</f>
        <v/>
      </c>
      <c r="D22" s="207" t="str">
        <f>IF(A22="*","",AGR!A57)</f>
        <v/>
      </c>
      <c r="E22" s="205" t="str">
        <f t="shared" si="5"/>
        <v/>
      </c>
      <c r="F22" s="205" t="str">
        <f t="shared" si="8"/>
        <v/>
      </c>
    </row>
    <row r="23" spans="1:6">
      <c r="A23" s="137" t="str">
        <f>IF(LEFT(AGR!A58,2)="\I","*","")</f>
        <v>*</v>
      </c>
      <c r="B23" s="205" t="str">
        <f t="shared" si="4"/>
        <v/>
      </c>
      <c r="C23" s="207" t="str">
        <f>IF(A23="*","",AGR!B58)</f>
        <v/>
      </c>
      <c r="D23" s="207" t="str">
        <f>IF(A23="*","",AGR!A58)</f>
        <v/>
      </c>
      <c r="E23" s="205" t="str">
        <f t="shared" si="5"/>
        <v/>
      </c>
      <c r="F23" s="205" t="str">
        <f t="shared" si="8"/>
        <v/>
      </c>
    </row>
    <row r="24" spans="1:6">
      <c r="A24" s="137" t="str">
        <f>IF(LEFT(AGR!A59,2)="\I","*","")</f>
        <v/>
      </c>
      <c r="B24" s="205" t="str">
        <f t="shared" si="4"/>
        <v>T</v>
      </c>
      <c r="C24" s="207" t="str">
        <f>IF(A24="*","",AGR!B59)</f>
        <v>APELC-E</v>
      </c>
      <c r="D24" s="207" t="str">
        <f>IF(A24="*","",AGR!A59)</f>
        <v>Agriculture - Processing - Electricity - Existing</v>
      </c>
      <c r="E24" s="205" t="str">
        <f t="shared" si="5"/>
        <v>PJ,PJa</v>
      </c>
      <c r="F24" s="205" t="str">
        <f t="shared" si="8"/>
        <v>PRC,DMD,DAYNITE</v>
      </c>
    </row>
    <row r="25" spans="1:6">
      <c r="A25" s="137" t="str">
        <f>IF(LEFT(AGR!A60,2)="\I","*","")</f>
        <v>*</v>
      </c>
      <c r="B25" s="205" t="str">
        <f>IF(A25="*","","T")</f>
        <v/>
      </c>
      <c r="C25" s="207" t="str">
        <f>IF(A25="*","",AGR!B60)</f>
        <v/>
      </c>
      <c r="D25" s="207" t="str">
        <f>IF(A25="*","",AGR!A60)</f>
        <v/>
      </c>
      <c r="E25" s="205" t="str">
        <f>IF(A25="*","","PJ,PJa")</f>
        <v/>
      </c>
      <c r="F25" s="205" t="str">
        <f t="shared" si="8"/>
        <v/>
      </c>
    </row>
    <row r="26" spans="1:6">
      <c r="A26" s="137" t="str">
        <f>IF(LEFT(AGR!A61,2)="\I","*","")</f>
        <v>*</v>
      </c>
      <c r="B26" s="205" t="str">
        <f>IF(A26="*","","T")</f>
        <v/>
      </c>
      <c r="C26" s="207" t="str">
        <f>IF(A26="*","",AGR!B61)</f>
        <v/>
      </c>
      <c r="D26" s="207" t="str">
        <f>IF(A26="*","",AGR!A61)</f>
        <v/>
      </c>
      <c r="E26" s="205" t="str">
        <f>IF(A26="*","","PJ,PJa")</f>
        <v/>
      </c>
      <c r="F26" s="205" t="str">
        <f t="shared" si="8"/>
        <v/>
      </c>
    </row>
    <row r="27" spans="1:6">
      <c r="A27" s="137" t="str">
        <f>IF(LEFT(AGR!A62,2)="\I","*","")</f>
        <v/>
      </c>
      <c r="B27" s="205" t="str">
        <f>IF(A27="*","","T")</f>
        <v>T</v>
      </c>
      <c r="C27" s="207" t="str">
        <f>IF(A27="*","",AGR!B62)</f>
        <v>ATODS-E</v>
      </c>
      <c r="D27" s="207" t="str">
        <f>IF(A27="*","",AGR!A62)</f>
        <v>Agriculture - Traction - Oil Diesel - Existing</v>
      </c>
      <c r="E27" s="205" t="str">
        <f>IF(A27="*","","PJ,PJa")</f>
        <v>PJ,PJa</v>
      </c>
      <c r="F27" s="205" t="str">
        <f>IF(A27="*","","PRC,DMD,ANNUAL")</f>
        <v>PRC,DMD,ANNUAL</v>
      </c>
    </row>
    <row r="28" spans="1:6">
      <c r="A28" s="137" t="str">
        <f>IF(LEFT(AGR!A63,2)="\I","*","")</f>
        <v/>
      </c>
      <c r="B28" s="205" t="str">
        <f t="shared" ref="B28:B38" si="9">IF(A28="*","","T")</f>
        <v>T</v>
      </c>
      <c r="C28" s="207" t="str">
        <f>IF(A28="*","",AGR!B63)</f>
        <v>ATELC-E</v>
      </c>
      <c r="D28" s="207" t="str">
        <f>IF(A28="*","",AGR!A63)</f>
        <v>Agriculture - Traction - Electricity - Existing</v>
      </c>
      <c r="E28" s="205" t="str">
        <f t="shared" ref="E28:E38" si="10">IF(A28="*","","PJ,PJa")</f>
        <v>PJ,PJa</v>
      </c>
      <c r="F28" s="205" t="str">
        <f>IF(A28="*","","PRC,DMD,DAYNITE")</f>
        <v>PRC,DMD,DAYNITE</v>
      </c>
    </row>
    <row r="29" spans="1:6">
      <c r="A29" s="137" t="str">
        <f>IF(LEFT(AGR!A64,2)="\I","*","")</f>
        <v/>
      </c>
      <c r="B29" s="205" t="str">
        <f t="shared" si="9"/>
        <v>T</v>
      </c>
      <c r="C29" s="207" t="str">
        <f>IF(A29="*","",AGR!B64)</f>
        <v>ATOGS-E</v>
      </c>
      <c r="D29" s="207" t="str">
        <f>IF(A29="*","",AGR!A64)</f>
        <v>Agriculture - Traction - Oil Gasoline - Existing</v>
      </c>
      <c r="E29" s="205" t="str">
        <f t="shared" si="10"/>
        <v>PJ,PJa</v>
      </c>
      <c r="F29" s="205" t="str">
        <f t="shared" ref="F29:F38" si="11">IF(A29="*","","PRC,DMD,ANNUAL")</f>
        <v>PRC,DMD,ANNUAL</v>
      </c>
    </row>
    <row r="30" spans="1:6">
      <c r="A30" s="137" t="str">
        <f>IF(LEFT(AGR!A65,2)="\I","*","")</f>
        <v>*</v>
      </c>
      <c r="B30" s="205" t="str">
        <f t="shared" si="9"/>
        <v/>
      </c>
      <c r="C30" s="207" t="str">
        <f>IF(A30="*","",AGR!B65)</f>
        <v/>
      </c>
      <c r="D30" s="207" t="str">
        <f>IF(A30="*","",AGR!A65)</f>
        <v/>
      </c>
      <c r="E30" s="205" t="str">
        <f t="shared" si="10"/>
        <v/>
      </c>
      <c r="F30" s="205" t="str">
        <f t="shared" si="11"/>
        <v/>
      </c>
    </row>
    <row r="31" spans="1:6">
      <c r="A31" s="137" t="str">
        <f>IF(LEFT(AGR!A66,2)="\I","*","")</f>
        <v>*</v>
      </c>
      <c r="B31" s="205" t="str">
        <f t="shared" si="9"/>
        <v/>
      </c>
      <c r="C31" s="207" t="str">
        <f>IF(A31="*","",AGR!B66)</f>
        <v/>
      </c>
      <c r="D31" s="207" t="str">
        <f>IF(A31="*","",AGR!A66)</f>
        <v/>
      </c>
      <c r="E31" s="205" t="str">
        <f t="shared" si="10"/>
        <v/>
      </c>
      <c r="F31" s="205" t="str">
        <f t="shared" si="11"/>
        <v/>
      </c>
    </row>
    <row r="32" spans="1:6">
      <c r="A32" s="137" t="str">
        <f>IF(LEFT(AGR!A67,2)="\I","*","")</f>
        <v/>
      </c>
      <c r="B32" s="205" t="str">
        <f t="shared" si="9"/>
        <v>T</v>
      </c>
      <c r="C32" s="207" t="str">
        <f>IF(A32="*","",AGR!B67)</f>
        <v>AIODS-E</v>
      </c>
      <c r="D32" s="207" t="str">
        <f>IF(A32="*","",AGR!A67)</f>
        <v>Agriculture - Irrigation - Oil Diesel - Existing</v>
      </c>
      <c r="E32" s="205" t="str">
        <f t="shared" si="10"/>
        <v>PJ,PJa</v>
      </c>
      <c r="F32" s="205" t="str">
        <f t="shared" si="11"/>
        <v>PRC,DMD,ANNUAL</v>
      </c>
    </row>
    <row r="33" spans="1:6">
      <c r="A33" s="137" t="str">
        <f>IF(LEFT(AGR!A68,2)="\I","*","")</f>
        <v/>
      </c>
      <c r="B33" s="205" t="str">
        <f t="shared" si="9"/>
        <v>T</v>
      </c>
      <c r="C33" s="207" t="str">
        <f>IF(A33="*","",AGR!B68)</f>
        <v>AIELC-E</v>
      </c>
      <c r="D33" s="207" t="str">
        <f>IF(A33="*","",AGR!A68)</f>
        <v>Agriculture - Irrigation - Electricity - Existing</v>
      </c>
      <c r="E33" s="205" t="str">
        <f t="shared" si="10"/>
        <v>PJ,PJa</v>
      </c>
      <c r="F33" s="205" t="str">
        <f>IF(A33="*","","PRC,DMD,DAYNITE")</f>
        <v>PRC,DMD,DAYNITE</v>
      </c>
    </row>
    <row r="34" spans="1:6">
      <c r="A34" s="137" t="str">
        <f>IF(LEFT(AGR!A69,2)="\I","*","")</f>
        <v/>
      </c>
      <c r="B34" s="205" t="str">
        <f t="shared" si="9"/>
        <v>T</v>
      </c>
      <c r="C34" s="207" t="str">
        <f>IF(A34="*","",AGR!B69)</f>
        <v>AIOGS-E</v>
      </c>
      <c r="D34" s="207" t="str">
        <f>IF(A34="*","",AGR!A69)</f>
        <v>Agriculture - Irrigation - Oil Gasoline - Existing</v>
      </c>
      <c r="E34" s="205" t="str">
        <f t="shared" si="10"/>
        <v>PJ,PJa</v>
      </c>
      <c r="F34" s="205" t="str">
        <f t="shared" si="11"/>
        <v>PRC,DMD,ANNUAL</v>
      </c>
    </row>
    <row r="35" spans="1:6">
      <c r="A35" s="137" t="str">
        <f>IF(LEFT(AGR!A70,2)="\I","*","")</f>
        <v>*</v>
      </c>
      <c r="B35" s="205" t="str">
        <f t="shared" si="9"/>
        <v/>
      </c>
      <c r="C35" s="207" t="str">
        <f>IF(A35="*","",AGR!B70)</f>
        <v/>
      </c>
      <c r="D35" s="207" t="str">
        <f>IF(A35="*","",AGR!A70)</f>
        <v/>
      </c>
      <c r="E35" s="205" t="str">
        <f t="shared" si="10"/>
        <v/>
      </c>
      <c r="F35" s="205" t="str">
        <f t="shared" si="11"/>
        <v/>
      </c>
    </row>
    <row r="36" spans="1:6">
      <c r="A36" s="137" t="str">
        <f>IF(LEFT(AGR!A71,2)="\I","*","")</f>
        <v>*</v>
      </c>
      <c r="B36" s="205" t="str">
        <f t="shared" si="9"/>
        <v/>
      </c>
      <c r="C36" s="207" t="str">
        <f>IF(A36="*","",AGR!B71)</f>
        <v/>
      </c>
      <c r="D36" s="207" t="str">
        <f>IF(A36="*","",AGR!A71)</f>
        <v/>
      </c>
      <c r="E36" s="205" t="str">
        <f t="shared" si="10"/>
        <v/>
      </c>
      <c r="F36" s="205" t="str">
        <f t="shared" si="11"/>
        <v/>
      </c>
    </row>
    <row r="37" spans="1:6">
      <c r="A37" s="137" t="str">
        <f>IF(LEFT(AGR!A72,2)="\I","*","")</f>
        <v/>
      </c>
      <c r="B37" s="205" t="str">
        <f t="shared" si="9"/>
        <v>T</v>
      </c>
      <c r="C37" s="207" t="str">
        <f>IF(A37="*","",AGR!B72)</f>
        <v>AOELC-E</v>
      </c>
      <c r="D37" s="207" t="str">
        <f>IF(A37="*","",AGR!A72)</f>
        <v>Agriculture - Other - Electricity - Existing</v>
      </c>
      <c r="E37" s="205" t="str">
        <f t="shared" si="10"/>
        <v>PJ,PJa</v>
      </c>
      <c r="F37" s="205" t="str">
        <f>IF(A37="*","","PRC,DMD,DAYNITE")</f>
        <v>PRC,DMD,DAYNITE</v>
      </c>
    </row>
    <row r="38" spans="1:6">
      <c r="A38" s="137" t="str">
        <f>IF(LEFT(AGR!A74,2)="\I","*","")</f>
        <v>*</v>
      </c>
      <c r="B38" s="205" t="str">
        <f t="shared" si="9"/>
        <v/>
      </c>
      <c r="C38" s="207" t="str">
        <f>IF(A38="*","",AGR!B74)</f>
        <v/>
      </c>
      <c r="D38" s="207" t="str">
        <f>IF(A38="*","",AGR!A74)</f>
        <v/>
      </c>
      <c r="E38" s="205" t="str">
        <f t="shared" si="10"/>
        <v/>
      </c>
      <c r="F38" s="205" t="str">
        <f t="shared" si="11"/>
        <v/>
      </c>
    </row>
    <row r="39" spans="1:6">
      <c r="B39" s="205"/>
      <c r="C39" s="207"/>
      <c r="D39" s="207"/>
      <c r="E39" s="205"/>
      <c r="F39" s="205"/>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1668"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241668" r:id="rId4" name="cmdSpecifySets"/>
      </mc:Fallback>
    </mc:AlternateContent>
    <mc:AlternateContent xmlns:mc="http://schemas.openxmlformats.org/markup-compatibility/2006">
      <mc:Choice Requires="x14">
        <control shapeId="241667"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241667" r:id="rId6" name="cmdSpecifyUnits"/>
      </mc:Fallback>
    </mc:AlternateContent>
    <mc:AlternateContent xmlns:mc="http://schemas.openxmlformats.org/markup-compatibility/2006">
      <mc:Choice Requires="x14">
        <control shapeId="241666"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241666" r:id="rId8" name="cmdSpecifyComponent"/>
      </mc:Fallback>
    </mc:AlternateContent>
    <mc:AlternateContent xmlns:mc="http://schemas.openxmlformats.org/markup-compatibility/2006">
      <mc:Choice Requires="x14">
        <control shapeId="241665" r:id="rId10" name="cmdCheckItemsSheet">
          <controlPr defaultSize="0" autoLine="0" r:id="rId11">
            <anchor moveWithCells="1">
              <from>
                <xdr:col>0</xdr:col>
                <xdr:colOff>9525</xdr:colOff>
                <xdr:row>2</xdr:row>
                <xdr:rowOff>0</xdr:rowOff>
              </from>
              <to>
                <xdr:col>1</xdr:col>
                <xdr:colOff>0</xdr:colOff>
                <xdr:row>3</xdr:row>
                <xdr:rowOff>0</xdr:rowOff>
              </to>
            </anchor>
          </controlPr>
        </control>
      </mc:Choice>
      <mc:Fallback>
        <control shapeId="241665" r:id="rId10" name="cmdCheckItemsSheet"/>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9" tint="-0.249977111117893"/>
  </sheetPr>
  <dimension ref="A1:AS135"/>
  <sheetViews>
    <sheetView topLeftCell="A21" zoomScale="80" zoomScaleNormal="80" workbookViewId="0">
      <selection activeCell="J77" sqref="J77"/>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14" width="5.42578125" style="137" customWidth="1"/>
    <col min="15" max="15" width="5.5703125" style="137" customWidth="1"/>
    <col min="16" max="42" width="5.42578125" style="137" customWidth="1"/>
    <col min="43" max="16384" width="9.140625" style="137"/>
  </cols>
  <sheetData>
    <row r="1" spans="1:45">
      <c r="A1" s="136" t="s">
        <v>286</v>
      </c>
      <c r="B1" s="137" t="s">
        <v>275</v>
      </c>
      <c r="AQ1" s="137" t="s">
        <v>277</v>
      </c>
      <c r="AR1" s="137" t="s">
        <v>277</v>
      </c>
      <c r="AS1" s="137" t="s">
        <v>277</v>
      </c>
    </row>
    <row r="2" spans="1:45">
      <c r="A2" s="137" t="s">
        <v>277</v>
      </c>
      <c r="AQ2" s="137" t="s">
        <v>287</v>
      </c>
      <c r="AR2" s="137" t="s">
        <v>288</v>
      </c>
      <c r="AS2" s="137" t="s">
        <v>289</v>
      </c>
    </row>
    <row r="3" spans="1:45" ht="15" customHeight="1">
      <c r="A3" s="137" t="s">
        <v>277</v>
      </c>
    </row>
    <row r="4" spans="1:45">
      <c r="A4" s="137" t="s">
        <v>277</v>
      </c>
    </row>
    <row r="5" spans="1:45">
      <c r="A5" s="137" t="s">
        <v>277</v>
      </c>
    </row>
    <row r="6" spans="1:45">
      <c r="A6" s="137" t="s">
        <v>277</v>
      </c>
    </row>
    <row r="7" spans="1:45" ht="22.5" customHeight="1">
      <c r="A7" s="137" t="s">
        <v>277</v>
      </c>
      <c r="B7" s="136" t="s">
        <v>290</v>
      </c>
      <c r="C7" s="136" t="s">
        <v>291</v>
      </c>
      <c r="D7" s="136" t="s">
        <v>292</v>
      </c>
      <c r="E7" s="136" t="s">
        <v>293</v>
      </c>
      <c r="F7" s="136" t="s">
        <v>294</v>
      </c>
      <c r="G7" s="136" t="s">
        <v>295</v>
      </c>
      <c r="H7" s="136" t="s">
        <v>296</v>
      </c>
      <c r="I7" s="208" t="s">
        <v>297</v>
      </c>
      <c r="J7" s="137">
        <v>2012</v>
      </c>
      <c r="K7" s="137">
        <v>2013</v>
      </c>
      <c r="L7" s="137">
        <v>2014</v>
      </c>
      <c r="M7" s="137">
        <v>2015</v>
      </c>
      <c r="N7" s="137">
        <v>2016</v>
      </c>
      <c r="O7" s="137">
        <v>2017</v>
      </c>
      <c r="P7" s="137">
        <v>2018</v>
      </c>
      <c r="Q7" s="137">
        <v>2019</v>
      </c>
      <c r="R7" s="137">
        <v>2020</v>
      </c>
      <c r="S7" s="137">
        <v>2021</v>
      </c>
      <c r="T7" s="137">
        <v>2022</v>
      </c>
      <c r="U7" s="137">
        <v>2023</v>
      </c>
      <c r="V7" s="137">
        <v>2024</v>
      </c>
      <c r="W7" s="137">
        <v>2025</v>
      </c>
      <c r="X7" s="137">
        <v>2026</v>
      </c>
      <c r="Y7" s="137">
        <v>2027</v>
      </c>
      <c r="Z7" s="137">
        <v>2028</v>
      </c>
      <c r="AA7" s="137">
        <v>2029</v>
      </c>
      <c r="AB7" s="137">
        <v>2030</v>
      </c>
      <c r="AC7" s="137">
        <v>2031</v>
      </c>
      <c r="AD7" s="137">
        <v>2032</v>
      </c>
      <c r="AE7" s="137">
        <v>2033</v>
      </c>
      <c r="AF7" s="137">
        <v>2034</v>
      </c>
      <c r="AG7" s="137">
        <v>2035</v>
      </c>
      <c r="AH7" s="137">
        <v>2036</v>
      </c>
      <c r="AI7" s="137">
        <v>2037</v>
      </c>
      <c r="AJ7" s="137">
        <v>2038</v>
      </c>
      <c r="AK7" s="137">
        <v>2039</v>
      </c>
      <c r="AL7" s="137">
        <v>2040</v>
      </c>
      <c r="AM7" s="137">
        <v>2045</v>
      </c>
      <c r="AN7" s="137">
        <v>2050</v>
      </c>
      <c r="AO7" s="137">
        <v>2060</v>
      </c>
      <c r="AP7" s="137">
        <v>2070</v>
      </c>
    </row>
    <row r="8" spans="1:45">
      <c r="A8" s="137" t="s">
        <v>277</v>
      </c>
      <c r="B8" s="136"/>
      <c r="C8" s="136"/>
      <c r="D8" s="136"/>
      <c r="E8" s="136"/>
      <c r="F8" s="136"/>
      <c r="G8" s="136"/>
      <c r="H8" s="136"/>
      <c r="I8" s="208"/>
    </row>
    <row r="9" spans="1:45">
      <c r="A9" s="137" t="s">
        <v>277</v>
      </c>
      <c r="B9" s="209">
        <v>1</v>
      </c>
      <c r="C9" s="209">
        <v>2</v>
      </c>
      <c r="D9" s="209">
        <v>3</v>
      </c>
      <c r="E9" s="209">
        <v>4</v>
      </c>
      <c r="F9" s="209">
        <v>5</v>
      </c>
      <c r="G9" s="209">
        <v>6</v>
      </c>
      <c r="H9" s="209">
        <v>7</v>
      </c>
      <c r="I9" s="209">
        <v>8</v>
      </c>
      <c r="J9" s="209">
        <v>9</v>
      </c>
    </row>
    <row r="10" spans="1:45">
      <c r="A10" s="137" t="s">
        <v>298</v>
      </c>
      <c r="B10" s="205" t="s">
        <v>299</v>
      </c>
      <c r="C10" s="205" t="s">
        <v>300</v>
      </c>
      <c r="D10" s="205" t="s">
        <v>301</v>
      </c>
      <c r="E10" s="205" t="s">
        <v>302</v>
      </c>
      <c r="F10" s="205" t="s">
        <v>301</v>
      </c>
      <c r="G10" s="205" t="s">
        <v>303</v>
      </c>
      <c r="H10" s="205" t="s">
        <v>301</v>
      </c>
      <c r="I10" s="211">
        <v>0</v>
      </c>
      <c r="AS10" s="137">
        <f>AGR!$E$50</f>
        <v>3</v>
      </c>
    </row>
    <row r="11" spans="1:45">
      <c r="A11" s="137" t="s">
        <v>304</v>
      </c>
      <c r="B11" s="205" t="s">
        <v>305</v>
      </c>
      <c r="C11" s="205" t="s">
        <v>300</v>
      </c>
      <c r="D11" s="205" t="s">
        <v>301</v>
      </c>
      <c r="E11" s="205" t="s">
        <v>301</v>
      </c>
      <c r="F11" s="205" t="s">
        <v>301</v>
      </c>
      <c r="G11" s="205" t="s">
        <v>303</v>
      </c>
      <c r="H11" s="205" t="s">
        <v>306</v>
      </c>
      <c r="I11" s="211">
        <v>3</v>
      </c>
      <c r="AS11" s="137">
        <f>AGR!$G$50</f>
        <v>4</v>
      </c>
    </row>
    <row r="12" spans="1:45">
      <c r="A12" s="137" t="s">
        <v>307</v>
      </c>
      <c r="B12" s="205" t="s">
        <v>308</v>
      </c>
      <c r="C12" s="205" t="s">
        <v>300</v>
      </c>
      <c r="D12" s="205" t="s">
        <v>301</v>
      </c>
      <c r="E12" s="205" t="s">
        <v>301</v>
      </c>
      <c r="F12" s="205" t="s">
        <v>301</v>
      </c>
      <c r="G12" s="205" t="s">
        <v>301</v>
      </c>
      <c r="H12" s="205" t="s">
        <v>306</v>
      </c>
      <c r="I12" s="211">
        <v>3</v>
      </c>
      <c r="AS12" s="137">
        <v>20</v>
      </c>
    </row>
    <row r="13" spans="1:45">
      <c r="A13" s="137" t="s">
        <v>309</v>
      </c>
      <c r="B13" s="205" t="s">
        <v>310</v>
      </c>
      <c r="C13" s="205" t="s">
        <v>300</v>
      </c>
      <c r="D13" s="205" t="s">
        <v>301</v>
      </c>
      <c r="E13" s="205" t="s">
        <v>301</v>
      </c>
      <c r="F13" s="205" t="s">
        <v>301</v>
      </c>
      <c r="G13" s="205" t="s">
        <v>301</v>
      </c>
      <c r="H13" s="205" t="s">
        <v>301</v>
      </c>
      <c r="I13" s="211">
        <v>0</v>
      </c>
      <c r="AS13" s="137">
        <f>AGR!$I$50</f>
        <v>5</v>
      </c>
    </row>
    <row r="14" spans="1:45">
      <c r="A14" s="137" t="s">
        <v>311</v>
      </c>
      <c r="B14" s="205" t="s">
        <v>312</v>
      </c>
      <c r="C14" s="205" t="s">
        <v>300</v>
      </c>
      <c r="D14" s="205" t="s">
        <v>301</v>
      </c>
      <c r="E14" s="205" t="s">
        <v>301</v>
      </c>
      <c r="F14" s="205" t="s">
        <v>301</v>
      </c>
      <c r="G14" s="205" t="s">
        <v>301</v>
      </c>
      <c r="H14" s="205" t="s">
        <v>301</v>
      </c>
      <c r="I14" s="211">
        <v>0</v>
      </c>
      <c r="AS14" s="137">
        <f>AGR!$J$50</f>
        <v>6</v>
      </c>
    </row>
    <row r="15" spans="1:45">
      <c r="A15" s="137" t="s">
        <v>277</v>
      </c>
      <c r="B15" s="205"/>
      <c r="C15" s="205"/>
      <c r="D15" s="205"/>
      <c r="E15" s="205"/>
      <c r="F15" s="205"/>
      <c r="G15" s="205"/>
      <c r="H15" s="205"/>
      <c r="I15" s="211"/>
    </row>
    <row r="16" spans="1:45">
      <c r="A16" s="137" t="str">
        <f ca="1">IF(LEFT(OFFSET(AGR!$A$51,AR16,0),2)="\I","*","")</f>
        <v/>
      </c>
      <c r="B16" s="212" t="str">
        <f t="shared" ref="B16:B47" ca="1" si="0">IF(A16="*","",VLOOKUP("*"&amp;AQ16,$A$9:$B$14,2,FALSE))</f>
        <v>ACT_EFF</v>
      </c>
      <c r="C16" s="212" t="str">
        <f ca="1">IF($A16="*","",OFFSET(AGR!$B$51,AR16,0))</f>
        <v>AHCOA-E</v>
      </c>
      <c r="D16" s="212" t="str">
        <f ca="1">IF($A16="*","",VLOOKUP($B16,$B$10:$I$14,D$9,FALSE))</f>
        <v>-</v>
      </c>
      <c r="E16" s="212" t="str">
        <f t="shared" ref="E16:I31" ca="1" si="1">IF($A16="*","",VLOOKUP($B16,$B$10:$I$14,E$9,FALSE))</f>
        <v>ACTGRP</v>
      </c>
      <c r="F16" s="212" t="str">
        <f t="shared" ca="1" si="1"/>
        <v>-</v>
      </c>
      <c r="G16" s="212" t="str">
        <f t="shared" ca="1" si="1"/>
        <v>ANNUAL</v>
      </c>
      <c r="H16" s="212" t="str">
        <f t="shared" ca="1" si="1"/>
        <v>-</v>
      </c>
      <c r="I16" s="213">
        <f t="shared" ca="1" si="1"/>
        <v>0</v>
      </c>
      <c r="J16" s="296">
        <f t="array" aca="1" ref="J16" ca="1">IF($A16="*","",IFERROR(INDEX(AGR!$E$52:$L$73,MATCH('TS DTech'!$C16,AGR!$B$52:$B$73,0),MATCH('TS DTech'!$B16&amp;J$7,AGR!$E$46:$L$46&amp;AGR!$E$48:$L$48,0)),""))</f>
        <v>0.65</v>
      </c>
      <c r="K16" s="296" t="str">
        <f t="array" aca="1" ref="K16" ca="1">IF($A16="*","",IFERROR(INDEX(AGR!$E$52:$L$73,MATCH('TS DTech'!$C16,AGR!$B$52:$B$73,0),MATCH('TS DTech'!$B16&amp;K$7,AGR!$E$46:$L$46&amp;AGR!$E$48:$L$48,0)),""))</f>
        <v/>
      </c>
      <c r="L16" s="296" t="str">
        <f t="array" aca="1" ref="L16" ca="1">IF($A16="*","",IFERROR(INDEX(AGR!$E$52:$L$73,MATCH('TS DTech'!$C16,AGR!$B$52:$B$73,0),MATCH('TS DTech'!$B16&amp;L$7,AGR!$E$46:$L$46&amp;AGR!$E$48:$L$48,0)),""))</f>
        <v/>
      </c>
      <c r="M16" s="296" t="str">
        <f t="array" aca="1" ref="M16" ca="1">IF($A16="*","",IFERROR(INDEX(AGR!$E$52:$L$73,MATCH('TS DTech'!$C16,AGR!$B$52:$B$73,0),MATCH('TS DTech'!$B16&amp;M$7,AGR!$E$46:$L$46&amp;AGR!$E$48:$L$48,0)),""))</f>
        <v/>
      </c>
      <c r="N16" s="296" t="str">
        <f t="array" aca="1" ref="N16" ca="1">IF($A16="*","",IFERROR(INDEX(AGR!$E$52:$L$73,MATCH('TS DTech'!$C16,AGR!$B$52:$B$73,0),MATCH('TS DTech'!$B16&amp;N$7,AGR!$E$46:$L$46&amp;AGR!$E$48:$L$48,0)),""))</f>
        <v/>
      </c>
      <c r="O16" s="296">
        <f t="array" aca="1" ref="O16" ca="1">IF($A16="*","",IFERROR(INDEX(AGR!$E$52:$L$73,MATCH('TS DTech'!$C16,AGR!$B$52:$B$73,0),MATCH('TS DTech'!$B16&amp;O$7,AGR!$E$46:$L$46&amp;AGR!$E$48:$L$48,0)),""))</f>
        <v>0.65</v>
      </c>
      <c r="P16" s="296" t="str">
        <f t="array" aca="1" ref="P16" ca="1">IF($A16="*","",IFERROR(INDEX(AGR!$E$52:$L$73,MATCH('TS DTech'!$C16,AGR!$B$52:$B$73,0),MATCH('TS DTech'!$B16&amp;P$7,AGR!$E$46:$L$46&amp;AGR!$E$48:$L$48,0)),""))</f>
        <v/>
      </c>
      <c r="Q16" s="296" t="str">
        <f t="array" aca="1" ref="Q16" ca="1">IF($A16="*","",IFERROR(INDEX(AGR!$E$52:$L$73,MATCH('TS DTech'!$C16,AGR!$B$52:$B$73,0),MATCH('TS DTech'!$B16&amp;Q$7,AGR!$E$46:$L$46&amp;AGR!$E$48:$L$48,0)),""))</f>
        <v/>
      </c>
      <c r="R16" s="296" t="str">
        <f t="array" aca="1" ref="R16" ca="1">IF($A16="*","",IFERROR(INDEX(AGR!$E$52:$L$73,MATCH('TS DTech'!$C16,AGR!$B$52:$B$73,0),MATCH('TS DTech'!$B16&amp;R$7,AGR!$E$46:$L$46&amp;AGR!$E$48:$L$48,0)),""))</f>
        <v/>
      </c>
      <c r="S16" s="296" t="str">
        <f t="array" aca="1" ref="S16" ca="1">IF($A16="*","",IFERROR(INDEX(AGR!$E$52:$L$73,MATCH('TS DTech'!$C16,AGR!$B$52:$B$73,0),MATCH('TS DTech'!$B16&amp;S$7,AGR!$E$46:$L$46&amp;AGR!$E$48:$L$48,0)),""))</f>
        <v/>
      </c>
      <c r="T16" s="296" t="str">
        <f t="array" aca="1" ref="T16" ca="1">IF($A16="*","",IFERROR(INDEX(AGR!$E$52:$L$73,MATCH('TS DTech'!$C16,AGR!$B$52:$B$73,0),MATCH('TS DTech'!$B16&amp;T$7,AGR!$E$46:$L$46&amp;AGR!$E$48:$L$48,0)),""))</f>
        <v/>
      </c>
      <c r="U16" s="296" t="str">
        <f t="array" aca="1" ref="U16" ca="1">IF($A16="*","",IFERROR(INDEX(AGR!$E$52:$L$73,MATCH('TS DTech'!$C16,AGR!$B$52:$B$73,0),MATCH('TS DTech'!$B16&amp;U$7,AGR!$E$46:$L$46&amp;AGR!$E$48:$L$48,0)),""))</f>
        <v/>
      </c>
      <c r="V16" s="296" t="str">
        <f t="array" aca="1" ref="V16" ca="1">IF($A16="*","",IFERROR(INDEX(AGR!$E$52:$L$73,MATCH('TS DTech'!$C16,AGR!$B$52:$B$73,0),MATCH('TS DTech'!$B16&amp;V$7,AGR!$E$46:$L$46&amp;AGR!$E$48:$L$48,0)),""))</f>
        <v/>
      </c>
      <c r="W16" s="296" t="str">
        <f t="array" aca="1" ref="W16" ca="1">IF($A16="*","",IFERROR(INDEX(AGR!$E$52:$L$73,MATCH('TS DTech'!$C16,AGR!$B$52:$B$73,0),MATCH('TS DTech'!$B16&amp;W$7,AGR!$E$46:$L$46&amp;AGR!$E$48:$L$48,0)),""))</f>
        <v/>
      </c>
      <c r="X16" s="296" t="str">
        <f t="array" aca="1" ref="X16" ca="1">IF($A16="*","",IFERROR(INDEX(AGR!$E$52:$L$73,MATCH('TS DTech'!$C16,AGR!$B$52:$B$73,0),MATCH('TS DTech'!$B16&amp;X$7,AGR!$E$46:$L$46&amp;AGR!$E$48:$L$48,0)),""))</f>
        <v/>
      </c>
      <c r="Y16" s="296" t="str">
        <f t="array" aca="1" ref="Y16" ca="1">IF($A16="*","",IFERROR(INDEX(AGR!$E$52:$L$73,MATCH('TS DTech'!$C16,AGR!$B$52:$B$73,0),MATCH('TS DTech'!$B16&amp;Y$7,AGR!$E$46:$L$46&amp;AGR!$E$48:$L$48,0)),""))</f>
        <v/>
      </c>
      <c r="Z16" s="296" t="str">
        <f t="array" aca="1" ref="Z16" ca="1">IF($A16="*","",IFERROR(INDEX(AGR!$E$52:$L$73,MATCH('TS DTech'!$C16,AGR!$B$52:$B$73,0),MATCH('TS DTech'!$B16&amp;Z$7,AGR!$E$46:$L$46&amp;AGR!$E$48:$L$48,0)),""))</f>
        <v/>
      </c>
      <c r="AA16" s="296" t="str">
        <f t="array" aca="1" ref="AA16" ca="1">IF($A16="*","",IFERROR(INDEX(AGR!$E$52:$L$73,MATCH('TS DTech'!$C16,AGR!$B$52:$B$73,0),MATCH('TS DTech'!$B16&amp;AA$7,AGR!$E$46:$L$46&amp;AGR!$E$48:$L$48,0)),""))</f>
        <v/>
      </c>
      <c r="AB16" s="296" t="str">
        <f t="array" aca="1" ref="AB16" ca="1">IF($A16="*","",IFERROR(INDEX(AGR!$E$52:$L$73,MATCH('TS DTech'!$C16,AGR!$B$52:$B$73,0),MATCH('TS DTech'!$B16&amp;AB$7,AGR!$E$46:$L$46&amp;AGR!$E$48:$L$48,0)),""))</f>
        <v/>
      </c>
      <c r="AC16" s="296" t="str">
        <f t="array" aca="1" ref="AC16" ca="1">IF($A16="*","",IFERROR(INDEX(AGR!$E$52:$L$73,MATCH('TS DTech'!$C16,AGR!$B$52:$B$73,0),MATCH('TS DTech'!$B16&amp;AC$7,AGR!$E$46:$L$46&amp;AGR!$E$48:$L$48,0)),""))</f>
        <v/>
      </c>
      <c r="AD16" s="296" t="str">
        <f t="array" aca="1" ref="AD16" ca="1">IF($A16="*","",IFERROR(INDEX(AGR!$E$52:$L$73,MATCH('TS DTech'!$C16,AGR!$B$52:$B$73,0),MATCH('TS DTech'!$B16&amp;AD$7,AGR!$E$46:$L$46&amp;AGR!$E$48:$L$48,0)),""))</f>
        <v/>
      </c>
      <c r="AE16" s="296" t="str">
        <f t="array" aca="1" ref="AE16" ca="1">IF($A16="*","",IFERROR(INDEX(AGR!$E$52:$L$73,MATCH('TS DTech'!$C16,AGR!$B$52:$B$73,0),MATCH('TS DTech'!$B16&amp;AE$7,AGR!$E$46:$L$46&amp;AGR!$E$48:$L$48,0)),""))</f>
        <v/>
      </c>
      <c r="AF16" s="296" t="str">
        <f t="array" aca="1" ref="AF16" ca="1">IF($A16="*","",IFERROR(INDEX(AGR!$E$52:$L$73,MATCH('TS DTech'!$C16,AGR!$B$52:$B$73,0),MATCH('TS DTech'!$B16&amp;AF$7,AGR!$E$46:$L$46&amp;AGR!$E$48:$L$48,0)),""))</f>
        <v/>
      </c>
      <c r="AG16" s="296" t="str">
        <f t="array" aca="1" ref="AG16" ca="1">IF($A16="*","",IFERROR(INDEX(AGR!$E$52:$L$73,MATCH('TS DTech'!$C16,AGR!$B$52:$B$73,0),MATCH('TS DTech'!$B16&amp;AG$7,AGR!$E$46:$L$46&amp;AGR!$E$48:$L$48,0)),""))</f>
        <v/>
      </c>
      <c r="AH16" s="296" t="str">
        <f t="array" aca="1" ref="AH16" ca="1">IF($A16="*","",IFERROR(INDEX(AGR!$E$52:$L$73,MATCH('TS DTech'!$C16,AGR!$B$52:$B$73,0),MATCH('TS DTech'!$B16&amp;AH$7,AGR!$E$46:$L$46&amp;AGR!$E$48:$L$48,0)),""))</f>
        <v/>
      </c>
      <c r="AI16" s="296" t="str">
        <f t="array" aca="1" ref="AI16" ca="1">IF($A16="*","",IFERROR(INDEX(AGR!$E$52:$L$73,MATCH('TS DTech'!$C16,AGR!$B$52:$B$73,0),MATCH('TS DTech'!$B16&amp;AI$7,AGR!$E$46:$L$46&amp;AGR!$E$48:$L$48,0)),""))</f>
        <v/>
      </c>
      <c r="AJ16" s="296" t="str">
        <f t="array" aca="1" ref="AJ16" ca="1">IF($A16="*","",IFERROR(INDEX(AGR!$E$52:$L$73,MATCH('TS DTech'!$C16,AGR!$B$52:$B$73,0),MATCH('TS DTech'!$B16&amp;AJ$7,AGR!$E$46:$L$46&amp;AGR!$E$48:$L$48,0)),""))</f>
        <v/>
      </c>
      <c r="AK16" s="296" t="str">
        <f t="array" aca="1" ref="AK16" ca="1">IF($A16="*","",IFERROR(INDEX(AGR!$E$52:$L$73,MATCH('TS DTech'!$C16,AGR!$B$52:$B$73,0),MATCH('TS DTech'!$B16&amp;AK$7,AGR!$E$46:$L$46&amp;AGR!$E$48:$L$48,0)),""))</f>
        <v/>
      </c>
      <c r="AL16" s="296" t="str">
        <f t="array" aca="1" ref="AL16" ca="1">IF($A16="*","",IFERROR(INDEX(AGR!$E$52:$L$73,MATCH('TS DTech'!$C16,AGR!$B$52:$B$73,0),MATCH('TS DTech'!$B16&amp;AL$7,AGR!$E$46:$L$46&amp;AGR!$E$48:$L$48,0)),""))</f>
        <v/>
      </c>
      <c r="AM16" s="296" t="str">
        <f t="array" aca="1" ref="AM16" ca="1">IF($A16="*","",IFERROR(INDEX(AGR!$E$52:$L$73,MATCH('TS DTech'!$C16,AGR!$B$52:$B$73,0),MATCH('TS DTech'!$B16&amp;AM$7,AGR!$E$46:$L$46&amp;AGR!$E$48:$L$48,0)),""))</f>
        <v/>
      </c>
      <c r="AN16" s="296" t="str">
        <f t="array" aca="1" ref="AN16" ca="1">IF($A16="*","",IFERROR(INDEX(AGR!$E$52:$L$73,MATCH('TS DTech'!$C16,AGR!$B$52:$B$73,0),MATCH('TS DTech'!$B16&amp;AN$7,AGR!$E$46:$L$46&amp;AGR!$E$48:$L$48,0)),""))</f>
        <v/>
      </c>
      <c r="AO16" s="296" t="str">
        <f t="array" aca="1" ref="AO16" ca="1">IF($A16="*","",IFERROR(INDEX(AGR!$E$52:$L$73,MATCH('TS DTech'!$C16,AGR!$B$52:$B$73,0),MATCH('TS DTech'!$B16&amp;AO$7,AGR!$E$46:$L$46&amp;AGR!$E$48:$L$48,0)),""))</f>
        <v/>
      </c>
      <c r="AP16" s="296" t="str">
        <f t="array" aca="1" ref="AP16" ca="1">IF($A16="*","",IFERROR(INDEX(AGR!$E$52:$L$73,MATCH('TS DTech'!$C16,AGR!$B$52:$B$73,0),MATCH('TS DTech'!$B16&amp;AP$7,AGR!$E$46:$L$46&amp;AGR!$E$48:$L$48,0)),""))</f>
        <v/>
      </c>
      <c r="AQ16" s="137">
        <v>1</v>
      </c>
      <c r="AR16" s="137">
        <v>1</v>
      </c>
    </row>
    <row r="17" spans="1:44">
      <c r="A17" s="137" t="str">
        <f ca="1">IF(LEFT(OFFSET(AGR!$A$51,AR17,0),2)="\I","*","")</f>
        <v/>
      </c>
      <c r="B17" s="212" t="str">
        <f t="shared" ca="1" si="0"/>
        <v>ACT_EFF</v>
      </c>
      <c r="C17" s="212" t="str">
        <f ca="1">IF($A17="*","",OFFSET(AGR!$B$51,AR17,0))</f>
        <v>AHOHF-E</v>
      </c>
      <c r="D17" s="212" t="str">
        <f t="shared" ref="D17:I48" ca="1" si="2">IF($A17="*","",VLOOKUP($B17,$B$10:$I$14,D$9,FALSE))</f>
        <v>-</v>
      </c>
      <c r="E17" s="212" t="str">
        <f t="shared" ca="1" si="1"/>
        <v>ACTGRP</v>
      </c>
      <c r="F17" s="212" t="str">
        <f t="shared" ca="1" si="1"/>
        <v>-</v>
      </c>
      <c r="G17" s="212" t="str">
        <f t="shared" ca="1" si="1"/>
        <v>ANNUAL</v>
      </c>
      <c r="H17" s="212" t="str">
        <f t="shared" ca="1" si="1"/>
        <v>-</v>
      </c>
      <c r="I17" s="213">
        <f t="shared" ca="1" si="1"/>
        <v>0</v>
      </c>
      <c r="J17" s="296">
        <f t="array" aca="1" ref="J17" ca="1">IF($A17="*","",IFERROR(INDEX(AGR!$E$52:$L$73,MATCH('TS DTech'!$C17,AGR!$B$52:$B$73,0),MATCH('TS DTech'!$B17&amp;J$7,AGR!$E$46:$L$46&amp;AGR!$E$48:$L$48,0)),""))</f>
        <v>0.7</v>
      </c>
      <c r="K17" s="296" t="str">
        <f t="array" aca="1" ref="K17" ca="1">IF($A17="*","",IFERROR(INDEX(AGR!$E$52:$L$73,MATCH('TS DTech'!$C17,AGR!$B$52:$B$73,0),MATCH('TS DTech'!$B17&amp;K$7,AGR!$E$46:$L$46&amp;AGR!$E$48:$L$48,0)),""))</f>
        <v/>
      </c>
      <c r="L17" s="296" t="str">
        <f t="array" aca="1" ref="L17" ca="1">IF($A17="*","",IFERROR(INDEX(AGR!$E$52:$L$73,MATCH('TS DTech'!$C17,AGR!$B$52:$B$73,0),MATCH('TS DTech'!$B17&amp;L$7,AGR!$E$46:$L$46&amp;AGR!$E$48:$L$48,0)),""))</f>
        <v/>
      </c>
      <c r="M17" s="296" t="str">
        <f t="array" aca="1" ref="M17" ca="1">IF($A17="*","",IFERROR(INDEX(AGR!$E$52:$L$73,MATCH('TS DTech'!$C17,AGR!$B$52:$B$73,0),MATCH('TS DTech'!$B17&amp;M$7,AGR!$E$46:$L$46&amp;AGR!$E$48:$L$48,0)),""))</f>
        <v/>
      </c>
      <c r="N17" s="296" t="str">
        <f t="array" aca="1" ref="N17" ca="1">IF($A17="*","",IFERROR(INDEX(AGR!$E$52:$L$73,MATCH('TS DTech'!$C17,AGR!$B$52:$B$73,0),MATCH('TS DTech'!$B17&amp;N$7,AGR!$E$46:$L$46&amp;AGR!$E$48:$L$48,0)),""))</f>
        <v/>
      </c>
      <c r="O17" s="296">
        <f t="array" aca="1" ref="O17" ca="1">IF($A17="*","",IFERROR(INDEX(AGR!$E$52:$L$73,MATCH('TS DTech'!$C17,AGR!$B$52:$B$73,0),MATCH('TS DTech'!$B17&amp;O$7,AGR!$E$46:$L$46&amp;AGR!$E$48:$L$48,0)),""))</f>
        <v>0.7</v>
      </c>
      <c r="P17" s="296" t="str">
        <f t="array" aca="1" ref="P17" ca="1">IF($A17="*","",IFERROR(INDEX(AGR!$E$52:$L$73,MATCH('TS DTech'!$C17,AGR!$B$52:$B$73,0),MATCH('TS DTech'!$B17&amp;P$7,AGR!$E$46:$L$46&amp;AGR!$E$48:$L$48,0)),""))</f>
        <v/>
      </c>
      <c r="Q17" s="296" t="str">
        <f t="array" aca="1" ref="Q17" ca="1">IF($A17="*","",IFERROR(INDEX(AGR!$E$52:$L$73,MATCH('TS DTech'!$C17,AGR!$B$52:$B$73,0),MATCH('TS DTech'!$B17&amp;Q$7,AGR!$E$46:$L$46&amp;AGR!$E$48:$L$48,0)),""))</f>
        <v/>
      </c>
      <c r="R17" s="296" t="str">
        <f t="array" aca="1" ref="R17" ca="1">IF($A17="*","",IFERROR(INDEX(AGR!$E$52:$L$73,MATCH('TS DTech'!$C17,AGR!$B$52:$B$73,0),MATCH('TS DTech'!$B17&amp;R$7,AGR!$E$46:$L$46&amp;AGR!$E$48:$L$48,0)),""))</f>
        <v/>
      </c>
      <c r="S17" s="296" t="str">
        <f t="array" aca="1" ref="S17" ca="1">IF($A17="*","",IFERROR(INDEX(AGR!$E$52:$L$73,MATCH('TS DTech'!$C17,AGR!$B$52:$B$73,0),MATCH('TS DTech'!$B17&amp;S$7,AGR!$E$46:$L$46&amp;AGR!$E$48:$L$48,0)),""))</f>
        <v/>
      </c>
      <c r="T17" s="296" t="str">
        <f t="array" aca="1" ref="T17" ca="1">IF($A17="*","",IFERROR(INDEX(AGR!$E$52:$L$73,MATCH('TS DTech'!$C17,AGR!$B$52:$B$73,0),MATCH('TS DTech'!$B17&amp;T$7,AGR!$E$46:$L$46&amp;AGR!$E$48:$L$48,0)),""))</f>
        <v/>
      </c>
      <c r="U17" s="296" t="str">
        <f t="array" aca="1" ref="U17" ca="1">IF($A17="*","",IFERROR(INDEX(AGR!$E$52:$L$73,MATCH('TS DTech'!$C17,AGR!$B$52:$B$73,0),MATCH('TS DTech'!$B17&amp;U$7,AGR!$E$46:$L$46&amp;AGR!$E$48:$L$48,0)),""))</f>
        <v/>
      </c>
      <c r="V17" s="296" t="str">
        <f t="array" aca="1" ref="V17" ca="1">IF($A17="*","",IFERROR(INDEX(AGR!$E$52:$L$73,MATCH('TS DTech'!$C17,AGR!$B$52:$B$73,0),MATCH('TS DTech'!$B17&amp;V$7,AGR!$E$46:$L$46&amp;AGR!$E$48:$L$48,0)),""))</f>
        <v/>
      </c>
      <c r="W17" s="296" t="str">
        <f t="array" aca="1" ref="W17" ca="1">IF($A17="*","",IFERROR(INDEX(AGR!$E$52:$L$73,MATCH('TS DTech'!$C17,AGR!$B$52:$B$73,0),MATCH('TS DTech'!$B17&amp;W$7,AGR!$E$46:$L$46&amp;AGR!$E$48:$L$48,0)),""))</f>
        <v/>
      </c>
      <c r="X17" s="296" t="str">
        <f t="array" aca="1" ref="X17" ca="1">IF($A17="*","",IFERROR(INDEX(AGR!$E$52:$L$73,MATCH('TS DTech'!$C17,AGR!$B$52:$B$73,0),MATCH('TS DTech'!$B17&amp;X$7,AGR!$E$46:$L$46&amp;AGR!$E$48:$L$48,0)),""))</f>
        <v/>
      </c>
      <c r="Y17" s="296" t="str">
        <f t="array" aca="1" ref="Y17" ca="1">IF($A17="*","",IFERROR(INDEX(AGR!$E$52:$L$73,MATCH('TS DTech'!$C17,AGR!$B$52:$B$73,0),MATCH('TS DTech'!$B17&amp;Y$7,AGR!$E$46:$L$46&amp;AGR!$E$48:$L$48,0)),""))</f>
        <v/>
      </c>
      <c r="Z17" s="296" t="str">
        <f t="array" aca="1" ref="Z17" ca="1">IF($A17="*","",IFERROR(INDEX(AGR!$E$52:$L$73,MATCH('TS DTech'!$C17,AGR!$B$52:$B$73,0),MATCH('TS DTech'!$B17&amp;Z$7,AGR!$E$46:$L$46&amp;AGR!$E$48:$L$48,0)),""))</f>
        <v/>
      </c>
      <c r="AA17" s="296" t="str">
        <f t="array" aca="1" ref="AA17" ca="1">IF($A17="*","",IFERROR(INDEX(AGR!$E$52:$L$73,MATCH('TS DTech'!$C17,AGR!$B$52:$B$73,0),MATCH('TS DTech'!$B17&amp;AA$7,AGR!$E$46:$L$46&amp;AGR!$E$48:$L$48,0)),""))</f>
        <v/>
      </c>
      <c r="AB17" s="296" t="str">
        <f t="array" aca="1" ref="AB17" ca="1">IF($A17="*","",IFERROR(INDEX(AGR!$E$52:$L$73,MATCH('TS DTech'!$C17,AGR!$B$52:$B$73,0),MATCH('TS DTech'!$B17&amp;AB$7,AGR!$E$46:$L$46&amp;AGR!$E$48:$L$48,0)),""))</f>
        <v/>
      </c>
      <c r="AC17" s="296" t="str">
        <f t="array" aca="1" ref="AC17" ca="1">IF($A17="*","",IFERROR(INDEX(AGR!$E$52:$L$73,MATCH('TS DTech'!$C17,AGR!$B$52:$B$73,0),MATCH('TS DTech'!$B17&amp;AC$7,AGR!$E$46:$L$46&amp;AGR!$E$48:$L$48,0)),""))</f>
        <v/>
      </c>
      <c r="AD17" s="296" t="str">
        <f t="array" aca="1" ref="AD17" ca="1">IF($A17="*","",IFERROR(INDEX(AGR!$E$52:$L$73,MATCH('TS DTech'!$C17,AGR!$B$52:$B$73,0),MATCH('TS DTech'!$B17&amp;AD$7,AGR!$E$46:$L$46&amp;AGR!$E$48:$L$48,0)),""))</f>
        <v/>
      </c>
      <c r="AE17" s="296" t="str">
        <f t="array" aca="1" ref="AE17" ca="1">IF($A17="*","",IFERROR(INDEX(AGR!$E$52:$L$73,MATCH('TS DTech'!$C17,AGR!$B$52:$B$73,0),MATCH('TS DTech'!$B17&amp;AE$7,AGR!$E$46:$L$46&amp;AGR!$E$48:$L$48,0)),""))</f>
        <v/>
      </c>
      <c r="AF17" s="296" t="str">
        <f t="array" aca="1" ref="AF17" ca="1">IF($A17="*","",IFERROR(INDEX(AGR!$E$52:$L$73,MATCH('TS DTech'!$C17,AGR!$B$52:$B$73,0),MATCH('TS DTech'!$B17&amp;AF$7,AGR!$E$46:$L$46&amp;AGR!$E$48:$L$48,0)),""))</f>
        <v/>
      </c>
      <c r="AG17" s="296" t="str">
        <f t="array" aca="1" ref="AG17" ca="1">IF($A17="*","",IFERROR(INDEX(AGR!$E$52:$L$73,MATCH('TS DTech'!$C17,AGR!$B$52:$B$73,0),MATCH('TS DTech'!$B17&amp;AG$7,AGR!$E$46:$L$46&amp;AGR!$E$48:$L$48,0)),""))</f>
        <v/>
      </c>
      <c r="AH17" s="296" t="str">
        <f t="array" aca="1" ref="AH17" ca="1">IF($A17="*","",IFERROR(INDEX(AGR!$E$52:$L$73,MATCH('TS DTech'!$C17,AGR!$B$52:$B$73,0),MATCH('TS DTech'!$B17&amp;AH$7,AGR!$E$46:$L$46&amp;AGR!$E$48:$L$48,0)),""))</f>
        <v/>
      </c>
      <c r="AI17" s="296" t="str">
        <f t="array" aca="1" ref="AI17" ca="1">IF($A17="*","",IFERROR(INDEX(AGR!$E$52:$L$73,MATCH('TS DTech'!$C17,AGR!$B$52:$B$73,0),MATCH('TS DTech'!$B17&amp;AI$7,AGR!$E$46:$L$46&amp;AGR!$E$48:$L$48,0)),""))</f>
        <v/>
      </c>
      <c r="AJ17" s="296" t="str">
        <f t="array" aca="1" ref="AJ17" ca="1">IF($A17="*","",IFERROR(INDEX(AGR!$E$52:$L$73,MATCH('TS DTech'!$C17,AGR!$B$52:$B$73,0),MATCH('TS DTech'!$B17&amp;AJ$7,AGR!$E$46:$L$46&amp;AGR!$E$48:$L$48,0)),""))</f>
        <v/>
      </c>
      <c r="AK17" s="296" t="str">
        <f t="array" aca="1" ref="AK17" ca="1">IF($A17="*","",IFERROR(INDEX(AGR!$E$52:$L$73,MATCH('TS DTech'!$C17,AGR!$B$52:$B$73,0),MATCH('TS DTech'!$B17&amp;AK$7,AGR!$E$46:$L$46&amp;AGR!$E$48:$L$48,0)),""))</f>
        <v/>
      </c>
      <c r="AL17" s="296" t="str">
        <f t="array" aca="1" ref="AL17" ca="1">IF($A17="*","",IFERROR(INDEX(AGR!$E$52:$L$73,MATCH('TS DTech'!$C17,AGR!$B$52:$B$73,0),MATCH('TS DTech'!$B17&amp;AL$7,AGR!$E$46:$L$46&amp;AGR!$E$48:$L$48,0)),""))</f>
        <v/>
      </c>
      <c r="AM17" s="296" t="str">
        <f t="array" aca="1" ref="AM17" ca="1">IF($A17="*","",IFERROR(INDEX(AGR!$E$52:$L$73,MATCH('TS DTech'!$C17,AGR!$B$52:$B$73,0),MATCH('TS DTech'!$B17&amp;AM$7,AGR!$E$46:$L$46&amp;AGR!$E$48:$L$48,0)),""))</f>
        <v/>
      </c>
      <c r="AN17" s="296" t="str">
        <f t="array" aca="1" ref="AN17" ca="1">IF($A17="*","",IFERROR(INDEX(AGR!$E$52:$L$73,MATCH('TS DTech'!$C17,AGR!$B$52:$B$73,0),MATCH('TS DTech'!$B17&amp;AN$7,AGR!$E$46:$L$46&amp;AGR!$E$48:$L$48,0)),""))</f>
        <v/>
      </c>
      <c r="AO17" s="296" t="str">
        <f t="array" aca="1" ref="AO17" ca="1">IF($A17="*","",IFERROR(INDEX(AGR!$E$52:$L$73,MATCH('TS DTech'!$C17,AGR!$B$52:$B$73,0),MATCH('TS DTech'!$B17&amp;AO$7,AGR!$E$46:$L$46&amp;AGR!$E$48:$L$48,0)),""))</f>
        <v/>
      </c>
      <c r="AP17" s="296" t="str">
        <f t="array" aca="1" ref="AP17" ca="1">IF($A17="*","",IFERROR(INDEX(AGR!$E$52:$L$73,MATCH('TS DTech'!$C17,AGR!$B$52:$B$73,0),MATCH('TS DTech'!$B17&amp;AP$7,AGR!$E$46:$L$46&amp;AGR!$E$48:$L$48,0)),""))</f>
        <v/>
      </c>
      <c r="AQ17" s="137">
        <f>IF(AR16=AGR!$AD$74,AQ16+1,AQ16)</f>
        <v>1</v>
      </c>
      <c r="AR17" s="137">
        <f>IF(AQ17=AQ16,AR16+1,1)</f>
        <v>2</v>
      </c>
    </row>
    <row r="18" spans="1:44">
      <c r="A18" s="137" t="str">
        <f ca="1">IF(LEFT(OFFSET(AGR!$A$51,AR18,0),2)="\I","*","")</f>
        <v/>
      </c>
      <c r="B18" s="212" t="str">
        <f t="shared" ca="1" si="0"/>
        <v>ACT_EFF</v>
      </c>
      <c r="C18" s="212" t="str">
        <f ca="1">IF($A18="*","",OFFSET(AGR!$B$51,AR18,0))</f>
        <v>AHOKE-E</v>
      </c>
      <c r="D18" s="212" t="str">
        <f t="shared" ca="1" si="2"/>
        <v>-</v>
      </c>
      <c r="E18" s="212" t="str">
        <f t="shared" ca="1" si="1"/>
        <v>ACTGRP</v>
      </c>
      <c r="F18" s="212" t="str">
        <f t="shared" ca="1" si="1"/>
        <v>-</v>
      </c>
      <c r="G18" s="212" t="str">
        <f t="shared" ca="1" si="1"/>
        <v>ANNUAL</v>
      </c>
      <c r="H18" s="212" t="str">
        <f t="shared" ca="1" si="1"/>
        <v>-</v>
      </c>
      <c r="I18" s="213">
        <f t="shared" ca="1" si="1"/>
        <v>0</v>
      </c>
      <c r="J18" s="296">
        <f t="array" aca="1" ref="J18" ca="1">IF($A18="*","",IFERROR(INDEX(AGR!$E$52:$L$73,MATCH('TS DTech'!$C18,AGR!$B$52:$B$73,0),MATCH('TS DTech'!$B18&amp;J$7,AGR!$E$46:$L$46&amp;AGR!$E$48:$L$48,0)),""))</f>
        <v>0.7</v>
      </c>
      <c r="K18" s="296" t="str">
        <f t="array" aca="1" ref="K18" ca="1">IF($A18="*","",IFERROR(INDEX(AGR!$E$52:$L$73,MATCH('TS DTech'!$C18,AGR!$B$52:$B$73,0),MATCH('TS DTech'!$B18&amp;K$7,AGR!$E$46:$L$46&amp;AGR!$E$48:$L$48,0)),""))</f>
        <v/>
      </c>
      <c r="L18" s="296" t="str">
        <f t="array" aca="1" ref="L18" ca="1">IF($A18="*","",IFERROR(INDEX(AGR!$E$52:$L$73,MATCH('TS DTech'!$C18,AGR!$B$52:$B$73,0),MATCH('TS DTech'!$B18&amp;L$7,AGR!$E$46:$L$46&amp;AGR!$E$48:$L$48,0)),""))</f>
        <v/>
      </c>
      <c r="M18" s="296" t="str">
        <f t="array" aca="1" ref="M18" ca="1">IF($A18="*","",IFERROR(INDEX(AGR!$E$52:$L$73,MATCH('TS DTech'!$C18,AGR!$B$52:$B$73,0),MATCH('TS DTech'!$B18&amp;M$7,AGR!$E$46:$L$46&amp;AGR!$E$48:$L$48,0)),""))</f>
        <v/>
      </c>
      <c r="N18" s="296" t="str">
        <f t="array" aca="1" ref="N18" ca="1">IF($A18="*","",IFERROR(INDEX(AGR!$E$52:$L$73,MATCH('TS DTech'!$C18,AGR!$B$52:$B$73,0),MATCH('TS DTech'!$B18&amp;N$7,AGR!$E$46:$L$46&amp;AGR!$E$48:$L$48,0)),""))</f>
        <v/>
      </c>
      <c r="O18" s="296">
        <f t="array" aca="1" ref="O18" ca="1">IF($A18="*","",IFERROR(INDEX(AGR!$E$52:$L$73,MATCH('TS DTech'!$C18,AGR!$B$52:$B$73,0),MATCH('TS DTech'!$B18&amp;O$7,AGR!$E$46:$L$46&amp;AGR!$E$48:$L$48,0)),""))</f>
        <v>0.7</v>
      </c>
      <c r="P18" s="296" t="str">
        <f t="array" aca="1" ref="P18" ca="1">IF($A18="*","",IFERROR(INDEX(AGR!$E$52:$L$73,MATCH('TS DTech'!$C18,AGR!$B$52:$B$73,0),MATCH('TS DTech'!$B18&amp;P$7,AGR!$E$46:$L$46&amp;AGR!$E$48:$L$48,0)),""))</f>
        <v/>
      </c>
      <c r="Q18" s="296" t="str">
        <f t="array" aca="1" ref="Q18" ca="1">IF($A18="*","",IFERROR(INDEX(AGR!$E$52:$L$73,MATCH('TS DTech'!$C18,AGR!$B$52:$B$73,0),MATCH('TS DTech'!$B18&amp;Q$7,AGR!$E$46:$L$46&amp;AGR!$E$48:$L$48,0)),""))</f>
        <v/>
      </c>
      <c r="R18" s="296" t="str">
        <f t="array" aca="1" ref="R18" ca="1">IF($A18="*","",IFERROR(INDEX(AGR!$E$52:$L$73,MATCH('TS DTech'!$C18,AGR!$B$52:$B$73,0),MATCH('TS DTech'!$B18&amp;R$7,AGR!$E$46:$L$46&amp;AGR!$E$48:$L$48,0)),""))</f>
        <v/>
      </c>
      <c r="S18" s="296" t="str">
        <f t="array" aca="1" ref="S18" ca="1">IF($A18="*","",IFERROR(INDEX(AGR!$E$52:$L$73,MATCH('TS DTech'!$C18,AGR!$B$52:$B$73,0),MATCH('TS DTech'!$B18&amp;S$7,AGR!$E$46:$L$46&amp;AGR!$E$48:$L$48,0)),""))</f>
        <v/>
      </c>
      <c r="T18" s="296" t="str">
        <f t="array" aca="1" ref="T18" ca="1">IF($A18="*","",IFERROR(INDEX(AGR!$E$52:$L$73,MATCH('TS DTech'!$C18,AGR!$B$52:$B$73,0),MATCH('TS DTech'!$B18&amp;T$7,AGR!$E$46:$L$46&amp;AGR!$E$48:$L$48,0)),""))</f>
        <v/>
      </c>
      <c r="U18" s="296" t="str">
        <f t="array" aca="1" ref="U18" ca="1">IF($A18="*","",IFERROR(INDEX(AGR!$E$52:$L$73,MATCH('TS DTech'!$C18,AGR!$B$52:$B$73,0),MATCH('TS DTech'!$B18&amp;U$7,AGR!$E$46:$L$46&amp;AGR!$E$48:$L$48,0)),""))</f>
        <v/>
      </c>
      <c r="V18" s="296" t="str">
        <f t="array" aca="1" ref="V18" ca="1">IF($A18="*","",IFERROR(INDEX(AGR!$E$52:$L$73,MATCH('TS DTech'!$C18,AGR!$B$52:$B$73,0),MATCH('TS DTech'!$B18&amp;V$7,AGR!$E$46:$L$46&amp;AGR!$E$48:$L$48,0)),""))</f>
        <v/>
      </c>
      <c r="W18" s="296" t="str">
        <f t="array" aca="1" ref="W18" ca="1">IF($A18="*","",IFERROR(INDEX(AGR!$E$52:$L$73,MATCH('TS DTech'!$C18,AGR!$B$52:$B$73,0),MATCH('TS DTech'!$B18&amp;W$7,AGR!$E$46:$L$46&amp;AGR!$E$48:$L$48,0)),""))</f>
        <v/>
      </c>
      <c r="X18" s="296" t="str">
        <f t="array" aca="1" ref="X18" ca="1">IF($A18="*","",IFERROR(INDEX(AGR!$E$52:$L$73,MATCH('TS DTech'!$C18,AGR!$B$52:$B$73,0),MATCH('TS DTech'!$B18&amp;X$7,AGR!$E$46:$L$46&amp;AGR!$E$48:$L$48,0)),""))</f>
        <v/>
      </c>
      <c r="Y18" s="296" t="str">
        <f t="array" aca="1" ref="Y18" ca="1">IF($A18="*","",IFERROR(INDEX(AGR!$E$52:$L$73,MATCH('TS DTech'!$C18,AGR!$B$52:$B$73,0),MATCH('TS DTech'!$B18&amp;Y$7,AGR!$E$46:$L$46&amp;AGR!$E$48:$L$48,0)),""))</f>
        <v/>
      </c>
      <c r="Z18" s="296" t="str">
        <f t="array" aca="1" ref="Z18" ca="1">IF($A18="*","",IFERROR(INDEX(AGR!$E$52:$L$73,MATCH('TS DTech'!$C18,AGR!$B$52:$B$73,0),MATCH('TS DTech'!$B18&amp;Z$7,AGR!$E$46:$L$46&amp;AGR!$E$48:$L$48,0)),""))</f>
        <v/>
      </c>
      <c r="AA18" s="296" t="str">
        <f t="array" aca="1" ref="AA18" ca="1">IF($A18="*","",IFERROR(INDEX(AGR!$E$52:$L$73,MATCH('TS DTech'!$C18,AGR!$B$52:$B$73,0),MATCH('TS DTech'!$B18&amp;AA$7,AGR!$E$46:$L$46&amp;AGR!$E$48:$L$48,0)),""))</f>
        <v/>
      </c>
      <c r="AB18" s="296" t="str">
        <f t="array" aca="1" ref="AB18" ca="1">IF($A18="*","",IFERROR(INDEX(AGR!$E$52:$L$73,MATCH('TS DTech'!$C18,AGR!$B$52:$B$73,0),MATCH('TS DTech'!$B18&amp;AB$7,AGR!$E$46:$L$46&amp;AGR!$E$48:$L$48,0)),""))</f>
        <v/>
      </c>
      <c r="AC18" s="296" t="str">
        <f t="array" aca="1" ref="AC18" ca="1">IF($A18="*","",IFERROR(INDEX(AGR!$E$52:$L$73,MATCH('TS DTech'!$C18,AGR!$B$52:$B$73,0),MATCH('TS DTech'!$B18&amp;AC$7,AGR!$E$46:$L$46&amp;AGR!$E$48:$L$48,0)),""))</f>
        <v/>
      </c>
      <c r="AD18" s="296" t="str">
        <f t="array" aca="1" ref="AD18" ca="1">IF($A18="*","",IFERROR(INDEX(AGR!$E$52:$L$73,MATCH('TS DTech'!$C18,AGR!$B$52:$B$73,0),MATCH('TS DTech'!$B18&amp;AD$7,AGR!$E$46:$L$46&amp;AGR!$E$48:$L$48,0)),""))</f>
        <v/>
      </c>
      <c r="AE18" s="296" t="str">
        <f t="array" aca="1" ref="AE18" ca="1">IF($A18="*","",IFERROR(INDEX(AGR!$E$52:$L$73,MATCH('TS DTech'!$C18,AGR!$B$52:$B$73,0),MATCH('TS DTech'!$B18&amp;AE$7,AGR!$E$46:$L$46&amp;AGR!$E$48:$L$48,0)),""))</f>
        <v/>
      </c>
      <c r="AF18" s="296" t="str">
        <f t="array" aca="1" ref="AF18" ca="1">IF($A18="*","",IFERROR(INDEX(AGR!$E$52:$L$73,MATCH('TS DTech'!$C18,AGR!$B$52:$B$73,0),MATCH('TS DTech'!$B18&amp;AF$7,AGR!$E$46:$L$46&amp;AGR!$E$48:$L$48,0)),""))</f>
        <v/>
      </c>
      <c r="AG18" s="296" t="str">
        <f t="array" aca="1" ref="AG18" ca="1">IF($A18="*","",IFERROR(INDEX(AGR!$E$52:$L$73,MATCH('TS DTech'!$C18,AGR!$B$52:$B$73,0),MATCH('TS DTech'!$B18&amp;AG$7,AGR!$E$46:$L$46&amp;AGR!$E$48:$L$48,0)),""))</f>
        <v/>
      </c>
      <c r="AH18" s="296" t="str">
        <f t="array" aca="1" ref="AH18" ca="1">IF($A18="*","",IFERROR(INDEX(AGR!$E$52:$L$73,MATCH('TS DTech'!$C18,AGR!$B$52:$B$73,0),MATCH('TS DTech'!$B18&amp;AH$7,AGR!$E$46:$L$46&amp;AGR!$E$48:$L$48,0)),""))</f>
        <v/>
      </c>
      <c r="AI18" s="296" t="str">
        <f t="array" aca="1" ref="AI18" ca="1">IF($A18="*","",IFERROR(INDEX(AGR!$E$52:$L$73,MATCH('TS DTech'!$C18,AGR!$B$52:$B$73,0),MATCH('TS DTech'!$B18&amp;AI$7,AGR!$E$46:$L$46&amp;AGR!$E$48:$L$48,0)),""))</f>
        <v/>
      </c>
      <c r="AJ18" s="296" t="str">
        <f t="array" aca="1" ref="AJ18" ca="1">IF($A18="*","",IFERROR(INDEX(AGR!$E$52:$L$73,MATCH('TS DTech'!$C18,AGR!$B$52:$B$73,0),MATCH('TS DTech'!$B18&amp;AJ$7,AGR!$E$46:$L$46&amp;AGR!$E$48:$L$48,0)),""))</f>
        <v/>
      </c>
      <c r="AK18" s="296" t="str">
        <f t="array" aca="1" ref="AK18" ca="1">IF($A18="*","",IFERROR(INDEX(AGR!$E$52:$L$73,MATCH('TS DTech'!$C18,AGR!$B$52:$B$73,0),MATCH('TS DTech'!$B18&amp;AK$7,AGR!$E$46:$L$46&amp;AGR!$E$48:$L$48,0)),""))</f>
        <v/>
      </c>
      <c r="AL18" s="296" t="str">
        <f t="array" aca="1" ref="AL18" ca="1">IF($A18="*","",IFERROR(INDEX(AGR!$E$52:$L$73,MATCH('TS DTech'!$C18,AGR!$B$52:$B$73,0),MATCH('TS DTech'!$B18&amp;AL$7,AGR!$E$46:$L$46&amp;AGR!$E$48:$L$48,0)),""))</f>
        <v/>
      </c>
      <c r="AM18" s="296" t="str">
        <f t="array" aca="1" ref="AM18" ca="1">IF($A18="*","",IFERROR(INDEX(AGR!$E$52:$L$73,MATCH('TS DTech'!$C18,AGR!$B$52:$B$73,0),MATCH('TS DTech'!$B18&amp;AM$7,AGR!$E$46:$L$46&amp;AGR!$E$48:$L$48,0)),""))</f>
        <v/>
      </c>
      <c r="AN18" s="296" t="str">
        <f t="array" aca="1" ref="AN18" ca="1">IF($A18="*","",IFERROR(INDEX(AGR!$E$52:$L$73,MATCH('TS DTech'!$C18,AGR!$B$52:$B$73,0),MATCH('TS DTech'!$B18&amp;AN$7,AGR!$E$46:$L$46&amp;AGR!$E$48:$L$48,0)),""))</f>
        <v/>
      </c>
      <c r="AO18" s="296" t="str">
        <f t="array" aca="1" ref="AO18" ca="1">IF($A18="*","",IFERROR(INDEX(AGR!$E$52:$L$73,MATCH('TS DTech'!$C18,AGR!$B$52:$B$73,0),MATCH('TS DTech'!$B18&amp;AO$7,AGR!$E$46:$L$46&amp;AGR!$E$48:$L$48,0)),""))</f>
        <v/>
      </c>
      <c r="AP18" s="296" t="str">
        <f t="array" aca="1" ref="AP18" ca="1">IF($A18="*","",IFERROR(INDEX(AGR!$E$52:$L$73,MATCH('TS DTech'!$C18,AGR!$B$52:$B$73,0),MATCH('TS DTech'!$B18&amp;AP$7,AGR!$E$46:$L$46&amp;AGR!$E$48:$L$48,0)),""))</f>
        <v/>
      </c>
      <c r="AQ18" s="137">
        <f>IF(AR17=AGR!$AD$74,AQ17+1,AQ17)</f>
        <v>1</v>
      </c>
      <c r="AR18" s="137">
        <f t="shared" ref="AR18:AR81" si="3">IF(AQ18=AQ17,AR17+1,1)</f>
        <v>3</v>
      </c>
    </row>
    <row r="19" spans="1:44">
      <c r="A19" s="137" t="str">
        <f ca="1">IF(LEFT(OFFSET(AGR!$A$51,AR19,0),2)="\I","*","")</f>
        <v/>
      </c>
      <c r="B19" s="212" t="str">
        <f t="shared" ca="1" si="0"/>
        <v>ACT_EFF</v>
      </c>
      <c r="C19" s="212" t="str">
        <f ca="1">IF($A19="*","",OFFSET(AGR!$B$51,AR19,0))</f>
        <v>AHOLP-E</v>
      </c>
      <c r="D19" s="212" t="str">
        <f t="shared" ca="1" si="2"/>
        <v>-</v>
      </c>
      <c r="E19" s="212" t="str">
        <f t="shared" ca="1" si="1"/>
        <v>ACTGRP</v>
      </c>
      <c r="F19" s="212" t="str">
        <f t="shared" ca="1" si="1"/>
        <v>-</v>
      </c>
      <c r="G19" s="212" t="str">
        <f t="shared" ca="1" si="1"/>
        <v>ANNUAL</v>
      </c>
      <c r="H19" s="212" t="str">
        <f t="shared" ca="1" si="1"/>
        <v>-</v>
      </c>
      <c r="I19" s="213">
        <f t="shared" ca="1" si="1"/>
        <v>0</v>
      </c>
      <c r="J19" s="296">
        <f t="array" aca="1" ref="J19" ca="1">IF($A19="*","",IFERROR(INDEX(AGR!$E$52:$L$73,MATCH('TS DTech'!$C19,AGR!$B$52:$B$73,0),MATCH('TS DTech'!$B19&amp;J$7,AGR!$E$46:$L$46&amp;AGR!$E$48:$L$48,0)),""))</f>
        <v>0.75</v>
      </c>
      <c r="K19" s="296" t="str">
        <f t="array" aca="1" ref="K19" ca="1">IF($A19="*","",IFERROR(INDEX(AGR!$E$52:$L$73,MATCH('TS DTech'!$C19,AGR!$B$52:$B$73,0),MATCH('TS DTech'!$B19&amp;K$7,AGR!$E$46:$L$46&amp;AGR!$E$48:$L$48,0)),""))</f>
        <v/>
      </c>
      <c r="L19" s="296" t="str">
        <f t="array" aca="1" ref="L19" ca="1">IF($A19="*","",IFERROR(INDEX(AGR!$E$52:$L$73,MATCH('TS DTech'!$C19,AGR!$B$52:$B$73,0),MATCH('TS DTech'!$B19&amp;L$7,AGR!$E$46:$L$46&amp;AGR!$E$48:$L$48,0)),""))</f>
        <v/>
      </c>
      <c r="M19" s="296" t="str">
        <f t="array" aca="1" ref="M19" ca="1">IF($A19="*","",IFERROR(INDEX(AGR!$E$52:$L$73,MATCH('TS DTech'!$C19,AGR!$B$52:$B$73,0),MATCH('TS DTech'!$B19&amp;M$7,AGR!$E$46:$L$46&amp;AGR!$E$48:$L$48,0)),""))</f>
        <v/>
      </c>
      <c r="N19" s="296" t="str">
        <f t="array" aca="1" ref="N19" ca="1">IF($A19="*","",IFERROR(INDEX(AGR!$E$52:$L$73,MATCH('TS DTech'!$C19,AGR!$B$52:$B$73,0),MATCH('TS DTech'!$B19&amp;N$7,AGR!$E$46:$L$46&amp;AGR!$E$48:$L$48,0)),""))</f>
        <v/>
      </c>
      <c r="O19" s="296">
        <f t="array" aca="1" ref="O19" ca="1">IF($A19="*","",IFERROR(INDEX(AGR!$E$52:$L$73,MATCH('TS DTech'!$C19,AGR!$B$52:$B$73,0),MATCH('TS DTech'!$B19&amp;O$7,AGR!$E$46:$L$46&amp;AGR!$E$48:$L$48,0)),""))</f>
        <v>0.75</v>
      </c>
      <c r="P19" s="296" t="str">
        <f t="array" aca="1" ref="P19" ca="1">IF($A19="*","",IFERROR(INDEX(AGR!$E$52:$L$73,MATCH('TS DTech'!$C19,AGR!$B$52:$B$73,0),MATCH('TS DTech'!$B19&amp;P$7,AGR!$E$46:$L$46&amp;AGR!$E$48:$L$48,0)),""))</f>
        <v/>
      </c>
      <c r="Q19" s="296" t="str">
        <f t="array" aca="1" ref="Q19" ca="1">IF($A19="*","",IFERROR(INDEX(AGR!$E$52:$L$73,MATCH('TS DTech'!$C19,AGR!$B$52:$B$73,0),MATCH('TS DTech'!$B19&amp;Q$7,AGR!$E$46:$L$46&amp;AGR!$E$48:$L$48,0)),""))</f>
        <v/>
      </c>
      <c r="R19" s="296" t="str">
        <f t="array" aca="1" ref="R19" ca="1">IF($A19="*","",IFERROR(INDEX(AGR!$E$52:$L$73,MATCH('TS DTech'!$C19,AGR!$B$52:$B$73,0),MATCH('TS DTech'!$B19&amp;R$7,AGR!$E$46:$L$46&amp;AGR!$E$48:$L$48,0)),""))</f>
        <v/>
      </c>
      <c r="S19" s="296" t="str">
        <f t="array" aca="1" ref="S19" ca="1">IF($A19="*","",IFERROR(INDEX(AGR!$E$52:$L$73,MATCH('TS DTech'!$C19,AGR!$B$52:$B$73,0),MATCH('TS DTech'!$B19&amp;S$7,AGR!$E$46:$L$46&amp;AGR!$E$48:$L$48,0)),""))</f>
        <v/>
      </c>
      <c r="T19" s="296" t="str">
        <f t="array" aca="1" ref="T19" ca="1">IF($A19="*","",IFERROR(INDEX(AGR!$E$52:$L$73,MATCH('TS DTech'!$C19,AGR!$B$52:$B$73,0),MATCH('TS DTech'!$B19&amp;T$7,AGR!$E$46:$L$46&amp;AGR!$E$48:$L$48,0)),""))</f>
        <v/>
      </c>
      <c r="U19" s="296" t="str">
        <f t="array" aca="1" ref="U19" ca="1">IF($A19="*","",IFERROR(INDEX(AGR!$E$52:$L$73,MATCH('TS DTech'!$C19,AGR!$B$52:$B$73,0),MATCH('TS DTech'!$B19&amp;U$7,AGR!$E$46:$L$46&amp;AGR!$E$48:$L$48,0)),""))</f>
        <v/>
      </c>
      <c r="V19" s="296" t="str">
        <f t="array" aca="1" ref="V19" ca="1">IF($A19="*","",IFERROR(INDEX(AGR!$E$52:$L$73,MATCH('TS DTech'!$C19,AGR!$B$52:$B$73,0),MATCH('TS DTech'!$B19&amp;V$7,AGR!$E$46:$L$46&amp;AGR!$E$48:$L$48,0)),""))</f>
        <v/>
      </c>
      <c r="W19" s="296" t="str">
        <f t="array" aca="1" ref="W19" ca="1">IF($A19="*","",IFERROR(INDEX(AGR!$E$52:$L$73,MATCH('TS DTech'!$C19,AGR!$B$52:$B$73,0),MATCH('TS DTech'!$B19&amp;W$7,AGR!$E$46:$L$46&amp;AGR!$E$48:$L$48,0)),""))</f>
        <v/>
      </c>
      <c r="X19" s="296" t="str">
        <f t="array" aca="1" ref="X19" ca="1">IF($A19="*","",IFERROR(INDEX(AGR!$E$52:$L$73,MATCH('TS DTech'!$C19,AGR!$B$52:$B$73,0),MATCH('TS DTech'!$B19&amp;X$7,AGR!$E$46:$L$46&amp;AGR!$E$48:$L$48,0)),""))</f>
        <v/>
      </c>
      <c r="Y19" s="296" t="str">
        <f t="array" aca="1" ref="Y19" ca="1">IF($A19="*","",IFERROR(INDEX(AGR!$E$52:$L$73,MATCH('TS DTech'!$C19,AGR!$B$52:$B$73,0),MATCH('TS DTech'!$B19&amp;Y$7,AGR!$E$46:$L$46&amp;AGR!$E$48:$L$48,0)),""))</f>
        <v/>
      </c>
      <c r="Z19" s="296" t="str">
        <f t="array" aca="1" ref="Z19" ca="1">IF($A19="*","",IFERROR(INDEX(AGR!$E$52:$L$73,MATCH('TS DTech'!$C19,AGR!$B$52:$B$73,0),MATCH('TS DTech'!$B19&amp;Z$7,AGR!$E$46:$L$46&amp;AGR!$E$48:$L$48,0)),""))</f>
        <v/>
      </c>
      <c r="AA19" s="296" t="str">
        <f t="array" aca="1" ref="AA19" ca="1">IF($A19="*","",IFERROR(INDEX(AGR!$E$52:$L$73,MATCH('TS DTech'!$C19,AGR!$B$52:$B$73,0),MATCH('TS DTech'!$B19&amp;AA$7,AGR!$E$46:$L$46&amp;AGR!$E$48:$L$48,0)),""))</f>
        <v/>
      </c>
      <c r="AB19" s="296" t="str">
        <f t="array" aca="1" ref="AB19" ca="1">IF($A19="*","",IFERROR(INDEX(AGR!$E$52:$L$73,MATCH('TS DTech'!$C19,AGR!$B$52:$B$73,0),MATCH('TS DTech'!$B19&amp;AB$7,AGR!$E$46:$L$46&amp;AGR!$E$48:$L$48,0)),""))</f>
        <v/>
      </c>
      <c r="AC19" s="296" t="str">
        <f t="array" aca="1" ref="AC19" ca="1">IF($A19="*","",IFERROR(INDEX(AGR!$E$52:$L$73,MATCH('TS DTech'!$C19,AGR!$B$52:$B$73,0),MATCH('TS DTech'!$B19&amp;AC$7,AGR!$E$46:$L$46&amp;AGR!$E$48:$L$48,0)),""))</f>
        <v/>
      </c>
      <c r="AD19" s="296" t="str">
        <f t="array" aca="1" ref="AD19" ca="1">IF($A19="*","",IFERROR(INDEX(AGR!$E$52:$L$73,MATCH('TS DTech'!$C19,AGR!$B$52:$B$73,0),MATCH('TS DTech'!$B19&amp;AD$7,AGR!$E$46:$L$46&amp;AGR!$E$48:$L$48,0)),""))</f>
        <v/>
      </c>
      <c r="AE19" s="296" t="str">
        <f t="array" aca="1" ref="AE19" ca="1">IF($A19="*","",IFERROR(INDEX(AGR!$E$52:$L$73,MATCH('TS DTech'!$C19,AGR!$B$52:$B$73,0),MATCH('TS DTech'!$B19&amp;AE$7,AGR!$E$46:$L$46&amp;AGR!$E$48:$L$48,0)),""))</f>
        <v/>
      </c>
      <c r="AF19" s="296" t="str">
        <f t="array" aca="1" ref="AF19" ca="1">IF($A19="*","",IFERROR(INDEX(AGR!$E$52:$L$73,MATCH('TS DTech'!$C19,AGR!$B$52:$B$73,0),MATCH('TS DTech'!$B19&amp;AF$7,AGR!$E$46:$L$46&amp;AGR!$E$48:$L$48,0)),""))</f>
        <v/>
      </c>
      <c r="AG19" s="296" t="str">
        <f t="array" aca="1" ref="AG19" ca="1">IF($A19="*","",IFERROR(INDEX(AGR!$E$52:$L$73,MATCH('TS DTech'!$C19,AGR!$B$52:$B$73,0),MATCH('TS DTech'!$B19&amp;AG$7,AGR!$E$46:$L$46&amp;AGR!$E$48:$L$48,0)),""))</f>
        <v/>
      </c>
      <c r="AH19" s="296" t="str">
        <f t="array" aca="1" ref="AH19" ca="1">IF($A19="*","",IFERROR(INDEX(AGR!$E$52:$L$73,MATCH('TS DTech'!$C19,AGR!$B$52:$B$73,0),MATCH('TS DTech'!$B19&amp;AH$7,AGR!$E$46:$L$46&amp;AGR!$E$48:$L$48,0)),""))</f>
        <v/>
      </c>
      <c r="AI19" s="296" t="str">
        <f t="array" aca="1" ref="AI19" ca="1">IF($A19="*","",IFERROR(INDEX(AGR!$E$52:$L$73,MATCH('TS DTech'!$C19,AGR!$B$52:$B$73,0),MATCH('TS DTech'!$B19&amp;AI$7,AGR!$E$46:$L$46&amp;AGR!$E$48:$L$48,0)),""))</f>
        <v/>
      </c>
      <c r="AJ19" s="296" t="str">
        <f t="array" aca="1" ref="AJ19" ca="1">IF($A19="*","",IFERROR(INDEX(AGR!$E$52:$L$73,MATCH('TS DTech'!$C19,AGR!$B$52:$B$73,0),MATCH('TS DTech'!$B19&amp;AJ$7,AGR!$E$46:$L$46&amp;AGR!$E$48:$L$48,0)),""))</f>
        <v/>
      </c>
      <c r="AK19" s="296" t="str">
        <f t="array" aca="1" ref="AK19" ca="1">IF($A19="*","",IFERROR(INDEX(AGR!$E$52:$L$73,MATCH('TS DTech'!$C19,AGR!$B$52:$B$73,0),MATCH('TS DTech'!$B19&amp;AK$7,AGR!$E$46:$L$46&amp;AGR!$E$48:$L$48,0)),""))</f>
        <v/>
      </c>
      <c r="AL19" s="296" t="str">
        <f t="array" aca="1" ref="AL19" ca="1">IF($A19="*","",IFERROR(INDEX(AGR!$E$52:$L$73,MATCH('TS DTech'!$C19,AGR!$B$52:$B$73,0),MATCH('TS DTech'!$B19&amp;AL$7,AGR!$E$46:$L$46&amp;AGR!$E$48:$L$48,0)),""))</f>
        <v/>
      </c>
      <c r="AM19" s="296" t="str">
        <f t="array" aca="1" ref="AM19" ca="1">IF($A19="*","",IFERROR(INDEX(AGR!$E$52:$L$73,MATCH('TS DTech'!$C19,AGR!$B$52:$B$73,0),MATCH('TS DTech'!$B19&amp;AM$7,AGR!$E$46:$L$46&amp;AGR!$E$48:$L$48,0)),""))</f>
        <v/>
      </c>
      <c r="AN19" s="296" t="str">
        <f t="array" aca="1" ref="AN19" ca="1">IF($A19="*","",IFERROR(INDEX(AGR!$E$52:$L$73,MATCH('TS DTech'!$C19,AGR!$B$52:$B$73,0),MATCH('TS DTech'!$B19&amp;AN$7,AGR!$E$46:$L$46&amp;AGR!$E$48:$L$48,0)),""))</f>
        <v/>
      </c>
      <c r="AO19" s="296" t="str">
        <f t="array" aca="1" ref="AO19" ca="1">IF($A19="*","",IFERROR(INDEX(AGR!$E$52:$L$73,MATCH('TS DTech'!$C19,AGR!$B$52:$B$73,0),MATCH('TS DTech'!$B19&amp;AO$7,AGR!$E$46:$L$46&amp;AGR!$E$48:$L$48,0)),""))</f>
        <v/>
      </c>
      <c r="AP19" s="296" t="str">
        <f t="array" aca="1" ref="AP19" ca="1">IF($A19="*","",IFERROR(INDEX(AGR!$E$52:$L$73,MATCH('TS DTech'!$C19,AGR!$B$52:$B$73,0),MATCH('TS DTech'!$B19&amp;AP$7,AGR!$E$46:$L$46&amp;AGR!$E$48:$L$48,0)),""))</f>
        <v/>
      </c>
      <c r="AQ19" s="137">
        <f>IF(AR18=AGR!$AD$74,AQ18+1,AQ18)</f>
        <v>1</v>
      </c>
      <c r="AR19" s="137">
        <f t="shared" si="3"/>
        <v>4</v>
      </c>
    </row>
    <row r="20" spans="1:44">
      <c r="A20" s="137" t="str">
        <f ca="1">IF(LEFT(OFFSET(AGR!$A$51,AR20,0),2)="\I","*","")</f>
        <v/>
      </c>
      <c r="B20" s="212" t="str">
        <f t="shared" ca="1" si="0"/>
        <v>ACT_EFF</v>
      </c>
      <c r="C20" s="212" t="str">
        <f ca="1">IF($A20="*","",OFFSET(AGR!$B$51,AR20,0))</f>
        <v>AHELC-E</v>
      </c>
      <c r="D20" s="212" t="str">
        <f t="shared" ca="1" si="2"/>
        <v>-</v>
      </c>
      <c r="E20" s="212" t="str">
        <f t="shared" ca="1" si="1"/>
        <v>ACTGRP</v>
      </c>
      <c r="F20" s="212" t="str">
        <f t="shared" ca="1" si="1"/>
        <v>-</v>
      </c>
      <c r="G20" s="212" t="str">
        <f t="shared" ca="1" si="1"/>
        <v>ANNUAL</v>
      </c>
      <c r="H20" s="212" t="str">
        <f t="shared" ca="1" si="1"/>
        <v>-</v>
      </c>
      <c r="I20" s="213">
        <f t="shared" ca="1" si="1"/>
        <v>0</v>
      </c>
      <c r="J20" s="296">
        <f t="array" aca="1" ref="J20" ca="1">IF($A20="*","",IFERROR(INDEX(AGR!$E$52:$L$73,MATCH('TS DTech'!$C20,AGR!$B$52:$B$73,0),MATCH('TS DTech'!$B20&amp;J$7,AGR!$E$46:$L$46&amp;AGR!$E$48:$L$48,0)),""))</f>
        <v>0.75</v>
      </c>
      <c r="K20" s="296" t="str">
        <f t="array" aca="1" ref="K20" ca="1">IF($A20="*","",IFERROR(INDEX(AGR!$E$52:$L$73,MATCH('TS DTech'!$C20,AGR!$B$52:$B$73,0),MATCH('TS DTech'!$B20&amp;K$7,AGR!$E$46:$L$46&amp;AGR!$E$48:$L$48,0)),""))</f>
        <v/>
      </c>
      <c r="L20" s="296" t="str">
        <f t="array" aca="1" ref="L20" ca="1">IF($A20="*","",IFERROR(INDEX(AGR!$E$52:$L$73,MATCH('TS DTech'!$C20,AGR!$B$52:$B$73,0),MATCH('TS DTech'!$B20&amp;L$7,AGR!$E$46:$L$46&amp;AGR!$E$48:$L$48,0)),""))</f>
        <v/>
      </c>
      <c r="M20" s="296" t="str">
        <f t="array" aca="1" ref="M20" ca="1">IF($A20="*","",IFERROR(INDEX(AGR!$E$52:$L$73,MATCH('TS DTech'!$C20,AGR!$B$52:$B$73,0),MATCH('TS DTech'!$B20&amp;M$7,AGR!$E$46:$L$46&amp;AGR!$E$48:$L$48,0)),""))</f>
        <v/>
      </c>
      <c r="N20" s="296" t="str">
        <f t="array" aca="1" ref="N20" ca="1">IF($A20="*","",IFERROR(INDEX(AGR!$E$52:$L$73,MATCH('TS DTech'!$C20,AGR!$B$52:$B$73,0),MATCH('TS DTech'!$B20&amp;N$7,AGR!$E$46:$L$46&amp;AGR!$E$48:$L$48,0)),""))</f>
        <v/>
      </c>
      <c r="O20" s="296">
        <f t="array" aca="1" ref="O20" ca="1">IF($A20="*","",IFERROR(INDEX(AGR!$E$52:$L$73,MATCH('TS DTech'!$C20,AGR!$B$52:$B$73,0),MATCH('TS DTech'!$B20&amp;O$7,AGR!$E$46:$L$46&amp;AGR!$E$48:$L$48,0)),""))</f>
        <v>0.75</v>
      </c>
      <c r="P20" s="296" t="str">
        <f t="array" aca="1" ref="P20" ca="1">IF($A20="*","",IFERROR(INDEX(AGR!$E$52:$L$73,MATCH('TS DTech'!$C20,AGR!$B$52:$B$73,0),MATCH('TS DTech'!$B20&amp;P$7,AGR!$E$46:$L$46&amp;AGR!$E$48:$L$48,0)),""))</f>
        <v/>
      </c>
      <c r="Q20" s="296" t="str">
        <f t="array" aca="1" ref="Q20" ca="1">IF($A20="*","",IFERROR(INDEX(AGR!$E$52:$L$73,MATCH('TS DTech'!$C20,AGR!$B$52:$B$73,0),MATCH('TS DTech'!$B20&amp;Q$7,AGR!$E$46:$L$46&amp;AGR!$E$48:$L$48,0)),""))</f>
        <v/>
      </c>
      <c r="R20" s="296" t="str">
        <f t="array" aca="1" ref="R20" ca="1">IF($A20="*","",IFERROR(INDEX(AGR!$E$52:$L$73,MATCH('TS DTech'!$C20,AGR!$B$52:$B$73,0),MATCH('TS DTech'!$B20&amp;R$7,AGR!$E$46:$L$46&amp;AGR!$E$48:$L$48,0)),""))</f>
        <v/>
      </c>
      <c r="S20" s="296" t="str">
        <f t="array" aca="1" ref="S20" ca="1">IF($A20="*","",IFERROR(INDEX(AGR!$E$52:$L$73,MATCH('TS DTech'!$C20,AGR!$B$52:$B$73,0),MATCH('TS DTech'!$B20&amp;S$7,AGR!$E$46:$L$46&amp;AGR!$E$48:$L$48,0)),""))</f>
        <v/>
      </c>
      <c r="T20" s="296" t="str">
        <f t="array" aca="1" ref="T20" ca="1">IF($A20="*","",IFERROR(INDEX(AGR!$E$52:$L$73,MATCH('TS DTech'!$C20,AGR!$B$52:$B$73,0),MATCH('TS DTech'!$B20&amp;T$7,AGR!$E$46:$L$46&amp;AGR!$E$48:$L$48,0)),""))</f>
        <v/>
      </c>
      <c r="U20" s="296" t="str">
        <f t="array" aca="1" ref="U20" ca="1">IF($A20="*","",IFERROR(INDEX(AGR!$E$52:$L$73,MATCH('TS DTech'!$C20,AGR!$B$52:$B$73,0),MATCH('TS DTech'!$B20&amp;U$7,AGR!$E$46:$L$46&amp;AGR!$E$48:$L$48,0)),""))</f>
        <v/>
      </c>
      <c r="V20" s="296" t="str">
        <f t="array" aca="1" ref="V20" ca="1">IF($A20="*","",IFERROR(INDEX(AGR!$E$52:$L$73,MATCH('TS DTech'!$C20,AGR!$B$52:$B$73,0),MATCH('TS DTech'!$B20&amp;V$7,AGR!$E$46:$L$46&amp;AGR!$E$48:$L$48,0)),""))</f>
        <v/>
      </c>
      <c r="W20" s="296" t="str">
        <f t="array" aca="1" ref="W20" ca="1">IF($A20="*","",IFERROR(INDEX(AGR!$E$52:$L$73,MATCH('TS DTech'!$C20,AGR!$B$52:$B$73,0),MATCH('TS DTech'!$B20&amp;W$7,AGR!$E$46:$L$46&amp;AGR!$E$48:$L$48,0)),""))</f>
        <v/>
      </c>
      <c r="X20" s="296" t="str">
        <f t="array" aca="1" ref="X20" ca="1">IF($A20="*","",IFERROR(INDEX(AGR!$E$52:$L$73,MATCH('TS DTech'!$C20,AGR!$B$52:$B$73,0),MATCH('TS DTech'!$B20&amp;X$7,AGR!$E$46:$L$46&amp;AGR!$E$48:$L$48,0)),""))</f>
        <v/>
      </c>
      <c r="Y20" s="296" t="str">
        <f t="array" aca="1" ref="Y20" ca="1">IF($A20="*","",IFERROR(INDEX(AGR!$E$52:$L$73,MATCH('TS DTech'!$C20,AGR!$B$52:$B$73,0),MATCH('TS DTech'!$B20&amp;Y$7,AGR!$E$46:$L$46&amp;AGR!$E$48:$L$48,0)),""))</f>
        <v/>
      </c>
      <c r="Z20" s="296" t="str">
        <f t="array" aca="1" ref="Z20" ca="1">IF($A20="*","",IFERROR(INDEX(AGR!$E$52:$L$73,MATCH('TS DTech'!$C20,AGR!$B$52:$B$73,0),MATCH('TS DTech'!$B20&amp;Z$7,AGR!$E$46:$L$46&amp;AGR!$E$48:$L$48,0)),""))</f>
        <v/>
      </c>
      <c r="AA20" s="296" t="str">
        <f t="array" aca="1" ref="AA20" ca="1">IF($A20="*","",IFERROR(INDEX(AGR!$E$52:$L$73,MATCH('TS DTech'!$C20,AGR!$B$52:$B$73,0),MATCH('TS DTech'!$B20&amp;AA$7,AGR!$E$46:$L$46&amp;AGR!$E$48:$L$48,0)),""))</f>
        <v/>
      </c>
      <c r="AB20" s="296" t="str">
        <f t="array" aca="1" ref="AB20" ca="1">IF($A20="*","",IFERROR(INDEX(AGR!$E$52:$L$73,MATCH('TS DTech'!$C20,AGR!$B$52:$B$73,0),MATCH('TS DTech'!$B20&amp;AB$7,AGR!$E$46:$L$46&amp;AGR!$E$48:$L$48,0)),""))</f>
        <v/>
      </c>
      <c r="AC20" s="296" t="str">
        <f t="array" aca="1" ref="AC20" ca="1">IF($A20="*","",IFERROR(INDEX(AGR!$E$52:$L$73,MATCH('TS DTech'!$C20,AGR!$B$52:$B$73,0),MATCH('TS DTech'!$B20&amp;AC$7,AGR!$E$46:$L$46&amp;AGR!$E$48:$L$48,0)),""))</f>
        <v/>
      </c>
      <c r="AD20" s="296" t="str">
        <f t="array" aca="1" ref="AD20" ca="1">IF($A20="*","",IFERROR(INDEX(AGR!$E$52:$L$73,MATCH('TS DTech'!$C20,AGR!$B$52:$B$73,0),MATCH('TS DTech'!$B20&amp;AD$7,AGR!$E$46:$L$46&amp;AGR!$E$48:$L$48,0)),""))</f>
        <v/>
      </c>
      <c r="AE20" s="296" t="str">
        <f t="array" aca="1" ref="AE20" ca="1">IF($A20="*","",IFERROR(INDEX(AGR!$E$52:$L$73,MATCH('TS DTech'!$C20,AGR!$B$52:$B$73,0),MATCH('TS DTech'!$B20&amp;AE$7,AGR!$E$46:$L$46&amp;AGR!$E$48:$L$48,0)),""))</f>
        <v/>
      </c>
      <c r="AF20" s="296" t="str">
        <f t="array" aca="1" ref="AF20" ca="1">IF($A20="*","",IFERROR(INDEX(AGR!$E$52:$L$73,MATCH('TS DTech'!$C20,AGR!$B$52:$B$73,0),MATCH('TS DTech'!$B20&amp;AF$7,AGR!$E$46:$L$46&amp;AGR!$E$48:$L$48,0)),""))</f>
        <v/>
      </c>
      <c r="AG20" s="296" t="str">
        <f t="array" aca="1" ref="AG20" ca="1">IF($A20="*","",IFERROR(INDEX(AGR!$E$52:$L$73,MATCH('TS DTech'!$C20,AGR!$B$52:$B$73,0),MATCH('TS DTech'!$B20&amp;AG$7,AGR!$E$46:$L$46&amp;AGR!$E$48:$L$48,0)),""))</f>
        <v/>
      </c>
      <c r="AH20" s="296" t="str">
        <f t="array" aca="1" ref="AH20" ca="1">IF($A20="*","",IFERROR(INDEX(AGR!$E$52:$L$73,MATCH('TS DTech'!$C20,AGR!$B$52:$B$73,0),MATCH('TS DTech'!$B20&amp;AH$7,AGR!$E$46:$L$46&amp;AGR!$E$48:$L$48,0)),""))</f>
        <v/>
      </c>
      <c r="AI20" s="296" t="str">
        <f t="array" aca="1" ref="AI20" ca="1">IF($A20="*","",IFERROR(INDEX(AGR!$E$52:$L$73,MATCH('TS DTech'!$C20,AGR!$B$52:$B$73,0),MATCH('TS DTech'!$B20&amp;AI$7,AGR!$E$46:$L$46&amp;AGR!$E$48:$L$48,0)),""))</f>
        <v/>
      </c>
      <c r="AJ20" s="296" t="str">
        <f t="array" aca="1" ref="AJ20" ca="1">IF($A20="*","",IFERROR(INDEX(AGR!$E$52:$L$73,MATCH('TS DTech'!$C20,AGR!$B$52:$B$73,0),MATCH('TS DTech'!$B20&amp;AJ$7,AGR!$E$46:$L$46&amp;AGR!$E$48:$L$48,0)),""))</f>
        <v/>
      </c>
      <c r="AK20" s="296" t="str">
        <f t="array" aca="1" ref="AK20" ca="1">IF($A20="*","",IFERROR(INDEX(AGR!$E$52:$L$73,MATCH('TS DTech'!$C20,AGR!$B$52:$B$73,0),MATCH('TS DTech'!$B20&amp;AK$7,AGR!$E$46:$L$46&amp;AGR!$E$48:$L$48,0)),""))</f>
        <v/>
      </c>
      <c r="AL20" s="296" t="str">
        <f t="array" aca="1" ref="AL20" ca="1">IF($A20="*","",IFERROR(INDEX(AGR!$E$52:$L$73,MATCH('TS DTech'!$C20,AGR!$B$52:$B$73,0),MATCH('TS DTech'!$B20&amp;AL$7,AGR!$E$46:$L$46&amp;AGR!$E$48:$L$48,0)),""))</f>
        <v/>
      </c>
      <c r="AM20" s="296" t="str">
        <f t="array" aca="1" ref="AM20" ca="1">IF($A20="*","",IFERROR(INDEX(AGR!$E$52:$L$73,MATCH('TS DTech'!$C20,AGR!$B$52:$B$73,0),MATCH('TS DTech'!$B20&amp;AM$7,AGR!$E$46:$L$46&amp;AGR!$E$48:$L$48,0)),""))</f>
        <v/>
      </c>
      <c r="AN20" s="296" t="str">
        <f t="array" aca="1" ref="AN20" ca="1">IF($A20="*","",IFERROR(INDEX(AGR!$E$52:$L$73,MATCH('TS DTech'!$C20,AGR!$B$52:$B$73,0),MATCH('TS DTech'!$B20&amp;AN$7,AGR!$E$46:$L$46&amp;AGR!$E$48:$L$48,0)),""))</f>
        <v/>
      </c>
      <c r="AO20" s="296" t="str">
        <f t="array" aca="1" ref="AO20" ca="1">IF($A20="*","",IFERROR(INDEX(AGR!$E$52:$L$73,MATCH('TS DTech'!$C20,AGR!$B$52:$B$73,0),MATCH('TS DTech'!$B20&amp;AO$7,AGR!$E$46:$L$46&amp;AGR!$E$48:$L$48,0)),""))</f>
        <v/>
      </c>
      <c r="AP20" s="296" t="str">
        <f t="array" aca="1" ref="AP20" ca="1">IF($A20="*","",IFERROR(INDEX(AGR!$E$52:$L$73,MATCH('TS DTech'!$C20,AGR!$B$52:$B$73,0),MATCH('TS DTech'!$B20&amp;AP$7,AGR!$E$46:$L$46&amp;AGR!$E$48:$L$48,0)),""))</f>
        <v/>
      </c>
      <c r="AQ20" s="137">
        <f>IF(AR19=AGR!$AD$74,AQ19+1,AQ19)</f>
        <v>1</v>
      </c>
      <c r="AR20" s="137">
        <f t="shared" si="3"/>
        <v>5</v>
      </c>
    </row>
    <row r="21" spans="1:44">
      <c r="A21" s="137" t="str">
        <f ca="1">IF(LEFT(OFFSET(AGR!$A$51,AR21,0),2)="\I","*","")</f>
        <v>*</v>
      </c>
      <c r="B21" s="212" t="str">
        <f t="shared" ca="1" si="0"/>
        <v/>
      </c>
      <c r="C21" s="212" t="str">
        <f ca="1">IF($A21="*","",OFFSET(AGR!$B$51,AR21,0))</f>
        <v/>
      </c>
      <c r="D21" s="212" t="str">
        <f t="shared" ca="1" si="2"/>
        <v/>
      </c>
      <c r="E21" s="212" t="str">
        <f t="shared" ca="1" si="1"/>
        <v/>
      </c>
      <c r="F21" s="212" t="str">
        <f t="shared" ca="1" si="1"/>
        <v/>
      </c>
      <c r="G21" s="212" t="str">
        <f t="shared" ca="1" si="1"/>
        <v/>
      </c>
      <c r="H21" s="212" t="str">
        <f t="shared" ca="1" si="1"/>
        <v/>
      </c>
      <c r="I21" s="213" t="str">
        <f t="shared" ca="1" si="1"/>
        <v/>
      </c>
      <c r="J21" s="296" t="str">
        <f t="array" aca="1" ref="J21" ca="1">IF($A21="*","",IFERROR(INDEX(AGR!$E$52:$L$73,MATCH('TS DTech'!$C21,AGR!$B$52:$B$73,0),MATCH('TS DTech'!$B21&amp;J$7,AGR!$E$46:$L$46&amp;AGR!$E$48:$L$48,0)),""))</f>
        <v/>
      </c>
      <c r="K21" s="296" t="str">
        <f t="array" aca="1" ref="K21" ca="1">IF($A21="*","",IFERROR(INDEX(AGR!$E$52:$L$73,MATCH('TS DTech'!$C21,AGR!$B$52:$B$73,0),MATCH('TS DTech'!$B21&amp;K$7,AGR!$E$46:$L$46&amp;AGR!$E$48:$L$48,0)),""))</f>
        <v/>
      </c>
      <c r="L21" s="296" t="str">
        <f t="array" aca="1" ref="L21" ca="1">IF($A21="*","",IFERROR(INDEX(AGR!$E$52:$L$73,MATCH('TS DTech'!$C21,AGR!$B$52:$B$73,0),MATCH('TS DTech'!$B21&amp;L$7,AGR!$E$46:$L$46&amp;AGR!$E$48:$L$48,0)),""))</f>
        <v/>
      </c>
      <c r="M21" s="296" t="str">
        <f t="array" aca="1" ref="M21" ca="1">IF($A21="*","",IFERROR(INDEX(AGR!$E$52:$L$73,MATCH('TS DTech'!$C21,AGR!$B$52:$B$73,0),MATCH('TS DTech'!$B21&amp;M$7,AGR!$E$46:$L$46&amp;AGR!$E$48:$L$48,0)),""))</f>
        <v/>
      </c>
      <c r="N21" s="296" t="str">
        <f t="array" aca="1" ref="N21" ca="1">IF($A21="*","",IFERROR(INDEX(AGR!$E$52:$L$73,MATCH('TS DTech'!$C21,AGR!$B$52:$B$73,0),MATCH('TS DTech'!$B21&amp;N$7,AGR!$E$46:$L$46&amp;AGR!$E$48:$L$48,0)),""))</f>
        <v/>
      </c>
      <c r="O21" s="296" t="str">
        <f t="array" aca="1" ref="O21" ca="1">IF($A21="*","",IFERROR(INDEX(AGR!$E$52:$L$73,MATCH('TS DTech'!$C21,AGR!$B$52:$B$73,0),MATCH('TS DTech'!$B21&amp;O$7,AGR!$E$46:$L$46&amp;AGR!$E$48:$L$48,0)),""))</f>
        <v/>
      </c>
      <c r="P21" s="296" t="str">
        <f t="array" aca="1" ref="P21" ca="1">IF($A21="*","",IFERROR(INDEX(AGR!$E$52:$L$73,MATCH('TS DTech'!$C21,AGR!$B$52:$B$73,0),MATCH('TS DTech'!$B21&amp;P$7,AGR!$E$46:$L$46&amp;AGR!$E$48:$L$48,0)),""))</f>
        <v/>
      </c>
      <c r="Q21" s="296" t="str">
        <f t="array" aca="1" ref="Q21" ca="1">IF($A21="*","",IFERROR(INDEX(AGR!$E$52:$L$73,MATCH('TS DTech'!$C21,AGR!$B$52:$B$73,0),MATCH('TS DTech'!$B21&amp;Q$7,AGR!$E$46:$L$46&amp;AGR!$E$48:$L$48,0)),""))</f>
        <v/>
      </c>
      <c r="R21" s="296" t="str">
        <f t="array" aca="1" ref="R21" ca="1">IF($A21="*","",IFERROR(INDEX(AGR!$E$52:$L$73,MATCH('TS DTech'!$C21,AGR!$B$52:$B$73,0),MATCH('TS DTech'!$B21&amp;R$7,AGR!$E$46:$L$46&amp;AGR!$E$48:$L$48,0)),""))</f>
        <v/>
      </c>
      <c r="S21" s="296" t="str">
        <f t="array" aca="1" ref="S21" ca="1">IF($A21="*","",IFERROR(INDEX(AGR!$E$52:$L$73,MATCH('TS DTech'!$C21,AGR!$B$52:$B$73,0),MATCH('TS DTech'!$B21&amp;S$7,AGR!$E$46:$L$46&amp;AGR!$E$48:$L$48,0)),""))</f>
        <v/>
      </c>
      <c r="T21" s="296" t="str">
        <f t="array" aca="1" ref="T21" ca="1">IF($A21="*","",IFERROR(INDEX(AGR!$E$52:$L$73,MATCH('TS DTech'!$C21,AGR!$B$52:$B$73,0),MATCH('TS DTech'!$B21&amp;T$7,AGR!$E$46:$L$46&amp;AGR!$E$48:$L$48,0)),""))</f>
        <v/>
      </c>
      <c r="U21" s="296" t="str">
        <f t="array" aca="1" ref="U21" ca="1">IF($A21="*","",IFERROR(INDEX(AGR!$E$52:$L$73,MATCH('TS DTech'!$C21,AGR!$B$52:$B$73,0),MATCH('TS DTech'!$B21&amp;U$7,AGR!$E$46:$L$46&amp;AGR!$E$48:$L$48,0)),""))</f>
        <v/>
      </c>
      <c r="V21" s="296" t="str">
        <f t="array" aca="1" ref="V21" ca="1">IF($A21="*","",IFERROR(INDEX(AGR!$E$52:$L$73,MATCH('TS DTech'!$C21,AGR!$B$52:$B$73,0),MATCH('TS DTech'!$B21&amp;V$7,AGR!$E$46:$L$46&amp;AGR!$E$48:$L$48,0)),""))</f>
        <v/>
      </c>
      <c r="W21" s="296" t="str">
        <f t="array" aca="1" ref="W21" ca="1">IF($A21="*","",IFERROR(INDEX(AGR!$E$52:$L$73,MATCH('TS DTech'!$C21,AGR!$B$52:$B$73,0),MATCH('TS DTech'!$B21&amp;W$7,AGR!$E$46:$L$46&amp;AGR!$E$48:$L$48,0)),""))</f>
        <v/>
      </c>
      <c r="X21" s="296" t="str">
        <f t="array" aca="1" ref="X21" ca="1">IF($A21="*","",IFERROR(INDEX(AGR!$E$52:$L$73,MATCH('TS DTech'!$C21,AGR!$B$52:$B$73,0),MATCH('TS DTech'!$B21&amp;X$7,AGR!$E$46:$L$46&amp;AGR!$E$48:$L$48,0)),""))</f>
        <v/>
      </c>
      <c r="Y21" s="296" t="str">
        <f t="array" aca="1" ref="Y21" ca="1">IF($A21="*","",IFERROR(INDEX(AGR!$E$52:$L$73,MATCH('TS DTech'!$C21,AGR!$B$52:$B$73,0),MATCH('TS DTech'!$B21&amp;Y$7,AGR!$E$46:$L$46&amp;AGR!$E$48:$L$48,0)),""))</f>
        <v/>
      </c>
      <c r="Z21" s="296" t="str">
        <f t="array" aca="1" ref="Z21" ca="1">IF($A21="*","",IFERROR(INDEX(AGR!$E$52:$L$73,MATCH('TS DTech'!$C21,AGR!$B$52:$B$73,0),MATCH('TS DTech'!$B21&amp;Z$7,AGR!$E$46:$L$46&amp;AGR!$E$48:$L$48,0)),""))</f>
        <v/>
      </c>
      <c r="AA21" s="296" t="str">
        <f t="array" aca="1" ref="AA21" ca="1">IF($A21="*","",IFERROR(INDEX(AGR!$E$52:$L$73,MATCH('TS DTech'!$C21,AGR!$B$52:$B$73,0),MATCH('TS DTech'!$B21&amp;AA$7,AGR!$E$46:$L$46&amp;AGR!$E$48:$L$48,0)),""))</f>
        <v/>
      </c>
      <c r="AB21" s="296" t="str">
        <f t="array" aca="1" ref="AB21" ca="1">IF($A21="*","",IFERROR(INDEX(AGR!$E$52:$L$73,MATCH('TS DTech'!$C21,AGR!$B$52:$B$73,0),MATCH('TS DTech'!$B21&amp;AB$7,AGR!$E$46:$L$46&amp;AGR!$E$48:$L$48,0)),""))</f>
        <v/>
      </c>
      <c r="AC21" s="296" t="str">
        <f t="array" aca="1" ref="AC21" ca="1">IF($A21="*","",IFERROR(INDEX(AGR!$E$52:$L$73,MATCH('TS DTech'!$C21,AGR!$B$52:$B$73,0),MATCH('TS DTech'!$B21&amp;AC$7,AGR!$E$46:$L$46&amp;AGR!$E$48:$L$48,0)),""))</f>
        <v/>
      </c>
      <c r="AD21" s="296" t="str">
        <f t="array" aca="1" ref="AD21" ca="1">IF($A21="*","",IFERROR(INDEX(AGR!$E$52:$L$73,MATCH('TS DTech'!$C21,AGR!$B$52:$B$73,0),MATCH('TS DTech'!$B21&amp;AD$7,AGR!$E$46:$L$46&amp;AGR!$E$48:$L$48,0)),""))</f>
        <v/>
      </c>
      <c r="AE21" s="296" t="str">
        <f t="array" aca="1" ref="AE21" ca="1">IF($A21="*","",IFERROR(INDEX(AGR!$E$52:$L$73,MATCH('TS DTech'!$C21,AGR!$B$52:$B$73,0),MATCH('TS DTech'!$B21&amp;AE$7,AGR!$E$46:$L$46&amp;AGR!$E$48:$L$48,0)),""))</f>
        <v/>
      </c>
      <c r="AF21" s="296" t="str">
        <f t="array" aca="1" ref="AF21" ca="1">IF($A21="*","",IFERROR(INDEX(AGR!$E$52:$L$73,MATCH('TS DTech'!$C21,AGR!$B$52:$B$73,0),MATCH('TS DTech'!$B21&amp;AF$7,AGR!$E$46:$L$46&amp;AGR!$E$48:$L$48,0)),""))</f>
        <v/>
      </c>
      <c r="AG21" s="296" t="str">
        <f t="array" aca="1" ref="AG21" ca="1">IF($A21="*","",IFERROR(INDEX(AGR!$E$52:$L$73,MATCH('TS DTech'!$C21,AGR!$B$52:$B$73,0),MATCH('TS DTech'!$B21&amp;AG$7,AGR!$E$46:$L$46&amp;AGR!$E$48:$L$48,0)),""))</f>
        <v/>
      </c>
      <c r="AH21" s="296" t="str">
        <f t="array" aca="1" ref="AH21" ca="1">IF($A21="*","",IFERROR(INDEX(AGR!$E$52:$L$73,MATCH('TS DTech'!$C21,AGR!$B$52:$B$73,0),MATCH('TS DTech'!$B21&amp;AH$7,AGR!$E$46:$L$46&amp;AGR!$E$48:$L$48,0)),""))</f>
        <v/>
      </c>
      <c r="AI21" s="296" t="str">
        <f t="array" aca="1" ref="AI21" ca="1">IF($A21="*","",IFERROR(INDEX(AGR!$E$52:$L$73,MATCH('TS DTech'!$C21,AGR!$B$52:$B$73,0),MATCH('TS DTech'!$B21&amp;AI$7,AGR!$E$46:$L$46&amp;AGR!$E$48:$L$48,0)),""))</f>
        <v/>
      </c>
      <c r="AJ21" s="296" t="str">
        <f t="array" aca="1" ref="AJ21" ca="1">IF($A21="*","",IFERROR(INDEX(AGR!$E$52:$L$73,MATCH('TS DTech'!$C21,AGR!$B$52:$B$73,0),MATCH('TS DTech'!$B21&amp;AJ$7,AGR!$E$46:$L$46&amp;AGR!$E$48:$L$48,0)),""))</f>
        <v/>
      </c>
      <c r="AK21" s="296" t="str">
        <f t="array" aca="1" ref="AK21" ca="1">IF($A21="*","",IFERROR(INDEX(AGR!$E$52:$L$73,MATCH('TS DTech'!$C21,AGR!$B$52:$B$73,0),MATCH('TS DTech'!$B21&amp;AK$7,AGR!$E$46:$L$46&amp;AGR!$E$48:$L$48,0)),""))</f>
        <v/>
      </c>
      <c r="AL21" s="296" t="str">
        <f t="array" aca="1" ref="AL21" ca="1">IF($A21="*","",IFERROR(INDEX(AGR!$E$52:$L$73,MATCH('TS DTech'!$C21,AGR!$B$52:$B$73,0),MATCH('TS DTech'!$B21&amp;AL$7,AGR!$E$46:$L$46&amp;AGR!$E$48:$L$48,0)),""))</f>
        <v/>
      </c>
      <c r="AM21" s="296" t="str">
        <f t="array" aca="1" ref="AM21" ca="1">IF($A21="*","",IFERROR(INDEX(AGR!$E$52:$L$73,MATCH('TS DTech'!$C21,AGR!$B$52:$B$73,0),MATCH('TS DTech'!$B21&amp;AM$7,AGR!$E$46:$L$46&amp;AGR!$E$48:$L$48,0)),""))</f>
        <v/>
      </c>
      <c r="AN21" s="296" t="str">
        <f t="array" aca="1" ref="AN21" ca="1">IF($A21="*","",IFERROR(INDEX(AGR!$E$52:$L$73,MATCH('TS DTech'!$C21,AGR!$B$52:$B$73,0),MATCH('TS DTech'!$B21&amp;AN$7,AGR!$E$46:$L$46&amp;AGR!$E$48:$L$48,0)),""))</f>
        <v/>
      </c>
      <c r="AO21" s="296" t="str">
        <f t="array" aca="1" ref="AO21" ca="1">IF($A21="*","",IFERROR(INDEX(AGR!$E$52:$L$73,MATCH('TS DTech'!$C21,AGR!$B$52:$B$73,0),MATCH('TS DTech'!$B21&amp;AO$7,AGR!$E$46:$L$46&amp;AGR!$E$48:$L$48,0)),""))</f>
        <v/>
      </c>
      <c r="AP21" s="296" t="str">
        <f t="array" aca="1" ref="AP21" ca="1">IF($A21="*","",IFERROR(INDEX(AGR!$E$52:$L$73,MATCH('TS DTech'!$C21,AGR!$B$52:$B$73,0),MATCH('TS DTech'!$B21&amp;AP$7,AGR!$E$46:$L$46&amp;AGR!$E$48:$L$48,0)),""))</f>
        <v/>
      </c>
      <c r="AQ21" s="137">
        <f>IF(AR20=AGR!$AD$74,AQ20+1,AQ20)</f>
        <v>1</v>
      </c>
      <c r="AR21" s="137">
        <f t="shared" si="3"/>
        <v>6</v>
      </c>
    </row>
    <row r="22" spans="1:44">
      <c r="A22" s="137" t="str">
        <f ca="1">IF(LEFT(OFFSET(AGR!$A$51,AR22,0),2)="\I","*","")</f>
        <v>*</v>
      </c>
      <c r="B22" s="212" t="str">
        <f t="shared" ca="1" si="0"/>
        <v/>
      </c>
      <c r="C22" s="212" t="str">
        <f ca="1">IF($A22="*","",OFFSET(AGR!$B$51,AR22,0))</f>
        <v/>
      </c>
      <c r="D22" s="212" t="str">
        <f t="shared" ca="1" si="2"/>
        <v/>
      </c>
      <c r="E22" s="212" t="str">
        <f t="shared" ca="1" si="1"/>
        <v/>
      </c>
      <c r="F22" s="212" t="str">
        <f t="shared" ca="1" si="1"/>
        <v/>
      </c>
      <c r="G22" s="212" t="str">
        <f t="shared" ca="1" si="1"/>
        <v/>
      </c>
      <c r="H22" s="212" t="str">
        <f t="shared" ca="1" si="1"/>
        <v/>
      </c>
      <c r="I22" s="213" t="str">
        <f t="shared" ca="1" si="1"/>
        <v/>
      </c>
      <c r="J22" s="296" t="str">
        <f t="array" aca="1" ref="J22" ca="1">IF($A22="*","",IFERROR(INDEX(AGR!$E$52:$L$73,MATCH('TS DTech'!$C22,AGR!$B$52:$B$73,0),MATCH('TS DTech'!$B22&amp;J$7,AGR!$E$46:$L$46&amp;AGR!$E$48:$L$48,0)),""))</f>
        <v/>
      </c>
      <c r="K22" s="296" t="str">
        <f t="array" aca="1" ref="K22" ca="1">IF($A22="*","",IFERROR(INDEX(AGR!$E$52:$L$73,MATCH('TS DTech'!$C22,AGR!$B$52:$B$73,0),MATCH('TS DTech'!$B22&amp;K$7,AGR!$E$46:$L$46&amp;AGR!$E$48:$L$48,0)),""))</f>
        <v/>
      </c>
      <c r="L22" s="296" t="str">
        <f t="array" aca="1" ref="L22" ca="1">IF($A22="*","",IFERROR(INDEX(AGR!$E$52:$L$73,MATCH('TS DTech'!$C22,AGR!$B$52:$B$73,0),MATCH('TS DTech'!$B22&amp;L$7,AGR!$E$46:$L$46&amp;AGR!$E$48:$L$48,0)),""))</f>
        <v/>
      </c>
      <c r="M22" s="296" t="str">
        <f t="array" aca="1" ref="M22" ca="1">IF($A22="*","",IFERROR(INDEX(AGR!$E$52:$L$73,MATCH('TS DTech'!$C22,AGR!$B$52:$B$73,0),MATCH('TS DTech'!$B22&amp;M$7,AGR!$E$46:$L$46&amp;AGR!$E$48:$L$48,0)),""))</f>
        <v/>
      </c>
      <c r="N22" s="296" t="str">
        <f t="array" aca="1" ref="N22" ca="1">IF($A22="*","",IFERROR(INDEX(AGR!$E$52:$L$73,MATCH('TS DTech'!$C22,AGR!$B$52:$B$73,0),MATCH('TS DTech'!$B22&amp;N$7,AGR!$E$46:$L$46&amp;AGR!$E$48:$L$48,0)),""))</f>
        <v/>
      </c>
      <c r="O22" s="296" t="str">
        <f t="array" aca="1" ref="O22" ca="1">IF($A22="*","",IFERROR(INDEX(AGR!$E$52:$L$73,MATCH('TS DTech'!$C22,AGR!$B$52:$B$73,0),MATCH('TS DTech'!$B22&amp;O$7,AGR!$E$46:$L$46&amp;AGR!$E$48:$L$48,0)),""))</f>
        <v/>
      </c>
      <c r="P22" s="296" t="str">
        <f t="array" aca="1" ref="P22" ca="1">IF($A22="*","",IFERROR(INDEX(AGR!$E$52:$L$73,MATCH('TS DTech'!$C22,AGR!$B$52:$B$73,0),MATCH('TS DTech'!$B22&amp;P$7,AGR!$E$46:$L$46&amp;AGR!$E$48:$L$48,0)),""))</f>
        <v/>
      </c>
      <c r="Q22" s="296" t="str">
        <f t="array" aca="1" ref="Q22" ca="1">IF($A22="*","",IFERROR(INDEX(AGR!$E$52:$L$73,MATCH('TS DTech'!$C22,AGR!$B$52:$B$73,0),MATCH('TS DTech'!$B22&amp;Q$7,AGR!$E$46:$L$46&amp;AGR!$E$48:$L$48,0)),""))</f>
        <v/>
      </c>
      <c r="R22" s="296" t="str">
        <f t="array" aca="1" ref="R22" ca="1">IF($A22="*","",IFERROR(INDEX(AGR!$E$52:$L$73,MATCH('TS DTech'!$C22,AGR!$B$52:$B$73,0),MATCH('TS DTech'!$B22&amp;R$7,AGR!$E$46:$L$46&amp;AGR!$E$48:$L$48,0)),""))</f>
        <v/>
      </c>
      <c r="S22" s="296" t="str">
        <f t="array" aca="1" ref="S22" ca="1">IF($A22="*","",IFERROR(INDEX(AGR!$E$52:$L$73,MATCH('TS DTech'!$C22,AGR!$B$52:$B$73,0),MATCH('TS DTech'!$B22&amp;S$7,AGR!$E$46:$L$46&amp;AGR!$E$48:$L$48,0)),""))</f>
        <v/>
      </c>
      <c r="T22" s="296" t="str">
        <f t="array" aca="1" ref="T22" ca="1">IF($A22="*","",IFERROR(INDEX(AGR!$E$52:$L$73,MATCH('TS DTech'!$C22,AGR!$B$52:$B$73,0),MATCH('TS DTech'!$B22&amp;T$7,AGR!$E$46:$L$46&amp;AGR!$E$48:$L$48,0)),""))</f>
        <v/>
      </c>
      <c r="U22" s="296" t="str">
        <f t="array" aca="1" ref="U22" ca="1">IF($A22="*","",IFERROR(INDEX(AGR!$E$52:$L$73,MATCH('TS DTech'!$C22,AGR!$B$52:$B$73,0),MATCH('TS DTech'!$B22&amp;U$7,AGR!$E$46:$L$46&amp;AGR!$E$48:$L$48,0)),""))</f>
        <v/>
      </c>
      <c r="V22" s="296" t="str">
        <f t="array" aca="1" ref="V22" ca="1">IF($A22="*","",IFERROR(INDEX(AGR!$E$52:$L$73,MATCH('TS DTech'!$C22,AGR!$B$52:$B$73,0),MATCH('TS DTech'!$B22&amp;V$7,AGR!$E$46:$L$46&amp;AGR!$E$48:$L$48,0)),""))</f>
        <v/>
      </c>
      <c r="W22" s="296" t="str">
        <f t="array" aca="1" ref="W22" ca="1">IF($A22="*","",IFERROR(INDEX(AGR!$E$52:$L$73,MATCH('TS DTech'!$C22,AGR!$B$52:$B$73,0),MATCH('TS DTech'!$B22&amp;W$7,AGR!$E$46:$L$46&amp;AGR!$E$48:$L$48,0)),""))</f>
        <v/>
      </c>
      <c r="X22" s="296" t="str">
        <f t="array" aca="1" ref="X22" ca="1">IF($A22="*","",IFERROR(INDEX(AGR!$E$52:$L$73,MATCH('TS DTech'!$C22,AGR!$B$52:$B$73,0),MATCH('TS DTech'!$B22&amp;X$7,AGR!$E$46:$L$46&amp;AGR!$E$48:$L$48,0)),""))</f>
        <v/>
      </c>
      <c r="Y22" s="296" t="str">
        <f t="array" aca="1" ref="Y22" ca="1">IF($A22="*","",IFERROR(INDEX(AGR!$E$52:$L$73,MATCH('TS DTech'!$C22,AGR!$B$52:$B$73,0),MATCH('TS DTech'!$B22&amp;Y$7,AGR!$E$46:$L$46&amp;AGR!$E$48:$L$48,0)),""))</f>
        <v/>
      </c>
      <c r="Z22" s="296" t="str">
        <f t="array" aca="1" ref="Z22" ca="1">IF($A22="*","",IFERROR(INDEX(AGR!$E$52:$L$73,MATCH('TS DTech'!$C22,AGR!$B$52:$B$73,0),MATCH('TS DTech'!$B22&amp;Z$7,AGR!$E$46:$L$46&amp;AGR!$E$48:$L$48,0)),""))</f>
        <v/>
      </c>
      <c r="AA22" s="296" t="str">
        <f t="array" aca="1" ref="AA22" ca="1">IF($A22="*","",IFERROR(INDEX(AGR!$E$52:$L$73,MATCH('TS DTech'!$C22,AGR!$B$52:$B$73,0),MATCH('TS DTech'!$B22&amp;AA$7,AGR!$E$46:$L$46&amp;AGR!$E$48:$L$48,0)),""))</f>
        <v/>
      </c>
      <c r="AB22" s="296" t="str">
        <f t="array" aca="1" ref="AB22" ca="1">IF($A22="*","",IFERROR(INDEX(AGR!$E$52:$L$73,MATCH('TS DTech'!$C22,AGR!$B$52:$B$73,0),MATCH('TS DTech'!$B22&amp;AB$7,AGR!$E$46:$L$46&amp;AGR!$E$48:$L$48,0)),""))</f>
        <v/>
      </c>
      <c r="AC22" s="296" t="str">
        <f t="array" aca="1" ref="AC22" ca="1">IF($A22="*","",IFERROR(INDEX(AGR!$E$52:$L$73,MATCH('TS DTech'!$C22,AGR!$B$52:$B$73,0),MATCH('TS DTech'!$B22&amp;AC$7,AGR!$E$46:$L$46&amp;AGR!$E$48:$L$48,0)),""))</f>
        <v/>
      </c>
      <c r="AD22" s="296" t="str">
        <f t="array" aca="1" ref="AD22" ca="1">IF($A22="*","",IFERROR(INDEX(AGR!$E$52:$L$73,MATCH('TS DTech'!$C22,AGR!$B$52:$B$73,0),MATCH('TS DTech'!$B22&amp;AD$7,AGR!$E$46:$L$46&amp;AGR!$E$48:$L$48,0)),""))</f>
        <v/>
      </c>
      <c r="AE22" s="296" t="str">
        <f t="array" aca="1" ref="AE22" ca="1">IF($A22="*","",IFERROR(INDEX(AGR!$E$52:$L$73,MATCH('TS DTech'!$C22,AGR!$B$52:$B$73,0),MATCH('TS DTech'!$B22&amp;AE$7,AGR!$E$46:$L$46&amp;AGR!$E$48:$L$48,0)),""))</f>
        <v/>
      </c>
      <c r="AF22" s="296" t="str">
        <f t="array" aca="1" ref="AF22" ca="1">IF($A22="*","",IFERROR(INDEX(AGR!$E$52:$L$73,MATCH('TS DTech'!$C22,AGR!$B$52:$B$73,0),MATCH('TS DTech'!$B22&amp;AF$7,AGR!$E$46:$L$46&amp;AGR!$E$48:$L$48,0)),""))</f>
        <v/>
      </c>
      <c r="AG22" s="296" t="str">
        <f t="array" aca="1" ref="AG22" ca="1">IF($A22="*","",IFERROR(INDEX(AGR!$E$52:$L$73,MATCH('TS DTech'!$C22,AGR!$B$52:$B$73,0),MATCH('TS DTech'!$B22&amp;AG$7,AGR!$E$46:$L$46&amp;AGR!$E$48:$L$48,0)),""))</f>
        <v/>
      </c>
      <c r="AH22" s="296" t="str">
        <f t="array" aca="1" ref="AH22" ca="1">IF($A22="*","",IFERROR(INDEX(AGR!$E$52:$L$73,MATCH('TS DTech'!$C22,AGR!$B$52:$B$73,0),MATCH('TS DTech'!$B22&amp;AH$7,AGR!$E$46:$L$46&amp;AGR!$E$48:$L$48,0)),""))</f>
        <v/>
      </c>
      <c r="AI22" s="296" t="str">
        <f t="array" aca="1" ref="AI22" ca="1">IF($A22="*","",IFERROR(INDEX(AGR!$E$52:$L$73,MATCH('TS DTech'!$C22,AGR!$B$52:$B$73,0),MATCH('TS DTech'!$B22&amp;AI$7,AGR!$E$46:$L$46&amp;AGR!$E$48:$L$48,0)),""))</f>
        <v/>
      </c>
      <c r="AJ22" s="296" t="str">
        <f t="array" aca="1" ref="AJ22" ca="1">IF($A22="*","",IFERROR(INDEX(AGR!$E$52:$L$73,MATCH('TS DTech'!$C22,AGR!$B$52:$B$73,0),MATCH('TS DTech'!$B22&amp;AJ$7,AGR!$E$46:$L$46&amp;AGR!$E$48:$L$48,0)),""))</f>
        <v/>
      </c>
      <c r="AK22" s="296" t="str">
        <f t="array" aca="1" ref="AK22" ca="1">IF($A22="*","",IFERROR(INDEX(AGR!$E$52:$L$73,MATCH('TS DTech'!$C22,AGR!$B$52:$B$73,0),MATCH('TS DTech'!$B22&amp;AK$7,AGR!$E$46:$L$46&amp;AGR!$E$48:$L$48,0)),""))</f>
        <v/>
      </c>
      <c r="AL22" s="296" t="str">
        <f t="array" aca="1" ref="AL22" ca="1">IF($A22="*","",IFERROR(INDEX(AGR!$E$52:$L$73,MATCH('TS DTech'!$C22,AGR!$B$52:$B$73,0),MATCH('TS DTech'!$B22&amp;AL$7,AGR!$E$46:$L$46&amp;AGR!$E$48:$L$48,0)),""))</f>
        <v/>
      </c>
      <c r="AM22" s="296" t="str">
        <f t="array" aca="1" ref="AM22" ca="1">IF($A22="*","",IFERROR(INDEX(AGR!$E$52:$L$73,MATCH('TS DTech'!$C22,AGR!$B$52:$B$73,0),MATCH('TS DTech'!$B22&amp;AM$7,AGR!$E$46:$L$46&amp;AGR!$E$48:$L$48,0)),""))</f>
        <v/>
      </c>
      <c r="AN22" s="296" t="str">
        <f t="array" aca="1" ref="AN22" ca="1">IF($A22="*","",IFERROR(INDEX(AGR!$E$52:$L$73,MATCH('TS DTech'!$C22,AGR!$B$52:$B$73,0),MATCH('TS DTech'!$B22&amp;AN$7,AGR!$E$46:$L$46&amp;AGR!$E$48:$L$48,0)),""))</f>
        <v/>
      </c>
      <c r="AO22" s="296" t="str">
        <f t="array" aca="1" ref="AO22" ca="1">IF($A22="*","",IFERROR(INDEX(AGR!$E$52:$L$73,MATCH('TS DTech'!$C22,AGR!$B$52:$B$73,0),MATCH('TS DTech'!$B22&amp;AO$7,AGR!$E$46:$L$46&amp;AGR!$E$48:$L$48,0)),""))</f>
        <v/>
      </c>
      <c r="AP22" s="296" t="str">
        <f t="array" aca="1" ref="AP22" ca="1">IF($A22="*","",IFERROR(INDEX(AGR!$E$52:$L$73,MATCH('TS DTech'!$C22,AGR!$B$52:$B$73,0),MATCH('TS DTech'!$B22&amp;AP$7,AGR!$E$46:$L$46&amp;AGR!$E$48:$L$48,0)),""))</f>
        <v/>
      </c>
      <c r="AQ22" s="137">
        <f>IF(AR21=AGR!$AD$74,AQ21+1,AQ21)</f>
        <v>1</v>
      </c>
      <c r="AR22" s="137">
        <f t="shared" si="3"/>
        <v>7</v>
      </c>
    </row>
    <row r="23" spans="1:44">
      <c r="A23" s="137" t="str">
        <f ca="1">IF(LEFT(OFFSET(AGR!$A$51,AR23,0),2)="\I","*","")</f>
        <v/>
      </c>
      <c r="B23" s="212" t="str">
        <f t="shared" ca="1" si="0"/>
        <v>ACT_EFF</v>
      </c>
      <c r="C23" s="212" t="str">
        <f ca="1">IF($A23="*","",OFFSET(AGR!$B$51,AR23,0))</f>
        <v>APELC-E</v>
      </c>
      <c r="D23" s="212" t="str">
        <f t="shared" ca="1" si="2"/>
        <v>-</v>
      </c>
      <c r="E23" s="212" t="str">
        <f t="shared" ca="1" si="1"/>
        <v>ACTGRP</v>
      </c>
      <c r="F23" s="212" t="str">
        <f t="shared" ca="1" si="1"/>
        <v>-</v>
      </c>
      <c r="G23" s="212" t="str">
        <f t="shared" ca="1" si="1"/>
        <v>ANNUAL</v>
      </c>
      <c r="H23" s="212" t="str">
        <f t="shared" ca="1" si="1"/>
        <v>-</v>
      </c>
      <c r="I23" s="213">
        <f t="shared" ca="1" si="1"/>
        <v>0</v>
      </c>
      <c r="J23" s="296">
        <f t="array" aca="1" ref="J23" ca="1">IF($A23="*","",IFERROR(INDEX(AGR!$E$52:$L$73,MATCH('TS DTech'!$C23,AGR!$B$52:$B$73,0),MATCH('TS DTech'!$B23&amp;J$7,AGR!$E$46:$L$46&amp;AGR!$E$48:$L$48,0)),""))</f>
        <v>1</v>
      </c>
      <c r="K23" s="296" t="str">
        <f t="array" aca="1" ref="K23" ca="1">IF($A23="*","",IFERROR(INDEX(AGR!$E$52:$L$73,MATCH('TS DTech'!$C23,AGR!$B$52:$B$73,0),MATCH('TS DTech'!$B23&amp;K$7,AGR!$E$46:$L$46&amp;AGR!$E$48:$L$48,0)),""))</f>
        <v/>
      </c>
      <c r="L23" s="296" t="str">
        <f t="array" aca="1" ref="L23" ca="1">IF($A23="*","",IFERROR(INDEX(AGR!$E$52:$L$73,MATCH('TS DTech'!$C23,AGR!$B$52:$B$73,0),MATCH('TS DTech'!$B23&amp;L$7,AGR!$E$46:$L$46&amp;AGR!$E$48:$L$48,0)),""))</f>
        <v/>
      </c>
      <c r="M23" s="296" t="str">
        <f t="array" aca="1" ref="M23" ca="1">IF($A23="*","",IFERROR(INDEX(AGR!$E$52:$L$73,MATCH('TS DTech'!$C23,AGR!$B$52:$B$73,0),MATCH('TS DTech'!$B23&amp;M$7,AGR!$E$46:$L$46&amp;AGR!$E$48:$L$48,0)),""))</f>
        <v/>
      </c>
      <c r="N23" s="296" t="str">
        <f t="array" aca="1" ref="N23" ca="1">IF($A23="*","",IFERROR(INDEX(AGR!$E$52:$L$73,MATCH('TS DTech'!$C23,AGR!$B$52:$B$73,0),MATCH('TS DTech'!$B23&amp;N$7,AGR!$E$46:$L$46&amp;AGR!$E$48:$L$48,0)),""))</f>
        <v/>
      </c>
      <c r="O23" s="296">
        <f t="array" aca="1" ref="O23" ca="1">IF($A23="*","",IFERROR(INDEX(AGR!$E$52:$L$73,MATCH('TS DTech'!$C23,AGR!$B$52:$B$73,0),MATCH('TS DTech'!$B23&amp;O$7,AGR!$E$46:$L$46&amp;AGR!$E$48:$L$48,0)),""))</f>
        <v>1</v>
      </c>
      <c r="P23" s="296" t="str">
        <f t="array" aca="1" ref="P23" ca="1">IF($A23="*","",IFERROR(INDEX(AGR!$E$52:$L$73,MATCH('TS DTech'!$C23,AGR!$B$52:$B$73,0),MATCH('TS DTech'!$B23&amp;P$7,AGR!$E$46:$L$46&amp;AGR!$E$48:$L$48,0)),""))</f>
        <v/>
      </c>
      <c r="Q23" s="296" t="str">
        <f t="array" aca="1" ref="Q23" ca="1">IF($A23="*","",IFERROR(INDEX(AGR!$E$52:$L$73,MATCH('TS DTech'!$C23,AGR!$B$52:$B$73,0),MATCH('TS DTech'!$B23&amp;Q$7,AGR!$E$46:$L$46&amp;AGR!$E$48:$L$48,0)),""))</f>
        <v/>
      </c>
      <c r="R23" s="296" t="str">
        <f t="array" aca="1" ref="R23" ca="1">IF($A23="*","",IFERROR(INDEX(AGR!$E$52:$L$73,MATCH('TS DTech'!$C23,AGR!$B$52:$B$73,0),MATCH('TS DTech'!$B23&amp;R$7,AGR!$E$46:$L$46&amp;AGR!$E$48:$L$48,0)),""))</f>
        <v/>
      </c>
      <c r="S23" s="296" t="str">
        <f t="array" aca="1" ref="S23" ca="1">IF($A23="*","",IFERROR(INDEX(AGR!$E$52:$L$73,MATCH('TS DTech'!$C23,AGR!$B$52:$B$73,0),MATCH('TS DTech'!$B23&amp;S$7,AGR!$E$46:$L$46&amp;AGR!$E$48:$L$48,0)),""))</f>
        <v/>
      </c>
      <c r="T23" s="296" t="str">
        <f t="array" aca="1" ref="T23" ca="1">IF($A23="*","",IFERROR(INDEX(AGR!$E$52:$L$73,MATCH('TS DTech'!$C23,AGR!$B$52:$B$73,0),MATCH('TS DTech'!$B23&amp;T$7,AGR!$E$46:$L$46&amp;AGR!$E$48:$L$48,0)),""))</f>
        <v/>
      </c>
      <c r="U23" s="296" t="str">
        <f t="array" aca="1" ref="U23" ca="1">IF($A23="*","",IFERROR(INDEX(AGR!$E$52:$L$73,MATCH('TS DTech'!$C23,AGR!$B$52:$B$73,0),MATCH('TS DTech'!$B23&amp;U$7,AGR!$E$46:$L$46&amp;AGR!$E$48:$L$48,0)),""))</f>
        <v/>
      </c>
      <c r="V23" s="296" t="str">
        <f t="array" aca="1" ref="V23" ca="1">IF($A23="*","",IFERROR(INDEX(AGR!$E$52:$L$73,MATCH('TS DTech'!$C23,AGR!$B$52:$B$73,0),MATCH('TS DTech'!$B23&amp;V$7,AGR!$E$46:$L$46&amp;AGR!$E$48:$L$48,0)),""))</f>
        <v/>
      </c>
      <c r="W23" s="296" t="str">
        <f t="array" aca="1" ref="W23" ca="1">IF($A23="*","",IFERROR(INDEX(AGR!$E$52:$L$73,MATCH('TS DTech'!$C23,AGR!$B$52:$B$73,0),MATCH('TS DTech'!$B23&amp;W$7,AGR!$E$46:$L$46&amp;AGR!$E$48:$L$48,0)),""))</f>
        <v/>
      </c>
      <c r="X23" s="296" t="str">
        <f t="array" aca="1" ref="X23" ca="1">IF($A23="*","",IFERROR(INDEX(AGR!$E$52:$L$73,MATCH('TS DTech'!$C23,AGR!$B$52:$B$73,0),MATCH('TS DTech'!$B23&amp;X$7,AGR!$E$46:$L$46&amp;AGR!$E$48:$L$48,0)),""))</f>
        <v/>
      </c>
      <c r="Y23" s="296" t="str">
        <f t="array" aca="1" ref="Y23" ca="1">IF($A23="*","",IFERROR(INDEX(AGR!$E$52:$L$73,MATCH('TS DTech'!$C23,AGR!$B$52:$B$73,0),MATCH('TS DTech'!$B23&amp;Y$7,AGR!$E$46:$L$46&amp;AGR!$E$48:$L$48,0)),""))</f>
        <v/>
      </c>
      <c r="Z23" s="296" t="str">
        <f t="array" aca="1" ref="Z23" ca="1">IF($A23="*","",IFERROR(INDEX(AGR!$E$52:$L$73,MATCH('TS DTech'!$C23,AGR!$B$52:$B$73,0),MATCH('TS DTech'!$B23&amp;Z$7,AGR!$E$46:$L$46&amp;AGR!$E$48:$L$48,0)),""))</f>
        <v/>
      </c>
      <c r="AA23" s="296" t="str">
        <f t="array" aca="1" ref="AA23" ca="1">IF($A23="*","",IFERROR(INDEX(AGR!$E$52:$L$73,MATCH('TS DTech'!$C23,AGR!$B$52:$B$73,0),MATCH('TS DTech'!$B23&amp;AA$7,AGR!$E$46:$L$46&amp;AGR!$E$48:$L$48,0)),""))</f>
        <v/>
      </c>
      <c r="AB23" s="296" t="str">
        <f t="array" aca="1" ref="AB23" ca="1">IF($A23="*","",IFERROR(INDEX(AGR!$E$52:$L$73,MATCH('TS DTech'!$C23,AGR!$B$52:$B$73,0),MATCH('TS DTech'!$B23&amp;AB$7,AGR!$E$46:$L$46&amp;AGR!$E$48:$L$48,0)),""))</f>
        <v/>
      </c>
      <c r="AC23" s="296" t="str">
        <f t="array" aca="1" ref="AC23" ca="1">IF($A23="*","",IFERROR(INDEX(AGR!$E$52:$L$73,MATCH('TS DTech'!$C23,AGR!$B$52:$B$73,0),MATCH('TS DTech'!$B23&amp;AC$7,AGR!$E$46:$L$46&amp;AGR!$E$48:$L$48,0)),""))</f>
        <v/>
      </c>
      <c r="AD23" s="296" t="str">
        <f t="array" aca="1" ref="AD23" ca="1">IF($A23="*","",IFERROR(INDEX(AGR!$E$52:$L$73,MATCH('TS DTech'!$C23,AGR!$B$52:$B$73,0),MATCH('TS DTech'!$B23&amp;AD$7,AGR!$E$46:$L$46&amp;AGR!$E$48:$L$48,0)),""))</f>
        <v/>
      </c>
      <c r="AE23" s="296" t="str">
        <f t="array" aca="1" ref="AE23" ca="1">IF($A23="*","",IFERROR(INDEX(AGR!$E$52:$L$73,MATCH('TS DTech'!$C23,AGR!$B$52:$B$73,0),MATCH('TS DTech'!$B23&amp;AE$7,AGR!$E$46:$L$46&amp;AGR!$E$48:$L$48,0)),""))</f>
        <v/>
      </c>
      <c r="AF23" s="296" t="str">
        <f t="array" aca="1" ref="AF23" ca="1">IF($A23="*","",IFERROR(INDEX(AGR!$E$52:$L$73,MATCH('TS DTech'!$C23,AGR!$B$52:$B$73,0),MATCH('TS DTech'!$B23&amp;AF$7,AGR!$E$46:$L$46&amp;AGR!$E$48:$L$48,0)),""))</f>
        <v/>
      </c>
      <c r="AG23" s="296" t="str">
        <f t="array" aca="1" ref="AG23" ca="1">IF($A23="*","",IFERROR(INDEX(AGR!$E$52:$L$73,MATCH('TS DTech'!$C23,AGR!$B$52:$B$73,0),MATCH('TS DTech'!$B23&amp;AG$7,AGR!$E$46:$L$46&amp;AGR!$E$48:$L$48,0)),""))</f>
        <v/>
      </c>
      <c r="AH23" s="296" t="str">
        <f t="array" aca="1" ref="AH23" ca="1">IF($A23="*","",IFERROR(INDEX(AGR!$E$52:$L$73,MATCH('TS DTech'!$C23,AGR!$B$52:$B$73,0),MATCH('TS DTech'!$B23&amp;AH$7,AGR!$E$46:$L$46&amp;AGR!$E$48:$L$48,0)),""))</f>
        <v/>
      </c>
      <c r="AI23" s="296" t="str">
        <f t="array" aca="1" ref="AI23" ca="1">IF($A23="*","",IFERROR(INDEX(AGR!$E$52:$L$73,MATCH('TS DTech'!$C23,AGR!$B$52:$B$73,0),MATCH('TS DTech'!$B23&amp;AI$7,AGR!$E$46:$L$46&amp;AGR!$E$48:$L$48,0)),""))</f>
        <v/>
      </c>
      <c r="AJ23" s="296" t="str">
        <f t="array" aca="1" ref="AJ23" ca="1">IF($A23="*","",IFERROR(INDEX(AGR!$E$52:$L$73,MATCH('TS DTech'!$C23,AGR!$B$52:$B$73,0),MATCH('TS DTech'!$B23&amp;AJ$7,AGR!$E$46:$L$46&amp;AGR!$E$48:$L$48,0)),""))</f>
        <v/>
      </c>
      <c r="AK23" s="296" t="str">
        <f t="array" aca="1" ref="AK23" ca="1">IF($A23="*","",IFERROR(INDEX(AGR!$E$52:$L$73,MATCH('TS DTech'!$C23,AGR!$B$52:$B$73,0),MATCH('TS DTech'!$B23&amp;AK$7,AGR!$E$46:$L$46&amp;AGR!$E$48:$L$48,0)),""))</f>
        <v/>
      </c>
      <c r="AL23" s="296" t="str">
        <f t="array" aca="1" ref="AL23" ca="1">IF($A23="*","",IFERROR(INDEX(AGR!$E$52:$L$73,MATCH('TS DTech'!$C23,AGR!$B$52:$B$73,0),MATCH('TS DTech'!$B23&amp;AL$7,AGR!$E$46:$L$46&amp;AGR!$E$48:$L$48,0)),""))</f>
        <v/>
      </c>
      <c r="AM23" s="296" t="str">
        <f t="array" aca="1" ref="AM23" ca="1">IF($A23="*","",IFERROR(INDEX(AGR!$E$52:$L$73,MATCH('TS DTech'!$C23,AGR!$B$52:$B$73,0),MATCH('TS DTech'!$B23&amp;AM$7,AGR!$E$46:$L$46&amp;AGR!$E$48:$L$48,0)),""))</f>
        <v/>
      </c>
      <c r="AN23" s="296" t="str">
        <f t="array" aca="1" ref="AN23" ca="1">IF($A23="*","",IFERROR(INDEX(AGR!$E$52:$L$73,MATCH('TS DTech'!$C23,AGR!$B$52:$B$73,0),MATCH('TS DTech'!$B23&amp;AN$7,AGR!$E$46:$L$46&amp;AGR!$E$48:$L$48,0)),""))</f>
        <v/>
      </c>
      <c r="AO23" s="296" t="str">
        <f t="array" aca="1" ref="AO23" ca="1">IF($A23="*","",IFERROR(INDEX(AGR!$E$52:$L$73,MATCH('TS DTech'!$C23,AGR!$B$52:$B$73,0),MATCH('TS DTech'!$B23&amp;AO$7,AGR!$E$46:$L$46&amp;AGR!$E$48:$L$48,0)),""))</f>
        <v/>
      </c>
      <c r="AP23" s="296" t="str">
        <f t="array" aca="1" ref="AP23" ca="1">IF($A23="*","",IFERROR(INDEX(AGR!$E$52:$L$73,MATCH('TS DTech'!$C23,AGR!$B$52:$B$73,0),MATCH('TS DTech'!$B23&amp;AP$7,AGR!$E$46:$L$46&amp;AGR!$E$48:$L$48,0)),""))</f>
        <v/>
      </c>
      <c r="AQ23" s="137">
        <f>IF(AR22=AGR!$AD$74,AQ22+1,AQ22)</f>
        <v>1</v>
      </c>
      <c r="AR23" s="137">
        <f t="shared" si="3"/>
        <v>8</v>
      </c>
    </row>
    <row r="24" spans="1:44">
      <c r="A24" s="137" t="str">
        <f ca="1">IF(LEFT(OFFSET(AGR!$A$51,AR24,0),2)="\I","*","")</f>
        <v>*</v>
      </c>
      <c r="B24" s="212" t="str">
        <f t="shared" ca="1" si="0"/>
        <v/>
      </c>
      <c r="C24" s="212" t="str">
        <f ca="1">IF($A24="*","",OFFSET(AGR!$B$51,AR24,0))</f>
        <v/>
      </c>
      <c r="D24" s="212" t="str">
        <f t="shared" ca="1" si="2"/>
        <v/>
      </c>
      <c r="E24" s="212" t="str">
        <f t="shared" ca="1" si="1"/>
        <v/>
      </c>
      <c r="F24" s="212" t="str">
        <f t="shared" ca="1" si="1"/>
        <v/>
      </c>
      <c r="G24" s="212" t="str">
        <f t="shared" ca="1" si="1"/>
        <v/>
      </c>
      <c r="H24" s="212" t="str">
        <f t="shared" ca="1" si="1"/>
        <v/>
      </c>
      <c r="I24" s="213" t="str">
        <f t="shared" ca="1" si="1"/>
        <v/>
      </c>
      <c r="J24" s="296" t="str">
        <f t="array" aca="1" ref="J24" ca="1">IF($A24="*","",IFERROR(INDEX(AGR!$E$52:$L$73,MATCH('TS DTech'!$C24,AGR!$B$52:$B$73,0),MATCH('TS DTech'!$B24&amp;J$7,AGR!$E$46:$L$46&amp;AGR!$E$48:$L$48,0)),""))</f>
        <v/>
      </c>
      <c r="K24" s="296" t="str">
        <f t="array" aca="1" ref="K24" ca="1">IF($A24="*","",IFERROR(INDEX(AGR!$E$52:$L$73,MATCH('TS DTech'!$C24,AGR!$B$52:$B$73,0),MATCH('TS DTech'!$B24&amp;K$7,AGR!$E$46:$L$46&amp;AGR!$E$48:$L$48,0)),""))</f>
        <v/>
      </c>
      <c r="L24" s="296" t="str">
        <f t="array" aca="1" ref="L24" ca="1">IF($A24="*","",IFERROR(INDEX(AGR!$E$52:$L$73,MATCH('TS DTech'!$C24,AGR!$B$52:$B$73,0),MATCH('TS DTech'!$B24&amp;L$7,AGR!$E$46:$L$46&amp;AGR!$E$48:$L$48,0)),""))</f>
        <v/>
      </c>
      <c r="M24" s="296" t="str">
        <f t="array" aca="1" ref="M24" ca="1">IF($A24="*","",IFERROR(INDEX(AGR!$E$52:$L$73,MATCH('TS DTech'!$C24,AGR!$B$52:$B$73,0),MATCH('TS DTech'!$B24&amp;M$7,AGR!$E$46:$L$46&amp;AGR!$E$48:$L$48,0)),""))</f>
        <v/>
      </c>
      <c r="N24" s="296" t="str">
        <f t="array" aca="1" ref="N24" ca="1">IF($A24="*","",IFERROR(INDEX(AGR!$E$52:$L$73,MATCH('TS DTech'!$C24,AGR!$B$52:$B$73,0),MATCH('TS DTech'!$B24&amp;N$7,AGR!$E$46:$L$46&amp;AGR!$E$48:$L$48,0)),""))</f>
        <v/>
      </c>
      <c r="O24" s="296" t="str">
        <f t="array" aca="1" ref="O24" ca="1">IF($A24="*","",IFERROR(INDEX(AGR!$E$52:$L$73,MATCH('TS DTech'!$C24,AGR!$B$52:$B$73,0),MATCH('TS DTech'!$B24&amp;O$7,AGR!$E$46:$L$46&amp;AGR!$E$48:$L$48,0)),""))</f>
        <v/>
      </c>
      <c r="P24" s="296" t="str">
        <f t="array" aca="1" ref="P24" ca="1">IF($A24="*","",IFERROR(INDEX(AGR!$E$52:$L$73,MATCH('TS DTech'!$C24,AGR!$B$52:$B$73,0),MATCH('TS DTech'!$B24&amp;P$7,AGR!$E$46:$L$46&amp;AGR!$E$48:$L$48,0)),""))</f>
        <v/>
      </c>
      <c r="Q24" s="296" t="str">
        <f t="array" aca="1" ref="Q24" ca="1">IF($A24="*","",IFERROR(INDEX(AGR!$E$52:$L$73,MATCH('TS DTech'!$C24,AGR!$B$52:$B$73,0),MATCH('TS DTech'!$B24&amp;Q$7,AGR!$E$46:$L$46&amp;AGR!$E$48:$L$48,0)),""))</f>
        <v/>
      </c>
      <c r="R24" s="296" t="str">
        <f t="array" aca="1" ref="R24" ca="1">IF($A24="*","",IFERROR(INDEX(AGR!$E$52:$L$73,MATCH('TS DTech'!$C24,AGR!$B$52:$B$73,0),MATCH('TS DTech'!$B24&amp;R$7,AGR!$E$46:$L$46&amp;AGR!$E$48:$L$48,0)),""))</f>
        <v/>
      </c>
      <c r="S24" s="296" t="str">
        <f t="array" aca="1" ref="S24" ca="1">IF($A24="*","",IFERROR(INDEX(AGR!$E$52:$L$73,MATCH('TS DTech'!$C24,AGR!$B$52:$B$73,0),MATCH('TS DTech'!$B24&amp;S$7,AGR!$E$46:$L$46&amp;AGR!$E$48:$L$48,0)),""))</f>
        <v/>
      </c>
      <c r="T24" s="296" t="str">
        <f t="array" aca="1" ref="T24" ca="1">IF($A24="*","",IFERROR(INDEX(AGR!$E$52:$L$73,MATCH('TS DTech'!$C24,AGR!$B$52:$B$73,0),MATCH('TS DTech'!$B24&amp;T$7,AGR!$E$46:$L$46&amp;AGR!$E$48:$L$48,0)),""))</f>
        <v/>
      </c>
      <c r="U24" s="296" t="str">
        <f t="array" aca="1" ref="U24" ca="1">IF($A24="*","",IFERROR(INDEX(AGR!$E$52:$L$73,MATCH('TS DTech'!$C24,AGR!$B$52:$B$73,0),MATCH('TS DTech'!$B24&amp;U$7,AGR!$E$46:$L$46&amp;AGR!$E$48:$L$48,0)),""))</f>
        <v/>
      </c>
      <c r="V24" s="296" t="str">
        <f t="array" aca="1" ref="V24" ca="1">IF($A24="*","",IFERROR(INDEX(AGR!$E$52:$L$73,MATCH('TS DTech'!$C24,AGR!$B$52:$B$73,0),MATCH('TS DTech'!$B24&amp;V$7,AGR!$E$46:$L$46&amp;AGR!$E$48:$L$48,0)),""))</f>
        <v/>
      </c>
      <c r="W24" s="296" t="str">
        <f t="array" aca="1" ref="W24" ca="1">IF($A24="*","",IFERROR(INDEX(AGR!$E$52:$L$73,MATCH('TS DTech'!$C24,AGR!$B$52:$B$73,0),MATCH('TS DTech'!$B24&amp;W$7,AGR!$E$46:$L$46&amp;AGR!$E$48:$L$48,0)),""))</f>
        <v/>
      </c>
      <c r="X24" s="296" t="str">
        <f t="array" aca="1" ref="X24" ca="1">IF($A24="*","",IFERROR(INDEX(AGR!$E$52:$L$73,MATCH('TS DTech'!$C24,AGR!$B$52:$B$73,0),MATCH('TS DTech'!$B24&amp;X$7,AGR!$E$46:$L$46&amp;AGR!$E$48:$L$48,0)),""))</f>
        <v/>
      </c>
      <c r="Y24" s="296" t="str">
        <f t="array" aca="1" ref="Y24" ca="1">IF($A24="*","",IFERROR(INDEX(AGR!$E$52:$L$73,MATCH('TS DTech'!$C24,AGR!$B$52:$B$73,0),MATCH('TS DTech'!$B24&amp;Y$7,AGR!$E$46:$L$46&amp;AGR!$E$48:$L$48,0)),""))</f>
        <v/>
      </c>
      <c r="Z24" s="296" t="str">
        <f t="array" aca="1" ref="Z24" ca="1">IF($A24="*","",IFERROR(INDEX(AGR!$E$52:$L$73,MATCH('TS DTech'!$C24,AGR!$B$52:$B$73,0),MATCH('TS DTech'!$B24&amp;Z$7,AGR!$E$46:$L$46&amp;AGR!$E$48:$L$48,0)),""))</f>
        <v/>
      </c>
      <c r="AA24" s="296" t="str">
        <f t="array" aca="1" ref="AA24" ca="1">IF($A24="*","",IFERROR(INDEX(AGR!$E$52:$L$73,MATCH('TS DTech'!$C24,AGR!$B$52:$B$73,0),MATCH('TS DTech'!$B24&amp;AA$7,AGR!$E$46:$L$46&amp;AGR!$E$48:$L$48,0)),""))</f>
        <v/>
      </c>
      <c r="AB24" s="296" t="str">
        <f t="array" aca="1" ref="AB24" ca="1">IF($A24="*","",IFERROR(INDEX(AGR!$E$52:$L$73,MATCH('TS DTech'!$C24,AGR!$B$52:$B$73,0),MATCH('TS DTech'!$B24&amp;AB$7,AGR!$E$46:$L$46&amp;AGR!$E$48:$L$48,0)),""))</f>
        <v/>
      </c>
      <c r="AC24" s="296" t="str">
        <f t="array" aca="1" ref="AC24" ca="1">IF($A24="*","",IFERROR(INDEX(AGR!$E$52:$L$73,MATCH('TS DTech'!$C24,AGR!$B$52:$B$73,0),MATCH('TS DTech'!$B24&amp;AC$7,AGR!$E$46:$L$46&amp;AGR!$E$48:$L$48,0)),""))</f>
        <v/>
      </c>
      <c r="AD24" s="296" t="str">
        <f t="array" aca="1" ref="AD24" ca="1">IF($A24="*","",IFERROR(INDEX(AGR!$E$52:$L$73,MATCH('TS DTech'!$C24,AGR!$B$52:$B$73,0),MATCH('TS DTech'!$B24&amp;AD$7,AGR!$E$46:$L$46&amp;AGR!$E$48:$L$48,0)),""))</f>
        <v/>
      </c>
      <c r="AE24" s="296" t="str">
        <f t="array" aca="1" ref="AE24" ca="1">IF($A24="*","",IFERROR(INDEX(AGR!$E$52:$L$73,MATCH('TS DTech'!$C24,AGR!$B$52:$B$73,0),MATCH('TS DTech'!$B24&amp;AE$7,AGR!$E$46:$L$46&amp;AGR!$E$48:$L$48,0)),""))</f>
        <v/>
      </c>
      <c r="AF24" s="296" t="str">
        <f t="array" aca="1" ref="AF24" ca="1">IF($A24="*","",IFERROR(INDEX(AGR!$E$52:$L$73,MATCH('TS DTech'!$C24,AGR!$B$52:$B$73,0),MATCH('TS DTech'!$B24&amp;AF$7,AGR!$E$46:$L$46&amp;AGR!$E$48:$L$48,0)),""))</f>
        <v/>
      </c>
      <c r="AG24" s="296" t="str">
        <f t="array" aca="1" ref="AG24" ca="1">IF($A24="*","",IFERROR(INDEX(AGR!$E$52:$L$73,MATCH('TS DTech'!$C24,AGR!$B$52:$B$73,0),MATCH('TS DTech'!$B24&amp;AG$7,AGR!$E$46:$L$46&amp;AGR!$E$48:$L$48,0)),""))</f>
        <v/>
      </c>
      <c r="AH24" s="296" t="str">
        <f t="array" aca="1" ref="AH24" ca="1">IF($A24="*","",IFERROR(INDEX(AGR!$E$52:$L$73,MATCH('TS DTech'!$C24,AGR!$B$52:$B$73,0),MATCH('TS DTech'!$B24&amp;AH$7,AGR!$E$46:$L$46&amp;AGR!$E$48:$L$48,0)),""))</f>
        <v/>
      </c>
      <c r="AI24" s="296" t="str">
        <f t="array" aca="1" ref="AI24" ca="1">IF($A24="*","",IFERROR(INDEX(AGR!$E$52:$L$73,MATCH('TS DTech'!$C24,AGR!$B$52:$B$73,0),MATCH('TS DTech'!$B24&amp;AI$7,AGR!$E$46:$L$46&amp;AGR!$E$48:$L$48,0)),""))</f>
        <v/>
      </c>
      <c r="AJ24" s="296" t="str">
        <f t="array" aca="1" ref="AJ24" ca="1">IF($A24="*","",IFERROR(INDEX(AGR!$E$52:$L$73,MATCH('TS DTech'!$C24,AGR!$B$52:$B$73,0),MATCH('TS DTech'!$B24&amp;AJ$7,AGR!$E$46:$L$46&amp;AGR!$E$48:$L$48,0)),""))</f>
        <v/>
      </c>
      <c r="AK24" s="296" t="str">
        <f t="array" aca="1" ref="AK24" ca="1">IF($A24="*","",IFERROR(INDEX(AGR!$E$52:$L$73,MATCH('TS DTech'!$C24,AGR!$B$52:$B$73,0),MATCH('TS DTech'!$B24&amp;AK$7,AGR!$E$46:$L$46&amp;AGR!$E$48:$L$48,0)),""))</f>
        <v/>
      </c>
      <c r="AL24" s="296" t="str">
        <f t="array" aca="1" ref="AL24" ca="1">IF($A24="*","",IFERROR(INDEX(AGR!$E$52:$L$73,MATCH('TS DTech'!$C24,AGR!$B$52:$B$73,0),MATCH('TS DTech'!$B24&amp;AL$7,AGR!$E$46:$L$46&amp;AGR!$E$48:$L$48,0)),""))</f>
        <v/>
      </c>
      <c r="AM24" s="296" t="str">
        <f t="array" aca="1" ref="AM24" ca="1">IF($A24="*","",IFERROR(INDEX(AGR!$E$52:$L$73,MATCH('TS DTech'!$C24,AGR!$B$52:$B$73,0),MATCH('TS DTech'!$B24&amp;AM$7,AGR!$E$46:$L$46&amp;AGR!$E$48:$L$48,0)),""))</f>
        <v/>
      </c>
      <c r="AN24" s="296" t="str">
        <f t="array" aca="1" ref="AN24" ca="1">IF($A24="*","",IFERROR(INDEX(AGR!$E$52:$L$73,MATCH('TS DTech'!$C24,AGR!$B$52:$B$73,0),MATCH('TS DTech'!$B24&amp;AN$7,AGR!$E$46:$L$46&amp;AGR!$E$48:$L$48,0)),""))</f>
        <v/>
      </c>
      <c r="AO24" s="296" t="str">
        <f t="array" aca="1" ref="AO24" ca="1">IF($A24="*","",IFERROR(INDEX(AGR!$E$52:$L$73,MATCH('TS DTech'!$C24,AGR!$B$52:$B$73,0),MATCH('TS DTech'!$B24&amp;AO$7,AGR!$E$46:$L$46&amp;AGR!$E$48:$L$48,0)),""))</f>
        <v/>
      </c>
      <c r="AP24" s="296" t="str">
        <f t="array" aca="1" ref="AP24" ca="1">IF($A24="*","",IFERROR(INDEX(AGR!$E$52:$L$73,MATCH('TS DTech'!$C24,AGR!$B$52:$B$73,0),MATCH('TS DTech'!$B24&amp;AP$7,AGR!$E$46:$L$46&amp;AGR!$E$48:$L$48,0)),""))</f>
        <v/>
      </c>
      <c r="AQ24" s="137">
        <f>IF(AR23=AGR!$AD$74,AQ23+1,AQ23)</f>
        <v>1</v>
      </c>
      <c r="AR24" s="137">
        <f t="shared" si="3"/>
        <v>9</v>
      </c>
    </row>
    <row r="25" spans="1:44">
      <c r="A25" s="137" t="str">
        <f ca="1">IF(LEFT(OFFSET(AGR!$A$51,AR25,0),2)="\I","*","")</f>
        <v>*</v>
      </c>
      <c r="B25" s="212" t="str">
        <f t="shared" ca="1" si="0"/>
        <v/>
      </c>
      <c r="C25" s="212" t="str">
        <f ca="1">IF($A25="*","",OFFSET(AGR!$B$51,AR25,0))</f>
        <v/>
      </c>
      <c r="D25" s="212" t="str">
        <f t="shared" ca="1" si="2"/>
        <v/>
      </c>
      <c r="E25" s="212" t="str">
        <f t="shared" ca="1" si="1"/>
        <v/>
      </c>
      <c r="F25" s="212" t="str">
        <f t="shared" ca="1" si="1"/>
        <v/>
      </c>
      <c r="G25" s="212" t="str">
        <f t="shared" ca="1" si="1"/>
        <v/>
      </c>
      <c r="H25" s="212" t="str">
        <f t="shared" ca="1" si="1"/>
        <v/>
      </c>
      <c r="I25" s="213" t="str">
        <f t="shared" ca="1" si="1"/>
        <v/>
      </c>
      <c r="J25" s="296" t="str">
        <f t="array" aca="1" ref="J25" ca="1">IF($A25="*","",IFERROR(INDEX(AGR!$E$52:$L$73,MATCH('TS DTech'!$C25,AGR!$B$52:$B$73,0),MATCH('TS DTech'!$B25&amp;J$7,AGR!$E$46:$L$46&amp;AGR!$E$48:$L$48,0)),""))</f>
        <v/>
      </c>
      <c r="K25" s="296" t="str">
        <f t="array" aca="1" ref="K25" ca="1">IF($A25="*","",IFERROR(INDEX(AGR!$E$52:$L$73,MATCH('TS DTech'!$C25,AGR!$B$52:$B$73,0),MATCH('TS DTech'!$B25&amp;K$7,AGR!$E$46:$L$46&amp;AGR!$E$48:$L$48,0)),""))</f>
        <v/>
      </c>
      <c r="L25" s="296" t="str">
        <f t="array" aca="1" ref="L25" ca="1">IF($A25="*","",IFERROR(INDEX(AGR!$E$52:$L$73,MATCH('TS DTech'!$C25,AGR!$B$52:$B$73,0),MATCH('TS DTech'!$B25&amp;L$7,AGR!$E$46:$L$46&amp;AGR!$E$48:$L$48,0)),""))</f>
        <v/>
      </c>
      <c r="M25" s="296" t="str">
        <f t="array" aca="1" ref="M25" ca="1">IF($A25="*","",IFERROR(INDEX(AGR!$E$52:$L$73,MATCH('TS DTech'!$C25,AGR!$B$52:$B$73,0),MATCH('TS DTech'!$B25&amp;M$7,AGR!$E$46:$L$46&amp;AGR!$E$48:$L$48,0)),""))</f>
        <v/>
      </c>
      <c r="N25" s="296" t="str">
        <f t="array" aca="1" ref="N25" ca="1">IF($A25="*","",IFERROR(INDEX(AGR!$E$52:$L$73,MATCH('TS DTech'!$C25,AGR!$B$52:$B$73,0),MATCH('TS DTech'!$B25&amp;N$7,AGR!$E$46:$L$46&amp;AGR!$E$48:$L$48,0)),""))</f>
        <v/>
      </c>
      <c r="O25" s="296" t="str">
        <f t="array" aca="1" ref="O25" ca="1">IF($A25="*","",IFERROR(INDEX(AGR!$E$52:$L$73,MATCH('TS DTech'!$C25,AGR!$B$52:$B$73,0),MATCH('TS DTech'!$B25&amp;O$7,AGR!$E$46:$L$46&amp;AGR!$E$48:$L$48,0)),""))</f>
        <v/>
      </c>
      <c r="P25" s="296" t="str">
        <f t="array" aca="1" ref="P25" ca="1">IF($A25="*","",IFERROR(INDEX(AGR!$E$52:$L$73,MATCH('TS DTech'!$C25,AGR!$B$52:$B$73,0),MATCH('TS DTech'!$B25&amp;P$7,AGR!$E$46:$L$46&amp;AGR!$E$48:$L$48,0)),""))</f>
        <v/>
      </c>
      <c r="Q25" s="296" t="str">
        <f t="array" aca="1" ref="Q25" ca="1">IF($A25="*","",IFERROR(INDEX(AGR!$E$52:$L$73,MATCH('TS DTech'!$C25,AGR!$B$52:$B$73,0),MATCH('TS DTech'!$B25&amp;Q$7,AGR!$E$46:$L$46&amp;AGR!$E$48:$L$48,0)),""))</f>
        <v/>
      </c>
      <c r="R25" s="296" t="str">
        <f t="array" aca="1" ref="R25" ca="1">IF($A25="*","",IFERROR(INDEX(AGR!$E$52:$L$73,MATCH('TS DTech'!$C25,AGR!$B$52:$B$73,0),MATCH('TS DTech'!$B25&amp;R$7,AGR!$E$46:$L$46&amp;AGR!$E$48:$L$48,0)),""))</f>
        <v/>
      </c>
      <c r="S25" s="296" t="str">
        <f t="array" aca="1" ref="S25" ca="1">IF($A25="*","",IFERROR(INDEX(AGR!$E$52:$L$73,MATCH('TS DTech'!$C25,AGR!$B$52:$B$73,0),MATCH('TS DTech'!$B25&amp;S$7,AGR!$E$46:$L$46&amp;AGR!$E$48:$L$48,0)),""))</f>
        <v/>
      </c>
      <c r="T25" s="296" t="str">
        <f t="array" aca="1" ref="T25" ca="1">IF($A25="*","",IFERROR(INDEX(AGR!$E$52:$L$73,MATCH('TS DTech'!$C25,AGR!$B$52:$B$73,0),MATCH('TS DTech'!$B25&amp;T$7,AGR!$E$46:$L$46&amp;AGR!$E$48:$L$48,0)),""))</f>
        <v/>
      </c>
      <c r="U25" s="296" t="str">
        <f t="array" aca="1" ref="U25" ca="1">IF($A25="*","",IFERROR(INDEX(AGR!$E$52:$L$73,MATCH('TS DTech'!$C25,AGR!$B$52:$B$73,0),MATCH('TS DTech'!$B25&amp;U$7,AGR!$E$46:$L$46&amp;AGR!$E$48:$L$48,0)),""))</f>
        <v/>
      </c>
      <c r="V25" s="296" t="str">
        <f t="array" aca="1" ref="V25" ca="1">IF($A25="*","",IFERROR(INDEX(AGR!$E$52:$L$73,MATCH('TS DTech'!$C25,AGR!$B$52:$B$73,0),MATCH('TS DTech'!$B25&amp;V$7,AGR!$E$46:$L$46&amp;AGR!$E$48:$L$48,0)),""))</f>
        <v/>
      </c>
      <c r="W25" s="296" t="str">
        <f t="array" aca="1" ref="W25" ca="1">IF($A25="*","",IFERROR(INDEX(AGR!$E$52:$L$73,MATCH('TS DTech'!$C25,AGR!$B$52:$B$73,0),MATCH('TS DTech'!$B25&amp;W$7,AGR!$E$46:$L$46&amp;AGR!$E$48:$L$48,0)),""))</f>
        <v/>
      </c>
      <c r="X25" s="296" t="str">
        <f t="array" aca="1" ref="X25" ca="1">IF($A25="*","",IFERROR(INDEX(AGR!$E$52:$L$73,MATCH('TS DTech'!$C25,AGR!$B$52:$B$73,0),MATCH('TS DTech'!$B25&amp;X$7,AGR!$E$46:$L$46&amp;AGR!$E$48:$L$48,0)),""))</f>
        <v/>
      </c>
      <c r="Y25" s="296" t="str">
        <f t="array" aca="1" ref="Y25" ca="1">IF($A25="*","",IFERROR(INDEX(AGR!$E$52:$L$73,MATCH('TS DTech'!$C25,AGR!$B$52:$B$73,0),MATCH('TS DTech'!$B25&amp;Y$7,AGR!$E$46:$L$46&amp;AGR!$E$48:$L$48,0)),""))</f>
        <v/>
      </c>
      <c r="Z25" s="296" t="str">
        <f t="array" aca="1" ref="Z25" ca="1">IF($A25="*","",IFERROR(INDEX(AGR!$E$52:$L$73,MATCH('TS DTech'!$C25,AGR!$B$52:$B$73,0),MATCH('TS DTech'!$B25&amp;Z$7,AGR!$E$46:$L$46&amp;AGR!$E$48:$L$48,0)),""))</f>
        <v/>
      </c>
      <c r="AA25" s="296" t="str">
        <f t="array" aca="1" ref="AA25" ca="1">IF($A25="*","",IFERROR(INDEX(AGR!$E$52:$L$73,MATCH('TS DTech'!$C25,AGR!$B$52:$B$73,0),MATCH('TS DTech'!$B25&amp;AA$7,AGR!$E$46:$L$46&amp;AGR!$E$48:$L$48,0)),""))</f>
        <v/>
      </c>
      <c r="AB25" s="296" t="str">
        <f t="array" aca="1" ref="AB25" ca="1">IF($A25="*","",IFERROR(INDEX(AGR!$E$52:$L$73,MATCH('TS DTech'!$C25,AGR!$B$52:$B$73,0),MATCH('TS DTech'!$B25&amp;AB$7,AGR!$E$46:$L$46&amp;AGR!$E$48:$L$48,0)),""))</f>
        <v/>
      </c>
      <c r="AC25" s="296" t="str">
        <f t="array" aca="1" ref="AC25" ca="1">IF($A25="*","",IFERROR(INDEX(AGR!$E$52:$L$73,MATCH('TS DTech'!$C25,AGR!$B$52:$B$73,0),MATCH('TS DTech'!$B25&amp;AC$7,AGR!$E$46:$L$46&amp;AGR!$E$48:$L$48,0)),""))</f>
        <v/>
      </c>
      <c r="AD25" s="296" t="str">
        <f t="array" aca="1" ref="AD25" ca="1">IF($A25="*","",IFERROR(INDEX(AGR!$E$52:$L$73,MATCH('TS DTech'!$C25,AGR!$B$52:$B$73,0),MATCH('TS DTech'!$B25&amp;AD$7,AGR!$E$46:$L$46&amp;AGR!$E$48:$L$48,0)),""))</f>
        <v/>
      </c>
      <c r="AE25" s="296" t="str">
        <f t="array" aca="1" ref="AE25" ca="1">IF($A25="*","",IFERROR(INDEX(AGR!$E$52:$L$73,MATCH('TS DTech'!$C25,AGR!$B$52:$B$73,0),MATCH('TS DTech'!$B25&amp;AE$7,AGR!$E$46:$L$46&amp;AGR!$E$48:$L$48,0)),""))</f>
        <v/>
      </c>
      <c r="AF25" s="296" t="str">
        <f t="array" aca="1" ref="AF25" ca="1">IF($A25="*","",IFERROR(INDEX(AGR!$E$52:$L$73,MATCH('TS DTech'!$C25,AGR!$B$52:$B$73,0),MATCH('TS DTech'!$B25&amp;AF$7,AGR!$E$46:$L$46&amp;AGR!$E$48:$L$48,0)),""))</f>
        <v/>
      </c>
      <c r="AG25" s="296" t="str">
        <f t="array" aca="1" ref="AG25" ca="1">IF($A25="*","",IFERROR(INDEX(AGR!$E$52:$L$73,MATCH('TS DTech'!$C25,AGR!$B$52:$B$73,0),MATCH('TS DTech'!$B25&amp;AG$7,AGR!$E$46:$L$46&amp;AGR!$E$48:$L$48,0)),""))</f>
        <v/>
      </c>
      <c r="AH25" s="296" t="str">
        <f t="array" aca="1" ref="AH25" ca="1">IF($A25="*","",IFERROR(INDEX(AGR!$E$52:$L$73,MATCH('TS DTech'!$C25,AGR!$B$52:$B$73,0),MATCH('TS DTech'!$B25&amp;AH$7,AGR!$E$46:$L$46&amp;AGR!$E$48:$L$48,0)),""))</f>
        <v/>
      </c>
      <c r="AI25" s="296" t="str">
        <f t="array" aca="1" ref="AI25" ca="1">IF($A25="*","",IFERROR(INDEX(AGR!$E$52:$L$73,MATCH('TS DTech'!$C25,AGR!$B$52:$B$73,0),MATCH('TS DTech'!$B25&amp;AI$7,AGR!$E$46:$L$46&amp;AGR!$E$48:$L$48,0)),""))</f>
        <v/>
      </c>
      <c r="AJ25" s="296" t="str">
        <f t="array" aca="1" ref="AJ25" ca="1">IF($A25="*","",IFERROR(INDEX(AGR!$E$52:$L$73,MATCH('TS DTech'!$C25,AGR!$B$52:$B$73,0),MATCH('TS DTech'!$B25&amp;AJ$7,AGR!$E$46:$L$46&amp;AGR!$E$48:$L$48,0)),""))</f>
        <v/>
      </c>
      <c r="AK25" s="296" t="str">
        <f t="array" aca="1" ref="AK25" ca="1">IF($A25="*","",IFERROR(INDEX(AGR!$E$52:$L$73,MATCH('TS DTech'!$C25,AGR!$B$52:$B$73,0),MATCH('TS DTech'!$B25&amp;AK$7,AGR!$E$46:$L$46&amp;AGR!$E$48:$L$48,0)),""))</f>
        <v/>
      </c>
      <c r="AL25" s="296" t="str">
        <f t="array" aca="1" ref="AL25" ca="1">IF($A25="*","",IFERROR(INDEX(AGR!$E$52:$L$73,MATCH('TS DTech'!$C25,AGR!$B$52:$B$73,0),MATCH('TS DTech'!$B25&amp;AL$7,AGR!$E$46:$L$46&amp;AGR!$E$48:$L$48,0)),""))</f>
        <v/>
      </c>
      <c r="AM25" s="296" t="str">
        <f t="array" aca="1" ref="AM25" ca="1">IF($A25="*","",IFERROR(INDEX(AGR!$E$52:$L$73,MATCH('TS DTech'!$C25,AGR!$B$52:$B$73,0),MATCH('TS DTech'!$B25&amp;AM$7,AGR!$E$46:$L$46&amp;AGR!$E$48:$L$48,0)),""))</f>
        <v/>
      </c>
      <c r="AN25" s="296" t="str">
        <f t="array" aca="1" ref="AN25" ca="1">IF($A25="*","",IFERROR(INDEX(AGR!$E$52:$L$73,MATCH('TS DTech'!$C25,AGR!$B$52:$B$73,0),MATCH('TS DTech'!$B25&amp;AN$7,AGR!$E$46:$L$46&amp;AGR!$E$48:$L$48,0)),""))</f>
        <v/>
      </c>
      <c r="AO25" s="296" t="str">
        <f t="array" aca="1" ref="AO25" ca="1">IF($A25="*","",IFERROR(INDEX(AGR!$E$52:$L$73,MATCH('TS DTech'!$C25,AGR!$B$52:$B$73,0),MATCH('TS DTech'!$B25&amp;AO$7,AGR!$E$46:$L$46&amp;AGR!$E$48:$L$48,0)),""))</f>
        <v/>
      </c>
      <c r="AP25" s="296" t="str">
        <f t="array" aca="1" ref="AP25" ca="1">IF($A25="*","",IFERROR(INDEX(AGR!$E$52:$L$73,MATCH('TS DTech'!$C25,AGR!$B$52:$B$73,0),MATCH('TS DTech'!$B25&amp;AP$7,AGR!$E$46:$L$46&amp;AGR!$E$48:$L$48,0)),""))</f>
        <v/>
      </c>
      <c r="AQ25" s="137">
        <f>IF(AR24=AGR!$AD$74,AQ24+1,AQ24)</f>
        <v>1</v>
      </c>
      <c r="AR25" s="137">
        <f t="shared" si="3"/>
        <v>10</v>
      </c>
    </row>
    <row r="26" spans="1:44">
      <c r="A26" s="137" t="str">
        <f ca="1">IF(LEFT(OFFSET(AGR!$A$51,AR26,0),2)="\I","*","")</f>
        <v/>
      </c>
      <c r="B26" s="212" t="str">
        <f t="shared" ca="1" si="0"/>
        <v>ACT_EFF</v>
      </c>
      <c r="C26" s="212" t="str">
        <f ca="1">IF($A26="*","",OFFSET(AGR!$B$51,AR26,0))</f>
        <v>ATODS-E</v>
      </c>
      <c r="D26" s="212" t="str">
        <f t="shared" ca="1" si="2"/>
        <v>-</v>
      </c>
      <c r="E26" s="212" t="str">
        <f t="shared" ca="1" si="1"/>
        <v>ACTGRP</v>
      </c>
      <c r="F26" s="212" t="str">
        <f t="shared" ca="1" si="1"/>
        <v>-</v>
      </c>
      <c r="G26" s="212" t="str">
        <f t="shared" ca="1" si="1"/>
        <v>ANNUAL</v>
      </c>
      <c r="H26" s="212" t="str">
        <f t="shared" ca="1" si="1"/>
        <v>-</v>
      </c>
      <c r="I26" s="213">
        <f t="shared" ca="1" si="1"/>
        <v>0</v>
      </c>
      <c r="J26" s="296">
        <f ca="1">IF($A26="*","",INDEX(AGR!$E$52:$L$73,MATCH('TS DTech'!$C26,AGR!$B$52:$B$73,0),MATCH('TS DTech'!$B26,AGR!$E$46:$L$46,0)))</f>
        <v>0.35</v>
      </c>
      <c r="K26" s="303"/>
      <c r="L26" s="304" t="str">
        <f ca="1">IF($B26&lt;&gt;"PRC_RESID","",IF(#REF!=2005+OFFSET(AGR!$B$51,$AR26,SUMIF($B$10:$B$14,"NCAP_TLIFE",$AS$10:$AS$14)),0,""))</f>
        <v/>
      </c>
      <c r="M26" s="304" t="str">
        <f ca="1">IF($B26&lt;&gt;"PRC_RESID","",IF(#REF!=2005+OFFSET(AGR!$B$51,$AR26,SUMIF($B$10:$B$14,"NCAP_TLIFE",$AS$10:$AS$14)),0,""))</f>
        <v/>
      </c>
      <c r="N26" s="304" t="str">
        <f ca="1">IF($B26&lt;&gt;"PRC_RESID","",IF(#REF!=2005+OFFSET(AGR!$B$51,$AR26,SUMIF($B$10:$B$14,"NCAP_TLIFE",$AS$10:$AS$14)),0,""))</f>
        <v/>
      </c>
      <c r="O26" s="304" t="str">
        <f ca="1">IF($B26&lt;&gt;"PRC_RESID","",IF(#REF!=2005+OFFSET(AGR!$B$51,$AR26,SUMIF($B$10:$B$14,"NCAP_TLIFE",$AS$10:$AS$14)),0,""))</f>
        <v/>
      </c>
      <c r="P26" s="304" t="str">
        <f ca="1">IF($B26&lt;&gt;"PRC_RESID","",IF(#REF!=2005+OFFSET(AGR!$B$51,$AR26,SUMIF($B$10:$B$14,"NCAP_TLIFE",$AS$10:$AS$14)),0,""))</f>
        <v/>
      </c>
      <c r="Q26" s="304" t="str">
        <f ca="1">IF($B26&lt;&gt;"PRC_RESID","",IF(#REF!=2005+OFFSET(AGR!$B$51,$AR26,SUMIF($B$10:$B$14,"NCAP_TLIFE",$AS$10:$AS$14)),0,""))</f>
        <v/>
      </c>
      <c r="R26" s="304">
        <f ca="1">IF(agrPAMS,$J$26*(1+Sheet1!G10),"")</f>
        <v>0.35850605190493351</v>
      </c>
      <c r="S26" s="303"/>
      <c r="T26" s="303"/>
      <c r="U26" s="303"/>
      <c r="V26" s="304" t="str">
        <f ca="1">IF($B26&lt;&gt;"PRC_RESID","",IF(#REF!=2005+OFFSET(AGR!$B$51,$AR26,SUMIF($B$10:$B$14,"NCAP_TLIFE",$AS$10:$AS$14)),0,""))</f>
        <v/>
      </c>
      <c r="W26" s="304">
        <f ca="1">IF(agrPAMS,$J$26*(1+Sheet1!H10),"")</f>
        <v>0.3635943134107873</v>
      </c>
      <c r="X26" s="303"/>
      <c r="Y26" s="303"/>
      <c r="Z26" s="304" t="str">
        <f ca="1">IF($B26&lt;&gt;"PRC_RESID","",IF(#REF!=2005+OFFSET(AGR!$B$51,$AR26,SUMIF($B$10:$B$14,"NCAP_TLIFE",$AS$10:$AS$14)),0,""))</f>
        <v/>
      </c>
      <c r="AA26" s="304" t="str">
        <f ca="1">IF($B26&lt;&gt;"PRC_RESID","",IF(#REF!=2005+OFFSET(AGR!$B$51,$AR26,SUMIF($B$10:$B$14,"NCAP_TLIFE",$AS$10:$AS$14)),0,""))</f>
        <v/>
      </c>
      <c r="AB26" s="304">
        <f ca="1">IF(agrPAMS,$J$26*(1+Sheet1!I10),"")</f>
        <v>0.36798899359631015</v>
      </c>
      <c r="AC26" s="303"/>
      <c r="AD26" s="304"/>
      <c r="AE26" s="304"/>
      <c r="AF26" s="304"/>
      <c r="AG26" s="304">
        <f ca="1">IF(agrPAMS,$J$26*(1+Sheet1!J10),"")</f>
        <v>0.37225346265288572</v>
      </c>
      <c r="AH26" s="303"/>
      <c r="AI26" s="304"/>
      <c r="AJ26" s="304"/>
      <c r="AK26" s="304"/>
      <c r="AL26" s="304">
        <f ca="1">IF(agrPAMS,$J$26*(1+Sheet1!K10),"")</f>
        <v>0.37613866406101132</v>
      </c>
      <c r="AM26" s="304">
        <f ca="1">IF(agrPAMS,$J$26*(1+Sheet1!L10),"")</f>
        <v>0.38203492472262773</v>
      </c>
      <c r="AN26" s="304">
        <f ca="1">IF(agrPAMS,$J$26*(1+Sheet1!M10),"")</f>
        <v>0.38903922563866788</v>
      </c>
      <c r="AO26" s="304" t="str">
        <f ca="1">IF($B26&lt;&gt;"PRC_RESID","",IF(#REF!=2005+OFFSET(AGR!$B$51,$AR26,SUMIF($B$10:$B$14,"NCAP_TLIFE",$AS$10:$AS$14)),0,""))</f>
        <v/>
      </c>
      <c r="AP26" s="304">
        <f ca="1">AN26</f>
        <v>0.38903922563866788</v>
      </c>
      <c r="AQ26" s="137">
        <f>IF(AR25=AGR!$AD$74,AQ25+1,AQ25)</f>
        <v>1</v>
      </c>
      <c r="AR26" s="137">
        <f t="shared" si="3"/>
        <v>11</v>
      </c>
    </row>
    <row r="27" spans="1:44">
      <c r="A27" s="137" t="str">
        <f ca="1">IF(LEFT(OFFSET(AGR!$A$51,AR27,0),2)="\I","*","")</f>
        <v/>
      </c>
      <c r="B27" s="212" t="str">
        <f t="shared" ca="1" si="0"/>
        <v>ACT_EFF</v>
      </c>
      <c r="C27" s="212" t="str">
        <f ca="1">IF($A27="*","",OFFSET(AGR!$B$51,AR27,0))</f>
        <v>ATELC-E</v>
      </c>
      <c r="D27" s="212" t="str">
        <f t="shared" ca="1" si="2"/>
        <v>-</v>
      </c>
      <c r="E27" s="212" t="str">
        <f t="shared" ca="1" si="1"/>
        <v>ACTGRP</v>
      </c>
      <c r="F27" s="212" t="str">
        <f t="shared" ca="1" si="1"/>
        <v>-</v>
      </c>
      <c r="G27" s="212" t="str">
        <f t="shared" ca="1" si="1"/>
        <v>ANNUAL</v>
      </c>
      <c r="H27" s="212" t="str">
        <f t="shared" ca="1" si="1"/>
        <v>-</v>
      </c>
      <c r="I27" s="213">
        <f t="shared" ca="1" si="1"/>
        <v>0</v>
      </c>
      <c r="J27" s="296">
        <f t="array" aca="1" ref="J27" ca="1">IF($A27="*","",IFERROR(INDEX(AGR!$E$52:$L$73,MATCH('TS DTech'!$C27,AGR!$B$52:$B$73,0),MATCH('TS DTech'!$B27&amp;J$7,AGR!$E$46:$L$46&amp;AGR!$E$48:$L$48,0)),""))</f>
        <v>0.95</v>
      </c>
      <c r="K27" s="296" t="str">
        <f t="array" aca="1" ref="K27" ca="1">IF($A27="*","",IFERROR(INDEX(AGR!$E$52:$L$73,MATCH('TS DTech'!$C27,AGR!$B$52:$B$73,0),MATCH('TS DTech'!$B27&amp;K$7,AGR!$E$46:$L$46&amp;AGR!$E$48:$L$48,0)),""))</f>
        <v/>
      </c>
      <c r="L27" s="296" t="str">
        <f t="array" aca="1" ref="L27" ca="1">IF($A27="*","",IFERROR(INDEX(AGR!$E$52:$L$73,MATCH('TS DTech'!$C27,AGR!$B$52:$B$73,0),MATCH('TS DTech'!$B27&amp;L$7,AGR!$E$46:$L$46&amp;AGR!$E$48:$L$48,0)),""))</f>
        <v/>
      </c>
      <c r="M27" s="296" t="str">
        <f t="array" aca="1" ref="M27" ca="1">IF($A27="*","",IFERROR(INDEX(AGR!$E$52:$L$73,MATCH('TS DTech'!$C27,AGR!$B$52:$B$73,0),MATCH('TS DTech'!$B27&amp;M$7,AGR!$E$46:$L$46&amp;AGR!$E$48:$L$48,0)),""))</f>
        <v/>
      </c>
      <c r="N27" s="296" t="str">
        <f t="array" aca="1" ref="N27" ca="1">IF($A27="*","",IFERROR(INDEX(AGR!$E$52:$L$73,MATCH('TS DTech'!$C27,AGR!$B$52:$B$73,0),MATCH('TS DTech'!$B27&amp;N$7,AGR!$E$46:$L$46&amp;AGR!$E$48:$L$48,0)),""))</f>
        <v/>
      </c>
      <c r="O27" s="296">
        <f t="array" aca="1" ref="O27" ca="1">IF($A27="*","",IFERROR(INDEX(AGR!$E$52:$L$73,MATCH('TS DTech'!$C27,AGR!$B$52:$B$73,0),MATCH('TS DTech'!$B27&amp;O$7,AGR!$E$46:$L$46&amp;AGR!$E$48:$L$48,0)),""))</f>
        <v>0.95</v>
      </c>
      <c r="P27" s="296" t="str">
        <f t="array" aca="1" ref="P27" ca="1">IF($A27="*","",IFERROR(INDEX(AGR!$E$52:$L$73,MATCH('TS DTech'!$C27,AGR!$B$52:$B$73,0),MATCH('TS DTech'!$B27&amp;P$7,AGR!$E$46:$L$46&amp;AGR!$E$48:$L$48,0)),""))</f>
        <v/>
      </c>
      <c r="Q27" s="296" t="str">
        <f t="array" aca="1" ref="Q27" ca="1">IF($A27="*","",IFERROR(INDEX(AGR!$E$52:$L$73,MATCH('TS DTech'!$C27,AGR!$B$52:$B$73,0),MATCH('TS DTech'!$B27&amp;Q$7,AGR!$E$46:$L$46&amp;AGR!$E$48:$L$48,0)),""))</f>
        <v/>
      </c>
      <c r="R27" s="296" t="str">
        <f t="array" aca="1" ref="R27" ca="1">IF($A27="*","",IFERROR(INDEX(AGR!$E$52:$L$73,MATCH('TS DTech'!$C27,AGR!$B$52:$B$73,0),MATCH('TS DTech'!$B27&amp;R$7,AGR!$E$46:$L$46&amp;AGR!$E$48:$L$48,0)),""))</f>
        <v/>
      </c>
      <c r="S27" s="296" t="str">
        <f t="array" aca="1" ref="S27" ca="1">IF($A27="*","",IFERROR(INDEX(AGR!$E$52:$L$73,MATCH('TS DTech'!$C27,AGR!$B$52:$B$73,0),MATCH('TS DTech'!$B27&amp;S$7,AGR!$E$46:$L$46&amp;AGR!$E$48:$L$48,0)),""))</f>
        <v/>
      </c>
      <c r="T27" s="296" t="str">
        <f t="array" aca="1" ref="T27" ca="1">IF($A27="*","",IFERROR(INDEX(AGR!$E$52:$L$73,MATCH('TS DTech'!$C27,AGR!$B$52:$B$73,0),MATCH('TS DTech'!$B27&amp;T$7,AGR!$E$46:$L$46&amp;AGR!$E$48:$L$48,0)),""))</f>
        <v/>
      </c>
      <c r="U27" s="296" t="str">
        <f t="array" aca="1" ref="U27" ca="1">IF($A27="*","",IFERROR(INDEX(AGR!$E$52:$L$73,MATCH('TS DTech'!$C27,AGR!$B$52:$B$73,0),MATCH('TS DTech'!$B27&amp;U$7,AGR!$E$46:$L$46&amp;AGR!$E$48:$L$48,0)),""))</f>
        <v/>
      </c>
      <c r="V27" s="296" t="str">
        <f t="array" aca="1" ref="V27" ca="1">IF($A27="*","",IFERROR(INDEX(AGR!$E$52:$L$73,MATCH('TS DTech'!$C27,AGR!$B$52:$B$73,0),MATCH('TS DTech'!$B27&amp;V$7,AGR!$E$46:$L$46&amp;AGR!$E$48:$L$48,0)),""))</f>
        <v/>
      </c>
      <c r="W27" s="296" t="str">
        <f t="array" aca="1" ref="W27" ca="1">IF($A27="*","",IFERROR(INDEX(AGR!$E$52:$L$73,MATCH('TS DTech'!$C27,AGR!$B$52:$B$73,0),MATCH('TS DTech'!$B27&amp;W$7,AGR!$E$46:$L$46&amp;AGR!$E$48:$L$48,0)),""))</f>
        <v/>
      </c>
      <c r="X27" s="296" t="str">
        <f t="array" aca="1" ref="X27" ca="1">IF($A27="*","",IFERROR(INDEX(AGR!$E$52:$L$73,MATCH('TS DTech'!$C27,AGR!$B$52:$B$73,0),MATCH('TS DTech'!$B27&amp;X$7,AGR!$E$46:$L$46&amp;AGR!$E$48:$L$48,0)),""))</f>
        <v/>
      </c>
      <c r="Y27" s="296" t="str">
        <f t="array" aca="1" ref="Y27" ca="1">IF($A27="*","",IFERROR(INDEX(AGR!$E$52:$L$73,MATCH('TS DTech'!$C27,AGR!$B$52:$B$73,0),MATCH('TS DTech'!$B27&amp;Y$7,AGR!$E$46:$L$46&amp;AGR!$E$48:$L$48,0)),""))</f>
        <v/>
      </c>
      <c r="Z27" s="296" t="str">
        <f t="array" aca="1" ref="Z27" ca="1">IF($A27="*","",IFERROR(INDEX(AGR!$E$52:$L$73,MATCH('TS DTech'!$C27,AGR!$B$52:$B$73,0),MATCH('TS DTech'!$B27&amp;Z$7,AGR!$E$46:$L$46&amp;AGR!$E$48:$L$48,0)),""))</f>
        <v/>
      </c>
      <c r="AA27" s="296" t="str">
        <f t="array" aca="1" ref="AA27" ca="1">IF($A27="*","",IFERROR(INDEX(AGR!$E$52:$L$73,MATCH('TS DTech'!$C27,AGR!$B$52:$B$73,0),MATCH('TS DTech'!$B27&amp;AA$7,AGR!$E$46:$L$46&amp;AGR!$E$48:$L$48,0)),""))</f>
        <v/>
      </c>
      <c r="AB27" s="296" t="str">
        <f t="array" aca="1" ref="AB27" ca="1">IF($A27="*","",IFERROR(INDEX(AGR!$E$52:$L$73,MATCH('TS DTech'!$C27,AGR!$B$52:$B$73,0),MATCH('TS DTech'!$B27&amp;AB$7,AGR!$E$46:$L$46&amp;AGR!$E$48:$L$48,0)),""))</f>
        <v/>
      </c>
      <c r="AC27" s="296" t="str">
        <f t="array" aca="1" ref="AC27" ca="1">IF($A27="*","",IFERROR(INDEX(AGR!$E$52:$L$73,MATCH('TS DTech'!$C27,AGR!$B$52:$B$73,0),MATCH('TS DTech'!$B27&amp;AC$7,AGR!$E$46:$L$46&amp;AGR!$E$48:$L$48,0)),""))</f>
        <v/>
      </c>
      <c r="AD27" s="296" t="str">
        <f t="array" aca="1" ref="AD27" ca="1">IF($A27="*","",IFERROR(INDEX(AGR!$E$52:$L$73,MATCH('TS DTech'!$C27,AGR!$B$52:$B$73,0),MATCH('TS DTech'!$B27&amp;AD$7,AGR!$E$46:$L$46&amp;AGR!$E$48:$L$48,0)),""))</f>
        <v/>
      </c>
      <c r="AE27" s="296" t="str">
        <f t="array" aca="1" ref="AE27" ca="1">IF($A27="*","",IFERROR(INDEX(AGR!$E$52:$L$73,MATCH('TS DTech'!$C27,AGR!$B$52:$B$73,0),MATCH('TS DTech'!$B27&amp;AE$7,AGR!$E$46:$L$46&amp;AGR!$E$48:$L$48,0)),""))</f>
        <v/>
      </c>
      <c r="AF27" s="296" t="str">
        <f t="array" aca="1" ref="AF27" ca="1">IF($A27="*","",IFERROR(INDEX(AGR!$E$52:$L$73,MATCH('TS DTech'!$C27,AGR!$B$52:$B$73,0),MATCH('TS DTech'!$B27&amp;AF$7,AGR!$E$46:$L$46&amp;AGR!$E$48:$L$48,0)),""))</f>
        <v/>
      </c>
      <c r="AG27" s="296" t="str">
        <f t="array" aca="1" ref="AG27" ca="1">IF($A27="*","",IFERROR(INDEX(AGR!$E$52:$L$73,MATCH('TS DTech'!$C27,AGR!$B$52:$B$73,0),MATCH('TS DTech'!$B27&amp;AG$7,AGR!$E$46:$L$46&amp;AGR!$E$48:$L$48,0)),""))</f>
        <v/>
      </c>
      <c r="AH27" s="296" t="str">
        <f t="array" aca="1" ref="AH27" ca="1">IF($A27="*","",IFERROR(INDEX(AGR!$E$52:$L$73,MATCH('TS DTech'!$C27,AGR!$B$52:$B$73,0),MATCH('TS DTech'!$B27&amp;AH$7,AGR!$E$46:$L$46&amp;AGR!$E$48:$L$48,0)),""))</f>
        <v/>
      </c>
      <c r="AI27" s="296" t="str">
        <f t="array" aca="1" ref="AI27" ca="1">IF($A27="*","",IFERROR(INDEX(AGR!$E$52:$L$73,MATCH('TS DTech'!$C27,AGR!$B$52:$B$73,0),MATCH('TS DTech'!$B27&amp;AI$7,AGR!$E$46:$L$46&amp;AGR!$E$48:$L$48,0)),""))</f>
        <v/>
      </c>
      <c r="AJ27" s="296" t="str">
        <f t="array" aca="1" ref="AJ27" ca="1">IF($A27="*","",IFERROR(INDEX(AGR!$E$52:$L$73,MATCH('TS DTech'!$C27,AGR!$B$52:$B$73,0),MATCH('TS DTech'!$B27&amp;AJ$7,AGR!$E$46:$L$46&amp;AGR!$E$48:$L$48,0)),""))</f>
        <v/>
      </c>
      <c r="AK27" s="296" t="str">
        <f t="array" aca="1" ref="AK27" ca="1">IF($A27="*","",IFERROR(INDEX(AGR!$E$52:$L$73,MATCH('TS DTech'!$C27,AGR!$B$52:$B$73,0),MATCH('TS DTech'!$B27&amp;AK$7,AGR!$E$46:$L$46&amp;AGR!$E$48:$L$48,0)),""))</f>
        <v/>
      </c>
      <c r="AL27" s="296" t="str">
        <f t="array" aca="1" ref="AL27" ca="1">IF($A27="*","",IFERROR(INDEX(AGR!$E$52:$L$73,MATCH('TS DTech'!$C27,AGR!$B$52:$B$73,0),MATCH('TS DTech'!$B27&amp;AL$7,AGR!$E$46:$L$46&amp;AGR!$E$48:$L$48,0)),""))</f>
        <v/>
      </c>
      <c r="AM27" s="296" t="str">
        <f t="array" aca="1" ref="AM27" ca="1">IF($A27="*","",IFERROR(INDEX(AGR!$E$52:$L$73,MATCH('TS DTech'!$C27,AGR!$B$52:$B$73,0),MATCH('TS DTech'!$B27&amp;AM$7,AGR!$E$46:$L$46&amp;AGR!$E$48:$L$48,0)),""))</f>
        <v/>
      </c>
      <c r="AN27" s="296" t="str">
        <f t="array" aca="1" ref="AN27" ca="1">IF($A27="*","",IFERROR(INDEX(AGR!$E$52:$L$73,MATCH('TS DTech'!$C27,AGR!$B$52:$B$73,0),MATCH('TS DTech'!$B27&amp;AN$7,AGR!$E$46:$L$46&amp;AGR!$E$48:$L$48,0)),""))</f>
        <v/>
      </c>
      <c r="AO27" s="296" t="str">
        <f t="array" aca="1" ref="AO27" ca="1">IF($A27="*","",IFERROR(INDEX(AGR!$E$52:$L$73,MATCH('TS DTech'!$C27,AGR!$B$52:$B$73,0),MATCH('TS DTech'!$B27&amp;AO$7,AGR!$E$46:$L$46&amp;AGR!$E$48:$L$48,0)),""))</f>
        <v/>
      </c>
      <c r="AP27" s="296" t="str">
        <f t="array" aca="1" ref="AP27" ca="1">IF($A27="*","",IFERROR(INDEX(AGR!$E$52:$L$73,MATCH('TS DTech'!$C27,AGR!$B$52:$B$73,0),MATCH('TS DTech'!$B27&amp;AP$7,AGR!$E$46:$L$46&amp;AGR!$E$48:$L$48,0)),""))</f>
        <v/>
      </c>
      <c r="AQ27" s="137">
        <f>IF(AR26=AGR!$AD$74,AQ26+1,AQ26)</f>
        <v>1</v>
      </c>
      <c r="AR27" s="137">
        <f t="shared" si="3"/>
        <v>12</v>
      </c>
    </row>
    <row r="28" spans="1:44">
      <c r="A28" s="137" t="str">
        <f ca="1">IF(LEFT(OFFSET(AGR!$A$51,AR28,0),2)="\I","*","")</f>
        <v/>
      </c>
      <c r="B28" s="212" t="str">
        <f t="shared" ca="1" si="0"/>
        <v>ACT_EFF</v>
      </c>
      <c r="C28" s="212" t="str">
        <f ca="1">IF($A28="*","",OFFSET(AGR!$B$51,AR28,0))</f>
        <v>ATOGS-E</v>
      </c>
      <c r="D28" s="212" t="str">
        <f t="shared" ca="1" si="2"/>
        <v>-</v>
      </c>
      <c r="E28" s="212" t="str">
        <f t="shared" ca="1" si="1"/>
        <v>ACTGRP</v>
      </c>
      <c r="F28" s="212" t="str">
        <f t="shared" ca="1" si="1"/>
        <v>-</v>
      </c>
      <c r="G28" s="212" t="str">
        <f t="shared" ca="1" si="1"/>
        <v>ANNUAL</v>
      </c>
      <c r="H28" s="212" t="str">
        <f t="shared" ca="1" si="1"/>
        <v>-</v>
      </c>
      <c r="I28" s="213">
        <f t="shared" ca="1" si="1"/>
        <v>0</v>
      </c>
      <c r="J28" s="296">
        <f t="array" aca="1" ref="J28" ca="1">IF($A28="*","",IFERROR(INDEX(AGR!$E$52:$L$73,MATCH('TS DTech'!$C28,AGR!$B$52:$B$73,0),MATCH('TS DTech'!$B28&amp;J$7,AGR!$E$46:$L$46&amp;AGR!$E$48:$L$48,0)),""))</f>
        <v>0.25</v>
      </c>
      <c r="K28" s="296" t="str">
        <f t="array" aca="1" ref="K28" ca="1">IF($A28="*","",IFERROR(INDEX(AGR!$E$52:$L$73,MATCH('TS DTech'!$C28,AGR!$B$52:$B$73,0),MATCH('TS DTech'!$B28&amp;K$7,AGR!$E$46:$L$46&amp;AGR!$E$48:$L$48,0)),""))</f>
        <v/>
      </c>
      <c r="L28" s="296" t="str">
        <f t="array" aca="1" ref="L28" ca="1">IF($A28="*","",IFERROR(INDEX(AGR!$E$52:$L$73,MATCH('TS DTech'!$C28,AGR!$B$52:$B$73,0),MATCH('TS DTech'!$B28&amp;L$7,AGR!$E$46:$L$46&amp;AGR!$E$48:$L$48,0)),""))</f>
        <v/>
      </c>
      <c r="M28" s="296" t="str">
        <f t="array" aca="1" ref="M28" ca="1">IF($A28="*","",IFERROR(INDEX(AGR!$E$52:$L$73,MATCH('TS DTech'!$C28,AGR!$B$52:$B$73,0),MATCH('TS DTech'!$B28&amp;M$7,AGR!$E$46:$L$46&amp;AGR!$E$48:$L$48,0)),""))</f>
        <v/>
      </c>
      <c r="N28" s="296" t="str">
        <f t="array" aca="1" ref="N28" ca="1">IF($A28="*","",IFERROR(INDEX(AGR!$E$52:$L$73,MATCH('TS DTech'!$C28,AGR!$B$52:$B$73,0),MATCH('TS DTech'!$B28&amp;N$7,AGR!$E$46:$L$46&amp;AGR!$E$48:$L$48,0)),""))</f>
        <v/>
      </c>
      <c r="O28" s="296">
        <f t="array" aca="1" ref="O28" ca="1">IF($A28="*","",IFERROR(INDEX(AGR!$E$52:$L$73,MATCH('TS DTech'!$C28,AGR!$B$52:$B$73,0),MATCH('TS DTech'!$B28&amp;O$7,AGR!$E$46:$L$46&amp;AGR!$E$48:$L$48,0)),""))</f>
        <v>0.25</v>
      </c>
      <c r="P28" s="296" t="str">
        <f t="array" aca="1" ref="P28" ca="1">IF($A28="*","",IFERROR(INDEX(AGR!$E$52:$L$73,MATCH('TS DTech'!$C28,AGR!$B$52:$B$73,0),MATCH('TS DTech'!$B28&amp;P$7,AGR!$E$46:$L$46&amp;AGR!$E$48:$L$48,0)),""))</f>
        <v/>
      </c>
      <c r="Q28" s="296" t="str">
        <f t="array" aca="1" ref="Q28" ca="1">IF($A28="*","",IFERROR(INDEX(AGR!$E$52:$L$73,MATCH('TS DTech'!$C28,AGR!$B$52:$B$73,0),MATCH('TS DTech'!$B28&amp;Q$7,AGR!$E$46:$L$46&amp;AGR!$E$48:$L$48,0)),""))</f>
        <v/>
      </c>
      <c r="R28" s="296" t="str">
        <f t="array" aca="1" ref="R28" ca="1">IF($A28="*","",IFERROR(INDEX(AGR!$E$52:$L$73,MATCH('TS DTech'!$C28,AGR!$B$52:$B$73,0),MATCH('TS DTech'!$B28&amp;R$7,AGR!$E$46:$L$46&amp;AGR!$E$48:$L$48,0)),""))</f>
        <v/>
      </c>
      <c r="S28" s="296" t="str">
        <f t="array" aca="1" ref="S28" ca="1">IF($A28="*","",IFERROR(INDEX(AGR!$E$52:$L$73,MATCH('TS DTech'!$C28,AGR!$B$52:$B$73,0),MATCH('TS DTech'!$B28&amp;S$7,AGR!$E$46:$L$46&amp;AGR!$E$48:$L$48,0)),""))</f>
        <v/>
      </c>
      <c r="T28" s="296" t="str">
        <f t="array" aca="1" ref="T28" ca="1">IF($A28="*","",IFERROR(INDEX(AGR!$E$52:$L$73,MATCH('TS DTech'!$C28,AGR!$B$52:$B$73,0),MATCH('TS DTech'!$B28&amp;T$7,AGR!$E$46:$L$46&amp;AGR!$E$48:$L$48,0)),""))</f>
        <v/>
      </c>
      <c r="U28" s="296" t="str">
        <f t="array" aca="1" ref="U28" ca="1">IF($A28="*","",IFERROR(INDEX(AGR!$E$52:$L$73,MATCH('TS DTech'!$C28,AGR!$B$52:$B$73,0),MATCH('TS DTech'!$B28&amp;U$7,AGR!$E$46:$L$46&amp;AGR!$E$48:$L$48,0)),""))</f>
        <v/>
      </c>
      <c r="V28" s="296" t="str">
        <f t="array" aca="1" ref="V28" ca="1">IF($A28="*","",IFERROR(INDEX(AGR!$E$52:$L$73,MATCH('TS DTech'!$C28,AGR!$B$52:$B$73,0),MATCH('TS DTech'!$B28&amp;V$7,AGR!$E$46:$L$46&amp;AGR!$E$48:$L$48,0)),""))</f>
        <v/>
      </c>
      <c r="W28" s="296" t="str">
        <f t="array" aca="1" ref="W28" ca="1">IF($A28="*","",IFERROR(INDEX(AGR!$E$52:$L$73,MATCH('TS DTech'!$C28,AGR!$B$52:$B$73,0),MATCH('TS DTech'!$B28&amp;W$7,AGR!$E$46:$L$46&amp;AGR!$E$48:$L$48,0)),""))</f>
        <v/>
      </c>
      <c r="X28" s="296" t="str">
        <f t="array" aca="1" ref="X28" ca="1">IF($A28="*","",IFERROR(INDEX(AGR!$E$52:$L$73,MATCH('TS DTech'!$C28,AGR!$B$52:$B$73,0),MATCH('TS DTech'!$B28&amp;X$7,AGR!$E$46:$L$46&amp;AGR!$E$48:$L$48,0)),""))</f>
        <v/>
      </c>
      <c r="Y28" s="296" t="str">
        <f t="array" aca="1" ref="Y28" ca="1">IF($A28="*","",IFERROR(INDEX(AGR!$E$52:$L$73,MATCH('TS DTech'!$C28,AGR!$B$52:$B$73,0),MATCH('TS DTech'!$B28&amp;Y$7,AGR!$E$46:$L$46&amp;AGR!$E$48:$L$48,0)),""))</f>
        <v/>
      </c>
      <c r="Z28" s="296" t="str">
        <f t="array" aca="1" ref="Z28" ca="1">IF($A28="*","",IFERROR(INDEX(AGR!$E$52:$L$73,MATCH('TS DTech'!$C28,AGR!$B$52:$B$73,0),MATCH('TS DTech'!$B28&amp;Z$7,AGR!$E$46:$L$46&amp;AGR!$E$48:$L$48,0)),""))</f>
        <v/>
      </c>
      <c r="AA28" s="296" t="str">
        <f t="array" aca="1" ref="AA28" ca="1">IF($A28="*","",IFERROR(INDEX(AGR!$E$52:$L$73,MATCH('TS DTech'!$C28,AGR!$B$52:$B$73,0),MATCH('TS DTech'!$B28&amp;AA$7,AGR!$E$46:$L$46&amp;AGR!$E$48:$L$48,0)),""))</f>
        <v/>
      </c>
      <c r="AB28" s="296" t="str">
        <f t="array" aca="1" ref="AB28" ca="1">IF($A28="*","",IFERROR(INDEX(AGR!$E$52:$L$73,MATCH('TS DTech'!$C28,AGR!$B$52:$B$73,0),MATCH('TS DTech'!$B28&amp;AB$7,AGR!$E$46:$L$46&amp;AGR!$E$48:$L$48,0)),""))</f>
        <v/>
      </c>
      <c r="AC28" s="296" t="str">
        <f t="array" aca="1" ref="AC28" ca="1">IF($A28="*","",IFERROR(INDEX(AGR!$E$52:$L$73,MATCH('TS DTech'!$C28,AGR!$B$52:$B$73,0),MATCH('TS DTech'!$B28&amp;AC$7,AGR!$E$46:$L$46&amp;AGR!$E$48:$L$48,0)),""))</f>
        <v/>
      </c>
      <c r="AD28" s="296" t="str">
        <f t="array" aca="1" ref="AD28" ca="1">IF($A28="*","",IFERROR(INDEX(AGR!$E$52:$L$73,MATCH('TS DTech'!$C28,AGR!$B$52:$B$73,0),MATCH('TS DTech'!$B28&amp;AD$7,AGR!$E$46:$L$46&amp;AGR!$E$48:$L$48,0)),""))</f>
        <v/>
      </c>
      <c r="AE28" s="296" t="str">
        <f t="array" aca="1" ref="AE28" ca="1">IF($A28="*","",IFERROR(INDEX(AGR!$E$52:$L$73,MATCH('TS DTech'!$C28,AGR!$B$52:$B$73,0),MATCH('TS DTech'!$B28&amp;AE$7,AGR!$E$46:$L$46&amp;AGR!$E$48:$L$48,0)),""))</f>
        <v/>
      </c>
      <c r="AF28" s="296" t="str">
        <f t="array" aca="1" ref="AF28" ca="1">IF($A28="*","",IFERROR(INDEX(AGR!$E$52:$L$73,MATCH('TS DTech'!$C28,AGR!$B$52:$B$73,0),MATCH('TS DTech'!$B28&amp;AF$7,AGR!$E$46:$L$46&amp;AGR!$E$48:$L$48,0)),""))</f>
        <v/>
      </c>
      <c r="AG28" s="296" t="str">
        <f t="array" aca="1" ref="AG28" ca="1">IF($A28="*","",IFERROR(INDEX(AGR!$E$52:$L$73,MATCH('TS DTech'!$C28,AGR!$B$52:$B$73,0),MATCH('TS DTech'!$B28&amp;AG$7,AGR!$E$46:$L$46&amp;AGR!$E$48:$L$48,0)),""))</f>
        <v/>
      </c>
      <c r="AH28" s="296" t="str">
        <f t="array" aca="1" ref="AH28" ca="1">IF($A28="*","",IFERROR(INDEX(AGR!$E$52:$L$73,MATCH('TS DTech'!$C28,AGR!$B$52:$B$73,0),MATCH('TS DTech'!$B28&amp;AH$7,AGR!$E$46:$L$46&amp;AGR!$E$48:$L$48,0)),""))</f>
        <v/>
      </c>
      <c r="AI28" s="296" t="str">
        <f t="array" aca="1" ref="AI28" ca="1">IF($A28="*","",IFERROR(INDEX(AGR!$E$52:$L$73,MATCH('TS DTech'!$C28,AGR!$B$52:$B$73,0),MATCH('TS DTech'!$B28&amp;AI$7,AGR!$E$46:$L$46&amp;AGR!$E$48:$L$48,0)),""))</f>
        <v/>
      </c>
      <c r="AJ28" s="296" t="str">
        <f t="array" aca="1" ref="AJ28" ca="1">IF($A28="*","",IFERROR(INDEX(AGR!$E$52:$L$73,MATCH('TS DTech'!$C28,AGR!$B$52:$B$73,0),MATCH('TS DTech'!$B28&amp;AJ$7,AGR!$E$46:$L$46&amp;AGR!$E$48:$L$48,0)),""))</f>
        <v/>
      </c>
      <c r="AK28" s="296" t="str">
        <f t="array" aca="1" ref="AK28" ca="1">IF($A28="*","",IFERROR(INDEX(AGR!$E$52:$L$73,MATCH('TS DTech'!$C28,AGR!$B$52:$B$73,0),MATCH('TS DTech'!$B28&amp;AK$7,AGR!$E$46:$L$46&amp;AGR!$E$48:$L$48,0)),""))</f>
        <v/>
      </c>
      <c r="AL28" s="296" t="str">
        <f t="array" aca="1" ref="AL28" ca="1">IF($A28="*","",IFERROR(INDEX(AGR!$E$52:$L$73,MATCH('TS DTech'!$C28,AGR!$B$52:$B$73,0),MATCH('TS DTech'!$B28&amp;AL$7,AGR!$E$46:$L$46&amp;AGR!$E$48:$L$48,0)),""))</f>
        <v/>
      </c>
      <c r="AM28" s="296" t="str">
        <f t="array" aca="1" ref="AM28" ca="1">IF($A28="*","",IFERROR(INDEX(AGR!$E$52:$L$73,MATCH('TS DTech'!$C28,AGR!$B$52:$B$73,0),MATCH('TS DTech'!$B28&amp;AM$7,AGR!$E$46:$L$46&amp;AGR!$E$48:$L$48,0)),""))</f>
        <v/>
      </c>
      <c r="AN28" s="296" t="str">
        <f t="array" aca="1" ref="AN28" ca="1">IF($A28="*","",IFERROR(INDEX(AGR!$E$52:$L$73,MATCH('TS DTech'!$C28,AGR!$B$52:$B$73,0),MATCH('TS DTech'!$B28&amp;AN$7,AGR!$E$46:$L$46&amp;AGR!$E$48:$L$48,0)),""))</f>
        <v/>
      </c>
      <c r="AO28" s="296" t="str">
        <f t="array" aca="1" ref="AO28" ca="1">IF($A28="*","",IFERROR(INDEX(AGR!$E$52:$L$73,MATCH('TS DTech'!$C28,AGR!$B$52:$B$73,0),MATCH('TS DTech'!$B28&amp;AO$7,AGR!$E$46:$L$46&amp;AGR!$E$48:$L$48,0)),""))</f>
        <v/>
      </c>
      <c r="AP28" s="296" t="str">
        <f t="array" aca="1" ref="AP28" ca="1">IF($A28="*","",IFERROR(INDEX(AGR!$E$52:$L$73,MATCH('TS DTech'!$C28,AGR!$B$52:$B$73,0),MATCH('TS DTech'!$B28&amp;AP$7,AGR!$E$46:$L$46&amp;AGR!$E$48:$L$48,0)),""))</f>
        <v/>
      </c>
      <c r="AQ28" s="137">
        <f>IF(AR27=AGR!$AD$74,AQ27+1,AQ27)</f>
        <v>1</v>
      </c>
      <c r="AR28" s="137">
        <f t="shared" si="3"/>
        <v>13</v>
      </c>
    </row>
    <row r="29" spans="1:44">
      <c r="A29" s="137" t="str">
        <f ca="1">IF(LEFT(OFFSET(AGR!$A$51,AR29,0),2)="\I","*","")</f>
        <v>*</v>
      </c>
      <c r="B29" s="212" t="str">
        <f t="shared" ca="1" si="0"/>
        <v/>
      </c>
      <c r="C29" s="212" t="str">
        <f ca="1">IF($A29="*","",OFFSET(AGR!$B$51,AR29,0))</f>
        <v/>
      </c>
      <c r="D29" s="212" t="str">
        <f t="shared" ca="1" si="2"/>
        <v/>
      </c>
      <c r="E29" s="212" t="str">
        <f t="shared" ca="1" si="1"/>
        <v/>
      </c>
      <c r="F29" s="212" t="str">
        <f t="shared" ca="1" si="1"/>
        <v/>
      </c>
      <c r="G29" s="212" t="str">
        <f t="shared" ca="1" si="1"/>
        <v/>
      </c>
      <c r="H29" s="212" t="str">
        <f t="shared" ca="1" si="1"/>
        <v/>
      </c>
      <c r="I29" s="213" t="str">
        <f t="shared" ca="1" si="1"/>
        <v/>
      </c>
      <c r="J29" s="296" t="str">
        <f t="array" aca="1" ref="J29" ca="1">IF($A29="*","",IFERROR(INDEX(AGR!$E$52:$L$73,MATCH('TS DTech'!$C29,AGR!$B$52:$B$73,0),MATCH('TS DTech'!$B29&amp;J$7,AGR!$E$46:$L$46&amp;AGR!$E$48:$L$48,0)),""))</f>
        <v/>
      </c>
      <c r="K29" s="296" t="str">
        <f t="array" aca="1" ref="K29" ca="1">IF($A29="*","",IFERROR(INDEX(AGR!$E$52:$L$73,MATCH('TS DTech'!$C29,AGR!$B$52:$B$73,0),MATCH('TS DTech'!$B29&amp;K$7,AGR!$E$46:$L$46&amp;AGR!$E$48:$L$48,0)),""))</f>
        <v/>
      </c>
      <c r="L29" s="296" t="str">
        <f t="array" aca="1" ref="L29" ca="1">IF($A29="*","",IFERROR(INDEX(AGR!$E$52:$L$73,MATCH('TS DTech'!$C29,AGR!$B$52:$B$73,0),MATCH('TS DTech'!$B29&amp;L$7,AGR!$E$46:$L$46&amp;AGR!$E$48:$L$48,0)),""))</f>
        <v/>
      </c>
      <c r="M29" s="296" t="str">
        <f t="array" aca="1" ref="M29" ca="1">IF($A29="*","",IFERROR(INDEX(AGR!$E$52:$L$73,MATCH('TS DTech'!$C29,AGR!$B$52:$B$73,0),MATCH('TS DTech'!$B29&amp;M$7,AGR!$E$46:$L$46&amp;AGR!$E$48:$L$48,0)),""))</f>
        <v/>
      </c>
      <c r="N29" s="296" t="str">
        <f t="array" aca="1" ref="N29" ca="1">IF($A29="*","",IFERROR(INDEX(AGR!$E$52:$L$73,MATCH('TS DTech'!$C29,AGR!$B$52:$B$73,0),MATCH('TS DTech'!$B29&amp;N$7,AGR!$E$46:$L$46&amp;AGR!$E$48:$L$48,0)),""))</f>
        <v/>
      </c>
      <c r="O29" s="296" t="str">
        <f t="array" aca="1" ref="O29" ca="1">IF($A29="*","",IFERROR(INDEX(AGR!$E$52:$L$73,MATCH('TS DTech'!$C29,AGR!$B$52:$B$73,0),MATCH('TS DTech'!$B29&amp;O$7,AGR!$E$46:$L$46&amp;AGR!$E$48:$L$48,0)),""))</f>
        <v/>
      </c>
      <c r="P29" s="296" t="str">
        <f t="array" aca="1" ref="P29" ca="1">IF($A29="*","",IFERROR(INDEX(AGR!$E$52:$L$73,MATCH('TS DTech'!$C29,AGR!$B$52:$B$73,0),MATCH('TS DTech'!$B29&amp;P$7,AGR!$E$46:$L$46&amp;AGR!$E$48:$L$48,0)),""))</f>
        <v/>
      </c>
      <c r="Q29" s="296" t="str">
        <f t="array" aca="1" ref="Q29" ca="1">IF($A29="*","",IFERROR(INDEX(AGR!$E$52:$L$73,MATCH('TS DTech'!$C29,AGR!$B$52:$B$73,0),MATCH('TS DTech'!$B29&amp;Q$7,AGR!$E$46:$L$46&amp;AGR!$E$48:$L$48,0)),""))</f>
        <v/>
      </c>
      <c r="R29" s="296" t="str">
        <f t="array" aca="1" ref="R29" ca="1">IF($A29="*","",IFERROR(INDEX(AGR!$E$52:$L$73,MATCH('TS DTech'!$C29,AGR!$B$52:$B$73,0),MATCH('TS DTech'!$B29&amp;R$7,AGR!$E$46:$L$46&amp;AGR!$E$48:$L$48,0)),""))</f>
        <v/>
      </c>
      <c r="S29" s="296" t="str">
        <f t="array" aca="1" ref="S29" ca="1">IF($A29="*","",IFERROR(INDEX(AGR!$E$52:$L$73,MATCH('TS DTech'!$C29,AGR!$B$52:$B$73,0),MATCH('TS DTech'!$B29&amp;S$7,AGR!$E$46:$L$46&amp;AGR!$E$48:$L$48,0)),""))</f>
        <v/>
      </c>
      <c r="T29" s="296" t="str">
        <f t="array" aca="1" ref="T29" ca="1">IF($A29="*","",IFERROR(INDEX(AGR!$E$52:$L$73,MATCH('TS DTech'!$C29,AGR!$B$52:$B$73,0),MATCH('TS DTech'!$B29&amp;T$7,AGR!$E$46:$L$46&amp;AGR!$E$48:$L$48,0)),""))</f>
        <v/>
      </c>
      <c r="U29" s="296" t="str">
        <f t="array" aca="1" ref="U29" ca="1">IF($A29="*","",IFERROR(INDEX(AGR!$E$52:$L$73,MATCH('TS DTech'!$C29,AGR!$B$52:$B$73,0),MATCH('TS DTech'!$B29&amp;U$7,AGR!$E$46:$L$46&amp;AGR!$E$48:$L$48,0)),""))</f>
        <v/>
      </c>
      <c r="V29" s="296" t="str">
        <f t="array" aca="1" ref="V29" ca="1">IF($A29="*","",IFERROR(INDEX(AGR!$E$52:$L$73,MATCH('TS DTech'!$C29,AGR!$B$52:$B$73,0),MATCH('TS DTech'!$B29&amp;V$7,AGR!$E$46:$L$46&amp;AGR!$E$48:$L$48,0)),""))</f>
        <v/>
      </c>
      <c r="W29" s="296" t="str">
        <f t="array" aca="1" ref="W29" ca="1">IF($A29="*","",IFERROR(INDEX(AGR!$E$52:$L$73,MATCH('TS DTech'!$C29,AGR!$B$52:$B$73,0),MATCH('TS DTech'!$B29&amp;W$7,AGR!$E$46:$L$46&amp;AGR!$E$48:$L$48,0)),""))</f>
        <v/>
      </c>
      <c r="X29" s="296" t="str">
        <f t="array" aca="1" ref="X29" ca="1">IF($A29="*","",IFERROR(INDEX(AGR!$E$52:$L$73,MATCH('TS DTech'!$C29,AGR!$B$52:$B$73,0),MATCH('TS DTech'!$B29&amp;X$7,AGR!$E$46:$L$46&amp;AGR!$E$48:$L$48,0)),""))</f>
        <v/>
      </c>
      <c r="Y29" s="296" t="str">
        <f t="array" aca="1" ref="Y29" ca="1">IF($A29="*","",IFERROR(INDEX(AGR!$E$52:$L$73,MATCH('TS DTech'!$C29,AGR!$B$52:$B$73,0),MATCH('TS DTech'!$B29&amp;Y$7,AGR!$E$46:$L$46&amp;AGR!$E$48:$L$48,0)),""))</f>
        <v/>
      </c>
      <c r="Z29" s="296" t="str">
        <f t="array" aca="1" ref="Z29" ca="1">IF($A29="*","",IFERROR(INDEX(AGR!$E$52:$L$73,MATCH('TS DTech'!$C29,AGR!$B$52:$B$73,0),MATCH('TS DTech'!$B29&amp;Z$7,AGR!$E$46:$L$46&amp;AGR!$E$48:$L$48,0)),""))</f>
        <v/>
      </c>
      <c r="AA29" s="296" t="str">
        <f t="array" aca="1" ref="AA29" ca="1">IF($A29="*","",IFERROR(INDEX(AGR!$E$52:$L$73,MATCH('TS DTech'!$C29,AGR!$B$52:$B$73,0),MATCH('TS DTech'!$B29&amp;AA$7,AGR!$E$46:$L$46&amp;AGR!$E$48:$L$48,0)),""))</f>
        <v/>
      </c>
      <c r="AB29" s="296" t="str">
        <f t="array" aca="1" ref="AB29" ca="1">IF($A29="*","",IFERROR(INDEX(AGR!$E$52:$L$73,MATCH('TS DTech'!$C29,AGR!$B$52:$B$73,0),MATCH('TS DTech'!$B29&amp;AB$7,AGR!$E$46:$L$46&amp;AGR!$E$48:$L$48,0)),""))</f>
        <v/>
      </c>
      <c r="AC29" s="296" t="str">
        <f t="array" aca="1" ref="AC29" ca="1">IF($A29="*","",IFERROR(INDEX(AGR!$E$52:$L$73,MATCH('TS DTech'!$C29,AGR!$B$52:$B$73,0),MATCH('TS DTech'!$B29&amp;AC$7,AGR!$E$46:$L$46&amp;AGR!$E$48:$L$48,0)),""))</f>
        <v/>
      </c>
      <c r="AD29" s="296" t="str">
        <f t="array" aca="1" ref="AD29" ca="1">IF($A29="*","",IFERROR(INDEX(AGR!$E$52:$L$73,MATCH('TS DTech'!$C29,AGR!$B$52:$B$73,0),MATCH('TS DTech'!$B29&amp;AD$7,AGR!$E$46:$L$46&amp;AGR!$E$48:$L$48,0)),""))</f>
        <v/>
      </c>
      <c r="AE29" s="296" t="str">
        <f t="array" aca="1" ref="AE29" ca="1">IF($A29="*","",IFERROR(INDEX(AGR!$E$52:$L$73,MATCH('TS DTech'!$C29,AGR!$B$52:$B$73,0),MATCH('TS DTech'!$B29&amp;AE$7,AGR!$E$46:$L$46&amp;AGR!$E$48:$L$48,0)),""))</f>
        <v/>
      </c>
      <c r="AF29" s="296" t="str">
        <f t="array" aca="1" ref="AF29" ca="1">IF($A29="*","",IFERROR(INDEX(AGR!$E$52:$L$73,MATCH('TS DTech'!$C29,AGR!$B$52:$B$73,0),MATCH('TS DTech'!$B29&amp;AF$7,AGR!$E$46:$L$46&amp;AGR!$E$48:$L$48,0)),""))</f>
        <v/>
      </c>
      <c r="AG29" s="296" t="str">
        <f t="array" aca="1" ref="AG29" ca="1">IF($A29="*","",IFERROR(INDEX(AGR!$E$52:$L$73,MATCH('TS DTech'!$C29,AGR!$B$52:$B$73,0),MATCH('TS DTech'!$B29&amp;AG$7,AGR!$E$46:$L$46&amp;AGR!$E$48:$L$48,0)),""))</f>
        <v/>
      </c>
      <c r="AH29" s="296" t="str">
        <f t="array" aca="1" ref="AH29" ca="1">IF($A29="*","",IFERROR(INDEX(AGR!$E$52:$L$73,MATCH('TS DTech'!$C29,AGR!$B$52:$B$73,0),MATCH('TS DTech'!$B29&amp;AH$7,AGR!$E$46:$L$46&amp;AGR!$E$48:$L$48,0)),""))</f>
        <v/>
      </c>
      <c r="AI29" s="296" t="str">
        <f t="array" aca="1" ref="AI29" ca="1">IF($A29="*","",IFERROR(INDEX(AGR!$E$52:$L$73,MATCH('TS DTech'!$C29,AGR!$B$52:$B$73,0),MATCH('TS DTech'!$B29&amp;AI$7,AGR!$E$46:$L$46&amp;AGR!$E$48:$L$48,0)),""))</f>
        <v/>
      </c>
      <c r="AJ29" s="296" t="str">
        <f t="array" aca="1" ref="AJ29" ca="1">IF($A29="*","",IFERROR(INDEX(AGR!$E$52:$L$73,MATCH('TS DTech'!$C29,AGR!$B$52:$B$73,0),MATCH('TS DTech'!$B29&amp;AJ$7,AGR!$E$46:$L$46&amp;AGR!$E$48:$L$48,0)),""))</f>
        <v/>
      </c>
      <c r="AK29" s="296" t="str">
        <f t="array" aca="1" ref="AK29" ca="1">IF($A29="*","",IFERROR(INDEX(AGR!$E$52:$L$73,MATCH('TS DTech'!$C29,AGR!$B$52:$B$73,0),MATCH('TS DTech'!$B29&amp;AK$7,AGR!$E$46:$L$46&amp;AGR!$E$48:$L$48,0)),""))</f>
        <v/>
      </c>
      <c r="AL29" s="296" t="str">
        <f t="array" aca="1" ref="AL29" ca="1">IF($A29="*","",IFERROR(INDEX(AGR!$E$52:$L$73,MATCH('TS DTech'!$C29,AGR!$B$52:$B$73,0),MATCH('TS DTech'!$B29&amp;AL$7,AGR!$E$46:$L$46&amp;AGR!$E$48:$L$48,0)),""))</f>
        <v/>
      </c>
      <c r="AM29" s="296" t="str">
        <f t="array" aca="1" ref="AM29" ca="1">IF($A29="*","",IFERROR(INDEX(AGR!$E$52:$L$73,MATCH('TS DTech'!$C29,AGR!$B$52:$B$73,0),MATCH('TS DTech'!$B29&amp;AM$7,AGR!$E$46:$L$46&amp;AGR!$E$48:$L$48,0)),""))</f>
        <v/>
      </c>
      <c r="AN29" s="296" t="str">
        <f t="array" aca="1" ref="AN29" ca="1">IF($A29="*","",IFERROR(INDEX(AGR!$E$52:$L$73,MATCH('TS DTech'!$C29,AGR!$B$52:$B$73,0),MATCH('TS DTech'!$B29&amp;AN$7,AGR!$E$46:$L$46&amp;AGR!$E$48:$L$48,0)),""))</f>
        <v/>
      </c>
      <c r="AO29" s="296" t="str">
        <f t="array" aca="1" ref="AO29" ca="1">IF($A29="*","",IFERROR(INDEX(AGR!$E$52:$L$73,MATCH('TS DTech'!$C29,AGR!$B$52:$B$73,0),MATCH('TS DTech'!$B29&amp;AO$7,AGR!$E$46:$L$46&amp;AGR!$E$48:$L$48,0)),""))</f>
        <v/>
      </c>
      <c r="AP29" s="296" t="str">
        <f t="array" aca="1" ref="AP29" ca="1">IF($A29="*","",IFERROR(INDEX(AGR!$E$52:$L$73,MATCH('TS DTech'!$C29,AGR!$B$52:$B$73,0),MATCH('TS DTech'!$B29&amp;AP$7,AGR!$E$46:$L$46&amp;AGR!$E$48:$L$48,0)),""))</f>
        <v/>
      </c>
      <c r="AQ29" s="137">
        <f>IF(AR28=AGR!$AD$74,AQ28+1,AQ28)</f>
        <v>1</v>
      </c>
      <c r="AR29" s="137">
        <f t="shared" si="3"/>
        <v>14</v>
      </c>
    </row>
    <row r="30" spans="1:44">
      <c r="A30" s="137" t="str">
        <f ca="1">IF(LEFT(OFFSET(AGR!$A$51,AR30,0),2)="\I","*","")</f>
        <v>*</v>
      </c>
      <c r="B30" s="212" t="str">
        <f t="shared" ca="1" si="0"/>
        <v/>
      </c>
      <c r="C30" s="212" t="str">
        <f ca="1">IF($A30="*","",OFFSET(AGR!$B$51,AR30,0))</f>
        <v/>
      </c>
      <c r="D30" s="212" t="str">
        <f t="shared" ca="1" si="2"/>
        <v/>
      </c>
      <c r="E30" s="212" t="str">
        <f t="shared" ca="1" si="1"/>
        <v/>
      </c>
      <c r="F30" s="212" t="str">
        <f t="shared" ca="1" si="1"/>
        <v/>
      </c>
      <c r="G30" s="212" t="str">
        <f t="shared" ca="1" si="1"/>
        <v/>
      </c>
      <c r="H30" s="212" t="str">
        <f t="shared" ca="1" si="1"/>
        <v/>
      </c>
      <c r="I30" s="213" t="str">
        <f t="shared" ca="1" si="1"/>
        <v/>
      </c>
      <c r="J30" s="296" t="str">
        <f t="array" aca="1" ref="J30" ca="1">IF($A30="*","",IFERROR(INDEX(AGR!$E$52:$L$73,MATCH('TS DTech'!$C30,AGR!$B$52:$B$73,0),MATCH('TS DTech'!$B30&amp;J$7,AGR!$E$46:$L$46&amp;AGR!$E$48:$L$48,0)),""))</f>
        <v/>
      </c>
      <c r="K30" s="296" t="str">
        <f t="array" aca="1" ref="K30" ca="1">IF($A30="*","",IFERROR(INDEX(AGR!$E$52:$L$73,MATCH('TS DTech'!$C30,AGR!$B$52:$B$73,0),MATCH('TS DTech'!$B30&amp;K$7,AGR!$E$46:$L$46&amp;AGR!$E$48:$L$48,0)),""))</f>
        <v/>
      </c>
      <c r="L30" s="296" t="str">
        <f t="array" aca="1" ref="L30" ca="1">IF($A30="*","",IFERROR(INDEX(AGR!$E$52:$L$73,MATCH('TS DTech'!$C30,AGR!$B$52:$B$73,0),MATCH('TS DTech'!$B30&amp;L$7,AGR!$E$46:$L$46&amp;AGR!$E$48:$L$48,0)),""))</f>
        <v/>
      </c>
      <c r="M30" s="296" t="str">
        <f t="array" aca="1" ref="M30" ca="1">IF($A30="*","",IFERROR(INDEX(AGR!$E$52:$L$73,MATCH('TS DTech'!$C30,AGR!$B$52:$B$73,0),MATCH('TS DTech'!$B30&amp;M$7,AGR!$E$46:$L$46&amp;AGR!$E$48:$L$48,0)),""))</f>
        <v/>
      </c>
      <c r="N30" s="296" t="str">
        <f t="array" aca="1" ref="N30" ca="1">IF($A30="*","",IFERROR(INDEX(AGR!$E$52:$L$73,MATCH('TS DTech'!$C30,AGR!$B$52:$B$73,0),MATCH('TS DTech'!$B30&amp;N$7,AGR!$E$46:$L$46&amp;AGR!$E$48:$L$48,0)),""))</f>
        <v/>
      </c>
      <c r="O30" s="296" t="str">
        <f t="array" aca="1" ref="O30" ca="1">IF($A30="*","",IFERROR(INDEX(AGR!$E$52:$L$73,MATCH('TS DTech'!$C30,AGR!$B$52:$B$73,0),MATCH('TS DTech'!$B30&amp;O$7,AGR!$E$46:$L$46&amp;AGR!$E$48:$L$48,0)),""))</f>
        <v/>
      </c>
      <c r="P30" s="296" t="str">
        <f t="array" aca="1" ref="P30" ca="1">IF($A30="*","",IFERROR(INDEX(AGR!$E$52:$L$73,MATCH('TS DTech'!$C30,AGR!$B$52:$B$73,0),MATCH('TS DTech'!$B30&amp;P$7,AGR!$E$46:$L$46&amp;AGR!$E$48:$L$48,0)),""))</f>
        <v/>
      </c>
      <c r="Q30" s="296" t="str">
        <f t="array" aca="1" ref="Q30" ca="1">IF($A30="*","",IFERROR(INDEX(AGR!$E$52:$L$73,MATCH('TS DTech'!$C30,AGR!$B$52:$B$73,0),MATCH('TS DTech'!$B30&amp;Q$7,AGR!$E$46:$L$46&amp;AGR!$E$48:$L$48,0)),""))</f>
        <v/>
      </c>
      <c r="R30" s="296" t="str">
        <f t="array" aca="1" ref="R30" ca="1">IF($A30="*","",IFERROR(INDEX(AGR!$E$52:$L$73,MATCH('TS DTech'!$C30,AGR!$B$52:$B$73,0),MATCH('TS DTech'!$B30&amp;R$7,AGR!$E$46:$L$46&amp;AGR!$E$48:$L$48,0)),""))</f>
        <v/>
      </c>
      <c r="S30" s="296" t="str">
        <f t="array" aca="1" ref="S30" ca="1">IF($A30="*","",IFERROR(INDEX(AGR!$E$52:$L$73,MATCH('TS DTech'!$C30,AGR!$B$52:$B$73,0),MATCH('TS DTech'!$B30&amp;S$7,AGR!$E$46:$L$46&amp;AGR!$E$48:$L$48,0)),""))</f>
        <v/>
      </c>
      <c r="T30" s="296" t="str">
        <f t="array" aca="1" ref="T30" ca="1">IF($A30="*","",IFERROR(INDEX(AGR!$E$52:$L$73,MATCH('TS DTech'!$C30,AGR!$B$52:$B$73,0),MATCH('TS DTech'!$B30&amp;T$7,AGR!$E$46:$L$46&amp;AGR!$E$48:$L$48,0)),""))</f>
        <v/>
      </c>
      <c r="U30" s="296" t="str">
        <f t="array" aca="1" ref="U30" ca="1">IF($A30="*","",IFERROR(INDEX(AGR!$E$52:$L$73,MATCH('TS DTech'!$C30,AGR!$B$52:$B$73,0),MATCH('TS DTech'!$B30&amp;U$7,AGR!$E$46:$L$46&amp;AGR!$E$48:$L$48,0)),""))</f>
        <v/>
      </c>
      <c r="V30" s="296" t="str">
        <f t="array" aca="1" ref="V30" ca="1">IF($A30="*","",IFERROR(INDEX(AGR!$E$52:$L$73,MATCH('TS DTech'!$C30,AGR!$B$52:$B$73,0),MATCH('TS DTech'!$B30&amp;V$7,AGR!$E$46:$L$46&amp;AGR!$E$48:$L$48,0)),""))</f>
        <v/>
      </c>
      <c r="W30" s="296" t="str">
        <f t="array" aca="1" ref="W30" ca="1">IF($A30="*","",IFERROR(INDEX(AGR!$E$52:$L$73,MATCH('TS DTech'!$C30,AGR!$B$52:$B$73,0),MATCH('TS DTech'!$B30&amp;W$7,AGR!$E$46:$L$46&amp;AGR!$E$48:$L$48,0)),""))</f>
        <v/>
      </c>
      <c r="X30" s="296" t="str">
        <f t="array" aca="1" ref="X30" ca="1">IF($A30="*","",IFERROR(INDEX(AGR!$E$52:$L$73,MATCH('TS DTech'!$C30,AGR!$B$52:$B$73,0),MATCH('TS DTech'!$B30&amp;X$7,AGR!$E$46:$L$46&amp;AGR!$E$48:$L$48,0)),""))</f>
        <v/>
      </c>
      <c r="Y30" s="296" t="str">
        <f t="array" aca="1" ref="Y30" ca="1">IF($A30="*","",IFERROR(INDEX(AGR!$E$52:$L$73,MATCH('TS DTech'!$C30,AGR!$B$52:$B$73,0),MATCH('TS DTech'!$B30&amp;Y$7,AGR!$E$46:$L$46&amp;AGR!$E$48:$L$48,0)),""))</f>
        <v/>
      </c>
      <c r="Z30" s="296" t="str">
        <f t="array" aca="1" ref="Z30" ca="1">IF($A30="*","",IFERROR(INDEX(AGR!$E$52:$L$73,MATCH('TS DTech'!$C30,AGR!$B$52:$B$73,0),MATCH('TS DTech'!$B30&amp;Z$7,AGR!$E$46:$L$46&amp;AGR!$E$48:$L$48,0)),""))</f>
        <v/>
      </c>
      <c r="AA30" s="296" t="str">
        <f t="array" aca="1" ref="AA30" ca="1">IF($A30="*","",IFERROR(INDEX(AGR!$E$52:$L$73,MATCH('TS DTech'!$C30,AGR!$B$52:$B$73,0),MATCH('TS DTech'!$B30&amp;AA$7,AGR!$E$46:$L$46&amp;AGR!$E$48:$L$48,0)),""))</f>
        <v/>
      </c>
      <c r="AB30" s="296" t="str">
        <f t="array" aca="1" ref="AB30" ca="1">IF($A30="*","",IFERROR(INDEX(AGR!$E$52:$L$73,MATCH('TS DTech'!$C30,AGR!$B$52:$B$73,0),MATCH('TS DTech'!$B30&amp;AB$7,AGR!$E$46:$L$46&amp;AGR!$E$48:$L$48,0)),""))</f>
        <v/>
      </c>
      <c r="AC30" s="296" t="str">
        <f t="array" aca="1" ref="AC30" ca="1">IF($A30="*","",IFERROR(INDEX(AGR!$E$52:$L$73,MATCH('TS DTech'!$C30,AGR!$B$52:$B$73,0),MATCH('TS DTech'!$B30&amp;AC$7,AGR!$E$46:$L$46&amp;AGR!$E$48:$L$48,0)),""))</f>
        <v/>
      </c>
      <c r="AD30" s="296" t="str">
        <f t="array" aca="1" ref="AD30" ca="1">IF($A30="*","",IFERROR(INDEX(AGR!$E$52:$L$73,MATCH('TS DTech'!$C30,AGR!$B$52:$B$73,0),MATCH('TS DTech'!$B30&amp;AD$7,AGR!$E$46:$L$46&amp;AGR!$E$48:$L$48,0)),""))</f>
        <v/>
      </c>
      <c r="AE30" s="296" t="str">
        <f t="array" aca="1" ref="AE30" ca="1">IF($A30="*","",IFERROR(INDEX(AGR!$E$52:$L$73,MATCH('TS DTech'!$C30,AGR!$B$52:$B$73,0),MATCH('TS DTech'!$B30&amp;AE$7,AGR!$E$46:$L$46&amp;AGR!$E$48:$L$48,0)),""))</f>
        <v/>
      </c>
      <c r="AF30" s="296" t="str">
        <f t="array" aca="1" ref="AF30" ca="1">IF($A30="*","",IFERROR(INDEX(AGR!$E$52:$L$73,MATCH('TS DTech'!$C30,AGR!$B$52:$B$73,0),MATCH('TS DTech'!$B30&amp;AF$7,AGR!$E$46:$L$46&amp;AGR!$E$48:$L$48,0)),""))</f>
        <v/>
      </c>
      <c r="AG30" s="296" t="str">
        <f t="array" aca="1" ref="AG30" ca="1">IF($A30="*","",IFERROR(INDEX(AGR!$E$52:$L$73,MATCH('TS DTech'!$C30,AGR!$B$52:$B$73,0),MATCH('TS DTech'!$B30&amp;AG$7,AGR!$E$46:$L$46&amp;AGR!$E$48:$L$48,0)),""))</f>
        <v/>
      </c>
      <c r="AH30" s="296" t="str">
        <f t="array" aca="1" ref="AH30" ca="1">IF($A30="*","",IFERROR(INDEX(AGR!$E$52:$L$73,MATCH('TS DTech'!$C30,AGR!$B$52:$B$73,0),MATCH('TS DTech'!$B30&amp;AH$7,AGR!$E$46:$L$46&amp;AGR!$E$48:$L$48,0)),""))</f>
        <v/>
      </c>
      <c r="AI30" s="296" t="str">
        <f t="array" aca="1" ref="AI30" ca="1">IF($A30="*","",IFERROR(INDEX(AGR!$E$52:$L$73,MATCH('TS DTech'!$C30,AGR!$B$52:$B$73,0),MATCH('TS DTech'!$B30&amp;AI$7,AGR!$E$46:$L$46&amp;AGR!$E$48:$L$48,0)),""))</f>
        <v/>
      </c>
      <c r="AJ30" s="296" t="str">
        <f t="array" aca="1" ref="AJ30" ca="1">IF($A30="*","",IFERROR(INDEX(AGR!$E$52:$L$73,MATCH('TS DTech'!$C30,AGR!$B$52:$B$73,0),MATCH('TS DTech'!$B30&amp;AJ$7,AGR!$E$46:$L$46&amp;AGR!$E$48:$L$48,0)),""))</f>
        <v/>
      </c>
      <c r="AK30" s="296" t="str">
        <f t="array" aca="1" ref="AK30" ca="1">IF($A30="*","",IFERROR(INDEX(AGR!$E$52:$L$73,MATCH('TS DTech'!$C30,AGR!$B$52:$B$73,0),MATCH('TS DTech'!$B30&amp;AK$7,AGR!$E$46:$L$46&amp;AGR!$E$48:$L$48,0)),""))</f>
        <v/>
      </c>
      <c r="AL30" s="296" t="str">
        <f t="array" aca="1" ref="AL30" ca="1">IF($A30="*","",IFERROR(INDEX(AGR!$E$52:$L$73,MATCH('TS DTech'!$C30,AGR!$B$52:$B$73,0),MATCH('TS DTech'!$B30&amp;AL$7,AGR!$E$46:$L$46&amp;AGR!$E$48:$L$48,0)),""))</f>
        <v/>
      </c>
      <c r="AM30" s="296" t="str">
        <f t="array" aca="1" ref="AM30" ca="1">IF($A30="*","",IFERROR(INDEX(AGR!$E$52:$L$73,MATCH('TS DTech'!$C30,AGR!$B$52:$B$73,0),MATCH('TS DTech'!$B30&amp;AM$7,AGR!$E$46:$L$46&amp;AGR!$E$48:$L$48,0)),""))</f>
        <v/>
      </c>
      <c r="AN30" s="296" t="str">
        <f t="array" aca="1" ref="AN30" ca="1">IF($A30="*","",IFERROR(INDEX(AGR!$E$52:$L$73,MATCH('TS DTech'!$C30,AGR!$B$52:$B$73,0),MATCH('TS DTech'!$B30&amp;AN$7,AGR!$E$46:$L$46&amp;AGR!$E$48:$L$48,0)),""))</f>
        <v/>
      </c>
      <c r="AO30" s="296" t="str">
        <f t="array" aca="1" ref="AO30" ca="1">IF($A30="*","",IFERROR(INDEX(AGR!$E$52:$L$73,MATCH('TS DTech'!$C30,AGR!$B$52:$B$73,0),MATCH('TS DTech'!$B30&amp;AO$7,AGR!$E$46:$L$46&amp;AGR!$E$48:$L$48,0)),""))</f>
        <v/>
      </c>
      <c r="AP30" s="296" t="str">
        <f t="array" aca="1" ref="AP30" ca="1">IF($A30="*","",IFERROR(INDEX(AGR!$E$52:$L$73,MATCH('TS DTech'!$C30,AGR!$B$52:$B$73,0),MATCH('TS DTech'!$B30&amp;AP$7,AGR!$E$46:$L$46&amp;AGR!$E$48:$L$48,0)),""))</f>
        <v/>
      </c>
      <c r="AQ30" s="137">
        <f>IF(AR29=AGR!$AD$74,AQ29+1,AQ29)</f>
        <v>1</v>
      </c>
      <c r="AR30" s="137">
        <f t="shared" si="3"/>
        <v>15</v>
      </c>
    </row>
    <row r="31" spans="1:44">
      <c r="A31" s="137" t="str">
        <f ca="1">IF(LEFT(OFFSET(AGR!$A$51,AR31,0),2)="\I","*","")</f>
        <v/>
      </c>
      <c r="B31" s="212" t="str">
        <f t="shared" ca="1" si="0"/>
        <v>ACT_EFF</v>
      </c>
      <c r="C31" s="212" t="str">
        <f ca="1">IF($A31="*","",OFFSET(AGR!$B$51,AR31,0))</f>
        <v>AIODS-E</v>
      </c>
      <c r="D31" s="212" t="str">
        <f t="shared" ca="1" si="2"/>
        <v>-</v>
      </c>
      <c r="E31" s="212" t="str">
        <f t="shared" ca="1" si="1"/>
        <v>ACTGRP</v>
      </c>
      <c r="F31" s="212" t="str">
        <f t="shared" ca="1" si="1"/>
        <v>-</v>
      </c>
      <c r="G31" s="212" t="str">
        <f t="shared" ca="1" si="1"/>
        <v>ANNUAL</v>
      </c>
      <c r="H31" s="212" t="str">
        <f t="shared" ca="1" si="1"/>
        <v>-</v>
      </c>
      <c r="I31" s="213">
        <f t="shared" ca="1" si="1"/>
        <v>0</v>
      </c>
      <c r="J31" s="296">
        <f t="array" aca="1" ref="J31" ca="1">IF($A31="*","",IFERROR(INDEX(AGR!$E$52:$L$73,MATCH('TS DTech'!$C31,AGR!$B$52:$B$73,0),MATCH('TS DTech'!$B31&amp;J$7,AGR!$E$46:$L$46&amp;AGR!$E$48:$L$48,0)),""))</f>
        <v>0.35</v>
      </c>
      <c r="K31" s="296" t="str">
        <f t="array" aca="1" ref="K31" ca="1">IF($A31="*","",IFERROR(INDEX(AGR!$E$52:$L$73,MATCH('TS DTech'!$C31,AGR!$B$52:$B$73,0),MATCH('TS DTech'!$B31&amp;K$7,AGR!$E$46:$L$46&amp;AGR!$E$48:$L$48,0)),""))</f>
        <v/>
      </c>
      <c r="L31" s="296" t="str">
        <f t="array" aca="1" ref="L31" ca="1">IF($A31="*","",IFERROR(INDEX(AGR!$E$52:$L$73,MATCH('TS DTech'!$C31,AGR!$B$52:$B$73,0),MATCH('TS DTech'!$B31&amp;L$7,AGR!$E$46:$L$46&amp;AGR!$E$48:$L$48,0)),""))</f>
        <v/>
      </c>
      <c r="M31" s="296" t="str">
        <f t="array" aca="1" ref="M31" ca="1">IF($A31="*","",IFERROR(INDEX(AGR!$E$52:$L$73,MATCH('TS DTech'!$C31,AGR!$B$52:$B$73,0),MATCH('TS DTech'!$B31&amp;M$7,AGR!$E$46:$L$46&amp;AGR!$E$48:$L$48,0)),""))</f>
        <v/>
      </c>
      <c r="N31" s="296" t="str">
        <f t="array" aca="1" ref="N31" ca="1">IF($A31="*","",IFERROR(INDEX(AGR!$E$52:$L$73,MATCH('TS DTech'!$C31,AGR!$B$52:$B$73,0),MATCH('TS DTech'!$B31&amp;N$7,AGR!$E$46:$L$46&amp;AGR!$E$48:$L$48,0)),""))</f>
        <v/>
      </c>
      <c r="O31" s="296">
        <f t="array" aca="1" ref="O31" ca="1">IF($A31="*","",IFERROR(INDEX(AGR!$E$52:$L$73,MATCH('TS DTech'!$C31,AGR!$B$52:$B$73,0),MATCH('TS DTech'!$B31&amp;O$7,AGR!$E$46:$L$46&amp;AGR!$E$48:$L$48,0)),""))</f>
        <v>0.35</v>
      </c>
      <c r="P31" s="296" t="str">
        <f t="array" aca="1" ref="P31" ca="1">IF($A31="*","",IFERROR(INDEX(AGR!$E$52:$L$73,MATCH('TS DTech'!$C31,AGR!$B$52:$B$73,0),MATCH('TS DTech'!$B31&amp;P$7,AGR!$E$46:$L$46&amp;AGR!$E$48:$L$48,0)),""))</f>
        <v/>
      </c>
      <c r="Q31" s="296" t="str">
        <f t="array" aca="1" ref="Q31" ca="1">IF($A31="*","",IFERROR(INDEX(AGR!$E$52:$L$73,MATCH('TS DTech'!$C31,AGR!$B$52:$B$73,0),MATCH('TS DTech'!$B31&amp;Q$7,AGR!$E$46:$L$46&amp;AGR!$E$48:$L$48,0)),""))</f>
        <v/>
      </c>
      <c r="R31" s="296" t="str">
        <f t="array" aca="1" ref="R31" ca="1">IF($A31="*","",IFERROR(INDEX(AGR!$E$52:$L$73,MATCH('TS DTech'!$C31,AGR!$B$52:$B$73,0),MATCH('TS DTech'!$B31&amp;R$7,AGR!$E$46:$L$46&amp;AGR!$E$48:$L$48,0)),""))</f>
        <v/>
      </c>
      <c r="S31" s="296" t="str">
        <f t="array" aca="1" ref="S31" ca="1">IF($A31="*","",IFERROR(INDEX(AGR!$E$52:$L$73,MATCH('TS DTech'!$C31,AGR!$B$52:$B$73,0),MATCH('TS DTech'!$B31&amp;S$7,AGR!$E$46:$L$46&amp;AGR!$E$48:$L$48,0)),""))</f>
        <v/>
      </c>
      <c r="T31" s="296" t="str">
        <f t="array" aca="1" ref="T31" ca="1">IF($A31="*","",IFERROR(INDEX(AGR!$E$52:$L$73,MATCH('TS DTech'!$C31,AGR!$B$52:$B$73,0),MATCH('TS DTech'!$B31&amp;T$7,AGR!$E$46:$L$46&amp;AGR!$E$48:$L$48,0)),""))</f>
        <v/>
      </c>
      <c r="U31" s="296" t="str">
        <f t="array" aca="1" ref="U31" ca="1">IF($A31="*","",IFERROR(INDEX(AGR!$E$52:$L$73,MATCH('TS DTech'!$C31,AGR!$B$52:$B$73,0),MATCH('TS DTech'!$B31&amp;U$7,AGR!$E$46:$L$46&amp;AGR!$E$48:$L$48,0)),""))</f>
        <v/>
      </c>
      <c r="V31" s="296" t="str">
        <f t="array" aca="1" ref="V31" ca="1">IF($A31="*","",IFERROR(INDEX(AGR!$E$52:$L$73,MATCH('TS DTech'!$C31,AGR!$B$52:$B$73,0),MATCH('TS DTech'!$B31&amp;V$7,AGR!$E$46:$L$46&amp;AGR!$E$48:$L$48,0)),""))</f>
        <v/>
      </c>
      <c r="W31" s="296" t="str">
        <f t="array" aca="1" ref="W31" ca="1">IF($A31="*","",IFERROR(INDEX(AGR!$E$52:$L$73,MATCH('TS DTech'!$C31,AGR!$B$52:$B$73,0),MATCH('TS DTech'!$B31&amp;W$7,AGR!$E$46:$L$46&amp;AGR!$E$48:$L$48,0)),""))</f>
        <v/>
      </c>
      <c r="X31" s="296" t="str">
        <f t="array" aca="1" ref="X31" ca="1">IF($A31="*","",IFERROR(INDEX(AGR!$E$52:$L$73,MATCH('TS DTech'!$C31,AGR!$B$52:$B$73,0),MATCH('TS DTech'!$B31&amp;X$7,AGR!$E$46:$L$46&amp;AGR!$E$48:$L$48,0)),""))</f>
        <v/>
      </c>
      <c r="Y31" s="296" t="str">
        <f t="array" aca="1" ref="Y31" ca="1">IF($A31="*","",IFERROR(INDEX(AGR!$E$52:$L$73,MATCH('TS DTech'!$C31,AGR!$B$52:$B$73,0),MATCH('TS DTech'!$B31&amp;Y$7,AGR!$E$46:$L$46&amp;AGR!$E$48:$L$48,0)),""))</f>
        <v/>
      </c>
      <c r="Z31" s="296" t="str">
        <f t="array" aca="1" ref="Z31" ca="1">IF($A31="*","",IFERROR(INDEX(AGR!$E$52:$L$73,MATCH('TS DTech'!$C31,AGR!$B$52:$B$73,0),MATCH('TS DTech'!$B31&amp;Z$7,AGR!$E$46:$L$46&amp;AGR!$E$48:$L$48,0)),""))</f>
        <v/>
      </c>
      <c r="AA31" s="296" t="str">
        <f t="array" aca="1" ref="AA31" ca="1">IF($A31="*","",IFERROR(INDEX(AGR!$E$52:$L$73,MATCH('TS DTech'!$C31,AGR!$B$52:$B$73,0),MATCH('TS DTech'!$B31&amp;AA$7,AGR!$E$46:$L$46&amp;AGR!$E$48:$L$48,0)),""))</f>
        <v/>
      </c>
      <c r="AB31" s="296" t="str">
        <f t="array" aca="1" ref="AB31" ca="1">IF($A31="*","",IFERROR(INDEX(AGR!$E$52:$L$73,MATCH('TS DTech'!$C31,AGR!$B$52:$B$73,0),MATCH('TS DTech'!$B31&amp;AB$7,AGR!$E$46:$L$46&amp;AGR!$E$48:$L$48,0)),""))</f>
        <v/>
      </c>
      <c r="AC31" s="296" t="str">
        <f t="array" aca="1" ref="AC31" ca="1">IF($A31="*","",IFERROR(INDEX(AGR!$E$52:$L$73,MATCH('TS DTech'!$C31,AGR!$B$52:$B$73,0),MATCH('TS DTech'!$B31&amp;AC$7,AGR!$E$46:$L$46&amp;AGR!$E$48:$L$48,0)),""))</f>
        <v/>
      </c>
      <c r="AD31" s="296" t="str">
        <f t="array" aca="1" ref="AD31" ca="1">IF($A31="*","",IFERROR(INDEX(AGR!$E$52:$L$73,MATCH('TS DTech'!$C31,AGR!$B$52:$B$73,0),MATCH('TS DTech'!$B31&amp;AD$7,AGR!$E$46:$L$46&amp;AGR!$E$48:$L$48,0)),""))</f>
        <v/>
      </c>
      <c r="AE31" s="296" t="str">
        <f t="array" aca="1" ref="AE31" ca="1">IF($A31="*","",IFERROR(INDEX(AGR!$E$52:$L$73,MATCH('TS DTech'!$C31,AGR!$B$52:$B$73,0),MATCH('TS DTech'!$B31&amp;AE$7,AGR!$E$46:$L$46&amp;AGR!$E$48:$L$48,0)),""))</f>
        <v/>
      </c>
      <c r="AF31" s="296" t="str">
        <f t="array" aca="1" ref="AF31" ca="1">IF($A31="*","",IFERROR(INDEX(AGR!$E$52:$L$73,MATCH('TS DTech'!$C31,AGR!$B$52:$B$73,0),MATCH('TS DTech'!$B31&amp;AF$7,AGR!$E$46:$L$46&amp;AGR!$E$48:$L$48,0)),""))</f>
        <v/>
      </c>
      <c r="AG31" s="296" t="str">
        <f t="array" aca="1" ref="AG31" ca="1">IF($A31="*","",IFERROR(INDEX(AGR!$E$52:$L$73,MATCH('TS DTech'!$C31,AGR!$B$52:$B$73,0),MATCH('TS DTech'!$B31&amp;AG$7,AGR!$E$46:$L$46&amp;AGR!$E$48:$L$48,0)),""))</f>
        <v/>
      </c>
      <c r="AH31" s="296" t="str">
        <f t="array" aca="1" ref="AH31" ca="1">IF($A31="*","",IFERROR(INDEX(AGR!$E$52:$L$73,MATCH('TS DTech'!$C31,AGR!$B$52:$B$73,0),MATCH('TS DTech'!$B31&amp;AH$7,AGR!$E$46:$L$46&amp;AGR!$E$48:$L$48,0)),""))</f>
        <v/>
      </c>
      <c r="AI31" s="296" t="str">
        <f t="array" aca="1" ref="AI31" ca="1">IF($A31="*","",IFERROR(INDEX(AGR!$E$52:$L$73,MATCH('TS DTech'!$C31,AGR!$B$52:$B$73,0),MATCH('TS DTech'!$B31&amp;AI$7,AGR!$E$46:$L$46&amp;AGR!$E$48:$L$48,0)),""))</f>
        <v/>
      </c>
      <c r="AJ31" s="296" t="str">
        <f t="array" aca="1" ref="AJ31" ca="1">IF($A31="*","",IFERROR(INDEX(AGR!$E$52:$L$73,MATCH('TS DTech'!$C31,AGR!$B$52:$B$73,0),MATCH('TS DTech'!$B31&amp;AJ$7,AGR!$E$46:$L$46&amp;AGR!$E$48:$L$48,0)),""))</f>
        <v/>
      </c>
      <c r="AK31" s="296" t="str">
        <f t="array" aca="1" ref="AK31" ca="1">IF($A31="*","",IFERROR(INDEX(AGR!$E$52:$L$73,MATCH('TS DTech'!$C31,AGR!$B$52:$B$73,0),MATCH('TS DTech'!$B31&amp;AK$7,AGR!$E$46:$L$46&amp;AGR!$E$48:$L$48,0)),""))</f>
        <v/>
      </c>
      <c r="AL31" s="296" t="str">
        <f t="array" aca="1" ref="AL31" ca="1">IF($A31="*","",IFERROR(INDEX(AGR!$E$52:$L$73,MATCH('TS DTech'!$C31,AGR!$B$52:$B$73,0),MATCH('TS DTech'!$B31&amp;AL$7,AGR!$E$46:$L$46&amp;AGR!$E$48:$L$48,0)),""))</f>
        <v/>
      </c>
      <c r="AM31" s="296" t="str">
        <f t="array" aca="1" ref="AM31" ca="1">IF($A31="*","",IFERROR(INDEX(AGR!$E$52:$L$73,MATCH('TS DTech'!$C31,AGR!$B$52:$B$73,0),MATCH('TS DTech'!$B31&amp;AM$7,AGR!$E$46:$L$46&amp;AGR!$E$48:$L$48,0)),""))</f>
        <v/>
      </c>
      <c r="AN31" s="296" t="str">
        <f t="array" aca="1" ref="AN31" ca="1">IF($A31="*","",IFERROR(INDEX(AGR!$E$52:$L$73,MATCH('TS DTech'!$C31,AGR!$B$52:$B$73,0),MATCH('TS DTech'!$B31&amp;AN$7,AGR!$E$46:$L$46&amp;AGR!$E$48:$L$48,0)),""))</f>
        <v/>
      </c>
      <c r="AO31" s="296" t="str">
        <f t="array" aca="1" ref="AO31" ca="1">IF($A31="*","",IFERROR(INDEX(AGR!$E$52:$L$73,MATCH('TS DTech'!$C31,AGR!$B$52:$B$73,0),MATCH('TS DTech'!$B31&amp;AO$7,AGR!$E$46:$L$46&amp;AGR!$E$48:$L$48,0)),""))</f>
        <v/>
      </c>
      <c r="AP31" s="296" t="str">
        <f t="array" aca="1" ref="AP31" ca="1">IF($A31="*","",IFERROR(INDEX(AGR!$E$52:$L$73,MATCH('TS DTech'!$C31,AGR!$B$52:$B$73,0),MATCH('TS DTech'!$B31&amp;AP$7,AGR!$E$46:$L$46&amp;AGR!$E$48:$L$48,0)),""))</f>
        <v/>
      </c>
      <c r="AQ31" s="137">
        <f>IF(AR30=AGR!$AD$74,AQ30+1,AQ30)</f>
        <v>1</v>
      </c>
      <c r="AR31" s="137">
        <f t="shared" si="3"/>
        <v>16</v>
      </c>
    </row>
    <row r="32" spans="1:44">
      <c r="A32" s="137" t="str">
        <f ca="1">IF(LEFT(OFFSET(AGR!$A$51,AR32,0),2)="\I","*","")</f>
        <v/>
      </c>
      <c r="B32" s="212" t="str">
        <f t="shared" ca="1" si="0"/>
        <v>ACT_EFF</v>
      </c>
      <c r="C32" s="212" t="str">
        <f ca="1">IF($A32="*","",OFFSET(AGR!$B$51,AR32,0))</f>
        <v>AIELC-E</v>
      </c>
      <c r="D32" s="212" t="str">
        <f t="shared" ca="1" si="2"/>
        <v>-</v>
      </c>
      <c r="E32" s="212" t="str">
        <f t="shared" ca="1" si="2"/>
        <v>ACTGRP</v>
      </c>
      <c r="F32" s="212" t="str">
        <f t="shared" ca="1" si="2"/>
        <v>-</v>
      </c>
      <c r="G32" s="212" t="str">
        <f t="shared" ca="1" si="2"/>
        <v>ANNUAL</v>
      </c>
      <c r="H32" s="212" t="str">
        <f t="shared" ca="1" si="2"/>
        <v>-</v>
      </c>
      <c r="I32" s="213">
        <f t="shared" ca="1" si="2"/>
        <v>0</v>
      </c>
      <c r="J32" s="296">
        <f t="array" aca="1" ref="J32" ca="1">IF($A32="*","",IFERROR(INDEX(AGR!$E$52:$L$73,MATCH('TS DTech'!$C32,AGR!$B$52:$B$73,0),MATCH('TS DTech'!$B32&amp;J$7,AGR!$E$46:$L$46&amp;AGR!$E$48:$L$48,0)),""))</f>
        <v>0.95</v>
      </c>
      <c r="K32" s="296" t="str">
        <f t="array" aca="1" ref="K32" ca="1">IF($A32="*","",IFERROR(INDEX(AGR!$E$52:$L$73,MATCH('TS DTech'!$C32,AGR!$B$52:$B$73,0),MATCH('TS DTech'!$B32&amp;K$7,AGR!$E$46:$L$46&amp;AGR!$E$48:$L$48,0)),""))</f>
        <v/>
      </c>
      <c r="L32" s="296" t="str">
        <f t="array" aca="1" ref="L32" ca="1">IF($A32="*","",IFERROR(INDEX(AGR!$E$52:$L$73,MATCH('TS DTech'!$C32,AGR!$B$52:$B$73,0),MATCH('TS DTech'!$B32&amp;L$7,AGR!$E$46:$L$46&amp;AGR!$E$48:$L$48,0)),""))</f>
        <v/>
      </c>
      <c r="M32" s="296" t="str">
        <f t="array" aca="1" ref="M32" ca="1">IF($A32="*","",IFERROR(INDEX(AGR!$E$52:$L$73,MATCH('TS DTech'!$C32,AGR!$B$52:$B$73,0),MATCH('TS DTech'!$B32&amp;M$7,AGR!$E$46:$L$46&amp;AGR!$E$48:$L$48,0)),""))</f>
        <v/>
      </c>
      <c r="N32" s="296" t="str">
        <f t="array" aca="1" ref="N32" ca="1">IF($A32="*","",IFERROR(INDEX(AGR!$E$52:$L$73,MATCH('TS DTech'!$C32,AGR!$B$52:$B$73,0),MATCH('TS DTech'!$B32&amp;N$7,AGR!$E$46:$L$46&amp;AGR!$E$48:$L$48,0)),""))</f>
        <v/>
      </c>
      <c r="O32" s="296">
        <f t="array" aca="1" ref="O32" ca="1">IF($A32="*","",IFERROR(INDEX(AGR!$E$52:$L$73,MATCH('TS DTech'!$C32,AGR!$B$52:$B$73,0),MATCH('TS DTech'!$B32&amp;O$7,AGR!$E$46:$L$46&amp;AGR!$E$48:$L$48,0)),""))</f>
        <v>0.95</v>
      </c>
      <c r="P32" s="296" t="str">
        <f t="array" aca="1" ref="P32" ca="1">IF($A32="*","",IFERROR(INDEX(AGR!$E$52:$L$73,MATCH('TS DTech'!$C32,AGR!$B$52:$B$73,0),MATCH('TS DTech'!$B32&amp;P$7,AGR!$E$46:$L$46&amp;AGR!$E$48:$L$48,0)),""))</f>
        <v/>
      </c>
      <c r="Q32" s="296" t="str">
        <f t="array" aca="1" ref="Q32" ca="1">IF($A32="*","",IFERROR(INDEX(AGR!$E$52:$L$73,MATCH('TS DTech'!$C32,AGR!$B$52:$B$73,0),MATCH('TS DTech'!$B32&amp;Q$7,AGR!$E$46:$L$46&amp;AGR!$E$48:$L$48,0)),""))</f>
        <v/>
      </c>
      <c r="R32" s="296" t="str">
        <f t="array" aca="1" ref="R32" ca="1">IF($A32="*","",IFERROR(INDEX(AGR!$E$52:$L$73,MATCH('TS DTech'!$C32,AGR!$B$52:$B$73,0),MATCH('TS DTech'!$B32&amp;R$7,AGR!$E$46:$L$46&amp;AGR!$E$48:$L$48,0)),""))</f>
        <v/>
      </c>
      <c r="S32" s="296" t="str">
        <f t="array" aca="1" ref="S32" ca="1">IF($A32="*","",IFERROR(INDEX(AGR!$E$52:$L$73,MATCH('TS DTech'!$C32,AGR!$B$52:$B$73,0),MATCH('TS DTech'!$B32&amp;S$7,AGR!$E$46:$L$46&amp;AGR!$E$48:$L$48,0)),""))</f>
        <v/>
      </c>
      <c r="T32" s="296" t="str">
        <f t="array" aca="1" ref="T32" ca="1">IF($A32="*","",IFERROR(INDEX(AGR!$E$52:$L$73,MATCH('TS DTech'!$C32,AGR!$B$52:$B$73,0),MATCH('TS DTech'!$B32&amp;T$7,AGR!$E$46:$L$46&amp;AGR!$E$48:$L$48,0)),""))</f>
        <v/>
      </c>
      <c r="U32" s="296" t="str">
        <f t="array" aca="1" ref="U32" ca="1">IF($A32="*","",IFERROR(INDEX(AGR!$E$52:$L$73,MATCH('TS DTech'!$C32,AGR!$B$52:$B$73,0),MATCH('TS DTech'!$B32&amp;U$7,AGR!$E$46:$L$46&amp;AGR!$E$48:$L$48,0)),""))</f>
        <v/>
      </c>
      <c r="V32" s="296" t="str">
        <f t="array" aca="1" ref="V32" ca="1">IF($A32="*","",IFERROR(INDEX(AGR!$E$52:$L$73,MATCH('TS DTech'!$C32,AGR!$B$52:$B$73,0),MATCH('TS DTech'!$B32&amp;V$7,AGR!$E$46:$L$46&amp;AGR!$E$48:$L$48,0)),""))</f>
        <v/>
      </c>
      <c r="W32" s="296" t="str">
        <f t="array" aca="1" ref="W32" ca="1">IF($A32="*","",IFERROR(INDEX(AGR!$E$52:$L$73,MATCH('TS DTech'!$C32,AGR!$B$52:$B$73,0),MATCH('TS DTech'!$B32&amp;W$7,AGR!$E$46:$L$46&amp;AGR!$E$48:$L$48,0)),""))</f>
        <v/>
      </c>
      <c r="X32" s="296" t="str">
        <f t="array" aca="1" ref="X32" ca="1">IF($A32="*","",IFERROR(INDEX(AGR!$E$52:$L$73,MATCH('TS DTech'!$C32,AGR!$B$52:$B$73,0),MATCH('TS DTech'!$B32&amp;X$7,AGR!$E$46:$L$46&amp;AGR!$E$48:$L$48,0)),""))</f>
        <v/>
      </c>
      <c r="Y32" s="296" t="str">
        <f t="array" aca="1" ref="Y32" ca="1">IF($A32="*","",IFERROR(INDEX(AGR!$E$52:$L$73,MATCH('TS DTech'!$C32,AGR!$B$52:$B$73,0),MATCH('TS DTech'!$B32&amp;Y$7,AGR!$E$46:$L$46&amp;AGR!$E$48:$L$48,0)),""))</f>
        <v/>
      </c>
      <c r="Z32" s="296" t="str">
        <f t="array" aca="1" ref="Z32" ca="1">IF($A32="*","",IFERROR(INDEX(AGR!$E$52:$L$73,MATCH('TS DTech'!$C32,AGR!$B$52:$B$73,0),MATCH('TS DTech'!$B32&amp;Z$7,AGR!$E$46:$L$46&amp;AGR!$E$48:$L$48,0)),""))</f>
        <v/>
      </c>
      <c r="AA32" s="296" t="str">
        <f t="array" aca="1" ref="AA32" ca="1">IF($A32="*","",IFERROR(INDEX(AGR!$E$52:$L$73,MATCH('TS DTech'!$C32,AGR!$B$52:$B$73,0),MATCH('TS DTech'!$B32&amp;AA$7,AGR!$E$46:$L$46&amp;AGR!$E$48:$L$48,0)),""))</f>
        <v/>
      </c>
      <c r="AB32" s="296" t="str">
        <f t="array" aca="1" ref="AB32" ca="1">IF($A32="*","",IFERROR(INDEX(AGR!$E$52:$L$73,MATCH('TS DTech'!$C32,AGR!$B$52:$B$73,0),MATCH('TS DTech'!$B32&amp;AB$7,AGR!$E$46:$L$46&amp;AGR!$E$48:$L$48,0)),""))</f>
        <v/>
      </c>
      <c r="AC32" s="296" t="str">
        <f t="array" aca="1" ref="AC32" ca="1">IF($A32="*","",IFERROR(INDEX(AGR!$E$52:$L$73,MATCH('TS DTech'!$C32,AGR!$B$52:$B$73,0),MATCH('TS DTech'!$B32&amp;AC$7,AGR!$E$46:$L$46&amp;AGR!$E$48:$L$48,0)),""))</f>
        <v/>
      </c>
      <c r="AD32" s="296" t="str">
        <f t="array" aca="1" ref="AD32" ca="1">IF($A32="*","",IFERROR(INDEX(AGR!$E$52:$L$73,MATCH('TS DTech'!$C32,AGR!$B$52:$B$73,0),MATCH('TS DTech'!$B32&amp;AD$7,AGR!$E$46:$L$46&amp;AGR!$E$48:$L$48,0)),""))</f>
        <v/>
      </c>
      <c r="AE32" s="296" t="str">
        <f t="array" aca="1" ref="AE32" ca="1">IF($A32="*","",IFERROR(INDEX(AGR!$E$52:$L$73,MATCH('TS DTech'!$C32,AGR!$B$52:$B$73,0),MATCH('TS DTech'!$B32&amp;AE$7,AGR!$E$46:$L$46&amp;AGR!$E$48:$L$48,0)),""))</f>
        <v/>
      </c>
      <c r="AF32" s="296" t="str">
        <f t="array" aca="1" ref="AF32" ca="1">IF($A32="*","",IFERROR(INDEX(AGR!$E$52:$L$73,MATCH('TS DTech'!$C32,AGR!$B$52:$B$73,0),MATCH('TS DTech'!$B32&amp;AF$7,AGR!$E$46:$L$46&amp;AGR!$E$48:$L$48,0)),""))</f>
        <v/>
      </c>
      <c r="AG32" s="296" t="str">
        <f t="array" aca="1" ref="AG32" ca="1">IF($A32="*","",IFERROR(INDEX(AGR!$E$52:$L$73,MATCH('TS DTech'!$C32,AGR!$B$52:$B$73,0),MATCH('TS DTech'!$B32&amp;AG$7,AGR!$E$46:$L$46&amp;AGR!$E$48:$L$48,0)),""))</f>
        <v/>
      </c>
      <c r="AH32" s="296" t="str">
        <f t="array" aca="1" ref="AH32" ca="1">IF($A32="*","",IFERROR(INDEX(AGR!$E$52:$L$73,MATCH('TS DTech'!$C32,AGR!$B$52:$B$73,0),MATCH('TS DTech'!$B32&amp;AH$7,AGR!$E$46:$L$46&amp;AGR!$E$48:$L$48,0)),""))</f>
        <v/>
      </c>
      <c r="AI32" s="296" t="str">
        <f t="array" aca="1" ref="AI32" ca="1">IF($A32="*","",IFERROR(INDEX(AGR!$E$52:$L$73,MATCH('TS DTech'!$C32,AGR!$B$52:$B$73,0),MATCH('TS DTech'!$B32&amp;AI$7,AGR!$E$46:$L$46&amp;AGR!$E$48:$L$48,0)),""))</f>
        <v/>
      </c>
      <c r="AJ32" s="296" t="str">
        <f t="array" aca="1" ref="AJ32" ca="1">IF($A32="*","",IFERROR(INDEX(AGR!$E$52:$L$73,MATCH('TS DTech'!$C32,AGR!$B$52:$B$73,0),MATCH('TS DTech'!$B32&amp;AJ$7,AGR!$E$46:$L$46&amp;AGR!$E$48:$L$48,0)),""))</f>
        <v/>
      </c>
      <c r="AK32" s="296" t="str">
        <f t="array" aca="1" ref="AK32" ca="1">IF($A32="*","",IFERROR(INDEX(AGR!$E$52:$L$73,MATCH('TS DTech'!$C32,AGR!$B$52:$B$73,0),MATCH('TS DTech'!$B32&amp;AK$7,AGR!$E$46:$L$46&amp;AGR!$E$48:$L$48,0)),""))</f>
        <v/>
      </c>
      <c r="AL32" s="296" t="str">
        <f t="array" aca="1" ref="AL32" ca="1">IF($A32="*","",IFERROR(INDEX(AGR!$E$52:$L$73,MATCH('TS DTech'!$C32,AGR!$B$52:$B$73,0),MATCH('TS DTech'!$B32&amp;AL$7,AGR!$E$46:$L$46&amp;AGR!$E$48:$L$48,0)),""))</f>
        <v/>
      </c>
      <c r="AM32" s="296" t="str">
        <f t="array" aca="1" ref="AM32" ca="1">IF($A32="*","",IFERROR(INDEX(AGR!$E$52:$L$73,MATCH('TS DTech'!$C32,AGR!$B$52:$B$73,0),MATCH('TS DTech'!$B32&amp;AM$7,AGR!$E$46:$L$46&amp;AGR!$E$48:$L$48,0)),""))</f>
        <v/>
      </c>
      <c r="AN32" s="296" t="str">
        <f t="array" aca="1" ref="AN32" ca="1">IF($A32="*","",IFERROR(INDEX(AGR!$E$52:$L$73,MATCH('TS DTech'!$C32,AGR!$B$52:$B$73,0),MATCH('TS DTech'!$B32&amp;AN$7,AGR!$E$46:$L$46&amp;AGR!$E$48:$L$48,0)),""))</f>
        <v/>
      </c>
      <c r="AO32" s="296" t="str">
        <f t="array" aca="1" ref="AO32" ca="1">IF($A32="*","",IFERROR(INDEX(AGR!$E$52:$L$73,MATCH('TS DTech'!$C32,AGR!$B$52:$B$73,0),MATCH('TS DTech'!$B32&amp;AO$7,AGR!$E$46:$L$46&amp;AGR!$E$48:$L$48,0)),""))</f>
        <v/>
      </c>
      <c r="AP32" s="296" t="str">
        <f t="array" aca="1" ref="AP32" ca="1">IF($A32="*","",IFERROR(INDEX(AGR!$E$52:$L$73,MATCH('TS DTech'!$C32,AGR!$B$52:$B$73,0),MATCH('TS DTech'!$B32&amp;AP$7,AGR!$E$46:$L$46&amp;AGR!$E$48:$L$48,0)),""))</f>
        <v/>
      </c>
      <c r="AQ32" s="137">
        <f>IF(AR31=AGR!$AD$74,AQ31+1,AQ31)</f>
        <v>1</v>
      </c>
      <c r="AR32" s="137">
        <f t="shared" si="3"/>
        <v>17</v>
      </c>
    </row>
    <row r="33" spans="1:44">
      <c r="A33" s="137" t="str">
        <f ca="1">IF(LEFT(OFFSET(AGR!$A$51,AR33,0),2)="\I","*","")</f>
        <v/>
      </c>
      <c r="B33" s="212" t="str">
        <f t="shared" ca="1" si="0"/>
        <v>ACT_EFF</v>
      </c>
      <c r="C33" s="212" t="str">
        <f ca="1">IF($A33="*","",OFFSET(AGR!$B$51,AR33,0))</f>
        <v>AIOGS-E</v>
      </c>
      <c r="D33" s="212" t="str">
        <f t="shared" ca="1" si="2"/>
        <v>-</v>
      </c>
      <c r="E33" s="212" t="str">
        <f t="shared" ca="1" si="2"/>
        <v>ACTGRP</v>
      </c>
      <c r="F33" s="212" t="str">
        <f t="shared" ca="1" si="2"/>
        <v>-</v>
      </c>
      <c r="G33" s="212" t="str">
        <f t="shared" ca="1" si="2"/>
        <v>ANNUAL</v>
      </c>
      <c r="H33" s="212" t="str">
        <f t="shared" ca="1" si="2"/>
        <v>-</v>
      </c>
      <c r="I33" s="213">
        <f t="shared" ca="1" si="2"/>
        <v>0</v>
      </c>
      <c r="J33" s="296">
        <f t="array" aca="1" ref="J33" ca="1">IF($A33="*","",IFERROR(INDEX(AGR!$E$52:$L$73,MATCH('TS DTech'!$C33,AGR!$B$52:$B$73,0),MATCH('TS DTech'!$B33&amp;J$7,AGR!$E$46:$L$46&amp;AGR!$E$48:$L$48,0)),""))</f>
        <v>0.25</v>
      </c>
      <c r="K33" s="296" t="str">
        <f t="array" aca="1" ref="K33" ca="1">IF($A33="*","",IFERROR(INDEX(AGR!$E$52:$L$73,MATCH('TS DTech'!$C33,AGR!$B$52:$B$73,0),MATCH('TS DTech'!$B33&amp;K$7,AGR!$E$46:$L$46&amp;AGR!$E$48:$L$48,0)),""))</f>
        <v/>
      </c>
      <c r="L33" s="296" t="str">
        <f t="array" aca="1" ref="L33" ca="1">IF($A33="*","",IFERROR(INDEX(AGR!$E$52:$L$73,MATCH('TS DTech'!$C33,AGR!$B$52:$B$73,0),MATCH('TS DTech'!$B33&amp;L$7,AGR!$E$46:$L$46&amp;AGR!$E$48:$L$48,0)),""))</f>
        <v/>
      </c>
      <c r="M33" s="296" t="str">
        <f t="array" aca="1" ref="M33" ca="1">IF($A33="*","",IFERROR(INDEX(AGR!$E$52:$L$73,MATCH('TS DTech'!$C33,AGR!$B$52:$B$73,0),MATCH('TS DTech'!$B33&amp;M$7,AGR!$E$46:$L$46&amp;AGR!$E$48:$L$48,0)),""))</f>
        <v/>
      </c>
      <c r="N33" s="296" t="str">
        <f t="array" aca="1" ref="N33" ca="1">IF($A33="*","",IFERROR(INDEX(AGR!$E$52:$L$73,MATCH('TS DTech'!$C33,AGR!$B$52:$B$73,0),MATCH('TS DTech'!$B33&amp;N$7,AGR!$E$46:$L$46&amp;AGR!$E$48:$L$48,0)),""))</f>
        <v/>
      </c>
      <c r="O33" s="296">
        <f t="array" aca="1" ref="O33" ca="1">IF($A33="*","",IFERROR(INDEX(AGR!$E$52:$L$73,MATCH('TS DTech'!$C33,AGR!$B$52:$B$73,0),MATCH('TS DTech'!$B33&amp;O$7,AGR!$E$46:$L$46&amp;AGR!$E$48:$L$48,0)),""))</f>
        <v>0.25</v>
      </c>
      <c r="P33" s="296" t="str">
        <f t="array" aca="1" ref="P33" ca="1">IF($A33="*","",IFERROR(INDEX(AGR!$E$52:$L$73,MATCH('TS DTech'!$C33,AGR!$B$52:$B$73,0),MATCH('TS DTech'!$B33&amp;P$7,AGR!$E$46:$L$46&amp;AGR!$E$48:$L$48,0)),""))</f>
        <v/>
      </c>
      <c r="Q33" s="296" t="str">
        <f t="array" aca="1" ref="Q33" ca="1">IF($A33="*","",IFERROR(INDEX(AGR!$E$52:$L$73,MATCH('TS DTech'!$C33,AGR!$B$52:$B$73,0),MATCH('TS DTech'!$B33&amp;Q$7,AGR!$E$46:$L$46&amp;AGR!$E$48:$L$48,0)),""))</f>
        <v/>
      </c>
      <c r="R33" s="296" t="str">
        <f t="array" aca="1" ref="R33" ca="1">IF($A33="*","",IFERROR(INDEX(AGR!$E$52:$L$73,MATCH('TS DTech'!$C33,AGR!$B$52:$B$73,0),MATCH('TS DTech'!$B33&amp;R$7,AGR!$E$46:$L$46&amp;AGR!$E$48:$L$48,0)),""))</f>
        <v/>
      </c>
      <c r="S33" s="296" t="str">
        <f t="array" aca="1" ref="S33" ca="1">IF($A33="*","",IFERROR(INDEX(AGR!$E$52:$L$73,MATCH('TS DTech'!$C33,AGR!$B$52:$B$73,0),MATCH('TS DTech'!$B33&amp;S$7,AGR!$E$46:$L$46&amp;AGR!$E$48:$L$48,0)),""))</f>
        <v/>
      </c>
      <c r="T33" s="296" t="str">
        <f t="array" aca="1" ref="T33" ca="1">IF($A33="*","",IFERROR(INDEX(AGR!$E$52:$L$73,MATCH('TS DTech'!$C33,AGR!$B$52:$B$73,0),MATCH('TS DTech'!$B33&amp;T$7,AGR!$E$46:$L$46&amp;AGR!$E$48:$L$48,0)),""))</f>
        <v/>
      </c>
      <c r="U33" s="296" t="str">
        <f t="array" aca="1" ref="U33" ca="1">IF($A33="*","",IFERROR(INDEX(AGR!$E$52:$L$73,MATCH('TS DTech'!$C33,AGR!$B$52:$B$73,0),MATCH('TS DTech'!$B33&amp;U$7,AGR!$E$46:$L$46&amp;AGR!$E$48:$L$48,0)),""))</f>
        <v/>
      </c>
      <c r="V33" s="296" t="str">
        <f t="array" aca="1" ref="V33" ca="1">IF($A33="*","",IFERROR(INDEX(AGR!$E$52:$L$73,MATCH('TS DTech'!$C33,AGR!$B$52:$B$73,0),MATCH('TS DTech'!$B33&amp;V$7,AGR!$E$46:$L$46&amp;AGR!$E$48:$L$48,0)),""))</f>
        <v/>
      </c>
      <c r="W33" s="296" t="str">
        <f t="array" aca="1" ref="W33" ca="1">IF($A33="*","",IFERROR(INDEX(AGR!$E$52:$L$73,MATCH('TS DTech'!$C33,AGR!$B$52:$B$73,0),MATCH('TS DTech'!$B33&amp;W$7,AGR!$E$46:$L$46&amp;AGR!$E$48:$L$48,0)),""))</f>
        <v/>
      </c>
      <c r="X33" s="296" t="str">
        <f t="array" aca="1" ref="X33" ca="1">IF($A33="*","",IFERROR(INDEX(AGR!$E$52:$L$73,MATCH('TS DTech'!$C33,AGR!$B$52:$B$73,0),MATCH('TS DTech'!$B33&amp;X$7,AGR!$E$46:$L$46&amp;AGR!$E$48:$L$48,0)),""))</f>
        <v/>
      </c>
      <c r="Y33" s="296" t="str">
        <f t="array" aca="1" ref="Y33" ca="1">IF($A33="*","",IFERROR(INDEX(AGR!$E$52:$L$73,MATCH('TS DTech'!$C33,AGR!$B$52:$B$73,0),MATCH('TS DTech'!$B33&amp;Y$7,AGR!$E$46:$L$46&amp;AGR!$E$48:$L$48,0)),""))</f>
        <v/>
      </c>
      <c r="Z33" s="296" t="str">
        <f t="array" aca="1" ref="Z33" ca="1">IF($A33="*","",IFERROR(INDEX(AGR!$E$52:$L$73,MATCH('TS DTech'!$C33,AGR!$B$52:$B$73,0),MATCH('TS DTech'!$B33&amp;Z$7,AGR!$E$46:$L$46&amp;AGR!$E$48:$L$48,0)),""))</f>
        <v/>
      </c>
      <c r="AA33" s="296" t="str">
        <f t="array" aca="1" ref="AA33" ca="1">IF($A33="*","",IFERROR(INDEX(AGR!$E$52:$L$73,MATCH('TS DTech'!$C33,AGR!$B$52:$B$73,0),MATCH('TS DTech'!$B33&amp;AA$7,AGR!$E$46:$L$46&amp;AGR!$E$48:$L$48,0)),""))</f>
        <v/>
      </c>
      <c r="AB33" s="296" t="str">
        <f t="array" aca="1" ref="AB33" ca="1">IF($A33="*","",IFERROR(INDEX(AGR!$E$52:$L$73,MATCH('TS DTech'!$C33,AGR!$B$52:$B$73,0),MATCH('TS DTech'!$B33&amp;AB$7,AGR!$E$46:$L$46&amp;AGR!$E$48:$L$48,0)),""))</f>
        <v/>
      </c>
      <c r="AC33" s="296" t="str">
        <f t="array" aca="1" ref="AC33" ca="1">IF($A33="*","",IFERROR(INDEX(AGR!$E$52:$L$73,MATCH('TS DTech'!$C33,AGR!$B$52:$B$73,0),MATCH('TS DTech'!$B33&amp;AC$7,AGR!$E$46:$L$46&amp;AGR!$E$48:$L$48,0)),""))</f>
        <v/>
      </c>
      <c r="AD33" s="296" t="str">
        <f t="array" aca="1" ref="AD33" ca="1">IF($A33="*","",IFERROR(INDEX(AGR!$E$52:$L$73,MATCH('TS DTech'!$C33,AGR!$B$52:$B$73,0),MATCH('TS DTech'!$B33&amp;AD$7,AGR!$E$46:$L$46&amp;AGR!$E$48:$L$48,0)),""))</f>
        <v/>
      </c>
      <c r="AE33" s="296" t="str">
        <f t="array" aca="1" ref="AE33" ca="1">IF($A33="*","",IFERROR(INDEX(AGR!$E$52:$L$73,MATCH('TS DTech'!$C33,AGR!$B$52:$B$73,0),MATCH('TS DTech'!$B33&amp;AE$7,AGR!$E$46:$L$46&amp;AGR!$E$48:$L$48,0)),""))</f>
        <v/>
      </c>
      <c r="AF33" s="296" t="str">
        <f t="array" aca="1" ref="AF33" ca="1">IF($A33="*","",IFERROR(INDEX(AGR!$E$52:$L$73,MATCH('TS DTech'!$C33,AGR!$B$52:$B$73,0),MATCH('TS DTech'!$B33&amp;AF$7,AGR!$E$46:$L$46&amp;AGR!$E$48:$L$48,0)),""))</f>
        <v/>
      </c>
      <c r="AG33" s="296" t="str">
        <f t="array" aca="1" ref="AG33" ca="1">IF($A33="*","",IFERROR(INDEX(AGR!$E$52:$L$73,MATCH('TS DTech'!$C33,AGR!$B$52:$B$73,0),MATCH('TS DTech'!$B33&amp;AG$7,AGR!$E$46:$L$46&amp;AGR!$E$48:$L$48,0)),""))</f>
        <v/>
      </c>
      <c r="AH33" s="296" t="str">
        <f t="array" aca="1" ref="AH33" ca="1">IF($A33="*","",IFERROR(INDEX(AGR!$E$52:$L$73,MATCH('TS DTech'!$C33,AGR!$B$52:$B$73,0),MATCH('TS DTech'!$B33&amp;AH$7,AGR!$E$46:$L$46&amp;AGR!$E$48:$L$48,0)),""))</f>
        <v/>
      </c>
      <c r="AI33" s="296" t="str">
        <f t="array" aca="1" ref="AI33" ca="1">IF($A33="*","",IFERROR(INDEX(AGR!$E$52:$L$73,MATCH('TS DTech'!$C33,AGR!$B$52:$B$73,0),MATCH('TS DTech'!$B33&amp;AI$7,AGR!$E$46:$L$46&amp;AGR!$E$48:$L$48,0)),""))</f>
        <v/>
      </c>
      <c r="AJ33" s="296" t="str">
        <f t="array" aca="1" ref="AJ33" ca="1">IF($A33="*","",IFERROR(INDEX(AGR!$E$52:$L$73,MATCH('TS DTech'!$C33,AGR!$B$52:$B$73,0),MATCH('TS DTech'!$B33&amp;AJ$7,AGR!$E$46:$L$46&amp;AGR!$E$48:$L$48,0)),""))</f>
        <v/>
      </c>
      <c r="AK33" s="296" t="str">
        <f t="array" aca="1" ref="AK33" ca="1">IF($A33="*","",IFERROR(INDEX(AGR!$E$52:$L$73,MATCH('TS DTech'!$C33,AGR!$B$52:$B$73,0),MATCH('TS DTech'!$B33&amp;AK$7,AGR!$E$46:$L$46&amp;AGR!$E$48:$L$48,0)),""))</f>
        <v/>
      </c>
      <c r="AL33" s="296" t="str">
        <f t="array" aca="1" ref="AL33" ca="1">IF($A33="*","",IFERROR(INDEX(AGR!$E$52:$L$73,MATCH('TS DTech'!$C33,AGR!$B$52:$B$73,0),MATCH('TS DTech'!$B33&amp;AL$7,AGR!$E$46:$L$46&amp;AGR!$E$48:$L$48,0)),""))</f>
        <v/>
      </c>
      <c r="AM33" s="296" t="str">
        <f t="array" aca="1" ref="AM33" ca="1">IF($A33="*","",IFERROR(INDEX(AGR!$E$52:$L$73,MATCH('TS DTech'!$C33,AGR!$B$52:$B$73,0),MATCH('TS DTech'!$B33&amp;AM$7,AGR!$E$46:$L$46&amp;AGR!$E$48:$L$48,0)),""))</f>
        <v/>
      </c>
      <c r="AN33" s="296" t="str">
        <f t="array" aca="1" ref="AN33" ca="1">IF($A33="*","",IFERROR(INDEX(AGR!$E$52:$L$73,MATCH('TS DTech'!$C33,AGR!$B$52:$B$73,0),MATCH('TS DTech'!$B33&amp;AN$7,AGR!$E$46:$L$46&amp;AGR!$E$48:$L$48,0)),""))</f>
        <v/>
      </c>
      <c r="AO33" s="296" t="str">
        <f t="array" aca="1" ref="AO33" ca="1">IF($A33="*","",IFERROR(INDEX(AGR!$E$52:$L$73,MATCH('TS DTech'!$C33,AGR!$B$52:$B$73,0),MATCH('TS DTech'!$B33&amp;AO$7,AGR!$E$46:$L$46&amp;AGR!$E$48:$L$48,0)),""))</f>
        <v/>
      </c>
      <c r="AP33" s="296" t="str">
        <f t="array" aca="1" ref="AP33" ca="1">IF($A33="*","",IFERROR(INDEX(AGR!$E$52:$L$73,MATCH('TS DTech'!$C33,AGR!$B$52:$B$73,0),MATCH('TS DTech'!$B33&amp;AP$7,AGR!$E$46:$L$46&amp;AGR!$E$48:$L$48,0)),""))</f>
        <v/>
      </c>
      <c r="AQ33" s="137">
        <f>IF(AR32=AGR!$AD$74,AQ32+1,AQ32)</f>
        <v>1</v>
      </c>
      <c r="AR33" s="137">
        <f t="shared" si="3"/>
        <v>18</v>
      </c>
    </row>
    <row r="34" spans="1:44">
      <c r="A34" s="137" t="str">
        <f ca="1">IF(LEFT(OFFSET(AGR!$A$51,AR34,0),2)="\I","*","")</f>
        <v>*</v>
      </c>
      <c r="B34" s="212" t="str">
        <f t="shared" ca="1" si="0"/>
        <v/>
      </c>
      <c r="C34" s="212" t="str">
        <f ca="1">IF($A34="*","",OFFSET(AGR!$B$51,AR34,0))</f>
        <v/>
      </c>
      <c r="D34" s="212" t="str">
        <f t="shared" ca="1" si="2"/>
        <v/>
      </c>
      <c r="E34" s="212" t="str">
        <f t="shared" ca="1" si="2"/>
        <v/>
      </c>
      <c r="F34" s="212" t="str">
        <f t="shared" ca="1" si="2"/>
        <v/>
      </c>
      <c r="G34" s="212" t="str">
        <f t="shared" ca="1" si="2"/>
        <v/>
      </c>
      <c r="H34" s="212" t="str">
        <f t="shared" ca="1" si="2"/>
        <v/>
      </c>
      <c r="I34" s="213" t="str">
        <f t="shared" ca="1" si="2"/>
        <v/>
      </c>
      <c r="J34" s="296" t="str">
        <f t="array" aca="1" ref="J34" ca="1">IF($A34="*","",IFERROR(INDEX(AGR!$E$52:$L$73,MATCH('TS DTech'!$C34,AGR!$B$52:$B$73,0),MATCH('TS DTech'!$B34&amp;J$7,AGR!$E$46:$L$46&amp;AGR!$E$48:$L$48,0)),""))</f>
        <v/>
      </c>
      <c r="K34" s="296" t="str">
        <f t="array" aca="1" ref="K34" ca="1">IF($A34="*","",IFERROR(INDEX(AGR!$E$52:$L$73,MATCH('TS DTech'!$C34,AGR!$B$52:$B$73,0),MATCH('TS DTech'!$B34&amp;K$7,AGR!$E$46:$L$46&amp;AGR!$E$48:$L$48,0)),""))</f>
        <v/>
      </c>
      <c r="L34" s="296" t="str">
        <f t="array" aca="1" ref="L34" ca="1">IF($A34="*","",IFERROR(INDEX(AGR!$E$52:$L$73,MATCH('TS DTech'!$C34,AGR!$B$52:$B$73,0),MATCH('TS DTech'!$B34&amp;L$7,AGR!$E$46:$L$46&amp;AGR!$E$48:$L$48,0)),""))</f>
        <v/>
      </c>
      <c r="M34" s="296" t="str">
        <f t="array" aca="1" ref="M34" ca="1">IF($A34="*","",IFERROR(INDEX(AGR!$E$52:$L$73,MATCH('TS DTech'!$C34,AGR!$B$52:$B$73,0),MATCH('TS DTech'!$B34&amp;M$7,AGR!$E$46:$L$46&amp;AGR!$E$48:$L$48,0)),""))</f>
        <v/>
      </c>
      <c r="N34" s="296" t="str">
        <f t="array" aca="1" ref="N34" ca="1">IF($A34="*","",IFERROR(INDEX(AGR!$E$52:$L$73,MATCH('TS DTech'!$C34,AGR!$B$52:$B$73,0),MATCH('TS DTech'!$B34&amp;N$7,AGR!$E$46:$L$46&amp;AGR!$E$48:$L$48,0)),""))</f>
        <v/>
      </c>
      <c r="O34" s="296" t="str">
        <f t="array" aca="1" ref="O34" ca="1">IF($A34="*","",IFERROR(INDEX(AGR!$E$52:$L$73,MATCH('TS DTech'!$C34,AGR!$B$52:$B$73,0),MATCH('TS DTech'!$B34&amp;O$7,AGR!$E$46:$L$46&amp;AGR!$E$48:$L$48,0)),""))</f>
        <v/>
      </c>
      <c r="P34" s="296" t="str">
        <f t="array" aca="1" ref="P34" ca="1">IF($A34="*","",IFERROR(INDEX(AGR!$E$52:$L$73,MATCH('TS DTech'!$C34,AGR!$B$52:$B$73,0),MATCH('TS DTech'!$B34&amp;P$7,AGR!$E$46:$L$46&amp;AGR!$E$48:$L$48,0)),""))</f>
        <v/>
      </c>
      <c r="Q34" s="296" t="str">
        <f t="array" aca="1" ref="Q34" ca="1">IF($A34="*","",IFERROR(INDEX(AGR!$E$52:$L$73,MATCH('TS DTech'!$C34,AGR!$B$52:$B$73,0),MATCH('TS DTech'!$B34&amp;Q$7,AGR!$E$46:$L$46&amp;AGR!$E$48:$L$48,0)),""))</f>
        <v/>
      </c>
      <c r="R34" s="296" t="str">
        <f t="array" aca="1" ref="R34" ca="1">IF($A34="*","",IFERROR(INDEX(AGR!$E$52:$L$73,MATCH('TS DTech'!$C34,AGR!$B$52:$B$73,0),MATCH('TS DTech'!$B34&amp;R$7,AGR!$E$46:$L$46&amp;AGR!$E$48:$L$48,0)),""))</f>
        <v/>
      </c>
      <c r="S34" s="296" t="str">
        <f t="array" aca="1" ref="S34" ca="1">IF($A34="*","",IFERROR(INDEX(AGR!$E$52:$L$73,MATCH('TS DTech'!$C34,AGR!$B$52:$B$73,0),MATCH('TS DTech'!$B34&amp;S$7,AGR!$E$46:$L$46&amp;AGR!$E$48:$L$48,0)),""))</f>
        <v/>
      </c>
      <c r="T34" s="296" t="str">
        <f t="array" aca="1" ref="T34" ca="1">IF($A34="*","",IFERROR(INDEX(AGR!$E$52:$L$73,MATCH('TS DTech'!$C34,AGR!$B$52:$B$73,0),MATCH('TS DTech'!$B34&amp;T$7,AGR!$E$46:$L$46&amp;AGR!$E$48:$L$48,0)),""))</f>
        <v/>
      </c>
      <c r="U34" s="296" t="str">
        <f t="array" aca="1" ref="U34" ca="1">IF($A34="*","",IFERROR(INDEX(AGR!$E$52:$L$73,MATCH('TS DTech'!$C34,AGR!$B$52:$B$73,0),MATCH('TS DTech'!$B34&amp;U$7,AGR!$E$46:$L$46&amp;AGR!$E$48:$L$48,0)),""))</f>
        <v/>
      </c>
      <c r="V34" s="296" t="str">
        <f t="array" aca="1" ref="V34" ca="1">IF($A34="*","",IFERROR(INDEX(AGR!$E$52:$L$73,MATCH('TS DTech'!$C34,AGR!$B$52:$B$73,0),MATCH('TS DTech'!$B34&amp;V$7,AGR!$E$46:$L$46&amp;AGR!$E$48:$L$48,0)),""))</f>
        <v/>
      </c>
      <c r="W34" s="296" t="str">
        <f t="array" aca="1" ref="W34" ca="1">IF($A34="*","",IFERROR(INDEX(AGR!$E$52:$L$73,MATCH('TS DTech'!$C34,AGR!$B$52:$B$73,0),MATCH('TS DTech'!$B34&amp;W$7,AGR!$E$46:$L$46&amp;AGR!$E$48:$L$48,0)),""))</f>
        <v/>
      </c>
      <c r="X34" s="296" t="str">
        <f t="array" aca="1" ref="X34" ca="1">IF($A34="*","",IFERROR(INDEX(AGR!$E$52:$L$73,MATCH('TS DTech'!$C34,AGR!$B$52:$B$73,0),MATCH('TS DTech'!$B34&amp;X$7,AGR!$E$46:$L$46&amp;AGR!$E$48:$L$48,0)),""))</f>
        <v/>
      </c>
      <c r="Y34" s="296" t="str">
        <f t="array" aca="1" ref="Y34" ca="1">IF($A34="*","",IFERROR(INDEX(AGR!$E$52:$L$73,MATCH('TS DTech'!$C34,AGR!$B$52:$B$73,0),MATCH('TS DTech'!$B34&amp;Y$7,AGR!$E$46:$L$46&amp;AGR!$E$48:$L$48,0)),""))</f>
        <v/>
      </c>
      <c r="Z34" s="296" t="str">
        <f t="array" aca="1" ref="Z34" ca="1">IF($A34="*","",IFERROR(INDEX(AGR!$E$52:$L$73,MATCH('TS DTech'!$C34,AGR!$B$52:$B$73,0),MATCH('TS DTech'!$B34&amp;Z$7,AGR!$E$46:$L$46&amp;AGR!$E$48:$L$48,0)),""))</f>
        <v/>
      </c>
      <c r="AA34" s="296" t="str">
        <f t="array" aca="1" ref="AA34" ca="1">IF($A34="*","",IFERROR(INDEX(AGR!$E$52:$L$73,MATCH('TS DTech'!$C34,AGR!$B$52:$B$73,0),MATCH('TS DTech'!$B34&amp;AA$7,AGR!$E$46:$L$46&amp;AGR!$E$48:$L$48,0)),""))</f>
        <v/>
      </c>
      <c r="AB34" s="296" t="str">
        <f t="array" aca="1" ref="AB34" ca="1">IF($A34="*","",IFERROR(INDEX(AGR!$E$52:$L$73,MATCH('TS DTech'!$C34,AGR!$B$52:$B$73,0),MATCH('TS DTech'!$B34&amp;AB$7,AGR!$E$46:$L$46&amp;AGR!$E$48:$L$48,0)),""))</f>
        <v/>
      </c>
      <c r="AC34" s="296" t="str">
        <f t="array" aca="1" ref="AC34" ca="1">IF($A34="*","",IFERROR(INDEX(AGR!$E$52:$L$73,MATCH('TS DTech'!$C34,AGR!$B$52:$B$73,0),MATCH('TS DTech'!$B34&amp;AC$7,AGR!$E$46:$L$46&amp;AGR!$E$48:$L$48,0)),""))</f>
        <v/>
      </c>
      <c r="AD34" s="296" t="str">
        <f t="array" aca="1" ref="AD34" ca="1">IF($A34="*","",IFERROR(INDEX(AGR!$E$52:$L$73,MATCH('TS DTech'!$C34,AGR!$B$52:$B$73,0),MATCH('TS DTech'!$B34&amp;AD$7,AGR!$E$46:$L$46&amp;AGR!$E$48:$L$48,0)),""))</f>
        <v/>
      </c>
      <c r="AE34" s="296" t="str">
        <f t="array" aca="1" ref="AE34" ca="1">IF($A34="*","",IFERROR(INDEX(AGR!$E$52:$L$73,MATCH('TS DTech'!$C34,AGR!$B$52:$B$73,0),MATCH('TS DTech'!$B34&amp;AE$7,AGR!$E$46:$L$46&amp;AGR!$E$48:$L$48,0)),""))</f>
        <v/>
      </c>
      <c r="AF34" s="296" t="str">
        <f t="array" aca="1" ref="AF34" ca="1">IF($A34="*","",IFERROR(INDEX(AGR!$E$52:$L$73,MATCH('TS DTech'!$C34,AGR!$B$52:$B$73,0),MATCH('TS DTech'!$B34&amp;AF$7,AGR!$E$46:$L$46&amp;AGR!$E$48:$L$48,0)),""))</f>
        <v/>
      </c>
      <c r="AG34" s="296" t="str">
        <f t="array" aca="1" ref="AG34" ca="1">IF($A34="*","",IFERROR(INDEX(AGR!$E$52:$L$73,MATCH('TS DTech'!$C34,AGR!$B$52:$B$73,0),MATCH('TS DTech'!$B34&amp;AG$7,AGR!$E$46:$L$46&amp;AGR!$E$48:$L$48,0)),""))</f>
        <v/>
      </c>
      <c r="AH34" s="296" t="str">
        <f t="array" aca="1" ref="AH34" ca="1">IF($A34="*","",IFERROR(INDEX(AGR!$E$52:$L$73,MATCH('TS DTech'!$C34,AGR!$B$52:$B$73,0),MATCH('TS DTech'!$B34&amp;AH$7,AGR!$E$46:$L$46&amp;AGR!$E$48:$L$48,0)),""))</f>
        <v/>
      </c>
      <c r="AI34" s="296" t="str">
        <f t="array" aca="1" ref="AI34" ca="1">IF($A34="*","",IFERROR(INDEX(AGR!$E$52:$L$73,MATCH('TS DTech'!$C34,AGR!$B$52:$B$73,0),MATCH('TS DTech'!$B34&amp;AI$7,AGR!$E$46:$L$46&amp;AGR!$E$48:$L$48,0)),""))</f>
        <v/>
      </c>
      <c r="AJ34" s="296" t="str">
        <f t="array" aca="1" ref="AJ34" ca="1">IF($A34="*","",IFERROR(INDEX(AGR!$E$52:$L$73,MATCH('TS DTech'!$C34,AGR!$B$52:$B$73,0),MATCH('TS DTech'!$B34&amp;AJ$7,AGR!$E$46:$L$46&amp;AGR!$E$48:$L$48,0)),""))</f>
        <v/>
      </c>
      <c r="AK34" s="296" t="str">
        <f t="array" aca="1" ref="AK34" ca="1">IF($A34="*","",IFERROR(INDEX(AGR!$E$52:$L$73,MATCH('TS DTech'!$C34,AGR!$B$52:$B$73,0),MATCH('TS DTech'!$B34&amp;AK$7,AGR!$E$46:$L$46&amp;AGR!$E$48:$L$48,0)),""))</f>
        <v/>
      </c>
      <c r="AL34" s="296" t="str">
        <f t="array" aca="1" ref="AL34" ca="1">IF($A34="*","",IFERROR(INDEX(AGR!$E$52:$L$73,MATCH('TS DTech'!$C34,AGR!$B$52:$B$73,0),MATCH('TS DTech'!$B34&amp;AL$7,AGR!$E$46:$L$46&amp;AGR!$E$48:$L$48,0)),""))</f>
        <v/>
      </c>
      <c r="AM34" s="296" t="str">
        <f t="array" aca="1" ref="AM34" ca="1">IF($A34="*","",IFERROR(INDEX(AGR!$E$52:$L$73,MATCH('TS DTech'!$C34,AGR!$B$52:$B$73,0),MATCH('TS DTech'!$B34&amp;AM$7,AGR!$E$46:$L$46&amp;AGR!$E$48:$L$48,0)),""))</f>
        <v/>
      </c>
      <c r="AN34" s="296" t="str">
        <f t="array" aca="1" ref="AN34" ca="1">IF($A34="*","",IFERROR(INDEX(AGR!$E$52:$L$73,MATCH('TS DTech'!$C34,AGR!$B$52:$B$73,0),MATCH('TS DTech'!$B34&amp;AN$7,AGR!$E$46:$L$46&amp;AGR!$E$48:$L$48,0)),""))</f>
        <v/>
      </c>
      <c r="AO34" s="296" t="str">
        <f t="array" aca="1" ref="AO34" ca="1">IF($A34="*","",IFERROR(INDEX(AGR!$E$52:$L$73,MATCH('TS DTech'!$C34,AGR!$B$52:$B$73,0),MATCH('TS DTech'!$B34&amp;AO$7,AGR!$E$46:$L$46&amp;AGR!$E$48:$L$48,0)),""))</f>
        <v/>
      </c>
      <c r="AP34" s="296" t="str">
        <f t="array" aca="1" ref="AP34" ca="1">IF($A34="*","",IFERROR(INDEX(AGR!$E$52:$L$73,MATCH('TS DTech'!$C34,AGR!$B$52:$B$73,0),MATCH('TS DTech'!$B34&amp;AP$7,AGR!$E$46:$L$46&amp;AGR!$E$48:$L$48,0)),""))</f>
        <v/>
      </c>
      <c r="AQ34" s="137">
        <f>IF(AR33=AGR!$AD$74,AQ33+1,AQ33)</f>
        <v>1</v>
      </c>
      <c r="AR34" s="137">
        <f t="shared" si="3"/>
        <v>19</v>
      </c>
    </row>
    <row r="35" spans="1:44">
      <c r="A35" s="137" t="str">
        <f ca="1">IF(LEFT(OFFSET(AGR!$A$51,AR35,0),2)="\I","*","")</f>
        <v>*</v>
      </c>
      <c r="B35" s="212" t="str">
        <f t="shared" ca="1" si="0"/>
        <v/>
      </c>
      <c r="C35" s="212" t="str">
        <f ca="1">IF($A35="*","",OFFSET(AGR!$B$51,AR35,0))</f>
        <v/>
      </c>
      <c r="D35" s="212" t="str">
        <f t="shared" ca="1" si="2"/>
        <v/>
      </c>
      <c r="E35" s="212" t="str">
        <f t="shared" ca="1" si="2"/>
        <v/>
      </c>
      <c r="F35" s="212" t="str">
        <f t="shared" ca="1" si="2"/>
        <v/>
      </c>
      <c r="G35" s="212" t="str">
        <f t="shared" ca="1" si="2"/>
        <v/>
      </c>
      <c r="H35" s="212" t="str">
        <f t="shared" ca="1" si="2"/>
        <v/>
      </c>
      <c r="I35" s="213" t="str">
        <f t="shared" ca="1" si="2"/>
        <v/>
      </c>
      <c r="J35" s="296" t="str">
        <f t="array" aca="1" ref="J35" ca="1">IF($A35="*","",IFERROR(INDEX(AGR!$E$52:$L$73,MATCH('TS DTech'!$C35,AGR!$B$52:$B$73,0),MATCH('TS DTech'!$B35&amp;J$7,AGR!$E$46:$L$46&amp;AGR!$E$48:$L$48,0)),""))</f>
        <v/>
      </c>
      <c r="K35" s="296" t="str">
        <f t="array" aca="1" ref="K35" ca="1">IF($A35="*","",IFERROR(INDEX(AGR!$E$52:$L$73,MATCH('TS DTech'!$C35,AGR!$B$52:$B$73,0),MATCH('TS DTech'!$B35&amp;K$7,AGR!$E$46:$L$46&amp;AGR!$E$48:$L$48,0)),""))</f>
        <v/>
      </c>
      <c r="L35" s="296" t="str">
        <f t="array" aca="1" ref="L35" ca="1">IF($A35="*","",IFERROR(INDEX(AGR!$E$52:$L$73,MATCH('TS DTech'!$C35,AGR!$B$52:$B$73,0),MATCH('TS DTech'!$B35&amp;L$7,AGR!$E$46:$L$46&amp;AGR!$E$48:$L$48,0)),""))</f>
        <v/>
      </c>
      <c r="M35" s="296" t="str">
        <f t="array" aca="1" ref="M35" ca="1">IF($A35="*","",IFERROR(INDEX(AGR!$E$52:$L$73,MATCH('TS DTech'!$C35,AGR!$B$52:$B$73,0),MATCH('TS DTech'!$B35&amp;M$7,AGR!$E$46:$L$46&amp;AGR!$E$48:$L$48,0)),""))</f>
        <v/>
      </c>
      <c r="N35" s="296" t="str">
        <f t="array" aca="1" ref="N35" ca="1">IF($A35="*","",IFERROR(INDEX(AGR!$E$52:$L$73,MATCH('TS DTech'!$C35,AGR!$B$52:$B$73,0),MATCH('TS DTech'!$B35&amp;N$7,AGR!$E$46:$L$46&amp;AGR!$E$48:$L$48,0)),""))</f>
        <v/>
      </c>
      <c r="O35" s="296" t="str">
        <f t="array" aca="1" ref="O35" ca="1">IF($A35="*","",IFERROR(INDEX(AGR!$E$52:$L$73,MATCH('TS DTech'!$C35,AGR!$B$52:$B$73,0),MATCH('TS DTech'!$B35&amp;O$7,AGR!$E$46:$L$46&amp;AGR!$E$48:$L$48,0)),""))</f>
        <v/>
      </c>
      <c r="P35" s="296" t="str">
        <f t="array" aca="1" ref="P35" ca="1">IF($A35="*","",IFERROR(INDEX(AGR!$E$52:$L$73,MATCH('TS DTech'!$C35,AGR!$B$52:$B$73,0),MATCH('TS DTech'!$B35&amp;P$7,AGR!$E$46:$L$46&amp;AGR!$E$48:$L$48,0)),""))</f>
        <v/>
      </c>
      <c r="Q35" s="296" t="str">
        <f t="array" aca="1" ref="Q35" ca="1">IF($A35="*","",IFERROR(INDEX(AGR!$E$52:$L$73,MATCH('TS DTech'!$C35,AGR!$B$52:$B$73,0),MATCH('TS DTech'!$B35&amp;Q$7,AGR!$E$46:$L$46&amp;AGR!$E$48:$L$48,0)),""))</f>
        <v/>
      </c>
      <c r="R35" s="296" t="str">
        <f t="array" aca="1" ref="R35" ca="1">IF($A35="*","",IFERROR(INDEX(AGR!$E$52:$L$73,MATCH('TS DTech'!$C35,AGR!$B$52:$B$73,0),MATCH('TS DTech'!$B35&amp;R$7,AGR!$E$46:$L$46&amp;AGR!$E$48:$L$48,0)),""))</f>
        <v/>
      </c>
      <c r="S35" s="296" t="str">
        <f t="array" aca="1" ref="S35" ca="1">IF($A35="*","",IFERROR(INDEX(AGR!$E$52:$L$73,MATCH('TS DTech'!$C35,AGR!$B$52:$B$73,0),MATCH('TS DTech'!$B35&amp;S$7,AGR!$E$46:$L$46&amp;AGR!$E$48:$L$48,0)),""))</f>
        <v/>
      </c>
      <c r="T35" s="296" t="str">
        <f t="array" aca="1" ref="T35" ca="1">IF($A35="*","",IFERROR(INDEX(AGR!$E$52:$L$73,MATCH('TS DTech'!$C35,AGR!$B$52:$B$73,0),MATCH('TS DTech'!$B35&amp;T$7,AGR!$E$46:$L$46&amp;AGR!$E$48:$L$48,0)),""))</f>
        <v/>
      </c>
      <c r="U35" s="296" t="str">
        <f t="array" aca="1" ref="U35" ca="1">IF($A35="*","",IFERROR(INDEX(AGR!$E$52:$L$73,MATCH('TS DTech'!$C35,AGR!$B$52:$B$73,0),MATCH('TS DTech'!$B35&amp;U$7,AGR!$E$46:$L$46&amp;AGR!$E$48:$L$48,0)),""))</f>
        <v/>
      </c>
      <c r="V35" s="296" t="str">
        <f t="array" aca="1" ref="V35" ca="1">IF($A35="*","",IFERROR(INDEX(AGR!$E$52:$L$73,MATCH('TS DTech'!$C35,AGR!$B$52:$B$73,0),MATCH('TS DTech'!$B35&amp;V$7,AGR!$E$46:$L$46&amp;AGR!$E$48:$L$48,0)),""))</f>
        <v/>
      </c>
      <c r="W35" s="296" t="str">
        <f t="array" aca="1" ref="W35" ca="1">IF($A35="*","",IFERROR(INDEX(AGR!$E$52:$L$73,MATCH('TS DTech'!$C35,AGR!$B$52:$B$73,0),MATCH('TS DTech'!$B35&amp;W$7,AGR!$E$46:$L$46&amp;AGR!$E$48:$L$48,0)),""))</f>
        <v/>
      </c>
      <c r="X35" s="296" t="str">
        <f t="array" aca="1" ref="X35" ca="1">IF($A35="*","",IFERROR(INDEX(AGR!$E$52:$L$73,MATCH('TS DTech'!$C35,AGR!$B$52:$B$73,0),MATCH('TS DTech'!$B35&amp;X$7,AGR!$E$46:$L$46&amp;AGR!$E$48:$L$48,0)),""))</f>
        <v/>
      </c>
      <c r="Y35" s="296" t="str">
        <f t="array" aca="1" ref="Y35" ca="1">IF($A35="*","",IFERROR(INDEX(AGR!$E$52:$L$73,MATCH('TS DTech'!$C35,AGR!$B$52:$B$73,0),MATCH('TS DTech'!$B35&amp;Y$7,AGR!$E$46:$L$46&amp;AGR!$E$48:$L$48,0)),""))</f>
        <v/>
      </c>
      <c r="Z35" s="296" t="str">
        <f t="array" aca="1" ref="Z35" ca="1">IF($A35="*","",IFERROR(INDEX(AGR!$E$52:$L$73,MATCH('TS DTech'!$C35,AGR!$B$52:$B$73,0),MATCH('TS DTech'!$B35&amp;Z$7,AGR!$E$46:$L$46&amp;AGR!$E$48:$L$48,0)),""))</f>
        <v/>
      </c>
      <c r="AA35" s="296" t="str">
        <f t="array" aca="1" ref="AA35" ca="1">IF($A35="*","",IFERROR(INDEX(AGR!$E$52:$L$73,MATCH('TS DTech'!$C35,AGR!$B$52:$B$73,0),MATCH('TS DTech'!$B35&amp;AA$7,AGR!$E$46:$L$46&amp;AGR!$E$48:$L$48,0)),""))</f>
        <v/>
      </c>
      <c r="AB35" s="296" t="str">
        <f t="array" aca="1" ref="AB35" ca="1">IF($A35="*","",IFERROR(INDEX(AGR!$E$52:$L$73,MATCH('TS DTech'!$C35,AGR!$B$52:$B$73,0),MATCH('TS DTech'!$B35&amp;AB$7,AGR!$E$46:$L$46&amp;AGR!$E$48:$L$48,0)),""))</f>
        <v/>
      </c>
      <c r="AC35" s="296" t="str">
        <f t="array" aca="1" ref="AC35" ca="1">IF($A35="*","",IFERROR(INDEX(AGR!$E$52:$L$73,MATCH('TS DTech'!$C35,AGR!$B$52:$B$73,0),MATCH('TS DTech'!$B35&amp;AC$7,AGR!$E$46:$L$46&amp;AGR!$E$48:$L$48,0)),""))</f>
        <v/>
      </c>
      <c r="AD35" s="296" t="str">
        <f t="array" aca="1" ref="AD35" ca="1">IF($A35="*","",IFERROR(INDEX(AGR!$E$52:$L$73,MATCH('TS DTech'!$C35,AGR!$B$52:$B$73,0),MATCH('TS DTech'!$B35&amp;AD$7,AGR!$E$46:$L$46&amp;AGR!$E$48:$L$48,0)),""))</f>
        <v/>
      </c>
      <c r="AE35" s="296" t="str">
        <f t="array" aca="1" ref="AE35" ca="1">IF($A35="*","",IFERROR(INDEX(AGR!$E$52:$L$73,MATCH('TS DTech'!$C35,AGR!$B$52:$B$73,0),MATCH('TS DTech'!$B35&amp;AE$7,AGR!$E$46:$L$46&amp;AGR!$E$48:$L$48,0)),""))</f>
        <v/>
      </c>
      <c r="AF35" s="296" t="str">
        <f t="array" aca="1" ref="AF35" ca="1">IF($A35="*","",IFERROR(INDEX(AGR!$E$52:$L$73,MATCH('TS DTech'!$C35,AGR!$B$52:$B$73,0),MATCH('TS DTech'!$B35&amp;AF$7,AGR!$E$46:$L$46&amp;AGR!$E$48:$L$48,0)),""))</f>
        <v/>
      </c>
      <c r="AG35" s="296" t="str">
        <f t="array" aca="1" ref="AG35" ca="1">IF($A35="*","",IFERROR(INDEX(AGR!$E$52:$L$73,MATCH('TS DTech'!$C35,AGR!$B$52:$B$73,0),MATCH('TS DTech'!$B35&amp;AG$7,AGR!$E$46:$L$46&amp;AGR!$E$48:$L$48,0)),""))</f>
        <v/>
      </c>
      <c r="AH35" s="296" t="str">
        <f t="array" aca="1" ref="AH35" ca="1">IF($A35="*","",IFERROR(INDEX(AGR!$E$52:$L$73,MATCH('TS DTech'!$C35,AGR!$B$52:$B$73,0),MATCH('TS DTech'!$B35&amp;AH$7,AGR!$E$46:$L$46&amp;AGR!$E$48:$L$48,0)),""))</f>
        <v/>
      </c>
      <c r="AI35" s="296" t="str">
        <f t="array" aca="1" ref="AI35" ca="1">IF($A35="*","",IFERROR(INDEX(AGR!$E$52:$L$73,MATCH('TS DTech'!$C35,AGR!$B$52:$B$73,0),MATCH('TS DTech'!$B35&amp;AI$7,AGR!$E$46:$L$46&amp;AGR!$E$48:$L$48,0)),""))</f>
        <v/>
      </c>
      <c r="AJ35" s="296" t="str">
        <f t="array" aca="1" ref="AJ35" ca="1">IF($A35="*","",IFERROR(INDEX(AGR!$E$52:$L$73,MATCH('TS DTech'!$C35,AGR!$B$52:$B$73,0),MATCH('TS DTech'!$B35&amp;AJ$7,AGR!$E$46:$L$46&amp;AGR!$E$48:$L$48,0)),""))</f>
        <v/>
      </c>
      <c r="AK35" s="296" t="str">
        <f t="array" aca="1" ref="AK35" ca="1">IF($A35="*","",IFERROR(INDEX(AGR!$E$52:$L$73,MATCH('TS DTech'!$C35,AGR!$B$52:$B$73,0),MATCH('TS DTech'!$B35&amp;AK$7,AGR!$E$46:$L$46&amp;AGR!$E$48:$L$48,0)),""))</f>
        <v/>
      </c>
      <c r="AL35" s="296" t="str">
        <f t="array" aca="1" ref="AL35" ca="1">IF($A35="*","",IFERROR(INDEX(AGR!$E$52:$L$73,MATCH('TS DTech'!$C35,AGR!$B$52:$B$73,0),MATCH('TS DTech'!$B35&amp;AL$7,AGR!$E$46:$L$46&amp;AGR!$E$48:$L$48,0)),""))</f>
        <v/>
      </c>
      <c r="AM35" s="296" t="str">
        <f t="array" aca="1" ref="AM35" ca="1">IF($A35="*","",IFERROR(INDEX(AGR!$E$52:$L$73,MATCH('TS DTech'!$C35,AGR!$B$52:$B$73,0),MATCH('TS DTech'!$B35&amp;AM$7,AGR!$E$46:$L$46&amp;AGR!$E$48:$L$48,0)),""))</f>
        <v/>
      </c>
      <c r="AN35" s="296" t="str">
        <f t="array" aca="1" ref="AN35" ca="1">IF($A35="*","",IFERROR(INDEX(AGR!$E$52:$L$73,MATCH('TS DTech'!$C35,AGR!$B$52:$B$73,0),MATCH('TS DTech'!$B35&amp;AN$7,AGR!$E$46:$L$46&amp;AGR!$E$48:$L$48,0)),""))</f>
        <v/>
      </c>
      <c r="AO35" s="296" t="str">
        <f t="array" aca="1" ref="AO35" ca="1">IF($A35="*","",IFERROR(INDEX(AGR!$E$52:$L$73,MATCH('TS DTech'!$C35,AGR!$B$52:$B$73,0),MATCH('TS DTech'!$B35&amp;AO$7,AGR!$E$46:$L$46&amp;AGR!$E$48:$L$48,0)),""))</f>
        <v/>
      </c>
      <c r="AP35" s="296" t="str">
        <f t="array" aca="1" ref="AP35" ca="1">IF($A35="*","",IFERROR(INDEX(AGR!$E$52:$L$73,MATCH('TS DTech'!$C35,AGR!$B$52:$B$73,0),MATCH('TS DTech'!$B35&amp;AP$7,AGR!$E$46:$L$46&amp;AGR!$E$48:$L$48,0)),""))</f>
        <v/>
      </c>
      <c r="AQ35" s="137">
        <f>IF(AR34=AGR!$AD$74,AQ34+1,AQ34)</f>
        <v>1</v>
      </c>
      <c r="AR35" s="137">
        <f t="shared" si="3"/>
        <v>20</v>
      </c>
    </row>
    <row r="36" spans="1:44">
      <c r="A36" s="137" t="str">
        <f ca="1">IF(LEFT(OFFSET(AGR!$A$51,AR36,0),2)="\I","*","")</f>
        <v/>
      </c>
      <c r="B36" s="212" t="str">
        <f t="shared" ca="1" si="0"/>
        <v>ACT_EFF</v>
      </c>
      <c r="C36" s="212" t="str">
        <f ca="1">IF($A36="*","",OFFSET(AGR!$B$51,AR36,0))</f>
        <v>AOELC-E</v>
      </c>
      <c r="D36" s="212" t="str">
        <f t="shared" ca="1" si="2"/>
        <v>-</v>
      </c>
      <c r="E36" s="212" t="str">
        <f t="shared" ca="1" si="2"/>
        <v>ACTGRP</v>
      </c>
      <c r="F36" s="212" t="str">
        <f t="shared" ca="1" si="2"/>
        <v>-</v>
      </c>
      <c r="G36" s="212" t="str">
        <f t="shared" ca="1" si="2"/>
        <v>ANNUAL</v>
      </c>
      <c r="H36" s="212" t="str">
        <f t="shared" ca="1" si="2"/>
        <v>-</v>
      </c>
      <c r="I36" s="213">
        <f t="shared" ca="1" si="2"/>
        <v>0</v>
      </c>
      <c r="J36" s="296">
        <f t="array" aca="1" ref="J36" ca="1">IF($A36="*","",IFERROR(INDEX(AGR!$E$52:$L$73,MATCH('TS DTech'!$C36,AGR!$B$52:$B$73,0),MATCH('TS DTech'!$B36&amp;J$7,AGR!$E$46:$L$46&amp;AGR!$E$48:$L$48,0)),""))</f>
        <v>1</v>
      </c>
      <c r="K36" s="296" t="str">
        <f t="array" aca="1" ref="K36" ca="1">IF($A36="*","",IFERROR(INDEX(AGR!$E$52:$L$73,MATCH('TS DTech'!$C36,AGR!$B$52:$B$73,0),MATCH('TS DTech'!$B36&amp;K$7,AGR!$E$46:$L$46&amp;AGR!$E$48:$L$48,0)),""))</f>
        <v/>
      </c>
      <c r="L36" s="296" t="str">
        <f t="array" aca="1" ref="L36" ca="1">IF($A36="*","",IFERROR(INDEX(AGR!$E$52:$L$73,MATCH('TS DTech'!$C36,AGR!$B$52:$B$73,0),MATCH('TS DTech'!$B36&amp;L$7,AGR!$E$46:$L$46&amp;AGR!$E$48:$L$48,0)),""))</f>
        <v/>
      </c>
      <c r="M36" s="296" t="str">
        <f t="array" aca="1" ref="M36" ca="1">IF($A36="*","",IFERROR(INDEX(AGR!$E$52:$L$73,MATCH('TS DTech'!$C36,AGR!$B$52:$B$73,0),MATCH('TS DTech'!$B36&amp;M$7,AGR!$E$46:$L$46&amp;AGR!$E$48:$L$48,0)),""))</f>
        <v/>
      </c>
      <c r="N36" s="296" t="str">
        <f t="array" aca="1" ref="N36" ca="1">IF($A36="*","",IFERROR(INDEX(AGR!$E$52:$L$73,MATCH('TS DTech'!$C36,AGR!$B$52:$B$73,0),MATCH('TS DTech'!$B36&amp;N$7,AGR!$E$46:$L$46&amp;AGR!$E$48:$L$48,0)),""))</f>
        <v/>
      </c>
      <c r="O36" s="296">
        <f t="array" aca="1" ref="O36" ca="1">IF($A36="*","",IFERROR(INDEX(AGR!$E$52:$L$73,MATCH('TS DTech'!$C36,AGR!$B$52:$B$73,0),MATCH('TS DTech'!$B36&amp;O$7,AGR!$E$46:$L$46&amp;AGR!$E$48:$L$48,0)),""))</f>
        <v>1</v>
      </c>
      <c r="P36" s="296" t="str">
        <f t="array" aca="1" ref="P36" ca="1">IF($A36="*","",IFERROR(INDEX(AGR!$E$52:$L$73,MATCH('TS DTech'!$C36,AGR!$B$52:$B$73,0),MATCH('TS DTech'!$B36&amp;P$7,AGR!$E$46:$L$46&amp;AGR!$E$48:$L$48,0)),""))</f>
        <v/>
      </c>
      <c r="Q36" s="296" t="str">
        <f t="array" aca="1" ref="Q36" ca="1">IF($A36="*","",IFERROR(INDEX(AGR!$E$52:$L$73,MATCH('TS DTech'!$C36,AGR!$B$52:$B$73,0),MATCH('TS DTech'!$B36&amp;Q$7,AGR!$E$46:$L$46&amp;AGR!$E$48:$L$48,0)),""))</f>
        <v/>
      </c>
      <c r="R36" s="296" t="str">
        <f t="array" aca="1" ref="R36" ca="1">IF($A36="*","",IFERROR(INDEX(AGR!$E$52:$L$73,MATCH('TS DTech'!$C36,AGR!$B$52:$B$73,0),MATCH('TS DTech'!$B36&amp;R$7,AGR!$E$46:$L$46&amp;AGR!$E$48:$L$48,0)),""))</f>
        <v/>
      </c>
      <c r="S36" s="296" t="str">
        <f t="array" aca="1" ref="S36" ca="1">IF($A36="*","",IFERROR(INDEX(AGR!$E$52:$L$73,MATCH('TS DTech'!$C36,AGR!$B$52:$B$73,0),MATCH('TS DTech'!$B36&amp;S$7,AGR!$E$46:$L$46&amp;AGR!$E$48:$L$48,0)),""))</f>
        <v/>
      </c>
      <c r="T36" s="296" t="str">
        <f t="array" aca="1" ref="T36" ca="1">IF($A36="*","",IFERROR(INDEX(AGR!$E$52:$L$73,MATCH('TS DTech'!$C36,AGR!$B$52:$B$73,0),MATCH('TS DTech'!$B36&amp;T$7,AGR!$E$46:$L$46&amp;AGR!$E$48:$L$48,0)),""))</f>
        <v/>
      </c>
      <c r="U36" s="296" t="str">
        <f t="array" aca="1" ref="U36" ca="1">IF($A36="*","",IFERROR(INDEX(AGR!$E$52:$L$73,MATCH('TS DTech'!$C36,AGR!$B$52:$B$73,0),MATCH('TS DTech'!$B36&amp;U$7,AGR!$E$46:$L$46&amp;AGR!$E$48:$L$48,0)),""))</f>
        <v/>
      </c>
      <c r="V36" s="296" t="str">
        <f t="array" aca="1" ref="V36" ca="1">IF($A36="*","",IFERROR(INDEX(AGR!$E$52:$L$73,MATCH('TS DTech'!$C36,AGR!$B$52:$B$73,0),MATCH('TS DTech'!$B36&amp;V$7,AGR!$E$46:$L$46&amp;AGR!$E$48:$L$48,0)),""))</f>
        <v/>
      </c>
      <c r="W36" s="296" t="str">
        <f t="array" aca="1" ref="W36" ca="1">IF($A36="*","",IFERROR(INDEX(AGR!$E$52:$L$73,MATCH('TS DTech'!$C36,AGR!$B$52:$B$73,0),MATCH('TS DTech'!$B36&amp;W$7,AGR!$E$46:$L$46&amp;AGR!$E$48:$L$48,0)),""))</f>
        <v/>
      </c>
      <c r="X36" s="296" t="str">
        <f t="array" aca="1" ref="X36" ca="1">IF($A36="*","",IFERROR(INDEX(AGR!$E$52:$L$73,MATCH('TS DTech'!$C36,AGR!$B$52:$B$73,0),MATCH('TS DTech'!$B36&amp;X$7,AGR!$E$46:$L$46&amp;AGR!$E$48:$L$48,0)),""))</f>
        <v/>
      </c>
      <c r="Y36" s="296" t="str">
        <f t="array" aca="1" ref="Y36" ca="1">IF($A36="*","",IFERROR(INDEX(AGR!$E$52:$L$73,MATCH('TS DTech'!$C36,AGR!$B$52:$B$73,0),MATCH('TS DTech'!$B36&amp;Y$7,AGR!$E$46:$L$46&amp;AGR!$E$48:$L$48,0)),""))</f>
        <v/>
      </c>
      <c r="Z36" s="296" t="str">
        <f t="array" aca="1" ref="Z36" ca="1">IF($A36="*","",IFERROR(INDEX(AGR!$E$52:$L$73,MATCH('TS DTech'!$C36,AGR!$B$52:$B$73,0),MATCH('TS DTech'!$B36&amp;Z$7,AGR!$E$46:$L$46&amp;AGR!$E$48:$L$48,0)),""))</f>
        <v/>
      </c>
      <c r="AA36" s="296" t="str">
        <f t="array" aca="1" ref="AA36" ca="1">IF($A36="*","",IFERROR(INDEX(AGR!$E$52:$L$73,MATCH('TS DTech'!$C36,AGR!$B$52:$B$73,0),MATCH('TS DTech'!$B36&amp;AA$7,AGR!$E$46:$L$46&amp;AGR!$E$48:$L$48,0)),""))</f>
        <v/>
      </c>
      <c r="AB36" s="296" t="str">
        <f t="array" aca="1" ref="AB36" ca="1">IF($A36="*","",IFERROR(INDEX(AGR!$E$52:$L$73,MATCH('TS DTech'!$C36,AGR!$B$52:$B$73,0),MATCH('TS DTech'!$B36&amp;AB$7,AGR!$E$46:$L$46&amp;AGR!$E$48:$L$48,0)),""))</f>
        <v/>
      </c>
      <c r="AC36" s="296" t="str">
        <f t="array" aca="1" ref="AC36" ca="1">IF($A36="*","",IFERROR(INDEX(AGR!$E$52:$L$73,MATCH('TS DTech'!$C36,AGR!$B$52:$B$73,0),MATCH('TS DTech'!$B36&amp;AC$7,AGR!$E$46:$L$46&amp;AGR!$E$48:$L$48,0)),""))</f>
        <v/>
      </c>
      <c r="AD36" s="296" t="str">
        <f t="array" aca="1" ref="AD36" ca="1">IF($A36="*","",IFERROR(INDEX(AGR!$E$52:$L$73,MATCH('TS DTech'!$C36,AGR!$B$52:$B$73,0),MATCH('TS DTech'!$B36&amp;AD$7,AGR!$E$46:$L$46&amp;AGR!$E$48:$L$48,0)),""))</f>
        <v/>
      </c>
      <c r="AE36" s="296" t="str">
        <f t="array" aca="1" ref="AE36" ca="1">IF($A36="*","",IFERROR(INDEX(AGR!$E$52:$L$73,MATCH('TS DTech'!$C36,AGR!$B$52:$B$73,0),MATCH('TS DTech'!$B36&amp;AE$7,AGR!$E$46:$L$46&amp;AGR!$E$48:$L$48,0)),""))</f>
        <v/>
      </c>
      <c r="AF36" s="296" t="str">
        <f t="array" aca="1" ref="AF36" ca="1">IF($A36="*","",IFERROR(INDEX(AGR!$E$52:$L$73,MATCH('TS DTech'!$C36,AGR!$B$52:$B$73,0),MATCH('TS DTech'!$B36&amp;AF$7,AGR!$E$46:$L$46&amp;AGR!$E$48:$L$48,0)),""))</f>
        <v/>
      </c>
      <c r="AG36" s="296" t="str">
        <f t="array" aca="1" ref="AG36" ca="1">IF($A36="*","",IFERROR(INDEX(AGR!$E$52:$L$73,MATCH('TS DTech'!$C36,AGR!$B$52:$B$73,0),MATCH('TS DTech'!$B36&amp;AG$7,AGR!$E$46:$L$46&amp;AGR!$E$48:$L$48,0)),""))</f>
        <v/>
      </c>
      <c r="AH36" s="296" t="str">
        <f t="array" aca="1" ref="AH36" ca="1">IF($A36="*","",IFERROR(INDEX(AGR!$E$52:$L$73,MATCH('TS DTech'!$C36,AGR!$B$52:$B$73,0),MATCH('TS DTech'!$B36&amp;AH$7,AGR!$E$46:$L$46&amp;AGR!$E$48:$L$48,0)),""))</f>
        <v/>
      </c>
      <c r="AI36" s="296" t="str">
        <f t="array" aca="1" ref="AI36" ca="1">IF($A36="*","",IFERROR(INDEX(AGR!$E$52:$L$73,MATCH('TS DTech'!$C36,AGR!$B$52:$B$73,0),MATCH('TS DTech'!$B36&amp;AI$7,AGR!$E$46:$L$46&amp;AGR!$E$48:$L$48,0)),""))</f>
        <v/>
      </c>
      <c r="AJ36" s="296" t="str">
        <f t="array" aca="1" ref="AJ36" ca="1">IF($A36="*","",IFERROR(INDEX(AGR!$E$52:$L$73,MATCH('TS DTech'!$C36,AGR!$B$52:$B$73,0),MATCH('TS DTech'!$B36&amp;AJ$7,AGR!$E$46:$L$46&amp;AGR!$E$48:$L$48,0)),""))</f>
        <v/>
      </c>
      <c r="AK36" s="296" t="str">
        <f t="array" aca="1" ref="AK36" ca="1">IF($A36="*","",IFERROR(INDEX(AGR!$E$52:$L$73,MATCH('TS DTech'!$C36,AGR!$B$52:$B$73,0),MATCH('TS DTech'!$B36&amp;AK$7,AGR!$E$46:$L$46&amp;AGR!$E$48:$L$48,0)),""))</f>
        <v/>
      </c>
      <c r="AL36" s="296" t="str">
        <f t="array" aca="1" ref="AL36" ca="1">IF($A36="*","",IFERROR(INDEX(AGR!$E$52:$L$73,MATCH('TS DTech'!$C36,AGR!$B$52:$B$73,0),MATCH('TS DTech'!$B36&amp;AL$7,AGR!$E$46:$L$46&amp;AGR!$E$48:$L$48,0)),""))</f>
        <v/>
      </c>
      <c r="AM36" s="296" t="str">
        <f t="array" aca="1" ref="AM36" ca="1">IF($A36="*","",IFERROR(INDEX(AGR!$E$52:$L$73,MATCH('TS DTech'!$C36,AGR!$B$52:$B$73,0),MATCH('TS DTech'!$B36&amp;AM$7,AGR!$E$46:$L$46&amp;AGR!$E$48:$L$48,0)),""))</f>
        <v/>
      </c>
      <c r="AN36" s="296" t="str">
        <f t="array" aca="1" ref="AN36" ca="1">IF($A36="*","",IFERROR(INDEX(AGR!$E$52:$L$73,MATCH('TS DTech'!$C36,AGR!$B$52:$B$73,0),MATCH('TS DTech'!$B36&amp;AN$7,AGR!$E$46:$L$46&amp;AGR!$E$48:$L$48,0)),""))</f>
        <v/>
      </c>
      <c r="AO36" s="296" t="str">
        <f t="array" aca="1" ref="AO36" ca="1">IF($A36="*","",IFERROR(INDEX(AGR!$E$52:$L$73,MATCH('TS DTech'!$C36,AGR!$B$52:$B$73,0),MATCH('TS DTech'!$B36&amp;AO$7,AGR!$E$46:$L$46&amp;AGR!$E$48:$L$48,0)),""))</f>
        <v/>
      </c>
      <c r="AP36" s="296" t="str">
        <f t="array" aca="1" ref="AP36" ca="1">IF($A36="*","",IFERROR(INDEX(AGR!$E$52:$L$73,MATCH('TS DTech'!$C36,AGR!$B$52:$B$73,0),MATCH('TS DTech'!$B36&amp;AP$7,AGR!$E$46:$L$46&amp;AGR!$E$48:$L$48,0)),""))</f>
        <v/>
      </c>
      <c r="AQ36" s="137">
        <f>IF(AR35=AGR!$AD$74,AQ35+1,AQ35)</f>
        <v>1</v>
      </c>
      <c r="AR36" s="137">
        <f t="shared" si="3"/>
        <v>21</v>
      </c>
    </row>
    <row r="37" spans="1:44">
      <c r="A37" s="137" t="str">
        <f ca="1">IF(LEFT(OFFSET(AGR!$A$51,AR37,0),2)="\I","*","")</f>
        <v>*</v>
      </c>
      <c r="B37" s="212" t="str">
        <f t="shared" ca="1" si="0"/>
        <v/>
      </c>
      <c r="C37" s="212" t="str">
        <f ca="1">IF($A37="*","",OFFSET(AGR!$B$51,AR37,0))</f>
        <v/>
      </c>
      <c r="D37" s="212" t="str">
        <f t="shared" ca="1" si="2"/>
        <v/>
      </c>
      <c r="E37" s="212" t="str">
        <f t="shared" ca="1" si="2"/>
        <v/>
      </c>
      <c r="F37" s="212" t="str">
        <f t="shared" ca="1" si="2"/>
        <v/>
      </c>
      <c r="G37" s="212" t="str">
        <f t="shared" ca="1" si="2"/>
        <v/>
      </c>
      <c r="H37" s="212" t="str">
        <f t="shared" ca="1" si="2"/>
        <v/>
      </c>
      <c r="I37" s="213" t="str">
        <f t="shared" ca="1" si="2"/>
        <v/>
      </c>
      <c r="J37" s="296" t="str">
        <f t="array" aca="1" ref="J37" ca="1">IF($A37="*","",IFERROR(INDEX(AGR!$E$52:$L$73,MATCH('TS DTech'!$C37,AGR!$B$52:$B$73,0),MATCH('TS DTech'!$B37&amp;J$7,AGR!$E$46:$L$46&amp;AGR!$E$48:$L$48,0)),""))</f>
        <v/>
      </c>
      <c r="K37" s="296" t="str">
        <f t="array" aca="1" ref="K37" ca="1">IF($A37="*","",IFERROR(INDEX(AGR!$E$52:$L$73,MATCH('TS DTech'!$C37,AGR!$B$52:$B$73,0),MATCH('TS DTech'!$B37&amp;K$7,AGR!$E$46:$L$46&amp;AGR!$E$48:$L$48,0)),""))</f>
        <v/>
      </c>
      <c r="L37" s="296" t="str">
        <f t="array" aca="1" ref="L37" ca="1">IF($A37="*","",IFERROR(INDEX(AGR!$E$52:$L$73,MATCH('TS DTech'!$C37,AGR!$B$52:$B$73,0),MATCH('TS DTech'!$B37&amp;L$7,AGR!$E$46:$L$46&amp;AGR!$E$48:$L$48,0)),""))</f>
        <v/>
      </c>
      <c r="M37" s="296" t="str">
        <f t="array" aca="1" ref="M37" ca="1">IF($A37="*","",IFERROR(INDEX(AGR!$E$52:$L$73,MATCH('TS DTech'!$C37,AGR!$B$52:$B$73,0),MATCH('TS DTech'!$B37&amp;M$7,AGR!$E$46:$L$46&amp;AGR!$E$48:$L$48,0)),""))</f>
        <v/>
      </c>
      <c r="N37" s="296" t="str">
        <f t="array" aca="1" ref="N37" ca="1">IF($A37="*","",IFERROR(INDEX(AGR!$E$52:$L$73,MATCH('TS DTech'!$C37,AGR!$B$52:$B$73,0),MATCH('TS DTech'!$B37&amp;N$7,AGR!$E$46:$L$46&amp;AGR!$E$48:$L$48,0)),""))</f>
        <v/>
      </c>
      <c r="O37" s="296" t="str">
        <f t="array" aca="1" ref="O37" ca="1">IF($A37="*","",IFERROR(INDEX(AGR!$E$52:$L$73,MATCH('TS DTech'!$C37,AGR!$B$52:$B$73,0),MATCH('TS DTech'!$B37&amp;O$7,AGR!$E$46:$L$46&amp;AGR!$E$48:$L$48,0)),""))</f>
        <v/>
      </c>
      <c r="P37" s="296" t="str">
        <f t="array" aca="1" ref="P37" ca="1">IF($A37="*","",IFERROR(INDEX(AGR!$E$52:$L$73,MATCH('TS DTech'!$C37,AGR!$B$52:$B$73,0),MATCH('TS DTech'!$B37&amp;P$7,AGR!$E$46:$L$46&amp;AGR!$E$48:$L$48,0)),""))</f>
        <v/>
      </c>
      <c r="Q37" s="296" t="str">
        <f t="array" aca="1" ref="Q37" ca="1">IF($A37="*","",IFERROR(INDEX(AGR!$E$52:$L$73,MATCH('TS DTech'!$C37,AGR!$B$52:$B$73,0),MATCH('TS DTech'!$B37&amp;Q$7,AGR!$E$46:$L$46&amp;AGR!$E$48:$L$48,0)),""))</f>
        <v/>
      </c>
      <c r="R37" s="296" t="str">
        <f t="array" aca="1" ref="R37" ca="1">IF($A37="*","",IFERROR(INDEX(AGR!$E$52:$L$73,MATCH('TS DTech'!$C37,AGR!$B$52:$B$73,0),MATCH('TS DTech'!$B37&amp;R$7,AGR!$E$46:$L$46&amp;AGR!$E$48:$L$48,0)),""))</f>
        <v/>
      </c>
      <c r="S37" s="296" t="str">
        <f t="array" aca="1" ref="S37" ca="1">IF($A37="*","",IFERROR(INDEX(AGR!$E$52:$L$73,MATCH('TS DTech'!$C37,AGR!$B$52:$B$73,0),MATCH('TS DTech'!$B37&amp;S$7,AGR!$E$46:$L$46&amp;AGR!$E$48:$L$48,0)),""))</f>
        <v/>
      </c>
      <c r="T37" s="296" t="str">
        <f t="array" aca="1" ref="T37" ca="1">IF($A37="*","",IFERROR(INDEX(AGR!$E$52:$L$73,MATCH('TS DTech'!$C37,AGR!$B$52:$B$73,0),MATCH('TS DTech'!$B37&amp;T$7,AGR!$E$46:$L$46&amp;AGR!$E$48:$L$48,0)),""))</f>
        <v/>
      </c>
      <c r="U37" s="296" t="str">
        <f t="array" aca="1" ref="U37" ca="1">IF($A37="*","",IFERROR(INDEX(AGR!$E$52:$L$73,MATCH('TS DTech'!$C37,AGR!$B$52:$B$73,0),MATCH('TS DTech'!$B37&amp;U$7,AGR!$E$46:$L$46&amp;AGR!$E$48:$L$48,0)),""))</f>
        <v/>
      </c>
      <c r="V37" s="296" t="str">
        <f t="array" aca="1" ref="V37" ca="1">IF($A37="*","",IFERROR(INDEX(AGR!$E$52:$L$73,MATCH('TS DTech'!$C37,AGR!$B$52:$B$73,0),MATCH('TS DTech'!$B37&amp;V$7,AGR!$E$46:$L$46&amp;AGR!$E$48:$L$48,0)),""))</f>
        <v/>
      </c>
      <c r="W37" s="296" t="str">
        <f t="array" aca="1" ref="W37" ca="1">IF($A37="*","",IFERROR(INDEX(AGR!$E$52:$L$73,MATCH('TS DTech'!$C37,AGR!$B$52:$B$73,0),MATCH('TS DTech'!$B37&amp;W$7,AGR!$E$46:$L$46&amp;AGR!$E$48:$L$48,0)),""))</f>
        <v/>
      </c>
      <c r="X37" s="296" t="str">
        <f t="array" aca="1" ref="X37" ca="1">IF($A37="*","",IFERROR(INDEX(AGR!$E$52:$L$73,MATCH('TS DTech'!$C37,AGR!$B$52:$B$73,0),MATCH('TS DTech'!$B37&amp;X$7,AGR!$E$46:$L$46&amp;AGR!$E$48:$L$48,0)),""))</f>
        <v/>
      </c>
      <c r="Y37" s="296" t="str">
        <f t="array" aca="1" ref="Y37" ca="1">IF($A37="*","",IFERROR(INDEX(AGR!$E$52:$L$73,MATCH('TS DTech'!$C37,AGR!$B$52:$B$73,0),MATCH('TS DTech'!$B37&amp;Y$7,AGR!$E$46:$L$46&amp;AGR!$E$48:$L$48,0)),""))</f>
        <v/>
      </c>
      <c r="Z37" s="296" t="str">
        <f t="array" aca="1" ref="Z37" ca="1">IF($A37="*","",IFERROR(INDEX(AGR!$E$52:$L$73,MATCH('TS DTech'!$C37,AGR!$B$52:$B$73,0),MATCH('TS DTech'!$B37&amp;Z$7,AGR!$E$46:$L$46&amp;AGR!$E$48:$L$48,0)),""))</f>
        <v/>
      </c>
      <c r="AA37" s="296" t="str">
        <f t="array" aca="1" ref="AA37" ca="1">IF($A37="*","",IFERROR(INDEX(AGR!$E$52:$L$73,MATCH('TS DTech'!$C37,AGR!$B$52:$B$73,0),MATCH('TS DTech'!$B37&amp;AA$7,AGR!$E$46:$L$46&amp;AGR!$E$48:$L$48,0)),""))</f>
        <v/>
      </c>
      <c r="AB37" s="296" t="str">
        <f t="array" aca="1" ref="AB37" ca="1">IF($A37="*","",IFERROR(INDEX(AGR!$E$52:$L$73,MATCH('TS DTech'!$C37,AGR!$B$52:$B$73,0),MATCH('TS DTech'!$B37&amp;AB$7,AGR!$E$46:$L$46&amp;AGR!$E$48:$L$48,0)),""))</f>
        <v/>
      </c>
      <c r="AC37" s="296" t="str">
        <f t="array" aca="1" ref="AC37" ca="1">IF($A37="*","",IFERROR(INDEX(AGR!$E$52:$L$73,MATCH('TS DTech'!$C37,AGR!$B$52:$B$73,0),MATCH('TS DTech'!$B37&amp;AC$7,AGR!$E$46:$L$46&amp;AGR!$E$48:$L$48,0)),""))</f>
        <v/>
      </c>
      <c r="AD37" s="296" t="str">
        <f t="array" aca="1" ref="AD37" ca="1">IF($A37="*","",IFERROR(INDEX(AGR!$E$52:$L$73,MATCH('TS DTech'!$C37,AGR!$B$52:$B$73,0),MATCH('TS DTech'!$B37&amp;AD$7,AGR!$E$46:$L$46&amp;AGR!$E$48:$L$48,0)),""))</f>
        <v/>
      </c>
      <c r="AE37" s="296" t="str">
        <f t="array" aca="1" ref="AE37" ca="1">IF($A37="*","",IFERROR(INDEX(AGR!$E$52:$L$73,MATCH('TS DTech'!$C37,AGR!$B$52:$B$73,0),MATCH('TS DTech'!$B37&amp;AE$7,AGR!$E$46:$L$46&amp;AGR!$E$48:$L$48,0)),""))</f>
        <v/>
      </c>
      <c r="AF37" s="296" t="str">
        <f t="array" aca="1" ref="AF37" ca="1">IF($A37="*","",IFERROR(INDEX(AGR!$E$52:$L$73,MATCH('TS DTech'!$C37,AGR!$B$52:$B$73,0),MATCH('TS DTech'!$B37&amp;AF$7,AGR!$E$46:$L$46&amp;AGR!$E$48:$L$48,0)),""))</f>
        <v/>
      </c>
      <c r="AG37" s="296" t="str">
        <f t="array" aca="1" ref="AG37" ca="1">IF($A37="*","",IFERROR(INDEX(AGR!$E$52:$L$73,MATCH('TS DTech'!$C37,AGR!$B$52:$B$73,0),MATCH('TS DTech'!$B37&amp;AG$7,AGR!$E$46:$L$46&amp;AGR!$E$48:$L$48,0)),""))</f>
        <v/>
      </c>
      <c r="AH37" s="296" t="str">
        <f t="array" aca="1" ref="AH37" ca="1">IF($A37="*","",IFERROR(INDEX(AGR!$E$52:$L$73,MATCH('TS DTech'!$C37,AGR!$B$52:$B$73,0),MATCH('TS DTech'!$B37&amp;AH$7,AGR!$E$46:$L$46&amp;AGR!$E$48:$L$48,0)),""))</f>
        <v/>
      </c>
      <c r="AI37" s="296" t="str">
        <f t="array" aca="1" ref="AI37" ca="1">IF($A37="*","",IFERROR(INDEX(AGR!$E$52:$L$73,MATCH('TS DTech'!$C37,AGR!$B$52:$B$73,0),MATCH('TS DTech'!$B37&amp;AI$7,AGR!$E$46:$L$46&amp;AGR!$E$48:$L$48,0)),""))</f>
        <v/>
      </c>
      <c r="AJ37" s="296" t="str">
        <f t="array" aca="1" ref="AJ37" ca="1">IF($A37="*","",IFERROR(INDEX(AGR!$E$52:$L$73,MATCH('TS DTech'!$C37,AGR!$B$52:$B$73,0),MATCH('TS DTech'!$B37&amp;AJ$7,AGR!$E$46:$L$46&amp;AGR!$E$48:$L$48,0)),""))</f>
        <v/>
      </c>
      <c r="AK37" s="296" t="str">
        <f t="array" aca="1" ref="AK37" ca="1">IF($A37="*","",IFERROR(INDEX(AGR!$E$52:$L$73,MATCH('TS DTech'!$C37,AGR!$B$52:$B$73,0),MATCH('TS DTech'!$B37&amp;AK$7,AGR!$E$46:$L$46&amp;AGR!$E$48:$L$48,0)),""))</f>
        <v/>
      </c>
      <c r="AL37" s="296" t="str">
        <f t="array" aca="1" ref="AL37" ca="1">IF($A37="*","",IFERROR(INDEX(AGR!$E$52:$L$73,MATCH('TS DTech'!$C37,AGR!$B$52:$B$73,0),MATCH('TS DTech'!$B37&amp;AL$7,AGR!$E$46:$L$46&amp;AGR!$E$48:$L$48,0)),""))</f>
        <v/>
      </c>
      <c r="AM37" s="296" t="str">
        <f t="array" aca="1" ref="AM37" ca="1">IF($A37="*","",IFERROR(INDEX(AGR!$E$52:$L$73,MATCH('TS DTech'!$C37,AGR!$B$52:$B$73,0),MATCH('TS DTech'!$B37&amp;AM$7,AGR!$E$46:$L$46&amp;AGR!$E$48:$L$48,0)),""))</f>
        <v/>
      </c>
      <c r="AN37" s="296" t="str">
        <f t="array" aca="1" ref="AN37" ca="1">IF($A37="*","",IFERROR(INDEX(AGR!$E$52:$L$73,MATCH('TS DTech'!$C37,AGR!$B$52:$B$73,0),MATCH('TS DTech'!$B37&amp;AN$7,AGR!$E$46:$L$46&amp;AGR!$E$48:$L$48,0)),""))</f>
        <v/>
      </c>
      <c r="AO37" s="296" t="str">
        <f t="array" aca="1" ref="AO37" ca="1">IF($A37="*","",IFERROR(INDEX(AGR!$E$52:$L$73,MATCH('TS DTech'!$C37,AGR!$B$52:$B$73,0),MATCH('TS DTech'!$B37&amp;AO$7,AGR!$E$46:$L$46&amp;AGR!$E$48:$L$48,0)),""))</f>
        <v/>
      </c>
      <c r="AP37" s="296" t="str">
        <f t="array" aca="1" ref="AP37" ca="1">IF($A37="*","",IFERROR(INDEX(AGR!$E$52:$L$73,MATCH('TS DTech'!$C37,AGR!$B$52:$B$73,0),MATCH('TS DTech'!$B37&amp;AP$7,AGR!$E$46:$L$46&amp;AGR!$E$48:$L$48,0)),""))</f>
        <v/>
      </c>
      <c r="AQ37" s="137">
        <f>IF(AR36=AGR!$AD$74,AQ36+1,AQ36)</f>
        <v>1</v>
      </c>
      <c r="AR37" s="137">
        <f t="shared" si="3"/>
        <v>22</v>
      </c>
    </row>
    <row r="38" spans="1:44">
      <c r="A38" s="137" t="str">
        <f ca="1">IF(LEFT(OFFSET(AGR!$A$51,AR38,0),2)="\I","*","")</f>
        <v>*</v>
      </c>
      <c r="B38" s="212" t="str">
        <f t="shared" ca="1" si="0"/>
        <v/>
      </c>
      <c r="C38" s="212" t="str">
        <f ca="1">IF($A38="*","",OFFSET(AGR!$B$51,AR38,0))</f>
        <v/>
      </c>
      <c r="D38" s="212" t="str">
        <f t="shared" ca="1" si="2"/>
        <v/>
      </c>
      <c r="E38" s="212" t="str">
        <f t="shared" ca="1" si="2"/>
        <v/>
      </c>
      <c r="F38" s="212" t="str">
        <f t="shared" ca="1" si="2"/>
        <v/>
      </c>
      <c r="G38" s="212" t="str">
        <f t="shared" ca="1" si="2"/>
        <v/>
      </c>
      <c r="H38" s="212" t="str">
        <f t="shared" ca="1" si="2"/>
        <v/>
      </c>
      <c r="I38" s="213" t="str">
        <f t="shared" ca="1" si="2"/>
        <v/>
      </c>
      <c r="J38" s="296" t="str">
        <f t="array" aca="1" ref="J38" ca="1">IF($A38="*","",IFERROR(INDEX(AGR!$E$52:$L$73,MATCH('TS DTech'!$C38,AGR!$B$52:$B$73,0),MATCH('TS DTech'!$B38&amp;J$7,AGR!$E$46:$L$46&amp;AGR!$E$48:$L$48,0)),""))</f>
        <v/>
      </c>
      <c r="K38" s="296" t="str">
        <f t="array" aca="1" ref="K38" ca="1">IF($A38="*","",IFERROR(INDEX(AGR!$E$52:$L$73,MATCH('TS DTech'!$C38,AGR!$B$52:$B$73,0),MATCH('TS DTech'!$B38&amp;K$7,AGR!$E$46:$L$46&amp;AGR!$E$48:$L$48,0)),""))</f>
        <v/>
      </c>
      <c r="L38" s="296" t="str">
        <f t="array" aca="1" ref="L38" ca="1">IF($A38="*","",IFERROR(INDEX(AGR!$E$52:$L$73,MATCH('TS DTech'!$C38,AGR!$B$52:$B$73,0),MATCH('TS DTech'!$B38&amp;L$7,AGR!$E$46:$L$46&amp;AGR!$E$48:$L$48,0)),""))</f>
        <v/>
      </c>
      <c r="M38" s="296" t="str">
        <f t="array" aca="1" ref="M38" ca="1">IF($A38="*","",IFERROR(INDEX(AGR!$E$52:$L$73,MATCH('TS DTech'!$C38,AGR!$B$52:$B$73,0),MATCH('TS DTech'!$B38&amp;M$7,AGR!$E$46:$L$46&amp;AGR!$E$48:$L$48,0)),""))</f>
        <v/>
      </c>
      <c r="N38" s="296" t="str">
        <f t="array" aca="1" ref="N38" ca="1">IF($A38="*","",IFERROR(INDEX(AGR!$E$52:$L$73,MATCH('TS DTech'!$C38,AGR!$B$52:$B$73,0),MATCH('TS DTech'!$B38&amp;N$7,AGR!$E$46:$L$46&amp;AGR!$E$48:$L$48,0)),""))</f>
        <v/>
      </c>
      <c r="O38" s="296" t="str">
        <f t="array" aca="1" ref="O38" ca="1">IF($A38="*","",IFERROR(INDEX(AGR!$E$52:$L$73,MATCH('TS DTech'!$C38,AGR!$B$52:$B$73,0),MATCH('TS DTech'!$B38&amp;O$7,AGR!$E$46:$L$46&amp;AGR!$E$48:$L$48,0)),""))</f>
        <v/>
      </c>
      <c r="P38" s="296" t="str">
        <f t="array" aca="1" ref="P38" ca="1">IF($A38="*","",IFERROR(INDEX(AGR!$E$52:$L$73,MATCH('TS DTech'!$C38,AGR!$B$52:$B$73,0),MATCH('TS DTech'!$B38&amp;P$7,AGR!$E$46:$L$46&amp;AGR!$E$48:$L$48,0)),""))</f>
        <v/>
      </c>
      <c r="Q38" s="296" t="str">
        <f t="array" aca="1" ref="Q38" ca="1">IF($A38="*","",IFERROR(INDEX(AGR!$E$52:$L$73,MATCH('TS DTech'!$C38,AGR!$B$52:$B$73,0),MATCH('TS DTech'!$B38&amp;Q$7,AGR!$E$46:$L$46&amp;AGR!$E$48:$L$48,0)),""))</f>
        <v/>
      </c>
      <c r="R38" s="296" t="str">
        <f t="array" aca="1" ref="R38" ca="1">IF($A38="*","",IFERROR(INDEX(AGR!$E$52:$L$73,MATCH('TS DTech'!$C38,AGR!$B$52:$B$73,0),MATCH('TS DTech'!$B38&amp;R$7,AGR!$E$46:$L$46&amp;AGR!$E$48:$L$48,0)),""))</f>
        <v/>
      </c>
      <c r="S38" s="296" t="str">
        <f t="array" aca="1" ref="S38" ca="1">IF($A38="*","",IFERROR(INDEX(AGR!$E$52:$L$73,MATCH('TS DTech'!$C38,AGR!$B$52:$B$73,0),MATCH('TS DTech'!$B38&amp;S$7,AGR!$E$46:$L$46&amp;AGR!$E$48:$L$48,0)),""))</f>
        <v/>
      </c>
      <c r="T38" s="296" t="str">
        <f t="array" aca="1" ref="T38" ca="1">IF($A38="*","",IFERROR(INDEX(AGR!$E$52:$L$73,MATCH('TS DTech'!$C38,AGR!$B$52:$B$73,0),MATCH('TS DTech'!$B38&amp;T$7,AGR!$E$46:$L$46&amp;AGR!$E$48:$L$48,0)),""))</f>
        <v/>
      </c>
      <c r="U38" s="296" t="str">
        <f t="array" aca="1" ref="U38" ca="1">IF($A38="*","",IFERROR(INDEX(AGR!$E$52:$L$73,MATCH('TS DTech'!$C38,AGR!$B$52:$B$73,0),MATCH('TS DTech'!$B38&amp;U$7,AGR!$E$46:$L$46&amp;AGR!$E$48:$L$48,0)),""))</f>
        <v/>
      </c>
      <c r="V38" s="296" t="str">
        <f t="array" aca="1" ref="V38" ca="1">IF($A38="*","",IFERROR(INDEX(AGR!$E$52:$L$73,MATCH('TS DTech'!$C38,AGR!$B$52:$B$73,0),MATCH('TS DTech'!$B38&amp;V$7,AGR!$E$46:$L$46&amp;AGR!$E$48:$L$48,0)),""))</f>
        <v/>
      </c>
      <c r="W38" s="296" t="str">
        <f t="array" aca="1" ref="W38" ca="1">IF($A38="*","",IFERROR(INDEX(AGR!$E$52:$L$73,MATCH('TS DTech'!$C38,AGR!$B$52:$B$73,0),MATCH('TS DTech'!$B38&amp;W$7,AGR!$E$46:$L$46&amp;AGR!$E$48:$L$48,0)),""))</f>
        <v/>
      </c>
      <c r="X38" s="296" t="str">
        <f t="array" aca="1" ref="X38" ca="1">IF($A38="*","",IFERROR(INDEX(AGR!$E$52:$L$73,MATCH('TS DTech'!$C38,AGR!$B$52:$B$73,0),MATCH('TS DTech'!$B38&amp;X$7,AGR!$E$46:$L$46&amp;AGR!$E$48:$L$48,0)),""))</f>
        <v/>
      </c>
      <c r="Y38" s="296" t="str">
        <f t="array" aca="1" ref="Y38" ca="1">IF($A38="*","",IFERROR(INDEX(AGR!$E$52:$L$73,MATCH('TS DTech'!$C38,AGR!$B$52:$B$73,0),MATCH('TS DTech'!$B38&amp;Y$7,AGR!$E$46:$L$46&amp;AGR!$E$48:$L$48,0)),""))</f>
        <v/>
      </c>
      <c r="Z38" s="296" t="str">
        <f t="array" aca="1" ref="Z38" ca="1">IF($A38="*","",IFERROR(INDEX(AGR!$E$52:$L$73,MATCH('TS DTech'!$C38,AGR!$B$52:$B$73,0),MATCH('TS DTech'!$B38&amp;Z$7,AGR!$E$46:$L$46&amp;AGR!$E$48:$L$48,0)),""))</f>
        <v/>
      </c>
      <c r="AA38" s="296" t="str">
        <f t="array" aca="1" ref="AA38" ca="1">IF($A38="*","",IFERROR(INDEX(AGR!$E$52:$L$73,MATCH('TS DTech'!$C38,AGR!$B$52:$B$73,0),MATCH('TS DTech'!$B38&amp;AA$7,AGR!$E$46:$L$46&amp;AGR!$E$48:$L$48,0)),""))</f>
        <v/>
      </c>
      <c r="AB38" s="296" t="str">
        <f t="array" aca="1" ref="AB38" ca="1">IF($A38="*","",IFERROR(INDEX(AGR!$E$52:$L$73,MATCH('TS DTech'!$C38,AGR!$B$52:$B$73,0),MATCH('TS DTech'!$B38&amp;AB$7,AGR!$E$46:$L$46&amp;AGR!$E$48:$L$48,0)),""))</f>
        <v/>
      </c>
      <c r="AC38" s="296" t="str">
        <f t="array" aca="1" ref="AC38" ca="1">IF($A38="*","",IFERROR(INDEX(AGR!$E$52:$L$73,MATCH('TS DTech'!$C38,AGR!$B$52:$B$73,0),MATCH('TS DTech'!$B38&amp;AC$7,AGR!$E$46:$L$46&amp;AGR!$E$48:$L$48,0)),""))</f>
        <v/>
      </c>
      <c r="AD38" s="296" t="str">
        <f t="array" aca="1" ref="AD38" ca="1">IF($A38="*","",IFERROR(INDEX(AGR!$E$52:$L$73,MATCH('TS DTech'!$C38,AGR!$B$52:$B$73,0),MATCH('TS DTech'!$B38&amp;AD$7,AGR!$E$46:$L$46&amp;AGR!$E$48:$L$48,0)),""))</f>
        <v/>
      </c>
      <c r="AE38" s="296" t="str">
        <f t="array" aca="1" ref="AE38" ca="1">IF($A38="*","",IFERROR(INDEX(AGR!$E$52:$L$73,MATCH('TS DTech'!$C38,AGR!$B$52:$B$73,0),MATCH('TS DTech'!$B38&amp;AE$7,AGR!$E$46:$L$46&amp;AGR!$E$48:$L$48,0)),""))</f>
        <v/>
      </c>
      <c r="AF38" s="296" t="str">
        <f t="array" aca="1" ref="AF38" ca="1">IF($A38="*","",IFERROR(INDEX(AGR!$E$52:$L$73,MATCH('TS DTech'!$C38,AGR!$B$52:$B$73,0),MATCH('TS DTech'!$B38&amp;AF$7,AGR!$E$46:$L$46&amp;AGR!$E$48:$L$48,0)),""))</f>
        <v/>
      </c>
      <c r="AG38" s="296" t="str">
        <f t="array" aca="1" ref="AG38" ca="1">IF($A38="*","",IFERROR(INDEX(AGR!$E$52:$L$73,MATCH('TS DTech'!$C38,AGR!$B$52:$B$73,0),MATCH('TS DTech'!$B38&amp;AG$7,AGR!$E$46:$L$46&amp;AGR!$E$48:$L$48,0)),""))</f>
        <v/>
      </c>
      <c r="AH38" s="296" t="str">
        <f t="array" aca="1" ref="AH38" ca="1">IF($A38="*","",IFERROR(INDEX(AGR!$E$52:$L$73,MATCH('TS DTech'!$C38,AGR!$B$52:$B$73,0),MATCH('TS DTech'!$B38&amp;AH$7,AGR!$E$46:$L$46&amp;AGR!$E$48:$L$48,0)),""))</f>
        <v/>
      </c>
      <c r="AI38" s="296" t="str">
        <f t="array" aca="1" ref="AI38" ca="1">IF($A38="*","",IFERROR(INDEX(AGR!$E$52:$L$73,MATCH('TS DTech'!$C38,AGR!$B$52:$B$73,0),MATCH('TS DTech'!$B38&amp;AI$7,AGR!$E$46:$L$46&amp;AGR!$E$48:$L$48,0)),""))</f>
        <v/>
      </c>
      <c r="AJ38" s="296" t="str">
        <f t="array" aca="1" ref="AJ38" ca="1">IF($A38="*","",IFERROR(INDEX(AGR!$E$52:$L$73,MATCH('TS DTech'!$C38,AGR!$B$52:$B$73,0),MATCH('TS DTech'!$B38&amp;AJ$7,AGR!$E$46:$L$46&amp;AGR!$E$48:$L$48,0)),""))</f>
        <v/>
      </c>
      <c r="AK38" s="296" t="str">
        <f t="array" aca="1" ref="AK38" ca="1">IF($A38="*","",IFERROR(INDEX(AGR!$E$52:$L$73,MATCH('TS DTech'!$C38,AGR!$B$52:$B$73,0),MATCH('TS DTech'!$B38&amp;AK$7,AGR!$E$46:$L$46&amp;AGR!$E$48:$L$48,0)),""))</f>
        <v/>
      </c>
      <c r="AL38" s="296" t="str">
        <f t="array" aca="1" ref="AL38" ca="1">IF($A38="*","",IFERROR(INDEX(AGR!$E$52:$L$73,MATCH('TS DTech'!$C38,AGR!$B$52:$B$73,0),MATCH('TS DTech'!$B38&amp;AL$7,AGR!$E$46:$L$46&amp;AGR!$E$48:$L$48,0)),""))</f>
        <v/>
      </c>
      <c r="AM38" s="296" t="str">
        <f t="array" aca="1" ref="AM38" ca="1">IF($A38="*","",IFERROR(INDEX(AGR!$E$52:$L$73,MATCH('TS DTech'!$C38,AGR!$B$52:$B$73,0),MATCH('TS DTech'!$B38&amp;AM$7,AGR!$E$46:$L$46&amp;AGR!$E$48:$L$48,0)),""))</f>
        <v/>
      </c>
      <c r="AN38" s="296" t="str">
        <f t="array" aca="1" ref="AN38" ca="1">IF($A38="*","",IFERROR(INDEX(AGR!$E$52:$L$73,MATCH('TS DTech'!$C38,AGR!$B$52:$B$73,0),MATCH('TS DTech'!$B38&amp;AN$7,AGR!$E$46:$L$46&amp;AGR!$E$48:$L$48,0)),""))</f>
        <v/>
      </c>
      <c r="AO38" s="296" t="str">
        <f t="array" aca="1" ref="AO38" ca="1">IF($A38="*","",IFERROR(INDEX(AGR!$E$52:$L$73,MATCH('TS DTech'!$C38,AGR!$B$52:$B$73,0),MATCH('TS DTech'!$B38&amp;AO$7,AGR!$E$46:$L$46&amp;AGR!$E$48:$L$48,0)),""))</f>
        <v/>
      </c>
      <c r="AP38" s="296" t="str">
        <f t="array" aca="1" ref="AP38" ca="1">IF($A38="*","",IFERROR(INDEX(AGR!$E$52:$L$73,MATCH('TS DTech'!$C38,AGR!$B$52:$B$73,0),MATCH('TS DTech'!$B38&amp;AP$7,AGR!$E$46:$L$46&amp;AGR!$E$48:$L$48,0)),""))</f>
        <v/>
      </c>
      <c r="AQ38" s="137">
        <f>IF(AR37=AGR!$AD$74,AQ37+1,AQ37)</f>
        <v>1</v>
      </c>
      <c r="AR38" s="137">
        <f t="shared" si="3"/>
        <v>23</v>
      </c>
    </row>
    <row r="39" spans="1:44">
      <c r="A39" s="137" t="str">
        <f ca="1">IF(LEFT(OFFSET(AGR!$A$51,AR39,0),2)="\I","*","")</f>
        <v/>
      </c>
      <c r="B39" s="212" t="str">
        <f t="shared" ca="1" si="0"/>
        <v>NCAP_AFA</v>
      </c>
      <c r="C39" s="212" t="str">
        <f ca="1">IF($A39="*","",OFFSET(AGR!$B$51,AR39,0))</f>
        <v>AHCOA-E</v>
      </c>
      <c r="D39" s="212" t="str">
        <f t="shared" ca="1" si="2"/>
        <v>-</v>
      </c>
      <c r="E39" s="212" t="str">
        <f t="shared" ca="1" si="2"/>
        <v>-</v>
      </c>
      <c r="F39" s="212" t="str">
        <f t="shared" ca="1" si="2"/>
        <v>-</v>
      </c>
      <c r="G39" s="212" t="str">
        <f t="shared" ca="1" si="2"/>
        <v>ANNUAL</v>
      </c>
      <c r="H39" s="212" t="str">
        <f t="shared" ca="1" si="2"/>
        <v>UP</v>
      </c>
      <c r="I39" s="213">
        <f t="shared" ca="1" si="2"/>
        <v>3</v>
      </c>
      <c r="J39" s="296">
        <f t="array" aca="1" ref="J39" ca="1">IF($A39="*","",IFERROR(INDEX(AGR!$E$52:$L$73,MATCH('TS DTech'!$C39,AGR!$B$52:$B$73,0),MATCH('TS DTech'!$B39&amp;J$7,AGR!$E$46:$L$46&amp;AGR!$E$48:$L$48,0)),""))</f>
        <v>0.55130000000000001</v>
      </c>
      <c r="K39" s="296" t="str">
        <f t="array" aca="1" ref="K39" ca="1">IF($A39="*","",IFERROR(INDEX(AGR!$E$52:$L$73,MATCH('TS DTech'!$C39,AGR!$B$52:$B$73,0),MATCH('TS DTech'!$B39&amp;K$7,AGR!$E$46:$L$46&amp;AGR!$E$48:$L$48,0)),""))</f>
        <v/>
      </c>
      <c r="L39" s="296" t="str">
        <f t="array" aca="1" ref="L39" ca="1">IF($A39="*","",IFERROR(INDEX(AGR!$E$52:$L$73,MATCH('TS DTech'!$C39,AGR!$B$52:$B$73,0),MATCH('TS DTech'!$B39&amp;L$7,AGR!$E$46:$L$46&amp;AGR!$E$48:$L$48,0)),""))</f>
        <v/>
      </c>
      <c r="M39" s="296" t="str">
        <f t="array" aca="1" ref="M39" ca="1">IF($A39="*","",IFERROR(INDEX(AGR!$E$52:$L$73,MATCH('TS DTech'!$C39,AGR!$B$52:$B$73,0),MATCH('TS DTech'!$B39&amp;M$7,AGR!$E$46:$L$46&amp;AGR!$E$48:$L$48,0)),""))</f>
        <v/>
      </c>
      <c r="N39" s="296" t="str">
        <f t="array" aca="1" ref="N39" ca="1">IF($A39="*","",IFERROR(INDEX(AGR!$E$52:$L$73,MATCH('TS DTech'!$C39,AGR!$B$52:$B$73,0),MATCH('TS DTech'!$B39&amp;N$7,AGR!$E$46:$L$46&amp;AGR!$E$48:$L$48,0)),""))</f>
        <v/>
      </c>
      <c r="O39" s="296">
        <f t="array" aca="1" ref="O39" ca="1">IF($A39="*","",IFERROR(INDEX(AGR!$E$52:$L$73,MATCH('TS DTech'!$C39,AGR!$B$52:$B$73,0),MATCH('TS DTech'!$B39&amp;O$7,AGR!$E$46:$L$46&amp;AGR!$E$48:$L$48,0)),""))</f>
        <v>0.55130000000000001</v>
      </c>
      <c r="P39" s="296" t="str">
        <f t="array" aca="1" ref="P39" ca="1">IF($A39="*","",IFERROR(INDEX(AGR!$E$52:$L$73,MATCH('TS DTech'!$C39,AGR!$B$52:$B$73,0),MATCH('TS DTech'!$B39&amp;P$7,AGR!$E$46:$L$46&amp;AGR!$E$48:$L$48,0)),""))</f>
        <v/>
      </c>
      <c r="Q39" s="296" t="str">
        <f t="array" aca="1" ref="Q39" ca="1">IF($A39="*","",IFERROR(INDEX(AGR!$E$52:$L$73,MATCH('TS DTech'!$C39,AGR!$B$52:$B$73,0),MATCH('TS DTech'!$B39&amp;Q$7,AGR!$E$46:$L$46&amp;AGR!$E$48:$L$48,0)),""))</f>
        <v/>
      </c>
      <c r="R39" s="296" t="str">
        <f t="array" aca="1" ref="R39" ca="1">IF($A39="*","",IFERROR(INDEX(AGR!$E$52:$L$73,MATCH('TS DTech'!$C39,AGR!$B$52:$B$73,0),MATCH('TS DTech'!$B39&amp;R$7,AGR!$E$46:$L$46&amp;AGR!$E$48:$L$48,0)),""))</f>
        <v/>
      </c>
      <c r="S39" s="296" t="str">
        <f t="array" aca="1" ref="S39" ca="1">IF($A39="*","",IFERROR(INDEX(AGR!$E$52:$L$73,MATCH('TS DTech'!$C39,AGR!$B$52:$B$73,0),MATCH('TS DTech'!$B39&amp;S$7,AGR!$E$46:$L$46&amp;AGR!$E$48:$L$48,0)),""))</f>
        <v/>
      </c>
      <c r="T39" s="296" t="str">
        <f t="array" aca="1" ref="T39" ca="1">IF($A39="*","",IFERROR(INDEX(AGR!$E$52:$L$73,MATCH('TS DTech'!$C39,AGR!$B$52:$B$73,0),MATCH('TS DTech'!$B39&amp;T$7,AGR!$E$46:$L$46&amp;AGR!$E$48:$L$48,0)),""))</f>
        <v/>
      </c>
      <c r="U39" s="296" t="str">
        <f t="array" aca="1" ref="U39" ca="1">IF($A39="*","",IFERROR(INDEX(AGR!$E$52:$L$73,MATCH('TS DTech'!$C39,AGR!$B$52:$B$73,0),MATCH('TS DTech'!$B39&amp;U$7,AGR!$E$46:$L$46&amp;AGR!$E$48:$L$48,0)),""))</f>
        <v/>
      </c>
      <c r="V39" s="296" t="str">
        <f t="array" aca="1" ref="V39" ca="1">IF($A39="*","",IFERROR(INDEX(AGR!$E$52:$L$73,MATCH('TS DTech'!$C39,AGR!$B$52:$B$73,0),MATCH('TS DTech'!$B39&amp;V$7,AGR!$E$46:$L$46&amp;AGR!$E$48:$L$48,0)),""))</f>
        <v/>
      </c>
      <c r="W39" s="296" t="str">
        <f t="array" aca="1" ref="W39" ca="1">IF($A39="*","",IFERROR(INDEX(AGR!$E$52:$L$73,MATCH('TS DTech'!$C39,AGR!$B$52:$B$73,0),MATCH('TS DTech'!$B39&amp;W$7,AGR!$E$46:$L$46&amp;AGR!$E$48:$L$48,0)),""))</f>
        <v/>
      </c>
      <c r="X39" s="296" t="str">
        <f t="array" aca="1" ref="X39" ca="1">IF($A39="*","",IFERROR(INDEX(AGR!$E$52:$L$73,MATCH('TS DTech'!$C39,AGR!$B$52:$B$73,0),MATCH('TS DTech'!$B39&amp;X$7,AGR!$E$46:$L$46&amp;AGR!$E$48:$L$48,0)),""))</f>
        <v/>
      </c>
      <c r="Y39" s="296" t="str">
        <f t="array" aca="1" ref="Y39" ca="1">IF($A39="*","",IFERROR(INDEX(AGR!$E$52:$L$73,MATCH('TS DTech'!$C39,AGR!$B$52:$B$73,0),MATCH('TS DTech'!$B39&amp;Y$7,AGR!$E$46:$L$46&amp;AGR!$E$48:$L$48,0)),""))</f>
        <v/>
      </c>
      <c r="Z39" s="296" t="str">
        <f t="array" aca="1" ref="Z39" ca="1">IF($A39="*","",IFERROR(INDEX(AGR!$E$52:$L$73,MATCH('TS DTech'!$C39,AGR!$B$52:$B$73,0),MATCH('TS DTech'!$B39&amp;Z$7,AGR!$E$46:$L$46&amp;AGR!$E$48:$L$48,0)),""))</f>
        <v/>
      </c>
      <c r="AA39" s="296" t="str">
        <f t="array" aca="1" ref="AA39" ca="1">IF($A39="*","",IFERROR(INDEX(AGR!$E$52:$L$73,MATCH('TS DTech'!$C39,AGR!$B$52:$B$73,0),MATCH('TS DTech'!$B39&amp;AA$7,AGR!$E$46:$L$46&amp;AGR!$E$48:$L$48,0)),""))</f>
        <v/>
      </c>
      <c r="AB39" s="296" t="str">
        <f t="array" aca="1" ref="AB39" ca="1">IF($A39="*","",IFERROR(INDEX(AGR!$E$52:$L$73,MATCH('TS DTech'!$C39,AGR!$B$52:$B$73,0),MATCH('TS DTech'!$B39&amp;AB$7,AGR!$E$46:$L$46&amp;AGR!$E$48:$L$48,0)),""))</f>
        <v/>
      </c>
      <c r="AC39" s="296" t="str">
        <f t="array" aca="1" ref="AC39" ca="1">IF($A39="*","",IFERROR(INDEX(AGR!$E$52:$L$73,MATCH('TS DTech'!$C39,AGR!$B$52:$B$73,0),MATCH('TS DTech'!$B39&amp;AC$7,AGR!$E$46:$L$46&amp;AGR!$E$48:$L$48,0)),""))</f>
        <v/>
      </c>
      <c r="AD39" s="296" t="str">
        <f t="array" aca="1" ref="AD39" ca="1">IF($A39="*","",IFERROR(INDEX(AGR!$E$52:$L$73,MATCH('TS DTech'!$C39,AGR!$B$52:$B$73,0),MATCH('TS DTech'!$B39&amp;AD$7,AGR!$E$46:$L$46&amp;AGR!$E$48:$L$48,0)),""))</f>
        <v/>
      </c>
      <c r="AE39" s="296" t="str">
        <f t="array" aca="1" ref="AE39" ca="1">IF($A39="*","",IFERROR(INDEX(AGR!$E$52:$L$73,MATCH('TS DTech'!$C39,AGR!$B$52:$B$73,0),MATCH('TS DTech'!$B39&amp;AE$7,AGR!$E$46:$L$46&amp;AGR!$E$48:$L$48,0)),""))</f>
        <v/>
      </c>
      <c r="AF39" s="296" t="str">
        <f t="array" aca="1" ref="AF39" ca="1">IF($A39="*","",IFERROR(INDEX(AGR!$E$52:$L$73,MATCH('TS DTech'!$C39,AGR!$B$52:$B$73,0),MATCH('TS DTech'!$B39&amp;AF$7,AGR!$E$46:$L$46&amp;AGR!$E$48:$L$48,0)),""))</f>
        <v/>
      </c>
      <c r="AG39" s="296" t="str">
        <f t="array" aca="1" ref="AG39" ca="1">IF($A39="*","",IFERROR(INDEX(AGR!$E$52:$L$73,MATCH('TS DTech'!$C39,AGR!$B$52:$B$73,0),MATCH('TS DTech'!$B39&amp;AG$7,AGR!$E$46:$L$46&amp;AGR!$E$48:$L$48,0)),""))</f>
        <v/>
      </c>
      <c r="AH39" s="296" t="str">
        <f t="array" aca="1" ref="AH39" ca="1">IF($A39="*","",IFERROR(INDEX(AGR!$E$52:$L$73,MATCH('TS DTech'!$C39,AGR!$B$52:$B$73,0),MATCH('TS DTech'!$B39&amp;AH$7,AGR!$E$46:$L$46&amp;AGR!$E$48:$L$48,0)),""))</f>
        <v/>
      </c>
      <c r="AI39" s="296" t="str">
        <f t="array" aca="1" ref="AI39" ca="1">IF($A39="*","",IFERROR(INDEX(AGR!$E$52:$L$73,MATCH('TS DTech'!$C39,AGR!$B$52:$B$73,0),MATCH('TS DTech'!$B39&amp;AI$7,AGR!$E$46:$L$46&amp;AGR!$E$48:$L$48,0)),""))</f>
        <v/>
      </c>
      <c r="AJ39" s="296" t="str">
        <f t="array" aca="1" ref="AJ39" ca="1">IF($A39="*","",IFERROR(INDEX(AGR!$E$52:$L$73,MATCH('TS DTech'!$C39,AGR!$B$52:$B$73,0),MATCH('TS DTech'!$B39&amp;AJ$7,AGR!$E$46:$L$46&amp;AGR!$E$48:$L$48,0)),""))</f>
        <v/>
      </c>
      <c r="AK39" s="296" t="str">
        <f t="array" aca="1" ref="AK39" ca="1">IF($A39="*","",IFERROR(INDEX(AGR!$E$52:$L$73,MATCH('TS DTech'!$C39,AGR!$B$52:$B$73,0),MATCH('TS DTech'!$B39&amp;AK$7,AGR!$E$46:$L$46&amp;AGR!$E$48:$L$48,0)),""))</f>
        <v/>
      </c>
      <c r="AL39" s="296" t="str">
        <f t="array" aca="1" ref="AL39" ca="1">IF($A39="*","",IFERROR(INDEX(AGR!$E$52:$L$73,MATCH('TS DTech'!$C39,AGR!$B$52:$B$73,0),MATCH('TS DTech'!$B39&amp;AL$7,AGR!$E$46:$L$46&amp;AGR!$E$48:$L$48,0)),""))</f>
        <v/>
      </c>
      <c r="AM39" s="296" t="str">
        <f t="array" aca="1" ref="AM39" ca="1">IF($A39="*","",IFERROR(INDEX(AGR!$E$52:$L$73,MATCH('TS DTech'!$C39,AGR!$B$52:$B$73,0),MATCH('TS DTech'!$B39&amp;AM$7,AGR!$E$46:$L$46&amp;AGR!$E$48:$L$48,0)),""))</f>
        <v/>
      </c>
      <c r="AN39" s="296" t="str">
        <f t="array" aca="1" ref="AN39" ca="1">IF($A39="*","",IFERROR(INDEX(AGR!$E$52:$L$73,MATCH('TS DTech'!$C39,AGR!$B$52:$B$73,0),MATCH('TS DTech'!$B39&amp;AN$7,AGR!$E$46:$L$46&amp;AGR!$E$48:$L$48,0)),""))</f>
        <v/>
      </c>
      <c r="AO39" s="296" t="str">
        <f t="array" aca="1" ref="AO39" ca="1">IF($A39="*","",IFERROR(INDEX(AGR!$E$52:$L$73,MATCH('TS DTech'!$C39,AGR!$B$52:$B$73,0),MATCH('TS DTech'!$B39&amp;AO$7,AGR!$E$46:$L$46&amp;AGR!$E$48:$L$48,0)),""))</f>
        <v/>
      </c>
      <c r="AP39" s="296" t="str">
        <f t="array" aca="1" ref="AP39" ca="1">IF($A39="*","",IFERROR(INDEX(AGR!$E$52:$L$73,MATCH('TS DTech'!$C39,AGR!$B$52:$B$73,0),MATCH('TS DTech'!$B39&amp;AP$7,AGR!$E$46:$L$46&amp;AGR!$E$48:$L$48,0)),""))</f>
        <v/>
      </c>
      <c r="AQ39" s="137">
        <f>IF(AR38=AGR!$AD$74,AQ38+1,AQ38)</f>
        <v>2</v>
      </c>
      <c r="AR39" s="137">
        <f t="shared" si="3"/>
        <v>1</v>
      </c>
    </row>
    <row r="40" spans="1:44">
      <c r="A40" s="137" t="str">
        <f ca="1">IF(LEFT(OFFSET(AGR!$A$51,AR40,0),2)="\I","*","")</f>
        <v/>
      </c>
      <c r="B40" s="212" t="str">
        <f t="shared" ca="1" si="0"/>
        <v>NCAP_AFA</v>
      </c>
      <c r="C40" s="212" t="str">
        <f ca="1">IF($A40="*","",OFFSET(AGR!$B$51,AR40,0))</f>
        <v>AHOHF-E</v>
      </c>
      <c r="D40" s="212" t="str">
        <f t="shared" ca="1" si="2"/>
        <v>-</v>
      </c>
      <c r="E40" s="212" t="str">
        <f t="shared" ca="1" si="2"/>
        <v>-</v>
      </c>
      <c r="F40" s="212" t="str">
        <f t="shared" ca="1" si="2"/>
        <v>-</v>
      </c>
      <c r="G40" s="212" t="str">
        <f t="shared" ca="1" si="2"/>
        <v>ANNUAL</v>
      </c>
      <c r="H40" s="212" t="str">
        <f t="shared" ca="1" si="2"/>
        <v>UP</v>
      </c>
      <c r="I40" s="213">
        <f t="shared" ca="1" si="2"/>
        <v>3</v>
      </c>
      <c r="J40" s="296">
        <f t="array" aca="1" ref="J40" ca="1">IF($A40="*","",IFERROR(INDEX(AGR!$E$52:$L$73,MATCH('TS DTech'!$C40,AGR!$B$52:$B$73,0),MATCH('TS DTech'!$B40&amp;J$7,AGR!$E$46:$L$46&amp;AGR!$E$48:$L$48,0)),""))</f>
        <v>0.55130000000000001</v>
      </c>
      <c r="K40" s="296" t="str">
        <f t="array" aca="1" ref="K40" ca="1">IF($A40="*","",IFERROR(INDEX(AGR!$E$52:$L$73,MATCH('TS DTech'!$C40,AGR!$B$52:$B$73,0),MATCH('TS DTech'!$B40&amp;K$7,AGR!$E$46:$L$46&amp;AGR!$E$48:$L$48,0)),""))</f>
        <v/>
      </c>
      <c r="L40" s="296" t="str">
        <f t="array" aca="1" ref="L40" ca="1">IF($A40="*","",IFERROR(INDEX(AGR!$E$52:$L$73,MATCH('TS DTech'!$C40,AGR!$B$52:$B$73,0),MATCH('TS DTech'!$B40&amp;L$7,AGR!$E$46:$L$46&amp;AGR!$E$48:$L$48,0)),""))</f>
        <v/>
      </c>
      <c r="M40" s="296" t="str">
        <f t="array" aca="1" ref="M40" ca="1">IF($A40="*","",IFERROR(INDEX(AGR!$E$52:$L$73,MATCH('TS DTech'!$C40,AGR!$B$52:$B$73,0),MATCH('TS DTech'!$B40&amp;M$7,AGR!$E$46:$L$46&amp;AGR!$E$48:$L$48,0)),""))</f>
        <v/>
      </c>
      <c r="N40" s="296" t="str">
        <f t="array" aca="1" ref="N40" ca="1">IF($A40="*","",IFERROR(INDEX(AGR!$E$52:$L$73,MATCH('TS DTech'!$C40,AGR!$B$52:$B$73,0),MATCH('TS DTech'!$B40&amp;N$7,AGR!$E$46:$L$46&amp;AGR!$E$48:$L$48,0)),""))</f>
        <v/>
      </c>
      <c r="O40" s="296">
        <f t="array" aca="1" ref="O40" ca="1">IF($A40="*","",IFERROR(INDEX(AGR!$E$52:$L$73,MATCH('TS DTech'!$C40,AGR!$B$52:$B$73,0),MATCH('TS DTech'!$B40&amp;O$7,AGR!$E$46:$L$46&amp;AGR!$E$48:$L$48,0)),""))</f>
        <v>0.55130000000000001</v>
      </c>
      <c r="P40" s="296" t="str">
        <f t="array" aca="1" ref="P40" ca="1">IF($A40="*","",IFERROR(INDEX(AGR!$E$52:$L$73,MATCH('TS DTech'!$C40,AGR!$B$52:$B$73,0),MATCH('TS DTech'!$B40&amp;P$7,AGR!$E$46:$L$46&amp;AGR!$E$48:$L$48,0)),""))</f>
        <v/>
      </c>
      <c r="Q40" s="296" t="str">
        <f t="array" aca="1" ref="Q40" ca="1">IF($A40="*","",IFERROR(INDEX(AGR!$E$52:$L$73,MATCH('TS DTech'!$C40,AGR!$B$52:$B$73,0),MATCH('TS DTech'!$B40&amp;Q$7,AGR!$E$46:$L$46&amp;AGR!$E$48:$L$48,0)),""))</f>
        <v/>
      </c>
      <c r="R40" s="296" t="str">
        <f t="array" aca="1" ref="R40" ca="1">IF($A40="*","",IFERROR(INDEX(AGR!$E$52:$L$73,MATCH('TS DTech'!$C40,AGR!$B$52:$B$73,0),MATCH('TS DTech'!$B40&amp;R$7,AGR!$E$46:$L$46&amp;AGR!$E$48:$L$48,0)),""))</f>
        <v/>
      </c>
      <c r="S40" s="296" t="str">
        <f t="array" aca="1" ref="S40" ca="1">IF($A40="*","",IFERROR(INDEX(AGR!$E$52:$L$73,MATCH('TS DTech'!$C40,AGR!$B$52:$B$73,0),MATCH('TS DTech'!$B40&amp;S$7,AGR!$E$46:$L$46&amp;AGR!$E$48:$L$48,0)),""))</f>
        <v/>
      </c>
      <c r="T40" s="296" t="str">
        <f t="array" aca="1" ref="T40" ca="1">IF($A40="*","",IFERROR(INDEX(AGR!$E$52:$L$73,MATCH('TS DTech'!$C40,AGR!$B$52:$B$73,0),MATCH('TS DTech'!$B40&amp;T$7,AGR!$E$46:$L$46&amp;AGR!$E$48:$L$48,0)),""))</f>
        <v/>
      </c>
      <c r="U40" s="296" t="str">
        <f t="array" aca="1" ref="U40" ca="1">IF($A40="*","",IFERROR(INDEX(AGR!$E$52:$L$73,MATCH('TS DTech'!$C40,AGR!$B$52:$B$73,0),MATCH('TS DTech'!$B40&amp;U$7,AGR!$E$46:$L$46&amp;AGR!$E$48:$L$48,0)),""))</f>
        <v/>
      </c>
      <c r="V40" s="296" t="str">
        <f t="array" aca="1" ref="V40" ca="1">IF($A40="*","",IFERROR(INDEX(AGR!$E$52:$L$73,MATCH('TS DTech'!$C40,AGR!$B$52:$B$73,0),MATCH('TS DTech'!$B40&amp;V$7,AGR!$E$46:$L$46&amp;AGR!$E$48:$L$48,0)),""))</f>
        <v/>
      </c>
      <c r="W40" s="296" t="str">
        <f t="array" aca="1" ref="W40" ca="1">IF($A40="*","",IFERROR(INDEX(AGR!$E$52:$L$73,MATCH('TS DTech'!$C40,AGR!$B$52:$B$73,0),MATCH('TS DTech'!$B40&amp;W$7,AGR!$E$46:$L$46&amp;AGR!$E$48:$L$48,0)),""))</f>
        <v/>
      </c>
      <c r="X40" s="296" t="str">
        <f t="array" aca="1" ref="X40" ca="1">IF($A40="*","",IFERROR(INDEX(AGR!$E$52:$L$73,MATCH('TS DTech'!$C40,AGR!$B$52:$B$73,0),MATCH('TS DTech'!$B40&amp;X$7,AGR!$E$46:$L$46&amp;AGR!$E$48:$L$48,0)),""))</f>
        <v/>
      </c>
      <c r="Y40" s="296" t="str">
        <f t="array" aca="1" ref="Y40" ca="1">IF($A40="*","",IFERROR(INDEX(AGR!$E$52:$L$73,MATCH('TS DTech'!$C40,AGR!$B$52:$B$73,0),MATCH('TS DTech'!$B40&amp;Y$7,AGR!$E$46:$L$46&amp;AGR!$E$48:$L$48,0)),""))</f>
        <v/>
      </c>
      <c r="Z40" s="296" t="str">
        <f t="array" aca="1" ref="Z40" ca="1">IF($A40="*","",IFERROR(INDEX(AGR!$E$52:$L$73,MATCH('TS DTech'!$C40,AGR!$B$52:$B$73,0),MATCH('TS DTech'!$B40&amp;Z$7,AGR!$E$46:$L$46&amp;AGR!$E$48:$L$48,0)),""))</f>
        <v/>
      </c>
      <c r="AA40" s="296" t="str">
        <f t="array" aca="1" ref="AA40" ca="1">IF($A40="*","",IFERROR(INDEX(AGR!$E$52:$L$73,MATCH('TS DTech'!$C40,AGR!$B$52:$B$73,0),MATCH('TS DTech'!$B40&amp;AA$7,AGR!$E$46:$L$46&amp;AGR!$E$48:$L$48,0)),""))</f>
        <v/>
      </c>
      <c r="AB40" s="296" t="str">
        <f t="array" aca="1" ref="AB40" ca="1">IF($A40="*","",IFERROR(INDEX(AGR!$E$52:$L$73,MATCH('TS DTech'!$C40,AGR!$B$52:$B$73,0),MATCH('TS DTech'!$B40&amp;AB$7,AGR!$E$46:$L$46&amp;AGR!$E$48:$L$48,0)),""))</f>
        <v/>
      </c>
      <c r="AC40" s="296" t="str">
        <f t="array" aca="1" ref="AC40" ca="1">IF($A40="*","",IFERROR(INDEX(AGR!$E$52:$L$73,MATCH('TS DTech'!$C40,AGR!$B$52:$B$73,0),MATCH('TS DTech'!$B40&amp;AC$7,AGR!$E$46:$L$46&amp;AGR!$E$48:$L$48,0)),""))</f>
        <v/>
      </c>
      <c r="AD40" s="296" t="str">
        <f t="array" aca="1" ref="AD40" ca="1">IF($A40="*","",IFERROR(INDEX(AGR!$E$52:$L$73,MATCH('TS DTech'!$C40,AGR!$B$52:$B$73,0),MATCH('TS DTech'!$B40&amp;AD$7,AGR!$E$46:$L$46&amp;AGR!$E$48:$L$48,0)),""))</f>
        <v/>
      </c>
      <c r="AE40" s="296" t="str">
        <f t="array" aca="1" ref="AE40" ca="1">IF($A40="*","",IFERROR(INDEX(AGR!$E$52:$L$73,MATCH('TS DTech'!$C40,AGR!$B$52:$B$73,0),MATCH('TS DTech'!$B40&amp;AE$7,AGR!$E$46:$L$46&amp;AGR!$E$48:$L$48,0)),""))</f>
        <v/>
      </c>
      <c r="AF40" s="296" t="str">
        <f t="array" aca="1" ref="AF40" ca="1">IF($A40="*","",IFERROR(INDEX(AGR!$E$52:$L$73,MATCH('TS DTech'!$C40,AGR!$B$52:$B$73,0),MATCH('TS DTech'!$B40&amp;AF$7,AGR!$E$46:$L$46&amp;AGR!$E$48:$L$48,0)),""))</f>
        <v/>
      </c>
      <c r="AG40" s="296" t="str">
        <f t="array" aca="1" ref="AG40" ca="1">IF($A40="*","",IFERROR(INDEX(AGR!$E$52:$L$73,MATCH('TS DTech'!$C40,AGR!$B$52:$B$73,0),MATCH('TS DTech'!$B40&amp;AG$7,AGR!$E$46:$L$46&amp;AGR!$E$48:$L$48,0)),""))</f>
        <v/>
      </c>
      <c r="AH40" s="296" t="str">
        <f t="array" aca="1" ref="AH40" ca="1">IF($A40="*","",IFERROR(INDEX(AGR!$E$52:$L$73,MATCH('TS DTech'!$C40,AGR!$B$52:$B$73,0),MATCH('TS DTech'!$B40&amp;AH$7,AGR!$E$46:$L$46&amp;AGR!$E$48:$L$48,0)),""))</f>
        <v/>
      </c>
      <c r="AI40" s="296" t="str">
        <f t="array" aca="1" ref="AI40" ca="1">IF($A40="*","",IFERROR(INDEX(AGR!$E$52:$L$73,MATCH('TS DTech'!$C40,AGR!$B$52:$B$73,0),MATCH('TS DTech'!$B40&amp;AI$7,AGR!$E$46:$L$46&amp;AGR!$E$48:$L$48,0)),""))</f>
        <v/>
      </c>
      <c r="AJ40" s="296" t="str">
        <f t="array" aca="1" ref="AJ40" ca="1">IF($A40="*","",IFERROR(INDEX(AGR!$E$52:$L$73,MATCH('TS DTech'!$C40,AGR!$B$52:$B$73,0),MATCH('TS DTech'!$B40&amp;AJ$7,AGR!$E$46:$L$46&amp;AGR!$E$48:$L$48,0)),""))</f>
        <v/>
      </c>
      <c r="AK40" s="296" t="str">
        <f t="array" aca="1" ref="AK40" ca="1">IF($A40="*","",IFERROR(INDEX(AGR!$E$52:$L$73,MATCH('TS DTech'!$C40,AGR!$B$52:$B$73,0),MATCH('TS DTech'!$B40&amp;AK$7,AGR!$E$46:$L$46&amp;AGR!$E$48:$L$48,0)),""))</f>
        <v/>
      </c>
      <c r="AL40" s="296" t="str">
        <f t="array" aca="1" ref="AL40" ca="1">IF($A40="*","",IFERROR(INDEX(AGR!$E$52:$L$73,MATCH('TS DTech'!$C40,AGR!$B$52:$B$73,0),MATCH('TS DTech'!$B40&amp;AL$7,AGR!$E$46:$L$46&amp;AGR!$E$48:$L$48,0)),""))</f>
        <v/>
      </c>
      <c r="AM40" s="296" t="str">
        <f t="array" aca="1" ref="AM40" ca="1">IF($A40="*","",IFERROR(INDEX(AGR!$E$52:$L$73,MATCH('TS DTech'!$C40,AGR!$B$52:$B$73,0),MATCH('TS DTech'!$B40&amp;AM$7,AGR!$E$46:$L$46&amp;AGR!$E$48:$L$48,0)),""))</f>
        <v/>
      </c>
      <c r="AN40" s="296" t="str">
        <f t="array" aca="1" ref="AN40" ca="1">IF($A40="*","",IFERROR(INDEX(AGR!$E$52:$L$73,MATCH('TS DTech'!$C40,AGR!$B$52:$B$73,0),MATCH('TS DTech'!$B40&amp;AN$7,AGR!$E$46:$L$46&amp;AGR!$E$48:$L$48,0)),""))</f>
        <v/>
      </c>
      <c r="AO40" s="296" t="str">
        <f t="array" aca="1" ref="AO40" ca="1">IF($A40="*","",IFERROR(INDEX(AGR!$E$52:$L$73,MATCH('TS DTech'!$C40,AGR!$B$52:$B$73,0),MATCH('TS DTech'!$B40&amp;AO$7,AGR!$E$46:$L$46&amp;AGR!$E$48:$L$48,0)),""))</f>
        <v/>
      </c>
      <c r="AP40" s="296" t="str">
        <f t="array" aca="1" ref="AP40" ca="1">IF($A40="*","",IFERROR(INDEX(AGR!$E$52:$L$73,MATCH('TS DTech'!$C40,AGR!$B$52:$B$73,0),MATCH('TS DTech'!$B40&amp;AP$7,AGR!$E$46:$L$46&amp;AGR!$E$48:$L$48,0)),""))</f>
        <v/>
      </c>
      <c r="AQ40" s="137">
        <f>IF(AR39=AGR!$AD$74,AQ39+1,AQ39)</f>
        <v>2</v>
      </c>
      <c r="AR40" s="137">
        <f t="shared" si="3"/>
        <v>2</v>
      </c>
    </row>
    <row r="41" spans="1:44">
      <c r="A41" s="137" t="str">
        <f ca="1">IF(LEFT(OFFSET(AGR!$A$51,AR41,0),2)="\I","*","")</f>
        <v/>
      </c>
      <c r="B41" s="212" t="str">
        <f t="shared" ca="1" si="0"/>
        <v>NCAP_AFA</v>
      </c>
      <c r="C41" s="212" t="str">
        <f ca="1">IF($A41="*","",OFFSET(AGR!$B$51,AR41,0))</f>
        <v>AHOKE-E</v>
      </c>
      <c r="D41" s="212" t="str">
        <f t="shared" ca="1" si="2"/>
        <v>-</v>
      </c>
      <c r="E41" s="212" t="str">
        <f t="shared" ca="1" si="2"/>
        <v>-</v>
      </c>
      <c r="F41" s="212" t="str">
        <f t="shared" ca="1" si="2"/>
        <v>-</v>
      </c>
      <c r="G41" s="212" t="str">
        <f t="shared" ca="1" si="2"/>
        <v>ANNUAL</v>
      </c>
      <c r="H41" s="212" t="str">
        <f t="shared" ca="1" si="2"/>
        <v>UP</v>
      </c>
      <c r="I41" s="213">
        <f t="shared" ca="1" si="2"/>
        <v>3</v>
      </c>
      <c r="J41" s="296">
        <f t="array" aca="1" ref="J41" ca="1">IF($A41="*","",IFERROR(INDEX(AGR!$E$52:$L$73,MATCH('TS DTech'!$C41,AGR!$B$52:$B$73,0),MATCH('TS DTech'!$B41&amp;J$7,AGR!$E$46:$L$46&amp;AGR!$E$48:$L$48,0)),""))</f>
        <v>0.55130000000000001</v>
      </c>
      <c r="K41" s="296" t="str">
        <f t="array" aca="1" ref="K41" ca="1">IF($A41="*","",IFERROR(INDEX(AGR!$E$52:$L$73,MATCH('TS DTech'!$C41,AGR!$B$52:$B$73,0),MATCH('TS DTech'!$B41&amp;K$7,AGR!$E$46:$L$46&amp;AGR!$E$48:$L$48,0)),""))</f>
        <v/>
      </c>
      <c r="L41" s="296" t="str">
        <f t="array" aca="1" ref="L41" ca="1">IF($A41="*","",IFERROR(INDEX(AGR!$E$52:$L$73,MATCH('TS DTech'!$C41,AGR!$B$52:$B$73,0),MATCH('TS DTech'!$B41&amp;L$7,AGR!$E$46:$L$46&amp;AGR!$E$48:$L$48,0)),""))</f>
        <v/>
      </c>
      <c r="M41" s="296" t="str">
        <f t="array" aca="1" ref="M41" ca="1">IF($A41="*","",IFERROR(INDEX(AGR!$E$52:$L$73,MATCH('TS DTech'!$C41,AGR!$B$52:$B$73,0),MATCH('TS DTech'!$B41&amp;M$7,AGR!$E$46:$L$46&amp;AGR!$E$48:$L$48,0)),""))</f>
        <v/>
      </c>
      <c r="N41" s="296" t="str">
        <f t="array" aca="1" ref="N41" ca="1">IF($A41="*","",IFERROR(INDEX(AGR!$E$52:$L$73,MATCH('TS DTech'!$C41,AGR!$B$52:$B$73,0),MATCH('TS DTech'!$B41&amp;N$7,AGR!$E$46:$L$46&amp;AGR!$E$48:$L$48,0)),""))</f>
        <v/>
      </c>
      <c r="O41" s="296">
        <f t="array" aca="1" ref="O41" ca="1">IF($A41="*","",IFERROR(INDEX(AGR!$E$52:$L$73,MATCH('TS DTech'!$C41,AGR!$B$52:$B$73,0),MATCH('TS DTech'!$B41&amp;O$7,AGR!$E$46:$L$46&amp;AGR!$E$48:$L$48,0)),""))</f>
        <v>0.55130000000000001</v>
      </c>
      <c r="P41" s="296" t="str">
        <f t="array" aca="1" ref="P41" ca="1">IF($A41="*","",IFERROR(INDEX(AGR!$E$52:$L$73,MATCH('TS DTech'!$C41,AGR!$B$52:$B$73,0),MATCH('TS DTech'!$B41&amp;P$7,AGR!$E$46:$L$46&amp;AGR!$E$48:$L$48,0)),""))</f>
        <v/>
      </c>
      <c r="Q41" s="296" t="str">
        <f t="array" aca="1" ref="Q41" ca="1">IF($A41="*","",IFERROR(INDEX(AGR!$E$52:$L$73,MATCH('TS DTech'!$C41,AGR!$B$52:$B$73,0),MATCH('TS DTech'!$B41&amp;Q$7,AGR!$E$46:$L$46&amp;AGR!$E$48:$L$48,0)),""))</f>
        <v/>
      </c>
      <c r="R41" s="296" t="str">
        <f t="array" aca="1" ref="R41" ca="1">IF($A41="*","",IFERROR(INDEX(AGR!$E$52:$L$73,MATCH('TS DTech'!$C41,AGR!$B$52:$B$73,0),MATCH('TS DTech'!$B41&amp;R$7,AGR!$E$46:$L$46&amp;AGR!$E$48:$L$48,0)),""))</f>
        <v/>
      </c>
      <c r="S41" s="296" t="str">
        <f t="array" aca="1" ref="S41" ca="1">IF($A41="*","",IFERROR(INDEX(AGR!$E$52:$L$73,MATCH('TS DTech'!$C41,AGR!$B$52:$B$73,0),MATCH('TS DTech'!$B41&amp;S$7,AGR!$E$46:$L$46&amp;AGR!$E$48:$L$48,0)),""))</f>
        <v/>
      </c>
      <c r="T41" s="296" t="str">
        <f t="array" aca="1" ref="T41" ca="1">IF($A41="*","",IFERROR(INDEX(AGR!$E$52:$L$73,MATCH('TS DTech'!$C41,AGR!$B$52:$B$73,0),MATCH('TS DTech'!$B41&amp;T$7,AGR!$E$46:$L$46&amp;AGR!$E$48:$L$48,0)),""))</f>
        <v/>
      </c>
      <c r="U41" s="296" t="str">
        <f t="array" aca="1" ref="U41" ca="1">IF($A41="*","",IFERROR(INDEX(AGR!$E$52:$L$73,MATCH('TS DTech'!$C41,AGR!$B$52:$B$73,0),MATCH('TS DTech'!$B41&amp;U$7,AGR!$E$46:$L$46&amp;AGR!$E$48:$L$48,0)),""))</f>
        <v/>
      </c>
      <c r="V41" s="296" t="str">
        <f t="array" aca="1" ref="V41" ca="1">IF($A41="*","",IFERROR(INDEX(AGR!$E$52:$L$73,MATCH('TS DTech'!$C41,AGR!$B$52:$B$73,0),MATCH('TS DTech'!$B41&amp;V$7,AGR!$E$46:$L$46&amp;AGR!$E$48:$L$48,0)),""))</f>
        <v/>
      </c>
      <c r="W41" s="296" t="str">
        <f t="array" aca="1" ref="W41" ca="1">IF($A41="*","",IFERROR(INDEX(AGR!$E$52:$L$73,MATCH('TS DTech'!$C41,AGR!$B$52:$B$73,0),MATCH('TS DTech'!$B41&amp;W$7,AGR!$E$46:$L$46&amp;AGR!$E$48:$L$48,0)),""))</f>
        <v/>
      </c>
      <c r="X41" s="296" t="str">
        <f t="array" aca="1" ref="X41" ca="1">IF($A41="*","",IFERROR(INDEX(AGR!$E$52:$L$73,MATCH('TS DTech'!$C41,AGR!$B$52:$B$73,0),MATCH('TS DTech'!$B41&amp;X$7,AGR!$E$46:$L$46&amp;AGR!$E$48:$L$48,0)),""))</f>
        <v/>
      </c>
      <c r="Y41" s="296" t="str">
        <f t="array" aca="1" ref="Y41" ca="1">IF($A41="*","",IFERROR(INDEX(AGR!$E$52:$L$73,MATCH('TS DTech'!$C41,AGR!$B$52:$B$73,0),MATCH('TS DTech'!$B41&amp;Y$7,AGR!$E$46:$L$46&amp;AGR!$E$48:$L$48,0)),""))</f>
        <v/>
      </c>
      <c r="Z41" s="296" t="str">
        <f t="array" aca="1" ref="Z41" ca="1">IF($A41="*","",IFERROR(INDEX(AGR!$E$52:$L$73,MATCH('TS DTech'!$C41,AGR!$B$52:$B$73,0),MATCH('TS DTech'!$B41&amp;Z$7,AGR!$E$46:$L$46&amp;AGR!$E$48:$L$48,0)),""))</f>
        <v/>
      </c>
      <c r="AA41" s="296" t="str">
        <f t="array" aca="1" ref="AA41" ca="1">IF($A41="*","",IFERROR(INDEX(AGR!$E$52:$L$73,MATCH('TS DTech'!$C41,AGR!$B$52:$B$73,0),MATCH('TS DTech'!$B41&amp;AA$7,AGR!$E$46:$L$46&amp;AGR!$E$48:$L$48,0)),""))</f>
        <v/>
      </c>
      <c r="AB41" s="296" t="str">
        <f t="array" aca="1" ref="AB41" ca="1">IF($A41="*","",IFERROR(INDEX(AGR!$E$52:$L$73,MATCH('TS DTech'!$C41,AGR!$B$52:$B$73,0),MATCH('TS DTech'!$B41&amp;AB$7,AGR!$E$46:$L$46&amp;AGR!$E$48:$L$48,0)),""))</f>
        <v/>
      </c>
      <c r="AC41" s="296" t="str">
        <f t="array" aca="1" ref="AC41" ca="1">IF($A41="*","",IFERROR(INDEX(AGR!$E$52:$L$73,MATCH('TS DTech'!$C41,AGR!$B$52:$B$73,0),MATCH('TS DTech'!$B41&amp;AC$7,AGR!$E$46:$L$46&amp;AGR!$E$48:$L$48,0)),""))</f>
        <v/>
      </c>
      <c r="AD41" s="296" t="str">
        <f t="array" aca="1" ref="AD41" ca="1">IF($A41="*","",IFERROR(INDEX(AGR!$E$52:$L$73,MATCH('TS DTech'!$C41,AGR!$B$52:$B$73,0),MATCH('TS DTech'!$B41&amp;AD$7,AGR!$E$46:$L$46&amp;AGR!$E$48:$L$48,0)),""))</f>
        <v/>
      </c>
      <c r="AE41" s="296" t="str">
        <f t="array" aca="1" ref="AE41" ca="1">IF($A41="*","",IFERROR(INDEX(AGR!$E$52:$L$73,MATCH('TS DTech'!$C41,AGR!$B$52:$B$73,0),MATCH('TS DTech'!$B41&amp;AE$7,AGR!$E$46:$L$46&amp;AGR!$E$48:$L$48,0)),""))</f>
        <v/>
      </c>
      <c r="AF41" s="296" t="str">
        <f t="array" aca="1" ref="AF41" ca="1">IF($A41="*","",IFERROR(INDEX(AGR!$E$52:$L$73,MATCH('TS DTech'!$C41,AGR!$B$52:$B$73,0),MATCH('TS DTech'!$B41&amp;AF$7,AGR!$E$46:$L$46&amp;AGR!$E$48:$L$48,0)),""))</f>
        <v/>
      </c>
      <c r="AG41" s="296" t="str">
        <f t="array" aca="1" ref="AG41" ca="1">IF($A41="*","",IFERROR(INDEX(AGR!$E$52:$L$73,MATCH('TS DTech'!$C41,AGR!$B$52:$B$73,0),MATCH('TS DTech'!$B41&amp;AG$7,AGR!$E$46:$L$46&amp;AGR!$E$48:$L$48,0)),""))</f>
        <v/>
      </c>
      <c r="AH41" s="296" t="str">
        <f t="array" aca="1" ref="AH41" ca="1">IF($A41="*","",IFERROR(INDEX(AGR!$E$52:$L$73,MATCH('TS DTech'!$C41,AGR!$B$52:$B$73,0),MATCH('TS DTech'!$B41&amp;AH$7,AGR!$E$46:$L$46&amp;AGR!$E$48:$L$48,0)),""))</f>
        <v/>
      </c>
      <c r="AI41" s="296" t="str">
        <f t="array" aca="1" ref="AI41" ca="1">IF($A41="*","",IFERROR(INDEX(AGR!$E$52:$L$73,MATCH('TS DTech'!$C41,AGR!$B$52:$B$73,0),MATCH('TS DTech'!$B41&amp;AI$7,AGR!$E$46:$L$46&amp;AGR!$E$48:$L$48,0)),""))</f>
        <v/>
      </c>
      <c r="AJ41" s="296" t="str">
        <f t="array" aca="1" ref="AJ41" ca="1">IF($A41="*","",IFERROR(INDEX(AGR!$E$52:$L$73,MATCH('TS DTech'!$C41,AGR!$B$52:$B$73,0),MATCH('TS DTech'!$B41&amp;AJ$7,AGR!$E$46:$L$46&amp;AGR!$E$48:$L$48,0)),""))</f>
        <v/>
      </c>
      <c r="AK41" s="296" t="str">
        <f t="array" aca="1" ref="AK41" ca="1">IF($A41="*","",IFERROR(INDEX(AGR!$E$52:$L$73,MATCH('TS DTech'!$C41,AGR!$B$52:$B$73,0),MATCH('TS DTech'!$B41&amp;AK$7,AGR!$E$46:$L$46&amp;AGR!$E$48:$L$48,0)),""))</f>
        <v/>
      </c>
      <c r="AL41" s="296" t="str">
        <f t="array" aca="1" ref="AL41" ca="1">IF($A41="*","",IFERROR(INDEX(AGR!$E$52:$L$73,MATCH('TS DTech'!$C41,AGR!$B$52:$B$73,0),MATCH('TS DTech'!$B41&amp;AL$7,AGR!$E$46:$L$46&amp;AGR!$E$48:$L$48,0)),""))</f>
        <v/>
      </c>
      <c r="AM41" s="296" t="str">
        <f t="array" aca="1" ref="AM41" ca="1">IF($A41="*","",IFERROR(INDEX(AGR!$E$52:$L$73,MATCH('TS DTech'!$C41,AGR!$B$52:$B$73,0),MATCH('TS DTech'!$B41&amp;AM$7,AGR!$E$46:$L$46&amp;AGR!$E$48:$L$48,0)),""))</f>
        <v/>
      </c>
      <c r="AN41" s="296" t="str">
        <f t="array" aca="1" ref="AN41" ca="1">IF($A41="*","",IFERROR(INDEX(AGR!$E$52:$L$73,MATCH('TS DTech'!$C41,AGR!$B$52:$B$73,0),MATCH('TS DTech'!$B41&amp;AN$7,AGR!$E$46:$L$46&amp;AGR!$E$48:$L$48,0)),""))</f>
        <v/>
      </c>
      <c r="AO41" s="296" t="str">
        <f t="array" aca="1" ref="AO41" ca="1">IF($A41="*","",IFERROR(INDEX(AGR!$E$52:$L$73,MATCH('TS DTech'!$C41,AGR!$B$52:$B$73,0),MATCH('TS DTech'!$B41&amp;AO$7,AGR!$E$46:$L$46&amp;AGR!$E$48:$L$48,0)),""))</f>
        <v/>
      </c>
      <c r="AP41" s="296" t="str">
        <f t="array" aca="1" ref="AP41" ca="1">IF($A41="*","",IFERROR(INDEX(AGR!$E$52:$L$73,MATCH('TS DTech'!$C41,AGR!$B$52:$B$73,0),MATCH('TS DTech'!$B41&amp;AP$7,AGR!$E$46:$L$46&amp;AGR!$E$48:$L$48,0)),""))</f>
        <v/>
      </c>
      <c r="AQ41" s="137">
        <f>IF(AR40=AGR!$AD$74,AQ40+1,AQ40)</f>
        <v>2</v>
      </c>
      <c r="AR41" s="137">
        <f t="shared" si="3"/>
        <v>3</v>
      </c>
    </row>
    <row r="42" spans="1:44">
      <c r="A42" s="137" t="str">
        <f ca="1">IF(LEFT(OFFSET(AGR!$A$51,AR42,0),2)="\I","*","")</f>
        <v/>
      </c>
      <c r="B42" s="212" t="str">
        <f t="shared" ca="1" si="0"/>
        <v>NCAP_AFA</v>
      </c>
      <c r="C42" s="212" t="str">
        <f ca="1">IF($A42="*","",OFFSET(AGR!$B$51,AR42,0))</f>
        <v>AHOLP-E</v>
      </c>
      <c r="D42" s="212" t="str">
        <f t="shared" ca="1" si="2"/>
        <v>-</v>
      </c>
      <c r="E42" s="212" t="str">
        <f t="shared" ca="1" si="2"/>
        <v>-</v>
      </c>
      <c r="F42" s="212" t="str">
        <f t="shared" ca="1" si="2"/>
        <v>-</v>
      </c>
      <c r="G42" s="212" t="str">
        <f t="shared" ca="1" si="2"/>
        <v>ANNUAL</v>
      </c>
      <c r="H42" s="212" t="str">
        <f t="shared" ca="1" si="2"/>
        <v>UP</v>
      </c>
      <c r="I42" s="213">
        <f t="shared" ca="1" si="2"/>
        <v>3</v>
      </c>
      <c r="J42" s="296">
        <f t="array" aca="1" ref="J42" ca="1">IF($A42="*","",IFERROR(INDEX(AGR!$E$52:$L$73,MATCH('TS DTech'!$C42,AGR!$B$52:$B$73,0),MATCH('TS DTech'!$B42&amp;J$7,AGR!$E$46:$L$46&amp;AGR!$E$48:$L$48,0)),""))</f>
        <v>0.55130000000000001</v>
      </c>
      <c r="K42" s="296" t="str">
        <f t="array" aca="1" ref="K42" ca="1">IF($A42="*","",IFERROR(INDEX(AGR!$E$52:$L$73,MATCH('TS DTech'!$C42,AGR!$B$52:$B$73,0),MATCH('TS DTech'!$B42&amp;K$7,AGR!$E$46:$L$46&amp;AGR!$E$48:$L$48,0)),""))</f>
        <v/>
      </c>
      <c r="L42" s="296" t="str">
        <f t="array" aca="1" ref="L42" ca="1">IF($A42="*","",IFERROR(INDEX(AGR!$E$52:$L$73,MATCH('TS DTech'!$C42,AGR!$B$52:$B$73,0),MATCH('TS DTech'!$B42&amp;L$7,AGR!$E$46:$L$46&amp;AGR!$E$48:$L$48,0)),""))</f>
        <v/>
      </c>
      <c r="M42" s="296" t="str">
        <f t="array" aca="1" ref="M42" ca="1">IF($A42="*","",IFERROR(INDEX(AGR!$E$52:$L$73,MATCH('TS DTech'!$C42,AGR!$B$52:$B$73,0),MATCH('TS DTech'!$B42&amp;M$7,AGR!$E$46:$L$46&amp;AGR!$E$48:$L$48,0)),""))</f>
        <v/>
      </c>
      <c r="N42" s="296" t="str">
        <f t="array" aca="1" ref="N42" ca="1">IF($A42="*","",IFERROR(INDEX(AGR!$E$52:$L$73,MATCH('TS DTech'!$C42,AGR!$B$52:$B$73,0),MATCH('TS DTech'!$B42&amp;N$7,AGR!$E$46:$L$46&amp;AGR!$E$48:$L$48,0)),""))</f>
        <v/>
      </c>
      <c r="O42" s="296">
        <f t="array" aca="1" ref="O42" ca="1">IF($A42="*","",IFERROR(INDEX(AGR!$E$52:$L$73,MATCH('TS DTech'!$C42,AGR!$B$52:$B$73,0),MATCH('TS DTech'!$B42&amp;O$7,AGR!$E$46:$L$46&amp;AGR!$E$48:$L$48,0)),""))</f>
        <v>0.55130000000000001</v>
      </c>
      <c r="P42" s="296" t="str">
        <f t="array" aca="1" ref="P42" ca="1">IF($A42="*","",IFERROR(INDEX(AGR!$E$52:$L$73,MATCH('TS DTech'!$C42,AGR!$B$52:$B$73,0),MATCH('TS DTech'!$B42&amp;P$7,AGR!$E$46:$L$46&amp;AGR!$E$48:$L$48,0)),""))</f>
        <v/>
      </c>
      <c r="Q42" s="296" t="str">
        <f t="array" aca="1" ref="Q42" ca="1">IF($A42="*","",IFERROR(INDEX(AGR!$E$52:$L$73,MATCH('TS DTech'!$C42,AGR!$B$52:$B$73,0),MATCH('TS DTech'!$B42&amp;Q$7,AGR!$E$46:$L$46&amp;AGR!$E$48:$L$48,0)),""))</f>
        <v/>
      </c>
      <c r="R42" s="296" t="str">
        <f t="array" aca="1" ref="R42" ca="1">IF($A42="*","",IFERROR(INDEX(AGR!$E$52:$L$73,MATCH('TS DTech'!$C42,AGR!$B$52:$B$73,0),MATCH('TS DTech'!$B42&amp;R$7,AGR!$E$46:$L$46&amp;AGR!$E$48:$L$48,0)),""))</f>
        <v/>
      </c>
      <c r="S42" s="296" t="str">
        <f t="array" aca="1" ref="S42" ca="1">IF($A42="*","",IFERROR(INDEX(AGR!$E$52:$L$73,MATCH('TS DTech'!$C42,AGR!$B$52:$B$73,0),MATCH('TS DTech'!$B42&amp;S$7,AGR!$E$46:$L$46&amp;AGR!$E$48:$L$48,0)),""))</f>
        <v/>
      </c>
      <c r="T42" s="296" t="str">
        <f t="array" aca="1" ref="T42" ca="1">IF($A42="*","",IFERROR(INDEX(AGR!$E$52:$L$73,MATCH('TS DTech'!$C42,AGR!$B$52:$B$73,0),MATCH('TS DTech'!$B42&amp;T$7,AGR!$E$46:$L$46&amp;AGR!$E$48:$L$48,0)),""))</f>
        <v/>
      </c>
      <c r="U42" s="296" t="str">
        <f t="array" aca="1" ref="U42" ca="1">IF($A42="*","",IFERROR(INDEX(AGR!$E$52:$L$73,MATCH('TS DTech'!$C42,AGR!$B$52:$B$73,0),MATCH('TS DTech'!$B42&amp;U$7,AGR!$E$46:$L$46&amp;AGR!$E$48:$L$48,0)),""))</f>
        <v/>
      </c>
      <c r="V42" s="296" t="str">
        <f t="array" aca="1" ref="V42" ca="1">IF($A42="*","",IFERROR(INDEX(AGR!$E$52:$L$73,MATCH('TS DTech'!$C42,AGR!$B$52:$B$73,0),MATCH('TS DTech'!$B42&amp;V$7,AGR!$E$46:$L$46&amp;AGR!$E$48:$L$48,0)),""))</f>
        <v/>
      </c>
      <c r="W42" s="296" t="str">
        <f t="array" aca="1" ref="W42" ca="1">IF($A42="*","",IFERROR(INDEX(AGR!$E$52:$L$73,MATCH('TS DTech'!$C42,AGR!$B$52:$B$73,0),MATCH('TS DTech'!$B42&amp;W$7,AGR!$E$46:$L$46&amp;AGR!$E$48:$L$48,0)),""))</f>
        <v/>
      </c>
      <c r="X42" s="296" t="str">
        <f t="array" aca="1" ref="X42" ca="1">IF($A42="*","",IFERROR(INDEX(AGR!$E$52:$L$73,MATCH('TS DTech'!$C42,AGR!$B$52:$B$73,0),MATCH('TS DTech'!$B42&amp;X$7,AGR!$E$46:$L$46&amp;AGR!$E$48:$L$48,0)),""))</f>
        <v/>
      </c>
      <c r="Y42" s="296" t="str">
        <f t="array" aca="1" ref="Y42" ca="1">IF($A42="*","",IFERROR(INDEX(AGR!$E$52:$L$73,MATCH('TS DTech'!$C42,AGR!$B$52:$B$73,0),MATCH('TS DTech'!$B42&amp;Y$7,AGR!$E$46:$L$46&amp;AGR!$E$48:$L$48,0)),""))</f>
        <v/>
      </c>
      <c r="Z42" s="296" t="str">
        <f t="array" aca="1" ref="Z42" ca="1">IF($A42="*","",IFERROR(INDEX(AGR!$E$52:$L$73,MATCH('TS DTech'!$C42,AGR!$B$52:$B$73,0),MATCH('TS DTech'!$B42&amp;Z$7,AGR!$E$46:$L$46&amp;AGR!$E$48:$L$48,0)),""))</f>
        <v/>
      </c>
      <c r="AA42" s="296" t="str">
        <f t="array" aca="1" ref="AA42" ca="1">IF($A42="*","",IFERROR(INDEX(AGR!$E$52:$L$73,MATCH('TS DTech'!$C42,AGR!$B$52:$B$73,0),MATCH('TS DTech'!$B42&amp;AA$7,AGR!$E$46:$L$46&amp;AGR!$E$48:$L$48,0)),""))</f>
        <v/>
      </c>
      <c r="AB42" s="296" t="str">
        <f t="array" aca="1" ref="AB42" ca="1">IF($A42="*","",IFERROR(INDEX(AGR!$E$52:$L$73,MATCH('TS DTech'!$C42,AGR!$B$52:$B$73,0),MATCH('TS DTech'!$B42&amp;AB$7,AGR!$E$46:$L$46&amp;AGR!$E$48:$L$48,0)),""))</f>
        <v/>
      </c>
      <c r="AC42" s="296" t="str">
        <f t="array" aca="1" ref="AC42" ca="1">IF($A42="*","",IFERROR(INDEX(AGR!$E$52:$L$73,MATCH('TS DTech'!$C42,AGR!$B$52:$B$73,0),MATCH('TS DTech'!$B42&amp;AC$7,AGR!$E$46:$L$46&amp;AGR!$E$48:$L$48,0)),""))</f>
        <v/>
      </c>
      <c r="AD42" s="296" t="str">
        <f t="array" aca="1" ref="AD42" ca="1">IF($A42="*","",IFERROR(INDEX(AGR!$E$52:$L$73,MATCH('TS DTech'!$C42,AGR!$B$52:$B$73,0),MATCH('TS DTech'!$B42&amp;AD$7,AGR!$E$46:$L$46&amp;AGR!$E$48:$L$48,0)),""))</f>
        <v/>
      </c>
      <c r="AE42" s="296" t="str">
        <f t="array" aca="1" ref="AE42" ca="1">IF($A42="*","",IFERROR(INDEX(AGR!$E$52:$L$73,MATCH('TS DTech'!$C42,AGR!$B$52:$B$73,0),MATCH('TS DTech'!$B42&amp;AE$7,AGR!$E$46:$L$46&amp;AGR!$E$48:$L$48,0)),""))</f>
        <v/>
      </c>
      <c r="AF42" s="296" t="str">
        <f t="array" aca="1" ref="AF42" ca="1">IF($A42="*","",IFERROR(INDEX(AGR!$E$52:$L$73,MATCH('TS DTech'!$C42,AGR!$B$52:$B$73,0),MATCH('TS DTech'!$B42&amp;AF$7,AGR!$E$46:$L$46&amp;AGR!$E$48:$L$48,0)),""))</f>
        <v/>
      </c>
      <c r="AG42" s="296" t="str">
        <f t="array" aca="1" ref="AG42" ca="1">IF($A42="*","",IFERROR(INDEX(AGR!$E$52:$L$73,MATCH('TS DTech'!$C42,AGR!$B$52:$B$73,0),MATCH('TS DTech'!$B42&amp;AG$7,AGR!$E$46:$L$46&amp;AGR!$E$48:$L$48,0)),""))</f>
        <v/>
      </c>
      <c r="AH42" s="296" t="str">
        <f t="array" aca="1" ref="AH42" ca="1">IF($A42="*","",IFERROR(INDEX(AGR!$E$52:$L$73,MATCH('TS DTech'!$C42,AGR!$B$52:$B$73,0),MATCH('TS DTech'!$B42&amp;AH$7,AGR!$E$46:$L$46&amp;AGR!$E$48:$L$48,0)),""))</f>
        <v/>
      </c>
      <c r="AI42" s="296" t="str">
        <f t="array" aca="1" ref="AI42" ca="1">IF($A42="*","",IFERROR(INDEX(AGR!$E$52:$L$73,MATCH('TS DTech'!$C42,AGR!$B$52:$B$73,0),MATCH('TS DTech'!$B42&amp;AI$7,AGR!$E$46:$L$46&amp;AGR!$E$48:$L$48,0)),""))</f>
        <v/>
      </c>
      <c r="AJ42" s="296" t="str">
        <f t="array" aca="1" ref="AJ42" ca="1">IF($A42="*","",IFERROR(INDEX(AGR!$E$52:$L$73,MATCH('TS DTech'!$C42,AGR!$B$52:$B$73,0),MATCH('TS DTech'!$B42&amp;AJ$7,AGR!$E$46:$L$46&amp;AGR!$E$48:$L$48,0)),""))</f>
        <v/>
      </c>
      <c r="AK42" s="296" t="str">
        <f t="array" aca="1" ref="AK42" ca="1">IF($A42="*","",IFERROR(INDEX(AGR!$E$52:$L$73,MATCH('TS DTech'!$C42,AGR!$B$52:$B$73,0),MATCH('TS DTech'!$B42&amp;AK$7,AGR!$E$46:$L$46&amp;AGR!$E$48:$L$48,0)),""))</f>
        <v/>
      </c>
      <c r="AL42" s="296" t="str">
        <f t="array" aca="1" ref="AL42" ca="1">IF($A42="*","",IFERROR(INDEX(AGR!$E$52:$L$73,MATCH('TS DTech'!$C42,AGR!$B$52:$B$73,0),MATCH('TS DTech'!$B42&amp;AL$7,AGR!$E$46:$L$46&amp;AGR!$E$48:$L$48,0)),""))</f>
        <v/>
      </c>
      <c r="AM42" s="296" t="str">
        <f t="array" aca="1" ref="AM42" ca="1">IF($A42="*","",IFERROR(INDEX(AGR!$E$52:$L$73,MATCH('TS DTech'!$C42,AGR!$B$52:$B$73,0),MATCH('TS DTech'!$B42&amp;AM$7,AGR!$E$46:$L$46&amp;AGR!$E$48:$L$48,0)),""))</f>
        <v/>
      </c>
      <c r="AN42" s="296" t="str">
        <f t="array" aca="1" ref="AN42" ca="1">IF($A42="*","",IFERROR(INDEX(AGR!$E$52:$L$73,MATCH('TS DTech'!$C42,AGR!$B$52:$B$73,0),MATCH('TS DTech'!$B42&amp;AN$7,AGR!$E$46:$L$46&amp;AGR!$E$48:$L$48,0)),""))</f>
        <v/>
      </c>
      <c r="AO42" s="296" t="str">
        <f t="array" aca="1" ref="AO42" ca="1">IF($A42="*","",IFERROR(INDEX(AGR!$E$52:$L$73,MATCH('TS DTech'!$C42,AGR!$B$52:$B$73,0),MATCH('TS DTech'!$B42&amp;AO$7,AGR!$E$46:$L$46&amp;AGR!$E$48:$L$48,0)),""))</f>
        <v/>
      </c>
      <c r="AP42" s="296" t="str">
        <f t="array" aca="1" ref="AP42" ca="1">IF($A42="*","",IFERROR(INDEX(AGR!$E$52:$L$73,MATCH('TS DTech'!$C42,AGR!$B$52:$B$73,0),MATCH('TS DTech'!$B42&amp;AP$7,AGR!$E$46:$L$46&amp;AGR!$E$48:$L$48,0)),""))</f>
        <v/>
      </c>
      <c r="AQ42" s="137">
        <f>IF(AR41=AGR!$AD$74,AQ41+1,AQ41)</f>
        <v>2</v>
      </c>
      <c r="AR42" s="137">
        <f t="shared" si="3"/>
        <v>4</v>
      </c>
    </row>
    <row r="43" spans="1:44">
      <c r="A43" s="137" t="str">
        <f ca="1">IF(LEFT(OFFSET(AGR!$A$51,AR43,0),2)="\I","*","")</f>
        <v/>
      </c>
      <c r="B43" s="212" t="str">
        <f t="shared" ca="1" si="0"/>
        <v>NCAP_AFA</v>
      </c>
      <c r="C43" s="212" t="str">
        <f ca="1">IF($A43="*","",OFFSET(AGR!$B$51,AR43,0))</f>
        <v>AHELC-E</v>
      </c>
      <c r="D43" s="212" t="str">
        <f t="shared" ca="1" si="2"/>
        <v>-</v>
      </c>
      <c r="E43" s="212" t="str">
        <f t="shared" ca="1" si="2"/>
        <v>-</v>
      </c>
      <c r="F43" s="212" t="str">
        <f t="shared" ca="1" si="2"/>
        <v>-</v>
      </c>
      <c r="G43" s="212" t="str">
        <f t="shared" ca="1" si="2"/>
        <v>ANNUAL</v>
      </c>
      <c r="H43" s="212" t="str">
        <f t="shared" ca="1" si="2"/>
        <v>UP</v>
      </c>
      <c r="I43" s="213">
        <f t="shared" ca="1" si="2"/>
        <v>3</v>
      </c>
      <c r="J43" s="296">
        <f t="array" aca="1" ref="J43" ca="1">IF($A43="*","",IFERROR(INDEX(AGR!$E$52:$L$73,MATCH('TS DTech'!$C43,AGR!$B$52:$B$73,0),MATCH('TS DTech'!$B43&amp;J$7,AGR!$E$46:$L$46&amp;AGR!$E$48:$L$48,0)),""))</f>
        <v>0.55130000000000001</v>
      </c>
      <c r="K43" s="296" t="str">
        <f t="array" aca="1" ref="K43" ca="1">IF($A43="*","",IFERROR(INDEX(AGR!$E$52:$L$73,MATCH('TS DTech'!$C43,AGR!$B$52:$B$73,0),MATCH('TS DTech'!$B43&amp;K$7,AGR!$E$46:$L$46&amp;AGR!$E$48:$L$48,0)),""))</f>
        <v/>
      </c>
      <c r="L43" s="296" t="str">
        <f t="array" aca="1" ref="L43" ca="1">IF($A43="*","",IFERROR(INDEX(AGR!$E$52:$L$73,MATCH('TS DTech'!$C43,AGR!$B$52:$B$73,0),MATCH('TS DTech'!$B43&amp;L$7,AGR!$E$46:$L$46&amp;AGR!$E$48:$L$48,0)),""))</f>
        <v/>
      </c>
      <c r="M43" s="296" t="str">
        <f t="array" aca="1" ref="M43" ca="1">IF($A43="*","",IFERROR(INDEX(AGR!$E$52:$L$73,MATCH('TS DTech'!$C43,AGR!$B$52:$B$73,0),MATCH('TS DTech'!$B43&amp;M$7,AGR!$E$46:$L$46&amp;AGR!$E$48:$L$48,0)),""))</f>
        <v/>
      </c>
      <c r="N43" s="296" t="str">
        <f t="array" aca="1" ref="N43" ca="1">IF($A43="*","",IFERROR(INDEX(AGR!$E$52:$L$73,MATCH('TS DTech'!$C43,AGR!$B$52:$B$73,0),MATCH('TS DTech'!$B43&amp;N$7,AGR!$E$46:$L$46&amp;AGR!$E$48:$L$48,0)),""))</f>
        <v/>
      </c>
      <c r="O43" s="296">
        <f t="array" aca="1" ref="O43" ca="1">IF($A43="*","",IFERROR(INDEX(AGR!$E$52:$L$73,MATCH('TS DTech'!$C43,AGR!$B$52:$B$73,0),MATCH('TS DTech'!$B43&amp;O$7,AGR!$E$46:$L$46&amp;AGR!$E$48:$L$48,0)),""))</f>
        <v>0.55130000000000001</v>
      </c>
      <c r="P43" s="296" t="str">
        <f t="array" aca="1" ref="P43" ca="1">IF($A43="*","",IFERROR(INDEX(AGR!$E$52:$L$73,MATCH('TS DTech'!$C43,AGR!$B$52:$B$73,0),MATCH('TS DTech'!$B43&amp;P$7,AGR!$E$46:$L$46&amp;AGR!$E$48:$L$48,0)),""))</f>
        <v/>
      </c>
      <c r="Q43" s="296" t="str">
        <f t="array" aca="1" ref="Q43" ca="1">IF($A43="*","",IFERROR(INDEX(AGR!$E$52:$L$73,MATCH('TS DTech'!$C43,AGR!$B$52:$B$73,0),MATCH('TS DTech'!$B43&amp;Q$7,AGR!$E$46:$L$46&amp;AGR!$E$48:$L$48,0)),""))</f>
        <v/>
      </c>
      <c r="R43" s="296" t="str">
        <f t="array" aca="1" ref="R43" ca="1">IF($A43="*","",IFERROR(INDEX(AGR!$E$52:$L$73,MATCH('TS DTech'!$C43,AGR!$B$52:$B$73,0),MATCH('TS DTech'!$B43&amp;R$7,AGR!$E$46:$L$46&amp;AGR!$E$48:$L$48,0)),""))</f>
        <v/>
      </c>
      <c r="S43" s="296" t="str">
        <f t="array" aca="1" ref="S43" ca="1">IF($A43="*","",IFERROR(INDEX(AGR!$E$52:$L$73,MATCH('TS DTech'!$C43,AGR!$B$52:$B$73,0),MATCH('TS DTech'!$B43&amp;S$7,AGR!$E$46:$L$46&amp;AGR!$E$48:$L$48,0)),""))</f>
        <v/>
      </c>
      <c r="T43" s="296" t="str">
        <f t="array" aca="1" ref="T43" ca="1">IF($A43="*","",IFERROR(INDEX(AGR!$E$52:$L$73,MATCH('TS DTech'!$C43,AGR!$B$52:$B$73,0),MATCH('TS DTech'!$B43&amp;T$7,AGR!$E$46:$L$46&amp;AGR!$E$48:$L$48,0)),""))</f>
        <v/>
      </c>
      <c r="U43" s="296" t="str">
        <f t="array" aca="1" ref="U43" ca="1">IF($A43="*","",IFERROR(INDEX(AGR!$E$52:$L$73,MATCH('TS DTech'!$C43,AGR!$B$52:$B$73,0),MATCH('TS DTech'!$B43&amp;U$7,AGR!$E$46:$L$46&amp;AGR!$E$48:$L$48,0)),""))</f>
        <v/>
      </c>
      <c r="V43" s="296" t="str">
        <f t="array" aca="1" ref="V43" ca="1">IF($A43="*","",IFERROR(INDEX(AGR!$E$52:$L$73,MATCH('TS DTech'!$C43,AGR!$B$52:$B$73,0),MATCH('TS DTech'!$B43&amp;V$7,AGR!$E$46:$L$46&amp;AGR!$E$48:$L$48,0)),""))</f>
        <v/>
      </c>
      <c r="W43" s="296" t="str">
        <f t="array" aca="1" ref="W43" ca="1">IF($A43="*","",IFERROR(INDEX(AGR!$E$52:$L$73,MATCH('TS DTech'!$C43,AGR!$B$52:$B$73,0),MATCH('TS DTech'!$B43&amp;W$7,AGR!$E$46:$L$46&amp;AGR!$E$48:$L$48,0)),""))</f>
        <v/>
      </c>
      <c r="X43" s="296" t="str">
        <f t="array" aca="1" ref="X43" ca="1">IF($A43="*","",IFERROR(INDEX(AGR!$E$52:$L$73,MATCH('TS DTech'!$C43,AGR!$B$52:$B$73,0),MATCH('TS DTech'!$B43&amp;X$7,AGR!$E$46:$L$46&amp;AGR!$E$48:$L$48,0)),""))</f>
        <v/>
      </c>
      <c r="Y43" s="296" t="str">
        <f t="array" aca="1" ref="Y43" ca="1">IF($A43="*","",IFERROR(INDEX(AGR!$E$52:$L$73,MATCH('TS DTech'!$C43,AGR!$B$52:$B$73,0),MATCH('TS DTech'!$B43&amp;Y$7,AGR!$E$46:$L$46&amp;AGR!$E$48:$L$48,0)),""))</f>
        <v/>
      </c>
      <c r="Z43" s="296" t="str">
        <f t="array" aca="1" ref="Z43" ca="1">IF($A43="*","",IFERROR(INDEX(AGR!$E$52:$L$73,MATCH('TS DTech'!$C43,AGR!$B$52:$B$73,0),MATCH('TS DTech'!$B43&amp;Z$7,AGR!$E$46:$L$46&amp;AGR!$E$48:$L$48,0)),""))</f>
        <v/>
      </c>
      <c r="AA43" s="296" t="str">
        <f t="array" aca="1" ref="AA43" ca="1">IF($A43="*","",IFERROR(INDEX(AGR!$E$52:$L$73,MATCH('TS DTech'!$C43,AGR!$B$52:$B$73,0),MATCH('TS DTech'!$B43&amp;AA$7,AGR!$E$46:$L$46&amp;AGR!$E$48:$L$48,0)),""))</f>
        <v/>
      </c>
      <c r="AB43" s="296" t="str">
        <f t="array" aca="1" ref="AB43" ca="1">IF($A43="*","",IFERROR(INDEX(AGR!$E$52:$L$73,MATCH('TS DTech'!$C43,AGR!$B$52:$B$73,0),MATCH('TS DTech'!$B43&amp;AB$7,AGR!$E$46:$L$46&amp;AGR!$E$48:$L$48,0)),""))</f>
        <v/>
      </c>
      <c r="AC43" s="296" t="str">
        <f t="array" aca="1" ref="AC43" ca="1">IF($A43="*","",IFERROR(INDEX(AGR!$E$52:$L$73,MATCH('TS DTech'!$C43,AGR!$B$52:$B$73,0),MATCH('TS DTech'!$B43&amp;AC$7,AGR!$E$46:$L$46&amp;AGR!$E$48:$L$48,0)),""))</f>
        <v/>
      </c>
      <c r="AD43" s="296" t="str">
        <f t="array" aca="1" ref="AD43" ca="1">IF($A43="*","",IFERROR(INDEX(AGR!$E$52:$L$73,MATCH('TS DTech'!$C43,AGR!$B$52:$B$73,0),MATCH('TS DTech'!$B43&amp;AD$7,AGR!$E$46:$L$46&amp;AGR!$E$48:$L$48,0)),""))</f>
        <v/>
      </c>
      <c r="AE43" s="296" t="str">
        <f t="array" aca="1" ref="AE43" ca="1">IF($A43="*","",IFERROR(INDEX(AGR!$E$52:$L$73,MATCH('TS DTech'!$C43,AGR!$B$52:$B$73,0),MATCH('TS DTech'!$B43&amp;AE$7,AGR!$E$46:$L$46&amp;AGR!$E$48:$L$48,0)),""))</f>
        <v/>
      </c>
      <c r="AF43" s="296" t="str">
        <f t="array" aca="1" ref="AF43" ca="1">IF($A43="*","",IFERROR(INDEX(AGR!$E$52:$L$73,MATCH('TS DTech'!$C43,AGR!$B$52:$B$73,0),MATCH('TS DTech'!$B43&amp;AF$7,AGR!$E$46:$L$46&amp;AGR!$E$48:$L$48,0)),""))</f>
        <v/>
      </c>
      <c r="AG43" s="296" t="str">
        <f t="array" aca="1" ref="AG43" ca="1">IF($A43="*","",IFERROR(INDEX(AGR!$E$52:$L$73,MATCH('TS DTech'!$C43,AGR!$B$52:$B$73,0),MATCH('TS DTech'!$B43&amp;AG$7,AGR!$E$46:$L$46&amp;AGR!$E$48:$L$48,0)),""))</f>
        <v/>
      </c>
      <c r="AH43" s="296" t="str">
        <f t="array" aca="1" ref="AH43" ca="1">IF($A43="*","",IFERROR(INDEX(AGR!$E$52:$L$73,MATCH('TS DTech'!$C43,AGR!$B$52:$B$73,0),MATCH('TS DTech'!$B43&amp;AH$7,AGR!$E$46:$L$46&amp;AGR!$E$48:$L$48,0)),""))</f>
        <v/>
      </c>
      <c r="AI43" s="296" t="str">
        <f t="array" aca="1" ref="AI43" ca="1">IF($A43="*","",IFERROR(INDEX(AGR!$E$52:$L$73,MATCH('TS DTech'!$C43,AGR!$B$52:$B$73,0),MATCH('TS DTech'!$B43&amp;AI$7,AGR!$E$46:$L$46&amp;AGR!$E$48:$L$48,0)),""))</f>
        <v/>
      </c>
      <c r="AJ43" s="296" t="str">
        <f t="array" aca="1" ref="AJ43" ca="1">IF($A43="*","",IFERROR(INDEX(AGR!$E$52:$L$73,MATCH('TS DTech'!$C43,AGR!$B$52:$B$73,0),MATCH('TS DTech'!$B43&amp;AJ$7,AGR!$E$46:$L$46&amp;AGR!$E$48:$L$48,0)),""))</f>
        <v/>
      </c>
      <c r="AK43" s="296" t="str">
        <f t="array" aca="1" ref="AK43" ca="1">IF($A43="*","",IFERROR(INDEX(AGR!$E$52:$L$73,MATCH('TS DTech'!$C43,AGR!$B$52:$B$73,0),MATCH('TS DTech'!$B43&amp;AK$7,AGR!$E$46:$L$46&amp;AGR!$E$48:$L$48,0)),""))</f>
        <v/>
      </c>
      <c r="AL43" s="296" t="str">
        <f t="array" aca="1" ref="AL43" ca="1">IF($A43="*","",IFERROR(INDEX(AGR!$E$52:$L$73,MATCH('TS DTech'!$C43,AGR!$B$52:$B$73,0),MATCH('TS DTech'!$B43&amp;AL$7,AGR!$E$46:$L$46&amp;AGR!$E$48:$L$48,0)),""))</f>
        <v/>
      </c>
      <c r="AM43" s="296" t="str">
        <f t="array" aca="1" ref="AM43" ca="1">IF($A43="*","",IFERROR(INDEX(AGR!$E$52:$L$73,MATCH('TS DTech'!$C43,AGR!$B$52:$B$73,0),MATCH('TS DTech'!$B43&amp;AM$7,AGR!$E$46:$L$46&amp;AGR!$E$48:$L$48,0)),""))</f>
        <v/>
      </c>
      <c r="AN43" s="296" t="str">
        <f t="array" aca="1" ref="AN43" ca="1">IF($A43="*","",IFERROR(INDEX(AGR!$E$52:$L$73,MATCH('TS DTech'!$C43,AGR!$B$52:$B$73,0),MATCH('TS DTech'!$B43&amp;AN$7,AGR!$E$46:$L$46&amp;AGR!$E$48:$L$48,0)),""))</f>
        <v/>
      </c>
      <c r="AO43" s="296" t="str">
        <f t="array" aca="1" ref="AO43" ca="1">IF($A43="*","",IFERROR(INDEX(AGR!$E$52:$L$73,MATCH('TS DTech'!$C43,AGR!$B$52:$B$73,0),MATCH('TS DTech'!$B43&amp;AO$7,AGR!$E$46:$L$46&amp;AGR!$E$48:$L$48,0)),""))</f>
        <v/>
      </c>
      <c r="AP43" s="296" t="str">
        <f t="array" aca="1" ref="AP43" ca="1">IF($A43="*","",IFERROR(INDEX(AGR!$E$52:$L$73,MATCH('TS DTech'!$C43,AGR!$B$52:$B$73,0),MATCH('TS DTech'!$B43&amp;AP$7,AGR!$E$46:$L$46&amp;AGR!$E$48:$L$48,0)),""))</f>
        <v/>
      </c>
      <c r="AQ43" s="137">
        <f>IF(AR42=AGR!$AD$74,AQ42+1,AQ42)</f>
        <v>2</v>
      </c>
      <c r="AR43" s="137">
        <f t="shared" si="3"/>
        <v>5</v>
      </c>
    </row>
    <row r="44" spans="1:44">
      <c r="A44" s="137" t="str">
        <f ca="1">IF(LEFT(OFFSET(AGR!$A$51,AR44,0),2)="\I","*","")</f>
        <v>*</v>
      </c>
      <c r="B44" s="212" t="str">
        <f t="shared" ca="1" si="0"/>
        <v/>
      </c>
      <c r="C44" s="212" t="str">
        <f ca="1">IF($A44="*","",OFFSET(AGR!$B$51,AR44,0))</f>
        <v/>
      </c>
      <c r="D44" s="212" t="str">
        <f t="shared" ca="1" si="2"/>
        <v/>
      </c>
      <c r="E44" s="212" t="str">
        <f t="shared" ca="1" si="2"/>
        <v/>
      </c>
      <c r="F44" s="212" t="str">
        <f t="shared" ca="1" si="2"/>
        <v/>
      </c>
      <c r="G44" s="212" t="str">
        <f t="shared" ca="1" si="2"/>
        <v/>
      </c>
      <c r="H44" s="212" t="str">
        <f t="shared" ca="1" si="2"/>
        <v/>
      </c>
      <c r="I44" s="213" t="str">
        <f t="shared" ca="1" si="2"/>
        <v/>
      </c>
      <c r="J44" s="296" t="str">
        <f t="array" aca="1" ref="J44" ca="1">IF($A44="*","",IFERROR(INDEX(AGR!$E$52:$L$73,MATCH('TS DTech'!$C44,AGR!$B$52:$B$73,0),MATCH('TS DTech'!$B44&amp;J$7,AGR!$E$46:$L$46&amp;AGR!$E$48:$L$48,0)),""))</f>
        <v/>
      </c>
      <c r="K44" s="296" t="str">
        <f t="array" aca="1" ref="K44" ca="1">IF($A44="*","",IFERROR(INDEX(AGR!$E$52:$L$73,MATCH('TS DTech'!$C44,AGR!$B$52:$B$73,0),MATCH('TS DTech'!$B44&amp;K$7,AGR!$E$46:$L$46&amp;AGR!$E$48:$L$48,0)),""))</f>
        <v/>
      </c>
      <c r="L44" s="296" t="str">
        <f t="array" aca="1" ref="L44" ca="1">IF($A44="*","",IFERROR(INDEX(AGR!$E$52:$L$73,MATCH('TS DTech'!$C44,AGR!$B$52:$B$73,0),MATCH('TS DTech'!$B44&amp;L$7,AGR!$E$46:$L$46&amp;AGR!$E$48:$L$48,0)),""))</f>
        <v/>
      </c>
      <c r="M44" s="296" t="str">
        <f t="array" aca="1" ref="M44" ca="1">IF($A44="*","",IFERROR(INDEX(AGR!$E$52:$L$73,MATCH('TS DTech'!$C44,AGR!$B$52:$B$73,0),MATCH('TS DTech'!$B44&amp;M$7,AGR!$E$46:$L$46&amp;AGR!$E$48:$L$48,0)),""))</f>
        <v/>
      </c>
      <c r="N44" s="296" t="str">
        <f t="array" aca="1" ref="N44" ca="1">IF($A44="*","",IFERROR(INDEX(AGR!$E$52:$L$73,MATCH('TS DTech'!$C44,AGR!$B$52:$B$73,0),MATCH('TS DTech'!$B44&amp;N$7,AGR!$E$46:$L$46&amp;AGR!$E$48:$L$48,0)),""))</f>
        <v/>
      </c>
      <c r="O44" s="296" t="str">
        <f t="array" aca="1" ref="O44" ca="1">IF($A44="*","",IFERROR(INDEX(AGR!$E$52:$L$73,MATCH('TS DTech'!$C44,AGR!$B$52:$B$73,0),MATCH('TS DTech'!$B44&amp;O$7,AGR!$E$46:$L$46&amp;AGR!$E$48:$L$48,0)),""))</f>
        <v/>
      </c>
      <c r="P44" s="296" t="str">
        <f t="array" aca="1" ref="P44" ca="1">IF($A44="*","",IFERROR(INDEX(AGR!$E$52:$L$73,MATCH('TS DTech'!$C44,AGR!$B$52:$B$73,0),MATCH('TS DTech'!$B44&amp;P$7,AGR!$E$46:$L$46&amp;AGR!$E$48:$L$48,0)),""))</f>
        <v/>
      </c>
      <c r="Q44" s="296" t="str">
        <f t="array" aca="1" ref="Q44" ca="1">IF($A44="*","",IFERROR(INDEX(AGR!$E$52:$L$73,MATCH('TS DTech'!$C44,AGR!$B$52:$B$73,0),MATCH('TS DTech'!$B44&amp;Q$7,AGR!$E$46:$L$46&amp;AGR!$E$48:$L$48,0)),""))</f>
        <v/>
      </c>
      <c r="R44" s="296" t="str">
        <f t="array" aca="1" ref="R44" ca="1">IF($A44="*","",IFERROR(INDEX(AGR!$E$52:$L$73,MATCH('TS DTech'!$C44,AGR!$B$52:$B$73,0),MATCH('TS DTech'!$B44&amp;R$7,AGR!$E$46:$L$46&amp;AGR!$E$48:$L$48,0)),""))</f>
        <v/>
      </c>
      <c r="S44" s="296" t="str">
        <f t="array" aca="1" ref="S44" ca="1">IF($A44="*","",IFERROR(INDEX(AGR!$E$52:$L$73,MATCH('TS DTech'!$C44,AGR!$B$52:$B$73,0),MATCH('TS DTech'!$B44&amp;S$7,AGR!$E$46:$L$46&amp;AGR!$E$48:$L$48,0)),""))</f>
        <v/>
      </c>
      <c r="T44" s="296" t="str">
        <f t="array" aca="1" ref="T44" ca="1">IF($A44="*","",IFERROR(INDEX(AGR!$E$52:$L$73,MATCH('TS DTech'!$C44,AGR!$B$52:$B$73,0),MATCH('TS DTech'!$B44&amp;T$7,AGR!$E$46:$L$46&amp;AGR!$E$48:$L$48,0)),""))</f>
        <v/>
      </c>
      <c r="U44" s="296" t="str">
        <f t="array" aca="1" ref="U44" ca="1">IF($A44="*","",IFERROR(INDEX(AGR!$E$52:$L$73,MATCH('TS DTech'!$C44,AGR!$B$52:$B$73,0),MATCH('TS DTech'!$B44&amp;U$7,AGR!$E$46:$L$46&amp;AGR!$E$48:$L$48,0)),""))</f>
        <v/>
      </c>
      <c r="V44" s="296" t="str">
        <f t="array" aca="1" ref="V44" ca="1">IF($A44="*","",IFERROR(INDEX(AGR!$E$52:$L$73,MATCH('TS DTech'!$C44,AGR!$B$52:$B$73,0),MATCH('TS DTech'!$B44&amp;V$7,AGR!$E$46:$L$46&amp;AGR!$E$48:$L$48,0)),""))</f>
        <v/>
      </c>
      <c r="W44" s="296" t="str">
        <f t="array" aca="1" ref="W44" ca="1">IF($A44="*","",IFERROR(INDEX(AGR!$E$52:$L$73,MATCH('TS DTech'!$C44,AGR!$B$52:$B$73,0),MATCH('TS DTech'!$B44&amp;W$7,AGR!$E$46:$L$46&amp;AGR!$E$48:$L$48,0)),""))</f>
        <v/>
      </c>
      <c r="X44" s="296" t="str">
        <f t="array" aca="1" ref="X44" ca="1">IF($A44="*","",IFERROR(INDEX(AGR!$E$52:$L$73,MATCH('TS DTech'!$C44,AGR!$B$52:$B$73,0),MATCH('TS DTech'!$B44&amp;X$7,AGR!$E$46:$L$46&amp;AGR!$E$48:$L$48,0)),""))</f>
        <v/>
      </c>
      <c r="Y44" s="296" t="str">
        <f t="array" aca="1" ref="Y44" ca="1">IF($A44="*","",IFERROR(INDEX(AGR!$E$52:$L$73,MATCH('TS DTech'!$C44,AGR!$B$52:$B$73,0),MATCH('TS DTech'!$B44&amp;Y$7,AGR!$E$46:$L$46&amp;AGR!$E$48:$L$48,0)),""))</f>
        <v/>
      </c>
      <c r="Z44" s="296" t="str">
        <f t="array" aca="1" ref="Z44" ca="1">IF($A44="*","",IFERROR(INDEX(AGR!$E$52:$L$73,MATCH('TS DTech'!$C44,AGR!$B$52:$B$73,0),MATCH('TS DTech'!$B44&amp;Z$7,AGR!$E$46:$L$46&amp;AGR!$E$48:$L$48,0)),""))</f>
        <v/>
      </c>
      <c r="AA44" s="296" t="str">
        <f t="array" aca="1" ref="AA44" ca="1">IF($A44="*","",IFERROR(INDEX(AGR!$E$52:$L$73,MATCH('TS DTech'!$C44,AGR!$B$52:$B$73,0),MATCH('TS DTech'!$B44&amp;AA$7,AGR!$E$46:$L$46&amp;AGR!$E$48:$L$48,0)),""))</f>
        <v/>
      </c>
      <c r="AB44" s="296" t="str">
        <f t="array" aca="1" ref="AB44" ca="1">IF($A44="*","",IFERROR(INDEX(AGR!$E$52:$L$73,MATCH('TS DTech'!$C44,AGR!$B$52:$B$73,0),MATCH('TS DTech'!$B44&amp;AB$7,AGR!$E$46:$L$46&amp;AGR!$E$48:$L$48,0)),""))</f>
        <v/>
      </c>
      <c r="AC44" s="296" t="str">
        <f t="array" aca="1" ref="AC44" ca="1">IF($A44="*","",IFERROR(INDEX(AGR!$E$52:$L$73,MATCH('TS DTech'!$C44,AGR!$B$52:$B$73,0),MATCH('TS DTech'!$B44&amp;AC$7,AGR!$E$46:$L$46&amp;AGR!$E$48:$L$48,0)),""))</f>
        <v/>
      </c>
      <c r="AD44" s="296" t="str">
        <f t="array" aca="1" ref="AD44" ca="1">IF($A44="*","",IFERROR(INDEX(AGR!$E$52:$L$73,MATCH('TS DTech'!$C44,AGR!$B$52:$B$73,0),MATCH('TS DTech'!$B44&amp;AD$7,AGR!$E$46:$L$46&amp;AGR!$E$48:$L$48,0)),""))</f>
        <v/>
      </c>
      <c r="AE44" s="296" t="str">
        <f t="array" aca="1" ref="AE44" ca="1">IF($A44="*","",IFERROR(INDEX(AGR!$E$52:$L$73,MATCH('TS DTech'!$C44,AGR!$B$52:$B$73,0),MATCH('TS DTech'!$B44&amp;AE$7,AGR!$E$46:$L$46&amp;AGR!$E$48:$L$48,0)),""))</f>
        <v/>
      </c>
      <c r="AF44" s="296" t="str">
        <f t="array" aca="1" ref="AF44" ca="1">IF($A44="*","",IFERROR(INDEX(AGR!$E$52:$L$73,MATCH('TS DTech'!$C44,AGR!$B$52:$B$73,0),MATCH('TS DTech'!$B44&amp;AF$7,AGR!$E$46:$L$46&amp;AGR!$E$48:$L$48,0)),""))</f>
        <v/>
      </c>
      <c r="AG44" s="296" t="str">
        <f t="array" aca="1" ref="AG44" ca="1">IF($A44="*","",IFERROR(INDEX(AGR!$E$52:$L$73,MATCH('TS DTech'!$C44,AGR!$B$52:$B$73,0),MATCH('TS DTech'!$B44&amp;AG$7,AGR!$E$46:$L$46&amp;AGR!$E$48:$L$48,0)),""))</f>
        <v/>
      </c>
      <c r="AH44" s="296" t="str">
        <f t="array" aca="1" ref="AH44" ca="1">IF($A44="*","",IFERROR(INDEX(AGR!$E$52:$L$73,MATCH('TS DTech'!$C44,AGR!$B$52:$B$73,0),MATCH('TS DTech'!$B44&amp;AH$7,AGR!$E$46:$L$46&amp;AGR!$E$48:$L$48,0)),""))</f>
        <v/>
      </c>
      <c r="AI44" s="296" t="str">
        <f t="array" aca="1" ref="AI44" ca="1">IF($A44="*","",IFERROR(INDEX(AGR!$E$52:$L$73,MATCH('TS DTech'!$C44,AGR!$B$52:$B$73,0),MATCH('TS DTech'!$B44&amp;AI$7,AGR!$E$46:$L$46&amp;AGR!$E$48:$L$48,0)),""))</f>
        <v/>
      </c>
      <c r="AJ44" s="296" t="str">
        <f t="array" aca="1" ref="AJ44" ca="1">IF($A44="*","",IFERROR(INDEX(AGR!$E$52:$L$73,MATCH('TS DTech'!$C44,AGR!$B$52:$B$73,0),MATCH('TS DTech'!$B44&amp;AJ$7,AGR!$E$46:$L$46&amp;AGR!$E$48:$L$48,0)),""))</f>
        <v/>
      </c>
      <c r="AK44" s="296" t="str">
        <f t="array" aca="1" ref="AK44" ca="1">IF($A44="*","",IFERROR(INDEX(AGR!$E$52:$L$73,MATCH('TS DTech'!$C44,AGR!$B$52:$B$73,0),MATCH('TS DTech'!$B44&amp;AK$7,AGR!$E$46:$L$46&amp;AGR!$E$48:$L$48,0)),""))</f>
        <v/>
      </c>
      <c r="AL44" s="296" t="str">
        <f t="array" aca="1" ref="AL44" ca="1">IF($A44="*","",IFERROR(INDEX(AGR!$E$52:$L$73,MATCH('TS DTech'!$C44,AGR!$B$52:$B$73,0),MATCH('TS DTech'!$B44&amp;AL$7,AGR!$E$46:$L$46&amp;AGR!$E$48:$L$48,0)),""))</f>
        <v/>
      </c>
      <c r="AM44" s="296" t="str">
        <f t="array" aca="1" ref="AM44" ca="1">IF($A44="*","",IFERROR(INDEX(AGR!$E$52:$L$73,MATCH('TS DTech'!$C44,AGR!$B$52:$B$73,0),MATCH('TS DTech'!$B44&amp;AM$7,AGR!$E$46:$L$46&amp;AGR!$E$48:$L$48,0)),""))</f>
        <v/>
      </c>
      <c r="AN44" s="296" t="str">
        <f t="array" aca="1" ref="AN44" ca="1">IF($A44="*","",IFERROR(INDEX(AGR!$E$52:$L$73,MATCH('TS DTech'!$C44,AGR!$B$52:$B$73,0),MATCH('TS DTech'!$B44&amp;AN$7,AGR!$E$46:$L$46&amp;AGR!$E$48:$L$48,0)),""))</f>
        <v/>
      </c>
      <c r="AO44" s="296" t="str">
        <f t="array" aca="1" ref="AO44" ca="1">IF($A44="*","",IFERROR(INDEX(AGR!$E$52:$L$73,MATCH('TS DTech'!$C44,AGR!$B$52:$B$73,0),MATCH('TS DTech'!$B44&amp;AO$7,AGR!$E$46:$L$46&amp;AGR!$E$48:$L$48,0)),""))</f>
        <v/>
      </c>
      <c r="AP44" s="296" t="str">
        <f t="array" aca="1" ref="AP44" ca="1">IF($A44="*","",IFERROR(INDEX(AGR!$E$52:$L$73,MATCH('TS DTech'!$C44,AGR!$B$52:$B$73,0),MATCH('TS DTech'!$B44&amp;AP$7,AGR!$E$46:$L$46&amp;AGR!$E$48:$L$48,0)),""))</f>
        <v/>
      </c>
      <c r="AQ44" s="137">
        <f>IF(AR43=AGR!$AD$74,AQ43+1,AQ43)</f>
        <v>2</v>
      </c>
      <c r="AR44" s="137">
        <f t="shared" si="3"/>
        <v>6</v>
      </c>
    </row>
    <row r="45" spans="1:44">
      <c r="A45" s="137" t="str">
        <f ca="1">IF(LEFT(OFFSET(AGR!$A$51,AR45,0),2)="\I","*","")</f>
        <v>*</v>
      </c>
      <c r="B45" s="212" t="str">
        <f t="shared" ca="1" si="0"/>
        <v/>
      </c>
      <c r="C45" s="212" t="str">
        <f ca="1">IF($A45="*","",OFFSET(AGR!$B$51,AR45,0))</f>
        <v/>
      </c>
      <c r="D45" s="212" t="str">
        <f t="shared" ca="1" si="2"/>
        <v/>
      </c>
      <c r="E45" s="212" t="str">
        <f t="shared" ca="1" si="2"/>
        <v/>
      </c>
      <c r="F45" s="212" t="str">
        <f t="shared" ca="1" si="2"/>
        <v/>
      </c>
      <c r="G45" s="212" t="str">
        <f t="shared" ca="1" si="2"/>
        <v/>
      </c>
      <c r="H45" s="212" t="str">
        <f t="shared" ca="1" si="2"/>
        <v/>
      </c>
      <c r="I45" s="213" t="str">
        <f t="shared" ca="1" si="2"/>
        <v/>
      </c>
      <c r="J45" s="296" t="str">
        <f t="array" aca="1" ref="J45" ca="1">IF($A45="*","",IFERROR(INDEX(AGR!$E$52:$L$73,MATCH('TS DTech'!$C45,AGR!$B$52:$B$73,0),MATCH('TS DTech'!$B45&amp;J$7,AGR!$E$46:$L$46&amp;AGR!$E$48:$L$48,0)),""))</f>
        <v/>
      </c>
      <c r="K45" s="296" t="str">
        <f t="array" aca="1" ref="K45" ca="1">IF($A45="*","",IFERROR(INDEX(AGR!$E$52:$L$73,MATCH('TS DTech'!$C45,AGR!$B$52:$B$73,0),MATCH('TS DTech'!$B45&amp;K$7,AGR!$E$46:$L$46&amp;AGR!$E$48:$L$48,0)),""))</f>
        <v/>
      </c>
      <c r="L45" s="296" t="str">
        <f t="array" aca="1" ref="L45" ca="1">IF($A45="*","",IFERROR(INDEX(AGR!$E$52:$L$73,MATCH('TS DTech'!$C45,AGR!$B$52:$B$73,0),MATCH('TS DTech'!$B45&amp;L$7,AGR!$E$46:$L$46&amp;AGR!$E$48:$L$48,0)),""))</f>
        <v/>
      </c>
      <c r="M45" s="296" t="str">
        <f t="array" aca="1" ref="M45" ca="1">IF($A45="*","",IFERROR(INDEX(AGR!$E$52:$L$73,MATCH('TS DTech'!$C45,AGR!$B$52:$B$73,0),MATCH('TS DTech'!$B45&amp;M$7,AGR!$E$46:$L$46&amp;AGR!$E$48:$L$48,0)),""))</f>
        <v/>
      </c>
      <c r="N45" s="296" t="str">
        <f t="array" aca="1" ref="N45" ca="1">IF($A45="*","",IFERROR(INDEX(AGR!$E$52:$L$73,MATCH('TS DTech'!$C45,AGR!$B$52:$B$73,0),MATCH('TS DTech'!$B45&amp;N$7,AGR!$E$46:$L$46&amp;AGR!$E$48:$L$48,0)),""))</f>
        <v/>
      </c>
      <c r="O45" s="296" t="str">
        <f t="array" aca="1" ref="O45" ca="1">IF($A45="*","",IFERROR(INDEX(AGR!$E$52:$L$73,MATCH('TS DTech'!$C45,AGR!$B$52:$B$73,0),MATCH('TS DTech'!$B45&amp;O$7,AGR!$E$46:$L$46&amp;AGR!$E$48:$L$48,0)),""))</f>
        <v/>
      </c>
      <c r="P45" s="296" t="str">
        <f t="array" aca="1" ref="P45" ca="1">IF($A45="*","",IFERROR(INDEX(AGR!$E$52:$L$73,MATCH('TS DTech'!$C45,AGR!$B$52:$B$73,0),MATCH('TS DTech'!$B45&amp;P$7,AGR!$E$46:$L$46&amp;AGR!$E$48:$L$48,0)),""))</f>
        <v/>
      </c>
      <c r="Q45" s="296" t="str">
        <f t="array" aca="1" ref="Q45" ca="1">IF($A45="*","",IFERROR(INDEX(AGR!$E$52:$L$73,MATCH('TS DTech'!$C45,AGR!$B$52:$B$73,0),MATCH('TS DTech'!$B45&amp;Q$7,AGR!$E$46:$L$46&amp;AGR!$E$48:$L$48,0)),""))</f>
        <v/>
      </c>
      <c r="R45" s="296" t="str">
        <f t="array" aca="1" ref="R45" ca="1">IF($A45="*","",IFERROR(INDEX(AGR!$E$52:$L$73,MATCH('TS DTech'!$C45,AGR!$B$52:$B$73,0),MATCH('TS DTech'!$B45&amp;R$7,AGR!$E$46:$L$46&amp;AGR!$E$48:$L$48,0)),""))</f>
        <v/>
      </c>
      <c r="S45" s="296" t="str">
        <f t="array" aca="1" ref="S45" ca="1">IF($A45="*","",IFERROR(INDEX(AGR!$E$52:$L$73,MATCH('TS DTech'!$C45,AGR!$B$52:$B$73,0),MATCH('TS DTech'!$B45&amp;S$7,AGR!$E$46:$L$46&amp;AGR!$E$48:$L$48,0)),""))</f>
        <v/>
      </c>
      <c r="T45" s="296" t="str">
        <f t="array" aca="1" ref="T45" ca="1">IF($A45="*","",IFERROR(INDEX(AGR!$E$52:$L$73,MATCH('TS DTech'!$C45,AGR!$B$52:$B$73,0),MATCH('TS DTech'!$B45&amp;T$7,AGR!$E$46:$L$46&amp;AGR!$E$48:$L$48,0)),""))</f>
        <v/>
      </c>
      <c r="U45" s="296" t="str">
        <f t="array" aca="1" ref="U45" ca="1">IF($A45="*","",IFERROR(INDEX(AGR!$E$52:$L$73,MATCH('TS DTech'!$C45,AGR!$B$52:$B$73,0),MATCH('TS DTech'!$B45&amp;U$7,AGR!$E$46:$L$46&amp;AGR!$E$48:$L$48,0)),""))</f>
        <v/>
      </c>
      <c r="V45" s="296" t="str">
        <f t="array" aca="1" ref="V45" ca="1">IF($A45="*","",IFERROR(INDEX(AGR!$E$52:$L$73,MATCH('TS DTech'!$C45,AGR!$B$52:$B$73,0),MATCH('TS DTech'!$B45&amp;V$7,AGR!$E$46:$L$46&amp;AGR!$E$48:$L$48,0)),""))</f>
        <v/>
      </c>
      <c r="W45" s="296" t="str">
        <f t="array" aca="1" ref="W45" ca="1">IF($A45="*","",IFERROR(INDEX(AGR!$E$52:$L$73,MATCH('TS DTech'!$C45,AGR!$B$52:$B$73,0),MATCH('TS DTech'!$B45&amp;W$7,AGR!$E$46:$L$46&amp;AGR!$E$48:$L$48,0)),""))</f>
        <v/>
      </c>
      <c r="X45" s="296" t="str">
        <f t="array" aca="1" ref="X45" ca="1">IF($A45="*","",IFERROR(INDEX(AGR!$E$52:$L$73,MATCH('TS DTech'!$C45,AGR!$B$52:$B$73,0),MATCH('TS DTech'!$B45&amp;X$7,AGR!$E$46:$L$46&amp;AGR!$E$48:$L$48,0)),""))</f>
        <v/>
      </c>
      <c r="Y45" s="296" t="str">
        <f t="array" aca="1" ref="Y45" ca="1">IF($A45="*","",IFERROR(INDEX(AGR!$E$52:$L$73,MATCH('TS DTech'!$C45,AGR!$B$52:$B$73,0),MATCH('TS DTech'!$B45&amp;Y$7,AGR!$E$46:$L$46&amp;AGR!$E$48:$L$48,0)),""))</f>
        <v/>
      </c>
      <c r="Z45" s="296" t="str">
        <f t="array" aca="1" ref="Z45" ca="1">IF($A45="*","",IFERROR(INDEX(AGR!$E$52:$L$73,MATCH('TS DTech'!$C45,AGR!$B$52:$B$73,0),MATCH('TS DTech'!$B45&amp;Z$7,AGR!$E$46:$L$46&amp;AGR!$E$48:$L$48,0)),""))</f>
        <v/>
      </c>
      <c r="AA45" s="296" t="str">
        <f t="array" aca="1" ref="AA45" ca="1">IF($A45="*","",IFERROR(INDEX(AGR!$E$52:$L$73,MATCH('TS DTech'!$C45,AGR!$B$52:$B$73,0),MATCH('TS DTech'!$B45&amp;AA$7,AGR!$E$46:$L$46&amp;AGR!$E$48:$L$48,0)),""))</f>
        <v/>
      </c>
      <c r="AB45" s="296" t="str">
        <f t="array" aca="1" ref="AB45" ca="1">IF($A45="*","",IFERROR(INDEX(AGR!$E$52:$L$73,MATCH('TS DTech'!$C45,AGR!$B$52:$B$73,0),MATCH('TS DTech'!$B45&amp;AB$7,AGR!$E$46:$L$46&amp;AGR!$E$48:$L$48,0)),""))</f>
        <v/>
      </c>
      <c r="AC45" s="296" t="str">
        <f t="array" aca="1" ref="AC45" ca="1">IF($A45="*","",IFERROR(INDEX(AGR!$E$52:$L$73,MATCH('TS DTech'!$C45,AGR!$B$52:$B$73,0),MATCH('TS DTech'!$B45&amp;AC$7,AGR!$E$46:$L$46&amp;AGR!$E$48:$L$48,0)),""))</f>
        <v/>
      </c>
      <c r="AD45" s="296" t="str">
        <f t="array" aca="1" ref="AD45" ca="1">IF($A45="*","",IFERROR(INDEX(AGR!$E$52:$L$73,MATCH('TS DTech'!$C45,AGR!$B$52:$B$73,0),MATCH('TS DTech'!$B45&amp;AD$7,AGR!$E$46:$L$46&amp;AGR!$E$48:$L$48,0)),""))</f>
        <v/>
      </c>
      <c r="AE45" s="296" t="str">
        <f t="array" aca="1" ref="AE45" ca="1">IF($A45="*","",IFERROR(INDEX(AGR!$E$52:$L$73,MATCH('TS DTech'!$C45,AGR!$B$52:$B$73,0),MATCH('TS DTech'!$B45&amp;AE$7,AGR!$E$46:$L$46&amp;AGR!$E$48:$L$48,0)),""))</f>
        <v/>
      </c>
      <c r="AF45" s="296" t="str">
        <f t="array" aca="1" ref="AF45" ca="1">IF($A45="*","",IFERROR(INDEX(AGR!$E$52:$L$73,MATCH('TS DTech'!$C45,AGR!$B$52:$B$73,0),MATCH('TS DTech'!$B45&amp;AF$7,AGR!$E$46:$L$46&amp;AGR!$E$48:$L$48,0)),""))</f>
        <v/>
      </c>
      <c r="AG45" s="296" t="str">
        <f t="array" aca="1" ref="AG45" ca="1">IF($A45="*","",IFERROR(INDEX(AGR!$E$52:$L$73,MATCH('TS DTech'!$C45,AGR!$B$52:$B$73,0),MATCH('TS DTech'!$B45&amp;AG$7,AGR!$E$46:$L$46&amp;AGR!$E$48:$L$48,0)),""))</f>
        <v/>
      </c>
      <c r="AH45" s="296" t="str">
        <f t="array" aca="1" ref="AH45" ca="1">IF($A45="*","",IFERROR(INDEX(AGR!$E$52:$L$73,MATCH('TS DTech'!$C45,AGR!$B$52:$B$73,0),MATCH('TS DTech'!$B45&amp;AH$7,AGR!$E$46:$L$46&amp;AGR!$E$48:$L$48,0)),""))</f>
        <v/>
      </c>
      <c r="AI45" s="296" t="str">
        <f t="array" aca="1" ref="AI45" ca="1">IF($A45="*","",IFERROR(INDEX(AGR!$E$52:$L$73,MATCH('TS DTech'!$C45,AGR!$B$52:$B$73,0),MATCH('TS DTech'!$B45&amp;AI$7,AGR!$E$46:$L$46&amp;AGR!$E$48:$L$48,0)),""))</f>
        <v/>
      </c>
      <c r="AJ45" s="296" t="str">
        <f t="array" aca="1" ref="AJ45" ca="1">IF($A45="*","",IFERROR(INDEX(AGR!$E$52:$L$73,MATCH('TS DTech'!$C45,AGR!$B$52:$B$73,0),MATCH('TS DTech'!$B45&amp;AJ$7,AGR!$E$46:$L$46&amp;AGR!$E$48:$L$48,0)),""))</f>
        <v/>
      </c>
      <c r="AK45" s="296" t="str">
        <f t="array" aca="1" ref="AK45" ca="1">IF($A45="*","",IFERROR(INDEX(AGR!$E$52:$L$73,MATCH('TS DTech'!$C45,AGR!$B$52:$B$73,0),MATCH('TS DTech'!$B45&amp;AK$7,AGR!$E$46:$L$46&amp;AGR!$E$48:$L$48,0)),""))</f>
        <v/>
      </c>
      <c r="AL45" s="296" t="str">
        <f t="array" aca="1" ref="AL45" ca="1">IF($A45="*","",IFERROR(INDEX(AGR!$E$52:$L$73,MATCH('TS DTech'!$C45,AGR!$B$52:$B$73,0),MATCH('TS DTech'!$B45&amp;AL$7,AGR!$E$46:$L$46&amp;AGR!$E$48:$L$48,0)),""))</f>
        <v/>
      </c>
      <c r="AM45" s="296" t="str">
        <f t="array" aca="1" ref="AM45" ca="1">IF($A45="*","",IFERROR(INDEX(AGR!$E$52:$L$73,MATCH('TS DTech'!$C45,AGR!$B$52:$B$73,0),MATCH('TS DTech'!$B45&amp;AM$7,AGR!$E$46:$L$46&amp;AGR!$E$48:$L$48,0)),""))</f>
        <v/>
      </c>
      <c r="AN45" s="296" t="str">
        <f t="array" aca="1" ref="AN45" ca="1">IF($A45="*","",IFERROR(INDEX(AGR!$E$52:$L$73,MATCH('TS DTech'!$C45,AGR!$B$52:$B$73,0),MATCH('TS DTech'!$B45&amp;AN$7,AGR!$E$46:$L$46&amp;AGR!$E$48:$L$48,0)),""))</f>
        <v/>
      </c>
      <c r="AO45" s="296" t="str">
        <f t="array" aca="1" ref="AO45" ca="1">IF($A45="*","",IFERROR(INDEX(AGR!$E$52:$L$73,MATCH('TS DTech'!$C45,AGR!$B$52:$B$73,0),MATCH('TS DTech'!$B45&amp;AO$7,AGR!$E$46:$L$46&amp;AGR!$E$48:$L$48,0)),""))</f>
        <v/>
      </c>
      <c r="AP45" s="296" t="str">
        <f t="array" aca="1" ref="AP45" ca="1">IF($A45="*","",IFERROR(INDEX(AGR!$E$52:$L$73,MATCH('TS DTech'!$C45,AGR!$B$52:$B$73,0),MATCH('TS DTech'!$B45&amp;AP$7,AGR!$E$46:$L$46&amp;AGR!$E$48:$L$48,0)),""))</f>
        <v/>
      </c>
      <c r="AQ45" s="137">
        <f>IF(AR44=AGR!$AD$74,AQ44+1,AQ44)</f>
        <v>2</v>
      </c>
      <c r="AR45" s="137">
        <f t="shared" si="3"/>
        <v>7</v>
      </c>
    </row>
    <row r="46" spans="1:44">
      <c r="A46" s="137" t="str">
        <f ca="1">IF(LEFT(OFFSET(AGR!$A$51,AR46,0),2)="\I","*","")</f>
        <v/>
      </c>
      <c r="B46" s="212" t="str">
        <f t="shared" ca="1" si="0"/>
        <v>NCAP_AFA</v>
      </c>
      <c r="C46" s="212" t="str">
        <f ca="1">IF($A46="*","",OFFSET(AGR!$B$51,AR46,0))</f>
        <v>APELC-E</v>
      </c>
      <c r="D46" s="212" t="str">
        <f t="shared" ca="1" si="2"/>
        <v>-</v>
      </c>
      <c r="E46" s="212" t="str">
        <f t="shared" ca="1" si="2"/>
        <v>-</v>
      </c>
      <c r="F46" s="212" t="str">
        <f t="shared" ca="1" si="2"/>
        <v>-</v>
      </c>
      <c r="G46" s="212" t="str">
        <f t="shared" ca="1" si="2"/>
        <v>ANNUAL</v>
      </c>
      <c r="H46" s="212" t="str">
        <f t="shared" ca="1" si="2"/>
        <v>UP</v>
      </c>
      <c r="I46" s="213">
        <f t="shared" ca="1" si="2"/>
        <v>3</v>
      </c>
      <c r="J46" s="296">
        <f t="array" aca="1" ref="J46" ca="1">IF($A46="*","",IFERROR(INDEX(AGR!$E$52:$L$73,MATCH('TS DTech'!$C46,AGR!$B$52:$B$73,0),MATCH('TS DTech'!$B46&amp;J$7,AGR!$E$46:$L$46&amp;AGR!$E$48:$L$48,0)),""))</f>
        <v>0.74760000000000004</v>
      </c>
      <c r="K46" s="296" t="str">
        <f t="array" aca="1" ref="K46" ca="1">IF($A46="*","",IFERROR(INDEX(AGR!$E$52:$L$73,MATCH('TS DTech'!$C46,AGR!$B$52:$B$73,0),MATCH('TS DTech'!$B46&amp;K$7,AGR!$E$46:$L$46&amp;AGR!$E$48:$L$48,0)),""))</f>
        <v/>
      </c>
      <c r="L46" s="296" t="str">
        <f t="array" aca="1" ref="L46" ca="1">IF($A46="*","",IFERROR(INDEX(AGR!$E$52:$L$73,MATCH('TS DTech'!$C46,AGR!$B$52:$B$73,0),MATCH('TS DTech'!$B46&amp;L$7,AGR!$E$46:$L$46&amp;AGR!$E$48:$L$48,0)),""))</f>
        <v/>
      </c>
      <c r="M46" s="296" t="str">
        <f t="array" aca="1" ref="M46" ca="1">IF($A46="*","",IFERROR(INDEX(AGR!$E$52:$L$73,MATCH('TS DTech'!$C46,AGR!$B$52:$B$73,0),MATCH('TS DTech'!$B46&amp;M$7,AGR!$E$46:$L$46&amp;AGR!$E$48:$L$48,0)),""))</f>
        <v/>
      </c>
      <c r="N46" s="296" t="str">
        <f t="array" aca="1" ref="N46" ca="1">IF($A46="*","",IFERROR(INDEX(AGR!$E$52:$L$73,MATCH('TS DTech'!$C46,AGR!$B$52:$B$73,0),MATCH('TS DTech'!$B46&amp;N$7,AGR!$E$46:$L$46&amp;AGR!$E$48:$L$48,0)),""))</f>
        <v/>
      </c>
      <c r="O46" s="296">
        <f t="array" aca="1" ref="O46" ca="1">IF($A46="*","",IFERROR(INDEX(AGR!$E$52:$L$73,MATCH('TS DTech'!$C46,AGR!$B$52:$B$73,0),MATCH('TS DTech'!$B46&amp;O$7,AGR!$E$46:$L$46&amp;AGR!$E$48:$L$48,0)),""))</f>
        <v>0.74760000000000004</v>
      </c>
      <c r="P46" s="296" t="str">
        <f t="array" aca="1" ref="P46" ca="1">IF($A46="*","",IFERROR(INDEX(AGR!$E$52:$L$73,MATCH('TS DTech'!$C46,AGR!$B$52:$B$73,0),MATCH('TS DTech'!$B46&amp;P$7,AGR!$E$46:$L$46&amp;AGR!$E$48:$L$48,0)),""))</f>
        <v/>
      </c>
      <c r="Q46" s="296" t="str">
        <f t="array" aca="1" ref="Q46" ca="1">IF($A46="*","",IFERROR(INDEX(AGR!$E$52:$L$73,MATCH('TS DTech'!$C46,AGR!$B$52:$B$73,0),MATCH('TS DTech'!$B46&amp;Q$7,AGR!$E$46:$L$46&amp;AGR!$E$48:$L$48,0)),""))</f>
        <v/>
      </c>
      <c r="R46" s="296" t="str">
        <f t="array" aca="1" ref="R46" ca="1">IF($A46="*","",IFERROR(INDEX(AGR!$E$52:$L$73,MATCH('TS DTech'!$C46,AGR!$B$52:$B$73,0),MATCH('TS DTech'!$B46&amp;R$7,AGR!$E$46:$L$46&amp;AGR!$E$48:$L$48,0)),""))</f>
        <v/>
      </c>
      <c r="S46" s="296" t="str">
        <f t="array" aca="1" ref="S46" ca="1">IF($A46="*","",IFERROR(INDEX(AGR!$E$52:$L$73,MATCH('TS DTech'!$C46,AGR!$B$52:$B$73,0),MATCH('TS DTech'!$B46&amp;S$7,AGR!$E$46:$L$46&amp;AGR!$E$48:$L$48,0)),""))</f>
        <v/>
      </c>
      <c r="T46" s="296" t="str">
        <f t="array" aca="1" ref="T46" ca="1">IF($A46="*","",IFERROR(INDEX(AGR!$E$52:$L$73,MATCH('TS DTech'!$C46,AGR!$B$52:$B$73,0),MATCH('TS DTech'!$B46&amp;T$7,AGR!$E$46:$L$46&amp;AGR!$E$48:$L$48,0)),""))</f>
        <v/>
      </c>
      <c r="U46" s="296" t="str">
        <f t="array" aca="1" ref="U46" ca="1">IF($A46="*","",IFERROR(INDEX(AGR!$E$52:$L$73,MATCH('TS DTech'!$C46,AGR!$B$52:$B$73,0),MATCH('TS DTech'!$B46&amp;U$7,AGR!$E$46:$L$46&amp;AGR!$E$48:$L$48,0)),""))</f>
        <v/>
      </c>
      <c r="V46" s="296" t="str">
        <f t="array" aca="1" ref="V46" ca="1">IF($A46="*","",IFERROR(INDEX(AGR!$E$52:$L$73,MATCH('TS DTech'!$C46,AGR!$B$52:$B$73,0),MATCH('TS DTech'!$B46&amp;V$7,AGR!$E$46:$L$46&amp;AGR!$E$48:$L$48,0)),""))</f>
        <v/>
      </c>
      <c r="W46" s="296" t="str">
        <f t="array" aca="1" ref="W46" ca="1">IF($A46="*","",IFERROR(INDEX(AGR!$E$52:$L$73,MATCH('TS DTech'!$C46,AGR!$B$52:$B$73,0),MATCH('TS DTech'!$B46&amp;W$7,AGR!$E$46:$L$46&amp;AGR!$E$48:$L$48,0)),""))</f>
        <v/>
      </c>
      <c r="X46" s="296" t="str">
        <f t="array" aca="1" ref="X46" ca="1">IF($A46="*","",IFERROR(INDEX(AGR!$E$52:$L$73,MATCH('TS DTech'!$C46,AGR!$B$52:$B$73,0),MATCH('TS DTech'!$B46&amp;X$7,AGR!$E$46:$L$46&amp;AGR!$E$48:$L$48,0)),""))</f>
        <v/>
      </c>
      <c r="Y46" s="296" t="str">
        <f t="array" aca="1" ref="Y46" ca="1">IF($A46="*","",IFERROR(INDEX(AGR!$E$52:$L$73,MATCH('TS DTech'!$C46,AGR!$B$52:$B$73,0),MATCH('TS DTech'!$B46&amp;Y$7,AGR!$E$46:$L$46&amp;AGR!$E$48:$L$48,0)),""))</f>
        <v/>
      </c>
      <c r="Z46" s="296" t="str">
        <f t="array" aca="1" ref="Z46" ca="1">IF($A46="*","",IFERROR(INDEX(AGR!$E$52:$L$73,MATCH('TS DTech'!$C46,AGR!$B$52:$B$73,0),MATCH('TS DTech'!$B46&amp;Z$7,AGR!$E$46:$L$46&amp;AGR!$E$48:$L$48,0)),""))</f>
        <v/>
      </c>
      <c r="AA46" s="296" t="str">
        <f t="array" aca="1" ref="AA46" ca="1">IF($A46="*","",IFERROR(INDEX(AGR!$E$52:$L$73,MATCH('TS DTech'!$C46,AGR!$B$52:$B$73,0),MATCH('TS DTech'!$B46&amp;AA$7,AGR!$E$46:$L$46&amp;AGR!$E$48:$L$48,0)),""))</f>
        <v/>
      </c>
      <c r="AB46" s="296" t="str">
        <f t="array" aca="1" ref="AB46" ca="1">IF($A46="*","",IFERROR(INDEX(AGR!$E$52:$L$73,MATCH('TS DTech'!$C46,AGR!$B$52:$B$73,0),MATCH('TS DTech'!$B46&amp;AB$7,AGR!$E$46:$L$46&amp;AGR!$E$48:$L$48,0)),""))</f>
        <v/>
      </c>
      <c r="AC46" s="296" t="str">
        <f t="array" aca="1" ref="AC46" ca="1">IF($A46="*","",IFERROR(INDEX(AGR!$E$52:$L$73,MATCH('TS DTech'!$C46,AGR!$B$52:$B$73,0),MATCH('TS DTech'!$B46&amp;AC$7,AGR!$E$46:$L$46&amp;AGR!$E$48:$L$48,0)),""))</f>
        <v/>
      </c>
      <c r="AD46" s="296" t="str">
        <f t="array" aca="1" ref="AD46" ca="1">IF($A46="*","",IFERROR(INDEX(AGR!$E$52:$L$73,MATCH('TS DTech'!$C46,AGR!$B$52:$B$73,0),MATCH('TS DTech'!$B46&amp;AD$7,AGR!$E$46:$L$46&amp;AGR!$E$48:$L$48,0)),""))</f>
        <v/>
      </c>
      <c r="AE46" s="296" t="str">
        <f t="array" aca="1" ref="AE46" ca="1">IF($A46="*","",IFERROR(INDEX(AGR!$E$52:$L$73,MATCH('TS DTech'!$C46,AGR!$B$52:$B$73,0),MATCH('TS DTech'!$B46&amp;AE$7,AGR!$E$46:$L$46&amp;AGR!$E$48:$L$48,0)),""))</f>
        <v/>
      </c>
      <c r="AF46" s="296" t="str">
        <f t="array" aca="1" ref="AF46" ca="1">IF($A46="*","",IFERROR(INDEX(AGR!$E$52:$L$73,MATCH('TS DTech'!$C46,AGR!$B$52:$B$73,0),MATCH('TS DTech'!$B46&amp;AF$7,AGR!$E$46:$L$46&amp;AGR!$E$48:$L$48,0)),""))</f>
        <v/>
      </c>
      <c r="AG46" s="296" t="str">
        <f t="array" aca="1" ref="AG46" ca="1">IF($A46="*","",IFERROR(INDEX(AGR!$E$52:$L$73,MATCH('TS DTech'!$C46,AGR!$B$52:$B$73,0),MATCH('TS DTech'!$B46&amp;AG$7,AGR!$E$46:$L$46&amp;AGR!$E$48:$L$48,0)),""))</f>
        <v/>
      </c>
      <c r="AH46" s="296" t="str">
        <f t="array" aca="1" ref="AH46" ca="1">IF($A46="*","",IFERROR(INDEX(AGR!$E$52:$L$73,MATCH('TS DTech'!$C46,AGR!$B$52:$B$73,0),MATCH('TS DTech'!$B46&amp;AH$7,AGR!$E$46:$L$46&amp;AGR!$E$48:$L$48,0)),""))</f>
        <v/>
      </c>
      <c r="AI46" s="296" t="str">
        <f t="array" aca="1" ref="AI46" ca="1">IF($A46="*","",IFERROR(INDEX(AGR!$E$52:$L$73,MATCH('TS DTech'!$C46,AGR!$B$52:$B$73,0),MATCH('TS DTech'!$B46&amp;AI$7,AGR!$E$46:$L$46&amp;AGR!$E$48:$L$48,0)),""))</f>
        <v/>
      </c>
      <c r="AJ46" s="296" t="str">
        <f t="array" aca="1" ref="AJ46" ca="1">IF($A46="*","",IFERROR(INDEX(AGR!$E$52:$L$73,MATCH('TS DTech'!$C46,AGR!$B$52:$B$73,0),MATCH('TS DTech'!$B46&amp;AJ$7,AGR!$E$46:$L$46&amp;AGR!$E$48:$L$48,0)),""))</f>
        <v/>
      </c>
      <c r="AK46" s="296" t="str">
        <f t="array" aca="1" ref="AK46" ca="1">IF($A46="*","",IFERROR(INDEX(AGR!$E$52:$L$73,MATCH('TS DTech'!$C46,AGR!$B$52:$B$73,0),MATCH('TS DTech'!$B46&amp;AK$7,AGR!$E$46:$L$46&amp;AGR!$E$48:$L$48,0)),""))</f>
        <v/>
      </c>
      <c r="AL46" s="296" t="str">
        <f t="array" aca="1" ref="AL46" ca="1">IF($A46="*","",IFERROR(INDEX(AGR!$E$52:$L$73,MATCH('TS DTech'!$C46,AGR!$B$52:$B$73,0),MATCH('TS DTech'!$B46&amp;AL$7,AGR!$E$46:$L$46&amp;AGR!$E$48:$L$48,0)),""))</f>
        <v/>
      </c>
      <c r="AM46" s="296" t="str">
        <f t="array" aca="1" ref="AM46" ca="1">IF($A46="*","",IFERROR(INDEX(AGR!$E$52:$L$73,MATCH('TS DTech'!$C46,AGR!$B$52:$B$73,0),MATCH('TS DTech'!$B46&amp;AM$7,AGR!$E$46:$L$46&amp;AGR!$E$48:$L$48,0)),""))</f>
        <v/>
      </c>
      <c r="AN46" s="296" t="str">
        <f t="array" aca="1" ref="AN46" ca="1">IF($A46="*","",IFERROR(INDEX(AGR!$E$52:$L$73,MATCH('TS DTech'!$C46,AGR!$B$52:$B$73,0),MATCH('TS DTech'!$B46&amp;AN$7,AGR!$E$46:$L$46&amp;AGR!$E$48:$L$48,0)),""))</f>
        <v/>
      </c>
      <c r="AO46" s="296" t="str">
        <f t="array" aca="1" ref="AO46" ca="1">IF($A46="*","",IFERROR(INDEX(AGR!$E$52:$L$73,MATCH('TS DTech'!$C46,AGR!$B$52:$B$73,0),MATCH('TS DTech'!$B46&amp;AO$7,AGR!$E$46:$L$46&amp;AGR!$E$48:$L$48,0)),""))</f>
        <v/>
      </c>
      <c r="AP46" s="296" t="str">
        <f t="array" aca="1" ref="AP46" ca="1">IF($A46="*","",IFERROR(INDEX(AGR!$E$52:$L$73,MATCH('TS DTech'!$C46,AGR!$B$52:$B$73,0),MATCH('TS DTech'!$B46&amp;AP$7,AGR!$E$46:$L$46&amp;AGR!$E$48:$L$48,0)),""))</f>
        <v/>
      </c>
      <c r="AQ46" s="137">
        <f>IF(AR45=AGR!$AD$74,AQ45+1,AQ45)</f>
        <v>2</v>
      </c>
      <c r="AR46" s="137">
        <f t="shared" si="3"/>
        <v>8</v>
      </c>
    </row>
    <row r="47" spans="1:44">
      <c r="A47" s="137" t="str">
        <f ca="1">IF(LEFT(OFFSET(AGR!$A$51,AR47,0),2)="\I","*","")</f>
        <v>*</v>
      </c>
      <c r="B47" s="212" t="str">
        <f t="shared" ca="1" si="0"/>
        <v/>
      </c>
      <c r="C47" s="212" t="str">
        <f ca="1">IF($A47="*","",OFFSET(AGR!$B$51,AR47,0))</f>
        <v/>
      </c>
      <c r="D47" s="212" t="str">
        <f t="shared" ca="1" si="2"/>
        <v/>
      </c>
      <c r="E47" s="212" t="str">
        <f t="shared" ca="1" si="2"/>
        <v/>
      </c>
      <c r="F47" s="212" t="str">
        <f t="shared" ca="1" si="2"/>
        <v/>
      </c>
      <c r="G47" s="212" t="str">
        <f t="shared" ca="1" si="2"/>
        <v/>
      </c>
      <c r="H47" s="212" t="str">
        <f t="shared" ca="1" si="2"/>
        <v/>
      </c>
      <c r="I47" s="213" t="str">
        <f t="shared" ca="1" si="2"/>
        <v/>
      </c>
      <c r="J47" s="296" t="str">
        <f t="array" aca="1" ref="J47" ca="1">IF($A47="*","",IFERROR(INDEX(AGR!$E$52:$L$73,MATCH('TS DTech'!$C47,AGR!$B$52:$B$73,0),MATCH('TS DTech'!$B47&amp;J$7,AGR!$E$46:$L$46&amp;AGR!$E$48:$L$48,0)),""))</f>
        <v/>
      </c>
      <c r="K47" s="296" t="str">
        <f t="array" aca="1" ref="K47" ca="1">IF($A47="*","",IFERROR(INDEX(AGR!$E$52:$L$73,MATCH('TS DTech'!$C47,AGR!$B$52:$B$73,0),MATCH('TS DTech'!$B47&amp;K$7,AGR!$E$46:$L$46&amp;AGR!$E$48:$L$48,0)),""))</f>
        <v/>
      </c>
      <c r="L47" s="296" t="str">
        <f t="array" aca="1" ref="L47" ca="1">IF($A47="*","",IFERROR(INDEX(AGR!$E$52:$L$73,MATCH('TS DTech'!$C47,AGR!$B$52:$B$73,0),MATCH('TS DTech'!$B47&amp;L$7,AGR!$E$46:$L$46&amp;AGR!$E$48:$L$48,0)),""))</f>
        <v/>
      </c>
      <c r="M47" s="296" t="str">
        <f t="array" aca="1" ref="M47" ca="1">IF($A47="*","",IFERROR(INDEX(AGR!$E$52:$L$73,MATCH('TS DTech'!$C47,AGR!$B$52:$B$73,0),MATCH('TS DTech'!$B47&amp;M$7,AGR!$E$46:$L$46&amp;AGR!$E$48:$L$48,0)),""))</f>
        <v/>
      </c>
      <c r="N47" s="296" t="str">
        <f t="array" aca="1" ref="N47" ca="1">IF($A47="*","",IFERROR(INDEX(AGR!$E$52:$L$73,MATCH('TS DTech'!$C47,AGR!$B$52:$B$73,0),MATCH('TS DTech'!$B47&amp;N$7,AGR!$E$46:$L$46&amp;AGR!$E$48:$L$48,0)),""))</f>
        <v/>
      </c>
      <c r="O47" s="296" t="str">
        <f t="array" aca="1" ref="O47" ca="1">IF($A47="*","",IFERROR(INDEX(AGR!$E$52:$L$73,MATCH('TS DTech'!$C47,AGR!$B$52:$B$73,0),MATCH('TS DTech'!$B47&amp;O$7,AGR!$E$46:$L$46&amp;AGR!$E$48:$L$48,0)),""))</f>
        <v/>
      </c>
      <c r="P47" s="296" t="str">
        <f t="array" aca="1" ref="P47" ca="1">IF($A47="*","",IFERROR(INDEX(AGR!$E$52:$L$73,MATCH('TS DTech'!$C47,AGR!$B$52:$B$73,0),MATCH('TS DTech'!$B47&amp;P$7,AGR!$E$46:$L$46&amp;AGR!$E$48:$L$48,0)),""))</f>
        <v/>
      </c>
      <c r="Q47" s="296" t="str">
        <f t="array" aca="1" ref="Q47" ca="1">IF($A47="*","",IFERROR(INDEX(AGR!$E$52:$L$73,MATCH('TS DTech'!$C47,AGR!$B$52:$B$73,0),MATCH('TS DTech'!$B47&amp;Q$7,AGR!$E$46:$L$46&amp;AGR!$E$48:$L$48,0)),""))</f>
        <v/>
      </c>
      <c r="R47" s="296" t="str">
        <f t="array" aca="1" ref="R47" ca="1">IF($A47="*","",IFERROR(INDEX(AGR!$E$52:$L$73,MATCH('TS DTech'!$C47,AGR!$B$52:$B$73,0),MATCH('TS DTech'!$B47&amp;R$7,AGR!$E$46:$L$46&amp;AGR!$E$48:$L$48,0)),""))</f>
        <v/>
      </c>
      <c r="S47" s="296" t="str">
        <f t="array" aca="1" ref="S47" ca="1">IF($A47="*","",IFERROR(INDEX(AGR!$E$52:$L$73,MATCH('TS DTech'!$C47,AGR!$B$52:$B$73,0),MATCH('TS DTech'!$B47&amp;S$7,AGR!$E$46:$L$46&amp;AGR!$E$48:$L$48,0)),""))</f>
        <v/>
      </c>
      <c r="T47" s="296" t="str">
        <f t="array" aca="1" ref="T47" ca="1">IF($A47="*","",IFERROR(INDEX(AGR!$E$52:$L$73,MATCH('TS DTech'!$C47,AGR!$B$52:$B$73,0),MATCH('TS DTech'!$B47&amp;T$7,AGR!$E$46:$L$46&amp;AGR!$E$48:$L$48,0)),""))</f>
        <v/>
      </c>
      <c r="U47" s="296" t="str">
        <f t="array" aca="1" ref="U47" ca="1">IF($A47="*","",IFERROR(INDEX(AGR!$E$52:$L$73,MATCH('TS DTech'!$C47,AGR!$B$52:$B$73,0),MATCH('TS DTech'!$B47&amp;U$7,AGR!$E$46:$L$46&amp;AGR!$E$48:$L$48,0)),""))</f>
        <v/>
      </c>
      <c r="V47" s="296" t="str">
        <f t="array" aca="1" ref="V47" ca="1">IF($A47="*","",IFERROR(INDEX(AGR!$E$52:$L$73,MATCH('TS DTech'!$C47,AGR!$B$52:$B$73,0),MATCH('TS DTech'!$B47&amp;V$7,AGR!$E$46:$L$46&amp;AGR!$E$48:$L$48,0)),""))</f>
        <v/>
      </c>
      <c r="W47" s="296" t="str">
        <f t="array" aca="1" ref="W47" ca="1">IF($A47="*","",IFERROR(INDEX(AGR!$E$52:$L$73,MATCH('TS DTech'!$C47,AGR!$B$52:$B$73,0),MATCH('TS DTech'!$B47&amp;W$7,AGR!$E$46:$L$46&amp;AGR!$E$48:$L$48,0)),""))</f>
        <v/>
      </c>
      <c r="X47" s="296" t="str">
        <f t="array" aca="1" ref="X47" ca="1">IF($A47="*","",IFERROR(INDEX(AGR!$E$52:$L$73,MATCH('TS DTech'!$C47,AGR!$B$52:$B$73,0),MATCH('TS DTech'!$B47&amp;X$7,AGR!$E$46:$L$46&amp;AGR!$E$48:$L$48,0)),""))</f>
        <v/>
      </c>
      <c r="Y47" s="296" t="str">
        <f t="array" aca="1" ref="Y47" ca="1">IF($A47="*","",IFERROR(INDEX(AGR!$E$52:$L$73,MATCH('TS DTech'!$C47,AGR!$B$52:$B$73,0),MATCH('TS DTech'!$B47&amp;Y$7,AGR!$E$46:$L$46&amp;AGR!$E$48:$L$48,0)),""))</f>
        <v/>
      </c>
      <c r="Z47" s="296" t="str">
        <f t="array" aca="1" ref="Z47" ca="1">IF($A47="*","",IFERROR(INDEX(AGR!$E$52:$L$73,MATCH('TS DTech'!$C47,AGR!$B$52:$B$73,0),MATCH('TS DTech'!$B47&amp;Z$7,AGR!$E$46:$L$46&amp;AGR!$E$48:$L$48,0)),""))</f>
        <v/>
      </c>
      <c r="AA47" s="296" t="str">
        <f t="array" aca="1" ref="AA47" ca="1">IF($A47="*","",IFERROR(INDEX(AGR!$E$52:$L$73,MATCH('TS DTech'!$C47,AGR!$B$52:$B$73,0),MATCH('TS DTech'!$B47&amp;AA$7,AGR!$E$46:$L$46&amp;AGR!$E$48:$L$48,0)),""))</f>
        <v/>
      </c>
      <c r="AB47" s="296" t="str">
        <f t="array" aca="1" ref="AB47" ca="1">IF($A47="*","",IFERROR(INDEX(AGR!$E$52:$L$73,MATCH('TS DTech'!$C47,AGR!$B$52:$B$73,0),MATCH('TS DTech'!$B47&amp;AB$7,AGR!$E$46:$L$46&amp;AGR!$E$48:$L$48,0)),""))</f>
        <v/>
      </c>
      <c r="AC47" s="296" t="str">
        <f t="array" aca="1" ref="AC47" ca="1">IF($A47="*","",IFERROR(INDEX(AGR!$E$52:$L$73,MATCH('TS DTech'!$C47,AGR!$B$52:$B$73,0),MATCH('TS DTech'!$B47&amp;AC$7,AGR!$E$46:$L$46&amp;AGR!$E$48:$L$48,0)),""))</f>
        <v/>
      </c>
      <c r="AD47" s="296" t="str">
        <f t="array" aca="1" ref="AD47" ca="1">IF($A47="*","",IFERROR(INDEX(AGR!$E$52:$L$73,MATCH('TS DTech'!$C47,AGR!$B$52:$B$73,0),MATCH('TS DTech'!$B47&amp;AD$7,AGR!$E$46:$L$46&amp;AGR!$E$48:$L$48,0)),""))</f>
        <v/>
      </c>
      <c r="AE47" s="296" t="str">
        <f t="array" aca="1" ref="AE47" ca="1">IF($A47="*","",IFERROR(INDEX(AGR!$E$52:$L$73,MATCH('TS DTech'!$C47,AGR!$B$52:$B$73,0),MATCH('TS DTech'!$B47&amp;AE$7,AGR!$E$46:$L$46&amp;AGR!$E$48:$L$48,0)),""))</f>
        <v/>
      </c>
      <c r="AF47" s="296" t="str">
        <f t="array" aca="1" ref="AF47" ca="1">IF($A47="*","",IFERROR(INDEX(AGR!$E$52:$L$73,MATCH('TS DTech'!$C47,AGR!$B$52:$B$73,0),MATCH('TS DTech'!$B47&amp;AF$7,AGR!$E$46:$L$46&amp;AGR!$E$48:$L$48,0)),""))</f>
        <v/>
      </c>
      <c r="AG47" s="296" t="str">
        <f t="array" aca="1" ref="AG47" ca="1">IF($A47="*","",IFERROR(INDEX(AGR!$E$52:$L$73,MATCH('TS DTech'!$C47,AGR!$B$52:$B$73,0),MATCH('TS DTech'!$B47&amp;AG$7,AGR!$E$46:$L$46&amp;AGR!$E$48:$L$48,0)),""))</f>
        <v/>
      </c>
      <c r="AH47" s="296" t="str">
        <f t="array" aca="1" ref="AH47" ca="1">IF($A47="*","",IFERROR(INDEX(AGR!$E$52:$L$73,MATCH('TS DTech'!$C47,AGR!$B$52:$B$73,0),MATCH('TS DTech'!$B47&amp;AH$7,AGR!$E$46:$L$46&amp;AGR!$E$48:$L$48,0)),""))</f>
        <v/>
      </c>
      <c r="AI47" s="296" t="str">
        <f t="array" aca="1" ref="AI47" ca="1">IF($A47="*","",IFERROR(INDEX(AGR!$E$52:$L$73,MATCH('TS DTech'!$C47,AGR!$B$52:$B$73,0),MATCH('TS DTech'!$B47&amp;AI$7,AGR!$E$46:$L$46&amp;AGR!$E$48:$L$48,0)),""))</f>
        <v/>
      </c>
      <c r="AJ47" s="296" t="str">
        <f t="array" aca="1" ref="AJ47" ca="1">IF($A47="*","",IFERROR(INDEX(AGR!$E$52:$L$73,MATCH('TS DTech'!$C47,AGR!$B$52:$B$73,0),MATCH('TS DTech'!$B47&amp;AJ$7,AGR!$E$46:$L$46&amp;AGR!$E$48:$L$48,0)),""))</f>
        <v/>
      </c>
      <c r="AK47" s="296" t="str">
        <f t="array" aca="1" ref="AK47" ca="1">IF($A47="*","",IFERROR(INDEX(AGR!$E$52:$L$73,MATCH('TS DTech'!$C47,AGR!$B$52:$B$73,0),MATCH('TS DTech'!$B47&amp;AK$7,AGR!$E$46:$L$46&amp;AGR!$E$48:$L$48,0)),""))</f>
        <v/>
      </c>
      <c r="AL47" s="296" t="str">
        <f t="array" aca="1" ref="AL47" ca="1">IF($A47="*","",IFERROR(INDEX(AGR!$E$52:$L$73,MATCH('TS DTech'!$C47,AGR!$B$52:$B$73,0),MATCH('TS DTech'!$B47&amp;AL$7,AGR!$E$46:$L$46&amp;AGR!$E$48:$L$48,0)),""))</f>
        <v/>
      </c>
      <c r="AM47" s="296" t="str">
        <f t="array" aca="1" ref="AM47" ca="1">IF($A47="*","",IFERROR(INDEX(AGR!$E$52:$L$73,MATCH('TS DTech'!$C47,AGR!$B$52:$B$73,0),MATCH('TS DTech'!$B47&amp;AM$7,AGR!$E$46:$L$46&amp;AGR!$E$48:$L$48,0)),""))</f>
        <v/>
      </c>
      <c r="AN47" s="296" t="str">
        <f t="array" aca="1" ref="AN47" ca="1">IF($A47="*","",IFERROR(INDEX(AGR!$E$52:$L$73,MATCH('TS DTech'!$C47,AGR!$B$52:$B$73,0),MATCH('TS DTech'!$B47&amp;AN$7,AGR!$E$46:$L$46&amp;AGR!$E$48:$L$48,0)),""))</f>
        <v/>
      </c>
      <c r="AO47" s="296" t="str">
        <f t="array" aca="1" ref="AO47" ca="1">IF($A47="*","",IFERROR(INDEX(AGR!$E$52:$L$73,MATCH('TS DTech'!$C47,AGR!$B$52:$B$73,0),MATCH('TS DTech'!$B47&amp;AO$7,AGR!$E$46:$L$46&amp;AGR!$E$48:$L$48,0)),""))</f>
        <v/>
      </c>
      <c r="AP47" s="296" t="str">
        <f t="array" aca="1" ref="AP47" ca="1">IF($A47="*","",IFERROR(INDEX(AGR!$E$52:$L$73,MATCH('TS DTech'!$C47,AGR!$B$52:$B$73,0),MATCH('TS DTech'!$B47&amp;AP$7,AGR!$E$46:$L$46&amp;AGR!$E$48:$L$48,0)),""))</f>
        <v/>
      </c>
      <c r="AQ47" s="137">
        <f>IF(AR46=AGR!$AD$74,AQ46+1,AQ46)</f>
        <v>2</v>
      </c>
      <c r="AR47" s="137">
        <f t="shared" si="3"/>
        <v>9</v>
      </c>
    </row>
    <row r="48" spans="1:44">
      <c r="A48" s="137" t="str">
        <f ca="1">IF(LEFT(OFFSET(AGR!$A$51,AR48,0),2)="\I","*","")</f>
        <v>*</v>
      </c>
      <c r="B48" s="212" t="str">
        <f t="shared" ref="B48:B79" ca="1" si="4">IF(A48="*","",VLOOKUP("*"&amp;AQ48,$A$9:$B$14,2,FALSE))</f>
        <v/>
      </c>
      <c r="C48" s="212" t="str">
        <f ca="1">IF($A48="*","",OFFSET(AGR!$B$51,AR48,0))</f>
        <v/>
      </c>
      <c r="D48" s="212" t="str">
        <f t="shared" ca="1" si="2"/>
        <v/>
      </c>
      <c r="E48" s="212" t="str">
        <f t="shared" ca="1" si="2"/>
        <v/>
      </c>
      <c r="F48" s="212" t="str">
        <f t="shared" ca="1" si="2"/>
        <v/>
      </c>
      <c r="G48" s="212" t="str">
        <f t="shared" ca="1" si="2"/>
        <v/>
      </c>
      <c r="H48" s="212" t="str">
        <f t="shared" ca="1" si="2"/>
        <v/>
      </c>
      <c r="I48" s="213" t="str">
        <f t="shared" ca="1" si="2"/>
        <v/>
      </c>
      <c r="J48" s="296" t="str">
        <f t="array" aca="1" ref="J48" ca="1">IF($A48="*","",IFERROR(INDEX(AGR!$E$52:$L$73,MATCH('TS DTech'!$C48,AGR!$B$52:$B$73,0),MATCH('TS DTech'!$B48&amp;J$7,AGR!$E$46:$L$46&amp;AGR!$E$48:$L$48,0)),""))</f>
        <v/>
      </c>
      <c r="K48" s="296" t="str">
        <f t="array" aca="1" ref="K48" ca="1">IF($A48="*","",IFERROR(INDEX(AGR!$E$52:$L$73,MATCH('TS DTech'!$C48,AGR!$B$52:$B$73,0),MATCH('TS DTech'!$B48&amp;K$7,AGR!$E$46:$L$46&amp;AGR!$E$48:$L$48,0)),""))</f>
        <v/>
      </c>
      <c r="L48" s="296" t="str">
        <f t="array" aca="1" ref="L48" ca="1">IF($A48="*","",IFERROR(INDEX(AGR!$E$52:$L$73,MATCH('TS DTech'!$C48,AGR!$B$52:$B$73,0),MATCH('TS DTech'!$B48&amp;L$7,AGR!$E$46:$L$46&amp;AGR!$E$48:$L$48,0)),""))</f>
        <v/>
      </c>
      <c r="M48" s="296" t="str">
        <f t="array" aca="1" ref="M48" ca="1">IF($A48="*","",IFERROR(INDEX(AGR!$E$52:$L$73,MATCH('TS DTech'!$C48,AGR!$B$52:$B$73,0),MATCH('TS DTech'!$B48&amp;M$7,AGR!$E$46:$L$46&amp;AGR!$E$48:$L$48,0)),""))</f>
        <v/>
      </c>
      <c r="N48" s="296" t="str">
        <f t="array" aca="1" ref="N48" ca="1">IF($A48="*","",IFERROR(INDEX(AGR!$E$52:$L$73,MATCH('TS DTech'!$C48,AGR!$B$52:$B$73,0),MATCH('TS DTech'!$B48&amp;N$7,AGR!$E$46:$L$46&amp;AGR!$E$48:$L$48,0)),""))</f>
        <v/>
      </c>
      <c r="O48" s="296" t="str">
        <f t="array" aca="1" ref="O48" ca="1">IF($A48="*","",IFERROR(INDEX(AGR!$E$52:$L$73,MATCH('TS DTech'!$C48,AGR!$B$52:$B$73,0),MATCH('TS DTech'!$B48&amp;O$7,AGR!$E$46:$L$46&amp;AGR!$E$48:$L$48,0)),""))</f>
        <v/>
      </c>
      <c r="P48" s="296" t="str">
        <f t="array" aca="1" ref="P48" ca="1">IF($A48="*","",IFERROR(INDEX(AGR!$E$52:$L$73,MATCH('TS DTech'!$C48,AGR!$B$52:$B$73,0),MATCH('TS DTech'!$B48&amp;P$7,AGR!$E$46:$L$46&amp;AGR!$E$48:$L$48,0)),""))</f>
        <v/>
      </c>
      <c r="Q48" s="296" t="str">
        <f t="array" aca="1" ref="Q48" ca="1">IF($A48="*","",IFERROR(INDEX(AGR!$E$52:$L$73,MATCH('TS DTech'!$C48,AGR!$B$52:$B$73,0),MATCH('TS DTech'!$B48&amp;Q$7,AGR!$E$46:$L$46&amp;AGR!$E$48:$L$48,0)),""))</f>
        <v/>
      </c>
      <c r="R48" s="296" t="str">
        <f t="array" aca="1" ref="R48" ca="1">IF($A48="*","",IFERROR(INDEX(AGR!$E$52:$L$73,MATCH('TS DTech'!$C48,AGR!$B$52:$B$73,0),MATCH('TS DTech'!$B48&amp;R$7,AGR!$E$46:$L$46&amp;AGR!$E$48:$L$48,0)),""))</f>
        <v/>
      </c>
      <c r="S48" s="296" t="str">
        <f t="array" aca="1" ref="S48" ca="1">IF($A48="*","",IFERROR(INDEX(AGR!$E$52:$L$73,MATCH('TS DTech'!$C48,AGR!$B$52:$B$73,0),MATCH('TS DTech'!$B48&amp;S$7,AGR!$E$46:$L$46&amp;AGR!$E$48:$L$48,0)),""))</f>
        <v/>
      </c>
      <c r="T48" s="296" t="str">
        <f t="array" aca="1" ref="T48" ca="1">IF($A48="*","",IFERROR(INDEX(AGR!$E$52:$L$73,MATCH('TS DTech'!$C48,AGR!$B$52:$B$73,0),MATCH('TS DTech'!$B48&amp;T$7,AGR!$E$46:$L$46&amp;AGR!$E$48:$L$48,0)),""))</f>
        <v/>
      </c>
      <c r="U48" s="296" t="str">
        <f t="array" aca="1" ref="U48" ca="1">IF($A48="*","",IFERROR(INDEX(AGR!$E$52:$L$73,MATCH('TS DTech'!$C48,AGR!$B$52:$B$73,0),MATCH('TS DTech'!$B48&amp;U$7,AGR!$E$46:$L$46&amp;AGR!$E$48:$L$48,0)),""))</f>
        <v/>
      </c>
      <c r="V48" s="296" t="str">
        <f t="array" aca="1" ref="V48" ca="1">IF($A48="*","",IFERROR(INDEX(AGR!$E$52:$L$73,MATCH('TS DTech'!$C48,AGR!$B$52:$B$73,0),MATCH('TS DTech'!$B48&amp;V$7,AGR!$E$46:$L$46&amp;AGR!$E$48:$L$48,0)),""))</f>
        <v/>
      </c>
      <c r="W48" s="296" t="str">
        <f t="array" aca="1" ref="W48" ca="1">IF($A48="*","",IFERROR(INDEX(AGR!$E$52:$L$73,MATCH('TS DTech'!$C48,AGR!$B$52:$B$73,0),MATCH('TS DTech'!$B48&amp;W$7,AGR!$E$46:$L$46&amp;AGR!$E$48:$L$48,0)),""))</f>
        <v/>
      </c>
      <c r="X48" s="296" t="str">
        <f t="array" aca="1" ref="X48" ca="1">IF($A48="*","",IFERROR(INDEX(AGR!$E$52:$L$73,MATCH('TS DTech'!$C48,AGR!$B$52:$B$73,0),MATCH('TS DTech'!$B48&amp;X$7,AGR!$E$46:$L$46&amp;AGR!$E$48:$L$48,0)),""))</f>
        <v/>
      </c>
      <c r="Y48" s="296" t="str">
        <f t="array" aca="1" ref="Y48" ca="1">IF($A48="*","",IFERROR(INDEX(AGR!$E$52:$L$73,MATCH('TS DTech'!$C48,AGR!$B$52:$B$73,0),MATCH('TS DTech'!$B48&amp;Y$7,AGR!$E$46:$L$46&amp;AGR!$E$48:$L$48,0)),""))</f>
        <v/>
      </c>
      <c r="Z48" s="296" t="str">
        <f t="array" aca="1" ref="Z48" ca="1">IF($A48="*","",IFERROR(INDEX(AGR!$E$52:$L$73,MATCH('TS DTech'!$C48,AGR!$B$52:$B$73,0),MATCH('TS DTech'!$B48&amp;Z$7,AGR!$E$46:$L$46&amp;AGR!$E$48:$L$48,0)),""))</f>
        <v/>
      </c>
      <c r="AA48" s="296" t="str">
        <f t="array" aca="1" ref="AA48" ca="1">IF($A48="*","",IFERROR(INDEX(AGR!$E$52:$L$73,MATCH('TS DTech'!$C48,AGR!$B$52:$B$73,0),MATCH('TS DTech'!$B48&amp;AA$7,AGR!$E$46:$L$46&amp;AGR!$E$48:$L$48,0)),""))</f>
        <v/>
      </c>
      <c r="AB48" s="296" t="str">
        <f t="array" aca="1" ref="AB48" ca="1">IF($A48="*","",IFERROR(INDEX(AGR!$E$52:$L$73,MATCH('TS DTech'!$C48,AGR!$B$52:$B$73,0),MATCH('TS DTech'!$B48&amp;AB$7,AGR!$E$46:$L$46&amp;AGR!$E$48:$L$48,0)),""))</f>
        <v/>
      </c>
      <c r="AC48" s="296" t="str">
        <f t="array" aca="1" ref="AC48" ca="1">IF($A48="*","",IFERROR(INDEX(AGR!$E$52:$L$73,MATCH('TS DTech'!$C48,AGR!$B$52:$B$73,0),MATCH('TS DTech'!$B48&amp;AC$7,AGR!$E$46:$L$46&amp;AGR!$E$48:$L$48,0)),""))</f>
        <v/>
      </c>
      <c r="AD48" s="296" t="str">
        <f t="array" aca="1" ref="AD48" ca="1">IF($A48="*","",IFERROR(INDEX(AGR!$E$52:$L$73,MATCH('TS DTech'!$C48,AGR!$B$52:$B$73,0),MATCH('TS DTech'!$B48&amp;AD$7,AGR!$E$46:$L$46&amp;AGR!$E$48:$L$48,0)),""))</f>
        <v/>
      </c>
      <c r="AE48" s="296" t="str">
        <f t="array" aca="1" ref="AE48" ca="1">IF($A48="*","",IFERROR(INDEX(AGR!$E$52:$L$73,MATCH('TS DTech'!$C48,AGR!$B$52:$B$73,0),MATCH('TS DTech'!$B48&amp;AE$7,AGR!$E$46:$L$46&amp;AGR!$E$48:$L$48,0)),""))</f>
        <v/>
      </c>
      <c r="AF48" s="296" t="str">
        <f t="array" aca="1" ref="AF48" ca="1">IF($A48="*","",IFERROR(INDEX(AGR!$E$52:$L$73,MATCH('TS DTech'!$C48,AGR!$B$52:$B$73,0),MATCH('TS DTech'!$B48&amp;AF$7,AGR!$E$46:$L$46&amp;AGR!$E$48:$L$48,0)),""))</f>
        <v/>
      </c>
      <c r="AG48" s="296" t="str">
        <f t="array" aca="1" ref="AG48" ca="1">IF($A48="*","",IFERROR(INDEX(AGR!$E$52:$L$73,MATCH('TS DTech'!$C48,AGR!$B$52:$B$73,0),MATCH('TS DTech'!$B48&amp;AG$7,AGR!$E$46:$L$46&amp;AGR!$E$48:$L$48,0)),""))</f>
        <v/>
      </c>
      <c r="AH48" s="296" t="str">
        <f t="array" aca="1" ref="AH48" ca="1">IF($A48="*","",IFERROR(INDEX(AGR!$E$52:$L$73,MATCH('TS DTech'!$C48,AGR!$B$52:$B$73,0),MATCH('TS DTech'!$B48&amp;AH$7,AGR!$E$46:$L$46&amp;AGR!$E$48:$L$48,0)),""))</f>
        <v/>
      </c>
      <c r="AI48" s="296" t="str">
        <f t="array" aca="1" ref="AI48" ca="1">IF($A48="*","",IFERROR(INDEX(AGR!$E$52:$L$73,MATCH('TS DTech'!$C48,AGR!$B$52:$B$73,0),MATCH('TS DTech'!$B48&amp;AI$7,AGR!$E$46:$L$46&amp;AGR!$E$48:$L$48,0)),""))</f>
        <v/>
      </c>
      <c r="AJ48" s="296" t="str">
        <f t="array" aca="1" ref="AJ48" ca="1">IF($A48="*","",IFERROR(INDEX(AGR!$E$52:$L$73,MATCH('TS DTech'!$C48,AGR!$B$52:$B$73,0),MATCH('TS DTech'!$B48&amp;AJ$7,AGR!$E$46:$L$46&amp;AGR!$E$48:$L$48,0)),""))</f>
        <v/>
      </c>
      <c r="AK48" s="296" t="str">
        <f t="array" aca="1" ref="AK48" ca="1">IF($A48="*","",IFERROR(INDEX(AGR!$E$52:$L$73,MATCH('TS DTech'!$C48,AGR!$B$52:$B$73,0),MATCH('TS DTech'!$B48&amp;AK$7,AGR!$E$46:$L$46&amp;AGR!$E$48:$L$48,0)),""))</f>
        <v/>
      </c>
      <c r="AL48" s="296" t="str">
        <f t="array" aca="1" ref="AL48" ca="1">IF($A48="*","",IFERROR(INDEX(AGR!$E$52:$L$73,MATCH('TS DTech'!$C48,AGR!$B$52:$B$73,0),MATCH('TS DTech'!$B48&amp;AL$7,AGR!$E$46:$L$46&amp;AGR!$E$48:$L$48,0)),""))</f>
        <v/>
      </c>
      <c r="AM48" s="296" t="str">
        <f t="array" aca="1" ref="AM48" ca="1">IF($A48="*","",IFERROR(INDEX(AGR!$E$52:$L$73,MATCH('TS DTech'!$C48,AGR!$B$52:$B$73,0),MATCH('TS DTech'!$B48&amp;AM$7,AGR!$E$46:$L$46&amp;AGR!$E$48:$L$48,0)),""))</f>
        <v/>
      </c>
      <c r="AN48" s="296" t="str">
        <f t="array" aca="1" ref="AN48" ca="1">IF($A48="*","",IFERROR(INDEX(AGR!$E$52:$L$73,MATCH('TS DTech'!$C48,AGR!$B$52:$B$73,0),MATCH('TS DTech'!$B48&amp;AN$7,AGR!$E$46:$L$46&amp;AGR!$E$48:$L$48,0)),""))</f>
        <v/>
      </c>
      <c r="AO48" s="296" t="str">
        <f t="array" aca="1" ref="AO48" ca="1">IF($A48="*","",IFERROR(INDEX(AGR!$E$52:$L$73,MATCH('TS DTech'!$C48,AGR!$B$52:$B$73,0),MATCH('TS DTech'!$B48&amp;AO$7,AGR!$E$46:$L$46&amp;AGR!$E$48:$L$48,0)),""))</f>
        <v/>
      </c>
      <c r="AP48" s="296" t="str">
        <f t="array" aca="1" ref="AP48" ca="1">IF($A48="*","",IFERROR(INDEX(AGR!$E$52:$L$73,MATCH('TS DTech'!$C48,AGR!$B$52:$B$73,0),MATCH('TS DTech'!$B48&amp;AP$7,AGR!$E$46:$L$46&amp;AGR!$E$48:$L$48,0)),""))</f>
        <v/>
      </c>
      <c r="AQ48" s="137">
        <f>IF(AR47=AGR!$AD$74,AQ47+1,AQ47)</f>
        <v>2</v>
      </c>
      <c r="AR48" s="137">
        <f t="shared" si="3"/>
        <v>10</v>
      </c>
    </row>
    <row r="49" spans="1:44">
      <c r="A49" s="137" t="str">
        <f ca="1">IF(LEFT(OFFSET(AGR!$A$51,AR49,0),2)="\I","*","")</f>
        <v/>
      </c>
      <c r="B49" s="212" t="str">
        <f t="shared" ca="1" si="4"/>
        <v>NCAP_AFA</v>
      </c>
      <c r="C49" s="212" t="str">
        <f ca="1">IF($A49="*","",OFFSET(AGR!$B$51,AR49,0))</f>
        <v>ATODS-E</v>
      </c>
      <c r="D49" s="212" t="str">
        <f t="shared" ref="D49:I67" ca="1" si="5">IF($A49="*","",VLOOKUP($B49,$B$10:$I$14,D$9,FALSE))</f>
        <v>-</v>
      </c>
      <c r="E49" s="212" t="str">
        <f t="shared" ca="1" si="5"/>
        <v>-</v>
      </c>
      <c r="F49" s="212" t="str">
        <f t="shared" ca="1" si="5"/>
        <v>-</v>
      </c>
      <c r="G49" s="212" t="str">
        <f t="shared" ca="1" si="5"/>
        <v>ANNUAL</v>
      </c>
      <c r="H49" s="212" t="str">
        <f t="shared" ca="1" si="5"/>
        <v>UP</v>
      </c>
      <c r="I49" s="213">
        <f t="shared" ca="1" si="5"/>
        <v>3</v>
      </c>
      <c r="J49" s="296">
        <f t="array" aca="1" ref="J49" ca="1">IF($A49="*","",IFERROR(INDEX(AGR!$E$52:$L$73,MATCH('TS DTech'!$C49,AGR!$B$52:$B$73,0),MATCH('TS DTech'!$B49&amp;J$7,AGR!$E$46:$L$46&amp;AGR!$E$48:$L$48,0)),""))</f>
        <v>0.77659999999999996</v>
      </c>
      <c r="K49" s="296" t="str">
        <f t="array" aca="1" ref="K49" ca="1">IF($A49="*","",IFERROR(INDEX(AGR!$E$52:$L$73,MATCH('TS DTech'!$C49,AGR!$B$52:$B$73,0),MATCH('TS DTech'!$B49&amp;K$7,AGR!$E$46:$L$46&amp;AGR!$E$48:$L$48,0)),""))</f>
        <v/>
      </c>
      <c r="L49" s="296" t="str">
        <f t="array" aca="1" ref="L49" ca="1">IF($A49="*","",IFERROR(INDEX(AGR!$E$52:$L$73,MATCH('TS DTech'!$C49,AGR!$B$52:$B$73,0),MATCH('TS DTech'!$B49&amp;L$7,AGR!$E$46:$L$46&amp;AGR!$E$48:$L$48,0)),""))</f>
        <v/>
      </c>
      <c r="M49" s="296" t="str">
        <f t="array" aca="1" ref="M49" ca="1">IF($A49="*","",IFERROR(INDEX(AGR!$E$52:$L$73,MATCH('TS DTech'!$C49,AGR!$B$52:$B$73,0),MATCH('TS DTech'!$B49&amp;M$7,AGR!$E$46:$L$46&amp;AGR!$E$48:$L$48,0)),""))</f>
        <v/>
      </c>
      <c r="N49" s="296" t="str">
        <f t="array" aca="1" ref="N49" ca="1">IF($A49="*","",IFERROR(INDEX(AGR!$E$52:$L$73,MATCH('TS DTech'!$C49,AGR!$B$52:$B$73,0),MATCH('TS DTech'!$B49&amp;N$7,AGR!$E$46:$L$46&amp;AGR!$E$48:$L$48,0)),""))</f>
        <v/>
      </c>
      <c r="O49" s="296">
        <f t="array" aca="1" ref="O49" ca="1">IF($A49="*","",IFERROR(INDEX(AGR!$E$52:$L$73,MATCH('TS DTech'!$C49,AGR!$B$52:$B$73,0),MATCH('TS DTech'!$B49&amp;O$7,AGR!$E$46:$L$46&amp;AGR!$E$48:$L$48,0)),""))</f>
        <v>0.77659999999999996</v>
      </c>
      <c r="P49" s="296" t="str">
        <f t="array" aca="1" ref="P49" ca="1">IF($A49="*","",IFERROR(INDEX(AGR!$E$52:$L$73,MATCH('TS DTech'!$C49,AGR!$B$52:$B$73,0),MATCH('TS DTech'!$B49&amp;P$7,AGR!$E$46:$L$46&amp;AGR!$E$48:$L$48,0)),""))</f>
        <v/>
      </c>
      <c r="Q49" s="296" t="str">
        <f t="array" aca="1" ref="Q49" ca="1">IF($A49="*","",IFERROR(INDEX(AGR!$E$52:$L$73,MATCH('TS DTech'!$C49,AGR!$B$52:$B$73,0),MATCH('TS DTech'!$B49&amp;Q$7,AGR!$E$46:$L$46&amp;AGR!$E$48:$L$48,0)),""))</f>
        <v/>
      </c>
      <c r="R49" s="296" t="str">
        <f t="array" aca="1" ref="R49" ca="1">IF($A49="*","",IFERROR(INDEX(AGR!$E$52:$L$73,MATCH('TS DTech'!$C49,AGR!$B$52:$B$73,0),MATCH('TS DTech'!$B49&amp;R$7,AGR!$E$46:$L$46&amp;AGR!$E$48:$L$48,0)),""))</f>
        <v/>
      </c>
      <c r="S49" s="296" t="str">
        <f t="array" aca="1" ref="S49" ca="1">IF($A49="*","",IFERROR(INDEX(AGR!$E$52:$L$73,MATCH('TS DTech'!$C49,AGR!$B$52:$B$73,0),MATCH('TS DTech'!$B49&amp;S$7,AGR!$E$46:$L$46&amp;AGR!$E$48:$L$48,0)),""))</f>
        <v/>
      </c>
      <c r="T49" s="296" t="str">
        <f t="array" aca="1" ref="T49" ca="1">IF($A49="*","",IFERROR(INDEX(AGR!$E$52:$L$73,MATCH('TS DTech'!$C49,AGR!$B$52:$B$73,0),MATCH('TS DTech'!$B49&amp;T$7,AGR!$E$46:$L$46&amp;AGR!$E$48:$L$48,0)),""))</f>
        <v/>
      </c>
      <c r="U49" s="296" t="str">
        <f t="array" aca="1" ref="U49" ca="1">IF($A49="*","",IFERROR(INDEX(AGR!$E$52:$L$73,MATCH('TS DTech'!$C49,AGR!$B$52:$B$73,0),MATCH('TS DTech'!$B49&amp;U$7,AGR!$E$46:$L$46&amp;AGR!$E$48:$L$48,0)),""))</f>
        <v/>
      </c>
      <c r="V49" s="296" t="str">
        <f t="array" aca="1" ref="V49" ca="1">IF($A49="*","",IFERROR(INDEX(AGR!$E$52:$L$73,MATCH('TS DTech'!$C49,AGR!$B$52:$B$73,0),MATCH('TS DTech'!$B49&amp;V$7,AGR!$E$46:$L$46&amp;AGR!$E$48:$L$48,0)),""))</f>
        <v/>
      </c>
      <c r="W49" s="296" t="str">
        <f t="array" aca="1" ref="W49" ca="1">IF($A49="*","",IFERROR(INDEX(AGR!$E$52:$L$73,MATCH('TS DTech'!$C49,AGR!$B$52:$B$73,0),MATCH('TS DTech'!$B49&amp;W$7,AGR!$E$46:$L$46&amp;AGR!$E$48:$L$48,0)),""))</f>
        <v/>
      </c>
      <c r="X49" s="296" t="str">
        <f t="array" aca="1" ref="X49" ca="1">IF($A49="*","",IFERROR(INDEX(AGR!$E$52:$L$73,MATCH('TS DTech'!$C49,AGR!$B$52:$B$73,0),MATCH('TS DTech'!$B49&amp;X$7,AGR!$E$46:$L$46&amp;AGR!$E$48:$L$48,0)),""))</f>
        <v/>
      </c>
      <c r="Y49" s="296" t="str">
        <f t="array" aca="1" ref="Y49" ca="1">IF($A49="*","",IFERROR(INDEX(AGR!$E$52:$L$73,MATCH('TS DTech'!$C49,AGR!$B$52:$B$73,0),MATCH('TS DTech'!$B49&amp;Y$7,AGR!$E$46:$L$46&amp;AGR!$E$48:$L$48,0)),""))</f>
        <v/>
      </c>
      <c r="Z49" s="296" t="str">
        <f t="array" aca="1" ref="Z49" ca="1">IF($A49="*","",IFERROR(INDEX(AGR!$E$52:$L$73,MATCH('TS DTech'!$C49,AGR!$B$52:$B$73,0),MATCH('TS DTech'!$B49&amp;Z$7,AGR!$E$46:$L$46&amp;AGR!$E$48:$L$48,0)),""))</f>
        <v/>
      </c>
      <c r="AA49" s="296" t="str">
        <f t="array" aca="1" ref="AA49" ca="1">IF($A49="*","",IFERROR(INDEX(AGR!$E$52:$L$73,MATCH('TS DTech'!$C49,AGR!$B$52:$B$73,0),MATCH('TS DTech'!$B49&amp;AA$7,AGR!$E$46:$L$46&amp;AGR!$E$48:$L$48,0)),""))</f>
        <v/>
      </c>
      <c r="AB49" s="296" t="str">
        <f t="array" aca="1" ref="AB49" ca="1">IF($A49="*","",IFERROR(INDEX(AGR!$E$52:$L$73,MATCH('TS DTech'!$C49,AGR!$B$52:$B$73,0),MATCH('TS DTech'!$B49&amp;AB$7,AGR!$E$46:$L$46&amp;AGR!$E$48:$L$48,0)),""))</f>
        <v/>
      </c>
      <c r="AC49" s="296" t="str">
        <f t="array" aca="1" ref="AC49" ca="1">IF($A49="*","",IFERROR(INDEX(AGR!$E$52:$L$73,MATCH('TS DTech'!$C49,AGR!$B$52:$B$73,0),MATCH('TS DTech'!$B49&amp;AC$7,AGR!$E$46:$L$46&amp;AGR!$E$48:$L$48,0)),""))</f>
        <v/>
      </c>
      <c r="AD49" s="296" t="str">
        <f t="array" aca="1" ref="AD49" ca="1">IF($A49="*","",IFERROR(INDEX(AGR!$E$52:$L$73,MATCH('TS DTech'!$C49,AGR!$B$52:$B$73,0),MATCH('TS DTech'!$B49&amp;AD$7,AGR!$E$46:$L$46&amp;AGR!$E$48:$L$48,0)),""))</f>
        <v/>
      </c>
      <c r="AE49" s="296" t="str">
        <f t="array" aca="1" ref="AE49" ca="1">IF($A49="*","",IFERROR(INDEX(AGR!$E$52:$L$73,MATCH('TS DTech'!$C49,AGR!$B$52:$B$73,0),MATCH('TS DTech'!$B49&amp;AE$7,AGR!$E$46:$L$46&amp;AGR!$E$48:$L$48,0)),""))</f>
        <v/>
      </c>
      <c r="AF49" s="296" t="str">
        <f t="array" aca="1" ref="AF49" ca="1">IF($A49="*","",IFERROR(INDEX(AGR!$E$52:$L$73,MATCH('TS DTech'!$C49,AGR!$B$52:$B$73,0),MATCH('TS DTech'!$B49&amp;AF$7,AGR!$E$46:$L$46&amp;AGR!$E$48:$L$48,0)),""))</f>
        <v/>
      </c>
      <c r="AG49" s="296" t="str">
        <f t="array" aca="1" ref="AG49" ca="1">IF($A49="*","",IFERROR(INDEX(AGR!$E$52:$L$73,MATCH('TS DTech'!$C49,AGR!$B$52:$B$73,0),MATCH('TS DTech'!$B49&amp;AG$7,AGR!$E$46:$L$46&amp;AGR!$E$48:$L$48,0)),""))</f>
        <v/>
      </c>
      <c r="AH49" s="296" t="str">
        <f t="array" aca="1" ref="AH49" ca="1">IF($A49="*","",IFERROR(INDEX(AGR!$E$52:$L$73,MATCH('TS DTech'!$C49,AGR!$B$52:$B$73,0),MATCH('TS DTech'!$B49&amp;AH$7,AGR!$E$46:$L$46&amp;AGR!$E$48:$L$48,0)),""))</f>
        <v/>
      </c>
      <c r="AI49" s="296" t="str">
        <f t="array" aca="1" ref="AI49" ca="1">IF($A49="*","",IFERROR(INDEX(AGR!$E$52:$L$73,MATCH('TS DTech'!$C49,AGR!$B$52:$B$73,0),MATCH('TS DTech'!$B49&amp;AI$7,AGR!$E$46:$L$46&amp;AGR!$E$48:$L$48,0)),""))</f>
        <v/>
      </c>
      <c r="AJ49" s="296" t="str">
        <f t="array" aca="1" ref="AJ49" ca="1">IF($A49="*","",IFERROR(INDEX(AGR!$E$52:$L$73,MATCH('TS DTech'!$C49,AGR!$B$52:$B$73,0),MATCH('TS DTech'!$B49&amp;AJ$7,AGR!$E$46:$L$46&amp;AGR!$E$48:$L$48,0)),""))</f>
        <v/>
      </c>
      <c r="AK49" s="296" t="str">
        <f t="array" aca="1" ref="AK49" ca="1">IF($A49="*","",IFERROR(INDEX(AGR!$E$52:$L$73,MATCH('TS DTech'!$C49,AGR!$B$52:$B$73,0),MATCH('TS DTech'!$B49&amp;AK$7,AGR!$E$46:$L$46&amp;AGR!$E$48:$L$48,0)),""))</f>
        <v/>
      </c>
      <c r="AL49" s="296" t="str">
        <f t="array" aca="1" ref="AL49" ca="1">IF($A49="*","",IFERROR(INDEX(AGR!$E$52:$L$73,MATCH('TS DTech'!$C49,AGR!$B$52:$B$73,0),MATCH('TS DTech'!$B49&amp;AL$7,AGR!$E$46:$L$46&amp;AGR!$E$48:$L$48,0)),""))</f>
        <v/>
      </c>
      <c r="AM49" s="296" t="str">
        <f t="array" aca="1" ref="AM49" ca="1">IF($A49="*","",IFERROR(INDEX(AGR!$E$52:$L$73,MATCH('TS DTech'!$C49,AGR!$B$52:$B$73,0),MATCH('TS DTech'!$B49&amp;AM$7,AGR!$E$46:$L$46&amp;AGR!$E$48:$L$48,0)),""))</f>
        <v/>
      </c>
      <c r="AN49" s="296" t="str">
        <f t="array" aca="1" ref="AN49" ca="1">IF($A49="*","",IFERROR(INDEX(AGR!$E$52:$L$73,MATCH('TS DTech'!$C49,AGR!$B$52:$B$73,0),MATCH('TS DTech'!$B49&amp;AN$7,AGR!$E$46:$L$46&amp;AGR!$E$48:$L$48,0)),""))</f>
        <v/>
      </c>
      <c r="AO49" s="296" t="str">
        <f t="array" aca="1" ref="AO49" ca="1">IF($A49="*","",IFERROR(INDEX(AGR!$E$52:$L$73,MATCH('TS DTech'!$C49,AGR!$B$52:$B$73,0),MATCH('TS DTech'!$B49&amp;AO$7,AGR!$E$46:$L$46&amp;AGR!$E$48:$L$48,0)),""))</f>
        <v/>
      </c>
      <c r="AP49" s="296" t="str">
        <f t="array" aca="1" ref="AP49" ca="1">IF($A49="*","",IFERROR(INDEX(AGR!$E$52:$L$73,MATCH('TS DTech'!$C49,AGR!$B$52:$B$73,0),MATCH('TS DTech'!$B49&amp;AP$7,AGR!$E$46:$L$46&amp;AGR!$E$48:$L$48,0)),""))</f>
        <v/>
      </c>
      <c r="AQ49" s="137">
        <f>IF(AR48=AGR!$AD$74,AQ48+1,AQ48)</f>
        <v>2</v>
      </c>
      <c r="AR49" s="137">
        <f t="shared" si="3"/>
        <v>11</v>
      </c>
    </row>
    <row r="50" spans="1:44">
      <c r="A50" s="137" t="str">
        <f ca="1">IF(LEFT(OFFSET(AGR!$A$51,AR50,0),2)="\I","*","")</f>
        <v/>
      </c>
      <c r="B50" s="212" t="str">
        <f t="shared" ca="1" si="4"/>
        <v>NCAP_AFA</v>
      </c>
      <c r="C50" s="212" t="str">
        <f ca="1">IF($A50="*","",OFFSET(AGR!$B$51,AR50,0))</f>
        <v>ATELC-E</v>
      </c>
      <c r="D50" s="212" t="str">
        <f t="shared" ca="1" si="5"/>
        <v>-</v>
      </c>
      <c r="E50" s="212" t="str">
        <f t="shared" ca="1" si="5"/>
        <v>-</v>
      </c>
      <c r="F50" s="212" t="str">
        <f t="shared" ca="1" si="5"/>
        <v>-</v>
      </c>
      <c r="G50" s="212" t="str">
        <f t="shared" ca="1" si="5"/>
        <v>ANNUAL</v>
      </c>
      <c r="H50" s="212" t="str">
        <f t="shared" ca="1" si="5"/>
        <v>UP</v>
      </c>
      <c r="I50" s="213">
        <f t="shared" ca="1" si="5"/>
        <v>3</v>
      </c>
      <c r="J50" s="296">
        <f t="array" aca="1" ref="J50" ca="1">IF($A50="*","",IFERROR(INDEX(AGR!$E$52:$L$73,MATCH('TS DTech'!$C50,AGR!$B$52:$B$73,0),MATCH('TS DTech'!$B50&amp;J$7,AGR!$E$46:$L$46&amp;AGR!$E$48:$L$48,0)),""))</f>
        <v>0.77659999999999996</v>
      </c>
      <c r="K50" s="296" t="str">
        <f t="array" aca="1" ref="K50" ca="1">IF($A50="*","",IFERROR(INDEX(AGR!$E$52:$L$73,MATCH('TS DTech'!$C50,AGR!$B$52:$B$73,0),MATCH('TS DTech'!$B50&amp;K$7,AGR!$E$46:$L$46&amp;AGR!$E$48:$L$48,0)),""))</f>
        <v/>
      </c>
      <c r="L50" s="296" t="str">
        <f t="array" aca="1" ref="L50" ca="1">IF($A50="*","",IFERROR(INDEX(AGR!$E$52:$L$73,MATCH('TS DTech'!$C50,AGR!$B$52:$B$73,0),MATCH('TS DTech'!$B50&amp;L$7,AGR!$E$46:$L$46&amp;AGR!$E$48:$L$48,0)),""))</f>
        <v/>
      </c>
      <c r="M50" s="296" t="str">
        <f t="array" aca="1" ref="M50" ca="1">IF($A50="*","",IFERROR(INDEX(AGR!$E$52:$L$73,MATCH('TS DTech'!$C50,AGR!$B$52:$B$73,0),MATCH('TS DTech'!$B50&amp;M$7,AGR!$E$46:$L$46&amp;AGR!$E$48:$L$48,0)),""))</f>
        <v/>
      </c>
      <c r="N50" s="296" t="str">
        <f t="array" aca="1" ref="N50" ca="1">IF($A50="*","",IFERROR(INDEX(AGR!$E$52:$L$73,MATCH('TS DTech'!$C50,AGR!$B$52:$B$73,0),MATCH('TS DTech'!$B50&amp;N$7,AGR!$E$46:$L$46&amp;AGR!$E$48:$L$48,0)),""))</f>
        <v/>
      </c>
      <c r="O50" s="296">
        <f t="array" aca="1" ref="O50" ca="1">IF($A50="*","",IFERROR(INDEX(AGR!$E$52:$L$73,MATCH('TS DTech'!$C50,AGR!$B$52:$B$73,0),MATCH('TS DTech'!$B50&amp;O$7,AGR!$E$46:$L$46&amp;AGR!$E$48:$L$48,0)),""))</f>
        <v>0.77659999999999996</v>
      </c>
      <c r="P50" s="296" t="str">
        <f t="array" aca="1" ref="P50" ca="1">IF($A50="*","",IFERROR(INDEX(AGR!$E$52:$L$73,MATCH('TS DTech'!$C50,AGR!$B$52:$B$73,0),MATCH('TS DTech'!$B50&amp;P$7,AGR!$E$46:$L$46&amp;AGR!$E$48:$L$48,0)),""))</f>
        <v/>
      </c>
      <c r="Q50" s="296" t="str">
        <f t="array" aca="1" ref="Q50" ca="1">IF($A50="*","",IFERROR(INDEX(AGR!$E$52:$L$73,MATCH('TS DTech'!$C50,AGR!$B$52:$B$73,0),MATCH('TS DTech'!$B50&amp;Q$7,AGR!$E$46:$L$46&amp;AGR!$E$48:$L$48,0)),""))</f>
        <v/>
      </c>
      <c r="R50" s="296" t="str">
        <f t="array" aca="1" ref="R50" ca="1">IF($A50="*","",IFERROR(INDEX(AGR!$E$52:$L$73,MATCH('TS DTech'!$C50,AGR!$B$52:$B$73,0),MATCH('TS DTech'!$B50&amp;R$7,AGR!$E$46:$L$46&amp;AGR!$E$48:$L$48,0)),""))</f>
        <v/>
      </c>
      <c r="S50" s="296" t="str">
        <f t="array" aca="1" ref="S50" ca="1">IF($A50="*","",IFERROR(INDEX(AGR!$E$52:$L$73,MATCH('TS DTech'!$C50,AGR!$B$52:$B$73,0),MATCH('TS DTech'!$B50&amp;S$7,AGR!$E$46:$L$46&amp;AGR!$E$48:$L$48,0)),""))</f>
        <v/>
      </c>
      <c r="T50" s="296" t="str">
        <f t="array" aca="1" ref="T50" ca="1">IF($A50="*","",IFERROR(INDEX(AGR!$E$52:$L$73,MATCH('TS DTech'!$C50,AGR!$B$52:$B$73,0),MATCH('TS DTech'!$B50&amp;T$7,AGR!$E$46:$L$46&amp;AGR!$E$48:$L$48,0)),""))</f>
        <v/>
      </c>
      <c r="U50" s="296" t="str">
        <f t="array" aca="1" ref="U50" ca="1">IF($A50="*","",IFERROR(INDEX(AGR!$E$52:$L$73,MATCH('TS DTech'!$C50,AGR!$B$52:$B$73,0),MATCH('TS DTech'!$B50&amp;U$7,AGR!$E$46:$L$46&amp;AGR!$E$48:$L$48,0)),""))</f>
        <v/>
      </c>
      <c r="V50" s="296" t="str">
        <f t="array" aca="1" ref="V50" ca="1">IF($A50="*","",IFERROR(INDEX(AGR!$E$52:$L$73,MATCH('TS DTech'!$C50,AGR!$B$52:$B$73,0),MATCH('TS DTech'!$B50&amp;V$7,AGR!$E$46:$L$46&amp;AGR!$E$48:$L$48,0)),""))</f>
        <v/>
      </c>
      <c r="W50" s="296" t="str">
        <f t="array" aca="1" ref="W50" ca="1">IF($A50="*","",IFERROR(INDEX(AGR!$E$52:$L$73,MATCH('TS DTech'!$C50,AGR!$B$52:$B$73,0),MATCH('TS DTech'!$B50&amp;W$7,AGR!$E$46:$L$46&amp;AGR!$E$48:$L$48,0)),""))</f>
        <v/>
      </c>
      <c r="X50" s="296" t="str">
        <f t="array" aca="1" ref="X50" ca="1">IF($A50="*","",IFERROR(INDEX(AGR!$E$52:$L$73,MATCH('TS DTech'!$C50,AGR!$B$52:$B$73,0),MATCH('TS DTech'!$B50&amp;X$7,AGR!$E$46:$L$46&amp;AGR!$E$48:$L$48,0)),""))</f>
        <v/>
      </c>
      <c r="Y50" s="296" t="str">
        <f t="array" aca="1" ref="Y50" ca="1">IF($A50="*","",IFERROR(INDEX(AGR!$E$52:$L$73,MATCH('TS DTech'!$C50,AGR!$B$52:$B$73,0),MATCH('TS DTech'!$B50&amp;Y$7,AGR!$E$46:$L$46&amp;AGR!$E$48:$L$48,0)),""))</f>
        <v/>
      </c>
      <c r="Z50" s="296" t="str">
        <f t="array" aca="1" ref="Z50" ca="1">IF($A50="*","",IFERROR(INDEX(AGR!$E$52:$L$73,MATCH('TS DTech'!$C50,AGR!$B$52:$B$73,0),MATCH('TS DTech'!$B50&amp;Z$7,AGR!$E$46:$L$46&amp;AGR!$E$48:$L$48,0)),""))</f>
        <v/>
      </c>
      <c r="AA50" s="296" t="str">
        <f t="array" aca="1" ref="AA50" ca="1">IF($A50="*","",IFERROR(INDEX(AGR!$E$52:$L$73,MATCH('TS DTech'!$C50,AGR!$B$52:$B$73,0),MATCH('TS DTech'!$B50&amp;AA$7,AGR!$E$46:$L$46&amp;AGR!$E$48:$L$48,0)),""))</f>
        <v/>
      </c>
      <c r="AB50" s="296" t="str">
        <f t="array" aca="1" ref="AB50" ca="1">IF($A50="*","",IFERROR(INDEX(AGR!$E$52:$L$73,MATCH('TS DTech'!$C50,AGR!$B$52:$B$73,0),MATCH('TS DTech'!$B50&amp;AB$7,AGR!$E$46:$L$46&amp;AGR!$E$48:$L$48,0)),""))</f>
        <v/>
      </c>
      <c r="AC50" s="296" t="str">
        <f t="array" aca="1" ref="AC50" ca="1">IF($A50="*","",IFERROR(INDEX(AGR!$E$52:$L$73,MATCH('TS DTech'!$C50,AGR!$B$52:$B$73,0),MATCH('TS DTech'!$B50&amp;AC$7,AGR!$E$46:$L$46&amp;AGR!$E$48:$L$48,0)),""))</f>
        <v/>
      </c>
      <c r="AD50" s="296" t="str">
        <f t="array" aca="1" ref="AD50" ca="1">IF($A50="*","",IFERROR(INDEX(AGR!$E$52:$L$73,MATCH('TS DTech'!$C50,AGR!$B$52:$B$73,0),MATCH('TS DTech'!$B50&amp;AD$7,AGR!$E$46:$L$46&amp;AGR!$E$48:$L$48,0)),""))</f>
        <v/>
      </c>
      <c r="AE50" s="296" t="str">
        <f t="array" aca="1" ref="AE50" ca="1">IF($A50="*","",IFERROR(INDEX(AGR!$E$52:$L$73,MATCH('TS DTech'!$C50,AGR!$B$52:$B$73,0),MATCH('TS DTech'!$B50&amp;AE$7,AGR!$E$46:$L$46&amp;AGR!$E$48:$L$48,0)),""))</f>
        <v/>
      </c>
      <c r="AF50" s="296" t="str">
        <f t="array" aca="1" ref="AF50" ca="1">IF($A50="*","",IFERROR(INDEX(AGR!$E$52:$L$73,MATCH('TS DTech'!$C50,AGR!$B$52:$B$73,0),MATCH('TS DTech'!$B50&amp;AF$7,AGR!$E$46:$L$46&amp;AGR!$E$48:$L$48,0)),""))</f>
        <v/>
      </c>
      <c r="AG50" s="296" t="str">
        <f t="array" aca="1" ref="AG50" ca="1">IF($A50="*","",IFERROR(INDEX(AGR!$E$52:$L$73,MATCH('TS DTech'!$C50,AGR!$B$52:$B$73,0),MATCH('TS DTech'!$B50&amp;AG$7,AGR!$E$46:$L$46&amp;AGR!$E$48:$L$48,0)),""))</f>
        <v/>
      </c>
      <c r="AH50" s="296" t="str">
        <f t="array" aca="1" ref="AH50" ca="1">IF($A50="*","",IFERROR(INDEX(AGR!$E$52:$L$73,MATCH('TS DTech'!$C50,AGR!$B$52:$B$73,0),MATCH('TS DTech'!$B50&amp;AH$7,AGR!$E$46:$L$46&amp;AGR!$E$48:$L$48,0)),""))</f>
        <v/>
      </c>
      <c r="AI50" s="296" t="str">
        <f t="array" aca="1" ref="AI50" ca="1">IF($A50="*","",IFERROR(INDEX(AGR!$E$52:$L$73,MATCH('TS DTech'!$C50,AGR!$B$52:$B$73,0),MATCH('TS DTech'!$B50&amp;AI$7,AGR!$E$46:$L$46&amp;AGR!$E$48:$L$48,0)),""))</f>
        <v/>
      </c>
      <c r="AJ50" s="296" t="str">
        <f t="array" aca="1" ref="AJ50" ca="1">IF($A50="*","",IFERROR(INDEX(AGR!$E$52:$L$73,MATCH('TS DTech'!$C50,AGR!$B$52:$B$73,0),MATCH('TS DTech'!$B50&amp;AJ$7,AGR!$E$46:$L$46&amp;AGR!$E$48:$L$48,0)),""))</f>
        <v/>
      </c>
      <c r="AK50" s="296" t="str">
        <f t="array" aca="1" ref="AK50" ca="1">IF($A50="*","",IFERROR(INDEX(AGR!$E$52:$L$73,MATCH('TS DTech'!$C50,AGR!$B$52:$B$73,0),MATCH('TS DTech'!$B50&amp;AK$7,AGR!$E$46:$L$46&amp;AGR!$E$48:$L$48,0)),""))</f>
        <v/>
      </c>
      <c r="AL50" s="296" t="str">
        <f t="array" aca="1" ref="AL50" ca="1">IF($A50="*","",IFERROR(INDEX(AGR!$E$52:$L$73,MATCH('TS DTech'!$C50,AGR!$B$52:$B$73,0),MATCH('TS DTech'!$B50&amp;AL$7,AGR!$E$46:$L$46&amp;AGR!$E$48:$L$48,0)),""))</f>
        <v/>
      </c>
      <c r="AM50" s="296" t="str">
        <f t="array" aca="1" ref="AM50" ca="1">IF($A50="*","",IFERROR(INDEX(AGR!$E$52:$L$73,MATCH('TS DTech'!$C50,AGR!$B$52:$B$73,0),MATCH('TS DTech'!$B50&amp;AM$7,AGR!$E$46:$L$46&amp;AGR!$E$48:$L$48,0)),""))</f>
        <v/>
      </c>
      <c r="AN50" s="296" t="str">
        <f t="array" aca="1" ref="AN50" ca="1">IF($A50="*","",IFERROR(INDEX(AGR!$E$52:$L$73,MATCH('TS DTech'!$C50,AGR!$B$52:$B$73,0),MATCH('TS DTech'!$B50&amp;AN$7,AGR!$E$46:$L$46&amp;AGR!$E$48:$L$48,0)),""))</f>
        <v/>
      </c>
      <c r="AO50" s="296" t="str">
        <f t="array" aca="1" ref="AO50" ca="1">IF($A50="*","",IFERROR(INDEX(AGR!$E$52:$L$73,MATCH('TS DTech'!$C50,AGR!$B$52:$B$73,0),MATCH('TS DTech'!$B50&amp;AO$7,AGR!$E$46:$L$46&amp;AGR!$E$48:$L$48,0)),""))</f>
        <v/>
      </c>
      <c r="AP50" s="296" t="str">
        <f t="array" aca="1" ref="AP50" ca="1">IF($A50="*","",IFERROR(INDEX(AGR!$E$52:$L$73,MATCH('TS DTech'!$C50,AGR!$B$52:$B$73,0),MATCH('TS DTech'!$B50&amp;AP$7,AGR!$E$46:$L$46&amp;AGR!$E$48:$L$48,0)),""))</f>
        <v/>
      </c>
      <c r="AQ50" s="137">
        <f>IF(AR49=AGR!$AD$74,AQ49+1,AQ49)</f>
        <v>2</v>
      </c>
      <c r="AR50" s="137">
        <f t="shared" si="3"/>
        <v>12</v>
      </c>
    </row>
    <row r="51" spans="1:44">
      <c r="A51" s="137" t="str">
        <f ca="1">IF(LEFT(OFFSET(AGR!$A$51,AR51,0),2)="\I","*","")</f>
        <v/>
      </c>
      <c r="B51" s="212" t="str">
        <f t="shared" ca="1" si="4"/>
        <v>NCAP_AFA</v>
      </c>
      <c r="C51" s="212" t="str">
        <f ca="1">IF($A51="*","",OFFSET(AGR!$B$51,AR51,0))</f>
        <v>ATOGS-E</v>
      </c>
      <c r="D51" s="212" t="str">
        <f t="shared" ca="1" si="5"/>
        <v>-</v>
      </c>
      <c r="E51" s="212" t="str">
        <f t="shared" ca="1" si="5"/>
        <v>-</v>
      </c>
      <c r="F51" s="212" t="str">
        <f t="shared" ca="1" si="5"/>
        <v>-</v>
      </c>
      <c r="G51" s="212" t="str">
        <f t="shared" ca="1" si="5"/>
        <v>ANNUAL</v>
      </c>
      <c r="H51" s="212" t="str">
        <f t="shared" ca="1" si="5"/>
        <v>UP</v>
      </c>
      <c r="I51" s="213">
        <f t="shared" ca="1" si="5"/>
        <v>3</v>
      </c>
      <c r="J51" s="296">
        <f t="array" aca="1" ref="J51" ca="1">IF($A51="*","",IFERROR(INDEX(AGR!$E$52:$L$73,MATCH('TS DTech'!$C51,AGR!$B$52:$B$73,0),MATCH('TS DTech'!$B51&amp;J$7,AGR!$E$46:$L$46&amp;AGR!$E$48:$L$48,0)),""))</f>
        <v>0.77659999999999996</v>
      </c>
      <c r="K51" s="296" t="str">
        <f t="array" aca="1" ref="K51" ca="1">IF($A51="*","",IFERROR(INDEX(AGR!$E$52:$L$73,MATCH('TS DTech'!$C51,AGR!$B$52:$B$73,0),MATCH('TS DTech'!$B51&amp;K$7,AGR!$E$46:$L$46&amp;AGR!$E$48:$L$48,0)),""))</f>
        <v/>
      </c>
      <c r="L51" s="296" t="str">
        <f t="array" aca="1" ref="L51" ca="1">IF($A51="*","",IFERROR(INDEX(AGR!$E$52:$L$73,MATCH('TS DTech'!$C51,AGR!$B$52:$B$73,0),MATCH('TS DTech'!$B51&amp;L$7,AGR!$E$46:$L$46&amp;AGR!$E$48:$L$48,0)),""))</f>
        <v/>
      </c>
      <c r="M51" s="296" t="str">
        <f t="array" aca="1" ref="M51" ca="1">IF($A51="*","",IFERROR(INDEX(AGR!$E$52:$L$73,MATCH('TS DTech'!$C51,AGR!$B$52:$B$73,0),MATCH('TS DTech'!$B51&amp;M$7,AGR!$E$46:$L$46&amp;AGR!$E$48:$L$48,0)),""))</f>
        <v/>
      </c>
      <c r="N51" s="296" t="str">
        <f t="array" aca="1" ref="N51" ca="1">IF($A51="*","",IFERROR(INDEX(AGR!$E$52:$L$73,MATCH('TS DTech'!$C51,AGR!$B$52:$B$73,0),MATCH('TS DTech'!$B51&amp;N$7,AGR!$E$46:$L$46&amp;AGR!$E$48:$L$48,0)),""))</f>
        <v/>
      </c>
      <c r="O51" s="296">
        <f t="array" aca="1" ref="O51" ca="1">IF($A51="*","",IFERROR(INDEX(AGR!$E$52:$L$73,MATCH('TS DTech'!$C51,AGR!$B$52:$B$73,0),MATCH('TS DTech'!$B51&amp;O$7,AGR!$E$46:$L$46&amp;AGR!$E$48:$L$48,0)),""))</f>
        <v>0.77659999999999996</v>
      </c>
      <c r="P51" s="296" t="str">
        <f t="array" aca="1" ref="P51" ca="1">IF($A51="*","",IFERROR(INDEX(AGR!$E$52:$L$73,MATCH('TS DTech'!$C51,AGR!$B$52:$B$73,0),MATCH('TS DTech'!$B51&amp;P$7,AGR!$E$46:$L$46&amp;AGR!$E$48:$L$48,0)),""))</f>
        <v/>
      </c>
      <c r="Q51" s="296" t="str">
        <f t="array" aca="1" ref="Q51" ca="1">IF($A51="*","",IFERROR(INDEX(AGR!$E$52:$L$73,MATCH('TS DTech'!$C51,AGR!$B$52:$B$73,0),MATCH('TS DTech'!$B51&amp;Q$7,AGR!$E$46:$L$46&amp;AGR!$E$48:$L$48,0)),""))</f>
        <v/>
      </c>
      <c r="R51" s="296" t="str">
        <f t="array" aca="1" ref="R51" ca="1">IF($A51="*","",IFERROR(INDEX(AGR!$E$52:$L$73,MATCH('TS DTech'!$C51,AGR!$B$52:$B$73,0),MATCH('TS DTech'!$B51&amp;R$7,AGR!$E$46:$L$46&amp;AGR!$E$48:$L$48,0)),""))</f>
        <v/>
      </c>
      <c r="S51" s="296" t="str">
        <f t="array" aca="1" ref="S51" ca="1">IF($A51="*","",IFERROR(INDEX(AGR!$E$52:$L$73,MATCH('TS DTech'!$C51,AGR!$B$52:$B$73,0),MATCH('TS DTech'!$B51&amp;S$7,AGR!$E$46:$L$46&amp;AGR!$E$48:$L$48,0)),""))</f>
        <v/>
      </c>
      <c r="T51" s="296" t="str">
        <f t="array" aca="1" ref="T51" ca="1">IF($A51="*","",IFERROR(INDEX(AGR!$E$52:$L$73,MATCH('TS DTech'!$C51,AGR!$B$52:$B$73,0),MATCH('TS DTech'!$B51&amp;T$7,AGR!$E$46:$L$46&amp;AGR!$E$48:$L$48,0)),""))</f>
        <v/>
      </c>
      <c r="U51" s="296" t="str">
        <f t="array" aca="1" ref="U51" ca="1">IF($A51="*","",IFERROR(INDEX(AGR!$E$52:$L$73,MATCH('TS DTech'!$C51,AGR!$B$52:$B$73,0),MATCH('TS DTech'!$B51&amp;U$7,AGR!$E$46:$L$46&amp;AGR!$E$48:$L$48,0)),""))</f>
        <v/>
      </c>
      <c r="V51" s="296" t="str">
        <f t="array" aca="1" ref="V51" ca="1">IF($A51="*","",IFERROR(INDEX(AGR!$E$52:$L$73,MATCH('TS DTech'!$C51,AGR!$B$52:$B$73,0),MATCH('TS DTech'!$B51&amp;V$7,AGR!$E$46:$L$46&amp;AGR!$E$48:$L$48,0)),""))</f>
        <v/>
      </c>
      <c r="W51" s="296" t="str">
        <f t="array" aca="1" ref="W51" ca="1">IF($A51="*","",IFERROR(INDEX(AGR!$E$52:$L$73,MATCH('TS DTech'!$C51,AGR!$B$52:$B$73,0),MATCH('TS DTech'!$B51&amp;W$7,AGR!$E$46:$L$46&amp;AGR!$E$48:$L$48,0)),""))</f>
        <v/>
      </c>
      <c r="X51" s="296" t="str">
        <f t="array" aca="1" ref="X51" ca="1">IF($A51="*","",IFERROR(INDEX(AGR!$E$52:$L$73,MATCH('TS DTech'!$C51,AGR!$B$52:$B$73,0),MATCH('TS DTech'!$B51&amp;X$7,AGR!$E$46:$L$46&amp;AGR!$E$48:$L$48,0)),""))</f>
        <v/>
      </c>
      <c r="Y51" s="296" t="str">
        <f t="array" aca="1" ref="Y51" ca="1">IF($A51="*","",IFERROR(INDEX(AGR!$E$52:$L$73,MATCH('TS DTech'!$C51,AGR!$B$52:$B$73,0),MATCH('TS DTech'!$B51&amp;Y$7,AGR!$E$46:$L$46&amp;AGR!$E$48:$L$48,0)),""))</f>
        <v/>
      </c>
      <c r="Z51" s="296" t="str">
        <f t="array" aca="1" ref="Z51" ca="1">IF($A51="*","",IFERROR(INDEX(AGR!$E$52:$L$73,MATCH('TS DTech'!$C51,AGR!$B$52:$B$73,0),MATCH('TS DTech'!$B51&amp;Z$7,AGR!$E$46:$L$46&amp;AGR!$E$48:$L$48,0)),""))</f>
        <v/>
      </c>
      <c r="AA51" s="296" t="str">
        <f t="array" aca="1" ref="AA51" ca="1">IF($A51="*","",IFERROR(INDEX(AGR!$E$52:$L$73,MATCH('TS DTech'!$C51,AGR!$B$52:$B$73,0),MATCH('TS DTech'!$B51&amp;AA$7,AGR!$E$46:$L$46&amp;AGR!$E$48:$L$48,0)),""))</f>
        <v/>
      </c>
      <c r="AB51" s="296" t="str">
        <f t="array" aca="1" ref="AB51" ca="1">IF($A51="*","",IFERROR(INDEX(AGR!$E$52:$L$73,MATCH('TS DTech'!$C51,AGR!$B$52:$B$73,0),MATCH('TS DTech'!$B51&amp;AB$7,AGR!$E$46:$L$46&amp;AGR!$E$48:$L$48,0)),""))</f>
        <v/>
      </c>
      <c r="AC51" s="296" t="str">
        <f t="array" aca="1" ref="AC51" ca="1">IF($A51="*","",IFERROR(INDEX(AGR!$E$52:$L$73,MATCH('TS DTech'!$C51,AGR!$B$52:$B$73,0),MATCH('TS DTech'!$B51&amp;AC$7,AGR!$E$46:$L$46&amp;AGR!$E$48:$L$48,0)),""))</f>
        <v/>
      </c>
      <c r="AD51" s="296" t="str">
        <f t="array" aca="1" ref="AD51" ca="1">IF($A51="*","",IFERROR(INDEX(AGR!$E$52:$L$73,MATCH('TS DTech'!$C51,AGR!$B$52:$B$73,0),MATCH('TS DTech'!$B51&amp;AD$7,AGR!$E$46:$L$46&amp;AGR!$E$48:$L$48,0)),""))</f>
        <v/>
      </c>
      <c r="AE51" s="296" t="str">
        <f t="array" aca="1" ref="AE51" ca="1">IF($A51="*","",IFERROR(INDEX(AGR!$E$52:$L$73,MATCH('TS DTech'!$C51,AGR!$B$52:$B$73,0),MATCH('TS DTech'!$B51&amp;AE$7,AGR!$E$46:$L$46&amp;AGR!$E$48:$L$48,0)),""))</f>
        <v/>
      </c>
      <c r="AF51" s="296" t="str">
        <f t="array" aca="1" ref="AF51" ca="1">IF($A51="*","",IFERROR(INDEX(AGR!$E$52:$L$73,MATCH('TS DTech'!$C51,AGR!$B$52:$B$73,0),MATCH('TS DTech'!$B51&amp;AF$7,AGR!$E$46:$L$46&amp;AGR!$E$48:$L$48,0)),""))</f>
        <v/>
      </c>
      <c r="AG51" s="296" t="str">
        <f t="array" aca="1" ref="AG51" ca="1">IF($A51="*","",IFERROR(INDEX(AGR!$E$52:$L$73,MATCH('TS DTech'!$C51,AGR!$B$52:$B$73,0),MATCH('TS DTech'!$B51&amp;AG$7,AGR!$E$46:$L$46&amp;AGR!$E$48:$L$48,0)),""))</f>
        <v/>
      </c>
      <c r="AH51" s="296" t="str">
        <f t="array" aca="1" ref="AH51" ca="1">IF($A51="*","",IFERROR(INDEX(AGR!$E$52:$L$73,MATCH('TS DTech'!$C51,AGR!$B$52:$B$73,0),MATCH('TS DTech'!$B51&amp;AH$7,AGR!$E$46:$L$46&amp;AGR!$E$48:$L$48,0)),""))</f>
        <v/>
      </c>
      <c r="AI51" s="296" t="str">
        <f t="array" aca="1" ref="AI51" ca="1">IF($A51="*","",IFERROR(INDEX(AGR!$E$52:$L$73,MATCH('TS DTech'!$C51,AGR!$B$52:$B$73,0),MATCH('TS DTech'!$B51&amp;AI$7,AGR!$E$46:$L$46&amp;AGR!$E$48:$L$48,0)),""))</f>
        <v/>
      </c>
      <c r="AJ51" s="296" t="str">
        <f t="array" aca="1" ref="AJ51" ca="1">IF($A51="*","",IFERROR(INDEX(AGR!$E$52:$L$73,MATCH('TS DTech'!$C51,AGR!$B$52:$B$73,0),MATCH('TS DTech'!$B51&amp;AJ$7,AGR!$E$46:$L$46&amp;AGR!$E$48:$L$48,0)),""))</f>
        <v/>
      </c>
      <c r="AK51" s="296" t="str">
        <f t="array" aca="1" ref="AK51" ca="1">IF($A51="*","",IFERROR(INDEX(AGR!$E$52:$L$73,MATCH('TS DTech'!$C51,AGR!$B$52:$B$73,0),MATCH('TS DTech'!$B51&amp;AK$7,AGR!$E$46:$L$46&amp;AGR!$E$48:$L$48,0)),""))</f>
        <v/>
      </c>
      <c r="AL51" s="296" t="str">
        <f t="array" aca="1" ref="AL51" ca="1">IF($A51="*","",IFERROR(INDEX(AGR!$E$52:$L$73,MATCH('TS DTech'!$C51,AGR!$B$52:$B$73,0),MATCH('TS DTech'!$B51&amp;AL$7,AGR!$E$46:$L$46&amp;AGR!$E$48:$L$48,0)),""))</f>
        <v/>
      </c>
      <c r="AM51" s="296" t="str">
        <f t="array" aca="1" ref="AM51" ca="1">IF($A51="*","",IFERROR(INDEX(AGR!$E$52:$L$73,MATCH('TS DTech'!$C51,AGR!$B$52:$B$73,0),MATCH('TS DTech'!$B51&amp;AM$7,AGR!$E$46:$L$46&amp;AGR!$E$48:$L$48,0)),""))</f>
        <v/>
      </c>
      <c r="AN51" s="296" t="str">
        <f t="array" aca="1" ref="AN51" ca="1">IF($A51="*","",IFERROR(INDEX(AGR!$E$52:$L$73,MATCH('TS DTech'!$C51,AGR!$B$52:$B$73,0),MATCH('TS DTech'!$B51&amp;AN$7,AGR!$E$46:$L$46&amp;AGR!$E$48:$L$48,0)),""))</f>
        <v/>
      </c>
      <c r="AO51" s="296" t="str">
        <f t="array" aca="1" ref="AO51" ca="1">IF($A51="*","",IFERROR(INDEX(AGR!$E$52:$L$73,MATCH('TS DTech'!$C51,AGR!$B$52:$B$73,0),MATCH('TS DTech'!$B51&amp;AO$7,AGR!$E$46:$L$46&amp;AGR!$E$48:$L$48,0)),""))</f>
        <v/>
      </c>
      <c r="AP51" s="296" t="str">
        <f t="array" aca="1" ref="AP51" ca="1">IF($A51="*","",IFERROR(INDEX(AGR!$E$52:$L$73,MATCH('TS DTech'!$C51,AGR!$B$52:$B$73,0),MATCH('TS DTech'!$B51&amp;AP$7,AGR!$E$46:$L$46&amp;AGR!$E$48:$L$48,0)),""))</f>
        <v/>
      </c>
      <c r="AQ51" s="137">
        <f>IF(AR50=AGR!$AD$74,AQ50+1,AQ50)</f>
        <v>2</v>
      </c>
      <c r="AR51" s="137">
        <f t="shared" si="3"/>
        <v>13</v>
      </c>
    </row>
    <row r="52" spans="1:44">
      <c r="A52" s="137" t="str">
        <f ca="1">IF(LEFT(OFFSET(AGR!$A$51,AR52,0),2)="\I","*","")</f>
        <v>*</v>
      </c>
      <c r="B52" s="212" t="str">
        <f t="shared" ca="1" si="4"/>
        <v/>
      </c>
      <c r="C52" s="212" t="str">
        <f ca="1">IF($A52="*","",OFFSET(AGR!$B$51,AR52,0))</f>
        <v/>
      </c>
      <c r="D52" s="212" t="str">
        <f t="shared" ca="1" si="5"/>
        <v/>
      </c>
      <c r="E52" s="212" t="str">
        <f t="shared" ca="1" si="5"/>
        <v/>
      </c>
      <c r="F52" s="212" t="str">
        <f t="shared" ca="1" si="5"/>
        <v/>
      </c>
      <c r="G52" s="212" t="str">
        <f t="shared" ca="1" si="5"/>
        <v/>
      </c>
      <c r="H52" s="212" t="str">
        <f t="shared" ca="1" si="5"/>
        <v/>
      </c>
      <c r="I52" s="213" t="str">
        <f t="shared" ca="1" si="5"/>
        <v/>
      </c>
      <c r="J52" s="296" t="str">
        <f t="array" aca="1" ref="J52" ca="1">IF($A52="*","",IFERROR(INDEX(AGR!$E$52:$L$73,MATCH('TS DTech'!$C52,AGR!$B$52:$B$73,0),MATCH('TS DTech'!$B52&amp;J$7,AGR!$E$46:$L$46&amp;AGR!$E$48:$L$48,0)),""))</f>
        <v/>
      </c>
      <c r="K52" s="296" t="str">
        <f t="array" aca="1" ref="K52" ca="1">IF($A52="*","",IFERROR(INDEX(AGR!$E$52:$L$73,MATCH('TS DTech'!$C52,AGR!$B$52:$B$73,0),MATCH('TS DTech'!$B52&amp;K$7,AGR!$E$46:$L$46&amp;AGR!$E$48:$L$48,0)),""))</f>
        <v/>
      </c>
      <c r="L52" s="296" t="str">
        <f t="array" aca="1" ref="L52" ca="1">IF($A52="*","",IFERROR(INDEX(AGR!$E$52:$L$73,MATCH('TS DTech'!$C52,AGR!$B$52:$B$73,0),MATCH('TS DTech'!$B52&amp;L$7,AGR!$E$46:$L$46&amp;AGR!$E$48:$L$48,0)),""))</f>
        <v/>
      </c>
      <c r="M52" s="296" t="str">
        <f t="array" aca="1" ref="M52" ca="1">IF($A52="*","",IFERROR(INDEX(AGR!$E$52:$L$73,MATCH('TS DTech'!$C52,AGR!$B$52:$B$73,0),MATCH('TS DTech'!$B52&amp;M$7,AGR!$E$46:$L$46&amp;AGR!$E$48:$L$48,0)),""))</f>
        <v/>
      </c>
      <c r="N52" s="296" t="str">
        <f t="array" aca="1" ref="N52" ca="1">IF($A52="*","",IFERROR(INDEX(AGR!$E$52:$L$73,MATCH('TS DTech'!$C52,AGR!$B$52:$B$73,0),MATCH('TS DTech'!$B52&amp;N$7,AGR!$E$46:$L$46&amp;AGR!$E$48:$L$48,0)),""))</f>
        <v/>
      </c>
      <c r="O52" s="296" t="str">
        <f t="array" aca="1" ref="O52" ca="1">IF($A52="*","",IFERROR(INDEX(AGR!$E$52:$L$73,MATCH('TS DTech'!$C52,AGR!$B$52:$B$73,0),MATCH('TS DTech'!$B52&amp;O$7,AGR!$E$46:$L$46&amp;AGR!$E$48:$L$48,0)),""))</f>
        <v/>
      </c>
      <c r="P52" s="296" t="str">
        <f t="array" aca="1" ref="P52" ca="1">IF($A52="*","",IFERROR(INDEX(AGR!$E$52:$L$73,MATCH('TS DTech'!$C52,AGR!$B$52:$B$73,0),MATCH('TS DTech'!$B52&amp;P$7,AGR!$E$46:$L$46&amp;AGR!$E$48:$L$48,0)),""))</f>
        <v/>
      </c>
      <c r="Q52" s="296" t="str">
        <f t="array" aca="1" ref="Q52" ca="1">IF($A52="*","",IFERROR(INDEX(AGR!$E$52:$L$73,MATCH('TS DTech'!$C52,AGR!$B$52:$B$73,0),MATCH('TS DTech'!$B52&amp;Q$7,AGR!$E$46:$L$46&amp;AGR!$E$48:$L$48,0)),""))</f>
        <v/>
      </c>
      <c r="R52" s="296" t="str">
        <f t="array" aca="1" ref="R52" ca="1">IF($A52="*","",IFERROR(INDEX(AGR!$E$52:$L$73,MATCH('TS DTech'!$C52,AGR!$B$52:$B$73,0),MATCH('TS DTech'!$B52&amp;R$7,AGR!$E$46:$L$46&amp;AGR!$E$48:$L$48,0)),""))</f>
        <v/>
      </c>
      <c r="S52" s="296" t="str">
        <f t="array" aca="1" ref="S52" ca="1">IF($A52="*","",IFERROR(INDEX(AGR!$E$52:$L$73,MATCH('TS DTech'!$C52,AGR!$B$52:$B$73,0),MATCH('TS DTech'!$B52&amp;S$7,AGR!$E$46:$L$46&amp;AGR!$E$48:$L$48,0)),""))</f>
        <v/>
      </c>
      <c r="T52" s="296" t="str">
        <f t="array" aca="1" ref="T52" ca="1">IF($A52="*","",IFERROR(INDEX(AGR!$E$52:$L$73,MATCH('TS DTech'!$C52,AGR!$B$52:$B$73,0),MATCH('TS DTech'!$B52&amp;T$7,AGR!$E$46:$L$46&amp;AGR!$E$48:$L$48,0)),""))</f>
        <v/>
      </c>
      <c r="U52" s="296" t="str">
        <f t="array" aca="1" ref="U52" ca="1">IF($A52="*","",IFERROR(INDEX(AGR!$E$52:$L$73,MATCH('TS DTech'!$C52,AGR!$B$52:$B$73,0),MATCH('TS DTech'!$B52&amp;U$7,AGR!$E$46:$L$46&amp;AGR!$E$48:$L$48,0)),""))</f>
        <v/>
      </c>
      <c r="V52" s="296" t="str">
        <f t="array" aca="1" ref="V52" ca="1">IF($A52="*","",IFERROR(INDEX(AGR!$E$52:$L$73,MATCH('TS DTech'!$C52,AGR!$B$52:$B$73,0),MATCH('TS DTech'!$B52&amp;V$7,AGR!$E$46:$L$46&amp;AGR!$E$48:$L$48,0)),""))</f>
        <v/>
      </c>
      <c r="W52" s="296" t="str">
        <f t="array" aca="1" ref="W52" ca="1">IF($A52="*","",IFERROR(INDEX(AGR!$E$52:$L$73,MATCH('TS DTech'!$C52,AGR!$B$52:$B$73,0),MATCH('TS DTech'!$B52&amp;W$7,AGR!$E$46:$L$46&amp;AGR!$E$48:$L$48,0)),""))</f>
        <v/>
      </c>
      <c r="X52" s="296" t="str">
        <f t="array" aca="1" ref="X52" ca="1">IF($A52="*","",IFERROR(INDEX(AGR!$E$52:$L$73,MATCH('TS DTech'!$C52,AGR!$B$52:$B$73,0),MATCH('TS DTech'!$B52&amp;X$7,AGR!$E$46:$L$46&amp;AGR!$E$48:$L$48,0)),""))</f>
        <v/>
      </c>
      <c r="Y52" s="296" t="str">
        <f t="array" aca="1" ref="Y52" ca="1">IF($A52="*","",IFERROR(INDEX(AGR!$E$52:$L$73,MATCH('TS DTech'!$C52,AGR!$B$52:$B$73,0),MATCH('TS DTech'!$B52&amp;Y$7,AGR!$E$46:$L$46&amp;AGR!$E$48:$L$48,0)),""))</f>
        <v/>
      </c>
      <c r="Z52" s="296" t="str">
        <f t="array" aca="1" ref="Z52" ca="1">IF($A52="*","",IFERROR(INDEX(AGR!$E$52:$L$73,MATCH('TS DTech'!$C52,AGR!$B$52:$B$73,0),MATCH('TS DTech'!$B52&amp;Z$7,AGR!$E$46:$L$46&amp;AGR!$E$48:$L$48,0)),""))</f>
        <v/>
      </c>
      <c r="AA52" s="296" t="str">
        <f t="array" aca="1" ref="AA52" ca="1">IF($A52="*","",IFERROR(INDEX(AGR!$E$52:$L$73,MATCH('TS DTech'!$C52,AGR!$B$52:$B$73,0),MATCH('TS DTech'!$B52&amp;AA$7,AGR!$E$46:$L$46&amp;AGR!$E$48:$L$48,0)),""))</f>
        <v/>
      </c>
      <c r="AB52" s="296" t="str">
        <f t="array" aca="1" ref="AB52" ca="1">IF($A52="*","",IFERROR(INDEX(AGR!$E$52:$L$73,MATCH('TS DTech'!$C52,AGR!$B$52:$B$73,0),MATCH('TS DTech'!$B52&amp;AB$7,AGR!$E$46:$L$46&amp;AGR!$E$48:$L$48,0)),""))</f>
        <v/>
      </c>
      <c r="AC52" s="296" t="str">
        <f t="array" aca="1" ref="AC52" ca="1">IF($A52="*","",IFERROR(INDEX(AGR!$E$52:$L$73,MATCH('TS DTech'!$C52,AGR!$B$52:$B$73,0),MATCH('TS DTech'!$B52&amp;AC$7,AGR!$E$46:$L$46&amp;AGR!$E$48:$L$48,0)),""))</f>
        <v/>
      </c>
      <c r="AD52" s="296" t="str">
        <f t="array" aca="1" ref="AD52" ca="1">IF($A52="*","",IFERROR(INDEX(AGR!$E$52:$L$73,MATCH('TS DTech'!$C52,AGR!$B$52:$B$73,0),MATCH('TS DTech'!$B52&amp;AD$7,AGR!$E$46:$L$46&amp;AGR!$E$48:$L$48,0)),""))</f>
        <v/>
      </c>
      <c r="AE52" s="296" t="str">
        <f t="array" aca="1" ref="AE52" ca="1">IF($A52="*","",IFERROR(INDEX(AGR!$E$52:$L$73,MATCH('TS DTech'!$C52,AGR!$B$52:$B$73,0),MATCH('TS DTech'!$B52&amp;AE$7,AGR!$E$46:$L$46&amp;AGR!$E$48:$L$48,0)),""))</f>
        <v/>
      </c>
      <c r="AF52" s="296" t="str">
        <f t="array" aca="1" ref="AF52" ca="1">IF($A52="*","",IFERROR(INDEX(AGR!$E$52:$L$73,MATCH('TS DTech'!$C52,AGR!$B$52:$B$73,0),MATCH('TS DTech'!$B52&amp;AF$7,AGR!$E$46:$L$46&amp;AGR!$E$48:$L$48,0)),""))</f>
        <v/>
      </c>
      <c r="AG52" s="296" t="str">
        <f t="array" aca="1" ref="AG52" ca="1">IF($A52="*","",IFERROR(INDEX(AGR!$E$52:$L$73,MATCH('TS DTech'!$C52,AGR!$B$52:$B$73,0),MATCH('TS DTech'!$B52&amp;AG$7,AGR!$E$46:$L$46&amp;AGR!$E$48:$L$48,0)),""))</f>
        <v/>
      </c>
      <c r="AH52" s="296" t="str">
        <f t="array" aca="1" ref="AH52" ca="1">IF($A52="*","",IFERROR(INDEX(AGR!$E$52:$L$73,MATCH('TS DTech'!$C52,AGR!$B$52:$B$73,0),MATCH('TS DTech'!$B52&amp;AH$7,AGR!$E$46:$L$46&amp;AGR!$E$48:$L$48,0)),""))</f>
        <v/>
      </c>
      <c r="AI52" s="296" t="str">
        <f t="array" aca="1" ref="AI52" ca="1">IF($A52="*","",IFERROR(INDEX(AGR!$E$52:$L$73,MATCH('TS DTech'!$C52,AGR!$B$52:$B$73,0),MATCH('TS DTech'!$B52&amp;AI$7,AGR!$E$46:$L$46&amp;AGR!$E$48:$L$48,0)),""))</f>
        <v/>
      </c>
      <c r="AJ52" s="296" t="str">
        <f t="array" aca="1" ref="AJ52" ca="1">IF($A52="*","",IFERROR(INDEX(AGR!$E$52:$L$73,MATCH('TS DTech'!$C52,AGR!$B$52:$B$73,0),MATCH('TS DTech'!$B52&amp;AJ$7,AGR!$E$46:$L$46&amp;AGR!$E$48:$L$48,0)),""))</f>
        <v/>
      </c>
      <c r="AK52" s="296" t="str">
        <f t="array" aca="1" ref="AK52" ca="1">IF($A52="*","",IFERROR(INDEX(AGR!$E$52:$L$73,MATCH('TS DTech'!$C52,AGR!$B$52:$B$73,0),MATCH('TS DTech'!$B52&amp;AK$7,AGR!$E$46:$L$46&amp;AGR!$E$48:$L$48,0)),""))</f>
        <v/>
      </c>
      <c r="AL52" s="296" t="str">
        <f t="array" aca="1" ref="AL52" ca="1">IF($A52="*","",IFERROR(INDEX(AGR!$E$52:$L$73,MATCH('TS DTech'!$C52,AGR!$B$52:$B$73,0),MATCH('TS DTech'!$B52&amp;AL$7,AGR!$E$46:$L$46&amp;AGR!$E$48:$L$48,0)),""))</f>
        <v/>
      </c>
      <c r="AM52" s="296" t="str">
        <f t="array" aca="1" ref="AM52" ca="1">IF($A52="*","",IFERROR(INDEX(AGR!$E$52:$L$73,MATCH('TS DTech'!$C52,AGR!$B$52:$B$73,0),MATCH('TS DTech'!$B52&amp;AM$7,AGR!$E$46:$L$46&amp;AGR!$E$48:$L$48,0)),""))</f>
        <v/>
      </c>
      <c r="AN52" s="296" t="str">
        <f t="array" aca="1" ref="AN52" ca="1">IF($A52="*","",IFERROR(INDEX(AGR!$E$52:$L$73,MATCH('TS DTech'!$C52,AGR!$B$52:$B$73,0),MATCH('TS DTech'!$B52&amp;AN$7,AGR!$E$46:$L$46&amp;AGR!$E$48:$L$48,0)),""))</f>
        <v/>
      </c>
      <c r="AO52" s="296" t="str">
        <f t="array" aca="1" ref="AO52" ca="1">IF($A52="*","",IFERROR(INDEX(AGR!$E$52:$L$73,MATCH('TS DTech'!$C52,AGR!$B$52:$B$73,0),MATCH('TS DTech'!$B52&amp;AO$7,AGR!$E$46:$L$46&amp;AGR!$E$48:$L$48,0)),""))</f>
        <v/>
      </c>
      <c r="AP52" s="296" t="str">
        <f t="array" aca="1" ref="AP52" ca="1">IF($A52="*","",IFERROR(INDEX(AGR!$E$52:$L$73,MATCH('TS DTech'!$C52,AGR!$B$52:$B$73,0),MATCH('TS DTech'!$B52&amp;AP$7,AGR!$E$46:$L$46&amp;AGR!$E$48:$L$48,0)),""))</f>
        <v/>
      </c>
      <c r="AQ52" s="137">
        <f>IF(AR51=AGR!$AD$74,AQ51+1,AQ51)</f>
        <v>2</v>
      </c>
      <c r="AR52" s="137">
        <f t="shared" si="3"/>
        <v>14</v>
      </c>
    </row>
    <row r="53" spans="1:44">
      <c r="A53" s="137" t="str">
        <f ca="1">IF(LEFT(OFFSET(AGR!$A$51,AR53,0),2)="\I","*","")</f>
        <v>*</v>
      </c>
      <c r="B53" s="212" t="str">
        <f t="shared" ca="1" si="4"/>
        <v/>
      </c>
      <c r="C53" s="212" t="str">
        <f ca="1">IF($A53="*","",OFFSET(AGR!$B$51,AR53,0))</f>
        <v/>
      </c>
      <c r="D53" s="212" t="str">
        <f t="shared" ca="1" si="5"/>
        <v/>
      </c>
      <c r="E53" s="212" t="str">
        <f t="shared" ca="1" si="5"/>
        <v/>
      </c>
      <c r="F53" s="212" t="str">
        <f t="shared" ca="1" si="5"/>
        <v/>
      </c>
      <c r="G53" s="212" t="str">
        <f t="shared" ca="1" si="5"/>
        <v/>
      </c>
      <c r="H53" s="212" t="str">
        <f t="shared" ca="1" si="5"/>
        <v/>
      </c>
      <c r="I53" s="213" t="str">
        <f t="shared" ca="1" si="5"/>
        <v/>
      </c>
      <c r="J53" s="296" t="str">
        <f t="array" aca="1" ref="J53" ca="1">IF($A53="*","",IFERROR(INDEX(AGR!$E$52:$L$73,MATCH('TS DTech'!$C53,AGR!$B$52:$B$73,0),MATCH('TS DTech'!$B53&amp;J$7,AGR!$E$46:$L$46&amp;AGR!$E$48:$L$48,0)),""))</f>
        <v/>
      </c>
      <c r="K53" s="296" t="str">
        <f t="array" aca="1" ref="K53" ca="1">IF($A53="*","",IFERROR(INDEX(AGR!$E$52:$L$73,MATCH('TS DTech'!$C53,AGR!$B$52:$B$73,0),MATCH('TS DTech'!$B53&amp;K$7,AGR!$E$46:$L$46&amp;AGR!$E$48:$L$48,0)),""))</f>
        <v/>
      </c>
      <c r="L53" s="296" t="str">
        <f t="array" aca="1" ref="L53" ca="1">IF($A53="*","",IFERROR(INDEX(AGR!$E$52:$L$73,MATCH('TS DTech'!$C53,AGR!$B$52:$B$73,0),MATCH('TS DTech'!$B53&amp;L$7,AGR!$E$46:$L$46&amp;AGR!$E$48:$L$48,0)),""))</f>
        <v/>
      </c>
      <c r="M53" s="296" t="str">
        <f t="array" aca="1" ref="M53" ca="1">IF($A53="*","",IFERROR(INDEX(AGR!$E$52:$L$73,MATCH('TS DTech'!$C53,AGR!$B$52:$B$73,0),MATCH('TS DTech'!$B53&amp;M$7,AGR!$E$46:$L$46&amp;AGR!$E$48:$L$48,0)),""))</f>
        <v/>
      </c>
      <c r="N53" s="296" t="str">
        <f t="array" aca="1" ref="N53" ca="1">IF($A53="*","",IFERROR(INDEX(AGR!$E$52:$L$73,MATCH('TS DTech'!$C53,AGR!$B$52:$B$73,0),MATCH('TS DTech'!$B53&amp;N$7,AGR!$E$46:$L$46&amp;AGR!$E$48:$L$48,0)),""))</f>
        <v/>
      </c>
      <c r="O53" s="296" t="str">
        <f t="array" aca="1" ref="O53" ca="1">IF($A53="*","",IFERROR(INDEX(AGR!$E$52:$L$73,MATCH('TS DTech'!$C53,AGR!$B$52:$B$73,0),MATCH('TS DTech'!$B53&amp;O$7,AGR!$E$46:$L$46&amp;AGR!$E$48:$L$48,0)),""))</f>
        <v/>
      </c>
      <c r="P53" s="296" t="str">
        <f t="array" aca="1" ref="P53" ca="1">IF($A53="*","",IFERROR(INDEX(AGR!$E$52:$L$73,MATCH('TS DTech'!$C53,AGR!$B$52:$B$73,0),MATCH('TS DTech'!$B53&amp;P$7,AGR!$E$46:$L$46&amp;AGR!$E$48:$L$48,0)),""))</f>
        <v/>
      </c>
      <c r="Q53" s="296" t="str">
        <f t="array" aca="1" ref="Q53" ca="1">IF($A53="*","",IFERROR(INDEX(AGR!$E$52:$L$73,MATCH('TS DTech'!$C53,AGR!$B$52:$B$73,0),MATCH('TS DTech'!$B53&amp;Q$7,AGR!$E$46:$L$46&amp;AGR!$E$48:$L$48,0)),""))</f>
        <v/>
      </c>
      <c r="R53" s="296" t="str">
        <f t="array" aca="1" ref="R53" ca="1">IF($A53="*","",IFERROR(INDEX(AGR!$E$52:$L$73,MATCH('TS DTech'!$C53,AGR!$B$52:$B$73,0),MATCH('TS DTech'!$B53&amp;R$7,AGR!$E$46:$L$46&amp;AGR!$E$48:$L$48,0)),""))</f>
        <v/>
      </c>
      <c r="S53" s="296" t="str">
        <f t="array" aca="1" ref="S53" ca="1">IF($A53="*","",IFERROR(INDEX(AGR!$E$52:$L$73,MATCH('TS DTech'!$C53,AGR!$B$52:$B$73,0),MATCH('TS DTech'!$B53&amp;S$7,AGR!$E$46:$L$46&amp;AGR!$E$48:$L$48,0)),""))</f>
        <v/>
      </c>
      <c r="T53" s="296" t="str">
        <f t="array" aca="1" ref="T53" ca="1">IF($A53="*","",IFERROR(INDEX(AGR!$E$52:$L$73,MATCH('TS DTech'!$C53,AGR!$B$52:$B$73,0),MATCH('TS DTech'!$B53&amp;T$7,AGR!$E$46:$L$46&amp;AGR!$E$48:$L$48,0)),""))</f>
        <v/>
      </c>
      <c r="U53" s="296" t="str">
        <f t="array" aca="1" ref="U53" ca="1">IF($A53="*","",IFERROR(INDEX(AGR!$E$52:$L$73,MATCH('TS DTech'!$C53,AGR!$B$52:$B$73,0),MATCH('TS DTech'!$B53&amp;U$7,AGR!$E$46:$L$46&amp;AGR!$E$48:$L$48,0)),""))</f>
        <v/>
      </c>
      <c r="V53" s="296" t="str">
        <f t="array" aca="1" ref="V53" ca="1">IF($A53="*","",IFERROR(INDEX(AGR!$E$52:$L$73,MATCH('TS DTech'!$C53,AGR!$B$52:$B$73,0),MATCH('TS DTech'!$B53&amp;V$7,AGR!$E$46:$L$46&amp;AGR!$E$48:$L$48,0)),""))</f>
        <v/>
      </c>
      <c r="W53" s="296" t="str">
        <f t="array" aca="1" ref="W53" ca="1">IF($A53="*","",IFERROR(INDEX(AGR!$E$52:$L$73,MATCH('TS DTech'!$C53,AGR!$B$52:$B$73,0),MATCH('TS DTech'!$B53&amp;W$7,AGR!$E$46:$L$46&amp;AGR!$E$48:$L$48,0)),""))</f>
        <v/>
      </c>
      <c r="X53" s="296" t="str">
        <f t="array" aca="1" ref="X53" ca="1">IF($A53="*","",IFERROR(INDEX(AGR!$E$52:$L$73,MATCH('TS DTech'!$C53,AGR!$B$52:$B$73,0),MATCH('TS DTech'!$B53&amp;X$7,AGR!$E$46:$L$46&amp;AGR!$E$48:$L$48,0)),""))</f>
        <v/>
      </c>
      <c r="Y53" s="296" t="str">
        <f t="array" aca="1" ref="Y53" ca="1">IF($A53="*","",IFERROR(INDEX(AGR!$E$52:$L$73,MATCH('TS DTech'!$C53,AGR!$B$52:$B$73,0),MATCH('TS DTech'!$B53&amp;Y$7,AGR!$E$46:$L$46&amp;AGR!$E$48:$L$48,0)),""))</f>
        <v/>
      </c>
      <c r="Z53" s="296" t="str">
        <f t="array" aca="1" ref="Z53" ca="1">IF($A53="*","",IFERROR(INDEX(AGR!$E$52:$L$73,MATCH('TS DTech'!$C53,AGR!$B$52:$B$73,0),MATCH('TS DTech'!$B53&amp;Z$7,AGR!$E$46:$L$46&amp;AGR!$E$48:$L$48,0)),""))</f>
        <v/>
      </c>
      <c r="AA53" s="296" t="str">
        <f t="array" aca="1" ref="AA53" ca="1">IF($A53="*","",IFERROR(INDEX(AGR!$E$52:$L$73,MATCH('TS DTech'!$C53,AGR!$B$52:$B$73,0),MATCH('TS DTech'!$B53&amp;AA$7,AGR!$E$46:$L$46&amp;AGR!$E$48:$L$48,0)),""))</f>
        <v/>
      </c>
      <c r="AB53" s="296" t="str">
        <f t="array" aca="1" ref="AB53" ca="1">IF($A53="*","",IFERROR(INDEX(AGR!$E$52:$L$73,MATCH('TS DTech'!$C53,AGR!$B$52:$B$73,0),MATCH('TS DTech'!$B53&amp;AB$7,AGR!$E$46:$L$46&amp;AGR!$E$48:$L$48,0)),""))</f>
        <v/>
      </c>
      <c r="AC53" s="296" t="str">
        <f t="array" aca="1" ref="AC53" ca="1">IF($A53="*","",IFERROR(INDEX(AGR!$E$52:$L$73,MATCH('TS DTech'!$C53,AGR!$B$52:$B$73,0),MATCH('TS DTech'!$B53&amp;AC$7,AGR!$E$46:$L$46&amp;AGR!$E$48:$L$48,0)),""))</f>
        <v/>
      </c>
      <c r="AD53" s="296" t="str">
        <f t="array" aca="1" ref="AD53" ca="1">IF($A53="*","",IFERROR(INDEX(AGR!$E$52:$L$73,MATCH('TS DTech'!$C53,AGR!$B$52:$B$73,0),MATCH('TS DTech'!$B53&amp;AD$7,AGR!$E$46:$L$46&amp;AGR!$E$48:$L$48,0)),""))</f>
        <v/>
      </c>
      <c r="AE53" s="296" t="str">
        <f t="array" aca="1" ref="AE53" ca="1">IF($A53="*","",IFERROR(INDEX(AGR!$E$52:$L$73,MATCH('TS DTech'!$C53,AGR!$B$52:$B$73,0),MATCH('TS DTech'!$B53&amp;AE$7,AGR!$E$46:$L$46&amp;AGR!$E$48:$L$48,0)),""))</f>
        <v/>
      </c>
      <c r="AF53" s="296" t="str">
        <f t="array" aca="1" ref="AF53" ca="1">IF($A53="*","",IFERROR(INDEX(AGR!$E$52:$L$73,MATCH('TS DTech'!$C53,AGR!$B$52:$B$73,0),MATCH('TS DTech'!$B53&amp;AF$7,AGR!$E$46:$L$46&amp;AGR!$E$48:$L$48,0)),""))</f>
        <v/>
      </c>
      <c r="AG53" s="296" t="str">
        <f t="array" aca="1" ref="AG53" ca="1">IF($A53="*","",IFERROR(INDEX(AGR!$E$52:$L$73,MATCH('TS DTech'!$C53,AGR!$B$52:$B$73,0),MATCH('TS DTech'!$B53&amp;AG$7,AGR!$E$46:$L$46&amp;AGR!$E$48:$L$48,0)),""))</f>
        <v/>
      </c>
      <c r="AH53" s="296" t="str">
        <f t="array" aca="1" ref="AH53" ca="1">IF($A53="*","",IFERROR(INDEX(AGR!$E$52:$L$73,MATCH('TS DTech'!$C53,AGR!$B$52:$B$73,0),MATCH('TS DTech'!$B53&amp;AH$7,AGR!$E$46:$L$46&amp;AGR!$E$48:$L$48,0)),""))</f>
        <v/>
      </c>
      <c r="AI53" s="296" t="str">
        <f t="array" aca="1" ref="AI53" ca="1">IF($A53="*","",IFERROR(INDEX(AGR!$E$52:$L$73,MATCH('TS DTech'!$C53,AGR!$B$52:$B$73,0),MATCH('TS DTech'!$B53&amp;AI$7,AGR!$E$46:$L$46&amp;AGR!$E$48:$L$48,0)),""))</f>
        <v/>
      </c>
      <c r="AJ53" s="296" t="str">
        <f t="array" aca="1" ref="AJ53" ca="1">IF($A53="*","",IFERROR(INDEX(AGR!$E$52:$L$73,MATCH('TS DTech'!$C53,AGR!$B$52:$B$73,0),MATCH('TS DTech'!$B53&amp;AJ$7,AGR!$E$46:$L$46&amp;AGR!$E$48:$L$48,0)),""))</f>
        <v/>
      </c>
      <c r="AK53" s="296" t="str">
        <f t="array" aca="1" ref="AK53" ca="1">IF($A53="*","",IFERROR(INDEX(AGR!$E$52:$L$73,MATCH('TS DTech'!$C53,AGR!$B$52:$B$73,0),MATCH('TS DTech'!$B53&amp;AK$7,AGR!$E$46:$L$46&amp;AGR!$E$48:$L$48,0)),""))</f>
        <v/>
      </c>
      <c r="AL53" s="296" t="str">
        <f t="array" aca="1" ref="AL53" ca="1">IF($A53="*","",IFERROR(INDEX(AGR!$E$52:$L$73,MATCH('TS DTech'!$C53,AGR!$B$52:$B$73,0),MATCH('TS DTech'!$B53&amp;AL$7,AGR!$E$46:$L$46&amp;AGR!$E$48:$L$48,0)),""))</f>
        <v/>
      </c>
      <c r="AM53" s="296" t="str">
        <f t="array" aca="1" ref="AM53" ca="1">IF($A53="*","",IFERROR(INDEX(AGR!$E$52:$L$73,MATCH('TS DTech'!$C53,AGR!$B$52:$B$73,0),MATCH('TS DTech'!$B53&amp;AM$7,AGR!$E$46:$L$46&amp;AGR!$E$48:$L$48,0)),""))</f>
        <v/>
      </c>
      <c r="AN53" s="296" t="str">
        <f t="array" aca="1" ref="AN53" ca="1">IF($A53="*","",IFERROR(INDEX(AGR!$E$52:$L$73,MATCH('TS DTech'!$C53,AGR!$B$52:$B$73,0),MATCH('TS DTech'!$B53&amp;AN$7,AGR!$E$46:$L$46&amp;AGR!$E$48:$L$48,0)),""))</f>
        <v/>
      </c>
      <c r="AO53" s="296" t="str">
        <f t="array" aca="1" ref="AO53" ca="1">IF($A53="*","",IFERROR(INDEX(AGR!$E$52:$L$73,MATCH('TS DTech'!$C53,AGR!$B$52:$B$73,0),MATCH('TS DTech'!$B53&amp;AO$7,AGR!$E$46:$L$46&amp;AGR!$E$48:$L$48,0)),""))</f>
        <v/>
      </c>
      <c r="AP53" s="296" t="str">
        <f t="array" aca="1" ref="AP53" ca="1">IF($A53="*","",IFERROR(INDEX(AGR!$E$52:$L$73,MATCH('TS DTech'!$C53,AGR!$B$52:$B$73,0),MATCH('TS DTech'!$B53&amp;AP$7,AGR!$E$46:$L$46&amp;AGR!$E$48:$L$48,0)),""))</f>
        <v/>
      </c>
      <c r="AQ53" s="137">
        <f>IF(AR52=AGR!$AD$74,AQ52+1,AQ52)</f>
        <v>2</v>
      </c>
      <c r="AR53" s="137">
        <f t="shared" si="3"/>
        <v>15</v>
      </c>
    </row>
    <row r="54" spans="1:44">
      <c r="A54" s="137" t="str">
        <f ca="1">IF(LEFT(OFFSET(AGR!$A$51,AR54,0),2)="\I","*","")</f>
        <v/>
      </c>
      <c r="B54" s="212" t="str">
        <f t="shared" ca="1" si="4"/>
        <v>NCAP_AFA</v>
      </c>
      <c r="C54" s="212" t="str">
        <f ca="1">IF($A54="*","",OFFSET(AGR!$B$51,AR54,0))</f>
        <v>AIODS-E</v>
      </c>
      <c r="D54" s="212" t="str">
        <f t="shared" ca="1" si="5"/>
        <v>-</v>
      </c>
      <c r="E54" s="212" t="str">
        <f t="shared" ca="1" si="5"/>
        <v>-</v>
      </c>
      <c r="F54" s="212" t="str">
        <f t="shared" ca="1" si="5"/>
        <v>-</v>
      </c>
      <c r="G54" s="212" t="str">
        <f t="shared" ca="1" si="5"/>
        <v>ANNUAL</v>
      </c>
      <c r="H54" s="212" t="str">
        <f t="shared" ca="1" si="5"/>
        <v>UP</v>
      </c>
      <c r="I54" s="213">
        <f t="shared" ca="1" si="5"/>
        <v>3</v>
      </c>
      <c r="J54" s="296">
        <f t="array" aca="1" ref="J54" ca="1">IF($A54="*","",IFERROR(INDEX(AGR!$E$52:$L$73,MATCH('TS DTech'!$C54,AGR!$B$52:$B$73,0),MATCH('TS DTech'!$B54&amp;J$7,AGR!$E$46:$L$46&amp;AGR!$E$48:$L$48,0)),""))</f>
        <v>0.80869999999999997</v>
      </c>
      <c r="K54" s="296" t="str">
        <f t="array" aca="1" ref="K54" ca="1">IF($A54="*","",IFERROR(INDEX(AGR!$E$52:$L$73,MATCH('TS DTech'!$C54,AGR!$B$52:$B$73,0),MATCH('TS DTech'!$B54&amp;K$7,AGR!$E$46:$L$46&amp;AGR!$E$48:$L$48,0)),""))</f>
        <v/>
      </c>
      <c r="L54" s="296" t="str">
        <f t="array" aca="1" ref="L54" ca="1">IF($A54="*","",IFERROR(INDEX(AGR!$E$52:$L$73,MATCH('TS DTech'!$C54,AGR!$B$52:$B$73,0),MATCH('TS DTech'!$B54&amp;L$7,AGR!$E$46:$L$46&amp;AGR!$E$48:$L$48,0)),""))</f>
        <v/>
      </c>
      <c r="M54" s="296" t="str">
        <f t="array" aca="1" ref="M54" ca="1">IF($A54="*","",IFERROR(INDEX(AGR!$E$52:$L$73,MATCH('TS DTech'!$C54,AGR!$B$52:$B$73,0),MATCH('TS DTech'!$B54&amp;M$7,AGR!$E$46:$L$46&amp;AGR!$E$48:$L$48,0)),""))</f>
        <v/>
      </c>
      <c r="N54" s="296" t="str">
        <f t="array" aca="1" ref="N54" ca="1">IF($A54="*","",IFERROR(INDEX(AGR!$E$52:$L$73,MATCH('TS DTech'!$C54,AGR!$B$52:$B$73,0),MATCH('TS DTech'!$B54&amp;N$7,AGR!$E$46:$L$46&amp;AGR!$E$48:$L$48,0)),""))</f>
        <v/>
      </c>
      <c r="O54" s="296">
        <f t="array" aca="1" ref="O54" ca="1">IF($A54="*","",IFERROR(INDEX(AGR!$E$52:$L$73,MATCH('TS DTech'!$C54,AGR!$B$52:$B$73,0),MATCH('TS DTech'!$B54&amp;O$7,AGR!$E$46:$L$46&amp;AGR!$E$48:$L$48,0)),""))</f>
        <v>0.80869999999999997</v>
      </c>
      <c r="P54" s="296" t="str">
        <f t="array" aca="1" ref="P54" ca="1">IF($A54="*","",IFERROR(INDEX(AGR!$E$52:$L$73,MATCH('TS DTech'!$C54,AGR!$B$52:$B$73,0),MATCH('TS DTech'!$B54&amp;P$7,AGR!$E$46:$L$46&amp;AGR!$E$48:$L$48,0)),""))</f>
        <v/>
      </c>
      <c r="Q54" s="296" t="str">
        <f t="array" aca="1" ref="Q54" ca="1">IF($A54="*","",IFERROR(INDEX(AGR!$E$52:$L$73,MATCH('TS DTech'!$C54,AGR!$B$52:$B$73,0),MATCH('TS DTech'!$B54&amp;Q$7,AGR!$E$46:$L$46&amp;AGR!$E$48:$L$48,0)),""))</f>
        <v/>
      </c>
      <c r="R54" s="296" t="str">
        <f t="array" aca="1" ref="R54" ca="1">IF($A54="*","",IFERROR(INDEX(AGR!$E$52:$L$73,MATCH('TS DTech'!$C54,AGR!$B$52:$B$73,0),MATCH('TS DTech'!$B54&amp;R$7,AGR!$E$46:$L$46&amp;AGR!$E$48:$L$48,0)),""))</f>
        <v/>
      </c>
      <c r="S54" s="296" t="str">
        <f t="array" aca="1" ref="S54" ca="1">IF($A54="*","",IFERROR(INDEX(AGR!$E$52:$L$73,MATCH('TS DTech'!$C54,AGR!$B$52:$B$73,0),MATCH('TS DTech'!$B54&amp;S$7,AGR!$E$46:$L$46&amp;AGR!$E$48:$L$48,0)),""))</f>
        <v/>
      </c>
      <c r="T54" s="296" t="str">
        <f t="array" aca="1" ref="T54" ca="1">IF($A54="*","",IFERROR(INDEX(AGR!$E$52:$L$73,MATCH('TS DTech'!$C54,AGR!$B$52:$B$73,0),MATCH('TS DTech'!$B54&amp;T$7,AGR!$E$46:$L$46&amp;AGR!$E$48:$L$48,0)),""))</f>
        <v/>
      </c>
      <c r="U54" s="296" t="str">
        <f t="array" aca="1" ref="U54" ca="1">IF($A54="*","",IFERROR(INDEX(AGR!$E$52:$L$73,MATCH('TS DTech'!$C54,AGR!$B$52:$B$73,0),MATCH('TS DTech'!$B54&amp;U$7,AGR!$E$46:$L$46&amp;AGR!$E$48:$L$48,0)),""))</f>
        <v/>
      </c>
      <c r="V54" s="296" t="str">
        <f t="array" aca="1" ref="V54" ca="1">IF($A54="*","",IFERROR(INDEX(AGR!$E$52:$L$73,MATCH('TS DTech'!$C54,AGR!$B$52:$B$73,0),MATCH('TS DTech'!$B54&amp;V$7,AGR!$E$46:$L$46&amp;AGR!$E$48:$L$48,0)),""))</f>
        <v/>
      </c>
      <c r="W54" s="296" t="str">
        <f t="array" aca="1" ref="W54" ca="1">IF($A54="*","",IFERROR(INDEX(AGR!$E$52:$L$73,MATCH('TS DTech'!$C54,AGR!$B$52:$B$73,0),MATCH('TS DTech'!$B54&amp;W$7,AGR!$E$46:$L$46&amp;AGR!$E$48:$L$48,0)),""))</f>
        <v/>
      </c>
      <c r="X54" s="296" t="str">
        <f t="array" aca="1" ref="X54" ca="1">IF($A54="*","",IFERROR(INDEX(AGR!$E$52:$L$73,MATCH('TS DTech'!$C54,AGR!$B$52:$B$73,0),MATCH('TS DTech'!$B54&amp;X$7,AGR!$E$46:$L$46&amp;AGR!$E$48:$L$48,0)),""))</f>
        <v/>
      </c>
      <c r="Y54" s="296" t="str">
        <f t="array" aca="1" ref="Y54" ca="1">IF($A54="*","",IFERROR(INDEX(AGR!$E$52:$L$73,MATCH('TS DTech'!$C54,AGR!$B$52:$B$73,0),MATCH('TS DTech'!$B54&amp;Y$7,AGR!$E$46:$L$46&amp;AGR!$E$48:$L$48,0)),""))</f>
        <v/>
      </c>
      <c r="Z54" s="296" t="str">
        <f t="array" aca="1" ref="Z54" ca="1">IF($A54="*","",IFERROR(INDEX(AGR!$E$52:$L$73,MATCH('TS DTech'!$C54,AGR!$B$52:$B$73,0),MATCH('TS DTech'!$B54&amp;Z$7,AGR!$E$46:$L$46&amp;AGR!$E$48:$L$48,0)),""))</f>
        <v/>
      </c>
      <c r="AA54" s="296" t="str">
        <f t="array" aca="1" ref="AA54" ca="1">IF($A54="*","",IFERROR(INDEX(AGR!$E$52:$L$73,MATCH('TS DTech'!$C54,AGR!$B$52:$B$73,0),MATCH('TS DTech'!$B54&amp;AA$7,AGR!$E$46:$L$46&amp;AGR!$E$48:$L$48,0)),""))</f>
        <v/>
      </c>
      <c r="AB54" s="296" t="str">
        <f t="array" aca="1" ref="AB54" ca="1">IF($A54="*","",IFERROR(INDEX(AGR!$E$52:$L$73,MATCH('TS DTech'!$C54,AGR!$B$52:$B$73,0),MATCH('TS DTech'!$B54&amp;AB$7,AGR!$E$46:$L$46&amp;AGR!$E$48:$L$48,0)),""))</f>
        <v/>
      </c>
      <c r="AC54" s="296" t="str">
        <f t="array" aca="1" ref="AC54" ca="1">IF($A54="*","",IFERROR(INDEX(AGR!$E$52:$L$73,MATCH('TS DTech'!$C54,AGR!$B$52:$B$73,0),MATCH('TS DTech'!$B54&amp;AC$7,AGR!$E$46:$L$46&amp;AGR!$E$48:$L$48,0)),""))</f>
        <v/>
      </c>
      <c r="AD54" s="296" t="str">
        <f t="array" aca="1" ref="AD54" ca="1">IF($A54="*","",IFERROR(INDEX(AGR!$E$52:$L$73,MATCH('TS DTech'!$C54,AGR!$B$52:$B$73,0),MATCH('TS DTech'!$B54&amp;AD$7,AGR!$E$46:$L$46&amp;AGR!$E$48:$L$48,0)),""))</f>
        <v/>
      </c>
      <c r="AE54" s="296" t="str">
        <f t="array" aca="1" ref="AE54" ca="1">IF($A54="*","",IFERROR(INDEX(AGR!$E$52:$L$73,MATCH('TS DTech'!$C54,AGR!$B$52:$B$73,0),MATCH('TS DTech'!$B54&amp;AE$7,AGR!$E$46:$L$46&amp;AGR!$E$48:$L$48,0)),""))</f>
        <v/>
      </c>
      <c r="AF54" s="296" t="str">
        <f t="array" aca="1" ref="AF54" ca="1">IF($A54="*","",IFERROR(INDEX(AGR!$E$52:$L$73,MATCH('TS DTech'!$C54,AGR!$B$52:$B$73,0),MATCH('TS DTech'!$B54&amp;AF$7,AGR!$E$46:$L$46&amp;AGR!$E$48:$L$48,0)),""))</f>
        <v/>
      </c>
      <c r="AG54" s="296" t="str">
        <f t="array" aca="1" ref="AG54" ca="1">IF($A54="*","",IFERROR(INDEX(AGR!$E$52:$L$73,MATCH('TS DTech'!$C54,AGR!$B$52:$B$73,0),MATCH('TS DTech'!$B54&amp;AG$7,AGR!$E$46:$L$46&amp;AGR!$E$48:$L$48,0)),""))</f>
        <v/>
      </c>
      <c r="AH54" s="296" t="str">
        <f t="array" aca="1" ref="AH54" ca="1">IF($A54="*","",IFERROR(INDEX(AGR!$E$52:$L$73,MATCH('TS DTech'!$C54,AGR!$B$52:$B$73,0),MATCH('TS DTech'!$B54&amp;AH$7,AGR!$E$46:$L$46&amp;AGR!$E$48:$L$48,0)),""))</f>
        <v/>
      </c>
      <c r="AI54" s="296" t="str">
        <f t="array" aca="1" ref="AI54" ca="1">IF($A54="*","",IFERROR(INDEX(AGR!$E$52:$L$73,MATCH('TS DTech'!$C54,AGR!$B$52:$B$73,0),MATCH('TS DTech'!$B54&amp;AI$7,AGR!$E$46:$L$46&amp;AGR!$E$48:$L$48,0)),""))</f>
        <v/>
      </c>
      <c r="AJ54" s="296" t="str">
        <f t="array" aca="1" ref="AJ54" ca="1">IF($A54="*","",IFERROR(INDEX(AGR!$E$52:$L$73,MATCH('TS DTech'!$C54,AGR!$B$52:$B$73,0),MATCH('TS DTech'!$B54&amp;AJ$7,AGR!$E$46:$L$46&amp;AGR!$E$48:$L$48,0)),""))</f>
        <v/>
      </c>
      <c r="AK54" s="296" t="str">
        <f t="array" aca="1" ref="AK54" ca="1">IF($A54="*","",IFERROR(INDEX(AGR!$E$52:$L$73,MATCH('TS DTech'!$C54,AGR!$B$52:$B$73,0),MATCH('TS DTech'!$B54&amp;AK$7,AGR!$E$46:$L$46&amp;AGR!$E$48:$L$48,0)),""))</f>
        <v/>
      </c>
      <c r="AL54" s="296" t="str">
        <f t="array" aca="1" ref="AL54" ca="1">IF($A54="*","",IFERROR(INDEX(AGR!$E$52:$L$73,MATCH('TS DTech'!$C54,AGR!$B$52:$B$73,0),MATCH('TS DTech'!$B54&amp;AL$7,AGR!$E$46:$L$46&amp;AGR!$E$48:$L$48,0)),""))</f>
        <v/>
      </c>
      <c r="AM54" s="296" t="str">
        <f t="array" aca="1" ref="AM54" ca="1">IF($A54="*","",IFERROR(INDEX(AGR!$E$52:$L$73,MATCH('TS DTech'!$C54,AGR!$B$52:$B$73,0),MATCH('TS DTech'!$B54&amp;AM$7,AGR!$E$46:$L$46&amp;AGR!$E$48:$L$48,0)),""))</f>
        <v/>
      </c>
      <c r="AN54" s="296" t="str">
        <f t="array" aca="1" ref="AN54" ca="1">IF($A54="*","",IFERROR(INDEX(AGR!$E$52:$L$73,MATCH('TS DTech'!$C54,AGR!$B$52:$B$73,0),MATCH('TS DTech'!$B54&amp;AN$7,AGR!$E$46:$L$46&amp;AGR!$E$48:$L$48,0)),""))</f>
        <v/>
      </c>
      <c r="AO54" s="296" t="str">
        <f t="array" aca="1" ref="AO54" ca="1">IF($A54="*","",IFERROR(INDEX(AGR!$E$52:$L$73,MATCH('TS DTech'!$C54,AGR!$B$52:$B$73,0),MATCH('TS DTech'!$B54&amp;AO$7,AGR!$E$46:$L$46&amp;AGR!$E$48:$L$48,0)),""))</f>
        <v/>
      </c>
      <c r="AP54" s="296" t="str">
        <f t="array" aca="1" ref="AP54" ca="1">IF($A54="*","",IFERROR(INDEX(AGR!$E$52:$L$73,MATCH('TS DTech'!$C54,AGR!$B$52:$B$73,0),MATCH('TS DTech'!$B54&amp;AP$7,AGR!$E$46:$L$46&amp;AGR!$E$48:$L$48,0)),""))</f>
        <v/>
      </c>
      <c r="AQ54" s="137">
        <f>IF(AR53=AGR!$AD$74,AQ53+1,AQ53)</f>
        <v>2</v>
      </c>
      <c r="AR54" s="137">
        <f t="shared" si="3"/>
        <v>16</v>
      </c>
    </row>
    <row r="55" spans="1:44">
      <c r="A55" s="137" t="str">
        <f ca="1">IF(LEFT(OFFSET(AGR!$A$51,AR55,0),2)="\I","*","")</f>
        <v/>
      </c>
      <c r="B55" s="212" t="str">
        <f t="shared" ca="1" si="4"/>
        <v>NCAP_AFA</v>
      </c>
      <c r="C55" s="212" t="str">
        <f ca="1">IF($A55="*","",OFFSET(AGR!$B$51,AR55,0))</f>
        <v>AIELC-E</v>
      </c>
      <c r="D55" s="212" t="str">
        <f t="shared" ca="1" si="5"/>
        <v>-</v>
      </c>
      <c r="E55" s="212" t="str">
        <f t="shared" ca="1" si="5"/>
        <v>-</v>
      </c>
      <c r="F55" s="212" t="str">
        <f t="shared" ca="1" si="5"/>
        <v>-</v>
      </c>
      <c r="G55" s="212" t="str">
        <f t="shared" ca="1" si="5"/>
        <v>ANNUAL</v>
      </c>
      <c r="H55" s="212" t="str">
        <f t="shared" ca="1" si="5"/>
        <v>UP</v>
      </c>
      <c r="I55" s="213">
        <f t="shared" ca="1" si="5"/>
        <v>3</v>
      </c>
      <c r="J55" s="296">
        <f t="array" aca="1" ref="J55" ca="1">IF($A55="*","",IFERROR(INDEX(AGR!$E$52:$L$73,MATCH('TS DTech'!$C55,AGR!$B$52:$B$73,0),MATCH('TS DTech'!$B55&amp;J$7,AGR!$E$46:$L$46&amp;AGR!$E$48:$L$48,0)),""))</f>
        <v>0.80869999999999997</v>
      </c>
      <c r="K55" s="296" t="str">
        <f t="array" aca="1" ref="K55" ca="1">IF($A55="*","",IFERROR(INDEX(AGR!$E$52:$L$73,MATCH('TS DTech'!$C55,AGR!$B$52:$B$73,0),MATCH('TS DTech'!$B55&amp;K$7,AGR!$E$46:$L$46&amp;AGR!$E$48:$L$48,0)),""))</f>
        <v/>
      </c>
      <c r="L55" s="296" t="str">
        <f t="array" aca="1" ref="L55" ca="1">IF($A55="*","",IFERROR(INDEX(AGR!$E$52:$L$73,MATCH('TS DTech'!$C55,AGR!$B$52:$B$73,0),MATCH('TS DTech'!$B55&amp;L$7,AGR!$E$46:$L$46&amp;AGR!$E$48:$L$48,0)),""))</f>
        <v/>
      </c>
      <c r="M55" s="296" t="str">
        <f t="array" aca="1" ref="M55" ca="1">IF($A55="*","",IFERROR(INDEX(AGR!$E$52:$L$73,MATCH('TS DTech'!$C55,AGR!$B$52:$B$73,0),MATCH('TS DTech'!$B55&amp;M$7,AGR!$E$46:$L$46&amp;AGR!$E$48:$L$48,0)),""))</f>
        <v/>
      </c>
      <c r="N55" s="296" t="str">
        <f t="array" aca="1" ref="N55" ca="1">IF($A55="*","",IFERROR(INDEX(AGR!$E$52:$L$73,MATCH('TS DTech'!$C55,AGR!$B$52:$B$73,0),MATCH('TS DTech'!$B55&amp;N$7,AGR!$E$46:$L$46&amp;AGR!$E$48:$L$48,0)),""))</f>
        <v/>
      </c>
      <c r="O55" s="296">
        <f t="array" aca="1" ref="O55" ca="1">IF($A55="*","",IFERROR(INDEX(AGR!$E$52:$L$73,MATCH('TS DTech'!$C55,AGR!$B$52:$B$73,0),MATCH('TS DTech'!$B55&amp;O$7,AGR!$E$46:$L$46&amp;AGR!$E$48:$L$48,0)),""))</f>
        <v>0.80869999999999997</v>
      </c>
      <c r="P55" s="296" t="str">
        <f t="array" aca="1" ref="P55" ca="1">IF($A55="*","",IFERROR(INDEX(AGR!$E$52:$L$73,MATCH('TS DTech'!$C55,AGR!$B$52:$B$73,0),MATCH('TS DTech'!$B55&amp;P$7,AGR!$E$46:$L$46&amp;AGR!$E$48:$L$48,0)),""))</f>
        <v/>
      </c>
      <c r="Q55" s="296" t="str">
        <f t="array" aca="1" ref="Q55" ca="1">IF($A55="*","",IFERROR(INDEX(AGR!$E$52:$L$73,MATCH('TS DTech'!$C55,AGR!$B$52:$B$73,0),MATCH('TS DTech'!$B55&amp;Q$7,AGR!$E$46:$L$46&amp;AGR!$E$48:$L$48,0)),""))</f>
        <v/>
      </c>
      <c r="R55" s="296" t="str">
        <f t="array" aca="1" ref="R55" ca="1">IF($A55="*","",IFERROR(INDEX(AGR!$E$52:$L$73,MATCH('TS DTech'!$C55,AGR!$B$52:$B$73,0),MATCH('TS DTech'!$B55&amp;R$7,AGR!$E$46:$L$46&amp;AGR!$E$48:$L$48,0)),""))</f>
        <v/>
      </c>
      <c r="S55" s="296" t="str">
        <f t="array" aca="1" ref="S55" ca="1">IF($A55="*","",IFERROR(INDEX(AGR!$E$52:$L$73,MATCH('TS DTech'!$C55,AGR!$B$52:$B$73,0),MATCH('TS DTech'!$B55&amp;S$7,AGR!$E$46:$L$46&amp;AGR!$E$48:$L$48,0)),""))</f>
        <v/>
      </c>
      <c r="T55" s="296" t="str">
        <f t="array" aca="1" ref="T55" ca="1">IF($A55="*","",IFERROR(INDEX(AGR!$E$52:$L$73,MATCH('TS DTech'!$C55,AGR!$B$52:$B$73,0),MATCH('TS DTech'!$B55&amp;T$7,AGR!$E$46:$L$46&amp;AGR!$E$48:$L$48,0)),""))</f>
        <v/>
      </c>
      <c r="U55" s="296" t="str">
        <f t="array" aca="1" ref="U55" ca="1">IF($A55="*","",IFERROR(INDEX(AGR!$E$52:$L$73,MATCH('TS DTech'!$C55,AGR!$B$52:$B$73,0),MATCH('TS DTech'!$B55&amp;U$7,AGR!$E$46:$L$46&amp;AGR!$E$48:$L$48,0)),""))</f>
        <v/>
      </c>
      <c r="V55" s="296" t="str">
        <f t="array" aca="1" ref="V55" ca="1">IF($A55="*","",IFERROR(INDEX(AGR!$E$52:$L$73,MATCH('TS DTech'!$C55,AGR!$B$52:$B$73,0),MATCH('TS DTech'!$B55&amp;V$7,AGR!$E$46:$L$46&amp;AGR!$E$48:$L$48,0)),""))</f>
        <v/>
      </c>
      <c r="W55" s="296" t="str">
        <f t="array" aca="1" ref="W55" ca="1">IF($A55="*","",IFERROR(INDEX(AGR!$E$52:$L$73,MATCH('TS DTech'!$C55,AGR!$B$52:$B$73,0),MATCH('TS DTech'!$B55&amp;W$7,AGR!$E$46:$L$46&amp;AGR!$E$48:$L$48,0)),""))</f>
        <v/>
      </c>
      <c r="X55" s="296" t="str">
        <f t="array" aca="1" ref="X55" ca="1">IF($A55="*","",IFERROR(INDEX(AGR!$E$52:$L$73,MATCH('TS DTech'!$C55,AGR!$B$52:$B$73,0),MATCH('TS DTech'!$B55&amp;X$7,AGR!$E$46:$L$46&amp;AGR!$E$48:$L$48,0)),""))</f>
        <v/>
      </c>
      <c r="Y55" s="296" t="str">
        <f t="array" aca="1" ref="Y55" ca="1">IF($A55="*","",IFERROR(INDEX(AGR!$E$52:$L$73,MATCH('TS DTech'!$C55,AGR!$B$52:$B$73,0),MATCH('TS DTech'!$B55&amp;Y$7,AGR!$E$46:$L$46&amp;AGR!$E$48:$L$48,0)),""))</f>
        <v/>
      </c>
      <c r="Z55" s="296" t="str">
        <f t="array" aca="1" ref="Z55" ca="1">IF($A55="*","",IFERROR(INDEX(AGR!$E$52:$L$73,MATCH('TS DTech'!$C55,AGR!$B$52:$B$73,0),MATCH('TS DTech'!$B55&amp;Z$7,AGR!$E$46:$L$46&amp;AGR!$E$48:$L$48,0)),""))</f>
        <v/>
      </c>
      <c r="AA55" s="296" t="str">
        <f t="array" aca="1" ref="AA55" ca="1">IF($A55="*","",IFERROR(INDEX(AGR!$E$52:$L$73,MATCH('TS DTech'!$C55,AGR!$B$52:$B$73,0),MATCH('TS DTech'!$B55&amp;AA$7,AGR!$E$46:$L$46&amp;AGR!$E$48:$L$48,0)),""))</f>
        <v/>
      </c>
      <c r="AB55" s="296" t="str">
        <f t="array" aca="1" ref="AB55" ca="1">IF($A55="*","",IFERROR(INDEX(AGR!$E$52:$L$73,MATCH('TS DTech'!$C55,AGR!$B$52:$B$73,0),MATCH('TS DTech'!$B55&amp;AB$7,AGR!$E$46:$L$46&amp;AGR!$E$48:$L$48,0)),""))</f>
        <v/>
      </c>
      <c r="AC55" s="296" t="str">
        <f t="array" aca="1" ref="AC55" ca="1">IF($A55="*","",IFERROR(INDEX(AGR!$E$52:$L$73,MATCH('TS DTech'!$C55,AGR!$B$52:$B$73,0),MATCH('TS DTech'!$B55&amp;AC$7,AGR!$E$46:$L$46&amp;AGR!$E$48:$L$48,0)),""))</f>
        <v/>
      </c>
      <c r="AD55" s="296" t="str">
        <f t="array" aca="1" ref="AD55" ca="1">IF($A55="*","",IFERROR(INDEX(AGR!$E$52:$L$73,MATCH('TS DTech'!$C55,AGR!$B$52:$B$73,0),MATCH('TS DTech'!$B55&amp;AD$7,AGR!$E$46:$L$46&amp;AGR!$E$48:$L$48,0)),""))</f>
        <v/>
      </c>
      <c r="AE55" s="296" t="str">
        <f t="array" aca="1" ref="AE55" ca="1">IF($A55="*","",IFERROR(INDEX(AGR!$E$52:$L$73,MATCH('TS DTech'!$C55,AGR!$B$52:$B$73,0),MATCH('TS DTech'!$B55&amp;AE$7,AGR!$E$46:$L$46&amp;AGR!$E$48:$L$48,0)),""))</f>
        <v/>
      </c>
      <c r="AF55" s="296" t="str">
        <f t="array" aca="1" ref="AF55" ca="1">IF($A55="*","",IFERROR(INDEX(AGR!$E$52:$L$73,MATCH('TS DTech'!$C55,AGR!$B$52:$B$73,0),MATCH('TS DTech'!$B55&amp;AF$7,AGR!$E$46:$L$46&amp;AGR!$E$48:$L$48,0)),""))</f>
        <v/>
      </c>
      <c r="AG55" s="296" t="str">
        <f t="array" aca="1" ref="AG55" ca="1">IF($A55="*","",IFERROR(INDEX(AGR!$E$52:$L$73,MATCH('TS DTech'!$C55,AGR!$B$52:$B$73,0),MATCH('TS DTech'!$B55&amp;AG$7,AGR!$E$46:$L$46&amp;AGR!$E$48:$L$48,0)),""))</f>
        <v/>
      </c>
      <c r="AH55" s="296" t="str">
        <f t="array" aca="1" ref="AH55" ca="1">IF($A55="*","",IFERROR(INDEX(AGR!$E$52:$L$73,MATCH('TS DTech'!$C55,AGR!$B$52:$B$73,0),MATCH('TS DTech'!$B55&amp;AH$7,AGR!$E$46:$L$46&amp;AGR!$E$48:$L$48,0)),""))</f>
        <v/>
      </c>
      <c r="AI55" s="296" t="str">
        <f t="array" aca="1" ref="AI55" ca="1">IF($A55="*","",IFERROR(INDEX(AGR!$E$52:$L$73,MATCH('TS DTech'!$C55,AGR!$B$52:$B$73,0),MATCH('TS DTech'!$B55&amp;AI$7,AGR!$E$46:$L$46&amp;AGR!$E$48:$L$48,0)),""))</f>
        <v/>
      </c>
      <c r="AJ55" s="296" t="str">
        <f t="array" aca="1" ref="AJ55" ca="1">IF($A55="*","",IFERROR(INDEX(AGR!$E$52:$L$73,MATCH('TS DTech'!$C55,AGR!$B$52:$B$73,0),MATCH('TS DTech'!$B55&amp;AJ$7,AGR!$E$46:$L$46&amp;AGR!$E$48:$L$48,0)),""))</f>
        <v/>
      </c>
      <c r="AK55" s="296" t="str">
        <f t="array" aca="1" ref="AK55" ca="1">IF($A55="*","",IFERROR(INDEX(AGR!$E$52:$L$73,MATCH('TS DTech'!$C55,AGR!$B$52:$B$73,0),MATCH('TS DTech'!$B55&amp;AK$7,AGR!$E$46:$L$46&amp;AGR!$E$48:$L$48,0)),""))</f>
        <v/>
      </c>
      <c r="AL55" s="296" t="str">
        <f t="array" aca="1" ref="AL55" ca="1">IF($A55="*","",IFERROR(INDEX(AGR!$E$52:$L$73,MATCH('TS DTech'!$C55,AGR!$B$52:$B$73,0),MATCH('TS DTech'!$B55&amp;AL$7,AGR!$E$46:$L$46&amp;AGR!$E$48:$L$48,0)),""))</f>
        <v/>
      </c>
      <c r="AM55" s="296" t="str">
        <f t="array" aca="1" ref="AM55" ca="1">IF($A55="*","",IFERROR(INDEX(AGR!$E$52:$L$73,MATCH('TS DTech'!$C55,AGR!$B$52:$B$73,0),MATCH('TS DTech'!$B55&amp;AM$7,AGR!$E$46:$L$46&amp;AGR!$E$48:$L$48,0)),""))</f>
        <v/>
      </c>
      <c r="AN55" s="296" t="str">
        <f t="array" aca="1" ref="AN55" ca="1">IF($A55="*","",IFERROR(INDEX(AGR!$E$52:$L$73,MATCH('TS DTech'!$C55,AGR!$B$52:$B$73,0),MATCH('TS DTech'!$B55&amp;AN$7,AGR!$E$46:$L$46&amp;AGR!$E$48:$L$48,0)),""))</f>
        <v/>
      </c>
      <c r="AO55" s="296" t="str">
        <f t="array" aca="1" ref="AO55" ca="1">IF($A55="*","",IFERROR(INDEX(AGR!$E$52:$L$73,MATCH('TS DTech'!$C55,AGR!$B$52:$B$73,0),MATCH('TS DTech'!$B55&amp;AO$7,AGR!$E$46:$L$46&amp;AGR!$E$48:$L$48,0)),""))</f>
        <v/>
      </c>
      <c r="AP55" s="296" t="str">
        <f t="array" aca="1" ref="AP55" ca="1">IF($A55="*","",IFERROR(INDEX(AGR!$E$52:$L$73,MATCH('TS DTech'!$C55,AGR!$B$52:$B$73,0),MATCH('TS DTech'!$B55&amp;AP$7,AGR!$E$46:$L$46&amp;AGR!$E$48:$L$48,0)),""))</f>
        <v/>
      </c>
      <c r="AQ55" s="137">
        <f>IF(AR54=AGR!$AD$74,AQ54+1,AQ54)</f>
        <v>2</v>
      </c>
      <c r="AR55" s="137">
        <f t="shared" si="3"/>
        <v>17</v>
      </c>
    </row>
    <row r="56" spans="1:44">
      <c r="A56" s="137" t="str">
        <f ca="1">IF(LEFT(OFFSET(AGR!$A$51,AR56,0),2)="\I","*","")</f>
        <v/>
      </c>
      <c r="B56" s="212" t="str">
        <f t="shared" ca="1" si="4"/>
        <v>NCAP_AFA</v>
      </c>
      <c r="C56" s="212" t="str">
        <f ca="1">IF($A56="*","",OFFSET(AGR!$B$51,AR56,0))</f>
        <v>AIOGS-E</v>
      </c>
      <c r="D56" s="212" t="str">
        <f t="shared" ca="1" si="5"/>
        <v>-</v>
      </c>
      <c r="E56" s="212" t="str">
        <f t="shared" ca="1" si="5"/>
        <v>-</v>
      </c>
      <c r="F56" s="212" t="str">
        <f t="shared" ca="1" si="5"/>
        <v>-</v>
      </c>
      <c r="G56" s="212" t="str">
        <f t="shared" ca="1" si="5"/>
        <v>ANNUAL</v>
      </c>
      <c r="H56" s="212" t="str">
        <f t="shared" ca="1" si="5"/>
        <v>UP</v>
      </c>
      <c r="I56" s="213">
        <f t="shared" ca="1" si="5"/>
        <v>3</v>
      </c>
      <c r="J56" s="296">
        <f t="array" aca="1" ref="J56" ca="1">IF($A56="*","",IFERROR(INDEX(AGR!$E$52:$L$73,MATCH('TS DTech'!$C56,AGR!$B$52:$B$73,0),MATCH('TS DTech'!$B56&amp;J$7,AGR!$E$46:$L$46&amp;AGR!$E$48:$L$48,0)),""))</f>
        <v>0.80869999999999997</v>
      </c>
      <c r="K56" s="296" t="str">
        <f t="array" aca="1" ref="K56" ca="1">IF($A56="*","",IFERROR(INDEX(AGR!$E$52:$L$73,MATCH('TS DTech'!$C56,AGR!$B$52:$B$73,0),MATCH('TS DTech'!$B56&amp;K$7,AGR!$E$46:$L$46&amp;AGR!$E$48:$L$48,0)),""))</f>
        <v/>
      </c>
      <c r="L56" s="296" t="str">
        <f t="array" aca="1" ref="L56" ca="1">IF($A56="*","",IFERROR(INDEX(AGR!$E$52:$L$73,MATCH('TS DTech'!$C56,AGR!$B$52:$B$73,0),MATCH('TS DTech'!$B56&amp;L$7,AGR!$E$46:$L$46&amp;AGR!$E$48:$L$48,0)),""))</f>
        <v/>
      </c>
      <c r="M56" s="296" t="str">
        <f t="array" aca="1" ref="M56" ca="1">IF($A56="*","",IFERROR(INDEX(AGR!$E$52:$L$73,MATCH('TS DTech'!$C56,AGR!$B$52:$B$73,0),MATCH('TS DTech'!$B56&amp;M$7,AGR!$E$46:$L$46&amp;AGR!$E$48:$L$48,0)),""))</f>
        <v/>
      </c>
      <c r="N56" s="296" t="str">
        <f t="array" aca="1" ref="N56" ca="1">IF($A56="*","",IFERROR(INDEX(AGR!$E$52:$L$73,MATCH('TS DTech'!$C56,AGR!$B$52:$B$73,0),MATCH('TS DTech'!$B56&amp;N$7,AGR!$E$46:$L$46&amp;AGR!$E$48:$L$48,0)),""))</f>
        <v/>
      </c>
      <c r="O56" s="296">
        <f t="array" aca="1" ref="O56" ca="1">IF($A56="*","",IFERROR(INDEX(AGR!$E$52:$L$73,MATCH('TS DTech'!$C56,AGR!$B$52:$B$73,0),MATCH('TS DTech'!$B56&amp;O$7,AGR!$E$46:$L$46&amp;AGR!$E$48:$L$48,0)),""))</f>
        <v>0.80869999999999997</v>
      </c>
      <c r="P56" s="296" t="str">
        <f t="array" aca="1" ref="P56" ca="1">IF($A56="*","",IFERROR(INDEX(AGR!$E$52:$L$73,MATCH('TS DTech'!$C56,AGR!$B$52:$B$73,0),MATCH('TS DTech'!$B56&amp;P$7,AGR!$E$46:$L$46&amp;AGR!$E$48:$L$48,0)),""))</f>
        <v/>
      </c>
      <c r="Q56" s="296" t="str">
        <f t="array" aca="1" ref="Q56" ca="1">IF($A56="*","",IFERROR(INDEX(AGR!$E$52:$L$73,MATCH('TS DTech'!$C56,AGR!$B$52:$B$73,0),MATCH('TS DTech'!$B56&amp;Q$7,AGR!$E$46:$L$46&amp;AGR!$E$48:$L$48,0)),""))</f>
        <v/>
      </c>
      <c r="R56" s="296" t="str">
        <f t="array" aca="1" ref="R56" ca="1">IF($A56="*","",IFERROR(INDEX(AGR!$E$52:$L$73,MATCH('TS DTech'!$C56,AGR!$B$52:$B$73,0),MATCH('TS DTech'!$B56&amp;R$7,AGR!$E$46:$L$46&amp;AGR!$E$48:$L$48,0)),""))</f>
        <v/>
      </c>
      <c r="S56" s="296" t="str">
        <f t="array" aca="1" ref="S56" ca="1">IF($A56="*","",IFERROR(INDEX(AGR!$E$52:$L$73,MATCH('TS DTech'!$C56,AGR!$B$52:$B$73,0),MATCH('TS DTech'!$B56&amp;S$7,AGR!$E$46:$L$46&amp;AGR!$E$48:$L$48,0)),""))</f>
        <v/>
      </c>
      <c r="T56" s="296" t="str">
        <f t="array" aca="1" ref="T56" ca="1">IF($A56="*","",IFERROR(INDEX(AGR!$E$52:$L$73,MATCH('TS DTech'!$C56,AGR!$B$52:$B$73,0),MATCH('TS DTech'!$B56&amp;T$7,AGR!$E$46:$L$46&amp;AGR!$E$48:$L$48,0)),""))</f>
        <v/>
      </c>
      <c r="U56" s="296" t="str">
        <f t="array" aca="1" ref="U56" ca="1">IF($A56="*","",IFERROR(INDEX(AGR!$E$52:$L$73,MATCH('TS DTech'!$C56,AGR!$B$52:$B$73,0),MATCH('TS DTech'!$B56&amp;U$7,AGR!$E$46:$L$46&amp;AGR!$E$48:$L$48,0)),""))</f>
        <v/>
      </c>
      <c r="V56" s="296" t="str">
        <f t="array" aca="1" ref="V56" ca="1">IF($A56="*","",IFERROR(INDEX(AGR!$E$52:$L$73,MATCH('TS DTech'!$C56,AGR!$B$52:$B$73,0),MATCH('TS DTech'!$B56&amp;V$7,AGR!$E$46:$L$46&amp;AGR!$E$48:$L$48,0)),""))</f>
        <v/>
      </c>
      <c r="W56" s="296" t="str">
        <f t="array" aca="1" ref="W56" ca="1">IF($A56="*","",IFERROR(INDEX(AGR!$E$52:$L$73,MATCH('TS DTech'!$C56,AGR!$B$52:$B$73,0),MATCH('TS DTech'!$B56&amp;W$7,AGR!$E$46:$L$46&amp;AGR!$E$48:$L$48,0)),""))</f>
        <v/>
      </c>
      <c r="X56" s="296" t="str">
        <f t="array" aca="1" ref="X56" ca="1">IF($A56="*","",IFERROR(INDEX(AGR!$E$52:$L$73,MATCH('TS DTech'!$C56,AGR!$B$52:$B$73,0),MATCH('TS DTech'!$B56&amp;X$7,AGR!$E$46:$L$46&amp;AGR!$E$48:$L$48,0)),""))</f>
        <v/>
      </c>
      <c r="Y56" s="296" t="str">
        <f t="array" aca="1" ref="Y56" ca="1">IF($A56="*","",IFERROR(INDEX(AGR!$E$52:$L$73,MATCH('TS DTech'!$C56,AGR!$B$52:$B$73,0),MATCH('TS DTech'!$B56&amp;Y$7,AGR!$E$46:$L$46&amp;AGR!$E$48:$L$48,0)),""))</f>
        <v/>
      </c>
      <c r="Z56" s="296" t="str">
        <f t="array" aca="1" ref="Z56" ca="1">IF($A56="*","",IFERROR(INDEX(AGR!$E$52:$L$73,MATCH('TS DTech'!$C56,AGR!$B$52:$B$73,0),MATCH('TS DTech'!$B56&amp;Z$7,AGR!$E$46:$L$46&amp;AGR!$E$48:$L$48,0)),""))</f>
        <v/>
      </c>
      <c r="AA56" s="296" t="str">
        <f t="array" aca="1" ref="AA56" ca="1">IF($A56="*","",IFERROR(INDEX(AGR!$E$52:$L$73,MATCH('TS DTech'!$C56,AGR!$B$52:$B$73,0),MATCH('TS DTech'!$B56&amp;AA$7,AGR!$E$46:$L$46&amp;AGR!$E$48:$L$48,0)),""))</f>
        <v/>
      </c>
      <c r="AB56" s="296" t="str">
        <f t="array" aca="1" ref="AB56" ca="1">IF($A56="*","",IFERROR(INDEX(AGR!$E$52:$L$73,MATCH('TS DTech'!$C56,AGR!$B$52:$B$73,0),MATCH('TS DTech'!$B56&amp;AB$7,AGR!$E$46:$L$46&amp;AGR!$E$48:$L$48,0)),""))</f>
        <v/>
      </c>
      <c r="AC56" s="296" t="str">
        <f t="array" aca="1" ref="AC56" ca="1">IF($A56="*","",IFERROR(INDEX(AGR!$E$52:$L$73,MATCH('TS DTech'!$C56,AGR!$B$52:$B$73,0),MATCH('TS DTech'!$B56&amp;AC$7,AGR!$E$46:$L$46&amp;AGR!$E$48:$L$48,0)),""))</f>
        <v/>
      </c>
      <c r="AD56" s="296" t="str">
        <f t="array" aca="1" ref="AD56" ca="1">IF($A56="*","",IFERROR(INDEX(AGR!$E$52:$L$73,MATCH('TS DTech'!$C56,AGR!$B$52:$B$73,0),MATCH('TS DTech'!$B56&amp;AD$7,AGR!$E$46:$L$46&amp;AGR!$E$48:$L$48,0)),""))</f>
        <v/>
      </c>
      <c r="AE56" s="296" t="str">
        <f t="array" aca="1" ref="AE56" ca="1">IF($A56="*","",IFERROR(INDEX(AGR!$E$52:$L$73,MATCH('TS DTech'!$C56,AGR!$B$52:$B$73,0),MATCH('TS DTech'!$B56&amp;AE$7,AGR!$E$46:$L$46&amp;AGR!$E$48:$L$48,0)),""))</f>
        <v/>
      </c>
      <c r="AF56" s="296" t="str">
        <f t="array" aca="1" ref="AF56" ca="1">IF($A56="*","",IFERROR(INDEX(AGR!$E$52:$L$73,MATCH('TS DTech'!$C56,AGR!$B$52:$B$73,0),MATCH('TS DTech'!$B56&amp;AF$7,AGR!$E$46:$L$46&amp;AGR!$E$48:$L$48,0)),""))</f>
        <v/>
      </c>
      <c r="AG56" s="296" t="str">
        <f t="array" aca="1" ref="AG56" ca="1">IF($A56="*","",IFERROR(INDEX(AGR!$E$52:$L$73,MATCH('TS DTech'!$C56,AGR!$B$52:$B$73,0),MATCH('TS DTech'!$B56&amp;AG$7,AGR!$E$46:$L$46&amp;AGR!$E$48:$L$48,0)),""))</f>
        <v/>
      </c>
      <c r="AH56" s="296" t="str">
        <f t="array" aca="1" ref="AH56" ca="1">IF($A56="*","",IFERROR(INDEX(AGR!$E$52:$L$73,MATCH('TS DTech'!$C56,AGR!$B$52:$B$73,0),MATCH('TS DTech'!$B56&amp;AH$7,AGR!$E$46:$L$46&amp;AGR!$E$48:$L$48,0)),""))</f>
        <v/>
      </c>
      <c r="AI56" s="296" t="str">
        <f t="array" aca="1" ref="AI56" ca="1">IF($A56="*","",IFERROR(INDEX(AGR!$E$52:$L$73,MATCH('TS DTech'!$C56,AGR!$B$52:$B$73,0),MATCH('TS DTech'!$B56&amp;AI$7,AGR!$E$46:$L$46&amp;AGR!$E$48:$L$48,0)),""))</f>
        <v/>
      </c>
      <c r="AJ56" s="296" t="str">
        <f t="array" aca="1" ref="AJ56" ca="1">IF($A56="*","",IFERROR(INDEX(AGR!$E$52:$L$73,MATCH('TS DTech'!$C56,AGR!$B$52:$B$73,0),MATCH('TS DTech'!$B56&amp;AJ$7,AGR!$E$46:$L$46&amp;AGR!$E$48:$L$48,0)),""))</f>
        <v/>
      </c>
      <c r="AK56" s="296" t="str">
        <f t="array" aca="1" ref="AK56" ca="1">IF($A56="*","",IFERROR(INDEX(AGR!$E$52:$L$73,MATCH('TS DTech'!$C56,AGR!$B$52:$B$73,0),MATCH('TS DTech'!$B56&amp;AK$7,AGR!$E$46:$L$46&amp;AGR!$E$48:$L$48,0)),""))</f>
        <v/>
      </c>
      <c r="AL56" s="296" t="str">
        <f t="array" aca="1" ref="AL56" ca="1">IF($A56="*","",IFERROR(INDEX(AGR!$E$52:$L$73,MATCH('TS DTech'!$C56,AGR!$B$52:$B$73,0),MATCH('TS DTech'!$B56&amp;AL$7,AGR!$E$46:$L$46&amp;AGR!$E$48:$L$48,0)),""))</f>
        <v/>
      </c>
      <c r="AM56" s="296" t="str">
        <f t="array" aca="1" ref="AM56" ca="1">IF($A56="*","",IFERROR(INDEX(AGR!$E$52:$L$73,MATCH('TS DTech'!$C56,AGR!$B$52:$B$73,0),MATCH('TS DTech'!$B56&amp;AM$7,AGR!$E$46:$L$46&amp;AGR!$E$48:$L$48,0)),""))</f>
        <v/>
      </c>
      <c r="AN56" s="296" t="str">
        <f t="array" aca="1" ref="AN56" ca="1">IF($A56="*","",IFERROR(INDEX(AGR!$E$52:$L$73,MATCH('TS DTech'!$C56,AGR!$B$52:$B$73,0),MATCH('TS DTech'!$B56&amp;AN$7,AGR!$E$46:$L$46&amp;AGR!$E$48:$L$48,0)),""))</f>
        <v/>
      </c>
      <c r="AO56" s="296" t="str">
        <f t="array" aca="1" ref="AO56" ca="1">IF($A56="*","",IFERROR(INDEX(AGR!$E$52:$L$73,MATCH('TS DTech'!$C56,AGR!$B$52:$B$73,0),MATCH('TS DTech'!$B56&amp;AO$7,AGR!$E$46:$L$46&amp;AGR!$E$48:$L$48,0)),""))</f>
        <v/>
      </c>
      <c r="AP56" s="296" t="str">
        <f t="array" aca="1" ref="AP56" ca="1">IF($A56="*","",IFERROR(INDEX(AGR!$E$52:$L$73,MATCH('TS DTech'!$C56,AGR!$B$52:$B$73,0),MATCH('TS DTech'!$B56&amp;AP$7,AGR!$E$46:$L$46&amp;AGR!$E$48:$L$48,0)),""))</f>
        <v/>
      </c>
      <c r="AQ56" s="137">
        <f>IF(AR55=AGR!$AD$74,AQ55+1,AQ55)</f>
        <v>2</v>
      </c>
      <c r="AR56" s="137">
        <f t="shared" si="3"/>
        <v>18</v>
      </c>
    </row>
    <row r="57" spans="1:44">
      <c r="A57" s="137" t="str">
        <f ca="1">IF(LEFT(OFFSET(AGR!$A$51,AR57,0),2)="\I","*","")</f>
        <v>*</v>
      </c>
      <c r="B57" s="212" t="str">
        <f t="shared" ca="1" si="4"/>
        <v/>
      </c>
      <c r="C57" s="212" t="str">
        <f ca="1">IF($A57="*","",OFFSET(AGR!$B$51,AR57,0))</f>
        <v/>
      </c>
      <c r="D57" s="212" t="str">
        <f t="shared" ca="1" si="5"/>
        <v/>
      </c>
      <c r="E57" s="212" t="str">
        <f t="shared" ca="1" si="5"/>
        <v/>
      </c>
      <c r="F57" s="212" t="str">
        <f t="shared" ca="1" si="5"/>
        <v/>
      </c>
      <c r="G57" s="212" t="str">
        <f t="shared" ca="1" si="5"/>
        <v/>
      </c>
      <c r="H57" s="212" t="str">
        <f t="shared" ca="1" si="5"/>
        <v/>
      </c>
      <c r="I57" s="213" t="str">
        <f t="shared" ca="1" si="5"/>
        <v/>
      </c>
      <c r="J57" s="296" t="str">
        <f t="array" aca="1" ref="J57" ca="1">IF($A57="*","",IFERROR(INDEX(AGR!$E$52:$L$73,MATCH('TS DTech'!$C57,AGR!$B$52:$B$73,0),MATCH('TS DTech'!$B57&amp;J$7,AGR!$E$46:$L$46&amp;AGR!$E$48:$L$48,0)),""))</f>
        <v/>
      </c>
      <c r="K57" s="296" t="str">
        <f t="array" aca="1" ref="K57" ca="1">IF($A57="*","",IFERROR(INDEX(AGR!$E$52:$L$73,MATCH('TS DTech'!$C57,AGR!$B$52:$B$73,0),MATCH('TS DTech'!$B57&amp;K$7,AGR!$E$46:$L$46&amp;AGR!$E$48:$L$48,0)),""))</f>
        <v/>
      </c>
      <c r="L57" s="296" t="str">
        <f t="array" aca="1" ref="L57" ca="1">IF($A57="*","",IFERROR(INDEX(AGR!$E$52:$L$73,MATCH('TS DTech'!$C57,AGR!$B$52:$B$73,0),MATCH('TS DTech'!$B57&amp;L$7,AGR!$E$46:$L$46&amp;AGR!$E$48:$L$48,0)),""))</f>
        <v/>
      </c>
      <c r="M57" s="296" t="str">
        <f t="array" aca="1" ref="M57" ca="1">IF($A57="*","",IFERROR(INDEX(AGR!$E$52:$L$73,MATCH('TS DTech'!$C57,AGR!$B$52:$B$73,0),MATCH('TS DTech'!$B57&amp;M$7,AGR!$E$46:$L$46&amp;AGR!$E$48:$L$48,0)),""))</f>
        <v/>
      </c>
      <c r="N57" s="296" t="str">
        <f t="array" aca="1" ref="N57" ca="1">IF($A57="*","",IFERROR(INDEX(AGR!$E$52:$L$73,MATCH('TS DTech'!$C57,AGR!$B$52:$B$73,0),MATCH('TS DTech'!$B57&amp;N$7,AGR!$E$46:$L$46&amp;AGR!$E$48:$L$48,0)),""))</f>
        <v/>
      </c>
      <c r="O57" s="296" t="str">
        <f t="array" aca="1" ref="O57" ca="1">IF($A57="*","",IFERROR(INDEX(AGR!$E$52:$L$73,MATCH('TS DTech'!$C57,AGR!$B$52:$B$73,0),MATCH('TS DTech'!$B57&amp;O$7,AGR!$E$46:$L$46&amp;AGR!$E$48:$L$48,0)),""))</f>
        <v/>
      </c>
      <c r="P57" s="296" t="str">
        <f t="array" aca="1" ref="P57" ca="1">IF($A57="*","",IFERROR(INDEX(AGR!$E$52:$L$73,MATCH('TS DTech'!$C57,AGR!$B$52:$B$73,0),MATCH('TS DTech'!$B57&amp;P$7,AGR!$E$46:$L$46&amp;AGR!$E$48:$L$48,0)),""))</f>
        <v/>
      </c>
      <c r="Q57" s="296" t="str">
        <f t="array" aca="1" ref="Q57" ca="1">IF($A57="*","",IFERROR(INDEX(AGR!$E$52:$L$73,MATCH('TS DTech'!$C57,AGR!$B$52:$B$73,0),MATCH('TS DTech'!$B57&amp;Q$7,AGR!$E$46:$L$46&amp;AGR!$E$48:$L$48,0)),""))</f>
        <v/>
      </c>
      <c r="R57" s="296" t="str">
        <f t="array" aca="1" ref="R57" ca="1">IF($A57="*","",IFERROR(INDEX(AGR!$E$52:$L$73,MATCH('TS DTech'!$C57,AGR!$B$52:$B$73,0),MATCH('TS DTech'!$B57&amp;R$7,AGR!$E$46:$L$46&amp;AGR!$E$48:$L$48,0)),""))</f>
        <v/>
      </c>
      <c r="S57" s="296" t="str">
        <f t="array" aca="1" ref="S57" ca="1">IF($A57="*","",IFERROR(INDEX(AGR!$E$52:$L$73,MATCH('TS DTech'!$C57,AGR!$B$52:$B$73,0),MATCH('TS DTech'!$B57&amp;S$7,AGR!$E$46:$L$46&amp;AGR!$E$48:$L$48,0)),""))</f>
        <v/>
      </c>
      <c r="T57" s="296" t="str">
        <f t="array" aca="1" ref="T57" ca="1">IF($A57="*","",IFERROR(INDEX(AGR!$E$52:$L$73,MATCH('TS DTech'!$C57,AGR!$B$52:$B$73,0),MATCH('TS DTech'!$B57&amp;T$7,AGR!$E$46:$L$46&amp;AGR!$E$48:$L$48,0)),""))</f>
        <v/>
      </c>
      <c r="U57" s="296" t="str">
        <f t="array" aca="1" ref="U57" ca="1">IF($A57="*","",IFERROR(INDEX(AGR!$E$52:$L$73,MATCH('TS DTech'!$C57,AGR!$B$52:$B$73,0),MATCH('TS DTech'!$B57&amp;U$7,AGR!$E$46:$L$46&amp;AGR!$E$48:$L$48,0)),""))</f>
        <v/>
      </c>
      <c r="V57" s="296" t="str">
        <f t="array" aca="1" ref="V57" ca="1">IF($A57="*","",IFERROR(INDEX(AGR!$E$52:$L$73,MATCH('TS DTech'!$C57,AGR!$B$52:$B$73,0),MATCH('TS DTech'!$B57&amp;V$7,AGR!$E$46:$L$46&amp;AGR!$E$48:$L$48,0)),""))</f>
        <v/>
      </c>
      <c r="W57" s="296" t="str">
        <f t="array" aca="1" ref="W57" ca="1">IF($A57="*","",IFERROR(INDEX(AGR!$E$52:$L$73,MATCH('TS DTech'!$C57,AGR!$B$52:$B$73,0),MATCH('TS DTech'!$B57&amp;W$7,AGR!$E$46:$L$46&amp;AGR!$E$48:$L$48,0)),""))</f>
        <v/>
      </c>
      <c r="X57" s="296" t="str">
        <f t="array" aca="1" ref="X57" ca="1">IF($A57="*","",IFERROR(INDEX(AGR!$E$52:$L$73,MATCH('TS DTech'!$C57,AGR!$B$52:$B$73,0),MATCH('TS DTech'!$B57&amp;X$7,AGR!$E$46:$L$46&amp;AGR!$E$48:$L$48,0)),""))</f>
        <v/>
      </c>
      <c r="Y57" s="296" t="str">
        <f t="array" aca="1" ref="Y57" ca="1">IF($A57="*","",IFERROR(INDEX(AGR!$E$52:$L$73,MATCH('TS DTech'!$C57,AGR!$B$52:$B$73,0),MATCH('TS DTech'!$B57&amp;Y$7,AGR!$E$46:$L$46&amp;AGR!$E$48:$L$48,0)),""))</f>
        <v/>
      </c>
      <c r="Z57" s="296" t="str">
        <f t="array" aca="1" ref="Z57" ca="1">IF($A57="*","",IFERROR(INDEX(AGR!$E$52:$L$73,MATCH('TS DTech'!$C57,AGR!$B$52:$B$73,0),MATCH('TS DTech'!$B57&amp;Z$7,AGR!$E$46:$L$46&amp;AGR!$E$48:$L$48,0)),""))</f>
        <v/>
      </c>
      <c r="AA57" s="296" t="str">
        <f t="array" aca="1" ref="AA57" ca="1">IF($A57="*","",IFERROR(INDEX(AGR!$E$52:$L$73,MATCH('TS DTech'!$C57,AGR!$B$52:$B$73,0),MATCH('TS DTech'!$B57&amp;AA$7,AGR!$E$46:$L$46&amp;AGR!$E$48:$L$48,0)),""))</f>
        <v/>
      </c>
      <c r="AB57" s="296" t="str">
        <f t="array" aca="1" ref="AB57" ca="1">IF($A57="*","",IFERROR(INDEX(AGR!$E$52:$L$73,MATCH('TS DTech'!$C57,AGR!$B$52:$B$73,0),MATCH('TS DTech'!$B57&amp;AB$7,AGR!$E$46:$L$46&amp;AGR!$E$48:$L$48,0)),""))</f>
        <v/>
      </c>
      <c r="AC57" s="296" t="str">
        <f t="array" aca="1" ref="AC57" ca="1">IF($A57="*","",IFERROR(INDEX(AGR!$E$52:$L$73,MATCH('TS DTech'!$C57,AGR!$B$52:$B$73,0),MATCH('TS DTech'!$B57&amp;AC$7,AGR!$E$46:$L$46&amp;AGR!$E$48:$L$48,0)),""))</f>
        <v/>
      </c>
      <c r="AD57" s="296" t="str">
        <f t="array" aca="1" ref="AD57" ca="1">IF($A57="*","",IFERROR(INDEX(AGR!$E$52:$L$73,MATCH('TS DTech'!$C57,AGR!$B$52:$B$73,0),MATCH('TS DTech'!$B57&amp;AD$7,AGR!$E$46:$L$46&amp;AGR!$E$48:$L$48,0)),""))</f>
        <v/>
      </c>
      <c r="AE57" s="296" t="str">
        <f t="array" aca="1" ref="AE57" ca="1">IF($A57="*","",IFERROR(INDEX(AGR!$E$52:$L$73,MATCH('TS DTech'!$C57,AGR!$B$52:$B$73,0),MATCH('TS DTech'!$B57&amp;AE$7,AGR!$E$46:$L$46&amp;AGR!$E$48:$L$48,0)),""))</f>
        <v/>
      </c>
      <c r="AF57" s="296" t="str">
        <f t="array" aca="1" ref="AF57" ca="1">IF($A57="*","",IFERROR(INDEX(AGR!$E$52:$L$73,MATCH('TS DTech'!$C57,AGR!$B$52:$B$73,0),MATCH('TS DTech'!$B57&amp;AF$7,AGR!$E$46:$L$46&amp;AGR!$E$48:$L$48,0)),""))</f>
        <v/>
      </c>
      <c r="AG57" s="296" t="str">
        <f t="array" aca="1" ref="AG57" ca="1">IF($A57="*","",IFERROR(INDEX(AGR!$E$52:$L$73,MATCH('TS DTech'!$C57,AGR!$B$52:$B$73,0),MATCH('TS DTech'!$B57&amp;AG$7,AGR!$E$46:$L$46&amp;AGR!$E$48:$L$48,0)),""))</f>
        <v/>
      </c>
      <c r="AH57" s="296" t="str">
        <f t="array" aca="1" ref="AH57" ca="1">IF($A57="*","",IFERROR(INDEX(AGR!$E$52:$L$73,MATCH('TS DTech'!$C57,AGR!$B$52:$B$73,0),MATCH('TS DTech'!$B57&amp;AH$7,AGR!$E$46:$L$46&amp;AGR!$E$48:$L$48,0)),""))</f>
        <v/>
      </c>
      <c r="AI57" s="296" t="str">
        <f t="array" aca="1" ref="AI57" ca="1">IF($A57="*","",IFERROR(INDEX(AGR!$E$52:$L$73,MATCH('TS DTech'!$C57,AGR!$B$52:$B$73,0),MATCH('TS DTech'!$B57&amp;AI$7,AGR!$E$46:$L$46&amp;AGR!$E$48:$L$48,0)),""))</f>
        <v/>
      </c>
      <c r="AJ57" s="296" t="str">
        <f t="array" aca="1" ref="AJ57" ca="1">IF($A57="*","",IFERROR(INDEX(AGR!$E$52:$L$73,MATCH('TS DTech'!$C57,AGR!$B$52:$B$73,0),MATCH('TS DTech'!$B57&amp;AJ$7,AGR!$E$46:$L$46&amp;AGR!$E$48:$L$48,0)),""))</f>
        <v/>
      </c>
      <c r="AK57" s="296" t="str">
        <f t="array" aca="1" ref="AK57" ca="1">IF($A57="*","",IFERROR(INDEX(AGR!$E$52:$L$73,MATCH('TS DTech'!$C57,AGR!$B$52:$B$73,0),MATCH('TS DTech'!$B57&amp;AK$7,AGR!$E$46:$L$46&amp;AGR!$E$48:$L$48,0)),""))</f>
        <v/>
      </c>
      <c r="AL57" s="296" t="str">
        <f t="array" aca="1" ref="AL57" ca="1">IF($A57="*","",IFERROR(INDEX(AGR!$E$52:$L$73,MATCH('TS DTech'!$C57,AGR!$B$52:$B$73,0),MATCH('TS DTech'!$B57&amp;AL$7,AGR!$E$46:$L$46&amp;AGR!$E$48:$L$48,0)),""))</f>
        <v/>
      </c>
      <c r="AM57" s="296" t="str">
        <f t="array" aca="1" ref="AM57" ca="1">IF($A57="*","",IFERROR(INDEX(AGR!$E$52:$L$73,MATCH('TS DTech'!$C57,AGR!$B$52:$B$73,0),MATCH('TS DTech'!$B57&amp;AM$7,AGR!$E$46:$L$46&amp;AGR!$E$48:$L$48,0)),""))</f>
        <v/>
      </c>
      <c r="AN57" s="296" t="str">
        <f t="array" aca="1" ref="AN57" ca="1">IF($A57="*","",IFERROR(INDEX(AGR!$E$52:$L$73,MATCH('TS DTech'!$C57,AGR!$B$52:$B$73,0),MATCH('TS DTech'!$B57&amp;AN$7,AGR!$E$46:$L$46&amp;AGR!$E$48:$L$48,0)),""))</f>
        <v/>
      </c>
      <c r="AO57" s="296" t="str">
        <f t="array" aca="1" ref="AO57" ca="1">IF($A57="*","",IFERROR(INDEX(AGR!$E$52:$L$73,MATCH('TS DTech'!$C57,AGR!$B$52:$B$73,0),MATCH('TS DTech'!$B57&amp;AO$7,AGR!$E$46:$L$46&amp;AGR!$E$48:$L$48,0)),""))</f>
        <v/>
      </c>
      <c r="AP57" s="296" t="str">
        <f t="array" aca="1" ref="AP57" ca="1">IF($A57="*","",IFERROR(INDEX(AGR!$E$52:$L$73,MATCH('TS DTech'!$C57,AGR!$B$52:$B$73,0),MATCH('TS DTech'!$B57&amp;AP$7,AGR!$E$46:$L$46&amp;AGR!$E$48:$L$48,0)),""))</f>
        <v/>
      </c>
      <c r="AQ57" s="137">
        <f>IF(AR56=AGR!$AD$74,AQ56+1,AQ56)</f>
        <v>2</v>
      </c>
      <c r="AR57" s="137">
        <f t="shared" si="3"/>
        <v>19</v>
      </c>
    </row>
    <row r="58" spans="1:44">
      <c r="A58" s="137" t="str">
        <f ca="1">IF(LEFT(OFFSET(AGR!$A$51,AR58,0),2)="\I","*","")</f>
        <v>*</v>
      </c>
      <c r="B58" s="212" t="str">
        <f t="shared" ca="1" si="4"/>
        <v/>
      </c>
      <c r="C58" s="212" t="str">
        <f ca="1">IF($A58="*","",OFFSET(AGR!$B$51,AR58,0))</f>
        <v/>
      </c>
      <c r="D58" s="212" t="str">
        <f t="shared" ca="1" si="5"/>
        <v/>
      </c>
      <c r="E58" s="212" t="str">
        <f t="shared" ca="1" si="5"/>
        <v/>
      </c>
      <c r="F58" s="212" t="str">
        <f t="shared" ca="1" si="5"/>
        <v/>
      </c>
      <c r="G58" s="212" t="str">
        <f t="shared" ca="1" si="5"/>
        <v/>
      </c>
      <c r="H58" s="212" t="str">
        <f t="shared" ca="1" si="5"/>
        <v/>
      </c>
      <c r="I58" s="213" t="str">
        <f t="shared" ca="1" si="5"/>
        <v/>
      </c>
      <c r="J58" s="296" t="str">
        <f t="array" aca="1" ref="J58" ca="1">IF($A58="*","",IFERROR(INDEX(AGR!$E$52:$L$73,MATCH('TS DTech'!$C58,AGR!$B$52:$B$73,0),MATCH('TS DTech'!$B58&amp;J$7,AGR!$E$46:$L$46&amp;AGR!$E$48:$L$48,0)),""))</f>
        <v/>
      </c>
      <c r="K58" s="296" t="str">
        <f t="array" aca="1" ref="K58" ca="1">IF($A58="*","",IFERROR(INDEX(AGR!$E$52:$L$73,MATCH('TS DTech'!$C58,AGR!$B$52:$B$73,0),MATCH('TS DTech'!$B58&amp;K$7,AGR!$E$46:$L$46&amp;AGR!$E$48:$L$48,0)),""))</f>
        <v/>
      </c>
      <c r="L58" s="296" t="str">
        <f t="array" aca="1" ref="L58" ca="1">IF($A58="*","",IFERROR(INDEX(AGR!$E$52:$L$73,MATCH('TS DTech'!$C58,AGR!$B$52:$B$73,0),MATCH('TS DTech'!$B58&amp;L$7,AGR!$E$46:$L$46&amp;AGR!$E$48:$L$48,0)),""))</f>
        <v/>
      </c>
      <c r="M58" s="296" t="str">
        <f t="array" aca="1" ref="M58" ca="1">IF($A58="*","",IFERROR(INDEX(AGR!$E$52:$L$73,MATCH('TS DTech'!$C58,AGR!$B$52:$B$73,0),MATCH('TS DTech'!$B58&amp;M$7,AGR!$E$46:$L$46&amp;AGR!$E$48:$L$48,0)),""))</f>
        <v/>
      </c>
      <c r="N58" s="296" t="str">
        <f t="array" aca="1" ref="N58" ca="1">IF($A58="*","",IFERROR(INDEX(AGR!$E$52:$L$73,MATCH('TS DTech'!$C58,AGR!$B$52:$B$73,0),MATCH('TS DTech'!$B58&amp;N$7,AGR!$E$46:$L$46&amp;AGR!$E$48:$L$48,0)),""))</f>
        <v/>
      </c>
      <c r="O58" s="296" t="str">
        <f t="array" aca="1" ref="O58" ca="1">IF($A58="*","",IFERROR(INDEX(AGR!$E$52:$L$73,MATCH('TS DTech'!$C58,AGR!$B$52:$B$73,0),MATCH('TS DTech'!$B58&amp;O$7,AGR!$E$46:$L$46&amp;AGR!$E$48:$L$48,0)),""))</f>
        <v/>
      </c>
      <c r="P58" s="296" t="str">
        <f t="array" aca="1" ref="P58" ca="1">IF($A58="*","",IFERROR(INDEX(AGR!$E$52:$L$73,MATCH('TS DTech'!$C58,AGR!$B$52:$B$73,0),MATCH('TS DTech'!$B58&amp;P$7,AGR!$E$46:$L$46&amp;AGR!$E$48:$L$48,0)),""))</f>
        <v/>
      </c>
      <c r="Q58" s="296" t="str">
        <f t="array" aca="1" ref="Q58" ca="1">IF($A58="*","",IFERROR(INDEX(AGR!$E$52:$L$73,MATCH('TS DTech'!$C58,AGR!$B$52:$B$73,0),MATCH('TS DTech'!$B58&amp;Q$7,AGR!$E$46:$L$46&amp;AGR!$E$48:$L$48,0)),""))</f>
        <v/>
      </c>
      <c r="R58" s="296" t="str">
        <f t="array" aca="1" ref="R58" ca="1">IF($A58="*","",IFERROR(INDEX(AGR!$E$52:$L$73,MATCH('TS DTech'!$C58,AGR!$B$52:$B$73,0),MATCH('TS DTech'!$B58&amp;R$7,AGR!$E$46:$L$46&amp;AGR!$E$48:$L$48,0)),""))</f>
        <v/>
      </c>
      <c r="S58" s="296" t="str">
        <f t="array" aca="1" ref="S58" ca="1">IF($A58="*","",IFERROR(INDEX(AGR!$E$52:$L$73,MATCH('TS DTech'!$C58,AGR!$B$52:$B$73,0),MATCH('TS DTech'!$B58&amp;S$7,AGR!$E$46:$L$46&amp;AGR!$E$48:$L$48,0)),""))</f>
        <v/>
      </c>
      <c r="T58" s="296" t="str">
        <f t="array" aca="1" ref="T58" ca="1">IF($A58="*","",IFERROR(INDEX(AGR!$E$52:$L$73,MATCH('TS DTech'!$C58,AGR!$B$52:$B$73,0),MATCH('TS DTech'!$B58&amp;T$7,AGR!$E$46:$L$46&amp;AGR!$E$48:$L$48,0)),""))</f>
        <v/>
      </c>
      <c r="U58" s="296" t="str">
        <f t="array" aca="1" ref="U58" ca="1">IF($A58="*","",IFERROR(INDEX(AGR!$E$52:$L$73,MATCH('TS DTech'!$C58,AGR!$B$52:$B$73,0),MATCH('TS DTech'!$B58&amp;U$7,AGR!$E$46:$L$46&amp;AGR!$E$48:$L$48,0)),""))</f>
        <v/>
      </c>
      <c r="V58" s="296" t="str">
        <f t="array" aca="1" ref="V58" ca="1">IF($A58="*","",IFERROR(INDEX(AGR!$E$52:$L$73,MATCH('TS DTech'!$C58,AGR!$B$52:$B$73,0),MATCH('TS DTech'!$B58&amp;V$7,AGR!$E$46:$L$46&amp;AGR!$E$48:$L$48,0)),""))</f>
        <v/>
      </c>
      <c r="W58" s="296" t="str">
        <f t="array" aca="1" ref="W58" ca="1">IF($A58="*","",IFERROR(INDEX(AGR!$E$52:$L$73,MATCH('TS DTech'!$C58,AGR!$B$52:$B$73,0),MATCH('TS DTech'!$B58&amp;W$7,AGR!$E$46:$L$46&amp;AGR!$E$48:$L$48,0)),""))</f>
        <v/>
      </c>
      <c r="X58" s="296" t="str">
        <f t="array" aca="1" ref="X58" ca="1">IF($A58="*","",IFERROR(INDEX(AGR!$E$52:$L$73,MATCH('TS DTech'!$C58,AGR!$B$52:$B$73,0),MATCH('TS DTech'!$B58&amp;X$7,AGR!$E$46:$L$46&amp;AGR!$E$48:$L$48,0)),""))</f>
        <v/>
      </c>
      <c r="Y58" s="296" t="str">
        <f t="array" aca="1" ref="Y58" ca="1">IF($A58="*","",IFERROR(INDEX(AGR!$E$52:$L$73,MATCH('TS DTech'!$C58,AGR!$B$52:$B$73,0),MATCH('TS DTech'!$B58&amp;Y$7,AGR!$E$46:$L$46&amp;AGR!$E$48:$L$48,0)),""))</f>
        <v/>
      </c>
      <c r="Z58" s="296" t="str">
        <f t="array" aca="1" ref="Z58" ca="1">IF($A58="*","",IFERROR(INDEX(AGR!$E$52:$L$73,MATCH('TS DTech'!$C58,AGR!$B$52:$B$73,0),MATCH('TS DTech'!$B58&amp;Z$7,AGR!$E$46:$L$46&amp;AGR!$E$48:$L$48,0)),""))</f>
        <v/>
      </c>
      <c r="AA58" s="296" t="str">
        <f t="array" aca="1" ref="AA58" ca="1">IF($A58="*","",IFERROR(INDEX(AGR!$E$52:$L$73,MATCH('TS DTech'!$C58,AGR!$B$52:$B$73,0),MATCH('TS DTech'!$B58&amp;AA$7,AGR!$E$46:$L$46&amp;AGR!$E$48:$L$48,0)),""))</f>
        <v/>
      </c>
      <c r="AB58" s="296" t="str">
        <f t="array" aca="1" ref="AB58" ca="1">IF($A58="*","",IFERROR(INDEX(AGR!$E$52:$L$73,MATCH('TS DTech'!$C58,AGR!$B$52:$B$73,0),MATCH('TS DTech'!$B58&amp;AB$7,AGR!$E$46:$L$46&amp;AGR!$E$48:$L$48,0)),""))</f>
        <v/>
      </c>
      <c r="AC58" s="296" t="str">
        <f t="array" aca="1" ref="AC58" ca="1">IF($A58="*","",IFERROR(INDEX(AGR!$E$52:$L$73,MATCH('TS DTech'!$C58,AGR!$B$52:$B$73,0),MATCH('TS DTech'!$B58&amp;AC$7,AGR!$E$46:$L$46&amp;AGR!$E$48:$L$48,0)),""))</f>
        <v/>
      </c>
      <c r="AD58" s="296" t="str">
        <f t="array" aca="1" ref="AD58" ca="1">IF($A58="*","",IFERROR(INDEX(AGR!$E$52:$L$73,MATCH('TS DTech'!$C58,AGR!$B$52:$B$73,0),MATCH('TS DTech'!$B58&amp;AD$7,AGR!$E$46:$L$46&amp;AGR!$E$48:$L$48,0)),""))</f>
        <v/>
      </c>
      <c r="AE58" s="296" t="str">
        <f t="array" aca="1" ref="AE58" ca="1">IF($A58="*","",IFERROR(INDEX(AGR!$E$52:$L$73,MATCH('TS DTech'!$C58,AGR!$B$52:$B$73,0),MATCH('TS DTech'!$B58&amp;AE$7,AGR!$E$46:$L$46&amp;AGR!$E$48:$L$48,0)),""))</f>
        <v/>
      </c>
      <c r="AF58" s="296" t="str">
        <f t="array" aca="1" ref="AF58" ca="1">IF($A58="*","",IFERROR(INDEX(AGR!$E$52:$L$73,MATCH('TS DTech'!$C58,AGR!$B$52:$B$73,0),MATCH('TS DTech'!$B58&amp;AF$7,AGR!$E$46:$L$46&amp;AGR!$E$48:$L$48,0)),""))</f>
        <v/>
      </c>
      <c r="AG58" s="296" t="str">
        <f t="array" aca="1" ref="AG58" ca="1">IF($A58="*","",IFERROR(INDEX(AGR!$E$52:$L$73,MATCH('TS DTech'!$C58,AGR!$B$52:$B$73,0),MATCH('TS DTech'!$B58&amp;AG$7,AGR!$E$46:$L$46&amp;AGR!$E$48:$L$48,0)),""))</f>
        <v/>
      </c>
      <c r="AH58" s="296" t="str">
        <f t="array" aca="1" ref="AH58" ca="1">IF($A58="*","",IFERROR(INDEX(AGR!$E$52:$L$73,MATCH('TS DTech'!$C58,AGR!$B$52:$B$73,0),MATCH('TS DTech'!$B58&amp;AH$7,AGR!$E$46:$L$46&amp;AGR!$E$48:$L$48,0)),""))</f>
        <v/>
      </c>
      <c r="AI58" s="296" t="str">
        <f t="array" aca="1" ref="AI58" ca="1">IF($A58="*","",IFERROR(INDEX(AGR!$E$52:$L$73,MATCH('TS DTech'!$C58,AGR!$B$52:$B$73,0),MATCH('TS DTech'!$B58&amp;AI$7,AGR!$E$46:$L$46&amp;AGR!$E$48:$L$48,0)),""))</f>
        <v/>
      </c>
      <c r="AJ58" s="296" t="str">
        <f t="array" aca="1" ref="AJ58" ca="1">IF($A58="*","",IFERROR(INDEX(AGR!$E$52:$L$73,MATCH('TS DTech'!$C58,AGR!$B$52:$B$73,0),MATCH('TS DTech'!$B58&amp;AJ$7,AGR!$E$46:$L$46&amp;AGR!$E$48:$L$48,0)),""))</f>
        <v/>
      </c>
      <c r="AK58" s="296" t="str">
        <f t="array" aca="1" ref="AK58" ca="1">IF($A58="*","",IFERROR(INDEX(AGR!$E$52:$L$73,MATCH('TS DTech'!$C58,AGR!$B$52:$B$73,0),MATCH('TS DTech'!$B58&amp;AK$7,AGR!$E$46:$L$46&amp;AGR!$E$48:$L$48,0)),""))</f>
        <v/>
      </c>
      <c r="AL58" s="296" t="str">
        <f t="array" aca="1" ref="AL58" ca="1">IF($A58="*","",IFERROR(INDEX(AGR!$E$52:$L$73,MATCH('TS DTech'!$C58,AGR!$B$52:$B$73,0),MATCH('TS DTech'!$B58&amp;AL$7,AGR!$E$46:$L$46&amp;AGR!$E$48:$L$48,0)),""))</f>
        <v/>
      </c>
      <c r="AM58" s="296" t="str">
        <f t="array" aca="1" ref="AM58" ca="1">IF($A58="*","",IFERROR(INDEX(AGR!$E$52:$L$73,MATCH('TS DTech'!$C58,AGR!$B$52:$B$73,0),MATCH('TS DTech'!$B58&amp;AM$7,AGR!$E$46:$L$46&amp;AGR!$E$48:$L$48,0)),""))</f>
        <v/>
      </c>
      <c r="AN58" s="296" t="str">
        <f t="array" aca="1" ref="AN58" ca="1">IF($A58="*","",IFERROR(INDEX(AGR!$E$52:$L$73,MATCH('TS DTech'!$C58,AGR!$B$52:$B$73,0),MATCH('TS DTech'!$B58&amp;AN$7,AGR!$E$46:$L$46&amp;AGR!$E$48:$L$48,0)),""))</f>
        <v/>
      </c>
      <c r="AO58" s="296" t="str">
        <f t="array" aca="1" ref="AO58" ca="1">IF($A58="*","",IFERROR(INDEX(AGR!$E$52:$L$73,MATCH('TS DTech'!$C58,AGR!$B$52:$B$73,0),MATCH('TS DTech'!$B58&amp;AO$7,AGR!$E$46:$L$46&amp;AGR!$E$48:$L$48,0)),""))</f>
        <v/>
      </c>
      <c r="AP58" s="296" t="str">
        <f t="array" aca="1" ref="AP58" ca="1">IF($A58="*","",IFERROR(INDEX(AGR!$E$52:$L$73,MATCH('TS DTech'!$C58,AGR!$B$52:$B$73,0),MATCH('TS DTech'!$B58&amp;AP$7,AGR!$E$46:$L$46&amp;AGR!$E$48:$L$48,0)),""))</f>
        <v/>
      </c>
      <c r="AQ58" s="137">
        <f>IF(AR57=AGR!$AD$74,AQ57+1,AQ57)</f>
        <v>2</v>
      </c>
      <c r="AR58" s="137">
        <f t="shared" si="3"/>
        <v>20</v>
      </c>
    </row>
    <row r="59" spans="1:44">
      <c r="A59" s="137" t="str">
        <f ca="1">IF(LEFT(OFFSET(AGR!$A$51,AR59,0),2)="\I","*","")</f>
        <v/>
      </c>
      <c r="B59" s="212" t="str">
        <f t="shared" ca="1" si="4"/>
        <v>NCAP_AFA</v>
      </c>
      <c r="C59" s="212" t="str">
        <f ca="1">IF($A59="*","",OFFSET(AGR!$B$51,AR59,0))</f>
        <v>AOELC-E</v>
      </c>
      <c r="D59" s="212" t="str">
        <f t="shared" ca="1" si="5"/>
        <v>-</v>
      </c>
      <c r="E59" s="212" t="str">
        <f t="shared" ca="1" si="5"/>
        <v>-</v>
      </c>
      <c r="F59" s="212" t="str">
        <f t="shared" ca="1" si="5"/>
        <v>-</v>
      </c>
      <c r="G59" s="212" t="str">
        <f t="shared" ca="1" si="5"/>
        <v>ANNUAL</v>
      </c>
      <c r="H59" s="212" t="str">
        <f t="shared" ca="1" si="5"/>
        <v>UP</v>
      </c>
      <c r="I59" s="213">
        <f t="shared" ca="1" si="5"/>
        <v>3</v>
      </c>
      <c r="J59" s="296">
        <f t="array" aca="1" ref="J59" ca="1">IF($A59="*","",IFERROR(INDEX(AGR!$E$52:$L$73,MATCH('TS DTech'!$C59,AGR!$B$52:$B$73,0),MATCH('TS DTech'!$B59&amp;J$7,AGR!$E$46:$L$46&amp;AGR!$E$48:$L$48,0)),""))</f>
        <v>1</v>
      </c>
      <c r="K59" s="296" t="str">
        <f t="array" aca="1" ref="K59" ca="1">IF($A59="*","",IFERROR(INDEX(AGR!$E$52:$L$73,MATCH('TS DTech'!$C59,AGR!$B$52:$B$73,0),MATCH('TS DTech'!$B59&amp;K$7,AGR!$E$46:$L$46&amp;AGR!$E$48:$L$48,0)),""))</f>
        <v/>
      </c>
      <c r="L59" s="296" t="str">
        <f t="array" aca="1" ref="L59" ca="1">IF($A59="*","",IFERROR(INDEX(AGR!$E$52:$L$73,MATCH('TS DTech'!$C59,AGR!$B$52:$B$73,0),MATCH('TS DTech'!$B59&amp;L$7,AGR!$E$46:$L$46&amp;AGR!$E$48:$L$48,0)),""))</f>
        <v/>
      </c>
      <c r="M59" s="296" t="str">
        <f t="array" aca="1" ref="M59" ca="1">IF($A59="*","",IFERROR(INDEX(AGR!$E$52:$L$73,MATCH('TS DTech'!$C59,AGR!$B$52:$B$73,0),MATCH('TS DTech'!$B59&amp;M$7,AGR!$E$46:$L$46&amp;AGR!$E$48:$L$48,0)),""))</f>
        <v/>
      </c>
      <c r="N59" s="296" t="str">
        <f t="array" aca="1" ref="N59" ca="1">IF($A59="*","",IFERROR(INDEX(AGR!$E$52:$L$73,MATCH('TS DTech'!$C59,AGR!$B$52:$B$73,0),MATCH('TS DTech'!$B59&amp;N$7,AGR!$E$46:$L$46&amp;AGR!$E$48:$L$48,0)),""))</f>
        <v/>
      </c>
      <c r="O59" s="296">
        <f t="array" aca="1" ref="O59" ca="1">IF($A59="*","",IFERROR(INDEX(AGR!$E$52:$L$73,MATCH('TS DTech'!$C59,AGR!$B$52:$B$73,0),MATCH('TS DTech'!$B59&amp;O$7,AGR!$E$46:$L$46&amp;AGR!$E$48:$L$48,0)),""))</f>
        <v>1</v>
      </c>
      <c r="P59" s="296" t="str">
        <f t="array" aca="1" ref="P59" ca="1">IF($A59="*","",IFERROR(INDEX(AGR!$E$52:$L$73,MATCH('TS DTech'!$C59,AGR!$B$52:$B$73,0),MATCH('TS DTech'!$B59&amp;P$7,AGR!$E$46:$L$46&amp;AGR!$E$48:$L$48,0)),""))</f>
        <v/>
      </c>
      <c r="Q59" s="296" t="str">
        <f t="array" aca="1" ref="Q59" ca="1">IF($A59="*","",IFERROR(INDEX(AGR!$E$52:$L$73,MATCH('TS DTech'!$C59,AGR!$B$52:$B$73,0),MATCH('TS DTech'!$B59&amp;Q$7,AGR!$E$46:$L$46&amp;AGR!$E$48:$L$48,0)),""))</f>
        <v/>
      </c>
      <c r="R59" s="296" t="str">
        <f t="array" aca="1" ref="R59" ca="1">IF($A59="*","",IFERROR(INDEX(AGR!$E$52:$L$73,MATCH('TS DTech'!$C59,AGR!$B$52:$B$73,0),MATCH('TS DTech'!$B59&amp;R$7,AGR!$E$46:$L$46&amp;AGR!$E$48:$L$48,0)),""))</f>
        <v/>
      </c>
      <c r="S59" s="296" t="str">
        <f t="array" aca="1" ref="S59" ca="1">IF($A59="*","",IFERROR(INDEX(AGR!$E$52:$L$73,MATCH('TS DTech'!$C59,AGR!$B$52:$B$73,0),MATCH('TS DTech'!$B59&amp;S$7,AGR!$E$46:$L$46&amp;AGR!$E$48:$L$48,0)),""))</f>
        <v/>
      </c>
      <c r="T59" s="296" t="str">
        <f t="array" aca="1" ref="T59" ca="1">IF($A59="*","",IFERROR(INDEX(AGR!$E$52:$L$73,MATCH('TS DTech'!$C59,AGR!$B$52:$B$73,0),MATCH('TS DTech'!$B59&amp;T$7,AGR!$E$46:$L$46&amp;AGR!$E$48:$L$48,0)),""))</f>
        <v/>
      </c>
      <c r="U59" s="296" t="str">
        <f t="array" aca="1" ref="U59" ca="1">IF($A59="*","",IFERROR(INDEX(AGR!$E$52:$L$73,MATCH('TS DTech'!$C59,AGR!$B$52:$B$73,0),MATCH('TS DTech'!$B59&amp;U$7,AGR!$E$46:$L$46&amp;AGR!$E$48:$L$48,0)),""))</f>
        <v/>
      </c>
      <c r="V59" s="296" t="str">
        <f t="array" aca="1" ref="V59" ca="1">IF($A59="*","",IFERROR(INDEX(AGR!$E$52:$L$73,MATCH('TS DTech'!$C59,AGR!$B$52:$B$73,0),MATCH('TS DTech'!$B59&amp;V$7,AGR!$E$46:$L$46&amp;AGR!$E$48:$L$48,0)),""))</f>
        <v/>
      </c>
      <c r="W59" s="296" t="str">
        <f t="array" aca="1" ref="W59" ca="1">IF($A59="*","",IFERROR(INDEX(AGR!$E$52:$L$73,MATCH('TS DTech'!$C59,AGR!$B$52:$B$73,0),MATCH('TS DTech'!$B59&amp;W$7,AGR!$E$46:$L$46&amp;AGR!$E$48:$L$48,0)),""))</f>
        <v/>
      </c>
      <c r="X59" s="296" t="str">
        <f t="array" aca="1" ref="X59" ca="1">IF($A59="*","",IFERROR(INDEX(AGR!$E$52:$L$73,MATCH('TS DTech'!$C59,AGR!$B$52:$B$73,0),MATCH('TS DTech'!$B59&amp;X$7,AGR!$E$46:$L$46&amp;AGR!$E$48:$L$48,0)),""))</f>
        <v/>
      </c>
      <c r="Y59" s="296" t="str">
        <f t="array" aca="1" ref="Y59" ca="1">IF($A59="*","",IFERROR(INDEX(AGR!$E$52:$L$73,MATCH('TS DTech'!$C59,AGR!$B$52:$B$73,0),MATCH('TS DTech'!$B59&amp;Y$7,AGR!$E$46:$L$46&amp;AGR!$E$48:$L$48,0)),""))</f>
        <v/>
      </c>
      <c r="Z59" s="296" t="str">
        <f t="array" aca="1" ref="Z59" ca="1">IF($A59="*","",IFERROR(INDEX(AGR!$E$52:$L$73,MATCH('TS DTech'!$C59,AGR!$B$52:$B$73,0),MATCH('TS DTech'!$B59&amp;Z$7,AGR!$E$46:$L$46&amp;AGR!$E$48:$L$48,0)),""))</f>
        <v/>
      </c>
      <c r="AA59" s="296" t="str">
        <f t="array" aca="1" ref="AA59" ca="1">IF($A59="*","",IFERROR(INDEX(AGR!$E$52:$L$73,MATCH('TS DTech'!$C59,AGR!$B$52:$B$73,0),MATCH('TS DTech'!$B59&amp;AA$7,AGR!$E$46:$L$46&amp;AGR!$E$48:$L$48,0)),""))</f>
        <v/>
      </c>
      <c r="AB59" s="296" t="str">
        <f t="array" aca="1" ref="AB59" ca="1">IF($A59="*","",IFERROR(INDEX(AGR!$E$52:$L$73,MATCH('TS DTech'!$C59,AGR!$B$52:$B$73,0),MATCH('TS DTech'!$B59&amp;AB$7,AGR!$E$46:$L$46&amp;AGR!$E$48:$L$48,0)),""))</f>
        <v/>
      </c>
      <c r="AC59" s="296" t="str">
        <f t="array" aca="1" ref="AC59" ca="1">IF($A59="*","",IFERROR(INDEX(AGR!$E$52:$L$73,MATCH('TS DTech'!$C59,AGR!$B$52:$B$73,0),MATCH('TS DTech'!$B59&amp;AC$7,AGR!$E$46:$L$46&amp;AGR!$E$48:$L$48,0)),""))</f>
        <v/>
      </c>
      <c r="AD59" s="296" t="str">
        <f t="array" aca="1" ref="AD59" ca="1">IF($A59="*","",IFERROR(INDEX(AGR!$E$52:$L$73,MATCH('TS DTech'!$C59,AGR!$B$52:$B$73,0),MATCH('TS DTech'!$B59&amp;AD$7,AGR!$E$46:$L$46&amp;AGR!$E$48:$L$48,0)),""))</f>
        <v/>
      </c>
      <c r="AE59" s="296" t="str">
        <f t="array" aca="1" ref="AE59" ca="1">IF($A59="*","",IFERROR(INDEX(AGR!$E$52:$L$73,MATCH('TS DTech'!$C59,AGR!$B$52:$B$73,0),MATCH('TS DTech'!$B59&amp;AE$7,AGR!$E$46:$L$46&amp;AGR!$E$48:$L$48,0)),""))</f>
        <v/>
      </c>
      <c r="AF59" s="296" t="str">
        <f t="array" aca="1" ref="AF59" ca="1">IF($A59="*","",IFERROR(INDEX(AGR!$E$52:$L$73,MATCH('TS DTech'!$C59,AGR!$B$52:$B$73,0),MATCH('TS DTech'!$B59&amp;AF$7,AGR!$E$46:$L$46&amp;AGR!$E$48:$L$48,0)),""))</f>
        <v/>
      </c>
      <c r="AG59" s="296" t="str">
        <f t="array" aca="1" ref="AG59" ca="1">IF($A59="*","",IFERROR(INDEX(AGR!$E$52:$L$73,MATCH('TS DTech'!$C59,AGR!$B$52:$B$73,0),MATCH('TS DTech'!$B59&amp;AG$7,AGR!$E$46:$L$46&amp;AGR!$E$48:$L$48,0)),""))</f>
        <v/>
      </c>
      <c r="AH59" s="296" t="str">
        <f t="array" aca="1" ref="AH59" ca="1">IF($A59="*","",IFERROR(INDEX(AGR!$E$52:$L$73,MATCH('TS DTech'!$C59,AGR!$B$52:$B$73,0),MATCH('TS DTech'!$B59&amp;AH$7,AGR!$E$46:$L$46&amp;AGR!$E$48:$L$48,0)),""))</f>
        <v/>
      </c>
      <c r="AI59" s="296" t="str">
        <f t="array" aca="1" ref="AI59" ca="1">IF($A59="*","",IFERROR(INDEX(AGR!$E$52:$L$73,MATCH('TS DTech'!$C59,AGR!$B$52:$B$73,0),MATCH('TS DTech'!$B59&amp;AI$7,AGR!$E$46:$L$46&amp;AGR!$E$48:$L$48,0)),""))</f>
        <v/>
      </c>
      <c r="AJ59" s="296" t="str">
        <f t="array" aca="1" ref="AJ59" ca="1">IF($A59="*","",IFERROR(INDEX(AGR!$E$52:$L$73,MATCH('TS DTech'!$C59,AGR!$B$52:$B$73,0),MATCH('TS DTech'!$B59&amp;AJ$7,AGR!$E$46:$L$46&amp;AGR!$E$48:$L$48,0)),""))</f>
        <v/>
      </c>
      <c r="AK59" s="296" t="str">
        <f t="array" aca="1" ref="AK59" ca="1">IF($A59="*","",IFERROR(INDEX(AGR!$E$52:$L$73,MATCH('TS DTech'!$C59,AGR!$B$52:$B$73,0),MATCH('TS DTech'!$B59&amp;AK$7,AGR!$E$46:$L$46&amp;AGR!$E$48:$L$48,0)),""))</f>
        <v/>
      </c>
      <c r="AL59" s="296" t="str">
        <f t="array" aca="1" ref="AL59" ca="1">IF($A59="*","",IFERROR(INDEX(AGR!$E$52:$L$73,MATCH('TS DTech'!$C59,AGR!$B$52:$B$73,0),MATCH('TS DTech'!$B59&amp;AL$7,AGR!$E$46:$L$46&amp;AGR!$E$48:$L$48,0)),""))</f>
        <v/>
      </c>
      <c r="AM59" s="296" t="str">
        <f t="array" aca="1" ref="AM59" ca="1">IF($A59="*","",IFERROR(INDEX(AGR!$E$52:$L$73,MATCH('TS DTech'!$C59,AGR!$B$52:$B$73,0),MATCH('TS DTech'!$B59&amp;AM$7,AGR!$E$46:$L$46&amp;AGR!$E$48:$L$48,0)),""))</f>
        <v/>
      </c>
      <c r="AN59" s="296" t="str">
        <f t="array" aca="1" ref="AN59" ca="1">IF($A59="*","",IFERROR(INDEX(AGR!$E$52:$L$73,MATCH('TS DTech'!$C59,AGR!$B$52:$B$73,0),MATCH('TS DTech'!$B59&amp;AN$7,AGR!$E$46:$L$46&amp;AGR!$E$48:$L$48,0)),""))</f>
        <v/>
      </c>
      <c r="AO59" s="296" t="str">
        <f t="array" aca="1" ref="AO59" ca="1">IF($A59="*","",IFERROR(INDEX(AGR!$E$52:$L$73,MATCH('TS DTech'!$C59,AGR!$B$52:$B$73,0),MATCH('TS DTech'!$B59&amp;AO$7,AGR!$E$46:$L$46&amp;AGR!$E$48:$L$48,0)),""))</f>
        <v/>
      </c>
      <c r="AP59" s="296" t="str">
        <f t="array" aca="1" ref="AP59" ca="1">IF($A59="*","",IFERROR(INDEX(AGR!$E$52:$L$73,MATCH('TS DTech'!$C59,AGR!$B$52:$B$73,0),MATCH('TS DTech'!$B59&amp;AP$7,AGR!$E$46:$L$46&amp;AGR!$E$48:$L$48,0)),""))</f>
        <v/>
      </c>
      <c r="AQ59" s="137">
        <f>IF(AR58=AGR!$AD$74,AQ58+1,AQ58)</f>
        <v>2</v>
      </c>
      <c r="AR59" s="137">
        <f t="shared" si="3"/>
        <v>21</v>
      </c>
    </row>
    <row r="60" spans="1:44">
      <c r="A60" s="137" t="str">
        <f ca="1">IF(LEFT(OFFSET(AGR!$A$51,AR60,0),2)="\I","*","")</f>
        <v>*</v>
      </c>
      <c r="B60" s="212" t="str">
        <f t="shared" ca="1" si="4"/>
        <v/>
      </c>
      <c r="C60" s="212" t="str">
        <f ca="1">IF($A60="*","",OFFSET(AGR!$B$51,AR60,0))</f>
        <v/>
      </c>
      <c r="D60" s="212" t="str">
        <f t="shared" ca="1" si="5"/>
        <v/>
      </c>
      <c r="E60" s="212" t="str">
        <f t="shared" ca="1" si="5"/>
        <v/>
      </c>
      <c r="F60" s="212" t="str">
        <f t="shared" ca="1" si="5"/>
        <v/>
      </c>
      <c r="G60" s="212" t="str">
        <f t="shared" ca="1" si="5"/>
        <v/>
      </c>
      <c r="H60" s="212" t="str">
        <f t="shared" ca="1" si="5"/>
        <v/>
      </c>
      <c r="I60" s="213" t="str">
        <f t="shared" ca="1" si="5"/>
        <v/>
      </c>
      <c r="J60" s="296" t="str">
        <f t="array" aca="1" ref="J60" ca="1">IF($A60="*","",IFERROR(INDEX(AGR!$E$52:$L$73,MATCH('TS DTech'!$C60,AGR!$B$52:$B$73,0),MATCH('TS DTech'!$B60&amp;J$7,AGR!$E$46:$L$46&amp;AGR!$E$48:$L$48,0)),""))</f>
        <v/>
      </c>
      <c r="K60" s="296" t="str">
        <f t="array" aca="1" ref="K60" ca="1">IF($A60="*","",IFERROR(INDEX(AGR!$E$52:$L$73,MATCH('TS DTech'!$C60,AGR!$B$52:$B$73,0),MATCH('TS DTech'!$B60&amp;K$7,AGR!$E$46:$L$46&amp;AGR!$E$48:$L$48,0)),""))</f>
        <v/>
      </c>
      <c r="L60" s="296" t="str">
        <f t="array" aca="1" ref="L60" ca="1">IF($A60="*","",IFERROR(INDEX(AGR!$E$52:$L$73,MATCH('TS DTech'!$C60,AGR!$B$52:$B$73,0),MATCH('TS DTech'!$B60&amp;L$7,AGR!$E$46:$L$46&amp;AGR!$E$48:$L$48,0)),""))</f>
        <v/>
      </c>
      <c r="M60" s="296" t="str">
        <f t="array" aca="1" ref="M60" ca="1">IF($A60="*","",IFERROR(INDEX(AGR!$E$52:$L$73,MATCH('TS DTech'!$C60,AGR!$B$52:$B$73,0),MATCH('TS DTech'!$B60&amp;M$7,AGR!$E$46:$L$46&amp;AGR!$E$48:$L$48,0)),""))</f>
        <v/>
      </c>
      <c r="N60" s="296" t="str">
        <f t="array" aca="1" ref="N60" ca="1">IF($A60="*","",IFERROR(INDEX(AGR!$E$52:$L$73,MATCH('TS DTech'!$C60,AGR!$B$52:$B$73,0),MATCH('TS DTech'!$B60&amp;N$7,AGR!$E$46:$L$46&amp;AGR!$E$48:$L$48,0)),""))</f>
        <v/>
      </c>
      <c r="O60" s="296" t="str">
        <f t="array" aca="1" ref="O60" ca="1">IF($A60="*","",IFERROR(INDEX(AGR!$E$52:$L$73,MATCH('TS DTech'!$C60,AGR!$B$52:$B$73,0),MATCH('TS DTech'!$B60&amp;O$7,AGR!$E$46:$L$46&amp;AGR!$E$48:$L$48,0)),""))</f>
        <v/>
      </c>
      <c r="P60" s="296" t="str">
        <f t="array" aca="1" ref="P60" ca="1">IF($A60="*","",IFERROR(INDEX(AGR!$E$52:$L$73,MATCH('TS DTech'!$C60,AGR!$B$52:$B$73,0),MATCH('TS DTech'!$B60&amp;P$7,AGR!$E$46:$L$46&amp;AGR!$E$48:$L$48,0)),""))</f>
        <v/>
      </c>
      <c r="Q60" s="296" t="str">
        <f t="array" aca="1" ref="Q60" ca="1">IF($A60="*","",IFERROR(INDEX(AGR!$E$52:$L$73,MATCH('TS DTech'!$C60,AGR!$B$52:$B$73,0),MATCH('TS DTech'!$B60&amp;Q$7,AGR!$E$46:$L$46&amp;AGR!$E$48:$L$48,0)),""))</f>
        <v/>
      </c>
      <c r="R60" s="296" t="str">
        <f t="array" aca="1" ref="R60" ca="1">IF($A60="*","",IFERROR(INDEX(AGR!$E$52:$L$73,MATCH('TS DTech'!$C60,AGR!$B$52:$B$73,0),MATCH('TS DTech'!$B60&amp;R$7,AGR!$E$46:$L$46&amp;AGR!$E$48:$L$48,0)),""))</f>
        <v/>
      </c>
      <c r="S60" s="296" t="str">
        <f t="array" aca="1" ref="S60" ca="1">IF($A60="*","",IFERROR(INDEX(AGR!$E$52:$L$73,MATCH('TS DTech'!$C60,AGR!$B$52:$B$73,0),MATCH('TS DTech'!$B60&amp;S$7,AGR!$E$46:$L$46&amp;AGR!$E$48:$L$48,0)),""))</f>
        <v/>
      </c>
      <c r="T60" s="296" t="str">
        <f t="array" aca="1" ref="T60" ca="1">IF($A60="*","",IFERROR(INDEX(AGR!$E$52:$L$73,MATCH('TS DTech'!$C60,AGR!$B$52:$B$73,0),MATCH('TS DTech'!$B60&amp;T$7,AGR!$E$46:$L$46&amp;AGR!$E$48:$L$48,0)),""))</f>
        <v/>
      </c>
      <c r="U60" s="296" t="str">
        <f t="array" aca="1" ref="U60" ca="1">IF($A60="*","",IFERROR(INDEX(AGR!$E$52:$L$73,MATCH('TS DTech'!$C60,AGR!$B$52:$B$73,0),MATCH('TS DTech'!$B60&amp;U$7,AGR!$E$46:$L$46&amp;AGR!$E$48:$L$48,0)),""))</f>
        <v/>
      </c>
      <c r="V60" s="296" t="str">
        <f t="array" aca="1" ref="V60" ca="1">IF($A60="*","",IFERROR(INDEX(AGR!$E$52:$L$73,MATCH('TS DTech'!$C60,AGR!$B$52:$B$73,0),MATCH('TS DTech'!$B60&amp;V$7,AGR!$E$46:$L$46&amp;AGR!$E$48:$L$48,0)),""))</f>
        <v/>
      </c>
      <c r="W60" s="296" t="str">
        <f t="array" aca="1" ref="W60" ca="1">IF($A60="*","",IFERROR(INDEX(AGR!$E$52:$L$73,MATCH('TS DTech'!$C60,AGR!$B$52:$B$73,0),MATCH('TS DTech'!$B60&amp;W$7,AGR!$E$46:$L$46&amp;AGR!$E$48:$L$48,0)),""))</f>
        <v/>
      </c>
      <c r="X60" s="296" t="str">
        <f t="array" aca="1" ref="X60" ca="1">IF($A60="*","",IFERROR(INDEX(AGR!$E$52:$L$73,MATCH('TS DTech'!$C60,AGR!$B$52:$B$73,0),MATCH('TS DTech'!$B60&amp;X$7,AGR!$E$46:$L$46&amp;AGR!$E$48:$L$48,0)),""))</f>
        <v/>
      </c>
      <c r="Y60" s="296" t="str">
        <f t="array" aca="1" ref="Y60" ca="1">IF($A60="*","",IFERROR(INDEX(AGR!$E$52:$L$73,MATCH('TS DTech'!$C60,AGR!$B$52:$B$73,0),MATCH('TS DTech'!$B60&amp;Y$7,AGR!$E$46:$L$46&amp;AGR!$E$48:$L$48,0)),""))</f>
        <v/>
      </c>
      <c r="Z60" s="296" t="str">
        <f t="array" aca="1" ref="Z60" ca="1">IF($A60="*","",IFERROR(INDEX(AGR!$E$52:$L$73,MATCH('TS DTech'!$C60,AGR!$B$52:$B$73,0),MATCH('TS DTech'!$B60&amp;Z$7,AGR!$E$46:$L$46&amp;AGR!$E$48:$L$48,0)),""))</f>
        <v/>
      </c>
      <c r="AA60" s="296" t="str">
        <f t="array" aca="1" ref="AA60" ca="1">IF($A60="*","",IFERROR(INDEX(AGR!$E$52:$L$73,MATCH('TS DTech'!$C60,AGR!$B$52:$B$73,0),MATCH('TS DTech'!$B60&amp;AA$7,AGR!$E$46:$L$46&amp;AGR!$E$48:$L$48,0)),""))</f>
        <v/>
      </c>
      <c r="AB60" s="296" t="str">
        <f t="array" aca="1" ref="AB60" ca="1">IF($A60="*","",IFERROR(INDEX(AGR!$E$52:$L$73,MATCH('TS DTech'!$C60,AGR!$B$52:$B$73,0),MATCH('TS DTech'!$B60&amp;AB$7,AGR!$E$46:$L$46&amp;AGR!$E$48:$L$48,0)),""))</f>
        <v/>
      </c>
      <c r="AC60" s="296" t="str">
        <f t="array" aca="1" ref="AC60" ca="1">IF($A60="*","",IFERROR(INDEX(AGR!$E$52:$L$73,MATCH('TS DTech'!$C60,AGR!$B$52:$B$73,0),MATCH('TS DTech'!$B60&amp;AC$7,AGR!$E$46:$L$46&amp;AGR!$E$48:$L$48,0)),""))</f>
        <v/>
      </c>
      <c r="AD60" s="296" t="str">
        <f t="array" aca="1" ref="AD60" ca="1">IF($A60="*","",IFERROR(INDEX(AGR!$E$52:$L$73,MATCH('TS DTech'!$C60,AGR!$B$52:$B$73,0),MATCH('TS DTech'!$B60&amp;AD$7,AGR!$E$46:$L$46&amp;AGR!$E$48:$L$48,0)),""))</f>
        <v/>
      </c>
      <c r="AE60" s="296" t="str">
        <f t="array" aca="1" ref="AE60" ca="1">IF($A60="*","",IFERROR(INDEX(AGR!$E$52:$L$73,MATCH('TS DTech'!$C60,AGR!$B$52:$B$73,0),MATCH('TS DTech'!$B60&amp;AE$7,AGR!$E$46:$L$46&amp;AGR!$E$48:$L$48,0)),""))</f>
        <v/>
      </c>
      <c r="AF60" s="296" t="str">
        <f t="array" aca="1" ref="AF60" ca="1">IF($A60="*","",IFERROR(INDEX(AGR!$E$52:$L$73,MATCH('TS DTech'!$C60,AGR!$B$52:$B$73,0),MATCH('TS DTech'!$B60&amp;AF$7,AGR!$E$46:$L$46&amp;AGR!$E$48:$L$48,0)),""))</f>
        <v/>
      </c>
      <c r="AG60" s="296" t="str">
        <f t="array" aca="1" ref="AG60" ca="1">IF($A60="*","",IFERROR(INDEX(AGR!$E$52:$L$73,MATCH('TS DTech'!$C60,AGR!$B$52:$B$73,0),MATCH('TS DTech'!$B60&amp;AG$7,AGR!$E$46:$L$46&amp;AGR!$E$48:$L$48,0)),""))</f>
        <v/>
      </c>
      <c r="AH60" s="296" t="str">
        <f t="array" aca="1" ref="AH60" ca="1">IF($A60="*","",IFERROR(INDEX(AGR!$E$52:$L$73,MATCH('TS DTech'!$C60,AGR!$B$52:$B$73,0),MATCH('TS DTech'!$B60&amp;AH$7,AGR!$E$46:$L$46&amp;AGR!$E$48:$L$48,0)),""))</f>
        <v/>
      </c>
      <c r="AI60" s="296" t="str">
        <f t="array" aca="1" ref="AI60" ca="1">IF($A60="*","",IFERROR(INDEX(AGR!$E$52:$L$73,MATCH('TS DTech'!$C60,AGR!$B$52:$B$73,0),MATCH('TS DTech'!$B60&amp;AI$7,AGR!$E$46:$L$46&amp;AGR!$E$48:$L$48,0)),""))</f>
        <v/>
      </c>
      <c r="AJ60" s="296" t="str">
        <f t="array" aca="1" ref="AJ60" ca="1">IF($A60="*","",IFERROR(INDEX(AGR!$E$52:$L$73,MATCH('TS DTech'!$C60,AGR!$B$52:$B$73,0),MATCH('TS DTech'!$B60&amp;AJ$7,AGR!$E$46:$L$46&amp;AGR!$E$48:$L$48,0)),""))</f>
        <v/>
      </c>
      <c r="AK60" s="296" t="str">
        <f t="array" aca="1" ref="AK60" ca="1">IF($A60="*","",IFERROR(INDEX(AGR!$E$52:$L$73,MATCH('TS DTech'!$C60,AGR!$B$52:$B$73,0),MATCH('TS DTech'!$B60&amp;AK$7,AGR!$E$46:$L$46&amp;AGR!$E$48:$L$48,0)),""))</f>
        <v/>
      </c>
      <c r="AL60" s="296" t="str">
        <f t="array" aca="1" ref="AL60" ca="1">IF($A60="*","",IFERROR(INDEX(AGR!$E$52:$L$73,MATCH('TS DTech'!$C60,AGR!$B$52:$B$73,0),MATCH('TS DTech'!$B60&amp;AL$7,AGR!$E$46:$L$46&amp;AGR!$E$48:$L$48,0)),""))</f>
        <v/>
      </c>
      <c r="AM60" s="296" t="str">
        <f t="array" aca="1" ref="AM60" ca="1">IF($A60="*","",IFERROR(INDEX(AGR!$E$52:$L$73,MATCH('TS DTech'!$C60,AGR!$B$52:$B$73,0),MATCH('TS DTech'!$B60&amp;AM$7,AGR!$E$46:$L$46&amp;AGR!$E$48:$L$48,0)),""))</f>
        <v/>
      </c>
      <c r="AN60" s="296" t="str">
        <f t="array" aca="1" ref="AN60" ca="1">IF($A60="*","",IFERROR(INDEX(AGR!$E$52:$L$73,MATCH('TS DTech'!$C60,AGR!$B$52:$B$73,0),MATCH('TS DTech'!$B60&amp;AN$7,AGR!$E$46:$L$46&amp;AGR!$E$48:$L$48,0)),""))</f>
        <v/>
      </c>
      <c r="AO60" s="296" t="str">
        <f t="array" aca="1" ref="AO60" ca="1">IF($A60="*","",IFERROR(INDEX(AGR!$E$52:$L$73,MATCH('TS DTech'!$C60,AGR!$B$52:$B$73,0),MATCH('TS DTech'!$B60&amp;AO$7,AGR!$E$46:$L$46&amp;AGR!$E$48:$L$48,0)),""))</f>
        <v/>
      </c>
      <c r="AP60" s="296" t="str">
        <f t="array" aca="1" ref="AP60" ca="1">IF($A60="*","",IFERROR(INDEX(AGR!$E$52:$L$73,MATCH('TS DTech'!$C60,AGR!$B$52:$B$73,0),MATCH('TS DTech'!$B60&amp;AP$7,AGR!$E$46:$L$46&amp;AGR!$E$48:$L$48,0)),""))</f>
        <v/>
      </c>
      <c r="AQ60" s="137">
        <f>IF(AR59=AGR!$AD$74,AQ59+1,AQ59)</f>
        <v>2</v>
      </c>
      <c r="AR60" s="137">
        <f t="shared" si="3"/>
        <v>22</v>
      </c>
    </row>
    <row r="61" spans="1:44">
      <c r="A61" s="137" t="str">
        <f ca="1">IF(LEFT(OFFSET(AGR!$A$51,AR61,0),2)="\I","*","")</f>
        <v>*</v>
      </c>
      <c r="B61" s="212" t="str">
        <f t="shared" ca="1" si="4"/>
        <v/>
      </c>
      <c r="C61" s="212" t="str">
        <f ca="1">IF($A61="*","",OFFSET(AGR!$B$51,AR61,0))</f>
        <v/>
      </c>
      <c r="D61" s="212" t="str">
        <f t="shared" ca="1" si="5"/>
        <v/>
      </c>
      <c r="E61" s="212" t="str">
        <f t="shared" ca="1" si="5"/>
        <v/>
      </c>
      <c r="F61" s="212" t="str">
        <f t="shared" ca="1" si="5"/>
        <v/>
      </c>
      <c r="G61" s="212" t="str">
        <f t="shared" ca="1" si="5"/>
        <v/>
      </c>
      <c r="H61" s="212" t="str">
        <f t="shared" ca="1" si="5"/>
        <v/>
      </c>
      <c r="I61" s="213" t="str">
        <f t="shared" ca="1" si="5"/>
        <v/>
      </c>
      <c r="J61" s="296" t="str">
        <f t="array" aca="1" ref="J61" ca="1">IF($A61="*","",IFERROR(INDEX(AGR!$E$52:$L$73,MATCH('TS DTech'!$C61,AGR!$B$52:$B$73,0),MATCH('TS DTech'!$B61&amp;J$7,AGR!$E$46:$L$46&amp;AGR!$E$48:$L$48,0)),""))</f>
        <v/>
      </c>
      <c r="K61" s="296" t="str">
        <f t="array" aca="1" ref="K61" ca="1">IF($A61="*","",IFERROR(INDEX(AGR!$E$52:$L$73,MATCH('TS DTech'!$C61,AGR!$B$52:$B$73,0),MATCH('TS DTech'!$B61&amp;K$7,AGR!$E$46:$L$46&amp;AGR!$E$48:$L$48,0)),""))</f>
        <v/>
      </c>
      <c r="L61" s="296" t="str">
        <f t="array" aca="1" ref="L61" ca="1">IF($A61="*","",IFERROR(INDEX(AGR!$E$52:$L$73,MATCH('TS DTech'!$C61,AGR!$B$52:$B$73,0),MATCH('TS DTech'!$B61&amp;L$7,AGR!$E$46:$L$46&amp;AGR!$E$48:$L$48,0)),""))</f>
        <v/>
      </c>
      <c r="M61" s="296" t="str">
        <f t="array" aca="1" ref="M61" ca="1">IF($A61="*","",IFERROR(INDEX(AGR!$E$52:$L$73,MATCH('TS DTech'!$C61,AGR!$B$52:$B$73,0),MATCH('TS DTech'!$B61&amp;M$7,AGR!$E$46:$L$46&amp;AGR!$E$48:$L$48,0)),""))</f>
        <v/>
      </c>
      <c r="N61" s="296" t="str">
        <f t="array" aca="1" ref="N61" ca="1">IF($A61="*","",IFERROR(INDEX(AGR!$E$52:$L$73,MATCH('TS DTech'!$C61,AGR!$B$52:$B$73,0),MATCH('TS DTech'!$B61&amp;N$7,AGR!$E$46:$L$46&amp;AGR!$E$48:$L$48,0)),""))</f>
        <v/>
      </c>
      <c r="O61" s="296" t="str">
        <f t="array" aca="1" ref="O61" ca="1">IF($A61="*","",IFERROR(INDEX(AGR!$E$52:$L$73,MATCH('TS DTech'!$C61,AGR!$B$52:$B$73,0),MATCH('TS DTech'!$B61&amp;O$7,AGR!$E$46:$L$46&amp;AGR!$E$48:$L$48,0)),""))</f>
        <v/>
      </c>
      <c r="P61" s="296" t="str">
        <f t="array" aca="1" ref="P61" ca="1">IF($A61="*","",IFERROR(INDEX(AGR!$E$52:$L$73,MATCH('TS DTech'!$C61,AGR!$B$52:$B$73,0),MATCH('TS DTech'!$B61&amp;P$7,AGR!$E$46:$L$46&amp;AGR!$E$48:$L$48,0)),""))</f>
        <v/>
      </c>
      <c r="Q61" s="296" t="str">
        <f t="array" aca="1" ref="Q61" ca="1">IF($A61="*","",IFERROR(INDEX(AGR!$E$52:$L$73,MATCH('TS DTech'!$C61,AGR!$B$52:$B$73,0),MATCH('TS DTech'!$B61&amp;Q$7,AGR!$E$46:$L$46&amp;AGR!$E$48:$L$48,0)),""))</f>
        <v/>
      </c>
      <c r="R61" s="296" t="str">
        <f t="array" aca="1" ref="R61" ca="1">IF($A61="*","",IFERROR(INDEX(AGR!$E$52:$L$73,MATCH('TS DTech'!$C61,AGR!$B$52:$B$73,0),MATCH('TS DTech'!$B61&amp;R$7,AGR!$E$46:$L$46&amp;AGR!$E$48:$L$48,0)),""))</f>
        <v/>
      </c>
      <c r="S61" s="296" t="str">
        <f t="array" aca="1" ref="S61" ca="1">IF($A61="*","",IFERROR(INDEX(AGR!$E$52:$L$73,MATCH('TS DTech'!$C61,AGR!$B$52:$B$73,0),MATCH('TS DTech'!$B61&amp;S$7,AGR!$E$46:$L$46&amp;AGR!$E$48:$L$48,0)),""))</f>
        <v/>
      </c>
      <c r="T61" s="296" t="str">
        <f t="array" aca="1" ref="T61" ca="1">IF($A61="*","",IFERROR(INDEX(AGR!$E$52:$L$73,MATCH('TS DTech'!$C61,AGR!$B$52:$B$73,0),MATCH('TS DTech'!$B61&amp;T$7,AGR!$E$46:$L$46&amp;AGR!$E$48:$L$48,0)),""))</f>
        <v/>
      </c>
      <c r="U61" s="296" t="str">
        <f t="array" aca="1" ref="U61" ca="1">IF($A61="*","",IFERROR(INDEX(AGR!$E$52:$L$73,MATCH('TS DTech'!$C61,AGR!$B$52:$B$73,0),MATCH('TS DTech'!$B61&amp;U$7,AGR!$E$46:$L$46&amp;AGR!$E$48:$L$48,0)),""))</f>
        <v/>
      </c>
      <c r="V61" s="296" t="str">
        <f t="array" aca="1" ref="V61" ca="1">IF($A61="*","",IFERROR(INDEX(AGR!$E$52:$L$73,MATCH('TS DTech'!$C61,AGR!$B$52:$B$73,0),MATCH('TS DTech'!$B61&amp;V$7,AGR!$E$46:$L$46&amp;AGR!$E$48:$L$48,0)),""))</f>
        <v/>
      </c>
      <c r="W61" s="296" t="str">
        <f t="array" aca="1" ref="W61" ca="1">IF($A61="*","",IFERROR(INDEX(AGR!$E$52:$L$73,MATCH('TS DTech'!$C61,AGR!$B$52:$B$73,0),MATCH('TS DTech'!$B61&amp;W$7,AGR!$E$46:$L$46&amp;AGR!$E$48:$L$48,0)),""))</f>
        <v/>
      </c>
      <c r="X61" s="296" t="str">
        <f t="array" aca="1" ref="X61" ca="1">IF($A61="*","",IFERROR(INDEX(AGR!$E$52:$L$73,MATCH('TS DTech'!$C61,AGR!$B$52:$B$73,0),MATCH('TS DTech'!$B61&amp;X$7,AGR!$E$46:$L$46&amp;AGR!$E$48:$L$48,0)),""))</f>
        <v/>
      </c>
      <c r="Y61" s="296" t="str">
        <f t="array" aca="1" ref="Y61" ca="1">IF($A61="*","",IFERROR(INDEX(AGR!$E$52:$L$73,MATCH('TS DTech'!$C61,AGR!$B$52:$B$73,0),MATCH('TS DTech'!$B61&amp;Y$7,AGR!$E$46:$L$46&amp;AGR!$E$48:$L$48,0)),""))</f>
        <v/>
      </c>
      <c r="Z61" s="296" t="str">
        <f t="array" aca="1" ref="Z61" ca="1">IF($A61="*","",IFERROR(INDEX(AGR!$E$52:$L$73,MATCH('TS DTech'!$C61,AGR!$B$52:$B$73,0),MATCH('TS DTech'!$B61&amp;Z$7,AGR!$E$46:$L$46&amp;AGR!$E$48:$L$48,0)),""))</f>
        <v/>
      </c>
      <c r="AA61" s="296" t="str">
        <f t="array" aca="1" ref="AA61" ca="1">IF($A61="*","",IFERROR(INDEX(AGR!$E$52:$L$73,MATCH('TS DTech'!$C61,AGR!$B$52:$B$73,0),MATCH('TS DTech'!$B61&amp;AA$7,AGR!$E$46:$L$46&amp;AGR!$E$48:$L$48,0)),""))</f>
        <v/>
      </c>
      <c r="AB61" s="296" t="str">
        <f t="array" aca="1" ref="AB61" ca="1">IF($A61="*","",IFERROR(INDEX(AGR!$E$52:$L$73,MATCH('TS DTech'!$C61,AGR!$B$52:$B$73,0),MATCH('TS DTech'!$B61&amp;AB$7,AGR!$E$46:$L$46&amp;AGR!$E$48:$L$48,0)),""))</f>
        <v/>
      </c>
      <c r="AC61" s="296" t="str">
        <f t="array" aca="1" ref="AC61" ca="1">IF($A61="*","",IFERROR(INDEX(AGR!$E$52:$L$73,MATCH('TS DTech'!$C61,AGR!$B$52:$B$73,0),MATCH('TS DTech'!$B61&amp;AC$7,AGR!$E$46:$L$46&amp;AGR!$E$48:$L$48,0)),""))</f>
        <v/>
      </c>
      <c r="AD61" s="296" t="str">
        <f t="array" aca="1" ref="AD61" ca="1">IF($A61="*","",IFERROR(INDEX(AGR!$E$52:$L$73,MATCH('TS DTech'!$C61,AGR!$B$52:$B$73,0),MATCH('TS DTech'!$B61&amp;AD$7,AGR!$E$46:$L$46&amp;AGR!$E$48:$L$48,0)),""))</f>
        <v/>
      </c>
      <c r="AE61" s="296" t="str">
        <f t="array" aca="1" ref="AE61" ca="1">IF($A61="*","",IFERROR(INDEX(AGR!$E$52:$L$73,MATCH('TS DTech'!$C61,AGR!$B$52:$B$73,0),MATCH('TS DTech'!$B61&amp;AE$7,AGR!$E$46:$L$46&amp;AGR!$E$48:$L$48,0)),""))</f>
        <v/>
      </c>
      <c r="AF61" s="296" t="str">
        <f t="array" aca="1" ref="AF61" ca="1">IF($A61="*","",IFERROR(INDEX(AGR!$E$52:$L$73,MATCH('TS DTech'!$C61,AGR!$B$52:$B$73,0),MATCH('TS DTech'!$B61&amp;AF$7,AGR!$E$46:$L$46&amp;AGR!$E$48:$L$48,0)),""))</f>
        <v/>
      </c>
      <c r="AG61" s="296" t="str">
        <f t="array" aca="1" ref="AG61" ca="1">IF($A61="*","",IFERROR(INDEX(AGR!$E$52:$L$73,MATCH('TS DTech'!$C61,AGR!$B$52:$B$73,0),MATCH('TS DTech'!$B61&amp;AG$7,AGR!$E$46:$L$46&amp;AGR!$E$48:$L$48,0)),""))</f>
        <v/>
      </c>
      <c r="AH61" s="296" t="str">
        <f t="array" aca="1" ref="AH61" ca="1">IF($A61="*","",IFERROR(INDEX(AGR!$E$52:$L$73,MATCH('TS DTech'!$C61,AGR!$B$52:$B$73,0),MATCH('TS DTech'!$B61&amp;AH$7,AGR!$E$46:$L$46&amp;AGR!$E$48:$L$48,0)),""))</f>
        <v/>
      </c>
      <c r="AI61" s="296" t="str">
        <f t="array" aca="1" ref="AI61" ca="1">IF($A61="*","",IFERROR(INDEX(AGR!$E$52:$L$73,MATCH('TS DTech'!$C61,AGR!$B$52:$B$73,0),MATCH('TS DTech'!$B61&amp;AI$7,AGR!$E$46:$L$46&amp;AGR!$E$48:$L$48,0)),""))</f>
        <v/>
      </c>
      <c r="AJ61" s="296" t="str">
        <f t="array" aca="1" ref="AJ61" ca="1">IF($A61="*","",IFERROR(INDEX(AGR!$E$52:$L$73,MATCH('TS DTech'!$C61,AGR!$B$52:$B$73,0),MATCH('TS DTech'!$B61&amp;AJ$7,AGR!$E$46:$L$46&amp;AGR!$E$48:$L$48,0)),""))</f>
        <v/>
      </c>
      <c r="AK61" s="296" t="str">
        <f t="array" aca="1" ref="AK61" ca="1">IF($A61="*","",IFERROR(INDEX(AGR!$E$52:$L$73,MATCH('TS DTech'!$C61,AGR!$B$52:$B$73,0),MATCH('TS DTech'!$B61&amp;AK$7,AGR!$E$46:$L$46&amp;AGR!$E$48:$L$48,0)),""))</f>
        <v/>
      </c>
      <c r="AL61" s="296" t="str">
        <f t="array" aca="1" ref="AL61" ca="1">IF($A61="*","",IFERROR(INDEX(AGR!$E$52:$L$73,MATCH('TS DTech'!$C61,AGR!$B$52:$B$73,0),MATCH('TS DTech'!$B61&amp;AL$7,AGR!$E$46:$L$46&amp;AGR!$E$48:$L$48,0)),""))</f>
        <v/>
      </c>
      <c r="AM61" s="296" t="str">
        <f t="array" aca="1" ref="AM61" ca="1">IF($A61="*","",IFERROR(INDEX(AGR!$E$52:$L$73,MATCH('TS DTech'!$C61,AGR!$B$52:$B$73,0),MATCH('TS DTech'!$B61&amp;AM$7,AGR!$E$46:$L$46&amp;AGR!$E$48:$L$48,0)),""))</f>
        <v/>
      </c>
      <c r="AN61" s="296" t="str">
        <f t="array" aca="1" ref="AN61" ca="1">IF($A61="*","",IFERROR(INDEX(AGR!$E$52:$L$73,MATCH('TS DTech'!$C61,AGR!$B$52:$B$73,0),MATCH('TS DTech'!$B61&amp;AN$7,AGR!$E$46:$L$46&amp;AGR!$E$48:$L$48,0)),""))</f>
        <v/>
      </c>
      <c r="AO61" s="296" t="str">
        <f t="array" aca="1" ref="AO61" ca="1">IF($A61="*","",IFERROR(INDEX(AGR!$E$52:$L$73,MATCH('TS DTech'!$C61,AGR!$B$52:$B$73,0),MATCH('TS DTech'!$B61&amp;AO$7,AGR!$E$46:$L$46&amp;AGR!$E$48:$L$48,0)),""))</f>
        <v/>
      </c>
      <c r="AP61" s="296" t="str">
        <f t="array" aca="1" ref="AP61" ca="1">IF($A61="*","",IFERROR(INDEX(AGR!$E$52:$L$73,MATCH('TS DTech'!$C61,AGR!$B$52:$B$73,0),MATCH('TS DTech'!$B61&amp;AP$7,AGR!$E$46:$L$46&amp;AGR!$E$48:$L$48,0)),""))</f>
        <v/>
      </c>
      <c r="AQ61" s="137">
        <f>IF(AR60=AGR!$AD$74,AQ60+1,AQ60)</f>
        <v>2</v>
      </c>
      <c r="AR61" s="137">
        <f t="shared" si="3"/>
        <v>23</v>
      </c>
    </row>
    <row r="62" spans="1:44">
      <c r="A62" s="137" t="str">
        <f ca="1">IF(LEFT(OFFSET(AGR!$A$51,AR62,0),2)="\I","*","")</f>
        <v/>
      </c>
      <c r="B62" s="212" t="str">
        <f t="shared" ca="1" si="4"/>
        <v>NCAP_BND</v>
      </c>
      <c r="C62" s="212" t="str">
        <f ca="1">IF($A62="*","",OFFSET(AGR!$B$51,AR62,0))</f>
        <v>AHCOA-E</v>
      </c>
      <c r="D62" s="212" t="str">
        <f t="shared" ca="1" si="5"/>
        <v>-</v>
      </c>
      <c r="E62" s="212" t="str">
        <f t="shared" ca="1" si="5"/>
        <v>-</v>
      </c>
      <c r="F62" s="212" t="str">
        <f t="shared" ca="1" si="5"/>
        <v>-</v>
      </c>
      <c r="G62" s="212" t="str">
        <f t="shared" ca="1" si="5"/>
        <v>-</v>
      </c>
      <c r="H62" s="212" t="str">
        <f t="shared" ca="1" si="5"/>
        <v>UP</v>
      </c>
      <c r="I62" s="213">
        <f t="shared" ca="1" si="5"/>
        <v>3</v>
      </c>
      <c r="J62" s="296" t="str">
        <f t="array" aca="1" ref="J62" ca="1">IF($A62="*","",IFERROR(INDEX(AGR!$E$52:$L$73,MATCH('TS DTech'!$C62,AGR!$B$52:$B$73,0),MATCH('TS DTech'!$B62&amp;J$7,AGR!$E$46:$L$46&amp;AGR!$E$48:$L$48,0)),""))</f>
        <v/>
      </c>
      <c r="K62" s="296" t="str">
        <f t="array" aca="1" ref="K62" ca="1">IF($A62="*","",IFERROR(INDEX(AGR!$E$52:$L$73,MATCH('TS DTech'!$C62,AGR!$B$52:$B$73,0),MATCH('TS DTech'!$B62&amp;K$7,AGR!$E$46:$L$46&amp;AGR!$E$48:$L$48,0)),""))</f>
        <v/>
      </c>
      <c r="L62" s="296" t="str">
        <f t="array" aca="1" ref="L62" ca="1">IF($A62="*","",IFERROR(INDEX(AGR!$E$52:$L$73,MATCH('TS DTech'!$C62,AGR!$B$52:$B$73,0),MATCH('TS DTech'!$B62&amp;L$7,AGR!$E$46:$L$46&amp;AGR!$E$48:$L$48,0)),""))</f>
        <v/>
      </c>
      <c r="M62" s="296" t="str">
        <f t="array" aca="1" ref="M62" ca="1">IF($A62="*","",IFERROR(INDEX(AGR!$E$52:$L$73,MATCH('TS DTech'!$C62,AGR!$B$52:$B$73,0),MATCH('TS DTech'!$B62&amp;M$7,AGR!$E$46:$L$46&amp;AGR!$E$48:$L$48,0)),""))</f>
        <v/>
      </c>
      <c r="N62" s="296" t="str">
        <f t="array" aca="1" ref="N62" ca="1">IF($A62="*","",IFERROR(INDEX(AGR!$E$52:$L$73,MATCH('TS DTech'!$C62,AGR!$B$52:$B$73,0),MATCH('TS DTech'!$B62&amp;N$7,AGR!$E$46:$L$46&amp;AGR!$E$48:$L$48,0)),""))</f>
        <v/>
      </c>
      <c r="O62" s="296" t="str">
        <f t="array" aca="1" ref="O62" ca="1">IF($A62="*","",IFERROR(INDEX(AGR!$E$52:$L$73,MATCH('TS DTech'!$C62,AGR!$B$52:$B$73,0),MATCH('TS DTech'!$B62&amp;O$7,AGR!$E$46:$L$46&amp;AGR!$E$48:$L$48,0)),""))</f>
        <v/>
      </c>
      <c r="P62" s="296" t="str">
        <f t="array" aca="1" ref="P62" ca="1">IF($A62="*","",IFERROR(INDEX(AGR!$E$52:$L$73,MATCH('TS DTech'!$C62,AGR!$B$52:$B$73,0),MATCH('TS DTech'!$B62&amp;P$7,AGR!$E$46:$L$46&amp;AGR!$E$48:$L$48,0)),""))</f>
        <v/>
      </c>
      <c r="Q62" s="296" t="str">
        <f t="array" aca="1" ref="Q62" ca="1">IF($A62="*","",IFERROR(INDEX(AGR!$E$52:$L$73,MATCH('TS DTech'!$C62,AGR!$B$52:$B$73,0),MATCH('TS DTech'!$B62&amp;Q$7,AGR!$E$46:$L$46&amp;AGR!$E$48:$L$48,0)),""))</f>
        <v/>
      </c>
      <c r="R62" s="296" t="str">
        <f t="array" aca="1" ref="R62" ca="1">IF($A62="*","",IFERROR(INDEX(AGR!$E$52:$L$73,MATCH('TS DTech'!$C62,AGR!$B$52:$B$73,0),MATCH('TS DTech'!$B62&amp;R$7,AGR!$E$46:$L$46&amp;AGR!$E$48:$L$48,0)),""))</f>
        <v/>
      </c>
      <c r="S62" s="296" t="str">
        <f t="array" aca="1" ref="S62" ca="1">IF($A62="*","",IFERROR(INDEX(AGR!$E$52:$L$73,MATCH('TS DTech'!$C62,AGR!$B$52:$B$73,0),MATCH('TS DTech'!$B62&amp;S$7,AGR!$E$46:$L$46&amp;AGR!$E$48:$L$48,0)),""))</f>
        <v/>
      </c>
      <c r="T62" s="296" t="str">
        <f t="array" aca="1" ref="T62" ca="1">IF($A62="*","",IFERROR(INDEX(AGR!$E$52:$L$73,MATCH('TS DTech'!$C62,AGR!$B$52:$B$73,0),MATCH('TS DTech'!$B62&amp;T$7,AGR!$E$46:$L$46&amp;AGR!$E$48:$L$48,0)),""))</f>
        <v/>
      </c>
      <c r="U62" s="296" t="str">
        <f t="array" aca="1" ref="U62" ca="1">IF($A62="*","",IFERROR(INDEX(AGR!$E$52:$L$73,MATCH('TS DTech'!$C62,AGR!$B$52:$B$73,0),MATCH('TS DTech'!$B62&amp;U$7,AGR!$E$46:$L$46&amp;AGR!$E$48:$L$48,0)),""))</f>
        <v/>
      </c>
      <c r="V62" s="296" t="str">
        <f t="array" aca="1" ref="V62" ca="1">IF($A62="*","",IFERROR(INDEX(AGR!$E$52:$L$73,MATCH('TS DTech'!$C62,AGR!$B$52:$B$73,0),MATCH('TS DTech'!$B62&amp;V$7,AGR!$E$46:$L$46&amp;AGR!$E$48:$L$48,0)),""))</f>
        <v/>
      </c>
      <c r="W62" s="296" t="str">
        <f t="array" aca="1" ref="W62" ca="1">IF($A62="*","",IFERROR(INDEX(AGR!$E$52:$L$73,MATCH('TS DTech'!$C62,AGR!$B$52:$B$73,0),MATCH('TS DTech'!$B62&amp;W$7,AGR!$E$46:$L$46&amp;AGR!$E$48:$L$48,0)),""))</f>
        <v/>
      </c>
      <c r="X62" s="296" t="str">
        <f t="array" aca="1" ref="X62" ca="1">IF($A62="*","",IFERROR(INDEX(AGR!$E$52:$L$73,MATCH('TS DTech'!$C62,AGR!$B$52:$B$73,0),MATCH('TS DTech'!$B62&amp;X$7,AGR!$E$46:$L$46&amp;AGR!$E$48:$L$48,0)),""))</f>
        <v/>
      </c>
      <c r="Y62" s="296" t="str">
        <f t="array" aca="1" ref="Y62" ca="1">IF($A62="*","",IFERROR(INDEX(AGR!$E$52:$L$73,MATCH('TS DTech'!$C62,AGR!$B$52:$B$73,0),MATCH('TS DTech'!$B62&amp;Y$7,AGR!$E$46:$L$46&amp;AGR!$E$48:$L$48,0)),""))</f>
        <v/>
      </c>
      <c r="Z62" s="296" t="str">
        <f t="array" aca="1" ref="Z62" ca="1">IF($A62="*","",IFERROR(INDEX(AGR!$E$52:$L$73,MATCH('TS DTech'!$C62,AGR!$B$52:$B$73,0),MATCH('TS DTech'!$B62&amp;Z$7,AGR!$E$46:$L$46&amp;AGR!$E$48:$L$48,0)),""))</f>
        <v/>
      </c>
      <c r="AA62" s="296" t="str">
        <f t="array" aca="1" ref="AA62" ca="1">IF($A62="*","",IFERROR(INDEX(AGR!$E$52:$L$73,MATCH('TS DTech'!$C62,AGR!$B$52:$B$73,0),MATCH('TS DTech'!$B62&amp;AA$7,AGR!$E$46:$L$46&amp;AGR!$E$48:$L$48,0)),""))</f>
        <v/>
      </c>
      <c r="AB62" s="296" t="str">
        <f t="array" aca="1" ref="AB62" ca="1">IF($A62="*","",IFERROR(INDEX(AGR!$E$52:$L$73,MATCH('TS DTech'!$C62,AGR!$B$52:$B$73,0),MATCH('TS DTech'!$B62&amp;AB$7,AGR!$E$46:$L$46&amp;AGR!$E$48:$L$48,0)),""))</f>
        <v/>
      </c>
      <c r="AC62" s="296" t="str">
        <f t="array" aca="1" ref="AC62" ca="1">IF($A62="*","",IFERROR(INDEX(AGR!$E$52:$L$73,MATCH('TS DTech'!$C62,AGR!$B$52:$B$73,0),MATCH('TS DTech'!$B62&amp;AC$7,AGR!$E$46:$L$46&amp;AGR!$E$48:$L$48,0)),""))</f>
        <v/>
      </c>
      <c r="AD62" s="296" t="str">
        <f t="array" aca="1" ref="AD62" ca="1">IF($A62="*","",IFERROR(INDEX(AGR!$E$52:$L$73,MATCH('TS DTech'!$C62,AGR!$B$52:$B$73,0),MATCH('TS DTech'!$B62&amp;AD$7,AGR!$E$46:$L$46&amp;AGR!$E$48:$L$48,0)),""))</f>
        <v/>
      </c>
      <c r="AE62" s="296" t="str">
        <f t="array" aca="1" ref="AE62" ca="1">IF($A62="*","",IFERROR(INDEX(AGR!$E$52:$L$73,MATCH('TS DTech'!$C62,AGR!$B$52:$B$73,0),MATCH('TS DTech'!$B62&amp;AE$7,AGR!$E$46:$L$46&amp;AGR!$E$48:$L$48,0)),""))</f>
        <v/>
      </c>
      <c r="AF62" s="296" t="str">
        <f t="array" aca="1" ref="AF62" ca="1">IF($A62="*","",IFERROR(INDEX(AGR!$E$52:$L$73,MATCH('TS DTech'!$C62,AGR!$B$52:$B$73,0),MATCH('TS DTech'!$B62&amp;AF$7,AGR!$E$46:$L$46&amp;AGR!$E$48:$L$48,0)),""))</f>
        <v/>
      </c>
      <c r="AG62" s="296" t="str">
        <f t="array" aca="1" ref="AG62" ca="1">IF($A62="*","",IFERROR(INDEX(AGR!$E$52:$L$73,MATCH('TS DTech'!$C62,AGR!$B$52:$B$73,0),MATCH('TS DTech'!$B62&amp;AG$7,AGR!$E$46:$L$46&amp;AGR!$E$48:$L$48,0)),""))</f>
        <v/>
      </c>
      <c r="AH62" s="296" t="str">
        <f t="array" aca="1" ref="AH62" ca="1">IF($A62="*","",IFERROR(INDEX(AGR!$E$52:$L$73,MATCH('TS DTech'!$C62,AGR!$B$52:$B$73,0),MATCH('TS DTech'!$B62&amp;AH$7,AGR!$E$46:$L$46&amp;AGR!$E$48:$L$48,0)),""))</f>
        <v/>
      </c>
      <c r="AI62" s="296" t="str">
        <f t="array" aca="1" ref="AI62" ca="1">IF($A62="*","",IFERROR(INDEX(AGR!$E$52:$L$73,MATCH('TS DTech'!$C62,AGR!$B$52:$B$73,0),MATCH('TS DTech'!$B62&amp;AI$7,AGR!$E$46:$L$46&amp;AGR!$E$48:$L$48,0)),""))</f>
        <v/>
      </c>
      <c r="AJ62" s="296" t="str">
        <f t="array" aca="1" ref="AJ62" ca="1">IF($A62="*","",IFERROR(INDEX(AGR!$E$52:$L$73,MATCH('TS DTech'!$C62,AGR!$B$52:$B$73,0),MATCH('TS DTech'!$B62&amp;AJ$7,AGR!$E$46:$L$46&amp;AGR!$E$48:$L$48,0)),""))</f>
        <v/>
      </c>
      <c r="AK62" s="296" t="str">
        <f t="array" aca="1" ref="AK62" ca="1">IF($A62="*","",IFERROR(INDEX(AGR!$E$52:$L$73,MATCH('TS DTech'!$C62,AGR!$B$52:$B$73,0),MATCH('TS DTech'!$B62&amp;AK$7,AGR!$E$46:$L$46&amp;AGR!$E$48:$L$48,0)),""))</f>
        <v/>
      </c>
      <c r="AL62" s="296" t="str">
        <f t="array" aca="1" ref="AL62" ca="1">IF($A62="*","",IFERROR(INDEX(AGR!$E$52:$L$73,MATCH('TS DTech'!$C62,AGR!$B$52:$B$73,0),MATCH('TS DTech'!$B62&amp;AL$7,AGR!$E$46:$L$46&amp;AGR!$E$48:$L$48,0)),""))</f>
        <v/>
      </c>
      <c r="AM62" s="296" t="str">
        <f t="array" aca="1" ref="AM62" ca="1">IF($A62="*","",IFERROR(INDEX(AGR!$E$52:$L$73,MATCH('TS DTech'!$C62,AGR!$B$52:$B$73,0),MATCH('TS DTech'!$B62&amp;AM$7,AGR!$E$46:$L$46&amp;AGR!$E$48:$L$48,0)),""))</f>
        <v/>
      </c>
      <c r="AN62" s="296" t="str">
        <f t="array" aca="1" ref="AN62" ca="1">IF($A62="*","",IFERROR(INDEX(AGR!$E$52:$L$73,MATCH('TS DTech'!$C62,AGR!$B$52:$B$73,0),MATCH('TS DTech'!$B62&amp;AN$7,AGR!$E$46:$L$46&amp;AGR!$E$48:$L$48,0)),""))</f>
        <v/>
      </c>
      <c r="AO62" s="296" t="str">
        <f t="array" aca="1" ref="AO62" ca="1">IF($A62="*","",IFERROR(INDEX(AGR!$E$52:$L$73,MATCH('TS DTech'!$C62,AGR!$B$52:$B$73,0),MATCH('TS DTech'!$B62&amp;AO$7,AGR!$E$46:$L$46&amp;AGR!$E$48:$L$48,0)),""))</f>
        <v/>
      </c>
      <c r="AP62" s="296" t="str">
        <f t="array" aca="1" ref="AP62" ca="1">IF($A62="*","",IFERROR(INDEX(AGR!$E$52:$L$73,MATCH('TS DTech'!$C62,AGR!$B$52:$B$73,0),MATCH('TS DTech'!$B62&amp;AP$7,AGR!$E$46:$L$46&amp;AGR!$E$48:$L$48,0)),""))</f>
        <v/>
      </c>
      <c r="AQ62" s="137">
        <f>IF(AR61=AGR!$AD$74,AQ61+1,AQ61)</f>
        <v>3</v>
      </c>
      <c r="AR62" s="137">
        <f t="shared" si="3"/>
        <v>1</v>
      </c>
    </row>
    <row r="63" spans="1:44">
      <c r="A63" s="137" t="str">
        <f ca="1">IF(LEFT(OFFSET(AGR!$A$51,AR63,0),2)="\I","*","")</f>
        <v/>
      </c>
      <c r="B63" s="212" t="str">
        <f t="shared" ca="1" si="4"/>
        <v>NCAP_BND</v>
      </c>
      <c r="C63" s="212" t="str">
        <f ca="1">IF($A63="*","",OFFSET(AGR!$B$51,AR63,0))</f>
        <v>AHOHF-E</v>
      </c>
      <c r="D63" s="212" t="str">
        <f t="shared" ca="1" si="5"/>
        <v>-</v>
      </c>
      <c r="E63" s="212" t="str">
        <f t="shared" ca="1" si="5"/>
        <v>-</v>
      </c>
      <c r="F63" s="212" t="str">
        <f t="shared" ca="1" si="5"/>
        <v>-</v>
      </c>
      <c r="G63" s="212" t="str">
        <f t="shared" ca="1" si="5"/>
        <v>-</v>
      </c>
      <c r="H63" s="212" t="str">
        <f t="shared" ca="1" si="5"/>
        <v>UP</v>
      </c>
      <c r="I63" s="213">
        <f t="shared" ca="1" si="5"/>
        <v>3</v>
      </c>
      <c r="J63" s="296" t="str">
        <f t="array" aca="1" ref="J63" ca="1">IF($A63="*","",IFERROR(INDEX(AGR!$E$52:$L$73,MATCH('TS DTech'!$C63,AGR!$B$52:$B$73,0),MATCH('TS DTech'!$B63&amp;J$7,AGR!$E$46:$L$46&amp;AGR!$E$48:$L$48,0)),""))</f>
        <v/>
      </c>
      <c r="K63" s="296" t="str">
        <f t="array" aca="1" ref="K63" ca="1">IF($A63="*","",IFERROR(INDEX(AGR!$E$52:$L$73,MATCH('TS DTech'!$C63,AGR!$B$52:$B$73,0),MATCH('TS DTech'!$B63&amp;K$7,AGR!$E$46:$L$46&amp;AGR!$E$48:$L$48,0)),""))</f>
        <v/>
      </c>
      <c r="L63" s="296" t="str">
        <f t="array" aca="1" ref="L63" ca="1">IF($A63="*","",IFERROR(INDEX(AGR!$E$52:$L$73,MATCH('TS DTech'!$C63,AGR!$B$52:$B$73,0),MATCH('TS DTech'!$B63&amp;L$7,AGR!$E$46:$L$46&amp;AGR!$E$48:$L$48,0)),""))</f>
        <v/>
      </c>
      <c r="M63" s="296" t="str">
        <f t="array" aca="1" ref="M63" ca="1">IF($A63="*","",IFERROR(INDEX(AGR!$E$52:$L$73,MATCH('TS DTech'!$C63,AGR!$B$52:$B$73,0),MATCH('TS DTech'!$B63&amp;M$7,AGR!$E$46:$L$46&amp;AGR!$E$48:$L$48,0)),""))</f>
        <v/>
      </c>
      <c r="N63" s="296" t="str">
        <f t="array" aca="1" ref="N63" ca="1">IF($A63="*","",IFERROR(INDEX(AGR!$E$52:$L$73,MATCH('TS DTech'!$C63,AGR!$B$52:$B$73,0),MATCH('TS DTech'!$B63&amp;N$7,AGR!$E$46:$L$46&amp;AGR!$E$48:$L$48,0)),""))</f>
        <v/>
      </c>
      <c r="O63" s="296" t="str">
        <f t="array" aca="1" ref="O63" ca="1">IF($A63="*","",IFERROR(INDEX(AGR!$E$52:$L$73,MATCH('TS DTech'!$C63,AGR!$B$52:$B$73,0),MATCH('TS DTech'!$B63&amp;O$7,AGR!$E$46:$L$46&amp;AGR!$E$48:$L$48,0)),""))</f>
        <v/>
      </c>
      <c r="P63" s="296" t="str">
        <f t="array" aca="1" ref="P63" ca="1">IF($A63="*","",IFERROR(INDEX(AGR!$E$52:$L$73,MATCH('TS DTech'!$C63,AGR!$B$52:$B$73,0),MATCH('TS DTech'!$B63&amp;P$7,AGR!$E$46:$L$46&amp;AGR!$E$48:$L$48,0)),""))</f>
        <v/>
      </c>
      <c r="Q63" s="296" t="str">
        <f t="array" aca="1" ref="Q63" ca="1">IF($A63="*","",IFERROR(INDEX(AGR!$E$52:$L$73,MATCH('TS DTech'!$C63,AGR!$B$52:$B$73,0),MATCH('TS DTech'!$B63&amp;Q$7,AGR!$E$46:$L$46&amp;AGR!$E$48:$L$48,0)),""))</f>
        <v/>
      </c>
      <c r="R63" s="296" t="str">
        <f t="array" aca="1" ref="R63" ca="1">IF($A63="*","",IFERROR(INDEX(AGR!$E$52:$L$73,MATCH('TS DTech'!$C63,AGR!$B$52:$B$73,0),MATCH('TS DTech'!$B63&amp;R$7,AGR!$E$46:$L$46&amp;AGR!$E$48:$L$48,0)),""))</f>
        <v/>
      </c>
      <c r="S63" s="296" t="str">
        <f t="array" aca="1" ref="S63" ca="1">IF($A63="*","",IFERROR(INDEX(AGR!$E$52:$L$73,MATCH('TS DTech'!$C63,AGR!$B$52:$B$73,0),MATCH('TS DTech'!$B63&amp;S$7,AGR!$E$46:$L$46&amp;AGR!$E$48:$L$48,0)),""))</f>
        <v/>
      </c>
      <c r="T63" s="296" t="str">
        <f t="array" aca="1" ref="T63" ca="1">IF($A63="*","",IFERROR(INDEX(AGR!$E$52:$L$73,MATCH('TS DTech'!$C63,AGR!$B$52:$B$73,0),MATCH('TS DTech'!$B63&amp;T$7,AGR!$E$46:$L$46&amp;AGR!$E$48:$L$48,0)),""))</f>
        <v/>
      </c>
      <c r="U63" s="296" t="str">
        <f t="array" aca="1" ref="U63" ca="1">IF($A63="*","",IFERROR(INDEX(AGR!$E$52:$L$73,MATCH('TS DTech'!$C63,AGR!$B$52:$B$73,0),MATCH('TS DTech'!$B63&amp;U$7,AGR!$E$46:$L$46&amp;AGR!$E$48:$L$48,0)),""))</f>
        <v/>
      </c>
      <c r="V63" s="296" t="str">
        <f t="array" aca="1" ref="V63" ca="1">IF($A63="*","",IFERROR(INDEX(AGR!$E$52:$L$73,MATCH('TS DTech'!$C63,AGR!$B$52:$B$73,0),MATCH('TS DTech'!$B63&amp;V$7,AGR!$E$46:$L$46&amp;AGR!$E$48:$L$48,0)),""))</f>
        <v/>
      </c>
      <c r="W63" s="296" t="str">
        <f t="array" aca="1" ref="W63" ca="1">IF($A63="*","",IFERROR(INDEX(AGR!$E$52:$L$73,MATCH('TS DTech'!$C63,AGR!$B$52:$B$73,0),MATCH('TS DTech'!$B63&amp;W$7,AGR!$E$46:$L$46&amp;AGR!$E$48:$L$48,0)),""))</f>
        <v/>
      </c>
      <c r="X63" s="296" t="str">
        <f t="array" aca="1" ref="X63" ca="1">IF($A63="*","",IFERROR(INDEX(AGR!$E$52:$L$73,MATCH('TS DTech'!$C63,AGR!$B$52:$B$73,0),MATCH('TS DTech'!$B63&amp;X$7,AGR!$E$46:$L$46&amp;AGR!$E$48:$L$48,0)),""))</f>
        <v/>
      </c>
      <c r="Y63" s="296" t="str">
        <f t="array" aca="1" ref="Y63" ca="1">IF($A63="*","",IFERROR(INDEX(AGR!$E$52:$L$73,MATCH('TS DTech'!$C63,AGR!$B$52:$B$73,0),MATCH('TS DTech'!$B63&amp;Y$7,AGR!$E$46:$L$46&amp;AGR!$E$48:$L$48,0)),""))</f>
        <v/>
      </c>
      <c r="Z63" s="296" t="str">
        <f t="array" aca="1" ref="Z63" ca="1">IF($A63="*","",IFERROR(INDEX(AGR!$E$52:$L$73,MATCH('TS DTech'!$C63,AGR!$B$52:$B$73,0),MATCH('TS DTech'!$B63&amp;Z$7,AGR!$E$46:$L$46&amp;AGR!$E$48:$L$48,0)),""))</f>
        <v/>
      </c>
      <c r="AA63" s="296" t="str">
        <f t="array" aca="1" ref="AA63" ca="1">IF($A63="*","",IFERROR(INDEX(AGR!$E$52:$L$73,MATCH('TS DTech'!$C63,AGR!$B$52:$B$73,0),MATCH('TS DTech'!$B63&amp;AA$7,AGR!$E$46:$L$46&amp;AGR!$E$48:$L$48,0)),""))</f>
        <v/>
      </c>
      <c r="AB63" s="296" t="str">
        <f t="array" aca="1" ref="AB63" ca="1">IF($A63="*","",IFERROR(INDEX(AGR!$E$52:$L$73,MATCH('TS DTech'!$C63,AGR!$B$52:$B$73,0),MATCH('TS DTech'!$B63&amp;AB$7,AGR!$E$46:$L$46&amp;AGR!$E$48:$L$48,0)),""))</f>
        <v/>
      </c>
      <c r="AC63" s="296" t="str">
        <f t="array" aca="1" ref="AC63" ca="1">IF($A63="*","",IFERROR(INDEX(AGR!$E$52:$L$73,MATCH('TS DTech'!$C63,AGR!$B$52:$B$73,0),MATCH('TS DTech'!$B63&amp;AC$7,AGR!$E$46:$L$46&amp;AGR!$E$48:$L$48,0)),""))</f>
        <v/>
      </c>
      <c r="AD63" s="296" t="str">
        <f t="array" aca="1" ref="AD63" ca="1">IF($A63="*","",IFERROR(INDEX(AGR!$E$52:$L$73,MATCH('TS DTech'!$C63,AGR!$B$52:$B$73,0),MATCH('TS DTech'!$B63&amp;AD$7,AGR!$E$46:$L$46&amp;AGR!$E$48:$L$48,0)),""))</f>
        <v/>
      </c>
      <c r="AE63" s="296" t="str">
        <f t="array" aca="1" ref="AE63" ca="1">IF($A63="*","",IFERROR(INDEX(AGR!$E$52:$L$73,MATCH('TS DTech'!$C63,AGR!$B$52:$B$73,0),MATCH('TS DTech'!$B63&amp;AE$7,AGR!$E$46:$L$46&amp;AGR!$E$48:$L$48,0)),""))</f>
        <v/>
      </c>
      <c r="AF63" s="296" t="str">
        <f t="array" aca="1" ref="AF63" ca="1">IF($A63="*","",IFERROR(INDEX(AGR!$E$52:$L$73,MATCH('TS DTech'!$C63,AGR!$B$52:$B$73,0),MATCH('TS DTech'!$B63&amp;AF$7,AGR!$E$46:$L$46&amp;AGR!$E$48:$L$48,0)),""))</f>
        <v/>
      </c>
      <c r="AG63" s="296" t="str">
        <f t="array" aca="1" ref="AG63" ca="1">IF($A63="*","",IFERROR(INDEX(AGR!$E$52:$L$73,MATCH('TS DTech'!$C63,AGR!$B$52:$B$73,0),MATCH('TS DTech'!$B63&amp;AG$7,AGR!$E$46:$L$46&amp;AGR!$E$48:$L$48,0)),""))</f>
        <v/>
      </c>
      <c r="AH63" s="296" t="str">
        <f t="array" aca="1" ref="AH63" ca="1">IF($A63="*","",IFERROR(INDEX(AGR!$E$52:$L$73,MATCH('TS DTech'!$C63,AGR!$B$52:$B$73,0),MATCH('TS DTech'!$B63&amp;AH$7,AGR!$E$46:$L$46&amp;AGR!$E$48:$L$48,0)),""))</f>
        <v/>
      </c>
      <c r="AI63" s="296" t="str">
        <f t="array" aca="1" ref="AI63" ca="1">IF($A63="*","",IFERROR(INDEX(AGR!$E$52:$L$73,MATCH('TS DTech'!$C63,AGR!$B$52:$B$73,0),MATCH('TS DTech'!$B63&amp;AI$7,AGR!$E$46:$L$46&amp;AGR!$E$48:$L$48,0)),""))</f>
        <v/>
      </c>
      <c r="AJ63" s="296" t="str">
        <f t="array" aca="1" ref="AJ63" ca="1">IF($A63="*","",IFERROR(INDEX(AGR!$E$52:$L$73,MATCH('TS DTech'!$C63,AGR!$B$52:$B$73,0),MATCH('TS DTech'!$B63&amp;AJ$7,AGR!$E$46:$L$46&amp;AGR!$E$48:$L$48,0)),""))</f>
        <v/>
      </c>
      <c r="AK63" s="296" t="str">
        <f t="array" aca="1" ref="AK63" ca="1">IF($A63="*","",IFERROR(INDEX(AGR!$E$52:$L$73,MATCH('TS DTech'!$C63,AGR!$B$52:$B$73,0),MATCH('TS DTech'!$B63&amp;AK$7,AGR!$E$46:$L$46&amp;AGR!$E$48:$L$48,0)),""))</f>
        <v/>
      </c>
      <c r="AL63" s="296" t="str">
        <f t="array" aca="1" ref="AL63" ca="1">IF($A63="*","",IFERROR(INDEX(AGR!$E$52:$L$73,MATCH('TS DTech'!$C63,AGR!$B$52:$B$73,0),MATCH('TS DTech'!$B63&amp;AL$7,AGR!$E$46:$L$46&amp;AGR!$E$48:$L$48,0)),""))</f>
        <v/>
      </c>
      <c r="AM63" s="296" t="str">
        <f t="array" aca="1" ref="AM63" ca="1">IF($A63="*","",IFERROR(INDEX(AGR!$E$52:$L$73,MATCH('TS DTech'!$C63,AGR!$B$52:$B$73,0),MATCH('TS DTech'!$B63&amp;AM$7,AGR!$E$46:$L$46&amp;AGR!$E$48:$L$48,0)),""))</f>
        <v/>
      </c>
      <c r="AN63" s="296" t="str">
        <f t="array" aca="1" ref="AN63" ca="1">IF($A63="*","",IFERROR(INDEX(AGR!$E$52:$L$73,MATCH('TS DTech'!$C63,AGR!$B$52:$B$73,0),MATCH('TS DTech'!$B63&amp;AN$7,AGR!$E$46:$L$46&amp;AGR!$E$48:$L$48,0)),""))</f>
        <v/>
      </c>
      <c r="AO63" s="296" t="str">
        <f t="array" aca="1" ref="AO63" ca="1">IF($A63="*","",IFERROR(INDEX(AGR!$E$52:$L$73,MATCH('TS DTech'!$C63,AGR!$B$52:$B$73,0),MATCH('TS DTech'!$B63&amp;AO$7,AGR!$E$46:$L$46&amp;AGR!$E$48:$L$48,0)),""))</f>
        <v/>
      </c>
      <c r="AP63" s="296" t="str">
        <f t="array" aca="1" ref="AP63" ca="1">IF($A63="*","",IFERROR(INDEX(AGR!$E$52:$L$73,MATCH('TS DTech'!$C63,AGR!$B$52:$B$73,0),MATCH('TS DTech'!$B63&amp;AP$7,AGR!$E$46:$L$46&amp;AGR!$E$48:$L$48,0)),""))</f>
        <v/>
      </c>
      <c r="AQ63" s="137">
        <f>IF(AR62=AGR!$AD$74,AQ62+1,AQ62)</f>
        <v>3</v>
      </c>
      <c r="AR63" s="137">
        <f t="shared" si="3"/>
        <v>2</v>
      </c>
    </row>
    <row r="64" spans="1:44">
      <c r="A64" s="137" t="str">
        <f ca="1">IF(LEFT(OFFSET(AGR!$A$51,AR64,0),2)="\I","*","")</f>
        <v/>
      </c>
      <c r="B64" s="212" t="str">
        <f t="shared" ca="1" si="4"/>
        <v>NCAP_BND</v>
      </c>
      <c r="C64" s="212" t="str">
        <f ca="1">IF($A64="*","",OFFSET(AGR!$B$51,AR64,0))</f>
        <v>AHOKE-E</v>
      </c>
      <c r="D64" s="212" t="str">
        <f t="shared" ca="1" si="5"/>
        <v>-</v>
      </c>
      <c r="E64" s="212" t="str">
        <f t="shared" ca="1" si="5"/>
        <v>-</v>
      </c>
      <c r="F64" s="212" t="str">
        <f t="shared" ca="1" si="5"/>
        <v>-</v>
      </c>
      <c r="G64" s="212" t="str">
        <f t="shared" ca="1" si="5"/>
        <v>-</v>
      </c>
      <c r="H64" s="212" t="str">
        <f t="shared" ca="1" si="5"/>
        <v>UP</v>
      </c>
      <c r="I64" s="213">
        <f t="shared" ca="1" si="5"/>
        <v>3</v>
      </c>
      <c r="J64" s="296" t="str">
        <f t="array" aca="1" ref="J64" ca="1">IF($A64="*","",IFERROR(INDEX(AGR!$E$52:$L$73,MATCH('TS DTech'!$C64,AGR!$B$52:$B$73,0),MATCH('TS DTech'!$B64&amp;J$7,AGR!$E$46:$L$46&amp;AGR!$E$48:$L$48,0)),""))</f>
        <v/>
      </c>
      <c r="K64" s="296" t="str">
        <f t="array" aca="1" ref="K64" ca="1">IF($A64="*","",IFERROR(INDEX(AGR!$E$52:$L$73,MATCH('TS DTech'!$C64,AGR!$B$52:$B$73,0),MATCH('TS DTech'!$B64&amp;K$7,AGR!$E$46:$L$46&amp;AGR!$E$48:$L$48,0)),""))</f>
        <v/>
      </c>
      <c r="L64" s="296" t="str">
        <f t="array" aca="1" ref="L64" ca="1">IF($A64="*","",IFERROR(INDEX(AGR!$E$52:$L$73,MATCH('TS DTech'!$C64,AGR!$B$52:$B$73,0),MATCH('TS DTech'!$B64&amp;L$7,AGR!$E$46:$L$46&amp;AGR!$E$48:$L$48,0)),""))</f>
        <v/>
      </c>
      <c r="M64" s="296" t="str">
        <f t="array" aca="1" ref="M64" ca="1">IF($A64="*","",IFERROR(INDEX(AGR!$E$52:$L$73,MATCH('TS DTech'!$C64,AGR!$B$52:$B$73,0),MATCH('TS DTech'!$B64&amp;M$7,AGR!$E$46:$L$46&amp;AGR!$E$48:$L$48,0)),""))</f>
        <v/>
      </c>
      <c r="N64" s="296" t="str">
        <f t="array" aca="1" ref="N64" ca="1">IF($A64="*","",IFERROR(INDEX(AGR!$E$52:$L$73,MATCH('TS DTech'!$C64,AGR!$B$52:$B$73,0),MATCH('TS DTech'!$B64&amp;N$7,AGR!$E$46:$L$46&amp;AGR!$E$48:$L$48,0)),""))</f>
        <v/>
      </c>
      <c r="O64" s="296" t="str">
        <f t="array" aca="1" ref="O64" ca="1">IF($A64="*","",IFERROR(INDEX(AGR!$E$52:$L$73,MATCH('TS DTech'!$C64,AGR!$B$52:$B$73,0),MATCH('TS DTech'!$B64&amp;O$7,AGR!$E$46:$L$46&amp;AGR!$E$48:$L$48,0)),""))</f>
        <v/>
      </c>
      <c r="P64" s="296" t="str">
        <f t="array" aca="1" ref="P64" ca="1">IF($A64="*","",IFERROR(INDEX(AGR!$E$52:$L$73,MATCH('TS DTech'!$C64,AGR!$B$52:$B$73,0),MATCH('TS DTech'!$B64&amp;P$7,AGR!$E$46:$L$46&amp;AGR!$E$48:$L$48,0)),""))</f>
        <v/>
      </c>
      <c r="Q64" s="296" t="str">
        <f t="array" aca="1" ref="Q64" ca="1">IF($A64="*","",IFERROR(INDEX(AGR!$E$52:$L$73,MATCH('TS DTech'!$C64,AGR!$B$52:$B$73,0),MATCH('TS DTech'!$B64&amp;Q$7,AGR!$E$46:$L$46&amp;AGR!$E$48:$L$48,0)),""))</f>
        <v/>
      </c>
      <c r="R64" s="296" t="str">
        <f t="array" aca="1" ref="R64" ca="1">IF($A64="*","",IFERROR(INDEX(AGR!$E$52:$L$73,MATCH('TS DTech'!$C64,AGR!$B$52:$B$73,0),MATCH('TS DTech'!$B64&amp;R$7,AGR!$E$46:$L$46&amp;AGR!$E$48:$L$48,0)),""))</f>
        <v/>
      </c>
      <c r="S64" s="296" t="str">
        <f t="array" aca="1" ref="S64" ca="1">IF($A64="*","",IFERROR(INDEX(AGR!$E$52:$L$73,MATCH('TS DTech'!$C64,AGR!$B$52:$B$73,0),MATCH('TS DTech'!$B64&amp;S$7,AGR!$E$46:$L$46&amp;AGR!$E$48:$L$48,0)),""))</f>
        <v/>
      </c>
      <c r="T64" s="296" t="str">
        <f t="array" aca="1" ref="T64" ca="1">IF($A64="*","",IFERROR(INDEX(AGR!$E$52:$L$73,MATCH('TS DTech'!$C64,AGR!$B$52:$B$73,0),MATCH('TS DTech'!$B64&amp;T$7,AGR!$E$46:$L$46&amp;AGR!$E$48:$L$48,0)),""))</f>
        <v/>
      </c>
      <c r="U64" s="296" t="str">
        <f t="array" aca="1" ref="U64" ca="1">IF($A64="*","",IFERROR(INDEX(AGR!$E$52:$L$73,MATCH('TS DTech'!$C64,AGR!$B$52:$B$73,0),MATCH('TS DTech'!$B64&amp;U$7,AGR!$E$46:$L$46&amp;AGR!$E$48:$L$48,0)),""))</f>
        <v/>
      </c>
      <c r="V64" s="296" t="str">
        <f t="array" aca="1" ref="V64" ca="1">IF($A64="*","",IFERROR(INDEX(AGR!$E$52:$L$73,MATCH('TS DTech'!$C64,AGR!$B$52:$B$73,0),MATCH('TS DTech'!$B64&amp;V$7,AGR!$E$46:$L$46&amp;AGR!$E$48:$L$48,0)),""))</f>
        <v/>
      </c>
      <c r="W64" s="296" t="str">
        <f t="array" aca="1" ref="W64" ca="1">IF($A64="*","",IFERROR(INDEX(AGR!$E$52:$L$73,MATCH('TS DTech'!$C64,AGR!$B$52:$B$73,0),MATCH('TS DTech'!$B64&amp;W$7,AGR!$E$46:$L$46&amp;AGR!$E$48:$L$48,0)),""))</f>
        <v/>
      </c>
      <c r="X64" s="296" t="str">
        <f t="array" aca="1" ref="X64" ca="1">IF($A64="*","",IFERROR(INDEX(AGR!$E$52:$L$73,MATCH('TS DTech'!$C64,AGR!$B$52:$B$73,0),MATCH('TS DTech'!$B64&amp;X$7,AGR!$E$46:$L$46&amp;AGR!$E$48:$L$48,0)),""))</f>
        <v/>
      </c>
      <c r="Y64" s="296" t="str">
        <f t="array" aca="1" ref="Y64" ca="1">IF($A64="*","",IFERROR(INDEX(AGR!$E$52:$L$73,MATCH('TS DTech'!$C64,AGR!$B$52:$B$73,0),MATCH('TS DTech'!$B64&amp;Y$7,AGR!$E$46:$L$46&amp;AGR!$E$48:$L$48,0)),""))</f>
        <v/>
      </c>
      <c r="Z64" s="296" t="str">
        <f t="array" aca="1" ref="Z64" ca="1">IF($A64="*","",IFERROR(INDEX(AGR!$E$52:$L$73,MATCH('TS DTech'!$C64,AGR!$B$52:$B$73,0),MATCH('TS DTech'!$B64&amp;Z$7,AGR!$E$46:$L$46&amp;AGR!$E$48:$L$48,0)),""))</f>
        <v/>
      </c>
      <c r="AA64" s="296" t="str">
        <f t="array" aca="1" ref="AA64" ca="1">IF($A64="*","",IFERROR(INDEX(AGR!$E$52:$L$73,MATCH('TS DTech'!$C64,AGR!$B$52:$B$73,0),MATCH('TS DTech'!$B64&amp;AA$7,AGR!$E$46:$L$46&amp;AGR!$E$48:$L$48,0)),""))</f>
        <v/>
      </c>
      <c r="AB64" s="296" t="str">
        <f t="array" aca="1" ref="AB64" ca="1">IF($A64="*","",IFERROR(INDEX(AGR!$E$52:$L$73,MATCH('TS DTech'!$C64,AGR!$B$52:$B$73,0),MATCH('TS DTech'!$B64&amp;AB$7,AGR!$E$46:$L$46&amp;AGR!$E$48:$L$48,0)),""))</f>
        <v/>
      </c>
      <c r="AC64" s="296" t="str">
        <f t="array" aca="1" ref="AC64" ca="1">IF($A64="*","",IFERROR(INDEX(AGR!$E$52:$L$73,MATCH('TS DTech'!$C64,AGR!$B$52:$B$73,0),MATCH('TS DTech'!$B64&amp;AC$7,AGR!$E$46:$L$46&amp;AGR!$E$48:$L$48,0)),""))</f>
        <v/>
      </c>
      <c r="AD64" s="296" t="str">
        <f t="array" aca="1" ref="AD64" ca="1">IF($A64="*","",IFERROR(INDEX(AGR!$E$52:$L$73,MATCH('TS DTech'!$C64,AGR!$B$52:$B$73,0),MATCH('TS DTech'!$B64&amp;AD$7,AGR!$E$46:$L$46&amp;AGR!$E$48:$L$48,0)),""))</f>
        <v/>
      </c>
      <c r="AE64" s="296" t="str">
        <f t="array" aca="1" ref="AE64" ca="1">IF($A64="*","",IFERROR(INDEX(AGR!$E$52:$L$73,MATCH('TS DTech'!$C64,AGR!$B$52:$B$73,0),MATCH('TS DTech'!$B64&amp;AE$7,AGR!$E$46:$L$46&amp;AGR!$E$48:$L$48,0)),""))</f>
        <v/>
      </c>
      <c r="AF64" s="296" t="str">
        <f t="array" aca="1" ref="AF64" ca="1">IF($A64="*","",IFERROR(INDEX(AGR!$E$52:$L$73,MATCH('TS DTech'!$C64,AGR!$B$52:$B$73,0),MATCH('TS DTech'!$B64&amp;AF$7,AGR!$E$46:$L$46&amp;AGR!$E$48:$L$48,0)),""))</f>
        <v/>
      </c>
      <c r="AG64" s="296" t="str">
        <f t="array" aca="1" ref="AG64" ca="1">IF($A64="*","",IFERROR(INDEX(AGR!$E$52:$L$73,MATCH('TS DTech'!$C64,AGR!$B$52:$B$73,0),MATCH('TS DTech'!$B64&amp;AG$7,AGR!$E$46:$L$46&amp;AGR!$E$48:$L$48,0)),""))</f>
        <v/>
      </c>
      <c r="AH64" s="296" t="str">
        <f t="array" aca="1" ref="AH64" ca="1">IF($A64="*","",IFERROR(INDEX(AGR!$E$52:$L$73,MATCH('TS DTech'!$C64,AGR!$B$52:$B$73,0),MATCH('TS DTech'!$B64&amp;AH$7,AGR!$E$46:$L$46&amp;AGR!$E$48:$L$48,0)),""))</f>
        <v/>
      </c>
      <c r="AI64" s="296" t="str">
        <f t="array" aca="1" ref="AI64" ca="1">IF($A64="*","",IFERROR(INDEX(AGR!$E$52:$L$73,MATCH('TS DTech'!$C64,AGR!$B$52:$B$73,0),MATCH('TS DTech'!$B64&amp;AI$7,AGR!$E$46:$L$46&amp;AGR!$E$48:$L$48,0)),""))</f>
        <v/>
      </c>
      <c r="AJ64" s="296" t="str">
        <f t="array" aca="1" ref="AJ64" ca="1">IF($A64="*","",IFERROR(INDEX(AGR!$E$52:$L$73,MATCH('TS DTech'!$C64,AGR!$B$52:$B$73,0),MATCH('TS DTech'!$B64&amp;AJ$7,AGR!$E$46:$L$46&amp;AGR!$E$48:$L$48,0)),""))</f>
        <v/>
      </c>
      <c r="AK64" s="296" t="str">
        <f t="array" aca="1" ref="AK64" ca="1">IF($A64="*","",IFERROR(INDEX(AGR!$E$52:$L$73,MATCH('TS DTech'!$C64,AGR!$B$52:$B$73,0),MATCH('TS DTech'!$B64&amp;AK$7,AGR!$E$46:$L$46&amp;AGR!$E$48:$L$48,0)),""))</f>
        <v/>
      </c>
      <c r="AL64" s="296" t="str">
        <f t="array" aca="1" ref="AL64" ca="1">IF($A64="*","",IFERROR(INDEX(AGR!$E$52:$L$73,MATCH('TS DTech'!$C64,AGR!$B$52:$B$73,0),MATCH('TS DTech'!$B64&amp;AL$7,AGR!$E$46:$L$46&amp;AGR!$E$48:$L$48,0)),""))</f>
        <v/>
      </c>
      <c r="AM64" s="296" t="str">
        <f t="array" aca="1" ref="AM64" ca="1">IF($A64="*","",IFERROR(INDEX(AGR!$E$52:$L$73,MATCH('TS DTech'!$C64,AGR!$B$52:$B$73,0),MATCH('TS DTech'!$B64&amp;AM$7,AGR!$E$46:$L$46&amp;AGR!$E$48:$L$48,0)),""))</f>
        <v/>
      </c>
      <c r="AN64" s="296" t="str">
        <f t="array" aca="1" ref="AN64" ca="1">IF($A64="*","",IFERROR(INDEX(AGR!$E$52:$L$73,MATCH('TS DTech'!$C64,AGR!$B$52:$B$73,0),MATCH('TS DTech'!$B64&amp;AN$7,AGR!$E$46:$L$46&amp;AGR!$E$48:$L$48,0)),""))</f>
        <v/>
      </c>
      <c r="AO64" s="296" t="str">
        <f t="array" aca="1" ref="AO64" ca="1">IF($A64="*","",IFERROR(INDEX(AGR!$E$52:$L$73,MATCH('TS DTech'!$C64,AGR!$B$52:$B$73,0),MATCH('TS DTech'!$B64&amp;AO$7,AGR!$E$46:$L$46&amp;AGR!$E$48:$L$48,0)),""))</f>
        <v/>
      </c>
      <c r="AP64" s="296" t="str">
        <f t="array" aca="1" ref="AP64" ca="1">IF($A64="*","",IFERROR(INDEX(AGR!$E$52:$L$73,MATCH('TS DTech'!$C64,AGR!$B$52:$B$73,0),MATCH('TS DTech'!$B64&amp;AP$7,AGR!$E$46:$L$46&amp;AGR!$E$48:$L$48,0)),""))</f>
        <v/>
      </c>
      <c r="AQ64" s="137">
        <f>IF(AR63=AGR!$AD$74,AQ63+1,AQ63)</f>
        <v>3</v>
      </c>
      <c r="AR64" s="137">
        <f t="shared" si="3"/>
        <v>3</v>
      </c>
    </row>
    <row r="65" spans="1:44">
      <c r="A65" s="137" t="str">
        <f ca="1">IF(LEFT(OFFSET(AGR!$A$51,AR65,0),2)="\I","*","")</f>
        <v/>
      </c>
      <c r="B65" s="212" t="str">
        <f t="shared" ca="1" si="4"/>
        <v>NCAP_BND</v>
      </c>
      <c r="C65" s="212" t="str">
        <f ca="1">IF($A65="*","",OFFSET(AGR!$B$51,AR65,0))</f>
        <v>AHOLP-E</v>
      </c>
      <c r="D65" s="212" t="str">
        <f t="shared" ca="1" si="5"/>
        <v>-</v>
      </c>
      <c r="E65" s="212" t="str">
        <f t="shared" ca="1" si="5"/>
        <v>-</v>
      </c>
      <c r="F65" s="212" t="str">
        <f t="shared" ca="1" si="5"/>
        <v>-</v>
      </c>
      <c r="G65" s="212" t="str">
        <f t="shared" ca="1" si="5"/>
        <v>-</v>
      </c>
      <c r="H65" s="212" t="str">
        <f t="shared" ca="1" si="5"/>
        <v>UP</v>
      </c>
      <c r="I65" s="213">
        <f t="shared" ca="1" si="5"/>
        <v>3</v>
      </c>
      <c r="J65" s="296" t="str">
        <f t="array" aca="1" ref="J65" ca="1">IF($A65="*","",IFERROR(INDEX(AGR!$E$52:$L$73,MATCH('TS DTech'!$C65,AGR!$B$52:$B$73,0),MATCH('TS DTech'!$B65&amp;J$7,AGR!$E$46:$L$46&amp;AGR!$E$48:$L$48,0)),""))</f>
        <v/>
      </c>
      <c r="K65" s="296" t="str">
        <f t="array" aca="1" ref="K65" ca="1">IF($A65="*","",IFERROR(INDEX(AGR!$E$52:$L$73,MATCH('TS DTech'!$C65,AGR!$B$52:$B$73,0),MATCH('TS DTech'!$B65&amp;K$7,AGR!$E$46:$L$46&amp;AGR!$E$48:$L$48,0)),""))</f>
        <v/>
      </c>
      <c r="L65" s="296" t="str">
        <f t="array" aca="1" ref="L65" ca="1">IF($A65="*","",IFERROR(INDEX(AGR!$E$52:$L$73,MATCH('TS DTech'!$C65,AGR!$B$52:$B$73,0),MATCH('TS DTech'!$B65&amp;L$7,AGR!$E$46:$L$46&amp;AGR!$E$48:$L$48,0)),""))</f>
        <v/>
      </c>
      <c r="M65" s="296" t="str">
        <f t="array" aca="1" ref="M65" ca="1">IF($A65="*","",IFERROR(INDEX(AGR!$E$52:$L$73,MATCH('TS DTech'!$C65,AGR!$B$52:$B$73,0),MATCH('TS DTech'!$B65&amp;M$7,AGR!$E$46:$L$46&amp;AGR!$E$48:$L$48,0)),""))</f>
        <v/>
      </c>
      <c r="N65" s="296" t="str">
        <f t="array" aca="1" ref="N65" ca="1">IF($A65="*","",IFERROR(INDEX(AGR!$E$52:$L$73,MATCH('TS DTech'!$C65,AGR!$B$52:$B$73,0),MATCH('TS DTech'!$B65&amp;N$7,AGR!$E$46:$L$46&amp;AGR!$E$48:$L$48,0)),""))</f>
        <v/>
      </c>
      <c r="O65" s="296" t="str">
        <f t="array" aca="1" ref="O65" ca="1">IF($A65="*","",IFERROR(INDEX(AGR!$E$52:$L$73,MATCH('TS DTech'!$C65,AGR!$B$52:$B$73,0),MATCH('TS DTech'!$B65&amp;O$7,AGR!$E$46:$L$46&amp;AGR!$E$48:$L$48,0)),""))</f>
        <v/>
      </c>
      <c r="P65" s="296" t="str">
        <f t="array" aca="1" ref="P65" ca="1">IF($A65="*","",IFERROR(INDEX(AGR!$E$52:$L$73,MATCH('TS DTech'!$C65,AGR!$B$52:$B$73,0),MATCH('TS DTech'!$B65&amp;P$7,AGR!$E$46:$L$46&amp;AGR!$E$48:$L$48,0)),""))</f>
        <v/>
      </c>
      <c r="Q65" s="296" t="str">
        <f t="array" aca="1" ref="Q65" ca="1">IF($A65="*","",IFERROR(INDEX(AGR!$E$52:$L$73,MATCH('TS DTech'!$C65,AGR!$B$52:$B$73,0),MATCH('TS DTech'!$B65&amp;Q$7,AGR!$E$46:$L$46&amp;AGR!$E$48:$L$48,0)),""))</f>
        <v/>
      </c>
      <c r="R65" s="296" t="str">
        <f t="array" aca="1" ref="R65" ca="1">IF($A65="*","",IFERROR(INDEX(AGR!$E$52:$L$73,MATCH('TS DTech'!$C65,AGR!$B$52:$B$73,0),MATCH('TS DTech'!$B65&amp;R$7,AGR!$E$46:$L$46&amp;AGR!$E$48:$L$48,0)),""))</f>
        <v/>
      </c>
      <c r="S65" s="296" t="str">
        <f t="array" aca="1" ref="S65" ca="1">IF($A65="*","",IFERROR(INDEX(AGR!$E$52:$L$73,MATCH('TS DTech'!$C65,AGR!$B$52:$B$73,0),MATCH('TS DTech'!$B65&amp;S$7,AGR!$E$46:$L$46&amp;AGR!$E$48:$L$48,0)),""))</f>
        <v/>
      </c>
      <c r="T65" s="296" t="str">
        <f t="array" aca="1" ref="T65" ca="1">IF($A65="*","",IFERROR(INDEX(AGR!$E$52:$L$73,MATCH('TS DTech'!$C65,AGR!$B$52:$B$73,0),MATCH('TS DTech'!$B65&amp;T$7,AGR!$E$46:$L$46&amp;AGR!$E$48:$L$48,0)),""))</f>
        <v/>
      </c>
      <c r="U65" s="296" t="str">
        <f t="array" aca="1" ref="U65" ca="1">IF($A65="*","",IFERROR(INDEX(AGR!$E$52:$L$73,MATCH('TS DTech'!$C65,AGR!$B$52:$B$73,0),MATCH('TS DTech'!$B65&amp;U$7,AGR!$E$46:$L$46&amp;AGR!$E$48:$L$48,0)),""))</f>
        <v/>
      </c>
      <c r="V65" s="296" t="str">
        <f t="array" aca="1" ref="V65" ca="1">IF($A65="*","",IFERROR(INDEX(AGR!$E$52:$L$73,MATCH('TS DTech'!$C65,AGR!$B$52:$B$73,0),MATCH('TS DTech'!$B65&amp;V$7,AGR!$E$46:$L$46&amp;AGR!$E$48:$L$48,0)),""))</f>
        <v/>
      </c>
      <c r="W65" s="296" t="str">
        <f t="array" aca="1" ref="W65" ca="1">IF($A65="*","",IFERROR(INDEX(AGR!$E$52:$L$73,MATCH('TS DTech'!$C65,AGR!$B$52:$B$73,0),MATCH('TS DTech'!$B65&amp;W$7,AGR!$E$46:$L$46&amp;AGR!$E$48:$L$48,0)),""))</f>
        <v/>
      </c>
      <c r="X65" s="296" t="str">
        <f t="array" aca="1" ref="X65" ca="1">IF($A65="*","",IFERROR(INDEX(AGR!$E$52:$L$73,MATCH('TS DTech'!$C65,AGR!$B$52:$B$73,0),MATCH('TS DTech'!$B65&amp;X$7,AGR!$E$46:$L$46&amp;AGR!$E$48:$L$48,0)),""))</f>
        <v/>
      </c>
      <c r="Y65" s="296" t="str">
        <f t="array" aca="1" ref="Y65" ca="1">IF($A65="*","",IFERROR(INDEX(AGR!$E$52:$L$73,MATCH('TS DTech'!$C65,AGR!$B$52:$B$73,0),MATCH('TS DTech'!$B65&amp;Y$7,AGR!$E$46:$L$46&amp;AGR!$E$48:$L$48,0)),""))</f>
        <v/>
      </c>
      <c r="Z65" s="296" t="str">
        <f t="array" aca="1" ref="Z65" ca="1">IF($A65="*","",IFERROR(INDEX(AGR!$E$52:$L$73,MATCH('TS DTech'!$C65,AGR!$B$52:$B$73,0),MATCH('TS DTech'!$B65&amp;Z$7,AGR!$E$46:$L$46&amp;AGR!$E$48:$L$48,0)),""))</f>
        <v/>
      </c>
      <c r="AA65" s="296" t="str">
        <f t="array" aca="1" ref="AA65" ca="1">IF($A65="*","",IFERROR(INDEX(AGR!$E$52:$L$73,MATCH('TS DTech'!$C65,AGR!$B$52:$B$73,0),MATCH('TS DTech'!$B65&amp;AA$7,AGR!$E$46:$L$46&amp;AGR!$E$48:$L$48,0)),""))</f>
        <v/>
      </c>
      <c r="AB65" s="296" t="str">
        <f t="array" aca="1" ref="AB65" ca="1">IF($A65="*","",IFERROR(INDEX(AGR!$E$52:$L$73,MATCH('TS DTech'!$C65,AGR!$B$52:$B$73,0),MATCH('TS DTech'!$B65&amp;AB$7,AGR!$E$46:$L$46&amp;AGR!$E$48:$L$48,0)),""))</f>
        <v/>
      </c>
      <c r="AC65" s="296" t="str">
        <f t="array" aca="1" ref="AC65" ca="1">IF($A65="*","",IFERROR(INDEX(AGR!$E$52:$L$73,MATCH('TS DTech'!$C65,AGR!$B$52:$B$73,0),MATCH('TS DTech'!$B65&amp;AC$7,AGR!$E$46:$L$46&amp;AGR!$E$48:$L$48,0)),""))</f>
        <v/>
      </c>
      <c r="AD65" s="296" t="str">
        <f t="array" aca="1" ref="AD65" ca="1">IF($A65="*","",IFERROR(INDEX(AGR!$E$52:$L$73,MATCH('TS DTech'!$C65,AGR!$B$52:$B$73,0),MATCH('TS DTech'!$B65&amp;AD$7,AGR!$E$46:$L$46&amp;AGR!$E$48:$L$48,0)),""))</f>
        <v/>
      </c>
      <c r="AE65" s="296" t="str">
        <f t="array" aca="1" ref="AE65" ca="1">IF($A65="*","",IFERROR(INDEX(AGR!$E$52:$L$73,MATCH('TS DTech'!$C65,AGR!$B$52:$B$73,0),MATCH('TS DTech'!$B65&amp;AE$7,AGR!$E$46:$L$46&amp;AGR!$E$48:$L$48,0)),""))</f>
        <v/>
      </c>
      <c r="AF65" s="296" t="str">
        <f t="array" aca="1" ref="AF65" ca="1">IF($A65="*","",IFERROR(INDEX(AGR!$E$52:$L$73,MATCH('TS DTech'!$C65,AGR!$B$52:$B$73,0),MATCH('TS DTech'!$B65&amp;AF$7,AGR!$E$46:$L$46&amp;AGR!$E$48:$L$48,0)),""))</f>
        <v/>
      </c>
      <c r="AG65" s="296" t="str">
        <f t="array" aca="1" ref="AG65" ca="1">IF($A65="*","",IFERROR(INDEX(AGR!$E$52:$L$73,MATCH('TS DTech'!$C65,AGR!$B$52:$B$73,0),MATCH('TS DTech'!$B65&amp;AG$7,AGR!$E$46:$L$46&amp;AGR!$E$48:$L$48,0)),""))</f>
        <v/>
      </c>
      <c r="AH65" s="296" t="str">
        <f t="array" aca="1" ref="AH65" ca="1">IF($A65="*","",IFERROR(INDEX(AGR!$E$52:$L$73,MATCH('TS DTech'!$C65,AGR!$B$52:$B$73,0),MATCH('TS DTech'!$B65&amp;AH$7,AGR!$E$46:$L$46&amp;AGR!$E$48:$L$48,0)),""))</f>
        <v/>
      </c>
      <c r="AI65" s="296" t="str">
        <f t="array" aca="1" ref="AI65" ca="1">IF($A65="*","",IFERROR(INDEX(AGR!$E$52:$L$73,MATCH('TS DTech'!$C65,AGR!$B$52:$B$73,0),MATCH('TS DTech'!$B65&amp;AI$7,AGR!$E$46:$L$46&amp;AGR!$E$48:$L$48,0)),""))</f>
        <v/>
      </c>
      <c r="AJ65" s="296" t="str">
        <f t="array" aca="1" ref="AJ65" ca="1">IF($A65="*","",IFERROR(INDEX(AGR!$E$52:$L$73,MATCH('TS DTech'!$C65,AGR!$B$52:$B$73,0),MATCH('TS DTech'!$B65&amp;AJ$7,AGR!$E$46:$L$46&amp;AGR!$E$48:$L$48,0)),""))</f>
        <v/>
      </c>
      <c r="AK65" s="296" t="str">
        <f t="array" aca="1" ref="AK65" ca="1">IF($A65="*","",IFERROR(INDEX(AGR!$E$52:$L$73,MATCH('TS DTech'!$C65,AGR!$B$52:$B$73,0),MATCH('TS DTech'!$B65&amp;AK$7,AGR!$E$46:$L$46&amp;AGR!$E$48:$L$48,0)),""))</f>
        <v/>
      </c>
      <c r="AL65" s="296" t="str">
        <f t="array" aca="1" ref="AL65" ca="1">IF($A65="*","",IFERROR(INDEX(AGR!$E$52:$L$73,MATCH('TS DTech'!$C65,AGR!$B$52:$B$73,0),MATCH('TS DTech'!$B65&amp;AL$7,AGR!$E$46:$L$46&amp;AGR!$E$48:$L$48,0)),""))</f>
        <v/>
      </c>
      <c r="AM65" s="296" t="str">
        <f t="array" aca="1" ref="AM65" ca="1">IF($A65="*","",IFERROR(INDEX(AGR!$E$52:$L$73,MATCH('TS DTech'!$C65,AGR!$B$52:$B$73,0),MATCH('TS DTech'!$B65&amp;AM$7,AGR!$E$46:$L$46&amp;AGR!$E$48:$L$48,0)),""))</f>
        <v/>
      </c>
      <c r="AN65" s="296" t="str">
        <f t="array" aca="1" ref="AN65" ca="1">IF($A65="*","",IFERROR(INDEX(AGR!$E$52:$L$73,MATCH('TS DTech'!$C65,AGR!$B$52:$B$73,0),MATCH('TS DTech'!$B65&amp;AN$7,AGR!$E$46:$L$46&amp;AGR!$E$48:$L$48,0)),""))</f>
        <v/>
      </c>
      <c r="AO65" s="296" t="str">
        <f t="array" aca="1" ref="AO65" ca="1">IF($A65="*","",IFERROR(INDEX(AGR!$E$52:$L$73,MATCH('TS DTech'!$C65,AGR!$B$52:$B$73,0),MATCH('TS DTech'!$B65&amp;AO$7,AGR!$E$46:$L$46&amp;AGR!$E$48:$L$48,0)),""))</f>
        <v/>
      </c>
      <c r="AP65" s="296" t="str">
        <f t="array" aca="1" ref="AP65" ca="1">IF($A65="*","",IFERROR(INDEX(AGR!$E$52:$L$73,MATCH('TS DTech'!$C65,AGR!$B$52:$B$73,0),MATCH('TS DTech'!$B65&amp;AP$7,AGR!$E$46:$L$46&amp;AGR!$E$48:$L$48,0)),""))</f>
        <v/>
      </c>
      <c r="AQ65" s="137">
        <f>IF(AR64=AGR!$AD$74,AQ64+1,AQ64)</f>
        <v>3</v>
      </c>
      <c r="AR65" s="137">
        <f t="shared" si="3"/>
        <v>4</v>
      </c>
    </row>
    <row r="66" spans="1:44">
      <c r="A66" s="137" t="str">
        <f ca="1">IF(LEFT(OFFSET(AGR!$A$51,AR66,0),2)="\I","*","")</f>
        <v/>
      </c>
      <c r="B66" s="212" t="str">
        <f t="shared" ca="1" si="4"/>
        <v>NCAP_BND</v>
      </c>
      <c r="C66" s="212" t="str">
        <f ca="1">IF($A66="*","",OFFSET(AGR!$B$51,AR66,0))</f>
        <v>AHELC-E</v>
      </c>
      <c r="D66" s="212" t="str">
        <f t="shared" ca="1" si="5"/>
        <v>-</v>
      </c>
      <c r="E66" s="212" t="str">
        <f t="shared" ca="1" si="5"/>
        <v>-</v>
      </c>
      <c r="F66" s="212" t="str">
        <f t="shared" ca="1" si="5"/>
        <v>-</v>
      </c>
      <c r="G66" s="212" t="str">
        <f t="shared" ca="1" si="5"/>
        <v>-</v>
      </c>
      <c r="H66" s="212" t="str">
        <f t="shared" ca="1" si="5"/>
        <v>UP</v>
      </c>
      <c r="I66" s="213">
        <f t="shared" ca="1" si="5"/>
        <v>3</v>
      </c>
      <c r="J66" s="296" t="str">
        <f t="array" aca="1" ref="J66" ca="1">IF($A66="*","",IFERROR(INDEX(AGR!$E$52:$L$73,MATCH('TS DTech'!$C66,AGR!$B$52:$B$73,0),MATCH('TS DTech'!$B66&amp;J$7,AGR!$E$46:$L$46&amp;AGR!$E$48:$L$48,0)),""))</f>
        <v/>
      </c>
      <c r="K66" s="296" t="str">
        <f t="array" aca="1" ref="K66" ca="1">IF($A66="*","",IFERROR(INDEX(AGR!$E$52:$L$73,MATCH('TS DTech'!$C66,AGR!$B$52:$B$73,0),MATCH('TS DTech'!$B66&amp;K$7,AGR!$E$46:$L$46&amp;AGR!$E$48:$L$48,0)),""))</f>
        <v/>
      </c>
      <c r="L66" s="296" t="str">
        <f t="array" aca="1" ref="L66" ca="1">IF($A66="*","",IFERROR(INDEX(AGR!$E$52:$L$73,MATCH('TS DTech'!$C66,AGR!$B$52:$B$73,0),MATCH('TS DTech'!$B66&amp;L$7,AGR!$E$46:$L$46&amp;AGR!$E$48:$L$48,0)),""))</f>
        <v/>
      </c>
      <c r="M66" s="296" t="str">
        <f t="array" aca="1" ref="M66" ca="1">IF($A66="*","",IFERROR(INDEX(AGR!$E$52:$L$73,MATCH('TS DTech'!$C66,AGR!$B$52:$B$73,0),MATCH('TS DTech'!$B66&amp;M$7,AGR!$E$46:$L$46&amp;AGR!$E$48:$L$48,0)),""))</f>
        <v/>
      </c>
      <c r="N66" s="296" t="str">
        <f t="array" aca="1" ref="N66" ca="1">IF($A66="*","",IFERROR(INDEX(AGR!$E$52:$L$73,MATCH('TS DTech'!$C66,AGR!$B$52:$B$73,0),MATCH('TS DTech'!$B66&amp;N$7,AGR!$E$46:$L$46&amp;AGR!$E$48:$L$48,0)),""))</f>
        <v/>
      </c>
      <c r="O66" s="296" t="str">
        <f t="array" aca="1" ref="O66" ca="1">IF($A66="*","",IFERROR(INDEX(AGR!$E$52:$L$73,MATCH('TS DTech'!$C66,AGR!$B$52:$B$73,0),MATCH('TS DTech'!$B66&amp;O$7,AGR!$E$46:$L$46&amp;AGR!$E$48:$L$48,0)),""))</f>
        <v/>
      </c>
      <c r="P66" s="296" t="str">
        <f t="array" aca="1" ref="P66" ca="1">IF($A66="*","",IFERROR(INDEX(AGR!$E$52:$L$73,MATCH('TS DTech'!$C66,AGR!$B$52:$B$73,0),MATCH('TS DTech'!$B66&amp;P$7,AGR!$E$46:$L$46&amp;AGR!$E$48:$L$48,0)),""))</f>
        <v/>
      </c>
      <c r="Q66" s="296" t="str">
        <f t="array" aca="1" ref="Q66" ca="1">IF($A66="*","",IFERROR(INDEX(AGR!$E$52:$L$73,MATCH('TS DTech'!$C66,AGR!$B$52:$B$73,0),MATCH('TS DTech'!$B66&amp;Q$7,AGR!$E$46:$L$46&amp;AGR!$E$48:$L$48,0)),""))</f>
        <v/>
      </c>
      <c r="R66" s="296" t="str">
        <f t="array" aca="1" ref="R66" ca="1">IF($A66="*","",IFERROR(INDEX(AGR!$E$52:$L$73,MATCH('TS DTech'!$C66,AGR!$B$52:$B$73,0),MATCH('TS DTech'!$B66&amp;R$7,AGR!$E$46:$L$46&amp;AGR!$E$48:$L$48,0)),""))</f>
        <v/>
      </c>
      <c r="S66" s="296" t="str">
        <f t="array" aca="1" ref="S66" ca="1">IF($A66="*","",IFERROR(INDEX(AGR!$E$52:$L$73,MATCH('TS DTech'!$C66,AGR!$B$52:$B$73,0),MATCH('TS DTech'!$B66&amp;S$7,AGR!$E$46:$L$46&amp;AGR!$E$48:$L$48,0)),""))</f>
        <v/>
      </c>
      <c r="T66" s="296" t="str">
        <f t="array" aca="1" ref="T66" ca="1">IF($A66="*","",IFERROR(INDEX(AGR!$E$52:$L$73,MATCH('TS DTech'!$C66,AGR!$B$52:$B$73,0),MATCH('TS DTech'!$B66&amp;T$7,AGR!$E$46:$L$46&amp;AGR!$E$48:$L$48,0)),""))</f>
        <v/>
      </c>
      <c r="U66" s="296" t="str">
        <f t="array" aca="1" ref="U66" ca="1">IF($A66="*","",IFERROR(INDEX(AGR!$E$52:$L$73,MATCH('TS DTech'!$C66,AGR!$B$52:$B$73,0),MATCH('TS DTech'!$B66&amp;U$7,AGR!$E$46:$L$46&amp;AGR!$E$48:$L$48,0)),""))</f>
        <v/>
      </c>
      <c r="V66" s="296" t="str">
        <f t="array" aca="1" ref="V66" ca="1">IF($A66="*","",IFERROR(INDEX(AGR!$E$52:$L$73,MATCH('TS DTech'!$C66,AGR!$B$52:$B$73,0),MATCH('TS DTech'!$B66&amp;V$7,AGR!$E$46:$L$46&amp;AGR!$E$48:$L$48,0)),""))</f>
        <v/>
      </c>
      <c r="W66" s="296" t="str">
        <f t="array" aca="1" ref="W66" ca="1">IF($A66="*","",IFERROR(INDEX(AGR!$E$52:$L$73,MATCH('TS DTech'!$C66,AGR!$B$52:$B$73,0),MATCH('TS DTech'!$B66&amp;W$7,AGR!$E$46:$L$46&amp;AGR!$E$48:$L$48,0)),""))</f>
        <v/>
      </c>
      <c r="X66" s="296" t="str">
        <f t="array" aca="1" ref="X66" ca="1">IF($A66="*","",IFERROR(INDEX(AGR!$E$52:$L$73,MATCH('TS DTech'!$C66,AGR!$B$52:$B$73,0),MATCH('TS DTech'!$B66&amp;X$7,AGR!$E$46:$L$46&amp;AGR!$E$48:$L$48,0)),""))</f>
        <v/>
      </c>
      <c r="Y66" s="296" t="str">
        <f t="array" aca="1" ref="Y66" ca="1">IF($A66="*","",IFERROR(INDEX(AGR!$E$52:$L$73,MATCH('TS DTech'!$C66,AGR!$B$52:$B$73,0),MATCH('TS DTech'!$B66&amp;Y$7,AGR!$E$46:$L$46&amp;AGR!$E$48:$L$48,0)),""))</f>
        <v/>
      </c>
      <c r="Z66" s="296" t="str">
        <f t="array" aca="1" ref="Z66" ca="1">IF($A66="*","",IFERROR(INDEX(AGR!$E$52:$L$73,MATCH('TS DTech'!$C66,AGR!$B$52:$B$73,0),MATCH('TS DTech'!$B66&amp;Z$7,AGR!$E$46:$L$46&amp;AGR!$E$48:$L$48,0)),""))</f>
        <v/>
      </c>
      <c r="AA66" s="296" t="str">
        <f t="array" aca="1" ref="AA66" ca="1">IF($A66="*","",IFERROR(INDEX(AGR!$E$52:$L$73,MATCH('TS DTech'!$C66,AGR!$B$52:$B$73,0),MATCH('TS DTech'!$B66&amp;AA$7,AGR!$E$46:$L$46&amp;AGR!$E$48:$L$48,0)),""))</f>
        <v/>
      </c>
      <c r="AB66" s="296" t="str">
        <f t="array" aca="1" ref="AB66" ca="1">IF($A66="*","",IFERROR(INDEX(AGR!$E$52:$L$73,MATCH('TS DTech'!$C66,AGR!$B$52:$B$73,0),MATCH('TS DTech'!$B66&amp;AB$7,AGR!$E$46:$L$46&amp;AGR!$E$48:$L$48,0)),""))</f>
        <v/>
      </c>
      <c r="AC66" s="296" t="str">
        <f t="array" aca="1" ref="AC66" ca="1">IF($A66="*","",IFERROR(INDEX(AGR!$E$52:$L$73,MATCH('TS DTech'!$C66,AGR!$B$52:$B$73,0),MATCH('TS DTech'!$B66&amp;AC$7,AGR!$E$46:$L$46&amp;AGR!$E$48:$L$48,0)),""))</f>
        <v/>
      </c>
      <c r="AD66" s="296" t="str">
        <f t="array" aca="1" ref="AD66" ca="1">IF($A66="*","",IFERROR(INDEX(AGR!$E$52:$L$73,MATCH('TS DTech'!$C66,AGR!$B$52:$B$73,0),MATCH('TS DTech'!$B66&amp;AD$7,AGR!$E$46:$L$46&amp;AGR!$E$48:$L$48,0)),""))</f>
        <v/>
      </c>
      <c r="AE66" s="296" t="str">
        <f t="array" aca="1" ref="AE66" ca="1">IF($A66="*","",IFERROR(INDEX(AGR!$E$52:$L$73,MATCH('TS DTech'!$C66,AGR!$B$52:$B$73,0),MATCH('TS DTech'!$B66&amp;AE$7,AGR!$E$46:$L$46&amp;AGR!$E$48:$L$48,0)),""))</f>
        <v/>
      </c>
      <c r="AF66" s="296" t="str">
        <f t="array" aca="1" ref="AF66" ca="1">IF($A66="*","",IFERROR(INDEX(AGR!$E$52:$L$73,MATCH('TS DTech'!$C66,AGR!$B$52:$B$73,0),MATCH('TS DTech'!$B66&amp;AF$7,AGR!$E$46:$L$46&amp;AGR!$E$48:$L$48,0)),""))</f>
        <v/>
      </c>
      <c r="AG66" s="296" t="str">
        <f t="array" aca="1" ref="AG66" ca="1">IF($A66="*","",IFERROR(INDEX(AGR!$E$52:$L$73,MATCH('TS DTech'!$C66,AGR!$B$52:$B$73,0),MATCH('TS DTech'!$B66&amp;AG$7,AGR!$E$46:$L$46&amp;AGR!$E$48:$L$48,0)),""))</f>
        <v/>
      </c>
      <c r="AH66" s="296" t="str">
        <f t="array" aca="1" ref="AH66" ca="1">IF($A66="*","",IFERROR(INDEX(AGR!$E$52:$L$73,MATCH('TS DTech'!$C66,AGR!$B$52:$B$73,0),MATCH('TS DTech'!$B66&amp;AH$7,AGR!$E$46:$L$46&amp;AGR!$E$48:$L$48,0)),""))</f>
        <v/>
      </c>
      <c r="AI66" s="296" t="str">
        <f t="array" aca="1" ref="AI66" ca="1">IF($A66="*","",IFERROR(INDEX(AGR!$E$52:$L$73,MATCH('TS DTech'!$C66,AGR!$B$52:$B$73,0),MATCH('TS DTech'!$B66&amp;AI$7,AGR!$E$46:$L$46&amp;AGR!$E$48:$L$48,0)),""))</f>
        <v/>
      </c>
      <c r="AJ66" s="296" t="str">
        <f t="array" aca="1" ref="AJ66" ca="1">IF($A66="*","",IFERROR(INDEX(AGR!$E$52:$L$73,MATCH('TS DTech'!$C66,AGR!$B$52:$B$73,0),MATCH('TS DTech'!$B66&amp;AJ$7,AGR!$E$46:$L$46&amp;AGR!$E$48:$L$48,0)),""))</f>
        <v/>
      </c>
      <c r="AK66" s="296" t="str">
        <f t="array" aca="1" ref="AK66" ca="1">IF($A66="*","",IFERROR(INDEX(AGR!$E$52:$L$73,MATCH('TS DTech'!$C66,AGR!$B$52:$B$73,0),MATCH('TS DTech'!$B66&amp;AK$7,AGR!$E$46:$L$46&amp;AGR!$E$48:$L$48,0)),""))</f>
        <v/>
      </c>
      <c r="AL66" s="296" t="str">
        <f t="array" aca="1" ref="AL66" ca="1">IF($A66="*","",IFERROR(INDEX(AGR!$E$52:$L$73,MATCH('TS DTech'!$C66,AGR!$B$52:$B$73,0),MATCH('TS DTech'!$B66&amp;AL$7,AGR!$E$46:$L$46&amp;AGR!$E$48:$L$48,0)),""))</f>
        <v/>
      </c>
      <c r="AM66" s="296" t="str">
        <f t="array" aca="1" ref="AM66" ca="1">IF($A66="*","",IFERROR(INDEX(AGR!$E$52:$L$73,MATCH('TS DTech'!$C66,AGR!$B$52:$B$73,0),MATCH('TS DTech'!$B66&amp;AM$7,AGR!$E$46:$L$46&amp;AGR!$E$48:$L$48,0)),""))</f>
        <v/>
      </c>
      <c r="AN66" s="296" t="str">
        <f t="array" aca="1" ref="AN66" ca="1">IF($A66="*","",IFERROR(INDEX(AGR!$E$52:$L$73,MATCH('TS DTech'!$C66,AGR!$B$52:$B$73,0),MATCH('TS DTech'!$B66&amp;AN$7,AGR!$E$46:$L$46&amp;AGR!$E$48:$L$48,0)),""))</f>
        <v/>
      </c>
      <c r="AO66" s="296" t="str">
        <f t="array" aca="1" ref="AO66" ca="1">IF($A66="*","",IFERROR(INDEX(AGR!$E$52:$L$73,MATCH('TS DTech'!$C66,AGR!$B$52:$B$73,0),MATCH('TS DTech'!$B66&amp;AO$7,AGR!$E$46:$L$46&amp;AGR!$E$48:$L$48,0)),""))</f>
        <v/>
      </c>
      <c r="AP66" s="296" t="str">
        <f t="array" aca="1" ref="AP66" ca="1">IF($A66="*","",IFERROR(INDEX(AGR!$E$52:$L$73,MATCH('TS DTech'!$C66,AGR!$B$52:$B$73,0),MATCH('TS DTech'!$B66&amp;AP$7,AGR!$E$46:$L$46&amp;AGR!$E$48:$L$48,0)),""))</f>
        <v/>
      </c>
      <c r="AQ66" s="137">
        <f>IF(AR65=AGR!$AD$74,AQ65+1,AQ65)</f>
        <v>3</v>
      </c>
      <c r="AR66" s="137">
        <f t="shared" si="3"/>
        <v>5</v>
      </c>
    </row>
    <row r="67" spans="1:44">
      <c r="A67" s="137" t="str">
        <f ca="1">IF(LEFT(OFFSET(AGR!$A$51,AR67,0),2)="\I","*","")</f>
        <v>*</v>
      </c>
      <c r="B67" s="212" t="str">
        <f t="shared" ca="1" si="4"/>
        <v/>
      </c>
      <c r="C67" s="212" t="str">
        <f ca="1">IF($A67="*","",OFFSET(AGR!$B$51,AR67,0))</f>
        <v/>
      </c>
      <c r="D67" s="212" t="str">
        <f t="shared" ca="1" si="5"/>
        <v/>
      </c>
      <c r="E67" s="212" t="str">
        <f t="shared" ca="1" si="5"/>
        <v/>
      </c>
      <c r="F67" s="212" t="str">
        <f t="shared" ca="1" si="5"/>
        <v/>
      </c>
      <c r="G67" s="212" t="str">
        <f t="shared" ca="1" si="5"/>
        <v/>
      </c>
      <c r="H67" s="212" t="str">
        <f t="shared" ca="1" si="5"/>
        <v/>
      </c>
      <c r="I67" s="213" t="str">
        <f t="shared" ca="1" si="5"/>
        <v/>
      </c>
      <c r="J67" s="296" t="str">
        <f t="array" aca="1" ref="J67" ca="1">IF($A67="*","",IFERROR(INDEX(AGR!$E$52:$L$73,MATCH('TS DTech'!$C67,AGR!$B$52:$B$73,0),MATCH('TS DTech'!$B67&amp;J$7,AGR!$E$46:$L$46&amp;AGR!$E$48:$L$48,0)),""))</f>
        <v/>
      </c>
      <c r="K67" s="296" t="str">
        <f t="array" aca="1" ref="K67" ca="1">IF($A67="*","",IFERROR(INDEX(AGR!$E$52:$L$73,MATCH('TS DTech'!$C67,AGR!$B$52:$B$73,0),MATCH('TS DTech'!$B67&amp;K$7,AGR!$E$46:$L$46&amp;AGR!$E$48:$L$48,0)),""))</f>
        <v/>
      </c>
      <c r="L67" s="296" t="str">
        <f t="array" aca="1" ref="L67" ca="1">IF($A67="*","",IFERROR(INDEX(AGR!$E$52:$L$73,MATCH('TS DTech'!$C67,AGR!$B$52:$B$73,0),MATCH('TS DTech'!$B67&amp;L$7,AGR!$E$46:$L$46&amp;AGR!$E$48:$L$48,0)),""))</f>
        <v/>
      </c>
      <c r="M67" s="296" t="str">
        <f t="array" aca="1" ref="M67" ca="1">IF($A67="*","",IFERROR(INDEX(AGR!$E$52:$L$73,MATCH('TS DTech'!$C67,AGR!$B$52:$B$73,0),MATCH('TS DTech'!$B67&amp;M$7,AGR!$E$46:$L$46&amp;AGR!$E$48:$L$48,0)),""))</f>
        <v/>
      </c>
      <c r="N67" s="296" t="str">
        <f t="array" aca="1" ref="N67" ca="1">IF($A67="*","",IFERROR(INDEX(AGR!$E$52:$L$73,MATCH('TS DTech'!$C67,AGR!$B$52:$B$73,0),MATCH('TS DTech'!$B67&amp;N$7,AGR!$E$46:$L$46&amp;AGR!$E$48:$L$48,0)),""))</f>
        <v/>
      </c>
      <c r="O67" s="296" t="str">
        <f t="array" aca="1" ref="O67" ca="1">IF($A67="*","",IFERROR(INDEX(AGR!$E$52:$L$73,MATCH('TS DTech'!$C67,AGR!$B$52:$B$73,0),MATCH('TS DTech'!$B67&amp;O$7,AGR!$E$46:$L$46&amp;AGR!$E$48:$L$48,0)),""))</f>
        <v/>
      </c>
      <c r="P67" s="296" t="str">
        <f t="array" aca="1" ref="P67" ca="1">IF($A67="*","",IFERROR(INDEX(AGR!$E$52:$L$73,MATCH('TS DTech'!$C67,AGR!$B$52:$B$73,0),MATCH('TS DTech'!$B67&amp;P$7,AGR!$E$46:$L$46&amp;AGR!$E$48:$L$48,0)),""))</f>
        <v/>
      </c>
      <c r="Q67" s="296" t="str">
        <f t="array" aca="1" ref="Q67" ca="1">IF($A67="*","",IFERROR(INDEX(AGR!$E$52:$L$73,MATCH('TS DTech'!$C67,AGR!$B$52:$B$73,0),MATCH('TS DTech'!$B67&amp;Q$7,AGR!$E$46:$L$46&amp;AGR!$E$48:$L$48,0)),""))</f>
        <v/>
      </c>
      <c r="R67" s="296" t="str">
        <f t="array" aca="1" ref="R67" ca="1">IF($A67="*","",IFERROR(INDEX(AGR!$E$52:$L$73,MATCH('TS DTech'!$C67,AGR!$B$52:$B$73,0),MATCH('TS DTech'!$B67&amp;R$7,AGR!$E$46:$L$46&amp;AGR!$E$48:$L$48,0)),""))</f>
        <v/>
      </c>
      <c r="S67" s="296" t="str">
        <f t="array" aca="1" ref="S67" ca="1">IF($A67="*","",IFERROR(INDEX(AGR!$E$52:$L$73,MATCH('TS DTech'!$C67,AGR!$B$52:$B$73,0),MATCH('TS DTech'!$B67&amp;S$7,AGR!$E$46:$L$46&amp;AGR!$E$48:$L$48,0)),""))</f>
        <v/>
      </c>
      <c r="T67" s="296" t="str">
        <f t="array" aca="1" ref="T67" ca="1">IF($A67="*","",IFERROR(INDEX(AGR!$E$52:$L$73,MATCH('TS DTech'!$C67,AGR!$B$52:$B$73,0),MATCH('TS DTech'!$B67&amp;T$7,AGR!$E$46:$L$46&amp;AGR!$E$48:$L$48,0)),""))</f>
        <v/>
      </c>
      <c r="U67" s="296" t="str">
        <f t="array" aca="1" ref="U67" ca="1">IF($A67="*","",IFERROR(INDEX(AGR!$E$52:$L$73,MATCH('TS DTech'!$C67,AGR!$B$52:$B$73,0),MATCH('TS DTech'!$B67&amp;U$7,AGR!$E$46:$L$46&amp;AGR!$E$48:$L$48,0)),""))</f>
        <v/>
      </c>
      <c r="V67" s="296" t="str">
        <f t="array" aca="1" ref="V67" ca="1">IF($A67="*","",IFERROR(INDEX(AGR!$E$52:$L$73,MATCH('TS DTech'!$C67,AGR!$B$52:$B$73,0),MATCH('TS DTech'!$B67&amp;V$7,AGR!$E$46:$L$46&amp;AGR!$E$48:$L$48,0)),""))</f>
        <v/>
      </c>
      <c r="W67" s="296" t="str">
        <f t="array" aca="1" ref="W67" ca="1">IF($A67="*","",IFERROR(INDEX(AGR!$E$52:$L$73,MATCH('TS DTech'!$C67,AGR!$B$52:$B$73,0),MATCH('TS DTech'!$B67&amp;W$7,AGR!$E$46:$L$46&amp;AGR!$E$48:$L$48,0)),""))</f>
        <v/>
      </c>
      <c r="X67" s="296" t="str">
        <f t="array" aca="1" ref="X67" ca="1">IF($A67="*","",IFERROR(INDEX(AGR!$E$52:$L$73,MATCH('TS DTech'!$C67,AGR!$B$52:$B$73,0),MATCH('TS DTech'!$B67&amp;X$7,AGR!$E$46:$L$46&amp;AGR!$E$48:$L$48,0)),""))</f>
        <v/>
      </c>
      <c r="Y67" s="296" t="str">
        <f t="array" aca="1" ref="Y67" ca="1">IF($A67="*","",IFERROR(INDEX(AGR!$E$52:$L$73,MATCH('TS DTech'!$C67,AGR!$B$52:$B$73,0),MATCH('TS DTech'!$B67&amp;Y$7,AGR!$E$46:$L$46&amp;AGR!$E$48:$L$48,0)),""))</f>
        <v/>
      </c>
      <c r="Z67" s="296" t="str">
        <f t="array" aca="1" ref="Z67" ca="1">IF($A67="*","",IFERROR(INDEX(AGR!$E$52:$L$73,MATCH('TS DTech'!$C67,AGR!$B$52:$B$73,0),MATCH('TS DTech'!$B67&amp;Z$7,AGR!$E$46:$L$46&amp;AGR!$E$48:$L$48,0)),""))</f>
        <v/>
      </c>
      <c r="AA67" s="296" t="str">
        <f t="array" aca="1" ref="AA67" ca="1">IF($A67="*","",IFERROR(INDEX(AGR!$E$52:$L$73,MATCH('TS DTech'!$C67,AGR!$B$52:$B$73,0),MATCH('TS DTech'!$B67&amp;AA$7,AGR!$E$46:$L$46&amp;AGR!$E$48:$L$48,0)),""))</f>
        <v/>
      </c>
      <c r="AB67" s="296" t="str">
        <f t="array" aca="1" ref="AB67" ca="1">IF($A67="*","",IFERROR(INDEX(AGR!$E$52:$L$73,MATCH('TS DTech'!$C67,AGR!$B$52:$B$73,0),MATCH('TS DTech'!$B67&amp;AB$7,AGR!$E$46:$L$46&amp;AGR!$E$48:$L$48,0)),""))</f>
        <v/>
      </c>
      <c r="AC67" s="296" t="str">
        <f t="array" aca="1" ref="AC67" ca="1">IF($A67="*","",IFERROR(INDEX(AGR!$E$52:$L$73,MATCH('TS DTech'!$C67,AGR!$B$52:$B$73,0),MATCH('TS DTech'!$B67&amp;AC$7,AGR!$E$46:$L$46&amp;AGR!$E$48:$L$48,0)),""))</f>
        <v/>
      </c>
      <c r="AD67" s="296" t="str">
        <f t="array" aca="1" ref="AD67" ca="1">IF($A67="*","",IFERROR(INDEX(AGR!$E$52:$L$73,MATCH('TS DTech'!$C67,AGR!$B$52:$B$73,0),MATCH('TS DTech'!$B67&amp;AD$7,AGR!$E$46:$L$46&amp;AGR!$E$48:$L$48,0)),""))</f>
        <v/>
      </c>
      <c r="AE67" s="296" t="str">
        <f t="array" aca="1" ref="AE67" ca="1">IF($A67="*","",IFERROR(INDEX(AGR!$E$52:$L$73,MATCH('TS DTech'!$C67,AGR!$B$52:$B$73,0),MATCH('TS DTech'!$B67&amp;AE$7,AGR!$E$46:$L$46&amp;AGR!$E$48:$L$48,0)),""))</f>
        <v/>
      </c>
      <c r="AF67" s="296" t="str">
        <f t="array" aca="1" ref="AF67" ca="1">IF($A67="*","",IFERROR(INDEX(AGR!$E$52:$L$73,MATCH('TS DTech'!$C67,AGR!$B$52:$B$73,0),MATCH('TS DTech'!$B67&amp;AF$7,AGR!$E$46:$L$46&amp;AGR!$E$48:$L$48,0)),""))</f>
        <v/>
      </c>
      <c r="AG67" s="296" t="str">
        <f t="array" aca="1" ref="AG67" ca="1">IF($A67="*","",IFERROR(INDEX(AGR!$E$52:$L$73,MATCH('TS DTech'!$C67,AGR!$B$52:$B$73,0),MATCH('TS DTech'!$B67&amp;AG$7,AGR!$E$46:$L$46&amp;AGR!$E$48:$L$48,0)),""))</f>
        <v/>
      </c>
      <c r="AH67" s="296" t="str">
        <f t="array" aca="1" ref="AH67" ca="1">IF($A67="*","",IFERROR(INDEX(AGR!$E$52:$L$73,MATCH('TS DTech'!$C67,AGR!$B$52:$B$73,0),MATCH('TS DTech'!$B67&amp;AH$7,AGR!$E$46:$L$46&amp;AGR!$E$48:$L$48,0)),""))</f>
        <v/>
      </c>
      <c r="AI67" s="296" t="str">
        <f t="array" aca="1" ref="AI67" ca="1">IF($A67="*","",IFERROR(INDEX(AGR!$E$52:$L$73,MATCH('TS DTech'!$C67,AGR!$B$52:$B$73,0),MATCH('TS DTech'!$B67&amp;AI$7,AGR!$E$46:$L$46&amp;AGR!$E$48:$L$48,0)),""))</f>
        <v/>
      </c>
      <c r="AJ67" s="296" t="str">
        <f t="array" aca="1" ref="AJ67" ca="1">IF($A67="*","",IFERROR(INDEX(AGR!$E$52:$L$73,MATCH('TS DTech'!$C67,AGR!$B$52:$B$73,0),MATCH('TS DTech'!$B67&amp;AJ$7,AGR!$E$46:$L$46&amp;AGR!$E$48:$L$48,0)),""))</f>
        <v/>
      </c>
      <c r="AK67" s="296" t="str">
        <f t="array" aca="1" ref="AK67" ca="1">IF($A67="*","",IFERROR(INDEX(AGR!$E$52:$L$73,MATCH('TS DTech'!$C67,AGR!$B$52:$B$73,0),MATCH('TS DTech'!$B67&amp;AK$7,AGR!$E$46:$L$46&amp;AGR!$E$48:$L$48,0)),""))</f>
        <v/>
      </c>
      <c r="AL67" s="296" t="str">
        <f t="array" aca="1" ref="AL67" ca="1">IF($A67="*","",IFERROR(INDEX(AGR!$E$52:$L$73,MATCH('TS DTech'!$C67,AGR!$B$52:$B$73,0),MATCH('TS DTech'!$B67&amp;AL$7,AGR!$E$46:$L$46&amp;AGR!$E$48:$L$48,0)),""))</f>
        <v/>
      </c>
      <c r="AM67" s="296" t="str">
        <f t="array" aca="1" ref="AM67" ca="1">IF($A67="*","",IFERROR(INDEX(AGR!$E$52:$L$73,MATCH('TS DTech'!$C67,AGR!$B$52:$B$73,0),MATCH('TS DTech'!$B67&amp;AM$7,AGR!$E$46:$L$46&amp;AGR!$E$48:$L$48,0)),""))</f>
        <v/>
      </c>
      <c r="AN67" s="296" t="str">
        <f t="array" aca="1" ref="AN67" ca="1">IF($A67="*","",IFERROR(INDEX(AGR!$E$52:$L$73,MATCH('TS DTech'!$C67,AGR!$B$52:$B$73,0),MATCH('TS DTech'!$B67&amp;AN$7,AGR!$E$46:$L$46&amp;AGR!$E$48:$L$48,0)),""))</f>
        <v/>
      </c>
      <c r="AO67" s="296" t="str">
        <f t="array" aca="1" ref="AO67" ca="1">IF($A67="*","",IFERROR(INDEX(AGR!$E$52:$L$73,MATCH('TS DTech'!$C67,AGR!$B$52:$B$73,0),MATCH('TS DTech'!$B67&amp;AO$7,AGR!$E$46:$L$46&amp;AGR!$E$48:$L$48,0)),""))</f>
        <v/>
      </c>
      <c r="AP67" s="296" t="str">
        <f t="array" aca="1" ref="AP67" ca="1">IF($A67="*","",IFERROR(INDEX(AGR!$E$52:$L$73,MATCH('TS DTech'!$C67,AGR!$B$52:$B$73,0),MATCH('TS DTech'!$B67&amp;AP$7,AGR!$E$46:$L$46&amp;AGR!$E$48:$L$48,0)),""))</f>
        <v/>
      </c>
      <c r="AQ67" s="137">
        <f>IF(AR66=AGR!$AD$74,AQ66+1,AQ66)</f>
        <v>3</v>
      </c>
      <c r="AR67" s="137">
        <f t="shared" si="3"/>
        <v>6</v>
      </c>
    </row>
    <row r="68" spans="1:44">
      <c r="A68" s="137" t="str">
        <f ca="1">IF(LEFT(OFFSET(AGR!$A$51,AR68,0),2)="\I","*","")</f>
        <v>*</v>
      </c>
      <c r="B68" s="212" t="str">
        <f t="shared" ca="1" si="4"/>
        <v/>
      </c>
      <c r="C68" s="212" t="str">
        <f ca="1">IF($A68="*","",OFFSET(AGR!$B$51,AR68,0))</f>
        <v/>
      </c>
      <c r="D68" s="212" t="str">
        <f t="shared" ref="D68:I99" ca="1" si="6">IF($A68="*","",VLOOKUP($B68,$B$10:$I$14,D$9,FALSE))</f>
        <v/>
      </c>
      <c r="E68" s="212" t="str">
        <f t="shared" ca="1" si="6"/>
        <v/>
      </c>
      <c r="F68" s="212" t="str">
        <f t="shared" ca="1" si="6"/>
        <v/>
      </c>
      <c r="G68" s="212" t="str">
        <f t="shared" ca="1" si="6"/>
        <v/>
      </c>
      <c r="H68" s="212" t="str">
        <f t="shared" ca="1" si="6"/>
        <v/>
      </c>
      <c r="I68" s="213" t="str">
        <f t="shared" ca="1" si="6"/>
        <v/>
      </c>
      <c r="J68" s="296" t="str">
        <f t="array" aca="1" ref="J68" ca="1">IF($A68="*","",IFERROR(INDEX(AGR!$E$52:$L$73,MATCH('TS DTech'!$C68,AGR!$B$52:$B$73,0),MATCH('TS DTech'!$B68&amp;J$7,AGR!$E$46:$L$46&amp;AGR!$E$48:$L$48,0)),""))</f>
        <v/>
      </c>
      <c r="K68" s="296" t="str">
        <f t="array" aca="1" ref="K68" ca="1">IF($A68="*","",IFERROR(INDEX(AGR!$E$52:$L$73,MATCH('TS DTech'!$C68,AGR!$B$52:$B$73,0),MATCH('TS DTech'!$B68&amp;K$7,AGR!$E$46:$L$46&amp;AGR!$E$48:$L$48,0)),""))</f>
        <v/>
      </c>
      <c r="L68" s="296" t="str">
        <f t="array" aca="1" ref="L68" ca="1">IF($A68="*","",IFERROR(INDEX(AGR!$E$52:$L$73,MATCH('TS DTech'!$C68,AGR!$B$52:$B$73,0),MATCH('TS DTech'!$B68&amp;L$7,AGR!$E$46:$L$46&amp;AGR!$E$48:$L$48,0)),""))</f>
        <v/>
      </c>
      <c r="M68" s="296" t="str">
        <f t="array" aca="1" ref="M68" ca="1">IF($A68="*","",IFERROR(INDEX(AGR!$E$52:$L$73,MATCH('TS DTech'!$C68,AGR!$B$52:$B$73,0),MATCH('TS DTech'!$B68&amp;M$7,AGR!$E$46:$L$46&amp;AGR!$E$48:$L$48,0)),""))</f>
        <v/>
      </c>
      <c r="N68" s="296" t="str">
        <f t="array" aca="1" ref="N68" ca="1">IF($A68="*","",IFERROR(INDEX(AGR!$E$52:$L$73,MATCH('TS DTech'!$C68,AGR!$B$52:$B$73,0),MATCH('TS DTech'!$B68&amp;N$7,AGR!$E$46:$L$46&amp;AGR!$E$48:$L$48,0)),""))</f>
        <v/>
      </c>
      <c r="O68" s="296" t="str">
        <f t="array" aca="1" ref="O68" ca="1">IF($A68="*","",IFERROR(INDEX(AGR!$E$52:$L$73,MATCH('TS DTech'!$C68,AGR!$B$52:$B$73,0),MATCH('TS DTech'!$B68&amp;O$7,AGR!$E$46:$L$46&amp;AGR!$E$48:$L$48,0)),""))</f>
        <v/>
      </c>
      <c r="P68" s="296" t="str">
        <f t="array" aca="1" ref="P68" ca="1">IF($A68="*","",IFERROR(INDEX(AGR!$E$52:$L$73,MATCH('TS DTech'!$C68,AGR!$B$52:$B$73,0),MATCH('TS DTech'!$B68&amp;P$7,AGR!$E$46:$L$46&amp;AGR!$E$48:$L$48,0)),""))</f>
        <v/>
      </c>
      <c r="Q68" s="296" t="str">
        <f t="array" aca="1" ref="Q68" ca="1">IF($A68="*","",IFERROR(INDEX(AGR!$E$52:$L$73,MATCH('TS DTech'!$C68,AGR!$B$52:$B$73,0),MATCH('TS DTech'!$B68&amp;Q$7,AGR!$E$46:$L$46&amp;AGR!$E$48:$L$48,0)),""))</f>
        <v/>
      </c>
      <c r="R68" s="296" t="str">
        <f t="array" aca="1" ref="R68" ca="1">IF($A68="*","",IFERROR(INDEX(AGR!$E$52:$L$73,MATCH('TS DTech'!$C68,AGR!$B$52:$B$73,0),MATCH('TS DTech'!$B68&amp;R$7,AGR!$E$46:$L$46&amp;AGR!$E$48:$L$48,0)),""))</f>
        <v/>
      </c>
      <c r="S68" s="296" t="str">
        <f t="array" aca="1" ref="S68" ca="1">IF($A68="*","",IFERROR(INDEX(AGR!$E$52:$L$73,MATCH('TS DTech'!$C68,AGR!$B$52:$B$73,0),MATCH('TS DTech'!$B68&amp;S$7,AGR!$E$46:$L$46&amp;AGR!$E$48:$L$48,0)),""))</f>
        <v/>
      </c>
      <c r="T68" s="296" t="str">
        <f t="array" aca="1" ref="T68" ca="1">IF($A68="*","",IFERROR(INDEX(AGR!$E$52:$L$73,MATCH('TS DTech'!$C68,AGR!$B$52:$B$73,0),MATCH('TS DTech'!$B68&amp;T$7,AGR!$E$46:$L$46&amp;AGR!$E$48:$L$48,0)),""))</f>
        <v/>
      </c>
      <c r="U68" s="296" t="str">
        <f t="array" aca="1" ref="U68" ca="1">IF($A68="*","",IFERROR(INDEX(AGR!$E$52:$L$73,MATCH('TS DTech'!$C68,AGR!$B$52:$B$73,0),MATCH('TS DTech'!$B68&amp;U$7,AGR!$E$46:$L$46&amp;AGR!$E$48:$L$48,0)),""))</f>
        <v/>
      </c>
      <c r="V68" s="296" t="str">
        <f t="array" aca="1" ref="V68" ca="1">IF($A68="*","",IFERROR(INDEX(AGR!$E$52:$L$73,MATCH('TS DTech'!$C68,AGR!$B$52:$B$73,0),MATCH('TS DTech'!$B68&amp;V$7,AGR!$E$46:$L$46&amp;AGR!$E$48:$L$48,0)),""))</f>
        <v/>
      </c>
      <c r="W68" s="296" t="str">
        <f t="array" aca="1" ref="W68" ca="1">IF($A68="*","",IFERROR(INDEX(AGR!$E$52:$L$73,MATCH('TS DTech'!$C68,AGR!$B$52:$B$73,0),MATCH('TS DTech'!$B68&amp;W$7,AGR!$E$46:$L$46&amp;AGR!$E$48:$L$48,0)),""))</f>
        <v/>
      </c>
      <c r="X68" s="296" t="str">
        <f t="array" aca="1" ref="X68" ca="1">IF($A68="*","",IFERROR(INDEX(AGR!$E$52:$L$73,MATCH('TS DTech'!$C68,AGR!$B$52:$B$73,0),MATCH('TS DTech'!$B68&amp;X$7,AGR!$E$46:$L$46&amp;AGR!$E$48:$L$48,0)),""))</f>
        <v/>
      </c>
      <c r="Y68" s="296" t="str">
        <f t="array" aca="1" ref="Y68" ca="1">IF($A68="*","",IFERROR(INDEX(AGR!$E$52:$L$73,MATCH('TS DTech'!$C68,AGR!$B$52:$B$73,0),MATCH('TS DTech'!$B68&amp;Y$7,AGR!$E$46:$L$46&amp;AGR!$E$48:$L$48,0)),""))</f>
        <v/>
      </c>
      <c r="Z68" s="296" t="str">
        <f t="array" aca="1" ref="Z68" ca="1">IF($A68="*","",IFERROR(INDEX(AGR!$E$52:$L$73,MATCH('TS DTech'!$C68,AGR!$B$52:$B$73,0),MATCH('TS DTech'!$B68&amp;Z$7,AGR!$E$46:$L$46&amp;AGR!$E$48:$L$48,0)),""))</f>
        <v/>
      </c>
      <c r="AA68" s="296" t="str">
        <f t="array" aca="1" ref="AA68" ca="1">IF($A68="*","",IFERROR(INDEX(AGR!$E$52:$L$73,MATCH('TS DTech'!$C68,AGR!$B$52:$B$73,0),MATCH('TS DTech'!$B68&amp;AA$7,AGR!$E$46:$L$46&amp;AGR!$E$48:$L$48,0)),""))</f>
        <v/>
      </c>
      <c r="AB68" s="296" t="str">
        <f t="array" aca="1" ref="AB68" ca="1">IF($A68="*","",IFERROR(INDEX(AGR!$E$52:$L$73,MATCH('TS DTech'!$C68,AGR!$B$52:$B$73,0),MATCH('TS DTech'!$B68&amp;AB$7,AGR!$E$46:$L$46&amp;AGR!$E$48:$L$48,0)),""))</f>
        <v/>
      </c>
      <c r="AC68" s="296" t="str">
        <f t="array" aca="1" ref="AC68" ca="1">IF($A68="*","",IFERROR(INDEX(AGR!$E$52:$L$73,MATCH('TS DTech'!$C68,AGR!$B$52:$B$73,0),MATCH('TS DTech'!$B68&amp;AC$7,AGR!$E$46:$L$46&amp;AGR!$E$48:$L$48,0)),""))</f>
        <v/>
      </c>
      <c r="AD68" s="296" t="str">
        <f t="array" aca="1" ref="AD68" ca="1">IF($A68="*","",IFERROR(INDEX(AGR!$E$52:$L$73,MATCH('TS DTech'!$C68,AGR!$B$52:$B$73,0),MATCH('TS DTech'!$B68&amp;AD$7,AGR!$E$46:$L$46&amp;AGR!$E$48:$L$48,0)),""))</f>
        <v/>
      </c>
      <c r="AE68" s="296" t="str">
        <f t="array" aca="1" ref="AE68" ca="1">IF($A68="*","",IFERROR(INDEX(AGR!$E$52:$L$73,MATCH('TS DTech'!$C68,AGR!$B$52:$B$73,0),MATCH('TS DTech'!$B68&amp;AE$7,AGR!$E$46:$L$46&amp;AGR!$E$48:$L$48,0)),""))</f>
        <v/>
      </c>
      <c r="AF68" s="296" t="str">
        <f t="array" aca="1" ref="AF68" ca="1">IF($A68="*","",IFERROR(INDEX(AGR!$E$52:$L$73,MATCH('TS DTech'!$C68,AGR!$B$52:$B$73,0),MATCH('TS DTech'!$B68&amp;AF$7,AGR!$E$46:$L$46&amp;AGR!$E$48:$L$48,0)),""))</f>
        <v/>
      </c>
      <c r="AG68" s="296" t="str">
        <f t="array" aca="1" ref="AG68" ca="1">IF($A68="*","",IFERROR(INDEX(AGR!$E$52:$L$73,MATCH('TS DTech'!$C68,AGR!$B$52:$B$73,0),MATCH('TS DTech'!$B68&amp;AG$7,AGR!$E$46:$L$46&amp;AGR!$E$48:$L$48,0)),""))</f>
        <v/>
      </c>
      <c r="AH68" s="296" t="str">
        <f t="array" aca="1" ref="AH68" ca="1">IF($A68="*","",IFERROR(INDEX(AGR!$E$52:$L$73,MATCH('TS DTech'!$C68,AGR!$B$52:$B$73,0),MATCH('TS DTech'!$B68&amp;AH$7,AGR!$E$46:$L$46&amp;AGR!$E$48:$L$48,0)),""))</f>
        <v/>
      </c>
      <c r="AI68" s="296" t="str">
        <f t="array" aca="1" ref="AI68" ca="1">IF($A68="*","",IFERROR(INDEX(AGR!$E$52:$L$73,MATCH('TS DTech'!$C68,AGR!$B$52:$B$73,0),MATCH('TS DTech'!$B68&amp;AI$7,AGR!$E$46:$L$46&amp;AGR!$E$48:$L$48,0)),""))</f>
        <v/>
      </c>
      <c r="AJ68" s="296" t="str">
        <f t="array" aca="1" ref="AJ68" ca="1">IF($A68="*","",IFERROR(INDEX(AGR!$E$52:$L$73,MATCH('TS DTech'!$C68,AGR!$B$52:$B$73,0),MATCH('TS DTech'!$B68&amp;AJ$7,AGR!$E$46:$L$46&amp;AGR!$E$48:$L$48,0)),""))</f>
        <v/>
      </c>
      <c r="AK68" s="296" t="str">
        <f t="array" aca="1" ref="AK68" ca="1">IF($A68="*","",IFERROR(INDEX(AGR!$E$52:$L$73,MATCH('TS DTech'!$C68,AGR!$B$52:$B$73,0),MATCH('TS DTech'!$B68&amp;AK$7,AGR!$E$46:$L$46&amp;AGR!$E$48:$L$48,0)),""))</f>
        <v/>
      </c>
      <c r="AL68" s="296" t="str">
        <f t="array" aca="1" ref="AL68" ca="1">IF($A68="*","",IFERROR(INDEX(AGR!$E$52:$L$73,MATCH('TS DTech'!$C68,AGR!$B$52:$B$73,0),MATCH('TS DTech'!$B68&amp;AL$7,AGR!$E$46:$L$46&amp;AGR!$E$48:$L$48,0)),""))</f>
        <v/>
      </c>
      <c r="AM68" s="296" t="str">
        <f t="array" aca="1" ref="AM68" ca="1">IF($A68="*","",IFERROR(INDEX(AGR!$E$52:$L$73,MATCH('TS DTech'!$C68,AGR!$B$52:$B$73,0),MATCH('TS DTech'!$B68&amp;AM$7,AGR!$E$46:$L$46&amp;AGR!$E$48:$L$48,0)),""))</f>
        <v/>
      </c>
      <c r="AN68" s="296" t="str">
        <f t="array" aca="1" ref="AN68" ca="1">IF($A68="*","",IFERROR(INDEX(AGR!$E$52:$L$73,MATCH('TS DTech'!$C68,AGR!$B$52:$B$73,0),MATCH('TS DTech'!$B68&amp;AN$7,AGR!$E$46:$L$46&amp;AGR!$E$48:$L$48,0)),""))</f>
        <v/>
      </c>
      <c r="AO68" s="296" t="str">
        <f t="array" aca="1" ref="AO68" ca="1">IF($A68="*","",IFERROR(INDEX(AGR!$E$52:$L$73,MATCH('TS DTech'!$C68,AGR!$B$52:$B$73,0),MATCH('TS DTech'!$B68&amp;AO$7,AGR!$E$46:$L$46&amp;AGR!$E$48:$L$48,0)),""))</f>
        <v/>
      </c>
      <c r="AP68" s="296" t="str">
        <f t="array" aca="1" ref="AP68" ca="1">IF($A68="*","",IFERROR(INDEX(AGR!$E$52:$L$73,MATCH('TS DTech'!$C68,AGR!$B$52:$B$73,0),MATCH('TS DTech'!$B68&amp;AP$7,AGR!$E$46:$L$46&amp;AGR!$E$48:$L$48,0)),""))</f>
        <v/>
      </c>
      <c r="AQ68" s="137">
        <f>IF(AR67=AGR!$AD$74,AQ67+1,AQ67)</f>
        <v>3</v>
      </c>
      <c r="AR68" s="137">
        <f t="shared" si="3"/>
        <v>7</v>
      </c>
    </row>
    <row r="69" spans="1:44">
      <c r="A69" s="137" t="str">
        <f ca="1">IF(LEFT(OFFSET(AGR!$A$51,AR69,0),2)="\I","*","")</f>
        <v/>
      </c>
      <c r="B69" s="212" t="str">
        <f t="shared" ca="1" si="4"/>
        <v>NCAP_BND</v>
      </c>
      <c r="C69" s="212" t="str">
        <f ca="1">IF($A69="*","",OFFSET(AGR!$B$51,AR69,0))</f>
        <v>APELC-E</v>
      </c>
      <c r="D69" s="212" t="str">
        <f t="shared" ca="1" si="6"/>
        <v>-</v>
      </c>
      <c r="E69" s="212" t="str">
        <f t="shared" ca="1" si="6"/>
        <v>-</v>
      </c>
      <c r="F69" s="212" t="str">
        <f t="shared" ca="1" si="6"/>
        <v>-</v>
      </c>
      <c r="G69" s="212" t="str">
        <f t="shared" ca="1" si="6"/>
        <v>-</v>
      </c>
      <c r="H69" s="212" t="str">
        <f t="shared" ca="1" si="6"/>
        <v>UP</v>
      </c>
      <c r="I69" s="213">
        <f t="shared" ca="1" si="6"/>
        <v>3</v>
      </c>
      <c r="J69" s="296" t="str">
        <f t="array" aca="1" ref="J69" ca="1">IF($A69="*","",IFERROR(INDEX(AGR!$E$52:$L$73,MATCH('TS DTech'!$C69,AGR!$B$52:$B$73,0),MATCH('TS DTech'!$B69&amp;J$7,AGR!$E$46:$L$46&amp;AGR!$E$48:$L$48,0)),""))</f>
        <v/>
      </c>
      <c r="K69" s="296" t="str">
        <f t="array" aca="1" ref="K69" ca="1">IF($A69="*","",IFERROR(INDEX(AGR!$E$52:$L$73,MATCH('TS DTech'!$C69,AGR!$B$52:$B$73,0),MATCH('TS DTech'!$B69&amp;K$7,AGR!$E$46:$L$46&amp;AGR!$E$48:$L$48,0)),""))</f>
        <v/>
      </c>
      <c r="L69" s="296" t="str">
        <f t="array" aca="1" ref="L69" ca="1">IF($A69="*","",IFERROR(INDEX(AGR!$E$52:$L$73,MATCH('TS DTech'!$C69,AGR!$B$52:$B$73,0),MATCH('TS DTech'!$B69&amp;L$7,AGR!$E$46:$L$46&amp;AGR!$E$48:$L$48,0)),""))</f>
        <v/>
      </c>
      <c r="M69" s="296" t="str">
        <f t="array" aca="1" ref="M69" ca="1">IF($A69="*","",IFERROR(INDEX(AGR!$E$52:$L$73,MATCH('TS DTech'!$C69,AGR!$B$52:$B$73,0),MATCH('TS DTech'!$B69&amp;M$7,AGR!$E$46:$L$46&amp;AGR!$E$48:$L$48,0)),""))</f>
        <v/>
      </c>
      <c r="N69" s="296" t="str">
        <f t="array" aca="1" ref="N69" ca="1">IF($A69="*","",IFERROR(INDEX(AGR!$E$52:$L$73,MATCH('TS DTech'!$C69,AGR!$B$52:$B$73,0),MATCH('TS DTech'!$B69&amp;N$7,AGR!$E$46:$L$46&amp;AGR!$E$48:$L$48,0)),""))</f>
        <v/>
      </c>
      <c r="O69" s="296" t="str">
        <f t="array" aca="1" ref="O69" ca="1">IF($A69="*","",IFERROR(INDEX(AGR!$E$52:$L$73,MATCH('TS DTech'!$C69,AGR!$B$52:$B$73,0),MATCH('TS DTech'!$B69&amp;O$7,AGR!$E$46:$L$46&amp;AGR!$E$48:$L$48,0)),""))</f>
        <v/>
      </c>
      <c r="P69" s="296" t="str">
        <f t="array" aca="1" ref="P69" ca="1">IF($A69="*","",IFERROR(INDEX(AGR!$E$52:$L$73,MATCH('TS DTech'!$C69,AGR!$B$52:$B$73,0),MATCH('TS DTech'!$B69&amp;P$7,AGR!$E$46:$L$46&amp;AGR!$E$48:$L$48,0)),""))</f>
        <v/>
      </c>
      <c r="Q69" s="296" t="str">
        <f t="array" aca="1" ref="Q69" ca="1">IF($A69="*","",IFERROR(INDEX(AGR!$E$52:$L$73,MATCH('TS DTech'!$C69,AGR!$B$52:$B$73,0),MATCH('TS DTech'!$B69&amp;Q$7,AGR!$E$46:$L$46&amp;AGR!$E$48:$L$48,0)),""))</f>
        <v/>
      </c>
      <c r="R69" s="296" t="str">
        <f t="array" aca="1" ref="R69" ca="1">IF($A69="*","",IFERROR(INDEX(AGR!$E$52:$L$73,MATCH('TS DTech'!$C69,AGR!$B$52:$B$73,0),MATCH('TS DTech'!$B69&amp;R$7,AGR!$E$46:$L$46&amp;AGR!$E$48:$L$48,0)),""))</f>
        <v/>
      </c>
      <c r="S69" s="296" t="str">
        <f t="array" aca="1" ref="S69" ca="1">IF($A69="*","",IFERROR(INDEX(AGR!$E$52:$L$73,MATCH('TS DTech'!$C69,AGR!$B$52:$B$73,0),MATCH('TS DTech'!$B69&amp;S$7,AGR!$E$46:$L$46&amp;AGR!$E$48:$L$48,0)),""))</f>
        <v/>
      </c>
      <c r="T69" s="296" t="str">
        <f t="array" aca="1" ref="T69" ca="1">IF($A69="*","",IFERROR(INDEX(AGR!$E$52:$L$73,MATCH('TS DTech'!$C69,AGR!$B$52:$B$73,0),MATCH('TS DTech'!$B69&amp;T$7,AGR!$E$46:$L$46&amp;AGR!$E$48:$L$48,0)),""))</f>
        <v/>
      </c>
      <c r="U69" s="296" t="str">
        <f t="array" aca="1" ref="U69" ca="1">IF($A69="*","",IFERROR(INDEX(AGR!$E$52:$L$73,MATCH('TS DTech'!$C69,AGR!$B$52:$B$73,0),MATCH('TS DTech'!$B69&amp;U$7,AGR!$E$46:$L$46&amp;AGR!$E$48:$L$48,0)),""))</f>
        <v/>
      </c>
      <c r="V69" s="296" t="str">
        <f t="array" aca="1" ref="V69" ca="1">IF($A69="*","",IFERROR(INDEX(AGR!$E$52:$L$73,MATCH('TS DTech'!$C69,AGR!$B$52:$B$73,0),MATCH('TS DTech'!$B69&amp;V$7,AGR!$E$46:$L$46&amp;AGR!$E$48:$L$48,0)),""))</f>
        <v/>
      </c>
      <c r="W69" s="296" t="str">
        <f t="array" aca="1" ref="W69" ca="1">IF($A69="*","",IFERROR(INDEX(AGR!$E$52:$L$73,MATCH('TS DTech'!$C69,AGR!$B$52:$B$73,0),MATCH('TS DTech'!$B69&amp;W$7,AGR!$E$46:$L$46&amp;AGR!$E$48:$L$48,0)),""))</f>
        <v/>
      </c>
      <c r="X69" s="296" t="str">
        <f t="array" aca="1" ref="X69" ca="1">IF($A69="*","",IFERROR(INDEX(AGR!$E$52:$L$73,MATCH('TS DTech'!$C69,AGR!$B$52:$B$73,0),MATCH('TS DTech'!$B69&amp;X$7,AGR!$E$46:$L$46&amp;AGR!$E$48:$L$48,0)),""))</f>
        <v/>
      </c>
      <c r="Y69" s="296" t="str">
        <f t="array" aca="1" ref="Y69" ca="1">IF($A69="*","",IFERROR(INDEX(AGR!$E$52:$L$73,MATCH('TS DTech'!$C69,AGR!$B$52:$B$73,0),MATCH('TS DTech'!$B69&amp;Y$7,AGR!$E$46:$L$46&amp;AGR!$E$48:$L$48,0)),""))</f>
        <v/>
      </c>
      <c r="Z69" s="296" t="str">
        <f t="array" aca="1" ref="Z69" ca="1">IF($A69="*","",IFERROR(INDEX(AGR!$E$52:$L$73,MATCH('TS DTech'!$C69,AGR!$B$52:$B$73,0),MATCH('TS DTech'!$B69&amp;Z$7,AGR!$E$46:$L$46&amp;AGR!$E$48:$L$48,0)),""))</f>
        <v/>
      </c>
      <c r="AA69" s="296" t="str">
        <f t="array" aca="1" ref="AA69" ca="1">IF($A69="*","",IFERROR(INDEX(AGR!$E$52:$L$73,MATCH('TS DTech'!$C69,AGR!$B$52:$B$73,0),MATCH('TS DTech'!$B69&amp;AA$7,AGR!$E$46:$L$46&amp;AGR!$E$48:$L$48,0)),""))</f>
        <v/>
      </c>
      <c r="AB69" s="296" t="str">
        <f t="array" aca="1" ref="AB69" ca="1">IF($A69="*","",IFERROR(INDEX(AGR!$E$52:$L$73,MATCH('TS DTech'!$C69,AGR!$B$52:$B$73,0),MATCH('TS DTech'!$B69&amp;AB$7,AGR!$E$46:$L$46&amp;AGR!$E$48:$L$48,0)),""))</f>
        <v/>
      </c>
      <c r="AC69" s="296" t="str">
        <f t="array" aca="1" ref="AC69" ca="1">IF($A69="*","",IFERROR(INDEX(AGR!$E$52:$L$73,MATCH('TS DTech'!$C69,AGR!$B$52:$B$73,0),MATCH('TS DTech'!$B69&amp;AC$7,AGR!$E$46:$L$46&amp;AGR!$E$48:$L$48,0)),""))</f>
        <v/>
      </c>
      <c r="AD69" s="296" t="str">
        <f t="array" aca="1" ref="AD69" ca="1">IF($A69="*","",IFERROR(INDEX(AGR!$E$52:$L$73,MATCH('TS DTech'!$C69,AGR!$B$52:$B$73,0),MATCH('TS DTech'!$B69&amp;AD$7,AGR!$E$46:$L$46&amp;AGR!$E$48:$L$48,0)),""))</f>
        <v/>
      </c>
      <c r="AE69" s="296" t="str">
        <f t="array" aca="1" ref="AE69" ca="1">IF($A69="*","",IFERROR(INDEX(AGR!$E$52:$L$73,MATCH('TS DTech'!$C69,AGR!$B$52:$B$73,0),MATCH('TS DTech'!$B69&amp;AE$7,AGR!$E$46:$L$46&amp;AGR!$E$48:$L$48,0)),""))</f>
        <v/>
      </c>
      <c r="AF69" s="296" t="str">
        <f t="array" aca="1" ref="AF69" ca="1">IF($A69="*","",IFERROR(INDEX(AGR!$E$52:$L$73,MATCH('TS DTech'!$C69,AGR!$B$52:$B$73,0),MATCH('TS DTech'!$B69&amp;AF$7,AGR!$E$46:$L$46&amp;AGR!$E$48:$L$48,0)),""))</f>
        <v/>
      </c>
      <c r="AG69" s="296" t="str">
        <f t="array" aca="1" ref="AG69" ca="1">IF($A69="*","",IFERROR(INDEX(AGR!$E$52:$L$73,MATCH('TS DTech'!$C69,AGR!$B$52:$B$73,0),MATCH('TS DTech'!$B69&amp;AG$7,AGR!$E$46:$L$46&amp;AGR!$E$48:$L$48,0)),""))</f>
        <v/>
      </c>
      <c r="AH69" s="296" t="str">
        <f t="array" aca="1" ref="AH69" ca="1">IF($A69="*","",IFERROR(INDEX(AGR!$E$52:$L$73,MATCH('TS DTech'!$C69,AGR!$B$52:$B$73,0),MATCH('TS DTech'!$B69&amp;AH$7,AGR!$E$46:$L$46&amp;AGR!$E$48:$L$48,0)),""))</f>
        <v/>
      </c>
      <c r="AI69" s="296" t="str">
        <f t="array" aca="1" ref="AI69" ca="1">IF($A69="*","",IFERROR(INDEX(AGR!$E$52:$L$73,MATCH('TS DTech'!$C69,AGR!$B$52:$B$73,0),MATCH('TS DTech'!$B69&amp;AI$7,AGR!$E$46:$L$46&amp;AGR!$E$48:$L$48,0)),""))</f>
        <v/>
      </c>
      <c r="AJ69" s="296" t="str">
        <f t="array" aca="1" ref="AJ69" ca="1">IF($A69="*","",IFERROR(INDEX(AGR!$E$52:$L$73,MATCH('TS DTech'!$C69,AGR!$B$52:$B$73,0),MATCH('TS DTech'!$B69&amp;AJ$7,AGR!$E$46:$L$46&amp;AGR!$E$48:$L$48,0)),""))</f>
        <v/>
      </c>
      <c r="AK69" s="296" t="str">
        <f t="array" aca="1" ref="AK69" ca="1">IF($A69="*","",IFERROR(INDEX(AGR!$E$52:$L$73,MATCH('TS DTech'!$C69,AGR!$B$52:$B$73,0),MATCH('TS DTech'!$B69&amp;AK$7,AGR!$E$46:$L$46&amp;AGR!$E$48:$L$48,0)),""))</f>
        <v/>
      </c>
      <c r="AL69" s="296" t="str">
        <f t="array" aca="1" ref="AL69" ca="1">IF($A69="*","",IFERROR(INDEX(AGR!$E$52:$L$73,MATCH('TS DTech'!$C69,AGR!$B$52:$B$73,0),MATCH('TS DTech'!$B69&amp;AL$7,AGR!$E$46:$L$46&amp;AGR!$E$48:$L$48,0)),""))</f>
        <v/>
      </c>
      <c r="AM69" s="296" t="str">
        <f t="array" aca="1" ref="AM69" ca="1">IF($A69="*","",IFERROR(INDEX(AGR!$E$52:$L$73,MATCH('TS DTech'!$C69,AGR!$B$52:$B$73,0),MATCH('TS DTech'!$B69&amp;AM$7,AGR!$E$46:$L$46&amp;AGR!$E$48:$L$48,0)),""))</f>
        <v/>
      </c>
      <c r="AN69" s="296" t="str">
        <f t="array" aca="1" ref="AN69" ca="1">IF($A69="*","",IFERROR(INDEX(AGR!$E$52:$L$73,MATCH('TS DTech'!$C69,AGR!$B$52:$B$73,0),MATCH('TS DTech'!$B69&amp;AN$7,AGR!$E$46:$L$46&amp;AGR!$E$48:$L$48,0)),""))</f>
        <v/>
      </c>
      <c r="AO69" s="296" t="str">
        <f t="array" aca="1" ref="AO69" ca="1">IF($A69="*","",IFERROR(INDEX(AGR!$E$52:$L$73,MATCH('TS DTech'!$C69,AGR!$B$52:$B$73,0),MATCH('TS DTech'!$B69&amp;AO$7,AGR!$E$46:$L$46&amp;AGR!$E$48:$L$48,0)),""))</f>
        <v/>
      </c>
      <c r="AP69" s="296" t="str">
        <f t="array" aca="1" ref="AP69" ca="1">IF($A69="*","",IFERROR(INDEX(AGR!$E$52:$L$73,MATCH('TS DTech'!$C69,AGR!$B$52:$B$73,0),MATCH('TS DTech'!$B69&amp;AP$7,AGR!$E$46:$L$46&amp;AGR!$E$48:$L$48,0)),""))</f>
        <v/>
      </c>
      <c r="AQ69" s="137">
        <f>IF(AR68=AGR!$AD$74,AQ68+1,AQ68)</f>
        <v>3</v>
      </c>
      <c r="AR69" s="137">
        <f t="shared" si="3"/>
        <v>8</v>
      </c>
    </row>
    <row r="70" spans="1:44">
      <c r="A70" s="137" t="str">
        <f ca="1">IF(LEFT(OFFSET(AGR!$A$51,AR70,0),2)="\I","*","")</f>
        <v>*</v>
      </c>
      <c r="B70" s="212" t="str">
        <f t="shared" ca="1" si="4"/>
        <v/>
      </c>
      <c r="C70" s="212" t="str">
        <f ca="1">IF($A70="*","",OFFSET(AGR!$B$51,AR70,0))</f>
        <v/>
      </c>
      <c r="D70" s="212" t="str">
        <f t="shared" ca="1" si="6"/>
        <v/>
      </c>
      <c r="E70" s="212" t="str">
        <f t="shared" ca="1" si="6"/>
        <v/>
      </c>
      <c r="F70" s="212" t="str">
        <f t="shared" ca="1" si="6"/>
        <v/>
      </c>
      <c r="G70" s="212" t="str">
        <f t="shared" ca="1" si="6"/>
        <v/>
      </c>
      <c r="H70" s="212" t="str">
        <f t="shared" ca="1" si="6"/>
        <v/>
      </c>
      <c r="I70" s="213" t="str">
        <f t="shared" ca="1" si="6"/>
        <v/>
      </c>
      <c r="J70" s="296" t="str">
        <f t="array" aca="1" ref="J70" ca="1">IF($A70="*","",IFERROR(INDEX(AGR!$E$52:$L$73,MATCH('TS DTech'!$C70,AGR!$B$52:$B$73,0),MATCH('TS DTech'!$B70&amp;J$7,AGR!$E$46:$L$46&amp;AGR!$E$48:$L$48,0)),""))</f>
        <v/>
      </c>
      <c r="K70" s="296" t="str">
        <f t="array" aca="1" ref="K70" ca="1">IF($A70="*","",IFERROR(INDEX(AGR!$E$52:$L$73,MATCH('TS DTech'!$C70,AGR!$B$52:$B$73,0),MATCH('TS DTech'!$B70&amp;K$7,AGR!$E$46:$L$46&amp;AGR!$E$48:$L$48,0)),""))</f>
        <v/>
      </c>
      <c r="L70" s="296" t="str">
        <f t="array" aca="1" ref="L70" ca="1">IF($A70="*","",IFERROR(INDEX(AGR!$E$52:$L$73,MATCH('TS DTech'!$C70,AGR!$B$52:$B$73,0),MATCH('TS DTech'!$B70&amp;L$7,AGR!$E$46:$L$46&amp;AGR!$E$48:$L$48,0)),""))</f>
        <v/>
      </c>
      <c r="M70" s="296" t="str">
        <f t="array" aca="1" ref="M70" ca="1">IF($A70="*","",IFERROR(INDEX(AGR!$E$52:$L$73,MATCH('TS DTech'!$C70,AGR!$B$52:$B$73,0),MATCH('TS DTech'!$B70&amp;M$7,AGR!$E$46:$L$46&amp;AGR!$E$48:$L$48,0)),""))</f>
        <v/>
      </c>
      <c r="N70" s="296" t="str">
        <f t="array" aca="1" ref="N70" ca="1">IF($A70="*","",IFERROR(INDEX(AGR!$E$52:$L$73,MATCH('TS DTech'!$C70,AGR!$B$52:$B$73,0),MATCH('TS DTech'!$B70&amp;N$7,AGR!$E$46:$L$46&amp;AGR!$E$48:$L$48,0)),""))</f>
        <v/>
      </c>
      <c r="O70" s="296" t="str">
        <f t="array" aca="1" ref="O70" ca="1">IF($A70="*","",IFERROR(INDEX(AGR!$E$52:$L$73,MATCH('TS DTech'!$C70,AGR!$B$52:$B$73,0),MATCH('TS DTech'!$B70&amp;O$7,AGR!$E$46:$L$46&amp;AGR!$E$48:$L$48,0)),""))</f>
        <v/>
      </c>
      <c r="P70" s="296" t="str">
        <f t="array" aca="1" ref="P70" ca="1">IF($A70="*","",IFERROR(INDEX(AGR!$E$52:$L$73,MATCH('TS DTech'!$C70,AGR!$B$52:$B$73,0),MATCH('TS DTech'!$B70&amp;P$7,AGR!$E$46:$L$46&amp;AGR!$E$48:$L$48,0)),""))</f>
        <v/>
      </c>
      <c r="Q70" s="296" t="str">
        <f t="array" aca="1" ref="Q70" ca="1">IF($A70="*","",IFERROR(INDEX(AGR!$E$52:$L$73,MATCH('TS DTech'!$C70,AGR!$B$52:$B$73,0),MATCH('TS DTech'!$B70&amp;Q$7,AGR!$E$46:$L$46&amp;AGR!$E$48:$L$48,0)),""))</f>
        <v/>
      </c>
      <c r="R70" s="296" t="str">
        <f t="array" aca="1" ref="R70" ca="1">IF($A70="*","",IFERROR(INDEX(AGR!$E$52:$L$73,MATCH('TS DTech'!$C70,AGR!$B$52:$B$73,0),MATCH('TS DTech'!$B70&amp;R$7,AGR!$E$46:$L$46&amp;AGR!$E$48:$L$48,0)),""))</f>
        <v/>
      </c>
      <c r="S70" s="296" t="str">
        <f t="array" aca="1" ref="S70" ca="1">IF($A70="*","",IFERROR(INDEX(AGR!$E$52:$L$73,MATCH('TS DTech'!$C70,AGR!$B$52:$B$73,0),MATCH('TS DTech'!$B70&amp;S$7,AGR!$E$46:$L$46&amp;AGR!$E$48:$L$48,0)),""))</f>
        <v/>
      </c>
      <c r="T70" s="296" t="str">
        <f t="array" aca="1" ref="T70" ca="1">IF($A70="*","",IFERROR(INDEX(AGR!$E$52:$L$73,MATCH('TS DTech'!$C70,AGR!$B$52:$B$73,0),MATCH('TS DTech'!$B70&amp;T$7,AGR!$E$46:$L$46&amp;AGR!$E$48:$L$48,0)),""))</f>
        <v/>
      </c>
      <c r="U70" s="296" t="str">
        <f t="array" aca="1" ref="U70" ca="1">IF($A70="*","",IFERROR(INDEX(AGR!$E$52:$L$73,MATCH('TS DTech'!$C70,AGR!$B$52:$B$73,0),MATCH('TS DTech'!$B70&amp;U$7,AGR!$E$46:$L$46&amp;AGR!$E$48:$L$48,0)),""))</f>
        <v/>
      </c>
      <c r="V70" s="296" t="str">
        <f t="array" aca="1" ref="V70" ca="1">IF($A70="*","",IFERROR(INDEX(AGR!$E$52:$L$73,MATCH('TS DTech'!$C70,AGR!$B$52:$B$73,0),MATCH('TS DTech'!$B70&amp;V$7,AGR!$E$46:$L$46&amp;AGR!$E$48:$L$48,0)),""))</f>
        <v/>
      </c>
      <c r="W70" s="296" t="str">
        <f t="array" aca="1" ref="W70" ca="1">IF($A70="*","",IFERROR(INDEX(AGR!$E$52:$L$73,MATCH('TS DTech'!$C70,AGR!$B$52:$B$73,0),MATCH('TS DTech'!$B70&amp;W$7,AGR!$E$46:$L$46&amp;AGR!$E$48:$L$48,0)),""))</f>
        <v/>
      </c>
      <c r="X70" s="296" t="str">
        <f t="array" aca="1" ref="X70" ca="1">IF($A70="*","",IFERROR(INDEX(AGR!$E$52:$L$73,MATCH('TS DTech'!$C70,AGR!$B$52:$B$73,0),MATCH('TS DTech'!$B70&amp;X$7,AGR!$E$46:$L$46&amp;AGR!$E$48:$L$48,0)),""))</f>
        <v/>
      </c>
      <c r="Y70" s="296" t="str">
        <f t="array" aca="1" ref="Y70" ca="1">IF($A70="*","",IFERROR(INDEX(AGR!$E$52:$L$73,MATCH('TS DTech'!$C70,AGR!$B$52:$B$73,0),MATCH('TS DTech'!$B70&amp;Y$7,AGR!$E$46:$L$46&amp;AGR!$E$48:$L$48,0)),""))</f>
        <v/>
      </c>
      <c r="Z70" s="296" t="str">
        <f t="array" aca="1" ref="Z70" ca="1">IF($A70="*","",IFERROR(INDEX(AGR!$E$52:$L$73,MATCH('TS DTech'!$C70,AGR!$B$52:$B$73,0),MATCH('TS DTech'!$B70&amp;Z$7,AGR!$E$46:$L$46&amp;AGR!$E$48:$L$48,0)),""))</f>
        <v/>
      </c>
      <c r="AA70" s="296" t="str">
        <f t="array" aca="1" ref="AA70" ca="1">IF($A70="*","",IFERROR(INDEX(AGR!$E$52:$L$73,MATCH('TS DTech'!$C70,AGR!$B$52:$B$73,0),MATCH('TS DTech'!$B70&amp;AA$7,AGR!$E$46:$L$46&amp;AGR!$E$48:$L$48,0)),""))</f>
        <v/>
      </c>
      <c r="AB70" s="296" t="str">
        <f t="array" aca="1" ref="AB70" ca="1">IF($A70="*","",IFERROR(INDEX(AGR!$E$52:$L$73,MATCH('TS DTech'!$C70,AGR!$B$52:$B$73,0),MATCH('TS DTech'!$B70&amp;AB$7,AGR!$E$46:$L$46&amp;AGR!$E$48:$L$48,0)),""))</f>
        <v/>
      </c>
      <c r="AC70" s="296" t="str">
        <f t="array" aca="1" ref="AC70" ca="1">IF($A70="*","",IFERROR(INDEX(AGR!$E$52:$L$73,MATCH('TS DTech'!$C70,AGR!$B$52:$B$73,0),MATCH('TS DTech'!$B70&amp;AC$7,AGR!$E$46:$L$46&amp;AGR!$E$48:$L$48,0)),""))</f>
        <v/>
      </c>
      <c r="AD70" s="296" t="str">
        <f t="array" aca="1" ref="AD70" ca="1">IF($A70="*","",IFERROR(INDEX(AGR!$E$52:$L$73,MATCH('TS DTech'!$C70,AGR!$B$52:$B$73,0),MATCH('TS DTech'!$B70&amp;AD$7,AGR!$E$46:$L$46&amp;AGR!$E$48:$L$48,0)),""))</f>
        <v/>
      </c>
      <c r="AE70" s="296" t="str">
        <f t="array" aca="1" ref="AE70" ca="1">IF($A70="*","",IFERROR(INDEX(AGR!$E$52:$L$73,MATCH('TS DTech'!$C70,AGR!$B$52:$B$73,0),MATCH('TS DTech'!$B70&amp;AE$7,AGR!$E$46:$L$46&amp;AGR!$E$48:$L$48,0)),""))</f>
        <v/>
      </c>
      <c r="AF70" s="296" t="str">
        <f t="array" aca="1" ref="AF70" ca="1">IF($A70="*","",IFERROR(INDEX(AGR!$E$52:$L$73,MATCH('TS DTech'!$C70,AGR!$B$52:$B$73,0),MATCH('TS DTech'!$B70&amp;AF$7,AGR!$E$46:$L$46&amp;AGR!$E$48:$L$48,0)),""))</f>
        <v/>
      </c>
      <c r="AG70" s="296" t="str">
        <f t="array" aca="1" ref="AG70" ca="1">IF($A70="*","",IFERROR(INDEX(AGR!$E$52:$L$73,MATCH('TS DTech'!$C70,AGR!$B$52:$B$73,0),MATCH('TS DTech'!$B70&amp;AG$7,AGR!$E$46:$L$46&amp;AGR!$E$48:$L$48,0)),""))</f>
        <v/>
      </c>
      <c r="AH70" s="296" t="str">
        <f t="array" aca="1" ref="AH70" ca="1">IF($A70="*","",IFERROR(INDEX(AGR!$E$52:$L$73,MATCH('TS DTech'!$C70,AGR!$B$52:$B$73,0),MATCH('TS DTech'!$B70&amp;AH$7,AGR!$E$46:$L$46&amp;AGR!$E$48:$L$48,0)),""))</f>
        <v/>
      </c>
      <c r="AI70" s="296" t="str">
        <f t="array" aca="1" ref="AI70" ca="1">IF($A70="*","",IFERROR(INDEX(AGR!$E$52:$L$73,MATCH('TS DTech'!$C70,AGR!$B$52:$B$73,0),MATCH('TS DTech'!$B70&amp;AI$7,AGR!$E$46:$L$46&amp;AGR!$E$48:$L$48,0)),""))</f>
        <v/>
      </c>
      <c r="AJ70" s="296" t="str">
        <f t="array" aca="1" ref="AJ70" ca="1">IF($A70="*","",IFERROR(INDEX(AGR!$E$52:$L$73,MATCH('TS DTech'!$C70,AGR!$B$52:$B$73,0),MATCH('TS DTech'!$B70&amp;AJ$7,AGR!$E$46:$L$46&amp;AGR!$E$48:$L$48,0)),""))</f>
        <v/>
      </c>
      <c r="AK70" s="296" t="str">
        <f t="array" aca="1" ref="AK70" ca="1">IF($A70="*","",IFERROR(INDEX(AGR!$E$52:$L$73,MATCH('TS DTech'!$C70,AGR!$B$52:$B$73,0),MATCH('TS DTech'!$B70&amp;AK$7,AGR!$E$46:$L$46&amp;AGR!$E$48:$L$48,0)),""))</f>
        <v/>
      </c>
      <c r="AL70" s="296" t="str">
        <f t="array" aca="1" ref="AL70" ca="1">IF($A70="*","",IFERROR(INDEX(AGR!$E$52:$L$73,MATCH('TS DTech'!$C70,AGR!$B$52:$B$73,0),MATCH('TS DTech'!$B70&amp;AL$7,AGR!$E$46:$L$46&amp;AGR!$E$48:$L$48,0)),""))</f>
        <v/>
      </c>
      <c r="AM70" s="296" t="str">
        <f t="array" aca="1" ref="AM70" ca="1">IF($A70="*","",IFERROR(INDEX(AGR!$E$52:$L$73,MATCH('TS DTech'!$C70,AGR!$B$52:$B$73,0),MATCH('TS DTech'!$B70&amp;AM$7,AGR!$E$46:$L$46&amp;AGR!$E$48:$L$48,0)),""))</f>
        <v/>
      </c>
      <c r="AN70" s="296" t="str">
        <f t="array" aca="1" ref="AN70" ca="1">IF($A70="*","",IFERROR(INDEX(AGR!$E$52:$L$73,MATCH('TS DTech'!$C70,AGR!$B$52:$B$73,0),MATCH('TS DTech'!$B70&amp;AN$7,AGR!$E$46:$L$46&amp;AGR!$E$48:$L$48,0)),""))</f>
        <v/>
      </c>
      <c r="AO70" s="296" t="str">
        <f t="array" aca="1" ref="AO70" ca="1">IF($A70="*","",IFERROR(INDEX(AGR!$E$52:$L$73,MATCH('TS DTech'!$C70,AGR!$B$52:$B$73,0),MATCH('TS DTech'!$B70&amp;AO$7,AGR!$E$46:$L$46&amp;AGR!$E$48:$L$48,0)),""))</f>
        <v/>
      </c>
      <c r="AP70" s="296" t="str">
        <f t="array" aca="1" ref="AP70" ca="1">IF($A70="*","",IFERROR(INDEX(AGR!$E$52:$L$73,MATCH('TS DTech'!$C70,AGR!$B$52:$B$73,0),MATCH('TS DTech'!$B70&amp;AP$7,AGR!$E$46:$L$46&amp;AGR!$E$48:$L$48,0)),""))</f>
        <v/>
      </c>
      <c r="AQ70" s="137">
        <f>IF(AR69=AGR!$AD$74,AQ69+1,AQ69)</f>
        <v>3</v>
      </c>
      <c r="AR70" s="137">
        <f t="shared" si="3"/>
        <v>9</v>
      </c>
    </row>
    <row r="71" spans="1:44">
      <c r="A71" s="137" t="str">
        <f ca="1">IF(LEFT(OFFSET(AGR!$A$51,AR71,0),2)="\I","*","")</f>
        <v>*</v>
      </c>
      <c r="B71" s="212" t="str">
        <f t="shared" ca="1" si="4"/>
        <v/>
      </c>
      <c r="C71" s="212" t="str">
        <f ca="1">IF($A71="*","",OFFSET(AGR!$B$51,AR71,0))</f>
        <v/>
      </c>
      <c r="D71" s="212" t="str">
        <f t="shared" ca="1" si="6"/>
        <v/>
      </c>
      <c r="E71" s="212" t="str">
        <f t="shared" ca="1" si="6"/>
        <v/>
      </c>
      <c r="F71" s="212" t="str">
        <f t="shared" ca="1" si="6"/>
        <v/>
      </c>
      <c r="G71" s="212" t="str">
        <f t="shared" ca="1" si="6"/>
        <v/>
      </c>
      <c r="H71" s="212" t="str">
        <f t="shared" ca="1" si="6"/>
        <v/>
      </c>
      <c r="I71" s="213" t="str">
        <f t="shared" ca="1" si="6"/>
        <v/>
      </c>
      <c r="J71" s="296" t="str">
        <f t="array" aca="1" ref="J71" ca="1">IF($A71="*","",IFERROR(INDEX(AGR!$E$52:$L$73,MATCH('TS DTech'!$C71,AGR!$B$52:$B$73,0),MATCH('TS DTech'!$B71&amp;J$7,AGR!$E$46:$L$46&amp;AGR!$E$48:$L$48,0)),""))</f>
        <v/>
      </c>
      <c r="K71" s="296" t="str">
        <f t="array" aca="1" ref="K71" ca="1">IF($A71="*","",IFERROR(INDEX(AGR!$E$52:$L$73,MATCH('TS DTech'!$C71,AGR!$B$52:$B$73,0),MATCH('TS DTech'!$B71&amp;K$7,AGR!$E$46:$L$46&amp;AGR!$E$48:$L$48,0)),""))</f>
        <v/>
      </c>
      <c r="L71" s="296" t="str">
        <f t="array" aca="1" ref="L71" ca="1">IF($A71="*","",IFERROR(INDEX(AGR!$E$52:$L$73,MATCH('TS DTech'!$C71,AGR!$B$52:$B$73,0),MATCH('TS DTech'!$B71&amp;L$7,AGR!$E$46:$L$46&amp;AGR!$E$48:$L$48,0)),""))</f>
        <v/>
      </c>
      <c r="M71" s="296" t="str">
        <f t="array" aca="1" ref="M71" ca="1">IF($A71="*","",IFERROR(INDEX(AGR!$E$52:$L$73,MATCH('TS DTech'!$C71,AGR!$B$52:$B$73,0),MATCH('TS DTech'!$B71&amp;M$7,AGR!$E$46:$L$46&amp;AGR!$E$48:$L$48,0)),""))</f>
        <v/>
      </c>
      <c r="N71" s="296" t="str">
        <f t="array" aca="1" ref="N71" ca="1">IF($A71="*","",IFERROR(INDEX(AGR!$E$52:$L$73,MATCH('TS DTech'!$C71,AGR!$B$52:$B$73,0),MATCH('TS DTech'!$B71&amp;N$7,AGR!$E$46:$L$46&amp;AGR!$E$48:$L$48,0)),""))</f>
        <v/>
      </c>
      <c r="O71" s="296" t="str">
        <f t="array" aca="1" ref="O71" ca="1">IF($A71="*","",IFERROR(INDEX(AGR!$E$52:$L$73,MATCH('TS DTech'!$C71,AGR!$B$52:$B$73,0),MATCH('TS DTech'!$B71&amp;O$7,AGR!$E$46:$L$46&amp;AGR!$E$48:$L$48,0)),""))</f>
        <v/>
      </c>
      <c r="P71" s="296" t="str">
        <f t="array" aca="1" ref="P71" ca="1">IF($A71="*","",IFERROR(INDEX(AGR!$E$52:$L$73,MATCH('TS DTech'!$C71,AGR!$B$52:$B$73,0),MATCH('TS DTech'!$B71&amp;P$7,AGR!$E$46:$L$46&amp;AGR!$E$48:$L$48,0)),""))</f>
        <v/>
      </c>
      <c r="Q71" s="296" t="str">
        <f t="array" aca="1" ref="Q71" ca="1">IF($A71="*","",IFERROR(INDEX(AGR!$E$52:$L$73,MATCH('TS DTech'!$C71,AGR!$B$52:$B$73,0),MATCH('TS DTech'!$B71&amp;Q$7,AGR!$E$46:$L$46&amp;AGR!$E$48:$L$48,0)),""))</f>
        <v/>
      </c>
      <c r="R71" s="296" t="str">
        <f t="array" aca="1" ref="R71" ca="1">IF($A71="*","",IFERROR(INDEX(AGR!$E$52:$L$73,MATCH('TS DTech'!$C71,AGR!$B$52:$B$73,0),MATCH('TS DTech'!$B71&amp;R$7,AGR!$E$46:$L$46&amp;AGR!$E$48:$L$48,0)),""))</f>
        <v/>
      </c>
      <c r="S71" s="296" t="str">
        <f t="array" aca="1" ref="S71" ca="1">IF($A71="*","",IFERROR(INDEX(AGR!$E$52:$L$73,MATCH('TS DTech'!$C71,AGR!$B$52:$B$73,0),MATCH('TS DTech'!$B71&amp;S$7,AGR!$E$46:$L$46&amp;AGR!$E$48:$L$48,0)),""))</f>
        <v/>
      </c>
      <c r="T71" s="296" t="str">
        <f t="array" aca="1" ref="T71" ca="1">IF($A71="*","",IFERROR(INDEX(AGR!$E$52:$L$73,MATCH('TS DTech'!$C71,AGR!$B$52:$B$73,0),MATCH('TS DTech'!$B71&amp;T$7,AGR!$E$46:$L$46&amp;AGR!$E$48:$L$48,0)),""))</f>
        <v/>
      </c>
      <c r="U71" s="296" t="str">
        <f t="array" aca="1" ref="U71" ca="1">IF($A71="*","",IFERROR(INDEX(AGR!$E$52:$L$73,MATCH('TS DTech'!$C71,AGR!$B$52:$B$73,0),MATCH('TS DTech'!$B71&amp;U$7,AGR!$E$46:$L$46&amp;AGR!$E$48:$L$48,0)),""))</f>
        <v/>
      </c>
      <c r="V71" s="296" t="str">
        <f t="array" aca="1" ref="V71" ca="1">IF($A71="*","",IFERROR(INDEX(AGR!$E$52:$L$73,MATCH('TS DTech'!$C71,AGR!$B$52:$B$73,0),MATCH('TS DTech'!$B71&amp;V$7,AGR!$E$46:$L$46&amp;AGR!$E$48:$L$48,0)),""))</f>
        <v/>
      </c>
      <c r="W71" s="296" t="str">
        <f t="array" aca="1" ref="W71" ca="1">IF($A71="*","",IFERROR(INDEX(AGR!$E$52:$L$73,MATCH('TS DTech'!$C71,AGR!$B$52:$B$73,0),MATCH('TS DTech'!$B71&amp;W$7,AGR!$E$46:$L$46&amp;AGR!$E$48:$L$48,0)),""))</f>
        <v/>
      </c>
      <c r="X71" s="296" t="str">
        <f t="array" aca="1" ref="X71" ca="1">IF($A71="*","",IFERROR(INDEX(AGR!$E$52:$L$73,MATCH('TS DTech'!$C71,AGR!$B$52:$B$73,0),MATCH('TS DTech'!$B71&amp;X$7,AGR!$E$46:$L$46&amp;AGR!$E$48:$L$48,0)),""))</f>
        <v/>
      </c>
      <c r="Y71" s="296" t="str">
        <f t="array" aca="1" ref="Y71" ca="1">IF($A71="*","",IFERROR(INDEX(AGR!$E$52:$L$73,MATCH('TS DTech'!$C71,AGR!$B$52:$B$73,0),MATCH('TS DTech'!$B71&amp;Y$7,AGR!$E$46:$L$46&amp;AGR!$E$48:$L$48,0)),""))</f>
        <v/>
      </c>
      <c r="Z71" s="296" t="str">
        <f t="array" aca="1" ref="Z71" ca="1">IF($A71="*","",IFERROR(INDEX(AGR!$E$52:$L$73,MATCH('TS DTech'!$C71,AGR!$B$52:$B$73,0),MATCH('TS DTech'!$B71&amp;Z$7,AGR!$E$46:$L$46&amp;AGR!$E$48:$L$48,0)),""))</f>
        <v/>
      </c>
      <c r="AA71" s="296" t="str">
        <f t="array" aca="1" ref="AA71" ca="1">IF($A71="*","",IFERROR(INDEX(AGR!$E$52:$L$73,MATCH('TS DTech'!$C71,AGR!$B$52:$B$73,0),MATCH('TS DTech'!$B71&amp;AA$7,AGR!$E$46:$L$46&amp;AGR!$E$48:$L$48,0)),""))</f>
        <v/>
      </c>
      <c r="AB71" s="296" t="str">
        <f t="array" aca="1" ref="AB71" ca="1">IF($A71="*","",IFERROR(INDEX(AGR!$E$52:$L$73,MATCH('TS DTech'!$C71,AGR!$B$52:$B$73,0),MATCH('TS DTech'!$B71&amp;AB$7,AGR!$E$46:$L$46&amp;AGR!$E$48:$L$48,0)),""))</f>
        <v/>
      </c>
      <c r="AC71" s="296" t="str">
        <f t="array" aca="1" ref="AC71" ca="1">IF($A71="*","",IFERROR(INDEX(AGR!$E$52:$L$73,MATCH('TS DTech'!$C71,AGR!$B$52:$B$73,0),MATCH('TS DTech'!$B71&amp;AC$7,AGR!$E$46:$L$46&amp;AGR!$E$48:$L$48,0)),""))</f>
        <v/>
      </c>
      <c r="AD71" s="296" t="str">
        <f t="array" aca="1" ref="AD71" ca="1">IF($A71="*","",IFERROR(INDEX(AGR!$E$52:$L$73,MATCH('TS DTech'!$C71,AGR!$B$52:$B$73,0),MATCH('TS DTech'!$B71&amp;AD$7,AGR!$E$46:$L$46&amp;AGR!$E$48:$L$48,0)),""))</f>
        <v/>
      </c>
      <c r="AE71" s="296" t="str">
        <f t="array" aca="1" ref="AE71" ca="1">IF($A71="*","",IFERROR(INDEX(AGR!$E$52:$L$73,MATCH('TS DTech'!$C71,AGR!$B$52:$B$73,0),MATCH('TS DTech'!$B71&amp;AE$7,AGR!$E$46:$L$46&amp;AGR!$E$48:$L$48,0)),""))</f>
        <v/>
      </c>
      <c r="AF71" s="296" t="str">
        <f t="array" aca="1" ref="AF71" ca="1">IF($A71="*","",IFERROR(INDEX(AGR!$E$52:$L$73,MATCH('TS DTech'!$C71,AGR!$B$52:$B$73,0),MATCH('TS DTech'!$B71&amp;AF$7,AGR!$E$46:$L$46&amp;AGR!$E$48:$L$48,0)),""))</f>
        <v/>
      </c>
      <c r="AG71" s="296" t="str">
        <f t="array" aca="1" ref="AG71" ca="1">IF($A71="*","",IFERROR(INDEX(AGR!$E$52:$L$73,MATCH('TS DTech'!$C71,AGR!$B$52:$B$73,0),MATCH('TS DTech'!$B71&amp;AG$7,AGR!$E$46:$L$46&amp;AGR!$E$48:$L$48,0)),""))</f>
        <v/>
      </c>
      <c r="AH71" s="296" t="str">
        <f t="array" aca="1" ref="AH71" ca="1">IF($A71="*","",IFERROR(INDEX(AGR!$E$52:$L$73,MATCH('TS DTech'!$C71,AGR!$B$52:$B$73,0),MATCH('TS DTech'!$B71&amp;AH$7,AGR!$E$46:$L$46&amp;AGR!$E$48:$L$48,0)),""))</f>
        <v/>
      </c>
      <c r="AI71" s="296" t="str">
        <f t="array" aca="1" ref="AI71" ca="1">IF($A71="*","",IFERROR(INDEX(AGR!$E$52:$L$73,MATCH('TS DTech'!$C71,AGR!$B$52:$B$73,0),MATCH('TS DTech'!$B71&amp;AI$7,AGR!$E$46:$L$46&amp;AGR!$E$48:$L$48,0)),""))</f>
        <v/>
      </c>
      <c r="AJ71" s="296" t="str">
        <f t="array" aca="1" ref="AJ71" ca="1">IF($A71="*","",IFERROR(INDEX(AGR!$E$52:$L$73,MATCH('TS DTech'!$C71,AGR!$B$52:$B$73,0),MATCH('TS DTech'!$B71&amp;AJ$7,AGR!$E$46:$L$46&amp;AGR!$E$48:$L$48,0)),""))</f>
        <v/>
      </c>
      <c r="AK71" s="296" t="str">
        <f t="array" aca="1" ref="AK71" ca="1">IF($A71="*","",IFERROR(INDEX(AGR!$E$52:$L$73,MATCH('TS DTech'!$C71,AGR!$B$52:$B$73,0),MATCH('TS DTech'!$B71&amp;AK$7,AGR!$E$46:$L$46&amp;AGR!$E$48:$L$48,0)),""))</f>
        <v/>
      </c>
      <c r="AL71" s="296" t="str">
        <f t="array" aca="1" ref="AL71" ca="1">IF($A71="*","",IFERROR(INDEX(AGR!$E$52:$L$73,MATCH('TS DTech'!$C71,AGR!$B$52:$B$73,0),MATCH('TS DTech'!$B71&amp;AL$7,AGR!$E$46:$L$46&amp;AGR!$E$48:$L$48,0)),""))</f>
        <v/>
      </c>
      <c r="AM71" s="296" t="str">
        <f t="array" aca="1" ref="AM71" ca="1">IF($A71="*","",IFERROR(INDEX(AGR!$E$52:$L$73,MATCH('TS DTech'!$C71,AGR!$B$52:$B$73,0),MATCH('TS DTech'!$B71&amp;AM$7,AGR!$E$46:$L$46&amp;AGR!$E$48:$L$48,0)),""))</f>
        <v/>
      </c>
      <c r="AN71" s="296" t="str">
        <f t="array" aca="1" ref="AN71" ca="1">IF($A71="*","",IFERROR(INDEX(AGR!$E$52:$L$73,MATCH('TS DTech'!$C71,AGR!$B$52:$B$73,0),MATCH('TS DTech'!$B71&amp;AN$7,AGR!$E$46:$L$46&amp;AGR!$E$48:$L$48,0)),""))</f>
        <v/>
      </c>
      <c r="AO71" s="296" t="str">
        <f t="array" aca="1" ref="AO71" ca="1">IF($A71="*","",IFERROR(INDEX(AGR!$E$52:$L$73,MATCH('TS DTech'!$C71,AGR!$B$52:$B$73,0),MATCH('TS DTech'!$B71&amp;AO$7,AGR!$E$46:$L$46&amp;AGR!$E$48:$L$48,0)),""))</f>
        <v/>
      </c>
      <c r="AP71" s="296" t="str">
        <f t="array" aca="1" ref="AP71" ca="1">IF($A71="*","",IFERROR(INDEX(AGR!$E$52:$L$73,MATCH('TS DTech'!$C71,AGR!$B$52:$B$73,0),MATCH('TS DTech'!$B71&amp;AP$7,AGR!$E$46:$L$46&amp;AGR!$E$48:$L$48,0)),""))</f>
        <v/>
      </c>
      <c r="AQ71" s="137">
        <f>IF(AR70=AGR!$AD$74,AQ70+1,AQ70)</f>
        <v>3</v>
      </c>
      <c r="AR71" s="137">
        <f t="shared" si="3"/>
        <v>10</v>
      </c>
    </row>
    <row r="72" spans="1:44">
      <c r="A72" s="137" t="str">
        <f ca="1">IF(LEFT(OFFSET(AGR!$A$51,AR72,0),2)="\I","*","")</f>
        <v/>
      </c>
      <c r="B72" s="212" t="str">
        <f t="shared" ca="1" si="4"/>
        <v>NCAP_BND</v>
      </c>
      <c r="C72" s="212" t="str">
        <f ca="1">IF($A72="*","",OFFSET(AGR!$B$51,AR72,0))</f>
        <v>ATODS-E</v>
      </c>
      <c r="D72" s="212" t="str">
        <f t="shared" ca="1" si="6"/>
        <v>-</v>
      </c>
      <c r="E72" s="212" t="str">
        <f t="shared" ca="1" si="6"/>
        <v>-</v>
      </c>
      <c r="F72" s="212" t="str">
        <f t="shared" ca="1" si="6"/>
        <v>-</v>
      </c>
      <c r="G72" s="212" t="str">
        <f t="shared" ca="1" si="6"/>
        <v>-</v>
      </c>
      <c r="H72" s="212" t="str">
        <f t="shared" ca="1" si="6"/>
        <v>UP</v>
      </c>
      <c r="I72" s="213">
        <f t="shared" ca="1" si="6"/>
        <v>3</v>
      </c>
      <c r="J72" s="296" t="str">
        <f t="array" aca="1" ref="J72" ca="1">IF($A72="*","",IFERROR(INDEX(AGR!$E$52:$L$73,MATCH('TS DTech'!$C72,AGR!$B$52:$B$73,0),MATCH('TS DTech'!$B72&amp;J$7,AGR!$E$46:$L$46&amp;AGR!$E$48:$L$48,0)),""))</f>
        <v/>
      </c>
      <c r="K72" s="296" t="str">
        <f t="array" aca="1" ref="K72" ca="1">IF($A72="*","",IFERROR(INDEX(AGR!$E$52:$L$73,MATCH('TS DTech'!$C72,AGR!$B$52:$B$73,0),MATCH('TS DTech'!$B72&amp;K$7,AGR!$E$46:$L$46&amp;AGR!$E$48:$L$48,0)),""))</f>
        <v/>
      </c>
      <c r="L72" s="296" t="str">
        <f t="array" aca="1" ref="L72" ca="1">IF($A72="*","",IFERROR(INDEX(AGR!$E$52:$L$73,MATCH('TS DTech'!$C72,AGR!$B$52:$B$73,0),MATCH('TS DTech'!$B72&amp;L$7,AGR!$E$46:$L$46&amp;AGR!$E$48:$L$48,0)),""))</f>
        <v/>
      </c>
      <c r="M72" s="296" t="str">
        <f t="array" aca="1" ref="M72" ca="1">IF($A72="*","",IFERROR(INDEX(AGR!$E$52:$L$73,MATCH('TS DTech'!$C72,AGR!$B$52:$B$73,0),MATCH('TS DTech'!$B72&amp;M$7,AGR!$E$46:$L$46&amp;AGR!$E$48:$L$48,0)),""))</f>
        <v/>
      </c>
      <c r="N72" s="296" t="str">
        <f t="array" aca="1" ref="N72" ca="1">IF($A72="*","",IFERROR(INDEX(AGR!$E$52:$L$73,MATCH('TS DTech'!$C72,AGR!$B$52:$B$73,0),MATCH('TS DTech'!$B72&amp;N$7,AGR!$E$46:$L$46&amp;AGR!$E$48:$L$48,0)),""))</f>
        <v/>
      </c>
      <c r="O72" s="296" t="str">
        <f t="array" aca="1" ref="O72" ca="1">IF($A72="*","",IFERROR(INDEX(AGR!$E$52:$L$73,MATCH('TS DTech'!$C72,AGR!$B$52:$B$73,0),MATCH('TS DTech'!$B72&amp;O$7,AGR!$E$46:$L$46&amp;AGR!$E$48:$L$48,0)),""))</f>
        <v/>
      </c>
      <c r="P72" s="296" t="str">
        <f t="array" aca="1" ref="P72" ca="1">IF($A72="*","",IFERROR(INDEX(AGR!$E$52:$L$73,MATCH('TS DTech'!$C72,AGR!$B$52:$B$73,0),MATCH('TS DTech'!$B72&amp;P$7,AGR!$E$46:$L$46&amp;AGR!$E$48:$L$48,0)),""))</f>
        <v/>
      </c>
      <c r="Q72" s="296" t="str">
        <f t="array" aca="1" ref="Q72" ca="1">IF($A72="*","",IFERROR(INDEX(AGR!$E$52:$L$73,MATCH('TS DTech'!$C72,AGR!$B$52:$B$73,0),MATCH('TS DTech'!$B72&amp;Q$7,AGR!$E$46:$L$46&amp;AGR!$E$48:$L$48,0)),""))</f>
        <v/>
      </c>
      <c r="R72" s="296" t="str">
        <f t="array" aca="1" ref="R72" ca="1">IF($A72="*","",IFERROR(INDEX(AGR!$E$52:$L$73,MATCH('TS DTech'!$C72,AGR!$B$52:$B$73,0),MATCH('TS DTech'!$B72&amp;R$7,AGR!$E$46:$L$46&amp;AGR!$E$48:$L$48,0)),""))</f>
        <v/>
      </c>
      <c r="S72" s="296" t="str">
        <f t="array" aca="1" ref="S72" ca="1">IF($A72="*","",IFERROR(INDEX(AGR!$E$52:$L$73,MATCH('TS DTech'!$C72,AGR!$B$52:$B$73,0),MATCH('TS DTech'!$B72&amp;S$7,AGR!$E$46:$L$46&amp;AGR!$E$48:$L$48,0)),""))</f>
        <v/>
      </c>
      <c r="T72" s="296" t="str">
        <f t="array" aca="1" ref="T72" ca="1">IF($A72="*","",IFERROR(INDEX(AGR!$E$52:$L$73,MATCH('TS DTech'!$C72,AGR!$B$52:$B$73,0),MATCH('TS DTech'!$B72&amp;T$7,AGR!$E$46:$L$46&amp;AGR!$E$48:$L$48,0)),""))</f>
        <v/>
      </c>
      <c r="U72" s="296" t="str">
        <f t="array" aca="1" ref="U72" ca="1">IF($A72="*","",IFERROR(INDEX(AGR!$E$52:$L$73,MATCH('TS DTech'!$C72,AGR!$B$52:$B$73,0),MATCH('TS DTech'!$B72&amp;U$7,AGR!$E$46:$L$46&amp;AGR!$E$48:$L$48,0)),""))</f>
        <v/>
      </c>
      <c r="V72" s="296" t="str">
        <f t="array" aca="1" ref="V72" ca="1">IF($A72="*","",IFERROR(INDEX(AGR!$E$52:$L$73,MATCH('TS DTech'!$C72,AGR!$B$52:$B$73,0),MATCH('TS DTech'!$B72&amp;V$7,AGR!$E$46:$L$46&amp;AGR!$E$48:$L$48,0)),""))</f>
        <v/>
      </c>
      <c r="W72" s="296" t="str">
        <f t="array" aca="1" ref="W72" ca="1">IF($A72="*","",IFERROR(INDEX(AGR!$E$52:$L$73,MATCH('TS DTech'!$C72,AGR!$B$52:$B$73,0),MATCH('TS DTech'!$B72&amp;W$7,AGR!$E$46:$L$46&amp;AGR!$E$48:$L$48,0)),""))</f>
        <v/>
      </c>
      <c r="X72" s="296" t="str">
        <f t="array" aca="1" ref="X72" ca="1">IF($A72="*","",IFERROR(INDEX(AGR!$E$52:$L$73,MATCH('TS DTech'!$C72,AGR!$B$52:$B$73,0),MATCH('TS DTech'!$B72&amp;X$7,AGR!$E$46:$L$46&amp;AGR!$E$48:$L$48,0)),""))</f>
        <v/>
      </c>
      <c r="Y72" s="296" t="str">
        <f t="array" aca="1" ref="Y72" ca="1">IF($A72="*","",IFERROR(INDEX(AGR!$E$52:$L$73,MATCH('TS DTech'!$C72,AGR!$B$52:$B$73,0),MATCH('TS DTech'!$B72&amp;Y$7,AGR!$E$46:$L$46&amp;AGR!$E$48:$L$48,0)),""))</f>
        <v/>
      </c>
      <c r="Z72" s="296" t="str">
        <f t="array" aca="1" ref="Z72" ca="1">IF($A72="*","",IFERROR(INDEX(AGR!$E$52:$L$73,MATCH('TS DTech'!$C72,AGR!$B$52:$B$73,0),MATCH('TS DTech'!$B72&amp;Z$7,AGR!$E$46:$L$46&amp;AGR!$E$48:$L$48,0)),""))</f>
        <v/>
      </c>
      <c r="AA72" s="296" t="str">
        <f t="array" aca="1" ref="AA72" ca="1">IF($A72="*","",IFERROR(INDEX(AGR!$E$52:$L$73,MATCH('TS DTech'!$C72,AGR!$B$52:$B$73,0),MATCH('TS DTech'!$B72&amp;AA$7,AGR!$E$46:$L$46&amp;AGR!$E$48:$L$48,0)),""))</f>
        <v/>
      </c>
      <c r="AB72" s="296" t="str">
        <f t="array" aca="1" ref="AB72" ca="1">IF($A72="*","",IFERROR(INDEX(AGR!$E$52:$L$73,MATCH('TS DTech'!$C72,AGR!$B$52:$B$73,0),MATCH('TS DTech'!$B72&amp;AB$7,AGR!$E$46:$L$46&amp;AGR!$E$48:$L$48,0)),""))</f>
        <v/>
      </c>
      <c r="AC72" s="296" t="str">
        <f t="array" aca="1" ref="AC72" ca="1">IF($A72="*","",IFERROR(INDEX(AGR!$E$52:$L$73,MATCH('TS DTech'!$C72,AGR!$B$52:$B$73,0),MATCH('TS DTech'!$B72&amp;AC$7,AGR!$E$46:$L$46&amp;AGR!$E$48:$L$48,0)),""))</f>
        <v/>
      </c>
      <c r="AD72" s="296" t="str">
        <f t="array" aca="1" ref="AD72" ca="1">IF($A72="*","",IFERROR(INDEX(AGR!$E$52:$L$73,MATCH('TS DTech'!$C72,AGR!$B$52:$B$73,0),MATCH('TS DTech'!$B72&amp;AD$7,AGR!$E$46:$L$46&amp;AGR!$E$48:$L$48,0)),""))</f>
        <v/>
      </c>
      <c r="AE72" s="296" t="str">
        <f t="array" aca="1" ref="AE72" ca="1">IF($A72="*","",IFERROR(INDEX(AGR!$E$52:$L$73,MATCH('TS DTech'!$C72,AGR!$B$52:$B$73,0),MATCH('TS DTech'!$B72&amp;AE$7,AGR!$E$46:$L$46&amp;AGR!$E$48:$L$48,0)),""))</f>
        <v/>
      </c>
      <c r="AF72" s="296" t="str">
        <f t="array" aca="1" ref="AF72" ca="1">IF($A72="*","",IFERROR(INDEX(AGR!$E$52:$L$73,MATCH('TS DTech'!$C72,AGR!$B$52:$B$73,0),MATCH('TS DTech'!$B72&amp;AF$7,AGR!$E$46:$L$46&amp;AGR!$E$48:$L$48,0)),""))</f>
        <v/>
      </c>
      <c r="AG72" s="296" t="str">
        <f t="array" aca="1" ref="AG72" ca="1">IF($A72="*","",IFERROR(INDEX(AGR!$E$52:$L$73,MATCH('TS DTech'!$C72,AGR!$B$52:$B$73,0),MATCH('TS DTech'!$B72&amp;AG$7,AGR!$E$46:$L$46&amp;AGR!$E$48:$L$48,0)),""))</f>
        <v/>
      </c>
      <c r="AH72" s="296" t="str">
        <f t="array" aca="1" ref="AH72" ca="1">IF($A72="*","",IFERROR(INDEX(AGR!$E$52:$L$73,MATCH('TS DTech'!$C72,AGR!$B$52:$B$73,0),MATCH('TS DTech'!$B72&amp;AH$7,AGR!$E$46:$L$46&amp;AGR!$E$48:$L$48,0)),""))</f>
        <v/>
      </c>
      <c r="AI72" s="296" t="str">
        <f t="array" aca="1" ref="AI72" ca="1">IF($A72="*","",IFERROR(INDEX(AGR!$E$52:$L$73,MATCH('TS DTech'!$C72,AGR!$B$52:$B$73,0),MATCH('TS DTech'!$B72&amp;AI$7,AGR!$E$46:$L$46&amp;AGR!$E$48:$L$48,0)),""))</f>
        <v/>
      </c>
      <c r="AJ72" s="296" t="str">
        <f t="array" aca="1" ref="AJ72" ca="1">IF($A72="*","",IFERROR(INDEX(AGR!$E$52:$L$73,MATCH('TS DTech'!$C72,AGR!$B$52:$B$73,0),MATCH('TS DTech'!$B72&amp;AJ$7,AGR!$E$46:$L$46&amp;AGR!$E$48:$L$48,0)),""))</f>
        <v/>
      </c>
      <c r="AK72" s="296" t="str">
        <f t="array" aca="1" ref="AK72" ca="1">IF($A72="*","",IFERROR(INDEX(AGR!$E$52:$L$73,MATCH('TS DTech'!$C72,AGR!$B$52:$B$73,0),MATCH('TS DTech'!$B72&amp;AK$7,AGR!$E$46:$L$46&amp;AGR!$E$48:$L$48,0)),""))</f>
        <v/>
      </c>
      <c r="AL72" s="296" t="str">
        <f t="array" aca="1" ref="AL72" ca="1">IF($A72="*","",IFERROR(INDEX(AGR!$E$52:$L$73,MATCH('TS DTech'!$C72,AGR!$B$52:$B$73,0),MATCH('TS DTech'!$B72&amp;AL$7,AGR!$E$46:$L$46&amp;AGR!$E$48:$L$48,0)),""))</f>
        <v/>
      </c>
      <c r="AM72" s="296" t="str">
        <f t="array" aca="1" ref="AM72" ca="1">IF($A72="*","",IFERROR(INDEX(AGR!$E$52:$L$73,MATCH('TS DTech'!$C72,AGR!$B$52:$B$73,0),MATCH('TS DTech'!$B72&amp;AM$7,AGR!$E$46:$L$46&amp;AGR!$E$48:$L$48,0)),""))</f>
        <v/>
      </c>
      <c r="AN72" s="296" t="str">
        <f t="array" aca="1" ref="AN72" ca="1">IF($A72="*","",IFERROR(INDEX(AGR!$E$52:$L$73,MATCH('TS DTech'!$C72,AGR!$B$52:$B$73,0),MATCH('TS DTech'!$B72&amp;AN$7,AGR!$E$46:$L$46&amp;AGR!$E$48:$L$48,0)),""))</f>
        <v/>
      </c>
      <c r="AO72" s="296" t="str">
        <f t="array" aca="1" ref="AO72" ca="1">IF($A72="*","",IFERROR(INDEX(AGR!$E$52:$L$73,MATCH('TS DTech'!$C72,AGR!$B$52:$B$73,0),MATCH('TS DTech'!$B72&amp;AO$7,AGR!$E$46:$L$46&amp;AGR!$E$48:$L$48,0)),""))</f>
        <v/>
      </c>
      <c r="AP72" s="296" t="str">
        <f t="array" aca="1" ref="AP72" ca="1">IF($A72="*","",IFERROR(INDEX(AGR!$E$52:$L$73,MATCH('TS DTech'!$C72,AGR!$B$52:$B$73,0),MATCH('TS DTech'!$B72&amp;AP$7,AGR!$E$46:$L$46&amp;AGR!$E$48:$L$48,0)),""))</f>
        <v/>
      </c>
      <c r="AQ72" s="137">
        <f>IF(AR71=AGR!$AD$74,AQ71+1,AQ71)</f>
        <v>3</v>
      </c>
      <c r="AR72" s="137">
        <f t="shared" si="3"/>
        <v>11</v>
      </c>
    </row>
    <row r="73" spans="1:44">
      <c r="A73" s="137" t="str">
        <f ca="1">IF(LEFT(OFFSET(AGR!$A$51,AR73,0),2)="\I","*","")</f>
        <v/>
      </c>
      <c r="B73" s="212" t="str">
        <f t="shared" ca="1" si="4"/>
        <v>NCAP_BND</v>
      </c>
      <c r="C73" s="212" t="str">
        <f ca="1">IF($A73="*","",OFFSET(AGR!$B$51,AR73,0))</f>
        <v>ATELC-E</v>
      </c>
      <c r="D73" s="212" t="str">
        <f t="shared" ca="1" si="6"/>
        <v>-</v>
      </c>
      <c r="E73" s="212" t="str">
        <f t="shared" ca="1" si="6"/>
        <v>-</v>
      </c>
      <c r="F73" s="212" t="str">
        <f t="shared" ca="1" si="6"/>
        <v>-</v>
      </c>
      <c r="G73" s="212" t="str">
        <f t="shared" ca="1" si="6"/>
        <v>-</v>
      </c>
      <c r="H73" s="212" t="str">
        <f t="shared" ca="1" si="6"/>
        <v>UP</v>
      </c>
      <c r="I73" s="213">
        <f t="shared" ca="1" si="6"/>
        <v>3</v>
      </c>
      <c r="J73" s="296" t="str">
        <f t="array" aca="1" ref="J73" ca="1">IF($A73="*","",IFERROR(INDEX(AGR!$E$52:$L$73,MATCH('TS DTech'!$C73,AGR!$B$52:$B$73,0),MATCH('TS DTech'!$B73&amp;J$7,AGR!$E$46:$L$46&amp;AGR!$E$48:$L$48,0)),""))</f>
        <v/>
      </c>
      <c r="K73" s="296" t="str">
        <f t="array" aca="1" ref="K73" ca="1">IF($A73="*","",IFERROR(INDEX(AGR!$E$52:$L$73,MATCH('TS DTech'!$C73,AGR!$B$52:$B$73,0),MATCH('TS DTech'!$B73&amp;K$7,AGR!$E$46:$L$46&amp;AGR!$E$48:$L$48,0)),""))</f>
        <v/>
      </c>
      <c r="L73" s="296" t="str">
        <f t="array" aca="1" ref="L73" ca="1">IF($A73="*","",IFERROR(INDEX(AGR!$E$52:$L$73,MATCH('TS DTech'!$C73,AGR!$B$52:$B$73,0),MATCH('TS DTech'!$B73&amp;L$7,AGR!$E$46:$L$46&amp;AGR!$E$48:$L$48,0)),""))</f>
        <v/>
      </c>
      <c r="M73" s="296" t="str">
        <f t="array" aca="1" ref="M73" ca="1">IF($A73="*","",IFERROR(INDEX(AGR!$E$52:$L$73,MATCH('TS DTech'!$C73,AGR!$B$52:$B$73,0),MATCH('TS DTech'!$B73&amp;M$7,AGR!$E$46:$L$46&amp;AGR!$E$48:$L$48,0)),""))</f>
        <v/>
      </c>
      <c r="N73" s="296" t="str">
        <f t="array" aca="1" ref="N73" ca="1">IF($A73="*","",IFERROR(INDEX(AGR!$E$52:$L$73,MATCH('TS DTech'!$C73,AGR!$B$52:$B$73,0),MATCH('TS DTech'!$B73&amp;N$7,AGR!$E$46:$L$46&amp;AGR!$E$48:$L$48,0)),""))</f>
        <v/>
      </c>
      <c r="O73" s="296" t="str">
        <f t="array" aca="1" ref="O73" ca="1">IF($A73="*","",IFERROR(INDEX(AGR!$E$52:$L$73,MATCH('TS DTech'!$C73,AGR!$B$52:$B$73,0),MATCH('TS DTech'!$B73&amp;O$7,AGR!$E$46:$L$46&amp;AGR!$E$48:$L$48,0)),""))</f>
        <v/>
      </c>
      <c r="P73" s="296" t="str">
        <f t="array" aca="1" ref="P73" ca="1">IF($A73="*","",IFERROR(INDEX(AGR!$E$52:$L$73,MATCH('TS DTech'!$C73,AGR!$B$52:$B$73,0),MATCH('TS DTech'!$B73&amp;P$7,AGR!$E$46:$L$46&amp;AGR!$E$48:$L$48,0)),""))</f>
        <v/>
      </c>
      <c r="Q73" s="296" t="str">
        <f t="array" aca="1" ref="Q73" ca="1">IF($A73="*","",IFERROR(INDEX(AGR!$E$52:$L$73,MATCH('TS DTech'!$C73,AGR!$B$52:$B$73,0),MATCH('TS DTech'!$B73&amp;Q$7,AGR!$E$46:$L$46&amp;AGR!$E$48:$L$48,0)),""))</f>
        <v/>
      </c>
      <c r="R73" s="296" t="str">
        <f t="array" aca="1" ref="R73" ca="1">IF($A73="*","",IFERROR(INDEX(AGR!$E$52:$L$73,MATCH('TS DTech'!$C73,AGR!$B$52:$B$73,0),MATCH('TS DTech'!$B73&amp;R$7,AGR!$E$46:$L$46&amp;AGR!$E$48:$L$48,0)),""))</f>
        <v/>
      </c>
      <c r="S73" s="296" t="str">
        <f t="array" aca="1" ref="S73" ca="1">IF($A73="*","",IFERROR(INDEX(AGR!$E$52:$L$73,MATCH('TS DTech'!$C73,AGR!$B$52:$B$73,0),MATCH('TS DTech'!$B73&amp;S$7,AGR!$E$46:$L$46&amp;AGR!$E$48:$L$48,0)),""))</f>
        <v/>
      </c>
      <c r="T73" s="296" t="str">
        <f t="array" aca="1" ref="T73" ca="1">IF($A73="*","",IFERROR(INDEX(AGR!$E$52:$L$73,MATCH('TS DTech'!$C73,AGR!$B$52:$B$73,0),MATCH('TS DTech'!$B73&amp;T$7,AGR!$E$46:$L$46&amp;AGR!$E$48:$L$48,0)),""))</f>
        <v/>
      </c>
      <c r="U73" s="296" t="str">
        <f t="array" aca="1" ref="U73" ca="1">IF($A73="*","",IFERROR(INDEX(AGR!$E$52:$L$73,MATCH('TS DTech'!$C73,AGR!$B$52:$B$73,0),MATCH('TS DTech'!$B73&amp;U$7,AGR!$E$46:$L$46&amp;AGR!$E$48:$L$48,0)),""))</f>
        <v/>
      </c>
      <c r="V73" s="296" t="str">
        <f t="array" aca="1" ref="V73" ca="1">IF($A73="*","",IFERROR(INDEX(AGR!$E$52:$L$73,MATCH('TS DTech'!$C73,AGR!$B$52:$B$73,0),MATCH('TS DTech'!$B73&amp;V$7,AGR!$E$46:$L$46&amp;AGR!$E$48:$L$48,0)),""))</f>
        <v/>
      </c>
      <c r="W73" s="296" t="str">
        <f t="array" aca="1" ref="W73" ca="1">IF($A73="*","",IFERROR(INDEX(AGR!$E$52:$L$73,MATCH('TS DTech'!$C73,AGR!$B$52:$B$73,0),MATCH('TS DTech'!$B73&amp;W$7,AGR!$E$46:$L$46&amp;AGR!$E$48:$L$48,0)),""))</f>
        <v/>
      </c>
      <c r="X73" s="296" t="str">
        <f t="array" aca="1" ref="X73" ca="1">IF($A73="*","",IFERROR(INDEX(AGR!$E$52:$L$73,MATCH('TS DTech'!$C73,AGR!$B$52:$B$73,0),MATCH('TS DTech'!$B73&amp;X$7,AGR!$E$46:$L$46&amp;AGR!$E$48:$L$48,0)),""))</f>
        <v/>
      </c>
      <c r="Y73" s="296" t="str">
        <f t="array" aca="1" ref="Y73" ca="1">IF($A73="*","",IFERROR(INDEX(AGR!$E$52:$L$73,MATCH('TS DTech'!$C73,AGR!$B$52:$B$73,0),MATCH('TS DTech'!$B73&amp;Y$7,AGR!$E$46:$L$46&amp;AGR!$E$48:$L$48,0)),""))</f>
        <v/>
      </c>
      <c r="Z73" s="296" t="str">
        <f t="array" aca="1" ref="Z73" ca="1">IF($A73="*","",IFERROR(INDEX(AGR!$E$52:$L$73,MATCH('TS DTech'!$C73,AGR!$B$52:$B$73,0),MATCH('TS DTech'!$B73&amp;Z$7,AGR!$E$46:$L$46&amp;AGR!$E$48:$L$48,0)),""))</f>
        <v/>
      </c>
      <c r="AA73" s="296" t="str">
        <f t="array" aca="1" ref="AA73" ca="1">IF($A73="*","",IFERROR(INDEX(AGR!$E$52:$L$73,MATCH('TS DTech'!$C73,AGR!$B$52:$B$73,0),MATCH('TS DTech'!$B73&amp;AA$7,AGR!$E$46:$L$46&amp;AGR!$E$48:$L$48,0)),""))</f>
        <v/>
      </c>
      <c r="AB73" s="296" t="str">
        <f t="array" aca="1" ref="AB73" ca="1">IF($A73="*","",IFERROR(INDEX(AGR!$E$52:$L$73,MATCH('TS DTech'!$C73,AGR!$B$52:$B$73,0),MATCH('TS DTech'!$B73&amp;AB$7,AGR!$E$46:$L$46&amp;AGR!$E$48:$L$48,0)),""))</f>
        <v/>
      </c>
      <c r="AC73" s="296" t="str">
        <f t="array" aca="1" ref="AC73" ca="1">IF($A73="*","",IFERROR(INDEX(AGR!$E$52:$L$73,MATCH('TS DTech'!$C73,AGR!$B$52:$B$73,0),MATCH('TS DTech'!$B73&amp;AC$7,AGR!$E$46:$L$46&amp;AGR!$E$48:$L$48,0)),""))</f>
        <v/>
      </c>
      <c r="AD73" s="296" t="str">
        <f t="array" aca="1" ref="AD73" ca="1">IF($A73="*","",IFERROR(INDEX(AGR!$E$52:$L$73,MATCH('TS DTech'!$C73,AGR!$B$52:$B$73,0),MATCH('TS DTech'!$B73&amp;AD$7,AGR!$E$46:$L$46&amp;AGR!$E$48:$L$48,0)),""))</f>
        <v/>
      </c>
      <c r="AE73" s="296" t="str">
        <f t="array" aca="1" ref="AE73" ca="1">IF($A73="*","",IFERROR(INDEX(AGR!$E$52:$L$73,MATCH('TS DTech'!$C73,AGR!$B$52:$B$73,0),MATCH('TS DTech'!$B73&amp;AE$7,AGR!$E$46:$L$46&amp;AGR!$E$48:$L$48,0)),""))</f>
        <v/>
      </c>
      <c r="AF73" s="296" t="str">
        <f t="array" aca="1" ref="AF73" ca="1">IF($A73="*","",IFERROR(INDEX(AGR!$E$52:$L$73,MATCH('TS DTech'!$C73,AGR!$B$52:$B$73,0),MATCH('TS DTech'!$B73&amp;AF$7,AGR!$E$46:$L$46&amp;AGR!$E$48:$L$48,0)),""))</f>
        <v/>
      </c>
      <c r="AG73" s="296" t="str">
        <f t="array" aca="1" ref="AG73" ca="1">IF($A73="*","",IFERROR(INDEX(AGR!$E$52:$L$73,MATCH('TS DTech'!$C73,AGR!$B$52:$B$73,0),MATCH('TS DTech'!$B73&amp;AG$7,AGR!$E$46:$L$46&amp;AGR!$E$48:$L$48,0)),""))</f>
        <v/>
      </c>
      <c r="AH73" s="296" t="str">
        <f t="array" aca="1" ref="AH73" ca="1">IF($A73="*","",IFERROR(INDEX(AGR!$E$52:$L$73,MATCH('TS DTech'!$C73,AGR!$B$52:$B$73,0),MATCH('TS DTech'!$B73&amp;AH$7,AGR!$E$46:$L$46&amp;AGR!$E$48:$L$48,0)),""))</f>
        <v/>
      </c>
      <c r="AI73" s="296" t="str">
        <f t="array" aca="1" ref="AI73" ca="1">IF($A73="*","",IFERROR(INDEX(AGR!$E$52:$L$73,MATCH('TS DTech'!$C73,AGR!$B$52:$B$73,0),MATCH('TS DTech'!$B73&amp;AI$7,AGR!$E$46:$L$46&amp;AGR!$E$48:$L$48,0)),""))</f>
        <v/>
      </c>
      <c r="AJ73" s="296" t="str">
        <f t="array" aca="1" ref="AJ73" ca="1">IF($A73="*","",IFERROR(INDEX(AGR!$E$52:$L$73,MATCH('TS DTech'!$C73,AGR!$B$52:$B$73,0),MATCH('TS DTech'!$B73&amp;AJ$7,AGR!$E$46:$L$46&amp;AGR!$E$48:$L$48,0)),""))</f>
        <v/>
      </c>
      <c r="AK73" s="296" t="str">
        <f t="array" aca="1" ref="AK73" ca="1">IF($A73="*","",IFERROR(INDEX(AGR!$E$52:$L$73,MATCH('TS DTech'!$C73,AGR!$B$52:$B$73,0),MATCH('TS DTech'!$B73&amp;AK$7,AGR!$E$46:$L$46&amp;AGR!$E$48:$L$48,0)),""))</f>
        <v/>
      </c>
      <c r="AL73" s="296" t="str">
        <f t="array" aca="1" ref="AL73" ca="1">IF($A73="*","",IFERROR(INDEX(AGR!$E$52:$L$73,MATCH('TS DTech'!$C73,AGR!$B$52:$B$73,0),MATCH('TS DTech'!$B73&amp;AL$7,AGR!$E$46:$L$46&amp;AGR!$E$48:$L$48,0)),""))</f>
        <v/>
      </c>
      <c r="AM73" s="296" t="str">
        <f t="array" aca="1" ref="AM73" ca="1">IF($A73="*","",IFERROR(INDEX(AGR!$E$52:$L$73,MATCH('TS DTech'!$C73,AGR!$B$52:$B$73,0),MATCH('TS DTech'!$B73&amp;AM$7,AGR!$E$46:$L$46&amp;AGR!$E$48:$L$48,0)),""))</f>
        <v/>
      </c>
      <c r="AN73" s="296" t="str">
        <f t="array" aca="1" ref="AN73" ca="1">IF($A73="*","",IFERROR(INDEX(AGR!$E$52:$L$73,MATCH('TS DTech'!$C73,AGR!$B$52:$B$73,0),MATCH('TS DTech'!$B73&amp;AN$7,AGR!$E$46:$L$46&amp;AGR!$E$48:$L$48,0)),""))</f>
        <v/>
      </c>
      <c r="AO73" s="296" t="str">
        <f t="array" aca="1" ref="AO73" ca="1">IF($A73="*","",IFERROR(INDEX(AGR!$E$52:$L$73,MATCH('TS DTech'!$C73,AGR!$B$52:$B$73,0),MATCH('TS DTech'!$B73&amp;AO$7,AGR!$E$46:$L$46&amp;AGR!$E$48:$L$48,0)),""))</f>
        <v/>
      </c>
      <c r="AP73" s="296" t="str">
        <f t="array" aca="1" ref="AP73" ca="1">IF($A73="*","",IFERROR(INDEX(AGR!$E$52:$L$73,MATCH('TS DTech'!$C73,AGR!$B$52:$B$73,0),MATCH('TS DTech'!$B73&amp;AP$7,AGR!$E$46:$L$46&amp;AGR!$E$48:$L$48,0)),""))</f>
        <v/>
      </c>
      <c r="AQ73" s="137">
        <f>IF(AR72=AGR!$AD$74,AQ72+1,AQ72)</f>
        <v>3</v>
      </c>
      <c r="AR73" s="137">
        <f t="shared" si="3"/>
        <v>12</v>
      </c>
    </row>
    <row r="74" spans="1:44">
      <c r="A74" s="137" t="str">
        <f ca="1">IF(LEFT(OFFSET(AGR!$A$51,AR74,0),2)="\I","*","")</f>
        <v/>
      </c>
      <c r="B74" s="212" t="str">
        <f t="shared" ca="1" si="4"/>
        <v>NCAP_BND</v>
      </c>
      <c r="C74" s="212" t="str">
        <f ca="1">IF($A74="*","",OFFSET(AGR!$B$51,AR74,0))</f>
        <v>ATOGS-E</v>
      </c>
      <c r="D74" s="212" t="str">
        <f t="shared" ca="1" si="6"/>
        <v>-</v>
      </c>
      <c r="E74" s="212" t="str">
        <f t="shared" ca="1" si="6"/>
        <v>-</v>
      </c>
      <c r="F74" s="212" t="str">
        <f t="shared" ca="1" si="6"/>
        <v>-</v>
      </c>
      <c r="G74" s="212" t="str">
        <f t="shared" ca="1" si="6"/>
        <v>-</v>
      </c>
      <c r="H74" s="212" t="str">
        <f t="shared" ca="1" si="6"/>
        <v>UP</v>
      </c>
      <c r="I74" s="213">
        <f t="shared" ca="1" si="6"/>
        <v>3</v>
      </c>
      <c r="J74" s="296" t="str">
        <f t="array" aca="1" ref="J74" ca="1">IF($A74="*","",IFERROR(INDEX(AGR!$E$52:$L$73,MATCH('TS DTech'!$C74,AGR!$B$52:$B$73,0),MATCH('TS DTech'!$B74&amp;J$7,AGR!$E$46:$L$46&amp;AGR!$E$48:$L$48,0)),""))</f>
        <v/>
      </c>
      <c r="K74" s="296" t="str">
        <f t="array" aca="1" ref="K74" ca="1">IF($A74="*","",IFERROR(INDEX(AGR!$E$52:$L$73,MATCH('TS DTech'!$C74,AGR!$B$52:$B$73,0),MATCH('TS DTech'!$B74&amp;K$7,AGR!$E$46:$L$46&amp;AGR!$E$48:$L$48,0)),""))</f>
        <v/>
      </c>
      <c r="L74" s="296" t="str">
        <f t="array" aca="1" ref="L74" ca="1">IF($A74="*","",IFERROR(INDEX(AGR!$E$52:$L$73,MATCH('TS DTech'!$C74,AGR!$B$52:$B$73,0),MATCH('TS DTech'!$B74&amp;L$7,AGR!$E$46:$L$46&amp;AGR!$E$48:$L$48,0)),""))</f>
        <v/>
      </c>
      <c r="M74" s="296" t="str">
        <f t="array" aca="1" ref="M74" ca="1">IF($A74="*","",IFERROR(INDEX(AGR!$E$52:$L$73,MATCH('TS DTech'!$C74,AGR!$B$52:$B$73,0),MATCH('TS DTech'!$B74&amp;M$7,AGR!$E$46:$L$46&amp;AGR!$E$48:$L$48,0)),""))</f>
        <v/>
      </c>
      <c r="N74" s="296" t="str">
        <f t="array" aca="1" ref="N74" ca="1">IF($A74="*","",IFERROR(INDEX(AGR!$E$52:$L$73,MATCH('TS DTech'!$C74,AGR!$B$52:$B$73,0),MATCH('TS DTech'!$B74&amp;N$7,AGR!$E$46:$L$46&amp;AGR!$E$48:$L$48,0)),""))</f>
        <v/>
      </c>
      <c r="O74" s="296" t="str">
        <f t="array" aca="1" ref="O74" ca="1">IF($A74="*","",IFERROR(INDEX(AGR!$E$52:$L$73,MATCH('TS DTech'!$C74,AGR!$B$52:$B$73,0),MATCH('TS DTech'!$B74&amp;O$7,AGR!$E$46:$L$46&amp;AGR!$E$48:$L$48,0)),""))</f>
        <v/>
      </c>
      <c r="P74" s="296" t="str">
        <f t="array" aca="1" ref="P74" ca="1">IF($A74="*","",IFERROR(INDEX(AGR!$E$52:$L$73,MATCH('TS DTech'!$C74,AGR!$B$52:$B$73,0),MATCH('TS DTech'!$B74&amp;P$7,AGR!$E$46:$L$46&amp;AGR!$E$48:$L$48,0)),""))</f>
        <v/>
      </c>
      <c r="Q74" s="296" t="str">
        <f t="array" aca="1" ref="Q74" ca="1">IF($A74="*","",IFERROR(INDEX(AGR!$E$52:$L$73,MATCH('TS DTech'!$C74,AGR!$B$52:$B$73,0),MATCH('TS DTech'!$B74&amp;Q$7,AGR!$E$46:$L$46&amp;AGR!$E$48:$L$48,0)),""))</f>
        <v/>
      </c>
      <c r="R74" s="296" t="str">
        <f t="array" aca="1" ref="R74" ca="1">IF($A74="*","",IFERROR(INDEX(AGR!$E$52:$L$73,MATCH('TS DTech'!$C74,AGR!$B$52:$B$73,0),MATCH('TS DTech'!$B74&amp;R$7,AGR!$E$46:$L$46&amp;AGR!$E$48:$L$48,0)),""))</f>
        <v/>
      </c>
      <c r="S74" s="296" t="str">
        <f t="array" aca="1" ref="S74" ca="1">IF($A74="*","",IFERROR(INDEX(AGR!$E$52:$L$73,MATCH('TS DTech'!$C74,AGR!$B$52:$B$73,0),MATCH('TS DTech'!$B74&amp;S$7,AGR!$E$46:$L$46&amp;AGR!$E$48:$L$48,0)),""))</f>
        <v/>
      </c>
      <c r="T74" s="296" t="str">
        <f t="array" aca="1" ref="T74" ca="1">IF($A74="*","",IFERROR(INDEX(AGR!$E$52:$L$73,MATCH('TS DTech'!$C74,AGR!$B$52:$B$73,0),MATCH('TS DTech'!$B74&amp;T$7,AGR!$E$46:$L$46&amp;AGR!$E$48:$L$48,0)),""))</f>
        <v/>
      </c>
      <c r="U74" s="296" t="str">
        <f t="array" aca="1" ref="U74" ca="1">IF($A74="*","",IFERROR(INDEX(AGR!$E$52:$L$73,MATCH('TS DTech'!$C74,AGR!$B$52:$B$73,0),MATCH('TS DTech'!$B74&amp;U$7,AGR!$E$46:$L$46&amp;AGR!$E$48:$L$48,0)),""))</f>
        <v/>
      </c>
      <c r="V74" s="296" t="str">
        <f t="array" aca="1" ref="V74" ca="1">IF($A74="*","",IFERROR(INDEX(AGR!$E$52:$L$73,MATCH('TS DTech'!$C74,AGR!$B$52:$B$73,0),MATCH('TS DTech'!$B74&amp;V$7,AGR!$E$46:$L$46&amp;AGR!$E$48:$L$48,0)),""))</f>
        <v/>
      </c>
      <c r="W74" s="296" t="str">
        <f t="array" aca="1" ref="W74" ca="1">IF($A74="*","",IFERROR(INDEX(AGR!$E$52:$L$73,MATCH('TS DTech'!$C74,AGR!$B$52:$B$73,0),MATCH('TS DTech'!$B74&amp;W$7,AGR!$E$46:$L$46&amp;AGR!$E$48:$L$48,0)),""))</f>
        <v/>
      </c>
      <c r="X74" s="296" t="str">
        <f t="array" aca="1" ref="X74" ca="1">IF($A74="*","",IFERROR(INDEX(AGR!$E$52:$L$73,MATCH('TS DTech'!$C74,AGR!$B$52:$B$73,0),MATCH('TS DTech'!$B74&amp;X$7,AGR!$E$46:$L$46&amp;AGR!$E$48:$L$48,0)),""))</f>
        <v/>
      </c>
      <c r="Y74" s="296" t="str">
        <f t="array" aca="1" ref="Y74" ca="1">IF($A74="*","",IFERROR(INDEX(AGR!$E$52:$L$73,MATCH('TS DTech'!$C74,AGR!$B$52:$B$73,0),MATCH('TS DTech'!$B74&amp;Y$7,AGR!$E$46:$L$46&amp;AGR!$E$48:$L$48,0)),""))</f>
        <v/>
      </c>
      <c r="Z74" s="296" t="str">
        <f t="array" aca="1" ref="Z74" ca="1">IF($A74="*","",IFERROR(INDEX(AGR!$E$52:$L$73,MATCH('TS DTech'!$C74,AGR!$B$52:$B$73,0),MATCH('TS DTech'!$B74&amp;Z$7,AGR!$E$46:$L$46&amp;AGR!$E$48:$L$48,0)),""))</f>
        <v/>
      </c>
      <c r="AA74" s="296" t="str">
        <f t="array" aca="1" ref="AA74" ca="1">IF($A74="*","",IFERROR(INDEX(AGR!$E$52:$L$73,MATCH('TS DTech'!$C74,AGR!$B$52:$B$73,0),MATCH('TS DTech'!$B74&amp;AA$7,AGR!$E$46:$L$46&amp;AGR!$E$48:$L$48,0)),""))</f>
        <v/>
      </c>
      <c r="AB74" s="296" t="str">
        <f t="array" aca="1" ref="AB74" ca="1">IF($A74="*","",IFERROR(INDEX(AGR!$E$52:$L$73,MATCH('TS DTech'!$C74,AGR!$B$52:$B$73,0),MATCH('TS DTech'!$B74&amp;AB$7,AGR!$E$46:$L$46&amp;AGR!$E$48:$L$48,0)),""))</f>
        <v/>
      </c>
      <c r="AC74" s="296" t="str">
        <f t="array" aca="1" ref="AC74" ca="1">IF($A74="*","",IFERROR(INDEX(AGR!$E$52:$L$73,MATCH('TS DTech'!$C74,AGR!$B$52:$B$73,0),MATCH('TS DTech'!$B74&amp;AC$7,AGR!$E$46:$L$46&amp;AGR!$E$48:$L$48,0)),""))</f>
        <v/>
      </c>
      <c r="AD74" s="296" t="str">
        <f t="array" aca="1" ref="AD74" ca="1">IF($A74="*","",IFERROR(INDEX(AGR!$E$52:$L$73,MATCH('TS DTech'!$C74,AGR!$B$52:$B$73,0),MATCH('TS DTech'!$B74&amp;AD$7,AGR!$E$46:$L$46&amp;AGR!$E$48:$L$48,0)),""))</f>
        <v/>
      </c>
      <c r="AE74" s="296" t="str">
        <f t="array" aca="1" ref="AE74" ca="1">IF($A74="*","",IFERROR(INDEX(AGR!$E$52:$L$73,MATCH('TS DTech'!$C74,AGR!$B$52:$B$73,0),MATCH('TS DTech'!$B74&amp;AE$7,AGR!$E$46:$L$46&amp;AGR!$E$48:$L$48,0)),""))</f>
        <v/>
      </c>
      <c r="AF74" s="296" t="str">
        <f t="array" aca="1" ref="AF74" ca="1">IF($A74="*","",IFERROR(INDEX(AGR!$E$52:$L$73,MATCH('TS DTech'!$C74,AGR!$B$52:$B$73,0),MATCH('TS DTech'!$B74&amp;AF$7,AGR!$E$46:$L$46&amp;AGR!$E$48:$L$48,0)),""))</f>
        <v/>
      </c>
      <c r="AG74" s="296" t="str">
        <f t="array" aca="1" ref="AG74" ca="1">IF($A74="*","",IFERROR(INDEX(AGR!$E$52:$L$73,MATCH('TS DTech'!$C74,AGR!$B$52:$B$73,0),MATCH('TS DTech'!$B74&amp;AG$7,AGR!$E$46:$L$46&amp;AGR!$E$48:$L$48,0)),""))</f>
        <v/>
      </c>
      <c r="AH74" s="296" t="str">
        <f t="array" aca="1" ref="AH74" ca="1">IF($A74="*","",IFERROR(INDEX(AGR!$E$52:$L$73,MATCH('TS DTech'!$C74,AGR!$B$52:$B$73,0),MATCH('TS DTech'!$B74&amp;AH$7,AGR!$E$46:$L$46&amp;AGR!$E$48:$L$48,0)),""))</f>
        <v/>
      </c>
      <c r="AI74" s="296" t="str">
        <f t="array" aca="1" ref="AI74" ca="1">IF($A74="*","",IFERROR(INDEX(AGR!$E$52:$L$73,MATCH('TS DTech'!$C74,AGR!$B$52:$B$73,0),MATCH('TS DTech'!$B74&amp;AI$7,AGR!$E$46:$L$46&amp;AGR!$E$48:$L$48,0)),""))</f>
        <v/>
      </c>
      <c r="AJ74" s="296" t="str">
        <f t="array" aca="1" ref="AJ74" ca="1">IF($A74="*","",IFERROR(INDEX(AGR!$E$52:$L$73,MATCH('TS DTech'!$C74,AGR!$B$52:$B$73,0),MATCH('TS DTech'!$B74&amp;AJ$7,AGR!$E$46:$L$46&amp;AGR!$E$48:$L$48,0)),""))</f>
        <v/>
      </c>
      <c r="AK74" s="296" t="str">
        <f t="array" aca="1" ref="AK74" ca="1">IF($A74="*","",IFERROR(INDEX(AGR!$E$52:$L$73,MATCH('TS DTech'!$C74,AGR!$B$52:$B$73,0),MATCH('TS DTech'!$B74&amp;AK$7,AGR!$E$46:$L$46&amp;AGR!$E$48:$L$48,0)),""))</f>
        <v/>
      </c>
      <c r="AL74" s="296" t="str">
        <f t="array" aca="1" ref="AL74" ca="1">IF($A74="*","",IFERROR(INDEX(AGR!$E$52:$L$73,MATCH('TS DTech'!$C74,AGR!$B$52:$B$73,0),MATCH('TS DTech'!$B74&amp;AL$7,AGR!$E$46:$L$46&amp;AGR!$E$48:$L$48,0)),""))</f>
        <v/>
      </c>
      <c r="AM74" s="296" t="str">
        <f t="array" aca="1" ref="AM74" ca="1">IF($A74="*","",IFERROR(INDEX(AGR!$E$52:$L$73,MATCH('TS DTech'!$C74,AGR!$B$52:$B$73,0),MATCH('TS DTech'!$B74&amp;AM$7,AGR!$E$46:$L$46&amp;AGR!$E$48:$L$48,0)),""))</f>
        <v/>
      </c>
      <c r="AN74" s="296" t="str">
        <f t="array" aca="1" ref="AN74" ca="1">IF($A74="*","",IFERROR(INDEX(AGR!$E$52:$L$73,MATCH('TS DTech'!$C74,AGR!$B$52:$B$73,0),MATCH('TS DTech'!$B74&amp;AN$7,AGR!$E$46:$L$46&amp;AGR!$E$48:$L$48,0)),""))</f>
        <v/>
      </c>
      <c r="AO74" s="296" t="str">
        <f t="array" aca="1" ref="AO74" ca="1">IF($A74="*","",IFERROR(INDEX(AGR!$E$52:$L$73,MATCH('TS DTech'!$C74,AGR!$B$52:$B$73,0),MATCH('TS DTech'!$B74&amp;AO$7,AGR!$E$46:$L$46&amp;AGR!$E$48:$L$48,0)),""))</f>
        <v/>
      </c>
      <c r="AP74" s="296" t="str">
        <f t="array" aca="1" ref="AP74" ca="1">IF($A74="*","",IFERROR(INDEX(AGR!$E$52:$L$73,MATCH('TS DTech'!$C74,AGR!$B$52:$B$73,0),MATCH('TS DTech'!$B74&amp;AP$7,AGR!$E$46:$L$46&amp;AGR!$E$48:$L$48,0)),""))</f>
        <v/>
      </c>
      <c r="AQ74" s="137">
        <f>IF(AR73=AGR!$AD$74,AQ73+1,AQ73)</f>
        <v>3</v>
      </c>
      <c r="AR74" s="137">
        <f t="shared" si="3"/>
        <v>13</v>
      </c>
    </row>
    <row r="75" spans="1:44">
      <c r="A75" s="137" t="str">
        <f ca="1">IF(LEFT(OFFSET(AGR!$A$51,AR75,0),2)="\I","*","")</f>
        <v>*</v>
      </c>
      <c r="B75" s="212" t="str">
        <f t="shared" ca="1" si="4"/>
        <v/>
      </c>
      <c r="C75" s="212" t="str">
        <f ca="1">IF($A75="*","",OFFSET(AGR!$B$51,AR75,0))</f>
        <v/>
      </c>
      <c r="D75" s="212" t="str">
        <f t="shared" ca="1" si="6"/>
        <v/>
      </c>
      <c r="E75" s="212" t="str">
        <f t="shared" ca="1" si="6"/>
        <v/>
      </c>
      <c r="F75" s="212" t="str">
        <f t="shared" ca="1" si="6"/>
        <v/>
      </c>
      <c r="G75" s="212" t="str">
        <f t="shared" ca="1" si="6"/>
        <v/>
      </c>
      <c r="H75" s="212" t="str">
        <f t="shared" ca="1" si="6"/>
        <v/>
      </c>
      <c r="I75" s="213" t="str">
        <f t="shared" ca="1" si="6"/>
        <v/>
      </c>
      <c r="J75" s="296" t="str">
        <f t="array" aca="1" ref="J75" ca="1">IF($A75="*","",IFERROR(INDEX(AGR!$E$52:$L$73,MATCH('TS DTech'!$C75,AGR!$B$52:$B$73,0),MATCH('TS DTech'!$B75&amp;J$7,AGR!$E$46:$L$46&amp;AGR!$E$48:$L$48,0)),""))</f>
        <v/>
      </c>
      <c r="K75" s="296" t="str">
        <f t="array" aca="1" ref="K75" ca="1">IF($A75="*","",IFERROR(INDEX(AGR!$E$52:$L$73,MATCH('TS DTech'!$C75,AGR!$B$52:$B$73,0),MATCH('TS DTech'!$B75&amp;K$7,AGR!$E$46:$L$46&amp;AGR!$E$48:$L$48,0)),""))</f>
        <v/>
      </c>
      <c r="L75" s="296" t="str">
        <f t="array" aca="1" ref="L75" ca="1">IF($A75="*","",IFERROR(INDEX(AGR!$E$52:$L$73,MATCH('TS DTech'!$C75,AGR!$B$52:$B$73,0),MATCH('TS DTech'!$B75&amp;L$7,AGR!$E$46:$L$46&amp;AGR!$E$48:$L$48,0)),""))</f>
        <v/>
      </c>
      <c r="M75" s="296" t="str">
        <f t="array" aca="1" ref="M75" ca="1">IF($A75="*","",IFERROR(INDEX(AGR!$E$52:$L$73,MATCH('TS DTech'!$C75,AGR!$B$52:$B$73,0),MATCH('TS DTech'!$B75&amp;M$7,AGR!$E$46:$L$46&amp;AGR!$E$48:$L$48,0)),""))</f>
        <v/>
      </c>
      <c r="N75" s="296" t="str">
        <f t="array" aca="1" ref="N75" ca="1">IF($A75="*","",IFERROR(INDEX(AGR!$E$52:$L$73,MATCH('TS DTech'!$C75,AGR!$B$52:$B$73,0),MATCH('TS DTech'!$B75&amp;N$7,AGR!$E$46:$L$46&amp;AGR!$E$48:$L$48,0)),""))</f>
        <v/>
      </c>
      <c r="O75" s="296" t="str">
        <f t="array" aca="1" ref="O75" ca="1">IF($A75="*","",IFERROR(INDEX(AGR!$E$52:$L$73,MATCH('TS DTech'!$C75,AGR!$B$52:$B$73,0),MATCH('TS DTech'!$B75&amp;O$7,AGR!$E$46:$L$46&amp;AGR!$E$48:$L$48,0)),""))</f>
        <v/>
      </c>
      <c r="P75" s="296" t="str">
        <f t="array" aca="1" ref="P75" ca="1">IF($A75="*","",IFERROR(INDEX(AGR!$E$52:$L$73,MATCH('TS DTech'!$C75,AGR!$B$52:$B$73,0),MATCH('TS DTech'!$B75&amp;P$7,AGR!$E$46:$L$46&amp;AGR!$E$48:$L$48,0)),""))</f>
        <v/>
      </c>
      <c r="Q75" s="296" t="str">
        <f t="array" aca="1" ref="Q75" ca="1">IF($A75="*","",IFERROR(INDEX(AGR!$E$52:$L$73,MATCH('TS DTech'!$C75,AGR!$B$52:$B$73,0),MATCH('TS DTech'!$B75&amp;Q$7,AGR!$E$46:$L$46&amp;AGR!$E$48:$L$48,0)),""))</f>
        <v/>
      </c>
      <c r="R75" s="296" t="str">
        <f t="array" aca="1" ref="R75" ca="1">IF($A75="*","",IFERROR(INDEX(AGR!$E$52:$L$73,MATCH('TS DTech'!$C75,AGR!$B$52:$B$73,0),MATCH('TS DTech'!$B75&amp;R$7,AGR!$E$46:$L$46&amp;AGR!$E$48:$L$48,0)),""))</f>
        <v/>
      </c>
      <c r="S75" s="296" t="str">
        <f t="array" aca="1" ref="S75" ca="1">IF($A75="*","",IFERROR(INDEX(AGR!$E$52:$L$73,MATCH('TS DTech'!$C75,AGR!$B$52:$B$73,0),MATCH('TS DTech'!$B75&amp;S$7,AGR!$E$46:$L$46&amp;AGR!$E$48:$L$48,0)),""))</f>
        <v/>
      </c>
      <c r="T75" s="296" t="str">
        <f t="array" aca="1" ref="T75" ca="1">IF($A75="*","",IFERROR(INDEX(AGR!$E$52:$L$73,MATCH('TS DTech'!$C75,AGR!$B$52:$B$73,0),MATCH('TS DTech'!$B75&amp;T$7,AGR!$E$46:$L$46&amp;AGR!$E$48:$L$48,0)),""))</f>
        <v/>
      </c>
      <c r="U75" s="296" t="str">
        <f t="array" aca="1" ref="U75" ca="1">IF($A75="*","",IFERROR(INDEX(AGR!$E$52:$L$73,MATCH('TS DTech'!$C75,AGR!$B$52:$B$73,0),MATCH('TS DTech'!$B75&amp;U$7,AGR!$E$46:$L$46&amp;AGR!$E$48:$L$48,0)),""))</f>
        <v/>
      </c>
      <c r="V75" s="296" t="str">
        <f t="array" aca="1" ref="V75" ca="1">IF($A75="*","",IFERROR(INDEX(AGR!$E$52:$L$73,MATCH('TS DTech'!$C75,AGR!$B$52:$B$73,0),MATCH('TS DTech'!$B75&amp;V$7,AGR!$E$46:$L$46&amp;AGR!$E$48:$L$48,0)),""))</f>
        <v/>
      </c>
      <c r="W75" s="296" t="str">
        <f t="array" aca="1" ref="W75" ca="1">IF($A75="*","",IFERROR(INDEX(AGR!$E$52:$L$73,MATCH('TS DTech'!$C75,AGR!$B$52:$B$73,0),MATCH('TS DTech'!$B75&amp;W$7,AGR!$E$46:$L$46&amp;AGR!$E$48:$L$48,0)),""))</f>
        <v/>
      </c>
      <c r="X75" s="296" t="str">
        <f t="array" aca="1" ref="X75" ca="1">IF($A75="*","",IFERROR(INDEX(AGR!$E$52:$L$73,MATCH('TS DTech'!$C75,AGR!$B$52:$B$73,0),MATCH('TS DTech'!$B75&amp;X$7,AGR!$E$46:$L$46&amp;AGR!$E$48:$L$48,0)),""))</f>
        <v/>
      </c>
      <c r="Y75" s="296" t="str">
        <f t="array" aca="1" ref="Y75" ca="1">IF($A75="*","",IFERROR(INDEX(AGR!$E$52:$L$73,MATCH('TS DTech'!$C75,AGR!$B$52:$B$73,0),MATCH('TS DTech'!$B75&amp;Y$7,AGR!$E$46:$L$46&amp;AGR!$E$48:$L$48,0)),""))</f>
        <v/>
      </c>
      <c r="Z75" s="296" t="str">
        <f t="array" aca="1" ref="Z75" ca="1">IF($A75="*","",IFERROR(INDEX(AGR!$E$52:$L$73,MATCH('TS DTech'!$C75,AGR!$B$52:$B$73,0),MATCH('TS DTech'!$B75&amp;Z$7,AGR!$E$46:$L$46&amp;AGR!$E$48:$L$48,0)),""))</f>
        <v/>
      </c>
      <c r="AA75" s="296" t="str">
        <f t="array" aca="1" ref="AA75" ca="1">IF($A75="*","",IFERROR(INDEX(AGR!$E$52:$L$73,MATCH('TS DTech'!$C75,AGR!$B$52:$B$73,0),MATCH('TS DTech'!$B75&amp;AA$7,AGR!$E$46:$L$46&amp;AGR!$E$48:$L$48,0)),""))</f>
        <v/>
      </c>
      <c r="AB75" s="296" t="str">
        <f t="array" aca="1" ref="AB75" ca="1">IF($A75="*","",IFERROR(INDEX(AGR!$E$52:$L$73,MATCH('TS DTech'!$C75,AGR!$B$52:$B$73,0),MATCH('TS DTech'!$B75&amp;AB$7,AGR!$E$46:$L$46&amp;AGR!$E$48:$L$48,0)),""))</f>
        <v/>
      </c>
      <c r="AC75" s="296" t="str">
        <f t="array" aca="1" ref="AC75" ca="1">IF($A75="*","",IFERROR(INDEX(AGR!$E$52:$L$73,MATCH('TS DTech'!$C75,AGR!$B$52:$B$73,0),MATCH('TS DTech'!$B75&amp;AC$7,AGR!$E$46:$L$46&amp;AGR!$E$48:$L$48,0)),""))</f>
        <v/>
      </c>
      <c r="AD75" s="296" t="str">
        <f t="array" aca="1" ref="AD75" ca="1">IF($A75="*","",IFERROR(INDEX(AGR!$E$52:$L$73,MATCH('TS DTech'!$C75,AGR!$B$52:$B$73,0),MATCH('TS DTech'!$B75&amp;AD$7,AGR!$E$46:$L$46&amp;AGR!$E$48:$L$48,0)),""))</f>
        <v/>
      </c>
      <c r="AE75" s="296" t="str">
        <f t="array" aca="1" ref="AE75" ca="1">IF($A75="*","",IFERROR(INDEX(AGR!$E$52:$L$73,MATCH('TS DTech'!$C75,AGR!$B$52:$B$73,0),MATCH('TS DTech'!$B75&amp;AE$7,AGR!$E$46:$L$46&amp;AGR!$E$48:$L$48,0)),""))</f>
        <v/>
      </c>
      <c r="AF75" s="296" t="str">
        <f t="array" aca="1" ref="AF75" ca="1">IF($A75="*","",IFERROR(INDEX(AGR!$E$52:$L$73,MATCH('TS DTech'!$C75,AGR!$B$52:$B$73,0),MATCH('TS DTech'!$B75&amp;AF$7,AGR!$E$46:$L$46&amp;AGR!$E$48:$L$48,0)),""))</f>
        <v/>
      </c>
      <c r="AG75" s="296" t="str">
        <f t="array" aca="1" ref="AG75" ca="1">IF($A75="*","",IFERROR(INDEX(AGR!$E$52:$L$73,MATCH('TS DTech'!$C75,AGR!$B$52:$B$73,0),MATCH('TS DTech'!$B75&amp;AG$7,AGR!$E$46:$L$46&amp;AGR!$E$48:$L$48,0)),""))</f>
        <v/>
      </c>
      <c r="AH75" s="296" t="str">
        <f t="array" aca="1" ref="AH75" ca="1">IF($A75="*","",IFERROR(INDEX(AGR!$E$52:$L$73,MATCH('TS DTech'!$C75,AGR!$B$52:$B$73,0),MATCH('TS DTech'!$B75&amp;AH$7,AGR!$E$46:$L$46&amp;AGR!$E$48:$L$48,0)),""))</f>
        <v/>
      </c>
      <c r="AI75" s="296" t="str">
        <f t="array" aca="1" ref="AI75" ca="1">IF($A75="*","",IFERROR(INDEX(AGR!$E$52:$L$73,MATCH('TS DTech'!$C75,AGR!$B$52:$B$73,0),MATCH('TS DTech'!$B75&amp;AI$7,AGR!$E$46:$L$46&amp;AGR!$E$48:$L$48,0)),""))</f>
        <v/>
      </c>
      <c r="AJ75" s="296" t="str">
        <f t="array" aca="1" ref="AJ75" ca="1">IF($A75="*","",IFERROR(INDEX(AGR!$E$52:$L$73,MATCH('TS DTech'!$C75,AGR!$B$52:$B$73,0),MATCH('TS DTech'!$B75&amp;AJ$7,AGR!$E$46:$L$46&amp;AGR!$E$48:$L$48,0)),""))</f>
        <v/>
      </c>
      <c r="AK75" s="296" t="str">
        <f t="array" aca="1" ref="AK75" ca="1">IF($A75="*","",IFERROR(INDEX(AGR!$E$52:$L$73,MATCH('TS DTech'!$C75,AGR!$B$52:$B$73,0),MATCH('TS DTech'!$B75&amp;AK$7,AGR!$E$46:$L$46&amp;AGR!$E$48:$L$48,0)),""))</f>
        <v/>
      </c>
      <c r="AL75" s="296" t="str">
        <f t="array" aca="1" ref="AL75" ca="1">IF($A75="*","",IFERROR(INDEX(AGR!$E$52:$L$73,MATCH('TS DTech'!$C75,AGR!$B$52:$B$73,0),MATCH('TS DTech'!$B75&amp;AL$7,AGR!$E$46:$L$46&amp;AGR!$E$48:$L$48,0)),""))</f>
        <v/>
      </c>
      <c r="AM75" s="296" t="str">
        <f t="array" aca="1" ref="AM75" ca="1">IF($A75="*","",IFERROR(INDEX(AGR!$E$52:$L$73,MATCH('TS DTech'!$C75,AGR!$B$52:$B$73,0),MATCH('TS DTech'!$B75&amp;AM$7,AGR!$E$46:$L$46&amp;AGR!$E$48:$L$48,0)),""))</f>
        <v/>
      </c>
      <c r="AN75" s="296" t="str">
        <f t="array" aca="1" ref="AN75" ca="1">IF($A75="*","",IFERROR(INDEX(AGR!$E$52:$L$73,MATCH('TS DTech'!$C75,AGR!$B$52:$B$73,0),MATCH('TS DTech'!$B75&amp;AN$7,AGR!$E$46:$L$46&amp;AGR!$E$48:$L$48,0)),""))</f>
        <v/>
      </c>
      <c r="AO75" s="296" t="str">
        <f t="array" aca="1" ref="AO75" ca="1">IF($A75="*","",IFERROR(INDEX(AGR!$E$52:$L$73,MATCH('TS DTech'!$C75,AGR!$B$52:$B$73,0),MATCH('TS DTech'!$B75&amp;AO$7,AGR!$E$46:$L$46&amp;AGR!$E$48:$L$48,0)),""))</f>
        <v/>
      </c>
      <c r="AP75" s="296" t="str">
        <f t="array" aca="1" ref="AP75" ca="1">IF($A75="*","",IFERROR(INDEX(AGR!$E$52:$L$73,MATCH('TS DTech'!$C75,AGR!$B$52:$B$73,0),MATCH('TS DTech'!$B75&amp;AP$7,AGR!$E$46:$L$46&amp;AGR!$E$48:$L$48,0)),""))</f>
        <v/>
      </c>
      <c r="AQ75" s="137">
        <f>IF(AR74=AGR!$AD$74,AQ74+1,AQ74)</f>
        <v>3</v>
      </c>
      <c r="AR75" s="137">
        <f t="shared" si="3"/>
        <v>14</v>
      </c>
    </row>
    <row r="76" spans="1:44">
      <c r="A76" s="137" t="str">
        <f ca="1">IF(LEFT(OFFSET(AGR!$A$51,AR76,0),2)="\I","*","")</f>
        <v>*</v>
      </c>
      <c r="B76" s="212" t="str">
        <f t="shared" ca="1" si="4"/>
        <v/>
      </c>
      <c r="C76" s="212" t="str">
        <f ca="1">IF($A76="*","",OFFSET(AGR!$B$51,AR76,0))</f>
        <v/>
      </c>
      <c r="D76" s="212" t="str">
        <f t="shared" ca="1" si="6"/>
        <v/>
      </c>
      <c r="E76" s="212" t="str">
        <f t="shared" ca="1" si="6"/>
        <v/>
      </c>
      <c r="F76" s="212" t="str">
        <f t="shared" ca="1" si="6"/>
        <v/>
      </c>
      <c r="G76" s="212" t="str">
        <f t="shared" ca="1" si="6"/>
        <v/>
      </c>
      <c r="H76" s="212" t="str">
        <f t="shared" ca="1" si="6"/>
        <v/>
      </c>
      <c r="I76" s="213" t="str">
        <f t="shared" ca="1" si="6"/>
        <v/>
      </c>
      <c r="J76" s="296" t="str">
        <f t="array" aca="1" ref="J76" ca="1">IF($A76="*","",IFERROR(INDEX(AGR!$E$52:$L$73,MATCH('TS DTech'!$C76,AGR!$B$52:$B$73,0),MATCH('TS DTech'!$B76&amp;J$7,AGR!$E$46:$L$46&amp;AGR!$E$48:$L$48,0)),""))</f>
        <v/>
      </c>
      <c r="K76" s="296" t="str">
        <f t="array" aca="1" ref="K76" ca="1">IF($A76="*","",IFERROR(INDEX(AGR!$E$52:$L$73,MATCH('TS DTech'!$C76,AGR!$B$52:$B$73,0),MATCH('TS DTech'!$B76&amp;K$7,AGR!$E$46:$L$46&amp;AGR!$E$48:$L$48,0)),""))</f>
        <v/>
      </c>
      <c r="L76" s="296" t="str">
        <f t="array" aca="1" ref="L76" ca="1">IF($A76="*","",IFERROR(INDEX(AGR!$E$52:$L$73,MATCH('TS DTech'!$C76,AGR!$B$52:$B$73,0),MATCH('TS DTech'!$B76&amp;L$7,AGR!$E$46:$L$46&amp;AGR!$E$48:$L$48,0)),""))</f>
        <v/>
      </c>
      <c r="M76" s="296" t="str">
        <f t="array" aca="1" ref="M76" ca="1">IF($A76="*","",IFERROR(INDEX(AGR!$E$52:$L$73,MATCH('TS DTech'!$C76,AGR!$B$52:$B$73,0),MATCH('TS DTech'!$B76&amp;M$7,AGR!$E$46:$L$46&amp;AGR!$E$48:$L$48,0)),""))</f>
        <v/>
      </c>
      <c r="N76" s="296" t="str">
        <f t="array" aca="1" ref="N76" ca="1">IF($A76="*","",IFERROR(INDEX(AGR!$E$52:$L$73,MATCH('TS DTech'!$C76,AGR!$B$52:$B$73,0),MATCH('TS DTech'!$B76&amp;N$7,AGR!$E$46:$L$46&amp;AGR!$E$48:$L$48,0)),""))</f>
        <v/>
      </c>
      <c r="O76" s="296" t="str">
        <f t="array" aca="1" ref="O76" ca="1">IF($A76="*","",IFERROR(INDEX(AGR!$E$52:$L$73,MATCH('TS DTech'!$C76,AGR!$B$52:$B$73,0),MATCH('TS DTech'!$B76&amp;O$7,AGR!$E$46:$L$46&amp;AGR!$E$48:$L$48,0)),""))</f>
        <v/>
      </c>
      <c r="P76" s="296" t="str">
        <f t="array" aca="1" ref="P76" ca="1">IF($A76="*","",IFERROR(INDEX(AGR!$E$52:$L$73,MATCH('TS DTech'!$C76,AGR!$B$52:$B$73,0),MATCH('TS DTech'!$B76&amp;P$7,AGR!$E$46:$L$46&amp;AGR!$E$48:$L$48,0)),""))</f>
        <v/>
      </c>
      <c r="Q76" s="296" t="str">
        <f t="array" aca="1" ref="Q76" ca="1">IF($A76="*","",IFERROR(INDEX(AGR!$E$52:$L$73,MATCH('TS DTech'!$C76,AGR!$B$52:$B$73,0),MATCH('TS DTech'!$B76&amp;Q$7,AGR!$E$46:$L$46&amp;AGR!$E$48:$L$48,0)),""))</f>
        <v/>
      </c>
      <c r="R76" s="296" t="str">
        <f t="array" aca="1" ref="R76" ca="1">IF($A76="*","",IFERROR(INDEX(AGR!$E$52:$L$73,MATCH('TS DTech'!$C76,AGR!$B$52:$B$73,0),MATCH('TS DTech'!$B76&amp;R$7,AGR!$E$46:$L$46&amp;AGR!$E$48:$L$48,0)),""))</f>
        <v/>
      </c>
      <c r="S76" s="296" t="str">
        <f t="array" aca="1" ref="S76" ca="1">IF($A76="*","",IFERROR(INDEX(AGR!$E$52:$L$73,MATCH('TS DTech'!$C76,AGR!$B$52:$B$73,0),MATCH('TS DTech'!$B76&amp;S$7,AGR!$E$46:$L$46&amp;AGR!$E$48:$L$48,0)),""))</f>
        <v/>
      </c>
      <c r="T76" s="296" t="str">
        <f t="array" aca="1" ref="T76" ca="1">IF($A76="*","",IFERROR(INDEX(AGR!$E$52:$L$73,MATCH('TS DTech'!$C76,AGR!$B$52:$B$73,0),MATCH('TS DTech'!$B76&amp;T$7,AGR!$E$46:$L$46&amp;AGR!$E$48:$L$48,0)),""))</f>
        <v/>
      </c>
      <c r="U76" s="296" t="str">
        <f t="array" aca="1" ref="U76" ca="1">IF($A76="*","",IFERROR(INDEX(AGR!$E$52:$L$73,MATCH('TS DTech'!$C76,AGR!$B$52:$B$73,0),MATCH('TS DTech'!$B76&amp;U$7,AGR!$E$46:$L$46&amp;AGR!$E$48:$L$48,0)),""))</f>
        <v/>
      </c>
      <c r="V76" s="296" t="str">
        <f t="array" aca="1" ref="V76" ca="1">IF($A76="*","",IFERROR(INDEX(AGR!$E$52:$L$73,MATCH('TS DTech'!$C76,AGR!$B$52:$B$73,0),MATCH('TS DTech'!$B76&amp;V$7,AGR!$E$46:$L$46&amp;AGR!$E$48:$L$48,0)),""))</f>
        <v/>
      </c>
      <c r="W76" s="296" t="str">
        <f t="array" aca="1" ref="W76" ca="1">IF($A76="*","",IFERROR(INDEX(AGR!$E$52:$L$73,MATCH('TS DTech'!$C76,AGR!$B$52:$B$73,0),MATCH('TS DTech'!$B76&amp;W$7,AGR!$E$46:$L$46&amp;AGR!$E$48:$L$48,0)),""))</f>
        <v/>
      </c>
      <c r="X76" s="296" t="str">
        <f t="array" aca="1" ref="X76" ca="1">IF($A76="*","",IFERROR(INDEX(AGR!$E$52:$L$73,MATCH('TS DTech'!$C76,AGR!$B$52:$B$73,0),MATCH('TS DTech'!$B76&amp;X$7,AGR!$E$46:$L$46&amp;AGR!$E$48:$L$48,0)),""))</f>
        <v/>
      </c>
      <c r="Y76" s="296" t="str">
        <f t="array" aca="1" ref="Y76" ca="1">IF($A76="*","",IFERROR(INDEX(AGR!$E$52:$L$73,MATCH('TS DTech'!$C76,AGR!$B$52:$B$73,0),MATCH('TS DTech'!$B76&amp;Y$7,AGR!$E$46:$L$46&amp;AGR!$E$48:$L$48,0)),""))</f>
        <v/>
      </c>
      <c r="Z76" s="296" t="str">
        <f t="array" aca="1" ref="Z76" ca="1">IF($A76="*","",IFERROR(INDEX(AGR!$E$52:$L$73,MATCH('TS DTech'!$C76,AGR!$B$52:$B$73,0),MATCH('TS DTech'!$B76&amp;Z$7,AGR!$E$46:$L$46&amp;AGR!$E$48:$L$48,0)),""))</f>
        <v/>
      </c>
      <c r="AA76" s="296" t="str">
        <f t="array" aca="1" ref="AA76" ca="1">IF($A76="*","",IFERROR(INDEX(AGR!$E$52:$L$73,MATCH('TS DTech'!$C76,AGR!$B$52:$B$73,0),MATCH('TS DTech'!$B76&amp;AA$7,AGR!$E$46:$L$46&amp;AGR!$E$48:$L$48,0)),""))</f>
        <v/>
      </c>
      <c r="AB76" s="296" t="str">
        <f t="array" aca="1" ref="AB76" ca="1">IF($A76="*","",IFERROR(INDEX(AGR!$E$52:$L$73,MATCH('TS DTech'!$C76,AGR!$B$52:$B$73,0),MATCH('TS DTech'!$B76&amp;AB$7,AGR!$E$46:$L$46&amp;AGR!$E$48:$L$48,0)),""))</f>
        <v/>
      </c>
      <c r="AC76" s="296" t="str">
        <f t="array" aca="1" ref="AC76" ca="1">IF($A76="*","",IFERROR(INDEX(AGR!$E$52:$L$73,MATCH('TS DTech'!$C76,AGR!$B$52:$B$73,0),MATCH('TS DTech'!$B76&amp;AC$7,AGR!$E$46:$L$46&amp;AGR!$E$48:$L$48,0)),""))</f>
        <v/>
      </c>
      <c r="AD76" s="296" t="str">
        <f t="array" aca="1" ref="AD76" ca="1">IF($A76="*","",IFERROR(INDEX(AGR!$E$52:$L$73,MATCH('TS DTech'!$C76,AGR!$B$52:$B$73,0),MATCH('TS DTech'!$B76&amp;AD$7,AGR!$E$46:$L$46&amp;AGR!$E$48:$L$48,0)),""))</f>
        <v/>
      </c>
      <c r="AE76" s="296" t="str">
        <f t="array" aca="1" ref="AE76" ca="1">IF($A76="*","",IFERROR(INDEX(AGR!$E$52:$L$73,MATCH('TS DTech'!$C76,AGR!$B$52:$B$73,0),MATCH('TS DTech'!$B76&amp;AE$7,AGR!$E$46:$L$46&amp;AGR!$E$48:$L$48,0)),""))</f>
        <v/>
      </c>
      <c r="AF76" s="296" t="str">
        <f t="array" aca="1" ref="AF76" ca="1">IF($A76="*","",IFERROR(INDEX(AGR!$E$52:$L$73,MATCH('TS DTech'!$C76,AGR!$B$52:$B$73,0),MATCH('TS DTech'!$B76&amp;AF$7,AGR!$E$46:$L$46&amp;AGR!$E$48:$L$48,0)),""))</f>
        <v/>
      </c>
      <c r="AG76" s="296" t="str">
        <f t="array" aca="1" ref="AG76" ca="1">IF($A76="*","",IFERROR(INDEX(AGR!$E$52:$L$73,MATCH('TS DTech'!$C76,AGR!$B$52:$B$73,0),MATCH('TS DTech'!$B76&amp;AG$7,AGR!$E$46:$L$46&amp;AGR!$E$48:$L$48,0)),""))</f>
        <v/>
      </c>
      <c r="AH76" s="296" t="str">
        <f t="array" aca="1" ref="AH76" ca="1">IF($A76="*","",IFERROR(INDEX(AGR!$E$52:$L$73,MATCH('TS DTech'!$C76,AGR!$B$52:$B$73,0),MATCH('TS DTech'!$B76&amp;AH$7,AGR!$E$46:$L$46&amp;AGR!$E$48:$L$48,0)),""))</f>
        <v/>
      </c>
      <c r="AI76" s="296" t="str">
        <f t="array" aca="1" ref="AI76" ca="1">IF($A76="*","",IFERROR(INDEX(AGR!$E$52:$L$73,MATCH('TS DTech'!$C76,AGR!$B$52:$B$73,0),MATCH('TS DTech'!$B76&amp;AI$7,AGR!$E$46:$L$46&amp;AGR!$E$48:$L$48,0)),""))</f>
        <v/>
      </c>
      <c r="AJ76" s="296" t="str">
        <f t="array" aca="1" ref="AJ76" ca="1">IF($A76="*","",IFERROR(INDEX(AGR!$E$52:$L$73,MATCH('TS DTech'!$C76,AGR!$B$52:$B$73,0),MATCH('TS DTech'!$B76&amp;AJ$7,AGR!$E$46:$L$46&amp;AGR!$E$48:$L$48,0)),""))</f>
        <v/>
      </c>
      <c r="AK76" s="296" t="str">
        <f t="array" aca="1" ref="AK76" ca="1">IF($A76="*","",IFERROR(INDEX(AGR!$E$52:$L$73,MATCH('TS DTech'!$C76,AGR!$B$52:$B$73,0),MATCH('TS DTech'!$B76&amp;AK$7,AGR!$E$46:$L$46&amp;AGR!$E$48:$L$48,0)),""))</f>
        <v/>
      </c>
      <c r="AL76" s="296" t="str">
        <f t="array" aca="1" ref="AL76" ca="1">IF($A76="*","",IFERROR(INDEX(AGR!$E$52:$L$73,MATCH('TS DTech'!$C76,AGR!$B$52:$B$73,0),MATCH('TS DTech'!$B76&amp;AL$7,AGR!$E$46:$L$46&amp;AGR!$E$48:$L$48,0)),""))</f>
        <v/>
      </c>
      <c r="AM76" s="296" t="str">
        <f t="array" aca="1" ref="AM76" ca="1">IF($A76="*","",IFERROR(INDEX(AGR!$E$52:$L$73,MATCH('TS DTech'!$C76,AGR!$B$52:$B$73,0),MATCH('TS DTech'!$B76&amp;AM$7,AGR!$E$46:$L$46&amp;AGR!$E$48:$L$48,0)),""))</f>
        <v/>
      </c>
      <c r="AN76" s="296" t="str">
        <f t="array" aca="1" ref="AN76" ca="1">IF($A76="*","",IFERROR(INDEX(AGR!$E$52:$L$73,MATCH('TS DTech'!$C76,AGR!$B$52:$B$73,0),MATCH('TS DTech'!$B76&amp;AN$7,AGR!$E$46:$L$46&amp;AGR!$E$48:$L$48,0)),""))</f>
        <v/>
      </c>
      <c r="AO76" s="296" t="str">
        <f t="array" aca="1" ref="AO76" ca="1">IF($A76="*","",IFERROR(INDEX(AGR!$E$52:$L$73,MATCH('TS DTech'!$C76,AGR!$B$52:$B$73,0),MATCH('TS DTech'!$B76&amp;AO$7,AGR!$E$46:$L$46&amp;AGR!$E$48:$L$48,0)),""))</f>
        <v/>
      </c>
      <c r="AP76" s="296" t="str">
        <f t="array" aca="1" ref="AP76" ca="1">IF($A76="*","",IFERROR(INDEX(AGR!$E$52:$L$73,MATCH('TS DTech'!$C76,AGR!$B$52:$B$73,0),MATCH('TS DTech'!$B76&amp;AP$7,AGR!$E$46:$L$46&amp;AGR!$E$48:$L$48,0)),""))</f>
        <v/>
      </c>
      <c r="AQ76" s="137">
        <f>IF(AR75=AGR!$AD$74,AQ75+1,AQ75)</f>
        <v>3</v>
      </c>
      <c r="AR76" s="137">
        <f t="shared" si="3"/>
        <v>15</v>
      </c>
    </row>
    <row r="77" spans="1:44">
      <c r="A77" s="137" t="str">
        <f ca="1">IF(LEFT(OFFSET(AGR!$A$51,AR77,0),2)="\I","*","")</f>
        <v/>
      </c>
      <c r="B77" s="212" t="str">
        <f t="shared" ca="1" si="4"/>
        <v>NCAP_BND</v>
      </c>
      <c r="C77" s="212" t="str">
        <f ca="1">IF($A77="*","",OFFSET(AGR!$B$51,AR77,0))</f>
        <v>AIODS-E</v>
      </c>
      <c r="D77" s="212" t="str">
        <f t="shared" ca="1" si="6"/>
        <v>-</v>
      </c>
      <c r="E77" s="212" t="str">
        <f t="shared" ca="1" si="6"/>
        <v>-</v>
      </c>
      <c r="F77" s="212" t="str">
        <f t="shared" ca="1" si="6"/>
        <v>-</v>
      </c>
      <c r="G77" s="212" t="str">
        <f t="shared" ca="1" si="6"/>
        <v>-</v>
      </c>
      <c r="H77" s="212" t="str">
        <f t="shared" ca="1" si="6"/>
        <v>UP</v>
      </c>
      <c r="I77" s="213">
        <f t="shared" ca="1" si="6"/>
        <v>3</v>
      </c>
      <c r="J77" s="296" t="str">
        <f t="array" aca="1" ref="J77" ca="1">IF($A77="*","",IFERROR(INDEX(AGR!$E$52:$L$73,MATCH('TS DTech'!$C77,AGR!$B$52:$B$73,0),MATCH('TS DTech'!$B77&amp;J$7,AGR!$E$46:$L$46&amp;AGR!$E$48:$L$48,0)),""))</f>
        <v/>
      </c>
      <c r="K77" s="296" t="str">
        <f t="array" aca="1" ref="K77" ca="1">IF($A77="*","",IFERROR(INDEX(AGR!$E$52:$L$73,MATCH('TS DTech'!$C77,AGR!$B$52:$B$73,0),MATCH('TS DTech'!$B77&amp;K$7,AGR!$E$46:$L$46&amp;AGR!$E$48:$L$48,0)),""))</f>
        <v/>
      </c>
      <c r="L77" s="296" t="str">
        <f t="array" aca="1" ref="L77" ca="1">IF($A77="*","",IFERROR(INDEX(AGR!$E$52:$L$73,MATCH('TS DTech'!$C77,AGR!$B$52:$B$73,0),MATCH('TS DTech'!$B77&amp;L$7,AGR!$E$46:$L$46&amp;AGR!$E$48:$L$48,0)),""))</f>
        <v/>
      </c>
      <c r="M77" s="296" t="str">
        <f t="array" aca="1" ref="M77" ca="1">IF($A77="*","",IFERROR(INDEX(AGR!$E$52:$L$73,MATCH('TS DTech'!$C77,AGR!$B$52:$B$73,0),MATCH('TS DTech'!$B77&amp;M$7,AGR!$E$46:$L$46&amp;AGR!$E$48:$L$48,0)),""))</f>
        <v/>
      </c>
      <c r="N77" s="296" t="str">
        <f t="array" aca="1" ref="N77" ca="1">IF($A77="*","",IFERROR(INDEX(AGR!$E$52:$L$73,MATCH('TS DTech'!$C77,AGR!$B$52:$B$73,0),MATCH('TS DTech'!$B77&amp;N$7,AGR!$E$46:$L$46&amp;AGR!$E$48:$L$48,0)),""))</f>
        <v/>
      </c>
      <c r="O77" s="296" t="str">
        <f t="array" aca="1" ref="O77" ca="1">IF($A77="*","",IFERROR(INDEX(AGR!$E$52:$L$73,MATCH('TS DTech'!$C77,AGR!$B$52:$B$73,0),MATCH('TS DTech'!$B77&amp;O$7,AGR!$E$46:$L$46&amp;AGR!$E$48:$L$48,0)),""))</f>
        <v/>
      </c>
      <c r="P77" s="296" t="str">
        <f t="array" aca="1" ref="P77" ca="1">IF($A77="*","",IFERROR(INDEX(AGR!$E$52:$L$73,MATCH('TS DTech'!$C77,AGR!$B$52:$B$73,0),MATCH('TS DTech'!$B77&amp;P$7,AGR!$E$46:$L$46&amp;AGR!$E$48:$L$48,0)),""))</f>
        <v/>
      </c>
      <c r="Q77" s="296" t="str">
        <f t="array" aca="1" ref="Q77" ca="1">IF($A77="*","",IFERROR(INDEX(AGR!$E$52:$L$73,MATCH('TS DTech'!$C77,AGR!$B$52:$B$73,0),MATCH('TS DTech'!$B77&amp;Q$7,AGR!$E$46:$L$46&amp;AGR!$E$48:$L$48,0)),""))</f>
        <v/>
      </c>
      <c r="R77" s="296" t="str">
        <f t="array" aca="1" ref="R77" ca="1">IF($A77="*","",IFERROR(INDEX(AGR!$E$52:$L$73,MATCH('TS DTech'!$C77,AGR!$B$52:$B$73,0),MATCH('TS DTech'!$B77&amp;R$7,AGR!$E$46:$L$46&amp;AGR!$E$48:$L$48,0)),""))</f>
        <v/>
      </c>
      <c r="S77" s="296" t="str">
        <f t="array" aca="1" ref="S77" ca="1">IF($A77="*","",IFERROR(INDEX(AGR!$E$52:$L$73,MATCH('TS DTech'!$C77,AGR!$B$52:$B$73,0),MATCH('TS DTech'!$B77&amp;S$7,AGR!$E$46:$L$46&amp;AGR!$E$48:$L$48,0)),""))</f>
        <v/>
      </c>
      <c r="T77" s="296" t="str">
        <f t="array" aca="1" ref="T77" ca="1">IF($A77="*","",IFERROR(INDEX(AGR!$E$52:$L$73,MATCH('TS DTech'!$C77,AGR!$B$52:$B$73,0),MATCH('TS DTech'!$B77&amp;T$7,AGR!$E$46:$L$46&amp;AGR!$E$48:$L$48,0)),""))</f>
        <v/>
      </c>
      <c r="U77" s="296" t="str">
        <f t="array" aca="1" ref="U77" ca="1">IF($A77="*","",IFERROR(INDEX(AGR!$E$52:$L$73,MATCH('TS DTech'!$C77,AGR!$B$52:$B$73,0),MATCH('TS DTech'!$B77&amp;U$7,AGR!$E$46:$L$46&amp;AGR!$E$48:$L$48,0)),""))</f>
        <v/>
      </c>
      <c r="V77" s="296" t="str">
        <f t="array" aca="1" ref="V77" ca="1">IF($A77="*","",IFERROR(INDEX(AGR!$E$52:$L$73,MATCH('TS DTech'!$C77,AGR!$B$52:$B$73,0),MATCH('TS DTech'!$B77&amp;V$7,AGR!$E$46:$L$46&amp;AGR!$E$48:$L$48,0)),""))</f>
        <v/>
      </c>
      <c r="W77" s="296" t="str">
        <f t="array" aca="1" ref="W77" ca="1">IF($A77="*","",IFERROR(INDEX(AGR!$E$52:$L$73,MATCH('TS DTech'!$C77,AGR!$B$52:$B$73,0),MATCH('TS DTech'!$B77&amp;W$7,AGR!$E$46:$L$46&amp;AGR!$E$48:$L$48,0)),""))</f>
        <v/>
      </c>
      <c r="X77" s="296" t="str">
        <f t="array" aca="1" ref="X77" ca="1">IF($A77="*","",IFERROR(INDEX(AGR!$E$52:$L$73,MATCH('TS DTech'!$C77,AGR!$B$52:$B$73,0),MATCH('TS DTech'!$B77&amp;X$7,AGR!$E$46:$L$46&amp;AGR!$E$48:$L$48,0)),""))</f>
        <v/>
      </c>
      <c r="Y77" s="296" t="str">
        <f t="array" aca="1" ref="Y77" ca="1">IF($A77="*","",IFERROR(INDEX(AGR!$E$52:$L$73,MATCH('TS DTech'!$C77,AGR!$B$52:$B$73,0),MATCH('TS DTech'!$B77&amp;Y$7,AGR!$E$46:$L$46&amp;AGR!$E$48:$L$48,0)),""))</f>
        <v/>
      </c>
      <c r="Z77" s="296" t="str">
        <f t="array" aca="1" ref="Z77" ca="1">IF($A77="*","",IFERROR(INDEX(AGR!$E$52:$L$73,MATCH('TS DTech'!$C77,AGR!$B$52:$B$73,0),MATCH('TS DTech'!$B77&amp;Z$7,AGR!$E$46:$L$46&amp;AGR!$E$48:$L$48,0)),""))</f>
        <v/>
      </c>
      <c r="AA77" s="296" t="str">
        <f t="array" aca="1" ref="AA77" ca="1">IF($A77="*","",IFERROR(INDEX(AGR!$E$52:$L$73,MATCH('TS DTech'!$C77,AGR!$B$52:$B$73,0),MATCH('TS DTech'!$B77&amp;AA$7,AGR!$E$46:$L$46&amp;AGR!$E$48:$L$48,0)),""))</f>
        <v/>
      </c>
      <c r="AB77" s="296" t="str">
        <f t="array" aca="1" ref="AB77" ca="1">IF($A77="*","",IFERROR(INDEX(AGR!$E$52:$L$73,MATCH('TS DTech'!$C77,AGR!$B$52:$B$73,0),MATCH('TS DTech'!$B77&amp;AB$7,AGR!$E$46:$L$46&amp;AGR!$E$48:$L$48,0)),""))</f>
        <v/>
      </c>
      <c r="AC77" s="296" t="str">
        <f t="array" aca="1" ref="AC77" ca="1">IF($A77="*","",IFERROR(INDEX(AGR!$E$52:$L$73,MATCH('TS DTech'!$C77,AGR!$B$52:$B$73,0),MATCH('TS DTech'!$B77&amp;AC$7,AGR!$E$46:$L$46&amp;AGR!$E$48:$L$48,0)),""))</f>
        <v/>
      </c>
      <c r="AD77" s="296" t="str">
        <f t="array" aca="1" ref="AD77" ca="1">IF($A77="*","",IFERROR(INDEX(AGR!$E$52:$L$73,MATCH('TS DTech'!$C77,AGR!$B$52:$B$73,0),MATCH('TS DTech'!$B77&amp;AD$7,AGR!$E$46:$L$46&amp;AGR!$E$48:$L$48,0)),""))</f>
        <v/>
      </c>
      <c r="AE77" s="296" t="str">
        <f t="array" aca="1" ref="AE77" ca="1">IF($A77="*","",IFERROR(INDEX(AGR!$E$52:$L$73,MATCH('TS DTech'!$C77,AGR!$B$52:$B$73,0),MATCH('TS DTech'!$B77&amp;AE$7,AGR!$E$46:$L$46&amp;AGR!$E$48:$L$48,0)),""))</f>
        <v/>
      </c>
      <c r="AF77" s="296" t="str">
        <f t="array" aca="1" ref="AF77" ca="1">IF($A77="*","",IFERROR(INDEX(AGR!$E$52:$L$73,MATCH('TS DTech'!$C77,AGR!$B$52:$B$73,0),MATCH('TS DTech'!$B77&amp;AF$7,AGR!$E$46:$L$46&amp;AGR!$E$48:$L$48,0)),""))</f>
        <v/>
      </c>
      <c r="AG77" s="296" t="str">
        <f t="array" aca="1" ref="AG77" ca="1">IF($A77="*","",IFERROR(INDEX(AGR!$E$52:$L$73,MATCH('TS DTech'!$C77,AGR!$B$52:$B$73,0),MATCH('TS DTech'!$B77&amp;AG$7,AGR!$E$46:$L$46&amp;AGR!$E$48:$L$48,0)),""))</f>
        <v/>
      </c>
      <c r="AH77" s="296" t="str">
        <f t="array" aca="1" ref="AH77" ca="1">IF($A77="*","",IFERROR(INDEX(AGR!$E$52:$L$73,MATCH('TS DTech'!$C77,AGR!$B$52:$B$73,0),MATCH('TS DTech'!$B77&amp;AH$7,AGR!$E$46:$L$46&amp;AGR!$E$48:$L$48,0)),""))</f>
        <v/>
      </c>
      <c r="AI77" s="296" t="str">
        <f t="array" aca="1" ref="AI77" ca="1">IF($A77="*","",IFERROR(INDEX(AGR!$E$52:$L$73,MATCH('TS DTech'!$C77,AGR!$B$52:$B$73,0),MATCH('TS DTech'!$B77&amp;AI$7,AGR!$E$46:$L$46&amp;AGR!$E$48:$L$48,0)),""))</f>
        <v/>
      </c>
      <c r="AJ77" s="296" t="str">
        <f t="array" aca="1" ref="AJ77" ca="1">IF($A77="*","",IFERROR(INDEX(AGR!$E$52:$L$73,MATCH('TS DTech'!$C77,AGR!$B$52:$B$73,0),MATCH('TS DTech'!$B77&amp;AJ$7,AGR!$E$46:$L$46&amp;AGR!$E$48:$L$48,0)),""))</f>
        <v/>
      </c>
      <c r="AK77" s="296" t="str">
        <f t="array" aca="1" ref="AK77" ca="1">IF($A77="*","",IFERROR(INDEX(AGR!$E$52:$L$73,MATCH('TS DTech'!$C77,AGR!$B$52:$B$73,0),MATCH('TS DTech'!$B77&amp;AK$7,AGR!$E$46:$L$46&amp;AGR!$E$48:$L$48,0)),""))</f>
        <v/>
      </c>
      <c r="AL77" s="296" t="str">
        <f t="array" aca="1" ref="AL77" ca="1">IF($A77="*","",IFERROR(INDEX(AGR!$E$52:$L$73,MATCH('TS DTech'!$C77,AGR!$B$52:$B$73,0),MATCH('TS DTech'!$B77&amp;AL$7,AGR!$E$46:$L$46&amp;AGR!$E$48:$L$48,0)),""))</f>
        <v/>
      </c>
      <c r="AM77" s="296" t="str">
        <f t="array" aca="1" ref="AM77" ca="1">IF($A77="*","",IFERROR(INDEX(AGR!$E$52:$L$73,MATCH('TS DTech'!$C77,AGR!$B$52:$B$73,0),MATCH('TS DTech'!$B77&amp;AM$7,AGR!$E$46:$L$46&amp;AGR!$E$48:$L$48,0)),""))</f>
        <v/>
      </c>
      <c r="AN77" s="296" t="str">
        <f t="array" aca="1" ref="AN77" ca="1">IF($A77="*","",IFERROR(INDEX(AGR!$E$52:$L$73,MATCH('TS DTech'!$C77,AGR!$B$52:$B$73,0),MATCH('TS DTech'!$B77&amp;AN$7,AGR!$E$46:$L$46&amp;AGR!$E$48:$L$48,0)),""))</f>
        <v/>
      </c>
      <c r="AO77" s="296" t="str">
        <f t="array" aca="1" ref="AO77" ca="1">IF($A77="*","",IFERROR(INDEX(AGR!$E$52:$L$73,MATCH('TS DTech'!$C77,AGR!$B$52:$B$73,0),MATCH('TS DTech'!$B77&amp;AO$7,AGR!$E$46:$L$46&amp;AGR!$E$48:$L$48,0)),""))</f>
        <v/>
      </c>
      <c r="AP77" s="296" t="str">
        <f t="array" aca="1" ref="AP77" ca="1">IF($A77="*","",IFERROR(INDEX(AGR!$E$52:$L$73,MATCH('TS DTech'!$C77,AGR!$B$52:$B$73,0),MATCH('TS DTech'!$B77&amp;AP$7,AGR!$E$46:$L$46&amp;AGR!$E$48:$L$48,0)),""))</f>
        <v/>
      </c>
      <c r="AQ77" s="137">
        <f>IF(AR76=AGR!$AD$74,AQ76+1,AQ76)</f>
        <v>3</v>
      </c>
      <c r="AR77" s="137">
        <f t="shared" si="3"/>
        <v>16</v>
      </c>
    </row>
    <row r="78" spans="1:44">
      <c r="A78" s="137" t="str">
        <f ca="1">IF(LEFT(OFFSET(AGR!$A$51,AR78,0),2)="\I","*","")</f>
        <v/>
      </c>
      <c r="B78" s="212" t="str">
        <f t="shared" ca="1" si="4"/>
        <v>NCAP_BND</v>
      </c>
      <c r="C78" s="212" t="str">
        <f ca="1">IF($A78="*","",OFFSET(AGR!$B$51,AR78,0))</f>
        <v>AIELC-E</v>
      </c>
      <c r="D78" s="212" t="str">
        <f t="shared" ca="1" si="6"/>
        <v>-</v>
      </c>
      <c r="E78" s="212" t="str">
        <f t="shared" ca="1" si="6"/>
        <v>-</v>
      </c>
      <c r="F78" s="212" t="str">
        <f t="shared" ca="1" si="6"/>
        <v>-</v>
      </c>
      <c r="G78" s="212" t="str">
        <f t="shared" ca="1" si="6"/>
        <v>-</v>
      </c>
      <c r="H78" s="212" t="str">
        <f t="shared" ca="1" si="6"/>
        <v>UP</v>
      </c>
      <c r="I78" s="213">
        <f t="shared" ca="1" si="6"/>
        <v>3</v>
      </c>
      <c r="J78" s="296" t="str">
        <f t="array" aca="1" ref="J78" ca="1">IF($A78="*","",IFERROR(INDEX(AGR!$E$52:$L$73,MATCH('TS DTech'!$C78,AGR!$B$52:$B$73,0),MATCH('TS DTech'!$B78&amp;J$7,AGR!$E$46:$L$46&amp;AGR!$E$48:$L$48,0)),""))</f>
        <v/>
      </c>
      <c r="K78" s="296" t="str">
        <f t="array" aca="1" ref="K78" ca="1">IF($A78="*","",IFERROR(INDEX(AGR!$E$52:$L$73,MATCH('TS DTech'!$C78,AGR!$B$52:$B$73,0),MATCH('TS DTech'!$B78&amp;K$7,AGR!$E$46:$L$46&amp;AGR!$E$48:$L$48,0)),""))</f>
        <v/>
      </c>
      <c r="L78" s="296" t="str">
        <f t="array" aca="1" ref="L78" ca="1">IF($A78="*","",IFERROR(INDEX(AGR!$E$52:$L$73,MATCH('TS DTech'!$C78,AGR!$B$52:$B$73,0),MATCH('TS DTech'!$B78&amp;L$7,AGR!$E$46:$L$46&amp;AGR!$E$48:$L$48,0)),""))</f>
        <v/>
      </c>
      <c r="M78" s="296" t="str">
        <f t="array" aca="1" ref="M78" ca="1">IF($A78="*","",IFERROR(INDEX(AGR!$E$52:$L$73,MATCH('TS DTech'!$C78,AGR!$B$52:$B$73,0),MATCH('TS DTech'!$B78&amp;M$7,AGR!$E$46:$L$46&amp;AGR!$E$48:$L$48,0)),""))</f>
        <v/>
      </c>
      <c r="N78" s="296" t="str">
        <f t="array" aca="1" ref="N78" ca="1">IF($A78="*","",IFERROR(INDEX(AGR!$E$52:$L$73,MATCH('TS DTech'!$C78,AGR!$B$52:$B$73,0),MATCH('TS DTech'!$B78&amp;N$7,AGR!$E$46:$L$46&amp;AGR!$E$48:$L$48,0)),""))</f>
        <v/>
      </c>
      <c r="O78" s="296" t="str">
        <f t="array" aca="1" ref="O78" ca="1">IF($A78="*","",IFERROR(INDEX(AGR!$E$52:$L$73,MATCH('TS DTech'!$C78,AGR!$B$52:$B$73,0),MATCH('TS DTech'!$B78&amp;O$7,AGR!$E$46:$L$46&amp;AGR!$E$48:$L$48,0)),""))</f>
        <v/>
      </c>
      <c r="P78" s="296" t="str">
        <f t="array" aca="1" ref="P78" ca="1">IF($A78="*","",IFERROR(INDEX(AGR!$E$52:$L$73,MATCH('TS DTech'!$C78,AGR!$B$52:$B$73,0),MATCH('TS DTech'!$B78&amp;P$7,AGR!$E$46:$L$46&amp;AGR!$E$48:$L$48,0)),""))</f>
        <v/>
      </c>
      <c r="Q78" s="296" t="str">
        <f t="array" aca="1" ref="Q78" ca="1">IF($A78="*","",IFERROR(INDEX(AGR!$E$52:$L$73,MATCH('TS DTech'!$C78,AGR!$B$52:$B$73,0),MATCH('TS DTech'!$B78&amp;Q$7,AGR!$E$46:$L$46&amp;AGR!$E$48:$L$48,0)),""))</f>
        <v/>
      </c>
      <c r="R78" s="296" t="str">
        <f t="array" aca="1" ref="R78" ca="1">IF($A78="*","",IFERROR(INDEX(AGR!$E$52:$L$73,MATCH('TS DTech'!$C78,AGR!$B$52:$B$73,0),MATCH('TS DTech'!$B78&amp;R$7,AGR!$E$46:$L$46&amp;AGR!$E$48:$L$48,0)),""))</f>
        <v/>
      </c>
      <c r="S78" s="296" t="str">
        <f t="array" aca="1" ref="S78" ca="1">IF($A78="*","",IFERROR(INDEX(AGR!$E$52:$L$73,MATCH('TS DTech'!$C78,AGR!$B$52:$B$73,0),MATCH('TS DTech'!$B78&amp;S$7,AGR!$E$46:$L$46&amp;AGR!$E$48:$L$48,0)),""))</f>
        <v/>
      </c>
      <c r="T78" s="296" t="str">
        <f t="array" aca="1" ref="T78" ca="1">IF($A78="*","",IFERROR(INDEX(AGR!$E$52:$L$73,MATCH('TS DTech'!$C78,AGR!$B$52:$B$73,0),MATCH('TS DTech'!$B78&amp;T$7,AGR!$E$46:$L$46&amp;AGR!$E$48:$L$48,0)),""))</f>
        <v/>
      </c>
      <c r="U78" s="296" t="str">
        <f t="array" aca="1" ref="U78" ca="1">IF($A78="*","",IFERROR(INDEX(AGR!$E$52:$L$73,MATCH('TS DTech'!$C78,AGR!$B$52:$B$73,0),MATCH('TS DTech'!$B78&amp;U$7,AGR!$E$46:$L$46&amp;AGR!$E$48:$L$48,0)),""))</f>
        <v/>
      </c>
      <c r="V78" s="296" t="str">
        <f t="array" aca="1" ref="V78" ca="1">IF($A78="*","",IFERROR(INDEX(AGR!$E$52:$L$73,MATCH('TS DTech'!$C78,AGR!$B$52:$B$73,0),MATCH('TS DTech'!$B78&amp;V$7,AGR!$E$46:$L$46&amp;AGR!$E$48:$L$48,0)),""))</f>
        <v/>
      </c>
      <c r="W78" s="296" t="str">
        <f t="array" aca="1" ref="W78" ca="1">IF($A78="*","",IFERROR(INDEX(AGR!$E$52:$L$73,MATCH('TS DTech'!$C78,AGR!$B$52:$B$73,0),MATCH('TS DTech'!$B78&amp;W$7,AGR!$E$46:$L$46&amp;AGR!$E$48:$L$48,0)),""))</f>
        <v/>
      </c>
      <c r="X78" s="296" t="str">
        <f t="array" aca="1" ref="X78" ca="1">IF($A78="*","",IFERROR(INDEX(AGR!$E$52:$L$73,MATCH('TS DTech'!$C78,AGR!$B$52:$B$73,0),MATCH('TS DTech'!$B78&amp;X$7,AGR!$E$46:$L$46&amp;AGR!$E$48:$L$48,0)),""))</f>
        <v/>
      </c>
      <c r="Y78" s="296" t="str">
        <f t="array" aca="1" ref="Y78" ca="1">IF($A78="*","",IFERROR(INDEX(AGR!$E$52:$L$73,MATCH('TS DTech'!$C78,AGR!$B$52:$B$73,0),MATCH('TS DTech'!$B78&amp;Y$7,AGR!$E$46:$L$46&amp;AGR!$E$48:$L$48,0)),""))</f>
        <v/>
      </c>
      <c r="Z78" s="296" t="str">
        <f t="array" aca="1" ref="Z78" ca="1">IF($A78="*","",IFERROR(INDEX(AGR!$E$52:$L$73,MATCH('TS DTech'!$C78,AGR!$B$52:$B$73,0),MATCH('TS DTech'!$B78&amp;Z$7,AGR!$E$46:$L$46&amp;AGR!$E$48:$L$48,0)),""))</f>
        <v/>
      </c>
      <c r="AA78" s="296" t="str">
        <f t="array" aca="1" ref="AA78" ca="1">IF($A78="*","",IFERROR(INDEX(AGR!$E$52:$L$73,MATCH('TS DTech'!$C78,AGR!$B$52:$B$73,0),MATCH('TS DTech'!$B78&amp;AA$7,AGR!$E$46:$L$46&amp;AGR!$E$48:$L$48,0)),""))</f>
        <v/>
      </c>
      <c r="AB78" s="296" t="str">
        <f t="array" aca="1" ref="AB78" ca="1">IF($A78="*","",IFERROR(INDEX(AGR!$E$52:$L$73,MATCH('TS DTech'!$C78,AGR!$B$52:$B$73,0),MATCH('TS DTech'!$B78&amp;AB$7,AGR!$E$46:$L$46&amp;AGR!$E$48:$L$48,0)),""))</f>
        <v/>
      </c>
      <c r="AC78" s="296" t="str">
        <f t="array" aca="1" ref="AC78" ca="1">IF($A78="*","",IFERROR(INDEX(AGR!$E$52:$L$73,MATCH('TS DTech'!$C78,AGR!$B$52:$B$73,0),MATCH('TS DTech'!$B78&amp;AC$7,AGR!$E$46:$L$46&amp;AGR!$E$48:$L$48,0)),""))</f>
        <v/>
      </c>
      <c r="AD78" s="296" t="str">
        <f t="array" aca="1" ref="AD78" ca="1">IF($A78="*","",IFERROR(INDEX(AGR!$E$52:$L$73,MATCH('TS DTech'!$C78,AGR!$B$52:$B$73,0),MATCH('TS DTech'!$B78&amp;AD$7,AGR!$E$46:$L$46&amp;AGR!$E$48:$L$48,0)),""))</f>
        <v/>
      </c>
      <c r="AE78" s="296" t="str">
        <f t="array" aca="1" ref="AE78" ca="1">IF($A78="*","",IFERROR(INDEX(AGR!$E$52:$L$73,MATCH('TS DTech'!$C78,AGR!$B$52:$B$73,0),MATCH('TS DTech'!$B78&amp;AE$7,AGR!$E$46:$L$46&amp;AGR!$E$48:$L$48,0)),""))</f>
        <v/>
      </c>
      <c r="AF78" s="296" t="str">
        <f t="array" aca="1" ref="AF78" ca="1">IF($A78="*","",IFERROR(INDEX(AGR!$E$52:$L$73,MATCH('TS DTech'!$C78,AGR!$B$52:$B$73,0),MATCH('TS DTech'!$B78&amp;AF$7,AGR!$E$46:$L$46&amp;AGR!$E$48:$L$48,0)),""))</f>
        <v/>
      </c>
      <c r="AG78" s="296" t="str">
        <f t="array" aca="1" ref="AG78" ca="1">IF($A78="*","",IFERROR(INDEX(AGR!$E$52:$L$73,MATCH('TS DTech'!$C78,AGR!$B$52:$B$73,0),MATCH('TS DTech'!$B78&amp;AG$7,AGR!$E$46:$L$46&amp;AGR!$E$48:$L$48,0)),""))</f>
        <v/>
      </c>
      <c r="AH78" s="296" t="str">
        <f t="array" aca="1" ref="AH78" ca="1">IF($A78="*","",IFERROR(INDEX(AGR!$E$52:$L$73,MATCH('TS DTech'!$C78,AGR!$B$52:$B$73,0),MATCH('TS DTech'!$B78&amp;AH$7,AGR!$E$46:$L$46&amp;AGR!$E$48:$L$48,0)),""))</f>
        <v/>
      </c>
      <c r="AI78" s="296" t="str">
        <f t="array" aca="1" ref="AI78" ca="1">IF($A78="*","",IFERROR(INDEX(AGR!$E$52:$L$73,MATCH('TS DTech'!$C78,AGR!$B$52:$B$73,0),MATCH('TS DTech'!$B78&amp;AI$7,AGR!$E$46:$L$46&amp;AGR!$E$48:$L$48,0)),""))</f>
        <v/>
      </c>
      <c r="AJ78" s="296" t="str">
        <f t="array" aca="1" ref="AJ78" ca="1">IF($A78="*","",IFERROR(INDEX(AGR!$E$52:$L$73,MATCH('TS DTech'!$C78,AGR!$B$52:$B$73,0),MATCH('TS DTech'!$B78&amp;AJ$7,AGR!$E$46:$L$46&amp;AGR!$E$48:$L$48,0)),""))</f>
        <v/>
      </c>
      <c r="AK78" s="296" t="str">
        <f t="array" aca="1" ref="AK78" ca="1">IF($A78="*","",IFERROR(INDEX(AGR!$E$52:$L$73,MATCH('TS DTech'!$C78,AGR!$B$52:$B$73,0),MATCH('TS DTech'!$B78&amp;AK$7,AGR!$E$46:$L$46&amp;AGR!$E$48:$L$48,0)),""))</f>
        <v/>
      </c>
      <c r="AL78" s="296" t="str">
        <f t="array" aca="1" ref="AL78" ca="1">IF($A78="*","",IFERROR(INDEX(AGR!$E$52:$L$73,MATCH('TS DTech'!$C78,AGR!$B$52:$B$73,0),MATCH('TS DTech'!$B78&amp;AL$7,AGR!$E$46:$L$46&amp;AGR!$E$48:$L$48,0)),""))</f>
        <v/>
      </c>
      <c r="AM78" s="296" t="str">
        <f t="array" aca="1" ref="AM78" ca="1">IF($A78="*","",IFERROR(INDEX(AGR!$E$52:$L$73,MATCH('TS DTech'!$C78,AGR!$B$52:$B$73,0),MATCH('TS DTech'!$B78&amp;AM$7,AGR!$E$46:$L$46&amp;AGR!$E$48:$L$48,0)),""))</f>
        <v/>
      </c>
      <c r="AN78" s="296" t="str">
        <f t="array" aca="1" ref="AN78" ca="1">IF($A78="*","",IFERROR(INDEX(AGR!$E$52:$L$73,MATCH('TS DTech'!$C78,AGR!$B$52:$B$73,0),MATCH('TS DTech'!$B78&amp;AN$7,AGR!$E$46:$L$46&amp;AGR!$E$48:$L$48,0)),""))</f>
        <v/>
      </c>
      <c r="AO78" s="296" t="str">
        <f t="array" aca="1" ref="AO78" ca="1">IF($A78="*","",IFERROR(INDEX(AGR!$E$52:$L$73,MATCH('TS DTech'!$C78,AGR!$B$52:$B$73,0),MATCH('TS DTech'!$B78&amp;AO$7,AGR!$E$46:$L$46&amp;AGR!$E$48:$L$48,0)),""))</f>
        <v/>
      </c>
      <c r="AP78" s="296" t="str">
        <f t="array" aca="1" ref="AP78" ca="1">IF($A78="*","",IFERROR(INDEX(AGR!$E$52:$L$73,MATCH('TS DTech'!$C78,AGR!$B$52:$B$73,0),MATCH('TS DTech'!$B78&amp;AP$7,AGR!$E$46:$L$46&amp;AGR!$E$48:$L$48,0)),""))</f>
        <v/>
      </c>
      <c r="AQ78" s="137">
        <f>IF(AR77=AGR!$AD$74,AQ77+1,AQ77)</f>
        <v>3</v>
      </c>
      <c r="AR78" s="137">
        <f t="shared" si="3"/>
        <v>17</v>
      </c>
    </row>
    <row r="79" spans="1:44">
      <c r="A79" s="137" t="str">
        <f ca="1">IF(LEFT(OFFSET(AGR!$A$51,AR79,0),2)="\I","*","")</f>
        <v/>
      </c>
      <c r="B79" s="212" t="str">
        <f t="shared" ca="1" si="4"/>
        <v>NCAP_BND</v>
      </c>
      <c r="C79" s="212" t="str">
        <f ca="1">IF($A79="*","",OFFSET(AGR!$B$51,AR79,0))</f>
        <v>AIOGS-E</v>
      </c>
      <c r="D79" s="212" t="str">
        <f t="shared" ca="1" si="6"/>
        <v>-</v>
      </c>
      <c r="E79" s="212" t="str">
        <f t="shared" ca="1" si="6"/>
        <v>-</v>
      </c>
      <c r="F79" s="212" t="str">
        <f t="shared" ca="1" si="6"/>
        <v>-</v>
      </c>
      <c r="G79" s="212" t="str">
        <f t="shared" ca="1" si="6"/>
        <v>-</v>
      </c>
      <c r="H79" s="212" t="str">
        <f t="shared" ca="1" si="6"/>
        <v>UP</v>
      </c>
      <c r="I79" s="213">
        <f t="shared" ca="1" si="6"/>
        <v>3</v>
      </c>
      <c r="J79" s="296" t="str">
        <f t="array" aca="1" ref="J79" ca="1">IF($A79="*","",IFERROR(INDEX(AGR!$E$52:$L$73,MATCH('TS DTech'!$C79,AGR!$B$52:$B$73,0),MATCH('TS DTech'!$B79&amp;J$7,AGR!$E$46:$L$46&amp;AGR!$E$48:$L$48,0)),""))</f>
        <v/>
      </c>
      <c r="K79" s="296" t="str">
        <f t="array" aca="1" ref="K79" ca="1">IF($A79="*","",IFERROR(INDEX(AGR!$E$52:$L$73,MATCH('TS DTech'!$C79,AGR!$B$52:$B$73,0),MATCH('TS DTech'!$B79&amp;K$7,AGR!$E$46:$L$46&amp;AGR!$E$48:$L$48,0)),""))</f>
        <v/>
      </c>
      <c r="L79" s="296" t="str">
        <f t="array" aca="1" ref="L79" ca="1">IF($A79="*","",IFERROR(INDEX(AGR!$E$52:$L$73,MATCH('TS DTech'!$C79,AGR!$B$52:$B$73,0),MATCH('TS DTech'!$B79&amp;L$7,AGR!$E$46:$L$46&amp;AGR!$E$48:$L$48,0)),""))</f>
        <v/>
      </c>
      <c r="M79" s="296" t="str">
        <f t="array" aca="1" ref="M79" ca="1">IF($A79="*","",IFERROR(INDEX(AGR!$E$52:$L$73,MATCH('TS DTech'!$C79,AGR!$B$52:$B$73,0),MATCH('TS DTech'!$B79&amp;M$7,AGR!$E$46:$L$46&amp;AGR!$E$48:$L$48,0)),""))</f>
        <v/>
      </c>
      <c r="N79" s="296" t="str">
        <f t="array" aca="1" ref="N79" ca="1">IF($A79="*","",IFERROR(INDEX(AGR!$E$52:$L$73,MATCH('TS DTech'!$C79,AGR!$B$52:$B$73,0),MATCH('TS DTech'!$B79&amp;N$7,AGR!$E$46:$L$46&amp;AGR!$E$48:$L$48,0)),""))</f>
        <v/>
      </c>
      <c r="O79" s="296" t="str">
        <f t="array" aca="1" ref="O79" ca="1">IF($A79="*","",IFERROR(INDEX(AGR!$E$52:$L$73,MATCH('TS DTech'!$C79,AGR!$B$52:$B$73,0),MATCH('TS DTech'!$B79&amp;O$7,AGR!$E$46:$L$46&amp;AGR!$E$48:$L$48,0)),""))</f>
        <v/>
      </c>
      <c r="P79" s="296" t="str">
        <f t="array" aca="1" ref="P79" ca="1">IF($A79="*","",IFERROR(INDEX(AGR!$E$52:$L$73,MATCH('TS DTech'!$C79,AGR!$B$52:$B$73,0),MATCH('TS DTech'!$B79&amp;P$7,AGR!$E$46:$L$46&amp;AGR!$E$48:$L$48,0)),""))</f>
        <v/>
      </c>
      <c r="Q79" s="296" t="str">
        <f t="array" aca="1" ref="Q79" ca="1">IF($A79="*","",IFERROR(INDEX(AGR!$E$52:$L$73,MATCH('TS DTech'!$C79,AGR!$B$52:$B$73,0),MATCH('TS DTech'!$B79&amp;Q$7,AGR!$E$46:$L$46&amp;AGR!$E$48:$L$48,0)),""))</f>
        <v/>
      </c>
      <c r="R79" s="296" t="str">
        <f t="array" aca="1" ref="R79" ca="1">IF($A79="*","",IFERROR(INDEX(AGR!$E$52:$L$73,MATCH('TS DTech'!$C79,AGR!$B$52:$B$73,0),MATCH('TS DTech'!$B79&amp;R$7,AGR!$E$46:$L$46&amp;AGR!$E$48:$L$48,0)),""))</f>
        <v/>
      </c>
      <c r="S79" s="296" t="str">
        <f t="array" aca="1" ref="S79" ca="1">IF($A79="*","",IFERROR(INDEX(AGR!$E$52:$L$73,MATCH('TS DTech'!$C79,AGR!$B$52:$B$73,0),MATCH('TS DTech'!$B79&amp;S$7,AGR!$E$46:$L$46&amp;AGR!$E$48:$L$48,0)),""))</f>
        <v/>
      </c>
      <c r="T79" s="296" t="str">
        <f t="array" aca="1" ref="T79" ca="1">IF($A79="*","",IFERROR(INDEX(AGR!$E$52:$L$73,MATCH('TS DTech'!$C79,AGR!$B$52:$B$73,0),MATCH('TS DTech'!$B79&amp;T$7,AGR!$E$46:$L$46&amp;AGR!$E$48:$L$48,0)),""))</f>
        <v/>
      </c>
      <c r="U79" s="296" t="str">
        <f t="array" aca="1" ref="U79" ca="1">IF($A79="*","",IFERROR(INDEX(AGR!$E$52:$L$73,MATCH('TS DTech'!$C79,AGR!$B$52:$B$73,0),MATCH('TS DTech'!$B79&amp;U$7,AGR!$E$46:$L$46&amp;AGR!$E$48:$L$48,0)),""))</f>
        <v/>
      </c>
      <c r="V79" s="296" t="str">
        <f t="array" aca="1" ref="V79" ca="1">IF($A79="*","",IFERROR(INDEX(AGR!$E$52:$L$73,MATCH('TS DTech'!$C79,AGR!$B$52:$B$73,0),MATCH('TS DTech'!$B79&amp;V$7,AGR!$E$46:$L$46&amp;AGR!$E$48:$L$48,0)),""))</f>
        <v/>
      </c>
      <c r="W79" s="296" t="str">
        <f t="array" aca="1" ref="W79" ca="1">IF($A79="*","",IFERROR(INDEX(AGR!$E$52:$L$73,MATCH('TS DTech'!$C79,AGR!$B$52:$B$73,0),MATCH('TS DTech'!$B79&amp;W$7,AGR!$E$46:$L$46&amp;AGR!$E$48:$L$48,0)),""))</f>
        <v/>
      </c>
      <c r="X79" s="296" t="str">
        <f t="array" aca="1" ref="X79" ca="1">IF($A79="*","",IFERROR(INDEX(AGR!$E$52:$L$73,MATCH('TS DTech'!$C79,AGR!$B$52:$B$73,0),MATCH('TS DTech'!$B79&amp;X$7,AGR!$E$46:$L$46&amp;AGR!$E$48:$L$48,0)),""))</f>
        <v/>
      </c>
      <c r="Y79" s="296" t="str">
        <f t="array" aca="1" ref="Y79" ca="1">IF($A79="*","",IFERROR(INDEX(AGR!$E$52:$L$73,MATCH('TS DTech'!$C79,AGR!$B$52:$B$73,0),MATCH('TS DTech'!$B79&amp;Y$7,AGR!$E$46:$L$46&amp;AGR!$E$48:$L$48,0)),""))</f>
        <v/>
      </c>
      <c r="Z79" s="296" t="str">
        <f t="array" aca="1" ref="Z79" ca="1">IF($A79="*","",IFERROR(INDEX(AGR!$E$52:$L$73,MATCH('TS DTech'!$C79,AGR!$B$52:$B$73,0),MATCH('TS DTech'!$B79&amp;Z$7,AGR!$E$46:$L$46&amp;AGR!$E$48:$L$48,0)),""))</f>
        <v/>
      </c>
      <c r="AA79" s="296" t="str">
        <f t="array" aca="1" ref="AA79" ca="1">IF($A79="*","",IFERROR(INDEX(AGR!$E$52:$L$73,MATCH('TS DTech'!$C79,AGR!$B$52:$B$73,0),MATCH('TS DTech'!$B79&amp;AA$7,AGR!$E$46:$L$46&amp;AGR!$E$48:$L$48,0)),""))</f>
        <v/>
      </c>
      <c r="AB79" s="296" t="str">
        <f t="array" aca="1" ref="AB79" ca="1">IF($A79="*","",IFERROR(INDEX(AGR!$E$52:$L$73,MATCH('TS DTech'!$C79,AGR!$B$52:$B$73,0),MATCH('TS DTech'!$B79&amp;AB$7,AGR!$E$46:$L$46&amp;AGR!$E$48:$L$48,0)),""))</f>
        <v/>
      </c>
      <c r="AC79" s="296" t="str">
        <f t="array" aca="1" ref="AC79" ca="1">IF($A79="*","",IFERROR(INDEX(AGR!$E$52:$L$73,MATCH('TS DTech'!$C79,AGR!$B$52:$B$73,0),MATCH('TS DTech'!$B79&amp;AC$7,AGR!$E$46:$L$46&amp;AGR!$E$48:$L$48,0)),""))</f>
        <v/>
      </c>
      <c r="AD79" s="296" t="str">
        <f t="array" aca="1" ref="AD79" ca="1">IF($A79="*","",IFERROR(INDEX(AGR!$E$52:$L$73,MATCH('TS DTech'!$C79,AGR!$B$52:$B$73,0),MATCH('TS DTech'!$B79&amp;AD$7,AGR!$E$46:$L$46&amp;AGR!$E$48:$L$48,0)),""))</f>
        <v/>
      </c>
      <c r="AE79" s="296" t="str">
        <f t="array" aca="1" ref="AE79" ca="1">IF($A79="*","",IFERROR(INDEX(AGR!$E$52:$L$73,MATCH('TS DTech'!$C79,AGR!$B$52:$B$73,0),MATCH('TS DTech'!$B79&amp;AE$7,AGR!$E$46:$L$46&amp;AGR!$E$48:$L$48,0)),""))</f>
        <v/>
      </c>
      <c r="AF79" s="296" t="str">
        <f t="array" aca="1" ref="AF79" ca="1">IF($A79="*","",IFERROR(INDEX(AGR!$E$52:$L$73,MATCH('TS DTech'!$C79,AGR!$B$52:$B$73,0),MATCH('TS DTech'!$B79&amp;AF$7,AGR!$E$46:$L$46&amp;AGR!$E$48:$L$48,0)),""))</f>
        <v/>
      </c>
      <c r="AG79" s="296" t="str">
        <f t="array" aca="1" ref="AG79" ca="1">IF($A79="*","",IFERROR(INDEX(AGR!$E$52:$L$73,MATCH('TS DTech'!$C79,AGR!$B$52:$B$73,0),MATCH('TS DTech'!$B79&amp;AG$7,AGR!$E$46:$L$46&amp;AGR!$E$48:$L$48,0)),""))</f>
        <v/>
      </c>
      <c r="AH79" s="296" t="str">
        <f t="array" aca="1" ref="AH79" ca="1">IF($A79="*","",IFERROR(INDEX(AGR!$E$52:$L$73,MATCH('TS DTech'!$C79,AGR!$B$52:$B$73,0),MATCH('TS DTech'!$B79&amp;AH$7,AGR!$E$46:$L$46&amp;AGR!$E$48:$L$48,0)),""))</f>
        <v/>
      </c>
      <c r="AI79" s="296" t="str">
        <f t="array" aca="1" ref="AI79" ca="1">IF($A79="*","",IFERROR(INDEX(AGR!$E$52:$L$73,MATCH('TS DTech'!$C79,AGR!$B$52:$B$73,0),MATCH('TS DTech'!$B79&amp;AI$7,AGR!$E$46:$L$46&amp;AGR!$E$48:$L$48,0)),""))</f>
        <v/>
      </c>
      <c r="AJ79" s="296" t="str">
        <f t="array" aca="1" ref="AJ79" ca="1">IF($A79="*","",IFERROR(INDEX(AGR!$E$52:$L$73,MATCH('TS DTech'!$C79,AGR!$B$52:$B$73,0),MATCH('TS DTech'!$B79&amp;AJ$7,AGR!$E$46:$L$46&amp;AGR!$E$48:$L$48,0)),""))</f>
        <v/>
      </c>
      <c r="AK79" s="296" t="str">
        <f t="array" aca="1" ref="AK79" ca="1">IF($A79="*","",IFERROR(INDEX(AGR!$E$52:$L$73,MATCH('TS DTech'!$C79,AGR!$B$52:$B$73,0),MATCH('TS DTech'!$B79&amp;AK$7,AGR!$E$46:$L$46&amp;AGR!$E$48:$L$48,0)),""))</f>
        <v/>
      </c>
      <c r="AL79" s="296" t="str">
        <f t="array" aca="1" ref="AL79" ca="1">IF($A79="*","",IFERROR(INDEX(AGR!$E$52:$L$73,MATCH('TS DTech'!$C79,AGR!$B$52:$B$73,0),MATCH('TS DTech'!$B79&amp;AL$7,AGR!$E$46:$L$46&amp;AGR!$E$48:$L$48,0)),""))</f>
        <v/>
      </c>
      <c r="AM79" s="296" t="str">
        <f t="array" aca="1" ref="AM79" ca="1">IF($A79="*","",IFERROR(INDEX(AGR!$E$52:$L$73,MATCH('TS DTech'!$C79,AGR!$B$52:$B$73,0),MATCH('TS DTech'!$B79&amp;AM$7,AGR!$E$46:$L$46&amp;AGR!$E$48:$L$48,0)),""))</f>
        <v/>
      </c>
      <c r="AN79" s="296" t="str">
        <f t="array" aca="1" ref="AN79" ca="1">IF($A79="*","",IFERROR(INDEX(AGR!$E$52:$L$73,MATCH('TS DTech'!$C79,AGR!$B$52:$B$73,0),MATCH('TS DTech'!$B79&amp;AN$7,AGR!$E$46:$L$46&amp;AGR!$E$48:$L$48,0)),""))</f>
        <v/>
      </c>
      <c r="AO79" s="296" t="str">
        <f t="array" aca="1" ref="AO79" ca="1">IF($A79="*","",IFERROR(INDEX(AGR!$E$52:$L$73,MATCH('TS DTech'!$C79,AGR!$B$52:$B$73,0),MATCH('TS DTech'!$B79&amp;AO$7,AGR!$E$46:$L$46&amp;AGR!$E$48:$L$48,0)),""))</f>
        <v/>
      </c>
      <c r="AP79" s="296" t="str">
        <f t="array" aca="1" ref="AP79" ca="1">IF($A79="*","",IFERROR(INDEX(AGR!$E$52:$L$73,MATCH('TS DTech'!$C79,AGR!$B$52:$B$73,0),MATCH('TS DTech'!$B79&amp;AP$7,AGR!$E$46:$L$46&amp;AGR!$E$48:$L$48,0)),""))</f>
        <v/>
      </c>
      <c r="AQ79" s="137">
        <f>IF(AR78=AGR!$AD$74,AQ78+1,AQ78)</f>
        <v>3</v>
      </c>
      <c r="AR79" s="137">
        <f t="shared" si="3"/>
        <v>18</v>
      </c>
    </row>
    <row r="80" spans="1:44">
      <c r="A80" s="137" t="str">
        <f ca="1">IF(LEFT(OFFSET(AGR!$A$51,AR80,0),2)="\I","*","")</f>
        <v>*</v>
      </c>
      <c r="B80" s="212" t="str">
        <f t="shared" ref="B80:B111" ca="1" si="7">IF(A80="*","",VLOOKUP("*"&amp;AQ80,$A$9:$B$14,2,FALSE))</f>
        <v/>
      </c>
      <c r="C80" s="212" t="str">
        <f ca="1">IF($A80="*","",OFFSET(AGR!$B$51,AR80,0))</f>
        <v/>
      </c>
      <c r="D80" s="212" t="str">
        <f t="shared" ca="1" si="6"/>
        <v/>
      </c>
      <c r="E80" s="212" t="str">
        <f t="shared" ca="1" si="6"/>
        <v/>
      </c>
      <c r="F80" s="212" t="str">
        <f t="shared" ca="1" si="6"/>
        <v/>
      </c>
      <c r="G80" s="212" t="str">
        <f t="shared" ca="1" si="6"/>
        <v/>
      </c>
      <c r="H80" s="212" t="str">
        <f t="shared" ca="1" si="6"/>
        <v/>
      </c>
      <c r="I80" s="213" t="str">
        <f t="shared" ca="1" si="6"/>
        <v/>
      </c>
      <c r="J80" s="296" t="str">
        <f t="array" aca="1" ref="J80" ca="1">IF($A80="*","",IFERROR(INDEX(AGR!$E$52:$L$73,MATCH('TS DTech'!$C80,AGR!$B$52:$B$73,0),MATCH('TS DTech'!$B80&amp;J$7,AGR!$E$46:$L$46&amp;AGR!$E$48:$L$48,0)),""))</f>
        <v/>
      </c>
      <c r="K80" s="296" t="str">
        <f t="array" aca="1" ref="K80" ca="1">IF($A80="*","",IFERROR(INDEX(AGR!$E$52:$L$73,MATCH('TS DTech'!$C80,AGR!$B$52:$B$73,0),MATCH('TS DTech'!$B80&amp;K$7,AGR!$E$46:$L$46&amp;AGR!$E$48:$L$48,0)),""))</f>
        <v/>
      </c>
      <c r="L80" s="296" t="str">
        <f t="array" aca="1" ref="L80" ca="1">IF($A80="*","",IFERROR(INDEX(AGR!$E$52:$L$73,MATCH('TS DTech'!$C80,AGR!$B$52:$B$73,0),MATCH('TS DTech'!$B80&amp;L$7,AGR!$E$46:$L$46&amp;AGR!$E$48:$L$48,0)),""))</f>
        <v/>
      </c>
      <c r="M80" s="296" t="str">
        <f t="array" aca="1" ref="M80" ca="1">IF($A80="*","",IFERROR(INDEX(AGR!$E$52:$L$73,MATCH('TS DTech'!$C80,AGR!$B$52:$B$73,0),MATCH('TS DTech'!$B80&amp;M$7,AGR!$E$46:$L$46&amp;AGR!$E$48:$L$48,0)),""))</f>
        <v/>
      </c>
      <c r="N80" s="296" t="str">
        <f t="array" aca="1" ref="N80" ca="1">IF($A80="*","",IFERROR(INDEX(AGR!$E$52:$L$73,MATCH('TS DTech'!$C80,AGR!$B$52:$B$73,0),MATCH('TS DTech'!$B80&amp;N$7,AGR!$E$46:$L$46&amp;AGR!$E$48:$L$48,0)),""))</f>
        <v/>
      </c>
      <c r="O80" s="296" t="str">
        <f t="array" aca="1" ref="O80" ca="1">IF($A80="*","",IFERROR(INDEX(AGR!$E$52:$L$73,MATCH('TS DTech'!$C80,AGR!$B$52:$B$73,0),MATCH('TS DTech'!$B80&amp;O$7,AGR!$E$46:$L$46&amp;AGR!$E$48:$L$48,0)),""))</f>
        <v/>
      </c>
      <c r="P80" s="296" t="str">
        <f t="array" aca="1" ref="P80" ca="1">IF($A80="*","",IFERROR(INDEX(AGR!$E$52:$L$73,MATCH('TS DTech'!$C80,AGR!$B$52:$B$73,0),MATCH('TS DTech'!$B80&amp;P$7,AGR!$E$46:$L$46&amp;AGR!$E$48:$L$48,0)),""))</f>
        <v/>
      </c>
      <c r="Q80" s="296" t="str">
        <f t="array" aca="1" ref="Q80" ca="1">IF($A80="*","",IFERROR(INDEX(AGR!$E$52:$L$73,MATCH('TS DTech'!$C80,AGR!$B$52:$B$73,0),MATCH('TS DTech'!$B80&amp;Q$7,AGR!$E$46:$L$46&amp;AGR!$E$48:$L$48,0)),""))</f>
        <v/>
      </c>
      <c r="R80" s="296" t="str">
        <f t="array" aca="1" ref="R80" ca="1">IF($A80="*","",IFERROR(INDEX(AGR!$E$52:$L$73,MATCH('TS DTech'!$C80,AGR!$B$52:$B$73,0),MATCH('TS DTech'!$B80&amp;R$7,AGR!$E$46:$L$46&amp;AGR!$E$48:$L$48,0)),""))</f>
        <v/>
      </c>
      <c r="S80" s="296" t="str">
        <f t="array" aca="1" ref="S80" ca="1">IF($A80="*","",IFERROR(INDEX(AGR!$E$52:$L$73,MATCH('TS DTech'!$C80,AGR!$B$52:$B$73,0),MATCH('TS DTech'!$B80&amp;S$7,AGR!$E$46:$L$46&amp;AGR!$E$48:$L$48,0)),""))</f>
        <v/>
      </c>
      <c r="T80" s="296" t="str">
        <f t="array" aca="1" ref="T80" ca="1">IF($A80="*","",IFERROR(INDEX(AGR!$E$52:$L$73,MATCH('TS DTech'!$C80,AGR!$B$52:$B$73,0),MATCH('TS DTech'!$B80&amp;T$7,AGR!$E$46:$L$46&amp;AGR!$E$48:$L$48,0)),""))</f>
        <v/>
      </c>
      <c r="U80" s="296" t="str">
        <f t="array" aca="1" ref="U80" ca="1">IF($A80="*","",IFERROR(INDEX(AGR!$E$52:$L$73,MATCH('TS DTech'!$C80,AGR!$B$52:$B$73,0),MATCH('TS DTech'!$B80&amp;U$7,AGR!$E$46:$L$46&amp;AGR!$E$48:$L$48,0)),""))</f>
        <v/>
      </c>
      <c r="V80" s="296" t="str">
        <f t="array" aca="1" ref="V80" ca="1">IF($A80="*","",IFERROR(INDEX(AGR!$E$52:$L$73,MATCH('TS DTech'!$C80,AGR!$B$52:$B$73,0),MATCH('TS DTech'!$B80&amp;V$7,AGR!$E$46:$L$46&amp;AGR!$E$48:$L$48,0)),""))</f>
        <v/>
      </c>
      <c r="W80" s="296" t="str">
        <f t="array" aca="1" ref="W80" ca="1">IF($A80="*","",IFERROR(INDEX(AGR!$E$52:$L$73,MATCH('TS DTech'!$C80,AGR!$B$52:$B$73,0),MATCH('TS DTech'!$B80&amp;W$7,AGR!$E$46:$L$46&amp;AGR!$E$48:$L$48,0)),""))</f>
        <v/>
      </c>
      <c r="X80" s="296" t="str">
        <f t="array" aca="1" ref="X80" ca="1">IF($A80="*","",IFERROR(INDEX(AGR!$E$52:$L$73,MATCH('TS DTech'!$C80,AGR!$B$52:$B$73,0),MATCH('TS DTech'!$B80&amp;X$7,AGR!$E$46:$L$46&amp;AGR!$E$48:$L$48,0)),""))</f>
        <v/>
      </c>
      <c r="Y80" s="296" t="str">
        <f t="array" aca="1" ref="Y80" ca="1">IF($A80="*","",IFERROR(INDEX(AGR!$E$52:$L$73,MATCH('TS DTech'!$C80,AGR!$B$52:$B$73,0),MATCH('TS DTech'!$B80&amp;Y$7,AGR!$E$46:$L$46&amp;AGR!$E$48:$L$48,0)),""))</f>
        <v/>
      </c>
      <c r="Z80" s="296" t="str">
        <f t="array" aca="1" ref="Z80" ca="1">IF($A80="*","",IFERROR(INDEX(AGR!$E$52:$L$73,MATCH('TS DTech'!$C80,AGR!$B$52:$B$73,0),MATCH('TS DTech'!$B80&amp;Z$7,AGR!$E$46:$L$46&amp;AGR!$E$48:$L$48,0)),""))</f>
        <v/>
      </c>
      <c r="AA80" s="296" t="str">
        <f t="array" aca="1" ref="AA80" ca="1">IF($A80="*","",IFERROR(INDEX(AGR!$E$52:$L$73,MATCH('TS DTech'!$C80,AGR!$B$52:$B$73,0),MATCH('TS DTech'!$B80&amp;AA$7,AGR!$E$46:$L$46&amp;AGR!$E$48:$L$48,0)),""))</f>
        <v/>
      </c>
      <c r="AB80" s="296" t="str">
        <f t="array" aca="1" ref="AB80" ca="1">IF($A80="*","",IFERROR(INDEX(AGR!$E$52:$L$73,MATCH('TS DTech'!$C80,AGR!$B$52:$B$73,0),MATCH('TS DTech'!$B80&amp;AB$7,AGR!$E$46:$L$46&amp;AGR!$E$48:$L$48,0)),""))</f>
        <v/>
      </c>
      <c r="AC80" s="296" t="str">
        <f t="array" aca="1" ref="AC80" ca="1">IF($A80="*","",IFERROR(INDEX(AGR!$E$52:$L$73,MATCH('TS DTech'!$C80,AGR!$B$52:$B$73,0),MATCH('TS DTech'!$B80&amp;AC$7,AGR!$E$46:$L$46&amp;AGR!$E$48:$L$48,0)),""))</f>
        <v/>
      </c>
      <c r="AD80" s="296" t="str">
        <f t="array" aca="1" ref="AD80" ca="1">IF($A80="*","",IFERROR(INDEX(AGR!$E$52:$L$73,MATCH('TS DTech'!$C80,AGR!$B$52:$B$73,0),MATCH('TS DTech'!$B80&amp;AD$7,AGR!$E$46:$L$46&amp;AGR!$E$48:$L$48,0)),""))</f>
        <v/>
      </c>
      <c r="AE80" s="296" t="str">
        <f t="array" aca="1" ref="AE80" ca="1">IF($A80="*","",IFERROR(INDEX(AGR!$E$52:$L$73,MATCH('TS DTech'!$C80,AGR!$B$52:$B$73,0),MATCH('TS DTech'!$B80&amp;AE$7,AGR!$E$46:$L$46&amp;AGR!$E$48:$L$48,0)),""))</f>
        <v/>
      </c>
      <c r="AF80" s="296" t="str">
        <f t="array" aca="1" ref="AF80" ca="1">IF($A80="*","",IFERROR(INDEX(AGR!$E$52:$L$73,MATCH('TS DTech'!$C80,AGR!$B$52:$B$73,0),MATCH('TS DTech'!$B80&amp;AF$7,AGR!$E$46:$L$46&amp;AGR!$E$48:$L$48,0)),""))</f>
        <v/>
      </c>
      <c r="AG80" s="296" t="str">
        <f t="array" aca="1" ref="AG80" ca="1">IF($A80="*","",IFERROR(INDEX(AGR!$E$52:$L$73,MATCH('TS DTech'!$C80,AGR!$B$52:$B$73,0),MATCH('TS DTech'!$B80&amp;AG$7,AGR!$E$46:$L$46&amp;AGR!$E$48:$L$48,0)),""))</f>
        <v/>
      </c>
      <c r="AH80" s="296" t="str">
        <f t="array" aca="1" ref="AH80" ca="1">IF($A80="*","",IFERROR(INDEX(AGR!$E$52:$L$73,MATCH('TS DTech'!$C80,AGR!$B$52:$B$73,0),MATCH('TS DTech'!$B80&amp;AH$7,AGR!$E$46:$L$46&amp;AGR!$E$48:$L$48,0)),""))</f>
        <v/>
      </c>
      <c r="AI80" s="296" t="str">
        <f t="array" aca="1" ref="AI80" ca="1">IF($A80="*","",IFERROR(INDEX(AGR!$E$52:$L$73,MATCH('TS DTech'!$C80,AGR!$B$52:$B$73,0),MATCH('TS DTech'!$B80&amp;AI$7,AGR!$E$46:$L$46&amp;AGR!$E$48:$L$48,0)),""))</f>
        <v/>
      </c>
      <c r="AJ80" s="296" t="str">
        <f t="array" aca="1" ref="AJ80" ca="1">IF($A80="*","",IFERROR(INDEX(AGR!$E$52:$L$73,MATCH('TS DTech'!$C80,AGR!$B$52:$B$73,0),MATCH('TS DTech'!$B80&amp;AJ$7,AGR!$E$46:$L$46&amp;AGR!$E$48:$L$48,0)),""))</f>
        <v/>
      </c>
      <c r="AK80" s="296" t="str">
        <f t="array" aca="1" ref="AK80" ca="1">IF($A80="*","",IFERROR(INDEX(AGR!$E$52:$L$73,MATCH('TS DTech'!$C80,AGR!$B$52:$B$73,0),MATCH('TS DTech'!$B80&amp;AK$7,AGR!$E$46:$L$46&amp;AGR!$E$48:$L$48,0)),""))</f>
        <v/>
      </c>
      <c r="AL80" s="296" t="str">
        <f t="array" aca="1" ref="AL80" ca="1">IF($A80="*","",IFERROR(INDEX(AGR!$E$52:$L$73,MATCH('TS DTech'!$C80,AGR!$B$52:$B$73,0),MATCH('TS DTech'!$B80&amp;AL$7,AGR!$E$46:$L$46&amp;AGR!$E$48:$L$48,0)),""))</f>
        <v/>
      </c>
      <c r="AM80" s="296" t="str">
        <f t="array" aca="1" ref="AM80" ca="1">IF($A80="*","",IFERROR(INDEX(AGR!$E$52:$L$73,MATCH('TS DTech'!$C80,AGR!$B$52:$B$73,0),MATCH('TS DTech'!$B80&amp;AM$7,AGR!$E$46:$L$46&amp;AGR!$E$48:$L$48,0)),""))</f>
        <v/>
      </c>
      <c r="AN80" s="296" t="str">
        <f t="array" aca="1" ref="AN80" ca="1">IF($A80="*","",IFERROR(INDEX(AGR!$E$52:$L$73,MATCH('TS DTech'!$C80,AGR!$B$52:$B$73,0),MATCH('TS DTech'!$B80&amp;AN$7,AGR!$E$46:$L$46&amp;AGR!$E$48:$L$48,0)),""))</f>
        <v/>
      </c>
      <c r="AO80" s="296" t="str">
        <f t="array" aca="1" ref="AO80" ca="1">IF($A80="*","",IFERROR(INDEX(AGR!$E$52:$L$73,MATCH('TS DTech'!$C80,AGR!$B$52:$B$73,0),MATCH('TS DTech'!$B80&amp;AO$7,AGR!$E$46:$L$46&amp;AGR!$E$48:$L$48,0)),""))</f>
        <v/>
      </c>
      <c r="AP80" s="296" t="str">
        <f t="array" aca="1" ref="AP80" ca="1">IF($A80="*","",IFERROR(INDEX(AGR!$E$52:$L$73,MATCH('TS DTech'!$C80,AGR!$B$52:$B$73,0),MATCH('TS DTech'!$B80&amp;AP$7,AGR!$E$46:$L$46&amp;AGR!$E$48:$L$48,0)),""))</f>
        <v/>
      </c>
      <c r="AQ80" s="137">
        <f>IF(AR79=AGR!$AD$74,AQ79+1,AQ79)</f>
        <v>3</v>
      </c>
      <c r="AR80" s="137">
        <f t="shared" si="3"/>
        <v>19</v>
      </c>
    </row>
    <row r="81" spans="1:44">
      <c r="A81" s="137" t="str">
        <f ca="1">IF(LEFT(OFFSET(AGR!$A$51,AR81,0),2)="\I","*","")</f>
        <v>*</v>
      </c>
      <c r="B81" s="212" t="str">
        <f t="shared" ca="1" si="7"/>
        <v/>
      </c>
      <c r="C81" s="212" t="str">
        <f ca="1">IF($A81="*","",OFFSET(AGR!$B$51,AR81,0))</f>
        <v/>
      </c>
      <c r="D81" s="212" t="str">
        <f t="shared" ca="1" si="6"/>
        <v/>
      </c>
      <c r="E81" s="212" t="str">
        <f t="shared" ca="1" si="6"/>
        <v/>
      </c>
      <c r="F81" s="212" t="str">
        <f t="shared" ca="1" si="6"/>
        <v/>
      </c>
      <c r="G81" s="212" t="str">
        <f t="shared" ca="1" si="6"/>
        <v/>
      </c>
      <c r="H81" s="212" t="str">
        <f t="shared" ca="1" si="6"/>
        <v/>
      </c>
      <c r="I81" s="213" t="str">
        <f t="shared" ca="1" si="6"/>
        <v/>
      </c>
      <c r="J81" s="296" t="str">
        <f t="array" aca="1" ref="J81" ca="1">IF($A81="*","",IFERROR(INDEX(AGR!$E$52:$L$73,MATCH('TS DTech'!$C81,AGR!$B$52:$B$73,0),MATCH('TS DTech'!$B81&amp;J$7,AGR!$E$46:$L$46&amp;AGR!$E$48:$L$48,0)),""))</f>
        <v/>
      </c>
      <c r="K81" s="296" t="str">
        <f t="array" aca="1" ref="K81" ca="1">IF($A81="*","",IFERROR(INDEX(AGR!$E$52:$L$73,MATCH('TS DTech'!$C81,AGR!$B$52:$B$73,0),MATCH('TS DTech'!$B81&amp;K$7,AGR!$E$46:$L$46&amp;AGR!$E$48:$L$48,0)),""))</f>
        <v/>
      </c>
      <c r="L81" s="296" t="str">
        <f t="array" aca="1" ref="L81" ca="1">IF($A81="*","",IFERROR(INDEX(AGR!$E$52:$L$73,MATCH('TS DTech'!$C81,AGR!$B$52:$B$73,0),MATCH('TS DTech'!$B81&amp;L$7,AGR!$E$46:$L$46&amp;AGR!$E$48:$L$48,0)),""))</f>
        <v/>
      </c>
      <c r="M81" s="296" t="str">
        <f t="array" aca="1" ref="M81" ca="1">IF($A81="*","",IFERROR(INDEX(AGR!$E$52:$L$73,MATCH('TS DTech'!$C81,AGR!$B$52:$B$73,0),MATCH('TS DTech'!$B81&amp;M$7,AGR!$E$46:$L$46&amp;AGR!$E$48:$L$48,0)),""))</f>
        <v/>
      </c>
      <c r="N81" s="296" t="str">
        <f t="array" aca="1" ref="N81" ca="1">IF($A81="*","",IFERROR(INDEX(AGR!$E$52:$L$73,MATCH('TS DTech'!$C81,AGR!$B$52:$B$73,0),MATCH('TS DTech'!$B81&amp;N$7,AGR!$E$46:$L$46&amp;AGR!$E$48:$L$48,0)),""))</f>
        <v/>
      </c>
      <c r="O81" s="296" t="str">
        <f t="array" aca="1" ref="O81" ca="1">IF($A81="*","",IFERROR(INDEX(AGR!$E$52:$L$73,MATCH('TS DTech'!$C81,AGR!$B$52:$B$73,0),MATCH('TS DTech'!$B81&amp;O$7,AGR!$E$46:$L$46&amp;AGR!$E$48:$L$48,0)),""))</f>
        <v/>
      </c>
      <c r="P81" s="296" t="str">
        <f t="array" aca="1" ref="P81" ca="1">IF($A81="*","",IFERROR(INDEX(AGR!$E$52:$L$73,MATCH('TS DTech'!$C81,AGR!$B$52:$B$73,0),MATCH('TS DTech'!$B81&amp;P$7,AGR!$E$46:$L$46&amp;AGR!$E$48:$L$48,0)),""))</f>
        <v/>
      </c>
      <c r="Q81" s="296" t="str">
        <f t="array" aca="1" ref="Q81" ca="1">IF($A81="*","",IFERROR(INDEX(AGR!$E$52:$L$73,MATCH('TS DTech'!$C81,AGR!$B$52:$B$73,0),MATCH('TS DTech'!$B81&amp;Q$7,AGR!$E$46:$L$46&amp;AGR!$E$48:$L$48,0)),""))</f>
        <v/>
      </c>
      <c r="R81" s="296" t="str">
        <f t="array" aca="1" ref="R81" ca="1">IF($A81="*","",IFERROR(INDEX(AGR!$E$52:$L$73,MATCH('TS DTech'!$C81,AGR!$B$52:$B$73,0),MATCH('TS DTech'!$B81&amp;R$7,AGR!$E$46:$L$46&amp;AGR!$E$48:$L$48,0)),""))</f>
        <v/>
      </c>
      <c r="S81" s="296" t="str">
        <f t="array" aca="1" ref="S81" ca="1">IF($A81="*","",IFERROR(INDEX(AGR!$E$52:$L$73,MATCH('TS DTech'!$C81,AGR!$B$52:$B$73,0),MATCH('TS DTech'!$B81&amp;S$7,AGR!$E$46:$L$46&amp;AGR!$E$48:$L$48,0)),""))</f>
        <v/>
      </c>
      <c r="T81" s="296" t="str">
        <f t="array" aca="1" ref="T81" ca="1">IF($A81="*","",IFERROR(INDEX(AGR!$E$52:$L$73,MATCH('TS DTech'!$C81,AGR!$B$52:$B$73,0),MATCH('TS DTech'!$B81&amp;T$7,AGR!$E$46:$L$46&amp;AGR!$E$48:$L$48,0)),""))</f>
        <v/>
      </c>
      <c r="U81" s="296" t="str">
        <f t="array" aca="1" ref="U81" ca="1">IF($A81="*","",IFERROR(INDEX(AGR!$E$52:$L$73,MATCH('TS DTech'!$C81,AGR!$B$52:$B$73,0),MATCH('TS DTech'!$B81&amp;U$7,AGR!$E$46:$L$46&amp;AGR!$E$48:$L$48,0)),""))</f>
        <v/>
      </c>
      <c r="V81" s="296" t="str">
        <f t="array" aca="1" ref="V81" ca="1">IF($A81="*","",IFERROR(INDEX(AGR!$E$52:$L$73,MATCH('TS DTech'!$C81,AGR!$B$52:$B$73,0),MATCH('TS DTech'!$B81&amp;V$7,AGR!$E$46:$L$46&amp;AGR!$E$48:$L$48,0)),""))</f>
        <v/>
      </c>
      <c r="W81" s="296" t="str">
        <f t="array" aca="1" ref="W81" ca="1">IF($A81="*","",IFERROR(INDEX(AGR!$E$52:$L$73,MATCH('TS DTech'!$C81,AGR!$B$52:$B$73,0),MATCH('TS DTech'!$B81&amp;W$7,AGR!$E$46:$L$46&amp;AGR!$E$48:$L$48,0)),""))</f>
        <v/>
      </c>
      <c r="X81" s="296" t="str">
        <f t="array" aca="1" ref="X81" ca="1">IF($A81="*","",IFERROR(INDEX(AGR!$E$52:$L$73,MATCH('TS DTech'!$C81,AGR!$B$52:$B$73,0),MATCH('TS DTech'!$B81&amp;X$7,AGR!$E$46:$L$46&amp;AGR!$E$48:$L$48,0)),""))</f>
        <v/>
      </c>
      <c r="Y81" s="296" t="str">
        <f t="array" aca="1" ref="Y81" ca="1">IF($A81="*","",IFERROR(INDEX(AGR!$E$52:$L$73,MATCH('TS DTech'!$C81,AGR!$B$52:$B$73,0),MATCH('TS DTech'!$B81&amp;Y$7,AGR!$E$46:$L$46&amp;AGR!$E$48:$L$48,0)),""))</f>
        <v/>
      </c>
      <c r="Z81" s="296" t="str">
        <f t="array" aca="1" ref="Z81" ca="1">IF($A81="*","",IFERROR(INDEX(AGR!$E$52:$L$73,MATCH('TS DTech'!$C81,AGR!$B$52:$B$73,0),MATCH('TS DTech'!$B81&amp;Z$7,AGR!$E$46:$L$46&amp;AGR!$E$48:$L$48,0)),""))</f>
        <v/>
      </c>
      <c r="AA81" s="296" t="str">
        <f t="array" aca="1" ref="AA81" ca="1">IF($A81="*","",IFERROR(INDEX(AGR!$E$52:$L$73,MATCH('TS DTech'!$C81,AGR!$B$52:$B$73,0),MATCH('TS DTech'!$B81&amp;AA$7,AGR!$E$46:$L$46&amp;AGR!$E$48:$L$48,0)),""))</f>
        <v/>
      </c>
      <c r="AB81" s="296" t="str">
        <f t="array" aca="1" ref="AB81" ca="1">IF($A81="*","",IFERROR(INDEX(AGR!$E$52:$L$73,MATCH('TS DTech'!$C81,AGR!$B$52:$B$73,0),MATCH('TS DTech'!$B81&amp;AB$7,AGR!$E$46:$L$46&amp;AGR!$E$48:$L$48,0)),""))</f>
        <v/>
      </c>
      <c r="AC81" s="296" t="str">
        <f t="array" aca="1" ref="AC81" ca="1">IF($A81="*","",IFERROR(INDEX(AGR!$E$52:$L$73,MATCH('TS DTech'!$C81,AGR!$B$52:$B$73,0),MATCH('TS DTech'!$B81&amp;AC$7,AGR!$E$46:$L$46&amp;AGR!$E$48:$L$48,0)),""))</f>
        <v/>
      </c>
      <c r="AD81" s="296" t="str">
        <f t="array" aca="1" ref="AD81" ca="1">IF($A81="*","",IFERROR(INDEX(AGR!$E$52:$L$73,MATCH('TS DTech'!$C81,AGR!$B$52:$B$73,0),MATCH('TS DTech'!$B81&amp;AD$7,AGR!$E$46:$L$46&amp;AGR!$E$48:$L$48,0)),""))</f>
        <v/>
      </c>
      <c r="AE81" s="296" t="str">
        <f t="array" aca="1" ref="AE81" ca="1">IF($A81="*","",IFERROR(INDEX(AGR!$E$52:$L$73,MATCH('TS DTech'!$C81,AGR!$B$52:$B$73,0),MATCH('TS DTech'!$B81&amp;AE$7,AGR!$E$46:$L$46&amp;AGR!$E$48:$L$48,0)),""))</f>
        <v/>
      </c>
      <c r="AF81" s="296" t="str">
        <f t="array" aca="1" ref="AF81" ca="1">IF($A81="*","",IFERROR(INDEX(AGR!$E$52:$L$73,MATCH('TS DTech'!$C81,AGR!$B$52:$B$73,0),MATCH('TS DTech'!$B81&amp;AF$7,AGR!$E$46:$L$46&amp;AGR!$E$48:$L$48,0)),""))</f>
        <v/>
      </c>
      <c r="AG81" s="296" t="str">
        <f t="array" aca="1" ref="AG81" ca="1">IF($A81="*","",IFERROR(INDEX(AGR!$E$52:$L$73,MATCH('TS DTech'!$C81,AGR!$B$52:$B$73,0),MATCH('TS DTech'!$B81&amp;AG$7,AGR!$E$46:$L$46&amp;AGR!$E$48:$L$48,0)),""))</f>
        <v/>
      </c>
      <c r="AH81" s="296" t="str">
        <f t="array" aca="1" ref="AH81" ca="1">IF($A81="*","",IFERROR(INDEX(AGR!$E$52:$L$73,MATCH('TS DTech'!$C81,AGR!$B$52:$B$73,0),MATCH('TS DTech'!$B81&amp;AH$7,AGR!$E$46:$L$46&amp;AGR!$E$48:$L$48,0)),""))</f>
        <v/>
      </c>
      <c r="AI81" s="296" t="str">
        <f t="array" aca="1" ref="AI81" ca="1">IF($A81="*","",IFERROR(INDEX(AGR!$E$52:$L$73,MATCH('TS DTech'!$C81,AGR!$B$52:$B$73,0),MATCH('TS DTech'!$B81&amp;AI$7,AGR!$E$46:$L$46&amp;AGR!$E$48:$L$48,0)),""))</f>
        <v/>
      </c>
      <c r="AJ81" s="296" t="str">
        <f t="array" aca="1" ref="AJ81" ca="1">IF($A81="*","",IFERROR(INDEX(AGR!$E$52:$L$73,MATCH('TS DTech'!$C81,AGR!$B$52:$B$73,0),MATCH('TS DTech'!$B81&amp;AJ$7,AGR!$E$46:$L$46&amp;AGR!$E$48:$L$48,0)),""))</f>
        <v/>
      </c>
      <c r="AK81" s="296" t="str">
        <f t="array" aca="1" ref="AK81" ca="1">IF($A81="*","",IFERROR(INDEX(AGR!$E$52:$L$73,MATCH('TS DTech'!$C81,AGR!$B$52:$B$73,0),MATCH('TS DTech'!$B81&amp;AK$7,AGR!$E$46:$L$46&amp;AGR!$E$48:$L$48,0)),""))</f>
        <v/>
      </c>
      <c r="AL81" s="296" t="str">
        <f t="array" aca="1" ref="AL81" ca="1">IF($A81="*","",IFERROR(INDEX(AGR!$E$52:$L$73,MATCH('TS DTech'!$C81,AGR!$B$52:$B$73,0),MATCH('TS DTech'!$B81&amp;AL$7,AGR!$E$46:$L$46&amp;AGR!$E$48:$L$48,0)),""))</f>
        <v/>
      </c>
      <c r="AM81" s="296" t="str">
        <f t="array" aca="1" ref="AM81" ca="1">IF($A81="*","",IFERROR(INDEX(AGR!$E$52:$L$73,MATCH('TS DTech'!$C81,AGR!$B$52:$B$73,0),MATCH('TS DTech'!$B81&amp;AM$7,AGR!$E$46:$L$46&amp;AGR!$E$48:$L$48,0)),""))</f>
        <v/>
      </c>
      <c r="AN81" s="296" t="str">
        <f t="array" aca="1" ref="AN81" ca="1">IF($A81="*","",IFERROR(INDEX(AGR!$E$52:$L$73,MATCH('TS DTech'!$C81,AGR!$B$52:$B$73,0),MATCH('TS DTech'!$B81&amp;AN$7,AGR!$E$46:$L$46&amp;AGR!$E$48:$L$48,0)),""))</f>
        <v/>
      </c>
      <c r="AO81" s="296" t="str">
        <f t="array" aca="1" ref="AO81" ca="1">IF($A81="*","",IFERROR(INDEX(AGR!$E$52:$L$73,MATCH('TS DTech'!$C81,AGR!$B$52:$B$73,0),MATCH('TS DTech'!$B81&amp;AO$7,AGR!$E$46:$L$46&amp;AGR!$E$48:$L$48,0)),""))</f>
        <v/>
      </c>
      <c r="AP81" s="296" t="str">
        <f t="array" aca="1" ref="AP81" ca="1">IF($A81="*","",IFERROR(INDEX(AGR!$E$52:$L$73,MATCH('TS DTech'!$C81,AGR!$B$52:$B$73,0),MATCH('TS DTech'!$B81&amp;AP$7,AGR!$E$46:$L$46&amp;AGR!$E$48:$L$48,0)),""))</f>
        <v/>
      </c>
      <c r="AQ81" s="137">
        <f>IF(AR80=AGR!$AD$74,AQ80+1,AQ80)</f>
        <v>3</v>
      </c>
      <c r="AR81" s="137">
        <f t="shared" si="3"/>
        <v>20</v>
      </c>
    </row>
    <row r="82" spans="1:44">
      <c r="A82" s="137" t="str">
        <f ca="1">IF(LEFT(OFFSET(AGR!$A$51,AR82,0),2)="\I","*","")</f>
        <v/>
      </c>
      <c r="B82" s="212" t="str">
        <f t="shared" ca="1" si="7"/>
        <v>NCAP_BND</v>
      </c>
      <c r="C82" s="212" t="str">
        <f ca="1">IF($A82="*","",OFFSET(AGR!$B$51,AR82,0))</f>
        <v>AOELC-E</v>
      </c>
      <c r="D82" s="212" t="str">
        <f t="shared" ca="1" si="6"/>
        <v>-</v>
      </c>
      <c r="E82" s="212" t="str">
        <f t="shared" ca="1" si="6"/>
        <v>-</v>
      </c>
      <c r="F82" s="212" t="str">
        <f t="shared" ca="1" si="6"/>
        <v>-</v>
      </c>
      <c r="G82" s="212" t="str">
        <f t="shared" ca="1" si="6"/>
        <v>-</v>
      </c>
      <c r="H82" s="212" t="str">
        <f t="shared" ca="1" si="6"/>
        <v>UP</v>
      </c>
      <c r="I82" s="213">
        <f t="shared" ca="1" si="6"/>
        <v>3</v>
      </c>
      <c r="J82" s="296" t="str">
        <f t="array" aca="1" ref="J82" ca="1">IF($A82="*","",IFERROR(INDEX(AGR!$E$52:$L$73,MATCH('TS DTech'!$C82,AGR!$B$52:$B$73,0),MATCH('TS DTech'!$B82&amp;J$7,AGR!$E$46:$L$46&amp;AGR!$E$48:$L$48,0)),""))</f>
        <v/>
      </c>
      <c r="K82" s="296" t="str">
        <f t="array" aca="1" ref="K82" ca="1">IF($A82="*","",IFERROR(INDEX(AGR!$E$52:$L$73,MATCH('TS DTech'!$C82,AGR!$B$52:$B$73,0),MATCH('TS DTech'!$B82&amp;K$7,AGR!$E$46:$L$46&amp;AGR!$E$48:$L$48,0)),""))</f>
        <v/>
      </c>
      <c r="L82" s="296" t="str">
        <f t="array" aca="1" ref="L82" ca="1">IF($A82="*","",IFERROR(INDEX(AGR!$E$52:$L$73,MATCH('TS DTech'!$C82,AGR!$B$52:$B$73,0),MATCH('TS DTech'!$B82&amp;L$7,AGR!$E$46:$L$46&amp;AGR!$E$48:$L$48,0)),""))</f>
        <v/>
      </c>
      <c r="M82" s="296" t="str">
        <f t="array" aca="1" ref="M82" ca="1">IF($A82="*","",IFERROR(INDEX(AGR!$E$52:$L$73,MATCH('TS DTech'!$C82,AGR!$B$52:$B$73,0),MATCH('TS DTech'!$B82&amp;M$7,AGR!$E$46:$L$46&amp;AGR!$E$48:$L$48,0)),""))</f>
        <v/>
      </c>
      <c r="N82" s="296" t="str">
        <f t="array" aca="1" ref="N82" ca="1">IF($A82="*","",IFERROR(INDEX(AGR!$E$52:$L$73,MATCH('TS DTech'!$C82,AGR!$B$52:$B$73,0),MATCH('TS DTech'!$B82&amp;N$7,AGR!$E$46:$L$46&amp;AGR!$E$48:$L$48,0)),""))</f>
        <v/>
      </c>
      <c r="O82" s="296" t="str">
        <f t="array" aca="1" ref="O82" ca="1">IF($A82="*","",IFERROR(INDEX(AGR!$E$52:$L$73,MATCH('TS DTech'!$C82,AGR!$B$52:$B$73,0),MATCH('TS DTech'!$B82&amp;O$7,AGR!$E$46:$L$46&amp;AGR!$E$48:$L$48,0)),""))</f>
        <v/>
      </c>
      <c r="P82" s="296" t="str">
        <f t="array" aca="1" ref="P82" ca="1">IF($A82="*","",IFERROR(INDEX(AGR!$E$52:$L$73,MATCH('TS DTech'!$C82,AGR!$B$52:$B$73,0),MATCH('TS DTech'!$B82&amp;P$7,AGR!$E$46:$L$46&amp;AGR!$E$48:$L$48,0)),""))</f>
        <v/>
      </c>
      <c r="Q82" s="296" t="str">
        <f t="array" aca="1" ref="Q82" ca="1">IF($A82="*","",IFERROR(INDEX(AGR!$E$52:$L$73,MATCH('TS DTech'!$C82,AGR!$B$52:$B$73,0),MATCH('TS DTech'!$B82&amp;Q$7,AGR!$E$46:$L$46&amp;AGR!$E$48:$L$48,0)),""))</f>
        <v/>
      </c>
      <c r="R82" s="296" t="str">
        <f t="array" aca="1" ref="R82" ca="1">IF($A82="*","",IFERROR(INDEX(AGR!$E$52:$L$73,MATCH('TS DTech'!$C82,AGR!$B$52:$B$73,0),MATCH('TS DTech'!$B82&amp;R$7,AGR!$E$46:$L$46&amp;AGR!$E$48:$L$48,0)),""))</f>
        <v/>
      </c>
      <c r="S82" s="296" t="str">
        <f t="array" aca="1" ref="S82" ca="1">IF($A82="*","",IFERROR(INDEX(AGR!$E$52:$L$73,MATCH('TS DTech'!$C82,AGR!$B$52:$B$73,0),MATCH('TS DTech'!$B82&amp;S$7,AGR!$E$46:$L$46&amp;AGR!$E$48:$L$48,0)),""))</f>
        <v/>
      </c>
      <c r="T82" s="296" t="str">
        <f t="array" aca="1" ref="T82" ca="1">IF($A82="*","",IFERROR(INDEX(AGR!$E$52:$L$73,MATCH('TS DTech'!$C82,AGR!$B$52:$B$73,0),MATCH('TS DTech'!$B82&amp;T$7,AGR!$E$46:$L$46&amp;AGR!$E$48:$L$48,0)),""))</f>
        <v/>
      </c>
      <c r="U82" s="296" t="str">
        <f t="array" aca="1" ref="U82" ca="1">IF($A82="*","",IFERROR(INDEX(AGR!$E$52:$L$73,MATCH('TS DTech'!$C82,AGR!$B$52:$B$73,0),MATCH('TS DTech'!$B82&amp;U$7,AGR!$E$46:$L$46&amp;AGR!$E$48:$L$48,0)),""))</f>
        <v/>
      </c>
      <c r="V82" s="296" t="str">
        <f t="array" aca="1" ref="V82" ca="1">IF($A82="*","",IFERROR(INDEX(AGR!$E$52:$L$73,MATCH('TS DTech'!$C82,AGR!$B$52:$B$73,0),MATCH('TS DTech'!$B82&amp;V$7,AGR!$E$46:$L$46&amp;AGR!$E$48:$L$48,0)),""))</f>
        <v/>
      </c>
      <c r="W82" s="296" t="str">
        <f t="array" aca="1" ref="W82" ca="1">IF($A82="*","",IFERROR(INDEX(AGR!$E$52:$L$73,MATCH('TS DTech'!$C82,AGR!$B$52:$B$73,0),MATCH('TS DTech'!$B82&amp;W$7,AGR!$E$46:$L$46&amp;AGR!$E$48:$L$48,0)),""))</f>
        <v/>
      </c>
      <c r="X82" s="296" t="str">
        <f t="array" aca="1" ref="X82" ca="1">IF($A82="*","",IFERROR(INDEX(AGR!$E$52:$L$73,MATCH('TS DTech'!$C82,AGR!$B$52:$B$73,0),MATCH('TS DTech'!$B82&amp;X$7,AGR!$E$46:$L$46&amp;AGR!$E$48:$L$48,0)),""))</f>
        <v/>
      </c>
      <c r="Y82" s="296" t="str">
        <f t="array" aca="1" ref="Y82" ca="1">IF($A82="*","",IFERROR(INDEX(AGR!$E$52:$L$73,MATCH('TS DTech'!$C82,AGR!$B$52:$B$73,0),MATCH('TS DTech'!$B82&amp;Y$7,AGR!$E$46:$L$46&amp;AGR!$E$48:$L$48,0)),""))</f>
        <v/>
      </c>
      <c r="Z82" s="296" t="str">
        <f t="array" aca="1" ref="Z82" ca="1">IF($A82="*","",IFERROR(INDEX(AGR!$E$52:$L$73,MATCH('TS DTech'!$C82,AGR!$B$52:$B$73,0),MATCH('TS DTech'!$B82&amp;Z$7,AGR!$E$46:$L$46&amp;AGR!$E$48:$L$48,0)),""))</f>
        <v/>
      </c>
      <c r="AA82" s="296" t="str">
        <f t="array" aca="1" ref="AA82" ca="1">IF($A82="*","",IFERROR(INDEX(AGR!$E$52:$L$73,MATCH('TS DTech'!$C82,AGR!$B$52:$B$73,0),MATCH('TS DTech'!$B82&amp;AA$7,AGR!$E$46:$L$46&amp;AGR!$E$48:$L$48,0)),""))</f>
        <v/>
      </c>
      <c r="AB82" s="296" t="str">
        <f t="array" aca="1" ref="AB82" ca="1">IF($A82="*","",IFERROR(INDEX(AGR!$E$52:$L$73,MATCH('TS DTech'!$C82,AGR!$B$52:$B$73,0),MATCH('TS DTech'!$B82&amp;AB$7,AGR!$E$46:$L$46&amp;AGR!$E$48:$L$48,0)),""))</f>
        <v/>
      </c>
      <c r="AC82" s="296" t="str">
        <f t="array" aca="1" ref="AC82" ca="1">IF($A82="*","",IFERROR(INDEX(AGR!$E$52:$L$73,MATCH('TS DTech'!$C82,AGR!$B$52:$B$73,0),MATCH('TS DTech'!$B82&amp;AC$7,AGR!$E$46:$L$46&amp;AGR!$E$48:$L$48,0)),""))</f>
        <v/>
      </c>
      <c r="AD82" s="296" t="str">
        <f t="array" aca="1" ref="AD82" ca="1">IF($A82="*","",IFERROR(INDEX(AGR!$E$52:$L$73,MATCH('TS DTech'!$C82,AGR!$B$52:$B$73,0),MATCH('TS DTech'!$B82&amp;AD$7,AGR!$E$46:$L$46&amp;AGR!$E$48:$L$48,0)),""))</f>
        <v/>
      </c>
      <c r="AE82" s="296" t="str">
        <f t="array" aca="1" ref="AE82" ca="1">IF($A82="*","",IFERROR(INDEX(AGR!$E$52:$L$73,MATCH('TS DTech'!$C82,AGR!$B$52:$B$73,0),MATCH('TS DTech'!$B82&amp;AE$7,AGR!$E$46:$L$46&amp;AGR!$E$48:$L$48,0)),""))</f>
        <v/>
      </c>
      <c r="AF82" s="296" t="str">
        <f t="array" aca="1" ref="AF82" ca="1">IF($A82="*","",IFERROR(INDEX(AGR!$E$52:$L$73,MATCH('TS DTech'!$C82,AGR!$B$52:$B$73,0),MATCH('TS DTech'!$B82&amp;AF$7,AGR!$E$46:$L$46&amp;AGR!$E$48:$L$48,0)),""))</f>
        <v/>
      </c>
      <c r="AG82" s="296" t="str">
        <f t="array" aca="1" ref="AG82" ca="1">IF($A82="*","",IFERROR(INDEX(AGR!$E$52:$L$73,MATCH('TS DTech'!$C82,AGR!$B$52:$B$73,0),MATCH('TS DTech'!$B82&amp;AG$7,AGR!$E$46:$L$46&amp;AGR!$E$48:$L$48,0)),""))</f>
        <v/>
      </c>
      <c r="AH82" s="296" t="str">
        <f t="array" aca="1" ref="AH82" ca="1">IF($A82="*","",IFERROR(INDEX(AGR!$E$52:$L$73,MATCH('TS DTech'!$C82,AGR!$B$52:$B$73,0),MATCH('TS DTech'!$B82&amp;AH$7,AGR!$E$46:$L$46&amp;AGR!$E$48:$L$48,0)),""))</f>
        <v/>
      </c>
      <c r="AI82" s="296" t="str">
        <f t="array" aca="1" ref="AI82" ca="1">IF($A82="*","",IFERROR(INDEX(AGR!$E$52:$L$73,MATCH('TS DTech'!$C82,AGR!$B$52:$B$73,0),MATCH('TS DTech'!$B82&amp;AI$7,AGR!$E$46:$L$46&amp;AGR!$E$48:$L$48,0)),""))</f>
        <v/>
      </c>
      <c r="AJ82" s="296" t="str">
        <f t="array" aca="1" ref="AJ82" ca="1">IF($A82="*","",IFERROR(INDEX(AGR!$E$52:$L$73,MATCH('TS DTech'!$C82,AGR!$B$52:$B$73,0),MATCH('TS DTech'!$B82&amp;AJ$7,AGR!$E$46:$L$46&amp;AGR!$E$48:$L$48,0)),""))</f>
        <v/>
      </c>
      <c r="AK82" s="296" t="str">
        <f t="array" aca="1" ref="AK82" ca="1">IF($A82="*","",IFERROR(INDEX(AGR!$E$52:$L$73,MATCH('TS DTech'!$C82,AGR!$B$52:$B$73,0),MATCH('TS DTech'!$B82&amp;AK$7,AGR!$E$46:$L$46&amp;AGR!$E$48:$L$48,0)),""))</f>
        <v/>
      </c>
      <c r="AL82" s="296" t="str">
        <f t="array" aca="1" ref="AL82" ca="1">IF($A82="*","",IFERROR(INDEX(AGR!$E$52:$L$73,MATCH('TS DTech'!$C82,AGR!$B$52:$B$73,0),MATCH('TS DTech'!$B82&amp;AL$7,AGR!$E$46:$L$46&amp;AGR!$E$48:$L$48,0)),""))</f>
        <v/>
      </c>
      <c r="AM82" s="296" t="str">
        <f t="array" aca="1" ref="AM82" ca="1">IF($A82="*","",IFERROR(INDEX(AGR!$E$52:$L$73,MATCH('TS DTech'!$C82,AGR!$B$52:$B$73,0),MATCH('TS DTech'!$B82&amp;AM$7,AGR!$E$46:$L$46&amp;AGR!$E$48:$L$48,0)),""))</f>
        <v/>
      </c>
      <c r="AN82" s="296" t="str">
        <f t="array" aca="1" ref="AN82" ca="1">IF($A82="*","",IFERROR(INDEX(AGR!$E$52:$L$73,MATCH('TS DTech'!$C82,AGR!$B$52:$B$73,0),MATCH('TS DTech'!$B82&amp;AN$7,AGR!$E$46:$L$46&amp;AGR!$E$48:$L$48,0)),""))</f>
        <v/>
      </c>
      <c r="AO82" s="296" t="str">
        <f t="array" aca="1" ref="AO82" ca="1">IF($A82="*","",IFERROR(INDEX(AGR!$E$52:$L$73,MATCH('TS DTech'!$C82,AGR!$B$52:$B$73,0),MATCH('TS DTech'!$B82&amp;AO$7,AGR!$E$46:$L$46&amp;AGR!$E$48:$L$48,0)),""))</f>
        <v/>
      </c>
      <c r="AP82" s="296" t="str">
        <f t="array" aca="1" ref="AP82" ca="1">IF($A82="*","",IFERROR(INDEX(AGR!$E$52:$L$73,MATCH('TS DTech'!$C82,AGR!$B$52:$B$73,0),MATCH('TS DTech'!$B82&amp;AP$7,AGR!$E$46:$L$46&amp;AGR!$E$48:$L$48,0)),""))</f>
        <v/>
      </c>
      <c r="AQ82" s="137">
        <f>IF(AR81=AGR!$AD$74,AQ81+1,AQ81)</f>
        <v>3</v>
      </c>
      <c r="AR82" s="137">
        <f t="shared" ref="AR82:AR110" si="8">IF(AQ82=AQ81,AR81+1,1)</f>
        <v>21</v>
      </c>
    </row>
    <row r="83" spans="1:44">
      <c r="A83" s="137" t="str">
        <f ca="1">IF(LEFT(OFFSET(AGR!$A$51,AR83,0),2)="\I","*","")</f>
        <v>*</v>
      </c>
      <c r="B83" s="212" t="str">
        <f t="shared" ca="1" si="7"/>
        <v/>
      </c>
      <c r="C83" s="212" t="str">
        <f ca="1">IF($A83="*","",OFFSET(AGR!$B$51,AR83,0))</f>
        <v/>
      </c>
      <c r="D83" s="212" t="str">
        <f t="shared" ca="1" si="6"/>
        <v/>
      </c>
      <c r="E83" s="212" t="str">
        <f t="shared" ca="1" si="6"/>
        <v/>
      </c>
      <c r="F83" s="212" t="str">
        <f t="shared" ca="1" si="6"/>
        <v/>
      </c>
      <c r="G83" s="212" t="str">
        <f t="shared" ca="1" si="6"/>
        <v/>
      </c>
      <c r="H83" s="212" t="str">
        <f t="shared" ca="1" si="6"/>
        <v/>
      </c>
      <c r="I83" s="213" t="str">
        <f t="shared" ca="1" si="6"/>
        <v/>
      </c>
      <c r="J83" s="296" t="str">
        <f t="array" aca="1" ref="J83" ca="1">IF($A83="*","",IFERROR(INDEX(AGR!$E$52:$L$73,MATCH('TS DTech'!$C83,AGR!$B$52:$B$73,0),MATCH('TS DTech'!$B83&amp;J$7,AGR!$E$46:$L$46&amp;AGR!$E$48:$L$48,0)),""))</f>
        <v/>
      </c>
      <c r="K83" s="296" t="str">
        <f t="array" aca="1" ref="K83" ca="1">IF($A83="*","",IFERROR(INDEX(AGR!$E$52:$L$73,MATCH('TS DTech'!$C83,AGR!$B$52:$B$73,0),MATCH('TS DTech'!$B83&amp;K$7,AGR!$E$46:$L$46&amp;AGR!$E$48:$L$48,0)),""))</f>
        <v/>
      </c>
      <c r="L83" s="296" t="str">
        <f t="array" aca="1" ref="L83" ca="1">IF($A83="*","",IFERROR(INDEX(AGR!$E$52:$L$73,MATCH('TS DTech'!$C83,AGR!$B$52:$B$73,0),MATCH('TS DTech'!$B83&amp;L$7,AGR!$E$46:$L$46&amp;AGR!$E$48:$L$48,0)),""))</f>
        <v/>
      </c>
      <c r="M83" s="296" t="str">
        <f t="array" aca="1" ref="M83" ca="1">IF($A83="*","",IFERROR(INDEX(AGR!$E$52:$L$73,MATCH('TS DTech'!$C83,AGR!$B$52:$B$73,0),MATCH('TS DTech'!$B83&amp;M$7,AGR!$E$46:$L$46&amp;AGR!$E$48:$L$48,0)),""))</f>
        <v/>
      </c>
      <c r="N83" s="296" t="str">
        <f t="array" aca="1" ref="N83" ca="1">IF($A83="*","",IFERROR(INDEX(AGR!$E$52:$L$73,MATCH('TS DTech'!$C83,AGR!$B$52:$B$73,0),MATCH('TS DTech'!$B83&amp;N$7,AGR!$E$46:$L$46&amp;AGR!$E$48:$L$48,0)),""))</f>
        <v/>
      </c>
      <c r="O83" s="296" t="str">
        <f t="array" aca="1" ref="O83" ca="1">IF($A83="*","",IFERROR(INDEX(AGR!$E$52:$L$73,MATCH('TS DTech'!$C83,AGR!$B$52:$B$73,0),MATCH('TS DTech'!$B83&amp;O$7,AGR!$E$46:$L$46&amp;AGR!$E$48:$L$48,0)),""))</f>
        <v/>
      </c>
      <c r="P83" s="296" t="str">
        <f t="array" aca="1" ref="P83" ca="1">IF($A83="*","",IFERROR(INDEX(AGR!$E$52:$L$73,MATCH('TS DTech'!$C83,AGR!$B$52:$B$73,0),MATCH('TS DTech'!$B83&amp;P$7,AGR!$E$46:$L$46&amp;AGR!$E$48:$L$48,0)),""))</f>
        <v/>
      </c>
      <c r="Q83" s="296" t="str">
        <f t="array" aca="1" ref="Q83" ca="1">IF($A83="*","",IFERROR(INDEX(AGR!$E$52:$L$73,MATCH('TS DTech'!$C83,AGR!$B$52:$B$73,0),MATCH('TS DTech'!$B83&amp;Q$7,AGR!$E$46:$L$46&amp;AGR!$E$48:$L$48,0)),""))</f>
        <v/>
      </c>
      <c r="R83" s="296" t="str">
        <f t="array" aca="1" ref="R83" ca="1">IF($A83="*","",IFERROR(INDEX(AGR!$E$52:$L$73,MATCH('TS DTech'!$C83,AGR!$B$52:$B$73,0),MATCH('TS DTech'!$B83&amp;R$7,AGR!$E$46:$L$46&amp;AGR!$E$48:$L$48,0)),""))</f>
        <v/>
      </c>
      <c r="S83" s="296" t="str">
        <f t="array" aca="1" ref="S83" ca="1">IF($A83="*","",IFERROR(INDEX(AGR!$E$52:$L$73,MATCH('TS DTech'!$C83,AGR!$B$52:$B$73,0),MATCH('TS DTech'!$B83&amp;S$7,AGR!$E$46:$L$46&amp;AGR!$E$48:$L$48,0)),""))</f>
        <v/>
      </c>
      <c r="T83" s="296" t="str">
        <f t="array" aca="1" ref="T83" ca="1">IF($A83="*","",IFERROR(INDEX(AGR!$E$52:$L$73,MATCH('TS DTech'!$C83,AGR!$B$52:$B$73,0),MATCH('TS DTech'!$B83&amp;T$7,AGR!$E$46:$L$46&amp;AGR!$E$48:$L$48,0)),""))</f>
        <v/>
      </c>
      <c r="U83" s="296" t="str">
        <f t="array" aca="1" ref="U83" ca="1">IF($A83="*","",IFERROR(INDEX(AGR!$E$52:$L$73,MATCH('TS DTech'!$C83,AGR!$B$52:$B$73,0),MATCH('TS DTech'!$B83&amp;U$7,AGR!$E$46:$L$46&amp;AGR!$E$48:$L$48,0)),""))</f>
        <v/>
      </c>
      <c r="V83" s="296" t="str">
        <f t="array" aca="1" ref="V83" ca="1">IF($A83="*","",IFERROR(INDEX(AGR!$E$52:$L$73,MATCH('TS DTech'!$C83,AGR!$B$52:$B$73,0),MATCH('TS DTech'!$B83&amp;V$7,AGR!$E$46:$L$46&amp;AGR!$E$48:$L$48,0)),""))</f>
        <v/>
      </c>
      <c r="W83" s="296" t="str">
        <f t="array" aca="1" ref="W83" ca="1">IF($A83="*","",IFERROR(INDEX(AGR!$E$52:$L$73,MATCH('TS DTech'!$C83,AGR!$B$52:$B$73,0),MATCH('TS DTech'!$B83&amp;W$7,AGR!$E$46:$L$46&amp;AGR!$E$48:$L$48,0)),""))</f>
        <v/>
      </c>
      <c r="X83" s="296" t="str">
        <f t="array" aca="1" ref="X83" ca="1">IF($A83="*","",IFERROR(INDEX(AGR!$E$52:$L$73,MATCH('TS DTech'!$C83,AGR!$B$52:$B$73,0),MATCH('TS DTech'!$B83&amp;X$7,AGR!$E$46:$L$46&amp;AGR!$E$48:$L$48,0)),""))</f>
        <v/>
      </c>
      <c r="Y83" s="296" t="str">
        <f t="array" aca="1" ref="Y83" ca="1">IF($A83="*","",IFERROR(INDEX(AGR!$E$52:$L$73,MATCH('TS DTech'!$C83,AGR!$B$52:$B$73,0),MATCH('TS DTech'!$B83&amp;Y$7,AGR!$E$46:$L$46&amp;AGR!$E$48:$L$48,0)),""))</f>
        <v/>
      </c>
      <c r="Z83" s="296" t="str">
        <f t="array" aca="1" ref="Z83" ca="1">IF($A83="*","",IFERROR(INDEX(AGR!$E$52:$L$73,MATCH('TS DTech'!$C83,AGR!$B$52:$B$73,0),MATCH('TS DTech'!$B83&amp;Z$7,AGR!$E$46:$L$46&amp;AGR!$E$48:$L$48,0)),""))</f>
        <v/>
      </c>
      <c r="AA83" s="296" t="str">
        <f t="array" aca="1" ref="AA83" ca="1">IF($A83="*","",IFERROR(INDEX(AGR!$E$52:$L$73,MATCH('TS DTech'!$C83,AGR!$B$52:$B$73,0),MATCH('TS DTech'!$B83&amp;AA$7,AGR!$E$46:$L$46&amp;AGR!$E$48:$L$48,0)),""))</f>
        <v/>
      </c>
      <c r="AB83" s="296" t="str">
        <f t="array" aca="1" ref="AB83" ca="1">IF($A83="*","",IFERROR(INDEX(AGR!$E$52:$L$73,MATCH('TS DTech'!$C83,AGR!$B$52:$B$73,0),MATCH('TS DTech'!$B83&amp;AB$7,AGR!$E$46:$L$46&amp;AGR!$E$48:$L$48,0)),""))</f>
        <v/>
      </c>
      <c r="AC83" s="296" t="str">
        <f t="array" aca="1" ref="AC83" ca="1">IF($A83="*","",IFERROR(INDEX(AGR!$E$52:$L$73,MATCH('TS DTech'!$C83,AGR!$B$52:$B$73,0),MATCH('TS DTech'!$B83&amp;AC$7,AGR!$E$46:$L$46&amp;AGR!$E$48:$L$48,0)),""))</f>
        <v/>
      </c>
      <c r="AD83" s="296" t="str">
        <f t="array" aca="1" ref="AD83" ca="1">IF($A83="*","",IFERROR(INDEX(AGR!$E$52:$L$73,MATCH('TS DTech'!$C83,AGR!$B$52:$B$73,0),MATCH('TS DTech'!$B83&amp;AD$7,AGR!$E$46:$L$46&amp;AGR!$E$48:$L$48,0)),""))</f>
        <v/>
      </c>
      <c r="AE83" s="296" t="str">
        <f t="array" aca="1" ref="AE83" ca="1">IF($A83="*","",IFERROR(INDEX(AGR!$E$52:$L$73,MATCH('TS DTech'!$C83,AGR!$B$52:$B$73,0),MATCH('TS DTech'!$B83&amp;AE$7,AGR!$E$46:$L$46&amp;AGR!$E$48:$L$48,0)),""))</f>
        <v/>
      </c>
      <c r="AF83" s="296" t="str">
        <f t="array" aca="1" ref="AF83" ca="1">IF($A83="*","",IFERROR(INDEX(AGR!$E$52:$L$73,MATCH('TS DTech'!$C83,AGR!$B$52:$B$73,0),MATCH('TS DTech'!$B83&amp;AF$7,AGR!$E$46:$L$46&amp;AGR!$E$48:$L$48,0)),""))</f>
        <v/>
      </c>
      <c r="AG83" s="296" t="str">
        <f t="array" aca="1" ref="AG83" ca="1">IF($A83="*","",IFERROR(INDEX(AGR!$E$52:$L$73,MATCH('TS DTech'!$C83,AGR!$B$52:$B$73,0),MATCH('TS DTech'!$B83&amp;AG$7,AGR!$E$46:$L$46&amp;AGR!$E$48:$L$48,0)),""))</f>
        <v/>
      </c>
      <c r="AH83" s="296" t="str">
        <f t="array" aca="1" ref="AH83" ca="1">IF($A83="*","",IFERROR(INDEX(AGR!$E$52:$L$73,MATCH('TS DTech'!$C83,AGR!$B$52:$B$73,0),MATCH('TS DTech'!$B83&amp;AH$7,AGR!$E$46:$L$46&amp;AGR!$E$48:$L$48,0)),""))</f>
        <v/>
      </c>
      <c r="AI83" s="296" t="str">
        <f t="array" aca="1" ref="AI83" ca="1">IF($A83="*","",IFERROR(INDEX(AGR!$E$52:$L$73,MATCH('TS DTech'!$C83,AGR!$B$52:$B$73,0),MATCH('TS DTech'!$B83&amp;AI$7,AGR!$E$46:$L$46&amp;AGR!$E$48:$L$48,0)),""))</f>
        <v/>
      </c>
      <c r="AJ83" s="296" t="str">
        <f t="array" aca="1" ref="AJ83" ca="1">IF($A83="*","",IFERROR(INDEX(AGR!$E$52:$L$73,MATCH('TS DTech'!$C83,AGR!$B$52:$B$73,0),MATCH('TS DTech'!$B83&amp;AJ$7,AGR!$E$46:$L$46&amp;AGR!$E$48:$L$48,0)),""))</f>
        <v/>
      </c>
      <c r="AK83" s="296" t="str">
        <f t="array" aca="1" ref="AK83" ca="1">IF($A83="*","",IFERROR(INDEX(AGR!$E$52:$L$73,MATCH('TS DTech'!$C83,AGR!$B$52:$B$73,0),MATCH('TS DTech'!$B83&amp;AK$7,AGR!$E$46:$L$46&amp;AGR!$E$48:$L$48,0)),""))</f>
        <v/>
      </c>
      <c r="AL83" s="296" t="str">
        <f t="array" aca="1" ref="AL83" ca="1">IF($A83="*","",IFERROR(INDEX(AGR!$E$52:$L$73,MATCH('TS DTech'!$C83,AGR!$B$52:$B$73,0),MATCH('TS DTech'!$B83&amp;AL$7,AGR!$E$46:$L$46&amp;AGR!$E$48:$L$48,0)),""))</f>
        <v/>
      </c>
      <c r="AM83" s="296" t="str">
        <f t="array" aca="1" ref="AM83" ca="1">IF($A83="*","",IFERROR(INDEX(AGR!$E$52:$L$73,MATCH('TS DTech'!$C83,AGR!$B$52:$B$73,0),MATCH('TS DTech'!$B83&amp;AM$7,AGR!$E$46:$L$46&amp;AGR!$E$48:$L$48,0)),""))</f>
        <v/>
      </c>
      <c r="AN83" s="296" t="str">
        <f t="array" aca="1" ref="AN83" ca="1">IF($A83="*","",IFERROR(INDEX(AGR!$E$52:$L$73,MATCH('TS DTech'!$C83,AGR!$B$52:$B$73,0),MATCH('TS DTech'!$B83&amp;AN$7,AGR!$E$46:$L$46&amp;AGR!$E$48:$L$48,0)),""))</f>
        <v/>
      </c>
      <c r="AO83" s="296" t="str">
        <f t="array" aca="1" ref="AO83" ca="1">IF($A83="*","",IFERROR(INDEX(AGR!$E$52:$L$73,MATCH('TS DTech'!$C83,AGR!$B$52:$B$73,0),MATCH('TS DTech'!$B83&amp;AO$7,AGR!$E$46:$L$46&amp;AGR!$E$48:$L$48,0)),""))</f>
        <v/>
      </c>
      <c r="AP83" s="296" t="str">
        <f t="array" aca="1" ref="AP83" ca="1">IF($A83="*","",IFERROR(INDEX(AGR!$E$52:$L$73,MATCH('TS DTech'!$C83,AGR!$B$52:$B$73,0),MATCH('TS DTech'!$B83&amp;AP$7,AGR!$E$46:$L$46&amp;AGR!$E$48:$L$48,0)),""))</f>
        <v/>
      </c>
      <c r="AQ83" s="137">
        <f>IF(AR82=AGR!$AD$74,AQ82+1,AQ82)</f>
        <v>3</v>
      </c>
      <c r="AR83" s="137">
        <f t="shared" si="8"/>
        <v>22</v>
      </c>
    </row>
    <row r="84" spans="1:44">
      <c r="A84" s="137" t="str">
        <f ca="1">IF(LEFT(OFFSET(AGR!$A$51,AR84,0),2)="\I","*","")</f>
        <v>*</v>
      </c>
      <c r="B84" s="212" t="str">
        <f t="shared" ca="1" si="7"/>
        <v/>
      </c>
      <c r="C84" s="212" t="str">
        <f ca="1">IF($A84="*","",OFFSET(AGR!$B$51,AR84,0))</f>
        <v/>
      </c>
      <c r="D84" s="212" t="str">
        <f t="shared" ca="1" si="6"/>
        <v/>
      </c>
      <c r="E84" s="212" t="str">
        <f t="shared" ca="1" si="6"/>
        <v/>
      </c>
      <c r="F84" s="212" t="str">
        <f t="shared" ca="1" si="6"/>
        <v/>
      </c>
      <c r="G84" s="212" t="str">
        <f t="shared" ca="1" si="6"/>
        <v/>
      </c>
      <c r="H84" s="212" t="str">
        <f t="shared" ca="1" si="6"/>
        <v/>
      </c>
      <c r="I84" s="213" t="str">
        <f t="shared" ca="1" si="6"/>
        <v/>
      </c>
      <c r="J84" s="296" t="str">
        <f t="array" aca="1" ref="J84" ca="1">IF($A84="*","",IFERROR(INDEX(AGR!$E$52:$L$73,MATCH('TS DTech'!$C84,AGR!$B$52:$B$73,0),MATCH('TS DTech'!$B84&amp;J$7,AGR!$E$46:$L$46&amp;AGR!$E$48:$L$48,0)),""))</f>
        <v/>
      </c>
      <c r="K84" s="296" t="str">
        <f t="array" aca="1" ref="K84" ca="1">IF($A84="*","",IFERROR(INDEX(AGR!$E$52:$L$73,MATCH('TS DTech'!$C84,AGR!$B$52:$B$73,0),MATCH('TS DTech'!$B84&amp;K$7,AGR!$E$46:$L$46&amp;AGR!$E$48:$L$48,0)),""))</f>
        <v/>
      </c>
      <c r="L84" s="296" t="str">
        <f t="array" aca="1" ref="L84" ca="1">IF($A84="*","",IFERROR(INDEX(AGR!$E$52:$L$73,MATCH('TS DTech'!$C84,AGR!$B$52:$B$73,0),MATCH('TS DTech'!$B84&amp;L$7,AGR!$E$46:$L$46&amp;AGR!$E$48:$L$48,0)),""))</f>
        <v/>
      </c>
      <c r="M84" s="296" t="str">
        <f t="array" aca="1" ref="M84" ca="1">IF($A84="*","",IFERROR(INDEX(AGR!$E$52:$L$73,MATCH('TS DTech'!$C84,AGR!$B$52:$B$73,0),MATCH('TS DTech'!$B84&amp;M$7,AGR!$E$46:$L$46&amp;AGR!$E$48:$L$48,0)),""))</f>
        <v/>
      </c>
      <c r="N84" s="296" t="str">
        <f t="array" aca="1" ref="N84" ca="1">IF($A84="*","",IFERROR(INDEX(AGR!$E$52:$L$73,MATCH('TS DTech'!$C84,AGR!$B$52:$B$73,0),MATCH('TS DTech'!$B84&amp;N$7,AGR!$E$46:$L$46&amp;AGR!$E$48:$L$48,0)),""))</f>
        <v/>
      </c>
      <c r="O84" s="296" t="str">
        <f t="array" aca="1" ref="O84" ca="1">IF($A84="*","",IFERROR(INDEX(AGR!$E$52:$L$73,MATCH('TS DTech'!$C84,AGR!$B$52:$B$73,0),MATCH('TS DTech'!$B84&amp;O$7,AGR!$E$46:$L$46&amp;AGR!$E$48:$L$48,0)),""))</f>
        <v/>
      </c>
      <c r="P84" s="296" t="str">
        <f t="array" aca="1" ref="P84" ca="1">IF($A84="*","",IFERROR(INDEX(AGR!$E$52:$L$73,MATCH('TS DTech'!$C84,AGR!$B$52:$B$73,0),MATCH('TS DTech'!$B84&amp;P$7,AGR!$E$46:$L$46&amp;AGR!$E$48:$L$48,0)),""))</f>
        <v/>
      </c>
      <c r="Q84" s="296" t="str">
        <f t="array" aca="1" ref="Q84" ca="1">IF($A84="*","",IFERROR(INDEX(AGR!$E$52:$L$73,MATCH('TS DTech'!$C84,AGR!$B$52:$B$73,0),MATCH('TS DTech'!$B84&amp;Q$7,AGR!$E$46:$L$46&amp;AGR!$E$48:$L$48,0)),""))</f>
        <v/>
      </c>
      <c r="R84" s="296" t="str">
        <f t="array" aca="1" ref="R84" ca="1">IF($A84="*","",IFERROR(INDEX(AGR!$E$52:$L$73,MATCH('TS DTech'!$C84,AGR!$B$52:$B$73,0),MATCH('TS DTech'!$B84&amp;R$7,AGR!$E$46:$L$46&amp;AGR!$E$48:$L$48,0)),""))</f>
        <v/>
      </c>
      <c r="S84" s="296" t="str">
        <f t="array" aca="1" ref="S84" ca="1">IF($A84="*","",IFERROR(INDEX(AGR!$E$52:$L$73,MATCH('TS DTech'!$C84,AGR!$B$52:$B$73,0),MATCH('TS DTech'!$B84&amp;S$7,AGR!$E$46:$L$46&amp;AGR!$E$48:$L$48,0)),""))</f>
        <v/>
      </c>
      <c r="T84" s="296" t="str">
        <f t="array" aca="1" ref="T84" ca="1">IF($A84="*","",IFERROR(INDEX(AGR!$E$52:$L$73,MATCH('TS DTech'!$C84,AGR!$B$52:$B$73,0),MATCH('TS DTech'!$B84&amp;T$7,AGR!$E$46:$L$46&amp;AGR!$E$48:$L$48,0)),""))</f>
        <v/>
      </c>
      <c r="U84" s="296" t="str">
        <f t="array" aca="1" ref="U84" ca="1">IF($A84="*","",IFERROR(INDEX(AGR!$E$52:$L$73,MATCH('TS DTech'!$C84,AGR!$B$52:$B$73,0),MATCH('TS DTech'!$B84&amp;U$7,AGR!$E$46:$L$46&amp;AGR!$E$48:$L$48,0)),""))</f>
        <v/>
      </c>
      <c r="V84" s="296" t="str">
        <f t="array" aca="1" ref="V84" ca="1">IF($A84="*","",IFERROR(INDEX(AGR!$E$52:$L$73,MATCH('TS DTech'!$C84,AGR!$B$52:$B$73,0),MATCH('TS DTech'!$B84&amp;V$7,AGR!$E$46:$L$46&amp;AGR!$E$48:$L$48,0)),""))</f>
        <v/>
      </c>
      <c r="W84" s="296" t="str">
        <f t="array" aca="1" ref="W84" ca="1">IF($A84="*","",IFERROR(INDEX(AGR!$E$52:$L$73,MATCH('TS DTech'!$C84,AGR!$B$52:$B$73,0),MATCH('TS DTech'!$B84&amp;W$7,AGR!$E$46:$L$46&amp;AGR!$E$48:$L$48,0)),""))</f>
        <v/>
      </c>
      <c r="X84" s="296" t="str">
        <f t="array" aca="1" ref="X84" ca="1">IF($A84="*","",IFERROR(INDEX(AGR!$E$52:$L$73,MATCH('TS DTech'!$C84,AGR!$B$52:$B$73,0),MATCH('TS DTech'!$B84&amp;X$7,AGR!$E$46:$L$46&amp;AGR!$E$48:$L$48,0)),""))</f>
        <v/>
      </c>
      <c r="Y84" s="296" t="str">
        <f t="array" aca="1" ref="Y84" ca="1">IF($A84="*","",IFERROR(INDEX(AGR!$E$52:$L$73,MATCH('TS DTech'!$C84,AGR!$B$52:$B$73,0),MATCH('TS DTech'!$B84&amp;Y$7,AGR!$E$46:$L$46&amp;AGR!$E$48:$L$48,0)),""))</f>
        <v/>
      </c>
      <c r="Z84" s="296" t="str">
        <f t="array" aca="1" ref="Z84" ca="1">IF($A84="*","",IFERROR(INDEX(AGR!$E$52:$L$73,MATCH('TS DTech'!$C84,AGR!$B$52:$B$73,0),MATCH('TS DTech'!$B84&amp;Z$7,AGR!$E$46:$L$46&amp;AGR!$E$48:$L$48,0)),""))</f>
        <v/>
      </c>
      <c r="AA84" s="296" t="str">
        <f t="array" aca="1" ref="AA84" ca="1">IF($A84="*","",IFERROR(INDEX(AGR!$E$52:$L$73,MATCH('TS DTech'!$C84,AGR!$B$52:$B$73,0),MATCH('TS DTech'!$B84&amp;AA$7,AGR!$E$46:$L$46&amp;AGR!$E$48:$L$48,0)),""))</f>
        <v/>
      </c>
      <c r="AB84" s="296" t="str">
        <f t="array" aca="1" ref="AB84" ca="1">IF($A84="*","",IFERROR(INDEX(AGR!$E$52:$L$73,MATCH('TS DTech'!$C84,AGR!$B$52:$B$73,0),MATCH('TS DTech'!$B84&amp;AB$7,AGR!$E$46:$L$46&amp;AGR!$E$48:$L$48,0)),""))</f>
        <v/>
      </c>
      <c r="AC84" s="296" t="str">
        <f t="array" aca="1" ref="AC84" ca="1">IF($A84="*","",IFERROR(INDEX(AGR!$E$52:$L$73,MATCH('TS DTech'!$C84,AGR!$B$52:$B$73,0),MATCH('TS DTech'!$B84&amp;AC$7,AGR!$E$46:$L$46&amp;AGR!$E$48:$L$48,0)),""))</f>
        <v/>
      </c>
      <c r="AD84" s="296" t="str">
        <f t="array" aca="1" ref="AD84" ca="1">IF($A84="*","",IFERROR(INDEX(AGR!$E$52:$L$73,MATCH('TS DTech'!$C84,AGR!$B$52:$B$73,0),MATCH('TS DTech'!$B84&amp;AD$7,AGR!$E$46:$L$46&amp;AGR!$E$48:$L$48,0)),""))</f>
        <v/>
      </c>
      <c r="AE84" s="296" t="str">
        <f t="array" aca="1" ref="AE84" ca="1">IF($A84="*","",IFERROR(INDEX(AGR!$E$52:$L$73,MATCH('TS DTech'!$C84,AGR!$B$52:$B$73,0),MATCH('TS DTech'!$B84&amp;AE$7,AGR!$E$46:$L$46&amp;AGR!$E$48:$L$48,0)),""))</f>
        <v/>
      </c>
      <c r="AF84" s="296" t="str">
        <f t="array" aca="1" ref="AF84" ca="1">IF($A84="*","",IFERROR(INDEX(AGR!$E$52:$L$73,MATCH('TS DTech'!$C84,AGR!$B$52:$B$73,0),MATCH('TS DTech'!$B84&amp;AF$7,AGR!$E$46:$L$46&amp;AGR!$E$48:$L$48,0)),""))</f>
        <v/>
      </c>
      <c r="AG84" s="296" t="str">
        <f t="array" aca="1" ref="AG84" ca="1">IF($A84="*","",IFERROR(INDEX(AGR!$E$52:$L$73,MATCH('TS DTech'!$C84,AGR!$B$52:$B$73,0),MATCH('TS DTech'!$B84&amp;AG$7,AGR!$E$46:$L$46&amp;AGR!$E$48:$L$48,0)),""))</f>
        <v/>
      </c>
      <c r="AH84" s="296" t="str">
        <f t="array" aca="1" ref="AH84" ca="1">IF($A84="*","",IFERROR(INDEX(AGR!$E$52:$L$73,MATCH('TS DTech'!$C84,AGR!$B$52:$B$73,0),MATCH('TS DTech'!$B84&amp;AH$7,AGR!$E$46:$L$46&amp;AGR!$E$48:$L$48,0)),""))</f>
        <v/>
      </c>
      <c r="AI84" s="296" t="str">
        <f t="array" aca="1" ref="AI84" ca="1">IF($A84="*","",IFERROR(INDEX(AGR!$E$52:$L$73,MATCH('TS DTech'!$C84,AGR!$B$52:$B$73,0),MATCH('TS DTech'!$B84&amp;AI$7,AGR!$E$46:$L$46&amp;AGR!$E$48:$L$48,0)),""))</f>
        <v/>
      </c>
      <c r="AJ84" s="296" t="str">
        <f t="array" aca="1" ref="AJ84" ca="1">IF($A84="*","",IFERROR(INDEX(AGR!$E$52:$L$73,MATCH('TS DTech'!$C84,AGR!$B$52:$B$73,0),MATCH('TS DTech'!$B84&amp;AJ$7,AGR!$E$46:$L$46&amp;AGR!$E$48:$L$48,0)),""))</f>
        <v/>
      </c>
      <c r="AK84" s="296" t="str">
        <f t="array" aca="1" ref="AK84" ca="1">IF($A84="*","",IFERROR(INDEX(AGR!$E$52:$L$73,MATCH('TS DTech'!$C84,AGR!$B$52:$B$73,0),MATCH('TS DTech'!$B84&amp;AK$7,AGR!$E$46:$L$46&amp;AGR!$E$48:$L$48,0)),""))</f>
        <v/>
      </c>
      <c r="AL84" s="296" t="str">
        <f t="array" aca="1" ref="AL84" ca="1">IF($A84="*","",IFERROR(INDEX(AGR!$E$52:$L$73,MATCH('TS DTech'!$C84,AGR!$B$52:$B$73,0),MATCH('TS DTech'!$B84&amp;AL$7,AGR!$E$46:$L$46&amp;AGR!$E$48:$L$48,0)),""))</f>
        <v/>
      </c>
      <c r="AM84" s="296" t="str">
        <f t="array" aca="1" ref="AM84" ca="1">IF($A84="*","",IFERROR(INDEX(AGR!$E$52:$L$73,MATCH('TS DTech'!$C84,AGR!$B$52:$B$73,0),MATCH('TS DTech'!$B84&amp;AM$7,AGR!$E$46:$L$46&amp;AGR!$E$48:$L$48,0)),""))</f>
        <v/>
      </c>
      <c r="AN84" s="296" t="str">
        <f t="array" aca="1" ref="AN84" ca="1">IF($A84="*","",IFERROR(INDEX(AGR!$E$52:$L$73,MATCH('TS DTech'!$C84,AGR!$B$52:$B$73,0),MATCH('TS DTech'!$B84&amp;AN$7,AGR!$E$46:$L$46&amp;AGR!$E$48:$L$48,0)),""))</f>
        <v/>
      </c>
      <c r="AO84" s="296" t="str">
        <f t="array" aca="1" ref="AO84" ca="1">IF($A84="*","",IFERROR(INDEX(AGR!$E$52:$L$73,MATCH('TS DTech'!$C84,AGR!$B$52:$B$73,0),MATCH('TS DTech'!$B84&amp;AO$7,AGR!$E$46:$L$46&amp;AGR!$E$48:$L$48,0)),""))</f>
        <v/>
      </c>
      <c r="AP84" s="296" t="str">
        <f t="array" aca="1" ref="AP84" ca="1">IF($A84="*","",IFERROR(INDEX(AGR!$E$52:$L$73,MATCH('TS DTech'!$C84,AGR!$B$52:$B$73,0),MATCH('TS DTech'!$B84&amp;AP$7,AGR!$E$46:$L$46&amp;AGR!$E$48:$L$48,0)),""))</f>
        <v/>
      </c>
      <c r="AQ84" s="137">
        <f>IF(AR83=AGR!$AD$74,AQ83+1,AQ83)</f>
        <v>3</v>
      </c>
      <c r="AR84" s="137">
        <f t="shared" si="8"/>
        <v>23</v>
      </c>
    </row>
    <row r="85" spans="1:44">
      <c r="A85" s="137" t="str">
        <f ca="1">IF(LEFT(OFFSET(AGR!$A$51,AR85,0),2)="\I","*","")</f>
        <v/>
      </c>
      <c r="B85" s="212" t="str">
        <f t="shared" ca="1" si="7"/>
        <v>NCAP_TLIFE</v>
      </c>
      <c r="C85" s="212" t="str">
        <f ca="1">IF($A85="*","",OFFSET(AGR!$B$51,AR85,0))</f>
        <v>AHCOA-E</v>
      </c>
      <c r="D85" s="212" t="str">
        <f t="shared" ca="1" si="6"/>
        <v>-</v>
      </c>
      <c r="E85" s="212" t="str">
        <f t="shared" ca="1" si="6"/>
        <v>-</v>
      </c>
      <c r="F85" s="212" t="str">
        <f t="shared" ca="1" si="6"/>
        <v>-</v>
      </c>
      <c r="G85" s="212" t="str">
        <f t="shared" ca="1" si="6"/>
        <v>-</v>
      </c>
      <c r="H85" s="212" t="str">
        <f t="shared" ca="1" si="6"/>
        <v>-</v>
      </c>
      <c r="I85" s="213">
        <f t="shared" ca="1" si="6"/>
        <v>0</v>
      </c>
      <c r="J85" s="296" t="str">
        <f t="array" aca="1" ref="J85" ca="1">IF($A85="*","",IFERROR(INDEX(AGR!$E$52:$L$73,MATCH('TS DTech'!$C85,AGR!$B$52:$B$73,0),MATCH('TS DTech'!$B85&amp;J$7,AGR!$E$46:$L$46&amp;AGR!$E$48:$L$48,0)),""))</f>
        <v/>
      </c>
      <c r="K85" s="296" t="str">
        <f t="array" aca="1" ref="K85" ca="1">IF($A85="*","",IFERROR(INDEX(AGR!$E$52:$L$73,MATCH('TS DTech'!$C85,AGR!$B$52:$B$73,0),MATCH('TS DTech'!$B85&amp;K$7,AGR!$E$46:$L$46&amp;AGR!$E$48:$L$48,0)),""))</f>
        <v/>
      </c>
      <c r="L85" s="296" t="str">
        <f t="array" aca="1" ref="L85" ca="1">IF($A85="*","",IFERROR(INDEX(AGR!$E$52:$L$73,MATCH('TS DTech'!$C85,AGR!$B$52:$B$73,0),MATCH('TS DTech'!$B85&amp;L$7,AGR!$E$46:$L$46&amp;AGR!$E$48:$L$48,0)),""))</f>
        <v/>
      </c>
      <c r="M85" s="296" t="str">
        <f t="array" aca="1" ref="M85" ca="1">IF($A85="*","",IFERROR(INDEX(AGR!$E$52:$L$73,MATCH('TS DTech'!$C85,AGR!$B$52:$B$73,0),MATCH('TS DTech'!$B85&amp;M$7,AGR!$E$46:$L$46&amp;AGR!$E$48:$L$48,0)),""))</f>
        <v/>
      </c>
      <c r="N85" s="296" t="str">
        <f t="array" aca="1" ref="N85" ca="1">IF($A85="*","",IFERROR(INDEX(AGR!$E$52:$L$73,MATCH('TS DTech'!$C85,AGR!$B$52:$B$73,0),MATCH('TS DTech'!$B85&amp;N$7,AGR!$E$46:$L$46&amp;AGR!$E$48:$L$48,0)),""))</f>
        <v/>
      </c>
      <c r="O85" s="296" t="str">
        <f t="array" aca="1" ref="O85" ca="1">IF($A85="*","",IFERROR(INDEX(AGR!$E$52:$L$73,MATCH('TS DTech'!$C85,AGR!$B$52:$B$73,0),MATCH('TS DTech'!$B85&amp;O$7,AGR!$E$46:$L$46&amp;AGR!$E$48:$L$48,0)),""))</f>
        <v/>
      </c>
      <c r="P85" s="296" t="str">
        <f t="array" aca="1" ref="P85" ca="1">IF($A85="*","",IFERROR(INDEX(AGR!$E$52:$L$73,MATCH('TS DTech'!$C85,AGR!$B$52:$B$73,0),MATCH('TS DTech'!$B85&amp;P$7,AGR!$E$46:$L$46&amp;AGR!$E$48:$L$48,0)),""))</f>
        <v/>
      </c>
      <c r="Q85" s="296" t="str">
        <f t="array" aca="1" ref="Q85" ca="1">IF($A85="*","",IFERROR(INDEX(AGR!$E$52:$L$73,MATCH('TS DTech'!$C85,AGR!$B$52:$B$73,0),MATCH('TS DTech'!$B85&amp;Q$7,AGR!$E$46:$L$46&amp;AGR!$E$48:$L$48,0)),""))</f>
        <v/>
      </c>
      <c r="R85" s="296" t="str">
        <f t="array" aca="1" ref="R85" ca="1">IF($A85="*","",IFERROR(INDEX(AGR!$E$52:$L$73,MATCH('TS DTech'!$C85,AGR!$B$52:$B$73,0),MATCH('TS DTech'!$B85&amp;R$7,AGR!$E$46:$L$46&amp;AGR!$E$48:$L$48,0)),""))</f>
        <v/>
      </c>
      <c r="S85" s="296" t="str">
        <f t="array" aca="1" ref="S85" ca="1">IF($A85="*","",IFERROR(INDEX(AGR!$E$52:$L$73,MATCH('TS DTech'!$C85,AGR!$B$52:$B$73,0),MATCH('TS DTech'!$B85&amp;S$7,AGR!$E$46:$L$46&amp;AGR!$E$48:$L$48,0)),""))</f>
        <v/>
      </c>
      <c r="T85" s="296" t="str">
        <f t="array" aca="1" ref="T85" ca="1">IF($A85="*","",IFERROR(INDEX(AGR!$E$52:$L$73,MATCH('TS DTech'!$C85,AGR!$B$52:$B$73,0),MATCH('TS DTech'!$B85&amp;T$7,AGR!$E$46:$L$46&amp;AGR!$E$48:$L$48,0)),""))</f>
        <v/>
      </c>
      <c r="U85" s="296" t="str">
        <f t="array" aca="1" ref="U85" ca="1">IF($A85="*","",IFERROR(INDEX(AGR!$E$52:$L$73,MATCH('TS DTech'!$C85,AGR!$B$52:$B$73,0),MATCH('TS DTech'!$B85&amp;U$7,AGR!$E$46:$L$46&amp;AGR!$E$48:$L$48,0)),""))</f>
        <v/>
      </c>
      <c r="V85" s="296" t="str">
        <f t="array" aca="1" ref="V85" ca="1">IF($A85="*","",IFERROR(INDEX(AGR!$E$52:$L$73,MATCH('TS DTech'!$C85,AGR!$B$52:$B$73,0),MATCH('TS DTech'!$B85&amp;V$7,AGR!$E$46:$L$46&amp;AGR!$E$48:$L$48,0)),""))</f>
        <v/>
      </c>
      <c r="W85" s="296" t="str">
        <f t="array" aca="1" ref="W85" ca="1">IF($A85="*","",IFERROR(INDEX(AGR!$E$52:$L$73,MATCH('TS DTech'!$C85,AGR!$B$52:$B$73,0),MATCH('TS DTech'!$B85&amp;W$7,AGR!$E$46:$L$46&amp;AGR!$E$48:$L$48,0)),""))</f>
        <v/>
      </c>
      <c r="X85" s="296" t="str">
        <f t="array" aca="1" ref="X85" ca="1">IF($A85="*","",IFERROR(INDEX(AGR!$E$52:$L$73,MATCH('TS DTech'!$C85,AGR!$B$52:$B$73,0),MATCH('TS DTech'!$B85&amp;X$7,AGR!$E$46:$L$46&amp;AGR!$E$48:$L$48,0)),""))</f>
        <v/>
      </c>
      <c r="Y85" s="296" t="str">
        <f t="array" aca="1" ref="Y85" ca="1">IF($A85="*","",IFERROR(INDEX(AGR!$E$52:$L$73,MATCH('TS DTech'!$C85,AGR!$B$52:$B$73,0),MATCH('TS DTech'!$B85&amp;Y$7,AGR!$E$46:$L$46&amp;AGR!$E$48:$L$48,0)),""))</f>
        <v/>
      </c>
      <c r="Z85" s="296" t="str">
        <f t="array" aca="1" ref="Z85" ca="1">IF($A85="*","",IFERROR(INDEX(AGR!$E$52:$L$73,MATCH('TS DTech'!$C85,AGR!$B$52:$B$73,0),MATCH('TS DTech'!$B85&amp;Z$7,AGR!$E$46:$L$46&amp;AGR!$E$48:$L$48,0)),""))</f>
        <v/>
      </c>
      <c r="AA85" s="296" t="str">
        <f t="array" aca="1" ref="AA85" ca="1">IF($A85="*","",IFERROR(INDEX(AGR!$E$52:$L$73,MATCH('TS DTech'!$C85,AGR!$B$52:$B$73,0),MATCH('TS DTech'!$B85&amp;AA$7,AGR!$E$46:$L$46&amp;AGR!$E$48:$L$48,0)),""))</f>
        <v/>
      </c>
      <c r="AB85" s="296" t="str">
        <f t="array" aca="1" ref="AB85" ca="1">IF($A85="*","",IFERROR(INDEX(AGR!$E$52:$L$73,MATCH('TS DTech'!$C85,AGR!$B$52:$B$73,0),MATCH('TS DTech'!$B85&amp;AB$7,AGR!$E$46:$L$46&amp;AGR!$E$48:$L$48,0)),""))</f>
        <v/>
      </c>
      <c r="AC85" s="296" t="str">
        <f t="array" aca="1" ref="AC85" ca="1">IF($A85="*","",IFERROR(INDEX(AGR!$E$52:$L$73,MATCH('TS DTech'!$C85,AGR!$B$52:$B$73,0),MATCH('TS DTech'!$B85&amp;AC$7,AGR!$E$46:$L$46&amp;AGR!$E$48:$L$48,0)),""))</f>
        <v/>
      </c>
      <c r="AD85" s="296" t="str">
        <f t="array" aca="1" ref="AD85" ca="1">IF($A85="*","",IFERROR(INDEX(AGR!$E$52:$L$73,MATCH('TS DTech'!$C85,AGR!$B$52:$B$73,0),MATCH('TS DTech'!$B85&amp;AD$7,AGR!$E$46:$L$46&amp;AGR!$E$48:$L$48,0)),""))</f>
        <v/>
      </c>
      <c r="AE85" s="296" t="str">
        <f t="array" aca="1" ref="AE85" ca="1">IF($A85="*","",IFERROR(INDEX(AGR!$E$52:$L$73,MATCH('TS DTech'!$C85,AGR!$B$52:$B$73,0),MATCH('TS DTech'!$B85&amp;AE$7,AGR!$E$46:$L$46&amp;AGR!$E$48:$L$48,0)),""))</f>
        <v/>
      </c>
      <c r="AF85" s="296" t="str">
        <f t="array" aca="1" ref="AF85" ca="1">IF($A85="*","",IFERROR(INDEX(AGR!$E$52:$L$73,MATCH('TS DTech'!$C85,AGR!$B$52:$B$73,0),MATCH('TS DTech'!$B85&amp;AF$7,AGR!$E$46:$L$46&amp;AGR!$E$48:$L$48,0)),""))</f>
        <v/>
      </c>
      <c r="AG85" s="296" t="str">
        <f t="array" aca="1" ref="AG85" ca="1">IF($A85="*","",IFERROR(INDEX(AGR!$E$52:$L$73,MATCH('TS DTech'!$C85,AGR!$B$52:$B$73,0),MATCH('TS DTech'!$B85&amp;AG$7,AGR!$E$46:$L$46&amp;AGR!$E$48:$L$48,0)),""))</f>
        <v/>
      </c>
      <c r="AH85" s="296" t="str">
        <f t="array" aca="1" ref="AH85" ca="1">IF($A85="*","",IFERROR(INDEX(AGR!$E$52:$L$73,MATCH('TS DTech'!$C85,AGR!$B$52:$B$73,0),MATCH('TS DTech'!$B85&amp;AH$7,AGR!$E$46:$L$46&amp;AGR!$E$48:$L$48,0)),""))</f>
        <v/>
      </c>
      <c r="AI85" s="296" t="str">
        <f t="array" aca="1" ref="AI85" ca="1">IF($A85="*","",IFERROR(INDEX(AGR!$E$52:$L$73,MATCH('TS DTech'!$C85,AGR!$B$52:$B$73,0),MATCH('TS DTech'!$B85&amp;AI$7,AGR!$E$46:$L$46&amp;AGR!$E$48:$L$48,0)),""))</f>
        <v/>
      </c>
      <c r="AJ85" s="296" t="str">
        <f t="array" aca="1" ref="AJ85" ca="1">IF($A85="*","",IFERROR(INDEX(AGR!$E$52:$L$73,MATCH('TS DTech'!$C85,AGR!$B$52:$B$73,0),MATCH('TS DTech'!$B85&amp;AJ$7,AGR!$E$46:$L$46&amp;AGR!$E$48:$L$48,0)),""))</f>
        <v/>
      </c>
      <c r="AK85" s="296" t="str">
        <f t="array" aca="1" ref="AK85" ca="1">IF($A85="*","",IFERROR(INDEX(AGR!$E$52:$L$73,MATCH('TS DTech'!$C85,AGR!$B$52:$B$73,0),MATCH('TS DTech'!$B85&amp;AK$7,AGR!$E$46:$L$46&amp;AGR!$E$48:$L$48,0)),""))</f>
        <v/>
      </c>
      <c r="AL85" s="296" t="str">
        <f t="array" aca="1" ref="AL85" ca="1">IF($A85="*","",IFERROR(INDEX(AGR!$E$52:$L$73,MATCH('TS DTech'!$C85,AGR!$B$52:$B$73,0),MATCH('TS DTech'!$B85&amp;AL$7,AGR!$E$46:$L$46&amp;AGR!$E$48:$L$48,0)),""))</f>
        <v/>
      </c>
      <c r="AM85" s="296" t="str">
        <f t="array" aca="1" ref="AM85" ca="1">IF($A85="*","",IFERROR(INDEX(AGR!$E$52:$L$73,MATCH('TS DTech'!$C85,AGR!$B$52:$B$73,0),MATCH('TS DTech'!$B85&amp;AM$7,AGR!$E$46:$L$46&amp;AGR!$E$48:$L$48,0)),""))</f>
        <v/>
      </c>
      <c r="AN85" s="296" t="str">
        <f t="array" aca="1" ref="AN85" ca="1">IF($A85="*","",IFERROR(INDEX(AGR!$E$52:$L$73,MATCH('TS DTech'!$C85,AGR!$B$52:$B$73,0),MATCH('TS DTech'!$B85&amp;AN$7,AGR!$E$46:$L$46&amp;AGR!$E$48:$L$48,0)),""))</f>
        <v/>
      </c>
      <c r="AO85" s="296" t="str">
        <f t="array" aca="1" ref="AO85" ca="1">IF($A85="*","",IFERROR(INDEX(AGR!$E$52:$L$73,MATCH('TS DTech'!$C85,AGR!$B$52:$B$73,0),MATCH('TS DTech'!$B85&amp;AO$7,AGR!$E$46:$L$46&amp;AGR!$E$48:$L$48,0)),""))</f>
        <v/>
      </c>
      <c r="AP85" s="296" t="str">
        <f t="array" aca="1" ref="AP85" ca="1">IF($A85="*","",IFERROR(INDEX(AGR!$E$52:$L$73,MATCH('TS DTech'!$C85,AGR!$B$52:$B$73,0),MATCH('TS DTech'!$B85&amp;AP$7,AGR!$E$46:$L$46&amp;AGR!$E$48:$L$48,0)),""))</f>
        <v/>
      </c>
      <c r="AQ85" s="137">
        <f>IF(AR84=AGR!$AD$74,AQ84+1,AQ84)</f>
        <v>4</v>
      </c>
      <c r="AR85" s="137">
        <f t="shared" si="8"/>
        <v>1</v>
      </c>
    </row>
    <row r="86" spans="1:44">
      <c r="A86" s="137" t="str">
        <f ca="1">IF(LEFT(OFFSET(AGR!$A$51,AR86,0),2)="\I","*","")</f>
        <v/>
      </c>
      <c r="B86" s="212" t="str">
        <f t="shared" ca="1" si="7"/>
        <v>NCAP_TLIFE</v>
      </c>
      <c r="C86" s="212" t="str">
        <f ca="1">IF($A86="*","",OFFSET(AGR!$B$51,AR86,0))</f>
        <v>AHOHF-E</v>
      </c>
      <c r="D86" s="212" t="str">
        <f t="shared" ca="1" si="6"/>
        <v>-</v>
      </c>
      <c r="E86" s="212" t="str">
        <f t="shared" ca="1" si="6"/>
        <v>-</v>
      </c>
      <c r="F86" s="212" t="str">
        <f t="shared" ca="1" si="6"/>
        <v>-</v>
      </c>
      <c r="G86" s="212" t="str">
        <f t="shared" ca="1" si="6"/>
        <v>-</v>
      </c>
      <c r="H86" s="212" t="str">
        <f t="shared" ca="1" si="6"/>
        <v>-</v>
      </c>
      <c r="I86" s="213">
        <f t="shared" ca="1" si="6"/>
        <v>0</v>
      </c>
      <c r="J86" s="296" t="str">
        <f t="array" aca="1" ref="J86" ca="1">IF($A86="*","",IFERROR(INDEX(AGR!$E$52:$L$73,MATCH('TS DTech'!$C86,AGR!$B$52:$B$73,0),MATCH('TS DTech'!$B86&amp;J$7,AGR!$E$46:$L$46&amp;AGR!$E$48:$L$48,0)),""))</f>
        <v/>
      </c>
      <c r="K86" s="296" t="str">
        <f t="array" aca="1" ref="K86" ca="1">IF($A86="*","",IFERROR(INDEX(AGR!$E$52:$L$73,MATCH('TS DTech'!$C86,AGR!$B$52:$B$73,0),MATCH('TS DTech'!$B86&amp;K$7,AGR!$E$46:$L$46&amp;AGR!$E$48:$L$48,0)),""))</f>
        <v/>
      </c>
      <c r="L86" s="296" t="str">
        <f t="array" aca="1" ref="L86" ca="1">IF($A86="*","",IFERROR(INDEX(AGR!$E$52:$L$73,MATCH('TS DTech'!$C86,AGR!$B$52:$B$73,0),MATCH('TS DTech'!$B86&amp;L$7,AGR!$E$46:$L$46&amp;AGR!$E$48:$L$48,0)),""))</f>
        <v/>
      </c>
      <c r="M86" s="296" t="str">
        <f t="array" aca="1" ref="M86" ca="1">IF($A86="*","",IFERROR(INDEX(AGR!$E$52:$L$73,MATCH('TS DTech'!$C86,AGR!$B$52:$B$73,0),MATCH('TS DTech'!$B86&amp;M$7,AGR!$E$46:$L$46&amp;AGR!$E$48:$L$48,0)),""))</f>
        <v/>
      </c>
      <c r="N86" s="296" t="str">
        <f t="array" aca="1" ref="N86" ca="1">IF($A86="*","",IFERROR(INDEX(AGR!$E$52:$L$73,MATCH('TS DTech'!$C86,AGR!$B$52:$B$73,0),MATCH('TS DTech'!$B86&amp;N$7,AGR!$E$46:$L$46&amp;AGR!$E$48:$L$48,0)),""))</f>
        <v/>
      </c>
      <c r="O86" s="296" t="str">
        <f t="array" aca="1" ref="O86" ca="1">IF($A86="*","",IFERROR(INDEX(AGR!$E$52:$L$73,MATCH('TS DTech'!$C86,AGR!$B$52:$B$73,0),MATCH('TS DTech'!$B86&amp;O$7,AGR!$E$46:$L$46&amp;AGR!$E$48:$L$48,0)),""))</f>
        <v/>
      </c>
      <c r="P86" s="296" t="str">
        <f t="array" aca="1" ref="P86" ca="1">IF($A86="*","",IFERROR(INDEX(AGR!$E$52:$L$73,MATCH('TS DTech'!$C86,AGR!$B$52:$B$73,0),MATCH('TS DTech'!$B86&amp;P$7,AGR!$E$46:$L$46&amp;AGR!$E$48:$L$48,0)),""))</f>
        <v/>
      </c>
      <c r="Q86" s="296" t="str">
        <f t="array" aca="1" ref="Q86" ca="1">IF($A86="*","",IFERROR(INDEX(AGR!$E$52:$L$73,MATCH('TS DTech'!$C86,AGR!$B$52:$B$73,0),MATCH('TS DTech'!$B86&amp;Q$7,AGR!$E$46:$L$46&amp;AGR!$E$48:$L$48,0)),""))</f>
        <v/>
      </c>
      <c r="R86" s="296" t="str">
        <f t="array" aca="1" ref="R86" ca="1">IF($A86="*","",IFERROR(INDEX(AGR!$E$52:$L$73,MATCH('TS DTech'!$C86,AGR!$B$52:$B$73,0),MATCH('TS DTech'!$B86&amp;R$7,AGR!$E$46:$L$46&amp;AGR!$E$48:$L$48,0)),""))</f>
        <v/>
      </c>
      <c r="S86" s="296" t="str">
        <f t="array" aca="1" ref="S86" ca="1">IF($A86="*","",IFERROR(INDEX(AGR!$E$52:$L$73,MATCH('TS DTech'!$C86,AGR!$B$52:$B$73,0),MATCH('TS DTech'!$B86&amp;S$7,AGR!$E$46:$L$46&amp;AGR!$E$48:$L$48,0)),""))</f>
        <v/>
      </c>
      <c r="T86" s="296" t="str">
        <f t="array" aca="1" ref="T86" ca="1">IF($A86="*","",IFERROR(INDEX(AGR!$E$52:$L$73,MATCH('TS DTech'!$C86,AGR!$B$52:$B$73,0),MATCH('TS DTech'!$B86&amp;T$7,AGR!$E$46:$L$46&amp;AGR!$E$48:$L$48,0)),""))</f>
        <v/>
      </c>
      <c r="U86" s="296" t="str">
        <f t="array" aca="1" ref="U86" ca="1">IF($A86="*","",IFERROR(INDEX(AGR!$E$52:$L$73,MATCH('TS DTech'!$C86,AGR!$B$52:$B$73,0),MATCH('TS DTech'!$B86&amp;U$7,AGR!$E$46:$L$46&amp;AGR!$E$48:$L$48,0)),""))</f>
        <v/>
      </c>
      <c r="V86" s="296" t="str">
        <f t="array" aca="1" ref="V86" ca="1">IF($A86="*","",IFERROR(INDEX(AGR!$E$52:$L$73,MATCH('TS DTech'!$C86,AGR!$B$52:$B$73,0),MATCH('TS DTech'!$B86&amp;V$7,AGR!$E$46:$L$46&amp;AGR!$E$48:$L$48,0)),""))</f>
        <v/>
      </c>
      <c r="W86" s="296" t="str">
        <f t="array" aca="1" ref="W86" ca="1">IF($A86="*","",IFERROR(INDEX(AGR!$E$52:$L$73,MATCH('TS DTech'!$C86,AGR!$B$52:$B$73,0),MATCH('TS DTech'!$B86&amp;W$7,AGR!$E$46:$L$46&amp;AGR!$E$48:$L$48,0)),""))</f>
        <v/>
      </c>
      <c r="X86" s="296" t="str">
        <f t="array" aca="1" ref="X86" ca="1">IF($A86="*","",IFERROR(INDEX(AGR!$E$52:$L$73,MATCH('TS DTech'!$C86,AGR!$B$52:$B$73,0),MATCH('TS DTech'!$B86&amp;X$7,AGR!$E$46:$L$46&amp;AGR!$E$48:$L$48,0)),""))</f>
        <v/>
      </c>
      <c r="Y86" s="296" t="str">
        <f t="array" aca="1" ref="Y86" ca="1">IF($A86="*","",IFERROR(INDEX(AGR!$E$52:$L$73,MATCH('TS DTech'!$C86,AGR!$B$52:$B$73,0),MATCH('TS DTech'!$B86&amp;Y$7,AGR!$E$46:$L$46&amp;AGR!$E$48:$L$48,0)),""))</f>
        <v/>
      </c>
      <c r="Z86" s="296" t="str">
        <f t="array" aca="1" ref="Z86" ca="1">IF($A86="*","",IFERROR(INDEX(AGR!$E$52:$L$73,MATCH('TS DTech'!$C86,AGR!$B$52:$B$73,0),MATCH('TS DTech'!$B86&amp;Z$7,AGR!$E$46:$L$46&amp;AGR!$E$48:$L$48,0)),""))</f>
        <v/>
      </c>
      <c r="AA86" s="296" t="str">
        <f t="array" aca="1" ref="AA86" ca="1">IF($A86="*","",IFERROR(INDEX(AGR!$E$52:$L$73,MATCH('TS DTech'!$C86,AGR!$B$52:$B$73,0),MATCH('TS DTech'!$B86&amp;AA$7,AGR!$E$46:$L$46&amp;AGR!$E$48:$L$48,0)),""))</f>
        <v/>
      </c>
      <c r="AB86" s="296" t="str">
        <f t="array" aca="1" ref="AB86" ca="1">IF($A86="*","",IFERROR(INDEX(AGR!$E$52:$L$73,MATCH('TS DTech'!$C86,AGR!$B$52:$B$73,0),MATCH('TS DTech'!$B86&amp;AB$7,AGR!$E$46:$L$46&amp;AGR!$E$48:$L$48,0)),""))</f>
        <v/>
      </c>
      <c r="AC86" s="296" t="str">
        <f t="array" aca="1" ref="AC86" ca="1">IF($A86="*","",IFERROR(INDEX(AGR!$E$52:$L$73,MATCH('TS DTech'!$C86,AGR!$B$52:$B$73,0),MATCH('TS DTech'!$B86&amp;AC$7,AGR!$E$46:$L$46&amp;AGR!$E$48:$L$48,0)),""))</f>
        <v/>
      </c>
      <c r="AD86" s="296" t="str">
        <f t="array" aca="1" ref="AD86" ca="1">IF($A86="*","",IFERROR(INDEX(AGR!$E$52:$L$73,MATCH('TS DTech'!$C86,AGR!$B$52:$B$73,0),MATCH('TS DTech'!$B86&amp;AD$7,AGR!$E$46:$L$46&amp;AGR!$E$48:$L$48,0)),""))</f>
        <v/>
      </c>
      <c r="AE86" s="296" t="str">
        <f t="array" aca="1" ref="AE86" ca="1">IF($A86="*","",IFERROR(INDEX(AGR!$E$52:$L$73,MATCH('TS DTech'!$C86,AGR!$B$52:$B$73,0),MATCH('TS DTech'!$B86&amp;AE$7,AGR!$E$46:$L$46&amp;AGR!$E$48:$L$48,0)),""))</f>
        <v/>
      </c>
      <c r="AF86" s="296" t="str">
        <f t="array" aca="1" ref="AF86" ca="1">IF($A86="*","",IFERROR(INDEX(AGR!$E$52:$L$73,MATCH('TS DTech'!$C86,AGR!$B$52:$B$73,0),MATCH('TS DTech'!$B86&amp;AF$7,AGR!$E$46:$L$46&amp;AGR!$E$48:$L$48,0)),""))</f>
        <v/>
      </c>
      <c r="AG86" s="296" t="str">
        <f t="array" aca="1" ref="AG86" ca="1">IF($A86="*","",IFERROR(INDEX(AGR!$E$52:$L$73,MATCH('TS DTech'!$C86,AGR!$B$52:$B$73,0),MATCH('TS DTech'!$B86&amp;AG$7,AGR!$E$46:$L$46&amp;AGR!$E$48:$L$48,0)),""))</f>
        <v/>
      </c>
      <c r="AH86" s="296" t="str">
        <f t="array" aca="1" ref="AH86" ca="1">IF($A86="*","",IFERROR(INDEX(AGR!$E$52:$L$73,MATCH('TS DTech'!$C86,AGR!$B$52:$B$73,0),MATCH('TS DTech'!$B86&amp;AH$7,AGR!$E$46:$L$46&amp;AGR!$E$48:$L$48,0)),""))</f>
        <v/>
      </c>
      <c r="AI86" s="296" t="str">
        <f t="array" aca="1" ref="AI86" ca="1">IF($A86="*","",IFERROR(INDEX(AGR!$E$52:$L$73,MATCH('TS DTech'!$C86,AGR!$B$52:$B$73,0),MATCH('TS DTech'!$B86&amp;AI$7,AGR!$E$46:$L$46&amp;AGR!$E$48:$L$48,0)),""))</f>
        <v/>
      </c>
      <c r="AJ86" s="296" t="str">
        <f t="array" aca="1" ref="AJ86" ca="1">IF($A86="*","",IFERROR(INDEX(AGR!$E$52:$L$73,MATCH('TS DTech'!$C86,AGR!$B$52:$B$73,0),MATCH('TS DTech'!$B86&amp;AJ$7,AGR!$E$46:$L$46&amp;AGR!$E$48:$L$48,0)),""))</f>
        <v/>
      </c>
      <c r="AK86" s="296" t="str">
        <f t="array" aca="1" ref="AK86" ca="1">IF($A86="*","",IFERROR(INDEX(AGR!$E$52:$L$73,MATCH('TS DTech'!$C86,AGR!$B$52:$B$73,0),MATCH('TS DTech'!$B86&amp;AK$7,AGR!$E$46:$L$46&amp;AGR!$E$48:$L$48,0)),""))</f>
        <v/>
      </c>
      <c r="AL86" s="296" t="str">
        <f t="array" aca="1" ref="AL86" ca="1">IF($A86="*","",IFERROR(INDEX(AGR!$E$52:$L$73,MATCH('TS DTech'!$C86,AGR!$B$52:$B$73,0),MATCH('TS DTech'!$B86&amp;AL$7,AGR!$E$46:$L$46&amp;AGR!$E$48:$L$48,0)),""))</f>
        <v/>
      </c>
      <c r="AM86" s="296" t="str">
        <f t="array" aca="1" ref="AM86" ca="1">IF($A86="*","",IFERROR(INDEX(AGR!$E$52:$L$73,MATCH('TS DTech'!$C86,AGR!$B$52:$B$73,0),MATCH('TS DTech'!$B86&amp;AM$7,AGR!$E$46:$L$46&amp;AGR!$E$48:$L$48,0)),""))</f>
        <v/>
      </c>
      <c r="AN86" s="296" t="str">
        <f t="array" aca="1" ref="AN86" ca="1">IF($A86="*","",IFERROR(INDEX(AGR!$E$52:$L$73,MATCH('TS DTech'!$C86,AGR!$B$52:$B$73,0),MATCH('TS DTech'!$B86&amp;AN$7,AGR!$E$46:$L$46&amp;AGR!$E$48:$L$48,0)),""))</f>
        <v/>
      </c>
      <c r="AO86" s="296" t="str">
        <f t="array" aca="1" ref="AO86" ca="1">IF($A86="*","",IFERROR(INDEX(AGR!$E$52:$L$73,MATCH('TS DTech'!$C86,AGR!$B$52:$B$73,0),MATCH('TS DTech'!$B86&amp;AO$7,AGR!$E$46:$L$46&amp;AGR!$E$48:$L$48,0)),""))</f>
        <v/>
      </c>
      <c r="AP86" s="296" t="str">
        <f t="array" aca="1" ref="AP86" ca="1">IF($A86="*","",IFERROR(INDEX(AGR!$E$52:$L$73,MATCH('TS DTech'!$C86,AGR!$B$52:$B$73,0),MATCH('TS DTech'!$B86&amp;AP$7,AGR!$E$46:$L$46&amp;AGR!$E$48:$L$48,0)),""))</f>
        <v/>
      </c>
      <c r="AQ86" s="137">
        <f>IF(AR85=AGR!$AD$74,AQ85+1,AQ85)</f>
        <v>4</v>
      </c>
      <c r="AR86" s="137">
        <f t="shared" si="8"/>
        <v>2</v>
      </c>
    </row>
    <row r="87" spans="1:44">
      <c r="A87" s="137" t="str">
        <f ca="1">IF(LEFT(OFFSET(AGR!$A$51,AR87,0),2)="\I","*","")</f>
        <v/>
      </c>
      <c r="B87" s="212" t="str">
        <f t="shared" ca="1" si="7"/>
        <v>NCAP_TLIFE</v>
      </c>
      <c r="C87" s="212" t="str">
        <f ca="1">IF($A87="*","",OFFSET(AGR!$B$51,AR87,0))</f>
        <v>AHOKE-E</v>
      </c>
      <c r="D87" s="212" t="str">
        <f t="shared" ca="1" si="6"/>
        <v>-</v>
      </c>
      <c r="E87" s="212" t="str">
        <f t="shared" ca="1" si="6"/>
        <v>-</v>
      </c>
      <c r="F87" s="212" t="str">
        <f t="shared" ca="1" si="6"/>
        <v>-</v>
      </c>
      <c r="G87" s="212" t="str">
        <f t="shared" ca="1" si="6"/>
        <v>-</v>
      </c>
      <c r="H87" s="212" t="str">
        <f t="shared" ca="1" si="6"/>
        <v>-</v>
      </c>
      <c r="I87" s="213">
        <f t="shared" ca="1" si="6"/>
        <v>0</v>
      </c>
      <c r="J87" s="296" t="str">
        <f t="array" aca="1" ref="J87" ca="1">IF($A87="*","",IFERROR(INDEX(AGR!$E$52:$L$73,MATCH('TS DTech'!$C87,AGR!$B$52:$B$73,0),MATCH('TS DTech'!$B87&amp;J$7,AGR!$E$46:$L$46&amp;AGR!$E$48:$L$48,0)),""))</f>
        <v/>
      </c>
      <c r="K87" s="296" t="str">
        <f t="array" aca="1" ref="K87" ca="1">IF($A87="*","",IFERROR(INDEX(AGR!$E$52:$L$73,MATCH('TS DTech'!$C87,AGR!$B$52:$B$73,0),MATCH('TS DTech'!$B87&amp;K$7,AGR!$E$46:$L$46&amp;AGR!$E$48:$L$48,0)),""))</f>
        <v/>
      </c>
      <c r="L87" s="296" t="str">
        <f t="array" aca="1" ref="L87" ca="1">IF($A87="*","",IFERROR(INDEX(AGR!$E$52:$L$73,MATCH('TS DTech'!$C87,AGR!$B$52:$B$73,0),MATCH('TS DTech'!$B87&amp;L$7,AGR!$E$46:$L$46&amp;AGR!$E$48:$L$48,0)),""))</f>
        <v/>
      </c>
      <c r="M87" s="296" t="str">
        <f t="array" aca="1" ref="M87" ca="1">IF($A87="*","",IFERROR(INDEX(AGR!$E$52:$L$73,MATCH('TS DTech'!$C87,AGR!$B$52:$B$73,0),MATCH('TS DTech'!$B87&amp;M$7,AGR!$E$46:$L$46&amp;AGR!$E$48:$L$48,0)),""))</f>
        <v/>
      </c>
      <c r="N87" s="296" t="str">
        <f t="array" aca="1" ref="N87" ca="1">IF($A87="*","",IFERROR(INDEX(AGR!$E$52:$L$73,MATCH('TS DTech'!$C87,AGR!$B$52:$B$73,0),MATCH('TS DTech'!$B87&amp;N$7,AGR!$E$46:$L$46&amp;AGR!$E$48:$L$48,0)),""))</f>
        <v/>
      </c>
      <c r="O87" s="296" t="str">
        <f t="array" aca="1" ref="O87" ca="1">IF($A87="*","",IFERROR(INDEX(AGR!$E$52:$L$73,MATCH('TS DTech'!$C87,AGR!$B$52:$B$73,0),MATCH('TS DTech'!$B87&amp;O$7,AGR!$E$46:$L$46&amp;AGR!$E$48:$L$48,0)),""))</f>
        <v/>
      </c>
      <c r="P87" s="296" t="str">
        <f t="array" aca="1" ref="P87" ca="1">IF($A87="*","",IFERROR(INDEX(AGR!$E$52:$L$73,MATCH('TS DTech'!$C87,AGR!$B$52:$B$73,0),MATCH('TS DTech'!$B87&amp;P$7,AGR!$E$46:$L$46&amp;AGR!$E$48:$L$48,0)),""))</f>
        <v/>
      </c>
      <c r="Q87" s="296" t="str">
        <f t="array" aca="1" ref="Q87" ca="1">IF($A87="*","",IFERROR(INDEX(AGR!$E$52:$L$73,MATCH('TS DTech'!$C87,AGR!$B$52:$B$73,0),MATCH('TS DTech'!$B87&amp;Q$7,AGR!$E$46:$L$46&amp;AGR!$E$48:$L$48,0)),""))</f>
        <v/>
      </c>
      <c r="R87" s="296" t="str">
        <f t="array" aca="1" ref="R87" ca="1">IF($A87="*","",IFERROR(INDEX(AGR!$E$52:$L$73,MATCH('TS DTech'!$C87,AGR!$B$52:$B$73,0),MATCH('TS DTech'!$B87&amp;R$7,AGR!$E$46:$L$46&amp;AGR!$E$48:$L$48,0)),""))</f>
        <v/>
      </c>
      <c r="S87" s="296" t="str">
        <f t="array" aca="1" ref="S87" ca="1">IF($A87="*","",IFERROR(INDEX(AGR!$E$52:$L$73,MATCH('TS DTech'!$C87,AGR!$B$52:$B$73,0),MATCH('TS DTech'!$B87&amp;S$7,AGR!$E$46:$L$46&amp;AGR!$E$48:$L$48,0)),""))</f>
        <v/>
      </c>
      <c r="T87" s="296" t="str">
        <f t="array" aca="1" ref="T87" ca="1">IF($A87="*","",IFERROR(INDEX(AGR!$E$52:$L$73,MATCH('TS DTech'!$C87,AGR!$B$52:$B$73,0),MATCH('TS DTech'!$B87&amp;T$7,AGR!$E$46:$L$46&amp;AGR!$E$48:$L$48,0)),""))</f>
        <v/>
      </c>
      <c r="U87" s="296" t="str">
        <f t="array" aca="1" ref="U87" ca="1">IF($A87="*","",IFERROR(INDEX(AGR!$E$52:$L$73,MATCH('TS DTech'!$C87,AGR!$B$52:$B$73,0),MATCH('TS DTech'!$B87&amp;U$7,AGR!$E$46:$L$46&amp;AGR!$E$48:$L$48,0)),""))</f>
        <v/>
      </c>
      <c r="V87" s="296" t="str">
        <f t="array" aca="1" ref="V87" ca="1">IF($A87="*","",IFERROR(INDEX(AGR!$E$52:$L$73,MATCH('TS DTech'!$C87,AGR!$B$52:$B$73,0),MATCH('TS DTech'!$B87&amp;V$7,AGR!$E$46:$L$46&amp;AGR!$E$48:$L$48,0)),""))</f>
        <v/>
      </c>
      <c r="W87" s="296" t="str">
        <f t="array" aca="1" ref="W87" ca="1">IF($A87="*","",IFERROR(INDEX(AGR!$E$52:$L$73,MATCH('TS DTech'!$C87,AGR!$B$52:$B$73,0),MATCH('TS DTech'!$B87&amp;W$7,AGR!$E$46:$L$46&amp;AGR!$E$48:$L$48,0)),""))</f>
        <v/>
      </c>
      <c r="X87" s="296" t="str">
        <f t="array" aca="1" ref="X87" ca="1">IF($A87="*","",IFERROR(INDEX(AGR!$E$52:$L$73,MATCH('TS DTech'!$C87,AGR!$B$52:$B$73,0),MATCH('TS DTech'!$B87&amp;X$7,AGR!$E$46:$L$46&amp;AGR!$E$48:$L$48,0)),""))</f>
        <v/>
      </c>
      <c r="Y87" s="296" t="str">
        <f t="array" aca="1" ref="Y87" ca="1">IF($A87="*","",IFERROR(INDEX(AGR!$E$52:$L$73,MATCH('TS DTech'!$C87,AGR!$B$52:$B$73,0),MATCH('TS DTech'!$B87&amp;Y$7,AGR!$E$46:$L$46&amp;AGR!$E$48:$L$48,0)),""))</f>
        <v/>
      </c>
      <c r="Z87" s="296" t="str">
        <f t="array" aca="1" ref="Z87" ca="1">IF($A87="*","",IFERROR(INDEX(AGR!$E$52:$L$73,MATCH('TS DTech'!$C87,AGR!$B$52:$B$73,0),MATCH('TS DTech'!$B87&amp;Z$7,AGR!$E$46:$L$46&amp;AGR!$E$48:$L$48,0)),""))</f>
        <v/>
      </c>
      <c r="AA87" s="296" t="str">
        <f t="array" aca="1" ref="AA87" ca="1">IF($A87="*","",IFERROR(INDEX(AGR!$E$52:$L$73,MATCH('TS DTech'!$C87,AGR!$B$52:$B$73,0),MATCH('TS DTech'!$B87&amp;AA$7,AGR!$E$46:$L$46&amp;AGR!$E$48:$L$48,0)),""))</f>
        <v/>
      </c>
      <c r="AB87" s="296" t="str">
        <f t="array" aca="1" ref="AB87" ca="1">IF($A87="*","",IFERROR(INDEX(AGR!$E$52:$L$73,MATCH('TS DTech'!$C87,AGR!$B$52:$B$73,0),MATCH('TS DTech'!$B87&amp;AB$7,AGR!$E$46:$L$46&amp;AGR!$E$48:$L$48,0)),""))</f>
        <v/>
      </c>
      <c r="AC87" s="296" t="str">
        <f t="array" aca="1" ref="AC87" ca="1">IF($A87="*","",IFERROR(INDEX(AGR!$E$52:$L$73,MATCH('TS DTech'!$C87,AGR!$B$52:$B$73,0),MATCH('TS DTech'!$B87&amp;AC$7,AGR!$E$46:$L$46&amp;AGR!$E$48:$L$48,0)),""))</f>
        <v/>
      </c>
      <c r="AD87" s="296" t="str">
        <f t="array" aca="1" ref="AD87" ca="1">IF($A87="*","",IFERROR(INDEX(AGR!$E$52:$L$73,MATCH('TS DTech'!$C87,AGR!$B$52:$B$73,0),MATCH('TS DTech'!$B87&amp;AD$7,AGR!$E$46:$L$46&amp;AGR!$E$48:$L$48,0)),""))</f>
        <v/>
      </c>
      <c r="AE87" s="296" t="str">
        <f t="array" aca="1" ref="AE87" ca="1">IF($A87="*","",IFERROR(INDEX(AGR!$E$52:$L$73,MATCH('TS DTech'!$C87,AGR!$B$52:$B$73,0),MATCH('TS DTech'!$B87&amp;AE$7,AGR!$E$46:$L$46&amp;AGR!$E$48:$L$48,0)),""))</f>
        <v/>
      </c>
      <c r="AF87" s="296" t="str">
        <f t="array" aca="1" ref="AF87" ca="1">IF($A87="*","",IFERROR(INDEX(AGR!$E$52:$L$73,MATCH('TS DTech'!$C87,AGR!$B$52:$B$73,0),MATCH('TS DTech'!$B87&amp;AF$7,AGR!$E$46:$L$46&amp;AGR!$E$48:$L$48,0)),""))</f>
        <v/>
      </c>
      <c r="AG87" s="296" t="str">
        <f t="array" aca="1" ref="AG87" ca="1">IF($A87="*","",IFERROR(INDEX(AGR!$E$52:$L$73,MATCH('TS DTech'!$C87,AGR!$B$52:$B$73,0),MATCH('TS DTech'!$B87&amp;AG$7,AGR!$E$46:$L$46&amp;AGR!$E$48:$L$48,0)),""))</f>
        <v/>
      </c>
      <c r="AH87" s="296" t="str">
        <f t="array" aca="1" ref="AH87" ca="1">IF($A87="*","",IFERROR(INDEX(AGR!$E$52:$L$73,MATCH('TS DTech'!$C87,AGR!$B$52:$B$73,0),MATCH('TS DTech'!$B87&amp;AH$7,AGR!$E$46:$L$46&amp;AGR!$E$48:$L$48,0)),""))</f>
        <v/>
      </c>
      <c r="AI87" s="296" t="str">
        <f t="array" aca="1" ref="AI87" ca="1">IF($A87="*","",IFERROR(INDEX(AGR!$E$52:$L$73,MATCH('TS DTech'!$C87,AGR!$B$52:$B$73,0),MATCH('TS DTech'!$B87&amp;AI$7,AGR!$E$46:$L$46&amp;AGR!$E$48:$L$48,0)),""))</f>
        <v/>
      </c>
      <c r="AJ87" s="296" t="str">
        <f t="array" aca="1" ref="AJ87" ca="1">IF($A87="*","",IFERROR(INDEX(AGR!$E$52:$L$73,MATCH('TS DTech'!$C87,AGR!$B$52:$B$73,0),MATCH('TS DTech'!$B87&amp;AJ$7,AGR!$E$46:$L$46&amp;AGR!$E$48:$L$48,0)),""))</f>
        <v/>
      </c>
      <c r="AK87" s="296" t="str">
        <f t="array" aca="1" ref="AK87" ca="1">IF($A87="*","",IFERROR(INDEX(AGR!$E$52:$L$73,MATCH('TS DTech'!$C87,AGR!$B$52:$B$73,0),MATCH('TS DTech'!$B87&amp;AK$7,AGR!$E$46:$L$46&amp;AGR!$E$48:$L$48,0)),""))</f>
        <v/>
      </c>
      <c r="AL87" s="296" t="str">
        <f t="array" aca="1" ref="AL87" ca="1">IF($A87="*","",IFERROR(INDEX(AGR!$E$52:$L$73,MATCH('TS DTech'!$C87,AGR!$B$52:$B$73,0),MATCH('TS DTech'!$B87&amp;AL$7,AGR!$E$46:$L$46&amp;AGR!$E$48:$L$48,0)),""))</f>
        <v/>
      </c>
      <c r="AM87" s="296" t="str">
        <f t="array" aca="1" ref="AM87" ca="1">IF($A87="*","",IFERROR(INDEX(AGR!$E$52:$L$73,MATCH('TS DTech'!$C87,AGR!$B$52:$B$73,0),MATCH('TS DTech'!$B87&amp;AM$7,AGR!$E$46:$L$46&amp;AGR!$E$48:$L$48,0)),""))</f>
        <v/>
      </c>
      <c r="AN87" s="296" t="str">
        <f t="array" aca="1" ref="AN87" ca="1">IF($A87="*","",IFERROR(INDEX(AGR!$E$52:$L$73,MATCH('TS DTech'!$C87,AGR!$B$52:$B$73,0),MATCH('TS DTech'!$B87&amp;AN$7,AGR!$E$46:$L$46&amp;AGR!$E$48:$L$48,0)),""))</f>
        <v/>
      </c>
      <c r="AO87" s="296" t="str">
        <f t="array" aca="1" ref="AO87" ca="1">IF($A87="*","",IFERROR(INDEX(AGR!$E$52:$L$73,MATCH('TS DTech'!$C87,AGR!$B$52:$B$73,0),MATCH('TS DTech'!$B87&amp;AO$7,AGR!$E$46:$L$46&amp;AGR!$E$48:$L$48,0)),""))</f>
        <v/>
      </c>
      <c r="AP87" s="296" t="str">
        <f t="array" aca="1" ref="AP87" ca="1">IF($A87="*","",IFERROR(INDEX(AGR!$E$52:$L$73,MATCH('TS DTech'!$C87,AGR!$B$52:$B$73,0),MATCH('TS DTech'!$B87&amp;AP$7,AGR!$E$46:$L$46&amp;AGR!$E$48:$L$48,0)),""))</f>
        <v/>
      </c>
      <c r="AQ87" s="137">
        <f>IF(AR86=AGR!$AD$74,AQ86+1,AQ86)</f>
        <v>4</v>
      </c>
      <c r="AR87" s="137">
        <f t="shared" si="8"/>
        <v>3</v>
      </c>
    </row>
    <row r="88" spans="1:44">
      <c r="A88" s="137" t="str">
        <f ca="1">IF(LEFT(OFFSET(AGR!$A$51,AR88,0),2)="\I","*","")</f>
        <v/>
      </c>
      <c r="B88" s="212" t="str">
        <f t="shared" ca="1" si="7"/>
        <v>NCAP_TLIFE</v>
      </c>
      <c r="C88" s="212" t="str">
        <f ca="1">IF($A88="*","",OFFSET(AGR!$B$51,AR88,0))</f>
        <v>AHOLP-E</v>
      </c>
      <c r="D88" s="212" t="str">
        <f t="shared" ca="1" si="6"/>
        <v>-</v>
      </c>
      <c r="E88" s="212" t="str">
        <f t="shared" ca="1" si="6"/>
        <v>-</v>
      </c>
      <c r="F88" s="212" t="str">
        <f t="shared" ca="1" si="6"/>
        <v>-</v>
      </c>
      <c r="G88" s="212" t="str">
        <f t="shared" ca="1" si="6"/>
        <v>-</v>
      </c>
      <c r="H88" s="212" t="str">
        <f t="shared" ca="1" si="6"/>
        <v>-</v>
      </c>
      <c r="I88" s="213">
        <f t="shared" ca="1" si="6"/>
        <v>0</v>
      </c>
      <c r="J88" s="296" t="str">
        <f t="array" aca="1" ref="J88" ca="1">IF($A88="*","",IFERROR(INDEX(AGR!$E$52:$L$73,MATCH('TS DTech'!$C88,AGR!$B$52:$B$73,0),MATCH('TS DTech'!$B88&amp;J$7,AGR!$E$46:$L$46&amp;AGR!$E$48:$L$48,0)),""))</f>
        <v/>
      </c>
      <c r="K88" s="296" t="str">
        <f t="array" aca="1" ref="K88" ca="1">IF($A88="*","",IFERROR(INDEX(AGR!$E$52:$L$73,MATCH('TS DTech'!$C88,AGR!$B$52:$B$73,0),MATCH('TS DTech'!$B88&amp;K$7,AGR!$E$46:$L$46&amp;AGR!$E$48:$L$48,0)),""))</f>
        <v/>
      </c>
      <c r="L88" s="296" t="str">
        <f t="array" aca="1" ref="L88" ca="1">IF($A88="*","",IFERROR(INDEX(AGR!$E$52:$L$73,MATCH('TS DTech'!$C88,AGR!$B$52:$B$73,0),MATCH('TS DTech'!$B88&amp;L$7,AGR!$E$46:$L$46&amp;AGR!$E$48:$L$48,0)),""))</f>
        <v/>
      </c>
      <c r="M88" s="296" t="str">
        <f t="array" aca="1" ref="M88" ca="1">IF($A88="*","",IFERROR(INDEX(AGR!$E$52:$L$73,MATCH('TS DTech'!$C88,AGR!$B$52:$B$73,0),MATCH('TS DTech'!$B88&amp;M$7,AGR!$E$46:$L$46&amp;AGR!$E$48:$L$48,0)),""))</f>
        <v/>
      </c>
      <c r="N88" s="296" t="str">
        <f t="array" aca="1" ref="N88" ca="1">IF($A88="*","",IFERROR(INDEX(AGR!$E$52:$L$73,MATCH('TS DTech'!$C88,AGR!$B$52:$B$73,0),MATCH('TS DTech'!$B88&amp;N$7,AGR!$E$46:$L$46&amp;AGR!$E$48:$L$48,0)),""))</f>
        <v/>
      </c>
      <c r="O88" s="296" t="str">
        <f t="array" aca="1" ref="O88" ca="1">IF($A88="*","",IFERROR(INDEX(AGR!$E$52:$L$73,MATCH('TS DTech'!$C88,AGR!$B$52:$B$73,0),MATCH('TS DTech'!$B88&amp;O$7,AGR!$E$46:$L$46&amp;AGR!$E$48:$L$48,0)),""))</f>
        <v/>
      </c>
      <c r="P88" s="296" t="str">
        <f t="array" aca="1" ref="P88" ca="1">IF($A88="*","",IFERROR(INDEX(AGR!$E$52:$L$73,MATCH('TS DTech'!$C88,AGR!$B$52:$B$73,0),MATCH('TS DTech'!$B88&amp;P$7,AGR!$E$46:$L$46&amp;AGR!$E$48:$L$48,0)),""))</f>
        <v/>
      </c>
      <c r="Q88" s="296" t="str">
        <f t="array" aca="1" ref="Q88" ca="1">IF($A88="*","",IFERROR(INDEX(AGR!$E$52:$L$73,MATCH('TS DTech'!$C88,AGR!$B$52:$B$73,0),MATCH('TS DTech'!$B88&amp;Q$7,AGR!$E$46:$L$46&amp;AGR!$E$48:$L$48,0)),""))</f>
        <v/>
      </c>
      <c r="R88" s="296" t="str">
        <f t="array" aca="1" ref="R88" ca="1">IF($A88="*","",IFERROR(INDEX(AGR!$E$52:$L$73,MATCH('TS DTech'!$C88,AGR!$B$52:$B$73,0),MATCH('TS DTech'!$B88&amp;R$7,AGR!$E$46:$L$46&amp;AGR!$E$48:$L$48,0)),""))</f>
        <v/>
      </c>
      <c r="S88" s="296" t="str">
        <f t="array" aca="1" ref="S88" ca="1">IF($A88="*","",IFERROR(INDEX(AGR!$E$52:$L$73,MATCH('TS DTech'!$C88,AGR!$B$52:$B$73,0),MATCH('TS DTech'!$B88&amp;S$7,AGR!$E$46:$L$46&amp;AGR!$E$48:$L$48,0)),""))</f>
        <v/>
      </c>
      <c r="T88" s="296" t="str">
        <f t="array" aca="1" ref="T88" ca="1">IF($A88="*","",IFERROR(INDEX(AGR!$E$52:$L$73,MATCH('TS DTech'!$C88,AGR!$B$52:$B$73,0),MATCH('TS DTech'!$B88&amp;T$7,AGR!$E$46:$L$46&amp;AGR!$E$48:$L$48,0)),""))</f>
        <v/>
      </c>
      <c r="U88" s="296" t="str">
        <f t="array" aca="1" ref="U88" ca="1">IF($A88="*","",IFERROR(INDEX(AGR!$E$52:$L$73,MATCH('TS DTech'!$C88,AGR!$B$52:$B$73,0),MATCH('TS DTech'!$B88&amp;U$7,AGR!$E$46:$L$46&amp;AGR!$E$48:$L$48,0)),""))</f>
        <v/>
      </c>
      <c r="V88" s="296" t="str">
        <f t="array" aca="1" ref="V88" ca="1">IF($A88="*","",IFERROR(INDEX(AGR!$E$52:$L$73,MATCH('TS DTech'!$C88,AGR!$B$52:$B$73,0),MATCH('TS DTech'!$B88&amp;V$7,AGR!$E$46:$L$46&amp;AGR!$E$48:$L$48,0)),""))</f>
        <v/>
      </c>
      <c r="W88" s="296" t="str">
        <f t="array" aca="1" ref="W88" ca="1">IF($A88="*","",IFERROR(INDEX(AGR!$E$52:$L$73,MATCH('TS DTech'!$C88,AGR!$B$52:$B$73,0),MATCH('TS DTech'!$B88&amp;W$7,AGR!$E$46:$L$46&amp;AGR!$E$48:$L$48,0)),""))</f>
        <v/>
      </c>
      <c r="X88" s="296" t="str">
        <f t="array" aca="1" ref="X88" ca="1">IF($A88="*","",IFERROR(INDEX(AGR!$E$52:$L$73,MATCH('TS DTech'!$C88,AGR!$B$52:$B$73,0),MATCH('TS DTech'!$B88&amp;X$7,AGR!$E$46:$L$46&amp;AGR!$E$48:$L$48,0)),""))</f>
        <v/>
      </c>
      <c r="Y88" s="296" t="str">
        <f t="array" aca="1" ref="Y88" ca="1">IF($A88="*","",IFERROR(INDEX(AGR!$E$52:$L$73,MATCH('TS DTech'!$C88,AGR!$B$52:$B$73,0),MATCH('TS DTech'!$B88&amp;Y$7,AGR!$E$46:$L$46&amp;AGR!$E$48:$L$48,0)),""))</f>
        <v/>
      </c>
      <c r="Z88" s="296" t="str">
        <f t="array" aca="1" ref="Z88" ca="1">IF($A88="*","",IFERROR(INDEX(AGR!$E$52:$L$73,MATCH('TS DTech'!$C88,AGR!$B$52:$B$73,0),MATCH('TS DTech'!$B88&amp;Z$7,AGR!$E$46:$L$46&amp;AGR!$E$48:$L$48,0)),""))</f>
        <v/>
      </c>
      <c r="AA88" s="296" t="str">
        <f t="array" aca="1" ref="AA88" ca="1">IF($A88="*","",IFERROR(INDEX(AGR!$E$52:$L$73,MATCH('TS DTech'!$C88,AGR!$B$52:$B$73,0),MATCH('TS DTech'!$B88&amp;AA$7,AGR!$E$46:$L$46&amp;AGR!$E$48:$L$48,0)),""))</f>
        <v/>
      </c>
      <c r="AB88" s="296" t="str">
        <f t="array" aca="1" ref="AB88" ca="1">IF($A88="*","",IFERROR(INDEX(AGR!$E$52:$L$73,MATCH('TS DTech'!$C88,AGR!$B$52:$B$73,0),MATCH('TS DTech'!$B88&amp;AB$7,AGR!$E$46:$L$46&amp;AGR!$E$48:$L$48,0)),""))</f>
        <v/>
      </c>
      <c r="AC88" s="296" t="str">
        <f t="array" aca="1" ref="AC88" ca="1">IF($A88="*","",IFERROR(INDEX(AGR!$E$52:$L$73,MATCH('TS DTech'!$C88,AGR!$B$52:$B$73,0),MATCH('TS DTech'!$B88&amp;AC$7,AGR!$E$46:$L$46&amp;AGR!$E$48:$L$48,0)),""))</f>
        <v/>
      </c>
      <c r="AD88" s="296" t="str">
        <f t="array" aca="1" ref="AD88" ca="1">IF($A88="*","",IFERROR(INDEX(AGR!$E$52:$L$73,MATCH('TS DTech'!$C88,AGR!$B$52:$B$73,0),MATCH('TS DTech'!$B88&amp;AD$7,AGR!$E$46:$L$46&amp;AGR!$E$48:$L$48,0)),""))</f>
        <v/>
      </c>
      <c r="AE88" s="296" t="str">
        <f t="array" aca="1" ref="AE88" ca="1">IF($A88="*","",IFERROR(INDEX(AGR!$E$52:$L$73,MATCH('TS DTech'!$C88,AGR!$B$52:$B$73,0),MATCH('TS DTech'!$B88&amp;AE$7,AGR!$E$46:$L$46&amp;AGR!$E$48:$L$48,0)),""))</f>
        <v/>
      </c>
      <c r="AF88" s="296" t="str">
        <f t="array" aca="1" ref="AF88" ca="1">IF($A88="*","",IFERROR(INDEX(AGR!$E$52:$L$73,MATCH('TS DTech'!$C88,AGR!$B$52:$B$73,0),MATCH('TS DTech'!$B88&amp;AF$7,AGR!$E$46:$L$46&amp;AGR!$E$48:$L$48,0)),""))</f>
        <v/>
      </c>
      <c r="AG88" s="296" t="str">
        <f t="array" aca="1" ref="AG88" ca="1">IF($A88="*","",IFERROR(INDEX(AGR!$E$52:$L$73,MATCH('TS DTech'!$C88,AGR!$B$52:$B$73,0),MATCH('TS DTech'!$B88&amp;AG$7,AGR!$E$46:$L$46&amp;AGR!$E$48:$L$48,0)),""))</f>
        <v/>
      </c>
      <c r="AH88" s="296" t="str">
        <f t="array" aca="1" ref="AH88" ca="1">IF($A88="*","",IFERROR(INDEX(AGR!$E$52:$L$73,MATCH('TS DTech'!$C88,AGR!$B$52:$B$73,0),MATCH('TS DTech'!$B88&amp;AH$7,AGR!$E$46:$L$46&amp;AGR!$E$48:$L$48,0)),""))</f>
        <v/>
      </c>
      <c r="AI88" s="296" t="str">
        <f t="array" aca="1" ref="AI88" ca="1">IF($A88="*","",IFERROR(INDEX(AGR!$E$52:$L$73,MATCH('TS DTech'!$C88,AGR!$B$52:$B$73,0),MATCH('TS DTech'!$B88&amp;AI$7,AGR!$E$46:$L$46&amp;AGR!$E$48:$L$48,0)),""))</f>
        <v/>
      </c>
      <c r="AJ88" s="296" t="str">
        <f t="array" aca="1" ref="AJ88" ca="1">IF($A88="*","",IFERROR(INDEX(AGR!$E$52:$L$73,MATCH('TS DTech'!$C88,AGR!$B$52:$B$73,0),MATCH('TS DTech'!$B88&amp;AJ$7,AGR!$E$46:$L$46&amp;AGR!$E$48:$L$48,0)),""))</f>
        <v/>
      </c>
      <c r="AK88" s="296" t="str">
        <f t="array" aca="1" ref="AK88" ca="1">IF($A88="*","",IFERROR(INDEX(AGR!$E$52:$L$73,MATCH('TS DTech'!$C88,AGR!$B$52:$B$73,0),MATCH('TS DTech'!$B88&amp;AK$7,AGR!$E$46:$L$46&amp;AGR!$E$48:$L$48,0)),""))</f>
        <v/>
      </c>
      <c r="AL88" s="296" t="str">
        <f t="array" aca="1" ref="AL88" ca="1">IF($A88="*","",IFERROR(INDEX(AGR!$E$52:$L$73,MATCH('TS DTech'!$C88,AGR!$B$52:$B$73,0),MATCH('TS DTech'!$B88&amp;AL$7,AGR!$E$46:$L$46&amp;AGR!$E$48:$L$48,0)),""))</f>
        <v/>
      </c>
      <c r="AM88" s="296" t="str">
        <f t="array" aca="1" ref="AM88" ca="1">IF($A88="*","",IFERROR(INDEX(AGR!$E$52:$L$73,MATCH('TS DTech'!$C88,AGR!$B$52:$B$73,0),MATCH('TS DTech'!$B88&amp;AM$7,AGR!$E$46:$L$46&amp;AGR!$E$48:$L$48,0)),""))</f>
        <v/>
      </c>
      <c r="AN88" s="296" t="str">
        <f t="array" aca="1" ref="AN88" ca="1">IF($A88="*","",IFERROR(INDEX(AGR!$E$52:$L$73,MATCH('TS DTech'!$C88,AGR!$B$52:$B$73,0),MATCH('TS DTech'!$B88&amp;AN$7,AGR!$E$46:$L$46&amp;AGR!$E$48:$L$48,0)),""))</f>
        <v/>
      </c>
      <c r="AO88" s="296" t="str">
        <f t="array" aca="1" ref="AO88" ca="1">IF($A88="*","",IFERROR(INDEX(AGR!$E$52:$L$73,MATCH('TS DTech'!$C88,AGR!$B$52:$B$73,0),MATCH('TS DTech'!$B88&amp;AO$7,AGR!$E$46:$L$46&amp;AGR!$E$48:$L$48,0)),""))</f>
        <v/>
      </c>
      <c r="AP88" s="296" t="str">
        <f t="array" aca="1" ref="AP88" ca="1">IF($A88="*","",IFERROR(INDEX(AGR!$E$52:$L$73,MATCH('TS DTech'!$C88,AGR!$B$52:$B$73,0),MATCH('TS DTech'!$B88&amp;AP$7,AGR!$E$46:$L$46&amp;AGR!$E$48:$L$48,0)),""))</f>
        <v/>
      </c>
      <c r="AQ88" s="137">
        <f>IF(AR87=AGR!$AD$74,AQ87+1,AQ87)</f>
        <v>4</v>
      </c>
      <c r="AR88" s="137">
        <f t="shared" si="8"/>
        <v>4</v>
      </c>
    </row>
    <row r="89" spans="1:44">
      <c r="A89" s="137" t="str">
        <f ca="1">IF(LEFT(OFFSET(AGR!$A$51,AR89,0),2)="\I","*","")</f>
        <v/>
      </c>
      <c r="B89" s="212" t="str">
        <f t="shared" ca="1" si="7"/>
        <v>NCAP_TLIFE</v>
      </c>
      <c r="C89" s="212" t="str">
        <f ca="1">IF($A89="*","",OFFSET(AGR!$B$51,AR89,0))</f>
        <v>AHELC-E</v>
      </c>
      <c r="D89" s="212" t="str">
        <f t="shared" ca="1" si="6"/>
        <v>-</v>
      </c>
      <c r="E89" s="212" t="str">
        <f t="shared" ca="1" si="6"/>
        <v>-</v>
      </c>
      <c r="F89" s="212" t="str">
        <f t="shared" ca="1" si="6"/>
        <v>-</v>
      </c>
      <c r="G89" s="212" t="str">
        <f t="shared" ca="1" si="6"/>
        <v>-</v>
      </c>
      <c r="H89" s="212" t="str">
        <f t="shared" ca="1" si="6"/>
        <v>-</v>
      </c>
      <c r="I89" s="213">
        <f t="shared" ca="1" si="6"/>
        <v>0</v>
      </c>
      <c r="J89" s="296" t="str">
        <f t="array" aca="1" ref="J89" ca="1">IF($A89="*","",IFERROR(INDEX(AGR!$E$52:$L$73,MATCH('TS DTech'!$C89,AGR!$B$52:$B$73,0),MATCH('TS DTech'!$B89&amp;J$7,AGR!$E$46:$L$46&amp;AGR!$E$48:$L$48,0)),""))</f>
        <v/>
      </c>
      <c r="K89" s="296" t="str">
        <f t="array" aca="1" ref="K89" ca="1">IF($A89="*","",IFERROR(INDEX(AGR!$E$52:$L$73,MATCH('TS DTech'!$C89,AGR!$B$52:$B$73,0),MATCH('TS DTech'!$B89&amp;K$7,AGR!$E$46:$L$46&amp;AGR!$E$48:$L$48,0)),""))</f>
        <v/>
      </c>
      <c r="L89" s="296" t="str">
        <f t="array" aca="1" ref="L89" ca="1">IF($A89="*","",IFERROR(INDEX(AGR!$E$52:$L$73,MATCH('TS DTech'!$C89,AGR!$B$52:$B$73,0),MATCH('TS DTech'!$B89&amp;L$7,AGR!$E$46:$L$46&amp;AGR!$E$48:$L$48,0)),""))</f>
        <v/>
      </c>
      <c r="M89" s="296" t="str">
        <f t="array" aca="1" ref="M89" ca="1">IF($A89="*","",IFERROR(INDEX(AGR!$E$52:$L$73,MATCH('TS DTech'!$C89,AGR!$B$52:$B$73,0),MATCH('TS DTech'!$B89&amp;M$7,AGR!$E$46:$L$46&amp;AGR!$E$48:$L$48,0)),""))</f>
        <v/>
      </c>
      <c r="N89" s="296" t="str">
        <f t="array" aca="1" ref="N89" ca="1">IF($A89="*","",IFERROR(INDEX(AGR!$E$52:$L$73,MATCH('TS DTech'!$C89,AGR!$B$52:$B$73,0),MATCH('TS DTech'!$B89&amp;N$7,AGR!$E$46:$L$46&amp;AGR!$E$48:$L$48,0)),""))</f>
        <v/>
      </c>
      <c r="O89" s="296" t="str">
        <f t="array" aca="1" ref="O89" ca="1">IF($A89="*","",IFERROR(INDEX(AGR!$E$52:$L$73,MATCH('TS DTech'!$C89,AGR!$B$52:$B$73,0),MATCH('TS DTech'!$B89&amp;O$7,AGR!$E$46:$L$46&amp;AGR!$E$48:$L$48,0)),""))</f>
        <v/>
      </c>
      <c r="P89" s="296" t="str">
        <f t="array" aca="1" ref="P89" ca="1">IF($A89="*","",IFERROR(INDEX(AGR!$E$52:$L$73,MATCH('TS DTech'!$C89,AGR!$B$52:$B$73,0),MATCH('TS DTech'!$B89&amp;P$7,AGR!$E$46:$L$46&amp;AGR!$E$48:$L$48,0)),""))</f>
        <v/>
      </c>
      <c r="Q89" s="296" t="str">
        <f t="array" aca="1" ref="Q89" ca="1">IF($A89="*","",IFERROR(INDEX(AGR!$E$52:$L$73,MATCH('TS DTech'!$C89,AGR!$B$52:$B$73,0),MATCH('TS DTech'!$B89&amp;Q$7,AGR!$E$46:$L$46&amp;AGR!$E$48:$L$48,0)),""))</f>
        <v/>
      </c>
      <c r="R89" s="296" t="str">
        <f t="array" aca="1" ref="R89" ca="1">IF($A89="*","",IFERROR(INDEX(AGR!$E$52:$L$73,MATCH('TS DTech'!$C89,AGR!$B$52:$B$73,0),MATCH('TS DTech'!$B89&amp;R$7,AGR!$E$46:$L$46&amp;AGR!$E$48:$L$48,0)),""))</f>
        <v/>
      </c>
      <c r="S89" s="296" t="str">
        <f t="array" aca="1" ref="S89" ca="1">IF($A89="*","",IFERROR(INDEX(AGR!$E$52:$L$73,MATCH('TS DTech'!$C89,AGR!$B$52:$B$73,0),MATCH('TS DTech'!$B89&amp;S$7,AGR!$E$46:$L$46&amp;AGR!$E$48:$L$48,0)),""))</f>
        <v/>
      </c>
      <c r="T89" s="296" t="str">
        <f t="array" aca="1" ref="T89" ca="1">IF($A89="*","",IFERROR(INDEX(AGR!$E$52:$L$73,MATCH('TS DTech'!$C89,AGR!$B$52:$B$73,0),MATCH('TS DTech'!$B89&amp;T$7,AGR!$E$46:$L$46&amp;AGR!$E$48:$L$48,0)),""))</f>
        <v/>
      </c>
      <c r="U89" s="296" t="str">
        <f t="array" aca="1" ref="U89" ca="1">IF($A89="*","",IFERROR(INDEX(AGR!$E$52:$L$73,MATCH('TS DTech'!$C89,AGR!$B$52:$B$73,0),MATCH('TS DTech'!$B89&amp;U$7,AGR!$E$46:$L$46&amp;AGR!$E$48:$L$48,0)),""))</f>
        <v/>
      </c>
      <c r="V89" s="296" t="str">
        <f t="array" aca="1" ref="V89" ca="1">IF($A89="*","",IFERROR(INDEX(AGR!$E$52:$L$73,MATCH('TS DTech'!$C89,AGR!$B$52:$B$73,0),MATCH('TS DTech'!$B89&amp;V$7,AGR!$E$46:$L$46&amp;AGR!$E$48:$L$48,0)),""))</f>
        <v/>
      </c>
      <c r="W89" s="296" t="str">
        <f t="array" aca="1" ref="W89" ca="1">IF($A89="*","",IFERROR(INDEX(AGR!$E$52:$L$73,MATCH('TS DTech'!$C89,AGR!$B$52:$B$73,0),MATCH('TS DTech'!$B89&amp;W$7,AGR!$E$46:$L$46&amp;AGR!$E$48:$L$48,0)),""))</f>
        <v/>
      </c>
      <c r="X89" s="296" t="str">
        <f t="array" aca="1" ref="X89" ca="1">IF($A89="*","",IFERROR(INDEX(AGR!$E$52:$L$73,MATCH('TS DTech'!$C89,AGR!$B$52:$B$73,0),MATCH('TS DTech'!$B89&amp;X$7,AGR!$E$46:$L$46&amp;AGR!$E$48:$L$48,0)),""))</f>
        <v/>
      </c>
      <c r="Y89" s="296" t="str">
        <f t="array" aca="1" ref="Y89" ca="1">IF($A89="*","",IFERROR(INDEX(AGR!$E$52:$L$73,MATCH('TS DTech'!$C89,AGR!$B$52:$B$73,0),MATCH('TS DTech'!$B89&amp;Y$7,AGR!$E$46:$L$46&amp;AGR!$E$48:$L$48,0)),""))</f>
        <v/>
      </c>
      <c r="Z89" s="296" t="str">
        <f t="array" aca="1" ref="Z89" ca="1">IF($A89="*","",IFERROR(INDEX(AGR!$E$52:$L$73,MATCH('TS DTech'!$C89,AGR!$B$52:$B$73,0),MATCH('TS DTech'!$B89&amp;Z$7,AGR!$E$46:$L$46&amp;AGR!$E$48:$L$48,0)),""))</f>
        <v/>
      </c>
      <c r="AA89" s="296" t="str">
        <f t="array" aca="1" ref="AA89" ca="1">IF($A89="*","",IFERROR(INDEX(AGR!$E$52:$L$73,MATCH('TS DTech'!$C89,AGR!$B$52:$B$73,0),MATCH('TS DTech'!$B89&amp;AA$7,AGR!$E$46:$L$46&amp;AGR!$E$48:$L$48,0)),""))</f>
        <v/>
      </c>
      <c r="AB89" s="296" t="str">
        <f t="array" aca="1" ref="AB89" ca="1">IF($A89="*","",IFERROR(INDEX(AGR!$E$52:$L$73,MATCH('TS DTech'!$C89,AGR!$B$52:$B$73,0),MATCH('TS DTech'!$B89&amp;AB$7,AGR!$E$46:$L$46&amp;AGR!$E$48:$L$48,0)),""))</f>
        <v/>
      </c>
      <c r="AC89" s="296" t="str">
        <f t="array" aca="1" ref="AC89" ca="1">IF($A89="*","",IFERROR(INDEX(AGR!$E$52:$L$73,MATCH('TS DTech'!$C89,AGR!$B$52:$B$73,0),MATCH('TS DTech'!$B89&amp;AC$7,AGR!$E$46:$L$46&amp;AGR!$E$48:$L$48,0)),""))</f>
        <v/>
      </c>
      <c r="AD89" s="296" t="str">
        <f t="array" aca="1" ref="AD89" ca="1">IF($A89="*","",IFERROR(INDEX(AGR!$E$52:$L$73,MATCH('TS DTech'!$C89,AGR!$B$52:$B$73,0),MATCH('TS DTech'!$B89&amp;AD$7,AGR!$E$46:$L$46&amp;AGR!$E$48:$L$48,0)),""))</f>
        <v/>
      </c>
      <c r="AE89" s="296" t="str">
        <f t="array" aca="1" ref="AE89" ca="1">IF($A89="*","",IFERROR(INDEX(AGR!$E$52:$L$73,MATCH('TS DTech'!$C89,AGR!$B$52:$B$73,0),MATCH('TS DTech'!$B89&amp;AE$7,AGR!$E$46:$L$46&amp;AGR!$E$48:$L$48,0)),""))</f>
        <v/>
      </c>
      <c r="AF89" s="296" t="str">
        <f t="array" aca="1" ref="AF89" ca="1">IF($A89="*","",IFERROR(INDEX(AGR!$E$52:$L$73,MATCH('TS DTech'!$C89,AGR!$B$52:$B$73,0),MATCH('TS DTech'!$B89&amp;AF$7,AGR!$E$46:$L$46&amp;AGR!$E$48:$L$48,0)),""))</f>
        <v/>
      </c>
      <c r="AG89" s="296" t="str">
        <f t="array" aca="1" ref="AG89" ca="1">IF($A89="*","",IFERROR(INDEX(AGR!$E$52:$L$73,MATCH('TS DTech'!$C89,AGR!$B$52:$B$73,0),MATCH('TS DTech'!$B89&amp;AG$7,AGR!$E$46:$L$46&amp;AGR!$E$48:$L$48,0)),""))</f>
        <v/>
      </c>
      <c r="AH89" s="296" t="str">
        <f t="array" aca="1" ref="AH89" ca="1">IF($A89="*","",IFERROR(INDEX(AGR!$E$52:$L$73,MATCH('TS DTech'!$C89,AGR!$B$52:$B$73,0),MATCH('TS DTech'!$B89&amp;AH$7,AGR!$E$46:$L$46&amp;AGR!$E$48:$L$48,0)),""))</f>
        <v/>
      </c>
      <c r="AI89" s="296" t="str">
        <f t="array" aca="1" ref="AI89" ca="1">IF($A89="*","",IFERROR(INDEX(AGR!$E$52:$L$73,MATCH('TS DTech'!$C89,AGR!$B$52:$B$73,0),MATCH('TS DTech'!$B89&amp;AI$7,AGR!$E$46:$L$46&amp;AGR!$E$48:$L$48,0)),""))</f>
        <v/>
      </c>
      <c r="AJ89" s="296" t="str">
        <f t="array" aca="1" ref="AJ89" ca="1">IF($A89="*","",IFERROR(INDEX(AGR!$E$52:$L$73,MATCH('TS DTech'!$C89,AGR!$B$52:$B$73,0),MATCH('TS DTech'!$B89&amp;AJ$7,AGR!$E$46:$L$46&amp;AGR!$E$48:$L$48,0)),""))</f>
        <v/>
      </c>
      <c r="AK89" s="296" t="str">
        <f t="array" aca="1" ref="AK89" ca="1">IF($A89="*","",IFERROR(INDEX(AGR!$E$52:$L$73,MATCH('TS DTech'!$C89,AGR!$B$52:$B$73,0),MATCH('TS DTech'!$B89&amp;AK$7,AGR!$E$46:$L$46&amp;AGR!$E$48:$L$48,0)),""))</f>
        <v/>
      </c>
      <c r="AL89" s="296" t="str">
        <f t="array" aca="1" ref="AL89" ca="1">IF($A89="*","",IFERROR(INDEX(AGR!$E$52:$L$73,MATCH('TS DTech'!$C89,AGR!$B$52:$B$73,0),MATCH('TS DTech'!$B89&amp;AL$7,AGR!$E$46:$L$46&amp;AGR!$E$48:$L$48,0)),""))</f>
        <v/>
      </c>
      <c r="AM89" s="296" t="str">
        <f t="array" aca="1" ref="AM89" ca="1">IF($A89="*","",IFERROR(INDEX(AGR!$E$52:$L$73,MATCH('TS DTech'!$C89,AGR!$B$52:$B$73,0),MATCH('TS DTech'!$B89&amp;AM$7,AGR!$E$46:$L$46&amp;AGR!$E$48:$L$48,0)),""))</f>
        <v/>
      </c>
      <c r="AN89" s="296" t="str">
        <f t="array" aca="1" ref="AN89" ca="1">IF($A89="*","",IFERROR(INDEX(AGR!$E$52:$L$73,MATCH('TS DTech'!$C89,AGR!$B$52:$B$73,0),MATCH('TS DTech'!$B89&amp;AN$7,AGR!$E$46:$L$46&amp;AGR!$E$48:$L$48,0)),""))</f>
        <v/>
      </c>
      <c r="AO89" s="296" t="str">
        <f t="array" aca="1" ref="AO89" ca="1">IF($A89="*","",IFERROR(INDEX(AGR!$E$52:$L$73,MATCH('TS DTech'!$C89,AGR!$B$52:$B$73,0),MATCH('TS DTech'!$B89&amp;AO$7,AGR!$E$46:$L$46&amp;AGR!$E$48:$L$48,0)),""))</f>
        <v/>
      </c>
      <c r="AP89" s="296" t="str">
        <f t="array" aca="1" ref="AP89" ca="1">IF($A89="*","",IFERROR(INDEX(AGR!$E$52:$L$73,MATCH('TS DTech'!$C89,AGR!$B$52:$B$73,0),MATCH('TS DTech'!$B89&amp;AP$7,AGR!$E$46:$L$46&amp;AGR!$E$48:$L$48,0)),""))</f>
        <v/>
      </c>
      <c r="AQ89" s="137">
        <f>IF(AR88=AGR!$AD$74,AQ88+1,AQ88)</f>
        <v>4</v>
      </c>
      <c r="AR89" s="137">
        <f t="shared" si="8"/>
        <v>5</v>
      </c>
    </row>
    <row r="90" spans="1:44">
      <c r="A90" s="137" t="str">
        <f ca="1">IF(LEFT(OFFSET(AGR!$A$51,AR90,0),2)="\I","*","")</f>
        <v>*</v>
      </c>
      <c r="B90" s="212" t="str">
        <f t="shared" ca="1" si="7"/>
        <v/>
      </c>
      <c r="C90" s="212" t="str">
        <f ca="1">IF($A90="*","",OFFSET(AGR!$B$51,AR90,0))</f>
        <v/>
      </c>
      <c r="D90" s="212" t="str">
        <f t="shared" ca="1" si="6"/>
        <v/>
      </c>
      <c r="E90" s="212" t="str">
        <f t="shared" ca="1" si="6"/>
        <v/>
      </c>
      <c r="F90" s="212" t="str">
        <f t="shared" ca="1" si="6"/>
        <v/>
      </c>
      <c r="G90" s="212" t="str">
        <f t="shared" ca="1" si="6"/>
        <v/>
      </c>
      <c r="H90" s="212" t="str">
        <f t="shared" ca="1" si="6"/>
        <v/>
      </c>
      <c r="I90" s="213" t="str">
        <f t="shared" ca="1" si="6"/>
        <v/>
      </c>
      <c r="J90" s="296" t="str">
        <f t="array" aca="1" ref="J90" ca="1">IF($A90="*","",IFERROR(INDEX(AGR!$E$52:$L$73,MATCH('TS DTech'!$C90,AGR!$B$52:$B$73,0),MATCH('TS DTech'!$B90&amp;J$7,AGR!$E$46:$L$46&amp;AGR!$E$48:$L$48,0)),""))</f>
        <v/>
      </c>
      <c r="K90" s="296" t="str">
        <f t="array" aca="1" ref="K90" ca="1">IF($A90="*","",IFERROR(INDEX(AGR!$E$52:$L$73,MATCH('TS DTech'!$C90,AGR!$B$52:$B$73,0),MATCH('TS DTech'!$B90&amp;K$7,AGR!$E$46:$L$46&amp;AGR!$E$48:$L$48,0)),""))</f>
        <v/>
      </c>
      <c r="L90" s="296" t="str">
        <f t="array" aca="1" ref="L90" ca="1">IF($A90="*","",IFERROR(INDEX(AGR!$E$52:$L$73,MATCH('TS DTech'!$C90,AGR!$B$52:$B$73,0),MATCH('TS DTech'!$B90&amp;L$7,AGR!$E$46:$L$46&amp;AGR!$E$48:$L$48,0)),""))</f>
        <v/>
      </c>
      <c r="M90" s="296" t="str">
        <f t="array" aca="1" ref="M90" ca="1">IF($A90="*","",IFERROR(INDEX(AGR!$E$52:$L$73,MATCH('TS DTech'!$C90,AGR!$B$52:$B$73,0),MATCH('TS DTech'!$B90&amp;M$7,AGR!$E$46:$L$46&amp;AGR!$E$48:$L$48,0)),""))</f>
        <v/>
      </c>
      <c r="N90" s="296" t="str">
        <f t="array" aca="1" ref="N90" ca="1">IF($A90="*","",IFERROR(INDEX(AGR!$E$52:$L$73,MATCH('TS DTech'!$C90,AGR!$B$52:$B$73,0),MATCH('TS DTech'!$B90&amp;N$7,AGR!$E$46:$L$46&amp;AGR!$E$48:$L$48,0)),""))</f>
        <v/>
      </c>
      <c r="O90" s="296" t="str">
        <f t="array" aca="1" ref="O90" ca="1">IF($A90="*","",IFERROR(INDEX(AGR!$E$52:$L$73,MATCH('TS DTech'!$C90,AGR!$B$52:$B$73,0),MATCH('TS DTech'!$B90&amp;O$7,AGR!$E$46:$L$46&amp;AGR!$E$48:$L$48,0)),""))</f>
        <v/>
      </c>
      <c r="P90" s="296" t="str">
        <f t="array" aca="1" ref="P90" ca="1">IF($A90="*","",IFERROR(INDEX(AGR!$E$52:$L$73,MATCH('TS DTech'!$C90,AGR!$B$52:$B$73,0),MATCH('TS DTech'!$B90&amp;P$7,AGR!$E$46:$L$46&amp;AGR!$E$48:$L$48,0)),""))</f>
        <v/>
      </c>
      <c r="Q90" s="296" t="str">
        <f t="array" aca="1" ref="Q90" ca="1">IF($A90="*","",IFERROR(INDEX(AGR!$E$52:$L$73,MATCH('TS DTech'!$C90,AGR!$B$52:$B$73,0),MATCH('TS DTech'!$B90&amp;Q$7,AGR!$E$46:$L$46&amp;AGR!$E$48:$L$48,0)),""))</f>
        <v/>
      </c>
      <c r="R90" s="296" t="str">
        <f t="array" aca="1" ref="R90" ca="1">IF($A90="*","",IFERROR(INDEX(AGR!$E$52:$L$73,MATCH('TS DTech'!$C90,AGR!$B$52:$B$73,0),MATCH('TS DTech'!$B90&amp;R$7,AGR!$E$46:$L$46&amp;AGR!$E$48:$L$48,0)),""))</f>
        <v/>
      </c>
      <c r="S90" s="296" t="str">
        <f t="array" aca="1" ref="S90" ca="1">IF($A90="*","",IFERROR(INDEX(AGR!$E$52:$L$73,MATCH('TS DTech'!$C90,AGR!$B$52:$B$73,0),MATCH('TS DTech'!$B90&amp;S$7,AGR!$E$46:$L$46&amp;AGR!$E$48:$L$48,0)),""))</f>
        <v/>
      </c>
      <c r="T90" s="296" t="str">
        <f t="array" aca="1" ref="T90" ca="1">IF($A90="*","",IFERROR(INDEX(AGR!$E$52:$L$73,MATCH('TS DTech'!$C90,AGR!$B$52:$B$73,0),MATCH('TS DTech'!$B90&amp;T$7,AGR!$E$46:$L$46&amp;AGR!$E$48:$L$48,0)),""))</f>
        <v/>
      </c>
      <c r="U90" s="296" t="str">
        <f t="array" aca="1" ref="U90" ca="1">IF($A90="*","",IFERROR(INDEX(AGR!$E$52:$L$73,MATCH('TS DTech'!$C90,AGR!$B$52:$B$73,0),MATCH('TS DTech'!$B90&amp;U$7,AGR!$E$46:$L$46&amp;AGR!$E$48:$L$48,0)),""))</f>
        <v/>
      </c>
      <c r="V90" s="296" t="str">
        <f t="array" aca="1" ref="V90" ca="1">IF($A90="*","",IFERROR(INDEX(AGR!$E$52:$L$73,MATCH('TS DTech'!$C90,AGR!$B$52:$B$73,0),MATCH('TS DTech'!$B90&amp;V$7,AGR!$E$46:$L$46&amp;AGR!$E$48:$L$48,0)),""))</f>
        <v/>
      </c>
      <c r="W90" s="296" t="str">
        <f t="array" aca="1" ref="W90" ca="1">IF($A90="*","",IFERROR(INDEX(AGR!$E$52:$L$73,MATCH('TS DTech'!$C90,AGR!$B$52:$B$73,0),MATCH('TS DTech'!$B90&amp;W$7,AGR!$E$46:$L$46&amp;AGR!$E$48:$L$48,0)),""))</f>
        <v/>
      </c>
      <c r="X90" s="296" t="str">
        <f t="array" aca="1" ref="X90" ca="1">IF($A90="*","",IFERROR(INDEX(AGR!$E$52:$L$73,MATCH('TS DTech'!$C90,AGR!$B$52:$B$73,0),MATCH('TS DTech'!$B90&amp;X$7,AGR!$E$46:$L$46&amp;AGR!$E$48:$L$48,0)),""))</f>
        <v/>
      </c>
      <c r="Y90" s="296" t="str">
        <f t="array" aca="1" ref="Y90" ca="1">IF($A90="*","",IFERROR(INDEX(AGR!$E$52:$L$73,MATCH('TS DTech'!$C90,AGR!$B$52:$B$73,0),MATCH('TS DTech'!$B90&amp;Y$7,AGR!$E$46:$L$46&amp;AGR!$E$48:$L$48,0)),""))</f>
        <v/>
      </c>
      <c r="Z90" s="296" t="str">
        <f t="array" aca="1" ref="Z90" ca="1">IF($A90="*","",IFERROR(INDEX(AGR!$E$52:$L$73,MATCH('TS DTech'!$C90,AGR!$B$52:$B$73,0),MATCH('TS DTech'!$B90&amp;Z$7,AGR!$E$46:$L$46&amp;AGR!$E$48:$L$48,0)),""))</f>
        <v/>
      </c>
      <c r="AA90" s="296" t="str">
        <f t="array" aca="1" ref="AA90" ca="1">IF($A90="*","",IFERROR(INDEX(AGR!$E$52:$L$73,MATCH('TS DTech'!$C90,AGR!$B$52:$B$73,0),MATCH('TS DTech'!$B90&amp;AA$7,AGR!$E$46:$L$46&amp;AGR!$E$48:$L$48,0)),""))</f>
        <v/>
      </c>
      <c r="AB90" s="296" t="str">
        <f t="array" aca="1" ref="AB90" ca="1">IF($A90="*","",IFERROR(INDEX(AGR!$E$52:$L$73,MATCH('TS DTech'!$C90,AGR!$B$52:$B$73,0),MATCH('TS DTech'!$B90&amp;AB$7,AGR!$E$46:$L$46&amp;AGR!$E$48:$L$48,0)),""))</f>
        <v/>
      </c>
      <c r="AC90" s="296" t="str">
        <f t="array" aca="1" ref="AC90" ca="1">IF($A90="*","",IFERROR(INDEX(AGR!$E$52:$L$73,MATCH('TS DTech'!$C90,AGR!$B$52:$B$73,0),MATCH('TS DTech'!$B90&amp;AC$7,AGR!$E$46:$L$46&amp;AGR!$E$48:$L$48,0)),""))</f>
        <v/>
      </c>
      <c r="AD90" s="296" t="str">
        <f t="array" aca="1" ref="AD90" ca="1">IF($A90="*","",IFERROR(INDEX(AGR!$E$52:$L$73,MATCH('TS DTech'!$C90,AGR!$B$52:$B$73,0),MATCH('TS DTech'!$B90&amp;AD$7,AGR!$E$46:$L$46&amp;AGR!$E$48:$L$48,0)),""))</f>
        <v/>
      </c>
      <c r="AE90" s="296" t="str">
        <f t="array" aca="1" ref="AE90" ca="1">IF($A90="*","",IFERROR(INDEX(AGR!$E$52:$L$73,MATCH('TS DTech'!$C90,AGR!$B$52:$B$73,0),MATCH('TS DTech'!$B90&amp;AE$7,AGR!$E$46:$L$46&amp;AGR!$E$48:$L$48,0)),""))</f>
        <v/>
      </c>
      <c r="AF90" s="296" t="str">
        <f t="array" aca="1" ref="AF90" ca="1">IF($A90="*","",IFERROR(INDEX(AGR!$E$52:$L$73,MATCH('TS DTech'!$C90,AGR!$B$52:$B$73,0),MATCH('TS DTech'!$B90&amp;AF$7,AGR!$E$46:$L$46&amp;AGR!$E$48:$L$48,0)),""))</f>
        <v/>
      </c>
      <c r="AG90" s="296" t="str">
        <f t="array" aca="1" ref="AG90" ca="1">IF($A90="*","",IFERROR(INDEX(AGR!$E$52:$L$73,MATCH('TS DTech'!$C90,AGR!$B$52:$B$73,0),MATCH('TS DTech'!$B90&amp;AG$7,AGR!$E$46:$L$46&amp;AGR!$E$48:$L$48,0)),""))</f>
        <v/>
      </c>
      <c r="AH90" s="296" t="str">
        <f t="array" aca="1" ref="AH90" ca="1">IF($A90="*","",IFERROR(INDEX(AGR!$E$52:$L$73,MATCH('TS DTech'!$C90,AGR!$B$52:$B$73,0),MATCH('TS DTech'!$B90&amp;AH$7,AGR!$E$46:$L$46&amp;AGR!$E$48:$L$48,0)),""))</f>
        <v/>
      </c>
      <c r="AI90" s="296" t="str">
        <f t="array" aca="1" ref="AI90" ca="1">IF($A90="*","",IFERROR(INDEX(AGR!$E$52:$L$73,MATCH('TS DTech'!$C90,AGR!$B$52:$B$73,0),MATCH('TS DTech'!$B90&amp;AI$7,AGR!$E$46:$L$46&amp;AGR!$E$48:$L$48,0)),""))</f>
        <v/>
      </c>
      <c r="AJ90" s="296" t="str">
        <f t="array" aca="1" ref="AJ90" ca="1">IF($A90="*","",IFERROR(INDEX(AGR!$E$52:$L$73,MATCH('TS DTech'!$C90,AGR!$B$52:$B$73,0),MATCH('TS DTech'!$B90&amp;AJ$7,AGR!$E$46:$L$46&amp;AGR!$E$48:$L$48,0)),""))</f>
        <v/>
      </c>
      <c r="AK90" s="296" t="str">
        <f t="array" aca="1" ref="AK90" ca="1">IF($A90="*","",IFERROR(INDEX(AGR!$E$52:$L$73,MATCH('TS DTech'!$C90,AGR!$B$52:$B$73,0),MATCH('TS DTech'!$B90&amp;AK$7,AGR!$E$46:$L$46&amp;AGR!$E$48:$L$48,0)),""))</f>
        <v/>
      </c>
      <c r="AL90" s="296" t="str">
        <f t="array" aca="1" ref="AL90" ca="1">IF($A90="*","",IFERROR(INDEX(AGR!$E$52:$L$73,MATCH('TS DTech'!$C90,AGR!$B$52:$B$73,0),MATCH('TS DTech'!$B90&amp;AL$7,AGR!$E$46:$L$46&amp;AGR!$E$48:$L$48,0)),""))</f>
        <v/>
      </c>
      <c r="AM90" s="296" t="str">
        <f t="array" aca="1" ref="AM90" ca="1">IF($A90="*","",IFERROR(INDEX(AGR!$E$52:$L$73,MATCH('TS DTech'!$C90,AGR!$B$52:$B$73,0),MATCH('TS DTech'!$B90&amp;AM$7,AGR!$E$46:$L$46&amp;AGR!$E$48:$L$48,0)),""))</f>
        <v/>
      </c>
      <c r="AN90" s="296" t="str">
        <f t="array" aca="1" ref="AN90" ca="1">IF($A90="*","",IFERROR(INDEX(AGR!$E$52:$L$73,MATCH('TS DTech'!$C90,AGR!$B$52:$B$73,0),MATCH('TS DTech'!$B90&amp;AN$7,AGR!$E$46:$L$46&amp;AGR!$E$48:$L$48,0)),""))</f>
        <v/>
      </c>
      <c r="AO90" s="296" t="str">
        <f t="array" aca="1" ref="AO90" ca="1">IF($A90="*","",IFERROR(INDEX(AGR!$E$52:$L$73,MATCH('TS DTech'!$C90,AGR!$B$52:$B$73,0),MATCH('TS DTech'!$B90&amp;AO$7,AGR!$E$46:$L$46&amp;AGR!$E$48:$L$48,0)),""))</f>
        <v/>
      </c>
      <c r="AP90" s="296" t="str">
        <f t="array" aca="1" ref="AP90" ca="1">IF($A90="*","",IFERROR(INDEX(AGR!$E$52:$L$73,MATCH('TS DTech'!$C90,AGR!$B$52:$B$73,0),MATCH('TS DTech'!$B90&amp;AP$7,AGR!$E$46:$L$46&amp;AGR!$E$48:$L$48,0)),""))</f>
        <v/>
      </c>
      <c r="AQ90" s="137">
        <f>IF(AR89=AGR!$AD$74,AQ89+1,AQ89)</f>
        <v>4</v>
      </c>
      <c r="AR90" s="137">
        <f t="shared" si="8"/>
        <v>6</v>
      </c>
    </row>
    <row r="91" spans="1:44">
      <c r="A91" s="137" t="str">
        <f ca="1">IF(LEFT(OFFSET(AGR!$A$51,AR91,0),2)="\I","*","")</f>
        <v>*</v>
      </c>
      <c r="B91" s="212" t="str">
        <f t="shared" ca="1" si="7"/>
        <v/>
      </c>
      <c r="C91" s="212" t="str">
        <f ca="1">IF($A91="*","",OFFSET(AGR!$B$51,AR91,0))</f>
        <v/>
      </c>
      <c r="D91" s="212" t="str">
        <f t="shared" ca="1" si="6"/>
        <v/>
      </c>
      <c r="E91" s="212" t="str">
        <f t="shared" ca="1" si="6"/>
        <v/>
      </c>
      <c r="F91" s="212" t="str">
        <f t="shared" ca="1" si="6"/>
        <v/>
      </c>
      <c r="G91" s="212" t="str">
        <f t="shared" ca="1" si="6"/>
        <v/>
      </c>
      <c r="H91" s="212" t="str">
        <f t="shared" ca="1" si="6"/>
        <v/>
      </c>
      <c r="I91" s="213" t="str">
        <f t="shared" ca="1" si="6"/>
        <v/>
      </c>
      <c r="J91" s="296" t="str">
        <f t="array" aca="1" ref="J91" ca="1">IF($A91="*","",IFERROR(INDEX(AGR!$E$52:$L$73,MATCH('TS DTech'!$C91,AGR!$B$52:$B$73,0),MATCH('TS DTech'!$B91&amp;J$7,AGR!$E$46:$L$46&amp;AGR!$E$48:$L$48,0)),""))</f>
        <v/>
      </c>
      <c r="K91" s="296" t="str">
        <f t="array" aca="1" ref="K91" ca="1">IF($A91="*","",IFERROR(INDEX(AGR!$E$52:$L$73,MATCH('TS DTech'!$C91,AGR!$B$52:$B$73,0),MATCH('TS DTech'!$B91&amp;K$7,AGR!$E$46:$L$46&amp;AGR!$E$48:$L$48,0)),""))</f>
        <v/>
      </c>
      <c r="L91" s="296" t="str">
        <f t="array" aca="1" ref="L91" ca="1">IF($A91="*","",IFERROR(INDEX(AGR!$E$52:$L$73,MATCH('TS DTech'!$C91,AGR!$B$52:$B$73,0),MATCH('TS DTech'!$B91&amp;L$7,AGR!$E$46:$L$46&amp;AGR!$E$48:$L$48,0)),""))</f>
        <v/>
      </c>
      <c r="M91" s="296" t="str">
        <f t="array" aca="1" ref="M91" ca="1">IF($A91="*","",IFERROR(INDEX(AGR!$E$52:$L$73,MATCH('TS DTech'!$C91,AGR!$B$52:$B$73,0),MATCH('TS DTech'!$B91&amp;M$7,AGR!$E$46:$L$46&amp;AGR!$E$48:$L$48,0)),""))</f>
        <v/>
      </c>
      <c r="N91" s="296" t="str">
        <f t="array" aca="1" ref="N91" ca="1">IF($A91="*","",IFERROR(INDEX(AGR!$E$52:$L$73,MATCH('TS DTech'!$C91,AGR!$B$52:$B$73,0),MATCH('TS DTech'!$B91&amp;N$7,AGR!$E$46:$L$46&amp;AGR!$E$48:$L$48,0)),""))</f>
        <v/>
      </c>
      <c r="O91" s="296" t="str">
        <f t="array" aca="1" ref="O91" ca="1">IF($A91="*","",IFERROR(INDEX(AGR!$E$52:$L$73,MATCH('TS DTech'!$C91,AGR!$B$52:$B$73,0),MATCH('TS DTech'!$B91&amp;O$7,AGR!$E$46:$L$46&amp;AGR!$E$48:$L$48,0)),""))</f>
        <v/>
      </c>
      <c r="P91" s="296" t="str">
        <f t="array" aca="1" ref="P91" ca="1">IF($A91="*","",IFERROR(INDEX(AGR!$E$52:$L$73,MATCH('TS DTech'!$C91,AGR!$B$52:$B$73,0),MATCH('TS DTech'!$B91&amp;P$7,AGR!$E$46:$L$46&amp;AGR!$E$48:$L$48,0)),""))</f>
        <v/>
      </c>
      <c r="Q91" s="296" t="str">
        <f t="array" aca="1" ref="Q91" ca="1">IF($A91="*","",IFERROR(INDEX(AGR!$E$52:$L$73,MATCH('TS DTech'!$C91,AGR!$B$52:$B$73,0),MATCH('TS DTech'!$B91&amp;Q$7,AGR!$E$46:$L$46&amp;AGR!$E$48:$L$48,0)),""))</f>
        <v/>
      </c>
      <c r="R91" s="296" t="str">
        <f t="array" aca="1" ref="R91" ca="1">IF($A91="*","",IFERROR(INDEX(AGR!$E$52:$L$73,MATCH('TS DTech'!$C91,AGR!$B$52:$B$73,0),MATCH('TS DTech'!$B91&amp;R$7,AGR!$E$46:$L$46&amp;AGR!$E$48:$L$48,0)),""))</f>
        <v/>
      </c>
      <c r="S91" s="296" t="str">
        <f t="array" aca="1" ref="S91" ca="1">IF($A91="*","",IFERROR(INDEX(AGR!$E$52:$L$73,MATCH('TS DTech'!$C91,AGR!$B$52:$B$73,0),MATCH('TS DTech'!$B91&amp;S$7,AGR!$E$46:$L$46&amp;AGR!$E$48:$L$48,0)),""))</f>
        <v/>
      </c>
      <c r="T91" s="296" t="str">
        <f t="array" aca="1" ref="T91" ca="1">IF($A91="*","",IFERROR(INDEX(AGR!$E$52:$L$73,MATCH('TS DTech'!$C91,AGR!$B$52:$B$73,0),MATCH('TS DTech'!$B91&amp;T$7,AGR!$E$46:$L$46&amp;AGR!$E$48:$L$48,0)),""))</f>
        <v/>
      </c>
      <c r="U91" s="296" t="str">
        <f t="array" aca="1" ref="U91" ca="1">IF($A91="*","",IFERROR(INDEX(AGR!$E$52:$L$73,MATCH('TS DTech'!$C91,AGR!$B$52:$B$73,0),MATCH('TS DTech'!$B91&amp;U$7,AGR!$E$46:$L$46&amp;AGR!$E$48:$L$48,0)),""))</f>
        <v/>
      </c>
      <c r="V91" s="296" t="str">
        <f t="array" aca="1" ref="V91" ca="1">IF($A91="*","",IFERROR(INDEX(AGR!$E$52:$L$73,MATCH('TS DTech'!$C91,AGR!$B$52:$B$73,0),MATCH('TS DTech'!$B91&amp;V$7,AGR!$E$46:$L$46&amp;AGR!$E$48:$L$48,0)),""))</f>
        <v/>
      </c>
      <c r="W91" s="296" t="str">
        <f t="array" aca="1" ref="W91" ca="1">IF($A91="*","",IFERROR(INDEX(AGR!$E$52:$L$73,MATCH('TS DTech'!$C91,AGR!$B$52:$B$73,0),MATCH('TS DTech'!$B91&amp;W$7,AGR!$E$46:$L$46&amp;AGR!$E$48:$L$48,0)),""))</f>
        <v/>
      </c>
      <c r="X91" s="296" t="str">
        <f t="array" aca="1" ref="X91" ca="1">IF($A91="*","",IFERROR(INDEX(AGR!$E$52:$L$73,MATCH('TS DTech'!$C91,AGR!$B$52:$B$73,0),MATCH('TS DTech'!$B91&amp;X$7,AGR!$E$46:$L$46&amp;AGR!$E$48:$L$48,0)),""))</f>
        <v/>
      </c>
      <c r="Y91" s="296" t="str">
        <f t="array" aca="1" ref="Y91" ca="1">IF($A91="*","",IFERROR(INDEX(AGR!$E$52:$L$73,MATCH('TS DTech'!$C91,AGR!$B$52:$B$73,0),MATCH('TS DTech'!$B91&amp;Y$7,AGR!$E$46:$L$46&amp;AGR!$E$48:$L$48,0)),""))</f>
        <v/>
      </c>
      <c r="Z91" s="296" t="str">
        <f t="array" aca="1" ref="Z91" ca="1">IF($A91="*","",IFERROR(INDEX(AGR!$E$52:$L$73,MATCH('TS DTech'!$C91,AGR!$B$52:$B$73,0),MATCH('TS DTech'!$B91&amp;Z$7,AGR!$E$46:$L$46&amp;AGR!$E$48:$L$48,0)),""))</f>
        <v/>
      </c>
      <c r="AA91" s="296" t="str">
        <f t="array" aca="1" ref="AA91" ca="1">IF($A91="*","",IFERROR(INDEX(AGR!$E$52:$L$73,MATCH('TS DTech'!$C91,AGR!$B$52:$B$73,0),MATCH('TS DTech'!$B91&amp;AA$7,AGR!$E$46:$L$46&amp;AGR!$E$48:$L$48,0)),""))</f>
        <v/>
      </c>
      <c r="AB91" s="296" t="str">
        <f t="array" aca="1" ref="AB91" ca="1">IF($A91="*","",IFERROR(INDEX(AGR!$E$52:$L$73,MATCH('TS DTech'!$C91,AGR!$B$52:$B$73,0),MATCH('TS DTech'!$B91&amp;AB$7,AGR!$E$46:$L$46&amp;AGR!$E$48:$L$48,0)),""))</f>
        <v/>
      </c>
      <c r="AC91" s="296" t="str">
        <f t="array" aca="1" ref="AC91" ca="1">IF($A91="*","",IFERROR(INDEX(AGR!$E$52:$L$73,MATCH('TS DTech'!$C91,AGR!$B$52:$B$73,0),MATCH('TS DTech'!$B91&amp;AC$7,AGR!$E$46:$L$46&amp;AGR!$E$48:$L$48,0)),""))</f>
        <v/>
      </c>
      <c r="AD91" s="296" t="str">
        <f t="array" aca="1" ref="AD91" ca="1">IF($A91="*","",IFERROR(INDEX(AGR!$E$52:$L$73,MATCH('TS DTech'!$C91,AGR!$B$52:$B$73,0),MATCH('TS DTech'!$B91&amp;AD$7,AGR!$E$46:$L$46&amp;AGR!$E$48:$L$48,0)),""))</f>
        <v/>
      </c>
      <c r="AE91" s="296" t="str">
        <f t="array" aca="1" ref="AE91" ca="1">IF($A91="*","",IFERROR(INDEX(AGR!$E$52:$L$73,MATCH('TS DTech'!$C91,AGR!$B$52:$B$73,0),MATCH('TS DTech'!$B91&amp;AE$7,AGR!$E$46:$L$46&amp;AGR!$E$48:$L$48,0)),""))</f>
        <v/>
      </c>
      <c r="AF91" s="296" t="str">
        <f t="array" aca="1" ref="AF91" ca="1">IF($A91="*","",IFERROR(INDEX(AGR!$E$52:$L$73,MATCH('TS DTech'!$C91,AGR!$B$52:$B$73,0),MATCH('TS DTech'!$B91&amp;AF$7,AGR!$E$46:$L$46&amp;AGR!$E$48:$L$48,0)),""))</f>
        <v/>
      </c>
      <c r="AG91" s="296" t="str">
        <f t="array" aca="1" ref="AG91" ca="1">IF($A91="*","",IFERROR(INDEX(AGR!$E$52:$L$73,MATCH('TS DTech'!$C91,AGR!$B$52:$B$73,0),MATCH('TS DTech'!$B91&amp;AG$7,AGR!$E$46:$L$46&amp;AGR!$E$48:$L$48,0)),""))</f>
        <v/>
      </c>
      <c r="AH91" s="296" t="str">
        <f t="array" aca="1" ref="AH91" ca="1">IF($A91="*","",IFERROR(INDEX(AGR!$E$52:$L$73,MATCH('TS DTech'!$C91,AGR!$B$52:$B$73,0),MATCH('TS DTech'!$B91&amp;AH$7,AGR!$E$46:$L$46&amp;AGR!$E$48:$L$48,0)),""))</f>
        <v/>
      </c>
      <c r="AI91" s="296" t="str">
        <f t="array" aca="1" ref="AI91" ca="1">IF($A91="*","",IFERROR(INDEX(AGR!$E$52:$L$73,MATCH('TS DTech'!$C91,AGR!$B$52:$B$73,0),MATCH('TS DTech'!$B91&amp;AI$7,AGR!$E$46:$L$46&amp;AGR!$E$48:$L$48,0)),""))</f>
        <v/>
      </c>
      <c r="AJ91" s="296" t="str">
        <f t="array" aca="1" ref="AJ91" ca="1">IF($A91="*","",IFERROR(INDEX(AGR!$E$52:$L$73,MATCH('TS DTech'!$C91,AGR!$B$52:$B$73,0),MATCH('TS DTech'!$B91&amp;AJ$7,AGR!$E$46:$L$46&amp;AGR!$E$48:$L$48,0)),""))</f>
        <v/>
      </c>
      <c r="AK91" s="296" t="str">
        <f t="array" aca="1" ref="AK91" ca="1">IF($A91="*","",IFERROR(INDEX(AGR!$E$52:$L$73,MATCH('TS DTech'!$C91,AGR!$B$52:$B$73,0),MATCH('TS DTech'!$B91&amp;AK$7,AGR!$E$46:$L$46&amp;AGR!$E$48:$L$48,0)),""))</f>
        <v/>
      </c>
      <c r="AL91" s="296" t="str">
        <f t="array" aca="1" ref="AL91" ca="1">IF($A91="*","",IFERROR(INDEX(AGR!$E$52:$L$73,MATCH('TS DTech'!$C91,AGR!$B$52:$B$73,0),MATCH('TS DTech'!$B91&amp;AL$7,AGR!$E$46:$L$46&amp;AGR!$E$48:$L$48,0)),""))</f>
        <v/>
      </c>
      <c r="AM91" s="296" t="str">
        <f t="array" aca="1" ref="AM91" ca="1">IF($A91="*","",IFERROR(INDEX(AGR!$E$52:$L$73,MATCH('TS DTech'!$C91,AGR!$B$52:$B$73,0),MATCH('TS DTech'!$B91&amp;AM$7,AGR!$E$46:$L$46&amp;AGR!$E$48:$L$48,0)),""))</f>
        <v/>
      </c>
      <c r="AN91" s="296" t="str">
        <f t="array" aca="1" ref="AN91" ca="1">IF($A91="*","",IFERROR(INDEX(AGR!$E$52:$L$73,MATCH('TS DTech'!$C91,AGR!$B$52:$B$73,0),MATCH('TS DTech'!$B91&amp;AN$7,AGR!$E$46:$L$46&amp;AGR!$E$48:$L$48,0)),""))</f>
        <v/>
      </c>
      <c r="AO91" s="296" t="str">
        <f t="array" aca="1" ref="AO91" ca="1">IF($A91="*","",IFERROR(INDEX(AGR!$E$52:$L$73,MATCH('TS DTech'!$C91,AGR!$B$52:$B$73,0),MATCH('TS DTech'!$B91&amp;AO$7,AGR!$E$46:$L$46&amp;AGR!$E$48:$L$48,0)),""))</f>
        <v/>
      </c>
      <c r="AP91" s="296" t="str">
        <f t="array" aca="1" ref="AP91" ca="1">IF($A91="*","",IFERROR(INDEX(AGR!$E$52:$L$73,MATCH('TS DTech'!$C91,AGR!$B$52:$B$73,0),MATCH('TS DTech'!$B91&amp;AP$7,AGR!$E$46:$L$46&amp;AGR!$E$48:$L$48,0)),""))</f>
        <v/>
      </c>
      <c r="AQ91" s="137">
        <f>IF(AR90=AGR!$AD$74,AQ90+1,AQ90)</f>
        <v>4</v>
      </c>
      <c r="AR91" s="137">
        <f t="shared" si="8"/>
        <v>7</v>
      </c>
    </row>
    <row r="92" spans="1:44">
      <c r="A92" s="137" t="str">
        <f ca="1">IF(LEFT(OFFSET(AGR!$A$51,AR92,0),2)="\I","*","")</f>
        <v/>
      </c>
      <c r="B92" s="212" t="str">
        <f t="shared" ca="1" si="7"/>
        <v>NCAP_TLIFE</v>
      </c>
      <c r="C92" s="212" t="str">
        <f ca="1">IF($A92="*","",OFFSET(AGR!$B$51,AR92,0))</f>
        <v>APELC-E</v>
      </c>
      <c r="D92" s="212" t="str">
        <f t="shared" ca="1" si="6"/>
        <v>-</v>
      </c>
      <c r="E92" s="212" t="str">
        <f t="shared" ca="1" si="6"/>
        <v>-</v>
      </c>
      <c r="F92" s="212" t="str">
        <f t="shared" ca="1" si="6"/>
        <v>-</v>
      </c>
      <c r="G92" s="212" t="str">
        <f t="shared" ca="1" si="6"/>
        <v>-</v>
      </c>
      <c r="H92" s="212" t="str">
        <f t="shared" ca="1" si="6"/>
        <v>-</v>
      </c>
      <c r="I92" s="213">
        <f t="shared" ca="1" si="6"/>
        <v>0</v>
      </c>
      <c r="J92" s="296" t="str">
        <f t="array" aca="1" ref="J92" ca="1">IF($A92="*","",IFERROR(INDEX(AGR!$E$52:$L$73,MATCH('TS DTech'!$C92,AGR!$B$52:$B$73,0),MATCH('TS DTech'!$B92&amp;J$7,AGR!$E$46:$L$46&amp;AGR!$E$48:$L$48,0)),""))</f>
        <v/>
      </c>
      <c r="K92" s="296" t="str">
        <f t="array" aca="1" ref="K92" ca="1">IF($A92="*","",IFERROR(INDEX(AGR!$E$52:$L$73,MATCH('TS DTech'!$C92,AGR!$B$52:$B$73,0),MATCH('TS DTech'!$B92&amp;K$7,AGR!$E$46:$L$46&amp;AGR!$E$48:$L$48,0)),""))</f>
        <v/>
      </c>
      <c r="L92" s="296" t="str">
        <f t="array" aca="1" ref="L92" ca="1">IF($A92="*","",IFERROR(INDEX(AGR!$E$52:$L$73,MATCH('TS DTech'!$C92,AGR!$B$52:$B$73,0),MATCH('TS DTech'!$B92&amp;L$7,AGR!$E$46:$L$46&amp;AGR!$E$48:$L$48,0)),""))</f>
        <v/>
      </c>
      <c r="M92" s="296" t="str">
        <f t="array" aca="1" ref="M92" ca="1">IF($A92="*","",IFERROR(INDEX(AGR!$E$52:$L$73,MATCH('TS DTech'!$C92,AGR!$B$52:$B$73,0),MATCH('TS DTech'!$B92&amp;M$7,AGR!$E$46:$L$46&amp;AGR!$E$48:$L$48,0)),""))</f>
        <v/>
      </c>
      <c r="N92" s="296" t="str">
        <f t="array" aca="1" ref="N92" ca="1">IF($A92="*","",IFERROR(INDEX(AGR!$E$52:$L$73,MATCH('TS DTech'!$C92,AGR!$B$52:$B$73,0),MATCH('TS DTech'!$B92&amp;N$7,AGR!$E$46:$L$46&amp;AGR!$E$48:$L$48,0)),""))</f>
        <v/>
      </c>
      <c r="O92" s="296" t="str">
        <f t="array" aca="1" ref="O92" ca="1">IF($A92="*","",IFERROR(INDEX(AGR!$E$52:$L$73,MATCH('TS DTech'!$C92,AGR!$B$52:$B$73,0),MATCH('TS DTech'!$B92&amp;O$7,AGR!$E$46:$L$46&amp;AGR!$E$48:$L$48,0)),""))</f>
        <v/>
      </c>
      <c r="P92" s="296" t="str">
        <f t="array" aca="1" ref="P92" ca="1">IF($A92="*","",IFERROR(INDEX(AGR!$E$52:$L$73,MATCH('TS DTech'!$C92,AGR!$B$52:$B$73,0),MATCH('TS DTech'!$B92&amp;P$7,AGR!$E$46:$L$46&amp;AGR!$E$48:$L$48,0)),""))</f>
        <v/>
      </c>
      <c r="Q92" s="296" t="str">
        <f t="array" aca="1" ref="Q92" ca="1">IF($A92="*","",IFERROR(INDEX(AGR!$E$52:$L$73,MATCH('TS DTech'!$C92,AGR!$B$52:$B$73,0),MATCH('TS DTech'!$B92&amp;Q$7,AGR!$E$46:$L$46&amp;AGR!$E$48:$L$48,0)),""))</f>
        <v/>
      </c>
      <c r="R92" s="296" t="str">
        <f t="array" aca="1" ref="R92" ca="1">IF($A92="*","",IFERROR(INDEX(AGR!$E$52:$L$73,MATCH('TS DTech'!$C92,AGR!$B$52:$B$73,0),MATCH('TS DTech'!$B92&amp;R$7,AGR!$E$46:$L$46&amp;AGR!$E$48:$L$48,0)),""))</f>
        <v/>
      </c>
      <c r="S92" s="296" t="str">
        <f t="array" aca="1" ref="S92" ca="1">IF($A92="*","",IFERROR(INDEX(AGR!$E$52:$L$73,MATCH('TS DTech'!$C92,AGR!$B$52:$B$73,0),MATCH('TS DTech'!$B92&amp;S$7,AGR!$E$46:$L$46&amp;AGR!$E$48:$L$48,0)),""))</f>
        <v/>
      </c>
      <c r="T92" s="296" t="str">
        <f t="array" aca="1" ref="T92" ca="1">IF($A92="*","",IFERROR(INDEX(AGR!$E$52:$L$73,MATCH('TS DTech'!$C92,AGR!$B$52:$B$73,0),MATCH('TS DTech'!$B92&amp;T$7,AGR!$E$46:$L$46&amp;AGR!$E$48:$L$48,0)),""))</f>
        <v/>
      </c>
      <c r="U92" s="296" t="str">
        <f t="array" aca="1" ref="U92" ca="1">IF($A92="*","",IFERROR(INDEX(AGR!$E$52:$L$73,MATCH('TS DTech'!$C92,AGR!$B$52:$B$73,0),MATCH('TS DTech'!$B92&amp;U$7,AGR!$E$46:$L$46&amp;AGR!$E$48:$L$48,0)),""))</f>
        <v/>
      </c>
      <c r="V92" s="296" t="str">
        <f t="array" aca="1" ref="V92" ca="1">IF($A92="*","",IFERROR(INDEX(AGR!$E$52:$L$73,MATCH('TS DTech'!$C92,AGR!$B$52:$B$73,0),MATCH('TS DTech'!$B92&amp;V$7,AGR!$E$46:$L$46&amp;AGR!$E$48:$L$48,0)),""))</f>
        <v/>
      </c>
      <c r="W92" s="296" t="str">
        <f t="array" aca="1" ref="W92" ca="1">IF($A92="*","",IFERROR(INDEX(AGR!$E$52:$L$73,MATCH('TS DTech'!$C92,AGR!$B$52:$B$73,0),MATCH('TS DTech'!$B92&amp;W$7,AGR!$E$46:$L$46&amp;AGR!$E$48:$L$48,0)),""))</f>
        <v/>
      </c>
      <c r="X92" s="296" t="str">
        <f t="array" aca="1" ref="X92" ca="1">IF($A92="*","",IFERROR(INDEX(AGR!$E$52:$L$73,MATCH('TS DTech'!$C92,AGR!$B$52:$B$73,0),MATCH('TS DTech'!$B92&amp;X$7,AGR!$E$46:$L$46&amp;AGR!$E$48:$L$48,0)),""))</f>
        <v/>
      </c>
      <c r="Y92" s="296" t="str">
        <f t="array" aca="1" ref="Y92" ca="1">IF($A92="*","",IFERROR(INDEX(AGR!$E$52:$L$73,MATCH('TS DTech'!$C92,AGR!$B$52:$B$73,0),MATCH('TS DTech'!$B92&amp;Y$7,AGR!$E$46:$L$46&amp;AGR!$E$48:$L$48,0)),""))</f>
        <v/>
      </c>
      <c r="Z92" s="296" t="str">
        <f t="array" aca="1" ref="Z92" ca="1">IF($A92="*","",IFERROR(INDEX(AGR!$E$52:$L$73,MATCH('TS DTech'!$C92,AGR!$B$52:$B$73,0),MATCH('TS DTech'!$B92&amp;Z$7,AGR!$E$46:$L$46&amp;AGR!$E$48:$L$48,0)),""))</f>
        <v/>
      </c>
      <c r="AA92" s="296" t="str">
        <f t="array" aca="1" ref="AA92" ca="1">IF($A92="*","",IFERROR(INDEX(AGR!$E$52:$L$73,MATCH('TS DTech'!$C92,AGR!$B$52:$B$73,0),MATCH('TS DTech'!$B92&amp;AA$7,AGR!$E$46:$L$46&amp;AGR!$E$48:$L$48,0)),""))</f>
        <v/>
      </c>
      <c r="AB92" s="296" t="str">
        <f t="array" aca="1" ref="AB92" ca="1">IF($A92="*","",IFERROR(INDEX(AGR!$E$52:$L$73,MATCH('TS DTech'!$C92,AGR!$B$52:$B$73,0),MATCH('TS DTech'!$B92&amp;AB$7,AGR!$E$46:$L$46&amp;AGR!$E$48:$L$48,0)),""))</f>
        <v/>
      </c>
      <c r="AC92" s="296" t="str">
        <f t="array" aca="1" ref="AC92" ca="1">IF($A92="*","",IFERROR(INDEX(AGR!$E$52:$L$73,MATCH('TS DTech'!$C92,AGR!$B$52:$B$73,0),MATCH('TS DTech'!$B92&amp;AC$7,AGR!$E$46:$L$46&amp;AGR!$E$48:$L$48,0)),""))</f>
        <v/>
      </c>
      <c r="AD92" s="296" t="str">
        <f t="array" aca="1" ref="AD92" ca="1">IF($A92="*","",IFERROR(INDEX(AGR!$E$52:$L$73,MATCH('TS DTech'!$C92,AGR!$B$52:$B$73,0),MATCH('TS DTech'!$B92&amp;AD$7,AGR!$E$46:$L$46&amp;AGR!$E$48:$L$48,0)),""))</f>
        <v/>
      </c>
      <c r="AE92" s="296" t="str">
        <f t="array" aca="1" ref="AE92" ca="1">IF($A92="*","",IFERROR(INDEX(AGR!$E$52:$L$73,MATCH('TS DTech'!$C92,AGR!$B$52:$B$73,0),MATCH('TS DTech'!$B92&amp;AE$7,AGR!$E$46:$L$46&amp;AGR!$E$48:$L$48,0)),""))</f>
        <v/>
      </c>
      <c r="AF92" s="296" t="str">
        <f t="array" aca="1" ref="AF92" ca="1">IF($A92="*","",IFERROR(INDEX(AGR!$E$52:$L$73,MATCH('TS DTech'!$C92,AGR!$B$52:$B$73,0),MATCH('TS DTech'!$B92&amp;AF$7,AGR!$E$46:$L$46&amp;AGR!$E$48:$L$48,0)),""))</f>
        <v/>
      </c>
      <c r="AG92" s="296" t="str">
        <f t="array" aca="1" ref="AG92" ca="1">IF($A92="*","",IFERROR(INDEX(AGR!$E$52:$L$73,MATCH('TS DTech'!$C92,AGR!$B$52:$B$73,0),MATCH('TS DTech'!$B92&amp;AG$7,AGR!$E$46:$L$46&amp;AGR!$E$48:$L$48,0)),""))</f>
        <v/>
      </c>
      <c r="AH92" s="296" t="str">
        <f t="array" aca="1" ref="AH92" ca="1">IF($A92="*","",IFERROR(INDEX(AGR!$E$52:$L$73,MATCH('TS DTech'!$C92,AGR!$B$52:$B$73,0),MATCH('TS DTech'!$B92&amp;AH$7,AGR!$E$46:$L$46&amp;AGR!$E$48:$L$48,0)),""))</f>
        <v/>
      </c>
      <c r="AI92" s="296" t="str">
        <f t="array" aca="1" ref="AI92" ca="1">IF($A92="*","",IFERROR(INDEX(AGR!$E$52:$L$73,MATCH('TS DTech'!$C92,AGR!$B$52:$B$73,0),MATCH('TS DTech'!$B92&amp;AI$7,AGR!$E$46:$L$46&amp;AGR!$E$48:$L$48,0)),""))</f>
        <v/>
      </c>
      <c r="AJ92" s="296" t="str">
        <f t="array" aca="1" ref="AJ92" ca="1">IF($A92="*","",IFERROR(INDEX(AGR!$E$52:$L$73,MATCH('TS DTech'!$C92,AGR!$B$52:$B$73,0),MATCH('TS DTech'!$B92&amp;AJ$7,AGR!$E$46:$L$46&amp;AGR!$E$48:$L$48,0)),""))</f>
        <v/>
      </c>
      <c r="AK92" s="296" t="str">
        <f t="array" aca="1" ref="AK92" ca="1">IF($A92="*","",IFERROR(INDEX(AGR!$E$52:$L$73,MATCH('TS DTech'!$C92,AGR!$B$52:$B$73,0),MATCH('TS DTech'!$B92&amp;AK$7,AGR!$E$46:$L$46&amp;AGR!$E$48:$L$48,0)),""))</f>
        <v/>
      </c>
      <c r="AL92" s="296" t="str">
        <f t="array" aca="1" ref="AL92" ca="1">IF($A92="*","",IFERROR(INDEX(AGR!$E$52:$L$73,MATCH('TS DTech'!$C92,AGR!$B$52:$B$73,0),MATCH('TS DTech'!$B92&amp;AL$7,AGR!$E$46:$L$46&amp;AGR!$E$48:$L$48,0)),""))</f>
        <v/>
      </c>
      <c r="AM92" s="296" t="str">
        <f t="array" aca="1" ref="AM92" ca="1">IF($A92="*","",IFERROR(INDEX(AGR!$E$52:$L$73,MATCH('TS DTech'!$C92,AGR!$B$52:$B$73,0),MATCH('TS DTech'!$B92&amp;AM$7,AGR!$E$46:$L$46&amp;AGR!$E$48:$L$48,0)),""))</f>
        <v/>
      </c>
      <c r="AN92" s="296" t="str">
        <f t="array" aca="1" ref="AN92" ca="1">IF($A92="*","",IFERROR(INDEX(AGR!$E$52:$L$73,MATCH('TS DTech'!$C92,AGR!$B$52:$B$73,0),MATCH('TS DTech'!$B92&amp;AN$7,AGR!$E$46:$L$46&amp;AGR!$E$48:$L$48,0)),""))</f>
        <v/>
      </c>
      <c r="AO92" s="296" t="str">
        <f t="array" aca="1" ref="AO92" ca="1">IF($A92="*","",IFERROR(INDEX(AGR!$E$52:$L$73,MATCH('TS DTech'!$C92,AGR!$B$52:$B$73,0),MATCH('TS DTech'!$B92&amp;AO$7,AGR!$E$46:$L$46&amp;AGR!$E$48:$L$48,0)),""))</f>
        <v/>
      </c>
      <c r="AP92" s="296" t="str">
        <f t="array" aca="1" ref="AP92" ca="1">IF($A92="*","",IFERROR(INDEX(AGR!$E$52:$L$73,MATCH('TS DTech'!$C92,AGR!$B$52:$B$73,0),MATCH('TS DTech'!$B92&amp;AP$7,AGR!$E$46:$L$46&amp;AGR!$E$48:$L$48,0)),""))</f>
        <v/>
      </c>
      <c r="AQ92" s="137">
        <f>IF(AR91=AGR!$AD$74,AQ91+1,AQ91)</f>
        <v>4</v>
      </c>
      <c r="AR92" s="137">
        <f t="shared" si="8"/>
        <v>8</v>
      </c>
    </row>
    <row r="93" spans="1:44">
      <c r="A93" s="137" t="str">
        <f ca="1">IF(LEFT(OFFSET(AGR!$A$51,AR93,0),2)="\I","*","")</f>
        <v>*</v>
      </c>
      <c r="B93" s="212" t="str">
        <f t="shared" ca="1" si="7"/>
        <v/>
      </c>
      <c r="C93" s="212" t="str">
        <f ca="1">IF($A93="*","",OFFSET(AGR!$B$51,AR93,0))</f>
        <v/>
      </c>
      <c r="D93" s="212" t="str">
        <f t="shared" ca="1" si="6"/>
        <v/>
      </c>
      <c r="E93" s="212" t="str">
        <f t="shared" ca="1" si="6"/>
        <v/>
      </c>
      <c r="F93" s="212" t="str">
        <f t="shared" ca="1" si="6"/>
        <v/>
      </c>
      <c r="G93" s="212" t="str">
        <f t="shared" ca="1" si="6"/>
        <v/>
      </c>
      <c r="H93" s="212" t="str">
        <f t="shared" ca="1" si="6"/>
        <v/>
      </c>
      <c r="I93" s="213" t="str">
        <f t="shared" ca="1" si="6"/>
        <v/>
      </c>
      <c r="J93" s="296" t="str">
        <f t="array" aca="1" ref="J93" ca="1">IF($A93="*","",IFERROR(INDEX(AGR!$E$52:$L$73,MATCH('TS DTech'!$C93,AGR!$B$52:$B$73,0),MATCH('TS DTech'!$B93&amp;J$7,AGR!$E$46:$L$46&amp;AGR!$E$48:$L$48,0)),""))</f>
        <v/>
      </c>
      <c r="K93" s="296" t="str">
        <f t="array" aca="1" ref="K93" ca="1">IF($A93="*","",IFERROR(INDEX(AGR!$E$52:$L$73,MATCH('TS DTech'!$C93,AGR!$B$52:$B$73,0),MATCH('TS DTech'!$B93&amp;K$7,AGR!$E$46:$L$46&amp;AGR!$E$48:$L$48,0)),""))</f>
        <v/>
      </c>
      <c r="L93" s="296" t="str">
        <f t="array" aca="1" ref="L93" ca="1">IF($A93="*","",IFERROR(INDEX(AGR!$E$52:$L$73,MATCH('TS DTech'!$C93,AGR!$B$52:$B$73,0),MATCH('TS DTech'!$B93&amp;L$7,AGR!$E$46:$L$46&amp;AGR!$E$48:$L$48,0)),""))</f>
        <v/>
      </c>
      <c r="M93" s="296" t="str">
        <f t="array" aca="1" ref="M93" ca="1">IF($A93="*","",IFERROR(INDEX(AGR!$E$52:$L$73,MATCH('TS DTech'!$C93,AGR!$B$52:$B$73,0),MATCH('TS DTech'!$B93&amp;M$7,AGR!$E$46:$L$46&amp;AGR!$E$48:$L$48,0)),""))</f>
        <v/>
      </c>
      <c r="N93" s="296" t="str">
        <f t="array" aca="1" ref="N93" ca="1">IF($A93="*","",IFERROR(INDEX(AGR!$E$52:$L$73,MATCH('TS DTech'!$C93,AGR!$B$52:$B$73,0),MATCH('TS DTech'!$B93&amp;N$7,AGR!$E$46:$L$46&amp;AGR!$E$48:$L$48,0)),""))</f>
        <v/>
      </c>
      <c r="O93" s="296" t="str">
        <f t="array" aca="1" ref="O93" ca="1">IF($A93="*","",IFERROR(INDEX(AGR!$E$52:$L$73,MATCH('TS DTech'!$C93,AGR!$B$52:$B$73,0),MATCH('TS DTech'!$B93&amp;O$7,AGR!$E$46:$L$46&amp;AGR!$E$48:$L$48,0)),""))</f>
        <v/>
      </c>
      <c r="P93" s="296" t="str">
        <f t="array" aca="1" ref="P93" ca="1">IF($A93="*","",IFERROR(INDEX(AGR!$E$52:$L$73,MATCH('TS DTech'!$C93,AGR!$B$52:$B$73,0),MATCH('TS DTech'!$B93&amp;P$7,AGR!$E$46:$L$46&amp;AGR!$E$48:$L$48,0)),""))</f>
        <v/>
      </c>
      <c r="Q93" s="296" t="str">
        <f t="array" aca="1" ref="Q93" ca="1">IF($A93="*","",IFERROR(INDEX(AGR!$E$52:$L$73,MATCH('TS DTech'!$C93,AGR!$B$52:$B$73,0),MATCH('TS DTech'!$B93&amp;Q$7,AGR!$E$46:$L$46&amp;AGR!$E$48:$L$48,0)),""))</f>
        <v/>
      </c>
      <c r="R93" s="296" t="str">
        <f t="array" aca="1" ref="R93" ca="1">IF($A93="*","",IFERROR(INDEX(AGR!$E$52:$L$73,MATCH('TS DTech'!$C93,AGR!$B$52:$B$73,0),MATCH('TS DTech'!$B93&amp;R$7,AGR!$E$46:$L$46&amp;AGR!$E$48:$L$48,0)),""))</f>
        <v/>
      </c>
      <c r="S93" s="296" t="str">
        <f t="array" aca="1" ref="S93" ca="1">IF($A93="*","",IFERROR(INDEX(AGR!$E$52:$L$73,MATCH('TS DTech'!$C93,AGR!$B$52:$B$73,0),MATCH('TS DTech'!$B93&amp;S$7,AGR!$E$46:$L$46&amp;AGR!$E$48:$L$48,0)),""))</f>
        <v/>
      </c>
      <c r="T93" s="296" t="str">
        <f t="array" aca="1" ref="T93" ca="1">IF($A93="*","",IFERROR(INDEX(AGR!$E$52:$L$73,MATCH('TS DTech'!$C93,AGR!$B$52:$B$73,0),MATCH('TS DTech'!$B93&amp;T$7,AGR!$E$46:$L$46&amp;AGR!$E$48:$L$48,0)),""))</f>
        <v/>
      </c>
      <c r="U93" s="296" t="str">
        <f t="array" aca="1" ref="U93" ca="1">IF($A93="*","",IFERROR(INDEX(AGR!$E$52:$L$73,MATCH('TS DTech'!$C93,AGR!$B$52:$B$73,0),MATCH('TS DTech'!$B93&amp;U$7,AGR!$E$46:$L$46&amp;AGR!$E$48:$L$48,0)),""))</f>
        <v/>
      </c>
      <c r="V93" s="296" t="str">
        <f t="array" aca="1" ref="V93" ca="1">IF($A93="*","",IFERROR(INDEX(AGR!$E$52:$L$73,MATCH('TS DTech'!$C93,AGR!$B$52:$B$73,0),MATCH('TS DTech'!$B93&amp;V$7,AGR!$E$46:$L$46&amp;AGR!$E$48:$L$48,0)),""))</f>
        <v/>
      </c>
      <c r="W93" s="296" t="str">
        <f t="array" aca="1" ref="W93" ca="1">IF($A93="*","",IFERROR(INDEX(AGR!$E$52:$L$73,MATCH('TS DTech'!$C93,AGR!$B$52:$B$73,0),MATCH('TS DTech'!$B93&amp;W$7,AGR!$E$46:$L$46&amp;AGR!$E$48:$L$48,0)),""))</f>
        <v/>
      </c>
      <c r="X93" s="296" t="str">
        <f t="array" aca="1" ref="X93" ca="1">IF($A93="*","",IFERROR(INDEX(AGR!$E$52:$L$73,MATCH('TS DTech'!$C93,AGR!$B$52:$B$73,0),MATCH('TS DTech'!$B93&amp;X$7,AGR!$E$46:$L$46&amp;AGR!$E$48:$L$48,0)),""))</f>
        <v/>
      </c>
      <c r="Y93" s="296" t="str">
        <f t="array" aca="1" ref="Y93" ca="1">IF($A93="*","",IFERROR(INDEX(AGR!$E$52:$L$73,MATCH('TS DTech'!$C93,AGR!$B$52:$B$73,0),MATCH('TS DTech'!$B93&amp;Y$7,AGR!$E$46:$L$46&amp;AGR!$E$48:$L$48,0)),""))</f>
        <v/>
      </c>
      <c r="Z93" s="296" t="str">
        <f t="array" aca="1" ref="Z93" ca="1">IF($A93="*","",IFERROR(INDEX(AGR!$E$52:$L$73,MATCH('TS DTech'!$C93,AGR!$B$52:$B$73,0),MATCH('TS DTech'!$B93&amp;Z$7,AGR!$E$46:$L$46&amp;AGR!$E$48:$L$48,0)),""))</f>
        <v/>
      </c>
      <c r="AA93" s="296" t="str">
        <f t="array" aca="1" ref="AA93" ca="1">IF($A93="*","",IFERROR(INDEX(AGR!$E$52:$L$73,MATCH('TS DTech'!$C93,AGR!$B$52:$B$73,0),MATCH('TS DTech'!$B93&amp;AA$7,AGR!$E$46:$L$46&amp;AGR!$E$48:$L$48,0)),""))</f>
        <v/>
      </c>
      <c r="AB93" s="296" t="str">
        <f t="array" aca="1" ref="AB93" ca="1">IF($A93="*","",IFERROR(INDEX(AGR!$E$52:$L$73,MATCH('TS DTech'!$C93,AGR!$B$52:$B$73,0),MATCH('TS DTech'!$B93&amp;AB$7,AGR!$E$46:$L$46&amp;AGR!$E$48:$L$48,0)),""))</f>
        <v/>
      </c>
      <c r="AC93" s="296" t="str">
        <f t="array" aca="1" ref="AC93" ca="1">IF($A93="*","",IFERROR(INDEX(AGR!$E$52:$L$73,MATCH('TS DTech'!$C93,AGR!$B$52:$B$73,0),MATCH('TS DTech'!$B93&amp;AC$7,AGR!$E$46:$L$46&amp;AGR!$E$48:$L$48,0)),""))</f>
        <v/>
      </c>
      <c r="AD93" s="296" t="str">
        <f t="array" aca="1" ref="AD93" ca="1">IF($A93="*","",IFERROR(INDEX(AGR!$E$52:$L$73,MATCH('TS DTech'!$C93,AGR!$B$52:$B$73,0),MATCH('TS DTech'!$B93&amp;AD$7,AGR!$E$46:$L$46&amp;AGR!$E$48:$L$48,0)),""))</f>
        <v/>
      </c>
      <c r="AE93" s="296" t="str">
        <f t="array" aca="1" ref="AE93" ca="1">IF($A93="*","",IFERROR(INDEX(AGR!$E$52:$L$73,MATCH('TS DTech'!$C93,AGR!$B$52:$B$73,0),MATCH('TS DTech'!$B93&amp;AE$7,AGR!$E$46:$L$46&amp;AGR!$E$48:$L$48,0)),""))</f>
        <v/>
      </c>
      <c r="AF93" s="296" t="str">
        <f t="array" aca="1" ref="AF93" ca="1">IF($A93="*","",IFERROR(INDEX(AGR!$E$52:$L$73,MATCH('TS DTech'!$C93,AGR!$B$52:$B$73,0),MATCH('TS DTech'!$B93&amp;AF$7,AGR!$E$46:$L$46&amp;AGR!$E$48:$L$48,0)),""))</f>
        <v/>
      </c>
      <c r="AG93" s="296" t="str">
        <f t="array" aca="1" ref="AG93" ca="1">IF($A93="*","",IFERROR(INDEX(AGR!$E$52:$L$73,MATCH('TS DTech'!$C93,AGR!$B$52:$B$73,0),MATCH('TS DTech'!$B93&amp;AG$7,AGR!$E$46:$L$46&amp;AGR!$E$48:$L$48,0)),""))</f>
        <v/>
      </c>
      <c r="AH93" s="296" t="str">
        <f t="array" aca="1" ref="AH93" ca="1">IF($A93="*","",IFERROR(INDEX(AGR!$E$52:$L$73,MATCH('TS DTech'!$C93,AGR!$B$52:$B$73,0),MATCH('TS DTech'!$B93&amp;AH$7,AGR!$E$46:$L$46&amp;AGR!$E$48:$L$48,0)),""))</f>
        <v/>
      </c>
      <c r="AI93" s="296" t="str">
        <f t="array" aca="1" ref="AI93" ca="1">IF($A93="*","",IFERROR(INDEX(AGR!$E$52:$L$73,MATCH('TS DTech'!$C93,AGR!$B$52:$B$73,0),MATCH('TS DTech'!$B93&amp;AI$7,AGR!$E$46:$L$46&amp;AGR!$E$48:$L$48,0)),""))</f>
        <v/>
      </c>
      <c r="AJ93" s="296" t="str">
        <f t="array" aca="1" ref="AJ93" ca="1">IF($A93="*","",IFERROR(INDEX(AGR!$E$52:$L$73,MATCH('TS DTech'!$C93,AGR!$B$52:$B$73,0),MATCH('TS DTech'!$B93&amp;AJ$7,AGR!$E$46:$L$46&amp;AGR!$E$48:$L$48,0)),""))</f>
        <v/>
      </c>
      <c r="AK93" s="296" t="str">
        <f t="array" aca="1" ref="AK93" ca="1">IF($A93="*","",IFERROR(INDEX(AGR!$E$52:$L$73,MATCH('TS DTech'!$C93,AGR!$B$52:$B$73,0),MATCH('TS DTech'!$B93&amp;AK$7,AGR!$E$46:$L$46&amp;AGR!$E$48:$L$48,0)),""))</f>
        <v/>
      </c>
      <c r="AL93" s="296" t="str">
        <f t="array" aca="1" ref="AL93" ca="1">IF($A93="*","",IFERROR(INDEX(AGR!$E$52:$L$73,MATCH('TS DTech'!$C93,AGR!$B$52:$B$73,0),MATCH('TS DTech'!$B93&amp;AL$7,AGR!$E$46:$L$46&amp;AGR!$E$48:$L$48,0)),""))</f>
        <v/>
      </c>
      <c r="AM93" s="296" t="str">
        <f t="array" aca="1" ref="AM93" ca="1">IF($A93="*","",IFERROR(INDEX(AGR!$E$52:$L$73,MATCH('TS DTech'!$C93,AGR!$B$52:$B$73,0),MATCH('TS DTech'!$B93&amp;AM$7,AGR!$E$46:$L$46&amp;AGR!$E$48:$L$48,0)),""))</f>
        <v/>
      </c>
      <c r="AN93" s="296" t="str">
        <f t="array" aca="1" ref="AN93" ca="1">IF($A93="*","",IFERROR(INDEX(AGR!$E$52:$L$73,MATCH('TS DTech'!$C93,AGR!$B$52:$B$73,0),MATCH('TS DTech'!$B93&amp;AN$7,AGR!$E$46:$L$46&amp;AGR!$E$48:$L$48,0)),""))</f>
        <v/>
      </c>
      <c r="AO93" s="296" t="str">
        <f t="array" aca="1" ref="AO93" ca="1">IF($A93="*","",IFERROR(INDEX(AGR!$E$52:$L$73,MATCH('TS DTech'!$C93,AGR!$B$52:$B$73,0),MATCH('TS DTech'!$B93&amp;AO$7,AGR!$E$46:$L$46&amp;AGR!$E$48:$L$48,0)),""))</f>
        <v/>
      </c>
      <c r="AP93" s="296" t="str">
        <f t="array" aca="1" ref="AP93" ca="1">IF($A93="*","",IFERROR(INDEX(AGR!$E$52:$L$73,MATCH('TS DTech'!$C93,AGR!$B$52:$B$73,0),MATCH('TS DTech'!$B93&amp;AP$7,AGR!$E$46:$L$46&amp;AGR!$E$48:$L$48,0)),""))</f>
        <v/>
      </c>
      <c r="AQ93" s="137">
        <f>IF(AR92=AGR!$AD$74,AQ92+1,AQ92)</f>
        <v>4</v>
      </c>
      <c r="AR93" s="137">
        <f t="shared" si="8"/>
        <v>9</v>
      </c>
    </row>
    <row r="94" spans="1:44">
      <c r="A94" s="137" t="str">
        <f ca="1">IF(LEFT(OFFSET(AGR!$A$51,AR94,0),2)="\I","*","")</f>
        <v>*</v>
      </c>
      <c r="B94" s="212" t="str">
        <f t="shared" ca="1" si="7"/>
        <v/>
      </c>
      <c r="C94" s="212" t="str">
        <f ca="1">IF($A94="*","",OFFSET(AGR!$B$51,AR94,0))</f>
        <v/>
      </c>
      <c r="D94" s="212" t="str">
        <f t="shared" ca="1" si="6"/>
        <v/>
      </c>
      <c r="E94" s="212" t="str">
        <f t="shared" ca="1" si="6"/>
        <v/>
      </c>
      <c r="F94" s="212" t="str">
        <f t="shared" ca="1" si="6"/>
        <v/>
      </c>
      <c r="G94" s="212" t="str">
        <f t="shared" ca="1" si="6"/>
        <v/>
      </c>
      <c r="H94" s="212" t="str">
        <f t="shared" ca="1" si="6"/>
        <v/>
      </c>
      <c r="I94" s="213" t="str">
        <f t="shared" ca="1" si="6"/>
        <v/>
      </c>
      <c r="J94" s="296" t="str">
        <f t="array" aca="1" ref="J94" ca="1">IF($A94="*","",IFERROR(INDEX(AGR!$E$52:$L$73,MATCH('TS DTech'!$C94,AGR!$B$52:$B$73,0),MATCH('TS DTech'!$B94&amp;J$7,AGR!$E$46:$L$46&amp;AGR!$E$48:$L$48,0)),""))</f>
        <v/>
      </c>
      <c r="K94" s="296" t="str">
        <f t="array" aca="1" ref="K94" ca="1">IF($A94="*","",IFERROR(INDEX(AGR!$E$52:$L$73,MATCH('TS DTech'!$C94,AGR!$B$52:$B$73,0),MATCH('TS DTech'!$B94&amp;K$7,AGR!$E$46:$L$46&amp;AGR!$E$48:$L$48,0)),""))</f>
        <v/>
      </c>
      <c r="L94" s="296" t="str">
        <f t="array" aca="1" ref="L94" ca="1">IF($A94="*","",IFERROR(INDEX(AGR!$E$52:$L$73,MATCH('TS DTech'!$C94,AGR!$B$52:$B$73,0),MATCH('TS DTech'!$B94&amp;L$7,AGR!$E$46:$L$46&amp;AGR!$E$48:$L$48,0)),""))</f>
        <v/>
      </c>
      <c r="M94" s="296" t="str">
        <f t="array" aca="1" ref="M94" ca="1">IF($A94="*","",IFERROR(INDEX(AGR!$E$52:$L$73,MATCH('TS DTech'!$C94,AGR!$B$52:$B$73,0),MATCH('TS DTech'!$B94&amp;M$7,AGR!$E$46:$L$46&amp;AGR!$E$48:$L$48,0)),""))</f>
        <v/>
      </c>
      <c r="N94" s="296" t="str">
        <f t="array" aca="1" ref="N94" ca="1">IF($A94="*","",IFERROR(INDEX(AGR!$E$52:$L$73,MATCH('TS DTech'!$C94,AGR!$B$52:$B$73,0),MATCH('TS DTech'!$B94&amp;N$7,AGR!$E$46:$L$46&amp;AGR!$E$48:$L$48,0)),""))</f>
        <v/>
      </c>
      <c r="O94" s="296" t="str">
        <f t="array" aca="1" ref="O94" ca="1">IF($A94="*","",IFERROR(INDEX(AGR!$E$52:$L$73,MATCH('TS DTech'!$C94,AGR!$B$52:$B$73,0),MATCH('TS DTech'!$B94&amp;O$7,AGR!$E$46:$L$46&amp;AGR!$E$48:$L$48,0)),""))</f>
        <v/>
      </c>
      <c r="P94" s="296" t="str">
        <f t="array" aca="1" ref="P94" ca="1">IF($A94="*","",IFERROR(INDEX(AGR!$E$52:$L$73,MATCH('TS DTech'!$C94,AGR!$B$52:$B$73,0),MATCH('TS DTech'!$B94&amp;P$7,AGR!$E$46:$L$46&amp;AGR!$E$48:$L$48,0)),""))</f>
        <v/>
      </c>
      <c r="Q94" s="296" t="str">
        <f t="array" aca="1" ref="Q94" ca="1">IF($A94="*","",IFERROR(INDEX(AGR!$E$52:$L$73,MATCH('TS DTech'!$C94,AGR!$B$52:$B$73,0),MATCH('TS DTech'!$B94&amp;Q$7,AGR!$E$46:$L$46&amp;AGR!$E$48:$L$48,0)),""))</f>
        <v/>
      </c>
      <c r="R94" s="296" t="str">
        <f t="array" aca="1" ref="R94" ca="1">IF($A94="*","",IFERROR(INDEX(AGR!$E$52:$L$73,MATCH('TS DTech'!$C94,AGR!$B$52:$B$73,0),MATCH('TS DTech'!$B94&amp;R$7,AGR!$E$46:$L$46&amp;AGR!$E$48:$L$48,0)),""))</f>
        <v/>
      </c>
      <c r="S94" s="296" t="str">
        <f t="array" aca="1" ref="S94" ca="1">IF($A94="*","",IFERROR(INDEX(AGR!$E$52:$L$73,MATCH('TS DTech'!$C94,AGR!$B$52:$B$73,0),MATCH('TS DTech'!$B94&amp;S$7,AGR!$E$46:$L$46&amp;AGR!$E$48:$L$48,0)),""))</f>
        <v/>
      </c>
      <c r="T94" s="296" t="str">
        <f t="array" aca="1" ref="T94" ca="1">IF($A94="*","",IFERROR(INDEX(AGR!$E$52:$L$73,MATCH('TS DTech'!$C94,AGR!$B$52:$B$73,0),MATCH('TS DTech'!$B94&amp;T$7,AGR!$E$46:$L$46&amp;AGR!$E$48:$L$48,0)),""))</f>
        <v/>
      </c>
      <c r="U94" s="296" t="str">
        <f t="array" aca="1" ref="U94" ca="1">IF($A94="*","",IFERROR(INDEX(AGR!$E$52:$L$73,MATCH('TS DTech'!$C94,AGR!$B$52:$B$73,0),MATCH('TS DTech'!$B94&amp;U$7,AGR!$E$46:$L$46&amp;AGR!$E$48:$L$48,0)),""))</f>
        <v/>
      </c>
      <c r="V94" s="296" t="str">
        <f t="array" aca="1" ref="V94" ca="1">IF($A94="*","",IFERROR(INDEX(AGR!$E$52:$L$73,MATCH('TS DTech'!$C94,AGR!$B$52:$B$73,0),MATCH('TS DTech'!$B94&amp;V$7,AGR!$E$46:$L$46&amp;AGR!$E$48:$L$48,0)),""))</f>
        <v/>
      </c>
      <c r="W94" s="296" t="str">
        <f t="array" aca="1" ref="W94" ca="1">IF($A94="*","",IFERROR(INDEX(AGR!$E$52:$L$73,MATCH('TS DTech'!$C94,AGR!$B$52:$B$73,0),MATCH('TS DTech'!$B94&amp;W$7,AGR!$E$46:$L$46&amp;AGR!$E$48:$L$48,0)),""))</f>
        <v/>
      </c>
      <c r="X94" s="296" t="str">
        <f t="array" aca="1" ref="X94" ca="1">IF($A94="*","",IFERROR(INDEX(AGR!$E$52:$L$73,MATCH('TS DTech'!$C94,AGR!$B$52:$B$73,0),MATCH('TS DTech'!$B94&amp;X$7,AGR!$E$46:$L$46&amp;AGR!$E$48:$L$48,0)),""))</f>
        <v/>
      </c>
      <c r="Y94" s="296" t="str">
        <f t="array" aca="1" ref="Y94" ca="1">IF($A94="*","",IFERROR(INDEX(AGR!$E$52:$L$73,MATCH('TS DTech'!$C94,AGR!$B$52:$B$73,0),MATCH('TS DTech'!$B94&amp;Y$7,AGR!$E$46:$L$46&amp;AGR!$E$48:$L$48,0)),""))</f>
        <v/>
      </c>
      <c r="Z94" s="296" t="str">
        <f t="array" aca="1" ref="Z94" ca="1">IF($A94="*","",IFERROR(INDEX(AGR!$E$52:$L$73,MATCH('TS DTech'!$C94,AGR!$B$52:$B$73,0),MATCH('TS DTech'!$B94&amp;Z$7,AGR!$E$46:$L$46&amp;AGR!$E$48:$L$48,0)),""))</f>
        <v/>
      </c>
      <c r="AA94" s="296" t="str">
        <f t="array" aca="1" ref="AA94" ca="1">IF($A94="*","",IFERROR(INDEX(AGR!$E$52:$L$73,MATCH('TS DTech'!$C94,AGR!$B$52:$B$73,0),MATCH('TS DTech'!$B94&amp;AA$7,AGR!$E$46:$L$46&amp;AGR!$E$48:$L$48,0)),""))</f>
        <v/>
      </c>
      <c r="AB94" s="296" t="str">
        <f t="array" aca="1" ref="AB94" ca="1">IF($A94="*","",IFERROR(INDEX(AGR!$E$52:$L$73,MATCH('TS DTech'!$C94,AGR!$B$52:$B$73,0),MATCH('TS DTech'!$B94&amp;AB$7,AGR!$E$46:$L$46&amp;AGR!$E$48:$L$48,0)),""))</f>
        <v/>
      </c>
      <c r="AC94" s="296" t="str">
        <f t="array" aca="1" ref="AC94" ca="1">IF($A94="*","",IFERROR(INDEX(AGR!$E$52:$L$73,MATCH('TS DTech'!$C94,AGR!$B$52:$B$73,0),MATCH('TS DTech'!$B94&amp;AC$7,AGR!$E$46:$L$46&amp;AGR!$E$48:$L$48,0)),""))</f>
        <v/>
      </c>
      <c r="AD94" s="296" t="str">
        <f t="array" aca="1" ref="AD94" ca="1">IF($A94="*","",IFERROR(INDEX(AGR!$E$52:$L$73,MATCH('TS DTech'!$C94,AGR!$B$52:$B$73,0),MATCH('TS DTech'!$B94&amp;AD$7,AGR!$E$46:$L$46&amp;AGR!$E$48:$L$48,0)),""))</f>
        <v/>
      </c>
      <c r="AE94" s="296" t="str">
        <f t="array" aca="1" ref="AE94" ca="1">IF($A94="*","",IFERROR(INDEX(AGR!$E$52:$L$73,MATCH('TS DTech'!$C94,AGR!$B$52:$B$73,0),MATCH('TS DTech'!$B94&amp;AE$7,AGR!$E$46:$L$46&amp;AGR!$E$48:$L$48,0)),""))</f>
        <v/>
      </c>
      <c r="AF94" s="296" t="str">
        <f t="array" aca="1" ref="AF94" ca="1">IF($A94="*","",IFERROR(INDEX(AGR!$E$52:$L$73,MATCH('TS DTech'!$C94,AGR!$B$52:$B$73,0),MATCH('TS DTech'!$B94&amp;AF$7,AGR!$E$46:$L$46&amp;AGR!$E$48:$L$48,0)),""))</f>
        <v/>
      </c>
      <c r="AG94" s="296" t="str">
        <f t="array" aca="1" ref="AG94" ca="1">IF($A94="*","",IFERROR(INDEX(AGR!$E$52:$L$73,MATCH('TS DTech'!$C94,AGR!$B$52:$B$73,0),MATCH('TS DTech'!$B94&amp;AG$7,AGR!$E$46:$L$46&amp;AGR!$E$48:$L$48,0)),""))</f>
        <v/>
      </c>
      <c r="AH94" s="296" t="str">
        <f t="array" aca="1" ref="AH94" ca="1">IF($A94="*","",IFERROR(INDEX(AGR!$E$52:$L$73,MATCH('TS DTech'!$C94,AGR!$B$52:$B$73,0),MATCH('TS DTech'!$B94&amp;AH$7,AGR!$E$46:$L$46&amp;AGR!$E$48:$L$48,0)),""))</f>
        <v/>
      </c>
      <c r="AI94" s="296" t="str">
        <f t="array" aca="1" ref="AI94" ca="1">IF($A94="*","",IFERROR(INDEX(AGR!$E$52:$L$73,MATCH('TS DTech'!$C94,AGR!$B$52:$B$73,0),MATCH('TS DTech'!$B94&amp;AI$7,AGR!$E$46:$L$46&amp;AGR!$E$48:$L$48,0)),""))</f>
        <v/>
      </c>
      <c r="AJ94" s="296" t="str">
        <f t="array" aca="1" ref="AJ94" ca="1">IF($A94="*","",IFERROR(INDEX(AGR!$E$52:$L$73,MATCH('TS DTech'!$C94,AGR!$B$52:$B$73,0),MATCH('TS DTech'!$B94&amp;AJ$7,AGR!$E$46:$L$46&amp;AGR!$E$48:$L$48,0)),""))</f>
        <v/>
      </c>
      <c r="AK94" s="296" t="str">
        <f t="array" aca="1" ref="AK94" ca="1">IF($A94="*","",IFERROR(INDEX(AGR!$E$52:$L$73,MATCH('TS DTech'!$C94,AGR!$B$52:$B$73,0),MATCH('TS DTech'!$B94&amp;AK$7,AGR!$E$46:$L$46&amp;AGR!$E$48:$L$48,0)),""))</f>
        <v/>
      </c>
      <c r="AL94" s="296" t="str">
        <f t="array" aca="1" ref="AL94" ca="1">IF($A94="*","",IFERROR(INDEX(AGR!$E$52:$L$73,MATCH('TS DTech'!$C94,AGR!$B$52:$B$73,0),MATCH('TS DTech'!$B94&amp;AL$7,AGR!$E$46:$L$46&amp;AGR!$E$48:$L$48,0)),""))</f>
        <v/>
      </c>
      <c r="AM94" s="296" t="str">
        <f t="array" aca="1" ref="AM94" ca="1">IF($A94="*","",IFERROR(INDEX(AGR!$E$52:$L$73,MATCH('TS DTech'!$C94,AGR!$B$52:$B$73,0),MATCH('TS DTech'!$B94&amp;AM$7,AGR!$E$46:$L$46&amp;AGR!$E$48:$L$48,0)),""))</f>
        <v/>
      </c>
      <c r="AN94" s="296" t="str">
        <f t="array" aca="1" ref="AN94" ca="1">IF($A94="*","",IFERROR(INDEX(AGR!$E$52:$L$73,MATCH('TS DTech'!$C94,AGR!$B$52:$B$73,0),MATCH('TS DTech'!$B94&amp;AN$7,AGR!$E$46:$L$46&amp;AGR!$E$48:$L$48,0)),""))</f>
        <v/>
      </c>
      <c r="AO94" s="296" t="str">
        <f t="array" aca="1" ref="AO94" ca="1">IF($A94="*","",IFERROR(INDEX(AGR!$E$52:$L$73,MATCH('TS DTech'!$C94,AGR!$B$52:$B$73,0),MATCH('TS DTech'!$B94&amp;AO$7,AGR!$E$46:$L$46&amp;AGR!$E$48:$L$48,0)),""))</f>
        <v/>
      </c>
      <c r="AP94" s="296" t="str">
        <f t="array" aca="1" ref="AP94" ca="1">IF($A94="*","",IFERROR(INDEX(AGR!$E$52:$L$73,MATCH('TS DTech'!$C94,AGR!$B$52:$B$73,0),MATCH('TS DTech'!$B94&amp;AP$7,AGR!$E$46:$L$46&amp;AGR!$E$48:$L$48,0)),""))</f>
        <v/>
      </c>
      <c r="AQ94" s="137">
        <f>IF(AR93=AGR!$AD$74,AQ93+1,AQ93)</f>
        <v>4</v>
      </c>
      <c r="AR94" s="137">
        <f t="shared" si="8"/>
        <v>10</v>
      </c>
    </row>
    <row r="95" spans="1:44">
      <c r="A95" s="137" t="str">
        <f ca="1">IF(LEFT(OFFSET(AGR!$A$51,AR95,0),2)="\I","*","")</f>
        <v/>
      </c>
      <c r="B95" s="212" t="str">
        <f t="shared" ca="1" si="7"/>
        <v>NCAP_TLIFE</v>
      </c>
      <c r="C95" s="212" t="str">
        <f ca="1">IF($A95="*","",OFFSET(AGR!$B$51,AR95,0))</f>
        <v>ATODS-E</v>
      </c>
      <c r="D95" s="212" t="str">
        <f t="shared" ca="1" si="6"/>
        <v>-</v>
      </c>
      <c r="E95" s="212" t="str">
        <f t="shared" ca="1" si="6"/>
        <v>-</v>
      </c>
      <c r="F95" s="212" t="str">
        <f t="shared" ca="1" si="6"/>
        <v>-</v>
      </c>
      <c r="G95" s="212" t="str">
        <f t="shared" ca="1" si="6"/>
        <v>-</v>
      </c>
      <c r="H95" s="212" t="str">
        <f t="shared" ca="1" si="6"/>
        <v>-</v>
      </c>
      <c r="I95" s="213">
        <f t="shared" ca="1" si="6"/>
        <v>0</v>
      </c>
      <c r="J95" s="296" t="str">
        <f t="array" aca="1" ref="J95" ca="1">IF($A95="*","",IFERROR(INDEX(AGR!$E$52:$L$73,MATCH('TS DTech'!$C95,AGR!$B$52:$B$73,0),MATCH('TS DTech'!$B95&amp;J$7,AGR!$E$46:$L$46&amp;AGR!$E$48:$L$48,0)),""))</f>
        <v/>
      </c>
      <c r="K95" s="296" t="str">
        <f t="array" aca="1" ref="K95" ca="1">IF($A95="*","",IFERROR(INDEX(AGR!$E$52:$L$73,MATCH('TS DTech'!$C95,AGR!$B$52:$B$73,0),MATCH('TS DTech'!$B95&amp;K$7,AGR!$E$46:$L$46&amp;AGR!$E$48:$L$48,0)),""))</f>
        <v/>
      </c>
      <c r="L95" s="296" t="str">
        <f t="array" aca="1" ref="L95" ca="1">IF($A95="*","",IFERROR(INDEX(AGR!$E$52:$L$73,MATCH('TS DTech'!$C95,AGR!$B$52:$B$73,0),MATCH('TS DTech'!$B95&amp;L$7,AGR!$E$46:$L$46&amp;AGR!$E$48:$L$48,0)),""))</f>
        <v/>
      </c>
      <c r="M95" s="296" t="str">
        <f t="array" aca="1" ref="M95" ca="1">IF($A95="*","",IFERROR(INDEX(AGR!$E$52:$L$73,MATCH('TS DTech'!$C95,AGR!$B$52:$B$73,0),MATCH('TS DTech'!$B95&amp;M$7,AGR!$E$46:$L$46&amp;AGR!$E$48:$L$48,0)),""))</f>
        <v/>
      </c>
      <c r="N95" s="296" t="str">
        <f t="array" aca="1" ref="N95" ca="1">IF($A95="*","",IFERROR(INDEX(AGR!$E$52:$L$73,MATCH('TS DTech'!$C95,AGR!$B$52:$B$73,0),MATCH('TS DTech'!$B95&amp;N$7,AGR!$E$46:$L$46&amp;AGR!$E$48:$L$48,0)),""))</f>
        <v/>
      </c>
      <c r="O95" s="296" t="str">
        <f t="array" aca="1" ref="O95" ca="1">IF($A95="*","",IFERROR(INDEX(AGR!$E$52:$L$73,MATCH('TS DTech'!$C95,AGR!$B$52:$B$73,0),MATCH('TS DTech'!$B95&amp;O$7,AGR!$E$46:$L$46&amp;AGR!$E$48:$L$48,0)),""))</f>
        <v/>
      </c>
      <c r="P95" s="296" t="str">
        <f t="array" aca="1" ref="P95" ca="1">IF($A95="*","",IFERROR(INDEX(AGR!$E$52:$L$73,MATCH('TS DTech'!$C95,AGR!$B$52:$B$73,0),MATCH('TS DTech'!$B95&amp;P$7,AGR!$E$46:$L$46&amp;AGR!$E$48:$L$48,0)),""))</f>
        <v/>
      </c>
      <c r="Q95" s="296" t="str">
        <f t="array" aca="1" ref="Q95" ca="1">IF($A95="*","",IFERROR(INDEX(AGR!$E$52:$L$73,MATCH('TS DTech'!$C95,AGR!$B$52:$B$73,0),MATCH('TS DTech'!$B95&amp;Q$7,AGR!$E$46:$L$46&amp;AGR!$E$48:$L$48,0)),""))</f>
        <v/>
      </c>
      <c r="R95" s="296" t="str">
        <f t="array" aca="1" ref="R95" ca="1">IF($A95="*","",IFERROR(INDEX(AGR!$E$52:$L$73,MATCH('TS DTech'!$C95,AGR!$B$52:$B$73,0),MATCH('TS DTech'!$B95&amp;R$7,AGR!$E$46:$L$46&amp;AGR!$E$48:$L$48,0)),""))</f>
        <v/>
      </c>
      <c r="S95" s="296" t="str">
        <f t="array" aca="1" ref="S95" ca="1">IF($A95="*","",IFERROR(INDEX(AGR!$E$52:$L$73,MATCH('TS DTech'!$C95,AGR!$B$52:$B$73,0),MATCH('TS DTech'!$B95&amp;S$7,AGR!$E$46:$L$46&amp;AGR!$E$48:$L$48,0)),""))</f>
        <v/>
      </c>
      <c r="T95" s="296" t="str">
        <f t="array" aca="1" ref="T95" ca="1">IF($A95="*","",IFERROR(INDEX(AGR!$E$52:$L$73,MATCH('TS DTech'!$C95,AGR!$B$52:$B$73,0),MATCH('TS DTech'!$B95&amp;T$7,AGR!$E$46:$L$46&amp;AGR!$E$48:$L$48,0)),""))</f>
        <v/>
      </c>
      <c r="U95" s="296" t="str">
        <f t="array" aca="1" ref="U95" ca="1">IF($A95="*","",IFERROR(INDEX(AGR!$E$52:$L$73,MATCH('TS DTech'!$C95,AGR!$B$52:$B$73,0),MATCH('TS DTech'!$B95&amp;U$7,AGR!$E$46:$L$46&amp;AGR!$E$48:$L$48,0)),""))</f>
        <v/>
      </c>
      <c r="V95" s="296" t="str">
        <f t="array" aca="1" ref="V95" ca="1">IF($A95="*","",IFERROR(INDEX(AGR!$E$52:$L$73,MATCH('TS DTech'!$C95,AGR!$B$52:$B$73,0),MATCH('TS DTech'!$B95&amp;V$7,AGR!$E$46:$L$46&amp;AGR!$E$48:$L$48,0)),""))</f>
        <v/>
      </c>
      <c r="W95" s="296" t="str">
        <f t="array" aca="1" ref="W95" ca="1">IF($A95="*","",IFERROR(INDEX(AGR!$E$52:$L$73,MATCH('TS DTech'!$C95,AGR!$B$52:$B$73,0),MATCH('TS DTech'!$B95&amp;W$7,AGR!$E$46:$L$46&amp;AGR!$E$48:$L$48,0)),""))</f>
        <v/>
      </c>
      <c r="X95" s="296" t="str">
        <f t="array" aca="1" ref="X95" ca="1">IF($A95="*","",IFERROR(INDEX(AGR!$E$52:$L$73,MATCH('TS DTech'!$C95,AGR!$B$52:$B$73,0),MATCH('TS DTech'!$B95&amp;X$7,AGR!$E$46:$L$46&amp;AGR!$E$48:$L$48,0)),""))</f>
        <v/>
      </c>
      <c r="Y95" s="296" t="str">
        <f t="array" aca="1" ref="Y95" ca="1">IF($A95="*","",IFERROR(INDEX(AGR!$E$52:$L$73,MATCH('TS DTech'!$C95,AGR!$B$52:$B$73,0),MATCH('TS DTech'!$B95&amp;Y$7,AGR!$E$46:$L$46&amp;AGR!$E$48:$L$48,0)),""))</f>
        <v/>
      </c>
      <c r="Z95" s="296" t="str">
        <f t="array" aca="1" ref="Z95" ca="1">IF($A95="*","",IFERROR(INDEX(AGR!$E$52:$L$73,MATCH('TS DTech'!$C95,AGR!$B$52:$B$73,0),MATCH('TS DTech'!$B95&amp;Z$7,AGR!$E$46:$L$46&amp;AGR!$E$48:$L$48,0)),""))</f>
        <v/>
      </c>
      <c r="AA95" s="296" t="str">
        <f t="array" aca="1" ref="AA95" ca="1">IF($A95="*","",IFERROR(INDEX(AGR!$E$52:$L$73,MATCH('TS DTech'!$C95,AGR!$B$52:$B$73,0),MATCH('TS DTech'!$B95&amp;AA$7,AGR!$E$46:$L$46&amp;AGR!$E$48:$L$48,0)),""))</f>
        <v/>
      </c>
      <c r="AB95" s="296" t="str">
        <f t="array" aca="1" ref="AB95" ca="1">IF($A95="*","",IFERROR(INDEX(AGR!$E$52:$L$73,MATCH('TS DTech'!$C95,AGR!$B$52:$B$73,0),MATCH('TS DTech'!$B95&amp;AB$7,AGR!$E$46:$L$46&amp;AGR!$E$48:$L$48,0)),""))</f>
        <v/>
      </c>
      <c r="AC95" s="296" t="str">
        <f t="array" aca="1" ref="AC95" ca="1">IF($A95="*","",IFERROR(INDEX(AGR!$E$52:$L$73,MATCH('TS DTech'!$C95,AGR!$B$52:$B$73,0),MATCH('TS DTech'!$B95&amp;AC$7,AGR!$E$46:$L$46&amp;AGR!$E$48:$L$48,0)),""))</f>
        <v/>
      </c>
      <c r="AD95" s="296" t="str">
        <f t="array" aca="1" ref="AD95" ca="1">IF($A95="*","",IFERROR(INDEX(AGR!$E$52:$L$73,MATCH('TS DTech'!$C95,AGR!$B$52:$B$73,0),MATCH('TS DTech'!$B95&amp;AD$7,AGR!$E$46:$L$46&amp;AGR!$E$48:$L$48,0)),""))</f>
        <v/>
      </c>
      <c r="AE95" s="296" t="str">
        <f t="array" aca="1" ref="AE95" ca="1">IF($A95="*","",IFERROR(INDEX(AGR!$E$52:$L$73,MATCH('TS DTech'!$C95,AGR!$B$52:$B$73,0),MATCH('TS DTech'!$B95&amp;AE$7,AGR!$E$46:$L$46&amp;AGR!$E$48:$L$48,0)),""))</f>
        <v/>
      </c>
      <c r="AF95" s="296" t="str">
        <f t="array" aca="1" ref="AF95" ca="1">IF($A95="*","",IFERROR(INDEX(AGR!$E$52:$L$73,MATCH('TS DTech'!$C95,AGR!$B$52:$B$73,0),MATCH('TS DTech'!$B95&amp;AF$7,AGR!$E$46:$L$46&amp;AGR!$E$48:$L$48,0)),""))</f>
        <v/>
      </c>
      <c r="AG95" s="296" t="str">
        <f t="array" aca="1" ref="AG95" ca="1">IF($A95="*","",IFERROR(INDEX(AGR!$E$52:$L$73,MATCH('TS DTech'!$C95,AGR!$B$52:$B$73,0),MATCH('TS DTech'!$B95&amp;AG$7,AGR!$E$46:$L$46&amp;AGR!$E$48:$L$48,0)),""))</f>
        <v/>
      </c>
      <c r="AH95" s="296" t="str">
        <f t="array" aca="1" ref="AH95" ca="1">IF($A95="*","",IFERROR(INDEX(AGR!$E$52:$L$73,MATCH('TS DTech'!$C95,AGR!$B$52:$B$73,0),MATCH('TS DTech'!$B95&amp;AH$7,AGR!$E$46:$L$46&amp;AGR!$E$48:$L$48,0)),""))</f>
        <v/>
      </c>
      <c r="AI95" s="296" t="str">
        <f t="array" aca="1" ref="AI95" ca="1">IF($A95="*","",IFERROR(INDEX(AGR!$E$52:$L$73,MATCH('TS DTech'!$C95,AGR!$B$52:$B$73,0),MATCH('TS DTech'!$B95&amp;AI$7,AGR!$E$46:$L$46&amp;AGR!$E$48:$L$48,0)),""))</f>
        <v/>
      </c>
      <c r="AJ95" s="296" t="str">
        <f t="array" aca="1" ref="AJ95" ca="1">IF($A95="*","",IFERROR(INDEX(AGR!$E$52:$L$73,MATCH('TS DTech'!$C95,AGR!$B$52:$B$73,0),MATCH('TS DTech'!$B95&amp;AJ$7,AGR!$E$46:$L$46&amp;AGR!$E$48:$L$48,0)),""))</f>
        <v/>
      </c>
      <c r="AK95" s="296" t="str">
        <f t="array" aca="1" ref="AK95" ca="1">IF($A95="*","",IFERROR(INDEX(AGR!$E$52:$L$73,MATCH('TS DTech'!$C95,AGR!$B$52:$B$73,0),MATCH('TS DTech'!$B95&amp;AK$7,AGR!$E$46:$L$46&amp;AGR!$E$48:$L$48,0)),""))</f>
        <v/>
      </c>
      <c r="AL95" s="296" t="str">
        <f t="array" aca="1" ref="AL95" ca="1">IF($A95="*","",IFERROR(INDEX(AGR!$E$52:$L$73,MATCH('TS DTech'!$C95,AGR!$B$52:$B$73,0),MATCH('TS DTech'!$B95&amp;AL$7,AGR!$E$46:$L$46&amp;AGR!$E$48:$L$48,0)),""))</f>
        <v/>
      </c>
      <c r="AM95" s="296" t="str">
        <f t="array" aca="1" ref="AM95" ca="1">IF($A95="*","",IFERROR(INDEX(AGR!$E$52:$L$73,MATCH('TS DTech'!$C95,AGR!$B$52:$B$73,0),MATCH('TS DTech'!$B95&amp;AM$7,AGR!$E$46:$L$46&amp;AGR!$E$48:$L$48,0)),""))</f>
        <v/>
      </c>
      <c r="AN95" s="296" t="str">
        <f t="array" aca="1" ref="AN95" ca="1">IF($A95="*","",IFERROR(INDEX(AGR!$E$52:$L$73,MATCH('TS DTech'!$C95,AGR!$B$52:$B$73,0),MATCH('TS DTech'!$B95&amp;AN$7,AGR!$E$46:$L$46&amp;AGR!$E$48:$L$48,0)),""))</f>
        <v/>
      </c>
      <c r="AO95" s="296" t="str">
        <f t="array" aca="1" ref="AO95" ca="1">IF($A95="*","",IFERROR(INDEX(AGR!$E$52:$L$73,MATCH('TS DTech'!$C95,AGR!$B$52:$B$73,0),MATCH('TS DTech'!$B95&amp;AO$7,AGR!$E$46:$L$46&amp;AGR!$E$48:$L$48,0)),""))</f>
        <v/>
      </c>
      <c r="AP95" s="296" t="str">
        <f t="array" aca="1" ref="AP95" ca="1">IF($A95="*","",IFERROR(INDEX(AGR!$E$52:$L$73,MATCH('TS DTech'!$C95,AGR!$B$52:$B$73,0),MATCH('TS DTech'!$B95&amp;AP$7,AGR!$E$46:$L$46&amp;AGR!$E$48:$L$48,0)),""))</f>
        <v/>
      </c>
      <c r="AQ95" s="137">
        <f>IF(AR94=AGR!$AD$74,AQ94+1,AQ94)</f>
        <v>4</v>
      </c>
      <c r="AR95" s="137">
        <f t="shared" si="8"/>
        <v>11</v>
      </c>
    </row>
    <row r="96" spans="1:44">
      <c r="A96" s="137" t="str">
        <f ca="1">IF(LEFT(OFFSET(AGR!$A$51,AR96,0),2)="\I","*","")</f>
        <v/>
      </c>
      <c r="B96" s="212" t="str">
        <f t="shared" ca="1" si="7"/>
        <v>NCAP_TLIFE</v>
      </c>
      <c r="C96" s="212" t="str">
        <f ca="1">IF($A96="*","",OFFSET(AGR!$B$51,AR96,0))</f>
        <v>ATELC-E</v>
      </c>
      <c r="D96" s="212" t="str">
        <f t="shared" ca="1" si="6"/>
        <v>-</v>
      </c>
      <c r="E96" s="212" t="str">
        <f t="shared" ca="1" si="6"/>
        <v>-</v>
      </c>
      <c r="F96" s="212" t="str">
        <f t="shared" ca="1" si="6"/>
        <v>-</v>
      </c>
      <c r="G96" s="212" t="str">
        <f t="shared" ca="1" si="6"/>
        <v>-</v>
      </c>
      <c r="H96" s="212" t="str">
        <f t="shared" ca="1" si="6"/>
        <v>-</v>
      </c>
      <c r="I96" s="213">
        <f t="shared" ca="1" si="6"/>
        <v>0</v>
      </c>
      <c r="J96" s="296" t="str">
        <f t="array" aca="1" ref="J96" ca="1">IF($A96="*","",IFERROR(INDEX(AGR!$E$52:$L$73,MATCH('TS DTech'!$C96,AGR!$B$52:$B$73,0),MATCH('TS DTech'!$B96&amp;J$7,AGR!$E$46:$L$46&amp;AGR!$E$48:$L$48,0)),""))</f>
        <v/>
      </c>
      <c r="K96" s="296" t="str">
        <f t="array" aca="1" ref="K96" ca="1">IF($A96="*","",IFERROR(INDEX(AGR!$E$52:$L$73,MATCH('TS DTech'!$C96,AGR!$B$52:$B$73,0),MATCH('TS DTech'!$B96&amp;K$7,AGR!$E$46:$L$46&amp;AGR!$E$48:$L$48,0)),""))</f>
        <v/>
      </c>
      <c r="L96" s="296" t="str">
        <f t="array" aca="1" ref="L96" ca="1">IF($A96="*","",IFERROR(INDEX(AGR!$E$52:$L$73,MATCH('TS DTech'!$C96,AGR!$B$52:$B$73,0),MATCH('TS DTech'!$B96&amp;L$7,AGR!$E$46:$L$46&amp;AGR!$E$48:$L$48,0)),""))</f>
        <v/>
      </c>
      <c r="M96" s="296" t="str">
        <f t="array" aca="1" ref="M96" ca="1">IF($A96="*","",IFERROR(INDEX(AGR!$E$52:$L$73,MATCH('TS DTech'!$C96,AGR!$B$52:$B$73,0),MATCH('TS DTech'!$B96&amp;M$7,AGR!$E$46:$L$46&amp;AGR!$E$48:$L$48,0)),""))</f>
        <v/>
      </c>
      <c r="N96" s="296" t="str">
        <f t="array" aca="1" ref="N96" ca="1">IF($A96="*","",IFERROR(INDEX(AGR!$E$52:$L$73,MATCH('TS DTech'!$C96,AGR!$B$52:$B$73,0),MATCH('TS DTech'!$B96&amp;N$7,AGR!$E$46:$L$46&amp;AGR!$E$48:$L$48,0)),""))</f>
        <v/>
      </c>
      <c r="O96" s="296" t="str">
        <f t="array" aca="1" ref="O96" ca="1">IF($A96="*","",IFERROR(INDEX(AGR!$E$52:$L$73,MATCH('TS DTech'!$C96,AGR!$B$52:$B$73,0),MATCH('TS DTech'!$B96&amp;O$7,AGR!$E$46:$L$46&amp;AGR!$E$48:$L$48,0)),""))</f>
        <v/>
      </c>
      <c r="P96" s="296" t="str">
        <f t="array" aca="1" ref="P96" ca="1">IF($A96="*","",IFERROR(INDEX(AGR!$E$52:$L$73,MATCH('TS DTech'!$C96,AGR!$B$52:$B$73,0),MATCH('TS DTech'!$B96&amp;P$7,AGR!$E$46:$L$46&amp;AGR!$E$48:$L$48,0)),""))</f>
        <v/>
      </c>
      <c r="Q96" s="296" t="str">
        <f t="array" aca="1" ref="Q96" ca="1">IF($A96="*","",IFERROR(INDEX(AGR!$E$52:$L$73,MATCH('TS DTech'!$C96,AGR!$B$52:$B$73,0),MATCH('TS DTech'!$B96&amp;Q$7,AGR!$E$46:$L$46&amp;AGR!$E$48:$L$48,0)),""))</f>
        <v/>
      </c>
      <c r="R96" s="296" t="str">
        <f t="array" aca="1" ref="R96" ca="1">IF($A96="*","",IFERROR(INDEX(AGR!$E$52:$L$73,MATCH('TS DTech'!$C96,AGR!$B$52:$B$73,0),MATCH('TS DTech'!$B96&amp;R$7,AGR!$E$46:$L$46&amp;AGR!$E$48:$L$48,0)),""))</f>
        <v/>
      </c>
      <c r="S96" s="296" t="str">
        <f t="array" aca="1" ref="S96" ca="1">IF($A96="*","",IFERROR(INDEX(AGR!$E$52:$L$73,MATCH('TS DTech'!$C96,AGR!$B$52:$B$73,0),MATCH('TS DTech'!$B96&amp;S$7,AGR!$E$46:$L$46&amp;AGR!$E$48:$L$48,0)),""))</f>
        <v/>
      </c>
      <c r="T96" s="296" t="str">
        <f t="array" aca="1" ref="T96" ca="1">IF($A96="*","",IFERROR(INDEX(AGR!$E$52:$L$73,MATCH('TS DTech'!$C96,AGR!$B$52:$B$73,0),MATCH('TS DTech'!$B96&amp;T$7,AGR!$E$46:$L$46&amp;AGR!$E$48:$L$48,0)),""))</f>
        <v/>
      </c>
      <c r="U96" s="296" t="str">
        <f t="array" aca="1" ref="U96" ca="1">IF($A96="*","",IFERROR(INDEX(AGR!$E$52:$L$73,MATCH('TS DTech'!$C96,AGR!$B$52:$B$73,0),MATCH('TS DTech'!$B96&amp;U$7,AGR!$E$46:$L$46&amp;AGR!$E$48:$L$48,0)),""))</f>
        <v/>
      </c>
      <c r="V96" s="296" t="str">
        <f t="array" aca="1" ref="V96" ca="1">IF($A96="*","",IFERROR(INDEX(AGR!$E$52:$L$73,MATCH('TS DTech'!$C96,AGR!$B$52:$B$73,0),MATCH('TS DTech'!$B96&amp;V$7,AGR!$E$46:$L$46&amp;AGR!$E$48:$L$48,0)),""))</f>
        <v/>
      </c>
      <c r="W96" s="296" t="str">
        <f t="array" aca="1" ref="W96" ca="1">IF($A96="*","",IFERROR(INDEX(AGR!$E$52:$L$73,MATCH('TS DTech'!$C96,AGR!$B$52:$B$73,0),MATCH('TS DTech'!$B96&amp;W$7,AGR!$E$46:$L$46&amp;AGR!$E$48:$L$48,0)),""))</f>
        <v/>
      </c>
      <c r="X96" s="296" t="str">
        <f t="array" aca="1" ref="X96" ca="1">IF($A96="*","",IFERROR(INDEX(AGR!$E$52:$L$73,MATCH('TS DTech'!$C96,AGR!$B$52:$B$73,0),MATCH('TS DTech'!$B96&amp;X$7,AGR!$E$46:$L$46&amp;AGR!$E$48:$L$48,0)),""))</f>
        <v/>
      </c>
      <c r="Y96" s="296" t="str">
        <f t="array" aca="1" ref="Y96" ca="1">IF($A96="*","",IFERROR(INDEX(AGR!$E$52:$L$73,MATCH('TS DTech'!$C96,AGR!$B$52:$B$73,0),MATCH('TS DTech'!$B96&amp;Y$7,AGR!$E$46:$L$46&amp;AGR!$E$48:$L$48,0)),""))</f>
        <v/>
      </c>
      <c r="Z96" s="296" t="str">
        <f t="array" aca="1" ref="Z96" ca="1">IF($A96="*","",IFERROR(INDEX(AGR!$E$52:$L$73,MATCH('TS DTech'!$C96,AGR!$B$52:$B$73,0),MATCH('TS DTech'!$B96&amp;Z$7,AGR!$E$46:$L$46&amp;AGR!$E$48:$L$48,0)),""))</f>
        <v/>
      </c>
      <c r="AA96" s="296" t="str">
        <f t="array" aca="1" ref="AA96" ca="1">IF($A96="*","",IFERROR(INDEX(AGR!$E$52:$L$73,MATCH('TS DTech'!$C96,AGR!$B$52:$B$73,0),MATCH('TS DTech'!$B96&amp;AA$7,AGR!$E$46:$L$46&amp;AGR!$E$48:$L$48,0)),""))</f>
        <v/>
      </c>
      <c r="AB96" s="296" t="str">
        <f t="array" aca="1" ref="AB96" ca="1">IF($A96="*","",IFERROR(INDEX(AGR!$E$52:$L$73,MATCH('TS DTech'!$C96,AGR!$B$52:$B$73,0),MATCH('TS DTech'!$B96&amp;AB$7,AGR!$E$46:$L$46&amp;AGR!$E$48:$L$48,0)),""))</f>
        <v/>
      </c>
      <c r="AC96" s="296" t="str">
        <f t="array" aca="1" ref="AC96" ca="1">IF($A96="*","",IFERROR(INDEX(AGR!$E$52:$L$73,MATCH('TS DTech'!$C96,AGR!$B$52:$B$73,0),MATCH('TS DTech'!$B96&amp;AC$7,AGR!$E$46:$L$46&amp;AGR!$E$48:$L$48,0)),""))</f>
        <v/>
      </c>
      <c r="AD96" s="296" t="str">
        <f t="array" aca="1" ref="AD96" ca="1">IF($A96="*","",IFERROR(INDEX(AGR!$E$52:$L$73,MATCH('TS DTech'!$C96,AGR!$B$52:$B$73,0),MATCH('TS DTech'!$B96&amp;AD$7,AGR!$E$46:$L$46&amp;AGR!$E$48:$L$48,0)),""))</f>
        <v/>
      </c>
      <c r="AE96" s="296" t="str">
        <f t="array" aca="1" ref="AE96" ca="1">IF($A96="*","",IFERROR(INDEX(AGR!$E$52:$L$73,MATCH('TS DTech'!$C96,AGR!$B$52:$B$73,0),MATCH('TS DTech'!$B96&amp;AE$7,AGR!$E$46:$L$46&amp;AGR!$E$48:$L$48,0)),""))</f>
        <v/>
      </c>
      <c r="AF96" s="296" t="str">
        <f t="array" aca="1" ref="AF96" ca="1">IF($A96="*","",IFERROR(INDEX(AGR!$E$52:$L$73,MATCH('TS DTech'!$C96,AGR!$B$52:$B$73,0),MATCH('TS DTech'!$B96&amp;AF$7,AGR!$E$46:$L$46&amp;AGR!$E$48:$L$48,0)),""))</f>
        <v/>
      </c>
      <c r="AG96" s="296" t="str">
        <f t="array" aca="1" ref="AG96" ca="1">IF($A96="*","",IFERROR(INDEX(AGR!$E$52:$L$73,MATCH('TS DTech'!$C96,AGR!$B$52:$B$73,0),MATCH('TS DTech'!$B96&amp;AG$7,AGR!$E$46:$L$46&amp;AGR!$E$48:$L$48,0)),""))</f>
        <v/>
      </c>
      <c r="AH96" s="296" t="str">
        <f t="array" aca="1" ref="AH96" ca="1">IF($A96="*","",IFERROR(INDEX(AGR!$E$52:$L$73,MATCH('TS DTech'!$C96,AGR!$B$52:$B$73,0),MATCH('TS DTech'!$B96&amp;AH$7,AGR!$E$46:$L$46&amp;AGR!$E$48:$L$48,0)),""))</f>
        <v/>
      </c>
      <c r="AI96" s="296" t="str">
        <f t="array" aca="1" ref="AI96" ca="1">IF($A96="*","",IFERROR(INDEX(AGR!$E$52:$L$73,MATCH('TS DTech'!$C96,AGR!$B$52:$B$73,0),MATCH('TS DTech'!$B96&amp;AI$7,AGR!$E$46:$L$46&amp;AGR!$E$48:$L$48,0)),""))</f>
        <v/>
      </c>
      <c r="AJ96" s="296" t="str">
        <f t="array" aca="1" ref="AJ96" ca="1">IF($A96="*","",IFERROR(INDEX(AGR!$E$52:$L$73,MATCH('TS DTech'!$C96,AGR!$B$52:$B$73,0),MATCH('TS DTech'!$B96&amp;AJ$7,AGR!$E$46:$L$46&amp;AGR!$E$48:$L$48,0)),""))</f>
        <v/>
      </c>
      <c r="AK96" s="296" t="str">
        <f t="array" aca="1" ref="AK96" ca="1">IF($A96="*","",IFERROR(INDEX(AGR!$E$52:$L$73,MATCH('TS DTech'!$C96,AGR!$B$52:$B$73,0),MATCH('TS DTech'!$B96&amp;AK$7,AGR!$E$46:$L$46&amp;AGR!$E$48:$L$48,0)),""))</f>
        <v/>
      </c>
      <c r="AL96" s="296" t="str">
        <f t="array" aca="1" ref="AL96" ca="1">IF($A96="*","",IFERROR(INDEX(AGR!$E$52:$L$73,MATCH('TS DTech'!$C96,AGR!$B$52:$B$73,0),MATCH('TS DTech'!$B96&amp;AL$7,AGR!$E$46:$L$46&amp;AGR!$E$48:$L$48,0)),""))</f>
        <v/>
      </c>
      <c r="AM96" s="296" t="str">
        <f t="array" aca="1" ref="AM96" ca="1">IF($A96="*","",IFERROR(INDEX(AGR!$E$52:$L$73,MATCH('TS DTech'!$C96,AGR!$B$52:$B$73,0),MATCH('TS DTech'!$B96&amp;AM$7,AGR!$E$46:$L$46&amp;AGR!$E$48:$L$48,0)),""))</f>
        <v/>
      </c>
      <c r="AN96" s="296" t="str">
        <f t="array" aca="1" ref="AN96" ca="1">IF($A96="*","",IFERROR(INDEX(AGR!$E$52:$L$73,MATCH('TS DTech'!$C96,AGR!$B$52:$B$73,0),MATCH('TS DTech'!$B96&amp;AN$7,AGR!$E$46:$L$46&amp;AGR!$E$48:$L$48,0)),""))</f>
        <v/>
      </c>
      <c r="AO96" s="296" t="str">
        <f t="array" aca="1" ref="AO96" ca="1">IF($A96="*","",IFERROR(INDEX(AGR!$E$52:$L$73,MATCH('TS DTech'!$C96,AGR!$B$52:$B$73,0),MATCH('TS DTech'!$B96&amp;AO$7,AGR!$E$46:$L$46&amp;AGR!$E$48:$L$48,0)),""))</f>
        <v/>
      </c>
      <c r="AP96" s="296" t="str">
        <f t="array" aca="1" ref="AP96" ca="1">IF($A96="*","",IFERROR(INDEX(AGR!$E$52:$L$73,MATCH('TS DTech'!$C96,AGR!$B$52:$B$73,0),MATCH('TS DTech'!$B96&amp;AP$7,AGR!$E$46:$L$46&amp;AGR!$E$48:$L$48,0)),""))</f>
        <v/>
      </c>
      <c r="AQ96" s="137">
        <f>IF(AR95=AGR!$AD$74,AQ95+1,AQ95)</f>
        <v>4</v>
      </c>
      <c r="AR96" s="137">
        <f t="shared" si="8"/>
        <v>12</v>
      </c>
    </row>
    <row r="97" spans="1:44">
      <c r="A97" s="137" t="str">
        <f ca="1">IF(LEFT(OFFSET(AGR!$A$51,AR97,0),2)="\I","*","")</f>
        <v/>
      </c>
      <c r="B97" s="212" t="str">
        <f t="shared" ca="1" si="7"/>
        <v>NCAP_TLIFE</v>
      </c>
      <c r="C97" s="212" t="str">
        <f ca="1">IF($A97="*","",OFFSET(AGR!$B$51,AR97,0))</f>
        <v>ATOGS-E</v>
      </c>
      <c r="D97" s="212" t="str">
        <f t="shared" ca="1" si="6"/>
        <v>-</v>
      </c>
      <c r="E97" s="212" t="str">
        <f t="shared" ca="1" si="6"/>
        <v>-</v>
      </c>
      <c r="F97" s="212" t="str">
        <f t="shared" ca="1" si="6"/>
        <v>-</v>
      </c>
      <c r="G97" s="212" t="str">
        <f t="shared" ca="1" si="6"/>
        <v>-</v>
      </c>
      <c r="H97" s="212" t="str">
        <f t="shared" ca="1" si="6"/>
        <v>-</v>
      </c>
      <c r="I97" s="213">
        <f t="shared" ca="1" si="6"/>
        <v>0</v>
      </c>
      <c r="J97" s="296" t="str">
        <f t="array" aca="1" ref="J97" ca="1">IF($A97="*","",IFERROR(INDEX(AGR!$E$52:$L$73,MATCH('TS DTech'!$C97,AGR!$B$52:$B$73,0),MATCH('TS DTech'!$B97&amp;J$7,AGR!$E$46:$L$46&amp;AGR!$E$48:$L$48,0)),""))</f>
        <v/>
      </c>
      <c r="K97" s="296" t="str">
        <f t="array" aca="1" ref="K97" ca="1">IF($A97="*","",IFERROR(INDEX(AGR!$E$52:$L$73,MATCH('TS DTech'!$C97,AGR!$B$52:$B$73,0),MATCH('TS DTech'!$B97&amp;K$7,AGR!$E$46:$L$46&amp;AGR!$E$48:$L$48,0)),""))</f>
        <v/>
      </c>
      <c r="L97" s="296" t="str">
        <f t="array" aca="1" ref="L97" ca="1">IF($A97="*","",IFERROR(INDEX(AGR!$E$52:$L$73,MATCH('TS DTech'!$C97,AGR!$B$52:$B$73,0),MATCH('TS DTech'!$B97&amp;L$7,AGR!$E$46:$L$46&amp;AGR!$E$48:$L$48,0)),""))</f>
        <v/>
      </c>
      <c r="M97" s="296" t="str">
        <f t="array" aca="1" ref="M97" ca="1">IF($A97="*","",IFERROR(INDEX(AGR!$E$52:$L$73,MATCH('TS DTech'!$C97,AGR!$B$52:$B$73,0),MATCH('TS DTech'!$B97&amp;M$7,AGR!$E$46:$L$46&amp;AGR!$E$48:$L$48,0)),""))</f>
        <v/>
      </c>
      <c r="N97" s="296" t="str">
        <f t="array" aca="1" ref="N97" ca="1">IF($A97="*","",IFERROR(INDEX(AGR!$E$52:$L$73,MATCH('TS DTech'!$C97,AGR!$B$52:$B$73,0),MATCH('TS DTech'!$B97&amp;N$7,AGR!$E$46:$L$46&amp;AGR!$E$48:$L$48,0)),""))</f>
        <v/>
      </c>
      <c r="O97" s="296" t="str">
        <f t="array" aca="1" ref="O97" ca="1">IF($A97="*","",IFERROR(INDEX(AGR!$E$52:$L$73,MATCH('TS DTech'!$C97,AGR!$B$52:$B$73,0),MATCH('TS DTech'!$B97&amp;O$7,AGR!$E$46:$L$46&amp;AGR!$E$48:$L$48,0)),""))</f>
        <v/>
      </c>
      <c r="P97" s="296" t="str">
        <f t="array" aca="1" ref="P97" ca="1">IF($A97="*","",IFERROR(INDEX(AGR!$E$52:$L$73,MATCH('TS DTech'!$C97,AGR!$B$52:$B$73,0),MATCH('TS DTech'!$B97&amp;P$7,AGR!$E$46:$L$46&amp;AGR!$E$48:$L$48,0)),""))</f>
        <v/>
      </c>
      <c r="Q97" s="296" t="str">
        <f t="array" aca="1" ref="Q97" ca="1">IF($A97="*","",IFERROR(INDEX(AGR!$E$52:$L$73,MATCH('TS DTech'!$C97,AGR!$B$52:$B$73,0),MATCH('TS DTech'!$B97&amp;Q$7,AGR!$E$46:$L$46&amp;AGR!$E$48:$L$48,0)),""))</f>
        <v/>
      </c>
      <c r="R97" s="296" t="str">
        <f t="array" aca="1" ref="R97" ca="1">IF($A97="*","",IFERROR(INDEX(AGR!$E$52:$L$73,MATCH('TS DTech'!$C97,AGR!$B$52:$B$73,0),MATCH('TS DTech'!$B97&amp;R$7,AGR!$E$46:$L$46&amp;AGR!$E$48:$L$48,0)),""))</f>
        <v/>
      </c>
      <c r="S97" s="296" t="str">
        <f t="array" aca="1" ref="S97" ca="1">IF($A97="*","",IFERROR(INDEX(AGR!$E$52:$L$73,MATCH('TS DTech'!$C97,AGR!$B$52:$B$73,0),MATCH('TS DTech'!$B97&amp;S$7,AGR!$E$46:$L$46&amp;AGR!$E$48:$L$48,0)),""))</f>
        <v/>
      </c>
      <c r="T97" s="296" t="str">
        <f t="array" aca="1" ref="T97" ca="1">IF($A97="*","",IFERROR(INDEX(AGR!$E$52:$L$73,MATCH('TS DTech'!$C97,AGR!$B$52:$B$73,0),MATCH('TS DTech'!$B97&amp;T$7,AGR!$E$46:$L$46&amp;AGR!$E$48:$L$48,0)),""))</f>
        <v/>
      </c>
      <c r="U97" s="296" t="str">
        <f t="array" aca="1" ref="U97" ca="1">IF($A97="*","",IFERROR(INDEX(AGR!$E$52:$L$73,MATCH('TS DTech'!$C97,AGR!$B$52:$B$73,0),MATCH('TS DTech'!$B97&amp;U$7,AGR!$E$46:$L$46&amp;AGR!$E$48:$L$48,0)),""))</f>
        <v/>
      </c>
      <c r="V97" s="296" t="str">
        <f t="array" aca="1" ref="V97" ca="1">IF($A97="*","",IFERROR(INDEX(AGR!$E$52:$L$73,MATCH('TS DTech'!$C97,AGR!$B$52:$B$73,0),MATCH('TS DTech'!$B97&amp;V$7,AGR!$E$46:$L$46&amp;AGR!$E$48:$L$48,0)),""))</f>
        <v/>
      </c>
      <c r="W97" s="296" t="str">
        <f t="array" aca="1" ref="W97" ca="1">IF($A97="*","",IFERROR(INDEX(AGR!$E$52:$L$73,MATCH('TS DTech'!$C97,AGR!$B$52:$B$73,0),MATCH('TS DTech'!$B97&amp;W$7,AGR!$E$46:$L$46&amp;AGR!$E$48:$L$48,0)),""))</f>
        <v/>
      </c>
      <c r="X97" s="296" t="str">
        <f t="array" aca="1" ref="X97" ca="1">IF($A97="*","",IFERROR(INDEX(AGR!$E$52:$L$73,MATCH('TS DTech'!$C97,AGR!$B$52:$B$73,0),MATCH('TS DTech'!$B97&amp;X$7,AGR!$E$46:$L$46&amp;AGR!$E$48:$L$48,0)),""))</f>
        <v/>
      </c>
      <c r="Y97" s="296" t="str">
        <f t="array" aca="1" ref="Y97" ca="1">IF($A97="*","",IFERROR(INDEX(AGR!$E$52:$L$73,MATCH('TS DTech'!$C97,AGR!$B$52:$B$73,0),MATCH('TS DTech'!$B97&amp;Y$7,AGR!$E$46:$L$46&amp;AGR!$E$48:$L$48,0)),""))</f>
        <v/>
      </c>
      <c r="Z97" s="296" t="str">
        <f t="array" aca="1" ref="Z97" ca="1">IF($A97="*","",IFERROR(INDEX(AGR!$E$52:$L$73,MATCH('TS DTech'!$C97,AGR!$B$52:$B$73,0),MATCH('TS DTech'!$B97&amp;Z$7,AGR!$E$46:$L$46&amp;AGR!$E$48:$L$48,0)),""))</f>
        <v/>
      </c>
      <c r="AA97" s="296" t="str">
        <f t="array" aca="1" ref="AA97" ca="1">IF($A97="*","",IFERROR(INDEX(AGR!$E$52:$L$73,MATCH('TS DTech'!$C97,AGR!$B$52:$B$73,0),MATCH('TS DTech'!$B97&amp;AA$7,AGR!$E$46:$L$46&amp;AGR!$E$48:$L$48,0)),""))</f>
        <v/>
      </c>
      <c r="AB97" s="296" t="str">
        <f t="array" aca="1" ref="AB97" ca="1">IF($A97="*","",IFERROR(INDEX(AGR!$E$52:$L$73,MATCH('TS DTech'!$C97,AGR!$B$52:$B$73,0),MATCH('TS DTech'!$B97&amp;AB$7,AGR!$E$46:$L$46&amp;AGR!$E$48:$L$48,0)),""))</f>
        <v/>
      </c>
      <c r="AC97" s="296" t="str">
        <f t="array" aca="1" ref="AC97" ca="1">IF($A97="*","",IFERROR(INDEX(AGR!$E$52:$L$73,MATCH('TS DTech'!$C97,AGR!$B$52:$B$73,0),MATCH('TS DTech'!$B97&amp;AC$7,AGR!$E$46:$L$46&amp;AGR!$E$48:$L$48,0)),""))</f>
        <v/>
      </c>
      <c r="AD97" s="296" t="str">
        <f t="array" aca="1" ref="AD97" ca="1">IF($A97="*","",IFERROR(INDEX(AGR!$E$52:$L$73,MATCH('TS DTech'!$C97,AGR!$B$52:$B$73,0),MATCH('TS DTech'!$B97&amp;AD$7,AGR!$E$46:$L$46&amp;AGR!$E$48:$L$48,0)),""))</f>
        <v/>
      </c>
      <c r="AE97" s="296" t="str">
        <f t="array" aca="1" ref="AE97" ca="1">IF($A97="*","",IFERROR(INDEX(AGR!$E$52:$L$73,MATCH('TS DTech'!$C97,AGR!$B$52:$B$73,0),MATCH('TS DTech'!$B97&amp;AE$7,AGR!$E$46:$L$46&amp;AGR!$E$48:$L$48,0)),""))</f>
        <v/>
      </c>
      <c r="AF97" s="296" t="str">
        <f t="array" aca="1" ref="AF97" ca="1">IF($A97="*","",IFERROR(INDEX(AGR!$E$52:$L$73,MATCH('TS DTech'!$C97,AGR!$B$52:$B$73,0),MATCH('TS DTech'!$B97&amp;AF$7,AGR!$E$46:$L$46&amp;AGR!$E$48:$L$48,0)),""))</f>
        <v/>
      </c>
      <c r="AG97" s="296" t="str">
        <f t="array" aca="1" ref="AG97" ca="1">IF($A97="*","",IFERROR(INDEX(AGR!$E$52:$L$73,MATCH('TS DTech'!$C97,AGR!$B$52:$B$73,0),MATCH('TS DTech'!$B97&amp;AG$7,AGR!$E$46:$L$46&amp;AGR!$E$48:$L$48,0)),""))</f>
        <v/>
      </c>
      <c r="AH97" s="296" t="str">
        <f t="array" aca="1" ref="AH97" ca="1">IF($A97="*","",IFERROR(INDEX(AGR!$E$52:$L$73,MATCH('TS DTech'!$C97,AGR!$B$52:$B$73,0),MATCH('TS DTech'!$B97&amp;AH$7,AGR!$E$46:$L$46&amp;AGR!$E$48:$L$48,0)),""))</f>
        <v/>
      </c>
      <c r="AI97" s="296" t="str">
        <f t="array" aca="1" ref="AI97" ca="1">IF($A97="*","",IFERROR(INDEX(AGR!$E$52:$L$73,MATCH('TS DTech'!$C97,AGR!$B$52:$B$73,0),MATCH('TS DTech'!$B97&amp;AI$7,AGR!$E$46:$L$46&amp;AGR!$E$48:$L$48,0)),""))</f>
        <v/>
      </c>
      <c r="AJ97" s="296" t="str">
        <f t="array" aca="1" ref="AJ97" ca="1">IF($A97="*","",IFERROR(INDEX(AGR!$E$52:$L$73,MATCH('TS DTech'!$C97,AGR!$B$52:$B$73,0),MATCH('TS DTech'!$B97&amp;AJ$7,AGR!$E$46:$L$46&amp;AGR!$E$48:$L$48,0)),""))</f>
        <v/>
      </c>
      <c r="AK97" s="296" t="str">
        <f t="array" aca="1" ref="AK97" ca="1">IF($A97="*","",IFERROR(INDEX(AGR!$E$52:$L$73,MATCH('TS DTech'!$C97,AGR!$B$52:$B$73,0),MATCH('TS DTech'!$B97&amp;AK$7,AGR!$E$46:$L$46&amp;AGR!$E$48:$L$48,0)),""))</f>
        <v/>
      </c>
      <c r="AL97" s="296" t="str">
        <f t="array" aca="1" ref="AL97" ca="1">IF($A97="*","",IFERROR(INDEX(AGR!$E$52:$L$73,MATCH('TS DTech'!$C97,AGR!$B$52:$B$73,0),MATCH('TS DTech'!$B97&amp;AL$7,AGR!$E$46:$L$46&amp;AGR!$E$48:$L$48,0)),""))</f>
        <v/>
      </c>
      <c r="AM97" s="296" t="str">
        <f t="array" aca="1" ref="AM97" ca="1">IF($A97="*","",IFERROR(INDEX(AGR!$E$52:$L$73,MATCH('TS DTech'!$C97,AGR!$B$52:$B$73,0),MATCH('TS DTech'!$B97&amp;AM$7,AGR!$E$46:$L$46&amp;AGR!$E$48:$L$48,0)),""))</f>
        <v/>
      </c>
      <c r="AN97" s="296" t="str">
        <f t="array" aca="1" ref="AN97" ca="1">IF($A97="*","",IFERROR(INDEX(AGR!$E$52:$L$73,MATCH('TS DTech'!$C97,AGR!$B$52:$B$73,0),MATCH('TS DTech'!$B97&amp;AN$7,AGR!$E$46:$L$46&amp;AGR!$E$48:$L$48,0)),""))</f>
        <v/>
      </c>
      <c r="AO97" s="296" t="str">
        <f t="array" aca="1" ref="AO97" ca="1">IF($A97="*","",IFERROR(INDEX(AGR!$E$52:$L$73,MATCH('TS DTech'!$C97,AGR!$B$52:$B$73,0),MATCH('TS DTech'!$B97&amp;AO$7,AGR!$E$46:$L$46&amp;AGR!$E$48:$L$48,0)),""))</f>
        <v/>
      </c>
      <c r="AP97" s="296" t="str">
        <f t="array" aca="1" ref="AP97" ca="1">IF($A97="*","",IFERROR(INDEX(AGR!$E$52:$L$73,MATCH('TS DTech'!$C97,AGR!$B$52:$B$73,0),MATCH('TS DTech'!$B97&amp;AP$7,AGR!$E$46:$L$46&amp;AGR!$E$48:$L$48,0)),""))</f>
        <v/>
      </c>
      <c r="AQ97" s="137">
        <f>IF(AR96=AGR!$AD$74,AQ96+1,AQ96)</f>
        <v>4</v>
      </c>
      <c r="AR97" s="137">
        <f t="shared" si="8"/>
        <v>13</v>
      </c>
    </row>
    <row r="98" spans="1:44">
      <c r="A98" s="137" t="str">
        <f ca="1">IF(LEFT(OFFSET(AGR!$A$51,AR98,0),2)="\I","*","")</f>
        <v>*</v>
      </c>
      <c r="B98" s="212" t="str">
        <f t="shared" ca="1" si="7"/>
        <v/>
      </c>
      <c r="C98" s="212" t="str">
        <f ca="1">IF($A98="*","",OFFSET(AGR!$B$51,AR98,0))</f>
        <v/>
      </c>
      <c r="D98" s="212" t="str">
        <f t="shared" ca="1" si="6"/>
        <v/>
      </c>
      <c r="E98" s="212" t="str">
        <f t="shared" ca="1" si="6"/>
        <v/>
      </c>
      <c r="F98" s="212" t="str">
        <f t="shared" ca="1" si="6"/>
        <v/>
      </c>
      <c r="G98" s="212" t="str">
        <f t="shared" ca="1" si="6"/>
        <v/>
      </c>
      <c r="H98" s="212" t="str">
        <f t="shared" ca="1" si="6"/>
        <v/>
      </c>
      <c r="I98" s="213" t="str">
        <f t="shared" ca="1" si="6"/>
        <v/>
      </c>
      <c r="J98" s="296" t="str">
        <f t="array" aca="1" ref="J98" ca="1">IF($A98="*","",IFERROR(INDEX(AGR!$E$52:$L$73,MATCH('TS DTech'!$C98,AGR!$B$52:$B$73,0),MATCH('TS DTech'!$B98&amp;J$7,AGR!$E$46:$L$46&amp;AGR!$E$48:$L$48,0)),""))</f>
        <v/>
      </c>
      <c r="K98" s="296" t="str">
        <f t="array" aca="1" ref="K98" ca="1">IF($A98="*","",IFERROR(INDEX(AGR!$E$52:$L$73,MATCH('TS DTech'!$C98,AGR!$B$52:$B$73,0),MATCH('TS DTech'!$B98&amp;K$7,AGR!$E$46:$L$46&amp;AGR!$E$48:$L$48,0)),""))</f>
        <v/>
      </c>
      <c r="L98" s="296" t="str">
        <f t="array" aca="1" ref="L98" ca="1">IF($A98="*","",IFERROR(INDEX(AGR!$E$52:$L$73,MATCH('TS DTech'!$C98,AGR!$B$52:$B$73,0),MATCH('TS DTech'!$B98&amp;L$7,AGR!$E$46:$L$46&amp;AGR!$E$48:$L$48,0)),""))</f>
        <v/>
      </c>
      <c r="M98" s="296" t="str">
        <f t="array" aca="1" ref="M98" ca="1">IF($A98="*","",IFERROR(INDEX(AGR!$E$52:$L$73,MATCH('TS DTech'!$C98,AGR!$B$52:$B$73,0),MATCH('TS DTech'!$B98&amp;M$7,AGR!$E$46:$L$46&amp;AGR!$E$48:$L$48,0)),""))</f>
        <v/>
      </c>
      <c r="N98" s="296" t="str">
        <f t="array" aca="1" ref="N98" ca="1">IF($A98="*","",IFERROR(INDEX(AGR!$E$52:$L$73,MATCH('TS DTech'!$C98,AGR!$B$52:$B$73,0),MATCH('TS DTech'!$B98&amp;N$7,AGR!$E$46:$L$46&amp;AGR!$E$48:$L$48,0)),""))</f>
        <v/>
      </c>
      <c r="O98" s="296" t="str">
        <f t="array" aca="1" ref="O98" ca="1">IF($A98="*","",IFERROR(INDEX(AGR!$E$52:$L$73,MATCH('TS DTech'!$C98,AGR!$B$52:$B$73,0),MATCH('TS DTech'!$B98&amp;O$7,AGR!$E$46:$L$46&amp;AGR!$E$48:$L$48,0)),""))</f>
        <v/>
      </c>
      <c r="P98" s="296" t="str">
        <f t="array" aca="1" ref="P98" ca="1">IF($A98="*","",IFERROR(INDEX(AGR!$E$52:$L$73,MATCH('TS DTech'!$C98,AGR!$B$52:$B$73,0),MATCH('TS DTech'!$B98&amp;P$7,AGR!$E$46:$L$46&amp;AGR!$E$48:$L$48,0)),""))</f>
        <v/>
      </c>
      <c r="Q98" s="296" t="str">
        <f t="array" aca="1" ref="Q98" ca="1">IF($A98="*","",IFERROR(INDEX(AGR!$E$52:$L$73,MATCH('TS DTech'!$C98,AGR!$B$52:$B$73,0),MATCH('TS DTech'!$B98&amp;Q$7,AGR!$E$46:$L$46&amp;AGR!$E$48:$L$48,0)),""))</f>
        <v/>
      </c>
      <c r="R98" s="296" t="str">
        <f t="array" aca="1" ref="R98" ca="1">IF($A98="*","",IFERROR(INDEX(AGR!$E$52:$L$73,MATCH('TS DTech'!$C98,AGR!$B$52:$B$73,0),MATCH('TS DTech'!$B98&amp;R$7,AGR!$E$46:$L$46&amp;AGR!$E$48:$L$48,0)),""))</f>
        <v/>
      </c>
      <c r="S98" s="296" t="str">
        <f t="array" aca="1" ref="S98" ca="1">IF($A98="*","",IFERROR(INDEX(AGR!$E$52:$L$73,MATCH('TS DTech'!$C98,AGR!$B$52:$B$73,0),MATCH('TS DTech'!$B98&amp;S$7,AGR!$E$46:$L$46&amp;AGR!$E$48:$L$48,0)),""))</f>
        <v/>
      </c>
      <c r="T98" s="296" t="str">
        <f t="array" aca="1" ref="T98" ca="1">IF($A98="*","",IFERROR(INDEX(AGR!$E$52:$L$73,MATCH('TS DTech'!$C98,AGR!$B$52:$B$73,0),MATCH('TS DTech'!$B98&amp;T$7,AGR!$E$46:$L$46&amp;AGR!$E$48:$L$48,0)),""))</f>
        <v/>
      </c>
      <c r="U98" s="296" t="str">
        <f t="array" aca="1" ref="U98" ca="1">IF($A98="*","",IFERROR(INDEX(AGR!$E$52:$L$73,MATCH('TS DTech'!$C98,AGR!$B$52:$B$73,0),MATCH('TS DTech'!$B98&amp;U$7,AGR!$E$46:$L$46&amp;AGR!$E$48:$L$48,0)),""))</f>
        <v/>
      </c>
      <c r="V98" s="296" t="str">
        <f t="array" aca="1" ref="V98" ca="1">IF($A98="*","",IFERROR(INDEX(AGR!$E$52:$L$73,MATCH('TS DTech'!$C98,AGR!$B$52:$B$73,0),MATCH('TS DTech'!$B98&amp;V$7,AGR!$E$46:$L$46&amp;AGR!$E$48:$L$48,0)),""))</f>
        <v/>
      </c>
      <c r="W98" s="296" t="str">
        <f t="array" aca="1" ref="W98" ca="1">IF($A98="*","",IFERROR(INDEX(AGR!$E$52:$L$73,MATCH('TS DTech'!$C98,AGR!$B$52:$B$73,0),MATCH('TS DTech'!$B98&amp;W$7,AGR!$E$46:$L$46&amp;AGR!$E$48:$L$48,0)),""))</f>
        <v/>
      </c>
      <c r="X98" s="296" t="str">
        <f t="array" aca="1" ref="X98" ca="1">IF($A98="*","",IFERROR(INDEX(AGR!$E$52:$L$73,MATCH('TS DTech'!$C98,AGR!$B$52:$B$73,0),MATCH('TS DTech'!$B98&amp;X$7,AGR!$E$46:$L$46&amp;AGR!$E$48:$L$48,0)),""))</f>
        <v/>
      </c>
      <c r="Y98" s="296" t="str">
        <f t="array" aca="1" ref="Y98" ca="1">IF($A98="*","",IFERROR(INDEX(AGR!$E$52:$L$73,MATCH('TS DTech'!$C98,AGR!$B$52:$B$73,0),MATCH('TS DTech'!$B98&amp;Y$7,AGR!$E$46:$L$46&amp;AGR!$E$48:$L$48,0)),""))</f>
        <v/>
      </c>
      <c r="Z98" s="296" t="str">
        <f t="array" aca="1" ref="Z98" ca="1">IF($A98="*","",IFERROR(INDEX(AGR!$E$52:$L$73,MATCH('TS DTech'!$C98,AGR!$B$52:$B$73,0),MATCH('TS DTech'!$B98&amp;Z$7,AGR!$E$46:$L$46&amp;AGR!$E$48:$L$48,0)),""))</f>
        <v/>
      </c>
      <c r="AA98" s="296" t="str">
        <f t="array" aca="1" ref="AA98" ca="1">IF($A98="*","",IFERROR(INDEX(AGR!$E$52:$L$73,MATCH('TS DTech'!$C98,AGR!$B$52:$B$73,0),MATCH('TS DTech'!$B98&amp;AA$7,AGR!$E$46:$L$46&amp;AGR!$E$48:$L$48,0)),""))</f>
        <v/>
      </c>
      <c r="AB98" s="296" t="str">
        <f t="array" aca="1" ref="AB98" ca="1">IF($A98="*","",IFERROR(INDEX(AGR!$E$52:$L$73,MATCH('TS DTech'!$C98,AGR!$B$52:$B$73,0),MATCH('TS DTech'!$B98&amp;AB$7,AGR!$E$46:$L$46&amp;AGR!$E$48:$L$48,0)),""))</f>
        <v/>
      </c>
      <c r="AC98" s="296" t="str">
        <f t="array" aca="1" ref="AC98" ca="1">IF($A98="*","",IFERROR(INDEX(AGR!$E$52:$L$73,MATCH('TS DTech'!$C98,AGR!$B$52:$B$73,0),MATCH('TS DTech'!$B98&amp;AC$7,AGR!$E$46:$L$46&amp;AGR!$E$48:$L$48,0)),""))</f>
        <v/>
      </c>
      <c r="AD98" s="296" t="str">
        <f t="array" aca="1" ref="AD98" ca="1">IF($A98="*","",IFERROR(INDEX(AGR!$E$52:$L$73,MATCH('TS DTech'!$C98,AGR!$B$52:$B$73,0),MATCH('TS DTech'!$B98&amp;AD$7,AGR!$E$46:$L$46&amp;AGR!$E$48:$L$48,0)),""))</f>
        <v/>
      </c>
      <c r="AE98" s="296" t="str">
        <f t="array" aca="1" ref="AE98" ca="1">IF($A98="*","",IFERROR(INDEX(AGR!$E$52:$L$73,MATCH('TS DTech'!$C98,AGR!$B$52:$B$73,0),MATCH('TS DTech'!$B98&amp;AE$7,AGR!$E$46:$L$46&amp;AGR!$E$48:$L$48,0)),""))</f>
        <v/>
      </c>
      <c r="AF98" s="296" t="str">
        <f t="array" aca="1" ref="AF98" ca="1">IF($A98="*","",IFERROR(INDEX(AGR!$E$52:$L$73,MATCH('TS DTech'!$C98,AGR!$B$52:$B$73,0),MATCH('TS DTech'!$B98&amp;AF$7,AGR!$E$46:$L$46&amp;AGR!$E$48:$L$48,0)),""))</f>
        <v/>
      </c>
      <c r="AG98" s="296" t="str">
        <f t="array" aca="1" ref="AG98" ca="1">IF($A98="*","",IFERROR(INDEX(AGR!$E$52:$L$73,MATCH('TS DTech'!$C98,AGR!$B$52:$B$73,0),MATCH('TS DTech'!$B98&amp;AG$7,AGR!$E$46:$L$46&amp;AGR!$E$48:$L$48,0)),""))</f>
        <v/>
      </c>
      <c r="AH98" s="296" t="str">
        <f t="array" aca="1" ref="AH98" ca="1">IF($A98="*","",IFERROR(INDEX(AGR!$E$52:$L$73,MATCH('TS DTech'!$C98,AGR!$B$52:$B$73,0),MATCH('TS DTech'!$B98&amp;AH$7,AGR!$E$46:$L$46&amp;AGR!$E$48:$L$48,0)),""))</f>
        <v/>
      </c>
      <c r="AI98" s="296" t="str">
        <f t="array" aca="1" ref="AI98" ca="1">IF($A98="*","",IFERROR(INDEX(AGR!$E$52:$L$73,MATCH('TS DTech'!$C98,AGR!$B$52:$B$73,0),MATCH('TS DTech'!$B98&amp;AI$7,AGR!$E$46:$L$46&amp;AGR!$E$48:$L$48,0)),""))</f>
        <v/>
      </c>
      <c r="AJ98" s="296" t="str">
        <f t="array" aca="1" ref="AJ98" ca="1">IF($A98="*","",IFERROR(INDEX(AGR!$E$52:$L$73,MATCH('TS DTech'!$C98,AGR!$B$52:$B$73,0),MATCH('TS DTech'!$B98&amp;AJ$7,AGR!$E$46:$L$46&amp;AGR!$E$48:$L$48,0)),""))</f>
        <v/>
      </c>
      <c r="AK98" s="296" t="str">
        <f t="array" aca="1" ref="AK98" ca="1">IF($A98="*","",IFERROR(INDEX(AGR!$E$52:$L$73,MATCH('TS DTech'!$C98,AGR!$B$52:$B$73,0),MATCH('TS DTech'!$B98&amp;AK$7,AGR!$E$46:$L$46&amp;AGR!$E$48:$L$48,0)),""))</f>
        <v/>
      </c>
      <c r="AL98" s="296" t="str">
        <f t="array" aca="1" ref="AL98" ca="1">IF($A98="*","",IFERROR(INDEX(AGR!$E$52:$L$73,MATCH('TS DTech'!$C98,AGR!$B$52:$B$73,0),MATCH('TS DTech'!$B98&amp;AL$7,AGR!$E$46:$L$46&amp;AGR!$E$48:$L$48,0)),""))</f>
        <v/>
      </c>
      <c r="AM98" s="296" t="str">
        <f t="array" aca="1" ref="AM98" ca="1">IF($A98="*","",IFERROR(INDEX(AGR!$E$52:$L$73,MATCH('TS DTech'!$C98,AGR!$B$52:$B$73,0),MATCH('TS DTech'!$B98&amp;AM$7,AGR!$E$46:$L$46&amp;AGR!$E$48:$L$48,0)),""))</f>
        <v/>
      </c>
      <c r="AN98" s="296" t="str">
        <f t="array" aca="1" ref="AN98" ca="1">IF($A98="*","",IFERROR(INDEX(AGR!$E$52:$L$73,MATCH('TS DTech'!$C98,AGR!$B$52:$B$73,0),MATCH('TS DTech'!$B98&amp;AN$7,AGR!$E$46:$L$46&amp;AGR!$E$48:$L$48,0)),""))</f>
        <v/>
      </c>
      <c r="AO98" s="296" t="str">
        <f t="array" aca="1" ref="AO98" ca="1">IF($A98="*","",IFERROR(INDEX(AGR!$E$52:$L$73,MATCH('TS DTech'!$C98,AGR!$B$52:$B$73,0),MATCH('TS DTech'!$B98&amp;AO$7,AGR!$E$46:$L$46&amp;AGR!$E$48:$L$48,0)),""))</f>
        <v/>
      </c>
      <c r="AP98" s="296" t="str">
        <f t="array" aca="1" ref="AP98" ca="1">IF($A98="*","",IFERROR(INDEX(AGR!$E$52:$L$73,MATCH('TS DTech'!$C98,AGR!$B$52:$B$73,0),MATCH('TS DTech'!$B98&amp;AP$7,AGR!$E$46:$L$46&amp;AGR!$E$48:$L$48,0)),""))</f>
        <v/>
      </c>
      <c r="AQ98" s="137">
        <f>IF(AR97=AGR!$AD$74,AQ97+1,AQ97)</f>
        <v>4</v>
      </c>
      <c r="AR98" s="137">
        <f t="shared" si="8"/>
        <v>14</v>
      </c>
    </row>
    <row r="99" spans="1:44">
      <c r="A99" s="137" t="str">
        <f ca="1">IF(LEFT(OFFSET(AGR!$A$51,AR99,0),2)="\I","*","")</f>
        <v>*</v>
      </c>
      <c r="B99" s="212" t="str">
        <f t="shared" ca="1" si="7"/>
        <v/>
      </c>
      <c r="C99" s="212" t="str">
        <f ca="1">IF($A99="*","",OFFSET(AGR!$B$51,AR99,0))</f>
        <v/>
      </c>
      <c r="D99" s="212" t="str">
        <f t="shared" ca="1" si="6"/>
        <v/>
      </c>
      <c r="E99" s="212" t="str">
        <f t="shared" ca="1" si="6"/>
        <v/>
      </c>
      <c r="F99" s="212" t="str">
        <f t="shared" ca="1" si="6"/>
        <v/>
      </c>
      <c r="G99" s="212" t="str">
        <f t="shared" ca="1" si="6"/>
        <v/>
      </c>
      <c r="H99" s="212" t="str">
        <f t="shared" ca="1" si="6"/>
        <v/>
      </c>
      <c r="I99" s="213" t="str">
        <f t="shared" ca="1" si="6"/>
        <v/>
      </c>
      <c r="J99" s="296" t="str">
        <f t="array" aca="1" ref="J99" ca="1">IF($A99="*","",IFERROR(INDEX(AGR!$E$52:$L$73,MATCH('TS DTech'!$C99,AGR!$B$52:$B$73,0),MATCH('TS DTech'!$B99&amp;J$7,AGR!$E$46:$L$46&amp;AGR!$E$48:$L$48,0)),""))</f>
        <v/>
      </c>
      <c r="K99" s="296" t="str">
        <f t="array" aca="1" ref="K99" ca="1">IF($A99="*","",IFERROR(INDEX(AGR!$E$52:$L$73,MATCH('TS DTech'!$C99,AGR!$B$52:$B$73,0),MATCH('TS DTech'!$B99&amp;K$7,AGR!$E$46:$L$46&amp;AGR!$E$48:$L$48,0)),""))</f>
        <v/>
      </c>
      <c r="L99" s="296" t="str">
        <f t="array" aca="1" ref="L99" ca="1">IF($A99="*","",IFERROR(INDEX(AGR!$E$52:$L$73,MATCH('TS DTech'!$C99,AGR!$B$52:$B$73,0),MATCH('TS DTech'!$B99&amp;L$7,AGR!$E$46:$L$46&amp;AGR!$E$48:$L$48,0)),""))</f>
        <v/>
      </c>
      <c r="M99" s="296" t="str">
        <f t="array" aca="1" ref="M99" ca="1">IF($A99="*","",IFERROR(INDEX(AGR!$E$52:$L$73,MATCH('TS DTech'!$C99,AGR!$B$52:$B$73,0),MATCH('TS DTech'!$B99&amp;M$7,AGR!$E$46:$L$46&amp;AGR!$E$48:$L$48,0)),""))</f>
        <v/>
      </c>
      <c r="N99" s="296" t="str">
        <f t="array" aca="1" ref="N99" ca="1">IF($A99="*","",IFERROR(INDEX(AGR!$E$52:$L$73,MATCH('TS DTech'!$C99,AGR!$B$52:$B$73,0),MATCH('TS DTech'!$B99&amp;N$7,AGR!$E$46:$L$46&amp;AGR!$E$48:$L$48,0)),""))</f>
        <v/>
      </c>
      <c r="O99" s="296" t="str">
        <f t="array" aca="1" ref="O99" ca="1">IF($A99="*","",IFERROR(INDEX(AGR!$E$52:$L$73,MATCH('TS DTech'!$C99,AGR!$B$52:$B$73,0),MATCH('TS DTech'!$B99&amp;O$7,AGR!$E$46:$L$46&amp;AGR!$E$48:$L$48,0)),""))</f>
        <v/>
      </c>
      <c r="P99" s="296" t="str">
        <f t="array" aca="1" ref="P99" ca="1">IF($A99="*","",IFERROR(INDEX(AGR!$E$52:$L$73,MATCH('TS DTech'!$C99,AGR!$B$52:$B$73,0),MATCH('TS DTech'!$B99&amp;P$7,AGR!$E$46:$L$46&amp;AGR!$E$48:$L$48,0)),""))</f>
        <v/>
      </c>
      <c r="Q99" s="296" t="str">
        <f t="array" aca="1" ref="Q99" ca="1">IF($A99="*","",IFERROR(INDEX(AGR!$E$52:$L$73,MATCH('TS DTech'!$C99,AGR!$B$52:$B$73,0),MATCH('TS DTech'!$B99&amp;Q$7,AGR!$E$46:$L$46&amp;AGR!$E$48:$L$48,0)),""))</f>
        <v/>
      </c>
      <c r="R99" s="296" t="str">
        <f t="array" aca="1" ref="R99" ca="1">IF($A99="*","",IFERROR(INDEX(AGR!$E$52:$L$73,MATCH('TS DTech'!$C99,AGR!$B$52:$B$73,0),MATCH('TS DTech'!$B99&amp;R$7,AGR!$E$46:$L$46&amp;AGR!$E$48:$L$48,0)),""))</f>
        <v/>
      </c>
      <c r="S99" s="296" t="str">
        <f t="array" aca="1" ref="S99" ca="1">IF($A99="*","",IFERROR(INDEX(AGR!$E$52:$L$73,MATCH('TS DTech'!$C99,AGR!$B$52:$B$73,0),MATCH('TS DTech'!$B99&amp;S$7,AGR!$E$46:$L$46&amp;AGR!$E$48:$L$48,0)),""))</f>
        <v/>
      </c>
      <c r="T99" s="296" t="str">
        <f t="array" aca="1" ref="T99" ca="1">IF($A99="*","",IFERROR(INDEX(AGR!$E$52:$L$73,MATCH('TS DTech'!$C99,AGR!$B$52:$B$73,0),MATCH('TS DTech'!$B99&amp;T$7,AGR!$E$46:$L$46&amp;AGR!$E$48:$L$48,0)),""))</f>
        <v/>
      </c>
      <c r="U99" s="296" t="str">
        <f t="array" aca="1" ref="U99" ca="1">IF($A99="*","",IFERROR(INDEX(AGR!$E$52:$L$73,MATCH('TS DTech'!$C99,AGR!$B$52:$B$73,0),MATCH('TS DTech'!$B99&amp;U$7,AGR!$E$46:$L$46&amp;AGR!$E$48:$L$48,0)),""))</f>
        <v/>
      </c>
      <c r="V99" s="296" t="str">
        <f t="array" aca="1" ref="V99" ca="1">IF($A99="*","",IFERROR(INDEX(AGR!$E$52:$L$73,MATCH('TS DTech'!$C99,AGR!$B$52:$B$73,0),MATCH('TS DTech'!$B99&amp;V$7,AGR!$E$46:$L$46&amp;AGR!$E$48:$L$48,0)),""))</f>
        <v/>
      </c>
      <c r="W99" s="296" t="str">
        <f t="array" aca="1" ref="W99" ca="1">IF($A99="*","",IFERROR(INDEX(AGR!$E$52:$L$73,MATCH('TS DTech'!$C99,AGR!$B$52:$B$73,0),MATCH('TS DTech'!$B99&amp;W$7,AGR!$E$46:$L$46&amp;AGR!$E$48:$L$48,0)),""))</f>
        <v/>
      </c>
      <c r="X99" s="296" t="str">
        <f t="array" aca="1" ref="X99" ca="1">IF($A99="*","",IFERROR(INDEX(AGR!$E$52:$L$73,MATCH('TS DTech'!$C99,AGR!$B$52:$B$73,0),MATCH('TS DTech'!$B99&amp;X$7,AGR!$E$46:$L$46&amp;AGR!$E$48:$L$48,0)),""))</f>
        <v/>
      </c>
      <c r="Y99" s="296" t="str">
        <f t="array" aca="1" ref="Y99" ca="1">IF($A99="*","",IFERROR(INDEX(AGR!$E$52:$L$73,MATCH('TS DTech'!$C99,AGR!$B$52:$B$73,0),MATCH('TS DTech'!$B99&amp;Y$7,AGR!$E$46:$L$46&amp;AGR!$E$48:$L$48,0)),""))</f>
        <v/>
      </c>
      <c r="Z99" s="296" t="str">
        <f t="array" aca="1" ref="Z99" ca="1">IF($A99="*","",IFERROR(INDEX(AGR!$E$52:$L$73,MATCH('TS DTech'!$C99,AGR!$B$52:$B$73,0),MATCH('TS DTech'!$B99&amp;Z$7,AGR!$E$46:$L$46&amp;AGR!$E$48:$L$48,0)),""))</f>
        <v/>
      </c>
      <c r="AA99" s="296" t="str">
        <f t="array" aca="1" ref="AA99" ca="1">IF($A99="*","",IFERROR(INDEX(AGR!$E$52:$L$73,MATCH('TS DTech'!$C99,AGR!$B$52:$B$73,0),MATCH('TS DTech'!$B99&amp;AA$7,AGR!$E$46:$L$46&amp;AGR!$E$48:$L$48,0)),""))</f>
        <v/>
      </c>
      <c r="AB99" s="296" t="str">
        <f t="array" aca="1" ref="AB99" ca="1">IF($A99="*","",IFERROR(INDEX(AGR!$E$52:$L$73,MATCH('TS DTech'!$C99,AGR!$B$52:$B$73,0),MATCH('TS DTech'!$B99&amp;AB$7,AGR!$E$46:$L$46&amp;AGR!$E$48:$L$48,0)),""))</f>
        <v/>
      </c>
      <c r="AC99" s="296" t="str">
        <f t="array" aca="1" ref="AC99" ca="1">IF($A99="*","",IFERROR(INDEX(AGR!$E$52:$L$73,MATCH('TS DTech'!$C99,AGR!$B$52:$B$73,0),MATCH('TS DTech'!$B99&amp;AC$7,AGR!$E$46:$L$46&amp;AGR!$E$48:$L$48,0)),""))</f>
        <v/>
      </c>
      <c r="AD99" s="296" t="str">
        <f t="array" aca="1" ref="AD99" ca="1">IF($A99="*","",IFERROR(INDEX(AGR!$E$52:$L$73,MATCH('TS DTech'!$C99,AGR!$B$52:$B$73,0),MATCH('TS DTech'!$B99&amp;AD$7,AGR!$E$46:$L$46&amp;AGR!$E$48:$L$48,0)),""))</f>
        <v/>
      </c>
      <c r="AE99" s="296" t="str">
        <f t="array" aca="1" ref="AE99" ca="1">IF($A99="*","",IFERROR(INDEX(AGR!$E$52:$L$73,MATCH('TS DTech'!$C99,AGR!$B$52:$B$73,0),MATCH('TS DTech'!$B99&amp;AE$7,AGR!$E$46:$L$46&amp;AGR!$E$48:$L$48,0)),""))</f>
        <v/>
      </c>
      <c r="AF99" s="296" t="str">
        <f t="array" aca="1" ref="AF99" ca="1">IF($A99="*","",IFERROR(INDEX(AGR!$E$52:$L$73,MATCH('TS DTech'!$C99,AGR!$B$52:$B$73,0),MATCH('TS DTech'!$B99&amp;AF$7,AGR!$E$46:$L$46&amp;AGR!$E$48:$L$48,0)),""))</f>
        <v/>
      </c>
      <c r="AG99" s="296" t="str">
        <f t="array" aca="1" ref="AG99" ca="1">IF($A99="*","",IFERROR(INDEX(AGR!$E$52:$L$73,MATCH('TS DTech'!$C99,AGR!$B$52:$B$73,0),MATCH('TS DTech'!$B99&amp;AG$7,AGR!$E$46:$L$46&amp;AGR!$E$48:$L$48,0)),""))</f>
        <v/>
      </c>
      <c r="AH99" s="296" t="str">
        <f t="array" aca="1" ref="AH99" ca="1">IF($A99="*","",IFERROR(INDEX(AGR!$E$52:$L$73,MATCH('TS DTech'!$C99,AGR!$B$52:$B$73,0),MATCH('TS DTech'!$B99&amp;AH$7,AGR!$E$46:$L$46&amp;AGR!$E$48:$L$48,0)),""))</f>
        <v/>
      </c>
      <c r="AI99" s="296" t="str">
        <f t="array" aca="1" ref="AI99" ca="1">IF($A99="*","",IFERROR(INDEX(AGR!$E$52:$L$73,MATCH('TS DTech'!$C99,AGR!$B$52:$B$73,0),MATCH('TS DTech'!$B99&amp;AI$7,AGR!$E$46:$L$46&amp;AGR!$E$48:$L$48,0)),""))</f>
        <v/>
      </c>
      <c r="AJ99" s="296" t="str">
        <f t="array" aca="1" ref="AJ99" ca="1">IF($A99="*","",IFERROR(INDEX(AGR!$E$52:$L$73,MATCH('TS DTech'!$C99,AGR!$B$52:$B$73,0),MATCH('TS DTech'!$B99&amp;AJ$7,AGR!$E$46:$L$46&amp;AGR!$E$48:$L$48,0)),""))</f>
        <v/>
      </c>
      <c r="AK99" s="296" t="str">
        <f t="array" aca="1" ref="AK99" ca="1">IF($A99="*","",IFERROR(INDEX(AGR!$E$52:$L$73,MATCH('TS DTech'!$C99,AGR!$B$52:$B$73,0),MATCH('TS DTech'!$B99&amp;AK$7,AGR!$E$46:$L$46&amp;AGR!$E$48:$L$48,0)),""))</f>
        <v/>
      </c>
      <c r="AL99" s="296" t="str">
        <f t="array" aca="1" ref="AL99" ca="1">IF($A99="*","",IFERROR(INDEX(AGR!$E$52:$L$73,MATCH('TS DTech'!$C99,AGR!$B$52:$B$73,0),MATCH('TS DTech'!$B99&amp;AL$7,AGR!$E$46:$L$46&amp;AGR!$E$48:$L$48,0)),""))</f>
        <v/>
      </c>
      <c r="AM99" s="296" t="str">
        <f t="array" aca="1" ref="AM99" ca="1">IF($A99="*","",IFERROR(INDEX(AGR!$E$52:$L$73,MATCH('TS DTech'!$C99,AGR!$B$52:$B$73,0),MATCH('TS DTech'!$B99&amp;AM$7,AGR!$E$46:$L$46&amp;AGR!$E$48:$L$48,0)),""))</f>
        <v/>
      </c>
      <c r="AN99" s="296" t="str">
        <f t="array" aca="1" ref="AN99" ca="1">IF($A99="*","",IFERROR(INDEX(AGR!$E$52:$L$73,MATCH('TS DTech'!$C99,AGR!$B$52:$B$73,0),MATCH('TS DTech'!$B99&amp;AN$7,AGR!$E$46:$L$46&amp;AGR!$E$48:$L$48,0)),""))</f>
        <v/>
      </c>
      <c r="AO99" s="296" t="str">
        <f t="array" aca="1" ref="AO99" ca="1">IF($A99="*","",IFERROR(INDEX(AGR!$E$52:$L$73,MATCH('TS DTech'!$C99,AGR!$B$52:$B$73,0),MATCH('TS DTech'!$B99&amp;AO$7,AGR!$E$46:$L$46&amp;AGR!$E$48:$L$48,0)),""))</f>
        <v/>
      </c>
      <c r="AP99" s="296" t="str">
        <f t="array" aca="1" ref="AP99" ca="1">IF($A99="*","",IFERROR(INDEX(AGR!$E$52:$L$73,MATCH('TS DTech'!$C99,AGR!$B$52:$B$73,0),MATCH('TS DTech'!$B99&amp;AP$7,AGR!$E$46:$L$46&amp;AGR!$E$48:$L$48,0)),""))</f>
        <v/>
      </c>
      <c r="AQ99" s="137">
        <f>IF(AR98=AGR!$AD$74,AQ98+1,AQ98)</f>
        <v>4</v>
      </c>
      <c r="AR99" s="137">
        <f t="shared" si="8"/>
        <v>15</v>
      </c>
    </row>
    <row r="100" spans="1:44">
      <c r="A100" s="137" t="str">
        <f ca="1">IF(LEFT(OFFSET(AGR!$A$51,AR100,0),2)="\I","*","")</f>
        <v/>
      </c>
      <c r="B100" s="212" t="str">
        <f t="shared" ca="1" si="7"/>
        <v>NCAP_TLIFE</v>
      </c>
      <c r="C100" s="212" t="str">
        <f ca="1">IF($A100="*","",OFFSET(AGR!$B$51,AR100,0))</f>
        <v>AIODS-E</v>
      </c>
      <c r="D100" s="212" t="str">
        <f t="shared" ref="D100:I115" ca="1" si="9">IF($A100="*","",VLOOKUP($B100,$B$10:$I$14,D$9,FALSE))</f>
        <v>-</v>
      </c>
      <c r="E100" s="212" t="str">
        <f t="shared" ca="1" si="9"/>
        <v>-</v>
      </c>
      <c r="F100" s="212" t="str">
        <f t="shared" ca="1" si="9"/>
        <v>-</v>
      </c>
      <c r="G100" s="212" t="str">
        <f t="shared" ca="1" si="9"/>
        <v>-</v>
      </c>
      <c r="H100" s="212" t="str">
        <f t="shared" ca="1" si="9"/>
        <v>-</v>
      </c>
      <c r="I100" s="213">
        <f t="shared" ca="1" si="9"/>
        <v>0</v>
      </c>
      <c r="J100" s="296" t="str">
        <f t="array" aca="1" ref="J100" ca="1">IF($A100="*","",IFERROR(INDEX(AGR!$E$52:$L$73,MATCH('TS DTech'!$C100,AGR!$B$52:$B$73,0),MATCH('TS DTech'!$B100&amp;J$7,AGR!$E$46:$L$46&amp;AGR!$E$48:$L$48,0)),""))</f>
        <v/>
      </c>
      <c r="K100" s="296" t="str">
        <f t="array" aca="1" ref="K100" ca="1">IF($A100="*","",IFERROR(INDEX(AGR!$E$52:$L$73,MATCH('TS DTech'!$C100,AGR!$B$52:$B$73,0),MATCH('TS DTech'!$B100&amp;K$7,AGR!$E$46:$L$46&amp;AGR!$E$48:$L$48,0)),""))</f>
        <v/>
      </c>
      <c r="L100" s="296" t="str">
        <f t="array" aca="1" ref="L100" ca="1">IF($A100="*","",IFERROR(INDEX(AGR!$E$52:$L$73,MATCH('TS DTech'!$C100,AGR!$B$52:$B$73,0),MATCH('TS DTech'!$B100&amp;L$7,AGR!$E$46:$L$46&amp;AGR!$E$48:$L$48,0)),""))</f>
        <v/>
      </c>
      <c r="M100" s="296" t="str">
        <f t="array" aca="1" ref="M100" ca="1">IF($A100="*","",IFERROR(INDEX(AGR!$E$52:$L$73,MATCH('TS DTech'!$C100,AGR!$B$52:$B$73,0),MATCH('TS DTech'!$B100&amp;M$7,AGR!$E$46:$L$46&amp;AGR!$E$48:$L$48,0)),""))</f>
        <v/>
      </c>
      <c r="N100" s="296" t="str">
        <f t="array" aca="1" ref="N100" ca="1">IF($A100="*","",IFERROR(INDEX(AGR!$E$52:$L$73,MATCH('TS DTech'!$C100,AGR!$B$52:$B$73,0),MATCH('TS DTech'!$B100&amp;N$7,AGR!$E$46:$L$46&amp;AGR!$E$48:$L$48,0)),""))</f>
        <v/>
      </c>
      <c r="O100" s="296" t="str">
        <f t="array" aca="1" ref="O100" ca="1">IF($A100="*","",IFERROR(INDEX(AGR!$E$52:$L$73,MATCH('TS DTech'!$C100,AGR!$B$52:$B$73,0),MATCH('TS DTech'!$B100&amp;O$7,AGR!$E$46:$L$46&amp;AGR!$E$48:$L$48,0)),""))</f>
        <v/>
      </c>
      <c r="P100" s="296" t="str">
        <f t="array" aca="1" ref="P100" ca="1">IF($A100="*","",IFERROR(INDEX(AGR!$E$52:$L$73,MATCH('TS DTech'!$C100,AGR!$B$52:$B$73,0),MATCH('TS DTech'!$B100&amp;P$7,AGR!$E$46:$L$46&amp;AGR!$E$48:$L$48,0)),""))</f>
        <v/>
      </c>
      <c r="Q100" s="296" t="str">
        <f t="array" aca="1" ref="Q100" ca="1">IF($A100="*","",IFERROR(INDEX(AGR!$E$52:$L$73,MATCH('TS DTech'!$C100,AGR!$B$52:$B$73,0),MATCH('TS DTech'!$B100&amp;Q$7,AGR!$E$46:$L$46&amp;AGR!$E$48:$L$48,0)),""))</f>
        <v/>
      </c>
      <c r="R100" s="296" t="str">
        <f t="array" aca="1" ref="R100" ca="1">IF($A100="*","",IFERROR(INDEX(AGR!$E$52:$L$73,MATCH('TS DTech'!$C100,AGR!$B$52:$B$73,0),MATCH('TS DTech'!$B100&amp;R$7,AGR!$E$46:$L$46&amp;AGR!$E$48:$L$48,0)),""))</f>
        <v/>
      </c>
      <c r="S100" s="296" t="str">
        <f t="array" aca="1" ref="S100" ca="1">IF($A100="*","",IFERROR(INDEX(AGR!$E$52:$L$73,MATCH('TS DTech'!$C100,AGR!$B$52:$B$73,0),MATCH('TS DTech'!$B100&amp;S$7,AGR!$E$46:$L$46&amp;AGR!$E$48:$L$48,0)),""))</f>
        <v/>
      </c>
      <c r="T100" s="296" t="str">
        <f t="array" aca="1" ref="T100" ca="1">IF($A100="*","",IFERROR(INDEX(AGR!$E$52:$L$73,MATCH('TS DTech'!$C100,AGR!$B$52:$B$73,0),MATCH('TS DTech'!$B100&amp;T$7,AGR!$E$46:$L$46&amp;AGR!$E$48:$L$48,0)),""))</f>
        <v/>
      </c>
      <c r="U100" s="296" t="str">
        <f t="array" aca="1" ref="U100" ca="1">IF($A100="*","",IFERROR(INDEX(AGR!$E$52:$L$73,MATCH('TS DTech'!$C100,AGR!$B$52:$B$73,0),MATCH('TS DTech'!$B100&amp;U$7,AGR!$E$46:$L$46&amp;AGR!$E$48:$L$48,0)),""))</f>
        <v/>
      </c>
      <c r="V100" s="296" t="str">
        <f t="array" aca="1" ref="V100" ca="1">IF($A100="*","",IFERROR(INDEX(AGR!$E$52:$L$73,MATCH('TS DTech'!$C100,AGR!$B$52:$B$73,0),MATCH('TS DTech'!$B100&amp;V$7,AGR!$E$46:$L$46&amp;AGR!$E$48:$L$48,0)),""))</f>
        <v/>
      </c>
      <c r="W100" s="296" t="str">
        <f t="array" aca="1" ref="W100" ca="1">IF($A100="*","",IFERROR(INDEX(AGR!$E$52:$L$73,MATCH('TS DTech'!$C100,AGR!$B$52:$B$73,0),MATCH('TS DTech'!$B100&amp;W$7,AGR!$E$46:$L$46&amp;AGR!$E$48:$L$48,0)),""))</f>
        <v/>
      </c>
      <c r="X100" s="296" t="str">
        <f t="array" aca="1" ref="X100" ca="1">IF($A100="*","",IFERROR(INDEX(AGR!$E$52:$L$73,MATCH('TS DTech'!$C100,AGR!$B$52:$B$73,0),MATCH('TS DTech'!$B100&amp;X$7,AGR!$E$46:$L$46&amp;AGR!$E$48:$L$48,0)),""))</f>
        <v/>
      </c>
      <c r="Y100" s="296" t="str">
        <f t="array" aca="1" ref="Y100" ca="1">IF($A100="*","",IFERROR(INDEX(AGR!$E$52:$L$73,MATCH('TS DTech'!$C100,AGR!$B$52:$B$73,0),MATCH('TS DTech'!$B100&amp;Y$7,AGR!$E$46:$L$46&amp;AGR!$E$48:$L$48,0)),""))</f>
        <v/>
      </c>
      <c r="Z100" s="296" t="str">
        <f t="array" aca="1" ref="Z100" ca="1">IF($A100="*","",IFERROR(INDEX(AGR!$E$52:$L$73,MATCH('TS DTech'!$C100,AGR!$B$52:$B$73,0),MATCH('TS DTech'!$B100&amp;Z$7,AGR!$E$46:$L$46&amp;AGR!$E$48:$L$48,0)),""))</f>
        <v/>
      </c>
      <c r="AA100" s="296" t="str">
        <f t="array" aca="1" ref="AA100" ca="1">IF($A100="*","",IFERROR(INDEX(AGR!$E$52:$L$73,MATCH('TS DTech'!$C100,AGR!$B$52:$B$73,0),MATCH('TS DTech'!$B100&amp;AA$7,AGR!$E$46:$L$46&amp;AGR!$E$48:$L$48,0)),""))</f>
        <v/>
      </c>
      <c r="AB100" s="296" t="str">
        <f t="array" aca="1" ref="AB100" ca="1">IF($A100="*","",IFERROR(INDEX(AGR!$E$52:$L$73,MATCH('TS DTech'!$C100,AGR!$B$52:$B$73,0),MATCH('TS DTech'!$B100&amp;AB$7,AGR!$E$46:$L$46&amp;AGR!$E$48:$L$48,0)),""))</f>
        <v/>
      </c>
      <c r="AC100" s="296" t="str">
        <f t="array" aca="1" ref="AC100" ca="1">IF($A100="*","",IFERROR(INDEX(AGR!$E$52:$L$73,MATCH('TS DTech'!$C100,AGR!$B$52:$B$73,0),MATCH('TS DTech'!$B100&amp;AC$7,AGR!$E$46:$L$46&amp;AGR!$E$48:$L$48,0)),""))</f>
        <v/>
      </c>
      <c r="AD100" s="296" t="str">
        <f t="array" aca="1" ref="AD100" ca="1">IF($A100="*","",IFERROR(INDEX(AGR!$E$52:$L$73,MATCH('TS DTech'!$C100,AGR!$B$52:$B$73,0),MATCH('TS DTech'!$B100&amp;AD$7,AGR!$E$46:$L$46&amp;AGR!$E$48:$L$48,0)),""))</f>
        <v/>
      </c>
      <c r="AE100" s="296" t="str">
        <f t="array" aca="1" ref="AE100" ca="1">IF($A100="*","",IFERROR(INDEX(AGR!$E$52:$L$73,MATCH('TS DTech'!$C100,AGR!$B$52:$B$73,0),MATCH('TS DTech'!$B100&amp;AE$7,AGR!$E$46:$L$46&amp;AGR!$E$48:$L$48,0)),""))</f>
        <v/>
      </c>
      <c r="AF100" s="296" t="str">
        <f t="array" aca="1" ref="AF100" ca="1">IF($A100="*","",IFERROR(INDEX(AGR!$E$52:$L$73,MATCH('TS DTech'!$C100,AGR!$B$52:$B$73,0),MATCH('TS DTech'!$B100&amp;AF$7,AGR!$E$46:$L$46&amp;AGR!$E$48:$L$48,0)),""))</f>
        <v/>
      </c>
      <c r="AG100" s="296" t="str">
        <f t="array" aca="1" ref="AG100" ca="1">IF($A100="*","",IFERROR(INDEX(AGR!$E$52:$L$73,MATCH('TS DTech'!$C100,AGR!$B$52:$B$73,0),MATCH('TS DTech'!$B100&amp;AG$7,AGR!$E$46:$L$46&amp;AGR!$E$48:$L$48,0)),""))</f>
        <v/>
      </c>
      <c r="AH100" s="296" t="str">
        <f t="array" aca="1" ref="AH100" ca="1">IF($A100="*","",IFERROR(INDEX(AGR!$E$52:$L$73,MATCH('TS DTech'!$C100,AGR!$B$52:$B$73,0),MATCH('TS DTech'!$B100&amp;AH$7,AGR!$E$46:$L$46&amp;AGR!$E$48:$L$48,0)),""))</f>
        <v/>
      </c>
      <c r="AI100" s="296" t="str">
        <f t="array" aca="1" ref="AI100" ca="1">IF($A100="*","",IFERROR(INDEX(AGR!$E$52:$L$73,MATCH('TS DTech'!$C100,AGR!$B$52:$B$73,0),MATCH('TS DTech'!$B100&amp;AI$7,AGR!$E$46:$L$46&amp;AGR!$E$48:$L$48,0)),""))</f>
        <v/>
      </c>
      <c r="AJ100" s="296" t="str">
        <f t="array" aca="1" ref="AJ100" ca="1">IF($A100="*","",IFERROR(INDEX(AGR!$E$52:$L$73,MATCH('TS DTech'!$C100,AGR!$B$52:$B$73,0),MATCH('TS DTech'!$B100&amp;AJ$7,AGR!$E$46:$L$46&amp;AGR!$E$48:$L$48,0)),""))</f>
        <v/>
      </c>
      <c r="AK100" s="296" t="str">
        <f t="array" aca="1" ref="AK100" ca="1">IF($A100="*","",IFERROR(INDEX(AGR!$E$52:$L$73,MATCH('TS DTech'!$C100,AGR!$B$52:$B$73,0),MATCH('TS DTech'!$B100&amp;AK$7,AGR!$E$46:$L$46&amp;AGR!$E$48:$L$48,0)),""))</f>
        <v/>
      </c>
      <c r="AL100" s="296" t="str">
        <f t="array" aca="1" ref="AL100" ca="1">IF($A100="*","",IFERROR(INDEX(AGR!$E$52:$L$73,MATCH('TS DTech'!$C100,AGR!$B$52:$B$73,0),MATCH('TS DTech'!$B100&amp;AL$7,AGR!$E$46:$L$46&amp;AGR!$E$48:$L$48,0)),""))</f>
        <v/>
      </c>
      <c r="AM100" s="296" t="str">
        <f t="array" aca="1" ref="AM100" ca="1">IF($A100="*","",IFERROR(INDEX(AGR!$E$52:$L$73,MATCH('TS DTech'!$C100,AGR!$B$52:$B$73,0),MATCH('TS DTech'!$B100&amp;AM$7,AGR!$E$46:$L$46&amp;AGR!$E$48:$L$48,0)),""))</f>
        <v/>
      </c>
      <c r="AN100" s="296" t="str">
        <f t="array" aca="1" ref="AN100" ca="1">IF($A100="*","",IFERROR(INDEX(AGR!$E$52:$L$73,MATCH('TS DTech'!$C100,AGR!$B$52:$B$73,0),MATCH('TS DTech'!$B100&amp;AN$7,AGR!$E$46:$L$46&amp;AGR!$E$48:$L$48,0)),""))</f>
        <v/>
      </c>
      <c r="AO100" s="296" t="str">
        <f t="array" aca="1" ref="AO100" ca="1">IF($A100="*","",IFERROR(INDEX(AGR!$E$52:$L$73,MATCH('TS DTech'!$C100,AGR!$B$52:$B$73,0),MATCH('TS DTech'!$B100&amp;AO$7,AGR!$E$46:$L$46&amp;AGR!$E$48:$L$48,0)),""))</f>
        <v/>
      </c>
      <c r="AP100" s="296" t="str">
        <f t="array" aca="1" ref="AP100" ca="1">IF($A100="*","",IFERROR(INDEX(AGR!$E$52:$L$73,MATCH('TS DTech'!$C100,AGR!$B$52:$B$73,0),MATCH('TS DTech'!$B100&amp;AP$7,AGR!$E$46:$L$46&amp;AGR!$E$48:$L$48,0)),""))</f>
        <v/>
      </c>
      <c r="AQ100" s="137">
        <f>IF(AR99=AGR!$AD$74,AQ99+1,AQ99)</f>
        <v>4</v>
      </c>
      <c r="AR100" s="137">
        <f t="shared" si="8"/>
        <v>16</v>
      </c>
    </row>
    <row r="101" spans="1:44">
      <c r="A101" s="137" t="str">
        <f ca="1">IF(LEFT(OFFSET(AGR!$A$51,AR101,0),2)="\I","*","")</f>
        <v/>
      </c>
      <c r="B101" s="212" t="str">
        <f t="shared" ca="1" si="7"/>
        <v>NCAP_TLIFE</v>
      </c>
      <c r="C101" s="212" t="str">
        <f ca="1">IF($A101="*","",OFFSET(AGR!$B$51,AR101,0))</f>
        <v>AIELC-E</v>
      </c>
      <c r="D101" s="212" t="str">
        <f t="shared" ca="1" si="9"/>
        <v>-</v>
      </c>
      <c r="E101" s="212" t="str">
        <f t="shared" ca="1" si="9"/>
        <v>-</v>
      </c>
      <c r="F101" s="212" t="str">
        <f t="shared" ca="1" si="9"/>
        <v>-</v>
      </c>
      <c r="G101" s="212" t="str">
        <f t="shared" ca="1" si="9"/>
        <v>-</v>
      </c>
      <c r="H101" s="212" t="str">
        <f t="shared" ca="1" si="9"/>
        <v>-</v>
      </c>
      <c r="I101" s="213">
        <f t="shared" ca="1" si="9"/>
        <v>0</v>
      </c>
      <c r="J101" s="296" t="str">
        <f t="array" aca="1" ref="J101" ca="1">IF($A101="*","",IFERROR(INDEX(AGR!$E$52:$L$73,MATCH('TS DTech'!$C101,AGR!$B$52:$B$73,0),MATCH('TS DTech'!$B101&amp;J$7,AGR!$E$46:$L$46&amp;AGR!$E$48:$L$48,0)),""))</f>
        <v/>
      </c>
      <c r="K101" s="296" t="str">
        <f t="array" aca="1" ref="K101" ca="1">IF($A101="*","",IFERROR(INDEX(AGR!$E$52:$L$73,MATCH('TS DTech'!$C101,AGR!$B$52:$B$73,0),MATCH('TS DTech'!$B101&amp;K$7,AGR!$E$46:$L$46&amp;AGR!$E$48:$L$48,0)),""))</f>
        <v/>
      </c>
      <c r="L101" s="296" t="str">
        <f t="array" aca="1" ref="L101" ca="1">IF($A101="*","",IFERROR(INDEX(AGR!$E$52:$L$73,MATCH('TS DTech'!$C101,AGR!$B$52:$B$73,0),MATCH('TS DTech'!$B101&amp;L$7,AGR!$E$46:$L$46&amp;AGR!$E$48:$L$48,0)),""))</f>
        <v/>
      </c>
      <c r="M101" s="296" t="str">
        <f t="array" aca="1" ref="M101" ca="1">IF($A101="*","",IFERROR(INDEX(AGR!$E$52:$L$73,MATCH('TS DTech'!$C101,AGR!$B$52:$B$73,0),MATCH('TS DTech'!$B101&amp;M$7,AGR!$E$46:$L$46&amp;AGR!$E$48:$L$48,0)),""))</f>
        <v/>
      </c>
      <c r="N101" s="296" t="str">
        <f t="array" aca="1" ref="N101" ca="1">IF($A101="*","",IFERROR(INDEX(AGR!$E$52:$L$73,MATCH('TS DTech'!$C101,AGR!$B$52:$B$73,0),MATCH('TS DTech'!$B101&amp;N$7,AGR!$E$46:$L$46&amp;AGR!$E$48:$L$48,0)),""))</f>
        <v/>
      </c>
      <c r="O101" s="296" t="str">
        <f t="array" aca="1" ref="O101" ca="1">IF($A101="*","",IFERROR(INDEX(AGR!$E$52:$L$73,MATCH('TS DTech'!$C101,AGR!$B$52:$B$73,0),MATCH('TS DTech'!$B101&amp;O$7,AGR!$E$46:$L$46&amp;AGR!$E$48:$L$48,0)),""))</f>
        <v/>
      </c>
      <c r="P101" s="296" t="str">
        <f t="array" aca="1" ref="P101" ca="1">IF($A101="*","",IFERROR(INDEX(AGR!$E$52:$L$73,MATCH('TS DTech'!$C101,AGR!$B$52:$B$73,0),MATCH('TS DTech'!$B101&amp;P$7,AGR!$E$46:$L$46&amp;AGR!$E$48:$L$48,0)),""))</f>
        <v/>
      </c>
      <c r="Q101" s="296" t="str">
        <f t="array" aca="1" ref="Q101" ca="1">IF($A101="*","",IFERROR(INDEX(AGR!$E$52:$L$73,MATCH('TS DTech'!$C101,AGR!$B$52:$B$73,0),MATCH('TS DTech'!$B101&amp;Q$7,AGR!$E$46:$L$46&amp;AGR!$E$48:$L$48,0)),""))</f>
        <v/>
      </c>
      <c r="R101" s="296" t="str">
        <f t="array" aca="1" ref="R101" ca="1">IF($A101="*","",IFERROR(INDEX(AGR!$E$52:$L$73,MATCH('TS DTech'!$C101,AGR!$B$52:$B$73,0),MATCH('TS DTech'!$B101&amp;R$7,AGR!$E$46:$L$46&amp;AGR!$E$48:$L$48,0)),""))</f>
        <v/>
      </c>
      <c r="S101" s="296" t="str">
        <f t="array" aca="1" ref="S101" ca="1">IF($A101="*","",IFERROR(INDEX(AGR!$E$52:$L$73,MATCH('TS DTech'!$C101,AGR!$B$52:$B$73,0),MATCH('TS DTech'!$B101&amp;S$7,AGR!$E$46:$L$46&amp;AGR!$E$48:$L$48,0)),""))</f>
        <v/>
      </c>
      <c r="T101" s="296" t="str">
        <f t="array" aca="1" ref="T101" ca="1">IF($A101="*","",IFERROR(INDEX(AGR!$E$52:$L$73,MATCH('TS DTech'!$C101,AGR!$B$52:$B$73,0),MATCH('TS DTech'!$B101&amp;T$7,AGR!$E$46:$L$46&amp;AGR!$E$48:$L$48,0)),""))</f>
        <v/>
      </c>
      <c r="U101" s="296" t="str">
        <f t="array" aca="1" ref="U101" ca="1">IF($A101="*","",IFERROR(INDEX(AGR!$E$52:$L$73,MATCH('TS DTech'!$C101,AGR!$B$52:$B$73,0),MATCH('TS DTech'!$B101&amp;U$7,AGR!$E$46:$L$46&amp;AGR!$E$48:$L$48,0)),""))</f>
        <v/>
      </c>
      <c r="V101" s="296" t="str">
        <f t="array" aca="1" ref="V101" ca="1">IF($A101="*","",IFERROR(INDEX(AGR!$E$52:$L$73,MATCH('TS DTech'!$C101,AGR!$B$52:$B$73,0),MATCH('TS DTech'!$B101&amp;V$7,AGR!$E$46:$L$46&amp;AGR!$E$48:$L$48,0)),""))</f>
        <v/>
      </c>
      <c r="W101" s="296" t="str">
        <f t="array" aca="1" ref="W101" ca="1">IF($A101="*","",IFERROR(INDEX(AGR!$E$52:$L$73,MATCH('TS DTech'!$C101,AGR!$B$52:$B$73,0),MATCH('TS DTech'!$B101&amp;W$7,AGR!$E$46:$L$46&amp;AGR!$E$48:$L$48,0)),""))</f>
        <v/>
      </c>
      <c r="X101" s="296" t="str">
        <f t="array" aca="1" ref="X101" ca="1">IF($A101="*","",IFERROR(INDEX(AGR!$E$52:$L$73,MATCH('TS DTech'!$C101,AGR!$B$52:$B$73,0),MATCH('TS DTech'!$B101&amp;X$7,AGR!$E$46:$L$46&amp;AGR!$E$48:$L$48,0)),""))</f>
        <v/>
      </c>
      <c r="Y101" s="296" t="str">
        <f t="array" aca="1" ref="Y101" ca="1">IF($A101="*","",IFERROR(INDEX(AGR!$E$52:$L$73,MATCH('TS DTech'!$C101,AGR!$B$52:$B$73,0),MATCH('TS DTech'!$B101&amp;Y$7,AGR!$E$46:$L$46&amp;AGR!$E$48:$L$48,0)),""))</f>
        <v/>
      </c>
      <c r="Z101" s="296" t="str">
        <f t="array" aca="1" ref="Z101" ca="1">IF($A101="*","",IFERROR(INDEX(AGR!$E$52:$L$73,MATCH('TS DTech'!$C101,AGR!$B$52:$B$73,0),MATCH('TS DTech'!$B101&amp;Z$7,AGR!$E$46:$L$46&amp;AGR!$E$48:$L$48,0)),""))</f>
        <v/>
      </c>
      <c r="AA101" s="296" t="str">
        <f t="array" aca="1" ref="AA101" ca="1">IF($A101="*","",IFERROR(INDEX(AGR!$E$52:$L$73,MATCH('TS DTech'!$C101,AGR!$B$52:$B$73,0),MATCH('TS DTech'!$B101&amp;AA$7,AGR!$E$46:$L$46&amp;AGR!$E$48:$L$48,0)),""))</f>
        <v/>
      </c>
      <c r="AB101" s="296" t="str">
        <f t="array" aca="1" ref="AB101" ca="1">IF($A101="*","",IFERROR(INDEX(AGR!$E$52:$L$73,MATCH('TS DTech'!$C101,AGR!$B$52:$B$73,0),MATCH('TS DTech'!$B101&amp;AB$7,AGR!$E$46:$L$46&amp;AGR!$E$48:$L$48,0)),""))</f>
        <v/>
      </c>
      <c r="AC101" s="296" t="str">
        <f t="array" aca="1" ref="AC101" ca="1">IF($A101="*","",IFERROR(INDEX(AGR!$E$52:$L$73,MATCH('TS DTech'!$C101,AGR!$B$52:$B$73,0),MATCH('TS DTech'!$B101&amp;AC$7,AGR!$E$46:$L$46&amp;AGR!$E$48:$L$48,0)),""))</f>
        <v/>
      </c>
      <c r="AD101" s="296" t="str">
        <f t="array" aca="1" ref="AD101" ca="1">IF($A101="*","",IFERROR(INDEX(AGR!$E$52:$L$73,MATCH('TS DTech'!$C101,AGR!$B$52:$B$73,0),MATCH('TS DTech'!$B101&amp;AD$7,AGR!$E$46:$L$46&amp;AGR!$E$48:$L$48,0)),""))</f>
        <v/>
      </c>
      <c r="AE101" s="296" t="str">
        <f t="array" aca="1" ref="AE101" ca="1">IF($A101="*","",IFERROR(INDEX(AGR!$E$52:$L$73,MATCH('TS DTech'!$C101,AGR!$B$52:$B$73,0),MATCH('TS DTech'!$B101&amp;AE$7,AGR!$E$46:$L$46&amp;AGR!$E$48:$L$48,0)),""))</f>
        <v/>
      </c>
      <c r="AF101" s="296" t="str">
        <f t="array" aca="1" ref="AF101" ca="1">IF($A101="*","",IFERROR(INDEX(AGR!$E$52:$L$73,MATCH('TS DTech'!$C101,AGR!$B$52:$B$73,0),MATCH('TS DTech'!$B101&amp;AF$7,AGR!$E$46:$L$46&amp;AGR!$E$48:$L$48,0)),""))</f>
        <v/>
      </c>
      <c r="AG101" s="296" t="str">
        <f t="array" aca="1" ref="AG101" ca="1">IF($A101="*","",IFERROR(INDEX(AGR!$E$52:$L$73,MATCH('TS DTech'!$C101,AGR!$B$52:$B$73,0),MATCH('TS DTech'!$B101&amp;AG$7,AGR!$E$46:$L$46&amp;AGR!$E$48:$L$48,0)),""))</f>
        <v/>
      </c>
      <c r="AH101" s="296" t="str">
        <f t="array" aca="1" ref="AH101" ca="1">IF($A101="*","",IFERROR(INDEX(AGR!$E$52:$L$73,MATCH('TS DTech'!$C101,AGR!$B$52:$B$73,0),MATCH('TS DTech'!$B101&amp;AH$7,AGR!$E$46:$L$46&amp;AGR!$E$48:$L$48,0)),""))</f>
        <v/>
      </c>
      <c r="AI101" s="296" t="str">
        <f t="array" aca="1" ref="AI101" ca="1">IF($A101="*","",IFERROR(INDEX(AGR!$E$52:$L$73,MATCH('TS DTech'!$C101,AGR!$B$52:$B$73,0),MATCH('TS DTech'!$B101&amp;AI$7,AGR!$E$46:$L$46&amp;AGR!$E$48:$L$48,0)),""))</f>
        <v/>
      </c>
      <c r="AJ101" s="296" t="str">
        <f t="array" aca="1" ref="AJ101" ca="1">IF($A101="*","",IFERROR(INDEX(AGR!$E$52:$L$73,MATCH('TS DTech'!$C101,AGR!$B$52:$B$73,0),MATCH('TS DTech'!$B101&amp;AJ$7,AGR!$E$46:$L$46&amp;AGR!$E$48:$L$48,0)),""))</f>
        <v/>
      </c>
      <c r="AK101" s="296" t="str">
        <f t="array" aca="1" ref="AK101" ca="1">IF($A101="*","",IFERROR(INDEX(AGR!$E$52:$L$73,MATCH('TS DTech'!$C101,AGR!$B$52:$B$73,0),MATCH('TS DTech'!$B101&amp;AK$7,AGR!$E$46:$L$46&amp;AGR!$E$48:$L$48,0)),""))</f>
        <v/>
      </c>
      <c r="AL101" s="296" t="str">
        <f t="array" aca="1" ref="AL101" ca="1">IF($A101="*","",IFERROR(INDEX(AGR!$E$52:$L$73,MATCH('TS DTech'!$C101,AGR!$B$52:$B$73,0),MATCH('TS DTech'!$B101&amp;AL$7,AGR!$E$46:$L$46&amp;AGR!$E$48:$L$48,0)),""))</f>
        <v/>
      </c>
      <c r="AM101" s="296" t="str">
        <f t="array" aca="1" ref="AM101" ca="1">IF($A101="*","",IFERROR(INDEX(AGR!$E$52:$L$73,MATCH('TS DTech'!$C101,AGR!$B$52:$B$73,0),MATCH('TS DTech'!$B101&amp;AM$7,AGR!$E$46:$L$46&amp;AGR!$E$48:$L$48,0)),""))</f>
        <v/>
      </c>
      <c r="AN101" s="296" t="str">
        <f t="array" aca="1" ref="AN101" ca="1">IF($A101="*","",IFERROR(INDEX(AGR!$E$52:$L$73,MATCH('TS DTech'!$C101,AGR!$B$52:$B$73,0),MATCH('TS DTech'!$B101&amp;AN$7,AGR!$E$46:$L$46&amp;AGR!$E$48:$L$48,0)),""))</f>
        <v/>
      </c>
      <c r="AO101" s="296" t="str">
        <f t="array" aca="1" ref="AO101" ca="1">IF($A101="*","",IFERROR(INDEX(AGR!$E$52:$L$73,MATCH('TS DTech'!$C101,AGR!$B$52:$B$73,0),MATCH('TS DTech'!$B101&amp;AO$7,AGR!$E$46:$L$46&amp;AGR!$E$48:$L$48,0)),""))</f>
        <v/>
      </c>
      <c r="AP101" s="296" t="str">
        <f t="array" aca="1" ref="AP101" ca="1">IF($A101="*","",IFERROR(INDEX(AGR!$E$52:$L$73,MATCH('TS DTech'!$C101,AGR!$B$52:$B$73,0),MATCH('TS DTech'!$B101&amp;AP$7,AGR!$E$46:$L$46&amp;AGR!$E$48:$L$48,0)),""))</f>
        <v/>
      </c>
      <c r="AQ101" s="137">
        <f>IF(AR100=AGR!$AD$74,AQ100+1,AQ100)</f>
        <v>4</v>
      </c>
      <c r="AR101" s="137">
        <f t="shared" si="8"/>
        <v>17</v>
      </c>
    </row>
    <row r="102" spans="1:44">
      <c r="A102" s="137" t="str">
        <f ca="1">IF(LEFT(OFFSET(AGR!$A$51,AR102,0),2)="\I","*","")</f>
        <v/>
      </c>
      <c r="B102" s="212" t="str">
        <f t="shared" ca="1" si="7"/>
        <v>NCAP_TLIFE</v>
      </c>
      <c r="C102" s="212" t="str">
        <f ca="1">IF($A102="*","",OFFSET(AGR!$B$51,AR102,0))</f>
        <v>AIOGS-E</v>
      </c>
      <c r="D102" s="212" t="str">
        <f t="shared" ca="1" si="9"/>
        <v>-</v>
      </c>
      <c r="E102" s="212" t="str">
        <f t="shared" ca="1" si="9"/>
        <v>-</v>
      </c>
      <c r="F102" s="212" t="str">
        <f t="shared" ca="1" si="9"/>
        <v>-</v>
      </c>
      <c r="G102" s="212" t="str">
        <f t="shared" ca="1" si="9"/>
        <v>-</v>
      </c>
      <c r="H102" s="212" t="str">
        <f t="shared" ca="1" si="9"/>
        <v>-</v>
      </c>
      <c r="I102" s="213">
        <f t="shared" ca="1" si="9"/>
        <v>0</v>
      </c>
      <c r="J102" s="296" t="str">
        <f t="array" aca="1" ref="J102" ca="1">IF($A102="*","",IFERROR(INDEX(AGR!$E$52:$L$73,MATCH('TS DTech'!$C102,AGR!$B$52:$B$73,0),MATCH('TS DTech'!$B102&amp;J$7,AGR!$E$46:$L$46&amp;AGR!$E$48:$L$48,0)),""))</f>
        <v/>
      </c>
      <c r="K102" s="296" t="str">
        <f t="array" aca="1" ref="K102" ca="1">IF($A102="*","",IFERROR(INDEX(AGR!$E$52:$L$73,MATCH('TS DTech'!$C102,AGR!$B$52:$B$73,0),MATCH('TS DTech'!$B102&amp;K$7,AGR!$E$46:$L$46&amp;AGR!$E$48:$L$48,0)),""))</f>
        <v/>
      </c>
      <c r="L102" s="296" t="str">
        <f t="array" aca="1" ref="L102" ca="1">IF($A102="*","",IFERROR(INDEX(AGR!$E$52:$L$73,MATCH('TS DTech'!$C102,AGR!$B$52:$B$73,0),MATCH('TS DTech'!$B102&amp;L$7,AGR!$E$46:$L$46&amp;AGR!$E$48:$L$48,0)),""))</f>
        <v/>
      </c>
      <c r="M102" s="296" t="str">
        <f t="array" aca="1" ref="M102" ca="1">IF($A102="*","",IFERROR(INDEX(AGR!$E$52:$L$73,MATCH('TS DTech'!$C102,AGR!$B$52:$B$73,0),MATCH('TS DTech'!$B102&amp;M$7,AGR!$E$46:$L$46&amp;AGR!$E$48:$L$48,0)),""))</f>
        <v/>
      </c>
      <c r="N102" s="296" t="str">
        <f t="array" aca="1" ref="N102" ca="1">IF($A102="*","",IFERROR(INDEX(AGR!$E$52:$L$73,MATCH('TS DTech'!$C102,AGR!$B$52:$B$73,0),MATCH('TS DTech'!$B102&amp;N$7,AGR!$E$46:$L$46&amp;AGR!$E$48:$L$48,0)),""))</f>
        <v/>
      </c>
      <c r="O102" s="296" t="str">
        <f t="array" aca="1" ref="O102" ca="1">IF($A102="*","",IFERROR(INDEX(AGR!$E$52:$L$73,MATCH('TS DTech'!$C102,AGR!$B$52:$B$73,0),MATCH('TS DTech'!$B102&amp;O$7,AGR!$E$46:$L$46&amp;AGR!$E$48:$L$48,0)),""))</f>
        <v/>
      </c>
      <c r="P102" s="296" t="str">
        <f t="array" aca="1" ref="P102" ca="1">IF($A102="*","",IFERROR(INDEX(AGR!$E$52:$L$73,MATCH('TS DTech'!$C102,AGR!$B$52:$B$73,0),MATCH('TS DTech'!$B102&amp;P$7,AGR!$E$46:$L$46&amp;AGR!$E$48:$L$48,0)),""))</f>
        <v/>
      </c>
      <c r="Q102" s="296" t="str">
        <f t="array" aca="1" ref="Q102" ca="1">IF($A102="*","",IFERROR(INDEX(AGR!$E$52:$L$73,MATCH('TS DTech'!$C102,AGR!$B$52:$B$73,0),MATCH('TS DTech'!$B102&amp;Q$7,AGR!$E$46:$L$46&amp;AGR!$E$48:$L$48,0)),""))</f>
        <v/>
      </c>
      <c r="R102" s="296" t="str">
        <f t="array" aca="1" ref="R102" ca="1">IF($A102="*","",IFERROR(INDEX(AGR!$E$52:$L$73,MATCH('TS DTech'!$C102,AGR!$B$52:$B$73,0),MATCH('TS DTech'!$B102&amp;R$7,AGR!$E$46:$L$46&amp;AGR!$E$48:$L$48,0)),""))</f>
        <v/>
      </c>
      <c r="S102" s="296" t="str">
        <f t="array" aca="1" ref="S102" ca="1">IF($A102="*","",IFERROR(INDEX(AGR!$E$52:$L$73,MATCH('TS DTech'!$C102,AGR!$B$52:$B$73,0),MATCH('TS DTech'!$B102&amp;S$7,AGR!$E$46:$L$46&amp;AGR!$E$48:$L$48,0)),""))</f>
        <v/>
      </c>
      <c r="T102" s="296" t="str">
        <f t="array" aca="1" ref="T102" ca="1">IF($A102="*","",IFERROR(INDEX(AGR!$E$52:$L$73,MATCH('TS DTech'!$C102,AGR!$B$52:$B$73,0),MATCH('TS DTech'!$B102&amp;T$7,AGR!$E$46:$L$46&amp;AGR!$E$48:$L$48,0)),""))</f>
        <v/>
      </c>
      <c r="U102" s="296" t="str">
        <f t="array" aca="1" ref="U102" ca="1">IF($A102="*","",IFERROR(INDEX(AGR!$E$52:$L$73,MATCH('TS DTech'!$C102,AGR!$B$52:$B$73,0),MATCH('TS DTech'!$B102&amp;U$7,AGR!$E$46:$L$46&amp;AGR!$E$48:$L$48,0)),""))</f>
        <v/>
      </c>
      <c r="V102" s="296" t="str">
        <f t="array" aca="1" ref="V102" ca="1">IF($A102="*","",IFERROR(INDEX(AGR!$E$52:$L$73,MATCH('TS DTech'!$C102,AGR!$B$52:$B$73,0),MATCH('TS DTech'!$B102&amp;V$7,AGR!$E$46:$L$46&amp;AGR!$E$48:$L$48,0)),""))</f>
        <v/>
      </c>
      <c r="W102" s="296" t="str">
        <f t="array" aca="1" ref="W102" ca="1">IF($A102="*","",IFERROR(INDEX(AGR!$E$52:$L$73,MATCH('TS DTech'!$C102,AGR!$B$52:$B$73,0),MATCH('TS DTech'!$B102&amp;W$7,AGR!$E$46:$L$46&amp;AGR!$E$48:$L$48,0)),""))</f>
        <v/>
      </c>
      <c r="X102" s="296" t="str">
        <f t="array" aca="1" ref="X102" ca="1">IF($A102="*","",IFERROR(INDEX(AGR!$E$52:$L$73,MATCH('TS DTech'!$C102,AGR!$B$52:$B$73,0),MATCH('TS DTech'!$B102&amp;X$7,AGR!$E$46:$L$46&amp;AGR!$E$48:$L$48,0)),""))</f>
        <v/>
      </c>
      <c r="Y102" s="296" t="str">
        <f t="array" aca="1" ref="Y102" ca="1">IF($A102="*","",IFERROR(INDEX(AGR!$E$52:$L$73,MATCH('TS DTech'!$C102,AGR!$B$52:$B$73,0),MATCH('TS DTech'!$B102&amp;Y$7,AGR!$E$46:$L$46&amp;AGR!$E$48:$L$48,0)),""))</f>
        <v/>
      </c>
      <c r="Z102" s="296" t="str">
        <f t="array" aca="1" ref="Z102" ca="1">IF($A102="*","",IFERROR(INDEX(AGR!$E$52:$L$73,MATCH('TS DTech'!$C102,AGR!$B$52:$B$73,0),MATCH('TS DTech'!$B102&amp;Z$7,AGR!$E$46:$L$46&amp;AGR!$E$48:$L$48,0)),""))</f>
        <v/>
      </c>
      <c r="AA102" s="296" t="str">
        <f t="array" aca="1" ref="AA102" ca="1">IF($A102="*","",IFERROR(INDEX(AGR!$E$52:$L$73,MATCH('TS DTech'!$C102,AGR!$B$52:$B$73,0),MATCH('TS DTech'!$B102&amp;AA$7,AGR!$E$46:$L$46&amp;AGR!$E$48:$L$48,0)),""))</f>
        <v/>
      </c>
      <c r="AB102" s="296" t="str">
        <f t="array" aca="1" ref="AB102" ca="1">IF($A102="*","",IFERROR(INDEX(AGR!$E$52:$L$73,MATCH('TS DTech'!$C102,AGR!$B$52:$B$73,0),MATCH('TS DTech'!$B102&amp;AB$7,AGR!$E$46:$L$46&amp;AGR!$E$48:$L$48,0)),""))</f>
        <v/>
      </c>
      <c r="AC102" s="296" t="str">
        <f t="array" aca="1" ref="AC102" ca="1">IF($A102="*","",IFERROR(INDEX(AGR!$E$52:$L$73,MATCH('TS DTech'!$C102,AGR!$B$52:$B$73,0),MATCH('TS DTech'!$B102&amp;AC$7,AGR!$E$46:$L$46&amp;AGR!$E$48:$L$48,0)),""))</f>
        <v/>
      </c>
      <c r="AD102" s="296" t="str">
        <f t="array" aca="1" ref="AD102" ca="1">IF($A102="*","",IFERROR(INDEX(AGR!$E$52:$L$73,MATCH('TS DTech'!$C102,AGR!$B$52:$B$73,0),MATCH('TS DTech'!$B102&amp;AD$7,AGR!$E$46:$L$46&amp;AGR!$E$48:$L$48,0)),""))</f>
        <v/>
      </c>
      <c r="AE102" s="296" t="str">
        <f t="array" aca="1" ref="AE102" ca="1">IF($A102="*","",IFERROR(INDEX(AGR!$E$52:$L$73,MATCH('TS DTech'!$C102,AGR!$B$52:$B$73,0),MATCH('TS DTech'!$B102&amp;AE$7,AGR!$E$46:$L$46&amp;AGR!$E$48:$L$48,0)),""))</f>
        <v/>
      </c>
      <c r="AF102" s="296" t="str">
        <f t="array" aca="1" ref="AF102" ca="1">IF($A102="*","",IFERROR(INDEX(AGR!$E$52:$L$73,MATCH('TS DTech'!$C102,AGR!$B$52:$B$73,0),MATCH('TS DTech'!$B102&amp;AF$7,AGR!$E$46:$L$46&amp;AGR!$E$48:$L$48,0)),""))</f>
        <v/>
      </c>
      <c r="AG102" s="296" t="str">
        <f t="array" aca="1" ref="AG102" ca="1">IF($A102="*","",IFERROR(INDEX(AGR!$E$52:$L$73,MATCH('TS DTech'!$C102,AGR!$B$52:$B$73,0),MATCH('TS DTech'!$B102&amp;AG$7,AGR!$E$46:$L$46&amp;AGR!$E$48:$L$48,0)),""))</f>
        <v/>
      </c>
      <c r="AH102" s="296" t="str">
        <f t="array" aca="1" ref="AH102" ca="1">IF($A102="*","",IFERROR(INDEX(AGR!$E$52:$L$73,MATCH('TS DTech'!$C102,AGR!$B$52:$B$73,0),MATCH('TS DTech'!$B102&amp;AH$7,AGR!$E$46:$L$46&amp;AGR!$E$48:$L$48,0)),""))</f>
        <v/>
      </c>
      <c r="AI102" s="296" t="str">
        <f t="array" aca="1" ref="AI102" ca="1">IF($A102="*","",IFERROR(INDEX(AGR!$E$52:$L$73,MATCH('TS DTech'!$C102,AGR!$B$52:$B$73,0),MATCH('TS DTech'!$B102&amp;AI$7,AGR!$E$46:$L$46&amp;AGR!$E$48:$L$48,0)),""))</f>
        <v/>
      </c>
      <c r="AJ102" s="296" t="str">
        <f t="array" aca="1" ref="AJ102" ca="1">IF($A102="*","",IFERROR(INDEX(AGR!$E$52:$L$73,MATCH('TS DTech'!$C102,AGR!$B$52:$B$73,0),MATCH('TS DTech'!$B102&amp;AJ$7,AGR!$E$46:$L$46&amp;AGR!$E$48:$L$48,0)),""))</f>
        <v/>
      </c>
      <c r="AK102" s="296" t="str">
        <f t="array" aca="1" ref="AK102" ca="1">IF($A102="*","",IFERROR(INDEX(AGR!$E$52:$L$73,MATCH('TS DTech'!$C102,AGR!$B$52:$B$73,0),MATCH('TS DTech'!$B102&amp;AK$7,AGR!$E$46:$L$46&amp;AGR!$E$48:$L$48,0)),""))</f>
        <v/>
      </c>
      <c r="AL102" s="296" t="str">
        <f t="array" aca="1" ref="AL102" ca="1">IF($A102="*","",IFERROR(INDEX(AGR!$E$52:$L$73,MATCH('TS DTech'!$C102,AGR!$B$52:$B$73,0),MATCH('TS DTech'!$B102&amp;AL$7,AGR!$E$46:$L$46&amp;AGR!$E$48:$L$48,0)),""))</f>
        <v/>
      </c>
      <c r="AM102" s="296" t="str">
        <f t="array" aca="1" ref="AM102" ca="1">IF($A102="*","",IFERROR(INDEX(AGR!$E$52:$L$73,MATCH('TS DTech'!$C102,AGR!$B$52:$B$73,0),MATCH('TS DTech'!$B102&amp;AM$7,AGR!$E$46:$L$46&amp;AGR!$E$48:$L$48,0)),""))</f>
        <v/>
      </c>
      <c r="AN102" s="296" t="str">
        <f t="array" aca="1" ref="AN102" ca="1">IF($A102="*","",IFERROR(INDEX(AGR!$E$52:$L$73,MATCH('TS DTech'!$C102,AGR!$B$52:$B$73,0),MATCH('TS DTech'!$B102&amp;AN$7,AGR!$E$46:$L$46&amp;AGR!$E$48:$L$48,0)),""))</f>
        <v/>
      </c>
      <c r="AO102" s="296" t="str">
        <f t="array" aca="1" ref="AO102" ca="1">IF($A102="*","",IFERROR(INDEX(AGR!$E$52:$L$73,MATCH('TS DTech'!$C102,AGR!$B$52:$B$73,0),MATCH('TS DTech'!$B102&amp;AO$7,AGR!$E$46:$L$46&amp;AGR!$E$48:$L$48,0)),""))</f>
        <v/>
      </c>
      <c r="AP102" s="296" t="str">
        <f t="array" aca="1" ref="AP102" ca="1">IF($A102="*","",IFERROR(INDEX(AGR!$E$52:$L$73,MATCH('TS DTech'!$C102,AGR!$B$52:$B$73,0),MATCH('TS DTech'!$B102&amp;AP$7,AGR!$E$46:$L$46&amp;AGR!$E$48:$L$48,0)),""))</f>
        <v/>
      </c>
      <c r="AQ102" s="137">
        <f>IF(AR101=AGR!$AD$74,AQ101+1,AQ101)</f>
        <v>4</v>
      </c>
      <c r="AR102" s="137">
        <f t="shared" si="8"/>
        <v>18</v>
      </c>
    </row>
    <row r="103" spans="1:44">
      <c r="A103" s="137" t="str">
        <f ca="1">IF(LEFT(OFFSET(AGR!$A$51,AR103,0),2)="\I","*","")</f>
        <v>*</v>
      </c>
      <c r="B103" s="212" t="str">
        <f t="shared" ca="1" si="7"/>
        <v/>
      </c>
      <c r="C103" s="212" t="str">
        <f ca="1">IF($A103="*","",OFFSET(AGR!$B$51,AR103,0))</f>
        <v/>
      </c>
      <c r="D103" s="212" t="str">
        <f t="shared" ca="1" si="9"/>
        <v/>
      </c>
      <c r="E103" s="212" t="str">
        <f t="shared" ca="1" si="9"/>
        <v/>
      </c>
      <c r="F103" s="212" t="str">
        <f t="shared" ca="1" si="9"/>
        <v/>
      </c>
      <c r="G103" s="212" t="str">
        <f t="shared" ca="1" si="9"/>
        <v/>
      </c>
      <c r="H103" s="212" t="str">
        <f t="shared" ca="1" si="9"/>
        <v/>
      </c>
      <c r="I103" s="213" t="str">
        <f t="shared" ca="1" si="9"/>
        <v/>
      </c>
      <c r="J103" s="296" t="str">
        <f t="array" aca="1" ref="J103" ca="1">IF($A103="*","",IFERROR(INDEX(AGR!$E$52:$L$73,MATCH('TS DTech'!$C103,AGR!$B$52:$B$73,0),MATCH('TS DTech'!$B103&amp;J$7,AGR!$E$46:$L$46&amp;AGR!$E$48:$L$48,0)),""))</f>
        <v/>
      </c>
      <c r="K103" s="296" t="str">
        <f t="array" aca="1" ref="K103" ca="1">IF($A103="*","",IFERROR(INDEX(AGR!$E$52:$L$73,MATCH('TS DTech'!$C103,AGR!$B$52:$B$73,0),MATCH('TS DTech'!$B103&amp;K$7,AGR!$E$46:$L$46&amp;AGR!$E$48:$L$48,0)),""))</f>
        <v/>
      </c>
      <c r="L103" s="296" t="str">
        <f t="array" aca="1" ref="L103" ca="1">IF($A103="*","",IFERROR(INDEX(AGR!$E$52:$L$73,MATCH('TS DTech'!$C103,AGR!$B$52:$B$73,0),MATCH('TS DTech'!$B103&amp;L$7,AGR!$E$46:$L$46&amp;AGR!$E$48:$L$48,0)),""))</f>
        <v/>
      </c>
      <c r="M103" s="296" t="str">
        <f t="array" aca="1" ref="M103" ca="1">IF($A103="*","",IFERROR(INDEX(AGR!$E$52:$L$73,MATCH('TS DTech'!$C103,AGR!$B$52:$B$73,0),MATCH('TS DTech'!$B103&amp;M$7,AGR!$E$46:$L$46&amp;AGR!$E$48:$L$48,0)),""))</f>
        <v/>
      </c>
      <c r="N103" s="296" t="str">
        <f t="array" aca="1" ref="N103" ca="1">IF($A103="*","",IFERROR(INDEX(AGR!$E$52:$L$73,MATCH('TS DTech'!$C103,AGR!$B$52:$B$73,0),MATCH('TS DTech'!$B103&amp;N$7,AGR!$E$46:$L$46&amp;AGR!$E$48:$L$48,0)),""))</f>
        <v/>
      </c>
      <c r="O103" s="296" t="str">
        <f t="array" aca="1" ref="O103" ca="1">IF($A103="*","",IFERROR(INDEX(AGR!$E$52:$L$73,MATCH('TS DTech'!$C103,AGR!$B$52:$B$73,0),MATCH('TS DTech'!$B103&amp;O$7,AGR!$E$46:$L$46&amp;AGR!$E$48:$L$48,0)),""))</f>
        <v/>
      </c>
      <c r="P103" s="296" t="str">
        <f t="array" aca="1" ref="P103" ca="1">IF($A103="*","",IFERROR(INDEX(AGR!$E$52:$L$73,MATCH('TS DTech'!$C103,AGR!$B$52:$B$73,0),MATCH('TS DTech'!$B103&amp;P$7,AGR!$E$46:$L$46&amp;AGR!$E$48:$L$48,0)),""))</f>
        <v/>
      </c>
      <c r="Q103" s="296" t="str">
        <f t="array" aca="1" ref="Q103" ca="1">IF($A103="*","",IFERROR(INDEX(AGR!$E$52:$L$73,MATCH('TS DTech'!$C103,AGR!$B$52:$B$73,0),MATCH('TS DTech'!$B103&amp;Q$7,AGR!$E$46:$L$46&amp;AGR!$E$48:$L$48,0)),""))</f>
        <v/>
      </c>
      <c r="R103" s="296" t="str">
        <f t="array" aca="1" ref="R103" ca="1">IF($A103="*","",IFERROR(INDEX(AGR!$E$52:$L$73,MATCH('TS DTech'!$C103,AGR!$B$52:$B$73,0),MATCH('TS DTech'!$B103&amp;R$7,AGR!$E$46:$L$46&amp;AGR!$E$48:$L$48,0)),""))</f>
        <v/>
      </c>
      <c r="S103" s="296" t="str">
        <f t="array" aca="1" ref="S103" ca="1">IF($A103="*","",IFERROR(INDEX(AGR!$E$52:$L$73,MATCH('TS DTech'!$C103,AGR!$B$52:$B$73,0),MATCH('TS DTech'!$B103&amp;S$7,AGR!$E$46:$L$46&amp;AGR!$E$48:$L$48,0)),""))</f>
        <v/>
      </c>
      <c r="T103" s="296" t="str">
        <f t="array" aca="1" ref="T103" ca="1">IF($A103="*","",IFERROR(INDEX(AGR!$E$52:$L$73,MATCH('TS DTech'!$C103,AGR!$B$52:$B$73,0),MATCH('TS DTech'!$B103&amp;T$7,AGR!$E$46:$L$46&amp;AGR!$E$48:$L$48,0)),""))</f>
        <v/>
      </c>
      <c r="U103" s="296" t="str">
        <f t="array" aca="1" ref="U103" ca="1">IF($A103="*","",IFERROR(INDEX(AGR!$E$52:$L$73,MATCH('TS DTech'!$C103,AGR!$B$52:$B$73,0),MATCH('TS DTech'!$B103&amp;U$7,AGR!$E$46:$L$46&amp;AGR!$E$48:$L$48,0)),""))</f>
        <v/>
      </c>
      <c r="V103" s="296" t="str">
        <f t="array" aca="1" ref="V103" ca="1">IF($A103="*","",IFERROR(INDEX(AGR!$E$52:$L$73,MATCH('TS DTech'!$C103,AGR!$B$52:$B$73,0),MATCH('TS DTech'!$B103&amp;V$7,AGR!$E$46:$L$46&amp;AGR!$E$48:$L$48,0)),""))</f>
        <v/>
      </c>
      <c r="W103" s="296" t="str">
        <f t="array" aca="1" ref="W103" ca="1">IF($A103="*","",IFERROR(INDEX(AGR!$E$52:$L$73,MATCH('TS DTech'!$C103,AGR!$B$52:$B$73,0),MATCH('TS DTech'!$B103&amp;W$7,AGR!$E$46:$L$46&amp;AGR!$E$48:$L$48,0)),""))</f>
        <v/>
      </c>
      <c r="X103" s="296" t="str">
        <f t="array" aca="1" ref="X103" ca="1">IF($A103="*","",IFERROR(INDEX(AGR!$E$52:$L$73,MATCH('TS DTech'!$C103,AGR!$B$52:$B$73,0),MATCH('TS DTech'!$B103&amp;X$7,AGR!$E$46:$L$46&amp;AGR!$E$48:$L$48,0)),""))</f>
        <v/>
      </c>
      <c r="Y103" s="296" t="str">
        <f t="array" aca="1" ref="Y103" ca="1">IF($A103="*","",IFERROR(INDEX(AGR!$E$52:$L$73,MATCH('TS DTech'!$C103,AGR!$B$52:$B$73,0),MATCH('TS DTech'!$B103&amp;Y$7,AGR!$E$46:$L$46&amp;AGR!$E$48:$L$48,0)),""))</f>
        <v/>
      </c>
      <c r="Z103" s="296" t="str">
        <f t="array" aca="1" ref="Z103" ca="1">IF($A103="*","",IFERROR(INDEX(AGR!$E$52:$L$73,MATCH('TS DTech'!$C103,AGR!$B$52:$B$73,0),MATCH('TS DTech'!$B103&amp;Z$7,AGR!$E$46:$L$46&amp;AGR!$E$48:$L$48,0)),""))</f>
        <v/>
      </c>
      <c r="AA103" s="296" t="str">
        <f t="array" aca="1" ref="AA103" ca="1">IF($A103="*","",IFERROR(INDEX(AGR!$E$52:$L$73,MATCH('TS DTech'!$C103,AGR!$B$52:$B$73,0),MATCH('TS DTech'!$B103&amp;AA$7,AGR!$E$46:$L$46&amp;AGR!$E$48:$L$48,0)),""))</f>
        <v/>
      </c>
      <c r="AB103" s="296" t="str">
        <f t="array" aca="1" ref="AB103" ca="1">IF($A103="*","",IFERROR(INDEX(AGR!$E$52:$L$73,MATCH('TS DTech'!$C103,AGR!$B$52:$B$73,0),MATCH('TS DTech'!$B103&amp;AB$7,AGR!$E$46:$L$46&amp;AGR!$E$48:$L$48,0)),""))</f>
        <v/>
      </c>
      <c r="AC103" s="296" t="str">
        <f t="array" aca="1" ref="AC103" ca="1">IF($A103="*","",IFERROR(INDEX(AGR!$E$52:$L$73,MATCH('TS DTech'!$C103,AGR!$B$52:$B$73,0),MATCH('TS DTech'!$B103&amp;AC$7,AGR!$E$46:$L$46&amp;AGR!$E$48:$L$48,0)),""))</f>
        <v/>
      </c>
      <c r="AD103" s="296" t="str">
        <f t="array" aca="1" ref="AD103" ca="1">IF($A103="*","",IFERROR(INDEX(AGR!$E$52:$L$73,MATCH('TS DTech'!$C103,AGR!$B$52:$B$73,0),MATCH('TS DTech'!$B103&amp;AD$7,AGR!$E$46:$L$46&amp;AGR!$E$48:$L$48,0)),""))</f>
        <v/>
      </c>
      <c r="AE103" s="296" t="str">
        <f t="array" aca="1" ref="AE103" ca="1">IF($A103="*","",IFERROR(INDEX(AGR!$E$52:$L$73,MATCH('TS DTech'!$C103,AGR!$B$52:$B$73,0),MATCH('TS DTech'!$B103&amp;AE$7,AGR!$E$46:$L$46&amp;AGR!$E$48:$L$48,0)),""))</f>
        <v/>
      </c>
      <c r="AF103" s="296" t="str">
        <f t="array" aca="1" ref="AF103" ca="1">IF($A103="*","",IFERROR(INDEX(AGR!$E$52:$L$73,MATCH('TS DTech'!$C103,AGR!$B$52:$B$73,0),MATCH('TS DTech'!$B103&amp;AF$7,AGR!$E$46:$L$46&amp;AGR!$E$48:$L$48,0)),""))</f>
        <v/>
      </c>
      <c r="AG103" s="296" t="str">
        <f t="array" aca="1" ref="AG103" ca="1">IF($A103="*","",IFERROR(INDEX(AGR!$E$52:$L$73,MATCH('TS DTech'!$C103,AGR!$B$52:$B$73,0),MATCH('TS DTech'!$B103&amp;AG$7,AGR!$E$46:$L$46&amp;AGR!$E$48:$L$48,0)),""))</f>
        <v/>
      </c>
      <c r="AH103" s="296" t="str">
        <f t="array" aca="1" ref="AH103" ca="1">IF($A103="*","",IFERROR(INDEX(AGR!$E$52:$L$73,MATCH('TS DTech'!$C103,AGR!$B$52:$B$73,0),MATCH('TS DTech'!$B103&amp;AH$7,AGR!$E$46:$L$46&amp;AGR!$E$48:$L$48,0)),""))</f>
        <v/>
      </c>
      <c r="AI103" s="296" t="str">
        <f t="array" aca="1" ref="AI103" ca="1">IF($A103="*","",IFERROR(INDEX(AGR!$E$52:$L$73,MATCH('TS DTech'!$C103,AGR!$B$52:$B$73,0),MATCH('TS DTech'!$B103&amp;AI$7,AGR!$E$46:$L$46&amp;AGR!$E$48:$L$48,0)),""))</f>
        <v/>
      </c>
      <c r="AJ103" s="296" t="str">
        <f t="array" aca="1" ref="AJ103" ca="1">IF($A103="*","",IFERROR(INDEX(AGR!$E$52:$L$73,MATCH('TS DTech'!$C103,AGR!$B$52:$B$73,0),MATCH('TS DTech'!$B103&amp;AJ$7,AGR!$E$46:$L$46&amp;AGR!$E$48:$L$48,0)),""))</f>
        <v/>
      </c>
      <c r="AK103" s="296" t="str">
        <f t="array" aca="1" ref="AK103" ca="1">IF($A103="*","",IFERROR(INDEX(AGR!$E$52:$L$73,MATCH('TS DTech'!$C103,AGR!$B$52:$B$73,0),MATCH('TS DTech'!$B103&amp;AK$7,AGR!$E$46:$L$46&amp;AGR!$E$48:$L$48,0)),""))</f>
        <v/>
      </c>
      <c r="AL103" s="296" t="str">
        <f t="array" aca="1" ref="AL103" ca="1">IF($A103="*","",IFERROR(INDEX(AGR!$E$52:$L$73,MATCH('TS DTech'!$C103,AGR!$B$52:$B$73,0),MATCH('TS DTech'!$B103&amp;AL$7,AGR!$E$46:$L$46&amp;AGR!$E$48:$L$48,0)),""))</f>
        <v/>
      </c>
      <c r="AM103" s="296" t="str">
        <f t="array" aca="1" ref="AM103" ca="1">IF($A103="*","",IFERROR(INDEX(AGR!$E$52:$L$73,MATCH('TS DTech'!$C103,AGR!$B$52:$B$73,0),MATCH('TS DTech'!$B103&amp;AM$7,AGR!$E$46:$L$46&amp;AGR!$E$48:$L$48,0)),""))</f>
        <v/>
      </c>
      <c r="AN103" s="296" t="str">
        <f t="array" aca="1" ref="AN103" ca="1">IF($A103="*","",IFERROR(INDEX(AGR!$E$52:$L$73,MATCH('TS DTech'!$C103,AGR!$B$52:$B$73,0),MATCH('TS DTech'!$B103&amp;AN$7,AGR!$E$46:$L$46&amp;AGR!$E$48:$L$48,0)),""))</f>
        <v/>
      </c>
      <c r="AO103" s="296" t="str">
        <f t="array" aca="1" ref="AO103" ca="1">IF($A103="*","",IFERROR(INDEX(AGR!$E$52:$L$73,MATCH('TS DTech'!$C103,AGR!$B$52:$B$73,0),MATCH('TS DTech'!$B103&amp;AO$7,AGR!$E$46:$L$46&amp;AGR!$E$48:$L$48,0)),""))</f>
        <v/>
      </c>
      <c r="AP103" s="296" t="str">
        <f t="array" aca="1" ref="AP103" ca="1">IF($A103="*","",IFERROR(INDEX(AGR!$E$52:$L$73,MATCH('TS DTech'!$C103,AGR!$B$52:$B$73,0),MATCH('TS DTech'!$B103&amp;AP$7,AGR!$E$46:$L$46&amp;AGR!$E$48:$L$48,0)),""))</f>
        <v/>
      </c>
      <c r="AQ103" s="137">
        <f>IF(AR102=AGR!$AD$74,AQ102+1,AQ102)</f>
        <v>4</v>
      </c>
      <c r="AR103" s="137">
        <f t="shared" si="8"/>
        <v>19</v>
      </c>
    </row>
    <row r="104" spans="1:44">
      <c r="A104" s="137" t="str">
        <f ca="1">IF(LEFT(OFFSET(AGR!$A$51,AR104,0),2)="\I","*","")</f>
        <v>*</v>
      </c>
      <c r="B104" s="212" t="str">
        <f t="shared" ca="1" si="7"/>
        <v/>
      </c>
      <c r="C104" s="212" t="str">
        <f ca="1">IF($A104="*","",OFFSET(AGR!$B$51,AR104,0))</f>
        <v/>
      </c>
      <c r="D104" s="212" t="str">
        <f t="shared" ca="1" si="9"/>
        <v/>
      </c>
      <c r="E104" s="212" t="str">
        <f t="shared" ca="1" si="9"/>
        <v/>
      </c>
      <c r="F104" s="212" t="str">
        <f t="shared" ca="1" si="9"/>
        <v/>
      </c>
      <c r="G104" s="212" t="str">
        <f t="shared" ca="1" si="9"/>
        <v/>
      </c>
      <c r="H104" s="212" t="str">
        <f t="shared" ca="1" si="9"/>
        <v/>
      </c>
      <c r="I104" s="213" t="str">
        <f t="shared" ca="1" si="9"/>
        <v/>
      </c>
      <c r="J104" s="296" t="str">
        <f t="array" aca="1" ref="J104" ca="1">IF($A104="*","",IFERROR(INDEX(AGR!$E$52:$L$73,MATCH('TS DTech'!$C104,AGR!$B$52:$B$73,0),MATCH('TS DTech'!$B104&amp;J$7,AGR!$E$46:$L$46&amp;AGR!$E$48:$L$48,0)),""))</f>
        <v/>
      </c>
      <c r="K104" s="296" t="str">
        <f t="array" aca="1" ref="K104" ca="1">IF($A104="*","",IFERROR(INDEX(AGR!$E$52:$L$73,MATCH('TS DTech'!$C104,AGR!$B$52:$B$73,0),MATCH('TS DTech'!$B104&amp;K$7,AGR!$E$46:$L$46&amp;AGR!$E$48:$L$48,0)),""))</f>
        <v/>
      </c>
      <c r="L104" s="296" t="str">
        <f t="array" aca="1" ref="L104" ca="1">IF($A104="*","",IFERROR(INDEX(AGR!$E$52:$L$73,MATCH('TS DTech'!$C104,AGR!$B$52:$B$73,0),MATCH('TS DTech'!$B104&amp;L$7,AGR!$E$46:$L$46&amp;AGR!$E$48:$L$48,0)),""))</f>
        <v/>
      </c>
      <c r="M104" s="296" t="str">
        <f t="array" aca="1" ref="M104" ca="1">IF($A104="*","",IFERROR(INDEX(AGR!$E$52:$L$73,MATCH('TS DTech'!$C104,AGR!$B$52:$B$73,0),MATCH('TS DTech'!$B104&amp;M$7,AGR!$E$46:$L$46&amp;AGR!$E$48:$L$48,0)),""))</f>
        <v/>
      </c>
      <c r="N104" s="296" t="str">
        <f t="array" aca="1" ref="N104" ca="1">IF($A104="*","",IFERROR(INDEX(AGR!$E$52:$L$73,MATCH('TS DTech'!$C104,AGR!$B$52:$B$73,0),MATCH('TS DTech'!$B104&amp;N$7,AGR!$E$46:$L$46&amp;AGR!$E$48:$L$48,0)),""))</f>
        <v/>
      </c>
      <c r="O104" s="296" t="str">
        <f t="array" aca="1" ref="O104" ca="1">IF($A104="*","",IFERROR(INDEX(AGR!$E$52:$L$73,MATCH('TS DTech'!$C104,AGR!$B$52:$B$73,0),MATCH('TS DTech'!$B104&amp;O$7,AGR!$E$46:$L$46&amp;AGR!$E$48:$L$48,0)),""))</f>
        <v/>
      </c>
      <c r="P104" s="296" t="str">
        <f t="array" aca="1" ref="P104" ca="1">IF($A104="*","",IFERROR(INDEX(AGR!$E$52:$L$73,MATCH('TS DTech'!$C104,AGR!$B$52:$B$73,0),MATCH('TS DTech'!$B104&amp;P$7,AGR!$E$46:$L$46&amp;AGR!$E$48:$L$48,0)),""))</f>
        <v/>
      </c>
      <c r="Q104" s="296" t="str">
        <f t="array" aca="1" ref="Q104" ca="1">IF($A104="*","",IFERROR(INDEX(AGR!$E$52:$L$73,MATCH('TS DTech'!$C104,AGR!$B$52:$B$73,0),MATCH('TS DTech'!$B104&amp;Q$7,AGR!$E$46:$L$46&amp;AGR!$E$48:$L$48,0)),""))</f>
        <v/>
      </c>
      <c r="R104" s="296" t="str">
        <f t="array" aca="1" ref="R104" ca="1">IF($A104="*","",IFERROR(INDEX(AGR!$E$52:$L$73,MATCH('TS DTech'!$C104,AGR!$B$52:$B$73,0),MATCH('TS DTech'!$B104&amp;R$7,AGR!$E$46:$L$46&amp;AGR!$E$48:$L$48,0)),""))</f>
        <v/>
      </c>
      <c r="S104" s="296" t="str">
        <f t="array" aca="1" ref="S104" ca="1">IF($A104="*","",IFERROR(INDEX(AGR!$E$52:$L$73,MATCH('TS DTech'!$C104,AGR!$B$52:$B$73,0),MATCH('TS DTech'!$B104&amp;S$7,AGR!$E$46:$L$46&amp;AGR!$E$48:$L$48,0)),""))</f>
        <v/>
      </c>
      <c r="T104" s="296" t="str">
        <f t="array" aca="1" ref="T104" ca="1">IF($A104="*","",IFERROR(INDEX(AGR!$E$52:$L$73,MATCH('TS DTech'!$C104,AGR!$B$52:$B$73,0),MATCH('TS DTech'!$B104&amp;T$7,AGR!$E$46:$L$46&amp;AGR!$E$48:$L$48,0)),""))</f>
        <v/>
      </c>
      <c r="U104" s="296" t="str">
        <f t="array" aca="1" ref="U104" ca="1">IF($A104="*","",IFERROR(INDEX(AGR!$E$52:$L$73,MATCH('TS DTech'!$C104,AGR!$B$52:$B$73,0),MATCH('TS DTech'!$B104&amp;U$7,AGR!$E$46:$L$46&amp;AGR!$E$48:$L$48,0)),""))</f>
        <v/>
      </c>
      <c r="V104" s="296" t="str">
        <f t="array" aca="1" ref="V104" ca="1">IF($A104="*","",IFERROR(INDEX(AGR!$E$52:$L$73,MATCH('TS DTech'!$C104,AGR!$B$52:$B$73,0),MATCH('TS DTech'!$B104&amp;V$7,AGR!$E$46:$L$46&amp;AGR!$E$48:$L$48,0)),""))</f>
        <v/>
      </c>
      <c r="W104" s="296" t="str">
        <f t="array" aca="1" ref="W104" ca="1">IF($A104="*","",IFERROR(INDEX(AGR!$E$52:$L$73,MATCH('TS DTech'!$C104,AGR!$B$52:$B$73,0),MATCH('TS DTech'!$B104&amp;W$7,AGR!$E$46:$L$46&amp;AGR!$E$48:$L$48,0)),""))</f>
        <v/>
      </c>
      <c r="X104" s="296" t="str">
        <f t="array" aca="1" ref="X104" ca="1">IF($A104="*","",IFERROR(INDEX(AGR!$E$52:$L$73,MATCH('TS DTech'!$C104,AGR!$B$52:$B$73,0),MATCH('TS DTech'!$B104&amp;X$7,AGR!$E$46:$L$46&amp;AGR!$E$48:$L$48,0)),""))</f>
        <v/>
      </c>
      <c r="Y104" s="296" t="str">
        <f t="array" aca="1" ref="Y104" ca="1">IF($A104="*","",IFERROR(INDEX(AGR!$E$52:$L$73,MATCH('TS DTech'!$C104,AGR!$B$52:$B$73,0),MATCH('TS DTech'!$B104&amp;Y$7,AGR!$E$46:$L$46&amp;AGR!$E$48:$L$48,0)),""))</f>
        <v/>
      </c>
      <c r="Z104" s="296" t="str">
        <f t="array" aca="1" ref="Z104" ca="1">IF($A104="*","",IFERROR(INDEX(AGR!$E$52:$L$73,MATCH('TS DTech'!$C104,AGR!$B$52:$B$73,0),MATCH('TS DTech'!$B104&amp;Z$7,AGR!$E$46:$L$46&amp;AGR!$E$48:$L$48,0)),""))</f>
        <v/>
      </c>
      <c r="AA104" s="296" t="str">
        <f t="array" aca="1" ref="AA104" ca="1">IF($A104="*","",IFERROR(INDEX(AGR!$E$52:$L$73,MATCH('TS DTech'!$C104,AGR!$B$52:$B$73,0),MATCH('TS DTech'!$B104&amp;AA$7,AGR!$E$46:$L$46&amp;AGR!$E$48:$L$48,0)),""))</f>
        <v/>
      </c>
      <c r="AB104" s="296" t="str">
        <f t="array" aca="1" ref="AB104" ca="1">IF($A104="*","",IFERROR(INDEX(AGR!$E$52:$L$73,MATCH('TS DTech'!$C104,AGR!$B$52:$B$73,0),MATCH('TS DTech'!$B104&amp;AB$7,AGR!$E$46:$L$46&amp;AGR!$E$48:$L$48,0)),""))</f>
        <v/>
      </c>
      <c r="AC104" s="296" t="str">
        <f t="array" aca="1" ref="AC104" ca="1">IF($A104="*","",IFERROR(INDEX(AGR!$E$52:$L$73,MATCH('TS DTech'!$C104,AGR!$B$52:$B$73,0),MATCH('TS DTech'!$B104&amp;AC$7,AGR!$E$46:$L$46&amp;AGR!$E$48:$L$48,0)),""))</f>
        <v/>
      </c>
      <c r="AD104" s="296" t="str">
        <f t="array" aca="1" ref="AD104" ca="1">IF($A104="*","",IFERROR(INDEX(AGR!$E$52:$L$73,MATCH('TS DTech'!$C104,AGR!$B$52:$B$73,0),MATCH('TS DTech'!$B104&amp;AD$7,AGR!$E$46:$L$46&amp;AGR!$E$48:$L$48,0)),""))</f>
        <v/>
      </c>
      <c r="AE104" s="296" t="str">
        <f t="array" aca="1" ref="AE104" ca="1">IF($A104="*","",IFERROR(INDEX(AGR!$E$52:$L$73,MATCH('TS DTech'!$C104,AGR!$B$52:$B$73,0),MATCH('TS DTech'!$B104&amp;AE$7,AGR!$E$46:$L$46&amp;AGR!$E$48:$L$48,0)),""))</f>
        <v/>
      </c>
      <c r="AF104" s="296" t="str">
        <f t="array" aca="1" ref="AF104" ca="1">IF($A104="*","",IFERROR(INDEX(AGR!$E$52:$L$73,MATCH('TS DTech'!$C104,AGR!$B$52:$B$73,0),MATCH('TS DTech'!$B104&amp;AF$7,AGR!$E$46:$L$46&amp;AGR!$E$48:$L$48,0)),""))</f>
        <v/>
      </c>
      <c r="AG104" s="296" t="str">
        <f t="array" aca="1" ref="AG104" ca="1">IF($A104="*","",IFERROR(INDEX(AGR!$E$52:$L$73,MATCH('TS DTech'!$C104,AGR!$B$52:$B$73,0),MATCH('TS DTech'!$B104&amp;AG$7,AGR!$E$46:$L$46&amp;AGR!$E$48:$L$48,0)),""))</f>
        <v/>
      </c>
      <c r="AH104" s="296" t="str">
        <f t="array" aca="1" ref="AH104" ca="1">IF($A104="*","",IFERROR(INDEX(AGR!$E$52:$L$73,MATCH('TS DTech'!$C104,AGR!$B$52:$B$73,0),MATCH('TS DTech'!$B104&amp;AH$7,AGR!$E$46:$L$46&amp;AGR!$E$48:$L$48,0)),""))</f>
        <v/>
      </c>
      <c r="AI104" s="296" t="str">
        <f t="array" aca="1" ref="AI104" ca="1">IF($A104="*","",IFERROR(INDEX(AGR!$E$52:$L$73,MATCH('TS DTech'!$C104,AGR!$B$52:$B$73,0),MATCH('TS DTech'!$B104&amp;AI$7,AGR!$E$46:$L$46&amp;AGR!$E$48:$L$48,0)),""))</f>
        <v/>
      </c>
      <c r="AJ104" s="296" t="str">
        <f t="array" aca="1" ref="AJ104" ca="1">IF($A104="*","",IFERROR(INDEX(AGR!$E$52:$L$73,MATCH('TS DTech'!$C104,AGR!$B$52:$B$73,0),MATCH('TS DTech'!$B104&amp;AJ$7,AGR!$E$46:$L$46&amp;AGR!$E$48:$L$48,0)),""))</f>
        <v/>
      </c>
      <c r="AK104" s="296" t="str">
        <f t="array" aca="1" ref="AK104" ca="1">IF($A104="*","",IFERROR(INDEX(AGR!$E$52:$L$73,MATCH('TS DTech'!$C104,AGR!$B$52:$B$73,0),MATCH('TS DTech'!$B104&amp;AK$7,AGR!$E$46:$L$46&amp;AGR!$E$48:$L$48,0)),""))</f>
        <v/>
      </c>
      <c r="AL104" s="296" t="str">
        <f t="array" aca="1" ref="AL104" ca="1">IF($A104="*","",IFERROR(INDEX(AGR!$E$52:$L$73,MATCH('TS DTech'!$C104,AGR!$B$52:$B$73,0),MATCH('TS DTech'!$B104&amp;AL$7,AGR!$E$46:$L$46&amp;AGR!$E$48:$L$48,0)),""))</f>
        <v/>
      </c>
      <c r="AM104" s="296" t="str">
        <f t="array" aca="1" ref="AM104" ca="1">IF($A104="*","",IFERROR(INDEX(AGR!$E$52:$L$73,MATCH('TS DTech'!$C104,AGR!$B$52:$B$73,0),MATCH('TS DTech'!$B104&amp;AM$7,AGR!$E$46:$L$46&amp;AGR!$E$48:$L$48,0)),""))</f>
        <v/>
      </c>
      <c r="AN104" s="296" t="str">
        <f t="array" aca="1" ref="AN104" ca="1">IF($A104="*","",IFERROR(INDEX(AGR!$E$52:$L$73,MATCH('TS DTech'!$C104,AGR!$B$52:$B$73,0),MATCH('TS DTech'!$B104&amp;AN$7,AGR!$E$46:$L$46&amp;AGR!$E$48:$L$48,0)),""))</f>
        <v/>
      </c>
      <c r="AO104" s="296" t="str">
        <f t="array" aca="1" ref="AO104" ca="1">IF($A104="*","",IFERROR(INDEX(AGR!$E$52:$L$73,MATCH('TS DTech'!$C104,AGR!$B$52:$B$73,0),MATCH('TS DTech'!$B104&amp;AO$7,AGR!$E$46:$L$46&amp;AGR!$E$48:$L$48,0)),""))</f>
        <v/>
      </c>
      <c r="AP104" s="296" t="str">
        <f t="array" aca="1" ref="AP104" ca="1">IF($A104="*","",IFERROR(INDEX(AGR!$E$52:$L$73,MATCH('TS DTech'!$C104,AGR!$B$52:$B$73,0),MATCH('TS DTech'!$B104&amp;AP$7,AGR!$E$46:$L$46&amp;AGR!$E$48:$L$48,0)),""))</f>
        <v/>
      </c>
      <c r="AQ104" s="137">
        <f>IF(AR103=AGR!$AD$74,AQ103+1,AQ103)</f>
        <v>4</v>
      </c>
      <c r="AR104" s="137">
        <f t="shared" si="8"/>
        <v>20</v>
      </c>
    </row>
    <row r="105" spans="1:44">
      <c r="A105" s="137" t="str">
        <f ca="1">IF(LEFT(OFFSET(AGR!$A$51,AR105,0),2)="\I","*","")</f>
        <v/>
      </c>
      <c r="B105" s="212" t="str">
        <f t="shared" ca="1" si="7"/>
        <v>NCAP_TLIFE</v>
      </c>
      <c r="C105" s="212" t="str">
        <f ca="1">IF($A105="*","",OFFSET(AGR!$B$51,AR105,0))</f>
        <v>AOELC-E</v>
      </c>
      <c r="D105" s="212" t="str">
        <f t="shared" ca="1" si="9"/>
        <v>-</v>
      </c>
      <c r="E105" s="212" t="str">
        <f t="shared" ca="1" si="9"/>
        <v>-</v>
      </c>
      <c r="F105" s="212" t="str">
        <f t="shared" ca="1" si="9"/>
        <v>-</v>
      </c>
      <c r="G105" s="212" t="str">
        <f t="shared" ca="1" si="9"/>
        <v>-</v>
      </c>
      <c r="H105" s="212" t="str">
        <f t="shared" ca="1" si="9"/>
        <v>-</v>
      </c>
      <c r="I105" s="213">
        <f t="shared" ca="1" si="9"/>
        <v>0</v>
      </c>
      <c r="J105" s="296" t="str">
        <f t="array" aca="1" ref="J105" ca="1">IF($A105="*","",IFERROR(INDEX(AGR!$E$52:$L$73,MATCH('TS DTech'!$C105,AGR!$B$52:$B$73,0),MATCH('TS DTech'!$B105&amp;J$7,AGR!$E$46:$L$46&amp;AGR!$E$48:$L$48,0)),""))</f>
        <v/>
      </c>
      <c r="K105" s="296" t="str">
        <f t="array" aca="1" ref="K105" ca="1">IF($A105="*","",IFERROR(INDEX(AGR!$E$52:$L$73,MATCH('TS DTech'!$C105,AGR!$B$52:$B$73,0),MATCH('TS DTech'!$B105&amp;K$7,AGR!$E$46:$L$46&amp;AGR!$E$48:$L$48,0)),""))</f>
        <v/>
      </c>
      <c r="L105" s="296" t="str">
        <f t="array" aca="1" ref="L105" ca="1">IF($A105="*","",IFERROR(INDEX(AGR!$E$52:$L$73,MATCH('TS DTech'!$C105,AGR!$B$52:$B$73,0),MATCH('TS DTech'!$B105&amp;L$7,AGR!$E$46:$L$46&amp;AGR!$E$48:$L$48,0)),""))</f>
        <v/>
      </c>
      <c r="M105" s="296" t="str">
        <f t="array" aca="1" ref="M105" ca="1">IF($A105="*","",IFERROR(INDEX(AGR!$E$52:$L$73,MATCH('TS DTech'!$C105,AGR!$B$52:$B$73,0),MATCH('TS DTech'!$B105&amp;M$7,AGR!$E$46:$L$46&amp;AGR!$E$48:$L$48,0)),""))</f>
        <v/>
      </c>
      <c r="N105" s="296" t="str">
        <f t="array" aca="1" ref="N105" ca="1">IF($A105="*","",IFERROR(INDEX(AGR!$E$52:$L$73,MATCH('TS DTech'!$C105,AGR!$B$52:$B$73,0),MATCH('TS DTech'!$B105&amp;N$7,AGR!$E$46:$L$46&amp;AGR!$E$48:$L$48,0)),""))</f>
        <v/>
      </c>
      <c r="O105" s="296" t="str">
        <f t="array" aca="1" ref="O105" ca="1">IF($A105="*","",IFERROR(INDEX(AGR!$E$52:$L$73,MATCH('TS DTech'!$C105,AGR!$B$52:$B$73,0),MATCH('TS DTech'!$B105&amp;O$7,AGR!$E$46:$L$46&amp;AGR!$E$48:$L$48,0)),""))</f>
        <v/>
      </c>
      <c r="P105" s="296" t="str">
        <f t="array" aca="1" ref="P105" ca="1">IF($A105="*","",IFERROR(INDEX(AGR!$E$52:$L$73,MATCH('TS DTech'!$C105,AGR!$B$52:$B$73,0),MATCH('TS DTech'!$B105&amp;P$7,AGR!$E$46:$L$46&amp;AGR!$E$48:$L$48,0)),""))</f>
        <v/>
      </c>
      <c r="Q105" s="296" t="str">
        <f t="array" aca="1" ref="Q105" ca="1">IF($A105="*","",IFERROR(INDEX(AGR!$E$52:$L$73,MATCH('TS DTech'!$C105,AGR!$B$52:$B$73,0),MATCH('TS DTech'!$B105&amp;Q$7,AGR!$E$46:$L$46&amp;AGR!$E$48:$L$48,0)),""))</f>
        <v/>
      </c>
      <c r="R105" s="296" t="str">
        <f t="array" aca="1" ref="R105" ca="1">IF($A105="*","",IFERROR(INDEX(AGR!$E$52:$L$73,MATCH('TS DTech'!$C105,AGR!$B$52:$B$73,0),MATCH('TS DTech'!$B105&amp;R$7,AGR!$E$46:$L$46&amp;AGR!$E$48:$L$48,0)),""))</f>
        <v/>
      </c>
      <c r="S105" s="296" t="str">
        <f t="array" aca="1" ref="S105" ca="1">IF($A105="*","",IFERROR(INDEX(AGR!$E$52:$L$73,MATCH('TS DTech'!$C105,AGR!$B$52:$B$73,0),MATCH('TS DTech'!$B105&amp;S$7,AGR!$E$46:$L$46&amp;AGR!$E$48:$L$48,0)),""))</f>
        <v/>
      </c>
      <c r="T105" s="296" t="str">
        <f t="array" aca="1" ref="T105" ca="1">IF($A105="*","",IFERROR(INDEX(AGR!$E$52:$L$73,MATCH('TS DTech'!$C105,AGR!$B$52:$B$73,0),MATCH('TS DTech'!$B105&amp;T$7,AGR!$E$46:$L$46&amp;AGR!$E$48:$L$48,0)),""))</f>
        <v/>
      </c>
      <c r="U105" s="296" t="str">
        <f t="array" aca="1" ref="U105" ca="1">IF($A105="*","",IFERROR(INDEX(AGR!$E$52:$L$73,MATCH('TS DTech'!$C105,AGR!$B$52:$B$73,0),MATCH('TS DTech'!$B105&amp;U$7,AGR!$E$46:$L$46&amp;AGR!$E$48:$L$48,0)),""))</f>
        <v/>
      </c>
      <c r="V105" s="296" t="str">
        <f t="array" aca="1" ref="V105" ca="1">IF($A105="*","",IFERROR(INDEX(AGR!$E$52:$L$73,MATCH('TS DTech'!$C105,AGR!$B$52:$B$73,0),MATCH('TS DTech'!$B105&amp;V$7,AGR!$E$46:$L$46&amp;AGR!$E$48:$L$48,0)),""))</f>
        <v/>
      </c>
      <c r="W105" s="296" t="str">
        <f t="array" aca="1" ref="W105" ca="1">IF($A105="*","",IFERROR(INDEX(AGR!$E$52:$L$73,MATCH('TS DTech'!$C105,AGR!$B$52:$B$73,0),MATCH('TS DTech'!$B105&amp;W$7,AGR!$E$46:$L$46&amp;AGR!$E$48:$L$48,0)),""))</f>
        <v/>
      </c>
      <c r="X105" s="296" t="str">
        <f t="array" aca="1" ref="X105" ca="1">IF($A105="*","",IFERROR(INDEX(AGR!$E$52:$L$73,MATCH('TS DTech'!$C105,AGR!$B$52:$B$73,0),MATCH('TS DTech'!$B105&amp;X$7,AGR!$E$46:$L$46&amp;AGR!$E$48:$L$48,0)),""))</f>
        <v/>
      </c>
      <c r="Y105" s="296" t="str">
        <f t="array" aca="1" ref="Y105" ca="1">IF($A105="*","",IFERROR(INDEX(AGR!$E$52:$L$73,MATCH('TS DTech'!$C105,AGR!$B$52:$B$73,0),MATCH('TS DTech'!$B105&amp;Y$7,AGR!$E$46:$L$46&amp;AGR!$E$48:$L$48,0)),""))</f>
        <v/>
      </c>
      <c r="Z105" s="296" t="str">
        <f t="array" aca="1" ref="Z105" ca="1">IF($A105="*","",IFERROR(INDEX(AGR!$E$52:$L$73,MATCH('TS DTech'!$C105,AGR!$B$52:$B$73,0),MATCH('TS DTech'!$B105&amp;Z$7,AGR!$E$46:$L$46&amp;AGR!$E$48:$L$48,0)),""))</f>
        <v/>
      </c>
      <c r="AA105" s="296" t="str">
        <f t="array" aca="1" ref="AA105" ca="1">IF($A105="*","",IFERROR(INDEX(AGR!$E$52:$L$73,MATCH('TS DTech'!$C105,AGR!$B$52:$B$73,0),MATCH('TS DTech'!$B105&amp;AA$7,AGR!$E$46:$L$46&amp;AGR!$E$48:$L$48,0)),""))</f>
        <v/>
      </c>
      <c r="AB105" s="296" t="str">
        <f t="array" aca="1" ref="AB105" ca="1">IF($A105="*","",IFERROR(INDEX(AGR!$E$52:$L$73,MATCH('TS DTech'!$C105,AGR!$B$52:$B$73,0),MATCH('TS DTech'!$B105&amp;AB$7,AGR!$E$46:$L$46&amp;AGR!$E$48:$L$48,0)),""))</f>
        <v/>
      </c>
      <c r="AC105" s="296" t="str">
        <f t="array" aca="1" ref="AC105" ca="1">IF($A105="*","",IFERROR(INDEX(AGR!$E$52:$L$73,MATCH('TS DTech'!$C105,AGR!$B$52:$B$73,0),MATCH('TS DTech'!$B105&amp;AC$7,AGR!$E$46:$L$46&amp;AGR!$E$48:$L$48,0)),""))</f>
        <v/>
      </c>
      <c r="AD105" s="296" t="str">
        <f t="array" aca="1" ref="AD105" ca="1">IF($A105="*","",IFERROR(INDEX(AGR!$E$52:$L$73,MATCH('TS DTech'!$C105,AGR!$B$52:$B$73,0),MATCH('TS DTech'!$B105&amp;AD$7,AGR!$E$46:$L$46&amp;AGR!$E$48:$L$48,0)),""))</f>
        <v/>
      </c>
      <c r="AE105" s="296" t="str">
        <f t="array" aca="1" ref="AE105" ca="1">IF($A105="*","",IFERROR(INDEX(AGR!$E$52:$L$73,MATCH('TS DTech'!$C105,AGR!$B$52:$B$73,0),MATCH('TS DTech'!$B105&amp;AE$7,AGR!$E$46:$L$46&amp;AGR!$E$48:$L$48,0)),""))</f>
        <v/>
      </c>
      <c r="AF105" s="296" t="str">
        <f t="array" aca="1" ref="AF105" ca="1">IF($A105="*","",IFERROR(INDEX(AGR!$E$52:$L$73,MATCH('TS DTech'!$C105,AGR!$B$52:$B$73,0),MATCH('TS DTech'!$B105&amp;AF$7,AGR!$E$46:$L$46&amp;AGR!$E$48:$L$48,0)),""))</f>
        <v/>
      </c>
      <c r="AG105" s="296" t="str">
        <f t="array" aca="1" ref="AG105" ca="1">IF($A105="*","",IFERROR(INDEX(AGR!$E$52:$L$73,MATCH('TS DTech'!$C105,AGR!$B$52:$B$73,0),MATCH('TS DTech'!$B105&amp;AG$7,AGR!$E$46:$L$46&amp;AGR!$E$48:$L$48,0)),""))</f>
        <v/>
      </c>
      <c r="AH105" s="296" t="str">
        <f t="array" aca="1" ref="AH105" ca="1">IF($A105="*","",IFERROR(INDEX(AGR!$E$52:$L$73,MATCH('TS DTech'!$C105,AGR!$B$52:$B$73,0),MATCH('TS DTech'!$B105&amp;AH$7,AGR!$E$46:$L$46&amp;AGR!$E$48:$L$48,0)),""))</f>
        <v/>
      </c>
      <c r="AI105" s="296" t="str">
        <f t="array" aca="1" ref="AI105" ca="1">IF($A105="*","",IFERROR(INDEX(AGR!$E$52:$L$73,MATCH('TS DTech'!$C105,AGR!$B$52:$B$73,0),MATCH('TS DTech'!$B105&amp;AI$7,AGR!$E$46:$L$46&amp;AGR!$E$48:$L$48,0)),""))</f>
        <v/>
      </c>
      <c r="AJ105" s="296" t="str">
        <f t="array" aca="1" ref="AJ105" ca="1">IF($A105="*","",IFERROR(INDEX(AGR!$E$52:$L$73,MATCH('TS DTech'!$C105,AGR!$B$52:$B$73,0),MATCH('TS DTech'!$B105&amp;AJ$7,AGR!$E$46:$L$46&amp;AGR!$E$48:$L$48,0)),""))</f>
        <v/>
      </c>
      <c r="AK105" s="296" t="str">
        <f t="array" aca="1" ref="AK105" ca="1">IF($A105="*","",IFERROR(INDEX(AGR!$E$52:$L$73,MATCH('TS DTech'!$C105,AGR!$B$52:$B$73,0),MATCH('TS DTech'!$B105&amp;AK$7,AGR!$E$46:$L$46&amp;AGR!$E$48:$L$48,0)),""))</f>
        <v/>
      </c>
      <c r="AL105" s="296" t="str">
        <f t="array" aca="1" ref="AL105" ca="1">IF($A105="*","",IFERROR(INDEX(AGR!$E$52:$L$73,MATCH('TS DTech'!$C105,AGR!$B$52:$B$73,0),MATCH('TS DTech'!$B105&amp;AL$7,AGR!$E$46:$L$46&amp;AGR!$E$48:$L$48,0)),""))</f>
        <v/>
      </c>
      <c r="AM105" s="296" t="str">
        <f t="array" aca="1" ref="AM105" ca="1">IF($A105="*","",IFERROR(INDEX(AGR!$E$52:$L$73,MATCH('TS DTech'!$C105,AGR!$B$52:$B$73,0),MATCH('TS DTech'!$B105&amp;AM$7,AGR!$E$46:$L$46&amp;AGR!$E$48:$L$48,0)),""))</f>
        <v/>
      </c>
      <c r="AN105" s="296" t="str">
        <f t="array" aca="1" ref="AN105" ca="1">IF($A105="*","",IFERROR(INDEX(AGR!$E$52:$L$73,MATCH('TS DTech'!$C105,AGR!$B$52:$B$73,0),MATCH('TS DTech'!$B105&amp;AN$7,AGR!$E$46:$L$46&amp;AGR!$E$48:$L$48,0)),""))</f>
        <v/>
      </c>
      <c r="AO105" s="296" t="str">
        <f t="array" aca="1" ref="AO105" ca="1">IF($A105="*","",IFERROR(INDEX(AGR!$E$52:$L$73,MATCH('TS DTech'!$C105,AGR!$B$52:$B$73,0),MATCH('TS DTech'!$B105&amp;AO$7,AGR!$E$46:$L$46&amp;AGR!$E$48:$L$48,0)),""))</f>
        <v/>
      </c>
      <c r="AP105" s="296" t="str">
        <f t="array" aca="1" ref="AP105" ca="1">IF($A105="*","",IFERROR(INDEX(AGR!$E$52:$L$73,MATCH('TS DTech'!$C105,AGR!$B$52:$B$73,0),MATCH('TS DTech'!$B105&amp;AP$7,AGR!$E$46:$L$46&amp;AGR!$E$48:$L$48,0)),""))</f>
        <v/>
      </c>
      <c r="AQ105" s="137">
        <f>IF(AR104=AGR!$AD$74,AQ104+1,AQ104)</f>
        <v>4</v>
      </c>
      <c r="AR105" s="137">
        <f t="shared" si="8"/>
        <v>21</v>
      </c>
    </row>
    <row r="106" spans="1:44">
      <c r="A106" s="137" t="str">
        <f ca="1">IF(LEFT(OFFSET(AGR!$A$51,AR106,0),2)="\I","*","")</f>
        <v>*</v>
      </c>
      <c r="B106" s="212" t="str">
        <f t="shared" ca="1" si="7"/>
        <v/>
      </c>
      <c r="C106" s="212" t="str">
        <f ca="1">IF($A106="*","",OFFSET(AGR!$B$51,AR106,0))</f>
        <v/>
      </c>
      <c r="D106" s="212" t="str">
        <f t="shared" ca="1" si="9"/>
        <v/>
      </c>
      <c r="E106" s="212" t="str">
        <f t="shared" ca="1" si="9"/>
        <v/>
      </c>
      <c r="F106" s="212" t="str">
        <f t="shared" ca="1" si="9"/>
        <v/>
      </c>
      <c r="G106" s="212" t="str">
        <f t="shared" ca="1" si="9"/>
        <v/>
      </c>
      <c r="H106" s="212" t="str">
        <f t="shared" ca="1" si="9"/>
        <v/>
      </c>
      <c r="I106" s="213" t="str">
        <f t="shared" ca="1" si="9"/>
        <v/>
      </c>
      <c r="J106" s="296" t="str">
        <f t="array" aca="1" ref="J106" ca="1">IF($A106="*","",IFERROR(INDEX(AGR!$E$52:$L$73,MATCH('TS DTech'!$C106,AGR!$B$52:$B$73,0),MATCH('TS DTech'!$B106&amp;J$7,AGR!$E$46:$L$46&amp;AGR!$E$48:$L$48,0)),""))</f>
        <v/>
      </c>
      <c r="K106" s="296" t="str">
        <f t="array" aca="1" ref="K106" ca="1">IF($A106="*","",IFERROR(INDEX(AGR!$E$52:$L$73,MATCH('TS DTech'!$C106,AGR!$B$52:$B$73,0),MATCH('TS DTech'!$B106&amp;K$7,AGR!$E$46:$L$46&amp;AGR!$E$48:$L$48,0)),""))</f>
        <v/>
      </c>
      <c r="L106" s="296" t="str">
        <f t="array" aca="1" ref="L106" ca="1">IF($A106="*","",IFERROR(INDEX(AGR!$E$52:$L$73,MATCH('TS DTech'!$C106,AGR!$B$52:$B$73,0),MATCH('TS DTech'!$B106&amp;L$7,AGR!$E$46:$L$46&amp;AGR!$E$48:$L$48,0)),""))</f>
        <v/>
      </c>
      <c r="M106" s="296" t="str">
        <f t="array" aca="1" ref="M106" ca="1">IF($A106="*","",IFERROR(INDEX(AGR!$E$52:$L$73,MATCH('TS DTech'!$C106,AGR!$B$52:$B$73,0),MATCH('TS DTech'!$B106&amp;M$7,AGR!$E$46:$L$46&amp;AGR!$E$48:$L$48,0)),""))</f>
        <v/>
      </c>
      <c r="N106" s="296" t="str">
        <f t="array" aca="1" ref="N106" ca="1">IF($A106="*","",IFERROR(INDEX(AGR!$E$52:$L$73,MATCH('TS DTech'!$C106,AGR!$B$52:$B$73,0),MATCH('TS DTech'!$B106&amp;N$7,AGR!$E$46:$L$46&amp;AGR!$E$48:$L$48,0)),""))</f>
        <v/>
      </c>
      <c r="O106" s="296" t="str">
        <f t="array" aca="1" ref="O106" ca="1">IF($A106="*","",IFERROR(INDEX(AGR!$E$52:$L$73,MATCH('TS DTech'!$C106,AGR!$B$52:$B$73,0),MATCH('TS DTech'!$B106&amp;O$7,AGR!$E$46:$L$46&amp;AGR!$E$48:$L$48,0)),""))</f>
        <v/>
      </c>
      <c r="P106" s="296" t="str">
        <f t="array" aca="1" ref="P106" ca="1">IF($A106="*","",IFERROR(INDEX(AGR!$E$52:$L$73,MATCH('TS DTech'!$C106,AGR!$B$52:$B$73,0),MATCH('TS DTech'!$B106&amp;P$7,AGR!$E$46:$L$46&amp;AGR!$E$48:$L$48,0)),""))</f>
        <v/>
      </c>
      <c r="Q106" s="296" t="str">
        <f t="array" aca="1" ref="Q106" ca="1">IF($A106="*","",IFERROR(INDEX(AGR!$E$52:$L$73,MATCH('TS DTech'!$C106,AGR!$B$52:$B$73,0),MATCH('TS DTech'!$B106&amp;Q$7,AGR!$E$46:$L$46&amp;AGR!$E$48:$L$48,0)),""))</f>
        <v/>
      </c>
      <c r="R106" s="296" t="str">
        <f t="array" aca="1" ref="R106" ca="1">IF($A106="*","",IFERROR(INDEX(AGR!$E$52:$L$73,MATCH('TS DTech'!$C106,AGR!$B$52:$B$73,0),MATCH('TS DTech'!$B106&amp;R$7,AGR!$E$46:$L$46&amp;AGR!$E$48:$L$48,0)),""))</f>
        <v/>
      </c>
      <c r="S106" s="296" t="str">
        <f t="array" aca="1" ref="S106" ca="1">IF($A106="*","",IFERROR(INDEX(AGR!$E$52:$L$73,MATCH('TS DTech'!$C106,AGR!$B$52:$B$73,0),MATCH('TS DTech'!$B106&amp;S$7,AGR!$E$46:$L$46&amp;AGR!$E$48:$L$48,0)),""))</f>
        <v/>
      </c>
      <c r="T106" s="296" t="str">
        <f t="array" aca="1" ref="T106" ca="1">IF($A106="*","",IFERROR(INDEX(AGR!$E$52:$L$73,MATCH('TS DTech'!$C106,AGR!$B$52:$B$73,0),MATCH('TS DTech'!$B106&amp;T$7,AGR!$E$46:$L$46&amp;AGR!$E$48:$L$48,0)),""))</f>
        <v/>
      </c>
      <c r="U106" s="296" t="str">
        <f t="array" aca="1" ref="U106" ca="1">IF($A106="*","",IFERROR(INDEX(AGR!$E$52:$L$73,MATCH('TS DTech'!$C106,AGR!$B$52:$B$73,0),MATCH('TS DTech'!$B106&amp;U$7,AGR!$E$46:$L$46&amp;AGR!$E$48:$L$48,0)),""))</f>
        <v/>
      </c>
      <c r="V106" s="296" t="str">
        <f t="array" aca="1" ref="V106" ca="1">IF($A106="*","",IFERROR(INDEX(AGR!$E$52:$L$73,MATCH('TS DTech'!$C106,AGR!$B$52:$B$73,0),MATCH('TS DTech'!$B106&amp;V$7,AGR!$E$46:$L$46&amp;AGR!$E$48:$L$48,0)),""))</f>
        <v/>
      </c>
      <c r="W106" s="296" t="str">
        <f t="array" aca="1" ref="W106" ca="1">IF($A106="*","",IFERROR(INDEX(AGR!$E$52:$L$73,MATCH('TS DTech'!$C106,AGR!$B$52:$B$73,0),MATCH('TS DTech'!$B106&amp;W$7,AGR!$E$46:$L$46&amp;AGR!$E$48:$L$48,0)),""))</f>
        <v/>
      </c>
      <c r="X106" s="296" t="str">
        <f t="array" aca="1" ref="X106" ca="1">IF($A106="*","",IFERROR(INDEX(AGR!$E$52:$L$73,MATCH('TS DTech'!$C106,AGR!$B$52:$B$73,0),MATCH('TS DTech'!$B106&amp;X$7,AGR!$E$46:$L$46&amp;AGR!$E$48:$L$48,0)),""))</f>
        <v/>
      </c>
      <c r="Y106" s="296" t="str">
        <f t="array" aca="1" ref="Y106" ca="1">IF($A106="*","",IFERROR(INDEX(AGR!$E$52:$L$73,MATCH('TS DTech'!$C106,AGR!$B$52:$B$73,0),MATCH('TS DTech'!$B106&amp;Y$7,AGR!$E$46:$L$46&amp;AGR!$E$48:$L$48,0)),""))</f>
        <v/>
      </c>
      <c r="Z106" s="296" t="str">
        <f t="array" aca="1" ref="Z106" ca="1">IF($A106="*","",IFERROR(INDEX(AGR!$E$52:$L$73,MATCH('TS DTech'!$C106,AGR!$B$52:$B$73,0),MATCH('TS DTech'!$B106&amp;Z$7,AGR!$E$46:$L$46&amp;AGR!$E$48:$L$48,0)),""))</f>
        <v/>
      </c>
      <c r="AA106" s="296" t="str">
        <f t="array" aca="1" ref="AA106" ca="1">IF($A106="*","",IFERROR(INDEX(AGR!$E$52:$L$73,MATCH('TS DTech'!$C106,AGR!$B$52:$B$73,0),MATCH('TS DTech'!$B106&amp;AA$7,AGR!$E$46:$L$46&amp;AGR!$E$48:$L$48,0)),""))</f>
        <v/>
      </c>
      <c r="AB106" s="296" t="str">
        <f t="array" aca="1" ref="AB106" ca="1">IF($A106="*","",IFERROR(INDEX(AGR!$E$52:$L$73,MATCH('TS DTech'!$C106,AGR!$B$52:$B$73,0),MATCH('TS DTech'!$B106&amp;AB$7,AGR!$E$46:$L$46&amp;AGR!$E$48:$L$48,0)),""))</f>
        <v/>
      </c>
      <c r="AC106" s="296" t="str">
        <f t="array" aca="1" ref="AC106" ca="1">IF($A106="*","",IFERROR(INDEX(AGR!$E$52:$L$73,MATCH('TS DTech'!$C106,AGR!$B$52:$B$73,0),MATCH('TS DTech'!$B106&amp;AC$7,AGR!$E$46:$L$46&amp;AGR!$E$48:$L$48,0)),""))</f>
        <v/>
      </c>
      <c r="AD106" s="296" t="str">
        <f t="array" aca="1" ref="AD106" ca="1">IF($A106="*","",IFERROR(INDEX(AGR!$E$52:$L$73,MATCH('TS DTech'!$C106,AGR!$B$52:$B$73,0),MATCH('TS DTech'!$B106&amp;AD$7,AGR!$E$46:$L$46&amp;AGR!$E$48:$L$48,0)),""))</f>
        <v/>
      </c>
      <c r="AE106" s="296" t="str">
        <f t="array" aca="1" ref="AE106" ca="1">IF($A106="*","",IFERROR(INDEX(AGR!$E$52:$L$73,MATCH('TS DTech'!$C106,AGR!$B$52:$B$73,0),MATCH('TS DTech'!$B106&amp;AE$7,AGR!$E$46:$L$46&amp;AGR!$E$48:$L$48,0)),""))</f>
        <v/>
      </c>
      <c r="AF106" s="296" t="str">
        <f t="array" aca="1" ref="AF106" ca="1">IF($A106="*","",IFERROR(INDEX(AGR!$E$52:$L$73,MATCH('TS DTech'!$C106,AGR!$B$52:$B$73,0),MATCH('TS DTech'!$B106&amp;AF$7,AGR!$E$46:$L$46&amp;AGR!$E$48:$L$48,0)),""))</f>
        <v/>
      </c>
      <c r="AG106" s="296" t="str">
        <f t="array" aca="1" ref="AG106" ca="1">IF($A106="*","",IFERROR(INDEX(AGR!$E$52:$L$73,MATCH('TS DTech'!$C106,AGR!$B$52:$B$73,0),MATCH('TS DTech'!$B106&amp;AG$7,AGR!$E$46:$L$46&amp;AGR!$E$48:$L$48,0)),""))</f>
        <v/>
      </c>
      <c r="AH106" s="296" t="str">
        <f t="array" aca="1" ref="AH106" ca="1">IF($A106="*","",IFERROR(INDEX(AGR!$E$52:$L$73,MATCH('TS DTech'!$C106,AGR!$B$52:$B$73,0),MATCH('TS DTech'!$B106&amp;AH$7,AGR!$E$46:$L$46&amp;AGR!$E$48:$L$48,0)),""))</f>
        <v/>
      </c>
      <c r="AI106" s="296" t="str">
        <f t="array" aca="1" ref="AI106" ca="1">IF($A106="*","",IFERROR(INDEX(AGR!$E$52:$L$73,MATCH('TS DTech'!$C106,AGR!$B$52:$B$73,0),MATCH('TS DTech'!$B106&amp;AI$7,AGR!$E$46:$L$46&amp;AGR!$E$48:$L$48,0)),""))</f>
        <v/>
      </c>
      <c r="AJ106" s="296" t="str">
        <f t="array" aca="1" ref="AJ106" ca="1">IF($A106="*","",IFERROR(INDEX(AGR!$E$52:$L$73,MATCH('TS DTech'!$C106,AGR!$B$52:$B$73,0),MATCH('TS DTech'!$B106&amp;AJ$7,AGR!$E$46:$L$46&amp;AGR!$E$48:$L$48,0)),""))</f>
        <v/>
      </c>
      <c r="AK106" s="296" t="str">
        <f t="array" aca="1" ref="AK106" ca="1">IF($A106="*","",IFERROR(INDEX(AGR!$E$52:$L$73,MATCH('TS DTech'!$C106,AGR!$B$52:$B$73,0),MATCH('TS DTech'!$B106&amp;AK$7,AGR!$E$46:$L$46&amp;AGR!$E$48:$L$48,0)),""))</f>
        <v/>
      </c>
      <c r="AL106" s="296" t="str">
        <f t="array" aca="1" ref="AL106" ca="1">IF($A106="*","",IFERROR(INDEX(AGR!$E$52:$L$73,MATCH('TS DTech'!$C106,AGR!$B$52:$B$73,0),MATCH('TS DTech'!$B106&amp;AL$7,AGR!$E$46:$L$46&amp;AGR!$E$48:$L$48,0)),""))</f>
        <v/>
      </c>
      <c r="AM106" s="296" t="str">
        <f t="array" aca="1" ref="AM106" ca="1">IF($A106="*","",IFERROR(INDEX(AGR!$E$52:$L$73,MATCH('TS DTech'!$C106,AGR!$B$52:$B$73,0),MATCH('TS DTech'!$B106&amp;AM$7,AGR!$E$46:$L$46&amp;AGR!$E$48:$L$48,0)),""))</f>
        <v/>
      </c>
      <c r="AN106" s="296" t="str">
        <f t="array" aca="1" ref="AN106" ca="1">IF($A106="*","",IFERROR(INDEX(AGR!$E$52:$L$73,MATCH('TS DTech'!$C106,AGR!$B$52:$B$73,0),MATCH('TS DTech'!$B106&amp;AN$7,AGR!$E$46:$L$46&amp;AGR!$E$48:$L$48,0)),""))</f>
        <v/>
      </c>
      <c r="AO106" s="296" t="str">
        <f t="array" aca="1" ref="AO106" ca="1">IF($A106="*","",IFERROR(INDEX(AGR!$E$52:$L$73,MATCH('TS DTech'!$C106,AGR!$B$52:$B$73,0),MATCH('TS DTech'!$B106&amp;AO$7,AGR!$E$46:$L$46&amp;AGR!$E$48:$L$48,0)),""))</f>
        <v/>
      </c>
      <c r="AP106" s="296" t="str">
        <f t="array" aca="1" ref="AP106" ca="1">IF($A106="*","",IFERROR(INDEX(AGR!$E$52:$L$73,MATCH('TS DTech'!$C106,AGR!$B$52:$B$73,0),MATCH('TS DTech'!$B106&amp;AP$7,AGR!$E$46:$L$46&amp;AGR!$E$48:$L$48,0)),""))</f>
        <v/>
      </c>
      <c r="AQ106" s="137">
        <f>IF(AR105=AGR!$AD$74,AQ105+1,AQ105)</f>
        <v>4</v>
      </c>
      <c r="AR106" s="137">
        <f t="shared" si="8"/>
        <v>22</v>
      </c>
    </row>
    <row r="107" spans="1:44">
      <c r="A107" s="137" t="str">
        <f ca="1">IF(LEFT(OFFSET(AGR!$A$51,AR107,0),2)="\I","*","")</f>
        <v>*</v>
      </c>
      <c r="B107" s="212" t="str">
        <f t="shared" ca="1" si="7"/>
        <v/>
      </c>
      <c r="C107" s="212" t="str">
        <f ca="1">IF($A107="*","",OFFSET(AGR!$B$51,AR107,0))</f>
        <v/>
      </c>
      <c r="D107" s="212" t="str">
        <f t="shared" ca="1" si="9"/>
        <v/>
      </c>
      <c r="E107" s="212" t="str">
        <f t="shared" ca="1" si="9"/>
        <v/>
      </c>
      <c r="F107" s="212" t="str">
        <f t="shared" ca="1" si="9"/>
        <v/>
      </c>
      <c r="G107" s="212" t="str">
        <f t="shared" ca="1" si="9"/>
        <v/>
      </c>
      <c r="H107" s="212" t="str">
        <f t="shared" ca="1" si="9"/>
        <v/>
      </c>
      <c r="I107" s="213" t="str">
        <f t="shared" ca="1" si="9"/>
        <v/>
      </c>
      <c r="J107" s="296" t="str">
        <f t="array" aca="1" ref="J107" ca="1">IF($A107="*","",IFERROR(INDEX(AGR!$E$52:$L$73,MATCH('TS DTech'!$C107,AGR!$B$52:$B$73,0),MATCH('TS DTech'!$B107&amp;J$7,AGR!$E$46:$L$46&amp;AGR!$E$48:$L$48,0)),""))</f>
        <v/>
      </c>
      <c r="K107" s="296" t="str">
        <f t="array" aca="1" ref="K107" ca="1">IF($A107="*","",IFERROR(INDEX(AGR!$E$52:$L$73,MATCH('TS DTech'!$C107,AGR!$B$52:$B$73,0),MATCH('TS DTech'!$B107&amp;K$7,AGR!$E$46:$L$46&amp;AGR!$E$48:$L$48,0)),""))</f>
        <v/>
      </c>
      <c r="L107" s="296" t="str">
        <f t="array" aca="1" ref="L107" ca="1">IF($A107="*","",IFERROR(INDEX(AGR!$E$52:$L$73,MATCH('TS DTech'!$C107,AGR!$B$52:$B$73,0),MATCH('TS DTech'!$B107&amp;L$7,AGR!$E$46:$L$46&amp;AGR!$E$48:$L$48,0)),""))</f>
        <v/>
      </c>
      <c r="M107" s="296" t="str">
        <f t="array" aca="1" ref="M107" ca="1">IF($A107="*","",IFERROR(INDEX(AGR!$E$52:$L$73,MATCH('TS DTech'!$C107,AGR!$B$52:$B$73,0),MATCH('TS DTech'!$B107&amp;M$7,AGR!$E$46:$L$46&amp;AGR!$E$48:$L$48,0)),""))</f>
        <v/>
      </c>
      <c r="N107" s="296" t="str">
        <f t="array" aca="1" ref="N107" ca="1">IF($A107="*","",IFERROR(INDEX(AGR!$E$52:$L$73,MATCH('TS DTech'!$C107,AGR!$B$52:$B$73,0),MATCH('TS DTech'!$B107&amp;N$7,AGR!$E$46:$L$46&amp;AGR!$E$48:$L$48,0)),""))</f>
        <v/>
      </c>
      <c r="O107" s="296" t="str">
        <f t="array" aca="1" ref="O107" ca="1">IF($A107="*","",IFERROR(INDEX(AGR!$E$52:$L$73,MATCH('TS DTech'!$C107,AGR!$B$52:$B$73,0),MATCH('TS DTech'!$B107&amp;O$7,AGR!$E$46:$L$46&amp;AGR!$E$48:$L$48,0)),""))</f>
        <v/>
      </c>
      <c r="P107" s="296" t="str">
        <f t="array" aca="1" ref="P107" ca="1">IF($A107="*","",IFERROR(INDEX(AGR!$E$52:$L$73,MATCH('TS DTech'!$C107,AGR!$B$52:$B$73,0),MATCH('TS DTech'!$B107&amp;P$7,AGR!$E$46:$L$46&amp;AGR!$E$48:$L$48,0)),""))</f>
        <v/>
      </c>
      <c r="Q107" s="296" t="str">
        <f t="array" aca="1" ref="Q107" ca="1">IF($A107="*","",IFERROR(INDEX(AGR!$E$52:$L$73,MATCH('TS DTech'!$C107,AGR!$B$52:$B$73,0),MATCH('TS DTech'!$B107&amp;Q$7,AGR!$E$46:$L$46&amp;AGR!$E$48:$L$48,0)),""))</f>
        <v/>
      </c>
      <c r="R107" s="296" t="str">
        <f t="array" aca="1" ref="R107" ca="1">IF($A107="*","",IFERROR(INDEX(AGR!$E$52:$L$73,MATCH('TS DTech'!$C107,AGR!$B$52:$B$73,0),MATCH('TS DTech'!$B107&amp;R$7,AGR!$E$46:$L$46&amp;AGR!$E$48:$L$48,0)),""))</f>
        <v/>
      </c>
      <c r="S107" s="296" t="str">
        <f t="array" aca="1" ref="S107" ca="1">IF($A107="*","",IFERROR(INDEX(AGR!$E$52:$L$73,MATCH('TS DTech'!$C107,AGR!$B$52:$B$73,0),MATCH('TS DTech'!$B107&amp;S$7,AGR!$E$46:$L$46&amp;AGR!$E$48:$L$48,0)),""))</f>
        <v/>
      </c>
      <c r="T107" s="296" t="str">
        <f t="array" aca="1" ref="T107" ca="1">IF($A107="*","",IFERROR(INDEX(AGR!$E$52:$L$73,MATCH('TS DTech'!$C107,AGR!$B$52:$B$73,0),MATCH('TS DTech'!$B107&amp;T$7,AGR!$E$46:$L$46&amp;AGR!$E$48:$L$48,0)),""))</f>
        <v/>
      </c>
      <c r="U107" s="296" t="str">
        <f t="array" aca="1" ref="U107" ca="1">IF($A107="*","",IFERROR(INDEX(AGR!$E$52:$L$73,MATCH('TS DTech'!$C107,AGR!$B$52:$B$73,0),MATCH('TS DTech'!$B107&amp;U$7,AGR!$E$46:$L$46&amp;AGR!$E$48:$L$48,0)),""))</f>
        <v/>
      </c>
      <c r="V107" s="296" t="str">
        <f t="array" aca="1" ref="V107" ca="1">IF($A107="*","",IFERROR(INDEX(AGR!$E$52:$L$73,MATCH('TS DTech'!$C107,AGR!$B$52:$B$73,0),MATCH('TS DTech'!$B107&amp;V$7,AGR!$E$46:$L$46&amp;AGR!$E$48:$L$48,0)),""))</f>
        <v/>
      </c>
      <c r="W107" s="296" t="str">
        <f t="array" aca="1" ref="W107" ca="1">IF($A107="*","",IFERROR(INDEX(AGR!$E$52:$L$73,MATCH('TS DTech'!$C107,AGR!$B$52:$B$73,0),MATCH('TS DTech'!$B107&amp;W$7,AGR!$E$46:$L$46&amp;AGR!$E$48:$L$48,0)),""))</f>
        <v/>
      </c>
      <c r="X107" s="296" t="str">
        <f t="array" aca="1" ref="X107" ca="1">IF($A107="*","",IFERROR(INDEX(AGR!$E$52:$L$73,MATCH('TS DTech'!$C107,AGR!$B$52:$B$73,0),MATCH('TS DTech'!$B107&amp;X$7,AGR!$E$46:$L$46&amp;AGR!$E$48:$L$48,0)),""))</f>
        <v/>
      </c>
      <c r="Y107" s="296" t="str">
        <f t="array" aca="1" ref="Y107" ca="1">IF($A107="*","",IFERROR(INDEX(AGR!$E$52:$L$73,MATCH('TS DTech'!$C107,AGR!$B$52:$B$73,0),MATCH('TS DTech'!$B107&amp;Y$7,AGR!$E$46:$L$46&amp;AGR!$E$48:$L$48,0)),""))</f>
        <v/>
      </c>
      <c r="Z107" s="296" t="str">
        <f t="array" aca="1" ref="Z107" ca="1">IF($A107="*","",IFERROR(INDEX(AGR!$E$52:$L$73,MATCH('TS DTech'!$C107,AGR!$B$52:$B$73,0),MATCH('TS DTech'!$B107&amp;Z$7,AGR!$E$46:$L$46&amp;AGR!$E$48:$L$48,0)),""))</f>
        <v/>
      </c>
      <c r="AA107" s="296" t="str">
        <f t="array" aca="1" ref="AA107" ca="1">IF($A107="*","",IFERROR(INDEX(AGR!$E$52:$L$73,MATCH('TS DTech'!$C107,AGR!$B$52:$B$73,0),MATCH('TS DTech'!$B107&amp;AA$7,AGR!$E$46:$L$46&amp;AGR!$E$48:$L$48,0)),""))</f>
        <v/>
      </c>
      <c r="AB107" s="296" t="str">
        <f t="array" aca="1" ref="AB107" ca="1">IF($A107="*","",IFERROR(INDEX(AGR!$E$52:$L$73,MATCH('TS DTech'!$C107,AGR!$B$52:$B$73,0),MATCH('TS DTech'!$B107&amp;AB$7,AGR!$E$46:$L$46&amp;AGR!$E$48:$L$48,0)),""))</f>
        <v/>
      </c>
      <c r="AC107" s="296" t="str">
        <f t="array" aca="1" ref="AC107" ca="1">IF($A107="*","",IFERROR(INDEX(AGR!$E$52:$L$73,MATCH('TS DTech'!$C107,AGR!$B$52:$B$73,0),MATCH('TS DTech'!$B107&amp;AC$7,AGR!$E$46:$L$46&amp;AGR!$E$48:$L$48,0)),""))</f>
        <v/>
      </c>
      <c r="AD107" s="296" t="str">
        <f t="array" aca="1" ref="AD107" ca="1">IF($A107="*","",IFERROR(INDEX(AGR!$E$52:$L$73,MATCH('TS DTech'!$C107,AGR!$B$52:$B$73,0),MATCH('TS DTech'!$B107&amp;AD$7,AGR!$E$46:$L$46&amp;AGR!$E$48:$L$48,0)),""))</f>
        <v/>
      </c>
      <c r="AE107" s="296" t="str">
        <f t="array" aca="1" ref="AE107" ca="1">IF($A107="*","",IFERROR(INDEX(AGR!$E$52:$L$73,MATCH('TS DTech'!$C107,AGR!$B$52:$B$73,0),MATCH('TS DTech'!$B107&amp;AE$7,AGR!$E$46:$L$46&amp;AGR!$E$48:$L$48,0)),""))</f>
        <v/>
      </c>
      <c r="AF107" s="296" t="str">
        <f t="array" aca="1" ref="AF107" ca="1">IF($A107="*","",IFERROR(INDEX(AGR!$E$52:$L$73,MATCH('TS DTech'!$C107,AGR!$B$52:$B$73,0),MATCH('TS DTech'!$B107&amp;AF$7,AGR!$E$46:$L$46&amp;AGR!$E$48:$L$48,0)),""))</f>
        <v/>
      </c>
      <c r="AG107" s="296" t="str">
        <f t="array" aca="1" ref="AG107" ca="1">IF($A107="*","",IFERROR(INDEX(AGR!$E$52:$L$73,MATCH('TS DTech'!$C107,AGR!$B$52:$B$73,0),MATCH('TS DTech'!$B107&amp;AG$7,AGR!$E$46:$L$46&amp;AGR!$E$48:$L$48,0)),""))</f>
        <v/>
      </c>
      <c r="AH107" s="296" t="str">
        <f t="array" aca="1" ref="AH107" ca="1">IF($A107="*","",IFERROR(INDEX(AGR!$E$52:$L$73,MATCH('TS DTech'!$C107,AGR!$B$52:$B$73,0),MATCH('TS DTech'!$B107&amp;AH$7,AGR!$E$46:$L$46&amp;AGR!$E$48:$L$48,0)),""))</f>
        <v/>
      </c>
      <c r="AI107" s="296" t="str">
        <f t="array" aca="1" ref="AI107" ca="1">IF($A107="*","",IFERROR(INDEX(AGR!$E$52:$L$73,MATCH('TS DTech'!$C107,AGR!$B$52:$B$73,0),MATCH('TS DTech'!$B107&amp;AI$7,AGR!$E$46:$L$46&amp;AGR!$E$48:$L$48,0)),""))</f>
        <v/>
      </c>
      <c r="AJ107" s="296" t="str">
        <f t="array" aca="1" ref="AJ107" ca="1">IF($A107="*","",IFERROR(INDEX(AGR!$E$52:$L$73,MATCH('TS DTech'!$C107,AGR!$B$52:$B$73,0),MATCH('TS DTech'!$B107&amp;AJ$7,AGR!$E$46:$L$46&amp;AGR!$E$48:$L$48,0)),""))</f>
        <v/>
      </c>
      <c r="AK107" s="296" t="str">
        <f t="array" aca="1" ref="AK107" ca="1">IF($A107="*","",IFERROR(INDEX(AGR!$E$52:$L$73,MATCH('TS DTech'!$C107,AGR!$B$52:$B$73,0),MATCH('TS DTech'!$B107&amp;AK$7,AGR!$E$46:$L$46&amp;AGR!$E$48:$L$48,0)),""))</f>
        <v/>
      </c>
      <c r="AL107" s="296" t="str">
        <f t="array" aca="1" ref="AL107" ca="1">IF($A107="*","",IFERROR(INDEX(AGR!$E$52:$L$73,MATCH('TS DTech'!$C107,AGR!$B$52:$B$73,0),MATCH('TS DTech'!$B107&amp;AL$7,AGR!$E$46:$L$46&amp;AGR!$E$48:$L$48,0)),""))</f>
        <v/>
      </c>
      <c r="AM107" s="296" t="str">
        <f t="array" aca="1" ref="AM107" ca="1">IF($A107="*","",IFERROR(INDEX(AGR!$E$52:$L$73,MATCH('TS DTech'!$C107,AGR!$B$52:$B$73,0),MATCH('TS DTech'!$B107&amp;AM$7,AGR!$E$46:$L$46&amp;AGR!$E$48:$L$48,0)),""))</f>
        <v/>
      </c>
      <c r="AN107" s="296" t="str">
        <f t="array" aca="1" ref="AN107" ca="1">IF($A107="*","",IFERROR(INDEX(AGR!$E$52:$L$73,MATCH('TS DTech'!$C107,AGR!$B$52:$B$73,0),MATCH('TS DTech'!$B107&amp;AN$7,AGR!$E$46:$L$46&amp;AGR!$E$48:$L$48,0)),""))</f>
        <v/>
      </c>
      <c r="AO107" s="296" t="str">
        <f t="array" aca="1" ref="AO107" ca="1">IF($A107="*","",IFERROR(INDEX(AGR!$E$52:$L$73,MATCH('TS DTech'!$C107,AGR!$B$52:$B$73,0),MATCH('TS DTech'!$B107&amp;AO$7,AGR!$E$46:$L$46&amp;AGR!$E$48:$L$48,0)),""))</f>
        <v/>
      </c>
      <c r="AP107" s="296" t="str">
        <f t="array" aca="1" ref="AP107" ca="1">IF($A107="*","",IFERROR(INDEX(AGR!$E$52:$L$73,MATCH('TS DTech'!$C107,AGR!$B$52:$B$73,0),MATCH('TS DTech'!$B107&amp;AP$7,AGR!$E$46:$L$46&amp;AGR!$E$48:$L$48,0)),""))</f>
        <v/>
      </c>
      <c r="AQ107" s="137">
        <f>IF(AR106=AGR!$AD$74,AQ106+1,AQ106)</f>
        <v>4</v>
      </c>
      <c r="AR107" s="137">
        <f t="shared" si="8"/>
        <v>23</v>
      </c>
    </row>
    <row r="108" spans="1:44">
      <c r="A108" s="137" t="str">
        <f ca="1">IF(LEFT(OFFSET(AGR!$A$51,AR108,0),2)="\I","*","")</f>
        <v/>
      </c>
      <c r="B108" s="212" t="str">
        <f t="shared" ca="1" si="7"/>
        <v>PRC_RESID</v>
      </c>
      <c r="C108" s="212" t="str">
        <f ca="1">IF($A108="*","",OFFSET(AGR!$B$51,AR108,0))</f>
        <v>AHCOA-E</v>
      </c>
      <c r="D108" s="212" t="str">
        <f t="shared" ca="1" si="9"/>
        <v>-</v>
      </c>
      <c r="E108" s="212" t="str">
        <f t="shared" ca="1" si="9"/>
        <v>-</v>
      </c>
      <c r="F108" s="212" t="str">
        <f t="shared" ca="1" si="9"/>
        <v>-</v>
      </c>
      <c r="G108" s="212" t="str">
        <f t="shared" ca="1" si="9"/>
        <v>-</v>
      </c>
      <c r="H108" s="212" t="str">
        <f t="shared" ca="1" si="9"/>
        <v>-</v>
      </c>
      <c r="I108" s="213">
        <f t="shared" ca="1" si="9"/>
        <v>0</v>
      </c>
      <c r="J108" s="296">
        <f t="array" aca="1" ref="J108" ca="1">IF($A108="*","",IFERROR(INDEX(AGR!$E$52:$L$73,MATCH('TS DTech'!$C108,AGR!$B$52:$B$73,0),MATCH('TS DTech'!$B108&amp;J$7,AGR!$E$46:$L$46&amp;AGR!$E$48:$L$48,0)),""))</f>
        <v>0.95825421730455296</v>
      </c>
      <c r="K108" s="296" t="str">
        <f t="array" aca="1" ref="K108" ca="1">IF($A108="*","",IFERROR(INDEX(AGR!$E$52:$L$73,MATCH('TS DTech'!$C108,AGR!$B$52:$B$73,0),MATCH('TS DTech'!$B108&amp;K$7,AGR!$E$46:$L$46&amp;AGR!$E$48:$L$48,0)),""))</f>
        <v/>
      </c>
      <c r="L108" s="296" t="str">
        <f t="array" aca="1" ref="L108" ca="1">IF($A108="*","",IFERROR(INDEX(AGR!$E$52:$L$73,MATCH('TS DTech'!$C108,AGR!$B$52:$B$73,0),MATCH('TS DTech'!$B108&amp;L$7,AGR!$E$46:$L$46&amp;AGR!$E$48:$L$48,0)),""))</f>
        <v/>
      </c>
      <c r="M108" s="296" t="str">
        <f t="array" aca="1" ref="M108" ca="1">IF($A108="*","",IFERROR(INDEX(AGR!$E$52:$L$73,MATCH('TS DTech'!$C108,AGR!$B$52:$B$73,0),MATCH('TS DTech'!$B108&amp;M$7,AGR!$E$46:$L$46&amp;AGR!$E$48:$L$48,0)),""))</f>
        <v/>
      </c>
      <c r="N108" s="296" t="str">
        <f t="array" aca="1" ref="N108" ca="1">IF($A108="*","",IFERROR(INDEX(AGR!$E$52:$L$73,MATCH('TS DTech'!$C108,AGR!$B$52:$B$73,0),MATCH('TS DTech'!$B108&amp;N$7,AGR!$E$46:$L$46&amp;AGR!$E$48:$L$48,0)),""))</f>
        <v/>
      </c>
      <c r="O108" s="296">
        <f t="array" aca="1" ref="O108" ca="1">IF($A108="*","",IFERROR(INDEX(AGR!$E$52:$L$73,MATCH('TS DTech'!$C108,AGR!$B$52:$B$73,0),MATCH('TS DTech'!$B108&amp;O$7,AGR!$E$46:$L$46&amp;AGR!$E$48:$L$48,0)),""))</f>
        <v>2.3792617449664428</v>
      </c>
      <c r="P108" s="296" t="str">
        <f t="array" aca="1" ref="P108" ca="1">IF($A108="*","",IFERROR(INDEX(AGR!$E$52:$L$73,MATCH('TS DTech'!$C108,AGR!$B$52:$B$73,0),MATCH('TS DTech'!$B108&amp;P$7,AGR!$E$46:$L$46&amp;AGR!$E$48:$L$48,0)),""))</f>
        <v/>
      </c>
      <c r="Q108" s="296" t="str">
        <f t="array" aca="1" ref="Q108" ca="1">IF($A108="*","",IFERROR(INDEX(AGR!$E$52:$L$73,MATCH('TS DTech'!$C108,AGR!$B$52:$B$73,0),MATCH('TS DTech'!$B108&amp;Q$7,AGR!$E$46:$L$46&amp;AGR!$E$48:$L$48,0)),""))</f>
        <v/>
      </c>
      <c r="R108" s="296" t="str">
        <f t="array" aca="1" ref="R108" ca="1">IF($A108="*","",IFERROR(INDEX(AGR!$E$52:$L$73,MATCH('TS DTech'!$C108,AGR!$B$52:$B$73,0),MATCH('TS DTech'!$B108&amp;R$7,AGR!$E$46:$L$46&amp;AGR!$E$48:$L$48,0)),""))</f>
        <v/>
      </c>
      <c r="S108" s="296" t="str">
        <f t="array" aca="1" ref="S108" ca="1">IF($A108="*","",IFERROR(INDEX(AGR!$E$52:$L$73,MATCH('TS DTech'!$C108,AGR!$B$52:$B$73,0),MATCH('TS DTech'!$B108&amp;S$7,AGR!$E$46:$L$46&amp;AGR!$E$48:$L$48,0)),""))</f>
        <v/>
      </c>
      <c r="T108" s="296" t="str">
        <f t="array" aca="1" ref="T108" ca="1">IF($A108="*","",IFERROR(INDEX(AGR!$E$52:$L$73,MATCH('TS DTech'!$C108,AGR!$B$52:$B$73,0),MATCH('TS DTech'!$B108&amp;T$7,AGR!$E$46:$L$46&amp;AGR!$E$48:$L$48,0)),""))</f>
        <v/>
      </c>
      <c r="U108" s="296" t="str">
        <f t="array" aca="1" ref="U108" ca="1">IF($A108="*","",IFERROR(INDEX(AGR!$E$52:$L$73,MATCH('TS DTech'!$C108,AGR!$B$52:$B$73,0),MATCH('TS DTech'!$B108&amp;U$7,AGR!$E$46:$L$46&amp;AGR!$E$48:$L$48,0)),""))</f>
        <v/>
      </c>
      <c r="V108" s="296" t="str">
        <f t="array" aca="1" ref="V108" ca="1">IF($A108="*","",IFERROR(INDEX(AGR!$E$52:$L$73,MATCH('TS DTech'!$C108,AGR!$B$52:$B$73,0),MATCH('TS DTech'!$B108&amp;V$7,AGR!$E$46:$L$46&amp;AGR!$E$48:$L$48,0)),""))</f>
        <v/>
      </c>
      <c r="W108" s="296" t="str">
        <f t="array" aca="1" ref="W108" ca="1">IF($A108="*","",IFERROR(INDEX(AGR!$E$52:$L$73,MATCH('TS DTech'!$C108,AGR!$B$52:$B$73,0),MATCH('TS DTech'!$B108&amp;W$7,AGR!$E$46:$L$46&amp;AGR!$E$48:$L$48,0)),""))</f>
        <v/>
      </c>
      <c r="X108" s="296" t="str">
        <f t="array" aca="1" ref="X108" ca="1">IF($A108="*","",IFERROR(INDEX(AGR!$E$52:$L$73,MATCH('TS DTech'!$C108,AGR!$B$52:$B$73,0),MATCH('TS DTech'!$B108&amp;X$7,AGR!$E$46:$L$46&amp;AGR!$E$48:$L$48,0)),""))</f>
        <v/>
      </c>
      <c r="Y108" s="296" t="str">
        <f t="array" aca="1" ref="Y108" ca="1">IF($A108="*","",IFERROR(INDEX(AGR!$E$52:$L$73,MATCH('TS DTech'!$C108,AGR!$B$52:$B$73,0),MATCH('TS DTech'!$B108&amp;Y$7,AGR!$E$46:$L$46&amp;AGR!$E$48:$L$48,0)),""))</f>
        <v/>
      </c>
      <c r="Z108" s="296" t="str">
        <f t="array" aca="1" ref="Z108" ca="1">IF($A108="*","",IFERROR(INDEX(AGR!$E$52:$L$73,MATCH('TS DTech'!$C108,AGR!$B$52:$B$73,0),MATCH('TS DTech'!$B108&amp;Z$7,AGR!$E$46:$L$46&amp;AGR!$E$48:$L$48,0)),""))</f>
        <v/>
      </c>
      <c r="AA108" s="296" t="str">
        <f t="array" aca="1" ref="AA108" ca="1">IF($A108="*","",IFERROR(INDEX(AGR!$E$52:$L$73,MATCH('TS DTech'!$C108,AGR!$B$52:$B$73,0),MATCH('TS DTech'!$B108&amp;AA$7,AGR!$E$46:$L$46&amp;AGR!$E$48:$L$48,0)),""))</f>
        <v/>
      </c>
      <c r="AB108" s="296" t="str">
        <f t="array" aca="1" ref="AB108" ca="1">IF($A108="*","",IFERROR(INDEX(AGR!$E$52:$L$73,MATCH('TS DTech'!$C108,AGR!$B$52:$B$73,0),MATCH('TS DTech'!$B108&amp;AB$7,AGR!$E$46:$L$46&amp;AGR!$E$48:$L$48,0)),""))</f>
        <v/>
      </c>
      <c r="AC108" s="296" t="str">
        <f t="array" aca="1" ref="AC108" ca="1">IF($A108="*","",IFERROR(INDEX(AGR!$E$52:$L$73,MATCH('TS DTech'!$C108,AGR!$B$52:$B$73,0),MATCH('TS DTech'!$B108&amp;AC$7,AGR!$E$46:$L$46&amp;AGR!$E$48:$L$48,0)),""))</f>
        <v/>
      </c>
      <c r="AD108" s="296" t="str">
        <f t="array" aca="1" ref="AD108" ca="1">IF($A108="*","",IFERROR(INDEX(AGR!$E$52:$L$73,MATCH('TS DTech'!$C108,AGR!$B$52:$B$73,0),MATCH('TS DTech'!$B108&amp;AD$7,AGR!$E$46:$L$46&amp;AGR!$E$48:$L$48,0)),""))</f>
        <v/>
      </c>
      <c r="AE108" s="296" t="str">
        <f t="array" aca="1" ref="AE108" ca="1">IF($A108="*","",IFERROR(INDEX(AGR!$E$52:$L$73,MATCH('TS DTech'!$C108,AGR!$B$52:$B$73,0),MATCH('TS DTech'!$B108&amp;AE$7,AGR!$E$46:$L$46&amp;AGR!$E$48:$L$48,0)),""))</f>
        <v/>
      </c>
      <c r="AF108" s="296" t="str">
        <f t="array" aca="1" ref="AF108" ca="1">IF($A108="*","",IFERROR(INDEX(AGR!$E$52:$L$73,MATCH('TS DTech'!$C108,AGR!$B$52:$B$73,0),MATCH('TS DTech'!$B108&amp;AF$7,AGR!$E$46:$L$46&amp;AGR!$E$48:$L$48,0)),""))</f>
        <v/>
      </c>
      <c r="AG108" s="296" t="str">
        <f t="array" aca="1" ref="AG108" ca="1">IF($A108="*","",IFERROR(INDEX(AGR!$E$52:$L$73,MATCH('TS DTech'!$C108,AGR!$B$52:$B$73,0),MATCH('TS DTech'!$B108&amp;AG$7,AGR!$E$46:$L$46&amp;AGR!$E$48:$L$48,0)),""))</f>
        <v/>
      </c>
      <c r="AH108" s="296" t="str">
        <f t="array" aca="1" ref="AH108" ca="1">IF($A108="*","",IFERROR(INDEX(AGR!$E$52:$L$73,MATCH('TS DTech'!$C108,AGR!$B$52:$B$73,0),MATCH('TS DTech'!$B108&amp;AH$7,AGR!$E$46:$L$46&amp;AGR!$E$48:$L$48,0)),""))</f>
        <v/>
      </c>
      <c r="AI108" s="296" t="str">
        <f t="array" aca="1" ref="AI108" ca="1">IF($A108="*","",IFERROR(INDEX(AGR!$E$52:$L$73,MATCH('TS DTech'!$C108,AGR!$B$52:$B$73,0),MATCH('TS DTech'!$B108&amp;AI$7,AGR!$E$46:$L$46&amp;AGR!$E$48:$L$48,0)),""))</f>
        <v/>
      </c>
      <c r="AJ108" s="296" t="str">
        <f t="array" aca="1" ref="AJ108" ca="1">IF($A108="*","",IFERROR(INDEX(AGR!$E$52:$L$73,MATCH('TS DTech'!$C108,AGR!$B$52:$B$73,0),MATCH('TS DTech'!$B108&amp;AJ$7,AGR!$E$46:$L$46&amp;AGR!$E$48:$L$48,0)),""))</f>
        <v/>
      </c>
      <c r="AK108" s="296" t="str">
        <f t="array" aca="1" ref="AK108" ca="1">IF($A108="*","",IFERROR(INDEX(AGR!$E$52:$L$73,MATCH('TS DTech'!$C108,AGR!$B$52:$B$73,0),MATCH('TS DTech'!$B108&amp;AK$7,AGR!$E$46:$L$46&amp;AGR!$E$48:$L$48,0)),""))</f>
        <v/>
      </c>
      <c r="AL108" s="296" t="str">
        <f t="array" aca="1" ref="AL108" ca="1">IF($A108="*","",IFERROR(INDEX(AGR!$E$52:$L$73,MATCH('TS DTech'!$C108,AGR!$B$52:$B$73,0),MATCH('TS DTech'!$B108&amp;AL$7,AGR!$E$46:$L$46&amp;AGR!$E$48:$L$48,0)),""))</f>
        <v/>
      </c>
      <c r="AM108" s="296" t="str">
        <f t="array" aca="1" ref="AM108" ca="1">IF($A108="*","",IFERROR(INDEX(AGR!$E$52:$L$73,MATCH('TS DTech'!$C108,AGR!$B$52:$B$73,0),MATCH('TS DTech'!$B108&amp;AM$7,AGR!$E$46:$L$46&amp;AGR!$E$48:$L$48,0)),""))</f>
        <v/>
      </c>
      <c r="AN108" s="296" t="str">
        <f t="array" aca="1" ref="AN108" ca="1">IF($A108="*","",IFERROR(INDEX(AGR!$E$52:$L$73,MATCH('TS DTech'!$C108,AGR!$B$52:$B$73,0),MATCH('TS DTech'!$B108&amp;AN$7,AGR!$E$46:$L$46&amp;AGR!$E$48:$L$48,0)),""))</f>
        <v/>
      </c>
      <c r="AO108" s="296" t="str">
        <f t="array" aca="1" ref="AO108" ca="1">IF($A108="*","",IFERROR(INDEX(AGR!$E$52:$L$73,MATCH('TS DTech'!$C108,AGR!$B$52:$B$73,0),MATCH('TS DTech'!$B108&amp;AO$7,AGR!$E$46:$L$46&amp;AGR!$E$48:$L$48,0)),""))</f>
        <v/>
      </c>
      <c r="AP108" s="296" t="str">
        <f t="array" aca="1" ref="AP108" ca="1">IF($A108="*","",IFERROR(INDEX(AGR!$E$52:$L$73,MATCH('TS DTech'!$C108,AGR!$B$52:$B$73,0),MATCH('TS DTech'!$B108&amp;AP$7,AGR!$E$46:$L$46&amp;AGR!$E$48:$L$48,0)),""))</f>
        <v/>
      </c>
      <c r="AQ108" s="137">
        <f>IF(AR107=AGR!$AD$74,AQ107+1,AQ107)</f>
        <v>5</v>
      </c>
      <c r="AR108" s="137">
        <f t="shared" si="8"/>
        <v>1</v>
      </c>
    </row>
    <row r="109" spans="1:44">
      <c r="A109" s="137" t="str">
        <f ca="1">IF(LEFT(OFFSET(AGR!$A$51,AR109,0),2)="\I","*","")</f>
        <v/>
      </c>
      <c r="B109" s="212" t="str">
        <f t="shared" ca="1" si="7"/>
        <v>PRC_RESID</v>
      </c>
      <c r="C109" s="212" t="str">
        <f ca="1">IF($A109="*","",OFFSET(AGR!$B$51,AR109,0))</f>
        <v>AHOHF-E</v>
      </c>
      <c r="D109" s="212" t="str">
        <f t="shared" ca="1" si="9"/>
        <v>-</v>
      </c>
      <c r="E109" s="212" t="str">
        <f t="shared" ca="1" si="9"/>
        <v>-</v>
      </c>
      <c r="F109" s="212" t="str">
        <f t="shared" ca="1" si="9"/>
        <v>-</v>
      </c>
      <c r="G109" s="212" t="str">
        <f t="shared" ca="1" si="9"/>
        <v>-</v>
      </c>
      <c r="H109" s="212" t="str">
        <f t="shared" ca="1" si="9"/>
        <v>-</v>
      </c>
      <c r="I109" s="213">
        <f t="shared" ca="1" si="9"/>
        <v>0</v>
      </c>
      <c r="J109" s="296">
        <f t="array" aca="1" ref="J109" ca="1">IF($A109="*","",IFERROR(INDEX(AGR!$E$52:$L$73,MATCH('TS DTech'!$C109,AGR!$B$52:$B$73,0),MATCH('TS DTech'!$B109&amp;J$7,AGR!$E$46:$L$46&amp;AGR!$E$48:$L$48,0)),""))</f>
        <v>0</v>
      </c>
      <c r="K109" s="296" t="str">
        <f t="array" aca="1" ref="K109" ca="1">IF($A109="*","",IFERROR(INDEX(AGR!$E$52:$L$73,MATCH('TS DTech'!$C109,AGR!$B$52:$B$73,0),MATCH('TS DTech'!$B109&amp;K$7,AGR!$E$46:$L$46&amp;AGR!$E$48:$L$48,0)),""))</f>
        <v/>
      </c>
      <c r="L109" s="296" t="str">
        <f t="array" aca="1" ref="L109" ca="1">IF($A109="*","",IFERROR(INDEX(AGR!$E$52:$L$73,MATCH('TS DTech'!$C109,AGR!$B$52:$B$73,0),MATCH('TS DTech'!$B109&amp;L$7,AGR!$E$46:$L$46&amp;AGR!$E$48:$L$48,0)),""))</f>
        <v/>
      </c>
      <c r="M109" s="296" t="str">
        <f t="array" aca="1" ref="M109" ca="1">IF($A109="*","",IFERROR(INDEX(AGR!$E$52:$L$73,MATCH('TS DTech'!$C109,AGR!$B$52:$B$73,0),MATCH('TS DTech'!$B109&amp;M$7,AGR!$E$46:$L$46&amp;AGR!$E$48:$L$48,0)),""))</f>
        <v/>
      </c>
      <c r="N109" s="296" t="str">
        <f t="array" aca="1" ref="N109" ca="1">IF($A109="*","",IFERROR(INDEX(AGR!$E$52:$L$73,MATCH('TS DTech'!$C109,AGR!$B$52:$B$73,0),MATCH('TS DTech'!$B109&amp;N$7,AGR!$E$46:$L$46&amp;AGR!$E$48:$L$48,0)),""))</f>
        <v/>
      </c>
      <c r="O109" s="296">
        <f t="array" aca="1" ref="O109" ca="1">IF($A109="*","",IFERROR(INDEX(AGR!$E$52:$L$73,MATCH('TS DTech'!$C109,AGR!$B$52:$B$73,0),MATCH('TS DTech'!$B109&amp;O$7,AGR!$E$46:$L$46&amp;AGR!$E$48:$L$48,0)),""))</f>
        <v>3.3650789044077634</v>
      </c>
      <c r="P109" s="296" t="str">
        <f t="array" aca="1" ref="P109" ca="1">IF($A109="*","",IFERROR(INDEX(AGR!$E$52:$L$73,MATCH('TS DTech'!$C109,AGR!$B$52:$B$73,0),MATCH('TS DTech'!$B109&amp;P$7,AGR!$E$46:$L$46&amp;AGR!$E$48:$L$48,0)),""))</f>
        <v/>
      </c>
      <c r="Q109" s="296" t="str">
        <f t="array" aca="1" ref="Q109" ca="1">IF($A109="*","",IFERROR(INDEX(AGR!$E$52:$L$73,MATCH('TS DTech'!$C109,AGR!$B$52:$B$73,0),MATCH('TS DTech'!$B109&amp;Q$7,AGR!$E$46:$L$46&amp;AGR!$E$48:$L$48,0)),""))</f>
        <v/>
      </c>
      <c r="R109" s="296" t="str">
        <f t="array" aca="1" ref="R109" ca="1">IF($A109="*","",IFERROR(INDEX(AGR!$E$52:$L$73,MATCH('TS DTech'!$C109,AGR!$B$52:$B$73,0),MATCH('TS DTech'!$B109&amp;R$7,AGR!$E$46:$L$46&amp;AGR!$E$48:$L$48,0)),""))</f>
        <v/>
      </c>
      <c r="S109" s="296" t="str">
        <f t="array" aca="1" ref="S109" ca="1">IF($A109="*","",IFERROR(INDEX(AGR!$E$52:$L$73,MATCH('TS DTech'!$C109,AGR!$B$52:$B$73,0),MATCH('TS DTech'!$B109&amp;S$7,AGR!$E$46:$L$46&amp;AGR!$E$48:$L$48,0)),""))</f>
        <v/>
      </c>
      <c r="T109" s="296" t="str">
        <f t="array" aca="1" ref="T109" ca="1">IF($A109="*","",IFERROR(INDEX(AGR!$E$52:$L$73,MATCH('TS DTech'!$C109,AGR!$B$52:$B$73,0),MATCH('TS DTech'!$B109&amp;T$7,AGR!$E$46:$L$46&amp;AGR!$E$48:$L$48,0)),""))</f>
        <v/>
      </c>
      <c r="U109" s="296" t="str">
        <f t="array" aca="1" ref="U109" ca="1">IF($A109="*","",IFERROR(INDEX(AGR!$E$52:$L$73,MATCH('TS DTech'!$C109,AGR!$B$52:$B$73,0),MATCH('TS DTech'!$B109&amp;U$7,AGR!$E$46:$L$46&amp;AGR!$E$48:$L$48,0)),""))</f>
        <v/>
      </c>
      <c r="V109" s="296" t="str">
        <f t="array" aca="1" ref="V109" ca="1">IF($A109="*","",IFERROR(INDEX(AGR!$E$52:$L$73,MATCH('TS DTech'!$C109,AGR!$B$52:$B$73,0),MATCH('TS DTech'!$B109&amp;V$7,AGR!$E$46:$L$46&amp;AGR!$E$48:$L$48,0)),""))</f>
        <v/>
      </c>
      <c r="W109" s="296" t="str">
        <f t="array" aca="1" ref="W109" ca="1">IF($A109="*","",IFERROR(INDEX(AGR!$E$52:$L$73,MATCH('TS DTech'!$C109,AGR!$B$52:$B$73,0),MATCH('TS DTech'!$B109&amp;W$7,AGR!$E$46:$L$46&amp;AGR!$E$48:$L$48,0)),""))</f>
        <v/>
      </c>
      <c r="X109" s="296" t="str">
        <f t="array" aca="1" ref="X109" ca="1">IF($A109="*","",IFERROR(INDEX(AGR!$E$52:$L$73,MATCH('TS DTech'!$C109,AGR!$B$52:$B$73,0),MATCH('TS DTech'!$B109&amp;X$7,AGR!$E$46:$L$46&amp;AGR!$E$48:$L$48,0)),""))</f>
        <v/>
      </c>
      <c r="Y109" s="296" t="str">
        <f t="array" aca="1" ref="Y109" ca="1">IF($A109="*","",IFERROR(INDEX(AGR!$E$52:$L$73,MATCH('TS DTech'!$C109,AGR!$B$52:$B$73,0),MATCH('TS DTech'!$B109&amp;Y$7,AGR!$E$46:$L$46&amp;AGR!$E$48:$L$48,0)),""))</f>
        <v/>
      </c>
      <c r="Z109" s="296" t="str">
        <f t="array" aca="1" ref="Z109" ca="1">IF($A109="*","",IFERROR(INDEX(AGR!$E$52:$L$73,MATCH('TS DTech'!$C109,AGR!$B$52:$B$73,0),MATCH('TS DTech'!$B109&amp;Z$7,AGR!$E$46:$L$46&amp;AGR!$E$48:$L$48,0)),""))</f>
        <v/>
      </c>
      <c r="AA109" s="296" t="str">
        <f t="array" aca="1" ref="AA109" ca="1">IF($A109="*","",IFERROR(INDEX(AGR!$E$52:$L$73,MATCH('TS DTech'!$C109,AGR!$B$52:$B$73,0),MATCH('TS DTech'!$B109&amp;AA$7,AGR!$E$46:$L$46&amp;AGR!$E$48:$L$48,0)),""))</f>
        <v/>
      </c>
      <c r="AB109" s="296" t="str">
        <f t="array" aca="1" ref="AB109" ca="1">IF($A109="*","",IFERROR(INDEX(AGR!$E$52:$L$73,MATCH('TS DTech'!$C109,AGR!$B$52:$B$73,0),MATCH('TS DTech'!$B109&amp;AB$7,AGR!$E$46:$L$46&amp;AGR!$E$48:$L$48,0)),""))</f>
        <v/>
      </c>
      <c r="AC109" s="296" t="str">
        <f t="array" aca="1" ref="AC109" ca="1">IF($A109="*","",IFERROR(INDEX(AGR!$E$52:$L$73,MATCH('TS DTech'!$C109,AGR!$B$52:$B$73,0),MATCH('TS DTech'!$B109&amp;AC$7,AGR!$E$46:$L$46&amp;AGR!$E$48:$L$48,0)),""))</f>
        <v/>
      </c>
      <c r="AD109" s="296" t="str">
        <f t="array" aca="1" ref="AD109" ca="1">IF($A109="*","",IFERROR(INDEX(AGR!$E$52:$L$73,MATCH('TS DTech'!$C109,AGR!$B$52:$B$73,0),MATCH('TS DTech'!$B109&amp;AD$7,AGR!$E$46:$L$46&amp;AGR!$E$48:$L$48,0)),""))</f>
        <v/>
      </c>
      <c r="AE109" s="296" t="str">
        <f t="array" aca="1" ref="AE109" ca="1">IF($A109="*","",IFERROR(INDEX(AGR!$E$52:$L$73,MATCH('TS DTech'!$C109,AGR!$B$52:$B$73,0),MATCH('TS DTech'!$B109&amp;AE$7,AGR!$E$46:$L$46&amp;AGR!$E$48:$L$48,0)),""))</f>
        <v/>
      </c>
      <c r="AF109" s="296" t="str">
        <f t="array" aca="1" ref="AF109" ca="1">IF($A109="*","",IFERROR(INDEX(AGR!$E$52:$L$73,MATCH('TS DTech'!$C109,AGR!$B$52:$B$73,0),MATCH('TS DTech'!$B109&amp;AF$7,AGR!$E$46:$L$46&amp;AGR!$E$48:$L$48,0)),""))</f>
        <v/>
      </c>
      <c r="AG109" s="296" t="str">
        <f t="array" aca="1" ref="AG109" ca="1">IF($A109="*","",IFERROR(INDEX(AGR!$E$52:$L$73,MATCH('TS DTech'!$C109,AGR!$B$52:$B$73,0),MATCH('TS DTech'!$B109&amp;AG$7,AGR!$E$46:$L$46&amp;AGR!$E$48:$L$48,0)),""))</f>
        <v/>
      </c>
      <c r="AH109" s="296" t="str">
        <f t="array" aca="1" ref="AH109" ca="1">IF($A109="*","",IFERROR(INDEX(AGR!$E$52:$L$73,MATCH('TS DTech'!$C109,AGR!$B$52:$B$73,0),MATCH('TS DTech'!$B109&amp;AH$7,AGR!$E$46:$L$46&amp;AGR!$E$48:$L$48,0)),""))</f>
        <v/>
      </c>
      <c r="AI109" s="296" t="str">
        <f t="array" aca="1" ref="AI109" ca="1">IF($A109="*","",IFERROR(INDEX(AGR!$E$52:$L$73,MATCH('TS DTech'!$C109,AGR!$B$52:$B$73,0),MATCH('TS DTech'!$B109&amp;AI$7,AGR!$E$46:$L$46&amp;AGR!$E$48:$L$48,0)),""))</f>
        <v/>
      </c>
      <c r="AJ109" s="296" t="str">
        <f t="array" aca="1" ref="AJ109" ca="1">IF($A109="*","",IFERROR(INDEX(AGR!$E$52:$L$73,MATCH('TS DTech'!$C109,AGR!$B$52:$B$73,0),MATCH('TS DTech'!$B109&amp;AJ$7,AGR!$E$46:$L$46&amp;AGR!$E$48:$L$48,0)),""))</f>
        <v/>
      </c>
      <c r="AK109" s="296" t="str">
        <f t="array" aca="1" ref="AK109" ca="1">IF($A109="*","",IFERROR(INDEX(AGR!$E$52:$L$73,MATCH('TS DTech'!$C109,AGR!$B$52:$B$73,0),MATCH('TS DTech'!$B109&amp;AK$7,AGR!$E$46:$L$46&amp;AGR!$E$48:$L$48,0)),""))</f>
        <v/>
      </c>
      <c r="AL109" s="296" t="str">
        <f t="array" aca="1" ref="AL109" ca="1">IF($A109="*","",IFERROR(INDEX(AGR!$E$52:$L$73,MATCH('TS DTech'!$C109,AGR!$B$52:$B$73,0),MATCH('TS DTech'!$B109&amp;AL$7,AGR!$E$46:$L$46&amp;AGR!$E$48:$L$48,0)),""))</f>
        <v/>
      </c>
      <c r="AM109" s="296" t="str">
        <f t="array" aca="1" ref="AM109" ca="1">IF($A109="*","",IFERROR(INDEX(AGR!$E$52:$L$73,MATCH('TS DTech'!$C109,AGR!$B$52:$B$73,0),MATCH('TS DTech'!$B109&amp;AM$7,AGR!$E$46:$L$46&amp;AGR!$E$48:$L$48,0)),""))</f>
        <v/>
      </c>
      <c r="AN109" s="296" t="str">
        <f t="array" aca="1" ref="AN109" ca="1">IF($A109="*","",IFERROR(INDEX(AGR!$E$52:$L$73,MATCH('TS DTech'!$C109,AGR!$B$52:$B$73,0),MATCH('TS DTech'!$B109&amp;AN$7,AGR!$E$46:$L$46&amp;AGR!$E$48:$L$48,0)),""))</f>
        <v/>
      </c>
      <c r="AO109" s="296" t="str">
        <f t="array" aca="1" ref="AO109" ca="1">IF($A109="*","",IFERROR(INDEX(AGR!$E$52:$L$73,MATCH('TS DTech'!$C109,AGR!$B$52:$B$73,0),MATCH('TS DTech'!$B109&amp;AO$7,AGR!$E$46:$L$46&amp;AGR!$E$48:$L$48,0)),""))</f>
        <v/>
      </c>
      <c r="AP109" s="296" t="str">
        <f t="array" aca="1" ref="AP109" ca="1">IF($A109="*","",IFERROR(INDEX(AGR!$E$52:$L$73,MATCH('TS DTech'!$C109,AGR!$B$52:$B$73,0),MATCH('TS DTech'!$B109&amp;AP$7,AGR!$E$46:$L$46&amp;AGR!$E$48:$L$48,0)),""))</f>
        <v/>
      </c>
      <c r="AQ109" s="137">
        <f>IF(AR108=AGR!$AD$74,AQ108+1,AQ108)</f>
        <v>5</v>
      </c>
      <c r="AR109" s="137">
        <f t="shared" si="8"/>
        <v>2</v>
      </c>
    </row>
    <row r="110" spans="1:44">
      <c r="A110" s="137" t="str">
        <f ca="1">IF(LEFT(OFFSET(AGR!$A$51,AR110,0),2)="\I","*","")</f>
        <v/>
      </c>
      <c r="B110" s="212" t="str">
        <f t="shared" ca="1" si="7"/>
        <v>PRC_RESID</v>
      </c>
      <c r="C110" s="212" t="str">
        <f ca="1">IF($A110="*","",OFFSET(AGR!$B$51,AR110,0))</f>
        <v>AHOKE-E</v>
      </c>
      <c r="D110" s="212" t="str">
        <f t="shared" ca="1" si="9"/>
        <v>-</v>
      </c>
      <c r="E110" s="212" t="str">
        <f t="shared" ca="1" si="9"/>
        <v>-</v>
      </c>
      <c r="F110" s="212" t="str">
        <f t="shared" ca="1" si="9"/>
        <v>-</v>
      </c>
      <c r="G110" s="212" t="str">
        <f t="shared" ca="1" si="9"/>
        <v>-</v>
      </c>
      <c r="H110" s="212" t="str">
        <f t="shared" ca="1" si="9"/>
        <v>-</v>
      </c>
      <c r="I110" s="213">
        <f t="shared" ca="1" si="9"/>
        <v>0</v>
      </c>
      <c r="J110" s="296">
        <f t="array" aca="1" ref="J110" ca="1">IF($A110="*","",IFERROR(INDEX(AGR!$E$52:$L$73,MATCH('TS DTech'!$C110,AGR!$B$52:$B$73,0),MATCH('TS DTech'!$B110&amp;J$7,AGR!$E$46:$L$46&amp;AGR!$E$48:$L$48,0)),""))</f>
        <v>3.6298847030733845</v>
      </c>
      <c r="K110" s="296" t="str">
        <f t="array" aca="1" ref="K110" ca="1">IF($A110="*","",IFERROR(INDEX(AGR!$E$52:$L$73,MATCH('TS DTech'!$C110,AGR!$B$52:$B$73,0),MATCH('TS DTech'!$B110&amp;K$7,AGR!$E$46:$L$46&amp;AGR!$E$48:$L$48,0)),""))</f>
        <v/>
      </c>
      <c r="L110" s="296" t="str">
        <f t="array" aca="1" ref="L110" ca="1">IF($A110="*","",IFERROR(INDEX(AGR!$E$52:$L$73,MATCH('TS DTech'!$C110,AGR!$B$52:$B$73,0),MATCH('TS DTech'!$B110&amp;L$7,AGR!$E$46:$L$46&amp;AGR!$E$48:$L$48,0)),""))</f>
        <v/>
      </c>
      <c r="M110" s="296" t="str">
        <f t="array" aca="1" ref="M110" ca="1">IF($A110="*","",IFERROR(INDEX(AGR!$E$52:$L$73,MATCH('TS DTech'!$C110,AGR!$B$52:$B$73,0),MATCH('TS DTech'!$B110&amp;M$7,AGR!$E$46:$L$46&amp;AGR!$E$48:$L$48,0)),""))</f>
        <v/>
      </c>
      <c r="N110" s="296" t="str">
        <f t="array" aca="1" ref="N110" ca="1">IF($A110="*","",IFERROR(INDEX(AGR!$E$52:$L$73,MATCH('TS DTech'!$C110,AGR!$B$52:$B$73,0),MATCH('TS DTech'!$B110&amp;N$7,AGR!$E$46:$L$46&amp;AGR!$E$48:$L$48,0)),""))</f>
        <v/>
      </c>
      <c r="O110" s="296">
        <f t="array" aca="1" ref="O110" ca="1">IF($A110="*","",IFERROR(INDEX(AGR!$E$52:$L$73,MATCH('TS DTech'!$C110,AGR!$B$52:$B$73,0),MATCH('TS DTech'!$B110&amp;O$7,AGR!$E$46:$L$46&amp;AGR!$E$48:$L$48,0)),""))</f>
        <v>4.0550226736803907</v>
      </c>
      <c r="P110" s="296" t="str">
        <f t="array" aca="1" ref="P110" ca="1">IF($A110="*","",IFERROR(INDEX(AGR!$E$52:$L$73,MATCH('TS DTech'!$C110,AGR!$B$52:$B$73,0),MATCH('TS DTech'!$B110&amp;P$7,AGR!$E$46:$L$46&amp;AGR!$E$48:$L$48,0)),""))</f>
        <v/>
      </c>
      <c r="Q110" s="296" t="str">
        <f t="array" aca="1" ref="Q110" ca="1">IF($A110="*","",IFERROR(INDEX(AGR!$E$52:$L$73,MATCH('TS DTech'!$C110,AGR!$B$52:$B$73,0),MATCH('TS DTech'!$B110&amp;Q$7,AGR!$E$46:$L$46&amp;AGR!$E$48:$L$48,0)),""))</f>
        <v/>
      </c>
      <c r="R110" s="296" t="str">
        <f t="array" aca="1" ref="R110" ca="1">IF($A110="*","",IFERROR(INDEX(AGR!$E$52:$L$73,MATCH('TS DTech'!$C110,AGR!$B$52:$B$73,0),MATCH('TS DTech'!$B110&amp;R$7,AGR!$E$46:$L$46&amp;AGR!$E$48:$L$48,0)),""))</f>
        <v/>
      </c>
      <c r="S110" s="296" t="str">
        <f t="array" aca="1" ref="S110" ca="1">IF($A110="*","",IFERROR(INDEX(AGR!$E$52:$L$73,MATCH('TS DTech'!$C110,AGR!$B$52:$B$73,0),MATCH('TS DTech'!$B110&amp;S$7,AGR!$E$46:$L$46&amp;AGR!$E$48:$L$48,0)),""))</f>
        <v/>
      </c>
      <c r="T110" s="296" t="str">
        <f t="array" aca="1" ref="T110" ca="1">IF($A110="*","",IFERROR(INDEX(AGR!$E$52:$L$73,MATCH('TS DTech'!$C110,AGR!$B$52:$B$73,0),MATCH('TS DTech'!$B110&amp;T$7,AGR!$E$46:$L$46&amp;AGR!$E$48:$L$48,0)),""))</f>
        <v/>
      </c>
      <c r="U110" s="296" t="str">
        <f t="array" aca="1" ref="U110" ca="1">IF($A110="*","",IFERROR(INDEX(AGR!$E$52:$L$73,MATCH('TS DTech'!$C110,AGR!$B$52:$B$73,0),MATCH('TS DTech'!$B110&amp;U$7,AGR!$E$46:$L$46&amp;AGR!$E$48:$L$48,0)),""))</f>
        <v/>
      </c>
      <c r="V110" s="296" t="str">
        <f t="array" aca="1" ref="V110" ca="1">IF($A110="*","",IFERROR(INDEX(AGR!$E$52:$L$73,MATCH('TS DTech'!$C110,AGR!$B$52:$B$73,0),MATCH('TS DTech'!$B110&amp;V$7,AGR!$E$46:$L$46&amp;AGR!$E$48:$L$48,0)),""))</f>
        <v/>
      </c>
      <c r="W110" s="296" t="str">
        <f t="array" aca="1" ref="W110" ca="1">IF($A110="*","",IFERROR(INDEX(AGR!$E$52:$L$73,MATCH('TS DTech'!$C110,AGR!$B$52:$B$73,0),MATCH('TS DTech'!$B110&amp;W$7,AGR!$E$46:$L$46&amp;AGR!$E$48:$L$48,0)),""))</f>
        <v/>
      </c>
      <c r="X110" s="296" t="str">
        <f t="array" aca="1" ref="X110" ca="1">IF($A110="*","",IFERROR(INDEX(AGR!$E$52:$L$73,MATCH('TS DTech'!$C110,AGR!$B$52:$B$73,0),MATCH('TS DTech'!$B110&amp;X$7,AGR!$E$46:$L$46&amp;AGR!$E$48:$L$48,0)),""))</f>
        <v/>
      </c>
      <c r="Y110" s="296" t="str">
        <f t="array" aca="1" ref="Y110" ca="1">IF($A110="*","",IFERROR(INDEX(AGR!$E$52:$L$73,MATCH('TS DTech'!$C110,AGR!$B$52:$B$73,0),MATCH('TS DTech'!$B110&amp;Y$7,AGR!$E$46:$L$46&amp;AGR!$E$48:$L$48,0)),""))</f>
        <v/>
      </c>
      <c r="Z110" s="296" t="str">
        <f t="array" aca="1" ref="Z110" ca="1">IF($A110="*","",IFERROR(INDEX(AGR!$E$52:$L$73,MATCH('TS DTech'!$C110,AGR!$B$52:$B$73,0),MATCH('TS DTech'!$B110&amp;Z$7,AGR!$E$46:$L$46&amp;AGR!$E$48:$L$48,0)),""))</f>
        <v/>
      </c>
      <c r="AA110" s="296" t="str">
        <f t="array" aca="1" ref="AA110" ca="1">IF($A110="*","",IFERROR(INDEX(AGR!$E$52:$L$73,MATCH('TS DTech'!$C110,AGR!$B$52:$B$73,0),MATCH('TS DTech'!$B110&amp;AA$7,AGR!$E$46:$L$46&amp;AGR!$E$48:$L$48,0)),""))</f>
        <v/>
      </c>
      <c r="AB110" s="296" t="str">
        <f t="array" aca="1" ref="AB110" ca="1">IF($A110="*","",IFERROR(INDEX(AGR!$E$52:$L$73,MATCH('TS DTech'!$C110,AGR!$B$52:$B$73,0),MATCH('TS DTech'!$B110&amp;AB$7,AGR!$E$46:$L$46&amp;AGR!$E$48:$L$48,0)),""))</f>
        <v/>
      </c>
      <c r="AC110" s="296" t="str">
        <f t="array" aca="1" ref="AC110" ca="1">IF($A110="*","",IFERROR(INDEX(AGR!$E$52:$L$73,MATCH('TS DTech'!$C110,AGR!$B$52:$B$73,0),MATCH('TS DTech'!$B110&amp;AC$7,AGR!$E$46:$L$46&amp;AGR!$E$48:$L$48,0)),""))</f>
        <v/>
      </c>
      <c r="AD110" s="296" t="str">
        <f t="array" aca="1" ref="AD110" ca="1">IF($A110="*","",IFERROR(INDEX(AGR!$E$52:$L$73,MATCH('TS DTech'!$C110,AGR!$B$52:$B$73,0),MATCH('TS DTech'!$B110&amp;AD$7,AGR!$E$46:$L$46&amp;AGR!$E$48:$L$48,0)),""))</f>
        <v/>
      </c>
      <c r="AE110" s="296" t="str">
        <f t="array" aca="1" ref="AE110" ca="1">IF($A110="*","",IFERROR(INDEX(AGR!$E$52:$L$73,MATCH('TS DTech'!$C110,AGR!$B$52:$B$73,0),MATCH('TS DTech'!$B110&amp;AE$7,AGR!$E$46:$L$46&amp;AGR!$E$48:$L$48,0)),""))</f>
        <v/>
      </c>
      <c r="AF110" s="296" t="str">
        <f t="array" aca="1" ref="AF110" ca="1">IF($A110="*","",IFERROR(INDEX(AGR!$E$52:$L$73,MATCH('TS DTech'!$C110,AGR!$B$52:$B$73,0),MATCH('TS DTech'!$B110&amp;AF$7,AGR!$E$46:$L$46&amp;AGR!$E$48:$L$48,0)),""))</f>
        <v/>
      </c>
      <c r="AG110" s="296" t="str">
        <f t="array" aca="1" ref="AG110" ca="1">IF($A110="*","",IFERROR(INDEX(AGR!$E$52:$L$73,MATCH('TS DTech'!$C110,AGR!$B$52:$B$73,0),MATCH('TS DTech'!$B110&amp;AG$7,AGR!$E$46:$L$46&amp;AGR!$E$48:$L$48,0)),""))</f>
        <v/>
      </c>
      <c r="AH110" s="296" t="str">
        <f t="array" aca="1" ref="AH110" ca="1">IF($A110="*","",IFERROR(INDEX(AGR!$E$52:$L$73,MATCH('TS DTech'!$C110,AGR!$B$52:$B$73,0),MATCH('TS DTech'!$B110&amp;AH$7,AGR!$E$46:$L$46&amp;AGR!$E$48:$L$48,0)),""))</f>
        <v/>
      </c>
      <c r="AI110" s="296" t="str">
        <f t="array" aca="1" ref="AI110" ca="1">IF($A110="*","",IFERROR(INDEX(AGR!$E$52:$L$73,MATCH('TS DTech'!$C110,AGR!$B$52:$B$73,0),MATCH('TS DTech'!$B110&amp;AI$7,AGR!$E$46:$L$46&amp;AGR!$E$48:$L$48,0)),""))</f>
        <v/>
      </c>
      <c r="AJ110" s="296" t="str">
        <f t="array" aca="1" ref="AJ110" ca="1">IF($A110="*","",IFERROR(INDEX(AGR!$E$52:$L$73,MATCH('TS DTech'!$C110,AGR!$B$52:$B$73,0),MATCH('TS DTech'!$B110&amp;AJ$7,AGR!$E$46:$L$46&amp;AGR!$E$48:$L$48,0)),""))</f>
        <v/>
      </c>
      <c r="AK110" s="296" t="str">
        <f t="array" aca="1" ref="AK110" ca="1">IF($A110="*","",IFERROR(INDEX(AGR!$E$52:$L$73,MATCH('TS DTech'!$C110,AGR!$B$52:$B$73,0),MATCH('TS DTech'!$B110&amp;AK$7,AGR!$E$46:$L$46&amp;AGR!$E$48:$L$48,0)),""))</f>
        <v/>
      </c>
      <c r="AL110" s="296" t="str">
        <f t="array" aca="1" ref="AL110" ca="1">IF($A110="*","",IFERROR(INDEX(AGR!$E$52:$L$73,MATCH('TS DTech'!$C110,AGR!$B$52:$B$73,0),MATCH('TS DTech'!$B110&amp;AL$7,AGR!$E$46:$L$46&amp;AGR!$E$48:$L$48,0)),""))</f>
        <v/>
      </c>
      <c r="AM110" s="296" t="str">
        <f t="array" aca="1" ref="AM110" ca="1">IF($A110="*","",IFERROR(INDEX(AGR!$E$52:$L$73,MATCH('TS DTech'!$C110,AGR!$B$52:$B$73,0),MATCH('TS DTech'!$B110&amp;AM$7,AGR!$E$46:$L$46&amp;AGR!$E$48:$L$48,0)),""))</f>
        <v/>
      </c>
      <c r="AN110" s="296" t="str">
        <f t="array" aca="1" ref="AN110" ca="1">IF($A110="*","",IFERROR(INDEX(AGR!$E$52:$L$73,MATCH('TS DTech'!$C110,AGR!$B$52:$B$73,0),MATCH('TS DTech'!$B110&amp;AN$7,AGR!$E$46:$L$46&amp;AGR!$E$48:$L$48,0)),""))</f>
        <v/>
      </c>
      <c r="AO110" s="296" t="str">
        <f t="array" aca="1" ref="AO110" ca="1">IF($A110="*","",IFERROR(INDEX(AGR!$E$52:$L$73,MATCH('TS DTech'!$C110,AGR!$B$52:$B$73,0),MATCH('TS DTech'!$B110&amp;AO$7,AGR!$E$46:$L$46&amp;AGR!$E$48:$L$48,0)),""))</f>
        <v/>
      </c>
      <c r="AP110" s="296" t="str">
        <f t="array" aca="1" ref="AP110" ca="1">IF($A110="*","",IFERROR(INDEX(AGR!$E$52:$L$73,MATCH('TS DTech'!$C110,AGR!$B$52:$B$73,0),MATCH('TS DTech'!$B110&amp;AP$7,AGR!$E$46:$L$46&amp;AGR!$E$48:$L$48,0)),""))</f>
        <v/>
      </c>
      <c r="AQ110" s="137">
        <f>IF(AR109=AGR!$AD$74,AQ109+1,AQ109)</f>
        <v>5</v>
      </c>
      <c r="AR110" s="137">
        <f t="shared" si="8"/>
        <v>3</v>
      </c>
    </row>
    <row r="111" spans="1:44">
      <c r="A111" s="137" t="str">
        <f ca="1">IF(LEFT(OFFSET(AGR!$A$51,AR111,0),2)="\I","*","")</f>
        <v/>
      </c>
      <c r="B111" s="212" t="str">
        <f t="shared" ca="1" si="7"/>
        <v>PRC_RESID</v>
      </c>
      <c r="C111" s="212" t="str">
        <f ca="1">IF($A111="*","",OFFSET(AGR!$B$51,AR111,0))</f>
        <v>AHOLP-E</v>
      </c>
      <c r="D111" s="212" t="str">
        <f t="shared" ca="1" si="9"/>
        <v>-</v>
      </c>
      <c r="E111" s="212" t="str">
        <f t="shared" ca="1" si="9"/>
        <v>-</v>
      </c>
      <c r="F111" s="212" t="str">
        <f t="shared" ca="1" si="9"/>
        <v>-</v>
      </c>
      <c r="G111" s="212" t="str">
        <f t="shared" ca="1" si="9"/>
        <v>-</v>
      </c>
      <c r="H111" s="212" t="str">
        <f t="shared" ca="1" si="9"/>
        <v>-</v>
      </c>
      <c r="I111" s="213">
        <f t="shared" ca="1" si="9"/>
        <v>0</v>
      </c>
      <c r="J111" s="296">
        <f t="array" aca="1" ref="J111" ca="1">IF($A111="*","",IFERROR(INDEX(AGR!$E$52:$L$73,MATCH('TS DTech'!$C111,AGR!$B$52:$B$73,0),MATCH('TS DTech'!$B111&amp;J$7,AGR!$E$46:$L$46&amp;AGR!$E$48:$L$48,0)),""))</f>
        <v>0</v>
      </c>
      <c r="K111" s="296" t="str">
        <f t="array" aca="1" ref="K111" ca="1">IF($A111="*","",IFERROR(INDEX(AGR!$E$52:$L$73,MATCH('TS DTech'!$C111,AGR!$B$52:$B$73,0),MATCH('TS DTech'!$B111&amp;K$7,AGR!$E$46:$L$46&amp;AGR!$E$48:$L$48,0)),""))</f>
        <v/>
      </c>
      <c r="L111" s="296" t="str">
        <f t="array" aca="1" ref="L111" ca="1">IF($A111="*","",IFERROR(INDEX(AGR!$E$52:$L$73,MATCH('TS DTech'!$C111,AGR!$B$52:$B$73,0),MATCH('TS DTech'!$B111&amp;L$7,AGR!$E$46:$L$46&amp;AGR!$E$48:$L$48,0)),""))</f>
        <v/>
      </c>
      <c r="M111" s="296" t="str">
        <f t="array" aca="1" ref="M111" ca="1">IF($A111="*","",IFERROR(INDEX(AGR!$E$52:$L$73,MATCH('TS DTech'!$C111,AGR!$B$52:$B$73,0),MATCH('TS DTech'!$B111&amp;M$7,AGR!$E$46:$L$46&amp;AGR!$E$48:$L$48,0)),""))</f>
        <v/>
      </c>
      <c r="N111" s="296" t="str">
        <f t="array" aca="1" ref="N111" ca="1">IF($A111="*","",IFERROR(INDEX(AGR!$E$52:$L$73,MATCH('TS DTech'!$C111,AGR!$B$52:$B$73,0),MATCH('TS DTech'!$B111&amp;N$7,AGR!$E$46:$L$46&amp;AGR!$E$48:$L$48,0)),""))</f>
        <v/>
      </c>
      <c r="O111" s="296">
        <f t="array" aca="1" ref="O111" ca="1">IF($A111="*","",IFERROR(INDEX(AGR!$E$52:$L$73,MATCH('TS DTech'!$C111,AGR!$B$52:$B$73,0),MATCH('TS DTech'!$B111&amp;O$7,AGR!$E$46:$L$46&amp;AGR!$E$48:$L$48,0)),""))</f>
        <v>6.1831126428441872E-2</v>
      </c>
      <c r="P111" s="296" t="str">
        <f t="array" aca="1" ref="P111" ca="1">IF($A111="*","",IFERROR(INDEX(AGR!$E$52:$L$73,MATCH('TS DTech'!$C111,AGR!$B$52:$B$73,0),MATCH('TS DTech'!$B111&amp;P$7,AGR!$E$46:$L$46&amp;AGR!$E$48:$L$48,0)),""))</f>
        <v/>
      </c>
      <c r="Q111" s="296" t="str">
        <f t="array" aca="1" ref="Q111" ca="1">IF($A111="*","",IFERROR(INDEX(AGR!$E$52:$L$73,MATCH('TS DTech'!$C111,AGR!$B$52:$B$73,0),MATCH('TS DTech'!$B111&amp;Q$7,AGR!$E$46:$L$46&amp;AGR!$E$48:$L$48,0)),""))</f>
        <v/>
      </c>
      <c r="R111" s="296" t="str">
        <f t="array" aca="1" ref="R111" ca="1">IF($A111="*","",IFERROR(INDEX(AGR!$E$52:$L$73,MATCH('TS DTech'!$C111,AGR!$B$52:$B$73,0),MATCH('TS DTech'!$B111&amp;R$7,AGR!$E$46:$L$46&amp;AGR!$E$48:$L$48,0)),""))</f>
        <v/>
      </c>
      <c r="S111" s="296" t="str">
        <f t="array" aca="1" ref="S111" ca="1">IF($A111="*","",IFERROR(INDEX(AGR!$E$52:$L$73,MATCH('TS DTech'!$C111,AGR!$B$52:$B$73,0),MATCH('TS DTech'!$B111&amp;S$7,AGR!$E$46:$L$46&amp;AGR!$E$48:$L$48,0)),""))</f>
        <v/>
      </c>
      <c r="T111" s="296" t="str">
        <f t="array" aca="1" ref="T111" ca="1">IF($A111="*","",IFERROR(INDEX(AGR!$E$52:$L$73,MATCH('TS DTech'!$C111,AGR!$B$52:$B$73,0),MATCH('TS DTech'!$B111&amp;T$7,AGR!$E$46:$L$46&amp;AGR!$E$48:$L$48,0)),""))</f>
        <v/>
      </c>
      <c r="U111" s="296" t="str">
        <f t="array" aca="1" ref="U111" ca="1">IF($A111="*","",IFERROR(INDEX(AGR!$E$52:$L$73,MATCH('TS DTech'!$C111,AGR!$B$52:$B$73,0),MATCH('TS DTech'!$B111&amp;U$7,AGR!$E$46:$L$46&amp;AGR!$E$48:$L$48,0)),""))</f>
        <v/>
      </c>
      <c r="V111" s="296" t="str">
        <f t="array" aca="1" ref="V111" ca="1">IF($A111="*","",IFERROR(INDEX(AGR!$E$52:$L$73,MATCH('TS DTech'!$C111,AGR!$B$52:$B$73,0),MATCH('TS DTech'!$B111&amp;V$7,AGR!$E$46:$L$46&amp;AGR!$E$48:$L$48,0)),""))</f>
        <v/>
      </c>
      <c r="W111" s="296" t="str">
        <f t="array" aca="1" ref="W111" ca="1">IF($A111="*","",IFERROR(INDEX(AGR!$E$52:$L$73,MATCH('TS DTech'!$C111,AGR!$B$52:$B$73,0),MATCH('TS DTech'!$B111&amp;W$7,AGR!$E$46:$L$46&amp;AGR!$E$48:$L$48,0)),""))</f>
        <v/>
      </c>
      <c r="X111" s="296" t="str">
        <f t="array" aca="1" ref="X111" ca="1">IF($A111="*","",IFERROR(INDEX(AGR!$E$52:$L$73,MATCH('TS DTech'!$C111,AGR!$B$52:$B$73,0),MATCH('TS DTech'!$B111&amp;X$7,AGR!$E$46:$L$46&amp;AGR!$E$48:$L$48,0)),""))</f>
        <v/>
      </c>
      <c r="Y111" s="296" t="str">
        <f t="array" aca="1" ref="Y111" ca="1">IF($A111="*","",IFERROR(INDEX(AGR!$E$52:$L$73,MATCH('TS DTech'!$C111,AGR!$B$52:$B$73,0),MATCH('TS DTech'!$B111&amp;Y$7,AGR!$E$46:$L$46&amp;AGR!$E$48:$L$48,0)),""))</f>
        <v/>
      </c>
      <c r="Z111" s="296" t="str">
        <f t="array" aca="1" ref="Z111" ca="1">IF($A111="*","",IFERROR(INDEX(AGR!$E$52:$L$73,MATCH('TS DTech'!$C111,AGR!$B$52:$B$73,0),MATCH('TS DTech'!$B111&amp;Z$7,AGR!$E$46:$L$46&amp;AGR!$E$48:$L$48,0)),""))</f>
        <v/>
      </c>
      <c r="AA111" s="296" t="str">
        <f t="array" aca="1" ref="AA111" ca="1">IF($A111="*","",IFERROR(INDEX(AGR!$E$52:$L$73,MATCH('TS DTech'!$C111,AGR!$B$52:$B$73,0),MATCH('TS DTech'!$B111&amp;AA$7,AGR!$E$46:$L$46&amp;AGR!$E$48:$L$48,0)),""))</f>
        <v/>
      </c>
      <c r="AB111" s="296" t="str">
        <f t="array" aca="1" ref="AB111" ca="1">IF($A111="*","",IFERROR(INDEX(AGR!$E$52:$L$73,MATCH('TS DTech'!$C111,AGR!$B$52:$B$73,0),MATCH('TS DTech'!$B111&amp;AB$7,AGR!$E$46:$L$46&amp;AGR!$E$48:$L$48,0)),""))</f>
        <v/>
      </c>
      <c r="AC111" s="296" t="str">
        <f t="array" aca="1" ref="AC111" ca="1">IF($A111="*","",IFERROR(INDEX(AGR!$E$52:$L$73,MATCH('TS DTech'!$C111,AGR!$B$52:$B$73,0),MATCH('TS DTech'!$B111&amp;AC$7,AGR!$E$46:$L$46&amp;AGR!$E$48:$L$48,0)),""))</f>
        <v/>
      </c>
      <c r="AD111" s="296" t="str">
        <f t="array" aca="1" ref="AD111" ca="1">IF($A111="*","",IFERROR(INDEX(AGR!$E$52:$L$73,MATCH('TS DTech'!$C111,AGR!$B$52:$B$73,0),MATCH('TS DTech'!$B111&amp;AD$7,AGR!$E$46:$L$46&amp;AGR!$E$48:$L$48,0)),""))</f>
        <v/>
      </c>
      <c r="AE111" s="296" t="str">
        <f t="array" aca="1" ref="AE111" ca="1">IF($A111="*","",IFERROR(INDEX(AGR!$E$52:$L$73,MATCH('TS DTech'!$C111,AGR!$B$52:$B$73,0),MATCH('TS DTech'!$B111&amp;AE$7,AGR!$E$46:$L$46&amp;AGR!$E$48:$L$48,0)),""))</f>
        <v/>
      </c>
      <c r="AF111" s="296" t="str">
        <f t="array" aca="1" ref="AF111" ca="1">IF($A111="*","",IFERROR(INDEX(AGR!$E$52:$L$73,MATCH('TS DTech'!$C111,AGR!$B$52:$B$73,0),MATCH('TS DTech'!$B111&amp;AF$7,AGR!$E$46:$L$46&amp;AGR!$E$48:$L$48,0)),""))</f>
        <v/>
      </c>
      <c r="AG111" s="296" t="str">
        <f t="array" aca="1" ref="AG111" ca="1">IF($A111="*","",IFERROR(INDEX(AGR!$E$52:$L$73,MATCH('TS DTech'!$C111,AGR!$B$52:$B$73,0),MATCH('TS DTech'!$B111&amp;AG$7,AGR!$E$46:$L$46&amp;AGR!$E$48:$L$48,0)),""))</f>
        <v/>
      </c>
      <c r="AH111" s="296" t="str">
        <f t="array" aca="1" ref="AH111" ca="1">IF($A111="*","",IFERROR(INDEX(AGR!$E$52:$L$73,MATCH('TS DTech'!$C111,AGR!$B$52:$B$73,0),MATCH('TS DTech'!$B111&amp;AH$7,AGR!$E$46:$L$46&amp;AGR!$E$48:$L$48,0)),""))</f>
        <v/>
      </c>
      <c r="AI111" s="296" t="str">
        <f t="array" aca="1" ref="AI111" ca="1">IF($A111="*","",IFERROR(INDEX(AGR!$E$52:$L$73,MATCH('TS DTech'!$C111,AGR!$B$52:$B$73,0),MATCH('TS DTech'!$B111&amp;AI$7,AGR!$E$46:$L$46&amp;AGR!$E$48:$L$48,0)),""))</f>
        <v/>
      </c>
      <c r="AJ111" s="296" t="str">
        <f t="array" aca="1" ref="AJ111" ca="1">IF($A111="*","",IFERROR(INDEX(AGR!$E$52:$L$73,MATCH('TS DTech'!$C111,AGR!$B$52:$B$73,0),MATCH('TS DTech'!$B111&amp;AJ$7,AGR!$E$46:$L$46&amp;AGR!$E$48:$L$48,0)),""))</f>
        <v/>
      </c>
      <c r="AK111" s="296" t="str">
        <f t="array" aca="1" ref="AK111" ca="1">IF($A111="*","",IFERROR(INDEX(AGR!$E$52:$L$73,MATCH('TS DTech'!$C111,AGR!$B$52:$B$73,0),MATCH('TS DTech'!$B111&amp;AK$7,AGR!$E$46:$L$46&amp;AGR!$E$48:$L$48,0)),""))</f>
        <v/>
      </c>
      <c r="AL111" s="296" t="str">
        <f t="array" aca="1" ref="AL111" ca="1">IF($A111="*","",IFERROR(INDEX(AGR!$E$52:$L$73,MATCH('TS DTech'!$C111,AGR!$B$52:$B$73,0),MATCH('TS DTech'!$B111&amp;AL$7,AGR!$E$46:$L$46&amp;AGR!$E$48:$L$48,0)),""))</f>
        <v/>
      </c>
      <c r="AM111" s="296" t="str">
        <f t="array" aca="1" ref="AM111" ca="1">IF($A111="*","",IFERROR(INDEX(AGR!$E$52:$L$73,MATCH('TS DTech'!$C111,AGR!$B$52:$B$73,0),MATCH('TS DTech'!$B111&amp;AM$7,AGR!$E$46:$L$46&amp;AGR!$E$48:$L$48,0)),""))</f>
        <v/>
      </c>
      <c r="AN111" s="296" t="str">
        <f t="array" aca="1" ref="AN111" ca="1">IF($A111="*","",IFERROR(INDEX(AGR!$E$52:$L$73,MATCH('TS DTech'!$C111,AGR!$B$52:$B$73,0),MATCH('TS DTech'!$B111&amp;AN$7,AGR!$E$46:$L$46&amp;AGR!$E$48:$L$48,0)),""))</f>
        <v/>
      </c>
      <c r="AO111" s="296" t="str">
        <f t="array" aca="1" ref="AO111" ca="1">IF($A111="*","",IFERROR(INDEX(AGR!$E$52:$L$73,MATCH('TS DTech'!$C111,AGR!$B$52:$B$73,0),MATCH('TS DTech'!$B111&amp;AO$7,AGR!$E$46:$L$46&amp;AGR!$E$48:$L$48,0)),""))</f>
        <v/>
      </c>
      <c r="AP111" s="296" t="str">
        <f t="array" aca="1" ref="AP111" ca="1">IF($A111="*","",IFERROR(INDEX(AGR!$E$52:$L$73,MATCH('TS DTech'!$C111,AGR!$B$52:$B$73,0),MATCH('TS DTech'!$B111&amp;AP$7,AGR!$E$46:$L$46&amp;AGR!$E$48:$L$48,0)),""))</f>
        <v/>
      </c>
      <c r="AQ111" s="137">
        <f>IF(AR110=AGR!$AD$74,AQ110+1,AQ110)</f>
        <v>5</v>
      </c>
      <c r="AR111" s="137">
        <f>IF(AQ111=AQ110,AR110+1,1)</f>
        <v>4</v>
      </c>
    </row>
    <row r="112" spans="1:44">
      <c r="A112" s="137" t="str">
        <f ca="1">IF(LEFT(OFFSET(AGR!$A$51,AR112,0),2)="\I","*","")</f>
        <v/>
      </c>
      <c r="B112" s="212" t="str">
        <f t="shared" ref="B112:B130" ca="1" si="10">IF(A112="*","",VLOOKUP("*"&amp;AQ112,$A$9:$B$14,2,FALSE))</f>
        <v>PRC_RESID</v>
      </c>
      <c r="C112" s="212" t="str">
        <f ca="1">IF($A112="*","",OFFSET(AGR!$B$51,AR112,0))</f>
        <v>AHELC-E</v>
      </c>
      <c r="D112" s="212" t="str">
        <f t="shared" ca="1" si="9"/>
        <v>-</v>
      </c>
      <c r="E112" s="212" t="str">
        <f t="shared" ca="1" si="9"/>
        <v>-</v>
      </c>
      <c r="F112" s="212" t="str">
        <f t="shared" ca="1" si="9"/>
        <v>-</v>
      </c>
      <c r="G112" s="212" t="str">
        <f t="shared" ca="1" si="9"/>
        <v>-</v>
      </c>
      <c r="H112" s="212" t="str">
        <f t="shared" ca="1" si="9"/>
        <v>-</v>
      </c>
      <c r="I112" s="213">
        <f t="shared" ca="1" si="9"/>
        <v>0</v>
      </c>
      <c r="J112" s="296">
        <f t="array" aca="1" ref="J112" ca="1">IF($A112="*","",IFERROR(INDEX(AGR!$E$52:$L$73,MATCH('TS DTech'!$C112,AGR!$B$52:$B$73,0),MATCH('TS DTech'!$B112&amp;J$7,AGR!$E$46:$L$46&amp;AGR!$E$48:$L$48,0)),""))</f>
        <v>0</v>
      </c>
      <c r="K112" s="296" t="str">
        <f t="array" aca="1" ref="K112" ca="1">IF($A112="*","",IFERROR(INDEX(AGR!$E$52:$L$73,MATCH('TS DTech'!$C112,AGR!$B$52:$B$73,0),MATCH('TS DTech'!$B112&amp;K$7,AGR!$E$46:$L$46&amp;AGR!$E$48:$L$48,0)),""))</f>
        <v/>
      </c>
      <c r="L112" s="296" t="str">
        <f t="array" aca="1" ref="L112" ca="1">IF($A112="*","",IFERROR(INDEX(AGR!$E$52:$L$73,MATCH('TS DTech'!$C112,AGR!$B$52:$B$73,0),MATCH('TS DTech'!$B112&amp;L$7,AGR!$E$46:$L$46&amp;AGR!$E$48:$L$48,0)),""))</f>
        <v/>
      </c>
      <c r="M112" s="296" t="str">
        <f t="array" aca="1" ref="M112" ca="1">IF($A112="*","",IFERROR(INDEX(AGR!$E$52:$L$73,MATCH('TS DTech'!$C112,AGR!$B$52:$B$73,0),MATCH('TS DTech'!$B112&amp;M$7,AGR!$E$46:$L$46&amp;AGR!$E$48:$L$48,0)),""))</f>
        <v/>
      </c>
      <c r="N112" s="296" t="str">
        <f t="array" aca="1" ref="N112" ca="1">IF($A112="*","",IFERROR(INDEX(AGR!$E$52:$L$73,MATCH('TS DTech'!$C112,AGR!$B$52:$B$73,0),MATCH('TS DTech'!$B112&amp;N$7,AGR!$E$46:$L$46&amp;AGR!$E$48:$L$48,0)),""))</f>
        <v/>
      </c>
      <c r="O112" s="296">
        <f t="array" aca="1" ref="O112" ca="1">IF($A112="*","",IFERROR(INDEX(AGR!$E$52:$L$73,MATCH('TS DTech'!$C112,AGR!$B$52:$B$73,0),MATCH('TS DTech'!$B112&amp;O$7,AGR!$E$46:$L$46&amp;AGR!$E$48:$L$48,0)),""))</f>
        <v>0</v>
      </c>
      <c r="P112" s="296" t="str">
        <f t="array" aca="1" ref="P112" ca="1">IF($A112="*","",IFERROR(INDEX(AGR!$E$52:$L$73,MATCH('TS DTech'!$C112,AGR!$B$52:$B$73,0),MATCH('TS DTech'!$B112&amp;P$7,AGR!$E$46:$L$46&amp;AGR!$E$48:$L$48,0)),""))</f>
        <v/>
      </c>
      <c r="Q112" s="296" t="str">
        <f t="array" aca="1" ref="Q112" ca="1">IF($A112="*","",IFERROR(INDEX(AGR!$E$52:$L$73,MATCH('TS DTech'!$C112,AGR!$B$52:$B$73,0),MATCH('TS DTech'!$B112&amp;Q$7,AGR!$E$46:$L$46&amp;AGR!$E$48:$L$48,0)),""))</f>
        <v/>
      </c>
      <c r="R112" s="296" t="str">
        <f t="array" aca="1" ref="R112" ca="1">IF($A112="*","",IFERROR(INDEX(AGR!$E$52:$L$73,MATCH('TS DTech'!$C112,AGR!$B$52:$B$73,0),MATCH('TS DTech'!$B112&amp;R$7,AGR!$E$46:$L$46&amp;AGR!$E$48:$L$48,0)),""))</f>
        <v/>
      </c>
      <c r="S112" s="296" t="str">
        <f t="array" aca="1" ref="S112" ca="1">IF($A112="*","",IFERROR(INDEX(AGR!$E$52:$L$73,MATCH('TS DTech'!$C112,AGR!$B$52:$B$73,0),MATCH('TS DTech'!$B112&amp;S$7,AGR!$E$46:$L$46&amp;AGR!$E$48:$L$48,0)),""))</f>
        <v/>
      </c>
      <c r="T112" s="296" t="str">
        <f t="array" aca="1" ref="T112" ca="1">IF($A112="*","",IFERROR(INDEX(AGR!$E$52:$L$73,MATCH('TS DTech'!$C112,AGR!$B$52:$B$73,0),MATCH('TS DTech'!$B112&amp;T$7,AGR!$E$46:$L$46&amp;AGR!$E$48:$L$48,0)),""))</f>
        <v/>
      </c>
      <c r="U112" s="296" t="str">
        <f t="array" aca="1" ref="U112" ca="1">IF($A112="*","",IFERROR(INDEX(AGR!$E$52:$L$73,MATCH('TS DTech'!$C112,AGR!$B$52:$B$73,0),MATCH('TS DTech'!$B112&amp;U$7,AGR!$E$46:$L$46&amp;AGR!$E$48:$L$48,0)),""))</f>
        <v/>
      </c>
      <c r="V112" s="296" t="str">
        <f t="array" aca="1" ref="V112" ca="1">IF($A112="*","",IFERROR(INDEX(AGR!$E$52:$L$73,MATCH('TS DTech'!$C112,AGR!$B$52:$B$73,0),MATCH('TS DTech'!$B112&amp;V$7,AGR!$E$46:$L$46&amp;AGR!$E$48:$L$48,0)),""))</f>
        <v/>
      </c>
      <c r="W112" s="296" t="str">
        <f t="array" aca="1" ref="W112" ca="1">IF($A112="*","",IFERROR(INDEX(AGR!$E$52:$L$73,MATCH('TS DTech'!$C112,AGR!$B$52:$B$73,0),MATCH('TS DTech'!$B112&amp;W$7,AGR!$E$46:$L$46&amp;AGR!$E$48:$L$48,0)),""))</f>
        <v/>
      </c>
      <c r="X112" s="296" t="str">
        <f t="array" aca="1" ref="X112" ca="1">IF($A112="*","",IFERROR(INDEX(AGR!$E$52:$L$73,MATCH('TS DTech'!$C112,AGR!$B$52:$B$73,0),MATCH('TS DTech'!$B112&amp;X$7,AGR!$E$46:$L$46&amp;AGR!$E$48:$L$48,0)),""))</f>
        <v/>
      </c>
      <c r="Y112" s="296" t="str">
        <f t="array" aca="1" ref="Y112" ca="1">IF($A112="*","",IFERROR(INDEX(AGR!$E$52:$L$73,MATCH('TS DTech'!$C112,AGR!$B$52:$B$73,0),MATCH('TS DTech'!$B112&amp;Y$7,AGR!$E$46:$L$46&amp;AGR!$E$48:$L$48,0)),""))</f>
        <v/>
      </c>
      <c r="Z112" s="296" t="str">
        <f t="array" aca="1" ref="Z112" ca="1">IF($A112="*","",IFERROR(INDEX(AGR!$E$52:$L$73,MATCH('TS DTech'!$C112,AGR!$B$52:$B$73,0),MATCH('TS DTech'!$B112&amp;Z$7,AGR!$E$46:$L$46&amp;AGR!$E$48:$L$48,0)),""))</f>
        <v/>
      </c>
      <c r="AA112" s="296" t="str">
        <f t="array" aca="1" ref="AA112" ca="1">IF($A112="*","",IFERROR(INDEX(AGR!$E$52:$L$73,MATCH('TS DTech'!$C112,AGR!$B$52:$B$73,0),MATCH('TS DTech'!$B112&amp;AA$7,AGR!$E$46:$L$46&amp;AGR!$E$48:$L$48,0)),""))</f>
        <v/>
      </c>
      <c r="AB112" s="296" t="str">
        <f t="array" aca="1" ref="AB112" ca="1">IF($A112="*","",IFERROR(INDEX(AGR!$E$52:$L$73,MATCH('TS DTech'!$C112,AGR!$B$52:$B$73,0),MATCH('TS DTech'!$B112&amp;AB$7,AGR!$E$46:$L$46&amp;AGR!$E$48:$L$48,0)),""))</f>
        <v/>
      </c>
      <c r="AC112" s="296" t="str">
        <f t="array" aca="1" ref="AC112" ca="1">IF($A112="*","",IFERROR(INDEX(AGR!$E$52:$L$73,MATCH('TS DTech'!$C112,AGR!$B$52:$B$73,0),MATCH('TS DTech'!$B112&amp;AC$7,AGR!$E$46:$L$46&amp;AGR!$E$48:$L$48,0)),""))</f>
        <v/>
      </c>
      <c r="AD112" s="296" t="str">
        <f t="array" aca="1" ref="AD112" ca="1">IF($A112="*","",IFERROR(INDEX(AGR!$E$52:$L$73,MATCH('TS DTech'!$C112,AGR!$B$52:$B$73,0),MATCH('TS DTech'!$B112&amp;AD$7,AGR!$E$46:$L$46&amp;AGR!$E$48:$L$48,0)),""))</f>
        <v/>
      </c>
      <c r="AE112" s="296" t="str">
        <f t="array" aca="1" ref="AE112" ca="1">IF($A112="*","",IFERROR(INDEX(AGR!$E$52:$L$73,MATCH('TS DTech'!$C112,AGR!$B$52:$B$73,0),MATCH('TS DTech'!$B112&amp;AE$7,AGR!$E$46:$L$46&amp;AGR!$E$48:$L$48,0)),""))</f>
        <v/>
      </c>
      <c r="AF112" s="296" t="str">
        <f t="array" aca="1" ref="AF112" ca="1">IF($A112="*","",IFERROR(INDEX(AGR!$E$52:$L$73,MATCH('TS DTech'!$C112,AGR!$B$52:$B$73,0),MATCH('TS DTech'!$B112&amp;AF$7,AGR!$E$46:$L$46&amp;AGR!$E$48:$L$48,0)),""))</f>
        <v/>
      </c>
      <c r="AG112" s="296" t="str">
        <f t="array" aca="1" ref="AG112" ca="1">IF($A112="*","",IFERROR(INDEX(AGR!$E$52:$L$73,MATCH('TS DTech'!$C112,AGR!$B$52:$B$73,0),MATCH('TS DTech'!$B112&amp;AG$7,AGR!$E$46:$L$46&amp;AGR!$E$48:$L$48,0)),""))</f>
        <v/>
      </c>
      <c r="AH112" s="296" t="str">
        <f t="array" aca="1" ref="AH112" ca="1">IF($A112="*","",IFERROR(INDEX(AGR!$E$52:$L$73,MATCH('TS DTech'!$C112,AGR!$B$52:$B$73,0),MATCH('TS DTech'!$B112&amp;AH$7,AGR!$E$46:$L$46&amp;AGR!$E$48:$L$48,0)),""))</f>
        <v/>
      </c>
      <c r="AI112" s="296" t="str">
        <f t="array" aca="1" ref="AI112" ca="1">IF($A112="*","",IFERROR(INDEX(AGR!$E$52:$L$73,MATCH('TS DTech'!$C112,AGR!$B$52:$B$73,0),MATCH('TS DTech'!$B112&amp;AI$7,AGR!$E$46:$L$46&amp;AGR!$E$48:$L$48,0)),""))</f>
        <v/>
      </c>
      <c r="AJ112" s="296" t="str">
        <f t="array" aca="1" ref="AJ112" ca="1">IF($A112="*","",IFERROR(INDEX(AGR!$E$52:$L$73,MATCH('TS DTech'!$C112,AGR!$B$52:$B$73,0),MATCH('TS DTech'!$B112&amp;AJ$7,AGR!$E$46:$L$46&amp;AGR!$E$48:$L$48,0)),""))</f>
        <v/>
      </c>
      <c r="AK112" s="296" t="str">
        <f t="array" aca="1" ref="AK112" ca="1">IF($A112="*","",IFERROR(INDEX(AGR!$E$52:$L$73,MATCH('TS DTech'!$C112,AGR!$B$52:$B$73,0),MATCH('TS DTech'!$B112&amp;AK$7,AGR!$E$46:$L$46&amp;AGR!$E$48:$L$48,0)),""))</f>
        <v/>
      </c>
      <c r="AL112" s="296" t="str">
        <f t="array" aca="1" ref="AL112" ca="1">IF($A112="*","",IFERROR(INDEX(AGR!$E$52:$L$73,MATCH('TS DTech'!$C112,AGR!$B$52:$B$73,0),MATCH('TS DTech'!$B112&amp;AL$7,AGR!$E$46:$L$46&amp;AGR!$E$48:$L$48,0)),""))</f>
        <v/>
      </c>
      <c r="AM112" s="296" t="str">
        <f t="array" aca="1" ref="AM112" ca="1">IF($A112="*","",IFERROR(INDEX(AGR!$E$52:$L$73,MATCH('TS DTech'!$C112,AGR!$B$52:$B$73,0),MATCH('TS DTech'!$B112&amp;AM$7,AGR!$E$46:$L$46&amp;AGR!$E$48:$L$48,0)),""))</f>
        <v/>
      </c>
      <c r="AN112" s="296" t="str">
        <f t="array" aca="1" ref="AN112" ca="1">IF($A112="*","",IFERROR(INDEX(AGR!$E$52:$L$73,MATCH('TS DTech'!$C112,AGR!$B$52:$B$73,0),MATCH('TS DTech'!$B112&amp;AN$7,AGR!$E$46:$L$46&amp;AGR!$E$48:$L$48,0)),""))</f>
        <v/>
      </c>
      <c r="AO112" s="296" t="str">
        <f t="array" aca="1" ref="AO112" ca="1">IF($A112="*","",IFERROR(INDEX(AGR!$E$52:$L$73,MATCH('TS DTech'!$C112,AGR!$B$52:$B$73,0),MATCH('TS DTech'!$B112&amp;AO$7,AGR!$E$46:$L$46&amp;AGR!$E$48:$L$48,0)),""))</f>
        <v/>
      </c>
      <c r="AP112" s="296" t="str">
        <f t="array" aca="1" ref="AP112" ca="1">IF($A112="*","",IFERROR(INDEX(AGR!$E$52:$L$73,MATCH('TS DTech'!$C112,AGR!$B$52:$B$73,0),MATCH('TS DTech'!$B112&amp;AP$7,AGR!$E$46:$L$46&amp;AGR!$E$48:$L$48,0)),""))</f>
        <v/>
      </c>
      <c r="AQ112" s="137">
        <f>IF(AR111=AGR!$AD$74,AQ111+1,AQ111)</f>
        <v>5</v>
      </c>
      <c r="AR112" s="137">
        <f>IF(AQ112=AQ111,AR111+1,1)</f>
        <v>5</v>
      </c>
    </row>
    <row r="113" spans="1:44">
      <c r="A113" s="137" t="str">
        <f ca="1">IF(LEFT(OFFSET(AGR!$A$51,AR113,0),2)="\I","*","")</f>
        <v>*</v>
      </c>
      <c r="B113" s="212" t="str">
        <f t="shared" ca="1" si="10"/>
        <v/>
      </c>
      <c r="C113" s="212" t="str">
        <f ca="1">IF($A113="*","",OFFSET(AGR!$B$51,AR113,0))</f>
        <v/>
      </c>
      <c r="D113" s="212" t="str">
        <f t="shared" ca="1" si="9"/>
        <v/>
      </c>
      <c r="E113" s="212" t="str">
        <f t="shared" ca="1" si="9"/>
        <v/>
      </c>
      <c r="F113" s="212" t="str">
        <f t="shared" ca="1" si="9"/>
        <v/>
      </c>
      <c r="G113" s="212" t="str">
        <f t="shared" ca="1" si="9"/>
        <v/>
      </c>
      <c r="H113" s="212" t="str">
        <f t="shared" ca="1" si="9"/>
        <v/>
      </c>
      <c r="I113" s="213" t="str">
        <f t="shared" ca="1" si="9"/>
        <v/>
      </c>
      <c r="J113" s="296" t="str">
        <f t="array" aca="1" ref="J113" ca="1">IF($A113="*","",IFERROR(INDEX(AGR!$E$52:$L$73,MATCH('TS DTech'!$C113,AGR!$B$52:$B$73,0),MATCH('TS DTech'!$B113&amp;J$7,AGR!$E$46:$L$46&amp;AGR!$E$48:$L$48,0)),""))</f>
        <v/>
      </c>
      <c r="K113" s="296" t="str">
        <f t="array" aca="1" ref="K113" ca="1">IF($A113="*","",IFERROR(INDEX(AGR!$E$52:$L$73,MATCH('TS DTech'!$C113,AGR!$B$52:$B$73,0),MATCH('TS DTech'!$B113&amp;K$7,AGR!$E$46:$L$46&amp;AGR!$E$48:$L$48,0)),""))</f>
        <v/>
      </c>
      <c r="L113" s="296" t="str">
        <f t="array" aca="1" ref="L113" ca="1">IF($A113="*","",IFERROR(INDEX(AGR!$E$52:$L$73,MATCH('TS DTech'!$C113,AGR!$B$52:$B$73,0),MATCH('TS DTech'!$B113&amp;L$7,AGR!$E$46:$L$46&amp;AGR!$E$48:$L$48,0)),""))</f>
        <v/>
      </c>
      <c r="M113" s="296" t="str">
        <f t="array" aca="1" ref="M113" ca="1">IF($A113="*","",IFERROR(INDEX(AGR!$E$52:$L$73,MATCH('TS DTech'!$C113,AGR!$B$52:$B$73,0),MATCH('TS DTech'!$B113&amp;M$7,AGR!$E$46:$L$46&amp;AGR!$E$48:$L$48,0)),""))</f>
        <v/>
      </c>
      <c r="N113" s="296" t="str">
        <f t="array" aca="1" ref="N113" ca="1">IF($A113="*","",IFERROR(INDEX(AGR!$E$52:$L$73,MATCH('TS DTech'!$C113,AGR!$B$52:$B$73,0),MATCH('TS DTech'!$B113&amp;N$7,AGR!$E$46:$L$46&amp;AGR!$E$48:$L$48,0)),""))</f>
        <v/>
      </c>
      <c r="O113" s="296" t="str">
        <f t="array" aca="1" ref="O113" ca="1">IF($A113="*","",IFERROR(INDEX(AGR!$E$52:$L$73,MATCH('TS DTech'!$C113,AGR!$B$52:$B$73,0),MATCH('TS DTech'!$B113&amp;O$7,AGR!$E$46:$L$46&amp;AGR!$E$48:$L$48,0)),""))</f>
        <v/>
      </c>
      <c r="P113" s="296" t="str">
        <f t="array" aca="1" ref="P113" ca="1">IF($A113="*","",IFERROR(INDEX(AGR!$E$52:$L$73,MATCH('TS DTech'!$C113,AGR!$B$52:$B$73,0),MATCH('TS DTech'!$B113&amp;P$7,AGR!$E$46:$L$46&amp;AGR!$E$48:$L$48,0)),""))</f>
        <v/>
      </c>
      <c r="Q113" s="296" t="str">
        <f t="array" aca="1" ref="Q113" ca="1">IF($A113="*","",IFERROR(INDEX(AGR!$E$52:$L$73,MATCH('TS DTech'!$C113,AGR!$B$52:$B$73,0),MATCH('TS DTech'!$B113&amp;Q$7,AGR!$E$46:$L$46&amp;AGR!$E$48:$L$48,0)),""))</f>
        <v/>
      </c>
      <c r="R113" s="296" t="str">
        <f t="array" aca="1" ref="R113" ca="1">IF($A113="*","",IFERROR(INDEX(AGR!$E$52:$L$73,MATCH('TS DTech'!$C113,AGR!$B$52:$B$73,0),MATCH('TS DTech'!$B113&amp;R$7,AGR!$E$46:$L$46&amp;AGR!$E$48:$L$48,0)),""))</f>
        <v/>
      </c>
      <c r="S113" s="296" t="str">
        <f t="array" aca="1" ref="S113" ca="1">IF($A113="*","",IFERROR(INDEX(AGR!$E$52:$L$73,MATCH('TS DTech'!$C113,AGR!$B$52:$B$73,0),MATCH('TS DTech'!$B113&amp;S$7,AGR!$E$46:$L$46&amp;AGR!$E$48:$L$48,0)),""))</f>
        <v/>
      </c>
      <c r="T113" s="296" t="str">
        <f t="array" aca="1" ref="T113" ca="1">IF($A113="*","",IFERROR(INDEX(AGR!$E$52:$L$73,MATCH('TS DTech'!$C113,AGR!$B$52:$B$73,0),MATCH('TS DTech'!$B113&amp;T$7,AGR!$E$46:$L$46&amp;AGR!$E$48:$L$48,0)),""))</f>
        <v/>
      </c>
      <c r="U113" s="296" t="str">
        <f t="array" aca="1" ref="U113" ca="1">IF($A113="*","",IFERROR(INDEX(AGR!$E$52:$L$73,MATCH('TS DTech'!$C113,AGR!$B$52:$B$73,0),MATCH('TS DTech'!$B113&amp;U$7,AGR!$E$46:$L$46&amp;AGR!$E$48:$L$48,0)),""))</f>
        <v/>
      </c>
      <c r="V113" s="296" t="str">
        <f t="array" aca="1" ref="V113" ca="1">IF($A113="*","",IFERROR(INDEX(AGR!$E$52:$L$73,MATCH('TS DTech'!$C113,AGR!$B$52:$B$73,0),MATCH('TS DTech'!$B113&amp;V$7,AGR!$E$46:$L$46&amp;AGR!$E$48:$L$48,0)),""))</f>
        <v/>
      </c>
      <c r="W113" s="296" t="str">
        <f t="array" aca="1" ref="W113" ca="1">IF($A113="*","",IFERROR(INDEX(AGR!$E$52:$L$73,MATCH('TS DTech'!$C113,AGR!$B$52:$B$73,0),MATCH('TS DTech'!$B113&amp;W$7,AGR!$E$46:$L$46&amp;AGR!$E$48:$L$48,0)),""))</f>
        <v/>
      </c>
      <c r="X113" s="296" t="str">
        <f t="array" aca="1" ref="X113" ca="1">IF($A113="*","",IFERROR(INDEX(AGR!$E$52:$L$73,MATCH('TS DTech'!$C113,AGR!$B$52:$B$73,0),MATCH('TS DTech'!$B113&amp;X$7,AGR!$E$46:$L$46&amp;AGR!$E$48:$L$48,0)),""))</f>
        <v/>
      </c>
      <c r="Y113" s="296" t="str">
        <f t="array" aca="1" ref="Y113" ca="1">IF($A113="*","",IFERROR(INDEX(AGR!$E$52:$L$73,MATCH('TS DTech'!$C113,AGR!$B$52:$B$73,0),MATCH('TS DTech'!$B113&amp;Y$7,AGR!$E$46:$L$46&amp;AGR!$E$48:$L$48,0)),""))</f>
        <v/>
      </c>
      <c r="Z113" s="296" t="str">
        <f t="array" aca="1" ref="Z113" ca="1">IF($A113="*","",IFERROR(INDEX(AGR!$E$52:$L$73,MATCH('TS DTech'!$C113,AGR!$B$52:$B$73,0),MATCH('TS DTech'!$B113&amp;Z$7,AGR!$E$46:$L$46&amp;AGR!$E$48:$L$48,0)),""))</f>
        <v/>
      </c>
      <c r="AA113" s="296" t="str">
        <f t="array" aca="1" ref="AA113" ca="1">IF($A113="*","",IFERROR(INDEX(AGR!$E$52:$L$73,MATCH('TS DTech'!$C113,AGR!$B$52:$B$73,0),MATCH('TS DTech'!$B113&amp;AA$7,AGR!$E$46:$L$46&amp;AGR!$E$48:$L$48,0)),""))</f>
        <v/>
      </c>
      <c r="AB113" s="296" t="str">
        <f t="array" aca="1" ref="AB113" ca="1">IF($A113="*","",IFERROR(INDEX(AGR!$E$52:$L$73,MATCH('TS DTech'!$C113,AGR!$B$52:$B$73,0),MATCH('TS DTech'!$B113&amp;AB$7,AGR!$E$46:$L$46&amp;AGR!$E$48:$L$48,0)),""))</f>
        <v/>
      </c>
      <c r="AC113" s="296" t="str">
        <f t="array" aca="1" ref="AC113" ca="1">IF($A113="*","",IFERROR(INDEX(AGR!$E$52:$L$73,MATCH('TS DTech'!$C113,AGR!$B$52:$B$73,0),MATCH('TS DTech'!$B113&amp;AC$7,AGR!$E$46:$L$46&amp;AGR!$E$48:$L$48,0)),""))</f>
        <v/>
      </c>
      <c r="AD113" s="296" t="str">
        <f t="array" aca="1" ref="AD113" ca="1">IF($A113="*","",IFERROR(INDEX(AGR!$E$52:$L$73,MATCH('TS DTech'!$C113,AGR!$B$52:$B$73,0),MATCH('TS DTech'!$B113&amp;AD$7,AGR!$E$46:$L$46&amp;AGR!$E$48:$L$48,0)),""))</f>
        <v/>
      </c>
      <c r="AE113" s="296" t="str">
        <f t="array" aca="1" ref="AE113" ca="1">IF($A113="*","",IFERROR(INDEX(AGR!$E$52:$L$73,MATCH('TS DTech'!$C113,AGR!$B$52:$B$73,0),MATCH('TS DTech'!$B113&amp;AE$7,AGR!$E$46:$L$46&amp;AGR!$E$48:$L$48,0)),""))</f>
        <v/>
      </c>
      <c r="AF113" s="296" t="str">
        <f t="array" aca="1" ref="AF113" ca="1">IF($A113="*","",IFERROR(INDEX(AGR!$E$52:$L$73,MATCH('TS DTech'!$C113,AGR!$B$52:$B$73,0),MATCH('TS DTech'!$B113&amp;AF$7,AGR!$E$46:$L$46&amp;AGR!$E$48:$L$48,0)),""))</f>
        <v/>
      </c>
      <c r="AG113" s="296" t="str">
        <f t="array" aca="1" ref="AG113" ca="1">IF($A113="*","",IFERROR(INDEX(AGR!$E$52:$L$73,MATCH('TS DTech'!$C113,AGR!$B$52:$B$73,0),MATCH('TS DTech'!$B113&amp;AG$7,AGR!$E$46:$L$46&amp;AGR!$E$48:$L$48,0)),""))</f>
        <v/>
      </c>
      <c r="AH113" s="296" t="str">
        <f t="array" aca="1" ref="AH113" ca="1">IF($A113="*","",IFERROR(INDEX(AGR!$E$52:$L$73,MATCH('TS DTech'!$C113,AGR!$B$52:$B$73,0),MATCH('TS DTech'!$B113&amp;AH$7,AGR!$E$46:$L$46&amp;AGR!$E$48:$L$48,0)),""))</f>
        <v/>
      </c>
      <c r="AI113" s="296" t="str">
        <f t="array" aca="1" ref="AI113" ca="1">IF($A113="*","",IFERROR(INDEX(AGR!$E$52:$L$73,MATCH('TS DTech'!$C113,AGR!$B$52:$B$73,0),MATCH('TS DTech'!$B113&amp;AI$7,AGR!$E$46:$L$46&amp;AGR!$E$48:$L$48,0)),""))</f>
        <v/>
      </c>
      <c r="AJ113" s="296" t="str">
        <f t="array" aca="1" ref="AJ113" ca="1">IF($A113="*","",IFERROR(INDEX(AGR!$E$52:$L$73,MATCH('TS DTech'!$C113,AGR!$B$52:$B$73,0),MATCH('TS DTech'!$B113&amp;AJ$7,AGR!$E$46:$L$46&amp;AGR!$E$48:$L$48,0)),""))</f>
        <v/>
      </c>
      <c r="AK113" s="296" t="str">
        <f t="array" aca="1" ref="AK113" ca="1">IF($A113="*","",IFERROR(INDEX(AGR!$E$52:$L$73,MATCH('TS DTech'!$C113,AGR!$B$52:$B$73,0),MATCH('TS DTech'!$B113&amp;AK$7,AGR!$E$46:$L$46&amp;AGR!$E$48:$L$48,0)),""))</f>
        <v/>
      </c>
      <c r="AL113" s="296" t="str">
        <f t="array" aca="1" ref="AL113" ca="1">IF($A113="*","",IFERROR(INDEX(AGR!$E$52:$L$73,MATCH('TS DTech'!$C113,AGR!$B$52:$B$73,0),MATCH('TS DTech'!$B113&amp;AL$7,AGR!$E$46:$L$46&amp;AGR!$E$48:$L$48,0)),""))</f>
        <v/>
      </c>
      <c r="AM113" s="296" t="str">
        <f t="array" aca="1" ref="AM113" ca="1">IF($A113="*","",IFERROR(INDEX(AGR!$E$52:$L$73,MATCH('TS DTech'!$C113,AGR!$B$52:$B$73,0),MATCH('TS DTech'!$B113&amp;AM$7,AGR!$E$46:$L$46&amp;AGR!$E$48:$L$48,0)),""))</f>
        <v/>
      </c>
      <c r="AN113" s="296" t="str">
        <f t="array" aca="1" ref="AN113" ca="1">IF($A113="*","",IFERROR(INDEX(AGR!$E$52:$L$73,MATCH('TS DTech'!$C113,AGR!$B$52:$B$73,0),MATCH('TS DTech'!$B113&amp;AN$7,AGR!$E$46:$L$46&amp;AGR!$E$48:$L$48,0)),""))</f>
        <v/>
      </c>
      <c r="AO113" s="296" t="str">
        <f t="array" aca="1" ref="AO113" ca="1">IF($A113="*","",IFERROR(INDEX(AGR!$E$52:$L$73,MATCH('TS DTech'!$C113,AGR!$B$52:$B$73,0),MATCH('TS DTech'!$B113&amp;AO$7,AGR!$E$46:$L$46&amp;AGR!$E$48:$L$48,0)),""))</f>
        <v/>
      </c>
      <c r="AP113" s="296" t="str">
        <f t="array" aca="1" ref="AP113" ca="1">IF($A113="*","",IFERROR(INDEX(AGR!$E$52:$L$73,MATCH('TS DTech'!$C113,AGR!$B$52:$B$73,0),MATCH('TS DTech'!$B113&amp;AP$7,AGR!$E$46:$L$46&amp;AGR!$E$48:$L$48,0)),""))</f>
        <v/>
      </c>
      <c r="AQ113" s="137">
        <f>IF(AR112=AGR!$AD$74,AQ112+1,AQ112)</f>
        <v>5</v>
      </c>
      <c r="AR113" s="137">
        <f>IF(AQ113=AQ112,AR112+1,1)</f>
        <v>6</v>
      </c>
    </row>
    <row r="114" spans="1:44">
      <c r="A114" s="137" t="str">
        <f ca="1">IF(LEFT(OFFSET(AGR!$A$51,AR114,0),2)="\I","*","")</f>
        <v>*</v>
      </c>
      <c r="B114" s="212" t="str">
        <f t="shared" ca="1" si="10"/>
        <v/>
      </c>
      <c r="C114" s="212" t="str">
        <f ca="1">IF($A114="*","",OFFSET(AGR!$B$51,AR114,0))</f>
        <v/>
      </c>
      <c r="D114" s="212" t="str">
        <f t="shared" ca="1" si="9"/>
        <v/>
      </c>
      <c r="E114" s="212" t="str">
        <f t="shared" ca="1" si="9"/>
        <v/>
      </c>
      <c r="F114" s="212" t="str">
        <f t="shared" ca="1" si="9"/>
        <v/>
      </c>
      <c r="G114" s="212" t="str">
        <f t="shared" ca="1" si="9"/>
        <v/>
      </c>
      <c r="H114" s="212" t="str">
        <f t="shared" ca="1" si="9"/>
        <v/>
      </c>
      <c r="I114" s="213" t="str">
        <f t="shared" ca="1" si="9"/>
        <v/>
      </c>
      <c r="J114" s="296" t="str">
        <f t="array" aca="1" ref="J114" ca="1">IF($A114="*","",IFERROR(INDEX(AGR!$E$52:$L$73,MATCH('TS DTech'!$C114,AGR!$B$52:$B$73,0),MATCH('TS DTech'!$B114&amp;J$7,AGR!$E$46:$L$46&amp;AGR!$E$48:$L$48,0)),""))</f>
        <v/>
      </c>
      <c r="K114" s="296" t="str">
        <f t="array" aca="1" ref="K114" ca="1">IF($A114="*","",IFERROR(INDEX(AGR!$E$52:$L$73,MATCH('TS DTech'!$C114,AGR!$B$52:$B$73,0),MATCH('TS DTech'!$B114&amp;K$7,AGR!$E$46:$L$46&amp;AGR!$E$48:$L$48,0)),""))</f>
        <v/>
      </c>
      <c r="L114" s="296" t="str">
        <f t="array" aca="1" ref="L114" ca="1">IF($A114="*","",IFERROR(INDEX(AGR!$E$52:$L$73,MATCH('TS DTech'!$C114,AGR!$B$52:$B$73,0),MATCH('TS DTech'!$B114&amp;L$7,AGR!$E$46:$L$46&amp;AGR!$E$48:$L$48,0)),""))</f>
        <v/>
      </c>
      <c r="M114" s="296" t="str">
        <f t="array" aca="1" ref="M114" ca="1">IF($A114="*","",IFERROR(INDEX(AGR!$E$52:$L$73,MATCH('TS DTech'!$C114,AGR!$B$52:$B$73,0),MATCH('TS DTech'!$B114&amp;M$7,AGR!$E$46:$L$46&amp;AGR!$E$48:$L$48,0)),""))</f>
        <v/>
      </c>
      <c r="N114" s="296" t="str">
        <f t="array" aca="1" ref="N114" ca="1">IF($A114="*","",IFERROR(INDEX(AGR!$E$52:$L$73,MATCH('TS DTech'!$C114,AGR!$B$52:$B$73,0),MATCH('TS DTech'!$B114&amp;N$7,AGR!$E$46:$L$46&amp;AGR!$E$48:$L$48,0)),""))</f>
        <v/>
      </c>
      <c r="O114" s="296" t="str">
        <f t="array" aca="1" ref="O114" ca="1">IF($A114="*","",IFERROR(INDEX(AGR!$E$52:$L$73,MATCH('TS DTech'!$C114,AGR!$B$52:$B$73,0),MATCH('TS DTech'!$B114&amp;O$7,AGR!$E$46:$L$46&amp;AGR!$E$48:$L$48,0)),""))</f>
        <v/>
      </c>
      <c r="P114" s="296" t="str">
        <f t="array" aca="1" ref="P114" ca="1">IF($A114="*","",IFERROR(INDEX(AGR!$E$52:$L$73,MATCH('TS DTech'!$C114,AGR!$B$52:$B$73,0),MATCH('TS DTech'!$B114&amp;P$7,AGR!$E$46:$L$46&amp;AGR!$E$48:$L$48,0)),""))</f>
        <v/>
      </c>
      <c r="Q114" s="296" t="str">
        <f t="array" aca="1" ref="Q114" ca="1">IF($A114="*","",IFERROR(INDEX(AGR!$E$52:$L$73,MATCH('TS DTech'!$C114,AGR!$B$52:$B$73,0),MATCH('TS DTech'!$B114&amp;Q$7,AGR!$E$46:$L$46&amp;AGR!$E$48:$L$48,0)),""))</f>
        <v/>
      </c>
      <c r="R114" s="296" t="str">
        <f t="array" aca="1" ref="R114" ca="1">IF($A114="*","",IFERROR(INDEX(AGR!$E$52:$L$73,MATCH('TS DTech'!$C114,AGR!$B$52:$B$73,0),MATCH('TS DTech'!$B114&amp;R$7,AGR!$E$46:$L$46&amp;AGR!$E$48:$L$48,0)),""))</f>
        <v/>
      </c>
      <c r="S114" s="296" t="str">
        <f t="array" aca="1" ref="S114" ca="1">IF($A114="*","",IFERROR(INDEX(AGR!$E$52:$L$73,MATCH('TS DTech'!$C114,AGR!$B$52:$B$73,0),MATCH('TS DTech'!$B114&amp;S$7,AGR!$E$46:$L$46&amp;AGR!$E$48:$L$48,0)),""))</f>
        <v/>
      </c>
      <c r="T114" s="296" t="str">
        <f t="array" aca="1" ref="T114" ca="1">IF($A114="*","",IFERROR(INDEX(AGR!$E$52:$L$73,MATCH('TS DTech'!$C114,AGR!$B$52:$B$73,0),MATCH('TS DTech'!$B114&amp;T$7,AGR!$E$46:$L$46&amp;AGR!$E$48:$L$48,0)),""))</f>
        <v/>
      </c>
      <c r="U114" s="296" t="str">
        <f t="array" aca="1" ref="U114" ca="1">IF($A114="*","",IFERROR(INDEX(AGR!$E$52:$L$73,MATCH('TS DTech'!$C114,AGR!$B$52:$B$73,0),MATCH('TS DTech'!$B114&amp;U$7,AGR!$E$46:$L$46&amp;AGR!$E$48:$L$48,0)),""))</f>
        <v/>
      </c>
      <c r="V114" s="296" t="str">
        <f t="array" aca="1" ref="V114" ca="1">IF($A114="*","",IFERROR(INDEX(AGR!$E$52:$L$73,MATCH('TS DTech'!$C114,AGR!$B$52:$B$73,0),MATCH('TS DTech'!$B114&amp;V$7,AGR!$E$46:$L$46&amp;AGR!$E$48:$L$48,0)),""))</f>
        <v/>
      </c>
      <c r="W114" s="296" t="str">
        <f t="array" aca="1" ref="W114" ca="1">IF($A114="*","",IFERROR(INDEX(AGR!$E$52:$L$73,MATCH('TS DTech'!$C114,AGR!$B$52:$B$73,0),MATCH('TS DTech'!$B114&amp;W$7,AGR!$E$46:$L$46&amp;AGR!$E$48:$L$48,0)),""))</f>
        <v/>
      </c>
      <c r="X114" s="296" t="str">
        <f t="array" aca="1" ref="X114" ca="1">IF($A114="*","",IFERROR(INDEX(AGR!$E$52:$L$73,MATCH('TS DTech'!$C114,AGR!$B$52:$B$73,0),MATCH('TS DTech'!$B114&amp;X$7,AGR!$E$46:$L$46&amp;AGR!$E$48:$L$48,0)),""))</f>
        <v/>
      </c>
      <c r="Y114" s="296" t="str">
        <f t="array" aca="1" ref="Y114" ca="1">IF($A114="*","",IFERROR(INDEX(AGR!$E$52:$L$73,MATCH('TS DTech'!$C114,AGR!$B$52:$B$73,0),MATCH('TS DTech'!$B114&amp;Y$7,AGR!$E$46:$L$46&amp;AGR!$E$48:$L$48,0)),""))</f>
        <v/>
      </c>
      <c r="Z114" s="296" t="str">
        <f t="array" aca="1" ref="Z114" ca="1">IF($A114="*","",IFERROR(INDEX(AGR!$E$52:$L$73,MATCH('TS DTech'!$C114,AGR!$B$52:$B$73,0),MATCH('TS DTech'!$B114&amp;Z$7,AGR!$E$46:$L$46&amp;AGR!$E$48:$L$48,0)),""))</f>
        <v/>
      </c>
      <c r="AA114" s="296" t="str">
        <f t="array" aca="1" ref="AA114" ca="1">IF($A114="*","",IFERROR(INDEX(AGR!$E$52:$L$73,MATCH('TS DTech'!$C114,AGR!$B$52:$B$73,0),MATCH('TS DTech'!$B114&amp;AA$7,AGR!$E$46:$L$46&amp;AGR!$E$48:$L$48,0)),""))</f>
        <v/>
      </c>
      <c r="AB114" s="296" t="str">
        <f t="array" aca="1" ref="AB114" ca="1">IF($A114="*","",IFERROR(INDEX(AGR!$E$52:$L$73,MATCH('TS DTech'!$C114,AGR!$B$52:$B$73,0),MATCH('TS DTech'!$B114&amp;AB$7,AGR!$E$46:$L$46&amp;AGR!$E$48:$L$48,0)),""))</f>
        <v/>
      </c>
      <c r="AC114" s="296" t="str">
        <f t="array" aca="1" ref="AC114" ca="1">IF($A114="*","",IFERROR(INDEX(AGR!$E$52:$L$73,MATCH('TS DTech'!$C114,AGR!$B$52:$B$73,0),MATCH('TS DTech'!$B114&amp;AC$7,AGR!$E$46:$L$46&amp;AGR!$E$48:$L$48,0)),""))</f>
        <v/>
      </c>
      <c r="AD114" s="296" t="str">
        <f t="array" aca="1" ref="AD114" ca="1">IF($A114="*","",IFERROR(INDEX(AGR!$E$52:$L$73,MATCH('TS DTech'!$C114,AGR!$B$52:$B$73,0),MATCH('TS DTech'!$B114&amp;AD$7,AGR!$E$46:$L$46&amp;AGR!$E$48:$L$48,0)),""))</f>
        <v/>
      </c>
      <c r="AE114" s="296" t="str">
        <f t="array" aca="1" ref="AE114" ca="1">IF($A114="*","",IFERROR(INDEX(AGR!$E$52:$L$73,MATCH('TS DTech'!$C114,AGR!$B$52:$B$73,0),MATCH('TS DTech'!$B114&amp;AE$7,AGR!$E$46:$L$46&amp;AGR!$E$48:$L$48,0)),""))</f>
        <v/>
      </c>
      <c r="AF114" s="296" t="str">
        <f t="array" aca="1" ref="AF114" ca="1">IF($A114="*","",IFERROR(INDEX(AGR!$E$52:$L$73,MATCH('TS DTech'!$C114,AGR!$B$52:$B$73,0),MATCH('TS DTech'!$B114&amp;AF$7,AGR!$E$46:$L$46&amp;AGR!$E$48:$L$48,0)),""))</f>
        <v/>
      </c>
      <c r="AG114" s="296" t="str">
        <f t="array" aca="1" ref="AG114" ca="1">IF($A114="*","",IFERROR(INDEX(AGR!$E$52:$L$73,MATCH('TS DTech'!$C114,AGR!$B$52:$B$73,0),MATCH('TS DTech'!$B114&amp;AG$7,AGR!$E$46:$L$46&amp;AGR!$E$48:$L$48,0)),""))</f>
        <v/>
      </c>
      <c r="AH114" s="296" t="str">
        <f t="array" aca="1" ref="AH114" ca="1">IF($A114="*","",IFERROR(INDEX(AGR!$E$52:$L$73,MATCH('TS DTech'!$C114,AGR!$B$52:$B$73,0),MATCH('TS DTech'!$B114&amp;AH$7,AGR!$E$46:$L$46&amp;AGR!$E$48:$L$48,0)),""))</f>
        <v/>
      </c>
      <c r="AI114" s="296" t="str">
        <f t="array" aca="1" ref="AI114" ca="1">IF($A114="*","",IFERROR(INDEX(AGR!$E$52:$L$73,MATCH('TS DTech'!$C114,AGR!$B$52:$B$73,0),MATCH('TS DTech'!$B114&amp;AI$7,AGR!$E$46:$L$46&amp;AGR!$E$48:$L$48,0)),""))</f>
        <v/>
      </c>
      <c r="AJ114" s="296" t="str">
        <f t="array" aca="1" ref="AJ114" ca="1">IF($A114="*","",IFERROR(INDEX(AGR!$E$52:$L$73,MATCH('TS DTech'!$C114,AGR!$B$52:$B$73,0),MATCH('TS DTech'!$B114&amp;AJ$7,AGR!$E$46:$L$46&amp;AGR!$E$48:$L$48,0)),""))</f>
        <v/>
      </c>
      <c r="AK114" s="296" t="str">
        <f t="array" aca="1" ref="AK114" ca="1">IF($A114="*","",IFERROR(INDEX(AGR!$E$52:$L$73,MATCH('TS DTech'!$C114,AGR!$B$52:$B$73,0),MATCH('TS DTech'!$B114&amp;AK$7,AGR!$E$46:$L$46&amp;AGR!$E$48:$L$48,0)),""))</f>
        <v/>
      </c>
      <c r="AL114" s="296" t="str">
        <f t="array" aca="1" ref="AL114" ca="1">IF($A114="*","",IFERROR(INDEX(AGR!$E$52:$L$73,MATCH('TS DTech'!$C114,AGR!$B$52:$B$73,0),MATCH('TS DTech'!$B114&amp;AL$7,AGR!$E$46:$L$46&amp;AGR!$E$48:$L$48,0)),""))</f>
        <v/>
      </c>
      <c r="AM114" s="296" t="str">
        <f t="array" aca="1" ref="AM114" ca="1">IF($A114="*","",IFERROR(INDEX(AGR!$E$52:$L$73,MATCH('TS DTech'!$C114,AGR!$B$52:$B$73,0),MATCH('TS DTech'!$B114&amp;AM$7,AGR!$E$46:$L$46&amp;AGR!$E$48:$L$48,0)),""))</f>
        <v/>
      </c>
      <c r="AN114" s="296" t="str">
        <f t="array" aca="1" ref="AN114" ca="1">IF($A114="*","",IFERROR(INDEX(AGR!$E$52:$L$73,MATCH('TS DTech'!$C114,AGR!$B$52:$B$73,0),MATCH('TS DTech'!$B114&amp;AN$7,AGR!$E$46:$L$46&amp;AGR!$E$48:$L$48,0)),""))</f>
        <v/>
      </c>
      <c r="AO114" s="296" t="str">
        <f t="array" aca="1" ref="AO114" ca="1">IF($A114="*","",IFERROR(INDEX(AGR!$E$52:$L$73,MATCH('TS DTech'!$C114,AGR!$B$52:$B$73,0),MATCH('TS DTech'!$B114&amp;AO$7,AGR!$E$46:$L$46&amp;AGR!$E$48:$L$48,0)),""))</f>
        <v/>
      </c>
      <c r="AP114" s="296" t="str">
        <f t="array" aca="1" ref="AP114" ca="1">IF($A114="*","",IFERROR(INDEX(AGR!$E$52:$L$73,MATCH('TS DTech'!$C114,AGR!$B$52:$B$73,0),MATCH('TS DTech'!$B114&amp;AP$7,AGR!$E$46:$L$46&amp;AGR!$E$48:$L$48,0)),""))</f>
        <v/>
      </c>
      <c r="AQ114" s="137">
        <f>IF(AR113=AGR!$AD$74,AQ113+1,AQ113)</f>
        <v>5</v>
      </c>
      <c r="AR114" s="137">
        <f>IF(AQ114=AQ113,AR113+1,1)</f>
        <v>7</v>
      </c>
    </row>
    <row r="115" spans="1:44">
      <c r="A115" s="137" t="str">
        <f ca="1">IF(LEFT(OFFSET(AGR!$A$51,AR115,0),2)="\I","*","")</f>
        <v/>
      </c>
      <c r="B115" s="212" t="str">
        <f t="shared" ca="1" si="10"/>
        <v>PRC_RESID</v>
      </c>
      <c r="C115" s="212" t="str">
        <f ca="1">IF($A115="*","",OFFSET(AGR!$B$51,AR115,0))</f>
        <v>APELC-E</v>
      </c>
      <c r="D115" s="212" t="str">
        <f t="shared" ca="1" si="9"/>
        <v>-</v>
      </c>
      <c r="E115" s="212" t="str">
        <f t="shared" ca="1" si="9"/>
        <v>-</v>
      </c>
      <c r="F115" s="212" t="str">
        <f t="shared" ca="1" si="9"/>
        <v>-</v>
      </c>
      <c r="G115" s="212" t="str">
        <f t="shared" ca="1" si="9"/>
        <v>-</v>
      </c>
      <c r="H115" s="212" t="str">
        <f t="shared" ca="1" si="9"/>
        <v>-</v>
      </c>
      <c r="I115" s="213">
        <f t="shared" ca="1" si="9"/>
        <v>0</v>
      </c>
      <c r="J115" s="296">
        <f t="array" aca="1" ref="J115" ca="1">IF($A115="*","",IFERROR(INDEX(AGR!$E$52:$L$73,MATCH('TS DTech'!$C115,AGR!$B$52:$B$73,0),MATCH('TS DTech'!$B115&amp;J$7,AGR!$E$46:$L$46&amp;AGR!$E$48:$L$48,0)),""))</f>
        <v>5.1810032147411329</v>
      </c>
      <c r="K115" s="296" t="str">
        <f t="array" aca="1" ref="K115" ca="1">IF($A115="*","",IFERROR(INDEX(AGR!$E$52:$L$73,MATCH('TS DTech'!$C115,AGR!$B$52:$B$73,0),MATCH('TS DTech'!$B115&amp;K$7,AGR!$E$46:$L$46&amp;AGR!$E$48:$L$48,0)),""))</f>
        <v/>
      </c>
      <c r="L115" s="296" t="str">
        <f t="array" aca="1" ref="L115" ca="1">IF($A115="*","",IFERROR(INDEX(AGR!$E$52:$L$73,MATCH('TS DTech'!$C115,AGR!$B$52:$B$73,0),MATCH('TS DTech'!$B115&amp;L$7,AGR!$E$46:$L$46&amp;AGR!$E$48:$L$48,0)),""))</f>
        <v/>
      </c>
      <c r="M115" s="296" t="str">
        <f t="array" aca="1" ref="M115" ca="1">IF($A115="*","",IFERROR(INDEX(AGR!$E$52:$L$73,MATCH('TS DTech'!$C115,AGR!$B$52:$B$73,0),MATCH('TS DTech'!$B115&amp;M$7,AGR!$E$46:$L$46&amp;AGR!$E$48:$L$48,0)),""))</f>
        <v/>
      </c>
      <c r="N115" s="296" t="str">
        <f t="array" aca="1" ref="N115" ca="1">IF($A115="*","",IFERROR(INDEX(AGR!$E$52:$L$73,MATCH('TS DTech'!$C115,AGR!$B$52:$B$73,0),MATCH('TS DTech'!$B115&amp;N$7,AGR!$E$46:$L$46&amp;AGR!$E$48:$L$48,0)),""))</f>
        <v/>
      </c>
      <c r="O115" s="296">
        <f t="array" aca="1" ref="O115" ca="1">IF($A115="*","",IFERROR(INDEX(AGR!$E$52:$L$73,MATCH('TS DTech'!$C115,AGR!$B$52:$B$73,0),MATCH('TS DTech'!$B115&amp;O$7,AGR!$E$46:$L$46&amp;AGR!$E$48:$L$48,0)),""))</f>
        <v>6.2788628439197183</v>
      </c>
      <c r="P115" s="296" t="str">
        <f t="array" aca="1" ref="P115" ca="1">IF($A115="*","",IFERROR(INDEX(AGR!$E$52:$L$73,MATCH('TS DTech'!$C115,AGR!$B$52:$B$73,0),MATCH('TS DTech'!$B115&amp;P$7,AGR!$E$46:$L$46&amp;AGR!$E$48:$L$48,0)),""))</f>
        <v/>
      </c>
      <c r="Q115" s="296" t="str">
        <f t="array" aca="1" ref="Q115" ca="1">IF($A115="*","",IFERROR(INDEX(AGR!$E$52:$L$73,MATCH('TS DTech'!$C115,AGR!$B$52:$B$73,0),MATCH('TS DTech'!$B115&amp;Q$7,AGR!$E$46:$L$46&amp;AGR!$E$48:$L$48,0)),""))</f>
        <v/>
      </c>
      <c r="R115" s="296" t="str">
        <f t="array" aca="1" ref="R115" ca="1">IF($A115="*","",IFERROR(INDEX(AGR!$E$52:$L$73,MATCH('TS DTech'!$C115,AGR!$B$52:$B$73,0),MATCH('TS DTech'!$B115&amp;R$7,AGR!$E$46:$L$46&amp;AGR!$E$48:$L$48,0)),""))</f>
        <v/>
      </c>
      <c r="S115" s="296" t="str">
        <f t="array" aca="1" ref="S115" ca="1">IF($A115="*","",IFERROR(INDEX(AGR!$E$52:$L$73,MATCH('TS DTech'!$C115,AGR!$B$52:$B$73,0),MATCH('TS DTech'!$B115&amp;S$7,AGR!$E$46:$L$46&amp;AGR!$E$48:$L$48,0)),""))</f>
        <v/>
      </c>
      <c r="T115" s="296" t="str">
        <f t="array" aca="1" ref="T115" ca="1">IF($A115="*","",IFERROR(INDEX(AGR!$E$52:$L$73,MATCH('TS DTech'!$C115,AGR!$B$52:$B$73,0),MATCH('TS DTech'!$B115&amp;T$7,AGR!$E$46:$L$46&amp;AGR!$E$48:$L$48,0)),""))</f>
        <v/>
      </c>
      <c r="U115" s="296" t="str">
        <f t="array" aca="1" ref="U115" ca="1">IF($A115="*","",IFERROR(INDEX(AGR!$E$52:$L$73,MATCH('TS DTech'!$C115,AGR!$B$52:$B$73,0),MATCH('TS DTech'!$B115&amp;U$7,AGR!$E$46:$L$46&amp;AGR!$E$48:$L$48,0)),""))</f>
        <v/>
      </c>
      <c r="V115" s="296" t="str">
        <f t="array" aca="1" ref="V115" ca="1">IF($A115="*","",IFERROR(INDEX(AGR!$E$52:$L$73,MATCH('TS DTech'!$C115,AGR!$B$52:$B$73,0),MATCH('TS DTech'!$B115&amp;V$7,AGR!$E$46:$L$46&amp;AGR!$E$48:$L$48,0)),""))</f>
        <v/>
      </c>
      <c r="W115" s="296" t="str">
        <f t="array" aca="1" ref="W115" ca="1">IF($A115="*","",IFERROR(INDEX(AGR!$E$52:$L$73,MATCH('TS DTech'!$C115,AGR!$B$52:$B$73,0),MATCH('TS DTech'!$B115&amp;W$7,AGR!$E$46:$L$46&amp;AGR!$E$48:$L$48,0)),""))</f>
        <v/>
      </c>
      <c r="X115" s="296" t="str">
        <f t="array" aca="1" ref="X115" ca="1">IF($A115="*","",IFERROR(INDEX(AGR!$E$52:$L$73,MATCH('TS DTech'!$C115,AGR!$B$52:$B$73,0),MATCH('TS DTech'!$B115&amp;X$7,AGR!$E$46:$L$46&amp;AGR!$E$48:$L$48,0)),""))</f>
        <v/>
      </c>
      <c r="Y115" s="296" t="str">
        <f t="array" aca="1" ref="Y115" ca="1">IF($A115="*","",IFERROR(INDEX(AGR!$E$52:$L$73,MATCH('TS DTech'!$C115,AGR!$B$52:$B$73,0),MATCH('TS DTech'!$B115&amp;Y$7,AGR!$E$46:$L$46&amp;AGR!$E$48:$L$48,0)),""))</f>
        <v/>
      </c>
      <c r="Z115" s="296" t="str">
        <f t="array" aca="1" ref="Z115" ca="1">IF($A115="*","",IFERROR(INDEX(AGR!$E$52:$L$73,MATCH('TS DTech'!$C115,AGR!$B$52:$B$73,0),MATCH('TS DTech'!$B115&amp;Z$7,AGR!$E$46:$L$46&amp;AGR!$E$48:$L$48,0)),""))</f>
        <v/>
      </c>
      <c r="AA115" s="296" t="str">
        <f t="array" aca="1" ref="AA115" ca="1">IF($A115="*","",IFERROR(INDEX(AGR!$E$52:$L$73,MATCH('TS DTech'!$C115,AGR!$B$52:$B$73,0),MATCH('TS DTech'!$B115&amp;AA$7,AGR!$E$46:$L$46&amp;AGR!$E$48:$L$48,0)),""))</f>
        <v/>
      </c>
      <c r="AB115" s="296" t="str">
        <f t="array" aca="1" ref="AB115" ca="1">IF($A115="*","",IFERROR(INDEX(AGR!$E$52:$L$73,MATCH('TS DTech'!$C115,AGR!$B$52:$B$73,0),MATCH('TS DTech'!$B115&amp;AB$7,AGR!$E$46:$L$46&amp;AGR!$E$48:$L$48,0)),""))</f>
        <v/>
      </c>
      <c r="AC115" s="296" t="str">
        <f t="array" aca="1" ref="AC115" ca="1">IF($A115="*","",IFERROR(INDEX(AGR!$E$52:$L$73,MATCH('TS DTech'!$C115,AGR!$B$52:$B$73,0),MATCH('TS DTech'!$B115&amp;AC$7,AGR!$E$46:$L$46&amp;AGR!$E$48:$L$48,0)),""))</f>
        <v/>
      </c>
      <c r="AD115" s="296" t="str">
        <f t="array" aca="1" ref="AD115" ca="1">IF($A115="*","",IFERROR(INDEX(AGR!$E$52:$L$73,MATCH('TS DTech'!$C115,AGR!$B$52:$B$73,0),MATCH('TS DTech'!$B115&amp;AD$7,AGR!$E$46:$L$46&amp;AGR!$E$48:$L$48,0)),""))</f>
        <v/>
      </c>
      <c r="AE115" s="296" t="str">
        <f t="array" aca="1" ref="AE115" ca="1">IF($A115="*","",IFERROR(INDEX(AGR!$E$52:$L$73,MATCH('TS DTech'!$C115,AGR!$B$52:$B$73,0),MATCH('TS DTech'!$B115&amp;AE$7,AGR!$E$46:$L$46&amp;AGR!$E$48:$L$48,0)),""))</f>
        <v/>
      </c>
      <c r="AF115" s="296" t="str">
        <f t="array" aca="1" ref="AF115" ca="1">IF($A115="*","",IFERROR(INDEX(AGR!$E$52:$L$73,MATCH('TS DTech'!$C115,AGR!$B$52:$B$73,0),MATCH('TS DTech'!$B115&amp;AF$7,AGR!$E$46:$L$46&amp;AGR!$E$48:$L$48,0)),""))</f>
        <v/>
      </c>
      <c r="AG115" s="296" t="str">
        <f t="array" aca="1" ref="AG115" ca="1">IF($A115="*","",IFERROR(INDEX(AGR!$E$52:$L$73,MATCH('TS DTech'!$C115,AGR!$B$52:$B$73,0),MATCH('TS DTech'!$B115&amp;AG$7,AGR!$E$46:$L$46&amp;AGR!$E$48:$L$48,0)),""))</f>
        <v/>
      </c>
      <c r="AH115" s="296" t="str">
        <f t="array" aca="1" ref="AH115" ca="1">IF($A115="*","",IFERROR(INDEX(AGR!$E$52:$L$73,MATCH('TS DTech'!$C115,AGR!$B$52:$B$73,0),MATCH('TS DTech'!$B115&amp;AH$7,AGR!$E$46:$L$46&amp;AGR!$E$48:$L$48,0)),""))</f>
        <v/>
      </c>
      <c r="AI115" s="296" t="str">
        <f t="array" aca="1" ref="AI115" ca="1">IF($A115="*","",IFERROR(INDEX(AGR!$E$52:$L$73,MATCH('TS DTech'!$C115,AGR!$B$52:$B$73,0),MATCH('TS DTech'!$B115&amp;AI$7,AGR!$E$46:$L$46&amp;AGR!$E$48:$L$48,0)),""))</f>
        <v/>
      </c>
      <c r="AJ115" s="296" t="str">
        <f t="array" aca="1" ref="AJ115" ca="1">IF($A115="*","",IFERROR(INDEX(AGR!$E$52:$L$73,MATCH('TS DTech'!$C115,AGR!$B$52:$B$73,0),MATCH('TS DTech'!$B115&amp;AJ$7,AGR!$E$46:$L$46&amp;AGR!$E$48:$L$48,0)),""))</f>
        <v/>
      </c>
      <c r="AK115" s="296" t="str">
        <f t="array" aca="1" ref="AK115" ca="1">IF($A115="*","",IFERROR(INDEX(AGR!$E$52:$L$73,MATCH('TS DTech'!$C115,AGR!$B$52:$B$73,0),MATCH('TS DTech'!$B115&amp;AK$7,AGR!$E$46:$L$46&amp;AGR!$E$48:$L$48,0)),""))</f>
        <v/>
      </c>
      <c r="AL115" s="296" t="str">
        <f t="array" aca="1" ref="AL115" ca="1">IF($A115="*","",IFERROR(INDEX(AGR!$E$52:$L$73,MATCH('TS DTech'!$C115,AGR!$B$52:$B$73,0),MATCH('TS DTech'!$B115&amp;AL$7,AGR!$E$46:$L$46&amp;AGR!$E$48:$L$48,0)),""))</f>
        <v/>
      </c>
      <c r="AM115" s="296" t="str">
        <f t="array" aca="1" ref="AM115" ca="1">IF($A115="*","",IFERROR(INDEX(AGR!$E$52:$L$73,MATCH('TS DTech'!$C115,AGR!$B$52:$B$73,0),MATCH('TS DTech'!$B115&amp;AM$7,AGR!$E$46:$L$46&amp;AGR!$E$48:$L$48,0)),""))</f>
        <v/>
      </c>
      <c r="AN115" s="296" t="str">
        <f t="array" aca="1" ref="AN115" ca="1">IF($A115="*","",IFERROR(INDEX(AGR!$E$52:$L$73,MATCH('TS DTech'!$C115,AGR!$B$52:$B$73,0),MATCH('TS DTech'!$B115&amp;AN$7,AGR!$E$46:$L$46&amp;AGR!$E$48:$L$48,0)),""))</f>
        <v/>
      </c>
      <c r="AO115" s="296" t="str">
        <f t="array" aca="1" ref="AO115" ca="1">IF($A115="*","",IFERROR(INDEX(AGR!$E$52:$L$73,MATCH('TS DTech'!$C115,AGR!$B$52:$B$73,0),MATCH('TS DTech'!$B115&amp;AO$7,AGR!$E$46:$L$46&amp;AGR!$E$48:$L$48,0)),""))</f>
        <v/>
      </c>
      <c r="AP115" s="296" t="str">
        <f t="array" aca="1" ref="AP115" ca="1">IF($A115="*","",IFERROR(INDEX(AGR!$E$52:$L$73,MATCH('TS DTech'!$C115,AGR!$B$52:$B$73,0),MATCH('TS DTech'!$B115&amp;AP$7,AGR!$E$46:$L$46&amp;AGR!$E$48:$L$48,0)),""))</f>
        <v/>
      </c>
      <c r="AQ115" s="137">
        <f>IF(AR114=AGR!$AD$74,AQ114+1,AQ114)</f>
        <v>5</v>
      </c>
      <c r="AR115" s="137">
        <f t="shared" ref="AR115:AR120" si="11">IF(AQ115=AQ114,AR114+1,1)</f>
        <v>8</v>
      </c>
    </row>
    <row r="116" spans="1:44">
      <c r="A116" s="137" t="str">
        <f ca="1">IF(LEFT(OFFSET(AGR!$A$51,AR116,0),2)="\I","*","")</f>
        <v>*</v>
      </c>
      <c r="B116" s="212" t="str">
        <f t="shared" ca="1" si="10"/>
        <v/>
      </c>
      <c r="C116" s="212" t="str">
        <f ca="1">IF($A116="*","",OFFSET(AGR!$B$51,AR116,0))</f>
        <v/>
      </c>
      <c r="D116" s="212" t="str">
        <f t="shared" ref="D116:I130" ca="1" si="12">IF($A116="*","",VLOOKUP($B116,$B$10:$I$14,D$9,FALSE))</f>
        <v/>
      </c>
      <c r="E116" s="212" t="str">
        <f t="shared" ca="1" si="12"/>
        <v/>
      </c>
      <c r="F116" s="212" t="str">
        <f t="shared" ca="1" si="12"/>
        <v/>
      </c>
      <c r="G116" s="212" t="str">
        <f t="shared" ca="1" si="12"/>
        <v/>
      </c>
      <c r="H116" s="212" t="str">
        <f t="shared" ca="1" si="12"/>
        <v/>
      </c>
      <c r="I116" s="213" t="str">
        <f t="shared" ca="1" si="12"/>
        <v/>
      </c>
      <c r="J116" s="296" t="str">
        <f t="array" aca="1" ref="J116" ca="1">IF($A116="*","",IFERROR(INDEX(AGR!$E$52:$L$73,MATCH('TS DTech'!$C116,AGR!$B$52:$B$73,0),MATCH('TS DTech'!$B116&amp;J$7,AGR!$E$46:$L$46&amp;AGR!$E$48:$L$48,0)),""))</f>
        <v/>
      </c>
      <c r="K116" s="296" t="str">
        <f t="array" aca="1" ref="K116" ca="1">IF($A116="*","",IFERROR(INDEX(AGR!$E$52:$L$73,MATCH('TS DTech'!$C116,AGR!$B$52:$B$73,0),MATCH('TS DTech'!$B116&amp;K$7,AGR!$E$46:$L$46&amp;AGR!$E$48:$L$48,0)),""))</f>
        <v/>
      </c>
      <c r="L116" s="296" t="str">
        <f t="array" aca="1" ref="L116" ca="1">IF($A116="*","",IFERROR(INDEX(AGR!$E$52:$L$73,MATCH('TS DTech'!$C116,AGR!$B$52:$B$73,0),MATCH('TS DTech'!$B116&amp;L$7,AGR!$E$46:$L$46&amp;AGR!$E$48:$L$48,0)),""))</f>
        <v/>
      </c>
      <c r="M116" s="296" t="str">
        <f t="array" aca="1" ref="M116" ca="1">IF($A116="*","",IFERROR(INDEX(AGR!$E$52:$L$73,MATCH('TS DTech'!$C116,AGR!$B$52:$B$73,0),MATCH('TS DTech'!$B116&amp;M$7,AGR!$E$46:$L$46&amp;AGR!$E$48:$L$48,0)),""))</f>
        <v/>
      </c>
      <c r="N116" s="296" t="str">
        <f t="array" aca="1" ref="N116" ca="1">IF($A116="*","",IFERROR(INDEX(AGR!$E$52:$L$73,MATCH('TS DTech'!$C116,AGR!$B$52:$B$73,0),MATCH('TS DTech'!$B116&amp;N$7,AGR!$E$46:$L$46&amp;AGR!$E$48:$L$48,0)),""))</f>
        <v/>
      </c>
      <c r="O116" s="296" t="str">
        <f t="array" aca="1" ref="O116" ca="1">IF($A116="*","",IFERROR(INDEX(AGR!$E$52:$L$73,MATCH('TS DTech'!$C116,AGR!$B$52:$B$73,0),MATCH('TS DTech'!$B116&amp;O$7,AGR!$E$46:$L$46&amp;AGR!$E$48:$L$48,0)),""))</f>
        <v/>
      </c>
      <c r="P116" s="296" t="str">
        <f t="array" aca="1" ref="P116" ca="1">IF($A116="*","",IFERROR(INDEX(AGR!$E$52:$L$73,MATCH('TS DTech'!$C116,AGR!$B$52:$B$73,0),MATCH('TS DTech'!$B116&amp;P$7,AGR!$E$46:$L$46&amp;AGR!$E$48:$L$48,0)),""))</f>
        <v/>
      </c>
      <c r="Q116" s="296" t="str">
        <f t="array" aca="1" ref="Q116" ca="1">IF($A116="*","",IFERROR(INDEX(AGR!$E$52:$L$73,MATCH('TS DTech'!$C116,AGR!$B$52:$B$73,0),MATCH('TS DTech'!$B116&amp;Q$7,AGR!$E$46:$L$46&amp;AGR!$E$48:$L$48,0)),""))</f>
        <v/>
      </c>
      <c r="R116" s="296" t="str">
        <f t="array" aca="1" ref="R116" ca="1">IF($A116="*","",IFERROR(INDEX(AGR!$E$52:$L$73,MATCH('TS DTech'!$C116,AGR!$B$52:$B$73,0),MATCH('TS DTech'!$B116&amp;R$7,AGR!$E$46:$L$46&amp;AGR!$E$48:$L$48,0)),""))</f>
        <v/>
      </c>
      <c r="S116" s="296" t="str">
        <f t="array" aca="1" ref="S116" ca="1">IF($A116="*","",IFERROR(INDEX(AGR!$E$52:$L$73,MATCH('TS DTech'!$C116,AGR!$B$52:$B$73,0),MATCH('TS DTech'!$B116&amp;S$7,AGR!$E$46:$L$46&amp;AGR!$E$48:$L$48,0)),""))</f>
        <v/>
      </c>
      <c r="T116" s="296" t="str">
        <f t="array" aca="1" ref="T116" ca="1">IF($A116="*","",IFERROR(INDEX(AGR!$E$52:$L$73,MATCH('TS DTech'!$C116,AGR!$B$52:$B$73,0),MATCH('TS DTech'!$B116&amp;T$7,AGR!$E$46:$L$46&amp;AGR!$E$48:$L$48,0)),""))</f>
        <v/>
      </c>
      <c r="U116" s="296" t="str">
        <f t="array" aca="1" ref="U116" ca="1">IF($A116="*","",IFERROR(INDEX(AGR!$E$52:$L$73,MATCH('TS DTech'!$C116,AGR!$B$52:$B$73,0),MATCH('TS DTech'!$B116&amp;U$7,AGR!$E$46:$L$46&amp;AGR!$E$48:$L$48,0)),""))</f>
        <v/>
      </c>
      <c r="V116" s="296" t="str">
        <f t="array" aca="1" ref="V116" ca="1">IF($A116="*","",IFERROR(INDEX(AGR!$E$52:$L$73,MATCH('TS DTech'!$C116,AGR!$B$52:$B$73,0),MATCH('TS DTech'!$B116&amp;V$7,AGR!$E$46:$L$46&amp;AGR!$E$48:$L$48,0)),""))</f>
        <v/>
      </c>
      <c r="W116" s="296" t="str">
        <f t="array" aca="1" ref="W116" ca="1">IF($A116="*","",IFERROR(INDEX(AGR!$E$52:$L$73,MATCH('TS DTech'!$C116,AGR!$B$52:$B$73,0),MATCH('TS DTech'!$B116&amp;W$7,AGR!$E$46:$L$46&amp;AGR!$E$48:$L$48,0)),""))</f>
        <v/>
      </c>
      <c r="X116" s="296" t="str">
        <f t="array" aca="1" ref="X116" ca="1">IF($A116="*","",IFERROR(INDEX(AGR!$E$52:$L$73,MATCH('TS DTech'!$C116,AGR!$B$52:$B$73,0),MATCH('TS DTech'!$B116&amp;X$7,AGR!$E$46:$L$46&amp;AGR!$E$48:$L$48,0)),""))</f>
        <v/>
      </c>
      <c r="Y116" s="296" t="str">
        <f t="array" aca="1" ref="Y116" ca="1">IF($A116="*","",IFERROR(INDEX(AGR!$E$52:$L$73,MATCH('TS DTech'!$C116,AGR!$B$52:$B$73,0),MATCH('TS DTech'!$B116&amp;Y$7,AGR!$E$46:$L$46&amp;AGR!$E$48:$L$48,0)),""))</f>
        <v/>
      </c>
      <c r="Z116" s="296" t="str">
        <f t="array" aca="1" ref="Z116" ca="1">IF($A116="*","",IFERROR(INDEX(AGR!$E$52:$L$73,MATCH('TS DTech'!$C116,AGR!$B$52:$B$73,0),MATCH('TS DTech'!$B116&amp;Z$7,AGR!$E$46:$L$46&amp;AGR!$E$48:$L$48,0)),""))</f>
        <v/>
      </c>
      <c r="AA116" s="296" t="str">
        <f t="array" aca="1" ref="AA116" ca="1">IF($A116="*","",IFERROR(INDEX(AGR!$E$52:$L$73,MATCH('TS DTech'!$C116,AGR!$B$52:$B$73,0),MATCH('TS DTech'!$B116&amp;AA$7,AGR!$E$46:$L$46&amp;AGR!$E$48:$L$48,0)),""))</f>
        <v/>
      </c>
      <c r="AB116" s="296" t="str">
        <f t="array" aca="1" ref="AB116" ca="1">IF($A116="*","",IFERROR(INDEX(AGR!$E$52:$L$73,MATCH('TS DTech'!$C116,AGR!$B$52:$B$73,0),MATCH('TS DTech'!$B116&amp;AB$7,AGR!$E$46:$L$46&amp;AGR!$E$48:$L$48,0)),""))</f>
        <v/>
      </c>
      <c r="AC116" s="296" t="str">
        <f t="array" aca="1" ref="AC116" ca="1">IF($A116="*","",IFERROR(INDEX(AGR!$E$52:$L$73,MATCH('TS DTech'!$C116,AGR!$B$52:$B$73,0),MATCH('TS DTech'!$B116&amp;AC$7,AGR!$E$46:$L$46&amp;AGR!$E$48:$L$48,0)),""))</f>
        <v/>
      </c>
      <c r="AD116" s="296" t="str">
        <f t="array" aca="1" ref="AD116" ca="1">IF($A116="*","",IFERROR(INDEX(AGR!$E$52:$L$73,MATCH('TS DTech'!$C116,AGR!$B$52:$B$73,0),MATCH('TS DTech'!$B116&amp;AD$7,AGR!$E$46:$L$46&amp;AGR!$E$48:$L$48,0)),""))</f>
        <v/>
      </c>
      <c r="AE116" s="296" t="str">
        <f t="array" aca="1" ref="AE116" ca="1">IF($A116="*","",IFERROR(INDEX(AGR!$E$52:$L$73,MATCH('TS DTech'!$C116,AGR!$B$52:$B$73,0),MATCH('TS DTech'!$B116&amp;AE$7,AGR!$E$46:$L$46&amp;AGR!$E$48:$L$48,0)),""))</f>
        <v/>
      </c>
      <c r="AF116" s="296" t="str">
        <f t="array" aca="1" ref="AF116" ca="1">IF($A116="*","",IFERROR(INDEX(AGR!$E$52:$L$73,MATCH('TS DTech'!$C116,AGR!$B$52:$B$73,0),MATCH('TS DTech'!$B116&amp;AF$7,AGR!$E$46:$L$46&amp;AGR!$E$48:$L$48,0)),""))</f>
        <v/>
      </c>
      <c r="AG116" s="296" t="str">
        <f t="array" aca="1" ref="AG116" ca="1">IF($A116="*","",IFERROR(INDEX(AGR!$E$52:$L$73,MATCH('TS DTech'!$C116,AGR!$B$52:$B$73,0),MATCH('TS DTech'!$B116&amp;AG$7,AGR!$E$46:$L$46&amp;AGR!$E$48:$L$48,0)),""))</f>
        <v/>
      </c>
      <c r="AH116" s="296" t="str">
        <f t="array" aca="1" ref="AH116" ca="1">IF($A116="*","",IFERROR(INDEX(AGR!$E$52:$L$73,MATCH('TS DTech'!$C116,AGR!$B$52:$B$73,0),MATCH('TS DTech'!$B116&amp;AH$7,AGR!$E$46:$L$46&amp;AGR!$E$48:$L$48,0)),""))</f>
        <v/>
      </c>
      <c r="AI116" s="296" t="str">
        <f t="array" aca="1" ref="AI116" ca="1">IF($A116="*","",IFERROR(INDEX(AGR!$E$52:$L$73,MATCH('TS DTech'!$C116,AGR!$B$52:$B$73,0),MATCH('TS DTech'!$B116&amp;AI$7,AGR!$E$46:$L$46&amp;AGR!$E$48:$L$48,0)),""))</f>
        <v/>
      </c>
      <c r="AJ116" s="296" t="str">
        <f t="array" aca="1" ref="AJ116" ca="1">IF($A116="*","",IFERROR(INDEX(AGR!$E$52:$L$73,MATCH('TS DTech'!$C116,AGR!$B$52:$B$73,0),MATCH('TS DTech'!$B116&amp;AJ$7,AGR!$E$46:$L$46&amp;AGR!$E$48:$L$48,0)),""))</f>
        <v/>
      </c>
      <c r="AK116" s="296" t="str">
        <f t="array" aca="1" ref="AK116" ca="1">IF($A116="*","",IFERROR(INDEX(AGR!$E$52:$L$73,MATCH('TS DTech'!$C116,AGR!$B$52:$B$73,0),MATCH('TS DTech'!$B116&amp;AK$7,AGR!$E$46:$L$46&amp;AGR!$E$48:$L$48,0)),""))</f>
        <v/>
      </c>
      <c r="AL116" s="296" t="str">
        <f t="array" aca="1" ref="AL116" ca="1">IF($A116="*","",IFERROR(INDEX(AGR!$E$52:$L$73,MATCH('TS DTech'!$C116,AGR!$B$52:$B$73,0),MATCH('TS DTech'!$B116&amp;AL$7,AGR!$E$46:$L$46&amp;AGR!$E$48:$L$48,0)),""))</f>
        <v/>
      </c>
      <c r="AM116" s="296" t="str">
        <f t="array" aca="1" ref="AM116" ca="1">IF($A116="*","",IFERROR(INDEX(AGR!$E$52:$L$73,MATCH('TS DTech'!$C116,AGR!$B$52:$B$73,0),MATCH('TS DTech'!$B116&amp;AM$7,AGR!$E$46:$L$46&amp;AGR!$E$48:$L$48,0)),""))</f>
        <v/>
      </c>
      <c r="AN116" s="296" t="str">
        <f t="array" aca="1" ref="AN116" ca="1">IF($A116="*","",IFERROR(INDEX(AGR!$E$52:$L$73,MATCH('TS DTech'!$C116,AGR!$B$52:$B$73,0),MATCH('TS DTech'!$B116&amp;AN$7,AGR!$E$46:$L$46&amp;AGR!$E$48:$L$48,0)),""))</f>
        <v/>
      </c>
      <c r="AO116" s="296" t="str">
        <f t="array" aca="1" ref="AO116" ca="1">IF($A116="*","",IFERROR(INDEX(AGR!$E$52:$L$73,MATCH('TS DTech'!$C116,AGR!$B$52:$B$73,0),MATCH('TS DTech'!$B116&amp;AO$7,AGR!$E$46:$L$46&amp;AGR!$E$48:$L$48,0)),""))</f>
        <v/>
      </c>
      <c r="AP116" s="296" t="str">
        <f t="array" aca="1" ref="AP116" ca="1">IF($A116="*","",IFERROR(INDEX(AGR!$E$52:$L$73,MATCH('TS DTech'!$C116,AGR!$B$52:$B$73,0),MATCH('TS DTech'!$B116&amp;AP$7,AGR!$E$46:$L$46&amp;AGR!$E$48:$L$48,0)),""))</f>
        <v/>
      </c>
      <c r="AQ116" s="137">
        <f>IF(AR115=AGR!$AD$74,AQ115+1,AQ115)</f>
        <v>5</v>
      </c>
      <c r="AR116" s="137">
        <f t="shared" si="11"/>
        <v>9</v>
      </c>
    </row>
    <row r="117" spans="1:44">
      <c r="A117" s="137" t="str">
        <f ca="1">IF(LEFT(OFFSET(AGR!$A$51,AR117,0),2)="\I","*","")</f>
        <v>*</v>
      </c>
      <c r="B117" s="212" t="str">
        <f t="shared" ca="1" si="10"/>
        <v/>
      </c>
      <c r="C117" s="212" t="str">
        <f ca="1">IF($A117="*","",OFFSET(AGR!$B$51,AR117,0))</f>
        <v/>
      </c>
      <c r="D117" s="212" t="str">
        <f t="shared" ca="1" si="12"/>
        <v/>
      </c>
      <c r="E117" s="212" t="str">
        <f t="shared" ca="1" si="12"/>
        <v/>
      </c>
      <c r="F117" s="212" t="str">
        <f t="shared" ca="1" si="12"/>
        <v/>
      </c>
      <c r="G117" s="212" t="str">
        <f t="shared" ca="1" si="12"/>
        <v/>
      </c>
      <c r="H117" s="212" t="str">
        <f t="shared" ca="1" si="12"/>
        <v/>
      </c>
      <c r="I117" s="213" t="str">
        <f t="shared" ca="1" si="12"/>
        <v/>
      </c>
      <c r="J117" s="296" t="str">
        <f t="array" aca="1" ref="J117" ca="1">IF($A117="*","",IFERROR(INDEX(AGR!$E$52:$L$73,MATCH('TS DTech'!$C117,AGR!$B$52:$B$73,0),MATCH('TS DTech'!$B117&amp;J$7,AGR!$E$46:$L$46&amp;AGR!$E$48:$L$48,0)),""))</f>
        <v/>
      </c>
      <c r="K117" s="296" t="str">
        <f t="array" aca="1" ref="K117" ca="1">IF($A117="*","",IFERROR(INDEX(AGR!$E$52:$L$73,MATCH('TS DTech'!$C117,AGR!$B$52:$B$73,0),MATCH('TS DTech'!$B117&amp;K$7,AGR!$E$46:$L$46&amp;AGR!$E$48:$L$48,0)),""))</f>
        <v/>
      </c>
      <c r="L117" s="296" t="str">
        <f t="array" aca="1" ref="L117" ca="1">IF($A117="*","",IFERROR(INDEX(AGR!$E$52:$L$73,MATCH('TS DTech'!$C117,AGR!$B$52:$B$73,0),MATCH('TS DTech'!$B117&amp;L$7,AGR!$E$46:$L$46&amp;AGR!$E$48:$L$48,0)),""))</f>
        <v/>
      </c>
      <c r="M117" s="296" t="str">
        <f t="array" aca="1" ref="M117" ca="1">IF($A117="*","",IFERROR(INDEX(AGR!$E$52:$L$73,MATCH('TS DTech'!$C117,AGR!$B$52:$B$73,0),MATCH('TS DTech'!$B117&amp;M$7,AGR!$E$46:$L$46&amp;AGR!$E$48:$L$48,0)),""))</f>
        <v/>
      </c>
      <c r="N117" s="296" t="str">
        <f t="array" aca="1" ref="N117" ca="1">IF($A117="*","",IFERROR(INDEX(AGR!$E$52:$L$73,MATCH('TS DTech'!$C117,AGR!$B$52:$B$73,0),MATCH('TS DTech'!$B117&amp;N$7,AGR!$E$46:$L$46&amp;AGR!$E$48:$L$48,0)),""))</f>
        <v/>
      </c>
      <c r="O117" s="296" t="str">
        <f t="array" aca="1" ref="O117" ca="1">IF($A117="*","",IFERROR(INDEX(AGR!$E$52:$L$73,MATCH('TS DTech'!$C117,AGR!$B$52:$B$73,0),MATCH('TS DTech'!$B117&amp;O$7,AGR!$E$46:$L$46&amp;AGR!$E$48:$L$48,0)),""))</f>
        <v/>
      </c>
      <c r="P117" s="296" t="str">
        <f t="array" aca="1" ref="P117" ca="1">IF($A117="*","",IFERROR(INDEX(AGR!$E$52:$L$73,MATCH('TS DTech'!$C117,AGR!$B$52:$B$73,0),MATCH('TS DTech'!$B117&amp;P$7,AGR!$E$46:$L$46&amp;AGR!$E$48:$L$48,0)),""))</f>
        <v/>
      </c>
      <c r="Q117" s="296" t="str">
        <f t="array" aca="1" ref="Q117" ca="1">IF($A117="*","",IFERROR(INDEX(AGR!$E$52:$L$73,MATCH('TS DTech'!$C117,AGR!$B$52:$B$73,0),MATCH('TS DTech'!$B117&amp;Q$7,AGR!$E$46:$L$46&amp;AGR!$E$48:$L$48,0)),""))</f>
        <v/>
      </c>
      <c r="R117" s="296" t="str">
        <f t="array" aca="1" ref="R117" ca="1">IF($A117="*","",IFERROR(INDEX(AGR!$E$52:$L$73,MATCH('TS DTech'!$C117,AGR!$B$52:$B$73,0),MATCH('TS DTech'!$B117&amp;R$7,AGR!$E$46:$L$46&amp;AGR!$E$48:$L$48,0)),""))</f>
        <v/>
      </c>
      <c r="S117" s="296" t="str">
        <f t="array" aca="1" ref="S117" ca="1">IF($A117="*","",IFERROR(INDEX(AGR!$E$52:$L$73,MATCH('TS DTech'!$C117,AGR!$B$52:$B$73,0),MATCH('TS DTech'!$B117&amp;S$7,AGR!$E$46:$L$46&amp;AGR!$E$48:$L$48,0)),""))</f>
        <v/>
      </c>
      <c r="T117" s="296" t="str">
        <f t="array" aca="1" ref="T117" ca="1">IF($A117="*","",IFERROR(INDEX(AGR!$E$52:$L$73,MATCH('TS DTech'!$C117,AGR!$B$52:$B$73,0),MATCH('TS DTech'!$B117&amp;T$7,AGR!$E$46:$L$46&amp;AGR!$E$48:$L$48,0)),""))</f>
        <v/>
      </c>
      <c r="U117" s="296" t="str">
        <f t="array" aca="1" ref="U117" ca="1">IF($A117="*","",IFERROR(INDEX(AGR!$E$52:$L$73,MATCH('TS DTech'!$C117,AGR!$B$52:$B$73,0),MATCH('TS DTech'!$B117&amp;U$7,AGR!$E$46:$L$46&amp;AGR!$E$48:$L$48,0)),""))</f>
        <v/>
      </c>
      <c r="V117" s="296" t="str">
        <f t="array" aca="1" ref="V117" ca="1">IF($A117="*","",IFERROR(INDEX(AGR!$E$52:$L$73,MATCH('TS DTech'!$C117,AGR!$B$52:$B$73,0),MATCH('TS DTech'!$B117&amp;V$7,AGR!$E$46:$L$46&amp;AGR!$E$48:$L$48,0)),""))</f>
        <v/>
      </c>
      <c r="W117" s="296" t="str">
        <f t="array" aca="1" ref="W117" ca="1">IF($A117="*","",IFERROR(INDEX(AGR!$E$52:$L$73,MATCH('TS DTech'!$C117,AGR!$B$52:$B$73,0),MATCH('TS DTech'!$B117&amp;W$7,AGR!$E$46:$L$46&amp;AGR!$E$48:$L$48,0)),""))</f>
        <v/>
      </c>
      <c r="X117" s="296" t="str">
        <f t="array" aca="1" ref="X117" ca="1">IF($A117="*","",IFERROR(INDEX(AGR!$E$52:$L$73,MATCH('TS DTech'!$C117,AGR!$B$52:$B$73,0),MATCH('TS DTech'!$B117&amp;X$7,AGR!$E$46:$L$46&amp;AGR!$E$48:$L$48,0)),""))</f>
        <v/>
      </c>
      <c r="Y117" s="296" t="str">
        <f t="array" aca="1" ref="Y117" ca="1">IF($A117="*","",IFERROR(INDEX(AGR!$E$52:$L$73,MATCH('TS DTech'!$C117,AGR!$B$52:$B$73,0),MATCH('TS DTech'!$B117&amp;Y$7,AGR!$E$46:$L$46&amp;AGR!$E$48:$L$48,0)),""))</f>
        <v/>
      </c>
      <c r="Z117" s="296" t="str">
        <f t="array" aca="1" ref="Z117" ca="1">IF($A117="*","",IFERROR(INDEX(AGR!$E$52:$L$73,MATCH('TS DTech'!$C117,AGR!$B$52:$B$73,0),MATCH('TS DTech'!$B117&amp;Z$7,AGR!$E$46:$L$46&amp;AGR!$E$48:$L$48,0)),""))</f>
        <v/>
      </c>
      <c r="AA117" s="296" t="str">
        <f t="array" aca="1" ref="AA117" ca="1">IF($A117="*","",IFERROR(INDEX(AGR!$E$52:$L$73,MATCH('TS DTech'!$C117,AGR!$B$52:$B$73,0),MATCH('TS DTech'!$B117&amp;AA$7,AGR!$E$46:$L$46&amp;AGR!$E$48:$L$48,0)),""))</f>
        <v/>
      </c>
      <c r="AB117" s="296" t="str">
        <f t="array" aca="1" ref="AB117" ca="1">IF($A117="*","",IFERROR(INDEX(AGR!$E$52:$L$73,MATCH('TS DTech'!$C117,AGR!$B$52:$B$73,0),MATCH('TS DTech'!$B117&amp;AB$7,AGR!$E$46:$L$46&amp;AGR!$E$48:$L$48,0)),""))</f>
        <v/>
      </c>
      <c r="AC117" s="296" t="str">
        <f t="array" aca="1" ref="AC117" ca="1">IF($A117="*","",IFERROR(INDEX(AGR!$E$52:$L$73,MATCH('TS DTech'!$C117,AGR!$B$52:$B$73,0),MATCH('TS DTech'!$B117&amp;AC$7,AGR!$E$46:$L$46&amp;AGR!$E$48:$L$48,0)),""))</f>
        <v/>
      </c>
      <c r="AD117" s="296" t="str">
        <f t="array" aca="1" ref="AD117" ca="1">IF($A117="*","",IFERROR(INDEX(AGR!$E$52:$L$73,MATCH('TS DTech'!$C117,AGR!$B$52:$B$73,0),MATCH('TS DTech'!$B117&amp;AD$7,AGR!$E$46:$L$46&amp;AGR!$E$48:$L$48,0)),""))</f>
        <v/>
      </c>
      <c r="AE117" s="296" t="str">
        <f t="array" aca="1" ref="AE117" ca="1">IF($A117="*","",IFERROR(INDEX(AGR!$E$52:$L$73,MATCH('TS DTech'!$C117,AGR!$B$52:$B$73,0),MATCH('TS DTech'!$B117&amp;AE$7,AGR!$E$46:$L$46&amp;AGR!$E$48:$L$48,0)),""))</f>
        <v/>
      </c>
      <c r="AF117" s="296" t="str">
        <f t="array" aca="1" ref="AF117" ca="1">IF($A117="*","",IFERROR(INDEX(AGR!$E$52:$L$73,MATCH('TS DTech'!$C117,AGR!$B$52:$B$73,0),MATCH('TS DTech'!$B117&amp;AF$7,AGR!$E$46:$L$46&amp;AGR!$E$48:$L$48,0)),""))</f>
        <v/>
      </c>
      <c r="AG117" s="296" t="str">
        <f t="array" aca="1" ref="AG117" ca="1">IF($A117="*","",IFERROR(INDEX(AGR!$E$52:$L$73,MATCH('TS DTech'!$C117,AGR!$B$52:$B$73,0),MATCH('TS DTech'!$B117&amp;AG$7,AGR!$E$46:$L$46&amp;AGR!$E$48:$L$48,0)),""))</f>
        <v/>
      </c>
      <c r="AH117" s="296" t="str">
        <f t="array" aca="1" ref="AH117" ca="1">IF($A117="*","",IFERROR(INDEX(AGR!$E$52:$L$73,MATCH('TS DTech'!$C117,AGR!$B$52:$B$73,0),MATCH('TS DTech'!$B117&amp;AH$7,AGR!$E$46:$L$46&amp;AGR!$E$48:$L$48,0)),""))</f>
        <v/>
      </c>
      <c r="AI117" s="296" t="str">
        <f t="array" aca="1" ref="AI117" ca="1">IF($A117="*","",IFERROR(INDEX(AGR!$E$52:$L$73,MATCH('TS DTech'!$C117,AGR!$B$52:$B$73,0),MATCH('TS DTech'!$B117&amp;AI$7,AGR!$E$46:$L$46&amp;AGR!$E$48:$L$48,0)),""))</f>
        <v/>
      </c>
      <c r="AJ117" s="296" t="str">
        <f t="array" aca="1" ref="AJ117" ca="1">IF($A117="*","",IFERROR(INDEX(AGR!$E$52:$L$73,MATCH('TS DTech'!$C117,AGR!$B$52:$B$73,0),MATCH('TS DTech'!$B117&amp;AJ$7,AGR!$E$46:$L$46&amp;AGR!$E$48:$L$48,0)),""))</f>
        <v/>
      </c>
      <c r="AK117" s="296" t="str">
        <f t="array" aca="1" ref="AK117" ca="1">IF($A117="*","",IFERROR(INDEX(AGR!$E$52:$L$73,MATCH('TS DTech'!$C117,AGR!$B$52:$B$73,0),MATCH('TS DTech'!$B117&amp;AK$7,AGR!$E$46:$L$46&amp;AGR!$E$48:$L$48,0)),""))</f>
        <v/>
      </c>
      <c r="AL117" s="296" t="str">
        <f t="array" aca="1" ref="AL117" ca="1">IF($A117="*","",IFERROR(INDEX(AGR!$E$52:$L$73,MATCH('TS DTech'!$C117,AGR!$B$52:$B$73,0),MATCH('TS DTech'!$B117&amp;AL$7,AGR!$E$46:$L$46&amp;AGR!$E$48:$L$48,0)),""))</f>
        <v/>
      </c>
      <c r="AM117" s="296" t="str">
        <f t="array" aca="1" ref="AM117" ca="1">IF($A117="*","",IFERROR(INDEX(AGR!$E$52:$L$73,MATCH('TS DTech'!$C117,AGR!$B$52:$B$73,0),MATCH('TS DTech'!$B117&amp;AM$7,AGR!$E$46:$L$46&amp;AGR!$E$48:$L$48,0)),""))</f>
        <v/>
      </c>
      <c r="AN117" s="296" t="str">
        <f t="array" aca="1" ref="AN117" ca="1">IF($A117="*","",IFERROR(INDEX(AGR!$E$52:$L$73,MATCH('TS DTech'!$C117,AGR!$B$52:$B$73,0),MATCH('TS DTech'!$B117&amp;AN$7,AGR!$E$46:$L$46&amp;AGR!$E$48:$L$48,0)),""))</f>
        <v/>
      </c>
      <c r="AO117" s="296" t="str">
        <f t="array" aca="1" ref="AO117" ca="1">IF($A117="*","",IFERROR(INDEX(AGR!$E$52:$L$73,MATCH('TS DTech'!$C117,AGR!$B$52:$B$73,0),MATCH('TS DTech'!$B117&amp;AO$7,AGR!$E$46:$L$46&amp;AGR!$E$48:$L$48,0)),""))</f>
        <v/>
      </c>
      <c r="AP117" s="296" t="str">
        <f t="array" aca="1" ref="AP117" ca="1">IF($A117="*","",IFERROR(INDEX(AGR!$E$52:$L$73,MATCH('TS DTech'!$C117,AGR!$B$52:$B$73,0),MATCH('TS DTech'!$B117&amp;AP$7,AGR!$E$46:$L$46&amp;AGR!$E$48:$L$48,0)),""))</f>
        <v/>
      </c>
      <c r="AQ117" s="137">
        <f>IF(AR116=AGR!$AD$74,AQ116+1,AQ116)</f>
        <v>5</v>
      </c>
      <c r="AR117" s="137">
        <f t="shared" si="11"/>
        <v>10</v>
      </c>
    </row>
    <row r="118" spans="1:44">
      <c r="A118" s="137" t="str">
        <f ca="1">IF(LEFT(OFFSET(AGR!$A$51,AR118,0),2)="\I","*","")</f>
        <v/>
      </c>
      <c r="B118" s="212" t="str">
        <f t="shared" ca="1" si="10"/>
        <v>PRC_RESID</v>
      </c>
      <c r="C118" s="212" t="str">
        <f ca="1">IF($A118="*","",OFFSET(AGR!$B$51,AR118,0))</f>
        <v>ATODS-E</v>
      </c>
      <c r="D118" s="212" t="str">
        <f t="shared" ca="1" si="12"/>
        <v>-</v>
      </c>
      <c r="E118" s="212" t="str">
        <f t="shared" ca="1" si="12"/>
        <v>-</v>
      </c>
      <c r="F118" s="212" t="str">
        <f t="shared" ca="1" si="12"/>
        <v>-</v>
      </c>
      <c r="G118" s="212" t="str">
        <f t="shared" ca="1" si="12"/>
        <v>-</v>
      </c>
      <c r="H118" s="212" t="str">
        <f t="shared" ca="1" si="12"/>
        <v>-</v>
      </c>
      <c r="I118" s="213">
        <f t="shared" ca="1" si="12"/>
        <v>0</v>
      </c>
      <c r="J118" s="296">
        <f t="array" aca="1" ref="J118" ca="1">IF($A118="*","",IFERROR(INDEX(AGR!$E$52:$L$73,MATCH('TS DTech'!$C118,AGR!$B$52:$B$73,0),MATCH('TS DTech'!$B118&amp;J$7,AGR!$E$46:$L$46&amp;AGR!$E$48:$L$48,0)),""))</f>
        <v>18.949387399524742</v>
      </c>
      <c r="K118" s="296" t="str">
        <f t="array" aca="1" ref="K118" ca="1">IF($A118="*","",IFERROR(INDEX(AGR!$E$52:$L$73,MATCH('TS DTech'!$C118,AGR!$B$52:$B$73,0),MATCH('TS DTech'!$B118&amp;K$7,AGR!$E$46:$L$46&amp;AGR!$E$48:$L$48,0)),""))</f>
        <v/>
      </c>
      <c r="L118" s="296" t="str">
        <f t="array" aca="1" ref="L118" ca="1">IF($A118="*","",IFERROR(INDEX(AGR!$E$52:$L$73,MATCH('TS DTech'!$C118,AGR!$B$52:$B$73,0),MATCH('TS DTech'!$B118&amp;L$7,AGR!$E$46:$L$46&amp;AGR!$E$48:$L$48,0)),""))</f>
        <v/>
      </c>
      <c r="M118" s="296" t="str">
        <f t="array" aca="1" ref="M118" ca="1">IF($A118="*","",IFERROR(INDEX(AGR!$E$52:$L$73,MATCH('TS DTech'!$C118,AGR!$B$52:$B$73,0),MATCH('TS DTech'!$B118&amp;M$7,AGR!$E$46:$L$46&amp;AGR!$E$48:$L$48,0)),""))</f>
        <v/>
      </c>
      <c r="N118" s="296" t="str">
        <f t="array" aca="1" ref="N118" ca="1">IF($A118="*","",IFERROR(INDEX(AGR!$E$52:$L$73,MATCH('TS DTech'!$C118,AGR!$B$52:$B$73,0),MATCH('TS DTech'!$B118&amp;N$7,AGR!$E$46:$L$46&amp;AGR!$E$48:$L$48,0)),""))</f>
        <v/>
      </c>
      <c r="O118" s="296">
        <f t="array" aca="1" ref="O118" ca="1">IF($A118="*","",IFERROR(INDEX(AGR!$E$52:$L$73,MATCH('TS DTech'!$C118,AGR!$B$52:$B$73,0),MATCH('TS DTech'!$B118&amp;O$7,AGR!$E$46:$L$46&amp;AGR!$E$48:$L$48,0)),""))</f>
        <v>21.803040680773695</v>
      </c>
      <c r="P118" s="296" t="str">
        <f t="array" aca="1" ref="P118" ca="1">IF($A118="*","",IFERROR(INDEX(AGR!$E$52:$L$73,MATCH('TS DTech'!$C118,AGR!$B$52:$B$73,0),MATCH('TS DTech'!$B118&amp;P$7,AGR!$E$46:$L$46&amp;AGR!$E$48:$L$48,0)),""))</f>
        <v/>
      </c>
      <c r="Q118" s="296" t="str">
        <f t="array" aca="1" ref="Q118" ca="1">IF($A118="*","",IFERROR(INDEX(AGR!$E$52:$L$73,MATCH('TS DTech'!$C118,AGR!$B$52:$B$73,0),MATCH('TS DTech'!$B118&amp;Q$7,AGR!$E$46:$L$46&amp;AGR!$E$48:$L$48,0)),""))</f>
        <v/>
      </c>
      <c r="R118" s="296" t="str">
        <f t="array" aca="1" ref="R118" ca="1">IF($A118="*","",IFERROR(INDEX(AGR!$E$52:$L$73,MATCH('TS DTech'!$C118,AGR!$B$52:$B$73,0),MATCH('TS DTech'!$B118&amp;R$7,AGR!$E$46:$L$46&amp;AGR!$E$48:$L$48,0)),""))</f>
        <v/>
      </c>
      <c r="S118" s="296" t="str">
        <f t="array" aca="1" ref="S118" ca="1">IF($A118="*","",IFERROR(INDEX(AGR!$E$52:$L$73,MATCH('TS DTech'!$C118,AGR!$B$52:$B$73,0),MATCH('TS DTech'!$B118&amp;S$7,AGR!$E$46:$L$46&amp;AGR!$E$48:$L$48,0)),""))</f>
        <v/>
      </c>
      <c r="T118" s="296" t="str">
        <f t="array" aca="1" ref="T118" ca="1">IF($A118="*","",IFERROR(INDEX(AGR!$E$52:$L$73,MATCH('TS DTech'!$C118,AGR!$B$52:$B$73,0),MATCH('TS DTech'!$B118&amp;T$7,AGR!$E$46:$L$46&amp;AGR!$E$48:$L$48,0)),""))</f>
        <v/>
      </c>
      <c r="U118" s="296" t="str">
        <f t="array" aca="1" ref="U118" ca="1">IF($A118="*","",IFERROR(INDEX(AGR!$E$52:$L$73,MATCH('TS DTech'!$C118,AGR!$B$52:$B$73,0),MATCH('TS DTech'!$B118&amp;U$7,AGR!$E$46:$L$46&amp;AGR!$E$48:$L$48,0)),""))</f>
        <v/>
      </c>
      <c r="V118" s="296" t="str">
        <f t="array" aca="1" ref="V118" ca="1">IF($A118="*","",IFERROR(INDEX(AGR!$E$52:$L$73,MATCH('TS DTech'!$C118,AGR!$B$52:$B$73,0),MATCH('TS DTech'!$B118&amp;V$7,AGR!$E$46:$L$46&amp;AGR!$E$48:$L$48,0)),""))</f>
        <v/>
      </c>
      <c r="W118" s="296" t="str">
        <f t="array" aca="1" ref="W118" ca="1">IF($A118="*","",IFERROR(INDEX(AGR!$E$52:$L$73,MATCH('TS DTech'!$C118,AGR!$B$52:$B$73,0),MATCH('TS DTech'!$B118&amp;W$7,AGR!$E$46:$L$46&amp;AGR!$E$48:$L$48,0)),""))</f>
        <v/>
      </c>
      <c r="X118" s="296" t="str">
        <f t="array" aca="1" ref="X118" ca="1">IF($A118="*","",IFERROR(INDEX(AGR!$E$52:$L$73,MATCH('TS DTech'!$C118,AGR!$B$52:$B$73,0),MATCH('TS DTech'!$B118&amp;X$7,AGR!$E$46:$L$46&amp;AGR!$E$48:$L$48,0)),""))</f>
        <v/>
      </c>
      <c r="Y118" s="296" t="str">
        <f t="array" aca="1" ref="Y118" ca="1">IF($A118="*","",IFERROR(INDEX(AGR!$E$52:$L$73,MATCH('TS DTech'!$C118,AGR!$B$52:$B$73,0),MATCH('TS DTech'!$B118&amp;Y$7,AGR!$E$46:$L$46&amp;AGR!$E$48:$L$48,0)),""))</f>
        <v/>
      </c>
      <c r="Z118" s="296" t="str">
        <f t="array" aca="1" ref="Z118" ca="1">IF($A118="*","",IFERROR(INDEX(AGR!$E$52:$L$73,MATCH('TS DTech'!$C118,AGR!$B$52:$B$73,0),MATCH('TS DTech'!$B118&amp;Z$7,AGR!$E$46:$L$46&amp;AGR!$E$48:$L$48,0)),""))</f>
        <v/>
      </c>
      <c r="AA118" s="296" t="str">
        <f t="array" aca="1" ref="AA118" ca="1">IF($A118="*","",IFERROR(INDEX(AGR!$E$52:$L$73,MATCH('TS DTech'!$C118,AGR!$B$52:$B$73,0),MATCH('TS DTech'!$B118&amp;AA$7,AGR!$E$46:$L$46&amp;AGR!$E$48:$L$48,0)),""))</f>
        <v/>
      </c>
      <c r="AB118" s="296" t="str">
        <f t="array" aca="1" ref="AB118" ca="1">IF($A118="*","",IFERROR(INDEX(AGR!$E$52:$L$73,MATCH('TS DTech'!$C118,AGR!$B$52:$B$73,0),MATCH('TS DTech'!$B118&amp;AB$7,AGR!$E$46:$L$46&amp;AGR!$E$48:$L$48,0)),""))</f>
        <v/>
      </c>
      <c r="AC118" s="296" t="str">
        <f t="array" aca="1" ref="AC118" ca="1">IF($A118="*","",IFERROR(INDEX(AGR!$E$52:$L$73,MATCH('TS DTech'!$C118,AGR!$B$52:$B$73,0),MATCH('TS DTech'!$B118&amp;AC$7,AGR!$E$46:$L$46&amp;AGR!$E$48:$L$48,0)),""))</f>
        <v/>
      </c>
      <c r="AD118" s="296" t="str">
        <f t="array" aca="1" ref="AD118" ca="1">IF($A118="*","",IFERROR(INDEX(AGR!$E$52:$L$73,MATCH('TS DTech'!$C118,AGR!$B$52:$B$73,0),MATCH('TS DTech'!$B118&amp;AD$7,AGR!$E$46:$L$46&amp;AGR!$E$48:$L$48,0)),""))</f>
        <v/>
      </c>
      <c r="AE118" s="296" t="str">
        <f t="array" aca="1" ref="AE118" ca="1">IF($A118="*","",IFERROR(INDEX(AGR!$E$52:$L$73,MATCH('TS DTech'!$C118,AGR!$B$52:$B$73,0),MATCH('TS DTech'!$B118&amp;AE$7,AGR!$E$46:$L$46&amp;AGR!$E$48:$L$48,0)),""))</f>
        <v/>
      </c>
      <c r="AF118" s="296" t="str">
        <f t="array" aca="1" ref="AF118" ca="1">IF($A118="*","",IFERROR(INDEX(AGR!$E$52:$L$73,MATCH('TS DTech'!$C118,AGR!$B$52:$B$73,0),MATCH('TS DTech'!$B118&amp;AF$7,AGR!$E$46:$L$46&amp;AGR!$E$48:$L$48,0)),""))</f>
        <v/>
      </c>
      <c r="AG118" s="296" t="str">
        <f t="array" aca="1" ref="AG118" ca="1">IF($A118="*","",IFERROR(INDEX(AGR!$E$52:$L$73,MATCH('TS DTech'!$C118,AGR!$B$52:$B$73,0),MATCH('TS DTech'!$B118&amp;AG$7,AGR!$E$46:$L$46&amp;AGR!$E$48:$L$48,0)),""))</f>
        <v/>
      </c>
      <c r="AH118" s="296" t="str">
        <f t="array" aca="1" ref="AH118" ca="1">IF($A118="*","",IFERROR(INDEX(AGR!$E$52:$L$73,MATCH('TS DTech'!$C118,AGR!$B$52:$B$73,0),MATCH('TS DTech'!$B118&amp;AH$7,AGR!$E$46:$L$46&amp;AGR!$E$48:$L$48,0)),""))</f>
        <v/>
      </c>
      <c r="AI118" s="296" t="str">
        <f t="array" aca="1" ref="AI118" ca="1">IF($A118="*","",IFERROR(INDEX(AGR!$E$52:$L$73,MATCH('TS DTech'!$C118,AGR!$B$52:$B$73,0),MATCH('TS DTech'!$B118&amp;AI$7,AGR!$E$46:$L$46&amp;AGR!$E$48:$L$48,0)),""))</f>
        <v/>
      </c>
      <c r="AJ118" s="296" t="str">
        <f t="array" aca="1" ref="AJ118" ca="1">IF($A118="*","",IFERROR(INDEX(AGR!$E$52:$L$73,MATCH('TS DTech'!$C118,AGR!$B$52:$B$73,0),MATCH('TS DTech'!$B118&amp;AJ$7,AGR!$E$46:$L$46&amp;AGR!$E$48:$L$48,0)),""))</f>
        <v/>
      </c>
      <c r="AK118" s="296" t="str">
        <f t="array" aca="1" ref="AK118" ca="1">IF($A118="*","",IFERROR(INDEX(AGR!$E$52:$L$73,MATCH('TS DTech'!$C118,AGR!$B$52:$B$73,0),MATCH('TS DTech'!$B118&amp;AK$7,AGR!$E$46:$L$46&amp;AGR!$E$48:$L$48,0)),""))</f>
        <v/>
      </c>
      <c r="AL118" s="296" t="str">
        <f t="array" aca="1" ref="AL118" ca="1">IF($A118="*","",IFERROR(INDEX(AGR!$E$52:$L$73,MATCH('TS DTech'!$C118,AGR!$B$52:$B$73,0),MATCH('TS DTech'!$B118&amp;AL$7,AGR!$E$46:$L$46&amp;AGR!$E$48:$L$48,0)),""))</f>
        <v/>
      </c>
      <c r="AM118" s="296" t="str">
        <f t="array" aca="1" ref="AM118" ca="1">IF($A118="*","",IFERROR(INDEX(AGR!$E$52:$L$73,MATCH('TS DTech'!$C118,AGR!$B$52:$B$73,0),MATCH('TS DTech'!$B118&amp;AM$7,AGR!$E$46:$L$46&amp;AGR!$E$48:$L$48,0)),""))</f>
        <v/>
      </c>
      <c r="AN118" s="296" t="str">
        <f t="array" aca="1" ref="AN118" ca="1">IF($A118="*","",IFERROR(INDEX(AGR!$E$52:$L$73,MATCH('TS DTech'!$C118,AGR!$B$52:$B$73,0),MATCH('TS DTech'!$B118&amp;AN$7,AGR!$E$46:$L$46&amp;AGR!$E$48:$L$48,0)),""))</f>
        <v/>
      </c>
      <c r="AO118" s="296" t="str">
        <f t="array" aca="1" ref="AO118" ca="1">IF($A118="*","",IFERROR(INDEX(AGR!$E$52:$L$73,MATCH('TS DTech'!$C118,AGR!$B$52:$B$73,0),MATCH('TS DTech'!$B118&amp;AO$7,AGR!$E$46:$L$46&amp;AGR!$E$48:$L$48,0)),""))</f>
        <v/>
      </c>
      <c r="AP118" s="296" t="str">
        <f t="array" aca="1" ref="AP118" ca="1">IF($A118="*","",IFERROR(INDEX(AGR!$E$52:$L$73,MATCH('TS DTech'!$C118,AGR!$B$52:$B$73,0),MATCH('TS DTech'!$B118&amp;AP$7,AGR!$E$46:$L$46&amp;AGR!$E$48:$L$48,0)),""))</f>
        <v/>
      </c>
      <c r="AQ118" s="137">
        <f>IF(AR117=AGR!$AD$74,AQ117+1,AQ117)</f>
        <v>5</v>
      </c>
      <c r="AR118" s="137">
        <f t="shared" si="11"/>
        <v>11</v>
      </c>
    </row>
    <row r="119" spans="1:44">
      <c r="A119" s="137" t="str">
        <f ca="1">IF(LEFT(OFFSET(AGR!$A$51,AR119,0),2)="\I","*","")</f>
        <v/>
      </c>
      <c r="B119" s="212" t="str">
        <f t="shared" ca="1" si="10"/>
        <v>PRC_RESID</v>
      </c>
      <c r="C119" s="212" t="str">
        <f ca="1">IF($A119="*","",OFFSET(AGR!$B$51,AR119,0))</f>
        <v>ATELC-E</v>
      </c>
      <c r="D119" s="212" t="str">
        <f t="shared" ca="1" si="12"/>
        <v>-</v>
      </c>
      <c r="E119" s="212" t="str">
        <f t="shared" ca="1" si="12"/>
        <v>-</v>
      </c>
      <c r="F119" s="212" t="str">
        <f t="shared" ca="1" si="12"/>
        <v>-</v>
      </c>
      <c r="G119" s="212" t="str">
        <f t="shared" ca="1" si="12"/>
        <v>-</v>
      </c>
      <c r="H119" s="212" t="str">
        <f t="shared" ca="1" si="12"/>
        <v>-</v>
      </c>
      <c r="I119" s="213">
        <f t="shared" ca="1" si="12"/>
        <v>0</v>
      </c>
      <c r="J119" s="296">
        <f t="array" aca="1" ref="J119" ca="1">IF($A119="*","",IFERROR(INDEX(AGR!$E$52:$L$73,MATCH('TS DTech'!$C119,AGR!$B$52:$B$73,0),MATCH('TS DTech'!$B119&amp;J$7,AGR!$E$46:$L$46&amp;AGR!$E$48:$L$48,0)),""))</f>
        <v>0</v>
      </c>
      <c r="K119" s="296" t="str">
        <f t="array" aca="1" ref="K119" ca="1">IF($A119="*","",IFERROR(INDEX(AGR!$E$52:$L$73,MATCH('TS DTech'!$C119,AGR!$B$52:$B$73,0),MATCH('TS DTech'!$B119&amp;K$7,AGR!$E$46:$L$46&amp;AGR!$E$48:$L$48,0)),""))</f>
        <v/>
      </c>
      <c r="L119" s="296" t="str">
        <f t="array" aca="1" ref="L119" ca="1">IF($A119="*","",IFERROR(INDEX(AGR!$E$52:$L$73,MATCH('TS DTech'!$C119,AGR!$B$52:$B$73,0),MATCH('TS DTech'!$B119&amp;L$7,AGR!$E$46:$L$46&amp;AGR!$E$48:$L$48,0)),""))</f>
        <v/>
      </c>
      <c r="M119" s="296" t="str">
        <f t="array" aca="1" ref="M119" ca="1">IF($A119="*","",IFERROR(INDEX(AGR!$E$52:$L$73,MATCH('TS DTech'!$C119,AGR!$B$52:$B$73,0),MATCH('TS DTech'!$B119&amp;M$7,AGR!$E$46:$L$46&amp;AGR!$E$48:$L$48,0)),""))</f>
        <v/>
      </c>
      <c r="N119" s="296" t="str">
        <f t="array" aca="1" ref="N119" ca="1">IF($A119="*","",IFERROR(INDEX(AGR!$E$52:$L$73,MATCH('TS DTech'!$C119,AGR!$B$52:$B$73,0),MATCH('TS DTech'!$B119&amp;N$7,AGR!$E$46:$L$46&amp;AGR!$E$48:$L$48,0)),""))</f>
        <v/>
      </c>
      <c r="O119" s="296">
        <f t="array" aca="1" ref="O119" ca="1">IF($A119="*","",IFERROR(INDEX(AGR!$E$52:$L$73,MATCH('TS DTech'!$C119,AGR!$B$52:$B$73,0),MATCH('TS DTech'!$B119&amp;O$7,AGR!$E$46:$L$46&amp;AGR!$E$48:$L$48,0)),""))</f>
        <v>0</v>
      </c>
      <c r="P119" s="296" t="str">
        <f t="array" aca="1" ref="P119" ca="1">IF($A119="*","",IFERROR(INDEX(AGR!$E$52:$L$73,MATCH('TS DTech'!$C119,AGR!$B$52:$B$73,0),MATCH('TS DTech'!$B119&amp;P$7,AGR!$E$46:$L$46&amp;AGR!$E$48:$L$48,0)),""))</f>
        <v/>
      </c>
      <c r="Q119" s="296" t="str">
        <f t="array" aca="1" ref="Q119" ca="1">IF($A119="*","",IFERROR(INDEX(AGR!$E$52:$L$73,MATCH('TS DTech'!$C119,AGR!$B$52:$B$73,0),MATCH('TS DTech'!$B119&amp;Q$7,AGR!$E$46:$L$46&amp;AGR!$E$48:$L$48,0)),""))</f>
        <v/>
      </c>
      <c r="R119" s="296" t="str">
        <f t="array" aca="1" ref="R119" ca="1">IF($A119="*","",IFERROR(INDEX(AGR!$E$52:$L$73,MATCH('TS DTech'!$C119,AGR!$B$52:$B$73,0),MATCH('TS DTech'!$B119&amp;R$7,AGR!$E$46:$L$46&amp;AGR!$E$48:$L$48,0)),""))</f>
        <v/>
      </c>
      <c r="S119" s="296" t="str">
        <f t="array" aca="1" ref="S119" ca="1">IF($A119="*","",IFERROR(INDEX(AGR!$E$52:$L$73,MATCH('TS DTech'!$C119,AGR!$B$52:$B$73,0),MATCH('TS DTech'!$B119&amp;S$7,AGR!$E$46:$L$46&amp;AGR!$E$48:$L$48,0)),""))</f>
        <v/>
      </c>
      <c r="T119" s="296" t="str">
        <f t="array" aca="1" ref="T119" ca="1">IF($A119="*","",IFERROR(INDEX(AGR!$E$52:$L$73,MATCH('TS DTech'!$C119,AGR!$B$52:$B$73,0),MATCH('TS DTech'!$B119&amp;T$7,AGR!$E$46:$L$46&amp;AGR!$E$48:$L$48,0)),""))</f>
        <v/>
      </c>
      <c r="U119" s="296" t="str">
        <f t="array" aca="1" ref="U119" ca="1">IF($A119="*","",IFERROR(INDEX(AGR!$E$52:$L$73,MATCH('TS DTech'!$C119,AGR!$B$52:$B$73,0),MATCH('TS DTech'!$B119&amp;U$7,AGR!$E$46:$L$46&amp;AGR!$E$48:$L$48,0)),""))</f>
        <v/>
      </c>
      <c r="V119" s="296" t="str">
        <f t="array" aca="1" ref="V119" ca="1">IF($A119="*","",IFERROR(INDEX(AGR!$E$52:$L$73,MATCH('TS DTech'!$C119,AGR!$B$52:$B$73,0),MATCH('TS DTech'!$B119&amp;V$7,AGR!$E$46:$L$46&amp;AGR!$E$48:$L$48,0)),""))</f>
        <v/>
      </c>
      <c r="W119" s="296" t="str">
        <f t="array" aca="1" ref="W119" ca="1">IF($A119="*","",IFERROR(INDEX(AGR!$E$52:$L$73,MATCH('TS DTech'!$C119,AGR!$B$52:$B$73,0),MATCH('TS DTech'!$B119&amp;W$7,AGR!$E$46:$L$46&amp;AGR!$E$48:$L$48,0)),""))</f>
        <v/>
      </c>
      <c r="X119" s="296" t="str">
        <f t="array" aca="1" ref="X119" ca="1">IF($A119="*","",IFERROR(INDEX(AGR!$E$52:$L$73,MATCH('TS DTech'!$C119,AGR!$B$52:$B$73,0),MATCH('TS DTech'!$B119&amp;X$7,AGR!$E$46:$L$46&amp;AGR!$E$48:$L$48,0)),""))</f>
        <v/>
      </c>
      <c r="Y119" s="296" t="str">
        <f t="array" aca="1" ref="Y119" ca="1">IF($A119="*","",IFERROR(INDEX(AGR!$E$52:$L$73,MATCH('TS DTech'!$C119,AGR!$B$52:$B$73,0),MATCH('TS DTech'!$B119&amp;Y$7,AGR!$E$46:$L$46&amp;AGR!$E$48:$L$48,0)),""))</f>
        <v/>
      </c>
      <c r="Z119" s="296" t="str">
        <f t="array" aca="1" ref="Z119" ca="1">IF($A119="*","",IFERROR(INDEX(AGR!$E$52:$L$73,MATCH('TS DTech'!$C119,AGR!$B$52:$B$73,0),MATCH('TS DTech'!$B119&amp;Z$7,AGR!$E$46:$L$46&amp;AGR!$E$48:$L$48,0)),""))</f>
        <v/>
      </c>
      <c r="AA119" s="296" t="str">
        <f t="array" aca="1" ref="AA119" ca="1">IF($A119="*","",IFERROR(INDEX(AGR!$E$52:$L$73,MATCH('TS DTech'!$C119,AGR!$B$52:$B$73,0),MATCH('TS DTech'!$B119&amp;AA$7,AGR!$E$46:$L$46&amp;AGR!$E$48:$L$48,0)),""))</f>
        <v/>
      </c>
      <c r="AB119" s="296" t="str">
        <f t="array" aca="1" ref="AB119" ca="1">IF($A119="*","",IFERROR(INDEX(AGR!$E$52:$L$73,MATCH('TS DTech'!$C119,AGR!$B$52:$B$73,0),MATCH('TS DTech'!$B119&amp;AB$7,AGR!$E$46:$L$46&amp;AGR!$E$48:$L$48,0)),""))</f>
        <v/>
      </c>
      <c r="AC119" s="296" t="str">
        <f t="array" aca="1" ref="AC119" ca="1">IF($A119="*","",IFERROR(INDEX(AGR!$E$52:$L$73,MATCH('TS DTech'!$C119,AGR!$B$52:$B$73,0),MATCH('TS DTech'!$B119&amp;AC$7,AGR!$E$46:$L$46&amp;AGR!$E$48:$L$48,0)),""))</f>
        <v/>
      </c>
      <c r="AD119" s="296" t="str">
        <f t="array" aca="1" ref="AD119" ca="1">IF($A119="*","",IFERROR(INDEX(AGR!$E$52:$L$73,MATCH('TS DTech'!$C119,AGR!$B$52:$B$73,0),MATCH('TS DTech'!$B119&amp;AD$7,AGR!$E$46:$L$46&amp;AGR!$E$48:$L$48,0)),""))</f>
        <v/>
      </c>
      <c r="AE119" s="296" t="str">
        <f t="array" aca="1" ref="AE119" ca="1">IF($A119="*","",IFERROR(INDEX(AGR!$E$52:$L$73,MATCH('TS DTech'!$C119,AGR!$B$52:$B$73,0),MATCH('TS DTech'!$B119&amp;AE$7,AGR!$E$46:$L$46&amp;AGR!$E$48:$L$48,0)),""))</f>
        <v/>
      </c>
      <c r="AF119" s="296" t="str">
        <f t="array" aca="1" ref="AF119" ca="1">IF($A119="*","",IFERROR(INDEX(AGR!$E$52:$L$73,MATCH('TS DTech'!$C119,AGR!$B$52:$B$73,0),MATCH('TS DTech'!$B119&amp;AF$7,AGR!$E$46:$L$46&amp;AGR!$E$48:$L$48,0)),""))</f>
        <v/>
      </c>
      <c r="AG119" s="296" t="str">
        <f t="array" aca="1" ref="AG119" ca="1">IF($A119="*","",IFERROR(INDEX(AGR!$E$52:$L$73,MATCH('TS DTech'!$C119,AGR!$B$52:$B$73,0),MATCH('TS DTech'!$B119&amp;AG$7,AGR!$E$46:$L$46&amp;AGR!$E$48:$L$48,0)),""))</f>
        <v/>
      </c>
      <c r="AH119" s="296" t="str">
        <f t="array" aca="1" ref="AH119" ca="1">IF($A119="*","",IFERROR(INDEX(AGR!$E$52:$L$73,MATCH('TS DTech'!$C119,AGR!$B$52:$B$73,0),MATCH('TS DTech'!$B119&amp;AH$7,AGR!$E$46:$L$46&amp;AGR!$E$48:$L$48,0)),""))</f>
        <v/>
      </c>
      <c r="AI119" s="296" t="str">
        <f t="array" aca="1" ref="AI119" ca="1">IF($A119="*","",IFERROR(INDEX(AGR!$E$52:$L$73,MATCH('TS DTech'!$C119,AGR!$B$52:$B$73,0),MATCH('TS DTech'!$B119&amp;AI$7,AGR!$E$46:$L$46&amp;AGR!$E$48:$L$48,0)),""))</f>
        <v/>
      </c>
      <c r="AJ119" s="296" t="str">
        <f t="array" aca="1" ref="AJ119" ca="1">IF($A119="*","",IFERROR(INDEX(AGR!$E$52:$L$73,MATCH('TS DTech'!$C119,AGR!$B$52:$B$73,0),MATCH('TS DTech'!$B119&amp;AJ$7,AGR!$E$46:$L$46&amp;AGR!$E$48:$L$48,0)),""))</f>
        <v/>
      </c>
      <c r="AK119" s="296" t="str">
        <f t="array" aca="1" ref="AK119" ca="1">IF($A119="*","",IFERROR(INDEX(AGR!$E$52:$L$73,MATCH('TS DTech'!$C119,AGR!$B$52:$B$73,0),MATCH('TS DTech'!$B119&amp;AK$7,AGR!$E$46:$L$46&amp;AGR!$E$48:$L$48,0)),""))</f>
        <v/>
      </c>
      <c r="AL119" s="296" t="str">
        <f t="array" aca="1" ref="AL119" ca="1">IF($A119="*","",IFERROR(INDEX(AGR!$E$52:$L$73,MATCH('TS DTech'!$C119,AGR!$B$52:$B$73,0),MATCH('TS DTech'!$B119&amp;AL$7,AGR!$E$46:$L$46&amp;AGR!$E$48:$L$48,0)),""))</f>
        <v/>
      </c>
      <c r="AM119" s="296" t="str">
        <f t="array" aca="1" ref="AM119" ca="1">IF($A119="*","",IFERROR(INDEX(AGR!$E$52:$L$73,MATCH('TS DTech'!$C119,AGR!$B$52:$B$73,0),MATCH('TS DTech'!$B119&amp;AM$7,AGR!$E$46:$L$46&amp;AGR!$E$48:$L$48,0)),""))</f>
        <v/>
      </c>
      <c r="AN119" s="296" t="str">
        <f t="array" aca="1" ref="AN119" ca="1">IF($A119="*","",IFERROR(INDEX(AGR!$E$52:$L$73,MATCH('TS DTech'!$C119,AGR!$B$52:$B$73,0),MATCH('TS DTech'!$B119&amp;AN$7,AGR!$E$46:$L$46&amp;AGR!$E$48:$L$48,0)),""))</f>
        <v/>
      </c>
      <c r="AO119" s="296" t="str">
        <f t="array" aca="1" ref="AO119" ca="1">IF($A119="*","",IFERROR(INDEX(AGR!$E$52:$L$73,MATCH('TS DTech'!$C119,AGR!$B$52:$B$73,0),MATCH('TS DTech'!$B119&amp;AO$7,AGR!$E$46:$L$46&amp;AGR!$E$48:$L$48,0)),""))</f>
        <v/>
      </c>
      <c r="AP119" s="296" t="str">
        <f t="array" aca="1" ref="AP119" ca="1">IF($A119="*","",IFERROR(INDEX(AGR!$E$52:$L$73,MATCH('TS DTech'!$C119,AGR!$B$52:$B$73,0),MATCH('TS DTech'!$B119&amp;AP$7,AGR!$E$46:$L$46&amp;AGR!$E$48:$L$48,0)),""))</f>
        <v/>
      </c>
      <c r="AQ119" s="137">
        <f>IF(AR118=AGR!$AD$74,AQ118+1,AQ118)</f>
        <v>5</v>
      </c>
      <c r="AR119" s="137">
        <f t="shared" si="11"/>
        <v>12</v>
      </c>
    </row>
    <row r="120" spans="1:44">
      <c r="A120" s="137" t="str">
        <f ca="1">IF(LEFT(OFFSET(AGR!$A$51,AR120,0),2)="\I","*","")</f>
        <v/>
      </c>
      <c r="B120" s="212" t="str">
        <f t="shared" ca="1" si="10"/>
        <v>PRC_RESID</v>
      </c>
      <c r="C120" s="212" t="str">
        <f ca="1">IF($A120="*","",OFFSET(AGR!$B$51,AR120,0))</f>
        <v>ATOGS-E</v>
      </c>
      <c r="D120" s="212" t="str">
        <f t="shared" ca="1" si="12"/>
        <v>-</v>
      </c>
      <c r="E120" s="212" t="str">
        <f t="shared" ca="1" si="12"/>
        <v>-</v>
      </c>
      <c r="F120" s="212" t="str">
        <f t="shared" ca="1" si="12"/>
        <v>-</v>
      </c>
      <c r="G120" s="212" t="str">
        <f t="shared" ca="1" si="12"/>
        <v>-</v>
      </c>
      <c r="H120" s="212" t="str">
        <f t="shared" ca="1" si="12"/>
        <v>-</v>
      </c>
      <c r="I120" s="213">
        <f t="shared" ca="1" si="12"/>
        <v>0</v>
      </c>
      <c r="J120" s="296">
        <f t="array" aca="1" ref="J120" ca="1">IF($A120="*","",IFERROR(INDEX(AGR!$E$52:$L$73,MATCH('TS DTech'!$C120,AGR!$B$52:$B$73,0),MATCH('TS DTech'!$B120&amp;J$7,AGR!$E$46:$L$46&amp;AGR!$E$48:$L$48,0)),""))</f>
        <v>0</v>
      </c>
      <c r="K120" s="296" t="str">
        <f t="array" aca="1" ref="K120" ca="1">IF($A120="*","",IFERROR(INDEX(AGR!$E$52:$L$73,MATCH('TS DTech'!$C120,AGR!$B$52:$B$73,0),MATCH('TS DTech'!$B120&amp;K$7,AGR!$E$46:$L$46&amp;AGR!$E$48:$L$48,0)),""))</f>
        <v/>
      </c>
      <c r="L120" s="296" t="str">
        <f t="array" aca="1" ref="L120" ca="1">IF($A120="*","",IFERROR(INDEX(AGR!$E$52:$L$73,MATCH('TS DTech'!$C120,AGR!$B$52:$B$73,0),MATCH('TS DTech'!$B120&amp;L$7,AGR!$E$46:$L$46&amp;AGR!$E$48:$L$48,0)),""))</f>
        <v/>
      </c>
      <c r="M120" s="296" t="str">
        <f t="array" aca="1" ref="M120" ca="1">IF($A120="*","",IFERROR(INDEX(AGR!$E$52:$L$73,MATCH('TS DTech'!$C120,AGR!$B$52:$B$73,0),MATCH('TS DTech'!$B120&amp;M$7,AGR!$E$46:$L$46&amp;AGR!$E$48:$L$48,0)),""))</f>
        <v/>
      </c>
      <c r="N120" s="296" t="str">
        <f t="array" aca="1" ref="N120" ca="1">IF($A120="*","",IFERROR(INDEX(AGR!$E$52:$L$73,MATCH('TS DTech'!$C120,AGR!$B$52:$B$73,0),MATCH('TS DTech'!$B120&amp;N$7,AGR!$E$46:$L$46&amp;AGR!$E$48:$L$48,0)),""))</f>
        <v/>
      </c>
      <c r="O120" s="296">
        <f t="array" aca="1" ref="O120" ca="1">IF($A120="*","",IFERROR(INDEX(AGR!$E$52:$L$73,MATCH('TS DTech'!$C120,AGR!$B$52:$B$73,0),MATCH('TS DTech'!$B120&amp;O$7,AGR!$E$46:$L$46&amp;AGR!$E$48:$L$48,0)),""))</f>
        <v>0</v>
      </c>
      <c r="P120" s="296" t="str">
        <f t="array" aca="1" ref="P120" ca="1">IF($A120="*","",IFERROR(INDEX(AGR!$E$52:$L$73,MATCH('TS DTech'!$C120,AGR!$B$52:$B$73,0),MATCH('TS DTech'!$B120&amp;P$7,AGR!$E$46:$L$46&amp;AGR!$E$48:$L$48,0)),""))</f>
        <v/>
      </c>
      <c r="Q120" s="296" t="str">
        <f t="array" aca="1" ref="Q120" ca="1">IF($A120="*","",IFERROR(INDEX(AGR!$E$52:$L$73,MATCH('TS DTech'!$C120,AGR!$B$52:$B$73,0),MATCH('TS DTech'!$B120&amp;Q$7,AGR!$E$46:$L$46&amp;AGR!$E$48:$L$48,0)),""))</f>
        <v/>
      </c>
      <c r="R120" s="296" t="str">
        <f t="array" aca="1" ref="R120" ca="1">IF($A120="*","",IFERROR(INDEX(AGR!$E$52:$L$73,MATCH('TS DTech'!$C120,AGR!$B$52:$B$73,0),MATCH('TS DTech'!$B120&amp;R$7,AGR!$E$46:$L$46&amp;AGR!$E$48:$L$48,0)),""))</f>
        <v/>
      </c>
      <c r="S120" s="296" t="str">
        <f t="array" aca="1" ref="S120" ca="1">IF($A120="*","",IFERROR(INDEX(AGR!$E$52:$L$73,MATCH('TS DTech'!$C120,AGR!$B$52:$B$73,0),MATCH('TS DTech'!$B120&amp;S$7,AGR!$E$46:$L$46&amp;AGR!$E$48:$L$48,0)),""))</f>
        <v/>
      </c>
      <c r="T120" s="296" t="str">
        <f t="array" aca="1" ref="T120" ca="1">IF($A120="*","",IFERROR(INDEX(AGR!$E$52:$L$73,MATCH('TS DTech'!$C120,AGR!$B$52:$B$73,0),MATCH('TS DTech'!$B120&amp;T$7,AGR!$E$46:$L$46&amp;AGR!$E$48:$L$48,0)),""))</f>
        <v/>
      </c>
      <c r="U120" s="296" t="str">
        <f t="array" aca="1" ref="U120" ca="1">IF($A120="*","",IFERROR(INDEX(AGR!$E$52:$L$73,MATCH('TS DTech'!$C120,AGR!$B$52:$B$73,0),MATCH('TS DTech'!$B120&amp;U$7,AGR!$E$46:$L$46&amp;AGR!$E$48:$L$48,0)),""))</f>
        <v/>
      </c>
      <c r="V120" s="296" t="str">
        <f t="array" aca="1" ref="V120" ca="1">IF($A120="*","",IFERROR(INDEX(AGR!$E$52:$L$73,MATCH('TS DTech'!$C120,AGR!$B$52:$B$73,0),MATCH('TS DTech'!$B120&amp;V$7,AGR!$E$46:$L$46&amp;AGR!$E$48:$L$48,0)),""))</f>
        <v/>
      </c>
      <c r="W120" s="296" t="str">
        <f t="array" aca="1" ref="W120" ca="1">IF($A120="*","",IFERROR(INDEX(AGR!$E$52:$L$73,MATCH('TS DTech'!$C120,AGR!$B$52:$B$73,0),MATCH('TS DTech'!$B120&amp;W$7,AGR!$E$46:$L$46&amp;AGR!$E$48:$L$48,0)),""))</f>
        <v/>
      </c>
      <c r="X120" s="296" t="str">
        <f t="array" aca="1" ref="X120" ca="1">IF($A120="*","",IFERROR(INDEX(AGR!$E$52:$L$73,MATCH('TS DTech'!$C120,AGR!$B$52:$B$73,0),MATCH('TS DTech'!$B120&amp;X$7,AGR!$E$46:$L$46&amp;AGR!$E$48:$L$48,0)),""))</f>
        <v/>
      </c>
      <c r="Y120" s="296" t="str">
        <f t="array" aca="1" ref="Y120" ca="1">IF($A120="*","",IFERROR(INDEX(AGR!$E$52:$L$73,MATCH('TS DTech'!$C120,AGR!$B$52:$B$73,0),MATCH('TS DTech'!$B120&amp;Y$7,AGR!$E$46:$L$46&amp;AGR!$E$48:$L$48,0)),""))</f>
        <v/>
      </c>
      <c r="Z120" s="296" t="str">
        <f t="array" aca="1" ref="Z120" ca="1">IF($A120="*","",IFERROR(INDEX(AGR!$E$52:$L$73,MATCH('TS DTech'!$C120,AGR!$B$52:$B$73,0),MATCH('TS DTech'!$B120&amp;Z$7,AGR!$E$46:$L$46&amp;AGR!$E$48:$L$48,0)),""))</f>
        <v/>
      </c>
      <c r="AA120" s="296" t="str">
        <f t="array" aca="1" ref="AA120" ca="1">IF($A120="*","",IFERROR(INDEX(AGR!$E$52:$L$73,MATCH('TS DTech'!$C120,AGR!$B$52:$B$73,0),MATCH('TS DTech'!$B120&amp;AA$7,AGR!$E$46:$L$46&amp;AGR!$E$48:$L$48,0)),""))</f>
        <v/>
      </c>
      <c r="AB120" s="296" t="str">
        <f t="array" aca="1" ref="AB120" ca="1">IF($A120="*","",IFERROR(INDEX(AGR!$E$52:$L$73,MATCH('TS DTech'!$C120,AGR!$B$52:$B$73,0),MATCH('TS DTech'!$B120&amp;AB$7,AGR!$E$46:$L$46&amp;AGR!$E$48:$L$48,0)),""))</f>
        <v/>
      </c>
      <c r="AC120" s="296" t="str">
        <f t="array" aca="1" ref="AC120" ca="1">IF($A120="*","",IFERROR(INDEX(AGR!$E$52:$L$73,MATCH('TS DTech'!$C120,AGR!$B$52:$B$73,0),MATCH('TS DTech'!$B120&amp;AC$7,AGR!$E$46:$L$46&amp;AGR!$E$48:$L$48,0)),""))</f>
        <v/>
      </c>
      <c r="AD120" s="296" t="str">
        <f t="array" aca="1" ref="AD120" ca="1">IF($A120="*","",IFERROR(INDEX(AGR!$E$52:$L$73,MATCH('TS DTech'!$C120,AGR!$B$52:$B$73,0),MATCH('TS DTech'!$B120&amp;AD$7,AGR!$E$46:$L$46&amp;AGR!$E$48:$L$48,0)),""))</f>
        <v/>
      </c>
      <c r="AE120" s="296" t="str">
        <f t="array" aca="1" ref="AE120" ca="1">IF($A120="*","",IFERROR(INDEX(AGR!$E$52:$L$73,MATCH('TS DTech'!$C120,AGR!$B$52:$B$73,0),MATCH('TS DTech'!$B120&amp;AE$7,AGR!$E$46:$L$46&amp;AGR!$E$48:$L$48,0)),""))</f>
        <v/>
      </c>
      <c r="AF120" s="296" t="str">
        <f t="array" aca="1" ref="AF120" ca="1">IF($A120="*","",IFERROR(INDEX(AGR!$E$52:$L$73,MATCH('TS DTech'!$C120,AGR!$B$52:$B$73,0),MATCH('TS DTech'!$B120&amp;AF$7,AGR!$E$46:$L$46&amp;AGR!$E$48:$L$48,0)),""))</f>
        <v/>
      </c>
      <c r="AG120" s="296" t="str">
        <f t="array" aca="1" ref="AG120" ca="1">IF($A120="*","",IFERROR(INDEX(AGR!$E$52:$L$73,MATCH('TS DTech'!$C120,AGR!$B$52:$B$73,0),MATCH('TS DTech'!$B120&amp;AG$7,AGR!$E$46:$L$46&amp;AGR!$E$48:$L$48,0)),""))</f>
        <v/>
      </c>
      <c r="AH120" s="296" t="str">
        <f t="array" aca="1" ref="AH120" ca="1">IF($A120="*","",IFERROR(INDEX(AGR!$E$52:$L$73,MATCH('TS DTech'!$C120,AGR!$B$52:$B$73,0),MATCH('TS DTech'!$B120&amp;AH$7,AGR!$E$46:$L$46&amp;AGR!$E$48:$L$48,0)),""))</f>
        <v/>
      </c>
      <c r="AI120" s="296" t="str">
        <f t="array" aca="1" ref="AI120" ca="1">IF($A120="*","",IFERROR(INDEX(AGR!$E$52:$L$73,MATCH('TS DTech'!$C120,AGR!$B$52:$B$73,0),MATCH('TS DTech'!$B120&amp;AI$7,AGR!$E$46:$L$46&amp;AGR!$E$48:$L$48,0)),""))</f>
        <v/>
      </c>
      <c r="AJ120" s="296" t="str">
        <f t="array" aca="1" ref="AJ120" ca="1">IF($A120="*","",IFERROR(INDEX(AGR!$E$52:$L$73,MATCH('TS DTech'!$C120,AGR!$B$52:$B$73,0),MATCH('TS DTech'!$B120&amp;AJ$7,AGR!$E$46:$L$46&amp;AGR!$E$48:$L$48,0)),""))</f>
        <v/>
      </c>
      <c r="AK120" s="296" t="str">
        <f t="array" aca="1" ref="AK120" ca="1">IF($A120="*","",IFERROR(INDEX(AGR!$E$52:$L$73,MATCH('TS DTech'!$C120,AGR!$B$52:$B$73,0),MATCH('TS DTech'!$B120&amp;AK$7,AGR!$E$46:$L$46&amp;AGR!$E$48:$L$48,0)),""))</f>
        <v/>
      </c>
      <c r="AL120" s="296" t="str">
        <f t="array" aca="1" ref="AL120" ca="1">IF($A120="*","",IFERROR(INDEX(AGR!$E$52:$L$73,MATCH('TS DTech'!$C120,AGR!$B$52:$B$73,0),MATCH('TS DTech'!$B120&amp;AL$7,AGR!$E$46:$L$46&amp;AGR!$E$48:$L$48,0)),""))</f>
        <v/>
      </c>
      <c r="AM120" s="296" t="str">
        <f t="array" aca="1" ref="AM120" ca="1">IF($A120="*","",IFERROR(INDEX(AGR!$E$52:$L$73,MATCH('TS DTech'!$C120,AGR!$B$52:$B$73,0),MATCH('TS DTech'!$B120&amp;AM$7,AGR!$E$46:$L$46&amp;AGR!$E$48:$L$48,0)),""))</f>
        <v/>
      </c>
      <c r="AN120" s="296" t="str">
        <f t="array" aca="1" ref="AN120" ca="1">IF($A120="*","",IFERROR(INDEX(AGR!$E$52:$L$73,MATCH('TS DTech'!$C120,AGR!$B$52:$B$73,0),MATCH('TS DTech'!$B120&amp;AN$7,AGR!$E$46:$L$46&amp;AGR!$E$48:$L$48,0)),""))</f>
        <v/>
      </c>
      <c r="AO120" s="296" t="str">
        <f t="array" aca="1" ref="AO120" ca="1">IF($A120="*","",IFERROR(INDEX(AGR!$E$52:$L$73,MATCH('TS DTech'!$C120,AGR!$B$52:$B$73,0),MATCH('TS DTech'!$B120&amp;AO$7,AGR!$E$46:$L$46&amp;AGR!$E$48:$L$48,0)),""))</f>
        <v/>
      </c>
      <c r="AP120" s="296" t="str">
        <f t="array" aca="1" ref="AP120" ca="1">IF($A120="*","",IFERROR(INDEX(AGR!$E$52:$L$73,MATCH('TS DTech'!$C120,AGR!$B$52:$B$73,0),MATCH('TS DTech'!$B120&amp;AP$7,AGR!$E$46:$L$46&amp;AGR!$E$48:$L$48,0)),""))</f>
        <v/>
      </c>
      <c r="AQ120" s="137">
        <f>IF(AR119=AGR!$AD$74,AQ119+1,AQ119)</f>
        <v>5</v>
      </c>
      <c r="AR120" s="137">
        <f t="shared" si="11"/>
        <v>13</v>
      </c>
    </row>
    <row r="121" spans="1:44">
      <c r="A121" s="137" t="str">
        <f ca="1">IF(LEFT(OFFSET(AGR!$A$51,AR121,0),2)="\I","*","")</f>
        <v>*</v>
      </c>
      <c r="B121" s="212" t="str">
        <f t="shared" ca="1" si="10"/>
        <v/>
      </c>
      <c r="C121" s="212" t="str">
        <f ca="1">IF($A121="*","",OFFSET(AGR!$B$51,AR121,0))</f>
        <v/>
      </c>
      <c r="D121" s="212" t="str">
        <f t="shared" ca="1" si="12"/>
        <v/>
      </c>
      <c r="E121" s="212" t="str">
        <f t="shared" ca="1" si="12"/>
        <v/>
      </c>
      <c r="F121" s="212" t="str">
        <f t="shared" ca="1" si="12"/>
        <v/>
      </c>
      <c r="G121" s="212" t="str">
        <f t="shared" ca="1" si="12"/>
        <v/>
      </c>
      <c r="H121" s="212" t="str">
        <f t="shared" ca="1" si="12"/>
        <v/>
      </c>
      <c r="I121" s="213" t="str">
        <f t="shared" ca="1" si="12"/>
        <v/>
      </c>
      <c r="J121" s="296" t="str">
        <f t="array" aca="1" ref="J121" ca="1">IF($A121="*","",IFERROR(INDEX(AGR!$E$52:$L$73,MATCH('TS DTech'!$C121,AGR!$B$52:$B$73,0),MATCH('TS DTech'!$B121&amp;J$7,AGR!$E$46:$L$46&amp;AGR!$E$48:$L$48,0)),""))</f>
        <v/>
      </c>
      <c r="K121" s="296" t="str">
        <f t="array" aca="1" ref="K121" ca="1">IF($A121="*","",IFERROR(INDEX(AGR!$E$52:$L$73,MATCH('TS DTech'!$C121,AGR!$B$52:$B$73,0),MATCH('TS DTech'!$B121&amp;K$7,AGR!$E$46:$L$46&amp;AGR!$E$48:$L$48,0)),""))</f>
        <v/>
      </c>
      <c r="L121" s="296" t="str">
        <f t="array" aca="1" ref="L121" ca="1">IF($A121="*","",IFERROR(INDEX(AGR!$E$52:$L$73,MATCH('TS DTech'!$C121,AGR!$B$52:$B$73,0),MATCH('TS DTech'!$B121&amp;L$7,AGR!$E$46:$L$46&amp;AGR!$E$48:$L$48,0)),""))</f>
        <v/>
      </c>
      <c r="M121" s="296" t="str">
        <f t="array" aca="1" ref="M121" ca="1">IF($A121="*","",IFERROR(INDEX(AGR!$E$52:$L$73,MATCH('TS DTech'!$C121,AGR!$B$52:$B$73,0),MATCH('TS DTech'!$B121&amp;M$7,AGR!$E$46:$L$46&amp;AGR!$E$48:$L$48,0)),""))</f>
        <v/>
      </c>
      <c r="N121" s="296" t="str">
        <f t="array" aca="1" ref="N121" ca="1">IF($A121="*","",IFERROR(INDEX(AGR!$E$52:$L$73,MATCH('TS DTech'!$C121,AGR!$B$52:$B$73,0),MATCH('TS DTech'!$B121&amp;N$7,AGR!$E$46:$L$46&amp;AGR!$E$48:$L$48,0)),""))</f>
        <v/>
      </c>
      <c r="O121" s="296" t="str">
        <f t="array" aca="1" ref="O121" ca="1">IF($A121="*","",IFERROR(INDEX(AGR!$E$52:$L$73,MATCH('TS DTech'!$C121,AGR!$B$52:$B$73,0),MATCH('TS DTech'!$B121&amp;O$7,AGR!$E$46:$L$46&amp;AGR!$E$48:$L$48,0)),""))</f>
        <v/>
      </c>
      <c r="P121" s="296" t="str">
        <f t="array" aca="1" ref="P121" ca="1">IF($A121="*","",IFERROR(INDEX(AGR!$E$52:$L$73,MATCH('TS DTech'!$C121,AGR!$B$52:$B$73,0),MATCH('TS DTech'!$B121&amp;P$7,AGR!$E$46:$L$46&amp;AGR!$E$48:$L$48,0)),""))</f>
        <v/>
      </c>
      <c r="Q121" s="296" t="str">
        <f t="array" aca="1" ref="Q121" ca="1">IF($A121="*","",IFERROR(INDEX(AGR!$E$52:$L$73,MATCH('TS DTech'!$C121,AGR!$B$52:$B$73,0),MATCH('TS DTech'!$B121&amp;Q$7,AGR!$E$46:$L$46&amp;AGR!$E$48:$L$48,0)),""))</f>
        <v/>
      </c>
      <c r="R121" s="296" t="str">
        <f t="array" aca="1" ref="R121" ca="1">IF($A121="*","",IFERROR(INDEX(AGR!$E$52:$L$73,MATCH('TS DTech'!$C121,AGR!$B$52:$B$73,0),MATCH('TS DTech'!$B121&amp;R$7,AGR!$E$46:$L$46&amp;AGR!$E$48:$L$48,0)),""))</f>
        <v/>
      </c>
      <c r="S121" s="296" t="str">
        <f t="array" aca="1" ref="S121" ca="1">IF($A121="*","",IFERROR(INDEX(AGR!$E$52:$L$73,MATCH('TS DTech'!$C121,AGR!$B$52:$B$73,0),MATCH('TS DTech'!$B121&amp;S$7,AGR!$E$46:$L$46&amp;AGR!$E$48:$L$48,0)),""))</f>
        <v/>
      </c>
      <c r="T121" s="296" t="str">
        <f t="array" aca="1" ref="T121" ca="1">IF($A121="*","",IFERROR(INDEX(AGR!$E$52:$L$73,MATCH('TS DTech'!$C121,AGR!$B$52:$B$73,0),MATCH('TS DTech'!$B121&amp;T$7,AGR!$E$46:$L$46&amp;AGR!$E$48:$L$48,0)),""))</f>
        <v/>
      </c>
      <c r="U121" s="296" t="str">
        <f t="array" aca="1" ref="U121" ca="1">IF($A121="*","",IFERROR(INDEX(AGR!$E$52:$L$73,MATCH('TS DTech'!$C121,AGR!$B$52:$B$73,0),MATCH('TS DTech'!$B121&amp;U$7,AGR!$E$46:$L$46&amp;AGR!$E$48:$L$48,0)),""))</f>
        <v/>
      </c>
      <c r="V121" s="296" t="str">
        <f t="array" aca="1" ref="V121" ca="1">IF($A121="*","",IFERROR(INDEX(AGR!$E$52:$L$73,MATCH('TS DTech'!$C121,AGR!$B$52:$B$73,0),MATCH('TS DTech'!$B121&amp;V$7,AGR!$E$46:$L$46&amp;AGR!$E$48:$L$48,0)),""))</f>
        <v/>
      </c>
      <c r="W121" s="296" t="str">
        <f t="array" aca="1" ref="W121" ca="1">IF($A121="*","",IFERROR(INDEX(AGR!$E$52:$L$73,MATCH('TS DTech'!$C121,AGR!$B$52:$B$73,0),MATCH('TS DTech'!$B121&amp;W$7,AGR!$E$46:$L$46&amp;AGR!$E$48:$L$48,0)),""))</f>
        <v/>
      </c>
      <c r="X121" s="296" t="str">
        <f t="array" aca="1" ref="X121" ca="1">IF($A121="*","",IFERROR(INDEX(AGR!$E$52:$L$73,MATCH('TS DTech'!$C121,AGR!$B$52:$B$73,0),MATCH('TS DTech'!$B121&amp;X$7,AGR!$E$46:$L$46&amp;AGR!$E$48:$L$48,0)),""))</f>
        <v/>
      </c>
      <c r="Y121" s="296" t="str">
        <f t="array" aca="1" ref="Y121" ca="1">IF($A121="*","",IFERROR(INDEX(AGR!$E$52:$L$73,MATCH('TS DTech'!$C121,AGR!$B$52:$B$73,0),MATCH('TS DTech'!$B121&amp;Y$7,AGR!$E$46:$L$46&amp;AGR!$E$48:$L$48,0)),""))</f>
        <v/>
      </c>
      <c r="Z121" s="296" t="str">
        <f t="array" aca="1" ref="Z121" ca="1">IF($A121="*","",IFERROR(INDEX(AGR!$E$52:$L$73,MATCH('TS DTech'!$C121,AGR!$B$52:$B$73,0),MATCH('TS DTech'!$B121&amp;Z$7,AGR!$E$46:$L$46&amp;AGR!$E$48:$L$48,0)),""))</f>
        <v/>
      </c>
      <c r="AA121" s="296" t="str">
        <f t="array" aca="1" ref="AA121" ca="1">IF($A121="*","",IFERROR(INDEX(AGR!$E$52:$L$73,MATCH('TS DTech'!$C121,AGR!$B$52:$B$73,0),MATCH('TS DTech'!$B121&amp;AA$7,AGR!$E$46:$L$46&amp;AGR!$E$48:$L$48,0)),""))</f>
        <v/>
      </c>
      <c r="AB121" s="296" t="str">
        <f t="array" aca="1" ref="AB121" ca="1">IF($A121="*","",IFERROR(INDEX(AGR!$E$52:$L$73,MATCH('TS DTech'!$C121,AGR!$B$52:$B$73,0),MATCH('TS DTech'!$B121&amp;AB$7,AGR!$E$46:$L$46&amp;AGR!$E$48:$L$48,0)),""))</f>
        <v/>
      </c>
      <c r="AC121" s="296" t="str">
        <f t="array" aca="1" ref="AC121" ca="1">IF($A121="*","",IFERROR(INDEX(AGR!$E$52:$L$73,MATCH('TS DTech'!$C121,AGR!$B$52:$B$73,0),MATCH('TS DTech'!$B121&amp;AC$7,AGR!$E$46:$L$46&amp;AGR!$E$48:$L$48,0)),""))</f>
        <v/>
      </c>
      <c r="AD121" s="296" t="str">
        <f t="array" aca="1" ref="AD121" ca="1">IF($A121="*","",IFERROR(INDEX(AGR!$E$52:$L$73,MATCH('TS DTech'!$C121,AGR!$B$52:$B$73,0),MATCH('TS DTech'!$B121&amp;AD$7,AGR!$E$46:$L$46&amp;AGR!$E$48:$L$48,0)),""))</f>
        <v/>
      </c>
      <c r="AE121" s="296" t="str">
        <f t="array" aca="1" ref="AE121" ca="1">IF($A121="*","",IFERROR(INDEX(AGR!$E$52:$L$73,MATCH('TS DTech'!$C121,AGR!$B$52:$B$73,0),MATCH('TS DTech'!$B121&amp;AE$7,AGR!$E$46:$L$46&amp;AGR!$E$48:$L$48,0)),""))</f>
        <v/>
      </c>
      <c r="AF121" s="296" t="str">
        <f t="array" aca="1" ref="AF121" ca="1">IF($A121="*","",IFERROR(INDEX(AGR!$E$52:$L$73,MATCH('TS DTech'!$C121,AGR!$B$52:$B$73,0),MATCH('TS DTech'!$B121&amp;AF$7,AGR!$E$46:$L$46&amp;AGR!$E$48:$L$48,0)),""))</f>
        <v/>
      </c>
      <c r="AG121" s="296" t="str">
        <f t="array" aca="1" ref="AG121" ca="1">IF($A121="*","",IFERROR(INDEX(AGR!$E$52:$L$73,MATCH('TS DTech'!$C121,AGR!$B$52:$B$73,0),MATCH('TS DTech'!$B121&amp;AG$7,AGR!$E$46:$L$46&amp;AGR!$E$48:$L$48,0)),""))</f>
        <v/>
      </c>
      <c r="AH121" s="296" t="str">
        <f t="array" aca="1" ref="AH121" ca="1">IF($A121="*","",IFERROR(INDEX(AGR!$E$52:$L$73,MATCH('TS DTech'!$C121,AGR!$B$52:$B$73,0),MATCH('TS DTech'!$B121&amp;AH$7,AGR!$E$46:$L$46&amp;AGR!$E$48:$L$48,0)),""))</f>
        <v/>
      </c>
      <c r="AI121" s="296" t="str">
        <f t="array" aca="1" ref="AI121" ca="1">IF($A121="*","",IFERROR(INDEX(AGR!$E$52:$L$73,MATCH('TS DTech'!$C121,AGR!$B$52:$B$73,0),MATCH('TS DTech'!$B121&amp;AI$7,AGR!$E$46:$L$46&amp;AGR!$E$48:$L$48,0)),""))</f>
        <v/>
      </c>
      <c r="AJ121" s="296" t="str">
        <f t="array" aca="1" ref="AJ121" ca="1">IF($A121="*","",IFERROR(INDEX(AGR!$E$52:$L$73,MATCH('TS DTech'!$C121,AGR!$B$52:$B$73,0),MATCH('TS DTech'!$B121&amp;AJ$7,AGR!$E$46:$L$46&amp;AGR!$E$48:$L$48,0)),""))</f>
        <v/>
      </c>
      <c r="AK121" s="296" t="str">
        <f t="array" aca="1" ref="AK121" ca="1">IF($A121="*","",IFERROR(INDEX(AGR!$E$52:$L$73,MATCH('TS DTech'!$C121,AGR!$B$52:$B$73,0),MATCH('TS DTech'!$B121&amp;AK$7,AGR!$E$46:$L$46&amp;AGR!$E$48:$L$48,0)),""))</f>
        <v/>
      </c>
      <c r="AL121" s="296" t="str">
        <f t="array" aca="1" ref="AL121" ca="1">IF($A121="*","",IFERROR(INDEX(AGR!$E$52:$L$73,MATCH('TS DTech'!$C121,AGR!$B$52:$B$73,0),MATCH('TS DTech'!$B121&amp;AL$7,AGR!$E$46:$L$46&amp;AGR!$E$48:$L$48,0)),""))</f>
        <v/>
      </c>
      <c r="AM121" s="296" t="str">
        <f t="array" aca="1" ref="AM121" ca="1">IF($A121="*","",IFERROR(INDEX(AGR!$E$52:$L$73,MATCH('TS DTech'!$C121,AGR!$B$52:$B$73,0),MATCH('TS DTech'!$B121&amp;AM$7,AGR!$E$46:$L$46&amp;AGR!$E$48:$L$48,0)),""))</f>
        <v/>
      </c>
      <c r="AN121" s="296" t="str">
        <f t="array" aca="1" ref="AN121" ca="1">IF($A121="*","",IFERROR(INDEX(AGR!$E$52:$L$73,MATCH('TS DTech'!$C121,AGR!$B$52:$B$73,0),MATCH('TS DTech'!$B121&amp;AN$7,AGR!$E$46:$L$46&amp;AGR!$E$48:$L$48,0)),""))</f>
        <v/>
      </c>
      <c r="AO121" s="296" t="str">
        <f t="array" aca="1" ref="AO121" ca="1">IF($A121="*","",IFERROR(INDEX(AGR!$E$52:$L$73,MATCH('TS DTech'!$C121,AGR!$B$52:$B$73,0),MATCH('TS DTech'!$B121&amp;AO$7,AGR!$E$46:$L$46&amp;AGR!$E$48:$L$48,0)),""))</f>
        <v/>
      </c>
      <c r="AP121" s="296" t="str">
        <f t="array" aca="1" ref="AP121" ca="1">IF($A121="*","",IFERROR(INDEX(AGR!$E$52:$L$73,MATCH('TS DTech'!$C121,AGR!$B$52:$B$73,0),MATCH('TS DTech'!$B121&amp;AP$7,AGR!$E$46:$L$46&amp;AGR!$E$48:$L$48,0)),""))</f>
        <v/>
      </c>
      <c r="AQ121" s="137">
        <f>IF(AR120=AGR!$AD$74,AQ120+1,AQ120)</f>
        <v>5</v>
      </c>
      <c r="AR121" s="137">
        <f t="shared" ref="AR121:AR128" si="13">IF(AQ121=AQ120,AR120+1,1)</f>
        <v>14</v>
      </c>
    </row>
    <row r="122" spans="1:44">
      <c r="A122" s="137" t="str">
        <f ca="1">IF(LEFT(OFFSET(AGR!$A$51,AR122,0),2)="\I","*","")</f>
        <v>*</v>
      </c>
      <c r="B122" s="212" t="str">
        <f t="shared" ca="1" si="10"/>
        <v/>
      </c>
      <c r="C122" s="212" t="str">
        <f ca="1">IF($A122="*","",OFFSET(AGR!$B$51,AR122,0))</f>
        <v/>
      </c>
      <c r="D122" s="212" t="str">
        <f t="shared" ca="1" si="12"/>
        <v/>
      </c>
      <c r="E122" s="212" t="str">
        <f t="shared" ca="1" si="12"/>
        <v/>
      </c>
      <c r="F122" s="212" t="str">
        <f t="shared" ca="1" si="12"/>
        <v/>
      </c>
      <c r="G122" s="212" t="str">
        <f t="shared" ca="1" si="12"/>
        <v/>
      </c>
      <c r="H122" s="212" t="str">
        <f t="shared" ca="1" si="12"/>
        <v/>
      </c>
      <c r="I122" s="213" t="str">
        <f t="shared" ca="1" si="12"/>
        <v/>
      </c>
      <c r="J122" s="296" t="str">
        <f t="array" aca="1" ref="J122" ca="1">IF($A122="*","",IFERROR(INDEX(AGR!$E$52:$L$73,MATCH('TS DTech'!$C122,AGR!$B$52:$B$73,0),MATCH('TS DTech'!$B122&amp;J$7,AGR!$E$46:$L$46&amp;AGR!$E$48:$L$48,0)),""))</f>
        <v/>
      </c>
      <c r="K122" s="296" t="str">
        <f t="array" aca="1" ref="K122" ca="1">IF($A122="*","",IFERROR(INDEX(AGR!$E$52:$L$73,MATCH('TS DTech'!$C122,AGR!$B$52:$B$73,0),MATCH('TS DTech'!$B122&amp;K$7,AGR!$E$46:$L$46&amp;AGR!$E$48:$L$48,0)),""))</f>
        <v/>
      </c>
      <c r="L122" s="296" t="str">
        <f t="array" aca="1" ref="L122" ca="1">IF($A122="*","",IFERROR(INDEX(AGR!$E$52:$L$73,MATCH('TS DTech'!$C122,AGR!$B$52:$B$73,0),MATCH('TS DTech'!$B122&amp;L$7,AGR!$E$46:$L$46&amp;AGR!$E$48:$L$48,0)),""))</f>
        <v/>
      </c>
      <c r="M122" s="296" t="str">
        <f t="array" aca="1" ref="M122" ca="1">IF($A122="*","",IFERROR(INDEX(AGR!$E$52:$L$73,MATCH('TS DTech'!$C122,AGR!$B$52:$B$73,0),MATCH('TS DTech'!$B122&amp;M$7,AGR!$E$46:$L$46&amp;AGR!$E$48:$L$48,0)),""))</f>
        <v/>
      </c>
      <c r="N122" s="296" t="str">
        <f t="array" aca="1" ref="N122" ca="1">IF($A122="*","",IFERROR(INDEX(AGR!$E$52:$L$73,MATCH('TS DTech'!$C122,AGR!$B$52:$B$73,0),MATCH('TS DTech'!$B122&amp;N$7,AGR!$E$46:$L$46&amp;AGR!$E$48:$L$48,0)),""))</f>
        <v/>
      </c>
      <c r="O122" s="296" t="str">
        <f t="array" aca="1" ref="O122" ca="1">IF($A122="*","",IFERROR(INDEX(AGR!$E$52:$L$73,MATCH('TS DTech'!$C122,AGR!$B$52:$B$73,0),MATCH('TS DTech'!$B122&amp;O$7,AGR!$E$46:$L$46&amp;AGR!$E$48:$L$48,0)),""))</f>
        <v/>
      </c>
      <c r="P122" s="296" t="str">
        <f t="array" aca="1" ref="P122" ca="1">IF($A122="*","",IFERROR(INDEX(AGR!$E$52:$L$73,MATCH('TS DTech'!$C122,AGR!$B$52:$B$73,0),MATCH('TS DTech'!$B122&amp;P$7,AGR!$E$46:$L$46&amp;AGR!$E$48:$L$48,0)),""))</f>
        <v/>
      </c>
      <c r="Q122" s="296" t="str">
        <f t="array" aca="1" ref="Q122" ca="1">IF($A122="*","",IFERROR(INDEX(AGR!$E$52:$L$73,MATCH('TS DTech'!$C122,AGR!$B$52:$B$73,0),MATCH('TS DTech'!$B122&amp;Q$7,AGR!$E$46:$L$46&amp;AGR!$E$48:$L$48,0)),""))</f>
        <v/>
      </c>
      <c r="R122" s="296" t="str">
        <f t="array" aca="1" ref="R122" ca="1">IF($A122="*","",IFERROR(INDEX(AGR!$E$52:$L$73,MATCH('TS DTech'!$C122,AGR!$B$52:$B$73,0),MATCH('TS DTech'!$B122&amp;R$7,AGR!$E$46:$L$46&amp;AGR!$E$48:$L$48,0)),""))</f>
        <v/>
      </c>
      <c r="S122" s="296" t="str">
        <f t="array" aca="1" ref="S122" ca="1">IF($A122="*","",IFERROR(INDEX(AGR!$E$52:$L$73,MATCH('TS DTech'!$C122,AGR!$B$52:$B$73,0),MATCH('TS DTech'!$B122&amp;S$7,AGR!$E$46:$L$46&amp;AGR!$E$48:$L$48,0)),""))</f>
        <v/>
      </c>
      <c r="T122" s="296" t="str">
        <f t="array" aca="1" ref="T122" ca="1">IF($A122="*","",IFERROR(INDEX(AGR!$E$52:$L$73,MATCH('TS DTech'!$C122,AGR!$B$52:$B$73,0),MATCH('TS DTech'!$B122&amp;T$7,AGR!$E$46:$L$46&amp;AGR!$E$48:$L$48,0)),""))</f>
        <v/>
      </c>
      <c r="U122" s="296" t="str">
        <f t="array" aca="1" ref="U122" ca="1">IF($A122="*","",IFERROR(INDEX(AGR!$E$52:$L$73,MATCH('TS DTech'!$C122,AGR!$B$52:$B$73,0),MATCH('TS DTech'!$B122&amp;U$7,AGR!$E$46:$L$46&amp;AGR!$E$48:$L$48,0)),""))</f>
        <v/>
      </c>
      <c r="V122" s="296" t="str">
        <f t="array" aca="1" ref="V122" ca="1">IF($A122="*","",IFERROR(INDEX(AGR!$E$52:$L$73,MATCH('TS DTech'!$C122,AGR!$B$52:$B$73,0),MATCH('TS DTech'!$B122&amp;V$7,AGR!$E$46:$L$46&amp;AGR!$E$48:$L$48,0)),""))</f>
        <v/>
      </c>
      <c r="W122" s="296" t="str">
        <f t="array" aca="1" ref="W122" ca="1">IF($A122="*","",IFERROR(INDEX(AGR!$E$52:$L$73,MATCH('TS DTech'!$C122,AGR!$B$52:$B$73,0),MATCH('TS DTech'!$B122&amp;W$7,AGR!$E$46:$L$46&amp;AGR!$E$48:$L$48,0)),""))</f>
        <v/>
      </c>
      <c r="X122" s="296" t="str">
        <f t="array" aca="1" ref="X122" ca="1">IF($A122="*","",IFERROR(INDEX(AGR!$E$52:$L$73,MATCH('TS DTech'!$C122,AGR!$B$52:$B$73,0),MATCH('TS DTech'!$B122&amp;X$7,AGR!$E$46:$L$46&amp;AGR!$E$48:$L$48,0)),""))</f>
        <v/>
      </c>
      <c r="Y122" s="296" t="str">
        <f t="array" aca="1" ref="Y122" ca="1">IF($A122="*","",IFERROR(INDEX(AGR!$E$52:$L$73,MATCH('TS DTech'!$C122,AGR!$B$52:$B$73,0),MATCH('TS DTech'!$B122&amp;Y$7,AGR!$E$46:$L$46&amp;AGR!$E$48:$L$48,0)),""))</f>
        <v/>
      </c>
      <c r="Z122" s="296" t="str">
        <f t="array" aca="1" ref="Z122" ca="1">IF($A122="*","",IFERROR(INDEX(AGR!$E$52:$L$73,MATCH('TS DTech'!$C122,AGR!$B$52:$B$73,0),MATCH('TS DTech'!$B122&amp;Z$7,AGR!$E$46:$L$46&amp;AGR!$E$48:$L$48,0)),""))</f>
        <v/>
      </c>
      <c r="AA122" s="296" t="str">
        <f t="array" aca="1" ref="AA122" ca="1">IF($A122="*","",IFERROR(INDEX(AGR!$E$52:$L$73,MATCH('TS DTech'!$C122,AGR!$B$52:$B$73,0),MATCH('TS DTech'!$B122&amp;AA$7,AGR!$E$46:$L$46&amp;AGR!$E$48:$L$48,0)),""))</f>
        <v/>
      </c>
      <c r="AB122" s="296" t="str">
        <f t="array" aca="1" ref="AB122" ca="1">IF($A122="*","",IFERROR(INDEX(AGR!$E$52:$L$73,MATCH('TS DTech'!$C122,AGR!$B$52:$B$73,0),MATCH('TS DTech'!$B122&amp;AB$7,AGR!$E$46:$L$46&amp;AGR!$E$48:$L$48,0)),""))</f>
        <v/>
      </c>
      <c r="AC122" s="296" t="str">
        <f t="array" aca="1" ref="AC122" ca="1">IF($A122="*","",IFERROR(INDEX(AGR!$E$52:$L$73,MATCH('TS DTech'!$C122,AGR!$B$52:$B$73,0),MATCH('TS DTech'!$B122&amp;AC$7,AGR!$E$46:$L$46&amp;AGR!$E$48:$L$48,0)),""))</f>
        <v/>
      </c>
      <c r="AD122" s="296" t="str">
        <f t="array" aca="1" ref="AD122" ca="1">IF($A122="*","",IFERROR(INDEX(AGR!$E$52:$L$73,MATCH('TS DTech'!$C122,AGR!$B$52:$B$73,0),MATCH('TS DTech'!$B122&amp;AD$7,AGR!$E$46:$L$46&amp;AGR!$E$48:$L$48,0)),""))</f>
        <v/>
      </c>
      <c r="AE122" s="296" t="str">
        <f t="array" aca="1" ref="AE122" ca="1">IF($A122="*","",IFERROR(INDEX(AGR!$E$52:$L$73,MATCH('TS DTech'!$C122,AGR!$B$52:$B$73,0),MATCH('TS DTech'!$B122&amp;AE$7,AGR!$E$46:$L$46&amp;AGR!$E$48:$L$48,0)),""))</f>
        <v/>
      </c>
      <c r="AF122" s="296" t="str">
        <f t="array" aca="1" ref="AF122" ca="1">IF($A122="*","",IFERROR(INDEX(AGR!$E$52:$L$73,MATCH('TS DTech'!$C122,AGR!$B$52:$B$73,0),MATCH('TS DTech'!$B122&amp;AF$7,AGR!$E$46:$L$46&amp;AGR!$E$48:$L$48,0)),""))</f>
        <v/>
      </c>
      <c r="AG122" s="296" t="str">
        <f t="array" aca="1" ref="AG122" ca="1">IF($A122="*","",IFERROR(INDEX(AGR!$E$52:$L$73,MATCH('TS DTech'!$C122,AGR!$B$52:$B$73,0),MATCH('TS DTech'!$B122&amp;AG$7,AGR!$E$46:$L$46&amp;AGR!$E$48:$L$48,0)),""))</f>
        <v/>
      </c>
      <c r="AH122" s="296" t="str">
        <f t="array" aca="1" ref="AH122" ca="1">IF($A122="*","",IFERROR(INDEX(AGR!$E$52:$L$73,MATCH('TS DTech'!$C122,AGR!$B$52:$B$73,0),MATCH('TS DTech'!$B122&amp;AH$7,AGR!$E$46:$L$46&amp;AGR!$E$48:$L$48,0)),""))</f>
        <v/>
      </c>
      <c r="AI122" s="296" t="str">
        <f t="array" aca="1" ref="AI122" ca="1">IF($A122="*","",IFERROR(INDEX(AGR!$E$52:$L$73,MATCH('TS DTech'!$C122,AGR!$B$52:$B$73,0),MATCH('TS DTech'!$B122&amp;AI$7,AGR!$E$46:$L$46&amp;AGR!$E$48:$L$48,0)),""))</f>
        <v/>
      </c>
      <c r="AJ122" s="296" t="str">
        <f t="array" aca="1" ref="AJ122" ca="1">IF($A122="*","",IFERROR(INDEX(AGR!$E$52:$L$73,MATCH('TS DTech'!$C122,AGR!$B$52:$B$73,0),MATCH('TS DTech'!$B122&amp;AJ$7,AGR!$E$46:$L$46&amp;AGR!$E$48:$L$48,0)),""))</f>
        <v/>
      </c>
      <c r="AK122" s="296" t="str">
        <f t="array" aca="1" ref="AK122" ca="1">IF($A122="*","",IFERROR(INDEX(AGR!$E$52:$L$73,MATCH('TS DTech'!$C122,AGR!$B$52:$B$73,0),MATCH('TS DTech'!$B122&amp;AK$7,AGR!$E$46:$L$46&amp;AGR!$E$48:$L$48,0)),""))</f>
        <v/>
      </c>
      <c r="AL122" s="296" t="str">
        <f t="array" aca="1" ref="AL122" ca="1">IF($A122="*","",IFERROR(INDEX(AGR!$E$52:$L$73,MATCH('TS DTech'!$C122,AGR!$B$52:$B$73,0),MATCH('TS DTech'!$B122&amp;AL$7,AGR!$E$46:$L$46&amp;AGR!$E$48:$L$48,0)),""))</f>
        <v/>
      </c>
      <c r="AM122" s="296" t="str">
        <f t="array" aca="1" ref="AM122" ca="1">IF($A122="*","",IFERROR(INDEX(AGR!$E$52:$L$73,MATCH('TS DTech'!$C122,AGR!$B$52:$B$73,0),MATCH('TS DTech'!$B122&amp;AM$7,AGR!$E$46:$L$46&amp;AGR!$E$48:$L$48,0)),""))</f>
        <v/>
      </c>
      <c r="AN122" s="296" t="str">
        <f t="array" aca="1" ref="AN122" ca="1">IF($A122="*","",IFERROR(INDEX(AGR!$E$52:$L$73,MATCH('TS DTech'!$C122,AGR!$B$52:$B$73,0),MATCH('TS DTech'!$B122&amp;AN$7,AGR!$E$46:$L$46&amp;AGR!$E$48:$L$48,0)),""))</f>
        <v/>
      </c>
      <c r="AO122" s="296" t="str">
        <f t="array" aca="1" ref="AO122" ca="1">IF($A122="*","",IFERROR(INDEX(AGR!$E$52:$L$73,MATCH('TS DTech'!$C122,AGR!$B$52:$B$73,0),MATCH('TS DTech'!$B122&amp;AO$7,AGR!$E$46:$L$46&amp;AGR!$E$48:$L$48,0)),""))</f>
        <v/>
      </c>
      <c r="AP122" s="296" t="str">
        <f t="array" aca="1" ref="AP122" ca="1">IF($A122="*","",IFERROR(INDEX(AGR!$E$52:$L$73,MATCH('TS DTech'!$C122,AGR!$B$52:$B$73,0),MATCH('TS DTech'!$B122&amp;AP$7,AGR!$E$46:$L$46&amp;AGR!$E$48:$L$48,0)),""))</f>
        <v/>
      </c>
      <c r="AQ122" s="137">
        <f>IF(AR121=AGR!$AD$74,AQ121+1,AQ121)</f>
        <v>5</v>
      </c>
      <c r="AR122" s="137">
        <f t="shared" si="13"/>
        <v>15</v>
      </c>
    </row>
    <row r="123" spans="1:44">
      <c r="A123" s="137" t="str">
        <f ca="1">IF(LEFT(OFFSET(AGR!$A$51,AR123,0),2)="\I","*","")</f>
        <v/>
      </c>
      <c r="B123" s="212" t="str">
        <f t="shared" ca="1" si="10"/>
        <v>PRC_RESID</v>
      </c>
      <c r="C123" s="212" t="str">
        <f ca="1">IF($A123="*","",OFFSET(AGR!$B$51,AR123,0))</f>
        <v>AIODS-E</v>
      </c>
      <c r="D123" s="212" t="str">
        <f t="shared" ca="1" si="12"/>
        <v>-</v>
      </c>
      <c r="E123" s="212" t="str">
        <f t="shared" ca="1" si="12"/>
        <v>-</v>
      </c>
      <c r="F123" s="212" t="str">
        <f t="shared" ca="1" si="12"/>
        <v>-</v>
      </c>
      <c r="G123" s="212" t="str">
        <f t="shared" ca="1" si="12"/>
        <v>-</v>
      </c>
      <c r="H123" s="212" t="str">
        <f t="shared" ca="1" si="12"/>
        <v>-</v>
      </c>
      <c r="I123" s="213">
        <f t="shared" ca="1" si="12"/>
        <v>0</v>
      </c>
      <c r="J123" s="296">
        <f t="array" aca="1" ref="J123" ca="1">IF($A123="*","",IFERROR(INDEX(AGR!$E$52:$L$73,MATCH('TS DTech'!$C123,AGR!$B$52:$B$73,0),MATCH('TS DTech'!$B123&amp;J$7,AGR!$E$46:$L$46&amp;AGR!$E$48:$L$48,0)),""))</f>
        <v>0.48710312571768793</v>
      </c>
      <c r="K123" s="296" t="str">
        <f t="array" aca="1" ref="K123" ca="1">IF($A123="*","",IFERROR(INDEX(AGR!$E$52:$L$73,MATCH('TS DTech'!$C123,AGR!$B$52:$B$73,0),MATCH('TS DTech'!$B123&amp;K$7,AGR!$E$46:$L$46&amp;AGR!$E$48:$L$48,0)),""))</f>
        <v/>
      </c>
      <c r="L123" s="296" t="str">
        <f t="array" aca="1" ref="L123" ca="1">IF($A123="*","",IFERROR(INDEX(AGR!$E$52:$L$73,MATCH('TS DTech'!$C123,AGR!$B$52:$B$73,0),MATCH('TS DTech'!$B123&amp;L$7,AGR!$E$46:$L$46&amp;AGR!$E$48:$L$48,0)),""))</f>
        <v/>
      </c>
      <c r="M123" s="296" t="str">
        <f t="array" aca="1" ref="M123" ca="1">IF($A123="*","",IFERROR(INDEX(AGR!$E$52:$L$73,MATCH('TS DTech'!$C123,AGR!$B$52:$B$73,0),MATCH('TS DTech'!$B123&amp;M$7,AGR!$E$46:$L$46&amp;AGR!$E$48:$L$48,0)),""))</f>
        <v/>
      </c>
      <c r="N123" s="296" t="str">
        <f t="array" aca="1" ref="N123" ca="1">IF($A123="*","",IFERROR(INDEX(AGR!$E$52:$L$73,MATCH('TS DTech'!$C123,AGR!$B$52:$B$73,0),MATCH('TS DTech'!$B123&amp;N$7,AGR!$E$46:$L$46&amp;AGR!$E$48:$L$48,0)),""))</f>
        <v/>
      </c>
      <c r="O123" s="296">
        <f t="array" aca="1" ref="O123" ca="1">IF($A123="*","",IFERROR(INDEX(AGR!$E$52:$L$73,MATCH('TS DTech'!$C123,AGR!$B$52:$B$73,0),MATCH('TS DTech'!$B123&amp;O$7,AGR!$E$46:$L$46&amp;AGR!$E$48:$L$48,0)),""))</f>
        <v>0.56045765711777762</v>
      </c>
      <c r="P123" s="296" t="str">
        <f t="array" aca="1" ref="P123" ca="1">IF($A123="*","",IFERROR(INDEX(AGR!$E$52:$L$73,MATCH('TS DTech'!$C123,AGR!$B$52:$B$73,0),MATCH('TS DTech'!$B123&amp;P$7,AGR!$E$46:$L$46&amp;AGR!$E$48:$L$48,0)),""))</f>
        <v/>
      </c>
      <c r="Q123" s="296" t="str">
        <f t="array" aca="1" ref="Q123" ca="1">IF($A123="*","",IFERROR(INDEX(AGR!$E$52:$L$73,MATCH('TS DTech'!$C123,AGR!$B$52:$B$73,0),MATCH('TS DTech'!$B123&amp;Q$7,AGR!$E$46:$L$46&amp;AGR!$E$48:$L$48,0)),""))</f>
        <v/>
      </c>
      <c r="R123" s="296" t="str">
        <f t="array" aca="1" ref="R123" ca="1">IF($A123="*","",IFERROR(INDEX(AGR!$E$52:$L$73,MATCH('TS DTech'!$C123,AGR!$B$52:$B$73,0),MATCH('TS DTech'!$B123&amp;R$7,AGR!$E$46:$L$46&amp;AGR!$E$48:$L$48,0)),""))</f>
        <v/>
      </c>
      <c r="S123" s="296" t="str">
        <f t="array" aca="1" ref="S123" ca="1">IF($A123="*","",IFERROR(INDEX(AGR!$E$52:$L$73,MATCH('TS DTech'!$C123,AGR!$B$52:$B$73,0),MATCH('TS DTech'!$B123&amp;S$7,AGR!$E$46:$L$46&amp;AGR!$E$48:$L$48,0)),""))</f>
        <v/>
      </c>
      <c r="T123" s="296" t="str">
        <f t="array" aca="1" ref="T123" ca="1">IF($A123="*","",IFERROR(INDEX(AGR!$E$52:$L$73,MATCH('TS DTech'!$C123,AGR!$B$52:$B$73,0),MATCH('TS DTech'!$B123&amp;T$7,AGR!$E$46:$L$46&amp;AGR!$E$48:$L$48,0)),""))</f>
        <v/>
      </c>
      <c r="U123" s="296" t="str">
        <f t="array" aca="1" ref="U123" ca="1">IF($A123="*","",IFERROR(INDEX(AGR!$E$52:$L$73,MATCH('TS DTech'!$C123,AGR!$B$52:$B$73,0),MATCH('TS DTech'!$B123&amp;U$7,AGR!$E$46:$L$46&amp;AGR!$E$48:$L$48,0)),""))</f>
        <v/>
      </c>
      <c r="V123" s="296" t="str">
        <f t="array" aca="1" ref="V123" ca="1">IF($A123="*","",IFERROR(INDEX(AGR!$E$52:$L$73,MATCH('TS DTech'!$C123,AGR!$B$52:$B$73,0),MATCH('TS DTech'!$B123&amp;V$7,AGR!$E$46:$L$46&amp;AGR!$E$48:$L$48,0)),""))</f>
        <v/>
      </c>
      <c r="W123" s="296" t="str">
        <f t="array" aca="1" ref="W123" ca="1">IF($A123="*","",IFERROR(INDEX(AGR!$E$52:$L$73,MATCH('TS DTech'!$C123,AGR!$B$52:$B$73,0),MATCH('TS DTech'!$B123&amp;W$7,AGR!$E$46:$L$46&amp;AGR!$E$48:$L$48,0)),""))</f>
        <v/>
      </c>
      <c r="X123" s="296" t="str">
        <f t="array" aca="1" ref="X123" ca="1">IF($A123="*","",IFERROR(INDEX(AGR!$E$52:$L$73,MATCH('TS DTech'!$C123,AGR!$B$52:$B$73,0),MATCH('TS DTech'!$B123&amp;X$7,AGR!$E$46:$L$46&amp;AGR!$E$48:$L$48,0)),""))</f>
        <v/>
      </c>
      <c r="Y123" s="296" t="str">
        <f t="array" aca="1" ref="Y123" ca="1">IF($A123="*","",IFERROR(INDEX(AGR!$E$52:$L$73,MATCH('TS DTech'!$C123,AGR!$B$52:$B$73,0),MATCH('TS DTech'!$B123&amp;Y$7,AGR!$E$46:$L$46&amp;AGR!$E$48:$L$48,0)),""))</f>
        <v/>
      </c>
      <c r="Z123" s="296" t="str">
        <f t="array" aca="1" ref="Z123" ca="1">IF($A123="*","",IFERROR(INDEX(AGR!$E$52:$L$73,MATCH('TS DTech'!$C123,AGR!$B$52:$B$73,0),MATCH('TS DTech'!$B123&amp;Z$7,AGR!$E$46:$L$46&amp;AGR!$E$48:$L$48,0)),""))</f>
        <v/>
      </c>
      <c r="AA123" s="296" t="str">
        <f t="array" aca="1" ref="AA123" ca="1">IF($A123="*","",IFERROR(INDEX(AGR!$E$52:$L$73,MATCH('TS DTech'!$C123,AGR!$B$52:$B$73,0),MATCH('TS DTech'!$B123&amp;AA$7,AGR!$E$46:$L$46&amp;AGR!$E$48:$L$48,0)),""))</f>
        <v/>
      </c>
      <c r="AB123" s="296" t="str">
        <f t="array" aca="1" ref="AB123" ca="1">IF($A123="*","",IFERROR(INDEX(AGR!$E$52:$L$73,MATCH('TS DTech'!$C123,AGR!$B$52:$B$73,0),MATCH('TS DTech'!$B123&amp;AB$7,AGR!$E$46:$L$46&amp;AGR!$E$48:$L$48,0)),""))</f>
        <v/>
      </c>
      <c r="AC123" s="296" t="str">
        <f t="array" aca="1" ref="AC123" ca="1">IF($A123="*","",IFERROR(INDEX(AGR!$E$52:$L$73,MATCH('TS DTech'!$C123,AGR!$B$52:$B$73,0),MATCH('TS DTech'!$B123&amp;AC$7,AGR!$E$46:$L$46&amp;AGR!$E$48:$L$48,0)),""))</f>
        <v/>
      </c>
      <c r="AD123" s="296" t="str">
        <f t="array" aca="1" ref="AD123" ca="1">IF($A123="*","",IFERROR(INDEX(AGR!$E$52:$L$73,MATCH('TS DTech'!$C123,AGR!$B$52:$B$73,0),MATCH('TS DTech'!$B123&amp;AD$7,AGR!$E$46:$L$46&amp;AGR!$E$48:$L$48,0)),""))</f>
        <v/>
      </c>
      <c r="AE123" s="296" t="str">
        <f t="array" aca="1" ref="AE123" ca="1">IF($A123="*","",IFERROR(INDEX(AGR!$E$52:$L$73,MATCH('TS DTech'!$C123,AGR!$B$52:$B$73,0),MATCH('TS DTech'!$B123&amp;AE$7,AGR!$E$46:$L$46&amp;AGR!$E$48:$L$48,0)),""))</f>
        <v/>
      </c>
      <c r="AF123" s="296" t="str">
        <f t="array" aca="1" ref="AF123" ca="1">IF($A123="*","",IFERROR(INDEX(AGR!$E$52:$L$73,MATCH('TS DTech'!$C123,AGR!$B$52:$B$73,0),MATCH('TS DTech'!$B123&amp;AF$7,AGR!$E$46:$L$46&amp;AGR!$E$48:$L$48,0)),""))</f>
        <v/>
      </c>
      <c r="AG123" s="296" t="str">
        <f t="array" aca="1" ref="AG123" ca="1">IF($A123="*","",IFERROR(INDEX(AGR!$E$52:$L$73,MATCH('TS DTech'!$C123,AGR!$B$52:$B$73,0),MATCH('TS DTech'!$B123&amp;AG$7,AGR!$E$46:$L$46&amp;AGR!$E$48:$L$48,0)),""))</f>
        <v/>
      </c>
      <c r="AH123" s="296" t="str">
        <f t="array" aca="1" ref="AH123" ca="1">IF($A123="*","",IFERROR(INDEX(AGR!$E$52:$L$73,MATCH('TS DTech'!$C123,AGR!$B$52:$B$73,0),MATCH('TS DTech'!$B123&amp;AH$7,AGR!$E$46:$L$46&amp;AGR!$E$48:$L$48,0)),""))</f>
        <v/>
      </c>
      <c r="AI123" s="296" t="str">
        <f t="array" aca="1" ref="AI123" ca="1">IF($A123="*","",IFERROR(INDEX(AGR!$E$52:$L$73,MATCH('TS DTech'!$C123,AGR!$B$52:$B$73,0),MATCH('TS DTech'!$B123&amp;AI$7,AGR!$E$46:$L$46&amp;AGR!$E$48:$L$48,0)),""))</f>
        <v/>
      </c>
      <c r="AJ123" s="296" t="str">
        <f t="array" aca="1" ref="AJ123" ca="1">IF($A123="*","",IFERROR(INDEX(AGR!$E$52:$L$73,MATCH('TS DTech'!$C123,AGR!$B$52:$B$73,0),MATCH('TS DTech'!$B123&amp;AJ$7,AGR!$E$46:$L$46&amp;AGR!$E$48:$L$48,0)),""))</f>
        <v/>
      </c>
      <c r="AK123" s="296" t="str">
        <f t="array" aca="1" ref="AK123" ca="1">IF($A123="*","",IFERROR(INDEX(AGR!$E$52:$L$73,MATCH('TS DTech'!$C123,AGR!$B$52:$B$73,0),MATCH('TS DTech'!$B123&amp;AK$7,AGR!$E$46:$L$46&amp;AGR!$E$48:$L$48,0)),""))</f>
        <v/>
      </c>
      <c r="AL123" s="296" t="str">
        <f t="array" aca="1" ref="AL123" ca="1">IF($A123="*","",IFERROR(INDEX(AGR!$E$52:$L$73,MATCH('TS DTech'!$C123,AGR!$B$52:$B$73,0),MATCH('TS DTech'!$B123&amp;AL$7,AGR!$E$46:$L$46&amp;AGR!$E$48:$L$48,0)),""))</f>
        <v/>
      </c>
      <c r="AM123" s="296" t="str">
        <f t="array" aca="1" ref="AM123" ca="1">IF($A123="*","",IFERROR(INDEX(AGR!$E$52:$L$73,MATCH('TS DTech'!$C123,AGR!$B$52:$B$73,0),MATCH('TS DTech'!$B123&amp;AM$7,AGR!$E$46:$L$46&amp;AGR!$E$48:$L$48,0)),""))</f>
        <v/>
      </c>
      <c r="AN123" s="296" t="str">
        <f t="array" aca="1" ref="AN123" ca="1">IF($A123="*","",IFERROR(INDEX(AGR!$E$52:$L$73,MATCH('TS DTech'!$C123,AGR!$B$52:$B$73,0),MATCH('TS DTech'!$B123&amp;AN$7,AGR!$E$46:$L$46&amp;AGR!$E$48:$L$48,0)),""))</f>
        <v/>
      </c>
      <c r="AO123" s="296" t="str">
        <f t="array" aca="1" ref="AO123" ca="1">IF($A123="*","",IFERROR(INDEX(AGR!$E$52:$L$73,MATCH('TS DTech'!$C123,AGR!$B$52:$B$73,0),MATCH('TS DTech'!$B123&amp;AO$7,AGR!$E$46:$L$46&amp;AGR!$E$48:$L$48,0)),""))</f>
        <v/>
      </c>
      <c r="AP123" s="296" t="str">
        <f t="array" aca="1" ref="AP123" ca="1">IF($A123="*","",IFERROR(INDEX(AGR!$E$52:$L$73,MATCH('TS DTech'!$C123,AGR!$B$52:$B$73,0),MATCH('TS DTech'!$B123&amp;AP$7,AGR!$E$46:$L$46&amp;AGR!$E$48:$L$48,0)),""))</f>
        <v/>
      </c>
      <c r="AQ123" s="137">
        <f>IF(AR122=AGR!$AD$74,AQ122+1,AQ122)</f>
        <v>5</v>
      </c>
      <c r="AR123" s="137">
        <f t="shared" si="13"/>
        <v>16</v>
      </c>
    </row>
    <row r="124" spans="1:44">
      <c r="A124" s="137" t="str">
        <f ca="1">IF(LEFT(OFFSET(AGR!$A$51,AR124,0),2)="\I","*","")</f>
        <v/>
      </c>
      <c r="B124" s="212" t="str">
        <f t="shared" ca="1" si="10"/>
        <v>PRC_RESID</v>
      </c>
      <c r="C124" s="212" t="str">
        <f ca="1">IF($A124="*","",OFFSET(AGR!$B$51,AR124,0))</f>
        <v>AIELC-E</v>
      </c>
      <c r="D124" s="212" t="str">
        <f t="shared" ca="1" si="12"/>
        <v>-</v>
      </c>
      <c r="E124" s="212" t="str">
        <f t="shared" ca="1" si="12"/>
        <v>-</v>
      </c>
      <c r="F124" s="212" t="str">
        <f t="shared" ca="1" si="12"/>
        <v>-</v>
      </c>
      <c r="G124" s="212" t="str">
        <f t="shared" ca="1" si="12"/>
        <v>-</v>
      </c>
      <c r="H124" s="212" t="str">
        <f t="shared" ca="1" si="12"/>
        <v>-</v>
      </c>
      <c r="I124" s="213">
        <f t="shared" ca="1" si="12"/>
        <v>0</v>
      </c>
      <c r="J124" s="296">
        <f t="array" aca="1" ref="J124" ca="1">IF($A124="*","",IFERROR(INDEX(AGR!$E$52:$L$73,MATCH('TS DTech'!$C124,AGR!$B$52:$B$73,0),MATCH('TS DTech'!$B124&amp;J$7,AGR!$E$46:$L$46&amp;AGR!$E$48:$L$48,0)),""))</f>
        <v>5.7828500985225668</v>
      </c>
      <c r="K124" s="296" t="str">
        <f t="array" aca="1" ref="K124" ca="1">IF($A124="*","",IFERROR(INDEX(AGR!$E$52:$L$73,MATCH('TS DTech'!$C124,AGR!$B$52:$B$73,0),MATCH('TS DTech'!$B124&amp;K$7,AGR!$E$46:$L$46&amp;AGR!$E$48:$L$48,0)),""))</f>
        <v/>
      </c>
      <c r="L124" s="296" t="str">
        <f t="array" aca="1" ref="L124" ca="1">IF($A124="*","",IFERROR(INDEX(AGR!$E$52:$L$73,MATCH('TS DTech'!$C124,AGR!$B$52:$B$73,0),MATCH('TS DTech'!$B124&amp;L$7,AGR!$E$46:$L$46&amp;AGR!$E$48:$L$48,0)),""))</f>
        <v/>
      </c>
      <c r="M124" s="296" t="str">
        <f t="array" aca="1" ref="M124" ca="1">IF($A124="*","",IFERROR(INDEX(AGR!$E$52:$L$73,MATCH('TS DTech'!$C124,AGR!$B$52:$B$73,0),MATCH('TS DTech'!$B124&amp;M$7,AGR!$E$46:$L$46&amp;AGR!$E$48:$L$48,0)),""))</f>
        <v/>
      </c>
      <c r="N124" s="296" t="str">
        <f t="array" aca="1" ref="N124" ca="1">IF($A124="*","",IFERROR(INDEX(AGR!$E$52:$L$73,MATCH('TS DTech'!$C124,AGR!$B$52:$B$73,0),MATCH('TS DTech'!$B124&amp;N$7,AGR!$E$46:$L$46&amp;AGR!$E$48:$L$48,0)),""))</f>
        <v/>
      </c>
      <c r="O124" s="296">
        <f t="array" aca="1" ref="O124" ca="1">IF($A124="*","",IFERROR(INDEX(AGR!$E$52:$L$73,MATCH('TS DTech'!$C124,AGR!$B$52:$B$73,0),MATCH('TS DTech'!$B124&amp;O$7,AGR!$E$46:$L$46&amp;AGR!$E$48:$L$48,0)),""))</f>
        <v>7.0082416687682061</v>
      </c>
      <c r="P124" s="296" t="str">
        <f t="array" aca="1" ref="P124" ca="1">IF($A124="*","",IFERROR(INDEX(AGR!$E$52:$L$73,MATCH('TS DTech'!$C124,AGR!$B$52:$B$73,0),MATCH('TS DTech'!$B124&amp;P$7,AGR!$E$46:$L$46&amp;AGR!$E$48:$L$48,0)),""))</f>
        <v/>
      </c>
      <c r="Q124" s="296" t="str">
        <f t="array" aca="1" ref="Q124" ca="1">IF($A124="*","",IFERROR(INDEX(AGR!$E$52:$L$73,MATCH('TS DTech'!$C124,AGR!$B$52:$B$73,0),MATCH('TS DTech'!$B124&amp;Q$7,AGR!$E$46:$L$46&amp;AGR!$E$48:$L$48,0)),""))</f>
        <v/>
      </c>
      <c r="R124" s="296" t="str">
        <f t="array" aca="1" ref="R124" ca="1">IF($A124="*","",IFERROR(INDEX(AGR!$E$52:$L$73,MATCH('TS DTech'!$C124,AGR!$B$52:$B$73,0),MATCH('TS DTech'!$B124&amp;R$7,AGR!$E$46:$L$46&amp;AGR!$E$48:$L$48,0)),""))</f>
        <v/>
      </c>
      <c r="S124" s="296" t="str">
        <f t="array" aca="1" ref="S124" ca="1">IF($A124="*","",IFERROR(INDEX(AGR!$E$52:$L$73,MATCH('TS DTech'!$C124,AGR!$B$52:$B$73,0),MATCH('TS DTech'!$B124&amp;S$7,AGR!$E$46:$L$46&amp;AGR!$E$48:$L$48,0)),""))</f>
        <v/>
      </c>
      <c r="T124" s="296" t="str">
        <f t="array" aca="1" ref="T124" ca="1">IF($A124="*","",IFERROR(INDEX(AGR!$E$52:$L$73,MATCH('TS DTech'!$C124,AGR!$B$52:$B$73,0),MATCH('TS DTech'!$B124&amp;T$7,AGR!$E$46:$L$46&amp;AGR!$E$48:$L$48,0)),""))</f>
        <v/>
      </c>
      <c r="U124" s="296" t="str">
        <f t="array" aca="1" ref="U124" ca="1">IF($A124="*","",IFERROR(INDEX(AGR!$E$52:$L$73,MATCH('TS DTech'!$C124,AGR!$B$52:$B$73,0),MATCH('TS DTech'!$B124&amp;U$7,AGR!$E$46:$L$46&amp;AGR!$E$48:$L$48,0)),""))</f>
        <v/>
      </c>
      <c r="V124" s="296" t="str">
        <f t="array" aca="1" ref="V124" ca="1">IF($A124="*","",IFERROR(INDEX(AGR!$E$52:$L$73,MATCH('TS DTech'!$C124,AGR!$B$52:$B$73,0),MATCH('TS DTech'!$B124&amp;V$7,AGR!$E$46:$L$46&amp;AGR!$E$48:$L$48,0)),""))</f>
        <v/>
      </c>
      <c r="W124" s="296" t="str">
        <f t="array" aca="1" ref="W124" ca="1">IF($A124="*","",IFERROR(INDEX(AGR!$E$52:$L$73,MATCH('TS DTech'!$C124,AGR!$B$52:$B$73,0),MATCH('TS DTech'!$B124&amp;W$7,AGR!$E$46:$L$46&amp;AGR!$E$48:$L$48,0)),""))</f>
        <v/>
      </c>
      <c r="X124" s="296" t="str">
        <f t="array" aca="1" ref="X124" ca="1">IF($A124="*","",IFERROR(INDEX(AGR!$E$52:$L$73,MATCH('TS DTech'!$C124,AGR!$B$52:$B$73,0),MATCH('TS DTech'!$B124&amp;X$7,AGR!$E$46:$L$46&amp;AGR!$E$48:$L$48,0)),""))</f>
        <v/>
      </c>
      <c r="Y124" s="296" t="str">
        <f t="array" aca="1" ref="Y124" ca="1">IF($A124="*","",IFERROR(INDEX(AGR!$E$52:$L$73,MATCH('TS DTech'!$C124,AGR!$B$52:$B$73,0),MATCH('TS DTech'!$B124&amp;Y$7,AGR!$E$46:$L$46&amp;AGR!$E$48:$L$48,0)),""))</f>
        <v/>
      </c>
      <c r="Z124" s="296" t="str">
        <f t="array" aca="1" ref="Z124" ca="1">IF($A124="*","",IFERROR(INDEX(AGR!$E$52:$L$73,MATCH('TS DTech'!$C124,AGR!$B$52:$B$73,0),MATCH('TS DTech'!$B124&amp;Z$7,AGR!$E$46:$L$46&amp;AGR!$E$48:$L$48,0)),""))</f>
        <v/>
      </c>
      <c r="AA124" s="296" t="str">
        <f t="array" aca="1" ref="AA124" ca="1">IF($A124="*","",IFERROR(INDEX(AGR!$E$52:$L$73,MATCH('TS DTech'!$C124,AGR!$B$52:$B$73,0),MATCH('TS DTech'!$B124&amp;AA$7,AGR!$E$46:$L$46&amp;AGR!$E$48:$L$48,0)),""))</f>
        <v/>
      </c>
      <c r="AB124" s="296" t="str">
        <f t="array" aca="1" ref="AB124" ca="1">IF($A124="*","",IFERROR(INDEX(AGR!$E$52:$L$73,MATCH('TS DTech'!$C124,AGR!$B$52:$B$73,0),MATCH('TS DTech'!$B124&amp;AB$7,AGR!$E$46:$L$46&amp;AGR!$E$48:$L$48,0)),""))</f>
        <v/>
      </c>
      <c r="AC124" s="296" t="str">
        <f t="array" aca="1" ref="AC124" ca="1">IF($A124="*","",IFERROR(INDEX(AGR!$E$52:$L$73,MATCH('TS DTech'!$C124,AGR!$B$52:$B$73,0),MATCH('TS DTech'!$B124&amp;AC$7,AGR!$E$46:$L$46&amp;AGR!$E$48:$L$48,0)),""))</f>
        <v/>
      </c>
      <c r="AD124" s="296" t="str">
        <f t="array" aca="1" ref="AD124" ca="1">IF($A124="*","",IFERROR(INDEX(AGR!$E$52:$L$73,MATCH('TS DTech'!$C124,AGR!$B$52:$B$73,0),MATCH('TS DTech'!$B124&amp;AD$7,AGR!$E$46:$L$46&amp;AGR!$E$48:$L$48,0)),""))</f>
        <v/>
      </c>
      <c r="AE124" s="296" t="str">
        <f t="array" aca="1" ref="AE124" ca="1">IF($A124="*","",IFERROR(INDEX(AGR!$E$52:$L$73,MATCH('TS DTech'!$C124,AGR!$B$52:$B$73,0),MATCH('TS DTech'!$B124&amp;AE$7,AGR!$E$46:$L$46&amp;AGR!$E$48:$L$48,0)),""))</f>
        <v/>
      </c>
      <c r="AF124" s="296" t="str">
        <f t="array" aca="1" ref="AF124" ca="1">IF($A124="*","",IFERROR(INDEX(AGR!$E$52:$L$73,MATCH('TS DTech'!$C124,AGR!$B$52:$B$73,0),MATCH('TS DTech'!$B124&amp;AF$7,AGR!$E$46:$L$46&amp;AGR!$E$48:$L$48,0)),""))</f>
        <v/>
      </c>
      <c r="AG124" s="296" t="str">
        <f t="array" aca="1" ref="AG124" ca="1">IF($A124="*","",IFERROR(INDEX(AGR!$E$52:$L$73,MATCH('TS DTech'!$C124,AGR!$B$52:$B$73,0),MATCH('TS DTech'!$B124&amp;AG$7,AGR!$E$46:$L$46&amp;AGR!$E$48:$L$48,0)),""))</f>
        <v/>
      </c>
      <c r="AH124" s="296" t="str">
        <f t="array" aca="1" ref="AH124" ca="1">IF($A124="*","",IFERROR(INDEX(AGR!$E$52:$L$73,MATCH('TS DTech'!$C124,AGR!$B$52:$B$73,0),MATCH('TS DTech'!$B124&amp;AH$7,AGR!$E$46:$L$46&amp;AGR!$E$48:$L$48,0)),""))</f>
        <v/>
      </c>
      <c r="AI124" s="296" t="str">
        <f t="array" aca="1" ref="AI124" ca="1">IF($A124="*","",IFERROR(INDEX(AGR!$E$52:$L$73,MATCH('TS DTech'!$C124,AGR!$B$52:$B$73,0),MATCH('TS DTech'!$B124&amp;AI$7,AGR!$E$46:$L$46&amp;AGR!$E$48:$L$48,0)),""))</f>
        <v/>
      </c>
      <c r="AJ124" s="296" t="str">
        <f t="array" aca="1" ref="AJ124" ca="1">IF($A124="*","",IFERROR(INDEX(AGR!$E$52:$L$73,MATCH('TS DTech'!$C124,AGR!$B$52:$B$73,0),MATCH('TS DTech'!$B124&amp;AJ$7,AGR!$E$46:$L$46&amp;AGR!$E$48:$L$48,0)),""))</f>
        <v/>
      </c>
      <c r="AK124" s="296" t="str">
        <f t="array" aca="1" ref="AK124" ca="1">IF($A124="*","",IFERROR(INDEX(AGR!$E$52:$L$73,MATCH('TS DTech'!$C124,AGR!$B$52:$B$73,0),MATCH('TS DTech'!$B124&amp;AK$7,AGR!$E$46:$L$46&amp;AGR!$E$48:$L$48,0)),""))</f>
        <v/>
      </c>
      <c r="AL124" s="296" t="str">
        <f t="array" aca="1" ref="AL124" ca="1">IF($A124="*","",IFERROR(INDEX(AGR!$E$52:$L$73,MATCH('TS DTech'!$C124,AGR!$B$52:$B$73,0),MATCH('TS DTech'!$B124&amp;AL$7,AGR!$E$46:$L$46&amp;AGR!$E$48:$L$48,0)),""))</f>
        <v/>
      </c>
      <c r="AM124" s="296" t="str">
        <f t="array" aca="1" ref="AM124" ca="1">IF($A124="*","",IFERROR(INDEX(AGR!$E$52:$L$73,MATCH('TS DTech'!$C124,AGR!$B$52:$B$73,0),MATCH('TS DTech'!$B124&amp;AM$7,AGR!$E$46:$L$46&amp;AGR!$E$48:$L$48,0)),""))</f>
        <v/>
      </c>
      <c r="AN124" s="296" t="str">
        <f t="array" aca="1" ref="AN124" ca="1">IF($A124="*","",IFERROR(INDEX(AGR!$E$52:$L$73,MATCH('TS DTech'!$C124,AGR!$B$52:$B$73,0),MATCH('TS DTech'!$B124&amp;AN$7,AGR!$E$46:$L$46&amp;AGR!$E$48:$L$48,0)),""))</f>
        <v/>
      </c>
      <c r="AO124" s="296" t="str">
        <f t="array" aca="1" ref="AO124" ca="1">IF($A124="*","",IFERROR(INDEX(AGR!$E$52:$L$73,MATCH('TS DTech'!$C124,AGR!$B$52:$B$73,0),MATCH('TS DTech'!$B124&amp;AO$7,AGR!$E$46:$L$46&amp;AGR!$E$48:$L$48,0)),""))</f>
        <v/>
      </c>
      <c r="AP124" s="296" t="str">
        <f t="array" aca="1" ref="AP124" ca="1">IF($A124="*","",IFERROR(INDEX(AGR!$E$52:$L$73,MATCH('TS DTech'!$C124,AGR!$B$52:$B$73,0),MATCH('TS DTech'!$B124&amp;AP$7,AGR!$E$46:$L$46&amp;AGR!$E$48:$L$48,0)),""))</f>
        <v/>
      </c>
      <c r="AQ124" s="137">
        <f>IF(AR123=AGR!$AD$74,AQ123+1,AQ123)</f>
        <v>5</v>
      </c>
      <c r="AR124" s="137">
        <f t="shared" si="13"/>
        <v>17</v>
      </c>
    </row>
    <row r="125" spans="1:44">
      <c r="A125" s="137" t="str">
        <f ca="1">IF(LEFT(OFFSET(AGR!$A$51,AR125,0),2)="\I","*","")</f>
        <v/>
      </c>
      <c r="B125" s="212" t="str">
        <f t="shared" ca="1" si="10"/>
        <v>PRC_RESID</v>
      </c>
      <c r="C125" s="212" t="str">
        <f ca="1">IF($A125="*","",OFFSET(AGR!$B$51,AR125,0))</f>
        <v>AIOGS-E</v>
      </c>
      <c r="D125" s="212" t="str">
        <f t="shared" ca="1" si="12"/>
        <v>-</v>
      </c>
      <c r="E125" s="212" t="str">
        <f t="shared" ca="1" si="12"/>
        <v>-</v>
      </c>
      <c r="F125" s="212" t="str">
        <f t="shared" ca="1" si="12"/>
        <v>-</v>
      </c>
      <c r="G125" s="212" t="str">
        <f t="shared" ca="1" si="12"/>
        <v>-</v>
      </c>
      <c r="H125" s="212" t="str">
        <f t="shared" ca="1" si="12"/>
        <v>-</v>
      </c>
      <c r="I125" s="213">
        <f t="shared" ca="1" si="12"/>
        <v>0</v>
      </c>
      <c r="J125" s="296">
        <f t="array" aca="1" ref="J125" ca="1">IF($A125="*","",IFERROR(INDEX(AGR!$E$52:$L$73,MATCH('TS DTech'!$C125,AGR!$B$52:$B$73,0),MATCH('TS DTech'!$B125&amp;J$7,AGR!$E$46:$L$46&amp;AGR!$E$48:$L$48,0)),""))</f>
        <v>0</v>
      </c>
      <c r="K125" s="296" t="str">
        <f t="array" aca="1" ref="K125" ca="1">IF($A125="*","",IFERROR(INDEX(AGR!$E$52:$L$73,MATCH('TS DTech'!$C125,AGR!$B$52:$B$73,0),MATCH('TS DTech'!$B125&amp;K$7,AGR!$E$46:$L$46&amp;AGR!$E$48:$L$48,0)),""))</f>
        <v/>
      </c>
      <c r="L125" s="296" t="str">
        <f t="array" aca="1" ref="L125" ca="1">IF($A125="*","",IFERROR(INDEX(AGR!$E$52:$L$73,MATCH('TS DTech'!$C125,AGR!$B$52:$B$73,0),MATCH('TS DTech'!$B125&amp;L$7,AGR!$E$46:$L$46&amp;AGR!$E$48:$L$48,0)),""))</f>
        <v/>
      </c>
      <c r="M125" s="296" t="str">
        <f t="array" aca="1" ref="M125" ca="1">IF($A125="*","",IFERROR(INDEX(AGR!$E$52:$L$73,MATCH('TS DTech'!$C125,AGR!$B$52:$B$73,0),MATCH('TS DTech'!$B125&amp;M$7,AGR!$E$46:$L$46&amp;AGR!$E$48:$L$48,0)),""))</f>
        <v/>
      </c>
      <c r="N125" s="296" t="str">
        <f t="array" aca="1" ref="N125" ca="1">IF($A125="*","",IFERROR(INDEX(AGR!$E$52:$L$73,MATCH('TS DTech'!$C125,AGR!$B$52:$B$73,0),MATCH('TS DTech'!$B125&amp;N$7,AGR!$E$46:$L$46&amp;AGR!$E$48:$L$48,0)),""))</f>
        <v/>
      </c>
      <c r="O125" s="296">
        <f t="array" aca="1" ref="O125" ca="1">IF($A125="*","",IFERROR(INDEX(AGR!$E$52:$L$73,MATCH('TS DTech'!$C125,AGR!$B$52:$B$73,0),MATCH('TS DTech'!$B125&amp;O$7,AGR!$E$46:$L$46&amp;AGR!$E$48:$L$48,0)),""))</f>
        <v>0</v>
      </c>
      <c r="P125" s="296" t="str">
        <f t="array" aca="1" ref="P125" ca="1">IF($A125="*","",IFERROR(INDEX(AGR!$E$52:$L$73,MATCH('TS DTech'!$C125,AGR!$B$52:$B$73,0),MATCH('TS DTech'!$B125&amp;P$7,AGR!$E$46:$L$46&amp;AGR!$E$48:$L$48,0)),""))</f>
        <v/>
      </c>
      <c r="Q125" s="296" t="str">
        <f t="array" aca="1" ref="Q125" ca="1">IF($A125="*","",IFERROR(INDEX(AGR!$E$52:$L$73,MATCH('TS DTech'!$C125,AGR!$B$52:$B$73,0),MATCH('TS DTech'!$B125&amp;Q$7,AGR!$E$46:$L$46&amp;AGR!$E$48:$L$48,0)),""))</f>
        <v/>
      </c>
      <c r="R125" s="296" t="str">
        <f t="array" aca="1" ref="R125" ca="1">IF($A125="*","",IFERROR(INDEX(AGR!$E$52:$L$73,MATCH('TS DTech'!$C125,AGR!$B$52:$B$73,0),MATCH('TS DTech'!$B125&amp;R$7,AGR!$E$46:$L$46&amp;AGR!$E$48:$L$48,0)),""))</f>
        <v/>
      </c>
      <c r="S125" s="296" t="str">
        <f t="array" aca="1" ref="S125" ca="1">IF($A125="*","",IFERROR(INDEX(AGR!$E$52:$L$73,MATCH('TS DTech'!$C125,AGR!$B$52:$B$73,0),MATCH('TS DTech'!$B125&amp;S$7,AGR!$E$46:$L$46&amp;AGR!$E$48:$L$48,0)),""))</f>
        <v/>
      </c>
      <c r="T125" s="296" t="str">
        <f t="array" aca="1" ref="T125" ca="1">IF($A125="*","",IFERROR(INDEX(AGR!$E$52:$L$73,MATCH('TS DTech'!$C125,AGR!$B$52:$B$73,0),MATCH('TS DTech'!$B125&amp;T$7,AGR!$E$46:$L$46&amp;AGR!$E$48:$L$48,0)),""))</f>
        <v/>
      </c>
      <c r="U125" s="296" t="str">
        <f t="array" aca="1" ref="U125" ca="1">IF($A125="*","",IFERROR(INDEX(AGR!$E$52:$L$73,MATCH('TS DTech'!$C125,AGR!$B$52:$B$73,0),MATCH('TS DTech'!$B125&amp;U$7,AGR!$E$46:$L$46&amp;AGR!$E$48:$L$48,0)),""))</f>
        <v/>
      </c>
      <c r="V125" s="296" t="str">
        <f t="array" aca="1" ref="V125" ca="1">IF($A125="*","",IFERROR(INDEX(AGR!$E$52:$L$73,MATCH('TS DTech'!$C125,AGR!$B$52:$B$73,0),MATCH('TS DTech'!$B125&amp;V$7,AGR!$E$46:$L$46&amp;AGR!$E$48:$L$48,0)),""))</f>
        <v/>
      </c>
      <c r="W125" s="296" t="str">
        <f t="array" aca="1" ref="W125" ca="1">IF($A125="*","",IFERROR(INDEX(AGR!$E$52:$L$73,MATCH('TS DTech'!$C125,AGR!$B$52:$B$73,0),MATCH('TS DTech'!$B125&amp;W$7,AGR!$E$46:$L$46&amp;AGR!$E$48:$L$48,0)),""))</f>
        <v/>
      </c>
      <c r="X125" s="296" t="str">
        <f t="array" aca="1" ref="X125" ca="1">IF($A125="*","",IFERROR(INDEX(AGR!$E$52:$L$73,MATCH('TS DTech'!$C125,AGR!$B$52:$B$73,0),MATCH('TS DTech'!$B125&amp;X$7,AGR!$E$46:$L$46&amp;AGR!$E$48:$L$48,0)),""))</f>
        <v/>
      </c>
      <c r="Y125" s="296" t="str">
        <f t="array" aca="1" ref="Y125" ca="1">IF($A125="*","",IFERROR(INDEX(AGR!$E$52:$L$73,MATCH('TS DTech'!$C125,AGR!$B$52:$B$73,0),MATCH('TS DTech'!$B125&amp;Y$7,AGR!$E$46:$L$46&amp;AGR!$E$48:$L$48,0)),""))</f>
        <v/>
      </c>
      <c r="Z125" s="296" t="str">
        <f t="array" aca="1" ref="Z125" ca="1">IF($A125="*","",IFERROR(INDEX(AGR!$E$52:$L$73,MATCH('TS DTech'!$C125,AGR!$B$52:$B$73,0),MATCH('TS DTech'!$B125&amp;Z$7,AGR!$E$46:$L$46&amp;AGR!$E$48:$L$48,0)),""))</f>
        <v/>
      </c>
      <c r="AA125" s="296" t="str">
        <f t="array" aca="1" ref="AA125" ca="1">IF($A125="*","",IFERROR(INDEX(AGR!$E$52:$L$73,MATCH('TS DTech'!$C125,AGR!$B$52:$B$73,0),MATCH('TS DTech'!$B125&amp;AA$7,AGR!$E$46:$L$46&amp;AGR!$E$48:$L$48,0)),""))</f>
        <v/>
      </c>
      <c r="AB125" s="296" t="str">
        <f t="array" aca="1" ref="AB125" ca="1">IF($A125="*","",IFERROR(INDEX(AGR!$E$52:$L$73,MATCH('TS DTech'!$C125,AGR!$B$52:$B$73,0),MATCH('TS DTech'!$B125&amp;AB$7,AGR!$E$46:$L$46&amp;AGR!$E$48:$L$48,0)),""))</f>
        <v/>
      </c>
      <c r="AC125" s="296" t="str">
        <f t="array" aca="1" ref="AC125" ca="1">IF($A125="*","",IFERROR(INDEX(AGR!$E$52:$L$73,MATCH('TS DTech'!$C125,AGR!$B$52:$B$73,0),MATCH('TS DTech'!$B125&amp;AC$7,AGR!$E$46:$L$46&amp;AGR!$E$48:$L$48,0)),""))</f>
        <v/>
      </c>
      <c r="AD125" s="296" t="str">
        <f t="array" aca="1" ref="AD125" ca="1">IF($A125="*","",IFERROR(INDEX(AGR!$E$52:$L$73,MATCH('TS DTech'!$C125,AGR!$B$52:$B$73,0),MATCH('TS DTech'!$B125&amp;AD$7,AGR!$E$46:$L$46&amp;AGR!$E$48:$L$48,0)),""))</f>
        <v/>
      </c>
      <c r="AE125" s="296" t="str">
        <f t="array" aca="1" ref="AE125" ca="1">IF($A125="*","",IFERROR(INDEX(AGR!$E$52:$L$73,MATCH('TS DTech'!$C125,AGR!$B$52:$B$73,0),MATCH('TS DTech'!$B125&amp;AE$7,AGR!$E$46:$L$46&amp;AGR!$E$48:$L$48,0)),""))</f>
        <v/>
      </c>
      <c r="AF125" s="296" t="str">
        <f t="array" aca="1" ref="AF125" ca="1">IF($A125="*","",IFERROR(INDEX(AGR!$E$52:$L$73,MATCH('TS DTech'!$C125,AGR!$B$52:$B$73,0),MATCH('TS DTech'!$B125&amp;AF$7,AGR!$E$46:$L$46&amp;AGR!$E$48:$L$48,0)),""))</f>
        <v/>
      </c>
      <c r="AG125" s="296" t="str">
        <f t="array" aca="1" ref="AG125" ca="1">IF($A125="*","",IFERROR(INDEX(AGR!$E$52:$L$73,MATCH('TS DTech'!$C125,AGR!$B$52:$B$73,0),MATCH('TS DTech'!$B125&amp;AG$7,AGR!$E$46:$L$46&amp;AGR!$E$48:$L$48,0)),""))</f>
        <v/>
      </c>
      <c r="AH125" s="296" t="str">
        <f t="array" aca="1" ref="AH125" ca="1">IF($A125="*","",IFERROR(INDEX(AGR!$E$52:$L$73,MATCH('TS DTech'!$C125,AGR!$B$52:$B$73,0),MATCH('TS DTech'!$B125&amp;AH$7,AGR!$E$46:$L$46&amp;AGR!$E$48:$L$48,0)),""))</f>
        <v/>
      </c>
      <c r="AI125" s="296" t="str">
        <f t="array" aca="1" ref="AI125" ca="1">IF($A125="*","",IFERROR(INDEX(AGR!$E$52:$L$73,MATCH('TS DTech'!$C125,AGR!$B$52:$B$73,0),MATCH('TS DTech'!$B125&amp;AI$7,AGR!$E$46:$L$46&amp;AGR!$E$48:$L$48,0)),""))</f>
        <v/>
      </c>
      <c r="AJ125" s="296" t="str">
        <f t="array" aca="1" ref="AJ125" ca="1">IF($A125="*","",IFERROR(INDEX(AGR!$E$52:$L$73,MATCH('TS DTech'!$C125,AGR!$B$52:$B$73,0),MATCH('TS DTech'!$B125&amp;AJ$7,AGR!$E$46:$L$46&amp;AGR!$E$48:$L$48,0)),""))</f>
        <v/>
      </c>
      <c r="AK125" s="296" t="str">
        <f t="array" aca="1" ref="AK125" ca="1">IF($A125="*","",IFERROR(INDEX(AGR!$E$52:$L$73,MATCH('TS DTech'!$C125,AGR!$B$52:$B$73,0),MATCH('TS DTech'!$B125&amp;AK$7,AGR!$E$46:$L$46&amp;AGR!$E$48:$L$48,0)),""))</f>
        <v/>
      </c>
      <c r="AL125" s="296" t="str">
        <f t="array" aca="1" ref="AL125" ca="1">IF($A125="*","",IFERROR(INDEX(AGR!$E$52:$L$73,MATCH('TS DTech'!$C125,AGR!$B$52:$B$73,0),MATCH('TS DTech'!$B125&amp;AL$7,AGR!$E$46:$L$46&amp;AGR!$E$48:$L$48,0)),""))</f>
        <v/>
      </c>
      <c r="AM125" s="296" t="str">
        <f t="array" aca="1" ref="AM125" ca="1">IF($A125="*","",IFERROR(INDEX(AGR!$E$52:$L$73,MATCH('TS DTech'!$C125,AGR!$B$52:$B$73,0),MATCH('TS DTech'!$B125&amp;AM$7,AGR!$E$46:$L$46&amp;AGR!$E$48:$L$48,0)),""))</f>
        <v/>
      </c>
      <c r="AN125" s="296" t="str">
        <f t="array" aca="1" ref="AN125" ca="1">IF($A125="*","",IFERROR(INDEX(AGR!$E$52:$L$73,MATCH('TS DTech'!$C125,AGR!$B$52:$B$73,0),MATCH('TS DTech'!$B125&amp;AN$7,AGR!$E$46:$L$46&amp;AGR!$E$48:$L$48,0)),""))</f>
        <v/>
      </c>
      <c r="AO125" s="296" t="str">
        <f t="array" aca="1" ref="AO125" ca="1">IF($A125="*","",IFERROR(INDEX(AGR!$E$52:$L$73,MATCH('TS DTech'!$C125,AGR!$B$52:$B$73,0),MATCH('TS DTech'!$B125&amp;AO$7,AGR!$E$46:$L$46&amp;AGR!$E$48:$L$48,0)),""))</f>
        <v/>
      </c>
      <c r="AP125" s="296" t="str">
        <f t="array" aca="1" ref="AP125" ca="1">IF($A125="*","",IFERROR(INDEX(AGR!$E$52:$L$73,MATCH('TS DTech'!$C125,AGR!$B$52:$B$73,0),MATCH('TS DTech'!$B125&amp;AP$7,AGR!$E$46:$L$46&amp;AGR!$E$48:$L$48,0)),""))</f>
        <v/>
      </c>
      <c r="AQ125" s="137">
        <f>IF(AR124=AGR!$AD$74,AQ124+1,AQ124)</f>
        <v>5</v>
      </c>
      <c r="AR125" s="137">
        <f t="shared" si="13"/>
        <v>18</v>
      </c>
    </row>
    <row r="126" spans="1:44">
      <c r="A126" s="137" t="str">
        <f ca="1">IF(LEFT(OFFSET(AGR!$A$51,AR126,0),2)="\I","*","")</f>
        <v>*</v>
      </c>
      <c r="B126" s="212" t="str">
        <f t="shared" ca="1" si="10"/>
        <v/>
      </c>
      <c r="C126" s="212" t="str">
        <f ca="1">IF($A126="*","",OFFSET(AGR!$B$51,AR126,0))</f>
        <v/>
      </c>
      <c r="D126" s="212" t="str">
        <f t="shared" ca="1" si="12"/>
        <v/>
      </c>
      <c r="E126" s="212" t="str">
        <f t="shared" ca="1" si="12"/>
        <v/>
      </c>
      <c r="F126" s="212" t="str">
        <f t="shared" ca="1" si="12"/>
        <v/>
      </c>
      <c r="G126" s="212" t="str">
        <f t="shared" ca="1" si="12"/>
        <v/>
      </c>
      <c r="H126" s="212" t="str">
        <f t="shared" ca="1" si="12"/>
        <v/>
      </c>
      <c r="I126" s="213" t="str">
        <f t="shared" ca="1" si="12"/>
        <v/>
      </c>
      <c r="J126" s="296" t="str">
        <f t="array" aca="1" ref="J126" ca="1">IF($A126="*","",IFERROR(INDEX(AGR!$E$52:$L$73,MATCH('TS DTech'!$C126,AGR!$B$52:$B$73,0),MATCH('TS DTech'!$B126&amp;J$7,AGR!$E$46:$L$46&amp;AGR!$E$48:$L$48,0)),""))</f>
        <v/>
      </c>
      <c r="K126" s="296" t="str">
        <f t="array" aca="1" ref="K126" ca="1">IF($A126="*","",IFERROR(INDEX(AGR!$E$52:$L$73,MATCH('TS DTech'!$C126,AGR!$B$52:$B$73,0),MATCH('TS DTech'!$B126&amp;K$7,AGR!$E$46:$L$46&amp;AGR!$E$48:$L$48,0)),""))</f>
        <v/>
      </c>
      <c r="L126" s="296" t="str">
        <f t="array" aca="1" ref="L126" ca="1">IF($A126="*","",IFERROR(INDEX(AGR!$E$52:$L$73,MATCH('TS DTech'!$C126,AGR!$B$52:$B$73,0),MATCH('TS DTech'!$B126&amp;L$7,AGR!$E$46:$L$46&amp;AGR!$E$48:$L$48,0)),""))</f>
        <v/>
      </c>
      <c r="M126" s="296" t="str">
        <f t="array" aca="1" ref="M126" ca="1">IF($A126="*","",IFERROR(INDEX(AGR!$E$52:$L$73,MATCH('TS DTech'!$C126,AGR!$B$52:$B$73,0),MATCH('TS DTech'!$B126&amp;M$7,AGR!$E$46:$L$46&amp;AGR!$E$48:$L$48,0)),""))</f>
        <v/>
      </c>
      <c r="N126" s="296" t="str">
        <f t="array" aca="1" ref="N126" ca="1">IF($A126="*","",IFERROR(INDEX(AGR!$E$52:$L$73,MATCH('TS DTech'!$C126,AGR!$B$52:$B$73,0),MATCH('TS DTech'!$B126&amp;N$7,AGR!$E$46:$L$46&amp;AGR!$E$48:$L$48,0)),""))</f>
        <v/>
      </c>
      <c r="O126" s="296" t="str">
        <f t="array" aca="1" ref="O126" ca="1">IF($A126="*","",IFERROR(INDEX(AGR!$E$52:$L$73,MATCH('TS DTech'!$C126,AGR!$B$52:$B$73,0),MATCH('TS DTech'!$B126&amp;O$7,AGR!$E$46:$L$46&amp;AGR!$E$48:$L$48,0)),""))</f>
        <v/>
      </c>
      <c r="P126" s="296" t="str">
        <f t="array" aca="1" ref="P126" ca="1">IF($A126="*","",IFERROR(INDEX(AGR!$E$52:$L$73,MATCH('TS DTech'!$C126,AGR!$B$52:$B$73,0),MATCH('TS DTech'!$B126&amp;P$7,AGR!$E$46:$L$46&amp;AGR!$E$48:$L$48,0)),""))</f>
        <v/>
      </c>
      <c r="Q126" s="296" t="str">
        <f t="array" aca="1" ref="Q126" ca="1">IF($A126="*","",IFERROR(INDEX(AGR!$E$52:$L$73,MATCH('TS DTech'!$C126,AGR!$B$52:$B$73,0),MATCH('TS DTech'!$B126&amp;Q$7,AGR!$E$46:$L$46&amp;AGR!$E$48:$L$48,0)),""))</f>
        <v/>
      </c>
      <c r="R126" s="296" t="str">
        <f t="array" aca="1" ref="R126" ca="1">IF($A126="*","",IFERROR(INDEX(AGR!$E$52:$L$73,MATCH('TS DTech'!$C126,AGR!$B$52:$B$73,0),MATCH('TS DTech'!$B126&amp;R$7,AGR!$E$46:$L$46&amp;AGR!$E$48:$L$48,0)),""))</f>
        <v/>
      </c>
      <c r="S126" s="296" t="str">
        <f t="array" aca="1" ref="S126" ca="1">IF($A126="*","",IFERROR(INDEX(AGR!$E$52:$L$73,MATCH('TS DTech'!$C126,AGR!$B$52:$B$73,0),MATCH('TS DTech'!$B126&amp;S$7,AGR!$E$46:$L$46&amp;AGR!$E$48:$L$48,0)),""))</f>
        <v/>
      </c>
      <c r="T126" s="296" t="str">
        <f t="array" aca="1" ref="T126" ca="1">IF($A126="*","",IFERROR(INDEX(AGR!$E$52:$L$73,MATCH('TS DTech'!$C126,AGR!$B$52:$B$73,0),MATCH('TS DTech'!$B126&amp;T$7,AGR!$E$46:$L$46&amp;AGR!$E$48:$L$48,0)),""))</f>
        <v/>
      </c>
      <c r="U126" s="296" t="str">
        <f t="array" aca="1" ref="U126" ca="1">IF($A126="*","",IFERROR(INDEX(AGR!$E$52:$L$73,MATCH('TS DTech'!$C126,AGR!$B$52:$B$73,0),MATCH('TS DTech'!$B126&amp;U$7,AGR!$E$46:$L$46&amp;AGR!$E$48:$L$48,0)),""))</f>
        <v/>
      </c>
      <c r="V126" s="296" t="str">
        <f t="array" aca="1" ref="V126" ca="1">IF($A126="*","",IFERROR(INDEX(AGR!$E$52:$L$73,MATCH('TS DTech'!$C126,AGR!$B$52:$B$73,0),MATCH('TS DTech'!$B126&amp;V$7,AGR!$E$46:$L$46&amp;AGR!$E$48:$L$48,0)),""))</f>
        <v/>
      </c>
      <c r="W126" s="296" t="str">
        <f t="array" aca="1" ref="W126" ca="1">IF($A126="*","",IFERROR(INDEX(AGR!$E$52:$L$73,MATCH('TS DTech'!$C126,AGR!$B$52:$B$73,0),MATCH('TS DTech'!$B126&amp;W$7,AGR!$E$46:$L$46&amp;AGR!$E$48:$L$48,0)),""))</f>
        <v/>
      </c>
      <c r="X126" s="296" t="str">
        <f t="array" aca="1" ref="X126" ca="1">IF($A126="*","",IFERROR(INDEX(AGR!$E$52:$L$73,MATCH('TS DTech'!$C126,AGR!$B$52:$B$73,0),MATCH('TS DTech'!$B126&amp;X$7,AGR!$E$46:$L$46&amp;AGR!$E$48:$L$48,0)),""))</f>
        <v/>
      </c>
      <c r="Y126" s="296" t="str">
        <f t="array" aca="1" ref="Y126" ca="1">IF($A126="*","",IFERROR(INDEX(AGR!$E$52:$L$73,MATCH('TS DTech'!$C126,AGR!$B$52:$B$73,0),MATCH('TS DTech'!$B126&amp;Y$7,AGR!$E$46:$L$46&amp;AGR!$E$48:$L$48,0)),""))</f>
        <v/>
      </c>
      <c r="Z126" s="296" t="str">
        <f t="array" aca="1" ref="Z126" ca="1">IF($A126="*","",IFERROR(INDEX(AGR!$E$52:$L$73,MATCH('TS DTech'!$C126,AGR!$B$52:$B$73,0),MATCH('TS DTech'!$B126&amp;Z$7,AGR!$E$46:$L$46&amp;AGR!$E$48:$L$48,0)),""))</f>
        <v/>
      </c>
      <c r="AA126" s="296" t="str">
        <f t="array" aca="1" ref="AA126" ca="1">IF($A126="*","",IFERROR(INDEX(AGR!$E$52:$L$73,MATCH('TS DTech'!$C126,AGR!$B$52:$B$73,0),MATCH('TS DTech'!$B126&amp;AA$7,AGR!$E$46:$L$46&amp;AGR!$E$48:$L$48,0)),""))</f>
        <v/>
      </c>
      <c r="AB126" s="296" t="str">
        <f t="array" aca="1" ref="AB126" ca="1">IF($A126="*","",IFERROR(INDEX(AGR!$E$52:$L$73,MATCH('TS DTech'!$C126,AGR!$B$52:$B$73,0),MATCH('TS DTech'!$B126&amp;AB$7,AGR!$E$46:$L$46&amp;AGR!$E$48:$L$48,0)),""))</f>
        <v/>
      </c>
      <c r="AC126" s="296" t="str">
        <f t="array" aca="1" ref="AC126" ca="1">IF($A126="*","",IFERROR(INDEX(AGR!$E$52:$L$73,MATCH('TS DTech'!$C126,AGR!$B$52:$B$73,0),MATCH('TS DTech'!$B126&amp;AC$7,AGR!$E$46:$L$46&amp;AGR!$E$48:$L$48,0)),""))</f>
        <v/>
      </c>
      <c r="AD126" s="296" t="str">
        <f t="array" aca="1" ref="AD126" ca="1">IF($A126="*","",IFERROR(INDEX(AGR!$E$52:$L$73,MATCH('TS DTech'!$C126,AGR!$B$52:$B$73,0),MATCH('TS DTech'!$B126&amp;AD$7,AGR!$E$46:$L$46&amp;AGR!$E$48:$L$48,0)),""))</f>
        <v/>
      </c>
      <c r="AE126" s="296" t="str">
        <f t="array" aca="1" ref="AE126" ca="1">IF($A126="*","",IFERROR(INDEX(AGR!$E$52:$L$73,MATCH('TS DTech'!$C126,AGR!$B$52:$B$73,0),MATCH('TS DTech'!$B126&amp;AE$7,AGR!$E$46:$L$46&amp;AGR!$E$48:$L$48,0)),""))</f>
        <v/>
      </c>
      <c r="AF126" s="296" t="str">
        <f t="array" aca="1" ref="AF126" ca="1">IF($A126="*","",IFERROR(INDEX(AGR!$E$52:$L$73,MATCH('TS DTech'!$C126,AGR!$B$52:$B$73,0),MATCH('TS DTech'!$B126&amp;AF$7,AGR!$E$46:$L$46&amp;AGR!$E$48:$L$48,0)),""))</f>
        <v/>
      </c>
      <c r="AG126" s="296" t="str">
        <f t="array" aca="1" ref="AG126" ca="1">IF($A126="*","",IFERROR(INDEX(AGR!$E$52:$L$73,MATCH('TS DTech'!$C126,AGR!$B$52:$B$73,0),MATCH('TS DTech'!$B126&amp;AG$7,AGR!$E$46:$L$46&amp;AGR!$E$48:$L$48,0)),""))</f>
        <v/>
      </c>
      <c r="AH126" s="296" t="str">
        <f t="array" aca="1" ref="AH126" ca="1">IF($A126="*","",IFERROR(INDEX(AGR!$E$52:$L$73,MATCH('TS DTech'!$C126,AGR!$B$52:$B$73,0),MATCH('TS DTech'!$B126&amp;AH$7,AGR!$E$46:$L$46&amp;AGR!$E$48:$L$48,0)),""))</f>
        <v/>
      </c>
      <c r="AI126" s="296" t="str">
        <f t="array" aca="1" ref="AI126" ca="1">IF($A126="*","",IFERROR(INDEX(AGR!$E$52:$L$73,MATCH('TS DTech'!$C126,AGR!$B$52:$B$73,0),MATCH('TS DTech'!$B126&amp;AI$7,AGR!$E$46:$L$46&amp;AGR!$E$48:$L$48,0)),""))</f>
        <v/>
      </c>
      <c r="AJ126" s="296" t="str">
        <f t="array" aca="1" ref="AJ126" ca="1">IF($A126="*","",IFERROR(INDEX(AGR!$E$52:$L$73,MATCH('TS DTech'!$C126,AGR!$B$52:$B$73,0),MATCH('TS DTech'!$B126&amp;AJ$7,AGR!$E$46:$L$46&amp;AGR!$E$48:$L$48,0)),""))</f>
        <v/>
      </c>
      <c r="AK126" s="296" t="str">
        <f t="array" aca="1" ref="AK126" ca="1">IF($A126="*","",IFERROR(INDEX(AGR!$E$52:$L$73,MATCH('TS DTech'!$C126,AGR!$B$52:$B$73,0),MATCH('TS DTech'!$B126&amp;AK$7,AGR!$E$46:$L$46&amp;AGR!$E$48:$L$48,0)),""))</f>
        <v/>
      </c>
      <c r="AL126" s="296" t="str">
        <f t="array" aca="1" ref="AL126" ca="1">IF($A126="*","",IFERROR(INDEX(AGR!$E$52:$L$73,MATCH('TS DTech'!$C126,AGR!$B$52:$B$73,0),MATCH('TS DTech'!$B126&amp;AL$7,AGR!$E$46:$L$46&amp;AGR!$E$48:$L$48,0)),""))</f>
        <v/>
      </c>
      <c r="AM126" s="296" t="str">
        <f t="array" aca="1" ref="AM126" ca="1">IF($A126="*","",IFERROR(INDEX(AGR!$E$52:$L$73,MATCH('TS DTech'!$C126,AGR!$B$52:$B$73,0),MATCH('TS DTech'!$B126&amp;AM$7,AGR!$E$46:$L$46&amp;AGR!$E$48:$L$48,0)),""))</f>
        <v/>
      </c>
      <c r="AN126" s="296" t="str">
        <f t="array" aca="1" ref="AN126" ca="1">IF($A126="*","",IFERROR(INDEX(AGR!$E$52:$L$73,MATCH('TS DTech'!$C126,AGR!$B$52:$B$73,0),MATCH('TS DTech'!$B126&amp;AN$7,AGR!$E$46:$L$46&amp;AGR!$E$48:$L$48,0)),""))</f>
        <v/>
      </c>
      <c r="AO126" s="296" t="str">
        <f t="array" aca="1" ref="AO126" ca="1">IF($A126="*","",IFERROR(INDEX(AGR!$E$52:$L$73,MATCH('TS DTech'!$C126,AGR!$B$52:$B$73,0),MATCH('TS DTech'!$B126&amp;AO$7,AGR!$E$46:$L$46&amp;AGR!$E$48:$L$48,0)),""))</f>
        <v/>
      </c>
      <c r="AP126" s="296" t="str">
        <f t="array" aca="1" ref="AP126" ca="1">IF($A126="*","",IFERROR(INDEX(AGR!$E$52:$L$73,MATCH('TS DTech'!$C126,AGR!$B$52:$B$73,0),MATCH('TS DTech'!$B126&amp;AP$7,AGR!$E$46:$L$46&amp;AGR!$E$48:$L$48,0)),""))</f>
        <v/>
      </c>
      <c r="AQ126" s="137">
        <f>IF(AR125=AGR!$AD$74,AQ125+1,AQ125)</f>
        <v>5</v>
      </c>
      <c r="AR126" s="137">
        <f t="shared" si="13"/>
        <v>19</v>
      </c>
    </row>
    <row r="127" spans="1:44">
      <c r="A127" s="137" t="str">
        <f ca="1">IF(LEFT(OFFSET(AGR!$A$51,AR127,0),2)="\I","*","")</f>
        <v>*</v>
      </c>
      <c r="B127" s="212" t="str">
        <f t="shared" ca="1" si="10"/>
        <v/>
      </c>
      <c r="C127" s="212" t="str">
        <f ca="1">IF($A127="*","",OFFSET(AGR!$B$51,AR127,0))</f>
        <v/>
      </c>
      <c r="D127" s="212" t="str">
        <f t="shared" ca="1" si="12"/>
        <v/>
      </c>
      <c r="E127" s="212" t="str">
        <f t="shared" ca="1" si="12"/>
        <v/>
      </c>
      <c r="F127" s="212" t="str">
        <f t="shared" ca="1" si="12"/>
        <v/>
      </c>
      <c r="G127" s="212" t="str">
        <f t="shared" ca="1" si="12"/>
        <v/>
      </c>
      <c r="H127" s="212" t="str">
        <f t="shared" ca="1" si="12"/>
        <v/>
      </c>
      <c r="I127" s="213" t="str">
        <f t="shared" ca="1" si="12"/>
        <v/>
      </c>
      <c r="J127" s="296" t="str">
        <f t="array" aca="1" ref="J127" ca="1">IF($A127="*","",IFERROR(INDEX(AGR!$E$52:$L$73,MATCH('TS DTech'!$C127,AGR!$B$52:$B$73,0),MATCH('TS DTech'!$B127&amp;J$7,AGR!$E$46:$L$46&amp;AGR!$E$48:$L$48,0)),""))</f>
        <v/>
      </c>
      <c r="K127" s="296" t="str">
        <f t="array" aca="1" ref="K127" ca="1">IF($A127="*","",IFERROR(INDEX(AGR!$E$52:$L$73,MATCH('TS DTech'!$C127,AGR!$B$52:$B$73,0),MATCH('TS DTech'!$B127&amp;K$7,AGR!$E$46:$L$46&amp;AGR!$E$48:$L$48,0)),""))</f>
        <v/>
      </c>
      <c r="L127" s="296" t="str">
        <f t="array" aca="1" ref="L127" ca="1">IF($A127="*","",IFERROR(INDEX(AGR!$E$52:$L$73,MATCH('TS DTech'!$C127,AGR!$B$52:$B$73,0),MATCH('TS DTech'!$B127&amp;L$7,AGR!$E$46:$L$46&amp;AGR!$E$48:$L$48,0)),""))</f>
        <v/>
      </c>
      <c r="M127" s="296" t="str">
        <f t="array" aca="1" ref="M127" ca="1">IF($A127="*","",IFERROR(INDEX(AGR!$E$52:$L$73,MATCH('TS DTech'!$C127,AGR!$B$52:$B$73,0),MATCH('TS DTech'!$B127&amp;M$7,AGR!$E$46:$L$46&amp;AGR!$E$48:$L$48,0)),""))</f>
        <v/>
      </c>
      <c r="N127" s="296" t="str">
        <f t="array" aca="1" ref="N127" ca="1">IF($A127="*","",IFERROR(INDEX(AGR!$E$52:$L$73,MATCH('TS DTech'!$C127,AGR!$B$52:$B$73,0),MATCH('TS DTech'!$B127&amp;N$7,AGR!$E$46:$L$46&amp;AGR!$E$48:$L$48,0)),""))</f>
        <v/>
      </c>
      <c r="O127" s="296" t="str">
        <f t="array" aca="1" ref="O127" ca="1">IF($A127="*","",IFERROR(INDEX(AGR!$E$52:$L$73,MATCH('TS DTech'!$C127,AGR!$B$52:$B$73,0),MATCH('TS DTech'!$B127&amp;O$7,AGR!$E$46:$L$46&amp;AGR!$E$48:$L$48,0)),""))</f>
        <v/>
      </c>
      <c r="P127" s="296" t="str">
        <f t="array" aca="1" ref="P127" ca="1">IF($A127="*","",IFERROR(INDEX(AGR!$E$52:$L$73,MATCH('TS DTech'!$C127,AGR!$B$52:$B$73,0),MATCH('TS DTech'!$B127&amp;P$7,AGR!$E$46:$L$46&amp;AGR!$E$48:$L$48,0)),""))</f>
        <v/>
      </c>
      <c r="Q127" s="296" t="str">
        <f t="array" aca="1" ref="Q127" ca="1">IF($A127="*","",IFERROR(INDEX(AGR!$E$52:$L$73,MATCH('TS DTech'!$C127,AGR!$B$52:$B$73,0),MATCH('TS DTech'!$B127&amp;Q$7,AGR!$E$46:$L$46&amp;AGR!$E$48:$L$48,0)),""))</f>
        <v/>
      </c>
      <c r="R127" s="296" t="str">
        <f t="array" aca="1" ref="R127" ca="1">IF($A127="*","",IFERROR(INDEX(AGR!$E$52:$L$73,MATCH('TS DTech'!$C127,AGR!$B$52:$B$73,0),MATCH('TS DTech'!$B127&amp;R$7,AGR!$E$46:$L$46&amp;AGR!$E$48:$L$48,0)),""))</f>
        <v/>
      </c>
      <c r="S127" s="296" t="str">
        <f t="array" aca="1" ref="S127" ca="1">IF($A127="*","",IFERROR(INDEX(AGR!$E$52:$L$73,MATCH('TS DTech'!$C127,AGR!$B$52:$B$73,0),MATCH('TS DTech'!$B127&amp;S$7,AGR!$E$46:$L$46&amp;AGR!$E$48:$L$48,0)),""))</f>
        <v/>
      </c>
      <c r="T127" s="296" t="str">
        <f t="array" aca="1" ref="T127" ca="1">IF($A127="*","",IFERROR(INDEX(AGR!$E$52:$L$73,MATCH('TS DTech'!$C127,AGR!$B$52:$B$73,0),MATCH('TS DTech'!$B127&amp;T$7,AGR!$E$46:$L$46&amp;AGR!$E$48:$L$48,0)),""))</f>
        <v/>
      </c>
      <c r="U127" s="296" t="str">
        <f t="array" aca="1" ref="U127" ca="1">IF($A127="*","",IFERROR(INDEX(AGR!$E$52:$L$73,MATCH('TS DTech'!$C127,AGR!$B$52:$B$73,0),MATCH('TS DTech'!$B127&amp;U$7,AGR!$E$46:$L$46&amp;AGR!$E$48:$L$48,0)),""))</f>
        <v/>
      </c>
      <c r="V127" s="296" t="str">
        <f t="array" aca="1" ref="V127" ca="1">IF($A127="*","",IFERROR(INDEX(AGR!$E$52:$L$73,MATCH('TS DTech'!$C127,AGR!$B$52:$B$73,0),MATCH('TS DTech'!$B127&amp;V$7,AGR!$E$46:$L$46&amp;AGR!$E$48:$L$48,0)),""))</f>
        <v/>
      </c>
      <c r="W127" s="296" t="str">
        <f t="array" aca="1" ref="W127" ca="1">IF($A127="*","",IFERROR(INDEX(AGR!$E$52:$L$73,MATCH('TS DTech'!$C127,AGR!$B$52:$B$73,0),MATCH('TS DTech'!$B127&amp;W$7,AGR!$E$46:$L$46&amp;AGR!$E$48:$L$48,0)),""))</f>
        <v/>
      </c>
      <c r="X127" s="296" t="str">
        <f t="array" aca="1" ref="X127" ca="1">IF($A127="*","",IFERROR(INDEX(AGR!$E$52:$L$73,MATCH('TS DTech'!$C127,AGR!$B$52:$B$73,0),MATCH('TS DTech'!$B127&amp;X$7,AGR!$E$46:$L$46&amp;AGR!$E$48:$L$48,0)),""))</f>
        <v/>
      </c>
      <c r="Y127" s="296" t="str">
        <f t="array" aca="1" ref="Y127" ca="1">IF($A127="*","",IFERROR(INDEX(AGR!$E$52:$L$73,MATCH('TS DTech'!$C127,AGR!$B$52:$B$73,0),MATCH('TS DTech'!$B127&amp;Y$7,AGR!$E$46:$L$46&amp;AGR!$E$48:$L$48,0)),""))</f>
        <v/>
      </c>
      <c r="Z127" s="296" t="str">
        <f t="array" aca="1" ref="Z127" ca="1">IF($A127="*","",IFERROR(INDEX(AGR!$E$52:$L$73,MATCH('TS DTech'!$C127,AGR!$B$52:$B$73,0),MATCH('TS DTech'!$B127&amp;Z$7,AGR!$E$46:$L$46&amp;AGR!$E$48:$L$48,0)),""))</f>
        <v/>
      </c>
      <c r="AA127" s="296" t="str">
        <f t="array" aca="1" ref="AA127" ca="1">IF($A127="*","",IFERROR(INDEX(AGR!$E$52:$L$73,MATCH('TS DTech'!$C127,AGR!$B$52:$B$73,0),MATCH('TS DTech'!$B127&amp;AA$7,AGR!$E$46:$L$46&amp;AGR!$E$48:$L$48,0)),""))</f>
        <v/>
      </c>
      <c r="AB127" s="296" t="str">
        <f t="array" aca="1" ref="AB127" ca="1">IF($A127="*","",IFERROR(INDEX(AGR!$E$52:$L$73,MATCH('TS DTech'!$C127,AGR!$B$52:$B$73,0),MATCH('TS DTech'!$B127&amp;AB$7,AGR!$E$46:$L$46&amp;AGR!$E$48:$L$48,0)),""))</f>
        <v/>
      </c>
      <c r="AC127" s="296" t="str">
        <f t="array" aca="1" ref="AC127" ca="1">IF($A127="*","",IFERROR(INDEX(AGR!$E$52:$L$73,MATCH('TS DTech'!$C127,AGR!$B$52:$B$73,0),MATCH('TS DTech'!$B127&amp;AC$7,AGR!$E$46:$L$46&amp;AGR!$E$48:$L$48,0)),""))</f>
        <v/>
      </c>
      <c r="AD127" s="296" t="str">
        <f t="array" aca="1" ref="AD127" ca="1">IF($A127="*","",IFERROR(INDEX(AGR!$E$52:$L$73,MATCH('TS DTech'!$C127,AGR!$B$52:$B$73,0),MATCH('TS DTech'!$B127&amp;AD$7,AGR!$E$46:$L$46&amp;AGR!$E$48:$L$48,0)),""))</f>
        <v/>
      </c>
      <c r="AE127" s="296" t="str">
        <f t="array" aca="1" ref="AE127" ca="1">IF($A127="*","",IFERROR(INDEX(AGR!$E$52:$L$73,MATCH('TS DTech'!$C127,AGR!$B$52:$B$73,0),MATCH('TS DTech'!$B127&amp;AE$7,AGR!$E$46:$L$46&amp;AGR!$E$48:$L$48,0)),""))</f>
        <v/>
      </c>
      <c r="AF127" s="296" t="str">
        <f t="array" aca="1" ref="AF127" ca="1">IF($A127="*","",IFERROR(INDEX(AGR!$E$52:$L$73,MATCH('TS DTech'!$C127,AGR!$B$52:$B$73,0),MATCH('TS DTech'!$B127&amp;AF$7,AGR!$E$46:$L$46&amp;AGR!$E$48:$L$48,0)),""))</f>
        <v/>
      </c>
      <c r="AG127" s="296" t="str">
        <f t="array" aca="1" ref="AG127" ca="1">IF($A127="*","",IFERROR(INDEX(AGR!$E$52:$L$73,MATCH('TS DTech'!$C127,AGR!$B$52:$B$73,0),MATCH('TS DTech'!$B127&amp;AG$7,AGR!$E$46:$L$46&amp;AGR!$E$48:$L$48,0)),""))</f>
        <v/>
      </c>
      <c r="AH127" s="296" t="str">
        <f t="array" aca="1" ref="AH127" ca="1">IF($A127="*","",IFERROR(INDEX(AGR!$E$52:$L$73,MATCH('TS DTech'!$C127,AGR!$B$52:$B$73,0),MATCH('TS DTech'!$B127&amp;AH$7,AGR!$E$46:$L$46&amp;AGR!$E$48:$L$48,0)),""))</f>
        <v/>
      </c>
      <c r="AI127" s="296" t="str">
        <f t="array" aca="1" ref="AI127" ca="1">IF($A127="*","",IFERROR(INDEX(AGR!$E$52:$L$73,MATCH('TS DTech'!$C127,AGR!$B$52:$B$73,0),MATCH('TS DTech'!$B127&amp;AI$7,AGR!$E$46:$L$46&amp;AGR!$E$48:$L$48,0)),""))</f>
        <v/>
      </c>
      <c r="AJ127" s="296" t="str">
        <f t="array" aca="1" ref="AJ127" ca="1">IF($A127="*","",IFERROR(INDEX(AGR!$E$52:$L$73,MATCH('TS DTech'!$C127,AGR!$B$52:$B$73,0),MATCH('TS DTech'!$B127&amp;AJ$7,AGR!$E$46:$L$46&amp;AGR!$E$48:$L$48,0)),""))</f>
        <v/>
      </c>
      <c r="AK127" s="296" t="str">
        <f t="array" aca="1" ref="AK127" ca="1">IF($A127="*","",IFERROR(INDEX(AGR!$E$52:$L$73,MATCH('TS DTech'!$C127,AGR!$B$52:$B$73,0),MATCH('TS DTech'!$B127&amp;AK$7,AGR!$E$46:$L$46&amp;AGR!$E$48:$L$48,0)),""))</f>
        <v/>
      </c>
      <c r="AL127" s="296" t="str">
        <f t="array" aca="1" ref="AL127" ca="1">IF($A127="*","",IFERROR(INDEX(AGR!$E$52:$L$73,MATCH('TS DTech'!$C127,AGR!$B$52:$B$73,0),MATCH('TS DTech'!$B127&amp;AL$7,AGR!$E$46:$L$46&amp;AGR!$E$48:$L$48,0)),""))</f>
        <v/>
      </c>
      <c r="AM127" s="296" t="str">
        <f t="array" aca="1" ref="AM127" ca="1">IF($A127="*","",IFERROR(INDEX(AGR!$E$52:$L$73,MATCH('TS DTech'!$C127,AGR!$B$52:$B$73,0),MATCH('TS DTech'!$B127&amp;AM$7,AGR!$E$46:$L$46&amp;AGR!$E$48:$L$48,0)),""))</f>
        <v/>
      </c>
      <c r="AN127" s="296" t="str">
        <f t="array" aca="1" ref="AN127" ca="1">IF($A127="*","",IFERROR(INDEX(AGR!$E$52:$L$73,MATCH('TS DTech'!$C127,AGR!$B$52:$B$73,0),MATCH('TS DTech'!$B127&amp;AN$7,AGR!$E$46:$L$46&amp;AGR!$E$48:$L$48,0)),""))</f>
        <v/>
      </c>
      <c r="AO127" s="296" t="str">
        <f t="array" aca="1" ref="AO127" ca="1">IF($A127="*","",IFERROR(INDEX(AGR!$E$52:$L$73,MATCH('TS DTech'!$C127,AGR!$B$52:$B$73,0),MATCH('TS DTech'!$B127&amp;AO$7,AGR!$E$46:$L$46&amp;AGR!$E$48:$L$48,0)),""))</f>
        <v/>
      </c>
      <c r="AP127" s="296" t="str">
        <f t="array" aca="1" ref="AP127" ca="1">IF($A127="*","",IFERROR(INDEX(AGR!$E$52:$L$73,MATCH('TS DTech'!$C127,AGR!$B$52:$B$73,0),MATCH('TS DTech'!$B127&amp;AP$7,AGR!$E$46:$L$46&amp;AGR!$E$48:$L$48,0)),""))</f>
        <v/>
      </c>
      <c r="AQ127" s="137">
        <f>IF(AR126=AGR!$AD$74,AQ126+1,AQ126)</f>
        <v>5</v>
      </c>
      <c r="AR127" s="137">
        <f t="shared" si="13"/>
        <v>20</v>
      </c>
    </row>
    <row r="128" spans="1:44">
      <c r="A128" s="137" t="str">
        <f ca="1">IF(LEFT(OFFSET(AGR!$A$51,AR128,0),2)="\I","*","")</f>
        <v/>
      </c>
      <c r="B128" s="212" t="str">
        <f t="shared" ca="1" si="10"/>
        <v>PRC_RESID</v>
      </c>
      <c r="C128" s="212" t="str">
        <f ca="1">IF($A128="*","",OFFSET(AGR!$B$51,AR128,0))</f>
        <v>AOELC-E</v>
      </c>
      <c r="D128" s="212" t="str">
        <f t="shared" ca="1" si="12"/>
        <v>-</v>
      </c>
      <c r="E128" s="212" t="str">
        <f t="shared" ca="1" si="12"/>
        <v>-</v>
      </c>
      <c r="F128" s="212" t="str">
        <f t="shared" ca="1" si="12"/>
        <v>-</v>
      </c>
      <c r="G128" s="212" t="str">
        <f t="shared" ca="1" si="12"/>
        <v>-</v>
      </c>
      <c r="H128" s="212" t="str">
        <f t="shared" ca="1" si="12"/>
        <v>-</v>
      </c>
      <c r="I128" s="213">
        <f t="shared" ca="1" si="12"/>
        <v>0</v>
      </c>
      <c r="J128" s="296">
        <f t="array" aca="1" ref="J128" ca="1">IF($A128="*","",IFERROR(INDEX(AGR!$E$52:$L$73,MATCH('TS DTech'!$C128,AGR!$B$52:$B$73,0),MATCH('TS DTech'!$B128&amp;J$7,AGR!$E$46:$L$46&amp;AGR!$E$48:$L$48,0)),""))</f>
        <v>8.5153691780784957</v>
      </c>
      <c r="K128" s="296" t="str">
        <f t="array" aca="1" ref="K128" ca="1">IF($A128="*","",IFERROR(INDEX(AGR!$E$52:$L$73,MATCH('TS DTech'!$C128,AGR!$B$52:$B$73,0),MATCH('TS DTech'!$B128&amp;K$7,AGR!$E$46:$L$46&amp;AGR!$E$48:$L$48,0)),""))</f>
        <v/>
      </c>
      <c r="L128" s="296" t="str">
        <f t="array" aca="1" ref="L128" ca="1">IF($A128="*","",IFERROR(INDEX(AGR!$E$52:$L$73,MATCH('TS DTech'!$C128,AGR!$B$52:$B$73,0),MATCH('TS DTech'!$B128&amp;L$7,AGR!$E$46:$L$46&amp;AGR!$E$48:$L$48,0)),""))</f>
        <v/>
      </c>
      <c r="M128" s="296" t="str">
        <f t="array" aca="1" ref="M128" ca="1">IF($A128="*","",IFERROR(INDEX(AGR!$E$52:$L$73,MATCH('TS DTech'!$C128,AGR!$B$52:$B$73,0),MATCH('TS DTech'!$B128&amp;M$7,AGR!$E$46:$L$46&amp;AGR!$E$48:$L$48,0)),""))</f>
        <v/>
      </c>
      <c r="N128" s="296" t="str">
        <f t="array" aca="1" ref="N128" ca="1">IF($A128="*","",IFERROR(INDEX(AGR!$E$52:$L$73,MATCH('TS DTech'!$C128,AGR!$B$52:$B$73,0),MATCH('TS DTech'!$B128&amp;N$7,AGR!$E$46:$L$46&amp;AGR!$E$48:$L$48,0)),""))</f>
        <v/>
      </c>
      <c r="O128" s="296">
        <f t="array" aca="1" ref="O128" ca="1">IF($A128="*","",IFERROR(INDEX(AGR!$E$52:$L$73,MATCH('TS DTech'!$C128,AGR!$B$52:$B$73,0),MATCH('TS DTech'!$B128&amp;O$7,AGR!$E$46:$L$46&amp;AGR!$E$48:$L$48,0)),""))</f>
        <v>10.319784203640513</v>
      </c>
      <c r="P128" s="296" t="str">
        <f t="array" aca="1" ref="P128" ca="1">IF($A128="*","",IFERROR(INDEX(AGR!$E$52:$L$73,MATCH('TS DTech'!$C128,AGR!$B$52:$B$73,0),MATCH('TS DTech'!$B128&amp;P$7,AGR!$E$46:$L$46&amp;AGR!$E$48:$L$48,0)),""))</f>
        <v/>
      </c>
      <c r="Q128" s="296" t="str">
        <f t="array" aca="1" ref="Q128" ca="1">IF($A128="*","",IFERROR(INDEX(AGR!$E$52:$L$73,MATCH('TS DTech'!$C128,AGR!$B$52:$B$73,0),MATCH('TS DTech'!$B128&amp;Q$7,AGR!$E$46:$L$46&amp;AGR!$E$48:$L$48,0)),""))</f>
        <v/>
      </c>
      <c r="R128" s="296" t="str">
        <f t="array" aca="1" ref="R128" ca="1">IF($A128="*","",IFERROR(INDEX(AGR!$E$52:$L$73,MATCH('TS DTech'!$C128,AGR!$B$52:$B$73,0),MATCH('TS DTech'!$B128&amp;R$7,AGR!$E$46:$L$46&amp;AGR!$E$48:$L$48,0)),""))</f>
        <v/>
      </c>
      <c r="S128" s="296" t="str">
        <f t="array" aca="1" ref="S128" ca="1">IF($A128="*","",IFERROR(INDEX(AGR!$E$52:$L$73,MATCH('TS DTech'!$C128,AGR!$B$52:$B$73,0),MATCH('TS DTech'!$B128&amp;S$7,AGR!$E$46:$L$46&amp;AGR!$E$48:$L$48,0)),""))</f>
        <v/>
      </c>
      <c r="T128" s="296" t="str">
        <f t="array" aca="1" ref="T128" ca="1">IF($A128="*","",IFERROR(INDEX(AGR!$E$52:$L$73,MATCH('TS DTech'!$C128,AGR!$B$52:$B$73,0),MATCH('TS DTech'!$B128&amp;T$7,AGR!$E$46:$L$46&amp;AGR!$E$48:$L$48,0)),""))</f>
        <v/>
      </c>
      <c r="U128" s="296" t="str">
        <f t="array" aca="1" ref="U128" ca="1">IF($A128="*","",IFERROR(INDEX(AGR!$E$52:$L$73,MATCH('TS DTech'!$C128,AGR!$B$52:$B$73,0),MATCH('TS DTech'!$B128&amp;U$7,AGR!$E$46:$L$46&amp;AGR!$E$48:$L$48,0)),""))</f>
        <v/>
      </c>
      <c r="V128" s="296" t="str">
        <f t="array" aca="1" ref="V128" ca="1">IF($A128="*","",IFERROR(INDEX(AGR!$E$52:$L$73,MATCH('TS DTech'!$C128,AGR!$B$52:$B$73,0),MATCH('TS DTech'!$B128&amp;V$7,AGR!$E$46:$L$46&amp;AGR!$E$48:$L$48,0)),""))</f>
        <v/>
      </c>
      <c r="W128" s="296" t="str">
        <f t="array" aca="1" ref="W128" ca="1">IF($A128="*","",IFERROR(INDEX(AGR!$E$52:$L$73,MATCH('TS DTech'!$C128,AGR!$B$52:$B$73,0),MATCH('TS DTech'!$B128&amp;W$7,AGR!$E$46:$L$46&amp;AGR!$E$48:$L$48,0)),""))</f>
        <v/>
      </c>
      <c r="X128" s="296" t="str">
        <f t="array" aca="1" ref="X128" ca="1">IF($A128="*","",IFERROR(INDEX(AGR!$E$52:$L$73,MATCH('TS DTech'!$C128,AGR!$B$52:$B$73,0),MATCH('TS DTech'!$B128&amp;X$7,AGR!$E$46:$L$46&amp;AGR!$E$48:$L$48,0)),""))</f>
        <v/>
      </c>
      <c r="Y128" s="296" t="str">
        <f t="array" aca="1" ref="Y128" ca="1">IF($A128="*","",IFERROR(INDEX(AGR!$E$52:$L$73,MATCH('TS DTech'!$C128,AGR!$B$52:$B$73,0),MATCH('TS DTech'!$B128&amp;Y$7,AGR!$E$46:$L$46&amp;AGR!$E$48:$L$48,0)),""))</f>
        <v/>
      </c>
      <c r="Z128" s="296" t="str">
        <f t="array" aca="1" ref="Z128" ca="1">IF($A128="*","",IFERROR(INDEX(AGR!$E$52:$L$73,MATCH('TS DTech'!$C128,AGR!$B$52:$B$73,0),MATCH('TS DTech'!$B128&amp;Z$7,AGR!$E$46:$L$46&amp;AGR!$E$48:$L$48,0)),""))</f>
        <v/>
      </c>
      <c r="AA128" s="296" t="str">
        <f t="array" aca="1" ref="AA128" ca="1">IF($A128="*","",IFERROR(INDEX(AGR!$E$52:$L$73,MATCH('TS DTech'!$C128,AGR!$B$52:$B$73,0),MATCH('TS DTech'!$B128&amp;AA$7,AGR!$E$46:$L$46&amp;AGR!$E$48:$L$48,0)),""))</f>
        <v/>
      </c>
      <c r="AB128" s="296" t="str">
        <f t="array" aca="1" ref="AB128" ca="1">IF($A128="*","",IFERROR(INDEX(AGR!$E$52:$L$73,MATCH('TS DTech'!$C128,AGR!$B$52:$B$73,0),MATCH('TS DTech'!$B128&amp;AB$7,AGR!$E$46:$L$46&amp;AGR!$E$48:$L$48,0)),""))</f>
        <v/>
      </c>
      <c r="AC128" s="296" t="str">
        <f t="array" aca="1" ref="AC128" ca="1">IF($A128="*","",IFERROR(INDEX(AGR!$E$52:$L$73,MATCH('TS DTech'!$C128,AGR!$B$52:$B$73,0),MATCH('TS DTech'!$B128&amp;AC$7,AGR!$E$46:$L$46&amp;AGR!$E$48:$L$48,0)),""))</f>
        <v/>
      </c>
      <c r="AD128" s="296" t="str">
        <f t="array" aca="1" ref="AD128" ca="1">IF($A128="*","",IFERROR(INDEX(AGR!$E$52:$L$73,MATCH('TS DTech'!$C128,AGR!$B$52:$B$73,0),MATCH('TS DTech'!$B128&amp;AD$7,AGR!$E$46:$L$46&amp;AGR!$E$48:$L$48,0)),""))</f>
        <v/>
      </c>
      <c r="AE128" s="296" t="str">
        <f t="array" aca="1" ref="AE128" ca="1">IF($A128="*","",IFERROR(INDEX(AGR!$E$52:$L$73,MATCH('TS DTech'!$C128,AGR!$B$52:$B$73,0),MATCH('TS DTech'!$B128&amp;AE$7,AGR!$E$46:$L$46&amp;AGR!$E$48:$L$48,0)),""))</f>
        <v/>
      </c>
      <c r="AF128" s="296" t="str">
        <f t="array" aca="1" ref="AF128" ca="1">IF($A128="*","",IFERROR(INDEX(AGR!$E$52:$L$73,MATCH('TS DTech'!$C128,AGR!$B$52:$B$73,0),MATCH('TS DTech'!$B128&amp;AF$7,AGR!$E$46:$L$46&amp;AGR!$E$48:$L$48,0)),""))</f>
        <v/>
      </c>
      <c r="AG128" s="296" t="str">
        <f t="array" aca="1" ref="AG128" ca="1">IF($A128="*","",IFERROR(INDEX(AGR!$E$52:$L$73,MATCH('TS DTech'!$C128,AGR!$B$52:$B$73,0),MATCH('TS DTech'!$B128&amp;AG$7,AGR!$E$46:$L$46&amp;AGR!$E$48:$L$48,0)),""))</f>
        <v/>
      </c>
      <c r="AH128" s="296" t="str">
        <f t="array" aca="1" ref="AH128" ca="1">IF($A128="*","",IFERROR(INDEX(AGR!$E$52:$L$73,MATCH('TS DTech'!$C128,AGR!$B$52:$B$73,0),MATCH('TS DTech'!$B128&amp;AH$7,AGR!$E$46:$L$46&amp;AGR!$E$48:$L$48,0)),""))</f>
        <v/>
      </c>
      <c r="AI128" s="296" t="str">
        <f t="array" aca="1" ref="AI128" ca="1">IF($A128="*","",IFERROR(INDEX(AGR!$E$52:$L$73,MATCH('TS DTech'!$C128,AGR!$B$52:$B$73,0),MATCH('TS DTech'!$B128&amp;AI$7,AGR!$E$46:$L$46&amp;AGR!$E$48:$L$48,0)),""))</f>
        <v/>
      </c>
      <c r="AJ128" s="296" t="str">
        <f t="array" aca="1" ref="AJ128" ca="1">IF($A128="*","",IFERROR(INDEX(AGR!$E$52:$L$73,MATCH('TS DTech'!$C128,AGR!$B$52:$B$73,0),MATCH('TS DTech'!$B128&amp;AJ$7,AGR!$E$46:$L$46&amp;AGR!$E$48:$L$48,0)),""))</f>
        <v/>
      </c>
      <c r="AK128" s="296" t="str">
        <f t="array" aca="1" ref="AK128" ca="1">IF($A128="*","",IFERROR(INDEX(AGR!$E$52:$L$73,MATCH('TS DTech'!$C128,AGR!$B$52:$B$73,0),MATCH('TS DTech'!$B128&amp;AK$7,AGR!$E$46:$L$46&amp;AGR!$E$48:$L$48,0)),""))</f>
        <v/>
      </c>
      <c r="AL128" s="296" t="str">
        <f t="array" aca="1" ref="AL128" ca="1">IF($A128="*","",IFERROR(INDEX(AGR!$E$52:$L$73,MATCH('TS DTech'!$C128,AGR!$B$52:$B$73,0),MATCH('TS DTech'!$B128&amp;AL$7,AGR!$E$46:$L$46&amp;AGR!$E$48:$L$48,0)),""))</f>
        <v/>
      </c>
      <c r="AM128" s="296" t="str">
        <f t="array" aca="1" ref="AM128" ca="1">IF($A128="*","",IFERROR(INDEX(AGR!$E$52:$L$73,MATCH('TS DTech'!$C128,AGR!$B$52:$B$73,0),MATCH('TS DTech'!$B128&amp;AM$7,AGR!$E$46:$L$46&amp;AGR!$E$48:$L$48,0)),""))</f>
        <v/>
      </c>
      <c r="AN128" s="296" t="str">
        <f t="array" aca="1" ref="AN128" ca="1">IF($A128="*","",IFERROR(INDEX(AGR!$E$52:$L$73,MATCH('TS DTech'!$C128,AGR!$B$52:$B$73,0),MATCH('TS DTech'!$B128&amp;AN$7,AGR!$E$46:$L$46&amp;AGR!$E$48:$L$48,0)),""))</f>
        <v/>
      </c>
      <c r="AO128" s="296" t="str">
        <f t="array" aca="1" ref="AO128" ca="1">IF($A128="*","",IFERROR(INDEX(AGR!$E$52:$L$73,MATCH('TS DTech'!$C128,AGR!$B$52:$B$73,0),MATCH('TS DTech'!$B128&amp;AO$7,AGR!$E$46:$L$46&amp;AGR!$E$48:$L$48,0)),""))</f>
        <v/>
      </c>
      <c r="AP128" s="296" t="str">
        <f t="array" aca="1" ref="AP128" ca="1">IF($A128="*","",IFERROR(INDEX(AGR!$E$52:$L$73,MATCH('TS DTech'!$C128,AGR!$B$52:$B$73,0),MATCH('TS DTech'!$B128&amp;AP$7,AGR!$E$46:$L$46&amp;AGR!$E$48:$L$48,0)),""))</f>
        <v/>
      </c>
      <c r="AQ128" s="137">
        <f>IF(AR127=AGR!$AD$74,AQ127+1,AQ127)</f>
        <v>5</v>
      </c>
      <c r="AR128" s="137">
        <f t="shared" si="13"/>
        <v>21</v>
      </c>
    </row>
    <row r="129" spans="1:44">
      <c r="A129" s="137" t="str">
        <f ca="1">IF(LEFT(OFFSET(AGR!$A$51,AR129,0),2)="\I","*","")</f>
        <v>*</v>
      </c>
      <c r="B129" s="212" t="str">
        <f t="shared" ca="1" si="10"/>
        <v/>
      </c>
      <c r="C129" s="212" t="str">
        <f ca="1">IF($A129="*","",OFFSET(AGR!$B$51,AR129,0))</f>
        <v/>
      </c>
      <c r="D129" s="212" t="str">
        <f t="shared" ca="1" si="12"/>
        <v/>
      </c>
      <c r="E129" s="212" t="str">
        <f t="shared" ca="1" si="12"/>
        <v/>
      </c>
      <c r="F129" s="212" t="str">
        <f t="shared" ca="1" si="12"/>
        <v/>
      </c>
      <c r="G129" s="212" t="str">
        <f t="shared" ca="1" si="12"/>
        <v/>
      </c>
      <c r="H129" s="212" t="str">
        <f t="shared" ca="1" si="12"/>
        <v/>
      </c>
      <c r="I129" s="213" t="str">
        <f t="shared" ca="1" si="12"/>
        <v/>
      </c>
      <c r="J129" s="296" t="str">
        <f t="array" aca="1" ref="J129" ca="1">IF($A129="*","",IFERROR(INDEX(AGR!$E$52:$L$73,MATCH('TS DTech'!$C129,AGR!$B$52:$B$73,0),MATCH('TS DTech'!$B129&amp;J$7,AGR!$E$46:$L$46&amp;AGR!$E$48:$L$48,0)),""))</f>
        <v/>
      </c>
      <c r="K129" s="296" t="str">
        <f t="array" aca="1" ref="K129" ca="1">IF($A129="*","",IFERROR(INDEX(AGR!$E$52:$L$73,MATCH('TS DTech'!$C129,AGR!$B$52:$B$73,0),MATCH('TS DTech'!$B129&amp;K$7,AGR!$E$46:$L$46&amp;AGR!$E$48:$L$48,0)),""))</f>
        <v/>
      </c>
      <c r="L129" s="296" t="str">
        <f t="array" aca="1" ref="L129" ca="1">IF($A129="*","",IFERROR(INDEX(AGR!$E$52:$L$73,MATCH('TS DTech'!$C129,AGR!$B$52:$B$73,0),MATCH('TS DTech'!$B129&amp;L$7,AGR!$E$46:$L$46&amp;AGR!$E$48:$L$48,0)),""))</f>
        <v/>
      </c>
      <c r="M129" s="296" t="str">
        <f t="array" aca="1" ref="M129" ca="1">IF($A129="*","",IFERROR(INDEX(AGR!$E$52:$L$73,MATCH('TS DTech'!$C129,AGR!$B$52:$B$73,0),MATCH('TS DTech'!$B129&amp;M$7,AGR!$E$46:$L$46&amp;AGR!$E$48:$L$48,0)),""))</f>
        <v/>
      </c>
      <c r="N129" s="296" t="str">
        <f t="array" aca="1" ref="N129" ca="1">IF($A129="*","",IFERROR(INDEX(AGR!$E$52:$L$73,MATCH('TS DTech'!$C129,AGR!$B$52:$B$73,0),MATCH('TS DTech'!$B129&amp;N$7,AGR!$E$46:$L$46&amp;AGR!$E$48:$L$48,0)),""))</f>
        <v/>
      </c>
      <c r="O129" s="296" t="str">
        <f t="array" aca="1" ref="O129" ca="1">IF($A129="*","",IFERROR(INDEX(AGR!$E$52:$L$73,MATCH('TS DTech'!$C129,AGR!$B$52:$B$73,0),MATCH('TS DTech'!$B129&amp;O$7,AGR!$E$46:$L$46&amp;AGR!$E$48:$L$48,0)),""))</f>
        <v/>
      </c>
      <c r="P129" s="296" t="str">
        <f t="array" aca="1" ref="P129" ca="1">IF($A129="*","",IFERROR(INDEX(AGR!$E$52:$L$73,MATCH('TS DTech'!$C129,AGR!$B$52:$B$73,0),MATCH('TS DTech'!$B129&amp;P$7,AGR!$E$46:$L$46&amp;AGR!$E$48:$L$48,0)),""))</f>
        <v/>
      </c>
      <c r="Q129" s="296" t="str">
        <f t="array" aca="1" ref="Q129" ca="1">IF($A129="*","",IFERROR(INDEX(AGR!$E$52:$L$73,MATCH('TS DTech'!$C129,AGR!$B$52:$B$73,0),MATCH('TS DTech'!$B129&amp;Q$7,AGR!$E$46:$L$46&amp;AGR!$E$48:$L$48,0)),""))</f>
        <v/>
      </c>
      <c r="R129" s="296" t="str">
        <f t="array" aca="1" ref="R129" ca="1">IF($A129="*","",IFERROR(INDEX(AGR!$E$52:$L$73,MATCH('TS DTech'!$C129,AGR!$B$52:$B$73,0),MATCH('TS DTech'!$B129&amp;R$7,AGR!$E$46:$L$46&amp;AGR!$E$48:$L$48,0)),""))</f>
        <v/>
      </c>
      <c r="S129" s="296" t="str">
        <f t="array" aca="1" ref="S129" ca="1">IF($A129="*","",IFERROR(INDEX(AGR!$E$52:$L$73,MATCH('TS DTech'!$C129,AGR!$B$52:$B$73,0),MATCH('TS DTech'!$B129&amp;S$7,AGR!$E$46:$L$46&amp;AGR!$E$48:$L$48,0)),""))</f>
        <v/>
      </c>
      <c r="T129" s="296" t="str">
        <f t="array" aca="1" ref="T129" ca="1">IF($A129="*","",IFERROR(INDEX(AGR!$E$52:$L$73,MATCH('TS DTech'!$C129,AGR!$B$52:$B$73,0),MATCH('TS DTech'!$B129&amp;T$7,AGR!$E$46:$L$46&amp;AGR!$E$48:$L$48,0)),""))</f>
        <v/>
      </c>
      <c r="U129" s="296" t="str">
        <f t="array" aca="1" ref="U129" ca="1">IF($A129="*","",IFERROR(INDEX(AGR!$E$52:$L$73,MATCH('TS DTech'!$C129,AGR!$B$52:$B$73,0),MATCH('TS DTech'!$B129&amp;U$7,AGR!$E$46:$L$46&amp;AGR!$E$48:$L$48,0)),""))</f>
        <v/>
      </c>
      <c r="V129" s="296" t="str">
        <f t="array" aca="1" ref="V129" ca="1">IF($A129="*","",IFERROR(INDEX(AGR!$E$52:$L$73,MATCH('TS DTech'!$C129,AGR!$B$52:$B$73,0),MATCH('TS DTech'!$B129&amp;V$7,AGR!$E$46:$L$46&amp;AGR!$E$48:$L$48,0)),""))</f>
        <v/>
      </c>
      <c r="W129" s="296" t="str">
        <f t="array" aca="1" ref="W129" ca="1">IF($A129="*","",IFERROR(INDEX(AGR!$E$52:$L$73,MATCH('TS DTech'!$C129,AGR!$B$52:$B$73,0),MATCH('TS DTech'!$B129&amp;W$7,AGR!$E$46:$L$46&amp;AGR!$E$48:$L$48,0)),""))</f>
        <v/>
      </c>
      <c r="X129" s="296" t="str">
        <f t="array" aca="1" ref="X129" ca="1">IF($A129="*","",IFERROR(INDEX(AGR!$E$52:$L$73,MATCH('TS DTech'!$C129,AGR!$B$52:$B$73,0),MATCH('TS DTech'!$B129&amp;X$7,AGR!$E$46:$L$46&amp;AGR!$E$48:$L$48,0)),""))</f>
        <v/>
      </c>
      <c r="Y129" s="296" t="str">
        <f t="array" aca="1" ref="Y129" ca="1">IF($A129="*","",IFERROR(INDEX(AGR!$E$52:$L$73,MATCH('TS DTech'!$C129,AGR!$B$52:$B$73,0),MATCH('TS DTech'!$B129&amp;Y$7,AGR!$E$46:$L$46&amp;AGR!$E$48:$L$48,0)),""))</f>
        <v/>
      </c>
      <c r="Z129" s="296" t="str">
        <f t="array" aca="1" ref="Z129" ca="1">IF($A129="*","",IFERROR(INDEX(AGR!$E$52:$L$73,MATCH('TS DTech'!$C129,AGR!$B$52:$B$73,0),MATCH('TS DTech'!$B129&amp;Z$7,AGR!$E$46:$L$46&amp;AGR!$E$48:$L$48,0)),""))</f>
        <v/>
      </c>
      <c r="AA129" s="296" t="str">
        <f t="array" aca="1" ref="AA129" ca="1">IF($A129="*","",IFERROR(INDEX(AGR!$E$52:$L$73,MATCH('TS DTech'!$C129,AGR!$B$52:$B$73,0),MATCH('TS DTech'!$B129&amp;AA$7,AGR!$E$46:$L$46&amp;AGR!$E$48:$L$48,0)),""))</f>
        <v/>
      </c>
      <c r="AB129" s="296" t="str">
        <f t="array" aca="1" ref="AB129" ca="1">IF($A129="*","",IFERROR(INDEX(AGR!$E$52:$L$73,MATCH('TS DTech'!$C129,AGR!$B$52:$B$73,0),MATCH('TS DTech'!$B129&amp;AB$7,AGR!$E$46:$L$46&amp;AGR!$E$48:$L$48,0)),""))</f>
        <v/>
      </c>
      <c r="AC129" s="296" t="str">
        <f t="array" aca="1" ref="AC129" ca="1">IF($A129="*","",IFERROR(INDEX(AGR!$E$52:$L$73,MATCH('TS DTech'!$C129,AGR!$B$52:$B$73,0),MATCH('TS DTech'!$B129&amp;AC$7,AGR!$E$46:$L$46&amp;AGR!$E$48:$L$48,0)),""))</f>
        <v/>
      </c>
      <c r="AD129" s="296" t="str">
        <f t="array" aca="1" ref="AD129" ca="1">IF($A129="*","",IFERROR(INDEX(AGR!$E$52:$L$73,MATCH('TS DTech'!$C129,AGR!$B$52:$B$73,0),MATCH('TS DTech'!$B129&amp;AD$7,AGR!$E$46:$L$46&amp;AGR!$E$48:$L$48,0)),""))</f>
        <v/>
      </c>
      <c r="AE129" s="296" t="str">
        <f t="array" aca="1" ref="AE129" ca="1">IF($A129="*","",IFERROR(INDEX(AGR!$E$52:$L$73,MATCH('TS DTech'!$C129,AGR!$B$52:$B$73,0),MATCH('TS DTech'!$B129&amp;AE$7,AGR!$E$46:$L$46&amp;AGR!$E$48:$L$48,0)),""))</f>
        <v/>
      </c>
      <c r="AF129" s="296" t="str">
        <f t="array" aca="1" ref="AF129" ca="1">IF($A129="*","",IFERROR(INDEX(AGR!$E$52:$L$73,MATCH('TS DTech'!$C129,AGR!$B$52:$B$73,0),MATCH('TS DTech'!$B129&amp;AF$7,AGR!$E$46:$L$46&amp;AGR!$E$48:$L$48,0)),""))</f>
        <v/>
      </c>
      <c r="AG129" s="296" t="str">
        <f t="array" aca="1" ref="AG129" ca="1">IF($A129="*","",IFERROR(INDEX(AGR!$E$52:$L$73,MATCH('TS DTech'!$C129,AGR!$B$52:$B$73,0),MATCH('TS DTech'!$B129&amp;AG$7,AGR!$E$46:$L$46&amp;AGR!$E$48:$L$48,0)),""))</f>
        <v/>
      </c>
      <c r="AH129" s="296" t="str">
        <f t="array" aca="1" ref="AH129" ca="1">IF($A129="*","",IFERROR(INDEX(AGR!$E$52:$L$73,MATCH('TS DTech'!$C129,AGR!$B$52:$B$73,0),MATCH('TS DTech'!$B129&amp;AH$7,AGR!$E$46:$L$46&amp;AGR!$E$48:$L$48,0)),""))</f>
        <v/>
      </c>
      <c r="AI129" s="296" t="str">
        <f t="array" aca="1" ref="AI129" ca="1">IF($A129="*","",IFERROR(INDEX(AGR!$E$52:$L$73,MATCH('TS DTech'!$C129,AGR!$B$52:$B$73,0),MATCH('TS DTech'!$B129&amp;AI$7,AGR!$E$46:$L$46&amp;AGR!$E$48:$L$48,0)),""))</f>
        <v/>
      </c>
      <c r="AJ129" s="296" t="str">
        <f t="array" aca="1" ref="AJ129" ca="1">IF($A129="*","",IFERROR(INDEX(AGR!$E$52:$L$73,MATCH('TS DTech'!$C129,AGR!$B$52:$B$73,0),MATCH('TS DTech'!$B129&amp;AJ$7,AGR!$E$46:$L$46&amp;AGR!$E$48:$L$48,0)),""))</f>
        <v/>
      </c>
      <c r="AK129" s="296" t="str">
        <f t="array" aca="1" ref="AK129" ca="1">IF($A129="*","",IFERROR(INDEX(AGR!$E$52:$L$73,MATCH('TS DTech'!$C129,AGR!$B$52:$B$73,0),MATCH('TS DTech'!$B129&amp;AK$7,AGR!$E$46:$L$46&amp;AGR!$E$48:$L$48,0)),""))</f>
        <v/>
      </c>
      <c r="AL129" s="296" t="str">
        <f t="array" aca="1" ref="AL129" ca="1">IF($A129="*","",IFERROR(INDEX(AGR!$E$52:$L$73,MATCH('TS DTech'!$C129,AGR!$B$52:$B$73,0),MATCH('TS DTech'!$B129&amp;AL$7,AGR!$E$46:$L$46&amp;AGR!$E$48:$L$48,0)),""))</f>
        <v/>
      </c>
      <c r="AM129" s="296" t="str">
        <f t="array" aca="1" ref="AM129" ca="1">IF($A129="*","",IFERROR(INDEX(AGR!$E$52:$L$73,MATCH('TS DTech'!$C129,AGR!$B$52:$B$73,0),MATCH('TS DTech'!$B129&amp;AM$7,AGR!$E$46:$L$46&amp;AGR!$E$48:$L$48,0)),""))</f>
        <v/>
      </c>
      <c r="AN129" s="296" t="str">
        <f t="array" aca="1" ref="AN129" ca="1">IF($A129="*","",IFERROR(INDEX(AGR!$E$52:$L$73,MATCH('TS DTech'!$C129,AGR!$B$52:$B$73,0),MATCH('TS DTech'!$B129&amp;AN$7,AGR!$E$46:$L$46&amp;AGR!$E$48:$L$48,0)),""))</f>
        <v/>
      </c>
      <c r="AO129" s="296" t="str">
        <f t="array" aca="1" ref="AO129" ca="1">IF($A129="*","",IFERROR(INDEX(AGR!$E$52:$L$73,MATCH('TS DTech'!$C129,AGR!$B$52:$B$73,0),MATCH('TS DTech'!$B129&amp;AO$7,AGR!$E$46:$L$46&amp;AGR!$E$48:$L$48,0)),""))</f>
        <v/>
      </c>
      <c r="AP129" s="296" t="str">
        <f t="array" aca="1" ref="AP129" ca="1">IF($A129="*","",IFERROR(INDEX(AGR!$E$52:$L$73,MATCH('TS DTech'!$C129,AGR!$B$52:$B$73,0),MATCH('TS DTech'!$B129&amp;AP$7,AGR!$E$46:$L$46&amp;AGR!$E$48:$L$48,0)),""))</f>
        <v/>
      </c>
      <c r="AQ129" s="137">
        <f>IF(AR128=AGR!$AD$74,AQ128+1,AQ128)</f>
        <v>5</v>
      </c>
      <c r="AR129" s="137">
        <f t="shared" ref="AR129:AR130" si="14">IF(AQ129=AQ128,AR128+1,1)</f>
        <v>22</v>
      </c>
    </row>
    <row r="130" spans="1:44">
      <c r="A130" s="137" t="str">
        <f ca="1">IF(LEFT(OFFSET(AGR!$A$51,AR130,0),2)="\I","*","")</f>
        <v>*</v>
      </c>
      <c r="B130" s="212" t="str">
        <f t="shared" ca="1" si="10"/>
        <v/>
      </c>
      <c r="C130" s="212" t="str">
        <f ca="1">IF($A130="*","",OFFSET(AGR!$B$51,AR130,0))</f>
        <v/>
      </c>
      <c r="D130" s="212" t="str">
        <f t="shared" ca="1" si="12"/>
        <v/>
      </c>
      <c r="E130" s="212" t="str">
        <f t="shared" ca="1" si="12"/>
        <v/>
      </c>
      <c r="F130" s="212" t="str">
        <f t="shared" ca="1" si="12"/>
        <v/>
      </c>
      <c r="G130" s="212" t="str">
        <f t="shared" ca="1" si="12"/>
        <v/>
      </c>
      <c r="H130" s="212" t="str">
        <f t="shared" ca="1" si="12"/>
        <v/>
      </c>
      <c r="I130" s="213" t="str">
        <f t="shared" ca="1" si="12"/>
        <v/>
      </c>
      <c r="J130" s="296" t="str">
        <f t="array" aca="1" ref="J130" ca="1">IF($A130="*","",IFERROR(INDEX(AGR!$E$52:$L$73,MATCH('TS DTech'!$C130,AGR!$B$52:$B$73,0),MATCH('TS DTech'!$B130&amp;J$7,AGR!$E$46:$L$46&amp;AGR!$E$48:$L$48,0)),""))</f>
        <v/>
      </c>
      <c r="K130" s="296" t="str">
        <f t="array" aca="1" ref="K130" ca="1">IF($A130="*","",IFERROR(INDEX(AGR!$E$52:$L$73,MATCH('TS DTech'!$C130,AGR!$B$52:$B$73,0),MATCH('TS DTech'!$B130&amp;K$7,AGR!$E$46:$L$46&amp;AGR!$E$48:$L$48,0)),""))</f>
        <v/>
      </c>
      <c r="L130" s="296" t="str">
        <f t="array" aca="1" ref="L130" ca="1">IF($A130="*","",IFERROR(INDEX(AGR!$E$52:$L$73,MATCH('TS DTech'!$C130,AGR!$B$52:$B$73,0),MATCH('TS DTech'!$B130&amp;L$7,AGR!$E$46:$L$46&amp;AGR!$E$48:$L$48,0)),""))</f>
        <v/>
      </c>
      <c r="M130" s="296" t="str">
        <f t="array" aca="1" ref="M130" ca="1">IF($A130="*","",IFERROR(INDEX(AGR!$E$52:$L$73,MATCH('TS DTech'!$C130,AGR!$B$52:$B$73,0),MATCH('TS DTech'!$B130&amp;M$7,AGR!$E$46:$L$46&amp;AGR!$E$48:$L$48,0)),""))</f>
        <v/>
      </c>
      <c r="N130" s="296" t="str">
        <f t="array" aca="1" ref="N130" ca="1">IF($A130="*","",IFERROR(INDEX(AGR!$E$52:$L$73,MATCH('TS DTech'!$C130,AGR!$B$52:$B$73,0),MATCH('TS DTech'!$B130&amp;N$7,AGR!$E$46:$L$46&amp;AGR!$E$48:$L$48,0)),""))</f>
        <v/>
      </c>
      <c r="O130" s="296" t="str">
        <f t="array" aca="1" ref="O130" ca="1">IF($A130="*","",IFERROR(INDEX(AGR!$E$52:$L$73,MATCH('TS DTech'!$C130,AGR!$B$52:$B$73,0),MATCH('TS DTech'!$B130&amp;O$7,AGR!$E$46:$L$46&amp;AGR!$E$48:$L$48,0)),""))</f>
        <v/>
      </c>
      <c r="P130" s="296" t="str">
        <f t="array" aca="1" ref="P130" ca="1">IF($A130="*","",IFERROR(INDEX(AGR!$E$52:$L$73,MATCH('TS DTech'!$C130,AGR!$B$52:$B$73,0),MATCH('TS DTech'!$B130&amp;P$7,AGR!$E$46:$L$46&amp;AGR!$E$48:$L$48,0)),""))</f>
        <v/>
      </c>
      <c r="Q130" s="296" t="str">
        <f t="array" aca="1" ref="Q130" ca="1">IF($A130="*","",IFERROR(INDEX(AGR!$E$52:$L$73,MATCH('TS DTech'!$C130,AGR!$B$52:$B$73,0),MATCH('TS DTech'!$B130&amp;Q$7,AGR!$E$46:$L$46&amp;AGR!$E$48:$L$48,0)),""))</f>
        <v/>
      </c>
      <c r="R130" s="296" t="str">
        <f t="array" aca="1" ref="R130" ca="1">IF($A130="*","",IFERROR(INDEX(AGR!$E$52:$L$73,MATCH('TS DTech'!$C130,AGR!$B$52:$B$73,0),MATCH('TS DTech'!$B130&amp;R$7,AGR!$E$46:$L$46&amp;AGR!$E$48:$L$48,0)),""))</f>
        <v/>
      </c>
      <c r="S130" s="296" t="str">
        <f t="array" aca="1" ref="S130" ca="1">IF($A130="*","",IFERROR(INDEX(AGR!$E$52:$L$73,MATCH('TS DTech'!$C130,AGR!$B$52:$B$73,0),MATCH('TS DTech'!$B130&amp;S$7,AGR!$E$46:$L$46&amp;AGR!$E$48:$L$48,0)),""))</f>
        <v/>
      </c>
      <c r="T130" s="296" t="str">
        <f t="array" aca="1" ref="T130" ca="1">IF($A130="*","",IFERROR(INDEX(AGR!$E$52:$L$73,MATCH('TS DTech'!$C130,AGR!$B$52:$B$73,0),MATCH('TS DTech'!$B130&amp;T$7,AGR!$E$46:$L$46&amp;AGR!$E$48:$L$48,0)),""))</f>
        <v/>
      </c>
      <c r="U130" s="296" t="str">
        <f t="array" aca="1" ref="U130" ca="1">IF($A130="*","",IFERROR(INDEX(AGR!$E$52:$L$73,MATCH('TS DTech'!$C130,AGR!$B$52:$B$73,0),MATCH('TS DTech'!$B130&amp;U$7,AGR!$E$46:$L$46&amp;AGR!$E$48:$L$48,0)),""))</f>
        <v/>
      </c>
      <c r="V130" s="296" t="str">
        <f t="array" aca="1" ref="V130" ca="1">IF($A130="*","",IFERROR(INDEX(AGR!$E$52:$L$73,MATCH('TS DTech'!$C130,AGR!$B$52:$B$73,0),MATCH('TS DTech'!$B130&amp;V$7,AGR!$E$46:$L$46&amp;AGR!$E$48:$L$48,0)),""))</f>
        <v/>
      </c>
      <c r="W130" s="296" t="str">
        <f t="array" aca="1" ref="W130" ca="1">IF($A130="*","",IFERROR(INDEX(AGR!$E$52:$L$73,MATCH('TS DTech'!$C130,AGR!$B$52:$B$73,0),MATCH('TS DTech'!$B130&amp;W$7,AGR!$E$46:$L$46&amp;AGR!$E$48:$L$48,0)),""))</f>
        <v/>
      </c>
      <c r="X130" s="296" t="str">
        <f t="array" aca="1" ref="X130" ca="1">IF($A130="*","",IFERROR(INDEX(AGR!$E$52:$L$73,MATCH('TS DTech'!$C130,AGR!$B$52:$B$73,0),MATCH('TS DTech'!$B130&amp;X$7,AGR!$E$46:$L$46&amp;AGR!$E$48:$L$48,0)),""))</f>
        <v/>
      </c>
      <c r="Y130" s="296" t="str">
        <f t="array" aca="1" ref="Y130" ca="1">IF($A130="*","",IFERROR(INDEX(AGR!$E$52:$L$73,MATCH('TS DTech'!$C130,AGR!$B$52:$B$73,0),MATCH('TS DTech'!$B130&amp;Y$7,AGR!$E$46:$L$46&amp;AGR!$E$48:$L$48,0)),""))</f>
        <v/>
      </c>
      <c r="Z130" s="296" t="str">
        <f t="array" aca="1" ref="Z130" ca="1">IF($A130="*","",IFERROR(INDEX(AGR!$E$52:$L$73,MATCH('TS DTech'!$C130,AGR!$B$52:$B$73,0),MATCH('TS DTech'!$B130&amp;Z$7,AGR!$E$46:$L$46&amp;AGR!$E$48:$L$48,0)),""))</f>
        <v/>
      </c>
      <c r="AA130" s="296" t="str">
        <f t="array" aca="1" ref="AA130" ca="1">IF($A130="*","",IFERROR(INDEX(AGR!$E$52:$L$73,MATCH('TS DTech'!$C130,AGR!$B$52:$B$73,0),MATCH('TS DTech'!$B130&amp;AA$7,AGR!$E$46:$L$46&amp;AGR!$E$48:$L$48,0)),""))</f>
        <v/>
      </c>
      <c r="AB130" s="296" t="str">
        <f t="array" aca="1" ref="AB130" ca="1">IF($A130="*","",IFERROR(INDEX(AGR!$E$52:$L$73,MATCH('TS DTech'!$C130,AGR!$B$52:$B$73,0),MATCH('TS DTech'!$B130&amp;AB$7,AGR!$E$46:$L$46&amp;AGR!$E$48:$L$48,0)),""))</f>
        <v/>
      </c>
      <c r="AC130" s="296" t="str">
        <f t="array" aca="1" ref="AC130" ca="1">IF($A130="*","",IFERROR(INDEX(AGR!$E$52:$L$73,MATCH('TS DTech'!$C130,AGR!$B$52:$B$73,0),MATCH('TS DTech'!$B130&amp;AC$7,AGR!$E$46:$L$46&amp;AGR!$E$48:$L$48,0)),""))</f>
        <v/>
      </c>
      <c r="AD130" s="296" t="str">
        <f t="array" aca="1" ref="AD130" ca="1">IF($A130="*","",IFERROR(INDEX(AGR!$E$52:$L$73,MATCH('TS DTech'!$C130,AGR!$B$52:$B$73,0),MATCH('TS DTech'!$B130&amp;AD$7,AGR!$E$46:$L$46&amp;AGR!$E$48:$L$48,0)),""))</f>
        <v/>
      </c>
      <c r="AE130" s="296" t="str">
        <f t="array" aca="1" ref="AE130" ca="1">IF($A130="*","",IFERROR(INDEX(AGR!$E$52:$L$73,MATCH('TS DTech'!$C130,AGR!$B$52:$B$73,0),MATCH('TS DTech'!$B130&amp;AE$7,AGR!$E$46:$L$46&amp;AGR!$E$48:$L$48,0)),""))</f>
        <v/>
      </c>
      <c r="AF130" s="296" t="str">
        <f t="array" aca="1" ref="AF130" ca="1">IF($A130="*","",IFERROR(INDEX(AGR!$E$52:$L$73,MATCH('TS DTech'!$C130,AGR!$B$52:$B$73,0),MATCH('TS DTech'!$B130&amp;AF$7,AGR!$E$46:$L$46&amp;AGR!$E$48:$L$48,0)),""))</f>
        <v/>
      </c>
      <c r="AG130" s="296" t="str">
        <f t="array" aca="1" ref="AG130" ca="1">IF($A130="*","",IFERROR(INDEX(AGR!$E$52:$L$73,MATCH('TS DTech'!$C130,AGR!$B$52:$B$73,0),MATCH('TS DTech'!$B130&amp;AG$7,AGR!$E$46:$L$46&amp;AGR!$E$48:$L$48,0)),""))</f>
        <v/>
      </c>
      <c r="AH130" s="296" t="str">
        <f t="array" aca="1" ref="AH130" ca="1">IF($A130="*","",IFERROR(INDEX(AGR!$E$52:$L$73,MATCH('TS DTech'!$C130,AGR!$B$52:$B$73,0),MATCH('TS DTech'!$B130&amp;AH$7,AGR!$E$46:$L$46&amp;AGR!$E$48:$L$48,0)),""))</f>
        <v/>
      </c>
      <c r="AI130" s="296" t="str">
        <f t="array" aca="1" ref="AI130" ca="1">IF($A130="*","",IFERROR(INDEX(AGR!$E$52:$L$73,MATCH('TS DTech'!$C130,AGR!$B$52:$B$73,0),MATCH('TS DTech'!$B130&amp;AI$7,AGR!$E$46:$L$46&amp;AGR!$E$48:$L$48,0)),""))</f>
        <v/>
      </c>
      <c r="AJ130" s="296" t="str">
        <f t="array" aca="1" ref="AJ130" ca="1">IF($A130="*","",IFERROR(INDEX(AGR!$E$52:$L$73,MATCH('TS DTech'!$C130,AGR!$B$52:$B$73,0),MATCH('TS DTech'!$B130&amp;AJ$7,AGR!$E$46:$L$46&amp;AGR!$E$48:$L$48,0)),""))</f>
        <v/>
      </c>
      <c r="AK130" s="296" t="str">
        <f t="array" aca="1" ref="AK130" ca="1">IF($A130="*","",IFERROR(INDEX(AGR!$E$52:$L$73,MATCH('TS DTech'!$C130,AGR!$B$52:$B$73,0),MATCH('TS DTech'!$B130&amp;AK$7,AGR!$E$46:$L$46&amp;AGR!$E$48:$L$48,0)),""))</f>
        <v/>
      </c>
      <c r="AL130" s="296" t="str">
        <f t="array" aca="1" ref="AL130" ca="1">IF($A130="*","",IFERROR(INDEX(AGR!$E$52:$L$73,MATCH('TS DTech'!$C130,AGR!$B$52:$B$73,0),MATCH('TS DTech'!$B130&amp;AL$7,AGR!$E$46:$L$46&amp;AGR!$E$48:$L$48,0)),""))</f>
        <v/>
      </c>
      <c r="AM130" s="296" t="str">
        <f t="array" aca="1" ref="AM130" ca="1">IF($A130="*","",IFERROR(INDEX(AGR!$E$52:$L$73,MATCH('TS DTech'!$C130,AGR!$B$52:$B$73,0),MATCH('TS DTech'!$B130&amp;AM$7,AGR!$E$46:$L$46&amp;AGR!$E$48:$L$48,0)),""))</f>
        <v/>
      </c>
      <c r="AN130" s="296" t="str">
        <f t="array" aca="1" ref="AN130" ca="1">IF($A130="*","",IFERROR(INDEX(AGR!$E$52:$L$73,MATCH('TS DTech'!$C130,AGR!$B$52:$B$73,0),MATCH('TS DTech'!$B130&amp;AN$7,AGR!$E$46:$L$46&amp;AGR!$E$48:$L$48,0)),""))</f>
        <v/>
      </c>
      <c r="AO130" s="296" t="str">
        <f t="array" aca="1" ref="AO130" ca="1">IF($A130="*","",IFERROR(INDEX(AGR!$E$52:$L$73,MATCH('TS DTech'!$C130,AGR!$B$52:$B$73,0),MATCH('TS DTech'!$B130&amp;AO$7,AGR!$E$46:$L$46&amp;AGR!$E$48:$L$48,0)),""))</f>
        <v/>
      </c>
      <c r="AP130" s="296" t="str">
        <f t="array" aca="1" ref="AP130" ca="1">IF($A130="*","",IFERROR(INDEX(AGR!$E$52:$L$73,MATCH('TS DTech'!$C130,AGR!$B$52:$B$73,0),MATCH('TS DTech'!$B130&amp;AP$7,AGR!$E$46:$L$46&amp;AGR!$E$48:$L$48,0)),""))</f>
        <v/>
      </c>
      <c r="AQ130" s="137">
        <f>IF(AR129=AGR!$AD$74,AQ129+1,AQ129)</f>
        <v>5</v>
      </c>
      <c r="AR130" s="137">
        <f t="shared" si="14"/>
        <v>23</v>
      </c>
    </row>
    <row r="131" spans="1:44">
      <c r="J131" s="296"/>
      <c r="K131" s="224"/>
      <c r="L131" s="224"/>
      <c r="M131" s="224"/>
      <c r="N131" s="224"/>
      <c r="O131" s="224"/>
      <c r="P131" s="224"/>
      <c r="Q131" s="224"/>
      <c r="R131" s="224"/>
      <c r="S131" s="224"/>
      <c r="T131" s="224"/>
      <c r="U131" s="224"/>
      <c r="V131" s="224"/>
      <c r="W131" s="224"/>
      <c r="X131" s="224"/>
      <c r="Y131" s="224"/>
      <c r="Z131" s="224"/>
      <c r="AA131" s="224"/>
      <c r="AB131" s="224"/>
      <c r="AC131" s="224"/>
      <c r="AD131" s="224"/>
      <c r="AE131" s="224"/>
      <c r="AF131" s="224"/>
      <c r="AG131" s="224"/>
      <c r="AH131" s="224"/>
      <c r="AI131" s="224"/>
      <c r="AJ131" s="224"/>
      <c r="AK131" s="224"/>
      <c r="AL131" s="224"/>
      <c r="AM131" s="224"/>
      <c r="AN131" s="224"/>
      <c r="AO131" s="224"/>
      <c r="AP131" s="224"/>
    </row>
    <row r="132" spans="1:44">
      <c r="J132" s="296"/>
      <c r="K132" s="224"/>
      <c r="L132" s="224"/>
      <c r="M132" s="224"/>
      <c r="N132" s="224"/>
      <c r="O132" s="224"/>
      <c r="P132" s="224"/>
      <c r="Q132" s="224"/>
      <c r="R132" s="224"/>
      <c r="S132" s="224"/>
      <c r="T132" s="224"/>
      <c r="U132" s="224"/>
      <c r="V132" s="224"/>
      <c r="W132" s="224"/>
      <c r="X132" s="224"/>
      <c r="Y132" s="224"/>
      <c r="Z132" s="224"/>
      <c r="AA132" s="224"/>
      <c r="AB132" s="224"/>
      <c r="AC132" s="224"/>
      <c r="AD132" s="224"/>
      <c r="AE132" s="224"/>
      <c r="AF132" s="224"/>
      <c r="AG132" s="224"/>
      <c r="AH132" s="224"/>
      <c r="AI132" s="224"/>
      <c r="AJ132" s="224"/>
      <c r="AK132" s="224"/>
      <c r="AL132" s="224"/>
      <c r="AM132" s="224"/>
      <c r="AN132" s="224"/>
      <c r="AO132" s="224"/>
      <c r="AP132" s="224"/>
    </row>
    <row r="133" spans="1:44">
      <c r="J133" s="207"/>
    </row>
    <row r="134" spans="1:44">
      <c r="J134" s="207"/>
    </row>
    <row r="135" spans="1:44">
      <c r="J135" s="207"/>
    </row>
  </sheetData>
  <pageMargins left="0.75" right="0.75" top="1" bottom="1" header="0.5" footer="0.5"/>
  <headerFooter alignWithMargins="0"/>
  <drawing r:id="rId1"/>
  <legacyDrawing r:id="rId2"/>
  <controls>
    <mc:AlternateContent xmlns:mc="http://schemas.openxmlformats.org/markup-compatibility/2006">
      <mc:Choice Requires="x14">
        <control shapeId="242697"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242697" r:id="rId3" name="cmdSpecifyIEOptcode"/>
      </mc:Fallback>
    </mc:AlternateContent>
    <mc:AlternateContent xmlns:mc="http://schemas.openxmlformats.org/markup-compatibility/2006">
      <mc:Choice Requires="x14">
        <control shapeId="242696"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242696" r:id="rId5" name="cmdSpecifyArg6"/>
      </mc:Fallback>
    </mc:AlternateContent>
    <mc:AlternateContent xmlns:mc="http://schemas.openxmlformats.org/markup-compatibility/2006">
      <mc:Choice Requires="x14">
        <control shapeId="242695"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242695" r:id="rId7" name="cmdSpecifyArg5"/>
      </mc:Fallback>
    </mc:AlternateContent>
    <mc:AlternateContent xmlns:mc="http://schemas.openxmlformats.org/markup-compatibility/2006">
      <mc:Choice Requires="x14">
        <control shapeId="242694"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242694" r:id="rId9" name="cmdSpecifyArg4"/>
      </mc:Fallback>
    </mc:AlternateContent>
    <mc:AlternateContent xmlns:mc="http://schemas.openxmlformats.org/markup-compatibility/2006">
      <mc:Choice Requires="x14">
        <control shapeId="242693"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2693" r:id="rId11" name="cmdSpecifyArg3"/>
      </mc:Fallback>
    </mc:AlternateContent>
    <mc:AlternateContent xmlns:mc="http://schemas.openxmlformats.org/markup-compatibility/2006">
      <mc:Choice Requires="x14">
        <control shapeId="242692"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242692" r:id="rId13" name="cmdSpecifyArg2"/>
      </mc:Fallback>
    </mc:AlternateContent>
    <mc:AlternateContent xmlns:mc="http://schemas.openxmlformats.org/markup-compatibility/2006">
      <mc:Choice Requires="x14">
        <control shapeId="242691"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242691" r:id="rId15" name="cmdSpecifyArg1"/>
      </mc:Fallback>
    </mc:AlternateContent>
    <mc:AlternateContent xmlns:mc="http://schemas.openxmlformats.org/markup-compatibility/2006">
      <mc:Choice Requires="x14">
        <control shapeId="242690"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242690" r:id="rId17" name="cmdSpecifyParameter"/>
      </mc:Fallback>
    </mc:AlternateContent>
    <mc:AlternateContent xmlns:mc="http://schemas.openxmlformats.org/markup-compatibility/2006">
      <mc:Choice Requires="x14">
        <control shapeId="242689" r:id="rId19" name="cmdCheckTSandTIDDataSheet">
          <controlPr defaultSize="0" autoLine="0" r:id="rId20">
            <anchor moveWithCells="1">
              <from>
                <xdr:col>1</xdr:col>
                <xdr:colOff>38100</xdr:colOff>
                <xdr:row>1</xdr:row>
                <xdr:rowOff>66675</xdr:rowOff>
              </from>
              <to>
                <xdr:col>2</xdr:col>
                <xdr:colOff>57150</xdr:colOff>
                <xdr:row>2</xdr:row>
                <xdr:rowOff>161925</xdr:rowOff>
              </to>
            </anchor>
          </controlPr>
        </control>
      </mc:Choice>
      <mc:Fallback>
        <control shapeId="242689" r:id="rId19" name="cmdCheckTSandTIDDataSheet"/>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8">
    <tabColor theme="9" tint="-0.249977111117893"/>
  </sheetPr>
  <dimension ref="A1:AS72"/>
  <sheetViews>
    <sheetView topLeftCell="A11" workbookViewId="0">
      <selection activeCell="M25" sqref="M25"/>
    </sheetView>
  </sheetViews>
  <sheetFormatPr defaultColWidth="9.140625" defaultRowHeight="11.25"/>
  <cols>
    <col min="1" max="1" width="12.140625" style="238" customWidth="1"/>
    <col min="2" max="2" width="12" style="238" customWidth="1"/>
    <col min="3" max="3" width="11.140625" style="238" customWidth="1"/>
    <col min="4" max="8" width="9.140625" style="238"/>
    <col min="9" max="9" width="7.42578125" style="238" customWidth="1"/>
    <col min="10" max="42" width="5.42578125" style="238" customWidth="1"/>
    <col min="43" max="16384" width="9.140625" style="238"/>
  </cols>
  <sheetData>
    <row r="1" spans="1:45">
      <c r="A1" s="237" t="s">
        <v>286</v>
      </c>
      <c r="B1" s="238" t="s">
        <v>275</v>
      </c>
      <c r="AQ1" s="238" t="s">
        <v>277</v>
      </c>
      <c r="AR1" s="238" t="s">
        <v>277</v>
      </c>
      <c r="AS1" s="238" t="s">
        <v>277</v>
      </c>
    </row>
    <row r="2" spans="1:45">
      <c r="A2" s="237" t="str">
        <f>IF(ISBLANK(#REF!),"TS DATA","*")</f>
        <v>*</v>
      </c>
      <c r="AQ2" s="238" t="s">
        <v>287</v>
      </c>
      <c r="AR2" s="238" t="s">
        <v>288</v>
      </c>
      <c r="AS2" s="238" t="s">
        <v>289</v>
      </c>
    </row>
    <row r="3" spans="1:45" ht="15" customHeight="1">
      <c r="A3" s="238" t="s">
        <v>277</v>
      </c>
    </row>
    <row r="4" spans="1:45">
      <c r="A4" s="238" t="s">
        <v>277</v>
      </c>
    </row>
    <row r="5" spans="1:45">
      <c r="A5" s="238" t="s">
        <v>277</v>
      </c>
    </row>
    <row r="6" spans="1:45">
      <c r="A6" s="238" t="s">
        <v>277</v>
      </c>
    </row>
    <row r="7" spans="1:45" ht="22.5" customHeight="1">
      <c r="A7" s="238" t="s">
        <v>277</v>
      </c>
      <c r="B7" s="237" t="s">
        <v>290</v>
      </c>
      <c r="C7" s="237" t="s">
        <v>291</v>
      </c>
      <c r="D7" s="237" t="s">
        <v>292</v>
      </c>
      <c r="E7" s="237" t="s">
        <v>293</v>
      </c>
      <c r="F7" s="237" t="s">
        <v>294</v>
      </c>
      <c r="G7" s="237" t="s">
        <v>295</v>
      </c>
      <c r="H7" s="237" t="s">
        <v>296</v>
      </c>
      <c r="I7" s="239" t="s">
        <v>297</v>
      </c>
      <c r="J7" s="238">
        <v>2012</v>
      </c>
      <c r="K7" s="238">
        <v>2013</v>
      </c>
      <c r="L7" s="238">
        <v>2014</v>
      </c>
      <c r="M7" s="238">
        <v>2015</v>
      </c>
      <c r="N7" s="238">
        <v>2016</v>
      </c>
      <c r="O7" s="238">
        <v>2017</v>
      </c>
      <c r="P7" s="238">
        <v>2018</v>
      </c>
      <c r="Q7" s="238">
        <v>2019</v>
      </c>
      <c r="R7" s="238">
        <v>2020</v>
      </c>
      <c r="S7" s="238">
        <v>2021</v>
      </c>
      <c r="T7" s="238">
        <v>2022</v>
      </c>
      <c r="U7" s="238">
        <v>2023</v>
      </c>
      <c r="V7" s="238">
        <v>2024</v>
      </c>
      <c r="W7" s="238">
        <v>2025</v>
      </c>
      <c r="X7" s="238">
        <v>2026</v>
      </c>
      <c r="Y7" s="238">
        <v>2027</v>
      </c>
      <c r="Z7" s="238">
        <v>2028</v>
      </c>
      <c r="AA7" s="238">
        <v>2029</v>
      </c>
      <c r="AB7" s="238">
        <v>2030</v>
      </c>
      <c r="AC7" s="238">
        <v>2031</v>
      </c>
      <c r="AD7" s="238">
        <v>2032</v>
      </c>
      <c r="AE7" s="238">
        <v>2033</v>
      </c>
      <c r="AF7" s="238">
        <v>2034</v>
      </c>
      <c r="AG7" s="238">
        <v>2035</v>
      </c>
      <c r="AH7" s="238">
        <v>2036</v>
      </c>
      <c r="AI7" s="238">
        <v>2037</v>
      </c>
      <c r="AJ7" s="238">
        <v>2038</v>
      </c>
      <c r="AK7" s="238">
        <v>2039</v>
      </c>
      <c r="AL7" s="238">
        <v>2040</v>
      </c>
      <c r="AM7" s="238">
        <v>2045</v>
      </c>
      <c r="AN7" s="238">
        <v>2050</v>
      </c>
      <c r="AO7" s="238">
        <v>2060</v>
      </c>
      <c r="AP7" s="238">
        <v>2070</v>
      </c>
    </row>
    <row r="8" spans="1:45">
      <c r="A8" s="238" t="s">
        <v>277</v>
      </c>
      <c r="B8" s="237"/>
      <c r="C8" s="237"/>
      <c r="D8" s="237"/>
      <c r="E8" s="237"/>
      <c r="F8" s="237"/>
      <c r="G8" s="237"/>
      <c r="H8" s="237"/>
      <c r="I8" s="239"/>
    </row>
    <row r="9" spans="1:45">
      <c r="A9" s="238" t="s">
        <v>277</v>
      </c>
      <c r="B9" s="240">
        <v>1</v>
      </c>
      <c r="C9" s="240">
        <v>2</v>
      </c>
      <c r="D9" s="240">
        <v>3</v>
      </c>
      <c r="E9" s="240">
        <v>4</v>
      </c>
      <c r="F9" s="240">
        <v>5</v>
      </c>
      <c r="G9" s="240">
        <v>6</v>
      </c>
      <c r="H9" s="240">
        <v>7</v>
      </c>
      <c r="I9" s="240">
        <v>8</v>
      </c>
      <c r="J9" s="240">
        <v>9</v>
      </c>
    </row>
    <row r="10" spans="1:45">
      <c r="A10" s="238" t="s">
        <v>298</v>
      </c>
      <c r="B10" s="241" t="s">
        <v>353</v>
      </c>
      <c r="C10" s="241" t="s">
        <v>300</v>
      </c>
      <c r="D10" s="241" t="s">
        <v>301</v>
      </c>
      <c r="E10" s="299" t="s">
        <v>301</v>
      </c>
      <c r="F10" s="241" t="s">
        <v>301</v>
      </c>
      <c r="G10" s="299" t="s">
        <v>301</v>
      </c>
      <c r="H10" s="241" t="s">
        <v>306</v>
      </c>
      <c r="I10" s="242">
        <v>3</v>
      </c>
      <c r="J10" s="238" t="s">
        <v>354</v>
      </c>
      <c r="AS10" s="238">
        <f>AGR!$E$50</f>
        <v>3</v>
      </c>
    </row>
    <row r="11" spans="1:45">
      <c r="A11" s="238" t="s">
        <v>304</v>
      </c>
      <c r="B11" s="241" t="s">
        <v>353</v>
      </c>
      <c r="C11" s="241" t="s">
        <v>300</v>
      </c>
      <c r="D11" s="241" t="s">
        <v>301</v>
      </c>
      <c r="E11" s="241" t="s">
        <v>301</v>
      </c>
      <c r="F11" s="241" t="s">
        <v>301</v>
      </c>
      <c r="G11" s="299" t="s">
        <v>301</v>
      </c>
      <c r="H11" s="241" t="s">
        <v>355</v>
      </c>
      <c r="I11" s="242">
        <v>3</v>
      </c>
      <c r="J11" s="238" t="s">
        <v>356</v>
      </c>
      <c r="AS11" s="238">
        <f>AGR!$G$50</f>
        <v>4</v>
      </c>
    </row>
    <row r="12" spans="1:45">
      <c r="A12" s="238" t="s">
        <v>277</v>
      </c>
      <c r="B12" s="241"/>
      <c r="C12" s="241"/>
      <c r="D12" s="241"/>
      <c r="E12" s="241"/>
      <c r="F12" s="241"/>
      <c r="G12" s="241"/>
      <c r="H12" s="241"/>
      <c r="I12" s="242"/>
    </row>
    <row r="13" spans="1:45">
      <c r="A13" s="238" t="str">
        <f ca="1">IF(LEFT(OFFSET(AGR!$A$51,AR13,0),2)="\I","*","")</f>
        <v/>
      </c>
      <c r="B13" s="243" t="str">
        <f t="shared" ref="B13:B58" ca="1" si="0">IF(A13="*","",VLOOKUP("*"&amp;AQ13,$A$9:$B$11,2,FALSE))</f>
        <v>FLO_MARK</v>
      </c>
      <c r="C13" s="243" t="str">
        <f ca="1">IF($A13="*","",OFFSET(AGR!$B$51,AR13,0))</f>
        <v>AHCOA-E</v>
      </c>
      <c r="D13" s="298" t="str">
        <f ca="1">IF(A13="*","",LEFT($C13,2))</f>
        <v>AH</v>
      </c>
      <c r="E13" s="298" t="str">
        <f t="shared" ref="E13:F28" ca="1" si="1">IF($A13="*","",VLOOKUP($B13,$B$10:$I$11,E$9,FALSE))</f>
        <v>-</v>
      </c>
      <c r="F13" s="298" t="str">
        <f t="shared" ca="1" si="1"/>
        <v>-</v>
      </c>
      <c r="G13" s="298" t="str">
        <f t="shared" ref="G13:I28" ca="1" si="2">IF($A13="*","",VLOOKUP("*"&amp;$AQ13,$A$10:$I$11,G$9+1,FALSE))</f>
        <v>-</v>
      </c>
      <c r="H13" s="298" t="str">
        <f t="shared" ca="1" si="2"/>
        <v>UP</v>
      </c>
      <c r="I13" s="298">
        <f ca="1">IF($A13="*","",VLOOKUP("*"&amp;$AQ13,$A$10:$I$11,I$9+1,FALSE))</f>
        <v>3</v>
      </c>
      <c r="J13" s="297" cm="1">
        <f t="array" aca="1" ref="J13" ca="1">IF(A13="*","",IFERROR(INDEX(AGR!$R$52:$AC$73,MATCH($C13,AGR!$B$52:$B$73,0),MATCH('TS DMARK'!$H13&amp;'TS DMARK'!J$7,AGR!$R$46:$AC$46&amp;AGR!$R$49:$AC$49,0)),""))</f>
        <v>0.20885466502518607</v>
      </c>
      <c r="K13" s="297" t="str" cm="1">
        <f t="array" aca="1" ref="K13" ca="1">IF(B13="*","",IFERROR(INDEX(AGR!$R$52:$AC$73,MATCH($C13,AGR!$B$52:$B$73,0),MATCH('TS DMARK'!$H13&amp;'TS DMARK'!K$7,AGR!$R$46:$AC$46&amp;AGR!$R$49:$AC$49,0)),""))</f>
        <v/>
      </c>
      <c r="L13" s="297" t="str" cm="1">
        <f t="array" aca="1" ref="L13" ca="1">IF(C13="*","",IFERROR(INDEX(AGR!$R$52:$AC$73,MATCH($C13,AGR!$B$52:$B$73,0),MATCH('TS DMARK'!$H13&amp;'TS DMARK'!L$7,AGR!$R$46:$AC$46&amp;AGR!$R$49:$AC$49,0)),""))</f>
        <v/>
      </c>
      <c r="M13" s="297" cm="1">
        <f t="array" aca="1" ref="M13" ca="1">IF(D13="*","",IFERROR(INDEX(AGR!$R$52:$AC$73,MATCH($C13,AGR!$B$52:$B$73,0),MATCH('TS DMARK'!$H13&amp;'TS DMARK'!M$7,AGR!$R$46:$AC$46&amp;AGR!$R$49:$AC$49,0)),""))</f>
        <v>0.70885466502518613</v>
      </c>
      <c r="N13" s="297" t="str" cm="1">
        <f t="array" aca="1" ref="N13" ca="1">IF(E13="*","",IFERROR(INDEX(AGR!$R$52:$AC$73,MATCH($C13,AGR!$B$52:$B$73,0),MATCH('TS DMARK'!$H13&amp;'TS DMARK'!N$7,AGR!$R$46:$AC$46&amp;AGR!$R$49:$AC$49,0)),""))</f>
        <v/>
      </c>
      <c r="O13" s="297" t="str" cm="1">
        <f t="array" aca="1" ref="O13" ca="1">IF(F13="*","",IFERROR(INDEX(AGR!$R$52:$AC$73,MATCH($C13,AGR!$B$52:$B$73,0),MATCH('TS DMARK'!$H13&amp;'TS DMARK'!O$7,AGR!$R$46:$AC$46&amp;AGR!$R$49:$AC$49,0)),""))</f>
        <v/>
      </c>
      <c r="P13" s="297" t="str" cm="1">
        <f t="array" aca="1" ref="P13" ca="1">IF(G13="*","",IFERROR(INDEX(AGR!$R$52:$AC$73,MATCH($C13,AGR!$B$52:$B$73,0),MATCH('TS DMARK'!$H13&amp;'TS DMARK'!P$7,AGR!$R$46:$AC$46&amp;AGR!$R$49:$AC$49,0)),""))</f>
        <v/>
      </c>
      <c r="Q13" s="297" t="str" cm="1">
        <f t="array" aca="1" ref="Q13" ca="1">IF(H13="*","",IFERROR(INDEX(AGR!$R$52:$AC$73,MATCH($C13,AGR!$B$52:$B$73,0),MATCH('TS DMARK'!$H13&amp;'TS DMARK'!Q$7,AGR!$R$46:$AC$46&amp;AGR!$R$49:$AC$49,0)),""))</f>
        <v/>
      </c>
      <c r="R13" s="297" t="str" cm="1">
        <f t="array" aca="1" ref="R13" ca="1">IF(I13="*","",IFERROR(INDEX(AGR!$R$52:$AC$73,MATCH($C13,AGR!$B$52:$B$73,0),MATCH('TS DMARK'!$H13&amp;'TS DMARK'!R$7,AGR!$R$46:$AC$46&amp;AGR!$R$49:$AC$49,0)),""))</f>
        <v/>
      </c>
      <c r="S13" s="297" t="str" cm="1">
        <f t="array" aca="1" ref="S13" ca="1">IF(J13="*","",IFERROR(INDEX(AGR!$R$52:$AC$73,MATCH($C13,AGR!$B$52:$B$73,0),MATCH('TS DMARK'!$H13&amp;'TS DMARK'!S$7,AGR!$R$46:$AC$46&amp;AGR!$R$49:$AC$49,0)),""))</f>
        <v/>
      </c>
      <c r="T13" s="297" t="str" cm="1">
        <f t="array" aca="1" ref="T13" ca="1">IF(K13="*","",IFERROR(INDEX(AGR!$R$52:$AC$73,MATCH($C13,AGR!$B$52:$B$73,0),MATCH('TS DMARK'!$H13&amp;'TS DMARK'!T$7,AGR!$R$46:$AC$46&amp;AGR!$R$49:$AC$49,0)),""))</f>
        <v/>
      </c>
      <c r="U13" s="297" t="str" cm="1">
        <f t="array" aca="1" ref="U13" ca="1">IF(L13="*","",IFERROR(INDEX(AGR!$R$52:$AC$73,MATCH($C13,AGR!$B$52:$B$73,0),MATCH('TS DMARK'!$H13&amp;'TS DMARK'!U$7,AGR!$R$46:$AC$46&amp;AGR!$R$49:$AC$49,0)),""))</f>
        <v/>
      </c>
      <c r="V13" s="297" t="str" cm="1">
        <f t="array" aca="1" ref="V13" ca="1">IF(M13="*","",IFERROR(INDEX(AGR!$R$52:$AC$73,MATCH($C13,AGR!$B$52:$B$73,0),MATCH('TS DMARK'!$H13&amp;'TS DMARK'!V$7,AGR!$R$46:$AC$46&amp;AGR!$R$49:$AC$49,0)),""))</f>
        <v/>
      </c>
      <c r="W13" s="297" t="str" cm="1">
        <f t="array" aca="1" ref="W13" ca="1">IF(N13="*","",IFERROR(INDEX(AGR!$R$52:$AC$73,MATCH($C13,AGR!$B$52:$B$73,0),MATCH('TS DMARK'!$H13&amp;'TS DMARK'!W$7,AGR!$R$46:$AC$46&amp;AGR!$R$49:$AC$49,0)),""))</f>
        <v/>
      </c>
      <c r="X13" s="297" t="str" cm="1">
        <f t="array" aca="1" ref="X13" ca="1">IF(O13="*","",IFERROR(INDEX(AGR!$R$52:$AC$73,MATCH($C13,AGR!$B$52:$B$73,0),MATCH('TS DMARK'!$H13&amp;'TS DMARK'!X$7,AGR!$R$46:$AC$46&amp;AGR!$R$49:$AC$49,0)),""))</f>
        <v/>
      </c>
      <c r="Y13" s="297" t="str" cm="1">
        <f t="array" aca="1" ref="Y13" ca="1">IF(P13="*","",IFERROR(INDEX(AGR!$R$52:$AC$73,MATCH($C13,AGR!$B$52:$B$73,0),MATCH('TS DMARK'!$H13&amp;'TS DMARK'!Y$7,AGR!$R$46:$AC$46&amp;AGR!$R$49:$AC$49,0)),""))</f>
        <v/>
      </c>
      <c r="Z13" s="297" t="str" cm="1">
        <f t="array" aca="1" ref="Z13" ca="1">IF(Q13="*","",IFERROR(INDEX(AGR!$R$52:$AC$73,MATCH($C13,AGR!$B$52:$B$73,0),MATCH('TS DMARK'!$H13&amp;'TS DMARK'!Z$7,AGR!$R$46:$AC$46&amp;AGR!$R$49:$AC$49,0)),""))</f>
        <v/>
      </c>
      <c r="AA13" s="297" t="str" cm="1">
        <f t="array" aca="1" ref="AA13" ca="1">IF(R13="*","",IFERROR(INDEX(AGR!$R$52:$AC$73,MATCH($C13,AGR!$B$52:$B$73,0),MATCH('TS DMARK'!$H13&amp;'TS DMARK'!AA$7,AGR!$R$46:$AC$46&amp;AGR!$R$49:$AC$49,0)),""))</f>
        <v/>
      </c>
      <c r="AB13" s="297" cm="1">
        <f t="array" aca="1" ref="AB13" ca="1">IF(S13="*","",IFERROR(INDEX(AGR!$R$52:$AC$73,MATCH($C13,AGR!$B$52:$B$73,0),MATCH('TS DMARK'!$H13&amp;'TS DMARK'!AB$7,AGR!$R$46:$AC$46&amp;AGR!$R$49:$AC$49,0)),""))</f>
        <v>0.70885466502518613</v>
      </c>
      <c r="AC13" s="297" t="str" cm="1">
        <f t="array" aca="1" ref="AC13" ca="1">IF(T13="*","",IFERROR(INDEX(AGR!$R$52:$AC$73,MATCH($C13,AGR!$B$52:$B$73,0),MATCH('TS DMARK'!$H13&amp;'TS DMARK'!AC$7,AGR!$R$46:$AC$46&amp;AGR!$R$49:$AC$49,0)),""))</f>
        <v/>
      </c>
      <c r="AD13" s="297" t="str" cm="1">
        <f t="array" aca="1" ref="AD13" ca="1">IF(U13="*","",IFERROR(INDEX(AGR!$R$52:$AC$73,MATCH($C13,AGR!$B$52:$B$73,0),MATCH('TS DMARK'!$H13&amp;'TS DMARK'!AD$7,AGR!$R$46:$AC$46&amp;AGR!$R$49:$AC$49,0)),""))</f>
        <v/>
      </c>
      <c r="AE13" s="297" t="str" cm="1">
        <f t="array" aca="1" ref="AE13" ca="1">IF(V13="*","",IFERROR(INDEX(AGR!$R$52:$AC$73,MATCH($C13,AGR!$B$52:$B$73,0),MATCH('TS DMARK'!$H13&amp;'TS DMARK'!AE$7,AGR!$R$46:$AC$46&amp;AGR!$R$49:$AC$49,0)),""))</f>
        <v/>
      </c>
      <c r="AF13" s="297" t="str" cm="1">
        <f t="array" aca="1" ref="AF13" ca="1">IF(W13="*","",IFERROR(INDEX(AGR!$R$52:$AC$73,MATCH($C13,AGR!$B$52:$B$73,0),MATCH('TS DMARK'!$H13&amp;'TS DMARK'!AF$7,AGR!$R$46:$AC$46&amp;AGR!$R$49:$AC$49,0)),""))</f>
        <v/>
      </c>
      <c r="AG13" s="297" t="str" cm="1">
        <f t="array" aca="1" ref="AG13" ca="1">IF(X13="*","",IFERROR(INDEX(AGR!$R$52:$AC$73,MATCH($C13,AGR!$B$52:$B$73,0),MATCH('TS DMARK'!$H13&amp;'TS DMARK'!AG$7,AGR!$R$46:$AC$46&amp;AGR!$R$49:$AC$49,0)),""))</f>
        <v/>
      </c>
      <c r="AH13" s="297" t="str" cm="1">
        <f t="array" aca="1" ref="AH13" ca="1">IF(Y13="*","",IFERROR(INDEX(AGR!$R$52:$AC$73,MATCH($C13,AGR!$B$52:$B$73,0),MATCH('TS DMARK'!$H13&amp;'TS DMARK'!AH$7,AGR!$R$46:$AC$46&amp;AGR!$R$49:$AC$49,0)),""))</f>
        <v/>
      </c>
      <c r="AI13" s="297" t="str" cm="1">
        <f t="array" aca="1" ref="AI13" ca="1">IF(Z13="*","",IFERROR(INDEX(AGR!$R$52:$AC$73,MATCH($C13,AGR!$B$52:$B$73,0),MATCH('TS DMARK'!$H13&amp;'TS DMARK'!AI$7,AGR!$R$46:$AC$46&amp;AGR!$R$49:$AC$49,0)),""))</f>
        <v/>
      </c>
      <c r="AJ13" s="297" t="str" cm="1">
        <f t="array" aca="1" ref="AJ13" ca="1">IF(AA13="*","",IFERROR(INDEX(AGR!$R$52:$AC$73,MATCH($C13,AGR!$B$52:$B$73,0),MATCH('TS DMARK'!$H13&amp;'TS DMARK'!AJ$7,AGR!$R$46:$AC$46&amp;AGR!$R$49:$AC$49,0)),""))</f>
        <v/>
      </c>
      <c r="AK13" s="297" t="str" cm="1">
        <f t="array" aca="1" ref="AK13" ca="1">IF(AB13="*","",IFERROR(INDEX(AGR!$R$52:$AC$73,MATCH($C13,AGR!$B$52:$B$73,0),MATCH('TS DMARK'!$H13&amp;'TS DMARK'!AK$7,AGR!$R$46:$AC$46&amp;AGR!$R$49:$AC$49,0)),""))</f>
        <v/>
      </c>
      <c r="AL13" s="297" t="str" cm="1">
        <f t="array" aca="1" ref="AL13" ca="1">IF(AC13="*","",IFERROR(INDEX(AGR!$R$52:$AC$73,MATCH($C13,AGR!$B$52:$B$73,0),MATCH('TS DMARK'!$H13&amp;'TS DMARK'!AL$7,AGR!$R$46:$AC$46&amp;AGR!$R$49:$AC$49,0)),""))</f>
        <v/>
      </c>
      <c r="AM13" s="297" t="str" cm="1">
        <f t="array" aca="1" ref="AM13" ca="1">IF(AD13="*","",IFERROR(INDEX(AGR!$R$52:$AC$73,MATCH($C13,AGR!$B$52:$B$73,0),MATCH('TS DMARK'!$H13&amp;'TS DMARK'!AM$7,AGR!$R$46:$AC$46&amp;AGR!$R$49:$AC$49,0)),""))</f>
        <v/>
      </c>
      <c r="AN13" s="297" cm="1">
        <f t="array" aca="1" ref="AN13" ca="1">IF(AE13="*","",IFERROR(INDEX(AGR!$R$52:$AC$73,MATCH($C13,AGR!$B$52:$B$73,0),MATCH('TS DMARK'!$H13&amp;'TS DMARK'!AN$7,AGR!$R$46:$AC$46&amp;AGR!$R$49:$AC$49,0)),""))</f>
        <v>1</v>
      </c>
      <c r="AO13" s="297" t="str" cm="1">
        <f t="array" aca="1" ref="AO13" ca="1">IF(AF13="*","",IFERROR(INDEX(AGR!$R$52:$AC$73,MATCH($C13,AGR!$B$52:$B$73,0),MATCH('TS DMARK'!$H13&amp;'TS DMARK'!AO$7,AGR!$R$46:$AC$46&amp;AGR!$R$49:$AC$49,0)),""))</f>
        <v/>
      </c>
      <c r="AP13" s="297" cm="1">
        <f t="array" aca="1" ref="AP13" ca="1">IF(AG13="*","",IFERROR(INDEX(AGR!$R$52:$AC$73,MATCH($C13,AGR!$B$52:$B$73,0),MATCH('TS DMARK'!$H13&amp;'TS DMARK'!AP$7,AGR!$R$46:$AC$46&amp;AGR!$R$49:$AC$49,0)),""))</f>
        <v>1</v>
      </c>
      <c r="AQ13" s="238">
        <v>1</v>
      </c>
      <c r="AR13" s="238">
        <v>1</v>
      </c>
    </row>
    <row r="14" spans="1:45">
      <c r="A14" s="238" t="str">
        <f ca="1">IF(LEFT(OFFSET(AGR!$A$51,AR14,0),2)="\I","*","")</f>
        <v/>
      </c>
      <c r="B14" s="243" t="str">
        <f t="shared" ca="1" si="0"/>
        <v>FLO_MARK</v>
      </c>
      <c r="C14" s="243" t="str">
        <f ca="1">IF($A14="*","",OFFSET(AGR!$B$51,AR14,0))</f>
        <v>AHOHF-E</v>
      </c>
      <c r="D14" s="298" t="str">
        <f t="shared" ref="D14:D58" ca="1" si="3">IF(A14="*","",LEFT($C14,2))</f>
        <v>AH</v>
      </c>
      <c r="E14" s="298" t="str">
        <f t="shared" ca="1" si="1"/>
        <v>-</v>
      </c>
      <c r="F14" s="298" t="str">
        <f t="shared" ca="1" si="1"/>
        <v>-</v>
      </c>
      <c r="G14" s="298" t="str">
        <f t="shared" ca="1" si="2"/>
        <v>-</v>
      </c>
      <c r="H14" s="298" t="str">
        <f t="shared" ca="1" si="2"/>
        <v>UP</v>
      </c>
      <c r="I14" s="298">
        <f t="shared" ca="1" si="2"/>
        <v>3</v>
      </c>
      <c r="J14" s="297" cm="1">
        <f t="array" aca="1" ref="J14" ca="1">IF(A14="*","",IFERROR(INDEX(AGR!$R$52:$AC$73,MATCH($C14,AGR!$B$52:$B$73,0),MATCH('TS DMARK'!$H14&amp;'TS DMARK'!J$7,AGR!$R$46:$AC$46&amp;AGR!$R$49:$AC$49,0)),""))</f>
        <v>0</v>
      </c>
      <c r="K14" s="297" t="str" cm="1">
        <f t="array" aca="1" ref="K14" ca="1">IF(B14="*","",IFERROR(INDEX(AGR!$R$52:$AC$73,MATCH($C14,AGR!$B$52:$B$73,0),MATCH('TS DMARK'!$H14&amp;'TS DMARK'!K$7,AGR!$R$46:$AC$46&amp;AGR!$R$49:$AC$49,0)),""))</f>
        <v/>
      </c>
      <c r="L14" s="297" t="str" cm="1">
        <f t="array" aca="1" ref="L14" ca="1">IF(C14="*","",IFERROR(INDEX(AGR!$R$52:$AC$73,MATCH($C14,AGR!$B$52:$B$73,0),MATCH('TS DMARK'!$H14&amp;'TS DMARK'!L$7,AGR!$R$46:$AC$46&amp;AGR!$R$49:$AC$49,0)),""))</f>
        <v/>
      </c>
      <c r="M14" s="297" cm="1">
        <f t="array" aca="1" ref="M14" ca="1">IF(D14="*","",IFERROR(INDEX(AGR!$R$52:$AC$73,MATCH($C14,AGR!$B$52:$B$73,0),MATCH('TS DMARK'!$H14&amp;'TS DMARK'!M$7,AGR!$R$46:$AC$46&amp;AGR!$R$49:$AC$49,0)),""))</f>
        <v>0.5</v>
      </c>
      <c r="N14" s="297" t="str" cm="1">
        <f t="array" aca="1" ref="N14" ca="1">IF(E14="*","",IFERROR(INDEX(AGR!$R$52:$AC$73,MATCH($C14,AGR!$B$52:$B$73,0),MATCH('TS DMARK'!$H14&amp;'TS DMARK'!N$7,AGR!$R$46:$AC$46&amp;AGR!$R$49:$AC$49,0)),""))</f>
        <v/>
      </c>
      <c r="O14" s="297" t="str" cm="1">
        <f t="array" aca="1" ref="O14" ca="1">IF(F14="*","",IFERROR(INDEX(AGR!$R$52:$AC$73,MATCH($C14,AGR!$B$52:$B$73,0),MATCH('TS DMARK'!$H14&amp;'TS DMARK'!O$7,AGR!$R$46:$AC$46&amp;AGR!$R$49:$AC$49,0)),""))</f>
        <v/>
      </c>
      <c r="P14" s="297" t="str" cm="1">
        <f t="array" aca="1" ref="P14" ca="1">IF(G14="*","",IFERROR(INDEX(AGR!$R$52:$AC$73,MATCH($C14,AGR!$B$52:$B$73,0),MATCH('TS DMARK'!$H14&amp;'TS DMARK'!P$7,AGR!$R$46:$AC$46&amp;AGR!$R$49:$AC$49,0)),""))</f>
        <v/>
      </c>
      <c r="Q14" s="297" t="str" cm="1">
        <f t="array" aca="1" ref="Q14" ca="1">IF(H14="*","",IFERROR(INDEX(AGR!$R$52:$AC$73,MATCH($C14,AGR!$B$52:$B$73,0),MATCH('TS DMARK'!$H14&amp;'TS DMARK'!Q$7,AGR!$R$46:$AC$46&amp;AGR!$R$49:$AC$49,0)),""))</f>
        <v/>
      </c>
      <c r="R14" s="297" t="str" cm="1">
        <f t="array" aca="1" ref="R14" ca="1">IF(I14="*","",IFERROR(INDEX(AGR!$R$52:$AC$73,MATCH($C14,AGR!$B$52:$B$73,0),MATCH('TS DMARK'!$H14&amp;'TS DMARK'!R$7,AGR!$R$46:$AC$46&amp;AGR!$R$49:$AC$49,0)),""))</f>
        <v/>
      </c>
      <c r="S14" s="297" t="str" cm="1">
        <f t="array" aca="1" ref="S14" ca="1">IF(J14="*","",IFERROR(INDEX(AGR!$R$52:$AC$73,MATCH($C14,AGR!$B$52:$B$73,0),MATCH('TS DMARK'!$H14&amp;'TS DMARK'!S$7,AGR!$R$46:$AC$46&amp;AGR!$R$49:$AC$49,0)),""))</f>
        <v/>
      </c>
      <c r="T14" s="297" t="str" cm="1">
        <f t="array" aca="1" ref="T14" ca="1">IF(K14="*","",IFERROR(INDEX(AGR!$R$52:$AC$73,MATCH($C14,AGR!$B$52:$B$73,0),MATCH('TS DMARK'!$H14&amp;'TS DMARK'!T$7,AGR!$R$46:$AC$46&amp;AGR!$R$49:$AC$49,0)),""))</f>
        <v/>
      </c>
      <c r="U14" s="297" t="str" cm="1">
        <f t="array" aca="1" ref="U14" ca="1">IF(L14="*","",IFERROR(INDEX(AGR!$R$52:$AC$73,MATCH($C14,AGR!$B$52:$B$73,0),MATCH('TS DMARK'!$H14&amp;'TS DMARK'!U$7,AGR!$R$46:$AC$46&amp;AGR!$R$49:$AC$49,0)),""))</f>
        <v/>
      </c>
      <c r="V14" s="297" t="str" cm="1">
        <f t="array" aca="1" ref="V14" ca="1">IF(M14="*","",IFERROR(INDEX(AGR!$R$52:$AC$73,MATCH($C14,AGR!$B$52:$B$73,0),MATCH('TS DMARK'!$H14&amp;'TS DMARK'!V$7,AGR!$R$46:$AC$46&amp;AGR!$R$49:$AC$49,0)),""))</f>
        <v/>
      </c>
      <c r="W14" s="297" t="str" cm="1">
        <f t="array" aca="1" ref="W14" ca="1">IF(N14="*","",IFERROR(INDEX(AGR!$R$52:$AC$73,MATCH($C14,AGR!$B$52:$B$73,0),MATCH('TS DMARK'!$H14&amp;'TS DMARK'!W$7,AGR!$R$46:$AC$46&amp;AGR!$R$49:$AC$49,0)),""))</f>
        <v/>
      </c>
      <c r="X14" s="297" t="str" cm="1">
        <f t="array" aca="1" ref="X14" ca="1">IF(O14="*","",IFERROR(INDEX(AGR!$R$52:$AC$73,MATCH($C14,AGR!$B$52:$B$73,0),MATCH('TS DMARK'!$H14&amp;'TS DMARK'!X$7,AGR!$R$46:$AC$46&amp;AGR!$R$49:$AC$49,0)),""))</f>
        <v/>
      </c>
      <c r="Y14" s="297" t="str" cm="1">
        <f t="array" aca="1" ref="Y14" ca="1">IF(P14="*","",IFERROR(INDEX(AGR!$R$52:$AC$73,MATCH($C14,AGR!$B$52:$B$73,0),MATCH('TS DMARK'!$H14&amp;'TS DMARK'!Y$7,AGR!$R$46:$AC$46&amp;AGR!$R$49:$AC$49,0)),""))</f>
        <v/>
      </c>
      <c r="Z14" s="297" t="str" cm="1">
        <f t="array" aca="1" ref="Z14" ca="1">IF(Q14="*","",IFERROR(INDEX(AGR!$R$52:$AC$73,MATCH($C14,AGR!$B$52:$B$73,0),MATCH('TS DMARK'!$H14&amp;'TS DMARK'!Z$7,AGR!$R$46:$AC$46&amp;AGR!$R$49:$AC$49,0)),""))</f>
        <v/>
      </c>
      <c r="AA14" s="297" t="str" cm="1">
        <f t="array" aca="1" ref="AA14" ca="1">IF(R14="*","",IFERROR(INDEX(AGR!$R$52:$AC$73,MATCH($C14,AGR!$B$52:$B$73,0),MATCH('TS DMARK'!$H14&amp;'TS DMARK'!AA$7,AGR!$R$46:$AC$46&amp;AGR!$R$49:$AC$49,0)),""))</f>
        <v/>
      </c>
      <c r="AB14" s="297" cm="1">
        <f t="array" aca="1" ref="AB14" ca="1">IF(S14="*","",IFERROR(INDEX(AGR!$R$52:$AC$73,MATCH($C14,AGR!$B$52:$B$73,0),MATCH('TS DMARK'!$H14&amp;'TS DMARK'!AB$7,AGR!$R$46:$AC$46&amp;AGR!$R$49:$AC$49,0)),""))</f>
        <v>0.5</v>
      </c>
      <c r="AC14" s="297" t="str" cm="1">
        <f t="array" aca="1" ref="AC14" ca="1">IF(T14="*","",IFERROR(INDEX(AGR!$R$52:$AC$73,MATCH($C14,AGR!$B$52:$B$73,0),MATCH('TS DMARK'!$H14&amp;'TS DMARK'!AC$7,AGR!$R$46:$AC$46&amp;AGR!$R$49:$AC$49,0)),""))</f>
        <v/>
      </c>
      <c r="AD14" s="297" t="str" cm="1">
        <f t="array" aca="1" ref="AD14" ca="1">IF(U14="*","",IFERROR(INDEX(AGR!$R$52:$AC$73,MATCH($C14,AGR!$B$52:$B$73,0),MATCH('TS DMARK'!$H14&amp;'TS DMARK'!AD$7,AGR!$R$46:$AC$46&amp;AGR!$R$49:$AC$49,0)),""))</f>
        <v/>
      </c>
      <c r="AE14" s="297" t="str" cm="1">
        <f t="array" aca="1" ref="AE14" ca="1">IF(V14="*","",IFERROR(INDEX(AGR!$R$52:$AC$73,MATCH($C14,AGR!$B$52:$B$73,0),MATCH('TS DMARK'!$H14&amp;'TS DMARK'!AE$7,AGR!$R$46:$AC$46&amp;AGR!$R$49:$AC$49,0)),""))</f>
        <v/>
      </c>
      <c r="AF14" s="297" t="str" cm="1">
        <f t="array" aca="1" ref="AF14" ca="1">IF(W14="*","",IFERROR(INDEX(AGR!$R$52:$AC$73,MATCH($C14,AGR!$B$52:$B$73,0),MATCH('TS DMARK'!$H14&amp;'TS DMARK'!AF$7,AGR!$R$46:$AC$46&amp;AGR!$R$49:$AC$49,0)),""))</f>
        <v/>
      </c>
      <c r="AG14" s="297" t="str" cm="1">
        <f t="array" aca="1" ref="AG14" ca="1">IF(X14="*","",IFERROR(INDEX(AGR!$R$52:$AC$73,MATCH($C14,AGR!$B$52:$B$73,0),MATCH('TS DMARK'!$H14&amp;'TS DMARK'!AG$7,AGR!$R$46:$AC$46&amp;AGR!$R$49:$AC$49,0)),""))</f>
        <v/>
      </c>
      <c r="AH14" s="297" t="str" cm="1">
        <f t="array" aca="1" ref="AH14" ca="1">IF(Y14="*","",IFERROR(INDEX(AGR!$R$52:$AC$73,MATCH($C14,AGR!$B$52:$B$73,0),MATCH('TS DMARK'!$H14&amp;'TS DMARK'!AH$7,AGR!$R$46:$AC$46&amp;AGR!$R$49:$AC$49,0)),""))</f>
        <v/>
      </c>
      <c r="AI14" s="297" t="str" cm="1">
        <f t="array" aca="1" ref="AI14" ca="1">IF(Z14="*","",IFERROR(INDEX(AGR!$R$52:$AC$73,MATCH($C14,AGR!$B$52:$B$73,0),MATCH('TS DMARK'!$H14&amp;'TS DMARK'!AI$7,AGR!$R$46:$AC$46&amp;AGR!$R$49:$AC$49,0)),""))</f>
        <v/>
      </c>
      <c r="AJ14" s="297" t="str" cm="1">
        <f t="array" aca="1" ref="AJ14" ca="1">IF(AA14="*","",IFERROR(INDEX(AGR!$R$52:$AC$73,MATCH($C14,AGR!$B$52:$B$73,0),MATCH('TS DMARK'!$H14&amp;'TS DMARK'!AJ$7,AGR!$R$46:$AC$46&amp;AGR!$R$49:$AC$49,0)),""))</f>
        <v/>
      </c>
      <c r="AK14" s="297" t="str" cm="1">
        <f t="array" aca="1" ref="AK14" ca="1">IF(AB14="*","",IFERROR(INDEX(AGR!$R$52:$AC$73,MATCH($C14,AGR!$B$52:$B$73,0),MATCH('TS DMARK'!$H14&amp;'TS DMARK'!AK$7,AGR!$R$46:$AC$46&amp;AGR!$R$49:$AC$49,0)),""))</f>
        <v/>
      </c>
      <c r="AL14" s="297" t="str" cm="1">
        <f t="array" aca="1" ref="AL14" ca="1">IF(AC14="*","",IFERROR(INDEX(AGR!$R$52:$AC$73,MATCH($C14,AGR!$B$52:$B$73,0),MATCH('TS DMARK'!$H14&amp;'TS DMARK'!AL$7,AGR!$R$46:$AC$46&amp;AGR!$R$49:$AC$49,0)),""))</f>
        <v/>
      </c>
      <c r="AM14" s="297" t="str" cm="1">
        <f t="array" aca="1" ref="AM14" ca="1">IF(AD14="*","",IFERROR(INDEX(AGR!$R$52:$AC$73,MATCH($C14,AGR!$B$52:$B$73,0),MATCH('TS DMARK'!$H14&amp;'TS DMARK'!AM$7,AGR!$R$46:$AC$46&amp;AGR!$R$49:$AC$49,0)),""))</f>
        <v/>
      </c>
      <c r="AN14" s="297" cm="1">
        <f t="array" aca="1" ref="AN14" ca="1">IF(AE14="*","",IFERROR(INDEX(AGR!$R$52:$AC$73,MATCH($C14,AGR!$B$52:$B$73,0),MATCH('TS DMARK'!$H14&amp;'TS DMARK'!AN$7,AGR!$R$46:$AC$46&amp;AGR!$R$49:$AC$49,0)),""))</f>
        <v>1</v>
      </c>
      <c r="AO14" s="297" t="str" cm="1">
        <f t="array" aca="1" ref="AO14" ca="1">IF(AF14="*","",IFERROR(INDEX(AGR!$R$52:$AC$73,MATCH($C14,AGR!$B$52:$B$73,0),MATCH('TS DMARK'!$H14&amp;'TS DMARK'!AO$7,AGR!$R$46:$AC$46&amp;AGR!$R$49:$AC$49,0)),""))</f>
        <v/>
      </c>
      <c r="AP14" s="297" cm="1">
        <f t="array" aca="1" ref="AP14" ca="1">IF(AG14="*","",IFERROR(INDEX(AGR!$R$52:$AC$73,MATCH($C14,AGR!$B$52:$B$73,0),MATCH('TS DMARK'!$H14&amp;'TS DMARK'!AP$7,AGR!$R$46:$AC$46&amp;AGR!$R$49:$AC$49,0)),""))</f>
        <v>1</v>
      </c>
      <c r="AQ14" s="238">
        <f>IF(AR13=AGR!$AD$74,AQ13+1,AQ13)</f>
        <v>1</v>
      </c>
      <c r="AR14" s="238">
        <f>IF(AQ14=AQ13,AR13+1,1)</f>
        <v>2</v>
      </c>
    </row>
    <row r="15" spans="1:45">
      <c r="A15" s="238" t="str">
        <f ca="1">IF(LEFT(OFFSET(AGR!$A$51,AR15,0),2)="\I","*","")</f>
        <v/>
      </c>
      <c r="B15" s="243" t="str">
        <f t="shared" ca="1" si="0"/>
        <v>FLO_MARK</v>
      </c>
      <c r="C15" s="243" t="str">
        <f ca="1">IF($A15="*","",OFFSET(AGR!$B$51,AR15,0))</f>
        <v>AHOKE-E</v>
      </c>
      <c r="D15" s="298" t="str">
        <f t="shared" ca="1" si="3"/>
        <v>AH</v>
      </c>
      <c r="E15" s="298" t="str">
        <f t="shared" ca="1" si="1"/>
        <v>-</v>
      </c>
      <c r="F15" s="298" t="str">
        <f t="shared" ca="1" si="1"/>
        <v>-</v>
      </c>
      <c r="G15" s="298" t="str">
        <f t="shared" ca="1" si="2"/>
        <v>-</v>
      </c>
      <c r="H15" s="298" t="str">
        <f t="shared" ca="1" si="2"/>
        <v>UP</v>
      </c>
      <c r="I15" s="298">
        <f t="shared" ca="1" si="2"/>
        <v>3</v>
      </c>
      <c r="J15" s="297" cm="1">
        <f t="array" aca="1" ref="J15" ca="1">IF(A15="*","",IFERROR(INDEX(AGR!$R$52:$AC$73,MATCH($C15,AGR!$B$52:$B$73,0),MATCH('TS DMARK'!$H15&amp;'TS DMARK'!J$7,AGR!$R$46:$AC$46&amp;AGR!$R$49:$AC$49,0)),""))</f>
        <v>0.79114533497481387</v>
      </c>
      <c r="K15" s="297" t="str" cm="1">
        <f t="array" aca="1" ref="K15" ca="1">IF(B15="*","",IFERROR(INDEX(AGR!$R$52:$AC$73,MATCH($C15,AGR!$B$52:$B$73,0),MATCH('TS DMARK'!$H15&amp;'TS DMARK'!K$7,AGR!$R$46:$AC$46&amp;AGR!$R$49:$AC$49,0)),""))</f>
        <v/>
      </c>
      <c r="L15" s="297" t="str" cm="1">
        <f t="array" aca="1" ref="L15" ca="1">IF(C15="*","",IFERROR(INDEX(AGR!$R$52:$AC$73,MATCH($C15,AGR!$B$52:$B$73,0),MATCH('TS DMARK'!$H15&amp;'TS DMARK'!L$7,AGR!$R$46:$AC$46&amp;AGR!$R$49:$AC$49,0)),""))</f>
        <v/>
      </c>
      <c r="M15" s="297" cm="1">
        <f t="array" aca="1" ref="M15" ca="1">IF(D15="*","",IFERROR(INDEX(AGR!$R$52:$AC$73,MATCH($C15,AGR!$B$52:$B$73,0),MATCH('TS DMARK'!$H15&amp;'TS DMARK'!M$7,AGR!$R$46:$AC$46&amp;AGR!$R$49:$AC$49,0)),""))</f>
        <v>1</v>
      </c>
      <c r="N15" s="297" t="str" cm="1">
        <f t="array" aca="1" ref="N15" ca="1">IF(E15="*","",IFERROR(INDEX(AGR!$R$52:$AC$73,MATCH($C15,AGR!$B$52:$B$73,0),MATCH('TS DMARK'!$H15&amp;'TS DMARK'!N$7,AGR!$R$46:$AC$46&amp;AGR!$R$49:$AC$49,0)),""))</f>
        <v/>
      </c>
      <c r="O15" s="297" t="str" cm="1">
        <f t="array" aca="1" ref="O15" ca="1">IF(F15="*","",IFERROR(INDEX(AGR!$R$52:$AC$73,MATCH($C15,AGR!$B$52:$B$73,0),MATCH('TS DMARK'!$H15&amp;'TS DMARK'!O$7,AGR!$R$46:$AC$46&amp;AGR!$R$49:$AC$49,0)),""))</f>
        <v/>
      </c>
      <c r="P15" s="297" t="str" cm="1">
        <f t="array" aca="1" ref="P15" ca="1">IF(G15="*","",IFERROR(INDEX(AGR!$R$52:$AC$73,MATCH($C15,AGR!$B$52:$B$73,0),MATCH('TS DMARK'!$H15&amp;'TS DMARK'!P$7,AGR!$R$46:$AC$46&amp;AGR!$R$49:$AC$49,0)),""))</f>
        <v/>
      </c>
      <c r="Q15" s="297" t="str" cm="1">
        <f t="array" aca="1" ref="Q15" ca="1">IF(H15="*","",IFERROR(INDEX(AGR!$R$52:$AC$73,MATCH($C15,AGR!$B$52:$B$73,0),MATCH('TS DMARK'!$H15&amp;'TS DMARK'!Q$7,AGR!$R$46:$AC$46&amp;AGR!$R$49:$AC$49,0)),""))</f>
        <v/>
      </c>
      <c r="R15" s="297" t="str" cm="1">
        <f t="array" aca="1" ref="R15" ca="1">IF(I15="*","",IFERROR(INDEX(AGR!$R$52:$AC$73,MATCH($C15,AGR!$B$52:$B$73,0),MATCH('TS DMARK'!$H15&amp;'TS DMARK'!R$7,AGR!$R$46:$AC$46&amp;AGR!$R$49:$AC$49,0)),""))</f>
        <v/>
      </c>
      <c r="S15" s="297" t="str" cm="1">
        <f t="array" aca="1" ref="S15" ca="1">IF(J15="*","",IFERROR(INDEX(AGR!$R$52:$AC$73,MATCH($C15,AGR!$B$52:$B$73,0),MATCH('TS DMARK'!$H15&amp;'TS DMARK'!S$7,AGR!$R$46:$AC$46&amp;AGR!$R$49:$AC$49,0)),""))</f>
        <v/>
      </c>
      <c r="T15" s="297" t="str" cm="1">
        <f t="array" aca="1" ref="T15" ca="1">IF(K15="*","",IFERROR(INDEX(AGR!$R$52:$AC$73,MATCH($C15,AGR!$B$52:$B$73,0),MATCH('TS DMARK'!$H15&amp;'TS DMARK'!T$7,AGR!$R$46:$AC$46&amp;AGR!$R$49:$AC$49,0)),""))</f>
        <v/>
      </c>
      <c r="U15" s="297" t="str" cm="1">
        <f t="array" aca="1" ref="U15" ca="1">IF(L15="*","",IFERROR(INDEX(AGR!$R$52:$AC$73,MATCH($C15,AGR!$B$52:$B$73,0),MATCH('TS DMARK'!$H15&amp;'TS DMARK'!U$7,AGR!$R$46:$AC$46&amp;AGR!$R$49:$AC$49,0)),""))</f>
        <v/>
      </c>
      <c r="V15" s="297" t="str" cm="1">
        <f t="array" aca="1" ref="V15" ca="1">IF(M15="*","",IFERROR(INDEX(AGR!$R$52:$AC$73,MATCH($C15,AGR!$B$52:$B$73,0),MATCH('TS DMARK'!$H15&amp;'TS DMARK'!V$7,AGR!$R$46:$AC$46&amp;AGR!$R$49:$AC$49,0)),""))</f>
        <v/>
      </c>
      <c r="W15" s="297" t="str" cm="1">
        <f t="array" aca="1" ref="W15" ca="1">IF(N15="*","",IFERROR(INDEX(AGR!$R$52:$AC$73,MATCH($C15,AGR!$B$52:$B$73,0),MATCH('TS DMARK'!$H15&amp;'TS DMARK'!W$7,AGR!$R$46:$AC$46&amp;AGR!$R$49:$AC$49,0)),""))</f>
        <v/>
      </c>
      <c r="X15" s="297" t="str" cm="1">
        <f t="array" aca="1" ref="X15" ca="1">IF(O15="*","",IFERROR(INDEX(AGR!$R$52:$AC$73,MATCH($C15,AGR!$B$52:$B$73,0),MATCH('TS DMARK'!$H15&amp;'TS DMARK'!X$7,AGR!$R$46:$AC$46&amp;AGR!$R$49:$AC$49,0)),""))</f>
        <v/>
      </c>
      <c r="Y15" s="297" t="str" cm="1">
        <f t="array" aca="1" ref="Y15" ca="1">IF(P15="*","",IFERROR(INDEX(AGR!$R$52:$AC$73,MATCH($C15,AGR!$B$52:$B$73,0),MATCH('TS DMARK'!$H15&amp;'TS DMARK'!Y$7,AGR!$R$46:$AC$46&amp;AGR!$R$49:$AC$49,0)),""))</f>
        <v/>
      </c>
      <c r="Z15" s="297" t="str" cm="1">
        <f t="array" aca="1" ref="Z15" ca="1">IF(Q15="*","",IFERROR(INDEX(AGR!$R$52:$AC$73,MATCH($C15,AGR!$B$52:$B$73,0),MATCH('TS DMARK'!$H15&amp;'TS DMARK'!Z$7,AGR!$R$46:$AC$46&amp;AGR!$R$49:$AC$49,0)),""))</f>
        <v/>
      </c>
      <c r="AA15" s="297" t="str" cm="1">
        <f t="array" aca="1" ref="AA15" ca="1">IF(R15="*","",IFERROR(INDEX(AGR!$R$52:$AC$73,MATCH($C15,AGR!$B$52:$B$73,0),MATCH('TS DMARK'!$H15&amp;'TS DMARK'!AA$7,AGR!$R$46:$AC$46&amp;AGR!$R$49:$AC$49,0)),""))</f>
        <v/>
      </c>
      <c r="AB15" s="297" cm="1">
        <f t="array" aca="1" ref="AB15" ca="1">IF(S15="*","",IFERROR(INDEX(AGR!$R$52:$AC$73,MATCH($C15,AGR!$B$52:$B$73,0),MATCH('TS DMARK'!$H15&amp;'TS DMARK'!AB$7,AGR!$R$46:$AC$46&amp;AGR!$R$49:$AC$49,0)),""))</f>
        <v>1</v>
      </c>
      <c r="AC15" s="297" t="str" cm="1">
        <f t="array" aca="1" ref="AC15" ca="1">IF(T15="*","",IFERROR(INDEX(AGR!$R$52:$AC$73,MATCH($C15,AGR!$B$52:$B$73,0),MATCH('TS DMARK'!$H15&amp;'TS DMARK'!AC$7,AGR!$R$46:$AC$46&amp;AGR!$R$49:$AC$49,0)),""))</f>
        <v/>
      </c>
      <c r="AD15" s="297" t="str" cm="1">
        <f t="array" aca="1" ref="AD15" ca="1">IF(U15="*","",IFERROR(INDEX(AGR!$R$52:$AC$73,MATCH($C15,AGR!$B$52:$B$73,0),MATCH('TS DMARK'!$H15&amp;'TS DMARK'!AD$7,AGR!$R$46:$AC$46&amp;AGR!$R$49:$AC$49,0)),""))</f>
        <v/>
      </c>
      <c r="AE15" s="297" t="str" cm="1">
        <f t="array" aca="1" ref="AE15" ca="1">IF(V15="*","",IFERROR(INDEX(AGR!$R$52:$AC$73,MATCH($C15,AGR!$B$52:$B$73,0),MATCH('TS DMARK'!$H15&amp;'TS DMARK'!AE$7,AGR!$R$46:$AC$46&amp;AGR!$R$49:$AC$49,0)),""))</f>
        <v/>
      </c>
      <c r="AF15" s="297" t="str" cm="1">
        <f t="array" aca="1" ref="AF15" ca="1">IF(W15="*","",IFERROR(INDEX(AGR!$R$52:$AC$73,MATCH($C15,AGR!$B$52:$B$73,0),MATCH('TS DMARK'!$H15&amp;'TS DMARK'!AF$7,AGR!$R$46:$AC$46&amp;AGR!$R$49:$AC$49,0)),""))</f>
        <v/>
      </c>
      <c r="AG15" s="297" t="str" cm="1">
        <f t="array" aca="1" ref="AG15" ca="1">IF(X15="*","",IFERROR(INDEX(AGR!$R$52:$AC$73,MATCH($C15,AGR!$B$52:$B$73,0),MATCH('TS DMARK'!$H15&amp;'TS DMARK'!AG$7,AGR!$R$46:$AC$46&amp;AGR!$R$49:$AC$49,0)),""))</f>
        <v/>
      </c>
      <c r="AH15" s="297" t="str" cm="1">
        <f t="array" aca="1" ref="AH15" ca="1">IF(Y15="*","",IFERROR(INDEX(AGR!$R$52:$AC$73,MATCH($C15,AGR!$B$52:$B$73,0),MATCH('TS DMARK'!$H15&amp;'TS DMARK'!AH$7,AGR!$R$46:$AC$46&amp;AGR!$R$49:$AC$49,0)),""))</f>
        <v/>
      </c>
      <c r="AI15" s="297" t="str" cm="1">
        <f t="array" aca="1" ref="AI15" ca="1">IF(Z15="*","",IFERROR(INDEX(AGR!$R$52:$AC$73,MATCH($C15,AGR!$B$52:$B$73,0),MATCH('TS DMARK'!$H15&amp;'TS DMARK'!AI$7,AGR!$R$46:$AC$46&amp;AGR!$R$49:$AC$49,0)),""))</f>
        <v/>
      </c>
      <c r="AJ15" s="297" t="str" cm="1">
        <f t="array" aca="1" ref="AJ15" ca="1">IF(AA15="*","",IFERROR(INDEX(AGR!$R$52:$AC$73,MATCH($C15,AGR!$B$52:$B$73,0),MATCH('TS DMARK'!$H15&amp;'TS DMARK'!AJ$7,AGR!$R$46:$AC$46&amp;AGR!$R$49:$AC$49,0)),""))</f>
        <v/>
      </c>
      <c r="AK15" s="297" t="str" cm="1">
        <f t="array" aca="1" ref="AK15" ca="1">IF(AB15="*","",IFERROR(INDEX(AGR!$R$52:$AC$73,MATCH($C15,AGR!$B$52:$B$73,0),MATCH('TS DMARK'!$H15&amp;'TS DMARK'!AK$7,AGR!$R$46:$AC$46&amp;AGR!$R$49:$AC$49,0)),""))</f>
        <v/>
      </c>
      <c r="AL15" s="297" t="str" cm="1">
        <f t="array" aca="1" ref="AL15" ca="1">IF(AC15="*","",IFERROR(INDEX(AGR!$R$52:$AC$73,MATCH($C15,AGR!$B$52:$B$73,0),MATCH('TS DMARK'!$H15&amp;'TS DMARK'!AL$7,AGR!$R$46:$AC$46&amp;AGR!$R$49:$AC$49,0)),""))</f>
        <v/>
      </c>
      <c r="AM15" s="297" t="str" cm="1">
        <f t="array" aca="1" ref="AM15" ca="1">IF(AD15="*","",IFERROR(INDEX(AGR!$R$52:$AC$73,MATCH($C15,AGR!$B$52:$B$73,0),MATCH('TS DMARK'!$H15&amp;'TS DMARK'!AM$7,AGR!$R$46:$AC$46&amp;AGR!$R$49:$AC$49,0)),""))</f>
        <v/>
      </c>
      <c r="AN15" s="297" cm="1">
        <f t="array" aca="1" ref="AN15" ca="1">IF(AE15="*","",IFERROR(INDEX(AGR!$R$52:$AC$73,MATCH($C15,AGR!$B$52:$B$73,0),MATCH('TS DMARK'!$H15&amp;'TS DMARK'!AN$7,AGR!$R$46:$AC$46&amp;AGR!$R$49:$AC$49,0)),""))</f>
        <v>1</v>
      </c>
      <c r="AO15" s="297" t="str" cm="1">
        <f t="array" aca="1" ref="AO15" ca="1">IF(AF15="*","",IFERROR(INDEX(AGR!$R$52:$AC$73,MATCH($C15,AGR!$B$52:$B$73,0),MATCH('TS DMARK'!$H15&amp;'TS DMARK'!AO$7,AGR!$R$46:$AC$46&amp;AGR!$R$49:$AC$49,0)),""))</f>
        <v/>
      </c>
      <c r="AP15" s="297" cm="1">
        <f t="array" aca="1" ref="AP15" ca="1">IF(AG15="*","",IFERROR(INDEX(AGR!$R$52:$AC$73,MATCH($C15,AGR!$B$52:$B$73,0),MATCH('TS DMARK'!$H15&amp;'TS DMARK'!AP$7,AGR!$R$46:$AC$46&amp;AGR!$R$49:$AC$49,0)),""))</f>
        <v>1</v>
      </c>
      <c r="AQ15" s="238">
        <f>IF(AR14=AGR!$AD$74,AQ14+1,AQ14)</f>
        <v>1</v>
      </c>
      <c r="AR15" s="238">
        <f t="shared" ref="AR15:AR31" si="4">IF(AQ15=AQ14,AR14+1,1)</f>
        <v>3</v>
      </c>
    </row>
    <row r="16" spans="1:45">
      <c r="A16" s="238" t="str">
        <f ca="1">IF(LEFT(OFFSET(AGR!$A$51,AR16,0),2)="\I","*","")</f>
        <v/>
      </c>
      <c r="B16" s="243" t="str">
        <f t="shared" ca="1" si="0"/>
        <v>FLO_MARK</v>
      </c>
      <c r="C16" s="243" t="str">
        <f ca="1">IF($A16="*","",OFFSET(AGR!$B$51,AR16,0))</f>
        <v>AHOLP-E</v>
      </c>
      <c r="D16" s="298" t="str">
        <f t="shared" ca="1" si="3"/>
        <v>AH</v>
      </c>
      <c r="E16" s="298" t="str">
        <f t="shared" ca="1" si="1"/>
        <v>-</v>
      </c>
      <c r="F16" s="298" t="str">
        <f t="shared" ca="1" si="1"/>
        <v>-</v>
      </c>
      <c r="G16" s="298" t="str">
        <f t="shared" ca="1" si="2"/>
        <v>-</v>
      </c>
      <c r="H16" s="298" t="str">
        <f t="shared" ca="1" si="2"/>
        <v>UP</v>
      </c>
      <c r="I16" s="298">
        <f t="shared" ca="1" si="2"/>
        <v>3</v>
      </c>
      <c r="J16" s="297" cm="1">
        <f t="array" aca="1" ref="J16" ca="1">IF(A16="*","",IFERROR(INDEX(AGR!$R$52:$AC$73,MATCH($C16,AGR!$B$52:$B$73,0),MATCH('TS DMARK'!$H16&amp;'TS DMARK'!J$7,AGR!$R$46:$AC$46&amp;AGR!$R$49:$AC$49,0)),""))</f>
        <v>0</v>
      </c>
      <c r="K16" s="297" t="str" cm="1">
        <f t="array" aca="1" ref="K16" ca="1">IF(B16="*","",IFERROR(INDEX(AGR!$R$52:$AC$73,MATCH($C16,AGR!$B$52:$B$73,0),MATCH('TS DMARK'!$H16&amp;'TS DMARK'!K$7,AGR!$R$46:$AC$46&amp;AGR!$R$49:$AC$49,0)),""))</f>
        <v/>
      </c>
      <c r="L16" s="297" t="str" cm="1">
        <f t="array" aca="1" ref="L16" ca="1">IF(C16="*","",IFERROR(INDEX(AGR!$R$52:$AC$73,MATCH($C16,AGR!$B$52:$B$73,0),MATCH('TS DMARK'!$H16&amp;'TS DMARK'!L$7,AGR!$R$46:$AC$46&amp;AGR!$R$49:$AC$49,0)),""))</f>
        <v/>
      </c>
      <c r="M16" s="297" cm="1">
        <f t="array" aca="1" ref="M16" ca="1">IF(D16="*","",IFERROR(INDEX(AGR!$R$52:$AC$73,MATCH($C16,AGR!$B$52:$B$73,0),MATCH('TS DMARK'!$H16&amp;'TS DMARK'!M$7,AGR!$R$46:$AC$46&amp;AGR!$R$49:$AC$49,0)),""))</f>
        <v>0.5</v>
      </c>
      <c r="N16" s="297" t="str" cm="1">
        <f t="array" aca="1" ref="N16" ca="1">IF(E16="*","",IFERROR(INDEX(AGR!$R$52:$AC$73,MATCH($C16,AGR!$B$52:$B$73,0),MATCH('TS DMARK'!$H16&amp;'TS DMARK'!N$7,AGR!$R$46:$AC$46&amp;AGR!$R$49:$AC$49,0)),""))</f>
        <v/>
      </c>
      <c r="O16" s="297" t="str" cm="1">
        <f t="array" aca="1" ref="O16" ca="1">IF(F16="*","",IFERROR(INDEX(AGR!$R$52:$AC$73,MATCH($C16,AGR!$B$52:$B$73,0),MATCH('TS DMARK'!$H16&amp;'TS DMARK'!O$7,AGR!$R$46:$AC$46&amp;AGR!$R$49:$AC$49,0)),""))</f>
        <v/>
      </c>
      <c r="P16" s="297" t="str" cm="1">
        <f t="array" aca="1" ref="P16" ca="1">IF(G16="*","",IFERROR(INDEX(AGR!$R$52:$AC$73,MATCH($C16,AGR!$B$52:$B$73,0),MATCH('TS DMARK'!$H16&amp;'TS DMARK'!P$7,AGR!$R$46:$AC$46&amp;AGR!$R$49:$AC$49,0)),""))</f>
        <v/>
      </c>
      <c r="Q16" s="297" t="str" cm="1">
        <f t="array" aca="1" ref="Q16" ca="1">IF(H16="*","",IFERROR(INDEX(AGR!$R$52:$AC$73,MATCH($C16,AGR!$B$52:$B$73,0),MATCH('TS DMARK'!$H16&amp;'TS DMARK'!Q$7,AGR!$R$46:$AC$46&amp;AGR!$R$49:$AC$49,0)),""))</f>
        <v/>
      </c>
      <c r="R16" s="297" t="str" cm="1">
        <f t="array" aca="1" ref="R16" ca="1">IF(I16="*","",IFERROR(INDEX(AGR!$R$52:$AC$73,MATCH($C16,AGR!$B$52:$B$73,0),MATCH('TS DMARK'!$H16&amp;'TS DMARK'!R$7,AGR!$R$46:$AC$46&amp;AGR!$R$49:$AC$49,0)),""))</f>
        <v/>
      </c>
      <c r="S16" s="297" t="str" cm="1">
        <f t="array" aca="1" ref="S16" ca="1">IF(J16="*","",IFERROR(INDEX(AGR!$R$52:$AC$73,MATCH($C16,AGR!$B$52:$B$73,0),MATCH('TS DMARK'!$H16&amp;'TS DMARK'!S$7,AGR!$R$46:$AC$46&amp;AGR!$R$49:$AC$49,0)),""))</f>
        <v/>
      </c>
      <c r="T16" s="297" t="str" cm="1">
        <f t="array" aca="1" ref="T16" ca="1">IF(K16="*","",IFERROR(INDEX(AGR!$R$52:$AC$73,MATCH($C16,AGR!$B$52:$B$73,0),MATCH('TS DMARK'!$H16&amp;'TS DMARK'!T$7,AGR!$R$46:$AC$46&amp;AGR!$R$49:$AC$49,0)),""))</f>
        <v/>
      </c>
      <c r="U16" s="297" t="str" cm="1">
        <f t="array" aca="1" ref="U16" ca="1">IF(L16="*","",IFERROR(INDEX(AGR!$R$52:$AC$73,MATCH($C16,AGR!$B$52:$B$73,0),MATCH('TS DMARK'!$H16&amp;'TS DMARK'!U$7,AGR!$R$46:$AC$46&amp;AGR!$R$49:$AC$49,0)),""))</f>
        <v/>
      </c>
      <c r="V16" s="297" t="str" cm="1">
        <f t="array" aca="1" ref="V16" ca="1">IF(M16="*","",IFERROR(INDEX(AGR!$R$52:$AC$73,MATCH($C16,AGR!$B$52:$B$73,0),MATCH('TS DMARK'!$H16&amp;'TS DMARK'!V$7,AGR!$R$46:$AC$46&amp;AGR!$R$49:$AC$49,0)),""))</f>
        <v/>
      </c>
      <c r="W16" s="297" t="str" cm="1">
        <f t="array" aca="1" ref="W16" ca="1">IF(N16="*","",IFERROR(INDEX(AGR!$R$52:$AC$73,MATCH($C16,AGR!$B$52:$B$73,0),MATCH('TS DMARK'!$H16&amp;'TS DMARK'!W$7,AGR!$R$46:$AC$46&amp;AGR!$R$49:$AC$49,0)),""))</f>
        <v/>
      </c>
      <c r="X16" s="297" t="str" cm="1">
        <f t="array" aca="1" ref="X16" ca="1">IF(O16="*","",IFERROR(INDEX(AGR!$R$52:$AC$73,MATCH($C16,AGR!$B$52:$B$73,0),MATCH('TS DMARK'!$H16&amp;'TS DMARK'!X$7,AGR!$R$46:$AC$46&amp;AGR!$R$49:$AC$49,0)),""))</f>
        <v/>
      </c>
      <c r="Y16" s="297" t="str" cm="1">
        <f t="array" aca="1" ref="Y16" ca="1">IF(P16="*","",IFERROR(INDEX(AGR!$R$52:$AC$73,MATCH($C16,AGR!$B$52:$B$73,0),MATCH('TS DMARK'!$H16&amp;'TS DMARK'!Y$7,AGR!$R$46:$AC$46&amp;AGR!$R$49:$AC$49,0)),""))</f>
        <v/>
      </c>
      <c r="Z16" s="297" t="str" cm="1">
        <f t="array" aca="1" ref="Z16" ca="1">IF(Q16="*","",IFERROR(INDEX(AGR!$R$52:$AC$73,MATCH($C16,AGR!$B$52:$B$73,0),MATCH('TS DMARK'!$H16&amp;'TS DMARK'!Z$7,AGR!$R$46:$AC$46&amp;AGR!$R$49:$AC$49,0)),""))</f>
        <v/>
      </c>
      <c r="AA16" s="297" t="str" cm="1">
        <f t="array" aca="1" ref="AA16" ca="1">IF(R16="*","",IFERROR(INDEX(AGR!$R$52:$AC$73,MATCH($C16,AGR!$B$52:$B$73,0),MATCH('TS DMARK'!$H16&amp;'TS DMARK'!AA$7,AGR!$R$46:$AC$46&amp;AGR!$R$49:$AC$49,0)),""))</f>
        <v/>
      </c>
      <c r="AB16" s="297" cm="1">
        <f t="array" aca="1" ref="AB16" ca="1">IF(S16="*","",IFERROR(INDEX(AGR!$R$52:$AC$73,MATCH($C16,AGR!$B$52:$B$73,0),MATCH('TS DMARK'!$H16&amp;'TS DMARK'!AB$7,AGR!$R$46:$AC$46&amp;AGR!$R$49:$AC$49,0)),""))</f>
        <v>0.5</v>
      </c>
      <c r="AC16" s="297" t="str" cm="1">
        <f t="array" aca="1" ref="AC16" ca="1">IF(T16="*","",IFERROR(INDEX(AGR!$R$52:$AC$73,MATCH($C16,AGR!$B$52:$B$73,0),MATCH('TS DMARK'!$H16&amp;'TS DMARK'!AC$7,AGR!$R$46:$AC$46&amp;AGR!$R$49:$AC$49,0)),""))</f>
        <v/>
      </c>
      <c r="AD16" s="297" t="str" cm="1">
        <f t="array" aca="1" ref="AD16" ca="1">IF(U16="*","",IFERROR(INDEX(AGR!$R$52:$AC$73,MATCH($C16,AGR!$B$52:$B$73,0),MATCH('TS DMARK'!$H16&amp;'TS DMARK'!AD$7,AGR!$R$46:$AC$46&amp;AGR!$R$49:$AC$49,0)),""))</f>
        <v/>
      </c>
      <c r="AE16" s="297" t="str" cm="1">
        <f t="array" aca="1" ref="AE16" ca="1">IF(V16="*","",IFERROR(INDEX(AGR!$R$52:$AC$73,MATCH($C16,AGR!$B$52:$B$73,0),MATCH('TS DMARK'!$H16&amp;'TS DMARK'!AE$7,AGR!$R$46:$AC$46&amp;AGR!$R$49:$AC$49,0)),""))</f>
        <v/>
      </c>
      <c r="AF16" s="297" t="str" cm="1">
        <f t="array" aca="1" ref="AF16" ca="1">IF(W16="*","",IFERROR(INDEX(AGR!$R$52:$AC$73,MATCH($C16,AGR!$B$52:$B$73,0),MATCH('TS DMARK'!$H16&amp;'TS DMARK'!AF$7,AGR!$R$46:$AC$46&amp;AGR!$R$49:$AC$49,0)),""))</f>
        <v/>
      </c>
      <c r="AG16" s="297" t="str" cm="1">
        <f t="array" aca="1" ref="AG16" ca="1">IF(X16="*","",IFERROR(INDEX(AGR!$R$52:$AC$73,MATCH($C16,AGR!$B$52:$B$73,0),MATCH('TS DMARK'!$H16&amp;'TS DMARK'!AG$7,AGR!$R$46:$AC$46&amp;AGR!$R$49:$AC$49,0)),""))</f>
        <v/>
      </c>
      <c r="AH16" s="297" t="str" cm="1">
        <f t="array" aca="1" ref="AH16" ca="1">IF(Y16="*","",IFERROR(INDEX(AGR!$R$52:$AC$73,MATCH($C16,AGR!$B$52:$B$73,0),MATCH('TS DMARK'!$H16&amp;'TS DMARK'!AH$7,AGR!$R$46:$AC$46&amp;AGR!$R$49:$AC$49,0)),""))</f>
        <v/>
      </c>
      <c r="AI16" s="297" t="str" cm="1">
        <f t="array" aca="1" ref="AI16" ca="1">IF(Z16="*","",IFERROR(INDEX(AGR!$R$52:$AC$73,MATCH($C16,AGR!$B$52:$B$73,0),MATCH('TS DMARK'!$H16&amp;'TS DMARK'!AI$7,AGR!$R$46:$AC$46&amp;AGR!$R$49:$AC$49,0)),""))</f>
        <v/>
      </c>
      <c r="AJ16" s="297" t="str" cm="1">
        <f t="array" aca="1" ref="AJ16" ca="1">IF(AA16="*","",IFERROR(INDEX(AGR!$R$52:$AC$73,MATCH($C16,AGR!$B$52:$B$73,0),MATCH('TS DMARK'!$H16&amp;'TS DMARK'!AJ$7,AGR!$R$46:$AC$46&amp;AGR!$R$49:$AC$49,0)),""))</f>
        <v/>
      </c>
      <c r="AK16" s="297" t="str" cm="1">
        <f t="array" aca="1" ref="AK16" ca="1">IF(AB16="*","",IFERROR(INDEX(AGR!$R$52:$AC$73,MATCH($C16,AGR!$B$52:$B$73,0),MATCH('TS DMARK'!$H16&amp;'TS DMARK'!AK$7,AGR!$R$46:$AC$46&amp;AGR!$R$49:$AC$49,0)),""))</f>
        <v/>
      </c>
      <c r="AL16" s="297" t="str" cm="1">
        <f t="array" aca="1" ref="AL16" ca="1">IF(AC16="*","",IFERROR(INDEX(AGR!$R$52:$AC$73,MATCH($C16,AGR!$B$52:$B$73,0),MATCH('TS DMARK'!$H16&amp;'TS DMARK'!AL$7,AGR!$R$46:$AC$46&amp;AGR!$R$49:$AC$49,0)),""))</f>
        <v/>
      </c>
      <c r="AM16" s="297" t="str" cm="1">
        <f t="array" aca="1" ref="AM16" ca="1">IF(AD16="*","",IFERROR(INDEX(AGR!$R$52:$AC$73,MATCH($C16,AGR!$B$52:$B$73,0),MATCH('TS DMARK'!$H16&amp;'TS DMARK'!AM$7,AGR!$R$46:$AC$46&amp;AGR!$R$49:$AC$49,0)),""))</f>
        <v/>
      </c>
      <c r="AN16" s="297" cm="1">
        <f t="array" aca="1" ref="AN16" ca="1">IF(AE16="*","",IFERROR(INDEX(AGR!$R$52:$AC$73,MATCH($C16,AGR!$B$52:$B$73,0),MATCH('TS DMARK'!$H16&amp;'TS DMARK'!AN$7,AGR!$R$46:$AC$46&amp;AGR!$R$49:$AC$49,0)),""))</f>
        <v>1</v>
      </c>
      <c r="AO16" s="297" t="str" cm="1">
        <f t="array" aca="1" ref="AO16" ca="1">IF(AF16="*","",IFERROR(INDEX(AGR!$R$52:$AC$73,MATCH($C16,AGR!$B$52:$B$73,0),MATCH('TS DMARK'!$H16&amp;'TS DMARK'!AO$7,AGR!$R$46:$AC$46&amp;AGR!$R$49:$AC$49,0)),""))</f>
        <v/>
      </c>
      <c r="AP16" s="297" cm="1">
        <f t="array" aca="1" ref="AP16" ca="1">IF(AG16="*","",IFERROR(INDEX(AGR!$R$52:$AC$73,MATCH($C16,AGR!$B$52:$B$73,0),MATCH('TS DMARK'!$H16&amp;'TS DMARK'!AP$7,AGR!$R$46:$AC$46&amp;AGR!$R$49:$AC$49,0)),""))</f>
        <v>1</v>
      </c>
      <c r="AQ16" s="238">
        <f>IF(AR15=AGR!$AD$74,AQ15+1,AQ15)</f>
        <v>1</v>
      </c>
      <c r="AR16" s="238">
        <f t="shared" si="4"/>
        <v>4</v>
      </c>
    </row>
    <row r="17" spans="1:44">
      <c r="A17" s="238" t="str">
        <f ca="1">IF(LEFT(OFFSET(AGR!$A$51,AR17,0),2)="\I","*","")</f>
        <v/>
      </c>
      <c r="B17" s="243" t="str">
        <f t="shared" ca="1" si="0"/>
        <v>FLO_MARK</v>
      </c>
      <c r="C17" s="243" t="str">
        <f ca="1">IF($A17="*","",OFFSET(AGR!$B$51,AR17,0))</f>
        <v>AHELC-E</v>
      </c>
      <c r="D17" s="298" t="str">
        <f t="shared" ca="1" si="3"/>
        <v>AH</v>
      </c>
      <c r="E17" s="298" t="str">
        <f t="shared" ca="1" si="1"/>
        <v>-</v>
      </c>
      <c r="F17" s="298" t="str">
        <f t="shared" ca="1" si="1"/>
        <v>-</v>
      </c>
      <c r="G17" s="298" t="str">
        <f t="shared" ca="1" si="2"/>
        <v>-</v>
      </c>
      <c r="H17" s="298" t="str">
        <f t="shared" ca="1" si="2"/>
        <v>UP</v>
      </c>
      <c r="I17" s="298">
        <f t="shared" ca="1" si="2"/>
        <v>3</v>
      </c>
      <c r="J17" s="297" cm="1">
        <f t="array" aca="1" ref="J17" ca="1">IF(A17="*","",IFERROR(INDEX(AGR!$R$52:$AC$73,MATCH($C17,AGR!$B$52:$B$73,0),MATCH('TS DMARK'!$H17&amp;'TS DMARK'!J$7,AGR!$R$46:$AC$46&amp;AGR!$R$49:$AC$49,0)),""))</f>
        <v>0</v>
      </c>
      <c r="K17" s="297" t="str" cm="1">
        <f t="array" aca="1" ref="K17" ca="1">IF(B17="*","",IFERROR(INDEX(AGR!$R$52:$AC$73,MATCH($C17,AGR!$B$52:$B$73,0),MATCH('TS DMARK'!$H17&amp;'TS DMARK'!K$7,AGR!$R$46:$AC$46&amp;AGR!$R$49:$AC$49,0)),""))</f>
        <v/>
      </c>
      <c r="L17" s="297" t="str" cm="1">
        <f t="array" aca="1" ref="L17" ca="1">IF(C17="*","",IFERROR(INDEX(AGR!$R$52:$AC$73,MATCH($C17,AGR!$B$52:$B$73,0),MATCH('TS DMARK'!$H17&amp;'TS DMARK'!L$7,AGR!$R$46:$AC$46&amp;AGR!$R$49:$AC$49,0)),""))</f>
        <v/>
      </c>
      <c r="M17" s="297" cm="1">
        <f t="array" aca="1" ref="M17" ca="1">IF(D17="*","",IFERROR(INDEX(AGR!$R$52:$AC$73,MATCH($C17,AGR!$B$52:$B$73,0),MATCH('TS DMARK'!$H17&amp;'TS DMARK'!M$7,AGR!$R$46:$AC$46&amp;AGR!$R$49:$AC$49,0)),""))</f>
        <v>0.5</v>
      </c>
      <c r="N17" s="297" t="str" cm="1">
        <f t="array" aca="1" ref="N17" ca="1">IF(E17="*","",IFERROR(INDEX(AGR!$R$52:$AC$73,MATCH($C17,AGR!$B$52:$B$73,0),MATCH('TS DMARK'!$H17&amp;'TS DMARK'!N$7,AGR!$R$46:$AC$46&amp;AGR!$R$49:$AC$49,0)),""))</f>
        <v/>
      </c>
      <c r="O17" s="297" t="str" cm="1">
        <f t="array" aca="1" ref="O17" ca="1">IF(F17="*","",IFERROR(INDEX(AGR!$R$52:$AC$73,MATCH($C17,AGR!$B$52:$B$73,0),MATCH('TS DMARK'!$H17&amp;'TS DMARK'!O$7,AGR!$R$46:$AC$46&amp;AGR!$R$49:$AC$49,0)),""))</f>
        <v/>
      </c>
      <c r="P17" s="297" t="str" cm="1">
        <f t="array" aca="1" ref="P17" ca="1">IF(G17="*","",IFERROR(INDEX(AGR!$R$52:$AC$73,MATCH($C17,AGR!$B$52:$B$73,0),MATCH('TS DMARK'!$H17&amp;'TS DMARK'!P$7,AGR!$R$46:$AC$46&amp;AGR!$R$49:$AC$49,0)),""))</f>
        <v/>
      </c>
      <c r="Q17" s="297" t="str" cm="1">
        <f t="array" aca="1" ref="Q17" ca="1">IF(H17="*","",IFERROR(INDEX(AGR!$R$52:$AC$73,MATCH($C17,AGR!$B$52:$B$73,0),MATCH('TS DMARK'!$H17&amp;'TS DMARK'!Q$7,AGR!$R$46:$AC$46&amp;AGR!$R$49:$AC$49,0)),""))</f>
        <v/>
      </c>
      <c r="R17" s="297" t="str" cm="1">
        <f t="array" aca="1" ref="R17" ca="1">IF(I17="*","",IFERROR(INDEX(AGR!$R$52:$AC$73,MATCH($C17,AGR!$B$52:$B$73,0),MATCH('TS DMARK'!$H17&amp;'TS DMARK'!R$7,AGR!$R$46:$AC$46&amp;AGR!$R$49:$AC$49,0)),""))</f>
        <v/>
      </c>
      <c r="S17" s="297" t="str" cm="1">
        <f t="array" aca="1" ref="S17" ca="1">IF(J17="*","",IFERROR(INDEX(AGR!$R$52:$AC$73,MATCH($C17,AGR!$B$52:$B$73,0),MATCH('TS DMARK'!$H17&amp;'TS DMARK'!S$7,AGR!$R$46:$AC$46&amp;AGR!$R$49:$AC$49,0)),""))</f>
        <v/>
      </c>
      <c r="T17" s="297" t="str" cm="1">
        <f t="array" aca="1" ref="T17" ca="1">IF(K17="*","",IFERROR(INDEX(AGR!$R$52:$AC$73,MATCH($C17,AGR!$B$52:$B$73,0),MATCH('TS DMARK'!$H17&amp;'TS DMARK'!T$7,AGR!$R$46:$AC$46&amp;AGR!$R$49:$AC$49,0)),""))</f>
        <v/>
      </c>
      <c r="U17" s="297" t="str" cm="1">
        <f t="array" aca="1" ref="U17" ca="1">IF(L17="*","",IFERROR(INDEX(AGR!$R$52:$AC$73,MATCH($C17,AGR!$B$52:$B$73,0),MATCH('TS DMARK'!$H17&amp;'TS DMARK'!U$7,AGR!$R$46:$AC$46&amp;AGR!$R$49:$AC$49,0)),""))</f>
        <v/>
      </c>
      <c r="V17" s="297" t="str" cm="1">
        <f t="array" aca="1" ref="V17" ca="1">IF(M17="*","",IFERROR(INDEX(AGR!$R$52:$AC$73,MATCH($C17,AGR!$B$52:$B$73,0),MATCH('TS DMARK'!$H17&amp;'TS DMARK'!V$7,AGR!$R$46:$AC$46&amp;AGR!$R$49:$AC$49,0)),""))</f>
        <v/>
      </c>
      <c r="W17" s="297" t="str" cm="1">
        <f t="array" aca="1" ref="W17" ca="1">IF(N17="*","",IFERROR(INDEX(AGR!$R$52:$AC$73,MATCH($C17,AGR!$B$52:$B$73,0),MATCH('TS DMARK'!$H17&amp;'TS DMARK'!W$7,AGR!$R$46:$AC$46&amp;AGR!$R$49:$AC$49,0)),""))</f>
        <v/>
      </c>
      <c r="X17" s="297" t="str" cm="1">
        <f t="array" aca="1" ref="X17" ca="1">IF(O17="*","",IFERROR(INDEX(AGR!$R$52:$AC$73,MATCH($C17,AGR!$B$52:$B$73,0),MATCH('TS DMARK'!$H17&amp;'TS DMARK'!X$7,AGR!$R$46:$AC$46&amp;AGR!$R$49:$AC$49,0)),""))</f>
        <v/>
      </c>
      <c r="Y17" s="297" t="str" cm="1">
        <f t="array" aca="1" ref="Y17" ca="1">IF(P17="*","",IFERROR(INDEX(AGR!$R$52:$AC$73,MATCH($C17,AGR!$B$52:$B$73,0),MATCH('TS DMARK'!$H17&amp;'TS DMARK'!Y$7,AGR!$R$46:$AC$46&amp;AGR!$R$49:$AC$49,0)),""))</f>
        <v/>
      </c>
      <c r="Z17" s="297" t="str" cm="1">
        <f t="array" aca="1" ref="Z17" ca="1">IF(Q17="*","",IFERROR(INDEX(AGR!$R$52:$AC$73,MATCH($C17,AGR!$B$52:$B$73,0),MATCH('TS DMARK'!$H17&amp;'TS DMARK'!Z$7,AGR!$R$46:$AC$46&amp;AGR!$R$49:$AC$49,0)),""))</f>
        <v/>
      </c>
      <c r="AA17" s="297" t="str" cm="1">
        <f t="array" aca="1" ref="AA17" ca="1">IF(R17="*","",IFERROR(INDEX(AGR!$R$52:$AC$73,MATCH($C17,AGR!$B$52:$B$73,0),MATCH('TS DMARK'!$H17&amp;'TS DMARK'!AA$7,AGR!$R$46:$AC$46&amp;AGR!$R$49:$AC$49,0)),""))</f>
        <v/>
      </c>
      <c r="AB17" s="297" cm="1">
        <f t="array" aca="1" ref="AB17" ca="1">IF(S17="*","",IFERROR(INDEX(AGR!$R$52:$AC$73,MATCH($C17,AGR!$B$52:$B$73,0),MATCH('TS DMARK'!$H17&amp;'TS DMARK'!AB$7,AGR!$R$46:$AC$46&amp;AGR!$R$49:$AC$49,0)),""))</f>
        <v>0.5</v>
      </c>
      <c r="AC17" s="297" t="str" cm="1">
        <f t="array" aca="1" ref="AC17" ca="1">IF(T17="*","",IFERROR(INDEX(AGR!$R$52:$AC$73,MATCH($C17,AGR!$B$52:$B$73,0),MATCH('TS DMARK'!$H17&amp;'TS DMARK'!AC$7,AGR!$R$46:$AC$46&amp;AGR!$R$49:$AC$49,0)),""))</f>
        <v/>
      </c>
      <c r="AD17" s="297" t="str" cm="1">
        <f t="array" aca="1" ref="AD17" ca="1">IF(U17="*","",IFERROR(INDEX(AGR!$R$52:$AC$73,MATCH($C17,AGR!$B$52:$B$73,0),MATCH('TS DMARK'!$H17&amp;'TS DMARK'!AD$7,AGR!$R$46:$AC$46&amp;AGR!$R$49:$AC$49,0)),""))</f>
        <v/>
      </c>
      <c r="AE17" s="297" t="str" cm="1">
        <f t="array" aca="1" ref="AE17" ca="1">IF(V17="*","",IFERROR(INDEX(AGR!$R$52:$AC$73,MATCH($C17,AGR!$B$52:$B$73,0),MATCH('TS DMARK'!$H17&amp;'TS DMARK'!AE$7,AGR!$R$46:$AC$46&amp;AGR!$R$49:$AC$49,0)),""))</f>
        <v/>
      </c>
      <c r="AF17" s="297" t="str" cm="1">
        <f t="array" aca="1" ref="AF17" ca="1">IF(W17="*","",IFERROR(INDEX(AGR!$R$52:$AC$73,MATCH($C17,AGR!$B$52:$B$73,0),MATCH('TS DMARK'!$H17&amp;'TS DMARK'!AF$7,AGR!$R$46:$AC$46&amp;AGR!$R$49:$AC$49,0)),""))</f>
        <v/>
      </c>
      <c r="AG17" s="297" t="str" cm="1">
        <f t="array" aca="1" ref="AG17" ca="1">IF(X17="*","",IFERROR(INDEX(AGR!$R$52:$AC$73,MATCH($C17,AGR!$B$52:$B$73,0),MATCH('TS DMARK'!$H17&amp;'TS DMARK'!AG$7,AGR!$R$46:$AC$46&amp;AGR!$R$49:$AC$49,0)),""))</f>
        <v/>
      </c>
      <c r="AH17" s="297" t="str" cm="1">
        <f t="array" aca="1" ref="AH17" ca="1">IF(Y17="*","",IFERROR(INDEX(AGR!$R$52:$AC$73,MATCH($C17,AGR!$B$52:$B$73,0),MATCH('TS DMARK'!$H17&amp;'TS DMARK'!AH$7,AGR!$R$46:$AC$46&amp;AGR!$R$49:$AC$49,0)),""))</f>
        <v/>
      </c>
      <c r="AI17" s="297" t="str" cm="1">
        <f t="array" aca="1" ref="AI17" ca="1">IF(Z17="*","",IFERROR(INDEX(AGR!$R$52:$AC$73,MATCH($C17,AGR!$B$52:$B$73,0),MATCH('TS DMARK'!$H17&amp;'TS DMARK'!AI$7,AGR!$R$46:$AC$46&amp;AGR!$R$49:$AC$49,0)),""))</f>
        <v/>
      </c>
      <c r="AJ17" s="297" t="str" cm="1">
        <f t="array" aca="1" ref="AJ17" ca="1">IF(AA17="*","",IFERROR(INDEX(AGR!$R$52:$AC$73,MATCH($C17,AGR!$B$52:$B$73,0),MATCH('TS DMARK'!$H17&amp;'TS DMARK'!AJ$7,AGR!$R$46:$AC$46&amp;AGR!$R$49:$AC$49,0)),""))</f>
        <v/>
      </c>
      <c r="AK17" s="297" t="str" cm="1">
        <f t="array" aca="1" ref="AK17" ca="1">IF(AB17="*","",IFERROR(INDEX(AGR!$R$52:$AC$73,MATCH($C17,AGR!$B$52:$B$73,0),MATCH('TS DMARK'!$H17&amp;'TS DMARK'!AK$7,AGR!$R$46:$AC$46&amp;AGR!$R$49:$AC$49,0)),""))</f>
        <v/>
      </c>
      <c r="AL17" s="297" t="str" cm="1">
        <f t="array" aca="1" ref="AL17" ca="1">IF(AC17="*","",IFERROR(INDEX(AGR!$R$52:$AC$73,MATCH($C17,AGR!$B$52:$B$73,0),MATCH('TS DMARK'!$H17&amp;'TS DMARK'!AL$7,AGR!$R$46:$AC$46&amp;AGR!$R$49:$AC$49,0)),""))</f>
        <v/>
      </c>
      <c r="AM17" s="297" t="str" cm="1">
        <f t="array" aca="1" ref="AM17" ca="1">IF(AD17="*","",IFERROR(INDEX(AGR!$R$52:$AC$73,MATCH($C17,AGR!$B$52:$B$73,0),MATCH('TS DMARK'!$H17&amp;'TS DMARK'!AM$7,AGR!$R$46:$AC$46&amp;AGR!$R$49:$AC$49,0)),""))</f>
        <v/>
      </c>
      <c r="AN17" s="297" cm="1">
        <f t="array" aca="1" ref="AN17" ca="1">IF(AE17="*","",IFERROR(INDEX(AGR!$R$52:$AC$73,MATCH($C17,AGR!$B$52:$B$73,0),MATCH('TS DMARK'!$H17&amp;'TS DMARK'!AN$7,AGR!$R$46:$AC$46&amp;AGR!$R$49:$AC$49,0)),""))</f>
        <v>1</v>
      </c>
      <c r="AO17" s="297" t="str" cm="1">
        <f t="array" aca="1" ref="AO17" ca="1">IF(AF17="*","",IFERROR(INDEX(AGR!$R$52:$AC$73,MATCH($C17,AGR!$B$52:$B$73,0),MATCH('TS DMARK'!$H17&amp;'TS DMARK'!AO$7,AGR!$R$46:$AC$46&amp;AGR!$R$49:$AC$49,0)),""))</f>
        <v/>
      </c>
      <c r="AP17" s="297" cm="1">
        <f t="array" aca="1" ref="AP17" ca="1">IF(AG17="*","",IFERROR(INDEX(AGR!$R$52:$AC$73,MATCH($C17,AGR!$B$52:$B$73,0),MATCH('TS DMARK'!$H17&amp;'TS DMARK'!AP$7,AGR!$R$46:$AC$46&amp;AGR!$R$49:$AC$49,0)),""))</f>
        <v>1</v>
      </c>
      <c r="AQ17" s="238">
        <f>IF(AR16=AGR!$AD$74,AQ16+1,AQ16)</f>
        <v>1</v>
      </c>
      <c r="AR17" s="238">
        <f t="shared" si="4"/>
        <v>5</v>
      </c>
    </row>
    <row r="18" spans="1:44">
      <c r="A18" s="238" t="str">
        <f ca="1">IF(LEFT(OFFSET(AGR!$A$51,AR18,0),2)="\I","*","")</f>
        <v>*</v>
      </c>
      <c r="B18" s="243" t="str">
        <f t="shared" ca="1" si="0"/>
        <v/>
      </c>
      <c r="C18" s="243" t="str">
        <f ca="1">IF($A18="*","",OFFSET(AGR!$B$51,AR18,0))</f>
        <v/>
      </c>
      <c r="D18" s="298" t="str">
        <f t="shared" ca="1" si="3"/>
        <v/>
      </c>
      <c r="E18" s="298" t="str">
        <f t="shared" ca="1" si="1"/>
        <v/>
      </c>
      <c r="F18" s="298" t="str">
        <f t="shared" ca="1" si="1"/>
        <v/>
      </c>
      <c r="G18" s="298" t="str">
        <f t="shared" ca="1" si="2"/>
        <v/>
      </c>
      <c r="H18" s="298" t="str">
        <f t="shared" ca="1" si="2"/>
        <v/>
      </c>
      <c r="I18" s="298" t="str">
        <f t="shared" ca="1" si="2"/>
        <v/>
      </c>
      <c r="J18" s="297" t="str" cm="1">
        <f t="array" aca="1" ref="J18" ca="1">IF(A18="*","",IFERROR(INDEX(AGR!$R$52:$AC$73,MATCH($C18,AGR!$B$52:$B$73,0),MATCH('TS DMARK'!$H18&amp;'TS DMARK'!J$7,AGR!$R$46:$AC$46&amp;AGR!$R$49:$AC$49,0)),""))</f>
        <v/>
      </c>
      <c r="K18" s="297" t="str" cm="1">
        <f t="array" aca="1" ref="K18" ca="1">IF(B18="*","",IFERROR(INDEX(AGR!$R$52:$AC$73,MATCH($C18,AGR!$B$52:$B$73,0),MATCH('TS DMARK'!$H18&amp;'TS DMARK'!K$7,AGR!$R$46:$AC$46&amp;AGR!$R$49:$AC$49,0)),""))</f>
        <v/>
      </c>
      <c r="L18" s="297" t="str" cm="1">
        <f t="array" aca="1" ref="L18" ca="1">IF(C18="*","",IFERROR(INDEX(AGR!$R$52:$AC$73,MATCH($C18,AGR!$B$52:$B$73,0),MATCH('TS DMARK'!$H18&amp;'TS DMARK'!L$7,AGR!$R$46:$AC$46&amp;AGR!$R$49:$AC$49,0)),""))</f>
        <v/>
      </c>
      <c r="M18" s="297" t="str" cm="1">
        <f t="array" aca="1" ref="M18" ca="1">IF(D18="*","",IFERROR(INDEX(AGR!$R$52:$AC$73,MATCH($C18,AGR!$B$52:$B$73,0),MATCH('TS DMARK'!$H18&amp;'TS DMARK'!M$7,AGR!$R$46:$AC$46&amp;AGR!$R$49:$AC$49,0)),""))</f>
        <v/>
      </c>
      <c r="N18" s="297" t="str" cm="1">
        <f t="array" aca="1" ref="N18" ca="1">IF(E18="*","",IFERROR(INDEX(AGR!$R$52:$AC$73,MATCH($C18,AGR!$B$52:$B$73,0),MATCH('TS DMARK'!$H18&amp;'TS DMARK'!N$7,AGR!$R$46:$AC$46&amp;AGR!$R$49:$AC$49,0)),""))</f>
        <v/>
      </c>
      <c r="O18" s="297" t="str" cm="1">
        <f t="array" aca="1" ref="O18" ca="1">IF(F18="*","",IFERROR(INDEX(AGR!$R$52:$AC$73,MATCH($C18,AGR!$B$52:$B$73,0),MATCH('TS DMARK'!$H18&amp;'TS DMARK'!O$7,AGR!$R$46:$AC$46&amp;AGR!$R$49:$AC$49,0)),""))</f>
        <v/>
      </c>
      <c r="P18" s="297" t="str" cm="1">
        <f t="array" aca="1" ref="P18" ca="1">IF(G18="*","",IFERROR(INDEX(AGR!$R$52:$AC$73,MATCH($C18,AGR!$B$52:$B$73,0),MATCH('TS DMARK'!$H18&amp;'TS DMARK'!P$7,AGR!$R$46:$AC$46&amp;AGR!$R$49:$AC$49,0)),""))</f>
        <v/>
      </c>
      <c r="Q18" s="297" t="str" cm="1">
        <f t="array" aca="1" ref="Q18" ca="1">IF(H18="*","",IFERROR(INDEX(AGR!$R$52:$AC$73,MATCH($C18,AGR!$B$52:$B$73,0),MATCH('TS DMARK'!$H18&amp;'TS DMARK'!Q$7,AGR!$R$46:$AC$46&amp;AGR!$R$49:$AC$49,0)),""))</f>
        <v/>
      </c>
      <c r="R18" s="297" t="str" cm="1">
        <f t="array" aca="1" ref="R18" ca="1">IF(I18="*","",IFERROR(INDEX(AGR!$R$52:$AC$73,MATCH($C18,AGR!$B$52:$B$73,0),MATCH('TS DMARK'!$H18&amp;'TS DMARK'!R$7,AGR!$R$46:$AC$46&amp;AGR!$R$49:$AC$49,0)),""))</f>
        <v/>
      </c>
      <c r="S18" s="297" t="str" cm="1">
        <f t="array" aca="1" ref="S18" ca="1">IF(J18="*","",IFERROR(INDEX(AGR!$R$52:$AC$73,MATCH($C18,AGR!$B$52:$B$73,0),MATCH('TS DMARK'!$H18&amp;'TS DMARK'!S$7,AGR!$R$46:$AC$46&amp;AGR!$R$49:$AC$49,0)),""))</f>
        <v/>
      </c>
      <c r="T18" s="297" t="str" cm="1">
        <f t="array" aca="1" ref="T18" ca="1">IF(K18="*","",IFERROR(INDEX(AGR!$R$52:$AC$73,MATCH($C18,AGR!$B$52:$B$73,0),MATCH('TS DMARK'!$H18&amp;'TS DMARK'!T$7,AGR!$R$46:$AC$46&amp;AGR!$R$49:$AC$49,0)),""))</f>
        <v/>
      </c>
      <c r="U18" s="297" t="str" cm="1">
        <f t="array" aca="1" ref="U18" ca="1">IF(L18="*","",IFERROR(INDEX(AGR!$R$52:$AC$73,MATCH($C18,AGR!$B$52:$B$73,0),MATCH('TS DMARK'!$H18&amp;'TS DMARK'!U$7,AGR!$R$46:$AC$46&amp;AGR!$R$49:$AC$49,0)),""))</f>
        <v/>
      </c>
      <c r="V18" s="297" t="str" cm="1">
        <f t="array" aca="1" ref="V18" ca="1">IF(M18="*","",IFERROR(INDEX(AGR!$R$52:$AC$73,MATCH($C18,AGR!$B$52:$B$73,0),MATCH('TS DMARK'!$H18&amp;'TS DMARK'!V$7,AGR!$R$46:$AC$46&amp;AGR!$R$49:$AC$49,0)),""))</f>
        <v/>
      </c>
      <c r="W18" s="297" t="str" cm="1">
        <f t="array" aca="1" ref="W18" ca="1">IF(N18="*","",IFERROR(INDEX(AGR!$R$52:$AC$73,MATCH($C18,AGR!$B$52:$B$73,0),MATCH('TS DMARK'!$H18&amp;'TS DMARK'!W$7,AGR!$R$46:$AC$46&amp;AGR!$R$49:$AC$49,0)),""))</f>
        <v/>
      </c>
      <c r="X18" s="297" t="str" cm="1">
        <f t="array" aca="1" ref="X18" ca="1">IF(O18="*","",IFERROR(INDEX(AGR!$R$52:$AC$73,MATCH($C18,AGR!$B$52:$B$73,0),MATCH('TS DMARK'!$H18&amp;'TS DMARK'!X$7,AGR!$R$46:$AC$46&amp;AGR!$R$49:$AC$49,0)),""))</f>
        <v/>
      </c>
      <c r="Y18" s="297" t="str" cm="1">
        <f t="array" aca="1" ref="Y18" ca="1">IF(P18="*","",IFERROR(INDEX(AGR!$R$52:$AC$73,MATCH($C18,AGR!$B$52:$B$73,0),MATCH('TS DMARK'!$H18&amp;'TS DMARK'!Y$7,AGR!$R$46:$AC$46&amp;AGR!$R$49:$AC$49,0)),""))</f>
        <v/>
      </c>
      <c r="Z18" s="297" t="str" cm="1">
        <f t="array" aca="1" ref="Z18" ca="1">IF(Q18="*","",IFERROR(INDEX(AGR!$R$52:$AC$73,MATCH($C18,AGR!$B$52:$B$73,0),MATCH('TS DMARK'!$H18&amp;'TS DMARK'!Z$7,AGR!$R$46:$AC$46&amp;AGR!$R$49:$AC$49,0)),""))</f>
        <v/>
      </c>
      <c r="AA18" s="297" t="str" cm="1">
        <f t="array" aca="1" ref="AA18" ca="1">IF(R18="*","",IFERROR(INDEX(AGR!$R$52:$AC$73,MATCH($C18,AGR!$B$52:$B$73,0),MATCH('TS DMARK'!$H18&amp;'TS DMARK'!AA$7,AGR!$R$46:$AC$46&amp;AGR!$R$49:$AC$49,0)),""))</f>
        <v/>
      </c>
      <c r="AB18" s="297" t="str" cm="1">
        <f t="array" aca="1" ref="AB18" ca="1">IF(S18="*","",IFERROR(INDEX(AGR!$R$52:$AC$73,MATCH($C18,AGR!$B$52:$B$73,0),MATCH('TS DMARK'!$H18&amp;'TS DMARK'!AB$7,AGR!$R$46:$AC$46&amp;AGR!$R$49:$AC$49,0)),""))</f>
        <v/>
      </c>
      <c r="AC18" s="297" t="str" cm="1">
        <f t="array" aca="1" ref="AC18" ca="1">IF(T18="*","",IFERROR(INDEX(AGR!$R$52:$AC$73,MATCH($C18,AGR!$B$52:$B$73,0),MATCH('TS DMARK'!$H18&amp;'TS DMARK'!AC$7,AGR!$R$46:$AC$46&amp;AGR!$R$49:$AC$49,0)),""))</f>
        <v/>
      </c>
      <c r="AD18" s="297" t="str" cm="1">
        <f t="array" aca="1" ref="AD18" ca="1">IF(U18="*","",IFERROR(INDEX(AGR!$R$52:$AC$73,MATCH($C18,AGR!$B$52:$B$73,0),MATCH('TS DMARK'!$H18&amp;'TS DMARK'!AD$7,AGR!$R$46:$AC$46&amp;AGR!$R$49:$AC$49,0)),""))</f>
        <v/>
      </c>
      <c r="AE18" s="297" t="str" cm="1">
        <f t="array" aca="1" ref="AE18" ca="1">IF(V18="*","",IFERROR(INDEX(AGR!$R$52:$AC$73,MATCH($C18,AGR!$B$52:$B$73,0),MATCH('TS DMARK'!$H18&amp;'TS DMARK'!AE$7,AGR!$R$46:$AC$46&amp;AGR!$R$49:$AC$49,0)),""))</f>
        <v/>
      </c>
      <c r="AF18" s="297" t="str" cm="1">
        <f t="array" aca="1" ref="AF18" ca="1">IF(W18="*","",IFERROR(INDEX(AGR!$R$52:$AC$73,MATCH($C18,AGR!$B$52:$B$73,0),MATCH('TS DMARK'!$H18&amp;'TS DMARK'!AF$7,AGR!$R$46:$AC$46&amp;AGR!$R$49:$AC$49,0)),""))</f>
        <v/>
      </c>
      <c r="AG18" s="297" t="str" cm="1">
        <f t="array" aca="1" ref="AG18" ca="1">IF(X18="*","",IFERROR(INDEX(AGR!$R$52:$AC$73,MATCH($C18,AGR!$B$52:$B$73,0),MATCH('TS DMARK'!$H18&amp;'TS DMARK'!AG$7,AGR!$R$46:$AC$46&amp;AGR!$R$49:$AC$49,0)),""))</f>
        <v/>
      </c>
      <c r="AH18" s="297" t="str" cm="1">
        <f t="array" aca="1" ref="AH18" ca="1">IF(Y18="*","",IFERROR(INDEX(AGR!$R$52:$AC$73,MATCH($C18,AGR!$B$52:$B$73,0),MATCH('TS DMARK'!$H18&amp;'TS DMARK'!AH$7,AGR!$R$46:$AC$46&amp;AGR!$R$49:$AC$49,0)),""))</f>
        <v/>
      </c>
      <c r="AI18" s="297" t="str" cm="1">
        <f t="array" aca="1" ref="AI18" ca="1">IF(Z18="*","",IFERROR(INDEX(AGR!$R$52:$AC$73,MATCH($C18,AGR!$B$52:$B$73,0),MATCH('TS DMARK'!$H18&amp;'TS DMARK'!AI$7,AGR!$R$46:$AC$46&amp;AGR!$R$49:$AC$49,0)),""))</f>
        <v/>
      </c>
      <c r="AJ18" s="297" t="str" cm="1">
        <f t="array" aca="1" ref="AJ18" ca="1">IF(AA18="*","",IFERROR(INDEX(AGR!$R$52:$AC$73,MATCH($C18,AGR!$B$52:$B$73,0),MATCH('TS DMARK'!$H18&amp;'TS DMARK'!AJ$7,AGR!$R$46:$AC$46&amp;AGR!$R$49:$AC$49,0)),""))</f>
        <v/>
      </c>
      <c r="AK18" s="297" t="str" cm="1">
        <f t="array" aca="1" ref="AK18" ca="1">IF(AB18="*","",IFERROR(INDEX(AGR!$R$52:$AC$73,MATCH($C18,AGR!$B$52:$B$73,0),MATCH('TS DMARK'!$H18&amp;'TS DMARK'!AK$7,AGR!$R$46:$AC$46&amp;AGR!$R$49:$AC$49,0)),""))</f>
        <v/>
      </c>
      <c r="AL18" s="297" t="str" cm="1">
        <f t="array" aca="1" ref="AL18" ca="1">IF(AC18="*","",IFERROR(INDEX(AGR!$R$52:$AC$73,MATCH($C18,AGR!$B$52:$B$73,0),MATCH('TS DMARK'!$H18&amp;'TS DMARK'!AL$7,AGR!$R$46:$AC$46&amp;AGR!$R$49:$AC$49,0)),""))</f>
        <v/>
      </c>
      <c r="AM18" s="297" t="str" cm="1">
        <f t="array" aca="1" ref="AM18" ca="1">IF(AD18="*","",IFERROR(INDEX(AGR!$R$52:$AC$73,MATCH($C18,AGR!$B$52:$B$73,0),MATCH('TS DMARK'!$H18&amp;'TS DMARK'!AM$7,AGR!$R$46:$AC$46&amp;AGR!$R$49:$AC$49,0)),""))</f>
        <v/>
      </c>
      <c r="AN18" s="297" t="str" cm="1">
        <f t="array" aca="1" ref="AN18" ca="1">IF(AE18="*","",IFERROR(INDEX(AGR!$R$52:$AC$73,MATCH($C18,AGR!$B$52:$B$73,0),MATCH('TS DMARK'!$H18&amp;'TS DMARK'!AN$7,AGR!$R$46:$AC$46&amp;AGR!$R$49:$AC$49,0)),""))</f>
        <v/>
      </c>
      <c r="AO18" s="297" t="str" cm="1">
        <f t="array" aca="1" ref="AO18" ca="1">IF(AF18="*","",IFERROR(INDEX(AGR!$R$52:$AC$73,MATCH($C18,AGR!$B$52:$B$73,0),MATCH('TS DMARK'!$H18&amp;'TS DMARK'!AO$7,AGR!$R$46:$AC$46&amp;AGR!$R$49:$AC$49,0)),""))</f>
        <v/>
      </c>
      <c r="AP18" s="297" t="str" cm="1">
        <f t="array" aca="1" ref="AP18" ca="1">IF(AG18="*","",IFERROR(INDEX(AGR!$R$52:$AC$73,MATCH($C18,AGR!$B$52:$B$73,0),MATCH('TS DMARK'!$H18&amp;'TS DMARK'!AP$7,AGR!$R$46:$AC$46&amp;AGR!$R$49:$AC$49,0)),""))</f>
        <v/>
      </c>
      <c r="AQ18" s="238">
        <f>IF(AR17=AGR!$AD$74,AQ17+1,AQ17)</f>
        <v>1</v>
      </c>
      <c r="AR18" s="238">
        <f t="shared" si="4"/>
        <v>6</v>
      </c>
    </row>
    <row r="19" spans="1:44">
      <c r="A19" s="238" t="str">
        <f ca="1">IF(LEFT(OFFSET(AGR!$A$51,AR19,0),2)="\I","*","")</f>
        <v>*</v>
      </c>
      <c r="B19" s="243" t="str">
        <f t="shared" ca="1" si="0"/>
        <v/>
      </c>
      <c r="C19" s="243" t="str">
        <f ca="1">IF($A19="*","",OFFSET(AGR!$B$51,AR19,0))</f>
        <v/>
      </c>
      <c r="D19" s="298" t="str">
        <f t="shared" ca="1" si="3"/>
        <v/>
      </c>
      <c r="E19" s="298" t="str">
        <f t="shared" ca="1" si="1"/>
        <v/>
      </c>
      <c r="F19" s="298" t="str">
        <f t="shared" ca="1" si="1"/>
        <v/>
      </c>
      <c r="G19" s="298" t="str">
        <f t="shared" ca="1" si="2"/>
        <v/>
      </c>
      <c r="H19" s="298" t="str">
        <f t="shared" ca="1" si="2"/>
        <v/>
      </c>
      <c r="I19" s="298" t="str">
        <f t="shared" ca="1" si="2"/>
        <v/>
      </c>
      <c r="J19" s="297" t="str" cm="1">
        <f t="array" aca="1" ref="J19" ca="1">IF(A19="*","",IFERROR(INDEX(AGR!$R$52:$AC$73,MATCH($C19,AGR!$B$52:$B$73,0),MATCH('TS DMARK'!$H19&amp;'TS DMARK'!J$7,AGR!$R$46:$AC$46&amp;AGR!$R$49:$AC$49,0)),""))</f>
        <v/>
      </c>
      <c r="K19" s="297" t="str" cm="1">
        <f t="array" aca="1" ref="K19" ca="1">IF(B19="*","",IFERROR(INDEX(AGR!$R$52:$AC$73,MATCH($C19,AGR!$B$52:$B$73,0),MATCH('TS DMARK'!$H19&amp;'TS DMARK'!K$7,AGR!$R$46:$AC$46&amp;AGR!$R$49:$AC$49,0)),""))</f>
        <v/>
      </c>
      <c r="L19" s="297" t="str" cm="1">
        <f t="array" aca="1" ref="L19" ca="1">IF(C19="*","",IFERROR(INDEX(AGR!$R$52:$AC$73,MATCH($C19,AGR!$B$52:$B$73,0),MATCH('TS DMARK'!$H19&amp;'TS DMARK'!L$7,AGR!$R$46:$AC$46&amp;AGR!$R$49:$AC$49,0)),""))</f>
        <v/>
      </c>
      <c r="M19" s="297" t="str" cm="1">
        <f t="array" aca="1" ref="M19" ca="1">IF(D19="*","",IFERROR(INDEX(AGR!$R$52:$AC$73,MATCH($C19,AGR!$B$52:$B$73,0),MATCH('TS DMARK'!$H19&amp;'TS DMARK'!M$7,AGR!$R$46:$AC$46&amp;AGR!$R$49:$AC$49,0)),""))</f>
        <v/>
      </c>
      <c r="N19" s="297" t="str" cm="1">
        <f t="array" aca="1" ref="N19" ca="1">IF(E19="*","",IFERROR(INDEX(AGR!$R$52:$AC$73,MATCH($C19,AGR!$B$52:$B$73,0),MATCH('TS DMARK'!$H19&amp;'TS DMARK'!N$7,AGR!$R$46:$AC$46&amp;AGR!$R$49:$AC$49,0)),""))</f>
        <v/>
      </c>
      <c r="O19" s="297" t="str" cm="1">
        <f t="array" aca="1" ref="O19" ca="1">IF(F19="*","",IFERROR(INDEX(AGR!$R$52:$AC$73,MATCH($C19,AGR!$B$52:$B$73,0),MATCH('TS DMARK'!$H19&amp;'TS DMARK'!O$7,AGR!$R$46:$AC$46&amp;AGR!$R$49:$AC$49,0)),""))</f>
        <v/>
      </c>
      <c r="P19" s="297" t="str" cm="1">
        <f t="array" aca="1" ref="P19" ca="1">IF(G19="*","",IFERROR(INDEX(AGR!$R$52:$AC$73,MATCH($C19,AGR!$B$52:$B$73,0),MATCH('TS DMARK'!$H19&amp;'TS DMARK'!P$7,AGR!$R$46:$AC$46&amp;AGR!$R$49:$AC$49,0)),""))</f>
        <v/>
      </c>
      <c r="Q19" s="297" t="str" cm="1">
        <f t="array" aca="1" ref="Q19" ca="1">IF(H19="*","",IFERROR(INDEX(AGR!$R$52:$AC$73,MATCH($C19,AGR!$B$52:$B$73,0),MATCH('TS DMARK'!$H19&amp;'TS DMARK'!Q$7,AGR!$R$46:$AC$46&amp;AGR!$R$49:$AC$49,0)),""))</f>
        <v/>
      </c>
      <c r="R19" s="297" t="str" cm="1">
        <f t="array" aca="1" ref="R19" ca="1">IF(I19="*","",IFERROR(INDEX(AGR!$R$52:$AC$73,MATCH($C19,AGR!$B$52:$B$73,0),MATCH('TS DMARK'!$H19&amp;'TS DMARK'!R$7,AGR!$R$46:$AC$46&amp;AGR!$R$49:$AC$49,0)),""))</f>
        <v/>
      </c>
      <c r="S19" s="297" t="str" cm="1">
        <f t="array" aca="1" ref="S19" ca="1">IF(J19="*","",IFERROR(INDEX(AGR!$R$52:$AC$73,MATCH($C19,AGR!$B$52:$B$73,0),MATCH('TS DMARK'!$H19&amp;'TS DMARK'!S$7,AGR!$R$46:$AC$46&amp;AGR!$R$49:$AC$49,0)),""))</f>
        <v/>
      </c>
      <c r="T19" s="297" t="str" cm="1">
        <f t="array" aca="1" ref="T19" ca="1">IF(K19="*","",IFERROR(INDEX(AGR!$R$52:$AC$73,MATCH($C19,AGR!$B$52:$B$73,0),MATCH('TS DMARK'!$H19&amp;'TS DMARK'!T$7,AGR!$R$46:$AC$46&amp;AGR!$R$49:$AC$49,0)),""))</f>
        <v/>
      </c>
      <c r="U19" s="297" t="str" cm="1">
        <f t="array" aca="1" ref="U19" ca="1">IF(L19="*","",IFERROR(INDEX(AGR!$R$52:$AC$73,MATCH($C19,AGR!$B$52:$B$73,0),MATCH('TS DMARK'!$H19&amp;'TS DMARK'!U$7,AGR!$R$46:$AC$46&amp;AGR!$R$49:$AC$49,0)),""))</f>
        <v/>
      </c>
      <c r="V19" s="297" t="str" cm="1">
        <f t="array" aca="1" ref="V19" ca="1">IF(M19="*","",IFERROR(INDEX(AGR!$R$52:$AC$73,MATCH($C19,AGR!$B$52:$B$73,0),MATCH('TS DMARK'!$H19&amp;'TS DMARK'!V$7,AGR!$R$46:$AC$46&amp;AGR!$R$49:$AC$49,0)),""))</f>
        <v/>
      </c>
      <c r="W19" s="297" t="str" cm="1">
        <f t="array" aca="1" ref="W19" ca="1">IF(N19="*","",IFERROR(INDEX(AGR!$R$52:$AC$73,MATCH($C19,AGR!$B$52:$B$73,0),MATCH('TS DMARK'!$H19&amp;'TS DMARK'!W$7,AGR!$R$46:$AC$46&amp;AGR!$R$49:$AC$49,0)),""))</f>
        <v/>
      </c>
      <c r="X19" s="297" t="str" cm="1">
        <f t="array" aca="1" ref="X19" ca="1">IF(O19="*","",IFERROR(INDEX(AGR!$R$52:$AC$73,MATCH($C19,AGR!$B$52:$B$73,0),MATCH('TS DMARK'!$H19&amp;'TS DMARK'!X$7,AGR!$R$46:$AC$46&amp;AGR!$R$49:$AC$49,0)),""))</f>
        <v/>
      </c>
      <c r="Y19" s="297" t="str" cm="1">
        <f t="array" aca="1" ref="Y19" ca="1">IF(P19="*","",IFERROR(INDEX(AGR!$R$52:$AC$73,MATCH($C19,AGR!$B$52:$B$73,0),MATCH('TS DMARK'!$H19&amp;'TS DMARK'!Y$7,AGR!$R$46:$AC$46&amp;AGR!$R$49:$AC$49,0)),""))</f>
        <v/>
      </c>
      <c r="Z19" s="297" t="str" cm="1">
        <f t="array" aca="1" ref="Z19" ca="1">IF(Q19="*","",IFERROR(INDEX(AGR!$R$52:$AC$73,MATCH($C19,AGR!$B$52:$B$73,0),MATCH('TS DMARK'!$H19&amp;'TS DMARK'!Z$7,AGR!$R$46:$AC$46&amp;AGR!$R$49:$AC$49,0)),""))</f>
        <v/>
      </c>
      <c r="AA19" s="297" t="str" cm="1">
        <f t="array" aca="1" ref="AA19" ca="1">IF(R19="*","",IFERROR(INDEX(AGR!$R$52:$AC$73,MATCH($C19,AGR!$B$52:$B$73,0),MATCH('TS DMARK'!$H19&amp;'TS DMARK'!AA$7,AGR!$R$46:$AC$46&amp;AGR!$R$49:$AC$49,0)),""))</f>
        <v/>
      </c>
      <c r="AB19" s="297" t="str" cm="1">
        <f t="array" aca="1" ref="AB19" ca="1">IF(S19="*","",IFERROR(INDEX(AGR!$R$52:$AC$73,MATCH($C19,AGR!$B$52:$B$73,0),MATCH('TS DMARK'!$H19&amp;'TS DMARK'!AB$7,AGR!$R$46:$AC$46&amp;AGR!$R$49:$AC$49,0)),""))</f>
        <v/>
      </c>
      <c r="AC19" s="297" t="str" cm="1">
        <f t="array" aca="1" ref="AC19" ca="1">IF(T19="*","",IFERROR(INDEX(AGR!$R$52:$AC$73,MATCH($C19,AGR!$B$52:$B$73,0),MATCH('TS DMARK'!$H19&amp;'TS DMARK'!AC$7,AGR!$R$46:$AC$46&amp;AGR!$R$49:$AC$49,0)),""))</f>
        <v/>
      </c>
      <c r="AD19" s="297" t="str" cm="1">
        <f t="array" aca="1" ref="AD19" ca="1">IF(U19="*","",IFERROR(INDEX(AGR!$R$52:$AC$73,MATCH($C19,AGR!$B$52:$B$73,0),MATCH('TS DMARK'!$H19&amp;'TS DMARK'!AD$7,AGR!$R$46:$AC$46&amp;AGR!$R$49:$AC$49,0)),""))</f>
        <v/>
      </c>
      <c r="AE19" s="297" t="str" cm="1">
        <f t="array" aca="1" ref="AE19" ca="1">IF(V19="*","",IFERROR(INDEX(AGR!$R$52:$AC$73,MATCH($C19,AGR!$B$52:$B$73,0),MATCH('TS DMARK'!$H19&amp;'TS DMARK'!AE$7,AGR!$R$46:$AC$46&amp;AGR!$R$49:$AC$49,0)),""))</f>
        <v/>
      </c>
      <c r="AF19" s="297" t="str" cm="1">
        <f t="array" aca="1" ref="AF19" ca="1">IF(W19="*","",IFERROR(INDEX(AGR!$R$52:$AC$73,MATCH($C19,AGR!$B$52:$B$73,0),MATCH('TS DMARK'!$H19&amp;'TS DMARK'!AF$7,AGR!$R$46:$AC$46&amp;AGR!$R$49:$AC$49,0)),""))</f>
        <v/>
      </c>
      <c r="AG19" s="297" t="str" cm="1">
        <f t="array" aca="1" ref="AG19" ca="1">IF(X19="*","",IFERROR(INDEX(AGR!$R$52:$AC$73,MATCH($C19,AGR!$B$52:$B$73,0),MATCH('TS DMARK'!$H19&amp;'TS DMARK'!AG$7,AGR!$R$46:$AC$46&amp;AGR!$R$49:$AC$49,0)),""))</f>
        <v/>
      </c>
      <c r="AH19" s="297" t="str" cm="1">
        <f t="array" aca="1" ref="AH19" ca="1">IF(Y19="*","",IFERROR(INDEX(AGR!$R$52:$AC$73,MATCH($C19,AGR!$B$52:$B$73,0),MATCH('TS DMARK'!$H19&amp;'TS DMARK'!AH$7,AGR!$R$46:$AC$46&amp;AGR!$R$49:$AC$49,0)),""))</f>
        <v/>
      </c>
      <c r="AI19" s="297" t="str" cm="1">
        <f t="array" aca="1" ref="AI19" ca="1">IF(Z19="*","",IFERROR(INDEX(AGR!$R$52:$AC$73,MATCH($C19,AGR!$B$52:$B$73,0),MATCH('TS DMARK'!$H19&amp;'TS DMARK'!AI$7,AGR!$R$46:$AC$46&amp;AGR!$R$49:$AC$49,0)),""))</f>
        <v/>
      </c>
      <c r="AJ19" s="297" t="str" cm="1">
        <f t="array" aca="1" ref="AJ19" ca="1">IF(AA19="*","",IFERROR(INDEX(AGR!$R$52:$AC$73,MATCH($C19,AGR!$B$52:$B$73,0),MATCH('TS DMARK'!$H19&amp;'TS DMARK'!AJ$7,AGR!$R$46:$AC$46&amp;AGR!$R$49:$AC$49,0)),""))</f>
        <v/>
      </c>
      <c r="AK19" s="297" t="str" cm="1">
        <f t="array" aca="1" ref="AK19" ca="1">IF(AB19="*","",IFERROR(INDEX(AGR!$R$52:$AC$73,MATCH($C19,AGR!$B$52:$B$73,0),MATCH('TS DMARK'!$H19&amp;'TS DMARK'!AK$7,AGR!$R$46:$AC$46&amp;AGR!$R$49:$AC$49,0)),""))</f>
        <v/>
      </c>
      <c r="AL19" s="297" t="str" cm="1">
        <f t="array" aca="1" ref="AL19" ca="1">IF(AC19="*","",IFERROR(INDEX(AGR!$R$52:$AC$73,MATCH($C19,AGR!$B$52:$B$73,0),MATCH('TS DMARK'!$H19&amp;'TS DMARK'!AL$7,AGR!$R$46:$AC$46&amp;AGR!$R$49:$AC$49,0)),""))</f>
        <v/>
      </c>
      <c r="AM19" s="297" t="str" cm="1">
        <f t="array" aca="1" ref="AM19" ca="1">IF(AD19="*","",IFERROR(INDEX(AGR!$R$52:$AC$73,MATCH($C19,AGR!$B$52:$B$73,0),MATCH('TS DMARK'!$H19&amp;'TS DMARK'!AM$7,AGR!$R$46:$AC$46&amp;AGR!$R$49:$AC$49,0)),""))</f>
        <v/>
      </c>
      <c r="AN19" s="297" t="str" cm="1">
        <f t="array" aca="1" ref="AN19" ca="1">IF(AE19="*","",IFERROR(INDEX(AGR!$R$52:$AC$73,MATCH($C19,AGR!$B$52:$B$73,0),MATCH('TS DMARK'!$H19&amp;'TS DMARK'!AN$7,AGR!$R$46:$AC$46&amp;AGR!$R$49:$AC$49,0)),""))</f>
        <v/>
      </c>
      <c r="AO19" s="297" t="str" cm="1">
        <f t="array" aca="1" ref="AO19" ca="1">IF(AF19="*","",IFERROR(INDEX(AGR!$R$52:$AC$73,MATCH($C19,AGR!$B$52:$B$73,0),MATCH('TS DMARK'!$H19&amp;'TS DMARK'!AO$7,AGR!$R$46:$AC$46&amp;AGR!$R$49:$AC$49,0)),""))</f>
        <v/>
      </c>
      <c r="AP19" s="297" t="str" cm="1">
        <f t="array" aca="1" ref="AP19" ca="1">IF(AG19="*","",IFERROR(INDEX(AGR!$R$52:$AC$73,MATCH($C19,AGR!$B$52:$B$73,0),MATCH('TS DMARK'!$H19&amp;'TS DMARK'!AP$7,AGR!$R$46:$AC$46&amp;AGR!$R$49:$AC$49,0)),""))</f>
        <v/>
      </c>
      <c r="AQ19" s="238">
        <f>IF(AR18=AGR!$AD$74,AQ18+1,AQ18)</f>
        <v>1</v>
      </c>
      <c r="AR19" s="238">
        <f t="shared" si="4"/>
        <v>7</v>
      </c>
    </row>
    <row r="20" spans="1:44">
      <c r="A20" s="238" t="str">
        <f ca="1">IF(LEFT(OFFSET(AGR!$A$51,AR20,0),2)="\I","*","")</f>
        <v/>
      </c>
      <c r="B20" s="243" t="str">
        <f t="shared" ca="1" si="0"/>
        <v>FLO_MARK</v>
      </c>
      <c r="C20" s="243" t="str">
        <f ca="1">IF($A20="*","",OFFSET(AGR!$B$51,AR20,0))</f>
        <v>APELC-E</v>
      </c>
      <c r="D20" s="298" t="str">
        <f t="shared" ca="1" si="3"/>
        <v>AP</v>
      </c>
      <c r="E20" s="298" t="str">
        <f t="shared" ca="1" si="1"/>
        <v>-</v>
      </c>
      <c r="F20" s="298" t="str">
        <f t="shared" ca="1" si="1"/>
        <v>-</v>
      </c>
      <c r="G20" s="298" t="str">
        <f t="shared" ca="1" si="2"/>
        <v>-</v>
      </c>
      <c r="H20" s="298" t="str">
        <f t="shared" ca="1" si="2"/>
        <v>UP</v>
      </c>
      <c r="I20" s="298">
        <f t="shared" ca="1" si="2"/>
        <v>3</v>
      </c>
      <c r="J20" s="297" cm="1">
        <f t="array" aca="1" ref="J20" ca="1">IF(A20="*","",IFERROR(INDEX(AGR!$R$52:$AC$73,MATCH($C20,AGR!$B$52:$B$73,0),MATCH('TS DMARK'!$H20&amp;'TS DMARK'!J$7,AGR!$R$46:$AC$46&amp;AGR!$R$49:$AC$49,0)),""))</f>
        <v>1</v>
      </c>
      <c r="K20" s="297" t="str" cm="1">
        <f t="array" aca="1" ref="K20" ca="1">IF(B20="*","",IFERROR(INDEX(AGR!$R$52:$AC$73,MATCH($C20,AGR!$B$52:$B$73,0),MATCH('TS DMARK'!$H20&amp;'TS DMARK'!K$7,AGR!$R$46:$AC$46&amp;AGR!$R$49:$AC$49,0)),""))</f>
        <v/>
      </c>
      <c r="L20" s="297" t="str" cm="1">
        <f t="array" aca="1" ref="L20" ca="1">IF(C20="*","",IFERROR(INDEX(AGR!$R$52:$AC$73,MATCH($C20,AGR!$B$52:$B$73,0),MATCH('TS DMARK'!$H20&amp;'TS DMARK'!L$7,AGR!$R$46:$AC$46&amp;AGR!$R$49:$AC$49,0)),""))</f>
        <v/>
      </c>
      <c r="M20" s="297" cm="1">
        <f t="array" aca="1" ref="M20" ca="1">IF(D20="*","",IFERROR(INDEX(AGR!$R$52:$AC$73,MATCH($C20,AGR!$B$52:$B$73,0),MATCH('TS DMARK'!$H20&amp;'TS DMARK'!M$7,AGR!$R$46:$AC$46&amp;AGR!$R$49:$AC$49,0)),""))</f>
        <v>1</v>
      </c>
      <c r="N20" s="297" t="str" cm="1">
        <f t="array" aca="1" ref="N20" ca="1">IF(E20="*","",IFERROR(INDEX(AGR!$R$52:$AC$73,MATCH($C20,AGR!$B$52:$B$73,0),MATCH('TS DMARK'!$H20&amp;'TS DMARK'!N$7,AGR!$R$46:$AC$46&amp;AGR!$R$49:$AC$49,0)),""))</f>
        <v/>
      </c>
      <c r="O20" s="297" t="str" cm="1">
        <f t="array" aca="1" ref="O20" ca="1">IF(F20="*","",IFERROR(INDEX(AGR!$R$52:$AC$73,MATCH($C20,AGR!$B$52:$B$73,0),MATCH('TS DMARK'!$H20&amp;'TS DMARK'!O$7,AGR!$R$46:$AC$46&amp;AGR!$R$49:$AC$49,0)),""))</f>
        <v/>
      </c>
      <c r="P20" s="297" t="str" cm="1">
        <f t="array" aca="1" ref="P20" ca="1">IF(G20="*","",IFERROR(INDEX(AGR!$R$52:$AC$73,MATCH($C20,AGR!$B$52:$B$73,0),MATCH('TS DMARK'!$H20&amp;'TS DMARK'!P$7,AGR!$R$46:$AC$46&amp;AGR!$R$49:$AC$49,0)),""))</f>
        <v/>
      </c>
      <c r="Q20" s="297" t="str" cm="1">
        <f t="array" aca="1" ref="Q20" ca="1">IF(H20="*","",IFERROR(INDEX(AGR!$R$52:$AC$73,MATCH($C20,AGR!$B$52:$B$73,0),MATCH('TS DMARK'!$H20&amp;'TS DMARK'!Q$7,AGR!$R$46:$AC$46&amp;AGR!$R$49:$AC$49,0)),""))</f>
        <v/>
      </c>
      <c r="R20" s="297" t="str" cm="1">
        <f t="array" aca="1" ref="R20" ca="1">IF(I20="*","",IFERROR(INDEX(AGR!$R$52:$AC$73,MATCH($C20,AGR!$B$52:$B$73,0),MATCH('TS DMARK'!$H20&amp;'TS DMARK'!R$7,AGR!$R$46:$AC$46&amp;AGR!$R$49:$AC$49,0)),""))</f>
        <v/>
      </c>
      <c r="S20" s="297" t="str" cm="1">
        <f t="array" aca="1" ref="S20" ca="1">IF(J20="*","",IFERROR(INDEX(AGR!$R$52:$AC$73,MATCH($C20,AGR!$B$52:$B$73,0),MATCH('TS DMARK'!$H20&amp;'TS DMARK'!S$7,AGR!$R$46:$AC$46&amp;AGR!$R$49:$AC$49,0)),""))</f>
        <v/>
      </c>
      <c r="T20" s="297" t="str" cm="1">
        <f t="array" aca="1" ref="T20" ca="1">IF(K20="*","",IFERROR(INDEX(AGR!$R$52:$AC$73,MATCH($C20,AGR!$B$52:$B$73,0),MATCH('TS DMARK'!$H20&amp;'TS DMARK'!T$7,AGR!$R$46:$AC$46&amp;AGR!$R$49:$AC$49,0)),""))</f>
        <v/>
      </c>
      <c r="U20" s="297" t="str" cm="1">
        <f t="array" aca="1" ref="U20" ca="1">IF(L20="*","",IFERROR(INDEX(AGR!$R$52:$AC$73,MATCH($C20,AGR!$B$52:$B$73,0),MATCH('TS DMARK'!$H20&amp;'TS DMARK'!U$7,AGR!$R$46:$AC$46&amp;AGR!$R$49:$AC$49,0)),""))</f>
        <v/>
      </c>
      <c r="V20" s="297" t="str" cm="1">
        <f t="array" aca="1" ref="V20" ca="1">IF(M20="*","",IFERROR(INDEX(AGR!$R$52:$AC$73,MATCH($C20,AGR!$B$52:$B$73,0),MATCH('TS DMARK'!$H20&amp;'TS DMARK'!V$7,AGR!$R$46:$AC$46&amp;AGR!$R$49:$AC$49,0)),""))</f>
        <v/>
      </c>
      <c r="W20" s="297" t="str" cm="1">
        <f t="array" aca="1" ref="W20" ca="1">IF(N20="*","",IFERROR(INDEX(AGR!$R$52:$AC$73,MATCH($C20,AGR!$B$52:$B$73,0),MATCH('TS DMARK'!$H20&amp;'TS DMARK'!W$7,AGR!$R$46:$AC$46&amp;AGR!$R$49:$AC$49,0)),""))</f>
        <v/>
      </c>
      <c r="X20" s="297" t="str" cm="1">
        <f t="array" aca="1" ref="X20" ca="1">IF(O20="*","",IFERROR(INDEX(AGR!$R$52:$AC$73,MATCH($C20,AGR!$B$52:$B$73,0),MATCH('TS DMARK'!$H20&amp;'TS DMARK'!X$7,AGR!$R$46:$AC$46&amp;AGR!$R$49:$AC$49,0)),""))</f>
        <v/>
      </c>
      <c r="Y20" s="297" t="str" cm="1">
        <f t="array" aca="1" ref="Y20" ca="1">IF(P20="*","",IFERROR(INDEX(AGR!$R$52:$AC$73,MATCH($C20,AGR!$B$52:$B$73,0),MATCH('TS DMARK'!$H20&amp;'TS DMARK'!Y$7,AGR!$R$46:$AC$46&amp;AGR!$R$49:$AC$49,0)),""))</f>
        <v/>
      </c>
      <c r="Z20" s="297" t="str" cm="1">
        <f t="array" aca="1" ref="Z20" ca="1">IF(Q20="*","",IFERROR(INDEX(AGR!$R$52:$AC$73,MATCH($C20,AGR!$B$52:$B$73,0),MATCH('TS DMARK'!$H20&amp;'TS DMARK'!Z$7,AGR!$R$46:$AC$46&amp;AGR!$R$49:$AC$49,0)),""))</f>
        <v/>
      </c>
      <c r="AA20" s="297" t="str" cm="1">
        <f t="array" aca="1" ref="AA20" ca="1">IF(R20="*","",IFERROR(INDEX(AGR!$R$52:$AC$73,MATCH($C20,AGR!$B$52:$B$73,0),MATCH('TS DMARK'!$H20&amp;'TS DMARK'!AA$7,AGR!$R$46:$AC$46&amp;AGR!$R$49:$AC$49,0)),""))</f>
        <v/>
      </c>
      <c r="AB20" s="297" cm="1">
        <f t="array" aca="1" ref="AB20" ca="1">IF(S20="*","",IFERROR(INDEX(AGR!$R$52:$AC$73,MATCH($C20,AGR!$B$52:$B$73,0),MATCH('TS DMARK'!$H20&amp;'TS DMARK'!AB$7,AGR!$R$46:$AC$46&amp;AGR!$R$49:$AC$49,0)),""))</f>
        <v>1</v>
      </c>
      <c r="AC20" s="297" t="str" cm="1">
        <f t="array" aca="1" ref="AC20" ca="1">IF(T20="*","",IFERROR(INDEX(AGR!$R$52:$AC$73,MATCH($C20,AGR!$B$52:$B$73,0),MATCH('TS DMARK'!$H20&amp;'TS DMARK'!AC$7,AGR!$R$46:$AC$46&amp;AGR!$R$49:$AC$49,0)),""))</f>
        <v/>
      </c>
      <c r="AD20" s="297" t="str" cm="1">
        <f t="array" aca="1" ref="AD20" ca="1">IF(U20="*","",IFERROR(INDEX(AGR!$R$52:$AC$73,MATCH($C20,AGR!$B$52:$B$73,0),MATCH('TS DMARK'!$H20&amp;'TS DMARK'!AD$7,AGR!$R$46:$AC$46&amp;AGR!$R$49:$AC$49,0)),""))</f>
        <v/>
      </c>
      <c r="AE20" s="297" t="str" cm="1">
        <f t="array" aca="1" ref="AE20" ca="1">IF(V20="*","",IFERROR(INDEX(AGR!$R$52:$AC$73,MATCH($C20,AGR!$B$52:$B$73,0),MATCH('TS DMARK'!$H20&amp;'TS DMARK'!AE$7,AGR!$R$46:$AC$46&amp;AGR!$R$49:$AC$49,0)),""))</f>
        <v/>
      </c>
      <c r="AF20" s="297" t="str" cm="1">
        <f t="array" aca="1" ref="AF20" ca="1">IF(W20="*","",IFERROR(INDEX(AGR!$R$52:$AC$73,MATCH($C20,AGR!$B$52:$B$73,0),MATCH('TS DMARK'!$H20&amp;'TS DMARK'!AF$7,AGR!$R$46:$AC$46&amp;AGR!$R$49:$AC$49,0)),""))</f>
        <v/>
      </c>
      <c r="AG20" s="297" t="str" cm="1">
        <f t="array" aca="1" ref="AG20" ca="1">IF(X20="*","",IFERROR(INDEX(AGR!$R$52:$AC$73,MATCH($C20,AGR!$B$52:$B$73,0),MATCH('TS DMARK'!$H20&amp;'TS DMARK'!AG$7,AGR!$R$46:$AC$46&amp;AGR!$R$49:$AC$49,0)),""))</f>
        <v/>
      </c>
      <c r="AH20" s="297" t="str" cm="1">
        <f t="array" aca="1" ref="AH20" ca="1">IF(Y20="*","",IFERROR(INDEX(AGR!$R$52:$AC$73,MATCH($C20,AGR!$B$52:$B$73,0),MATCH('TS DMARK'!$H20&amp;'TS DMARK'!AH$7,AGR!$R$46:$AC$46&amp;AGR!$R$49:$AC$49,0)),""))</f>
        <v/>
      </c>
      <c r="AI20" s="297" t="str" cm="1">
        <f t="array" aca="1" ref="AI20" ca="1">IF(Z20="*","",IFERROR(INDEX(AGR!$R$52:$AC$73,MATCH($C20,AGR!$B$52:$B$73,0),MATCH('TS DMARK'!$H20&amp;'TS DMARK'!AI$7,AGR!$R$46:$AC$46&amp;AGR!$R$49:$AC$49,0)),""))</f>
        <v/>
      </c>
      <c r="AJ20" s="297" t="str" cm="1">
        <f t="array" aca="1" ref="AJ20" ca="1">IF(AA20="*","",IFERROR(INDEX(AGR!$R$52:$AC$73,MATCH($C20,AGR!$B$52:$B$73,0),MATCH('TS DMARK'!$H20&amp;'TS DMARK'!AJ$7,AGR!$R$46:$AC$46&amp;AGR!$R$49:$AC$49,0)),""))</f>
        <v/>
      </c>
      <c r="AK20" s="297" t="str" cm="1">
        <f t="array" aca="1" ref="AK20" ca="1">IF(AB20="*","",IFERROR(INDEX(AGR!$R$52:$AC$73,MATCH($C20,AGR!$B$52:$B$73,0),MATCH('TS DMARK'!$H20&amp;'TS DMARK'!AK$7,AGR!$R$46:$AC$46&amp;AGR!$R$49:$AC$49,0)),""))</f>
        <v/>
      </c>
      <c r="AL20" s="297" t="str" cm="1">
        <f t="array" aca="1" ref="AL20" ca="1">IF(AC20="*","",IFERROR(INDEX(AGR!$R$52:$AC$73,MATCH($C20,AGR!$B$52:$B$73,0),MATCH('TS DMARK'!$H20&amp;'TS DMARK'!AL$7,AGR!$R$46:$AC$46&amp;AGR!$R$49:$AC$49,0)),""))</f>
        <v/>
      </c>
      <c r="AM20" s="297" t="str" cm="1">
        <f t="array" aca="1" ref="AM20" ca="1">IF(AD20="*","",IFERROR(INDEX(AGR!$R$52:$AC$73,MATCH($C20,AGR!$B$52:$B$73,0),MATCH('TS DMARK'!$H20&amp;'TS DMARK'!AM$7,AGR!$R$46:$AC$46&amp;AGR!$R$49:$AC$49,0)),""))</f>
        <v/>
      </c>
      <c r="AN20" s="297" cm="1">
        <f t="array" aca="1" ref="AN20" ca="1">IF(AE20="*","",IFERROR(INDEX(AGR!$R$52:$AC$73,MATCH($C20,AGR!$B$52:$B$73,0),MATCH('TS DMARK'!$H20&amp;'TS DMARK'!AN$7,AGR!$R$46:$AC$46&amp;AGR!$R$49:$AC$49,0)),""))</f>
        <v>1</v>
      </c>
      <c r="AO20" s="297" t="str" cm="1">
        <f t="array" aca="1" ref="AO20" ca="1">IF(AF20="*","",IFERROR(INDEX(AGR!$R$52:$AC$73,MATCH($C20,AGR!$B$52:$B$73,0),MATCH('TS DMARK'!$H20&amp;'TS DMARK'!AO$7,AGR!$R$46:$AC$46&amp;AGR!$R$49:$AC$49,0)),""))</f>
        <v/>
      </c>
      <c r="AP20" s="297" cm="1">
        <f t="array" aca="1" ref="AP20" ca="1">IF(AG20="*","",IFERROR(INDEX(AGR!$R$52:$AC$73,MATCH($C20,AGR!$B$52:$B$73,0),MATCH('TS DMARK'!$H20&amp;'TS DMARK'!AP$7,AGR!$R$46:$AC$46&amp;AGR!$R$49:$AC$49,0)),""))</f>
        <v>1</v>
      </c>
      <c r="AQ20" s="238">
        <f>IF(AR19=AGR!$AD$74,AQ19+1,AQ19)</f>
        <v>1</v>
      </c>
      <c r="AR20" s="238">
        <f t="shared" si="4"/>
        <v>8</v>
      </c>
    </row>
    <row r="21" spans="1:44">
      <c r="A21" s="238" t="str">
        <f ca="1">IF(LEFT(OFFSET(AGR!$A$51,AR21,0),2)="\I","*","")</f>
        <v>*</v>
      </c>
      <c r="B21" s="243" t="str">
        <f t="shared" ca="1" si="0"/>
        <v/>
      </c>
      <c r="C21" s="243" t="str">
        <f ca="1">IF($A21="*","",OFFSET(AGR!$B$51,AR21,0))</f>
        <v/>
      </c>
      <c r="D21" s="298" t="str">
        <f t="shared" ca="1" si="3"/>
        <v/>
      </c>
      <c r="E21" s="298" t="str">
        <f t="shared" ca="1" si="1"/>
        <v/>
      </c>
      <c r="F21" s="298" t="str">
        <f t="shared" ca="1" si="1"/>
        <v/>
      </c>
      <c r="G21" s="298" t="str">
        <f t="shared" ca="1" si="2"/>
        <v/>
      </c>
      <c r="H21" s="298" t="str">
        <f t="shared" ca="1" si="2"/>
        <v/>
      </c>
      <c r="I21" s="298" t="str">
        <f t="shared" ca="1" si="2"/>
        <v/>
      </c>
      <c r="J21" s="297" t="str" cm="1">
        <f t="array" aca="1" ref="J21" ca="1">IF(A21="*","",IFERROR(INDEX(AGR!$R$52:$AC$73,MATCH($C21,AGR!$B$52:$B$73,0),MATCH('TS DMARK'!$H21&amp;'TS DMARK'!J$7,AGR!$R$46:$AC$46&amp;AGR!$R$49:$AC$49,0)),""))</f>
        <v/>
      </c>
      <c r="K21" s="297" t="str" cm="1">
        <f t="array" aca="1" ref="K21" ca="1">IF(B21="*","",IFERROR(INDEX(AGR!$R$52:$AC$73,MATCH($C21,AGR!$B$52:$B$73,0),MATCH('TS DMARK'!$H21&amp;'TS DMARK'!K$7,AGR!$R$46:$AC$46&amp;AGR!$R$49:$AC$49,0)),""))</f>
        <v/>
      </c>
      <c r="L21" s="297" t="str" cm="1">
        <f t="array" aca="1" ref="L21" ca="1">IF(C21="*","",IFERROR(INDEX(AGR!$R$52:$AC$73,MATCH($C21,AGR!$B$52:$B$73,0),MATCH('TS DMARK'!$H21&amp;'TS DMARK'!L$7,AGR!$R$46:$AC$46&amp;AGR!$R$49:$AC$49,0)),""))</f>
        <v/>
      </c>
      <c r="M21" s="297" t="str" cm="1">
        <f t="array" aca="1" ref="M21" ca="1">IF(D21="*","",IFERROR(INDEX(AGR!$R$52:$AC$73,MATCH($C21,AGR!$B$52:$B$73,0),MATCH('TS DMARK'!$H21&amp;'TS DMARK'!M$7,AGR!$R$46:$AC$46&amp;AGR!$R$49:$AC$49,0)),""))</f>
        <v/>
      </c>
      <c r="N21" s="297" t="str" cm="1">
        <f t="array" aca="1" ref="N21" ca="1">IF(E21="*","",IFERROR(INDEX(AGR!$R$52:$AC$73,MATCH($C21,AGR!$B$52:$B$73,0),MATCH('TS DMARK'!$H21&amp;'TS DMARK'!N$7,AGR!$R$46:$AC$46&amp;AGR!$R$49:$AC$49,0)),""))</f>
        <v/>
      </c>
      <c r="O21" s="297" t="str" cm="1">
        <f t="array" aca="1" ref="O21" ca="1">IF(F21="*","",IFERROR(INDEX(AGR!$R$52:$AC$73,MATCH($C21,AGR!$B$52:$B$73,0),MATCH('TS DMARK'!$H21&amp;'TS DMARK'!O$7,AGR!$R$46:$AC$46&amp;AGR!$R$49:$AC$49,0)),""))</f>
        <v/>
      </c>
      <c r="P21" s="297" t="str" cm="1">
        <f t="array" aca="1" ref="P21" ca="1">IF(G21="*","",IFERROR(INDEX(AGR!$R$52:$AC$73,MATCH($C21,AGR!$B$52:$B$73,0),MATCH('TS DMARK'!$H21&amp;'TS DMARK'!P$7,AGR!$R$46:$AC$46&amp;AGR!$R$49:$AC$49,0)),""))</f>
        <v/>
      </c>
      <c r="Q21" s="297" t="str" cm="1">
        <f t="array" aca="1" ref="Q21" ca="1">IF(H21="*","",IFERROR(INDEX(AGR!$R$52:$AC$73,MATCH($C21,AGR!$B$52:$B$73,0),MATCH('TS DMARK'!$H21&amp;'TS DMARK'!Q$7,AGR!$R$46:$AC$46&amp;AGR!$R$49:$AC$49,0)),""))</f>
        <v/>
      </c>
      <c r="R21" s="297" t="str" cm="1">
        <f t="array" aca="1" ref="R21" ca="1">IF(I21="*","",IFERROR(INDEX(AGR!$R$52:$AC$73,MATCH($C21,AGR!$B$52:$B$73,0),MATCH('TS DMARK'!$H21&amp;'TS DMARK'!R$7,AGR!$R$46:$AC$46&amp;AGR!$R$49:$AC$49,0)),""))</f>
        <v/>
      </c>
      <c r="S21" s="297" t="str" cm="1">
        <f t="array" aca="1" ref="S21" ca="1">IF(J21="*","",IFERROR(INDEX(AGR!$R$52:$AC$73,MATCH($C21,AGR!$B$52:$B$73,0),MATCH('TS DMARK'!$H21&amp;'TS DMARK'!S$7,AGR!$R$46:$AC$46&amp;AGR!$R$49:$AC$49,0)),""))</f>
        <v/>
      </c>
      <c r="T21" s="297" t="str" cm="1">
        <f t="array" aca="1" ref="T21" ca="1">IF(K21="*","",IFERROR(INDEX(AGR!$R$52:$AC$73,MATCH($C21,AGR!$B$52:$B$73,0),MATCH('TS DMARK'!$H21&amp;'TS DMARK'!T$7,AGR!$R$46:$AC$46&amp;AGR!$R$49:$AC$49,0)),""))</f>
        <v/>
      </c>
      <c r="U21" s="297" t="str" cm="1">
        <f t="array" aca="1" ref="U21" ca="1">IF(L21="*","",IFERROR(INDEX(AGR!$R$52:$AC$73,MATCH($C21,AGR!$B$52:$B$73,0),MATCH('TS DMARK'!$H21&amp;'TS DMARK'!U$7,AGR!$R$46:$AC$46&amp;AGR!$R$49:$AC$49,0)),""))</f>
        <v/>
      </c>
      <c r="V21" s="297" t="str" cm="1">
        <f t="array" aca="1" ref="V21" ca="1">IF(M21="*","",IFERROR(INDEX(AGR!$R$52:$AC$73,MATCH($C21,AGR!$B$52:$B$73,0),MATCH('TS DMARK'!$H21&amp;'TS DMARK'!V$7,AGR!$R$46:$AC$46&amp;AGR!$R$49:$AC$49,0)),""))</f>
        <v/>
      </c>
      <c r="W21" s="297" t="str" cm="1">
        <f t="array" aca="1" ref="W21" ca="1">IF(N21="*","",IFERROR(INDEX(AGR!$R$52:$AC$73,MATCH($C21,AGR!$B$52:$B$73,0),MATCH('TS DMARK'!$H21&amp;'TS DMARK'!W$7,AGR!$R$46:$AC$46&amp;AGR!$R$49:$AC$49,0)),""))</f>
        <v/>
      </c>
      <c r="X21" s="297" t="str" cm="1">
        <f t="array" aca="1" ref="X21" ca="1">IF(O21="*","",IFERROR(INDEX(AGR!$R$52:$AC$73,MATCH($C21,AGR!$B$52:$B$73,0),MATCH('TS DMARK'!$H21&amp;'TS DMARK'!X$7,AGR!$R$46:$AC$46&amp;AGR!$R$49:$AC$49,0)),""))</f>
        <v/>
      </c>
      <c r="Y21" s="297" t="str" cm="1">
        <f t="array" aca="1" ref="Y21" ca="1">IF(P21="*","",IFERROR(INDEX(AGR!$R$52:$AC$73,MATCH($C21,AGR!$B$52:$B$73,0),MATCH('TS DMARK'!$H21&amp;'TS DMARK'!Y$7,AGR!$R$46:$AC$46&amp;AGR!$R$49:$AC$49,0)),""))</f>
        <v/>
      </c>
      <c r="Z21" s="297" t="str" cm="1">
        <f t="array" aca="1" ref="Z21" ca="1">IF(Q21="*","",IFERROR(INDEX(AGR!$R$52:$AC$73,MATCH($C21,AGR!$B$52:$B$73,0),MATCH('TS DMARK'!$H21&amp;'TS DMARK'!Z$7,AGR!$R$46:$AC$46&amp;AGR!$R$49:$AC$49,0)),""))</f>
        <v/>
      </c>
      <c r="AA21" s="297" t="str" cm="1">
        <f t="array" aca="1" ref="AA21" ca="1">IF(R21="*","",IFERROR(INDEX(AGR!$R$52:$AC$73,MATCH($C21,AGR!$B$52:$B$73,0),MATCH('TS DMARK'!$H21&amp;'TS DMARK'!AA$7,AGR!$R$46:$AC$46&amp;AGR!$R$49:$AC$49,0)),""))</f>
        <v/>
      </c>
      <c r="AB21" s="297" t="str" cm="1">
        <f t="array" aca="1" ref="AB21" ca="1">IF(S21="*","",IFERROR(INDEX(AGR!$R$52:$AC$73,MATCH($C21,AGR!$B$52:$B$73,0),MATCH('TS DMARK'!$H21&amp;'TS DMARK'!AB$7,AGR!$R$46:$AC$46&amp;AGR!$R$49:$AC$49,0)),""))</f>
        <v/>
      </c>
      <c r="AC21" s="297" t="str" cm="1">
        <f t="array" aca="1" ref="AC21" ca="1">IF(T21="*","",IFERROR(INDEX(AGR!$R$52:$AC$73,MATCH($C21,AGR!$B$52:$B$73,0),MATCH('TS DMARK'!$H21&amp;'TS DMARK'!AC$7,AGR!$R$46:$AC$46&amp;AGR!$R$49:$AC$49,0)),""))</f>
        <v/>
      </c>
      <c r="AD21" s="297" t="str" cm="1">
        <f t="array" aca="1" ref="AD21" ca="1">IF(U21="*","",IFERROR(INDEX(AGR!$R$52:$AC$73,MATCH($C21,AGR!$B$52:$B$73,0),MATCH('TS DMARK'!$H21&amp;'TS DMARK'!AD$7,AGR!$R$46:$AC$46&amp;AGR!$R$49:$AC$49,0)),""))</f>
        <v/>
      </c>
      <c r="AE21" s="297" t="str" cm="1">
        <f t="array" aca="1" ref="AE21" ca="1">IF(V21="*","",IFERROR(INDEX(AGR!$R$52:$AC$73,MATCH($C21,AGR!$B$52:$B$73,0),MATCH('TS DMARK'!$H21&amp;'TS DMARK'!AE$7,AGR!$R$46:$AC$46&amp;AGR!$R$49:$AC$49,0)),""))</f>
        <v/>
      </c>
      <c r="AF21" s="297" t="str" cm="1">
        <f t="array" aca="1" ref="AF21" ca="1">IF(W21="*","",IFERROR(INDEX(AGR!$R$52:$AC$73,MATCH($C21,AGR!$B$52:$B$73,0),MATCH('TS DMARK'!$H21&amp;'TS DMARK'!AF$7,AGR!$R$46:$AC$46&amp;AGR!$R$49:$AC$49,0)),""))</f>
        <v/>
      </c>
      <c r="AG21" s="297" t="str" cm="1">
        <f t="array" aca="1" ref="AG21" ca="1">IF(X21="*","",IFERROR(INDEX(AGR!$R$52:$AC$73,MATCH($C21,AGR!$B$52:$B$73,0),MATCH('TS DMARK'!$H21&amp;'TS DMARK'!AG$7,AGR!$R$46:$AC$46&amp;AGR!$R$49:$AC$49,0)),""))</f>
        <v/>
      </c>
      <c r="AH21" s="297" t="str" cm="1">
        <f t="array" aca="1" ref="AH21" ca="1">IF(Y21="*","",IFERROR(INDEX(AGR!$R$52:$AC$73,MATCH($C21,AGR!$B$52:$B$73,0),MATCH('TS DMARK'!$H21&amp;'TS DMARK'!AH$7,AGR!$R$46:$AC$46&amp;AGR!$R$49:$AC$49,0)),""))</f>
        <v/>
      </c>
      <c r="AI21" s="297" t="str" cm="1">
        <f t="array" aca="1" ref="AI21" ca="1">IF(Z21="*","",IFERROR(INDEX(AGR!$R$52:$AC$73,MATCH($C21,AGR!$B$52:$B$73,0),MATCH('TS DMARK'!$H21&amp;'TS DMARK'!AI$7,AGR!$R$46:$AC$46&amp;AGR!$R$49:$AC$49,0)),""))</f>
        <v/>
      </c>
      <c r="AJ21" s="297" t="str" cm="1">
        <f t="array" aca="1" ref="AJ21" ca="1">IF(AA21="*","",IFERROR(INDEX(AGR!$R$52:$AC$73,MATCH($C21,AGR!$B$52:$B$73,0),MATCH('TS DMARK'!$H21&amp;'TS DMARK'!AJ$7,AGR!$R$46:$AC$46&amp;AGR!$R$49:$AC$49,0)),""))</f>
        <v/>
      </c>
      <c r="AK21" s="297" t="str" cm="1">
        <f t="array" aca="1" ref="AK21" ca="1">IF(AB21="*","",IFERROR(INDEX(AGR!$R$52:$AC$73,MATCH($C21,AGR!$B$52:$B$73,0),MATCH('TS DMARK'!$H21&amp;'TS DMARK'!AK$7,AGR!$R$46:$AC$46&amp;AGR!$R$49:$AC$49,0)),""))</f>
        <v/>
      </c>
      <c r="AL21" s="297" t="str" cm="1">
        <f t="array" aca="1" ref="AL21" ca="1">IF(AC21="*","",IFERROR(INDEX(AGR!$R$52:$AC$73,MATCH($C21,AGR!$B$52:$B$73,0),MATCH('TS DMARK'!$H21&amp;'TS DMARK'!AL$7,AGR!$R$46:$AC$46&amp;AGR!$R$49:$AC$49,0)),""))</f>
        <v/>
      </c>
      <c r="AM21" s="297" t="str" cm="1">
        <f t="array" aca="1" ref="AM21" ca="1">IF(AD21="*","",IFERROR(INDEX(AGR!$R$52:$AC$73,MATCH($C21,AGR!$B$52:$B$73,0),MATCH('TS DMARK'!$H21&amp;'TS DMARK'!AM$7,AGR!$R$46:$AC$46&amp;AGR!$R$49:$AC$49,0)),""))</f>
        <v/>
      </c>
      <c r="AN21" s="297" t="str" cm="1">
        <f t="array" aca="1" ref="AN21" ca="1">IF(AE21="*","",IFERROR(INDEX(AGR!$R$52:$AC$73,MATCH($C21,AGR!$B$52:$B$73,0),MATCH('TS DMARK'!$H21&amp;'TS DMARK'!AN$7,AGR!$R$46:$AC$46&amp;AGR!$R$49:$AC$49,0)),""))</f>
        <v/>
      </c>
      <c r="AO21" s="297" t="str" cm="1">
        <f t="array" aca="1" ref="AO21" ca="1">IF(AF21="*","",IFERROR(INDEX(AGR!$R$52:$AC$73,MATCH($C21,AGR!$B$52:$B$73,0),MATCH('TS DMARK'!$H21&amp;'TS DMARK'!AO$7,AGR!$R$46:$AC$46&amp;AGR!$R$49:$AC$49,0)),""))</f>
        <v/>
      </c>
      <c r="AP21" s="297" t="str" cm="1">
        <f t="array" aca="1" ref="AP21" ca="1">IF(AG21="*","",IFERROR(INDEX(AGR!$R$52:$AC$73,MATCH($C21,AGR!$B$52:$B$73,0),MATCH('TS DMARK'!$H21&amp;'TS DMARK'!AP$7,AGR!$R$46:$AC$46&amp;AGR!$R$49:$AC$49,0)),""))</f>
        <v/>
      </c>
      <c r="AQ21" s="238">
        <f>IF(AR20=AGR!$AD$74,AQ20+1,AQ20)</f>
        <v>1</v>
      </c>
      <c r="AR21" s="238">
        <f t="shared" si="4"/>
        <v>9</v>
      </c>
    </row>
    <row r="22" spans="1:44">
      <c r="A22" s="238" t="str">
        <f ca="1">IF(LEFT(OFFSET(AGR!$A$51,AR22,0),2)="\I","*","")</f>
        <v>*</v>
      </c>
      <c r="B22" s="243" t="str">
        <f t="shared" ca="1" si="0"/>
        <v/>
      </c>
      <c r="C22" s="243" t="str">
        <f ca="1">IF($A22="*","",OFFSET(AGR!$B$51,AR22,0))</f>
        <v/>
      </c>
      <c r="D22" s="298" t="str">
        <f t="shared" ca="1" si="3"/>
        <v/>
      </c>
      <c r="E22" s="298" t="str">
        <f t="shared" ca="1" si="1"/>
        <v/>
      </c>
      <c r="F22" s="298" t="str">
        <f t="shared" ca="1" si="1"/>
        <v/>
      </c>
      <c r="G22" s="298" t="str">
        <f t="shared" ca="1" si="2"/>
        <v/>
      </c>
      <c r="H22" s="298" t="str">
        <f t="shared" ca="1" si="2"/>
        <v/>
      </c>
      <c r="I22" s="298" t="str">
        <f t="shared" ca="1" si="2"/>
        <v/>
      </c>
      <c r="J22" s="297" t="str" cm="1">
        <f t="array" aca="1" ref="J22" ca="1">IF(A22="*","",IFERROR(INDEX(AGR!$R$52:$AC$73,MATCH($C22,AGR!$B$52:$B$73,0),MATCH('TS DMARK'!$H22&amp;'TS DMARK'!J$7,AGR!$R$46:$AC$46&amp;AGR!$R$49:$AC$49,0)),""))</f>
        <v/>
      </c>
      <c r="K22" s="297" t="str" cm="1">
        <f t="array" aca="1" ref="K22" ca="1">IF(B22="*","",IFERROR(INDEX(AGR!$R$52:$AC$73,MATCH($C22,AGR!$B$52:$B$73,0),MATCH('TS DMARK'!$H22&amp;'TS DMARK'!K$7,AGR!$R$46:$AC$46&amp;AGR!$R$49:$AC$49,0)),""))</f>
        <v/>
      </c>
      <c r="L22" s="297" t="str" cm="1">
        <f t="array" aca="1" ref="L22" ca="1">IF(C22="*","",IFERROR(INDEX(AGR!$R$52:$AC$73,MATCH($C22,AGR!$B$52:$B$73,0),MATCH('TS DMARK'!$H22&amp;'TS DMARK'!L$7,AGR!$R$46:$AC$46&amp;AGR!$R$49:$AC$49,0)),""))</f>
        <v/>
      </c>
      <c r="M22" s="297" t="str" cm="1">
        <f t="array" aca="1" ref="M22" ca="1">IF(D22="*","",IFERROR(INDEX(AGR!$R$52:$AC$73,MATCH($C22,AGR!$B$52:$B$73,0),MATCH('TS DMARK'!$H22&amp;'TS DMARK'!M$7,AGR!$R$46:$AC$46&amp;AGR!$R$49:$AC$49,0)),""))</f>
        <v/>
      </c>
      <c r="N22" s="297" t="str" cm="1">
        <f t="array" aca="1" ref="N22" ca="1">IF(E22="*","",IFERROR(INDEX(AGR!$R$52:$AC$73,MATCH($C22,AGR!$B$52:$B$73,0),MATCH('TS DMARK'!$H22&amp;'TS DMARK'!N$7,AGR!$R$46:$AC$46&amp;AGR!$R$49:$AC$49,0)),""))</f>
        <v/>
      </c>
      <c r="O22" s="297" t="str" cm="1">
        <f t="array" aca="1" ref="O22" ca="1">IF(F22="*","",IFERROR(INDEX(AGR!$R$52:$AC$73,MATCH($C22,AGR!$B$52:$B$73,0),MATCH('TS DMARK'!$H22&amp;'TS DMARK'!O$7,AGR!$R$46:$AC$46&amp;AGR!$R$49:$AC$49,0)),""))</f>
        <v/>
      </c>
      <c r="P22" s="297" t="str" cm="1">
        <f t="array" aca="1" ref="P22" ca="1">IF(G22="*","",IFERROR(INDEX(AGR!$R$52:$AC$73,MATCH($C22,AGR!$B$52:$B$73,0),MATCH('TS DMARK'!$H22&amp;'TS DMARK'!P$7,AGR!$R$46:$AC$46&amp;AGR!$R$49:$AC$49,0)),""))</f>
        <v/>
      </c>
      <c r="Q22" s="297" t="str" cm="1">
        <f t="array" aca="1" ref="Q22" ca="1">IF(H22="*","",IFERROR(INDEX(AGR!$R$52:$AC$73,MATCH($C22,AGR!$B$52:$B$73,0),MATCH('TS DMARK'!$H22&amp;'TS DMARK'!Q$7,AGR!$R$46:$AC$46&amp;AGR!$R$49:$AC$49,0)),""))</f>
        <v/>
      </c>
      <c r="R22" s="297" t="str" cm="1">
        <f t="array" aca="1" ref="R22" ca="1">IF(I22="*","",IFERROR(INDEX(AGR!$R$52:$AC$73,MATCH($C22,AGR!$B$52:$B$73,0),MATCH('TS DMARK'!$H22&amp;'TS DMARK'!R$7,AGR!$R$46:$AC$46&amp;AGR!$R$49:$AC$49,0)),""))</f>
        <v/>
      </c>
      <c r="S22" s="297" t="str" cm="1">
        <f t="array" aca="1" ref="S22" ca="1">IF(J22="*","",IFERROR(INDEX(AGR!$R$52:$AC$73,MATCH($C22,AGR!$B$52:$B$73,0),MATCH('TS DMARK'!$H22&amp;'TS DMARK'!S$7,AGR!$R$46:$AC$46&amp;AGR!$R$49:$AC$49,0)),""))</f>
        <v/>
      </c>
      <c r="T22" s="297" t="str" cm="1">
        <f t="array" aca="1" ref="T22" ca="1">IF(K22="*","",IFERROR(INDEX(AGR!$R$52:$AC$73,MATCH($C22,AGR!$B$52:$B$73,0),MATCH('TS DMARK'!$H22&amp;'TS DMARK'!T$7,AGR!$R$46:$AC$46&amp;AGR!$R$49:$AC$49,0)),""))</f>
        <v/>
      </c>
      <c r="U22" s="297" t="str" cm="1">
        <f t="array" aca="1" ref="U22" ca="1">IF(L22="*","",IFERROR(INDEX(AGR!$R$52:$AC$73,MATCH($C22,AGR!$B$52:$B$73,0),MATCH('TS DMARK'!$H22&amp;'TS DMARK'!U$7,AGR!$R$46:$AC$46&amp;AGR!$R$49:$AC$49,0)),""))</f>
        <v/>
      </c>
      <c r="V22" s="297" t="str" cm="1">
        <f t="array" aca="1" ref="V22" ca="1">IF(M22="*","",IFERROR(INDEX(AGR!$R$52:$AC$73,MATCH($C22,AGR!$B$52:$B$73,0),MATCH('TS DMARK'!$H22&amp;'TS DMARK'!V$7,AGR!$R$46:$AC$46&amp;AGR!$R$49:$AC$49,0)),""))</f>
        <v/>
      </c>
      <c r="W22" s="297" t="str" cm="1">
        <f t="array" aca="1" ref="W22" ca="1">IF(N22="*","",IFERROR(INDEX(AGR!$R$52:$AC$73,MATCH($C22,AGR!$B$52:$B$73,0),MATCH('TS DMARK'!$H22&amp;'TS DMARK'!W$7,AGR!$R$46:$AC$46&amp;AGR!$R$49:$AC$49,0)),""))</f>
        <v/>
      </c>
      <c r="X22" s="297" t="str" cm="1">
        <f t="array" aca="1" ref="X22" ca="1">IF(O22="*","",IFERROR(INDEX(AGR!$R$52:$AC$73,MATCH($C22,AGR!$B$52:$B$73,0),MATCH('TS DMARK'!$H22&amp;'TS DMARK'!X$7,AGR!$R$46:$AC$46&amp;AGR!$R$49:$AC$49,0)),""))</f>
        <v/>
      </c>
      <c r="Y22" s="297" t="str" cm="1">
        <f t="array" aca="1" ref="Y22" ca="1">IF(P22="*","",IFERROR(INDEX(AGR!$R$52:$AC$73,MATCH($C22,AGR!$B$52:$B$73,0),MATCH('TS DMARK'!$H22&amp;'TS DMARK'!Y$7,AGR!$R$46:$AC$46&amp;AGR!$R$49:$AC$49,0)),""))</f>
        <v/>
      </c>
      <c r="Z22" s="297" t="str" cm="1">
        <f t="array" aca="1" ref="Z22" ca="1">IF(Q22="*","",IFERROR(INDEX(AGR!$R$52:$AC$73,MATCH($C22,AGR!$B$52:$B$73,0),MATCH('TS DMARK'!$H22&amp;'TS DMARK'!Z$7,AGR!$R$46:$AC$46&amp;AGR!$R$49:$AC$49,0)),""))</f>
        <v/>
      </c>
      <c r="AA22" s="297" t="str" cm="1">
        <f t="array" aca="1" ref="AA22" ca="1">IF(R22="*","",IFERROR(INDEX(AGR!$R$52:$AC$73,MATCH($C22,AGR!$B$52:$B$73,0),MATCH('TS DMARK'!$H22&amp;'TS DMARK'!AA$7,AGR!$R$46:$AC$46&amp;AGR!$R$49:$AC$49,0)),""))</f>
        <v/>
      </c>
      <c r="AB22" s="297" t="str" cm="1">
        <f t="array" aca="1" ref="AB22" ca="1">IF(S22="*","",IFERROR(INDEX(AGR!$R$52:$AC$73,MATCH($C22,AGR!$B$52:$B$73,0),MATCH('TS DMARK'!$H22&amp;'TS DMARK'!AB$7,AGR!$R$46:$AC$46&amp;AGR!$R$49:$AC$49,0)),""))</f>
        <v/>
      </c>
      <c r="AC22" s="297" t="str" cm="1">
        <f t="array" aca="1" ref="AC22" ca="1">IF(T22="*","",IFERROR(INDEX(AGR!$R$52:$AC$73,MATCH($C22,AGR!$B$52:$B$73,0),MATCH('TS DMARK'!$H22&amp;'TS DMARK'!AC$7,AGR!$R$46:$AC$46&amp;AGR!$R$49:$AC$49,0)),""))</f>
        <v/>
      </c>
      <c r="AD22" s="297" t="str" cm="1">
        <f t="array" aca="1" ref="AD22" ca="1">IF(U22="*","",IFERROR(INDEX(AGR!$R$52:$AC$73,MATCH($C22,AGR!$B$52:$B$73,0),MATCH('TS DMARK'!$H22&amp;'TS DMARK'!AD$7,AGR!$R$46:$AC$46&amp;AGR!$R$49:$AC$49,0)),""))</f>
        <v/>
      </c>
      <c r="AE22" s="297" t="str" cm="1">
        <f t="array" aca="1" ref="AE22" ca="1">IF(V22="*","",IFERROR(INDEX(AGR!$R$52:$AC$73,MATCH($C22,AGR!$B$52:$B$73,0),MATCH('TS DMARK'!$H22&amp;'TS DMARK'!AE$7,AGR!$R$46:$AC$46&amp;AGR!$R$49:$AC$49,0)),""))</f>
        <v/>
      </c>
      <c r="AF22" s="297" t="str" cm="1">
        <f t="array" aca="1" ref="AF22" ca="1">IF(W22="*","",IFERROR(INDEX(AGR!$R$52:$AC$73,MATCH($C22,AGR!$B$52:$B$73,0),MATCH('TS DMARK'!$H22&amp;'TS DMARK'!AF$7,AGR!$R$46:$AC$46&amp;AGR!$R$49:$AC$49,0)),""))</f>
        <v/>
      </c>
      <c r="AG22" s="297" t="str" cm="1">
        <f t="array" aca="1" ref="AG22" ca="1">IF(X22="*","",IFERROR(INDEX(AGR!$R$52:$AC$73,MATCH($C22,AGR!$B$52:$B$73,0),MATCH('TS DMARK'!$H22&amp;'TS DMARK'!AG$7,AGR!$R$46:$AC$46&amp;AGR!$R$49:$AC$49,0)),""))</f>
        <v/>
      </c>
      <c r="AH22" s="297" t="str" cm="1">
        <f t="array" aca="1" ref="AH22" ca="1">IF(Y22="*","",IFERROR(INDEX(AGR!$R$52:$AC$73,MATCH($C22,AGR!$B$52:$B$73,0),MATCH('TS DMARK'!$H22&amp;'TS DMARK'!AH$7,AGR!$R$46:$AC$46&amp;AGR!$R$49:$AC$49,0)),""))</f>
        <v/>
      </c>
      <c r="AI22" s="297" t="str" cm="1">
        <f t="array" aca="1" ref="AI22" ca="1">IF(Z22="*","",IFERROR(INDEX(AGR!$R$52:$AC$73,MATCH($C22,AGR!$B$52:$B$73,0),MATCH('TS DMARK'!$H22&amp;'TS DMARK'!AI$7,AGR!$R$46:$AC$46&amp;AGR!$R$49:$AC$49,0)),""))</f>
        <v/>
      </c>
      <c r="AJ22" s="297" t="str" cm="1">
        <f t="array" aca="1" ref="AJ22" ca="1">IF(AA22="*","",IFERROR(INDEX(AGR!$R$52:$AC$73,MATCH($C22,AGR!$B$52:$B$73,0),MATCH('TS DMARK'!$H22&amp;'TS DMARK'!AJ$7,AGR!$R$46:$AC$46&amp;AGR!$R$49:$AC$49,0)),""))</f>
        <v/>
      </c>
      <c r="AK22" s="297" t="str" cm="1">
        <f t="array" aca="1" ref="AK22" ca="1">IF(AB22="*","",IFERROR(INDEX(AGR!$R$52:$AC$73,MATCH($C22,AGR!$B$52:$B$73,0),MATCH('TS DMARK'!$H22&amp;'TS DMARK'!AK$7,AGR!$R$46:$AC$46&amp;AGR!$R$49:$AC$49,0)),""))</f>
        <v/>
      </c>
      <c r="AL22" s="297" t="str" cm="1">
        <f t="array" aca="1" ref="AL22" ca="1">IF(AC22="*","",IFERROR(INDEX(AGR!$R$52:$AC$73,MATCH($C22,AGR!$B$52:$B$73,0),MATCH('TS DMARK'!$H22&amp;'TS DMARK'!AL$7,AGR!$R$46:$AC$46&amp;AGR!$R$49:$AC$49,0)),""))</f>
        <v/>
      </c>
      <c r="AM22" s="297" t="str" cm="1">
        <f t="array" aca="1" ref="AM22" ca="1">IF(AD22="*","",IFERROR(INDEX(AGR!$R$52:$AC$73,MATCH($C22,AGR!$B$52:$B$73,0),MATCH('TS DMARK'!$H22&amp;'TS DMARK'!AM$7,AGR!$R$46:$AC$46&amp;AGR!$R$49:$AC$49,0)),""))</f>
        <v/>
      </c>
      <c r="AN22" s="297" t="str" cm="1">
        <f t="array" aca="1" ref="AN22" ca="1">IF(AE22="*","",IFERROR(INDEX(AGR!$R$52:$AC$73,MATCH($C22,AGR!$B$52:$B$73,0),MATCH('TS DMARK'!$H22&amp;'TS DMARK'!AN$7,AGR!$R$46:$AC$46&amp;AGR!$R$49:$AC$49,0)),""))</f>
        <v/>
      </c>
      <c r="AO22" s="297" t="str" cm="1">
        <f t="array" aca="1" ref="AO22" ca="1">IF(AF22="*","",IFERROR(INDEX(AGR!$R$52:$AC$73,MATCH($C22,AGR!$B$52:$B$73,0),MATCH('TS DMARK'!$H22&amp;'TS DMARK'!AO$7,AGR!$R$46:$AC$46&amp;AGR!$R$49:$AC$49,0)),""))</f>
        <v/>
      </c>
      <c r="AP22" s="297" t="str" cm="1">
        <f t="array" aca="1" ref="AP22" ca="1">IF(AG22="*","",IFERROR(INDEX(AGR!$R$52:$AC$73,MATCH($C22,AGR!$B$52:$B$73,0),MATCH('TS DMARK'!$H22&amp;'TS DMARK'!AP$7,AGR!$R$46:$AC$46&amp;AGR!$R$49:$AC$49,0)),""))</f>
        <v/>
      </c>
      <c r="AQ22" s="238">
        <f>IF(AR21=AGR!$AD$74,AQ21+1,AQ21)</f>
        <v>1</v>
      </c>
      <c r="AR22" s="238">
        <f t="shared" si="4"/>
        <v>10</v>
      </c>
    </row>
    <row r="23" spans="1:44">
      <c r="A23" s="238" t="str">
        <f ca="1">IF(LEFT(OFFSET(AGR!$A$51,AR23,0),2)="\I","*","")</f>
        <v/>
      </c>
      <c r="B23" s="243" t="str">
        <f t="shared" ca="1" si="0"/>
        <v>FLO_MARK</v>
      </c>
      <c r="C23" s="243" t="str">
        <f ca="1">IF($A23="*","",OFFSET(AGR!$B$51,AR23,0))</f>
        <v>ATODS-E</v>
      </c>
      <c r="D23" s="298" t="str">
        <f t="shared" ca="1" si="3"/>
        <v>AT</v>
      </c>
      <c r="E23" s="298" t="str">
        <f t="shared" ca="1" si="1"/>
        <v>-</v>
      </c>
      <c r="F23" s="298" t="str">
        <f t="shared" ca="1" si="1"/>
        <v>-</v>
      </c>
      <c r="G23" s="298" t="str">
        <f t="shared" ca="1" si="2"/>
        <v>-</v>
      </c>
      <c r="H23" s="298" t="str">
        <f t="shared" ca="1" si="2"/>
        <v>UP</v>
      </c>
      <c r="I23" s="298">
        <f t="shared" ca="1" si="2"/>
        <v>3</v>
      </c>
      <c r="J23" s="297" cm="1">
        <f t="array" aca="1" ref="J23" ca="1">IF(A23="*","",IFERROR(INDEX(AGR!$R$52:$AC$73,MATCH($C23,AGR!$B$52:$B$73,0),MATCH('TS DMARK'!$H23&amp;'TS DMARK'!J$7,AGR!$R$46:$AC$46&amp;AGR!$R$49:$AC$49,0)),""))</f>
        <v>1</v>
      </c>
      <c r="K23" s="297" t="str" cm="1">
        <f t="array" aca="1" ref="K23" ca="1">IF(B23="*","",IFERROR(INDEX(AGR!$R$52:$AC$73,MATCH($C23,AGR!$B$52:$B$73,0),MATCH('TS DMARK'!$H23&amp;'TS DMARK'!K$7,AGR!$R$46:$AC$46&amp;AGR!$R$49:$AC$49,0)),""))</f>
        <v/>
      </c>
      <c r="L23" s="297" t="str" cm="1">
        <f t="array" aca="1" ref="L23" ca="1">IF(C23="*","",IFERROR(INDEX(AGR!$R$52:$AC$73,MATCH($C23,AGR!$B$52:$B$73,0),MATCH('TS DMARK'!$H23&amp;'TS DMARK'!L$7,AGR!$R$46:$AC$46&amp;AGR!$R$49:$AC$49,0)),""))</f>
        <v/>
      </c>
      <c r="M23" s="297" cm="1">
        <f t="array" aca="1" ref="M23" ca="1">IF(D23="*","",IFERROR(INDEX(AGR!$R$52:$AC$73,MATCH($C23,AGR!$B$52:$B$73,0),MATCH('TS DMARK'!$H23&amp;'TS DMARK'!M$7,AGR!$R$46:$AC$46&amp;AGR!$R$49:$AC$49,0)),""))</f>
        <v>1</v>
      </c>
      <c r="N23" s="297" t="str" cm="1">
        <f t="array" aca="1" ref="N23" ca="1">IF(E23="*","",IFERROR(INDEX(AGR!$R$52:$AC$73,MATCH($C23,AGR!$B$52:$B$73,0),MATCH('TS DMARK'!$H23&amp;'TS DMARK'!N$7,AGR!$R$46:$AC$46&amp;AGR!$R$49:$AC$49,0)),""))</f>
        <v/>
      </c>
      <c r="O23" s="297" t="str" cm="1">
        <f t="array" aca="1" ref="O23" ca="1">IF(F23="*","",IFERROR(INDEX(AGR!$R$52:$AC$73,MATCH($C23,AGR!$B$52:$B$73,0),MATCH('TS DMARK'!$H23&amp;'TS DMARK'!O$7,AGR!$R$46:$AC$46&amp;AGR!$R$49:$AC$49,0)),""))</f>
        <v/>
      </c>
      <c r="P23" s="297" t="str" cm="1">
        <f t="array" aca="1" ref="P23" ca="1">IF(G23="*","",IFERROR(INDEX(AGR!$R$52:$AC$73,MATCH($C23,AGR!$B$52:$B$73,0),MATCH('TS DMARK'!$H23&amp;'TS DMARK'!P$7,AGR!$R$46:$AC$46&amp;AGR!$R$49:$AC$49,0)),""))</f>
        <v/>
      </c>
      <c r="Q23" s="297" t="str" cm="1">
        <f t="array" aca="1" ref="Q23" ca="1">IF(H23="*","",IFERROR(INDEX(AGR!$R$52:$AC$73,MATCH($C23,AGR!$B$52:$B$73,0),MATCH('TS DMARK'!$H23&amp;'TS DMARK'!Q$7,AGR!$R$46:$AC$46&amp;AGR!$R$49:$AC$49,0)),""))</f>
        <v/>
      </c>
      <c r="R23" s="297" t="str" cm="1">
        <f t="array" aca="1" ref="R23" ca="1">IF(I23="*","",IFERROR(INDEX(AGR!$R$52:$AC$73,MATCH($C23,AGR!$B$52:$B$73,0),MATCH('TS DMARK'!$H23&amp;'TS DMARK'!R$7,AGR!$R$46:$AC$46&amp;AGR!$R$49:$AC$49,0)),""))</f>
        <v/>
      </c>
      <c r="S23" s="297" t="str" cm="1">
        <f t="array" aca="1" ref="S23" ca="1">IF(J23="*","",IFERROR(INDEX(AGR!$R$52:$AC$73,MATCH($C23,AGR!$B$52:$B$73,0),MATCH('TS DMARK'!$H23&amp;'TS DMARK'!S$7,AGR!$R$46:$AC$46&amp;AGR!$R$49:$AC$49,0)),""))</f>
        <v/>
      </c>
      <c r="T23" s="297" t="str" cm="1">
        <f t="array" aca="1" ref="T23" ca="1">IF(K23="*","",IFERROR(INDEX(AGR!$R$52:$AC$73,MATCH($C23,AGR!$B$52:$B$73,0),MATCH('TS DMARK'!$H23&amp;'TS DMARK'!T$7,AGR!$R$46:$AC$46&amp;AGR!$R$49:$AC$49,0)),""))</f>
        <v/>
      </c>
      <c r="U23" s="297" t="str" cm="1">
        <f t="array" aca="1" ref="U23" ca="1">IF(L23="*","",IFERROR(INDEX(AGR!$R$52:$AC$73,MATCH($C23,AGR!$B$52:$B$73,0),MATCH('TS DMARK'!$H23&amp;'TS DMARK'!U$7,AGR!$R$46:$AC$46&amp;AGR!$R$49:$AC$49,0)),""))</f>
        <v/>
      </c>
      <c r="V23" s="297" t="str" cm="1">
        <f t="array" aca="1" ref="V23" ca="1">IF(M23="*","",IFERROR(INDEX(AGR!$R$52:$AC$73,MATCH($C23,AGR!$B$52:$B$73,0),MATCH('TS DMARK'!$H23&amp;'TS DMARK'!V$7,AGR!$R$46:$AC$46&amp;AGR!$R$49:$AC$49,0)),""))</f>
        <v/>
      </c>
      <c r="W23" s="297" t="str" cm="1">
        <f t="array" aca="1" ref="W23" ca="1">IF(N23="*","",IFERROR(INDEX(AGR!$R$52:$AC$73,MATCH($C23,AGR!$B$52:$B$73,0),MATCH('TS DMARK'!$H23&amp;'TS DMARK'!W$7,AGR!$R$46:$AC$46&amp;AGR!$R$49:$AC$49,0)),""))</f>
        <v/>
      </c>
      <c r="X23" s="297" t="str" cm="1">
        <f t="array" aca="1" ref="X23" ca="1">IF(O23="*","",IFERROR(INDEX(AGR!$R$52:$AC$73,MATCH($C23,AGR!$B$52:$B$73,0),MATCH('TS DMARK'!$H23&amp;'TS DMARK'!X$7,AGR!$R$46:$AC$46&amp;AGR!$R$49:$AC$49,0)),""))</f>
        <v/>
      </c>
      <c r="Y23" s="297" t="str" cm="1">
        <f t="array" aca="1" ref="Y23" ca="1">IF(P23="*","",IFERROR(INDEX(AGR!$R$52:$AC$73,MATCH($C23,AGR!$B$52:$B$73,0),MATCH('TS DMARK'!$H23&amp;'TS DMARK'!Y$7,AGR!$R$46:$AC$46&amp;AGR!$R$49:$AC$49,0)),""))</f>
        <v/>
      </c>
      <c r="Z23" s="297" t="str" cm="1">
        <f t="array" aca="1" ref="Z23" ca="1">IF(Q23="*","",IFERROR(INDEX(AGR!$R$52:$AC$73,MATCH($C23,AGR!$B$52:$B$73,0),MATCH('TS DMARK'!$H23&amp;'TS DMARK'!Z$7,AGR!$R$46:$AC$46&amp;AGR!$R$49:$AC$49,0)),""))</f>
        <v/>
      </c>
      <c r="AA23" s="297" t="str" cm="1">
        <f t="array" aca="1" ref="AA23" ca="1">IF(R23="*","",IFERROR(INDEX(AGR!$R$52:$AC$73,MATCH($C23,AGR!$B$52:$B$73,0),MATCH('TS DMARK'!$H23&amp;'TS DMARK'!AA$7,AGR!$R$46:$AC$46&amp;AGR!$R$49:$AC$49,0)),""))</f>
        <v/>
      </c>
      <c r="AB23" s="297" cm="1">
        <f t="array" aca="1" ref="AB23" ca="1">IF(S23="*","",IFERROR(INDEX(AGR!$R$52:$AC$73,MATCH($C23,AGR!$B$52:$B$73,0),MATCH('TS DMARK'!$H23&amp;'TS DMARK'!AB$7,AGR!$R$46:$AC$46&amp;AGR!$R$49:$AC$49,0)),""))</f>
        <v>1</v>
      </c>
      <c r="AC23" s="297" t="str" cm="1">
        <f t="array" aca="1" ref="AC23" ca="1">IF(T23="*","",IFERROR(INDEX(AGR!$R$52:$AC$73,MATCH($C23,AGR!$B$52:$B$73,0),MATCH('TS DMARK'!$H23&amp;'TS DMARK'!AC$7,AGR!$R$46:$AC$46&amp;AGR!$R$49:$AC$49,0)),""))</f>
        <v/>
      </c>
      <c r="AD23" s="297" t="str" cm="1">
        <f t="array" aca="1" ref="AD23" ca="1">IF(U23="*","",IFERROR(INDEX(AGR!$R$52:$AC$73,MATCH($C23,AGR!$B$52:$B$73,0),MATCH('TS DMARK'!$H23&amp;'TS DMARK'!AD$7,AGR!$R$46:$AC$46&amp;AGR!$R$49:$AC$49,0)),""))</f>
        <v/>
      </c>
      <c r="AE23" s="297" t="str" cm="1">
        <f t="array" aca="1" ref="AE23" ca="1">IF(V23="*","",IFERROR(INDEX(AGR!$R$52:$AC$73,MATCH($C23,AGR!$B$52:$B$73,0),MATCH('TS DMARK'!$H23&amp;'TS DMARK'!AE$7,AGR!$R$46:$AC$46&amp;AGR!$R$49:$AC$49,0)),""))</f>
        <v/>
      </c>
      <c r="AF23" s="297" t="str" cm="1">
        <f t="array" aca="1" ref="AF23" ca="1">IF(W23="*","",IFERROR(INDEX(AGR!$R$52:$AC$73,MATCH($C23,AGR!$B$52:$B$73,0),MATCH('TS DMARK'!$H23&amp;'TS DMARK'!AF$7,AGR!$R$46:$AC$46&amp;AGR!$R$49:$AC$49,0)),""))</f>
        <v/>
      </c>
      <c r="AG23" s="297" t="str" cm="1">
        <f t="array" aca="1" ref="AG23" ca="1">IF(X23="*","",IFERROR(INDEX(AGR!$R$52:$AC$73,MATCH($C23,AGR!$B$52:$B$73,0),MATCH('TS DMARK'!$H23&amp;'TS DMARK'!AG$7,AGR!$R$46:$AC$46&amp;AGR!$R$49:$AC$49,0)),""))</f>
        <v/>
      </c>
      <c r="AH23" s="297" t="str" cm="1">
        <f t="array" aca="1" ref="AH23" ca="1">IF(Y23="*","",IFERROR(INDEX(AGR!$R$52:$AC$73,MATCH($C23,AGR!$B$52:$B$73,0),MATCH('TS DMARK'!$H23&amp;'TS DMARK'!AH$7,AGR!$R$46:$AC$46&amp;AGR!$R$49:$AC$49,0)),""))</f>
        <v/>
      </c>
      <c r="AI23" s="297" t="str" cm="1">
        <f t="array" aca="1" ref="AI23" ca="1">IF(Z23="*","",IFERROR(INDEX(AGR!$R$52:$AC$73,MATCH($C23,AGR!$B$52:$B$73,0),MATCH('TS DMARK'!$H23&amp;'TS DMARK'!AI$7,AGR!$R$46:$AC$46&amp;AGR!$R$49:$AC$49,0)),""))</f>
        <v/>
      </c>
      <c r="AJ23" s="297" t="str" cm="1">
        <f t="array" aca="1" ref="AJ23" ca="1">IF(AA23="*","",IFERROR(INDEX(AGR!$R$52:$AC$73,MATCH($C23,AGR!$B$52:$B$73,0),MATCH('TS DMARK'!$H23&amp;'TS DMARK'!AJ$7,AGR!$R$46:$AC$46&amp;AGR!$R$49:$AC$49,0)),""))</f>
        <v/>
      </c>
      <c r="AK23" s="297" t="str" cm="1">
        <f t="array" aca="1" ref="AK23" ca="1">IF(AB23="*","",IFERROR(INDEX(AGR!$R$52:$AC$73,MATCH($C23,AGR!$B$52:$B$73,0),MATCH('TS DMARK'!$H23&amp;'TS DMARK'!AK$7,AGR!$R$46:$AC$46&amp;AGR!$R$49:$AC$49,0)),""))</f>
        <v/>
      </c>
      <c r="AL23" s="297" t="str" cm="1">
        <f t="array" aca="1" ref="AL23" ca="1">IF(AC23="*","",IFERROR(INDEX(AGR!$R$52:$AC$73,MATCH($C23,AGR!$B$52:$B$73,0),MATCH('TS DMARK'!$H23&amp;'TS DMARK'!AL$7,AGR!$R$46:$AC$46&amp;AGR!$R$49:$AC$49,0)),""))</f>
        <v/>
      </c>
      <c r="AM23" s="297" t="str" cm="1">
        <f t="array" aca="1" ref="AM23" ca="1">IF(AD23="*","",IFERROR(INDEX(AGR!$R$52:$AC$73,MATCH($C23,AGR!$B$52:$B$73,0),MATCH('TS DMARK'!$H23&amp;'TS DMARK'!AM$7,AGR!$R$46:$AC$46&amp;AGR!$R$49:$AC$49,0)),""))</f>
        <v/>
      </c>
      <c r="AN23" s="297" cm="1">
        <f t="array" aca="1" ref="AN23" ca="1">IF(AE23="*","",IFERROR(INDEX(AGR!$R$52:$AC$73,MATCH($C23,AGR!$B$52:$B$73,0),MATCH('TS DMARK'!$H23&amp;'TS DMARK'!AN$7,AGR!$R$46:$AC$46&amp;AGR!$R$49:$AC$49,0)),""))</f>
        <v>1</v>
      </c>
      <c r="AO23" s="297" t="str" cm="1">
        <f t="array" aca="1" ref="AO23" ca="1">IF(AF23="*","",IFERROR(INDEX(AGR!$R$52:$AC$73,MATCH($C23,AGR!$B$52:$B$73,0),MATCH('TS DMARK'!$H23&amp;'TS DMARK'!AO$7,AGR!$R$46:$AC$46&amp;AGR!$R$49:$AC$49,0)),""))</f>
        <v/>
      </c>
      <c r="AP23" s="297" cm="1">
        <f t="array" aca="1" ref="AP23" ca="1">IF(AG23="*","",IFERROR(INDEX(AGR!$R$52:$AC$73,MATCH($C23,AGR!$B$52:$B$73,0),MATCH('TS DMARK'!$H23&amp;'TS DMARK'!AP$7,AGR!$R$46:$AC$46&amp;AGR!$R$49:$AC$49,0)),""))</f>
        <v>1</v>
      </c>
      <c r="AQ23" s="238">
        <f>IF(AR22=AGR!$AD$74,AQ22+1,AQ22)</f>
        <v>1</v>
      </c>
      <c r="AR23" s="238">
        <f>IF(AQ23=AQ22,AR22+1,1)</f>
        <v>11</v>
      </c>
    </row>
    <row r="24" spans="1:44">
      <c r="A24" s="238" t="str">
        <f ca="1">IF(LEFT(OFFSET(AGR!$A$51,AR24,0),2)="\I","*","")</f>
        <v/>
      </c>
      <c r="B24" s="243" t="str">
        <f t="shared" ca="1" si="0"/>
        <v>FLO_MARK</v>
      </c>
      <c r="C24" s="243" t="str">
        <f ca="1">IF($A24="*","",OFFSET(AGR!$B$51,AR24,0))</f>
        <v>ATELC-E</v>
      </c>
      <c r="D24" s="298" t="str">
        <f t="shared" ca="1" si="3"/>
        <v>AT</v>
      </c>
      <c r="E24" s="298" t="str">
        <f t="shared" ca="1" si="1"/>
        <v>-</v>
      </c>
      <c r="F24" s="298" t="str">
        <f t="shared" ca="1" si="1"/>
        <v>-</v>
      </c>
      <c r="G24" s="298" t="str">
        <f t="shared" ca="1" si="2"/>
        <v>-</v>
      </c>
      <c r="H24" s="298" t="str">
        <f t="shared" ca="1" si="2"/>
        <v>UP</v>
      </c>
      <c r="I24" s="298">
        <f t="shared" ca="1" si="2"/>
        <v>3</v>
      </c>
      <c r="J24" s="297" cm="1">
        <f t="array" aca="1" ref="J24" ca="1">IF(A24="*","",IFERROR(INDEX(AGR!$R$52:$AC$73,MATCH($C24,AGR!$B$52:$B$73,0),MATCH('TS DMARK'!$H24&amp;'TS DMARK'!J$7,AGR!$R$46:$AC$46&amp;AGR!$R$49:$AC$49,0)),""))</f>
        <v>0</v>
      </c>
      <c r="K24" s="297" t="str" cm="1">
        <f t="array" aca="1" ref="K24" ca="1">IF(B24="*","",IFERROR(INDEX(AGR!$R$52:$AC$73,MATCH($C24,AGR!$B$52:$B$73,0),MATCH('TS DMARK'!$H24&amp;'TS DMARK'!K$7,AGR!$R$46:$AC$46&amp;AGR!$R$49:$AC$49,0)),""))</f>
        <v/>
      </c>
      <c r="L24" s="297" t="str" cm="1">
        <f t="array" aca="1" ref="L24" ca="1">IF(C24="*","",IFERROR(INDEX(AGR!$R$52:$AC$73,MATCH($C24,AGR!$B$52:$B$73,0),MATCH('TS DMARK'!$H24&amp;'TS DMARK'!L$7,AGR!$R$46:$AC$46&amp;AGR!$R$49:$AC$49,0)),""))</f>
        <v/>
      </c>
      <c r="M24" s="297" cm="1">
        <f t="array" aca="1" ref="M24" ca="1">IF(D24="*","",IFERROR(INDEX(AGR!$R$52:$AC$73,MATCH($C24,AGR!$B$52:$B$73,0),MATCH('TS DMARK'!$H24&amp;'TS DMARK'!M$7,AGR!$R$46:$AC$46&amp;AGR!$R$49:$AC$49,0)),""))</f>
        <v>0.5</v>
      </c>
      <c r="N24" s="297" t="str" cm="1">
        <f t="array" aca="1" ref="N24" ca="1">IF(E24="*","",IFERROR(INDEX(AGR!$R$52:$AC$73,MATCH($C24,AGR!$B$52:$B$73,0),MATCH('TS DMARK'!$H24&amp;'TS DMARK'!N$7,AGR!$R$46:$AC$46&amp;AGR!$R$49:$AC$49,0)),""))</f>
        <v/>
      </c>
      <c r="O24" s="297" t="str" cm="1">
        <f t="array" aca="1" ref="O24" ca="1">IF(F24="*","",IFERROR(INDEX(AGR!$R$52:$AC$73,MATCH($C24,AGR!$B$52:$B$73,0),MATCH('TS DMARK'!$H24&amp;'TS DMARK'!O$7,AGR!$R$46:$AC$46&amp;AGR!$R$49:$AC$49,0)),""))</f>
        <v/>
      </c>
      <c r="P24" s="297" t="str" cm="1">
        <f t="array" aca="1" ref="P24" ca="1">IF(G24="*","",IFERROR(INDEX(AGR!$R$52:$AC$73,MATCH($C24,AGR!$B$52:$B$73,0),MATCH('TS DMARK'!$H24&amp;'TS DMARK'!P$7,AGR!$R$46:$AC$46&amp;AGR!$R$49:$AC$49,0)),""))</f>
        <v/>
      </c>
      <c r="Q24" s="297" t="str" cm="1">
        <f t="array" aca="1" ref="Q24" ca="1">IF(H24="*","",IFERROR(INDEX(AGR!$R$52:$AC$73,MATCH($C24,AGR!$B$52:$B$73,0),MATCH('TS DMARK'!$H24&amp;'TS DMARK'!Q$7,AGR!$R$46:$AC$46&amp;AGR!$R$49:$AC$49,0)),""))</f>
        <v/>
      </c>
      <c r="R24" s="297" t="str" cm="1">
        <f t="array" aca="1" ref="R24" ca="1">IF(I24="*","",IFERROR(INDEX(AGR!$R$52:$AC$73,MATCH($C24,AGR!$B$52:$B$73,0),MATCH('TS DMARK'!$H24&amp;'TS DMARK'!R$7,AGR!$R$46:$AC$46&amp;AGR!$R$49:$AC$49,0)),""))</f>
        <v/>
      </c>
      <c r="S24" s="297" t="str" cm="1">
        <f t="array" aca="1" ref="S24" ca="1">IF(J24="*","",IFERROR(INDEX(AGR!$R$52:$AC$73,MATCH($C24,AGR!$B$52:$B$73,0),MATCH('TS DMARK'!$H24&amp;'TS DMARK'!S$7,AGR!$R$46:$AC$46&amp;AGR!$R$49:$AC$49,0)),""))</f>
        <v/>
      </c>
      <c r="T24" s="297" t="str" cm="1">
        <f t="array" aca="1" ref="T24" ca="1">IF(K24="*","",IFERROR(INDEX(AGR!$R$52:$AC$73,MATCH($C24,AGR!$B$52:$B$73,0),MATCH('TS DMARK'!$H24&amp;'TS DMARK'!T$7,AGR!$R$46:$AC$46&amp;AGR!$R$49:$AC$49,0)),""))</f>
        <v/>
      </c>
      <c r="U24" s="297" t="str" cm="1">
        <f t="array" aca="1" ref="U24" ca="1">IF(L24="*","",IFERROR(INDEX(AGR!$R$52:$AC$73,MATCH($C24,AGR!$B$52:$B$73,0),MATCH('TS DMARK'!$H24&amp;'TS DMARK'!U$7,AGR!$R$46:$AC$46&amp;AGR!$R$49:$AC$49,0)),""))</f>
        <v/>
      </c>
      <c r="V24" s="297" t="str" cm="1">
        <f t="array" aca="1" ref="V24" ca="1">IF(M24="*","",IFERROR(INDEX(AGR!$R$52:$AC$73,MATCH($C24,AGR!$B$52:$B$73,0),MATCH('TS DMARK'!$H24&amp;'TS DMARK'!V$7,AGR!$R$46:$AC$46&amp;AGR!$R$49:$AC$49,0)),""))</f>
        <v/>
      </c>
      <c r="W24" s="297" t="str" cm="1">
        <f t="array" aca="1" ref="W24" ca="1">IF(N24="*","",IFERROR(INDEX(AGR!$R$52:$AC$73,MATCH($C24,AGR!$B$52:$B$73,0),MATCH('TS DMARK'!$H24&amp;'TS DMARK'!W$7,AGR!$R$46:$AC$46&amp;AGR!$R$49:$AC$49,0)),""))</f>
        <v/>
      </c>
      <c r="X24" s="297" t="str" cm="1">
        <f t="array" aca="1" ref="X24" ca="1">IF(O24="*","",IFERROR(INDEX(AGR!$R$52:$AC$73,MATCH($C24,AGR!$B$52:$B$73,0),MATCH('TS DMARK'!$H24&amp;'TS DMARK'!X$7,AGR!$R$46:$AC$46&amp;AGR!$R$49:$AC$49,0)),""))</f>
        <v/>
      </c>
      <c r="Y24" s="297" t="str" cm="1">
        <f t="array" aca="1" ref="Y24" ca="1">IF(P24="*","",IFERROR(INDEX(AGR!$R$52:$AC$73,MATCH($C24,AGR!$B$52:$B$73,0),MATCH('TS DMARK'!$H24&amp;'TS DMARK'!Y$7,AGR!$R$46:$AC$46&amp;AGR!$R$49:$AC$49,0)),""))</f>
        <v/>
      </c>
      <c r="Z24" s="297" t="str" cm="1">
        <f t="array" aca="1" ref="Z24" ca="1">IF(Q24="*","",IFERROR(INDEX(AGR!$R$52:$AC$73,MATCH($C24,AGR!$B$52:$B$73,0),MATCH('TS DMARK'!$H24&amp;'TS DMARK'!Z$7,AGR!$R$46:$AC$46&amp;AGR!$R$49:$AC$49,0)),""))</f>
        <v/>
      </c>
      <c r="AA24" s="297" t="str" cm="1">
        <f t="array" aca="1" ref="AA24" ca="1">IF(R24="*","",IFERROR(INDEX(AGR!$R$52:$AC$73,MATCH($C24,AGR!$B$52:$B$73,0),MATCH('TS DMARK'!$H24&amp;'TS DMARK'!AA$7,AGR!$R$46:$AC$46&amp;AGR!$R$49:$AC$49,0)),""))</f>
        <v/>
      </c>
      <c r="AB24" s="297" cm="1">
        <f t="array" aca="1" ref="AB24" ca="1">IF(S24="*","",IFERROR(INDEX(AGR!$R$52:$AC$73,MATCH($C24,AGR!$B$52:$B$73,0),MATCH('TS DMARK'!$H24&amp;'TS DMARK'!AB$7,AGR!$R$46:$AC$46&amp;AGR!$R$49:$AC$49,0)),""))</f>
        <v>0.5</v>
      </c>
      <c r="AC24" s="297" t="str" cm="1">
        <f t="array" aca="1" ref="AC24" ca="1">IF(T24="*","",IFERROR(INDEX(AGR!$R$52:$AC$73,MATCH($C24,AGR!$B$52:$B$73,0),MATCH('TS DMARK'!$H24&amp;'TS DMARK'!AC$7,AGR!$R$46:$AC$46&amp;AGR!$R$49:$AC$49,0)),""))</f>
        <v/>
      </c>
      <c r="AD24" s="297" t="str" cm="1">
        <f t="array" aca="1" ref="AD24" ca="1">IF(U24="*","",IFERROR(INDEX(AGR!$R$52:$AC$73,MATCH($C24,AGR!$B$52:$B$73,0),MATCH('TS DMARK'!$H24&amp;'TS DMARK'!AD$7,AGR!$R$46:$AC$46&amp;AGR!$R$49:$AC$49,0)),""))</f>
        <v/>
      </c>
      <c r="AE24" s="297" t="str" cm="1">
        <f t="array" aca="1" ref="AE24" ca="1">IF(V24="*","",IFERROR(INDEX(AGR!$R$52:$AC$73,MATCH($C24,AGR!$B$52:$B$73,0),MATCH('TS DMARK'!$H24&amp;'TS DMARK'!AE$7,AGR!$R$46:$AC$46&amp;AGR!$R$49:$AC$49,0)),""))</f>
        <v/>
      </c>
      <c r="AF24" s="297" t="str" cm="1">
        <f t="array" aca="1" ref="AF24" ca="1">IF(W24="*","",IFERROR(INDEX(AGR!$R$52:$AC$73,MATCH($C24,AGR!$B$52:$B$73,0),MATCH('TS DMARK'!$H24&amp;'TS DMARK'!AF$7,AGR!$R$46:$AC$46&amp;AGR!$R$49:$AC$49,0)),""))</f>
        <v/>
      </c>
      <c r="AG24" s="297" t="str" cm="1">
        <f t="array" aca="1" ref="AG24" ca="1">IF(X24="*","",IFERROR(INDEX(AGR!$R$52:$AC$73,MATCH($C24,AGR!$B$52:$B$73,0),MATCH('TS DMARK'!$H24&amp;'TS DMARK'!AG$7,AGR!$R$46:$AC$46&amp;AGR!$R$49:$AC$49,0)),""))</f>
        <v/>
      </c>
      <c r="AH24" s="297" t="str" cm="1">
        <f t="array" aca="1" ref="AH24" ca="1">IF(Y24="*","",IFERROR(INDEX(AGR!$R$52:$AC$73,MATCH($C24,AGR!$B$52:$B$73,0),MATCH('TS DMARK'!$H24&amp;'TS DMARK'!AH$7,AGR!$R$46:$AC$46&amp;AGR!$R$49:$AC$49,0)),""))</f>
        <v/>
      </c>
      <c r="AI24" s="297" t="str" cm="1">
        <f t="array" aca="1" ref="AI24" ca="1">IF(Z24="*","",IFERROR(INDEX(AGR!$R$52:$AC$73,MATCH($C24,AGR!$B$52:$B$73,0),MATCH('TS DMARK'!$H24&amp;'TS DMARK'!AI$7,AGR!$R$46:$AC$46&amp;AGR!$R$49:$AC$49,0)),""))</f>
        <v/>
      </c>
      <c r="AJ24" s="297" t="str" cm="1">
        <f t="array" aca="1" ref="AJ24" ca="1">IF(AA24="*","",IFERROR(INDEX(AGR!$R$52:$AC$73,MATCH($C24,AGR!$B$52:$B$73,0),MATCH('TS DMARK'!$H24&amp;'TS DMARK'!AJ$7,AGR!$R$46:$AC$46&amp;AGR!$R$49:$AC$49,0)),""))</f>
        <v/>
      </c>
      <c r="AK24" s="297" t="str" cm="1">
        <f t="array" aca="1" ref="AK24" ca="1">IF(AB24="*","",IFERROR(INDEX(AGR!$R$52:$AC$73,MATCH($C24,AGR!$B$52:$B$73,0),MATCH('TS DMARK'!$H24&amp;'TS DMARK'!AK$7,AGR!$R$46:$AC$46&amp;AGR!$R$49:$AC$49,0)),""))</f>
        <v/>
      </c>
      <c r="AL24" s="297" t="str" cm="1">
        <f t="array" aca="1" ref="AL24" ca="1">IF(AC24="*","",IFERROR(INDEX(AGR!$R$52:$AC$73,MATCH($C24,AGR!$B$52:$B$73,0),MATCH('TS DMARK'!$H24&amp;'TS DMARK'!AL$7,AGR!$R$46:$AC$46&amp;AGR!$R$49:$AC$49,0)),""))</f>
        <v/>
      </c>
      <c r="AM24" s="297" t="str" cm="1">
        <f t="array" aca="1" ref="AM24" ca="1">IF(AD24="*","",IFERROR(INDEX(AGR!$R$52:$AC$73,MATCH($C24,AGR!$B$52:$B$73,0),MATCH('TS DMARK'!$H24&amp;'TS DMARK'!AM$7,AGR!$R$46:$AC$46&amp;AGR!$R$49:$AC$49,0)),""))</f>
        <v/>
      </c>
      <c r="AN24" s="297" cm="1">
        <f t="array" aca="1" ref="AN24" ca="1">IF(AE24="*","",IFERROR(INDEX(AGR!$R$52:$AC$73,MATCH($C24,AGR!$B$52:$B$73,0),MATCH('TS DMARK'!$H24&amp;'TS DMARK'!AN$7,AGR!$R$46:$AC$46&amp;AGR!$R$49:$AC$49,0)),""))</f>
        <v>1</v>
      </c>
      <c r="AO24" s="297" t="str" cm="1">
        <f t="array" aca="1" ref="AO24" ca="1">IF(AF24="*","",IFERROR(INDEX(AGR!$R$52:$AC$73,MATCH($C24,AGR!$B$52:$B$73,0),MATCH('TS DMARK'!$H24&amp;'TS DMARK'!AO$7,AGR!$R$46:$AC$46&amp;AGR!$R$49:$AC$49,0)),""))</f>
        <v/>
      </c>
      <c r="AP24" s="297" cm="1">
        <f t="array" aca="1" ref="AP24" ca="1">IF(AG24="*","",IFERROR(INDEX(AGR!$R$52:$AC$73,MATCH($C24,AGR!$B$52:$B$73,0),MATCH('TS DMARK'!$H24&amp;'TS DMARK'!AP$7,AGR!$R$46:$AC$46&amp;AGR!$R$49:$AC$49,0)),""))</f>
        <v>1</v>
      </c>
      <c r="AQ24" s="238">
        <f>IF(AR23=AGR!$AD$74,AQ23+1,AQ23)</f>
        <v>1</v>
      </c>
      <c r="AR24" s="238">
        <f t="shared" si="4"/>
        <v>12</v>
      </c>
    </row>
    <row r="25" spans="1:44">
      <c r="A25" s="238" t="str">
        <f ca="1">IF(LEFT(OFFSET(AGR!$A$51,AR25,0),2)="\I","*","")</f>
        <v/>
      </c>
      <c r="B25" s="243" t="str">
        <f t="shared" ca="1" si="0"/>
        <v>FLO_MARK</v>
      </c>
      <c r="C25" s="243" t="str">
        <f ca="1">IF($A25="*","",OFFSET(AGR!$B$51,AR25,0))</f>
        <v>ATOGS-E</v>
      </c>
      <c r="D25" s="298" t="str">
        <f t="shared" ca="1" si="3"/>
        <v>AT</v>
      </c>
      <c r="E25" s="298" t="str">
        <f t="shared" ca="1" si="1"/>
        <v>-</v>
      </c>
      <c r="F25" s="298" t="str">
        <f t="shared" ca="1" si="1"/>
        <v>-</v>
      </c>
      <c r="G25" s="298" t="str">
        <f t="shared" ca="1" si="2"/>
        <v>-</v>
      </c>
      <c r="H25" s="298" t="str">
        <f t="shared" ca="1" si="2"/>
        <v>UP</v>
      </c>
      <c r="I25" s="298">
        <f t="shared" ca="1" si="2"/>
        <v>3</v>
      </c>
      <c r="J25" s="297" cm="1">
        <f t="array" aca="1" ref="J25" ca="1">IF(A25="*","",IFERROR(INDEX(AGR!$R$52:$AC$73,MATCH($C25,AGR!$B$52:$B$73,0),MATCH('TS DMARK'!$H25&amp;'TS DMARK'!J$7,AGR!$R$46:$AC$46&amp;AGR!$R$49:$AC$49,0)),""))</f>
        <v>0</v>
      </c>
      <c r="K25" s="297" t="str" cm="1">
        <f t="array" aca="1" ref="K25" ca="1">IF(B25="*","",IFERROR(INDEX(AGR!$R$52:$AC$73,MATCH($C25,AGR!$B$52:$B$73,0),MATCH('TS DMARK'!$H25&amp;'TS DMARK'!K$7,AGR!$R$46:$AC$46&amp;AGR!$R$49:$AC$49,0)),""))</f>
        <v/>
      </c>
      <c r="L25" s="297" t="str" cm="1">
        <f t="array" aca="1" ref="L25" ca="1">IF(C25="*","",IFERROR(INDEX(AGR!$R$52:$AC$73,MATCH($C25,AGR!$B$52:$B$73,0),MATCH('TS DMARK'!$H25&amp;'TS DMARK'!L$7,AGR!$R$46:$AC$46&amp;AGR!$R$49:$AC$49,0)),""))</f>
        <v/>
      </c>
      <c r="M25" s="297" cm="1">
        <f t="array" aca="1" ref="M25" ca="1">IF(D25="*","",IFERROR(INDEX(AGR!$R$52:$AC$73,MATCH($C25,AGR!$B$52:$B$73,0),MATCH('TS DMARK'!$H25&amp;'TS DMARK'!M$7,AGR!$R$46:$AC$46&amp;AGR!$R$49:$AC$49,0)),""))</f>
        <v>0</v>
      </c>
      <c r="N25" s="297" t="str" cm="1">
        <f t="array" aca="1" ref="N25" ca="1">IF(E25="*","",IFERROR(INDEX(AGR!$R$52:$AC$73,MATCH($C25,AGR!$B$52:$B$73,0),MATCH('TS DMARK'!$H25&amp;'TS DMARK'!N$7,AGR!$R$46:$AC$46&amp;AGR!$R$49:$AC$49,0)),""))</f>
        <v/>
      </c>
      <c r="O25" s="297" t="str" cm="1">
        <f t="array" aca="1" ref="O25" ca="1">IF(F25="*","",IFERROR(INDEX(AGR!$R$52:$AC$73,MATCH($C25,AGR!$B$52:$B$73,0),MATCH('TS DMARK'!$H25&amp;'TS DMARK'!O$7,AGR!$R$46:$AC$46&amp;AGR!$R$49:$AC$49,0)),""))</f>
        <v/>
      </c>
      <c r="P25" s="297" t="str" cm="1">
        <f t="array" aca="1" ref="P25" ca="1">IF(G25="*","",IFERROR(INDEX(AGR!$R$52:$AC$73,MATCH($C25,AGR!$B$52:$B$73,0),MATCH('TS DMARK'!$H25&amp;'TS DMARK'!P$7,AGR!$R$46:$AC$46&amp;AGR!$R$49:$AC$49,0)),""))</f>
        <v/>
      </c>
      <c r="Q25" s="297" t="str" cm="1">
        <f t="array" aca="1" ref="Q25" ca="1">IF(H25="*","",IFERROR(INDEX(AGR!$R$52:$AC$73,MATCH($C25,AGR!$B$52:$B$73,0),MATCH('TS DMARK'!$H25&amp;'TS DMARK'!Q$7,AGR!$R$46:$AC$46&amp;AGR!$R$49:$AC$49,0)),""))</f>
        <v/>
      </c>
      <c r="R25" s="297" t="str" cm="1">
        <f t="array" aca="1" ref="R25" ca="1">IF(I25="*","",IFERROR(INDEX(AGR!$R$52:$AC$73,MATCH($C25,AGR!$B$52:$B$73,0),MATCH('TS DMARK'!$H25&amp;'TS DMARK'!R$7,AGR!$R$46:$AC$46&amp;AGR!$R$49:$AC$49,0)),""))</f>
        <v/>
      </c>
      <c r="S25" s="297" t="str" cm="1">
        <f t="array" aca="1" ref="S25" ca="1">IF(J25="*","",IFERROR(INDEX(AGR!$R$52:$AC$73,MATCH($C25,AGR!$B$52:$B$73,0),MATCH('TS DMARK'!$H25&amp;'TS DMARK'!S$7,AGR!$R$46:$AC$46&amp;AGR!$R$49:$AC$49,0)),""))</f>
        <v/>
      </c>
      <c r="T25" s="297" t="str" cm="1">
        <f t="array" aca="1" ref="T25" ca="1">IF(K25="*","",IFERROR(INDEX(AGR!$R$52:$AC$73,MATCH($C25,AGR!$B$52:$B$73,0),MATCH('TS DMARK'!$H25&amp;'TS DMARK'!T$7,AGR!$R$46:$AC$46&amp;AGR!$R$49:$AC$49,0)),""))</f>
        <v/>
      </c>
      <c r="U25" s="297" t="str" cm="1">
        <f t="array" aca="1" ref="U25" ca="1">IF(L25="*","",IFERROR(INDEX(AGR!$R$52:$AC$73,MATCH($C25,AGR!$B$52:$B$73,0),MATCH('TS DMARK'!$H25&amp;'TS DMARK'!U$7,AGR!$R$46:$AC$46&amp;AGR!$R$49:$AC$49,0)),""))</f>
        <v/>
      </c>
      <c r="V25" s="297" t="str" cm="1">
        <f t="array" aca="1" ref="V25" ca="1">IF(M25="*","",IFERROR(INDEX(AGR!$R$52:$AC$73,MATCH($C25,AGR!$B$52:$B$73,0),MATCH('TS DMARK'!$H25&amp;'TS DMARK'!V$7,AGR!$R$46:$AC$46&amp;AGR!$R$49:$AC$49,0)),""))</f>
        <v/>
      </c>
      <c r="W25" s="297" t="str" cm="1">
        <f t="array" aca="1" ref="W25" ca="1">IF(N25="*","",IFERROR(INDEX(AGR!$R$52:$AC$73,MATCH($C25,AGR!$B$52:$B$73,0),MATCH('TS DMARK'!$H25&amp;'TS DMARK'!W$7,AGR!$R$46:$AC$46&amp;AGR!$R$49:$AC$49,0)),""))</f>
        <v/>
      </c>
      <c r="X25" s="297" t="str" cm="1">
        <f t="array" aca="1" ref="X25" ca="1">IF(O25="*","",IFERROR(INDEX(AGR!$R$52:$AC$73,MATCH($C25,AGR!$B$52:$B$73,0),MATCH('TS DMARK'!$H25&amp;'TS DMARK'!X$7,AGR!$R$46:$AC$46&amp;AGR!$R$49:$AC$49,0)),""))</f>
        <v/>
      </c>
      <c r="Y25" s="297" t="str" cm="1">
        <f t="array" aca="1" ref="Y25" ca="1">IF(P25="*","",IFERROR(INDEX(AGR!$R$52:$AC$73,MATCH($C25,AGR!$B$52:$B$73,0),MATCH('TS DMARK'!$H25&amp;'TS DMARK'!Y$7,AGR!$R$46:$AC$46&amp;AGR!$R$49:$AC$49,0)),""))</f>
        <v/>
      </c>
      <c r="Z25" s="297" t="str" cm="1">
        <f t="array" aca="1" ref="Z25" ca="1">IF(Q25="*","",IFERROR(INDEX(AGR!$R$52:$AC$73,MATCH($C25,AGR!$B$52:$B$73,0),MATCH('TS DMARK'!$H25&amp;'TS DMARK'!Z$7,AGR!$R$46:$AC$46&amp;AGR!$R$49:$AC$49,0)),""))</f>
        <v/>
      </c>
      <c r="AA25" s="297" t="str" cm="1">
        <f t="array" aca="1" ref="AA25" ca="1">IF(R25="*","",IFERROR(INDEX(AGR!$R$52:$AC$73,MATCH($C25,AGR!$B$52:$B$73,0),MATCH('TS DMARK'!$H25&amp;'TS DMARK'!AA$7,AGR!$R$46:$AC$46&amp;AGR!$R$49:$AC$49,0)),""))</f>
        <v/>
      </c>
      <c r="AB25" s="297" cm="1">
        <f t="array" aca="1" ref="AB25" ca="1">IF(S25="*","",IFERROR(INDEX(AGR!$R$52:$AC$73,MATCH($C25,AGR!$B$52:$B$73,0),MATCH('TS DMARK'!$H25&amp;'TS DMARK'!AB$7,AGR!$R$46:$AC$46&amp;AGR!$R$49:$AC$49,0)),""))</f>
        <v>0</v>
      </c>
      <c r="AC25" s="297" t="str" cm="1">
        <f t="array" aca="1" ref="AC25" ca="1">IF(T25="*","",IFERROR(INDEX(AGR!$R$52:$AC$73,MATCH($C25,AGR!$B$52:$B$73,0),MATCH('TS DMARK'!$H25&amp;'TS DMARK'!AC$7,AGR!$R$46:$AC$46&amp;AGR!$R$49:$AC$49,0)),""))</f>
        <v/>
      </c>
      <c r="AD25" s="297" t="str" cm="1">
        <f t="array" aca="1" ref="AD25" ca="1">IF(U25="*","",IFERROR(INDEX(AGR!$R$52:$AC$73,MATCH($C25,AGR!$B$52:$B$73,0),MATCH('TS DMARK'!$H25&amp;'TS DMARK'!AD$7,AGR!$R$46:$AC$46&amp;AGR!$R$49:$AC$49,0)),""))</f>
        <v/>
      </c>
      <c r="AE25" s="297" t="str" cm="1">
        <f t="array" aca="1" ref="AE25" ca="1">IF(V25="*","",IFERROR(INDEX(AGR!$R$52:$AC$73,MATCH($C25,AGR!$B$52:$B$73,0),MATCH('TS DMARK'!$H25&amp;'TS DMARK'!AE$7,AGR!$R$46:$AC$46&amp;AGR!$R$49:$AC$49,0)),""))</f>
        <v/>
      </c>
      <c r="AF25" s="297" t="str" cm="1">
        <f t="array" aca="1" ref="AF25" ca="1">IF(W25="*","",IFERROR(INDEX(AGR!$R$52:$AC$73,MATCH($C25,AGR!$B$52:$B$73,0),MATCH('TS DMARK'!$H25&amp;'TS DMARK'!AF$7,AGR!$R$46:$AC$46&amp;AGR!$R$49:$AC$49,0)),""))</f>
        <v/>
      </c>
      <c r="AG25" s="297" t="str" cm="1">
        <f t="array" aca="1" ref="AG25" ca="1">IF(X25="*","",IFERROR(INDEX(AGR!$R$52:$AC$73,MATCH($C25,AGR!$B$52:$B$73,0),MATCH('TS DMARK'!$H25&amp;'TS DMARK'!AG$7,AGR!$R$46:$AC$46&amp;AGR!$R$49:$AC$49,0)),""))</f>
        <v/>
      </c>
      <c r="AH25" s="297" t="str" cm="1">
        <f t="array" aca="1" ref="AH25" ca="1">IF(Y25="*","",IFERROR(INDEX(AGR!$R$52:$AC$73,MATCH($C25,AGR!$B$52:$B$73,0),MATCH('TS DMARK'!$H25&amp;'TS DMARK'!AH$7,AGR!$R$46:$AC$46&amp;AGR!$R$49:$AC$49,0)),""))</f>
        <v/>
      </c>
      <c r="AI25" s="297" t="str" cm="1">
        <f t="array" aca="1" ref="AI25" ca="1">IF(Z25="*","",IFERROR(INDEX(AGR!$R$52:$AC$73,MATCH($C25,AGR!$B$52:$B$73,0),MATCH('TS DMARK'!$H25&amp;'TS DMARK'!AI$7,AGR!$R$46:$AC$46&amp;AGR!$R$49:$AC$49,0)),""))</f>
        <v/>
      </c>
      <c r="AJ25" s="297" t="str" cm="1">
        <f t="array" aca="1" ref="AJ25" ca="1">IF(AA25="*","",IFERROR(INDEX(AGR!$R$52:$AC$73,MATCH($C25,AGR!$B$52:$B$73,0),MATCH('TS DMARK'!$H25&amp;'TS DMARK'!AJ$7,AGR!$R$46:$AC$46&amp;AGR!$R$49:$AC$49,0)),""))</f>
        <v/>
      </c>
      <c r="AK25" s="297" t="str" cm="1">
        <f t="array" aca="1" ref="AK25" ca="1">IF(AB25="*","",IFERROR(INDEX(AGR!$R$52:$AC$73,MATCH($C25,AGR!$B$52:$B$73,0),MATCH('TS DMARK'!$H25&amp;'TS DMARK'!AK$7,AGR!$R$46:$AC$46&amp;AGR!$R$49:$AC$49,0)),""))</f>
        <v/>
      </c>
      <c r="AL25" s="297" t="str" cm="1">
        <f t="array" aca="1" ref="AL25" ca="1">IF(AC25="*","",IFERROR(INDEX(AGR!$R$52:$AC$73,MATCH($C25,AGR!$B$52:$B$73,0),MATCH('TS DMARK'!$H25&amp;'TS DMARK'!AL$7,AGR!$R$46:$AC$46&amp;AGR!$R$49:$AC$49,0)),""))</f>
        <v/>
      </c>
      <c r="AM25" s="297" t="str" cm="1">
        <f t="array" aca="1" ref="AM25" ca="1">IF(AD25="*","",IFERROR(INDEX(AGR!$R$52:$AC$73,MATCH($C25,AGR!$B$52:$B$73,0),MATCH('TS DMARK'!$H25&amp;'TS DMARK'!AM$7,AGR!$R$46:$AC$46&amp;AGR!$R$49:$AC$49,0)),""))</f>
        <v/>
      </c>
      <c r="AN25" s="297" cm="1">
        <f t="array" aca="1" ref="AN25" ca="1">IF(AE25="*","",IFERROR(INDEX(AGR!$R$52:$AC$73,MATCH($C25,AGR!$B$52:$B$73,0),MATCH('TS DMARK'!$H25&amp;'TS DMARK'!AN$7,AGR!$R$46:$AC$46&amp;AGR!$R$49:$AC$49,0)),""))</f>
        <v>0</v>
      </c>
      <c r="AO25" s="297" t="str" cm="1">
        <f t="array" aca="1" ref="AO25" ca="1">IF(AF25="*","",IFERROR(INDEX(AGR!$R$52:$AC$73,MATCH($C25,AGR!$B$52:$B$73,0),MATCH('TS DMARK'!$H25&amp;'TS DMARK'!AO$7,AGR!$R$46:$AC$46&amp;AGR!$R$49:$AC$49,0)),""))</f>
        <v/>
      </c>
      <c r="AP25" s="297" cm="1">
        <f t="array" aca="1" ref="AP25" ca="1">IF(AG25="*","",IFERROR(INDEX(AGR!$R$52:$AC$73,MATCH($C25,AGR!$B$52:$B$73,0),MATCH('TS DMARK'!$H25&amp;'TS DMARK'!AP$7,AGR!$R$46:$AC$46&amp;AGR!$R$49:$AC$49,0)),""))</f>
        <v>1</v>
      </c>
      <c r="AQ25" s="238">
        <f>IF(AR24=AGR!$AD$74,AQ24+1,AQ24)</f>
        <v>1</v>
      </c>
      <c r="AR25" s="238">
        <f t="shared" si="4"/>
        <v>13</v>
      </c>
    </row>
    <row r="26" spans="1:44">
      <c r="A26" s="238" t="str">
        <f ca="1">IF(LEFT(OFFSET(AGR!$A$51,AR26,0),2)="\I","*","")</f>
        <v>*</v>
      </c>
      <c r="B26" s="243" t="str">
        <f t="shared" ca="1" si="0"/>
        <v/>
      </c>
      <c r="C26" s="243" t="str">
        <f ca="1">IF($A26="*","",OFFSET(AGR!$B$51,AR26,0))</f>
        <v/>
      </c>
      <c r="D26" s="298" t="str">
        <f t="shared" ca="1" si="3"/>
        <v/>
      </c>
      <c r="E26" s="298" t="str">
        <f t="shared" ca="1" si="1"/>
        <v/>
      </c>
      <c r="F26" s="298" t="str">
        <f t="shared" ca="1" si="1"/>
        <v/>
      </c>
      <c r="G26" s="298" t="str">
        <f t="shared" ca="1" si="2"/>
        <v/>
      </c>
      <c r="H26" s="298" t="str">
        <f t="shared" ca="1" si="2"/>
        <v/>
      </c>
      <c r="I26" s="298" t="str">
        <f t="shared" ca="1" si="2"/>
        <v/>
      </c>
      <c r="J26" s="297" t="str" cm="1">
        <f t="array" aca="1" ref="J26" ca="1">IF(A26="*","",IFERROR(INDEX(AGR!$R$52:$AC$73,MATCH($C26,AGR!$B$52:$B$73,0),MATCH('TS DMARK'!$H26&amp;'TS DMARK'!J$7,AGR!$R$46:$AC$46&amp;AGR!$R$49:$AC$49,0)),""))</f>
        <v/>
      </c>
      <c r="K26" s="297" t="str" cm="1">
        <f t="array" aca="1" ref="K26" ca="1">IF(B26="*","",IFERROR(INDEX(AGR!$R$52:$AC$73,MATCH($C26,AGR!$B$52:$B$73,0),MATCH('TS DMARK'!$H26&amp;'TS DMARK'!K$7,AGR!$R$46:$AC$46&amp;AGR!$R$49:$AC$49,0)),""))</f>
        <v/>
      </c>
      <c r="L26" s="297" t="str" cm="1">
        <f t="array" aca="1" ref="L26" ca="1">IF(C26="*","",IFERROR(INDEX(AGR!$R$52:$AC$73,MATCH($C26,AGR!$B$52:$B$73,0),MATCH('TS DMARK'!$H26&amp;'TS DMARK'!L$7,AGR!$R$46:$AC$46&amp;AGR!$R$49:$AC$49,0)),""))</f>
        <v/>
      </c>
      <c r="M26" s="297" t="str" cm="1">
        <f t="array" aca="1" ref="M26" ca="1">IF(D26="*","",IFERROR(INDEX(AGR!$R$52:$AC$73,MATCH($C26,AGR!$B$52:$B$73,0),MATCH('TS DMARK'!$H26&amp;'TS DMARK'!M$7,AGR!$R$46:$AC$46&amp;AGR!$R$49:$AC$49,0)),""))</f>
        <v/>
      </c>
      <c r="N26" s="297" t="str" cm="1">
        <f t="array" aca="1" ref="N26" ca="1">IF(E26="*","",IFERROR(INDEX(AGR!$R$52:$AC$73,MATCH($C26,AGR!$B$52:$B$73,0),MATCH('TS DMARK'!$H26&amp;'TS DMARK'!N$7,AGR!$R$46:$AC$46&amp;AGR!$R$49:$AC$49,0)),""))</f>
        <v/>
      </c>
      <c r="O26" s="297" t="str" cm="1">
        <f t="array" aca="1" ref="O26" ca="1">IF(F26="*","",IFERROR(INDEX(AGR!$R$52:$AC$73,MATCH($C26,AGR!$B$52:$B$73,0),MATCH('TS DMARK'!$H26&amp;'TS DMARK'!O$7,AGR!$R$46:$AC$46&amp;AGR!$R$49:$AC$49,0)),""))</f>
        <v/>
      </c>
      <c r="P26" s="297" t="str" cm="1">
        <f t="array" aca="1" ref="P26" ca="1">IF(G26="*","",IFERROR(INDEX(AGR!$R$52:$AC$73,MATCH($C26,AGR!$B$52:$B$73,0),MATCH('TS DMARK'!$H26&amp;'TS DMARK'!P$7,AGR!$R$46:$AC$46&amp;AGR!$R$49:$AC$49,0)),""))</f>
        <v/>
      </c>
      <c r="Q26" s="297" t="str" cm="1">
        <f t="array" aca="1" ref="Q26" ca="1">IF(H26="*","",IFERROR(INDEX(AGR!$R$52:$AC$73,MATCH($C26,AGR!$B$52:$B$73,0),MATCH('TS DMARK'!$H26&amp;'TS DMARK'!Q$7,AGR!$R$46:$AC$46&amp;AGR!$R$49:$AC$49,0)),""))</f>
        <v/>
      </c>
      <c r="R26" s="297" t="str" cm="1">
        <f t="array" aca="1" ref="R26" ca="1">IF(I26="*","",IFERROR(INDEX(AGR!$R$52:$AC$73,MATCH($C26,AGR!$B$52:$B$73,0),MATCH('TS DMARK'!$H26&amp;'TS DMARK'!R$7,AGR!$R$46:$AC$46&amp;AGR!$R$49:$AC$49,0)),""))</f>
        <v/>
      </c>
      <c r="S26" s="297" t="str" cm="1">
        <f t="array" aca="1" ref="S26" ca="1">IF(J26="*","",IFERROR(INDEX(AGR!$R$52:$AC$73,MATCH($C26,AGR!$B$52:$B$73,0),MATCH('TS DMARK'!$H26&amp;'TS DMARK'!S$7,AGR!$R$46:$AC$46&amp;AGR!$R$49:$AC$49,0)),""))</f>
        <v/>
      </c>
      <c r="T26" s="297" t="str" cm="1">
        <f t="array" aca="1" ref="T26" ca="1">IF(K26="*","",IFERROR(INDEX(AGR!$R$52:$AC$73,MATCH($C26,AGR!$B$52:$B$73,0),MATCH('TS DMARK'!$H26&amp;'TS DMARK'!T$7,AGR!$R$46:$AC$46&amp;AGR!$R$49:$AC$49,0)),""))</f>
        <v/>
      </c>
      <c r="U26" s="297" t="str" cm="1">
        <f t="array" aca="1" ref="U26" ca="1">IF(L26="*","",IFERROR(INDEX(AGR!$R$52:$AC$73,MATCH($C26,AGR!$B$52:$B$73,0),MATCH('TS DMARK'!$H26&amp;'TS DMARK'!U$7,AGR!$R$46:$AC$46&amp;AGR!$R$49:$AC$49,0)),""))</f>
        <v/>
      </c>
      <c r="V26" s="297" t="str" cm="1">
        <f t="array" aca="1" ref="V26" ca="1">IF(M26="*","",IFERROR(INDEX(AGR!$R$52:$AC$73,MATCH($C26,AGR!$B$52:$B$73,0),MATCH('TS DMARK'!$H26&amp;'TS DMARK'!V$7,AGR!$R$46:$AC$46&amp;AGR!$R$49:$AC$49,0)),""))</f>
        <v/>
      </c>
      <c r="W26" s="297" t="str" cm="1">
        <f t="array" aca="1" ref="W26" ca="1">IF(N26="*","",IFERROR(INDEX(AGR!$R$52:$AC$73,MATCH($C26,AGR!$B$52:$B$73,0),MATCH('TS DMARK'!$H26&amp;'TS DMARK'!W$7,AGR!$R$46:$AC$46&amp;AGR!$R$49:$AC$49,0)),""))</f>
        <v/>
      </c>
      <c r="X26" s="297" t="str" cm="1">
        <f t="array" aca="1" ref="X26" ca="1">IF(O26="*","",IFERROR(INDEX(AGR!$R$52:$AC$73,MATCH($C26,AGR!$B$52:$B$73,0),MATCH('TS DMARK'!$H26&amp;'TS DMARK'!X$7,AGR!$R$46:$AC$46&amp;AGR!$R$49:$AC$49,0)),""))</f>
        <v/>
      </c>
      <c r="Y26" s="297" t="str" cm="1">
        <f t="array" aca="1" ref="Y26" ca="1">IF(P26="*","",IFERROR(INDEX(AGR!$R$52:$AC$73,MATCH($C26,AGR!$B$52:$B$73,0),MATCH('TS DMARK'!$H26&amp;'TS DMARK'!Y$7,AGR!$R$46:$AC$46&amp;AGR!$R$49:$AC$49,0)),""))</f>
        <v/>
      </c>
      <c r="Z26" s="297" t="str" cm="1">
        <f t="array" aca="1" ref="Z26" ca="1">IF(Q26="*","",IFERROR(INDEX(AGR!$R$52:$AC$73,MATCH($C26,AGR!$B$52:$B$73,0),MATCH('TS DMARK'!$H26&amp;'TS DMARK'!Z$7,AGR!$R$46:$AC$46&amp;AGR!$R$49:$AC$49,0)),""))</f>
        <v/>
      </c>
      <c r="AA26" s="297" t="str" cm="1">
        <f t="array" aca="1" ref="AA26" ca="1">IF(R26="*","",IFERROR(INDEX(AGR!$R$52:$AC$73,MATCH($C26,AGR!$B$52:$B$73,0),MATCH('TS DMARK'!$H26&amp;'TS DMARK'!AA$7,AGR!$R$46:$AC$46&amp;AGR!$R$49:$AC$49,0)),""))</f>
        <v/>
      </c>
      <c r="AB26" s="297" t="str" cm="1">
        <f t="array" aca="1" ref="AB26" ca="1">IF(S26="*","",IFERROR(INDEX(AGR!$R$52:$AC$73,MATCH($C26,AGR!$B$52:$B$73,0),MATCH('TS DMARK'!$H26&amp;'TS DMARK'!AB$7,AGR!$R$46:$AC$46&amp;AGR!$R$49:$AC$49,0)),""))</f>
        <v/>
      </c>
      <c r="AC26" s="297" t="str" cm="1">
        <f t="array" aca="1" ref="AC26" ca="1">IF(T26="*","",IFERROR(INDEX(AGR!$R$52:$AC$73,MATCH($C26,AGR!$B$52:$B$73,0),MATCH('TS DMARK'!$H26&amp;'TS DMARK'!AC$7,AGR!$R$46:$AC$46&amp;AGR!$R$49:$AC$49,0)),""))</f>
        <v/>
      </c>
      <c r="AD26" s="297" t="str" cm="1">
        <f t="array" aca="1" ref="AD26" ca="1">IF(U26="*","",IFERROR(INDEX(AGR!$R$52:$AC$73,MATCH($C26,AGR!$B$52:$B$73,0),MATCH('TS DMARK'!$H26&amp;'TS DMARK'!AD$7,AGR!$R$46:$AC$46&amp;AGR!$R$49:$AC$49,0)),""))</f>
        <v/>
      </c>
      <c r="AE26" s="297" t="str" cm="1">
        <f t="array" aca="1" ref="AE26" ca="1">IF(V26="*","",IFERROR(INDEX(AGR!$R$52:$AC$73,MATCH($C26,AGR!$B$52:$B$73,0),MATCH('TS DMARK'!$H26&amp;'TS DMARK'!AE$7,AGR!$R$46:$AC$46&amp;AGR!$R$49:$AC$49,0)),""))</f>
        <v/>
      </c>
      <c r="AF26" s="297" t="str" cm="1">
        <f t="array" aca="1" ref="AF26" ca="1">IF(W26="*","",IFERROR(INDEX(AGR!$R$52:$AC$73,MATCH($C26,AGR!$B$52:$B$73,0),MATCH('TS DMARK'!$H26&amp;'TS DMARK'!AF$7,AGR!$R$46:$AC$46&amp;AGR!$R$49:$AC$49,0)),""))</f>
        <v/>
      </c>
      <c r="AG26" s="297" t="str" cm="1">
        <f t="array" aca="1" ref="AG26" ca="1">IF(X26="*","",IFERROR(INDEX(AGR!$R$52:$AC$73,MATCH($C26,AGR!$B$52:$B$73,0),MATCH('TS DMARK'!$H26&amp;'TS DMARK'!AG$7,AGR!$R$46:$AC$46&amp;AGR!$R$49:$AC$49,0)),""))</f>
        <v/>
      </c>
      <c r="AH26" s="297" t="str" cm="1">
        <f t="array" aca="1" ref="AH26" ca="1">IF(Y26="*","",IFERROR(INDEX(AGR!$R$52:$AC$73,MATCH($C26,AGR!$B$52:$B$73,0),MATCH('TS DMARK'!$H26&amp;'TS DMARK'!AH$7,AGR!$R$46:$AC$46&amp;AGR!$R$49:$AC$49,0)),""))</f>
        <v/>
      </c>
      <c r="AI26" s="297" t="str" cm="1">
        <f t="array" aca="1" ref="AI26" ca="1">IF(Z26="*","",IFERROR(INDEX(AGR!$R$52:$AC$73,MATCH($C26,AGR!$B$52:$B$73,0),MATCH('TS DMARK'!$H26&amp;'TS DMARK'!AI$7,AGR!$R$46:$AC$46&amp;AGR!$R$49:$AC$49,0)),""))</f>
        <v/>
      </c>
      <c r="AJ26" s="297" t="str" cm="1">
        <f t="array" aca="1" ref="AJ26" ca="1">IF(AA26="*","",IFERROR(INDEX(AGR!$R$52:$AC$73,MATCH($C26,AGR!$B$52:$B$73,0),MATCH('TS DMARK'!$H26&amp;'TS DMARK'!AJ$7,AGR!$R$46:$AC$46&amp;AGR!$R$49:$AC$49,0)),""))</f>
        <v/>
      </c>
      <c r="AK26" s="297" t="str" cm="1">
        <f t="array" aca="1" ref="AK26" ca="1">IF(AB26="*","",IFERROR(INDEX(AGR!$R$52:$AC$73,MATCH($C26,AGR!$B$52:$B$73,0),MATCH('TS DMARK'!$H26&amp;'TS DMARK'!AK$7,AGR!$R$46:$AC$46&amp;AGR!$R$49:$AC$49,0)),""))</f>
        <v/>
      </c>
      <c r="AL26" s="297" t="str" cm="1">
        <f t="array" aca="1" ref="AL26" ca="1">IF(AC26="*","",IFERROR(INDEX(AGR!$R$52:$AC$73,MATCH($C26,AGR!$B$52:$B$73,0),MATCH('TS DMARK'!$H26&amp;'TS DMARK'!AL$7,AGR!$R$46:$AC$46&amp;AGR!$R$49:$AC$49,0)),""))</f>
        <v/>
      </c>
      <c r="AM26" s="297" t="str" cm="1">
        <f t="array" aca="1" ref="AM26" ca="1">IF(AD26="*","",IFERROR(INDEX(AGR!$R$52:$AC$73,MATCH($C26,AGR!$B$52:$B$73,0),MATCH('TS DMARK'!$H26&amp;'TS DMARK'!AM$7,AGR!$R$46:$AC$46&amp;AGR!$R$49:$AC$49,0)),""))</f>
        <v/>
      </c>
      <c r="AN26" s="297" t="str" cm="1">
        <f t="array" aca="1" ref="AN26" ca="1">IF(AE26="*","",IFERROR(INDEX(AGR!$R$52:$AC$73,MATCH($C26,AGR!$B$52:$B$73,0),MATCH('TS DMARK'!$H26&amp;'TS DMARK'!AN$7,AGR!$R$46:$AC$46&amp;AGR!$R$49:$AC$49,0)),""))</f>
        <v/>
      </c>
      <c r="AO26" s="297" t="str" cm="1">
        <f t="array" aca="1" ref="AO26" ca="1">IF(AF26="*","",IFERROR(INDEX(AGR!$R$52:$AC$73,MATCH($C26,AGR!$B$52:$B$73,0),MATCH('TS DMARK'!$H26&amp;'TS DMARK'!AO$7,AGR!$R$46:$AC$46&amp;AGR!$R$49:$AC$49,0)),""))</f>
        <v/>
      </c>
      <c r="AP26" s="297" t="str" cm="1">
        <f t="array" aca="1" ref="AP26" ca="1">IF(AG26="*","",IFERROR(INDEX(AGR!$R$52:$AC$73,MATCH($C26,AGR!$B$52:$B$73,0),MATCH('TS DMARK'!$H26&amp;'TS DMARK'!AP$7,AGR!$R$46:$AC$46&amp;AGR!$R$49:$AC$49,0)),""))</f>
        <v/>
      </c>
      <c r="AQ26" s="238">
        <f>IF(AR25=AGR!$AD$74,AQ25+1,AQ25)</f>
        <v>1</v>
      </c>
      <c r="AR26" s="238">
        <f t="shared" si="4"/>
        <v>14</v>
      </c>
    </row>
    <row r="27" spans="1:44">
      <c r="A27" s="238" t="str">
        <f ca="1">IF(LEFT(OFFSET(AGR!$A$51,AR27,0),2)="\I","*","")</f>
        <v>*</v>
      </c>
      <c r="B27" s="243" t="str">
        <f t="shared" ca="1" si="0"/>
        <v/>
      </c>
      <c r="C27" s="243" t="str">
        <f ca="1">IF($A27="*","",OFFSET(AGR!$B$51,AR27,0))</f>
        <v/>
      </c>
      <c r="D27" s="298" t="str">
        <f t="shared" ca="1" si="3"/>
        <v/>
      </c>
      <c r="E27" s="298" t="str">
        <f t="shared" ca="1" si="1"/>
        <v/>
      </c>
      <c r="F27" s="298" t="str">
        <f t="shared" ca="1" si="1"/>
        <v/>
      </c>
      <c r="G27" s="298" t="str">
        <f t="shared" ca="1" si="2"/>
        <v/>
      </c>
      <c r="H27" s="298" t="str">
        <f t="shared" ca="1" si="2"/>
        <v/>
      </c>
      <c r="I27" s="298" t="str">
        <f t="shared" ca="1" si="2"/>
        <v/>
      </c>
      <c r="J27" s="297" t="str" cm="1">
        <f t="array" aca="1" ref="J27" ca="1">IF(A27="*","",IFERROR(INDEX(AGR!$R$52:$AC$73,MATCH($C27,AGR!$B$52:$B$73,0),MATCH('TS DMARK'!$H27&amp;'TS DMARK'!J$7,AGR!$R$46:$AC$46&amp;AGR!$R$49:$AC$49,0)),""))</f>
        <v/>
      </c>
      <c r="K27" s="297" t="str" cm="1">
        <f t="array" aca="1" ref="K27" ca="1">IF(B27="*","",IFERROR(INDEX(AGR!$R$52:$AC$73,MATCH($C27,AGR!$B$52:$B$73,0),MATCH('TS DMARK'!$H27&amp;'TS DMARK'!K$7,AGR!$R$46:$AC$46&amp;AGR!$R$49:$AC$49,0)),""))</f>
        <v/>
      </c>
      <c r="L27" s="297" t="str" cm="1">
        <f t="array" aca="1" ref="L27" ca="1">IF(C27="*","",IFERROR(INDEX(AGR!$R$52:$AC$73,MATCH($C27,AGR!$B$52:$B$73,0),MATCH('TS DMARK'!$H27&amp;'TS DMARK'!L$7,AGR!$R$46:$AC$46&amp;AGR!$R$49:$AC$49,0)),""))</f>
        <v/>
      </c>
      <c r="M27" s="297" t="str" cm="1">
        <f t="array" aca="1" ref="M27" ca="1">IF(D27="*","",IFERROR(INDEX(AGR!$R$52:$AC$73,MATCH($C27,AGR!$B$52:$B$73,0),MATCH('TS DMARK'!$H27&amp;'TS DMARK'!M$7,AGR!$R$46:$AC$46&amp;AGR!$R$49:$AC$49,0)),""))</f>
        <v/>
      </c>
      <c r="N27" s="297" t="str" cm="1">
        <f t="array" aca="1" ref="N27" ca="1">IF(E27="*","",IFERROR(INDEX(AGR!$R$52:$AC$73,MATCH($C27,AGR!$B$52:$B$73,0),MATCH('TS DMARK'!$H27&amp;'TS DMARK'!N$7,AGR!$R$46:$AC$46&amp;AGR!$R$49:$AC$49,0)),""))</f>
        <v/>
      </c>
      <c r="O27" s="297" t="str" cm="1">
        <f t="array" aca="1" ref="O27" ca="1">IF(F27="*","",IFERROR(INDEX(AGR!$R$52:$AC$73,MATCH($C27,AGR!$B$52:$B$73,0),MATCH('TS DMARK'!$H27&amp;'TS DMARK'!O$7,AGR!$R$46:$AC$46&amp;AGR!$R$49:$AC$49,0)),""))</f>
        <v/>
      </c>
      <c r="P27" s="297" t="str" cm="1">
        <f t="array" aca="1" ref="P27" ca="1">IF(G27="*","",IFERROR(INDEX(AGR!$R$52:$AC$73,MATCH($C27,AGR!$B$52:$B$73,0),MATCH('TS DMARK'!$H27&amp;'TS DMARK'!P$7,AGR!$R$46:$AC$46&amp;AGR!$R$49:$AC$49,0)),""))</f>
        <v/>
      </c>
      <c r="Q27" s="297" t="str" cm="1">
        <f t="array" aca="1" ref="Q27" ca="1">IF(H27="*","",IFERROR(INDEX(AGR!$R$52:$AC$73,MATCH($C27,AGR!$B$52:$B$73,0),MATCH('TS DMARK'!$H27&amp;'TS DMARK'!Q$7,AGR!$R$46:$AC$46&amp;AGR!$R$49:$AC$49,0)),""))</f>
        <v/>
      </c>
      <c r="R27" s="297" t="str" cm="1">
        <f t="array" aca="1" ref="R27" ca="1">IF(I27="*","",IFERROR(INDEX(AGR!$R$52:$AC$73,MATCH($C27,AGR!$B$52:$B$73,0),MATCH('TS DMARK'!$H27&amp;'TS DMARK'!R$7,AGR!$R$46:$AC$46&amp;AGR!$R$49:$AC$49,0)),""))</f>
        <v/>
      </c>
      <c r="S27" s="297" t="str" cm="1">
        <f t="array" aca="1" ref="S27" ca="1">IF(J27="*","",IFERROR(INDEX(AGR!$R$52:$AC$73,MATCH($C27,AGR!$B$52:$B$73,0),MATCH('TS DMARK'!$H27&amp;'TS DMARK'!S$7,AGR!$R$46:$AC$46&amp;AGR!$R$49:$AC$49,0)),""))</f>
        <v/>
      </c>
      <c r="T27" s="297" t="str" cm="1">
        <f t="array" aca="1" ref="T27" ca="1">IF(K27="*","",IFERROR(INDEX(AGR!$R$52:$AC$73,MATCH($C27,AGR!$B$52:$B$73,0),MATCH('TS DMARK'!$H27&amp;'TS DMARK'!T$7,AGR!$R$46:$AC$46&amp;AGR!$R$49:$AC$49,0)),""))</f>
        <v/>
      </c>
      <c r="U27" s="297" t="str" cm="1">
        <f t="array" aca="1" ref="U27" ca="1">IF(L27="*","",IFERROR(INDEX(AGR!$R$52:$AC$73,MATCH($C27,AGR!$B$52:$B$73,0),MATCH('TS DMARK'!$H27&amp;'TS DMARK'!U$7,AGR!$R$46:$AC$46&amp;AGR!$R$49:$AC$49,0)),""))</f>
        <v/>
      </c>
      <c r="V27" s="297" t="str" cm="1">
        <f t="array" aca="1" ref="V27" ca="1">IF(M27="*","",IFERROR(INDEX(AGR!$R$52:$AC$73,MATCH($C27,AGR!$B$52:$B$73,0),MATCH('TS DMARK'!$H27&amp;'TS DMARK'!V$7,AGR!$R$46:$AC$46&amp;AGR!$R$49:$AC$49,0)),""))</f>
        <v/>
      </c>
      <c r="W27" s="297" t="str" cm="1">
        <f t="array" aca="1" ref="W27" ca="1">IF(N27="*","",IFERROR(INDEX(AGR!$R$52:$AC$73,MATCH($C27,AGR!$B$52:$B$73,0),MATCH('TS DMARK'!$H27&amp;'TS DMARK'!W$7,AGR!$R$46:$AC$46&amp;AGR!$R$49:$AC$49,0)),""))</f>
        <v/>
      </c>
      <c r="X27" s="297" t="str" cm="1">
        <f t="array" aca="1" ref="X27" ca="1">IF(O27="*","",IFERROR(INDEX(AGR!$R$52:$AC$73,MATCH($C27,AGR!$B$52:$B$73,0),MATCH('TS DMARK'!$H27&amp;'TS DMARK'!X$7,AGR!$R$46:$AC$46&amp;AGR!$R$49:$AC$49,0)),""))</f>
        <v/>
      </c>
      <c r="Y27" s="297" t="str" cm="1">
        <f t="array" aca="1" ref="Y27" ca="1">IF(P27="*","",IFERROR(INDEX(AGR!$R$52:$AC$73,MATCH($C27,AGR!$B$52:$B$73,0),MATCH('TS DMARK'!$H27&amp;'TS DMARK'!Y$7,AGR!$R$46:$AC$46&amp;AGR!$R$49:$AC$49,0)),""))</f>
        <v/>
      </c>
      <c r="Z27" s="297" t="str" cm="1">
        <f t="array" aca="1" ref="Z27" ca="1">IF(Q27="*","",IFERROR(INDEX(AGR!$R$52:$AC$73,MATCH($C27,AGR!$B$52:$B$73,0),MATCH('TS DMARK'!$H27&amp;'TS DMARK'!Z$7,AGR!$R$46:$AC$46&amp;AGR!$R$49:$AC$49,0)),""))</f>
        <v/>
      </c>
      <c r="AA27" s="297" t="str" cm="1">
        <f t="array" aca="1" ref="AA27" ca="1">IF(R27="*","",IFERROR(INDEX(AGR!$R$52:$AC$73,MATCH($C27,AGR!$B$52:$B$73,0),MATCH('TS DMARK'!$H27&amp;'TS DMARK'!AA$7,AGR!$R$46:$AC$46&amp;AGR!$R$49:$AC$49,0)),""))</f>
        <v/>
      </c>
      <c r="AB27" s="297" t="str" cm="1">
        <f t="array" aca="1" ref="AB27" ca="1">IF(S27="*","",IFERROR(INDEX(AGR!$R$52:$AC$73,MATCH($C27,AGR!$B$52:$B$73,0),MATCH('TS DMARK'!$H27&amp;'TS DMARK'!AB$7,AGR!$R$46:$AC$46&amp;AGR!$R$49:$AC$49,0)),""))</f>
        <v/>
      </c>
      <c r="AC27" s="297" t="str" cm="1">
        <f t="array" aca="1" ref="AC27" ca="1">IF(T27="*","",IFERROR(INDEX(AGR!$R$52:$AC$73,MATCH($C27,AGR!$B$52:$B$73,0),MATCH('TS DMARK'!$H27&amp;'TS DMARK'!AC$7,AGR!$R$46:$AC$46&amp;AGR!$R$49:$AC$49,0)),""))</f>
        <v/>
      </c>
      <c r="AD27" s="297" t="str" cm="1">
        <f t="array" aca="1" ref="AD27" ca="1">IF(U27="*","",IFERROR(INDEX(AGR!$R$52:$AC$73,MATCH($C27,AGR!$B$52:$B$73,0),MATCH('TS DMARK'!$H27&amp;'TS DMARK'!AD$7,AGR!$R$46:$AC$46&amp;AGR!$R$49:$AC$49,0)),""))</f>
        <v/>
      </c>
      <c r="AE27" s="297" t="str" cm="1">
        <f t="array" aca="1" ref="AE27" ca="1">IF(V27="*","",IFERROR(INDEX(AGR!$R$52:$AC$73,MATCH($C27,AGR!$B$52:$B$73,0),MATCH('TS DMARK'!$H27&amp;'TS DMARK'!AE$7,AGR!$R$46:$AC$46&amp;AGR!$R$49:$AC$49,0)),""))</f>
        <v/>
      </c>
      <c r="AF27" s="297" t="str" cm="1">
        <f t="array" aca="1" ref="AF27" ca="1">IF(W27="*","",IFERROR(INDEX(AGR!$R$52:$AC$73,MATCH($C27,AGR!$B$52:$B$73,0),MATCH('TS DMARK'!$H27&amp;'TS DMARK'!AF$7,AGR!$R$46:$AC$46&amp;AGR!$R$49:$AC$49,0)),""))</f>
        <v/>
      </c>
      <c r="AG27" s="297" t="str" cm="1">
        <f t="array" aca="1" ref="AG27" ca="1">IF(X27="*","",IFERROR(INDEX(AGR!$R$52:$AC$73,MATCH($C27,AGR!$B$52:$B$73,0),MATCH('TS DMARK'!$H27&amp;'TS DMARK'!AG$7,AGR!$R$46:$AC$46&amp;AGR!$R$49:$AC$49,0)),""))</f>
        <v/>
      </c>
      <c r="AH27" s="297" t="str" cm="1">
        <f t="array" aca="1" ref="AH27" ca="1">IF(Y27="*","",IFERROR(INDEX(AGR!$R$52:$AC$73,MATCH($C27,AGR!$B$52:$B$73,0),MATCH('TS DMARK'!$H27&amp;'TS DMARK'!AH$7,AGR!$R$46:$AC$46&amp;AGR!$R$49:$AC$49,0)),""))</f>
        <v/>
      </c>
      <c r="AI27" s="297" t="str" cm="1">
        <f t="array" aca="1" ref="AI27" ca="1">IF(Z27="*","",IFERROR(INDEX(AGR!$R$52:$AC$73,MATCH($C27,AGR!$B$52:$B$73,0),MATCH('TS DMARK'!$H27&amp;'TS DMARK'!AI$7,AGR!$R$46:$AC$46&amp;AGR!$R$49:$AC$49,0)),""))</f>
        <v/>
      </c>
      <c r="AJ27" s="297" t="str" cm="1">
        <f t="array" aca="1" ref="AJ27" ca="1">IF(AA27="*","",IFERROR(INDEX(AGR!$R$52:$AC$73,MATCH($C27,AGR!$B$52:$B$73,0),MATCH('TS DMARK'!$H27&amp;'TS DMARK'!AJ$7,AGR!$R$46:$AC$46&amp;AGR!$R$49:$AC$49,0)),""))</f>
        <v/>
      </c>
      <c r="AK27" s="297" t="str" cm="1">
        <f t="array" aca="1" ref="AK27" ca="1">IF(AB27="*","",IFERROR(INDEX(AGR!$R$52:$AC$73,MATCH($C27,AGR!$B$52:$B$73,0),MATCH('TS DMARK'!$H27&amp;'TS DMARK'!AK$7,AGR!$R$46:$AC$46&amp;AGR!$R$49:$AC$49,0)),""))</f>
        <v/>
      </c>
      <c r="AL27" s="297" t="str" cm="1">
        <f t="array" aca="1" ref="AL27" ca="1">IF(AC27="*","",IFERROR(INDEX(AGR!$R$52:$AC$73,MATCH($C27,AGR!$B$52:$B$73,0),MATCH('TS DMARK'!$H27&amp;'TS DMARK'!AL$7,AGR!$R$46:$AC$46&amp;AGR!$R$49:$AC$49,0)),""))</f>
        <v/>
      </c>
      <c r="AM27" s="297" t="str" cm="1">
        <f t="array" aca="1" ref="AM27" ca="1">IF(AD27="*","",IFERROR(INDEX(AGR!$R$52:$AC$73,MATCH($C27,AGR!$B$52:$B$73,0),MATCH('TS DMARK'!$H27&amp;'TS DMARK'!AM$7,AGR!$R$46:$AC$46&amp;AGR!$R$49:$AC$49,0)),""))</f>
        <v/>
      </c>
      <c r="AN27" s="297" t="str" cm="1">
        <f t="array" aca="1" ref="AN27" ca="1">IF(AE27="*","",IFERROR(INDEX(AGR!$R$52:$AC$73,MATCH($C27,AGR!$B$52:$B$73,0),MATCH('TS DMARK'!$H27&amp;'TS DMARK'!AN$7,AGR!$R$46:$AC$46&amp;AGR!$R$49:$AC$49,0)),""))</f>
        <v/>
      </c>
      <c r="AO27" s="297" t="str" cm="1">
        <f t="array" aca="1" ref="AO27" ca="1">IF(AF27="*","",IFERROR(INDEX(AGR!$R$52:$AC$73,MATCH($C27,AGR!$B$52:$B$73,0),MATCH('TS DMARK'!$H27&amp;'TS DMARK'!AO$7,AGR!$R$46:$AC$46&amp;AGR!$R$49:$AC$49,0)),""))</f>
        <v/>
      </c>
      <c r="AP27" s="297" t="str" cm="1">
        <f t="array" aca="1" ref="AP27" ca="1">IF(AG27="*","",IFERROR(INDEX(AGR!$R$52:$AC$73,MATCH($C27,AGR!$B$52:$B$73,0),MATCH('TS DMARK'!$H27&amp;'TS DMARK'!AP$7,AGR!$R$46:$AC$46&amp;AGR!$R$49:$AC$49,0)),""))</f>
        <v/>
      </c>
      <c r="AQ27" s="238">
        <f>IF(AR26=AGR!$AD$74,AQ26+1,AQ26)</f>
        <v>1</v>
      </c>
      <c r="AR27" s="238">
        <f t="shared" si="4"/>
        <v>15</v>
      </c>
    </row>
    <row r="28" spans="1:44">
      <c r="A28" s="238" t="str">
        <f ca="1">IF(LEFT(OFFSET(AGR!$A$51,AR28,0),2)="\I","*","")</f>
        <v/>
      </c>
      <c r="B28" s="243" t="str">
        <f t="shared" ca="1" si="0"/>
        <v>FLO_MARK</v>
      </c>
      <c r="C28" s="243" t="str">
        <f ca="1">IF($A28="*","",OFFSET(AGR!$B$51,AR28,0))</f>
        <v>AIODS-E</v>
      </c>
      <c r="D28" s="298" t="str">
        <f t="shared" ca="1" si="3"/>
        <v>AI</v>
      </c>
      <c r="E28" s="298" t="str">
        <f t="shared" ca="1" si="1"/>
        <v>-</v>
      </c>
      <c r="F28" s="298" t="str">
        <f t="shared" ca="1" si="1"/>
        <v>-</v>
      </c>
      <c r="G28" s="298" t="str">
        <f t="shared" ca="1" si="2"/>
        <v>-</v>
      </c>
      <c r="H28" s="298" t="str">
        <f t="shared" ca="1" si="2"/>
        <v>UP</v>
      </c>
      <c r="I28" s="298">
        <f t="shared" ca="1" si="2"/>
        <v>3</v>
      </c>
      <c r="J28" s="297" cm="1">
        <f t="array" aca="1" ref="J28" ca="1">IF(A28="*","",IFERROR(INDEX(AGR!$R$52:$AC$73,MATCH($C28,AGR!$B$52:$B$73,0),MATCH('TS DMARK'!$H28&amp;'TS DMARK'!J$7,AGR!$R$46:$AC$46&amp;AGR!$R$49:$AC$49,0)),""))</f>
        <v>7.7688478413921722E-2</v>
      </c>
      <c r="K28" s="297" t="str" cm="1">
        <f t="array" aca="1" ref="K28" ca="1">IF(B28="*","",IFERROR(INDEX(AGR!$R$52:$AC$73,MATCH($C28,AGR!$B$52:$B$73,0),MATCH('TS DMARK'!$H28&amp;'TS DMARK'!K$7,AGR!$R$46:$AC$46&amp;AGR!$R$49:$AC$49,0)),""))</f>
        <v/>
      </c>
      <c r="L28" s="297" t="str" cm="1">
        <f t="array" aca="1" ref="L28" ca="1">IF(C28="*","",IFERROR(INDEX(AGR!$R$52:$AC$73,MATCH($C28,AGR!$B$52:$B$73,0),MATCH('TS DMARK'!$H28&amp;'TS DMARK'!L$7,AGR!$R$46:$AC$46&amp;AGR!$R$49:$AC$49,0)),""))</f>
        <v/>
      </c>
      <c r="M28" s="297" cm="1">
        <f t="array" aca="1" ref="M28" ca="1">IF(D28="*","",IFERROR(INDEX(AGR!$R$52:$AC$73,MATCH($C28,AGR!$B$52:$B$73,0),MATCH('TS DMARK'!$H28&amp;'TS DMARK'!M$7,AGR!$R$46:$AC$46&amp;AGR!$R$49:$AC$49,0)),""))</f>
        <v>0.57768847841392168</v>
      </c>
      <c r="N28" s="297" t="str" cm="1">
        <f t="array" aca="1" ref="N28" ca="1">IF(E28="*","",IFERROR(INDEX(AGR!$R$52:$AC$73,MATCH($C28,AGR!$B$52:$B$73,0),MATCH('TS DMARK'!$H28&amp;'TS DMARK'!N$7,AGR!$R$46:$AC$46&amp;AGR!$R$49:$AC$49,0)),""))</f>
        <v/>
      </c>
      <c r="O28" s="297" t="str" cm="1">
        <f t="array" aca="1" ref="O28" ca="1">IF(F28="*","",IFERROR(INDEX(AGR!$R$52:$AC$73,MATCH($C28,AGR!$B$52:$B$73,0),MATCH('TS DMARK'!$H28&amp;'TS DMARK'!O$7,AGR!$R$46:$AC$46&amp;AGR!$R$49:$AC$49,0)),""))</f>
        <v/>
      </c>
      <c r="P28" s="297" t="str" cm="1">
        <f t="array" aca="1" ref="P28" ca="1">IF(G28="*","",IFERROR(INDEX(AGR!$R$52:$AC$73,MATCH($C28,AGR!$B$52:$B$73,0),MATCH('TS DMARK'!$H28&amp;'TS DMARK'!P$7,AGR!$R$46:$AC$46&amp;AGR!$R$49:$AC$49,0)),""))</f>
        <v/>
      </c>
      <c r="Q28" s="297" t="str" cm="1">
        <f t="array" aca="1" ref="Q28" ca="1">IF(H28="*","",IFERROR(INDEX(AGR!$R$52:$AC$73,MATCH($C28,AGR!$B$52:$B$73,0),MATCH('TS DMARK'!$H28&amp;'TS DMARK'!Q$7,AGR!$R$46:$AC$46&amp;AGR!$R$49:$AC$49,0)),""))</f>
        <v/>
      </c>
      <c r="R28" s="297" t="str" cm="1">
        <f t="array" aca="1" ref="R28" ca="1">IF(I28="*","",IFERROR(INDEX(AGR!$R$52:$AC$73,MATCH($C28,AGR!$B$52:$B$73,0),MATCH('TS DMARK'!$H28&amp;'TS DMARK'!R$7,AGR!$R$46:$AC$46&amp;AGR!$R$49:$AC$49,0)),""))</f>
        <v/>
      </c>
      <c r="S28" s="297" t="str" cm="1">
        <f t="array" aca="1" ref="S28" ca="1">IF(J28="*","",IFERROR(INDEX(AGR!$R$52:$AC$73,MATCH($C28,AGR!$B$52:$B$73,0),MATCH('TS DMARK'!$H28&amp;'TS DMARK'!S$7,AGR!$R$46:$AC$46&amp;AGR!$R$49:$AC$49,0)),""))</f>
        <v/>
      </c>
      <c r="T28" s="297" t="str" cm="1">
        <f t="array" aca="1" ref="T28" ca="1">IF(K28="*","",IFERROR(INDEX(AGR!$R$52:$AC$73,MATCH($C28,AGR!$B$52:$B$73,0),MATCH('TS DMARK'!$H28&amp;'TS DMARK'!T$7,AGR!$R$46:$AC$46&amp;AGR!$R$49:$AC$49,0)),""))</f>
        <v/>
      </c>
      <c r="U28" s="297" t="str" cm="1">
        <f t="array" aca="1" ref="U28" ca="1">IF(L28="*","",IFERROR(INDEX(AGR!$R$52:$AC$73,MATCH($C28,AGR!$B$52:$B$73,0),MATCH('TS DMARK'!$H28&amp;'TS DMARK'!U$7,AGR!$R$46:$AC$46&amp;AGR!$R$49:$AC$49,0)),""))</f>
        <v/>
      </c>
      <c r="V28" s="297" t="str" cm="1">
        <f t="array" aca="1" ref="V28" ca="1">IF(M28="*","",IFERROR(INDEX(AGR!$R$52:$AC$73,MATCH($C28,AGR!$B$52:$B$73,0),MATCH('TS DMARK'!$H28&amp;'TS DMARK'!V$7,AGR!$R$46:$AC$46&amp;AGR!$R$49:$AC$49,0)),""))</f>
        <v/>
      </c>
      <c r="W28" s="297" t="str" cm="1">
        <f t="array" aca="1" ref="W28" ca="1">IF(N28="*","",IFERROR(INDEX(AGR!$R$52:$AC$73,MATCH($C28,AGR!$B$52:$B$73,0),MATCH('TS DMARK'!$H28&amp;'TS DMARK'!W$7,AGR!$R$46:$AC$46&amp;AGR!$R$49:$AC$49,0)),""))</f>
        <v/>
      </c>
      <c r="X28" s="297" t="str" cm="1">
        <f t="array" aca="1" ref="X28" ca="1">IF(O28="*","",IFERROR(INDEX(AGR!$R$52:$AC$73,MATCH($C28,AGR!$B$52:$B$73,0),MATCH('TS DMARK'!$H28&amp;'TS DMARK'!X$7,AGR!$R$46:$AC$46&amp;AGR!$R$49:$AC$49,0)),""))</f>
        <v/>
      </c>
      <c r="Y28" s="297" t="str" cm="1">
        <f t="array" aca="1" ref="Y28" ca="1">IF(P28="*","",IFERROR(INDEX(AGR!$R$52:$AC$73,MATCH($C28,AGR!$B$52:$B$73,0),MATCH('TS DMARK'!$H28&amp;'TS DMARK'!Y$7,AGR!$R$46:$AC$46&amp;AGR!$R$49:$AC$49,0)),""))</f>
        <v/>
      </c>
      <c r="Z28" s="297" t="str" cm="1">
        <f t="array" aca="1" ref="Z28" ca="1">IF(Q28="*","",IFERROR(INDEX(AGR!$R$52:$AC$73,MATCH($C28,AGR!$B$52:$B$73,0),MATCH('TS DMARK'!$H28&amp;'TS DMARK'!Z$7,AGR!$R$46:$AC$46&amp;AGR!$R$49:$AC$49,0)),""))</f>
        <v/>
      </c>
      <c r="AA28" s="297" t="str" cm="1">
        <f t="array" aca="1" ref="AA28" ca="1">IF(R28="*","",IFERROR(INDEX(AGR!$R$52:$AC$73,MATCH($C28,AGR!$B$52:$B$73,0),MATCH('TS DMARK'!$H28&amp;'TS DMARK'!AA$7,AGR!$R$46:$AC$46&amp;AGR!$R$49:$AC$49,0)),""))</f>
        <v/>
      </c>
      <c r="AB28" s="297" cm="1">
        <f t="array" aca="1" ref="AB28" ca="1">IF(S28="*","",IFERROR(INDEX(AGR!$R$52:$AC$73,MATCH($C28,AGR!$B$52:$B$73,0),MATCH('TS DMARK'!$H28&amp;'TS DMARK'!AB$7,AGR!$R$46:$AC$46&amp;AGR!$R$49:$AC$49,0)),""))</f>
        <v>0.57768847841392168</v>
      </c>
      <c r="AC28" s="297" t="str" cm="1">
        <f t="array" aca="1" ref="AC28" ca="1">IF(T28="*","",IFERROR(INDEX(AGR!$R$52:$AC$73,MATCH($C28,AGR!$B$52:$B$73,0),MATCH('TS DMARK'!$H28&amp;'TS DMARK'!AC$7,AGR!$R$46:$AC$46&amp;AGR!$R$49:$AC$49,0)),""))</f>
        <v/>
      </c>
      <c r="AD28" s="297" t="str" cm="1">
        <f t="array" aca="1" ref="AD28" ca="1">IF(U28="*","",IFERROR(INDEX(AGR!$R$52:$AC$73,MATCH($C28,AGR!$B$52:$B$73,0),MATCH('TS DMARK'!$H28&amp;'TS DMARK'!AD$7,AGR!$R$46:$AC$46&amp;AGR!$R$49:$AC$49,0)),""))</f>
        <v/>
      </c>
      <c r="AE28" s="297" t="str" cm="1">
        <f t="array" aca="1" ref="AE28" ca="1">IF(V28="*","",IFERROR(INDEX(AGR!$R$52:$AC$73,MATCH($C28,AGR!$B$52:$B$73,0),MATCH('TS DMARK'!$H28&amp;'TS DMARK'!AE$7,AGR!$R$46:$AC$46&amp;AGR!$R$49:$AC$49,0)),""))</f>
        <v/>
      </c>
      <c r="AF28" s="297" t="str" cm="1">
        <f t="array" aca="1" ref="AF28" ca="1">IF(W28="*","",IFERROR(INDEX(AGR!$R$52:$AC$73,MATCH($C28,AGR!$B$52:$B$73,0),MATCH('TS DMARK'!$H28&amp;'TS DMARK'!AF$7,AGR!$R$46:$AC$46&amp;AGR!$R$49:$AC$49,0)),""))</f>
        <v/>
      </c>
      <c r="AG28" s="297" t="str" cm="1">
        <f t="array" aca="1" ref="AG28" ca="1">IF(X28="*","",IFERROR(INDEX(AGR!$R$52:$AC$73,MATCH($C28,AGR!$B$52:$B$73,0),MATCH('TS DMARK'!$H28&amp;'TS DMARK'!AG$7,AGR!$R$46:$AC$46&amp;AGR!$R$49:$AC$49,0)),""))</f>
        <v/>
      </c>
      <c r="AH28" s="297" t="str" cm="1">
        <f t="array" aca="1" ref="AH28" ca="1">IF(Y28="*","",IFERROR(INDEX(AGR!$R$52:$AC$73,MATCH($C28,AGR!$B$52:$B$73,0),MATCH('TS DMARK'!$H28&amp;'TS DMARK'!AH$7,AGR!$R$46:$AC$46&amp;AGR!$R$49:$AC$49,0)),""))</f>
        <v/>
      </c>
      <c r="AI28" s="297" t="str" cm="1">
        <f t="array" aca="1" ref="AI28" ca="1">IF(Z28="*","",IFERROR(INDEX(AGR!$R$52:$AC$73,MATCH($C28,AGR!$B$52:$B$73,0),MATCH('TS DMARK'!$H28&amp;'TS DMARK'!AI$7,AGR!$R$46:$AC$46&amp;AGR!$R$49:$AC$49,0)),""))</f>
        <v/>
      </c>
      <c r="AJ28" s="297" t="str" cm="1">
        <f t="array" aca="1" ref="AJ28" ca="1">IF(AA28="*","",IFERROR(INDEX(AGR!$R$52:$AC$73,MATCH($C28,AGR!$B$52:$B$73,0),MATCH('TS DMARK'!$H28&amp;'TS DMARK'!AJ$7,AGR!$R$46:$AC$46&amp;AGR!$R$49:$AC$49,0)),""))</f>
        <v/>
      </c>
      <c r="AK28" s="297" t="str" cm="1">
        <f t="array" aca="1" ref="AK28" ca="1">IF(AB28="*","",IFERROR(INDEX(AGR!$R$52:$AC$73,MATCH($C28,AGR!$B$52:$B$73,0),MATCH('TS DMARK'!$H28&amp;'TS DMARK'!AK$7,AGR!$R$46:$AC$46&amp;AGR!$R$49:$AC$49,0)),""))</f>
        <v/>
      </c>
      <c r="AL28" s="297" t="str" cm="1">
        <f t="array" aca="1" ref="AL28" ca="1">IF(AC28="*","",IFERROR(INDEX(AGR!$R$52:$AC$73,MATCH($C28,AGR!$B$52:$B$73,0),MATCH('TS DMARK'!$H28&amp;'TS DMARK'!AL$7,AGR!$R$46:$AC$46&amp;AGR!$R$49:$AC$49,0)),""))</f>
        <v/>
      </c>
      <c r="AM28" s="297" t="str" cm="1">
        <f t="array" aca="1" ref="AM28" ca="1">IF(AD28="*","",IFERROR(INDEX(AGR!$R$52:$AC$73,MATCH($C28,AGR!$B$52:$B$73,0),MATCH('TS DMARK'!$H28&amp;'TS DMARK'!AM$7,AGR!$R$46:$AC$46&amp;AGR!$R$49:$AC$49,0)),""))</f>
        <v/>
      </c>
      <c r="AN28" s="297" cm="1">
        <f t="array" aca="1" ref="AN28" ca="1">IF(AE28="*","",IFERROR(INDEX(AGR!$R$52:$AC$73,MATCH($C28,AGR!$B$52:$B$73,0),MATCH('TS DMARK'!$H28&amp;'TS DMARK'!AN$7,AGR!$R$46:$AC$46&amp;AGR!$R$49:$AC$49,0)),""))</f>
        <v>1</v>
      </c>
      <c r="AO28" s="297" t="str" cm="1">
        <f t="array" aca="1" ref="AO28" ca="1">IF(AF28="*","",IFERROR(INDEX(AGR!$R$52:$AC$73,MATCH($C28,AGR!$B$52:$B$73,0),MATCH('TS DMARK'!$H28&amp;'TS DMARK'!AO$7,AGR!$R$46:$AC$46&amp;AGR!$R$49:$AC$49,0)),""))</f>
        <v/>
      </c>
      <c r="AP28" s="297" cm="1">
        <f t="array" aca="1" ref="AP28" ca="1">IF(AG28="*","",IFERROR(INDEX(AGR!$R$52:$AC$73,MATCH($C28,AGR!$B$52:$B$73,0),MATCH('TS DMARK'!$H28&amp;'TS DMARK'!AP$7,AGR!$R$46:$AC$46&amp;AGR!$R$49:$AC$49,0)),""))</f>
        <v>1</v>
      </c>
      <c r="AQ28" s="238">
        <f>IF(AR27=AGR!$AD$74,AQ27+1,AQ27)</f>
        <v>1</v>
      </c>
      <c r="AR28" s="238">
        <f t="shared" si="4"/>
        <v>16</v>
      </c>
    </row>
    <row r="29" spans="1:44">
      <c r="A29" s="238" t="str">
        <f ca="1">IF(LEFT(OFFSET(AGR!$A$51,AR29,0),2)="\I","*","")</f>
        <v/>
      </c>
      <c r="B29" s="243" t="str">
        <f t="shared" ca="1" si="0"/>
        <v>FLO_MARK</v>
      </c>
      <c r="C29" s="243" t="str">
        <f ca="1">IF($A29="*","",OFFSET(AGR!$B$51,AR29,0))</f>
        <v>AIELC-E</v>
      </c>
      <c r="D29" s="298" t="str">
        <f t="shared" ca="1" si="3"/>
        <v>AI</v>
      </c>
      <c r="E29" s="298" t="str">
        <f t="shared" ref="E29:F56" ca="1" si="5">IF($A29="*","",VLOOKUP($B29,$B$10:$I$11,E$9,FALSE))</f>
        <v>-</v>
      </c>
      <c r="F29" s="298" t="str">
        <f t="shared" ca="1" si="5"/>
        <v>-</v>
      </c>
      <c r="G29" s="298" t="str">
        <f t="shared" ref="G29:I58" ca="1" si="6">IF($A29="*","",VLOOKUP("*"&amp;$AQ29,$A$10:$I$11,G$9+1,FALSE))</f>
        <v>-</v>
      </c>
      <c r="H29" s="298" t="str">
        <f t="shared" ca="1" si="6"/>
        <v>UP</v>
      </c>
      <c r="I29" s="298">
        <f t="shared" ca="1" si="6"/>
        <v>3</v>
      </c>
      <c r="J29" s="297" cm="1">
        <f t="array" aca="1" ref="J29" ca="1">IF(A29="*","",IFERROR(INDEX(AGR!$R$52:$AC$73,MATCH($C29,AGR!$B$52:$B$73,0),MATCH('TS DMARK'!$H29&amp;'TS DMARK'!J$7,AGR!$R$46:$AC$46&amp;AGR!$R$49:$AC$49,0)),""))</f>
        <v>0.94075775201779988</v>
      </c>
      <c r="K29" s="297" t="str" cm="1">
        <f t="array" aca="1" ref="K29" ca="1">IF(B29="*","",IFERROR(INDEX(AGR!$R$52:$AC$73,MATCH($C29,AGR!$B$52:$B$73,0),MATCH('TS DMARK'!$H29&amp;'TS DMARK'!K$7,AGR!$R$46:$AC$46&amp;AGR!$R$49:$AC$49,0)),""))</f>
        <v/>
      </c>
      <c r="L29" s="297" t="str" cm="1">
        <f t="array" aca="1" ref="L29" ca="1">IF(C29="*","",IFERROR(INDEX(AGR!$R$52:$AC$73,MATCH($C29,AGR!$B$52:$B$73,0),MATCH('TS DMARK'!$H29&amp;'TS DMARK'!L$7,AGR!$R$46:$AC$46&amp;AGR!$R$49:$AC$49,0)),""))</f>
        <v/>
      </c>
      <c r="M29" s="297" cm="1">
        <f t="array" aca="1" ref="M29" ca="1">IF(D29="*","",IFERROR(INDEX(AGR!$R$52:$AC$73,MATCH($C29,AGR!$B$52:$B$73,0),MATCH('TS DMARK'!$H29&amp;'TS DMARK'!M$7,AGR!$R$46:$AC$46&amp;AGR!$R$49:$AC$49,0)),""))</f>
        <v>1</v>
      </c>
      <c r="N29" s="297" t="str" cm="1">
        <f t="array" aca="1" ref="N29" ca="1">IF(E29="*","",IFERROR(INDEX(AGR!$R$52:$AC$73,MATCH($C29,AGR!$B$52:$B$73,0),MATCH('TS DMARK'!$H29&amp;'TS DMARK'!N$7,AGR!$R$46:$AC$46&amp;AGR!$R$49:$AC$49,0)),""))</f>
        <v/>
      </c>
      <c r="O29" s="297" t="str" cm="1">
        <f t="array" aca="1" ref="O29" ca="1">IF(F29="*","",IFERROR(INDEX(AGR!$R$52:$AC$73,MATCH($C29,AGR!$B$52:$B$73,0),MATCH('TS DMARK'!$H29&amp;'TS DMARK'!O$7,AGR!$R$46:$AC$46&amp;AGR!$R$49:$AC$49,0)),""))</f>
        <v/>
      </c>
      <c r="P29" s="297" t="str" cm="1">
        <f t="array" aca="1" ref="P29" ca="1">IF(G29="*","",IFERROR(INDEX(AGR!$R$52:$AC$73,MATCH($C29,AGR!$B$52:$B$73,0),MATCH('TS DMARK'!$H29&amp;'TS DMARK'!P$7,AGR!$R$46:$AC$46&amp;AGR!$R$49:$AC$49,0)),""))</f>
        <v/>
      </c>
      <c r="Q29" s="297" t="str" cm="1">
        <f t="array" aca="1" ref="Q29" ca="1">IF(H29="*","",IFERROR(INDEX(AGR!$R$52:$AC$73,MATCH($C29,AGR!$B$52:$B$73,0),MATCH('TS DMARK'!$H29&amp;'TS DMARK'!Q$7,AGR!$R$46:$AC$46&amp;AGR!$R$49:$AC$49,0)),""))</f>
        <v/>
      </c>
      <c r="R29" s="297" t="str" cm="1">
        <f t="array" aca="1" ref="R29" ca="1">IF(I29="*","",IFERROR(INDEX(AGR!$R$52:$AC$73,MATCH($C29,AGR!$B$52:$B$73,0),MATCH('TS DMARK'!$H29&amp;'TS DMARK'!R$7,AGR!$R$46:$AC$46&amp;AGR!$R$49:$AC$49,0)),""))</f>
        <v/>
      </c>
      <c r="S29" s="297" t="str" cm="1">
        <f t="array" aca="1" ref="S29" ca="1">IF(J29="*","",IFERROR(INDEX(AGR!$R$52:$AC$73,MATCH($C29,AGR!$B$52:$B$73,0),MATCH('TS DMARK'!$H29&amp;'TS DMARK'!S$7,AGR!$R$46:$AC$46&amp;AGR!$R$49:$AC$49,0)),""))</f>
        <v/>
      </c>
      <c r="T29" s="297" t="str" cm="1">
        <f t="array" aca="1" ref="T29" ca="1">IF(K29="*","",IFERROR(INDEX(AGR!$R$52:$AC$73,MATCH($C29,AGR!$B$52:$B$73,0),MATCH('TS DMARK'!$H29&amp;'TS DMARK'!T$7,AGR!$R$46:$AC$46&amp;AGR!$R$49:$AC$49,0)),""))</f>
        <v/>
      </c>
      <c r="U29" s="297" t="str" cm="1">
        <f t="array" aca="1" ref="U29" ca="1">IF(L29="*","",IFERROR(INDEX(AGR!$R$52:$AC$73,MATCH($C29,AGR!$B$52:$B$73,0),MATCH('TS DMARK'!$H29&amp;'TS DMARK'!U$7,AGR!$R$46:$AC$46&amp;AGR!$R$49:$AC$49,0)),""))</f>
        <v/>
      </c>
      <c r="V29" s="297" t="str" cm="1">
        <f t="array" aca="1" ref="V29" ca="1">IF(M29="*","",IFERROR(INDEX(AGR!$R$52:$AC$73,MATCH($C29,AGR!$B$52:$B$73,0),MATCH('TS DMARK'!$H29&amp;'TS DMARK'!V$7,AGR!$R$46:$AC$46&amp;AGR!$R$49:$AC$49,0)),""))</f>
        <v/>
      </c>
      <c r="W29" s="297" t="str" cm="1">
        <f t="array" aca="1" ref="W29" ca="1">IF(N29="*","",IFERROR(INDEX(AGR!$R$52:$AC$73,MATCH($C29,AGR!$B$52:$B$73,0),MATCH('TS DMARK'!$H29&amp;'TS DMARK'!W$7,AGR!$R$46:$AC$46&amp;AGR!$R$49:$AC$49,0)),""))</f>
        <v/>
      </c>
      <c r="X29" s="297" t="str" cm="1">
        <f t="array" aca="1" ref="X29" ca="1">IF(O29="*","",IFERROR(INDEX(AGR!$R$52:$AC$73,MATCH($C29,AGR!$B$52:$B$73,0),MATCH('TS DMARK'!$H29&amp;'TS DMARK'!X$7,AGR!$R$46:$AC$46&amp;AGR!$R$49:$AC$49,0)),""))</f>
        <v/>
      </c>
      <c r="Y29" s="297" t="str" cm="1">
        <f t="array" aca="1" ref="Y29" ca="1">IF(P29="*","",IFERROR(INDEX(AGR!$R$52:$AC$73,MATCH($C29,AGR!$B$52:$B$73,0),MATCH('TS DMARK'!$H29&amp;'TS DMARK'!Y$7,AGR!$R$46:$AC$46&amp;AGR!$R$49:$AC$49,0)),""))</f>
        <v/>
      </c>
      <c r="Z29" s="297" t="str" cm="1">
        <f t="array" aca="1" ref="Z29" ca="1">IF(Q29="*","",IFERROR(INDEX(AGR!$R$52:$AC$73,MATCH($C29,AGR!$B$52:$B$73,0),MATCH('TS DMARK'!$H29&amp;'TS DMARK'!Z$7,AGR!$R$46:$AC$46&amp;AGR!$R$49:$AC$49,0)),""))</f>
        <v/>
      </c>
      <c r="AA29" s="297" t="str" cm="1">
        <f t="array" aca="1" ref="AA29" ca="1">IF(R29="*","",IFERROR(INDEX(AGR!$R$52:$AC$73,MATCH($C29,AGR!$B$52:$B$73,0),MATCH('TS DMARK'!$H29&amp;'TS DMARK'!AA$7,AGR!$R$46:$AC$46&amp;AGR!$R$49:$AC$49,0)),""))</f>
        <v/>
      </c>
      <c r="AB29" s="297" cm="1">
        <f t="array" aca="1" ref="AB29" ca="1">IF(S29="*","",IFERROR(INDEX(AGR!$R$52:$AC$73,MATCH($C29,AGR!$B$52:$B$73,0),MATCH('TS DMARK'!$H29&amp;'TS DMARK'!AB$7,AGR!$R$46:$AC$46&amp;AGR!$R$49:$AC$49,0)),""))</f>
        <v>1</v>
      </c>
      <c r="AC29" s="297" t="str" cm="1">
        <f t="array" aca="1" ref="AC29" ca="1">IF(T29="*","",IFERROR(INDEX(AGR!$R$52:$AC$73,MATCH($C29,AGR!$B$52:$B$73,0),MATCH('TS DMARK'!$H29&amp;'TS DMARK'!AC$7,AGR!$R$46:$AC$46&amp;AGR!$R$49:$AC$49,0)),""))</f>
        <v/>
      </c>
      <c r="AD29" s="297" t="str" cm="1">
        <f t="array" aca="1" ref="AD29" ca="1">IF(U29="*","",IFERROR(INDEX(AGR!$R$52:$AC$73,MATCH($C29,AGR!$B$52:$B$73,0),MATCH('TS DMARK'!$H29&amp;'TS DMARK'!AD$7,AGR!$R$46:$AC$46&amp;AGR!$R$49:$AC$49,0)),""))</f>
        <v/>
      </c>
      <c r="AE29" s="297" t="str" cm="1">
        <f t="array" aca="1" ref="AE29" ca="1">IF(V29="*","",IFERROR(INDEX(AGR!$R$52:$AC$73,MATCH($C29,AGR!$B$52:$B$73,0),MATCH('TS DMARK'!$H29&amp;'TS DMARK'!AE$7,AGR!$R$46:$AC$46&amp;AGR!$R$49:$AC$49,0)),""))</f>
        <v/>
      </c>
      <c r="AF29" s="297" t="str" cm="1">
        <f t="array" aca="1" ref="AF29" ca="1">IF(W29="*","",IFERROR(INDEX(AGR!$R$52:$AC$73,MATCH($C29,AGR!$B$52:$B$73,0),MATCH('TS DMARK'!$H29&amp;'TS DMARK'!AF$7,AGR!$R$46:$AC$46&amp;AGR!$R$49:$AC$49,0)),""))</f>
        <v/>
      </c>
      <c r="AG29" s="297" t="str" cm="1">
        <f t="array" aca="1" ref="AG29" ca="1">IF(X29="*","",IFERROR(INDEX(AGR!$R$52:$AC$73,MATCH($C29,AGR!$B$52:$B$73,0),MATCH('TS DMARK'!$H29&amp;'TS DMARK'!AG$7,AGR!$R$46:$AC$46&amp;AGR!$R$49:$AC$49,0)),""))</f>
        <v/>
      </c>
      <c r="AH29" s="297" t="str" cm="1">
        <f t="array" aca="1" ref="AH29" ca="1">IF(Y29="*","",IFERROR(INDEX(AGR!$R$52:$AC$73,MATCH($C29,AGR!$B$52:$B$73,0),MATCH('TS DMARK'!$H29&amp;'TS DMARK'!AH$7,AGR!$R$46:$AC$46&amp;AGR!$R$49:$AC$49,0)),""))</f>
        <v/>
      </c>
      <c r="AI29" s="297" t="str" cm="1">
        <f t="array" aca="1" ref="AI29" ca="1">IF(Z29="*","",IFERROR(INDEX(AGR!$R$52:$AC$73,MATCH($C29,AGR!$B$52:$B$73,0),MATCH('TS DMARK'!$H29&amp;'TS DMARK'!AI$7,AGR!$R$46:$AC$46&amp;AGR!$R$49:$AC$49,0)),""))</f>
        <v/>
      </c>
      <c r="AJ29" s="297" t="str" cm="1">
        <f t="array" aca="1" ref="AJ29" ca="1">IF(AA29="*","",IFERROR(INDEX(AGR!$R$52:$AC$73,MATCH($C29,AGR!$B$52:$B$73,0),MATCH('TS DMARK'!$H29&amp;'TS DMARK'!AJ$7,AGR!$R$46:$AC$46&amp;AGR!$R$49:$AC$49,0)),""))</f>
        <v/>
      </c>
      <c r="AK29" s="297" t="str" cm="1">
        <f t="array" aca="1" ref="AK29" ca="1">IF(AB29="*","",IFERROR(INDEX(AGR!$R$52:$AC$73,MATCH($C29,AGR!$B$52:$B$73,0),MATCH('TS DMARK'!$H29&amp;'TS DMARK'!AK$7,AGR!$R$46:$AC$46&amp;AGR!$R$49:$AC$49,0)),""))</f>
        <v/>
      </c>
      <c r="AL29" s="297" t="str" cm="1">
        <f t="array" aca="1" ref="AL29" ca="1">IF(AC29="*","",IFERROR(INDEX(AGR!$R$52:$AC$73,MATCH($C29,AGR!$B$52:$B$73,0),MATCH('TS DMARK'!$H29&amp;'TS DMARK'!AL$7,AGR!$R$46:$AC$46&amp;AGR!$R$49:$AC$49,0)),""))</f>
        <v/>
      </c>
      <c r="AM29" s="297" t="str" cm="1">
        <f t="array" aca="1" ref="AM29" ca="1">IF(AD29="*","",IFERROR(INDEX(AGR!$R$52:$AC$73,MATCH($C29,AGR!$B$52:$B$73,0),MATCH('TS DMARK'!$H29&amp;'TS DMARK'!AM$7,AGR!$R$46:$AC$46&amp;AGR!$R$49:$AC$49,0)),""))</f>
        <v/>
      </c>
      <c r="AN29" s="297" cm="1">
        <f t="array" aca="1" ref="AN29" ca="1">IF(AE29="*","",IFERROR(INDEX(AGR!$R$52:$AC$73,MATCH($C29,AGR!$B$52:$B$73,0),MATCH('TS DMARK'!$H29&amp;'TS DMARK'!AN$7,AGR!$R$46:$AC$46&amp;AGR!$R$49:$AC$49,0)),""))</f>
        <v>1</v>
      </c>
      <c r="AO29" s="297" t="str" cm="1">
        <f t="array" aca="1" ref="AO29" ca="1">IF(AF29="*","",IFERROR(INDEX(AGR!$R$52:$AC$73,MATCH($C29,AGR!$B$52:$B$73,0),MATCH('TS DMARK'!$H29&amp;'TS DMARK'!AO$7,AGR!$R$46:$AC$46&amp;AGR!$R$49:$AC$49,0)),""))</f>
        <v/>
      </c>
      <c r="AP29" s="297" cm="1">
        <f t="array" aca="1" ref="AP29" ca="1">IF(AG29="*","",IFERROR(INDEX(AGR!$R$52:$AC$73,MATCH($C29,AGR!$B$52:$B$73,0),MATCH('TS DMARK'!$H29&amp;'TS DMARK'!AP$7,AGR!$R$46:$AC$46&amp;AGR!$R$49:$AC$49,0)),""))</f>
        <v>1</v>
      </c>
      <c r="AQ29" s="238">
        <f>IF(AR28=AGR!$AD$74,AQ28+1,AQ28)</f>
        <v>1</v>
      </c>
      <c r="AR29" s="238">
        <f t="shared" si="4"/>
        <v>17</v>
      </c>
    </row>
    <row r="30" spans="1:44">
      <c r="A30" s="238" t="str">
        <f ca="1">IF(LEFT(OFFSET(AGR!$A$51,AR30,0),2)="\I","*","")</f>
        <v/>
      </c>
      <c r="B30" s="243" t="str">
        <f t="shared" ca="1" si="0"/>
        <v>FLO_MARK</v>
      </c>
      <c r="C30" s="243" t="str">
        <f ca="1">IF($A30="*","",OFFSET(AGR!$B$51,AR30,0))</f>
        <v>AIOGS-E</v>
      </c>
      <c r="D30" s="298" t="str">
        <f t="shared" ca="1" si="3"/>
        <v>AI</v>
      </c>
      <c r="E30" s="298" t="str">
        <f t="shared" ca="1" si="5"/>
        <v>-</v>
      </c>
      <c r="F30" s="298" t="str">
        <f t="shared" ca="1" si="5"/>
        <v>-</v>
      </c>
      <c r="G30" s="298" t="str">
        <f t="shared" ca="1" si="6"/>
        <v>-</v>
      </c>
      <c r="H30" s="298" t="str">
        <f t="shared" ca="1" si="6"/>
        <v>UP</v>
      </c>
      <c r="I30" s="298">
        <f t="shared" ca="1" si="6"/>
        <v>3</v>
      </c>
      <c r="J30" s="297" cm="1">
        <f t="array" aca="1" ref="J30" ca="1">IF(A30="*","",IFERROR(INDEX(AGR!$R$52:$AC$73,MATCH($C30,AGR!$B$52:$B$73,0),MATCH('TS DMARK'!$H30&amp;'TS DMARK'!J$7,AGR!$R$46:$AC$46&amp;AGR!$R$49:$AC$49,0)),""))</f>
        <v>0</v>
      </c>
      <c r="K30" s="297" t="str" cm="1">
        <f t="array" aca="1" ref="K30" ca="1">IF(B30="*","",IFERROR(INDEX(AGR!$R$52:$AC$73,MATCH($C30,AGR!$B$52:$B$73,0),MATCH('TS DMARK'!$H30&amp;'TS DMARK'!K$7,AGR!$R$46:$AC$46&amp;AGR!$R$49:$AC$49,0)),""))</f>
        <v/>
      </c>
      <c r="L30" s="297" t="str" cm="1">
        <f t="array" aca="1" ref="L30" ca="1">IF(C30="*","",IFERROR(INDEX(AGR!$R$52:$AC$73,MATCH($C30,AGR!$B$52:$B$73,0),MATCH('TS DMARK'!$H30&amp;'TS DMARK'!L$7,AGR!$R$46:$AC$46&amp;AGR!$R$49:$AC$49,0)),""))</f>
        <v/>
      </c>
      <c r="M30" s="297" cm="1">
        <f t="array" aca="1" ref="M30" ca="1">IF(D30="*","",IFERROR(INDEX(AGR!$R$52:$AC$73,MATCH($C30,AGR!$B$52:$B$73,0),MATCH('TS DMARK'!$H30&amp;'TS DMARK'!M$7,AGR!$R$46:$AC$46&amp;AGR!$R$49:$AC$49,0)),""))</f>
        <v>0</v>
      </c>
      <c r="N30" s="297" t="str" cm="1">
        <f t="array" aca="1" ref="N30" ca="1">IF(E30="*","",IFERROR(INDEX(AGR!$R$52:$AC$73,MATCH($C30,AGR!$B$52:$B$73,0),MATCH('TS DMARK'!$H30&amp;'TS DMARK'!N$7,AGR!$R$46:$AC$46&amp;AGR!$R$49:$AC$49,0)),""))</f>
        <v/>
      </c>
      <c r="O30" s="297" t="str" cm="1">
        <f t="array" aca="1" ref="O30" ca="1">IF(F30="*","",IFERROR(INDEX(AGR!$R$52:$AC$73,MATCH($C30,AGR!$B$52:$B$73,0),MATCH('TS DMARK'!$H30&amp;'TS DMARK'!O$7,AGR!$R$46:$AC$46&amp;AGR!$R$49:$AC$49,0)),""))</f>
        <v/>
      </c>
      <c r="P30" s="297" t="str" cm="1">
        <f t="array" aca="1" ref="P30" ca="1">IF(G30="*","",IFERROR(INDEX(AGR!$R$52:$AC$73,MATCH($C30,AGR!$B$52:$B$73,0),MATCH('TS DMARK'!$H30&amp;'TS DMARK'!P$7,AGR!$R$46:$AC$46&amp;AGR!$R$49:$AC$49,0)),""))</f>
        <v/>
      </c>
      <c r="Q30" s="297" t="str" cm="1">
        <f t="array" aca="1" ref="Q30" ca="1">IF(H30="*","",IFERROR(INDEX(AGR!$R$52:$AC$73,MATCH($C30,AGR!$B$52:$B$73,0),MATCH('TS DMARK'!$H30&amp;'TS DMARK'!Q$7,AGR!$R$46:$AC$46&amp;AGR!$R$49:$AC$49,0)),""))</f>
        <v/>
      </c>
      <c r="R30" s="297" t="str" cm="1">
        <f t="array" aca="1" ref="R30" ca="1">IF(I30="*","",IFERROR(INDEX(AGR!$R$52:$AC$73,MATCH($C30,AGR!$B$52:$B$73,0),MATCH('TS DMARK'!$H30&amp;'TS DMARK'!R$7,AGR!$R$46:$AC$46&amp;AGR!$R$49:$AC$49,0)),""))</f>
        <v/>
      </c>
      <c r="S30" s="297" t="str" cm="1">
        <f t="array" aca="1" ref="S30" ca="1">IF(J30="*","",IFERROR(INDEX(AGR!$R$52:$AC$73,MATCH($C30,AGR!$B$52:$B$73,0),MATCH('TS DMARK'!$H30&amp;'TS DMARK'!S$7,AGR!$R$46:$AC$46&amp;AGR!$R$49:$AC$49,0)),""))</f>
        <v/>
      </c>
      <c r="T30" s="297" t="str" cm="1">
        <f t="array" aca="1" ref="T30" ca="1">IF(K30="*","",IFERROR(INDEX(AGR!$R$52:$AC$73,MATCH($C30,AGR!$B$52:$B$73,0),MATCH('TS DMARK'!$H30&amp;'TS DMARK'!T$7,AGR!$R$46:$AC$46&amp;AGR!$R$49:$AC$49,0)),""))</f>
        <v/>
      </c>
      <c r="U30" s="297" t="str" cm="1">
        <f t="array" aca="1" ref="U30" ca="1">IF(L30="*","",IFERROR(INDEX(AGR!$R$52:$AC$73,MATCH($C30,AGR!$B$52:$B$73,0),MATCH('TS DMARK'!$H30&amp;'TS DMARK'!U$7,AGR!$R$46:$AC$46&amp;AGR!$R$49:$AC$49,0)),""))</f>
        <v/>
      </c>
      <c r="V30" s="297" t="str" cm="1">
        <f t="array" aca="1" ref="V30" ca="1">IF(M30="*","",IFERROR(INDEX(AGR!$R$52:$AC$73,MATCH($C30,AGR!$B$52:$B$73,0),MATCH('TS DMARK'!$H30&amp;'TS DMARK'!V$7,AGR!$R$46:$AC$46&amp;AGR!$R$49:$AC$49,0)),""))</f>
        <v/>
      </c>
      <c r="W30" s="297" t="str" cm="1">
        <f t="array" aca="1" ref="W30" ca="1">IF(N30="*","",IFERROR(INDEX(AGR!$R$52:$AC$73,MATCH($C30,AGR!$B$52:$B$73,0),MATCH('TS DMARK'!$H30&amp;'TS DMARK'!W$7,AGR!$R$46:$AC$46&amp;AGR!$R$49:$AC$49,0)),""))</f>
        <v/>
      </c>
      <c r="X30" s="297" t="str" cm="1">
        <f t="array" aca="1" ref="X30" ca="1">IF(O30="*","",IFERROR(INDEX(AGR!$R$52:$AC$73,MATCH($C30,AGR!$B$52:$B$73,0),MATCH('TS DMARK'!$H30&amp;'TS DMARK'!X$7,AGR!$R$46:$AC$46&amp;AGR!$R$49:$AC$49,0)),""))</f>
        <v/>
      </c>
      <c r="Y30" s="297" t="str" cm="1">
        <f t="array" aca="1" ref="Y30" ca="1">IF(P30="*","",IFERROR(INDEX(AGR!$R$52:$AC$73,MATCH($C30,AGR!$B$52:$B$73,0),MATCH('TS DMARK'!$H30&amp;'TS DMARK'!Y$7,AGR!$R$46:$AC$46&amp;AGR!$R$49:$AC$49,0)),""))</f>
        <v/>
      </c>
      <c r="Z30" s="297" t="str" cm="1">
        <f t="array" aca="1" ref="Z30" ca="1">IF(Q30="*","",IFERROR(INDEX(AGR!$R$52:$AC$73,MATCH($C30,AGR!$B$52:$B$73,0),MATCH('TS DMARK'!$H30&amp;'TS DMARK'!Z$7,AGR!$R$46:$AC$46&amp;AGR!$R$49:$AC$49,0)),""))</f>
        <v/>
      </c>
      <c r="AA30" s="297" t="str" cm="1">
        <f t="array" aca="1" ref="AA30" ca="1">IF(R30="*","",IFERROR(INDEX(AGR!$R$52:$AC$73,MATCH($C30,AGR!$B$52:$B$73,0),MATCH('TS DMARK'!$H30&amp;'TS DMARK'!AA$7,AGR!$R$46:$AC$46&amp;AGR!$R$49:$AC$49,0)),""))</f>
        <v/>
      </c>
      <c r="AB30" s="297" cm="1">
        <f t="array" aca="1" ref="AB30" ca="1">IF(S30="*","",IFERROR(INDEX(AGR!$R$52:$AC$73,MATCH($C30,AGR!$B$52:$B$73,0),MATCH('TS DMARK'!$H30&amp;'TS DMARK'!AB$7,AGR!$R$46:$AC$46&amp;AGR!$R$49:$AC$49,0)),""))</f>
        <v>0</v>
      </c>
      <c r="AC30" s="297" t="str" cm="1">
        <f t="array" aca="1" ref="AC30" ca="1">IF(T30="*","",IFERROR(INDEX(AGR!$R$52:$AC$73,MATCH($C30,AGR!$B$52:$B$73,0),MATCH('TS DMARK'!$H30&amp;'TS DMARK'!AC$7,AGR!$R$46:$AC$46&amp;AGR!$R$49:$AC$49,0)),""))</f>
        <v/>
      </c>
      <c r="AD30" s="297" t="str" cm="1">
        <f t="array" aca="1" ref="AD30" ca="1">IF(U30="*","",IFERROR(INDEX(AGR!$R$52:$AC$73,MATCH($C30,AGR!$B$52:$B$73,0),MATCH('TS DMARK'!$H30&amp;'TS DMARK'!AD$7,AGR!$R$46:$AC$46&amp;AGR!$R$49:$AC$49,0)),""))</f>
        <v/>
      </c>
      <c r="AE30" s="297" t="str" cm="1">
        <f t="array" aca="1" ref="AE30" ca="1">IF(V30="*","",IFERROR(INDEX(AGR!$R$52:$AC$73,MATCH($C30,AGR!$B$52:$B$73,0),MATCH('TS DMARK'!$H30&amp;'TS DMARK'!AE$7,AGR!$R$46:$AC$46&amp;AGR!$R$49:$AC$49,0)),""))</f>
        <v/>
      </c>
      <c r="AF30" s="297" t="str" cm="1">
        <f t="array" aca="1" ref="AF30" ca="1">IF(W30="*","",IFERROR(INDEX(AGR!$R$52:$AC$73,MATCH($C30,AGR!$B$52:$B$73,0),MATCH('TS DMARK'!$H30&amp;'TS DMARK'!AF$7,AGR!$R$46:$AC$46&amp;AGR!$R$49:$AC$49,0)),""))</f>
        <v/>
      </c>
      <c r="AG30" s="297" t="str" cm="1">
        <f t="array" aca="1" ref="AG30" ca="1">IF(X30="*","",IFERROR(INDEX(AGR!$R$52:$AC$73,MATCH($C30,AGR!$B$52:$B$73,0),MATCH('TS DMARK'!$H30&amp;'TS DMARK'!AG$7,AGR!$R$46:$AC$46&amp;AGR!$R$49:$AC$49,0)),""))</f>
        <v/>
      </c>
      <c r="AH30" s="297" t="str" cm="1">
        <f t="array" aca="1" ref="AH30" ca="1">IF(Y30="*","",IFERROR(INDEX(AGR!$R$52:$AC$73,MATCH($C30,AGR!$B$52:$B$73,0),MATCH('TS DMARK'!$H30&amp;'TS DMARK'!AH$7,AGR!$R$46:$AC$46&amp;AGR!$R$49:$AC$49,0)),""))</f>
        <v/>
      </c>
      <c r="AI30" s="297" t="str" cm="1">
        <f t="array" aca="1" ref="AI30" ca="1">IF(Z30="*","",IFERROR(INDEX(AGR!$R$52:$AC$73,MATCH($C30,AGR!$B$52:$B$73,0),MATCH('TS DMARK'!$H30&amp;'TS DMARK'!AI$7,AGR!$R$46:$AC$46&amp;AGR!$R$49:$AC$49,0)),""))</f>
        <v/>
      </c>
      <c r="AJ30" s="297" t="str" cm="1">
        <f t="array" aca="1" ref="AJ30" ca="1">IF(AA30="*","",IFERROR(INDEX(AGR!$R$52:$AC$73,MATCH($C30,AGR!$B$52:$B$73,0),MATCH('TS DMARK'!$H30&amp;'TS DMARK'!AJ$7,AGR!$R$46:$AC$46&amp;AGR!$R$49:$AC$49,0)),""))</f>
        <v/>
      </c>
      <c r="AK30" s="297" t="str" cm="1">
        <f t="array" aca="1" ref="AK30" ca="1">IF(AB30="*","",IFERROR(INDEX(AGR!$R$52:$AC$73,MATCH($C30,AGR!$B$52:$B$73,0),MATCH('TS DMARK'!$H30&amp;'TS DMARK'!AK$7,AGR!$R$46:$AC$46&amp;AGR!$R$49:$AC$49,0)),""))</f>
        <v/>
      </c>
      <c r="AL30" s="297" t="str" cm="1">
        <f t="array" aca="1" ref="AL30" ca="1">IF(AC30="*","",IFERROR(INDEX(AGR!$R$52:$AC$73,MATCH($C30,AGR!$B$52:$B$73,0),MATCH('TS DMARK'!$H30&amp;'TS DMARK'!AL$7,AGR!$R$46:$AC$46&amp;AGR!$R$49:$AC$49,0)),""))</f>
        <v/>
      </c>
      <c r="AM30" s="297" t="str" cm="1">
        <f t="array" aca="1" ref="AM30" ca="1">IF(AD30="*","",IFERROR(INDEX(AGR!$R$52:$AC$73,MATCH($C30,AGR!$B$52:$B$73,0),MATCH('TS DMARK'!$H30&amp;'TS DMARK'!AM$7,AGR!$R$46:$AC$46&amp;AGR!$R$49:$AC$49,0)),""))</f>
        <v/>
      </c>
      <c r="AN30" s="297" cm="1">
        <f t="array" aca="1" ref="AN30" ca="1">IF(AE30="*","",IFERROR(INDEX(AGR!$R$52:$AC$73,MATCH($C30,AGR!$B$52:$B$73,0),MATCH('TS DMARK'!$H30&amp;'TS DMARK'!AN$7,AGR!$R$46:$AC$46&amp;AGR!$R$49:$AC$49,0)),""))</f>
        <v>0</v>
      </c>
      <c r="AO30" s="297" t="str" cm="1">
        <f t="array" aca="1" ref="AO30" ca="1">IF(AF30="*","",IFERROR(INDEX(AGR!$R$52:$AC$73,MATCH($C30,AGR!$B$52:$B$73,0),MATCH('TS DMARK'!$H30&amp;'TS DMARK'!AO$7,AGR!$R$46:$AC$46&amp;AGR!$R$49:$AC$49,0)),""))</f>
        <v/>
      </c>
      <c r="AP30" s="297" cm="1">
        <f t="array" aca="1" ref="AP30" ca="1">IF(AG30="*","",IFERROR(INDEX(AGR!$R$52:$AC$73,MATCH($C30,AGR!$B$52:$B$73,0),MATCH('TS DMARK'!$H30&amp;'TS DMARK'!AP$7,AGR!$R$46:$AC$46&amp;AGR!$R$49:$AC$49,0)),""))</f>
        <v>1</v>
      </c>
      <c r="AQ30" s="238">
        <f>IF(AR29=AGR!$AD$74,AQ29+1,AQ29)</f>
        <v>1</v>
      </c>
      <c r="AR30" s="238">
        <f t="shared" si="4"/>
        <v>18</v>
      </c>
    </row>
    <row r="31" spans="1:44">
      <c r="A31" s="238" t="str">
        <f ca="1">IF(LEFT(OFFSET(AGR!$A$51,AR31,0),2)="\I","*","")</f>
        <v>*</v>
      </c>
      <c r="B31" s="243" t="str">
        <f t="shared" ca="1" si="0"/>
        <v/>
      </c>
      <c r="C31" s="243" t="str">
        <f ca="1">IF($A31="*","",OFFSET(AGR!$B$51,AR31,0))</f>
        <v/>
      </c>
      <c r="D31" s="298" t="str">
        <f t="shared" ca="1" si="3"/>
        <v/>
      </c>
      <c r="E31" s="298" t="str">
        <f t="shared" ca="1" si="5"/>
        <v/>
      </c>
      <c r="F31" s="298" t="str">
        <f t="shared" ca="1" si="5"/>
        <v/>
      </c>
      <c r="G31" s="298" t="str">
        <f t="shared" ca="1" si="6"/>
        <v/>
      </c>
      <c r="H31" s="298" t="str">
        <f t="shared" ca="1" si="6"/>
        <v/>
      </c>
      <c r="I31" s="298" t="str">
        <f t="shared" ca="1" si="6"/>
        <v/>
      </c>
      <c r="J31" s="297" t="str" cm="1">
        <f t="array" aca="1" ref="J31" ca="1">IF(A31="*","",IFERROR(INDEX(AGR!$R$52:$AC$73,MATCH($C31,AGR!$B$52:$B$73,0),MATCH('TS DMARK'!$H31&amp;'TS DMARK'!J$7,AGR!$R$46:$AC$46&amp;AGR!$R$49:$AC$49,0)),""))</f>
        <v/>
      </c>
      <c r="K31" s="297" t="str" cm="1">
        <f t="array" aca="1" ref="K31" ca="1">IF(B31="*","",IFERROR(INDEX(AGR!$R$52:$AC$73,MATCH($C31,AGR!$B$52:$B$73,0),MATCH('TS DMARK'!$H31&amp;'TS DMARK'!K$7,AGR!$R$46:$AC$46&amp;AGR!$R$49:$AC$49,0)),""))</f>
        <v/>
      </c>
      <c r="L31" s="297" t="str" cm="1">
        <f t="array" aca="1" ref="L31" ca="1">IF(C31="*","",IFERROR(INDEX(AGR!$R$52:$AC$73,MATCH($C31,AGR!$B$52:$B$73,0),MATCH('TS DMARK'!$H31&amp;'TS DMARK'!L$7,AGR!$R$46:$AC$46&amp;AGR!$R$49:$AC$49,0)),""))</f>
        <v/>
      </c>
      <c r="M31" s="297" t="str" cm="1">
        <f t="array" aca="1" ref="M31" ca="1">IF(D31="*","",IFERROR(INDEX(AGR!$R$52:$AC$73,MATCH($C31,AGR!$B$52:$B$73,0),MATCH('TS DMARK'!$H31&amp;'TS DMARK'!M$7,AGR!$R$46:$AC$46&amp;AGR!$R$49:$AC$49,0)),""))</f>
        <v/>
      </c>
      <c r="N31" s="297" t="str" cm="1">
        <f t="array" aca="1" ref="N31" ca="1">IF(E31="*","",IFERROR(INDEX(AGR!$R$52:$AC$73,MATCH($C31,AGR!$B$52:$B$73,0),MATCH('TS DMARK'!$H31&amp;'TS DMARK'!N$7,AGR!$R$46:$AC$46&amp;AGR!$R$49:$AC$49,0)),""))</f>
        <v/>
      </c>
      <c r="O31" s="297" t="str" cm="1">
        <f t="array" aca="1" ref="O31" ca="1">IF(F31="*","",IFERROR(INDEX(AGR!$R$52:$AC$73,MATCH($C31,AGR!$B$52:$B$73,0),MATCH('TS DMARK'!$H31&amp;'TS DMARK'!O$7,AGR!$R$46:$AC$46&amp;AGR!$R$49:$AC$49,0)),""))</f>
        <v/>
      </c>
      <c r="P31" s="297" t="str" cm="1">
        <f t="array" aca="1" ref="P31" ca="1">IF(G31="*","",IFERROR(INDEX(AGR!$R$52:$AC$73,MATCH($C31,AGR!$B$52:$B$73,0),MATCH('TS DMARK'!$H31&amp;'TS DMARK'!P$7,AGR!$R$46:$AC$46&amp;AGR!$R$49:$AC$49,0)),""))</f>
        <v/>
      </c>
      <c r="Q31" s="297" t="str" cm="1">
        <f t="array" aca="1" ref="Q31" ca="1">IF(H31="*","",IFERROR(INDEX(AGR!$R$52:$AC$73,MATCH($C31,AGR!$B$52:$B$73,0),MATCH('TS DMARK'!$H31&amp;'TS DMARK'!Q$7,AGR!$R$46:$AC$46&amp;AGR!$R$49:$AC$49,0)),""))</f>
        <v/>
      </c>
      <c r="R31" s="297" t="str" cm="1">
        <f t="array" aca="1" ref="R31" ca="1">IF(I31="*","",IFERROR(INDEX(AGR!$R$52:$AC$73,MATCH($C31,AGR!$B$52:$B$73,0),MATCH('TS DMARK'!$H31&amp;'TS DMARK'!R$7,AGR!$R$46:$AC$46&amp;AGR!$R$49:$AC$49,0)),""))</f>
        <v/>
      </c>
      <c r="S31" s="297" t="str" cm="1">
        <f t="array" aca="1" ref="S31" ca="1">IF(J31="*","",IFERROR(INDEX(AGR!$R$52:$AC$73,MATCH($C31,AGR!$B$52:$B$73,0),MATCH('TS DMARK'!$H31&amp;'TS DMARK'!S$7,AGR!$R$46:$AC$46&amp;AGR!$R$49:$AC$49,0)),""))</f>
        <v/>
      </c>
      <c r="T31" s="297" t="str" cm="1">
        <f t="array" aca="1" ref="T31" ca="1">IF(K31="*","",IFERROR(INDEX(AGR!$R$52:$AC$73,MATCH($C31,AGR!$B$52:$B$73,0),MATCH('TS DMARK'!$H31&amp;'TS DMARK'!T$7,AGR!$R$46:$AC$46&amp;AGR!$R$49:$AC$49,0)),""))</f>
        <v/>
      </c>
      <c r="U31" s="297" t="str" cm="1">
        <f t="array" aca="1" ref="U31" ca="1">IF(L31="*","",IFERROR(INDEX(AGR!$R$52:$AC$73,MATCH($C31,AGR!$B$52:$B$73,0),MATCH('TS DMARK'!$H31&amp;'TS DMARK'!U$7,AGR!$R$46:$AC$46&amp;AGR!$R$49:$AC$49,0)),""))</f>
        <v/>
      </c>
      <c r="V31" s="297" t="str" cm="1">
        <f t="array" aca="1" ref="V31" ca="1">IF(M31="*","",IFERROR(INDEX(AGR!$R$52:$AC$73,MATCH($C31,AGR!$B$52:$B$73,0),MATCH('TS DMARK'!$H31&amp;'TS DMARK'!V$7,AGR!$R$46:$AC$46&amp;AGR!$R$49:$AC$49,0)),""))</f>
        <v/>
      </c>
      <c r="W31" s="297" t="str" cm="1">
        <f t="array" aca="1" ref="W31" ca="1">IF(N31="*","",IFERROR(INDEX(AGR!$R$52:$AC$73,MATCH($C31,AGR!$B$52:$B$73,0),MATCH('TS DMARK'!$H31&amp;'TS DMARK'!W$7,AGR!$R$46:$AC$46&amp;AGR!$R$49:$AC$49,0)),""))</f>
        <v/>
      </c>
      <c r="X31" s="297" t="str" cm="1">
        <f t="array" aca="1" ref="X31" ca="1">IF(O31="*","",IFERROR(INDEX(AGR!$R$52:$AC$73,MATCH($C31,AGR!$B$52:$B$73,0),MATCH('TS DMARK'!$H31&amp;'TS DMARK'!X$7,AGR!$R$46:$AC$46&amp;AGR!$R$49:$AC$49,0)),""))</f>
        <v/>
      </c>
      <c r="Y31" s="297" t="str" cm="1">
        <f t="array" aca="1" ref="Y31" ca="1">IF(P31="*","",IFERROR(INDEX(AGR!$R$52:$AC$73,MATCH($C31,AGR!$B$52:$B$73,0),MATCH('TS DMARK'!$H31&amp;'TS DMARK'!Y$7,AGR!$R$46:$AC$46&amp;AGR!$R$49:$AC$49,0)),""))</f>
        <v/>
      </c>
      <c r="Z31" s="297" t="str" cm="1">
        <f t="array" aca="1" ref="Z31" ca="1">IF(Q31="*","",IFERROR(INDEX(AGR!$R$52:$AC$73,MATCH($C31,AGR!$B$52:$B$73,0),MATCH('TS DMARK'!$H31&amp;'TS DMARK'!Z$7,AGR!$R$46:$AC$46&amp;AGR!$R$49:$AC$49,0)),""))</f>
        <v/>
      </c>
      <c r="AA31" s="297" t="str" cm="1">
        <f t="array" aca="1" ref="AA31" ca="1">IF(R31="*","",IFERROR(INDEX(AGR!$R$52:$AC$73,MATCH($C31,AGR!$B$52:$B$73,0),MATCH('TS DMARK'!$H31&amp;'TS DMARK'!AA$7,AGR!$R$46:$AC$46&amp;AGR!$R$49:$AC$49,0)),""))</f>
        <v/>
      </c>
      <c r="AB31" s="297" t="str" cm="1">
        <f t="array" aca="1" ref="AB31" ca="1">IF(S31="*","",IFERROR(INDEX(AGR!$R$52:$AC$73,MATCH($C31,AGR!$B$52:$B$73,0),MATCH('TS DMARK'!$H31&amp;'TS DMARK'!AB$7,AGR!$R$46:$AC$46&amp;AGR!$R$49:$AC$49,0)),""))</f>
        <v/>
      </c>
      <c r="AC31" s="297" t="str" cm="1">
        <f t="array" aca="1" ref="AC31" ca="1">IF(T31="*","",IFERROR(INDEX(AGR!$R$52:$AC$73,MATCH($C31,AGR!$B$52:$B$73,0),MATCH('TS DMARK'!$H31&amp;'TS DMARK'!AC$7,AGR!$R$46:$AC$46&amp;AGR!$R$49:$AC$49,0)),""))</f>
        <v/>
      </c>
      <c r="AD31" s="297" t="str" cm="1">
        <f t="array" aca="1" ref="AD31" ca="1">IF(U31="*","",IFERROR(INDEX(AGR!$R$52:$AC$73,MATCH($C31,AGR!$B$52:$B$73,0),MATCH('TS DMARK'!$H31&amp;'TS DMARK'!AD$7,AGR!$R$46:$AC$46&amp;AGR!$R$49:$AC$49,0)),""))</f>
        <v/>
      </c>
      <c r="AE31" s="297" t="str" cm="1">
        <f t="array" aca="1" ref="AE31" ca="1">IF(V31="*","",IFERROR(INDEX(AGR!$R$52:$AC$73,MATCH($C31,AGR!$B$52:$B$73,0),MATCH('TS DMARK'!$H31&amp;'TS DMARK'!AE$7,AGR!$R$46:$AC$46&amp;AGR!$R$49:$AC$49,0)),""))</f>
        <v/>
      </c>
      <c r="AF31" s="297" t="str" cm="1">
        <f t="array" aca="1" ref="AF31" ca="1">IF(W31="*","",IFERROR(INDEX(AGR!$R$52:$AC$73,MATCH($C31,AGR!$B$52:$B$73,0),MATCH('TS DMARK'!$H31&amp;'TS DMARK'!AF$7,AGR!$R$46:$AC$46&amp;AGR!$R$49:$AC$49,0)),""))</f>
        <v/>
      </c>
      <c r="AG31" s="297" t="str" cm="1">
        <f t="array" aca="1" ref="AG31" ca="1">IF(X31="*","",IFERROR(INDEX(AGR!$R$52:$AC$73,MATCH($C31,AGR!$B$52:$B$73,0),MATCH('TS DMARK'!$H31&amp;'TS DMARK'!AG$7,AGR!$R$46:$AC$46&amp;AGR!$R$49:$AC$49,0)),""))</f>
        <v/>
      </c>
      <c r="AH31" s="297" t="str" cm="1">
        <f t="array" aca="1" ref="AH31" ca="1">IF(Y31="*","",IFERROR(INDEX(AGR!$R$52:$AC$73,MATCH($C31,AGR!$B$52:$B$73,0),MATCH('TS DMARK'!$H31&amp;'TS DMARK'!AH$7,AGR!$R$46:$AC$46&amp;AGR!$R$49:$AC$49,0)),""))</f>
        <v/>
      </c>
      <c r="AI31" s="297" t="str" cm="1">
        <f t="array" aca="1" ref="AI31" ca="1">IF(Z31="*","",IFERROR(INDEX(AGR!$R$52:$AC$73,MATCH($C31,AGR!$B$52:$B$73,0),MATCH('TS DMARK'!$H31&amp;'TS DMARK'!AI$7,AGR!$R$46:$AC$46&amp;AGR!$R$49:$AC$49,0)),""))</f>
        <v/>
      </c>
      <c r="AJ31" s="297" t="str" cm="1">
        <f t="array" aca="1" ref="AJ31" ca="1">IF(AA31="*","",IFERROR(INDEX(AGR!$R$52:$AC$73,MATCH($C31,AGR!$B$52:$B$73,0),MATCH('TS DMARK'!$H31&amp;'TS DMARK'!AJ$7,AGR!$R$46:$AC$46&amp;AGR!$R$49:$AC$49,0)),""))</f>
        <v/>
      </c>
      <c r="AK31" s="297" t="str" cm="1">
        <f t="array" aca="1" ref="AK31" ca="1">IF(AB31="*","",IFERROR(INDEX(AGR!$R$52:$AC$73,MATCH($C31,AGR!$B$52:$B$73,0),MATCH('TS DMARK'!$H31&amp;'TS DMARK'!AK$7,AGR!$R$46:$AC$46&amp;AGR!$R$49:$AC$49,0)),""))</f>
        <v/>
      </c>
      <c r="AL31" s="297" t="str" cm="1">
        <f t="array" aca="1" ref="AL31" ca="1">IF(AC31="*","",IFERROR(INDEX(AGR!$R$52:$AC$73,MATCH($C31,AGR!$B$52:$B$73,0),MATCH('TS DMARK'!$H31&amp;'TS DMARK'!AL$7,AGR!$R$46:$AC$46&amp;AGR!$R$49:$AC$49,0)),""))</f>
        <v/>
      </c>
      <c r="AM31" s="297" t="str" cm="1">
        <f t="array" aca="1" ref="AM31" ca="1">IF(AD31="*","",IFERROR(INDEX(AGR!$R$52:$AC$73,MATCH($C31,AGR!$B$52:$B$73,0),MATCH('TS DMARK'!$H31&amp;'TS DMARK'!AM$7,AGR!$R$46:$AC$46&amp;AGR!$R$49:$AC$49,0)),""))</f>
        <v/>
      </c>
      <c r="AN31" s="297" t="str" cm="1">
        <f t="array" aca="1" ref="AN31" ca="1">IF(AE31="*","",IFERROR(INDEX(AGR!$R$52:$AC$73,MATCH($C31,AGR!$B$52:$B$73,0),MATCH('TS DMARK'!$H31&amp;'TS DMARK'!AN$7,AGR!$R$46:$AC$46&amp;AGR!$R$49:$AC$49,0)),""))</f>
        <v/>
      </c>
      <c r="AO31" s="297" t="str" cm="1">
        <f t="array" aca="1" ref="AO31" ca="1">IF(AF31="*","",IFERROR(INDEX(AGR!$R$52:$AC$73,MATCH($C31,AGR!$B$52:$B$73,0),MATCH('TS DMARK'!$H31&amp;'TS DMARK'!AO$7,AGR!$R$46:$AC$46&amp;AGR!$R$49:$AC$49,0)),""))</f>
        <v/>
      </c>
      <c r="AP31" s="297" t="str" cm="1">
        <f t="array" aca="1" ref="AP31" ca="1">IF(AG31="*","",IFERROR(INDEX(AGR!$R$52:$AC$73,MATCH($C31,AGR!$B$52:$B$73,0),MATCH('TS DMARK'!$H31&amp;'TS DMARK'!AP$7,AGR!$R$46:$AC$46&amp;AGR!$R$49:$AC$49,0)),""))</f>
        <v/>
      </c>
      <c r="AQ31" s="238">
        <f>IF(AR30=AGR!$AD$74,AQ30+1,AQ30)</f>
        <v>1</v>
      </c>
      <c r="AR31" s="238">
        <f t="shared" si="4"/>
        <v>19</v>
      </c>
    </row>
    <row r="32" spans="1:44">
      <c r="A32" s="238" t="str">
        <f ca="1">IF(LEFT(OFFSET(AGR!$A$51,AR32,0),2)="\I","*","")</f>
        <v>*</v>
      </c>
      <c r="B32" s="243" t="str">
        <f t="shared" ca="1" si="0"/>
        <v/>
      </c>
      <c r="C32" s="243" t="str">
        <f ca="1">IF($A32="*","",OFFSET(AGR!$B$51,AR32,0))</f>
        <v/>
      </c>
      <c r="D32" s="298" t="str">
        <f t="shared" ca="1" si="3"/>
        <v/>
      </c>
      <c r="E32" s="298" t="str">
        <f t="shared" ca="1" si="5"/>
        <v/>
      </c>
      <c r="F32" s="298" t="str">
        <f t="shared" ca="1" si="5"/>
        <v/>
      </c>
      <c r="G32" s="298" t="str">
        <f t="shared" ca="1" si="6"/>
        <v/>
      </c>
      <c r="H32" s="298" t="str">
        <f t="shared" ca="1" si="6"/>
        <v/>
      </c>
      <c r="I32" s="298" t="str">
        <f t="shared" ca="1" si="6"/>
        <v/>
      </c>
      <c r="J32" s="297" t="str" cm="1">
        <f t="array" aca="1" ref="J32" ca="1">IF(A32="*","",IFERROR(INDEX(AGR!$R$52:$AC$73,MATCH($C32,AGR!$B$52:$B$73,0),MATCH('TS DMARK'!$H32&amp;'TS DMARK'!J$7,AGR!$R$46:$AC$46&amp;AGR!$R$49:$AC$49,0)),""))</f>
        <v/>
      </c>
      <c r="K32" s="297" t="str" cm="1">
        <f t="array" aca="1" ref="K32" ca="1">IF(B32="*","",IFERROR(INDEX(AGR!$R$52:$AC$73,MATCH($C32,AGR!$B$52:$B$73,0),MATCH('TS DMARK'!$H32&amp;'TS DMARK'!K$7,AGR!$R$46:$AC$46&amp;AGR!$R$49:$AC$49,0)),""))</f>
        <v/>
      </c>
      <c r="L32" s="297" t="str" cm="1">
        <f t="array" aca="1" ref="L32" ca="1">IF(C32="*","",IFERROR(INDEX(AGR!$R$52:$AC$73,MATCH($C32,AGR!$B$52:$B$73,0),MATCH('TS DMARK'!$H32&amp;'TS DMARK'!L$7,AGR!$R$46:$AC$46&amp;AGR!$R$49:$AC$49,0)),""))</f>
        <v/>
      </c>
      <c r="M32" s="297" t="str" cm="1">
        <f t="array" aca="1" ref="M32" ca="1">IF(D32="*","",IFERROR(INDEX(AGR!$R$52:$AC$73,MATCH($C32,AGR!$B$52:$B$73,0),MATCH('TS DMARK'!$H32&amp;'TS DMARK'!M$7,AGR!$R$46:$AC$46&amp;AGR!$R$49:$AC$49,0)),""))</f>
        <v/>
      </c>
      <c r="N32" s="297" t="str" cm="1">
        <f t="array" aca="1" ref="N32" ca="1">IF(E32="*","",IFERROR(INDEX(AGR!$R$52:$AC$73,MATCH($C32,AGR!$B$52:$B$73,0),MATCH('TS DMARK'!$H32&amp;'TS DMARK'!N$7,AGR!$R$46:$AC$46&amp;AGR!$R$49:$AC$49,0)),""))</f>
        <v/>
      </c>
      <c r="O32" s="297" t="str" cm="1">
        <f t="array" aca="1" ref="O32" ca="1">IF(F32="*","",IFERROR(INDEX(AGR!$R$52:$AC$73,MATCH($C32,AGR!$B$52:$B$73,0),MATCH('TS DMARK'!$H32&amp;'TS DMARK'!O$7,AGR!$R$46:$AC$46&amp;AGR!$R$49:$AC$49,0)),""))</f>
        <v/>
      </c>
      <c r="P32" s="297" t="str" cm="1">
        <f t="array" aca="1" ref="P32" ca="1">IF(G32="*","",IFERROR(INDEX(AGR!$R$52:$AC$73,MATCH($C32,AGR!$B$52:$B$73,0),MATCH('TS DMARK'!$H32&amp;'TS DMARK'!P$7,AGR!$R$46:$AC$46&amp;AGR!$R$49:$AC$49,0)),""))</f>
        <v/>
      </c>
      <c r="Q32" s="297" t="str" cm="1">
        <f t="array" aca="1" ref="Q32" ca="1">IF(H32="*","",IFERROR(INDEX(AGR!$R$52:$AC$73,MATCH($C32,AGR!$B$52:$B$73,0),MATCH('TS DMARK'!$H32&amp;'TS DMARK'!Q$7,AGR!$R$46:$AC$46&amp;AGR!$R$49:$AC$49,0)),""))</f>
        <v/>
      </c>
      <c r="R32" s="297" t="str" cm="1">
        <f t="array" aca="1" ref="R32" ca="1">IF(I32="*","",IFERROR(INDEX(AGR!$R$52:$AC$73,MATCH($C32,AGR!$B$52:$B$73,0),MATCH('TS DMARK'!$H32&amp;'TS DMARK'!R$7,AGR!$R$46:$AC$46&amp;AGR!$R$49:$AC$49,0)),""))</f>
        <v/>
      </c>
      <c r="S32" s="297" t="str" cm="1">
        <f t="array" aca="1" ref="S32" ca="1">IF(J32="*","",IFERROR(INDEX(AGR!$R$52:$AC$73,MATCH($C32,AGR!$B$52:$B$73,0),MATCH('TS DMARK'!$H32&amp;'TS DMARK'!S$7,AGR!$R$46:$AC$46&amp;AGR!$R$49:$AC$49,0)),""))</f>
        <v/>
      </c>
      <c r="T32" s="297" t="str" cm="1">
        <f t="array" aca="1" ref="T32" ca="1">IF(K32="*","",IFERROR(INDEX(AGR!$R$52:$AC$73,MATCH($C32,AGR!$B$52:$B$73,0),MATCH('TS DMARK'!$H32&amp;'TS DMARK'!T$7,AGR!$R$46:$AC$46&amp;AGR!$R$49:$AC$49,0)),""))</f>
        <v/>
      </c>
      <c r="U32" s="297" t="str" cm="1">
        <f t="array" aca="1" ref="U32" ca="1">IF(L32="*","",IFERROR(INDEX(AGR!$R$52:$AC$73,MATCH($C32,AGR!$B$52:$B$73,0),MATCH('TS DMARK'!$H32&amp;'TS DMARK'!U$7,AGR!$R$46:$AC$46&amp;AGR!$R$49:$AC$49,0)),""))</f>
        <v/>
      </c>
      <c r="V32" s="297" t="str" cm="1">
        <f t="array" aca="1" ref="V32" ca="1">IF(M32="*","",IFERROR(INDEX(AGR!$R$52:$AC$73,MATCH($C32,AGR!$B$52:$B$73,0),MATCH('TS DMARK'!$H32&amp;'TS DMARK'!V$7,AGR!$R$46:$AC$46&amp;AGR!$R$49:$AC$49,0)),""))</f>
        <v/>
      </c>
      <c r="W32" s="297" t="str" cm="1">
        <f t="array" aca="1" ref="W32" ca="1">IF(N32="*","",IFERROR(INDEX(AGR!$R$52:$AC$73,MATCH($C32,AGR!$B$52:$B$73,0),MATCH('TS DMARK'!$H32&amp;'TS DMARK'!W$7,AGR!$R$46:$AC$46&amp;AGR!$R$49:$AC$49,0)),""))</f>
        <v/>
      </c>
      <c r="X32" s="297" t="str" cm="1">
        <f t="array" aca="1" ref="X32" ca="1">IF(O32="*","",IFERROR(INDEX(AGR!$R$52:$AC$73,MATCH($C32,AGR!$B$52:$B$73,0),MATCH('TS DMARK'!$H32&amp;'TS DMARK'!X$7,AGR!$R$46:$AC$46&amp;AGR!$R$49:$AC$49,0)),""))</f>
        <v/>
      </c>
      <c r="Y32" s="297" t="str" cm="1">
        <f t="array" aca="1" ref="Y32" ca="1">IF(P32="*","",IFERROR(INDEX(AGR!$R$52:$AC$73,MATCH($C32,AGR!$B$52:$B$73,0),MATCH('TS DMARK'!$H32&amp;'TS DMARK'!Y$7,AGR!$R$46:$AC$46&amp;AGR!$R$49:$AC$49,0)),""))</f>
        <v/>
      </c>
      <c r="Z32" s="297" t="str" cm="1">
        <f t="array" aca="1" ref="Z32" ca="1">IF(Q32="*","",IFERROR(INDEX(AGR!$R$52:$AC$73,MATCH($C32,AGR!$B$52:$B$73,0),MATCH('TS DMARK'!$H32&amp;'TS DMARK'!Z$7,AGR!$R$46:$AC$46&amp;AGR!$R$49:$AC$49,0)),""))</f>
        <v/>
      </c>
      <c r="AA32" s="297" t="str" cm="1">
        <f t="array" aca="1" ref="AA32" ca="1">IF(R32="*","",IFERROR(INDEX(AGR!$R$52:$AC$73,MATCH($C32,AGR!$B$52:$B$73,0),MATCH('TS DMARK'!$H32&amp;'TS DMARK'!AA$7,AGR!$R$46:$AC$46&amp;AGR!$R$49:$AC$49,0)),""))</f>
        <v/>
      </c>
      <c r="AB32" s="297" t="str" cm="1">
        <f t="array" aca="1" ref="AB32" ca="1">IF(S32="*","",IFERROR(INDEX(AGR!$R$52:$AC$73,MATCH($C32,AGR!$B$52:$B$73,0),MATCH('TS DMARK'!$H32&amp;'TS DMARK'!AB$7,AGR!$R$46:$AC$46&amp;AGR!$R$49:$AC$49,0)),""))</f>
        <v/>
      </c>
      <c r="AC32" s="297" t="str" cm="1">
        <f t="array" aca="1" ref="AC32" ca="1">IF(T32="*","",IFERROR(INDEX(AGR!$R$52:$AC$73,MATCH($C32,AGR!$B$52:$B$73,0),MATCH('TS DMARK'!$H32&amp;'TS DMARK'!AC$7,AGR!$R$46:$AC$46&amp;AGR!$R$49:$AC$49,0)),""))</f>
        <v/>
      </c>
      <c r="AD32" s="297" t="str" cm="1">
        <f t="array" aca="1" ref="AD32" ca="1">IF(U32="*","",IFERROR(INDEX(AGR!$R$52:$AC$73,MATCH($C32,AGR!$B$52:$B$73,0),MATCH('TS DMARK'!$H32&amp;'TS DMARK'!AD$7,AGR!$R$46:$AC$46&amp;AGR!$R$49:$AC$49,0)),""))</f>
        <v/>
      </c>
      <c r="AE32" s="297" t="str" cm="1">
        <f t="array" aca="1" ref="AE32" ca="1">IF(V32="*","",IFERROR(INDEX(AGR!$R$52:$AC$73,MATCH($C32,AGR!$B$52:$B$73,0),MATCH('TS DMARK'!$H32&amp;'TS DMARK'!AE$7,AGR!$R$46:$AC$46&amp;AGR!$R$49:$AC$49,0)),""))</f>
        <v/>
      </c>
      <c r="AF32" s="297" t="str" cm="1">
        <f t="array" aca="1" ref="AF32" ca="1">IF(W32="*","",IFERROR(INDEX(AGR!$R$52:$AC$73,MATCH($C32,AGR!$B$52:$B$73,0),MATCH('TS DMARK'!$H32&amp;'TS DMARK'!AF$7,AGR!$R$46:$AC$46&amp;AGR!$R$49:$AC$49,0)),""))</f>
        <v/>
      </c>
      <c r="AG32" s="297" t="str" cm="1">
        <f t="array" aca="1" ref="AG32" ca="1">IF(X32="*","",IFERROR(INDEX(AGR!$R$52:$AC$73,MATCH($C32,AGR!$B$52:$B$73,0),MATCH('TS DMARK'!$H32&amp;'TS DMARK'!AG$7,AGR!$R$46:$AC$46&amp;AGR!$R$49:$AC$49,0)),""))</f>
        <v/>
      </c>
      <c r="AH32" s="297" t="str" cm="1">
        <f t="array" aca="1" ref="AH32" ca="1">IF(Y32="*","",IFERROR(INDEX(AGR!$R$52:$AC$73,MATCH($C32,AGR!$B$52:$B$73,0),MATCH('TS DMARK'!$H32&amp;'TS DMARK'!AH$7,AGR!$R$46:$AC$46&amp;AGR!$R$49:$AC$49,0)),""))</f>
        <v/>
      </c>
      <c r="AI32" s="297" t="str" cm="1">
        <f t="array" aca="1" ref="AI32" ca="1">IF(Z32="*","",IFERROR(INDEX(AGR!$R$52:$AC$73,MATCH($C32,AGR!$B$52:$B$73,0),MATCH('TS DMARK'!$H32&amp;'TS DMARK'!AI$7,AGR!$R$46:$AC$46&amp;AGR!$R$49:$AC$49,0)),""))</f>
        <v/>
      </c>
      <c r="AJ32" s="297" t="str" cm="1">
        <f t="array" aca="1" ref="AJ32" ca="1">IF(AA32="*","",IFERROR(INDEX(AGR!$R$52:$AC$73,MATCH($C32,AGR!$B$52:$B$73,0),MATCH('TS DMARK'!$H32&amp;'TS DMARK'!AJ$7,AGR!$R$46:$AC$46&amp;AGR!$R$49:$AC$49,0)),""))</f>
        <v/>
      </c>
      <c r="AK32" s="297" t="str" cm="1">
        <f t="array" aca="1" ref="AK32" ca="1">IF(AB32="*","",IFERROR(INDEX(AGR!$R$52:$AC$73,MATCH($C32,AGR!$B$52:$B$73,0),MATCH('TS DMARK'!$H32&amp;'TS DMARK'!AK$7,AGR!$R$46:$AC$46&amp;AGR!$R$49:$AC$49,0)),""))</f>
        <v/>
      </c>
      <c r="AL32" s="297" t="str" cm="1">
        <f t="array" aca="1" ref="AL32" ca="1">IF(AC32="*","",IFERROR(INDEX(AGR!$R$52:$AC$73,MATCH($C32,AGR!$B$52:$B$73,0),MATCH('TS DMARK'!$H32&amp;'TS DMARK'!AL$7,AGR!$R$46:$AC$46&amp;AGR!$R$49:$AC$49,0)),""))</f>
        <v/>
      </c>
      <c r="AM32" s="297" t="str" cm="1">
        <f t="array" aca="1" ref="AM32" ca="1">IF(AD32="*","",IFERROR(INDEX(AGR!$R$52:$AC$73,MATCH($C32,AGR!$B$52:$B$73,0),MATCH('TS DMARK'!$H32&amp;'TS DMARK'!AM$7,AGR!$R$46:$AC$46&amp;AGR!$R$49:$AC$49,0)),""))</f>
        <v/>
      </c>
      <c r="AN32" s="297" t="str" cm="1">
        <f t="array" aca="1" ref="AN32" ca="1">IF(AE32="*","",IFERROR(INDEX(AGR!$R$52:$AC$73,MATCH($C32,AGR!$B$52:$B$73,0),MATCH('TS DMARK'!$H32&amp;'TS DMARK'!AN$7,AGR!$R$46:$AC$46&amp;AGR!$R$49:$AC$49,0)),""))</f>
        <v/>
      </c>
      <c r="AO32" s="297" t="str" cm="1">
        <f t="array" aca="1" ref="AO32" ca="1">IF(AF32="*","",IFERROR(INDEX(AGR!$R$52:$AC$73,MATCH($C32,AGR!$B$52:$B$73,0),MATCH('TS DMARK'!$H32&amp;'TS DMARK'!AO$7,AGR!$R$46:$AC$46&amp;AGR!$R$49:$AC$49,0)),""))</f>
        <v/>
      </c>
      <c r="AP32" s="297" t="str" cm="1">
        <f t="array" aca="1" ref="AP32" ca="1">IF(AG32="*","",IFERROR(INDEX(AGR!$R$52:$AC$73,MATCH($C32,AGR!$B$52:$B$73,0),MATCH('TS DMARK'!$H32&amp;'TS DMARK'!AP$7,AGR!$R$46:$AC$46&amp;AGR!$R$49:$AC$49,0)),""))</f>
        <v/>
      </c>
      <c r="AQ32" s="238">
        <f>IF(AR31=AGR!$AD$74,AQ31+1,AQ31)</f>
        <v>1</v>
      </c>
      <c r="AR32" s="238">
        <f t="shared" ref="AR32:AR44" si="7">IF(AQ32=AQ31,AR31+1,1)</f>
        <v>20</v>
      </c>
    </row>
    <row r="33" spans="1:44">
      <c r="A33" s="238" t="str">
        <f ca="1">IF(LEFT(OFFSET(AGR!$A$51,AR33,0),2)="\I","*","")</f>
        <v/>
      </c>
      <c r="B33" s="243" t="str">
        <f t="shared" ca="1" si="0"/>
        <v>FLO_MARK</v>
      </c>
      <c r="C33" s="243" t="str">
        <f ca="1">IF($A33="*","",OFFSET(AGR!$B$51,AR33,0))</f>
        <v>AOELC-E</v>
      </c>
      <c r="D33" s="298" t="str">
        <f t="shared" ca="1" si="3"/>
        <v>AO</v>
      </c>
      <c r="E33" s="298" t="str">
        <f t="shared" ca="1" si="5"/>
        <v>-</v>
      </c>
      <c r="F33" s="298" t="str">
        <f t="shared" ca="1" si="5"/>
        <v>-</v>
      </c>
      <c r="G33" s="298" t="str">
        <f t="shared" ca="1" si="6"/>
        <v>-</v>
      </c>
      <c r="H33" s="298" t="str">
        <f t="shared" ca="1" si="6"/>
        <v>UP</v>
      </c>
      <c r="I33" s="298">
        <f t="shared" ca="1" si="6"/>
        <v>3</v>
      </c>
      <c r="J33" s="297" cm="1">
        <f t="array" aca="1" ref="J33" ca="1">IF(A33="*","",IFERROR(INDEX(AGR!$R$52:$AC$73,MATCH($C33,AGR!$B$52:$B$73,0),MATCH('TS DMARK'!$H33&amp;'TS DMARK'!J$7,AGR!$R$46:$AC$46&amp;AGR!$R$49:$AC$49,0)),""))</f>
        <v>1</v>
      </c>
      <c r="K33" s="297" t="str" cm="1">
        <f t="array" aca="1" ref="K33" ca="1">IF(B33="*","",IFERROR(INDEX(AGR!$R$52:$AC$73,MATCH($C33,AGR!$B$52:$B$73,0),MATCH('TS DMARK'!$H33&amp;'TS DMARK'!K$7,AGR!$R$46:$AC$46&amp;AGR!$R$49:$AC$49,0)),""))</f>
        <v/>
      </c>
      <c r="L33" s="297" t="str" cm="1">
        <f t="array" aca="1" ref="L33" ca="1">IF(C33="*","",IFERROR(INDEX(AGR!$R$52:$AC$73,MATCH($C33,AGR!$B$52:$B$73,0),MATCH('TS DMARK'!$H33&amp;'TS DMARK'!L$7,AGR!$R$46:$AC$46&amp;AGR!$R$49:$AC$49,0)),""))</f>
        <v/>
      </c>
      <c r="M33" s="297" cm="1">
        <f t="array" aca="1" ref="M33" ca="1">IF(D33="*","",IFERROR(INDEX(AGR!$R$52:$AC$73,MATCH($C33,AGR!$B$52:$B$73,0),MATCH('TS DMARK'!$H33&amp;'TS DMARK'!M$7,AGR!$R$46:$AC$46&amp;AGR!$R$49:$AC$49,0)),""))</f>
        <v>1</v>
      </c>
      <c r="N33" s="297" t="str" cm="1">
        <f t="array" aca="1" ref="N33" ca="1">IF(E33="*","",IFERROR(INDEX(AGR!$R$52:$AC$73,MATCH($C33,AGR!$B$52:$B$73,0),MATCH('TS DMARK'!$H33&amp;'TS DMARK'!N$7,AGR!$R$46:$AC$46&amp;AGR!$R$49:$AC$49,0)),""))</f>
        <v/>
      </c>
      <c r="O33" s="297" t="str" cm="1">
        <f t="array" aca="1" ref="O33" ca="1">IF(F33="*","",IFERROR(INDEX(AGR!$R$52:$AC$73,MATCH($C33,AGR!$B$52:$B$73,0),MATCH('TS DMARK'!$H33&amp;'TS DMARK'!O$7,AGR!$R$46:$AC$46&amp;AGR!$R$49:$AC$49,0)),""))</f>
        <v/>
      </c>
      <c r="P33" s="297" t="str" cm="1">
        <f t="array" aca="1" ref="P33" ca="1">IF(G33="*","",IFERROR(INDEX(AGR!$R$52:$AC$73,MATCH($C33,AGR!$B$52:$B$73,0),MATCH('TS DMARK'!$H33&amp;'TS DMARK'!P$7,AGR!$R$46:$AC$46&amp;AGR!$R$49:$AC$49,0)),""))</f>
        <v/>
      </c>
      <c r="Q33" s="297" t="str" cm="1">
        <f t="array" aca="1" ref="Q33" ca="1">IF(H33="*","",IFERROR(INDEX(AGR!$R$52:$AC$73,MATCH($C33,AGR!$B$52:$B$73,0),MATCH('TS DMARK'!$H33&amp;'TS DMARK'!Q$7,AGR!$R$46:$AC$46&amp;AGR!$R$49:$AC$49,0)),""))</f>
        <v/>
      </c>
      <c r="R33" s="297" t="str" cm="1">
        <f t="array" aca="1" ref="R33" ca="1">IF(I33="*","",IFERROR(INDEX(AGR!$R$52:$AC$73,MATCH($C33,AGR!$B$52:$B$73,0),MATCH('TS DMARK'!$H33&amp;'TS DMARK'!R$7,AGR!$R$46:$AC$46&amp;AGR!$R$49:$AC$49,0)),""))</f>
        <v/>
      </c>
      <c r="S33" s="297" t="str" cm="1">
        <f t="array" aca="1" ref="S33" ca="1">IF(J33="*","",IFERROR(INDEX(AGR!$R$52:$AC$73,MATCH($C33,AGR!$B$52:$B$73,0),MATCH('TS DMARK'!$H33&amp;'TS DMARK'!S$7,AGR!$R$46:$AC$46&amp;AGR!$R$49:$AC$49,0)),""))</f>
        <v/>
      </c>
      <c r="T33" s="297" t="str" cm="1">
        <f t="array" aca="1" ref="T33" ca="1">IF(K33="*","",IFERROR(INDEX(AGR!$R$52:$AC$73,MATCH($C33,AGR!$B$52:$B$73,0),MATCH('TS DMARK'!$H33&amp;'TS DMARK'!T$7,AGR!$R$46:$AC$46&amp;AGR!$R$49:$AC$49,0)),""))</f>
        <v/>
      </c>
      <c r="U33" s="297" t="str" cm="1">
        <f t="array" aca="1" ref="U33" ca="1">IF(L33="*","",IFERROR(INDEX(AGR!$R$52:$AC$73,MATCH($C33,AGR!$B$52:$B$73,0),MATCH('TS DMARK'!$H33&amp;'TS DMARK'!U$7,AGR!$R$46:$AC$46&amp;AGR!$R$49:$AC$49,0)),""))</f>
        <v/>
      </c>
      <c r="V33" s="297" t="str" cm="1">
        <f t="array" aca="1" ref="V33" ca="1">IF(M33="*","",IFERROR(INDEX(AGR!$R$52:$AC$73,MATCH($C33,AGR!$B$52:$B$73,0),MATCH('TS DMARK'!$H33&amp;'TS DMARK'!V$7,AGR!$R$46:$AC$46&amp;AGR!$R$49:$AC$49,0)),""))</f>
        <v/>
      </c>
      <c r="W33" s="297" t="str" cm="1">
        <f t="array" aca="1" ref="W33" ca="1">IF(N33="*","",IFERROR(INDEX(AGR!$R$52:$AC$73,MATCH($C33,AGR!$B$52:$B$73,0),MATCH('TS DMARK'!$H33&amp;'TS DMARK'!W$7,AGR!$R$46:$AC$46&amp;AGR!$R$49:$AC$49,0)),""))</f>
        <v/>
      </c>
      <c r="X33" s="297" t="str" cm="1">
        <f t="array" aca="1" ref="X33" ca="1">IF(O33="*","",IFERROR(INDEX(AGR!$R$52:$AC$73,MATCH($C33,AGR!$B$52:$B$73,0),MATCH('TS DMARK'!$H33&amp;'TS DMARK'!X$7,AGR!$R$46:$AC$46&amp;AGR!$R$49:$AC$49,0)),""))</f>
        <v/>
      </c>
      <c r="Y33" s="297" t="str" cm="1">
        <f t="array" aca="1" ref="Y33" ca="1">IF(P33="*","",IFERROR(INDEX(AGR!$R$52:$AC$73,MATCH($C33,AGR!$B$52:$B$73,0),MATCH('TS DMARK'!$H33&amp;'TS DMARK'!Y$7,AGR!$R$46:$AC$46&amp;AGR!$R$49:$AC$49,0)),""))</f>
        <v/>
      </c>
      <c r="Z33" s="297" t="str" cm="1">
        <f t="array" aca="1" ref="Z33" ca="1">IF(Q33="*","",IFERROR(INDEX(AGR!$R$52:$AC$73,MATCH($C33,AGR!$B$52:$B$73,0),MATCH('TS DMARK'!$H33&amp;'TS DMARK'!Z$7,AGR!$R$46:$AC$46&amp;AGR!$R$49:$AC$49,0)),""))</f>
        <v/>
      </c>
      <c r="AA33" s="297" t="str" cm="1">
        <f t="array" aca="1" ref="AA33" ca="1">IF(R33="*","",IFERROR(INDEX(AGR!$R$52:$AC$73,MATCH($C33,AGR!$B$52:$B$73,0),MATCH('TS DMARK'!$H33&amp;'TS DMARK'!AA$7,AGR!$R$46:$AC$46&amp;AGR!$R$49:$AC$49,0)),""))</f>
        <v/>
      </c>
      <c r="AB33" s="297" cm="1">
        <f t="array" aca="1" ref="AB33" ca="1">IF(S33="*","",IFERROR(INDEX(AGR!$R$52:$AC$73,MATCH($C33,AGR!$B$52:$B$73,0),MATCH('TS DMARK'!$H33&amp;'TS DMARK'!AB$7,AGR!$R$46:$AC$46&amp;AGR!$R$49:$AC$49,0)),""))</f>
        <v>1</v>
      </c>
      <c r="AC33" s="297" t="str" cm="1">
        <f t="array" aca="1" ref="AC33" ca="1">IF(T33="*","",IFERROR(INDEX(AGR!$R$52:$AC$73,MATCH($C33,AGR!$B$52:$B$73,0),MATCH('TS DMARK'!$H33&amp;'TS DMARK'!AC$7,AGR!$R$46:$AC$46&amp;AGR!$R$49:$AC$49,0)),""))</f>
        <v/>
      </c>
      <c r="AD33" s="297" t="str" cm="1">
        <f t="array" aca="1" ref="AD33" ca="1">IF(U33="*","",IFERROR(INDEX(AGR!$R$52:$AC$73,MATCH($C33,AGR!$B$52:$B$73,0),MATCH('TS DMARK'!$H33&amp;'TS DMARK'!AD$7,AGR!$R$46:$AC$46&amp;AGR!$R$49:$AC$49,0)),""))</f>
        <v/>
      </c>
      <c r="AE33" s="297" t="str" cm="1">
        <f t="array" aca="1" ref="AE33" ca="1">IF(V33="*","",IFERROR(INDEX(AGR!$R$52:$AC$73,MATCH($C33,AGR!$B$52:$B$73,0),MATCH('TS DMARK'!$H33&amp;'TS DMARK'!AE$7,AGR!$R$46:$AC$46&amp;AGR!$R$49:$AC$49,0)),""))</f>
        <v/>
      </c>
      <c r="AF33" s="297" t="str" cm="1">
        <f t="array" aca="1" ref="AF33" ca="1">IF(W33="*","",IFERROR(INDEX(AGR!$R$52:$AC$73,MATCH($C33,AGR!$B$52:$B$73,0),MATCH('TS DMARK'!$H33&amp;'TS DMARK'!AF$7,AGR!$R$46:$AC$46&amp;AGR!$R$49:$AC$49,0)),""))</f>
        <v/>
      </c>
      <c r="AG33" s="297" t="str" cm="1">
        <f t="array" aca="1" ref="AG33" ca="1">IF(X33="*","",IFERROR(INDEX(AGR!$R$52:$AC$73,MATCH($C33,AGR!$B$52:$B$73,0),MATCH('TS DMARK'!$H33&amp;'TS DMARK'!AG$7,AGR!$R$46:$AC$46&amp;AGR!$R$49:$AC$49,0)),""))</f>
        <v/>
      </c>
      <c r="AH33" s="297" t="str" cm="1">
        <f t="array" aca="1" ref="AH33" ca="1">IF(Y33="*","",IFERROR(INDEX(AGR!$R$52:$AC$73,MATCH($C33,AGR!$B$52:$B$73,0),MATCH('TS DMARK'!$H33&amp;'TS DMARK'!AH$7,AGR!$R$46:$AC$46&amp;AGR!$R$49:$AC$49,0)),""))</f>
        <v/>
      </c>
      <c r="AI33" s="297" t="str" cm="1">
        <f t="array" aca="1" ref="AI33" ca="1">IF(Z33="*","",IFERROR(INDEX(AGR!$R$52:$AC$73,MATCH($C33,AGR!$B$52:$B$73,0),MATCH('TS DMARK'!$H33&amp;'TS DMARK'!AI$7,AGR!$R$46:$AC$46&amp;AGR!$R$49:$AC$49,0)),""))</f>
        <v/>
      </c>
      <c r="AJ33" s="297" t="str" cm="1">
        <f t="array" aca="1" ref="AJ33" ca="1">IF(AA33="*","",IFERROR(INDEX(AGR!$R$52:$AC$73,MATCH($C33,AGR!$B$52:$B$73,0),MATCH('TS DMARK'!$H33&amp;'TS DMARK'!AJ$7,AGR!$R$46:$AC$46&amp;AGR!$R$49:$AC$49,0)),""))</f>
        <v/>
      </c>
      <c r="AK33" s="297" t="str" cm="1">
        <f t="array" aca="1" ref="AK33" ca="1">IF(AB33="*","",IFERROR(INDEX(AGR!$R$52:$AC$73,MATCH($C33,AGR!$B$52:$B$73,0),MATCH('TS DMARK'!$H33&amp;'TS DMARK'!AK$7,AGR!$R$46:$AC$46&amp;AGR!$R$49:$AC$49,0)),""))</f>
        <v/>
      </c>
      <c r="AL33" s="297" t="str" cm="1">
        <f t="array" aca="1" ref="AL33" ca="1">IF(AC33="*","",IFERROR(INDEX(AGR!$R$52:$AC$73,MATCH($C33,AGR!$B$52:$B$73,0),MATCH('TS DMARK'!$H33&amp;'TS DMARK'!AL$7,AGR!$R$46:$AC$46&amp;AGR!$R$49:$AC$49,0)),""))</f>
        <v/>
      </c>
      <c r="AM33" s="297" t="str" cm="1">
        <f t="array" aca="1" ref="AM33" ca="1">IF(AD33="*","",IFERROR(INDEX(AGR!$R$52:$AC$73,MATCH($C33,AGR!$B$52:$B$73,0),MATCH('TS DMARK'!$H33&amp;'TS DMARK'!AM$7,AGR!$R$46:$AC$46&amp;AGR!$R$49:$AC$49,0)),""))</f>
        <v/>
      </c>
      <c r="AN33" s="297" cm="1">
        <f t="array" aca="1" ref="AN33" ca="1">IF(AE33="*","",IFERROR(INDEX(AGR!$R$52:$AC$73,MATCH($C33,AGR!$B$52:$B$73,0),MATCH('TS DMARK'!$H33&amp;'TS DMARK'!AN$7,AGR!$R$46:$AC$46&amp;AGR!$R$49:$AC$49,0)),""))</f>
        <v>1</v>
      </c>
      <c r="AO33" s="297" t="str" cm="1">
        <f t="array" aca="1" ref="AO33" ca="1">IF(AF33="*","",IFERROR(INDEX(AGR!$R$52:$AC$73,MATCH($C33,AGR!$B$52:$B$73,0),MATCH('TS DMARK'!$H33&amp;'TS DMARK'!AO$7,AGR!$R$46:$AC$46&amp;AGR!$R$49:$AC$49,0)),""))</f>
        <v/>
      </c>
      <c r="AP33" s="297" cm="1">
        <f t="array" aca="1" ref="AP33" ca="1">IF(AG33="*","",IFERROR(INDEX(AGR!$R$52:$AC$73,MATCH($C33,AGR!$B$52:$B$73,0),MATCH('TS DMARK'!$H33&amp;'TS DMARK'!AP$7,AGR!$R$46:$AC$46&amp;AGR!$R$49:$AC$49,0)),""))</f>
        <v>1</v>
      </c>
      <c r="AQ33" s="238">
        <f>IF(AR32=AGR!$AD$74,AQ32+1,AQ32)</f>
        <v>1</v>
      </c>
      <c r="AR33" s="238">
        <f t="shared" si="7"/>
        <v>21</v>
      </c>
    </row>
    <row r="34" spans="1:44">
      <c r="A34" s="238" t="str">
        <f ca="1">IF(LEFT(OFFSET(AGR!$A$51,AR34,0),2)="\I","*","")</f>
        <v>*</v>
      </c>
      <c r="B34" s="243" t="str">
        <f t="shared" ca="1" si="0"/>
        <v/>
      </c>
      <c r="C34" s="243" t="str">
        <f ca="1">IF($A34="*","",OFFSET(AGR!$B$51,AR34,0))</f>
        <v/>
      </c>
      <c r="D34" s="298" t="str">
        <f t="shared" ca="1" si="3"/>
        <v/>
      </c>
      <c r="E34" s="298" t="str">
        <f t="shared" ca="1" si="5"/>
        <v/>
      </c>
      <c r="F34" s="298" t="str">
        <f t="shared" ca="1" si="5"/>
        <v/>
      </c>
      <c r="G34" s="298" t="str">
        <f t="shared" ca="1" si="6"/>
        <v/>
      </c>
      <c r="H34" s="298" t="str">
        <f t="shared" ca="1" si="6"/>
        <v/>
      </c>
      <c r="I34" s="298" t="str">
        <f t="shared" ca="1" si="6"/>
        <v/>
      </c>
      <c r="J34" s="297" t="str" cm="1">
        <f t="array" aca="1" ref="J34" ca="1">IF(A34="*","",IFERROR(INDEX(AGR!$R$52:$AC$73,MATCH($C34,AGR!$B$52:$B$73,0),MATCH('TS DMARK'!$H34&amp;'TS DMARK'!J$7,AGR!$R$46:$AC$46&amp;AGR!$R$49:$AC$49,0)),""))</f>
        <v/>
      </c>
      <c r="K34" s="297" t="str" cm="1">
        <f t="array" aca="1" ref="K34" ca="1">IF(B34="*","",IFERROR(INDEX(AGR!$R$52:$AC$73,MATCH($C34,AGR!$B$52:$B$73,0),MATCH('TS DMARK'!$H34&amp;'TS DMARK'!K$7,AGR!$R$46:$AC$46&amp;AGR!$R$49:$AC$49,0)),""))</f>
        <v/>
      </c>
      <c r="L34" s="297" t="str" cm="1">
        <f t="array" aca="1" ref="L34" ca="1">IF(C34="*","",IFERROR(INDEX(AGR!$R$52:$AC$73,MATCH($C34,AGR!$B$52:$B$73,0),MATCH('TS DMARK'!$H34&amp;'TS DMARK'!L$7,AGR!$R$46:$AC$46&amp;AGR!$R$49:$AC$49,0)),""))</f>
        <v/>
      </c>
      <c r="M34" s="297" t="str" cm="1">
        <f t="array" aca="1" ref="M34" ca="1">IF(D34="*","",IFERROR(INDEX(AGR!$R$52:$AC$73,MATCH($C34,AGR!$B$52:$B$73,0),MATCH('TS DMARK'!$H34&amp;'TS DMARK'!M$7,AGR!$R$46:$AC$46&amp;AGR!$R$49:$AC$49,0)),""))</f>
        <v/>
      </c>
      <c r="N34" s="297" t="str" cm="1">
        <f t="array" aca="1" ref="N34" ca="1">IF(E34="*","",IFERROR(INDEX(AGR!$R$52:$AC$73,MATCH($C34,AGR!$B$52:$B$73,0),MATCH('TS DMARK'!$H34&amp;'TS DMARK'!N$7,AGR!$R$46:$AC$46&amp;AGR!$R$49:$AC$49,0)),""))</f>
        <v/>
      </c>
      <c r="O34" s="297" t="str" cm="1">
        <f t="array" aca="1" ref="O34" ca="1">IF(F34="*","",IFERROR(INDEX(AGR!$R$52:$AC$73,MATCH($C34,AGR!$B$52:$B$73,0),MATCH('TS DMARK'!$H34&amp;'TS DMARK'!O$7,AGR!$R$46:$AC$46&amp;AGR!$R$49:$AC$49,0)),""))</f>
        <v/>
      </c>
      <c r="P34" s="297" t="str" cm="1">
        <f t="array" aca="1" ref="P34" ca="1">IF(G34="*","",IFERROR(INDEX(AGR!$R$52:$AC$73,MATCH($C34,AGR!$B$52:$B$73,0),MATCH('TS DMARK'!$H34&amp;'TS DMARK'!P$7,AGR!$R$46:$AC$46&amp;AGR!$R$49:$AC$49,0)),""))</f>
        <v/>
      </c>
      <c r="Q34" s="297" t="str" cm="1">
        <f t="array" aca="1" ref="Q34" ca="1">IF(H34="*","",IFERROR(INDEX(AGR!$R$52:$AC$73,MATCH($C34,AGR!$B$52:$B$73,0),MATCH('TS DMARK'!$H34&amp;'TS DMARK'!Q$7,AGR!$R$46:$AC$46&amp;AGR!$R$49:$AC$49,0)),""))</f>
        <v/>
      </c>
      <c r="R34" s="297" t="str" cm="1">
        <f t="array" aca="1" ref="R34" ca="1">IF(I34="*","",IFERROR(INDEX(AGR!$R$52:$AC$73,MATCH($C34,AGR!$B$52:$B$73,0),MATCH('TS DMARK'!$H34&amp;'TS DMARK'!R$7,AGR!$R$46:$AC$46&amp;AGR!$R$49:$AC$49,0)),""))</f>
        <v/>
      </c>
      <c r="S34" s="297" t="str" cm="1">
        <f t="array" aca="1" ref="S34" ca="1">IF(J34="*","",IFERROR(INDEX(AGR!$R$52:$AC$73,MATCH($C34,AGR!$B$52:$B$73,0),MATCH('TS DMARK'!$H34&amp;'TS DMARK'!S$7,AGR!$R$46:$AC$46&amp;AGR!$R$49:$AC$49,0)),""))</f>
        <v/>
      </c>
      <c r="T34" s="297" t="str" cm="1">
        <f t="array" aca="1" ref="T34" ca="1">IF(K34="*","",IFERROR(INDEX(AGR!$R$52:$AC$73,MATCH($C34,AGR!$B$52:$B$73,0),MATCH('TS DMARK'!$H34&amp;'TS DMARK'!T$7,AGR!$R$46:$AC$46&amp;AGR!$R$49:$AC$49,0)),""))</f>
        <v/>
      </c>
      <c r="U34" s="297" t="str" cm="1">
        <f t="array" aca="1" ref="U34" ca="1">IF(L34="*","",IFERROR(INDEX(AGR!$R$52:$AC$73,MATCH($C34,AGR!$B$52:$B$73,0),MATCH('TS DMARK'!$H34&amp;'TS DMARK'!U$7,AGR!$R$46:$AC$46&amp;AGR!$R$49:$AC$49,0)),""))</f>
        <v/>
      </c>
      <c r="V34" s="297" t="str" cm="1">
        <f t="array" aca="1" ref="V34" ca="1">IF(M34="*","",IFERROR(INDEX(AGR!$R$52:$AC$73,MATCH($C34,AGR!$B$52:$B$73,0),MATCH('TS DMARK'!$H34&amp;'TS DMARK'!V$7,AGR!$R$46:$AC$46&amp;AGR!$R$49:$AC$49,0)),""))</f>
        <v/>
      </c>
      <c r="W34" s="297" t="str" cm="1">
        <f t="array" aca="1" ref="W34" ca="1">IF(N34="*","",IFERROR(INDEX(AGR!$R$52:$AC$73,MATCH($C34,AGR!$B$52:$B$73,0),MATCH('TS DMARK'!$H34&amp;'TS DMARK'!W$7,AGR!$R$46:$AC$46&amp;AGR!$R$49:$AC$49,0)),""))</f>
        <v/>
      </c>
      <c r="X34" s="297" t="str" cm="1">
        <f t="array" aca="1" ref="X34" ca="1">IF(O34="*","",IFERROR(INDEX(AGR!$R$52:$AC$73,MATCH($C34,AGR!$B$52:$B$73,0),MATCH('TS DMARK'!$H34&amp;'TS DMARK'!X$7,AGR!$R$46:$AC$46&amp;AGR!$R$49:$AC$49,0)),""))</f>
        <v/>
      </c>
      <c r="Y34" s="297" t="str" cm="1">
        <f t="array" aca="1" ref="Y34" ca="1">IF(P34="*","",IFERROR(INDEX(AGR!$R$52:$AC$73,MATCH($C34,AGR!$B$52:$B$73,0),MATCH('TS DMARK'!$H34&amp;'TS DMARK'!Y$7,AGR!$R$46:$AC$46&amp;AGR!$R$49:$AC$49,0)),""))</f>
        <v/>
      </c>
      <c r="Z34" s="297" t="str" cm="1">
        <f t="array" aca="1" ref="Z34" ca="1">IF(Q34="*","",IFERROR(INDEX(AGR!$R$52:$AC$73,MATCH($C34,AGR!$B$52:$B$73,0),MATCH('TS DMARK'!$H34&amp;'TS DMARK'!Z$7,AGR!$R$46:$AC$46&amp;AGR!$R$49:$AC$49,0)),""))</f>
        <v/>
      </c>
      <c r="AA34" s="297" t="str" cm="1">
        <f t="array" aca="1" ref="AA34" ca="1">IF(R34="*","",IFERROR(INDEX(AGR!$R$52:$AC$73,MATCH($C34,AGR!$B$52:$B$73,0),MATCH('TS DMARK'!$H34&amp;'TS DMARK'!AA$7,AGR!$R$46:$AC$46&amp;AGR!$R$49:$AC$49,0)),""))</f>
        <v/>
      </c>
      <c r="AB34" s="297" t="str" cm="1">
        <f t="array" aca="1" ref="AB34" ca="1">IF(S34="*","",IFERROR(INDEX(AGR!$R$52:$AC$73,MATCH($C34,AGR!$B$52:$B$73,0),MATCH('TS DMARK'!$H34&amp;'TS DMARK'!AB$7,AGR!$R$46:$AC$46&amp;AGR!$R$49:$AC$49,0)),""))</f>
        <v/>
      </c>
      <c r="AC34" s="297" t="str" cm="1">
        <f t="array" aca="1" ref="AC34" ca="1">IF(T34="*","",IFERROR(INDEX(AGR!$R$52:$AC$73,MATCH($C34,AGR!$B$52:$B$73,0),MATCH('TS DMARK'!$H34&amp;'TS DMARK'!AC$7,AGR!$R$46:$AC$46&amp;AGR!$R$49:$AC$49,0)),""))</f>
        <v/>
      </c>
      <c r="AD34" s="297" t="str" cm="1">
        <f t="array" aca="1" ref="AD34" ca="1">IF(U34="*","",IFERROR(INDEX(AGR!$R$52:$AC$73,MATCH($C34,AGR!$B$52:$B$73,0),MATCH('TS DMARK'!$H34&amp;'TS DMARK'!AD$7,AGR!$R$46:$AC$46&amp;AGR!$R$49:$AC$49,0)),""))</f>
        <v/>
      </c>
      <c r="AE34" s="297" t="str" cm="1">
        <f t="array" aca="1" ref="AE34" ca="1">IF(V34="*","",IFERROR(INDEX(AGR!$R$52:$AC$73,MATCH($C34,AGR!$B$52:$B$73,0),MATCH('TS DMARK'!$H34&amp;'TS DMARK'!AE$7,AGR!$R$46:$AC$46&amp;AGR!$R$49:$AC$49,0)),""))</f>
        <v/>
      </c>
      <c r="AF34" s="297" t="str" cm="1">
        <f t="array" aca="1" ref="AF34" ca="1">IF(W34="*","",IFERROR(INDEX(AGR!$R$52:$AC$73,MATCH($C34,AGR!$B$52:$B$73,0),MATCH('TS DMARK'!$H34&amp;'TS DMARK'!AF$7,AGR!$R$46:$AC$46&amp;AGR!$R$49:$AC$49,0)),""))</f>
        <v/>
      </c>
      <c r="AG34" s="297" t="str" cm="1">
        <f t="array" aca="1" ref="AG34" ca="1">IF(X34="*","",IFERROR(INDEX(AGR!$R$52:$AC$73,MATCH($C34,AGR!$B$52:$B$73,0),MATCH('TS DMARK'!$H34&amp;'TS DMARK'!AG$7,AGR!$R$46:$AC$46&amp;AGR!$R$49:$AC$49,0)),""))</f>
        <v/>
      </c>
      <c r="AH34" s="297" t="str" cm="1">
        <f t="array" aca="1" ref="AH34" ca="1">IF(Y34="*","",IFERROR(INDEX(AGR!$R$52:$AC$73,MATCH($C34,AGR!$B$52:$B$73,0),MATCH('TS DMARK'!$H34&amp;'TS DMARK'!AH$7,AGR!$R$46:$AC$46&amp;AGR!$R$49:$AC$49,0)),""))</f>
        <v/>
      </c>
      <c r="AI34" s="297" t="str" cm="1">
        <f t="array" aca="1" ref="AI34" ca="1">IF(Z34="*","",IFERROR(INDEX(AGR!$R$52:$AC$73,MATCH($C34,AGR!$B$52:$B$73,0),MATCH('TS DMARK'!$H34&amp;'TS DMARK'!AI$7,AGR!$R$46:$AC$46&amp;AGR!$R$49:$AC$49,0)),""))</f>
        <v/>
      </c>
      <c r="AJ34" s="297" t="str" cm="1">
        <f t="array" aca="1" ref="AJ34" ca="1">IF(AA34="*","",IFERROR(INDEX(AGR!$R$52:$AC$73,MATCH($C34,AGR!$B$52:$B$73,0),MATCH('TS DMARK'!$H34&amp;'TS DMARK'!AJ$7,AGR!$R$46:$AC$46&amp;AGR!$R$49:$AC$49,0)),""))</f>
        <v/>
      </c>
      <c r="AK34" s="297" t="str" cm="1">
        <f t="array" aca="1" ref="AK34" ca="1">IF(AB34="*","",IFERROR(INDEX(AGR!$R$52:$AC$73,MATCH($C34,AGR!$B$52:$B$73,0),MATCH('TS DMARK'!$H34&amp;'TS DMARK'!AK$7,AGR!$R$46:$AC$46&amp;AGR!$R$49:$AC$49,0)),""))</f>
        <v/>
      </c>
      <c r="AL34" s="297" t="str" cm="1">
        <f t="array" aca="1" ref="AL34" ca="1">IF(AC34="*","",IFERROR(INDEX(AGR!$R$52:$AC$73,MATCH($C34,AGR!$B$52:$B$73,0),MATCH('TS DMARK'!$H34&amp;'TS DMARK'!AL$7,AGR!$R$46:$AC$46&amp;AGR!$R$49:$AC$49,0)),""))</f>
        <v/>
      </c>
      <c r="AM34" s="297" t="str" cm="1">
        <f t="array" aca="1" ref="AM34" ca="1">IF(AD34="*","",IFERROR(INDEX(AGR!$R$52:$AC$73,MATCH($C34,AGR!$B$52:$B$73,0),MATCH('TS DMARK'!$H34&amp;'TS DMARK'!AM$7,AGR!$R$46:$AC$46&amp;AGR!$R$49:$AC$49,0)),""))</f>
        <v/>
      </c>
      <c r="AN34" s="297" t="str" cm="1">
        <f t="array" aca="1" ref="AN34" ca="1">IF(AE34="*","",IFERROR(INDEX(AGR!$R$52:$AC$73,MATCH($C34,AGR!$B$52:$B$73,0),MATCH('TS DMARK'!$H34&amp;'TS DMARK'!AN$7,AGR!$R$46:$AC$46&amp;AGR!$R$49:$AC$49,0)),""))</f>
        <v/>
      </c>
      <c r="AO34" s="297" t="str" cm="1">
        <f t="array" aca="1" ref="AO34" ca="1">IF(AF34="*","",IFERROR(INDEX(AGR!$R$52:$AC$73,MATCH($C34,AGR!$B$52:$B$73,0),MATCH('TS DMARK'!$H34&amp;'TS DMARK'!AO$7,AGR!$R$46:$AC$46&amp;AGR!$R$49:$AC$49,0)),""))</f>
        <v/>
      </c>
      <c r="AP34" s="297" t="str" cm="1">
        <f t="array" aca="1" ref="AP34" ca="1">IF(AG34="*","",IFERROR(INDEX(AGR!$R$52:$AC$73,MATCH($C34,AGR!$B$52:$B$73,0),MATCH('TS DMARK'!$H34&amp;'TS DMARK'!AP$7,AGR!$R$46:$AC$46&amp;AGR!$R$49:$AC$49,0)),""))</f>
        <v/>
      </c>
      <c r="AQ34" s="238">
        <f>IF(AR33=AGR!$AD$74,AQ33+1,AQ33)</f>
        <v>1</v>
      </c>
      <c r="AR34" s="238">
        <f t="shared" si="7"/>
        <v>22</v>
      </c>
    </row>
    <row r="35" spans="1:44">
      <c r="A35" s="238" t="str">
        <f ca="1">IF(LEFT(OFFSET(AGR!$A$51,AR35,0),2)="\I","*","")</f>
        <v>*</v>
      </c>
      <c r="B35" s="243" t="str">
        <f t="shared" ca="1" si="0"/>
        <v/>
      </c>
      <c r="C35" s="243" t="str">
        <f ca="1">IF($A35="*","",OFFSET(AGR!$B$51,AR35,0))</f>
        <v/>
      </c>
      <c r="D35" s="298" t="str">
        <f t="shared" ca="1" si="3"/>
        <v/>
      </c>
      <c r="E35" s="298" t="str">
        <f t="shared" ca="1" si="5"/>
        <v/>
      </c>
      <c r="F35" s="298" t="str">
        <f t="shared" ca="1" si="5"/>
        <v/>
      </c>
      <c r="G35" s="298" t="str">
        <f t="shared" ca="1" si="6"/>
        <v/>
      </c>
      <c r="H35" s="298" t="str">
        <f t="shared" ca="1" si="6"/>
        <v/>
      </c>
      <c r="I35" s="298" t="str">
        <f t="shared" ca="1" si="6"/>
        <v/>
      </c>
      <c r="J35" s="297" t="str" cm="1">
        <f t="array" aca="1" ref="J35" ca="1">IF(A35="*","",IFERROR(INDEX(AGR!$R$52:$AC$73,MATCH($C35,AGR!$B$52:$B$73,0),MATCH('TS DMARK'!$H35&amp;'TS DMARK'!J$7,AGR!$R$46:$AC$46&amp;AGR!$R$49:$AC$49,0)),""))</f>
        <v/>
      </c>
      <c r="K35" s="297" t="str" cm="1">
        <f t="array" aca="1" ref="K35" ca="1">IF(B35="*","",IFERROR(INDEX(AGR!$R$52:$AC$73,MATCH($C35,AGR!$B$52:$B$73,0),MATCH('TS DMARK'!$H35&amp;'TS DMARK'!K$7,AGR!$R$46:$AC$46&amp;AGR!$R$49:$AC$49,0)),""))</f>
        <v/>
      </c>
      <c r="L35" s="297" t="str" cm="1">
        <f t="array" aca="1" ref="L35" ca="1">IF(C35="*","",IFERROR(INDEX(AGR!$R$52:$AC$73,MATCH($C35,AGR!$B$52:$B$73,0),MATCH('TS DMARK'!$H35&amp;'TS DMARK'!L$7,AGR!$R$46:$AC$46&amp;AGR!$R$49:$AC$49,0)),""))</f>
        <v/>
      </c>
      <c r="M35" s="297" t="str" cm="1">
        <f t="array" aca="1" ref="M35" ca="1">IF(D35="*","",IFERROR(INDEX(AGR!$R$52:$AC$73,MATCH($C35,AGR!$B$52:$B$73,0),MATCH('TS DMARK'!$H35&amp;'TS DMARK'!M$7,AGR!$R$46:$AC$46&amp;AGR!$R$49:$AC$49,0)),""))</f>
        <v/>
      </c>
      <c r="N35" s="297" t="str" cm="1">
        <f t="array" aca="1" ref="N35" ca="1">IF(E35="*","",IFERROR(INDEX(AGR!$R$52:$AC$73,MATCH($C35,AGR!$B$52:$B$73,0),MATCH('TS DMARK'!$H35&amp;'TS DMARK'!N$7,AGR!$R$46:$AC$46&amp;AGR!$R$49:$AC$49,0)),""))</f>
        <v/>
      </c>
      <c r="O35" s="297" t="str" cm="1">
        <f t="array" aca="1" ref="O35" ca="1">IF(F35="*","",IFERROR(INDEX(AGR!$R$52:$AC$73,MATCH($C35,AGR!$B$52:$B$73,0),MATCH('TS DMARK'!$H35&amp;'TS DMARK'!O$7,AGR!$R$46:$AC$46&amp;AGR!$R$49:$AC$49,0)),""))</f>
        <v/>
      </c>
      <c r="P35" s="297" t="str" cm="1">
        <f t="array" aca="1" ref="P35" ca="1">IF(G35="*","",IFERROR(INDEX(AGR!$R$52:$AC$73,MATCH($C35,AGR!$B$52:$B$73,0),MATCH('TS DMARK'!$H35&amp;'TS DMARK'!P$7,AGR!$R$46:$AC$46&amp;AGR!$R$49:$AC$49,0)),""))</f>
        <v/>
      </c>
      <c r="Q35" s="297" t="str" cm="1">
        <f t="array" aca="1" ref="Q35" ca="1">IF(H35="*","",IFERROR(INDEX(AGR!$R$52:$AC$73,MATCH($C35,AGR!$B$52:$B$73,0),MATCH('TS DMARK'!$H35&amp;'TS DMARK'!Q$7,AGR!$R$46:$AC$46&amp;AGR!$R$49:$AC$49,0)),""))</f>
        <v/>
      </c>
      <c r="R35" s="297" t="str" cm="1">
        <f t="array" aca="1" ref="R35" ca="1">IF(I35="*","",IFERROR(INDEX(AGR!$R$52:$AC$73,MATCH($C35,AGR!$B$52:$B$73,0),MATCH('TS DMARK'!$H35&amp;'TS DMARK'!R$7,AGR!$R$46:$AC$46&amp;AGR!$R$49:$AC$49,0)),""))</f>
        <v/>
      </c>
      <c r="S35" s="297" t="str" cm="1">
        <f t="array" aca="1" ref="S35" ca="1">IF(J35="*","",IFERROR(INDEX(AGR!$R$52:$AC$73,MATCH($C35,AGR!$B$52:$B$73,0),MATCH('TS DMARK'!$H35&amp;'TS DMARK'!S$7,AGR!$R$46:$AC$46&amp;AGR!$R$49:$AC$49,0)),""))</f>
        <v/>
      </c>
      <c r="T35" s="297" t="str" cm="1">
        <f t="array" aca="1" ref="T35" ca="1">IF(K35="*","",IFERROR(INDEX(AGR!$R$52:$AC$73,MATCH($C35,AGR!$B$52:$B$73,0),MATCH('TS DMARK'!$H35&amp;'TS DMARK'!T$7,AGR!$R$46:$AC$46&amp;AGR!$R$49:$AC$49,0)),""))</f>
        <v/>
      </c>
      <c r="U35" s="297" t="str" cm="1">
        <f t="array" aca="1" ref="U35" ca="1">IF(L35="*","",IFERROR(INDEX(AGR!$R$52:$AC$73,MATCH($C35,AGR!$B$52:$B$73,0),MATCH('TS DMARK'!$H35&amp;'TS DMARK'!U$7,AGR!$R$46:$AC$46&amp;AGR!$R$49:$AC$49,0)),""))</f>
        <v/>
      </c>
      <c r="V35" s="297" t="str" cm="1">
        <f t="array" aca="1" ref="V35" ca="1">IF(M35="*","",IFERROR(INDEX(AGR!$R$52:$AC$73,MATCH($C35,AGR!$B$52:$B$73,0),MATCH('TS DMARK'!$H35&amp;'TS DMARK'!V$7,AGR!$R$46:$AC$46&amp;AGR!$R$49:$AC$49,0)),""))</f>
        <v/>
      </c>
      <c r="W35" s="297" t="str" cm="1">
        <f t="array" aca="1" ref="W35" ca="1">IF(N35="*","",IFERROR(INDEX(AGR!$R$52:$AC$73,MATCH($C35,AGR!$B$52:$B$73,0),MATCH('TS DMARK'!$H35&amp;'TS DMARK'!W$7,AGR!$R$46:$AC$46&amp;AGR!$R$49:$AC$49,0)),""))</f>
        <v/>
      </c>
      <c r="X35" s="297" t="str" cm="1">
        <f t="array" aca="1" ref="X35" ca="1">IF(O35="*","",IFERROR(INDEX(AGR!$R$52:$AC$73,MATCH($C35,AGR!$B$52:$B$73,0),MATCH('TS DMARK'!$H35&amp;'TS DMARK'!X$7,AGR!$R$46:$AC$46&amp;AGR!$R$49:$AC$49,0)),""))</f>
        <v/>
      </c>
      <c r="Y35" s="297" t="str" cm="1">
        <f t="array" aca="1" ref="Y35" ca="1">IF(P35="*","",IFERROR(INDEX(AGR!$R$52:$AC$73,MATCH($C35,AGR!$B$52:$B$73,0),MATCH('TS DMARK'!$H35&amp;'TS DMARK'!Y$7,AGR!$R$46:$AC$46&amp;AGR!$R$49:$AC$49,0)),""))</f>
        <v/>
      </c>
      <c r="Z35" s="297" t="str" cm="1">
        <f t="array" aca="1" ref="Z35" ca="1">IF(Q35="*","",IFERROR(INDEX(AGR!$R$52:$AC$73,MATCH($C35,AGR!$B$52:$B$73,0),MATCH('TS DMARK'!$H35&amp;'TS DMARK'!Z$7,AGR!$R$46:$AC$46&amp;AGR!$R$49:$AC$49,0)),""))</f>
        <v/>
      </c>
      <c r="AA35" s="297" t="str" cm="1">
        <f t="array" aca="1" ref="AA35" ca="1">IF(R35="*","",IFERROR(INDEX(AGR!$R$52:$AC$73,MATCH($C35,AGR!$B$52:$B$73,0),MATCH('TS DMARK'!$H35&amp;'TS DMARK'!AA$7,AGR!$R$46:$AC$46&amp;AGR!$R$49:$AC$49,0)),""))</f>
        <v/>
      </c>
      <c r="AB35" s="297" t="str" cm="1">
        <f t="array" aca="1" ref="AB35" ca="1">IF(S35="*","",IFERROR(INDEX(AGR!$R$52:$AC$73,MATCH($C35,AGR!$B$52:$B$73,0),MATCH('TS DMARK'!$H35&amp;'TS DMARK'!AB$7,AGR!$R$46:$AC$46&amp;AGR!$R$49:$AC$49,0)),""))</f>
        <v/>
      </c>
      <c r="AC35" s="297" t="str" cm="1">
        <f t="array" aca="1" ref="AC35" ca="1">IF(T35="*","",IFERROR(INDEX(AGR!$R$52:$AC$73,MATCH($C35,AGR!$B$52:$B$73,0),MATCH('TS DMARK'!$H35&amp;'TS DMARK'!AC$7,AGR!$R$46:$AC$46&amp;AGR!$R$49:$AC$49,0)),""))</f>
        <v/>
      </c>
      <c r="AD35" s="297" t="str" cm="1">
        <f t="array" aca="1" ref="AD35" ca="1">IF(U35="*","",IFERROR(INDEX(AGR!$R$52:$AC$73,MATCH($C35,AGR!$B$52:$B$73,0),MATCH('TS DMARK'!$H35&amp;'TS DMARK'!AD$7,AGR!$R$46:$AC$46&amp;AGR!$R$49:$AC$49,0)),""))</f>
        <v/>
      </c>
      <c r="AE35" s="297" t="str" cm="1">
        <f t="array" aca="1" ref="AE35" ca="1">IF(V35="*","",IFERROR(INDEX(AGR!$R$52:$AC$73,MATCH($C35,AGR!$B$52:$B$73,0),MATCH('TS DMARK'!$H35&amp;'TS DMARK'!AE$7,AGR!$R$46:$AC$46&amp;AGR!$R$49:$AC$49,0)),""))</f>
        <v/>
      </c>
      <c r="AF35" s="297" t="str" cm="1">
        <f t="array" aca="1" ref="AF35" ca="1">IF(W35="*","",IFERROR(INDEX(AGR!$R$52:$AC$73,MATCH($C35,AGR!$B$52:$B$73,0),MATCH('TS DMARK'!$H35&amp;'TS DMARK'!AF$7,AGR!$R$46:$AC$46&amp;AGR!$R$49:$AC$49,0)),""))</f>
        <v/>
      </c>
      <c r="AG35" s="297" t="str" cm="1">
        <f t="array" aca="1" ref="AG35" ca="1">IF(X35="*","",IFERROR(INDEX(AGR!$R$52:$AC$73,MATCH($C35,AGR!$B$52:$B$73,0),MATCH('TS DMARK'!$H35&amp;'TS DMARK'!AG$7,AGR!$R$46:$AC$46&amp;AGR!$R$49:$AC$49,0)),""))</f>
        <v/>
      </c>
      <c r="AH35" s="297" t="str" cm="1">
        <f t="array" aca="1" ref="AH35" ca="1">IF(Y35="*","",IFERROR(INDEX(AGR!$R$52:$AC$73,MATCH($C35,AGR!$B$52:$B$73,0),MATCH('TS DMARK'!$H35&amp;'TS DMARK'!AH$7,AGR!$R$46:$AC$46&amp;AGR!$R$49:$AC$49,0)),""))</f>
        <v/>
      </c>
      <c r="AI35" s="297" t="str" cm="1">
        <f t="array" aca="1" ref="AI35" ca="1">IF(Z35="*","",IFERROR(INDEX(AGR!$R$52:$AC$73,MATCH($C35,AGR!$B$52:$B$73,0),MATCH('TS DMARK'!$H35&amp;'TS DMARK'!AI$7,AGR!$R$46:$AC$46&amp;AGR!$R$49:$AC$49,0)),""))</f>
        <v/>
      </c>
      <c r="AJ35" s="297" t="str" cm="1">
        <f t="array" aca="1" ref="AJ35" ca="1">IF(AA35="*","",IFERROR(INDEX(AGR!$R$52:$AC$73,MATCH($C35,AGR!$B$52:$B$73,0),MATCH('TS DMARK'!$H35&amp;'TS DMARK'!AJ$7,AGR!$R$46:$AC$46&amp;AGR!$R$49:$AC$49,0)),""))</f>
        <v/>
      </c>
      <c r="AK35" s="297" t="str" cm="1">
        <f t="array" aca="1" ref="AK35" ca="1">IF(AB35="*","",IFERROR(INDEX(AGR!$R$52:$AC$73,MATCH($C35,AGR!$B$52:$B$73,0),MATCH('TS DMARK'!$H35&amp;'TS DMARK'!AK$7,AGR!$R$46:$AC$46&amp;AGR!$R$49:$AC$49,0)),""))</f>
        <v/>
      </c>
      <c r="AL35" s="297" t="str" cm="1">
        <f t="array" aca="1" ref="AL35" ca="1">IF(AC35="*","",IFERROR(INDEX(AGR!$R$52:$AC$73,MATCH($C35,AGR!$B$52:$B$73,0),MATCH('TS DMARK'!$H35&amp;'TS DMARK'!AL$7,AGR!$R$46:$AC$46&amp;AGR!$R$49:$AC$49,0)),""))</f>
        <v/>
      </c>
      <c r="AM35" s="297" t="str" cm="1">
        <f t="array" aca="1" ref="AM35" ca="1">IF(AD35="*","",IFERROR(INDEX(AGR!$R$52:$AC$73,MATCH($C35,AGR!$B$52:$B$73,0),MATCH('TS DMARK'!$H35&amp;'TS DMARK'!AM$7,AGR!$R$46:$AC$46&amp;AGR!$R$49:$AC$49,0)),""))</f>
        <v/>
      </c>
      <c r="AN35" s="297" t="str" cm="1">
        <f t="array" aca="1" ref="AN35" ca="1">IF(AE35="*","",IFERROR(INDEX(AGR!$R$52:$AC$73,MATCH($C35,AGR!$B$52:$B$73,0),MATCH('TS DMARK'!$H35&amp;'TS DMARK'!AN$7,AGR!$R$46:$AC$46&amp;AGR!$R$49:$AC$49,0)),""))</f>
        <v/>
      </c>
      <c r="AO35" s="297" t="str" cm="1">
        <f t="array" aca="1" ref="AO35" ca="1">IF(AF35="*","",IFERROR(INDEX(AGR!$R$52:$AC$73,MATCH($C35,AGR!$B$52:$B$73,0),MATCH('TS DMARK'!$H35&amp;'TS DMARK'!AO$7,AGR!$R$46:$AC$46&amp;AGR!$R$49:$AC$49,0)),""))</f>
        <v/>
      </c>
      <c r="AP35" s="297" t="str" cm="1">
        <f t="array" aca="1" ref="AP35" ca="1">IF(AG35="*","",IFERROR(INDEX(AGR!$R$52:$AC$73,MATCH($C35,AGR!$B$52:$B$73,0),MATCH('TS DMARK'!$H35&amp;'TS DMARK'!AP$7,AGR!$R$46:$AC$46&amp;AGR!$R$49:$AC$49,0)),""))</f>
        <v/>
      </c>
      <c r="AQ35" s="238">
        <f>IF(AR34=AGR!$AD$74,AQ34+1,AQ34)</f>
        <v>1</v>
      </c>
      <c r="AR35" s="238">
        <f t="shared" si="7"/>
        <v>23</v>
      </c>
    </row>
    <row r="36" spans="1:44">
      <c r="A36" s="238" t="str">
        <f ca="1">IF(LEFT(OFFSET(AGR!$A$51,AR36,0),2)="\I","*","")</f>
        <v/>
      </c>
      <c r="B36" s="243" t="str">
        <f t="shared" ca="1" si="0"/>
        <v>FLO_MARK</v>
      </c>
      <c r="C36" s="243" t="str">
        <f ca="1">IF($A36="*","",OFFSET(AGR!$B$51,AR36,0))</f>
        <v>AHCOA-E</v>
      </c>
      <c r="D36" s="298" t="str">
        <f t="shared" ca="1" si="3"/>
        <v>AH</v>
      </c>
      <c r="E36" s="298" t="str">
        <f t="shared" ca="1" si="5"/>
        <v>-</v>
      </c>
      <c r="F36" s="298" t="str">
        <f t="shared" ca="1" si="5"/>
        <v>-</v>
      </c>
      <c r="G36" s="298" t="str">
        <f t="shared" ca="1" si="6"/>
        <v>-</v>
      </c>
      <c r="H36" s="298" t="str">
        <f t="shared" ca="1" si="6"/>
        <v>LO</v>
      </c>
      <c r="I36" s="298">
        <f t="shared" ca="1" si="6"/>
        <v>3</v>
      </c>
      <c r="J36" s="297" cm="1">
        <f t="array" aca="1" ref="J36" ca="1">IF(A36="*","",IFERROR(INDEX(AGR!$R$52:$AC$73,MATCH($C36,AGR!$B$52:$B$73,0),MATCH('TS DMARK'!$H36&amp;'TS DMARK'!J$7,AGR!$R$46:$AC$46&amp;AGR!$R$49:$AC$49,0)),""))</f>
        <v>0.20885466502518607</v>
      </c>
      <c r="K36" s="297" t="str" cm="1">
        <f t="array" aca="1" ref="K36" ca="1">IF(B36="*","",IFERROR(INDEX(AGR!$R$52:$AC$73,MATCH($C36,AGR!$B$52:$B$73,0),MATCH('TS DMARK'!$H36&amp;'TS DMARK'!K$7,AGR!$R$46:$AC$46&amp;AGR!$R$49:$AC$49,0)),""))</f>
        <v/>
      </c>
      <c r="L36" s="297" t="str" cm="1">
        <f t="array" aca="1" ref="L36" ca="1">IF(C36="*","",IFERROR(INDEX(AGR!$R$52:$AC$73,MATCH($C36,AGR!$B$52:$B$73,0),MATCH('TS DMARK'!$H36&amp;'TS DMARK'!L$7,AGR!$R$46:$AC$46&amp;AGR!$R$49:$AC$49,0)),""))</f>
        <v/>
      </c>
      <c r="M36" s="297" cm="1">
        <f t="array" aca="1" ref="M36" ca="1">IF(D36="*","",IFERROR(INDEX(AGR!$R$52:$AC$73,MATCH($C36,AGR!$B$52:$B$73,0),MATCH('TS DMARK'!$H36&amp;'TS DMARK'!M$7,AGR!$R$46:$AC$46&amp;AGR!$R$49:$AC$49,0)),""))</f>
        <v>0.23202983602517446</v>
      </c>
      <c r="N36" s="297" t="str" cm="1">
        <f t="array" aca="1" ref="N36" ca="1">IF(E36="*","",IFERROR(INDEX(AGR!$R$52:$AC$73,MATCH($C36,AGR!$B$52:$B$73,0),MATCH('TS DMARK'!$H36&amp;'TS DMARK'!N$7,AGR!$R$46:$AC$46&amp;AGR!$R$49:$AC$49,0)),""))</f>
        <v/>
      </c>
      <c r="O36" s="297" cm="1">
        <f t="array" aca="1" ref="O36" ca="1">IF(F36="*","",IFERROR(INDEX(AGR!$R$52:$AC$73,MATCH($C36,AGR!$B$52:$B$73,0),MATCH('TS DMARK'!$H36&amp;'TS DMARK'!O$7,AGR!$R$46:$AC$46&amp;AGR!$R$49:$AC$49,0)),""))</f>
        <v>0.25520500702516286</v>
      </c>
      <c r="P36" s="297" t="str" cm="1">
        <f t="array" aca="1" ref="P36" ca="1">IF(G36="*","",IFERROR(INDEX(AGR!$R$52:$AC$73,MATCH($C36,AGR!$B$52:$B$73,0),MATCH('TS DMARK'!$H36&amp;'TS DMARK'!P$7,AGR!$R$46:$AC$46&amp;AGR!$R$49:$AC$49,0)),""))</f>
        <v/>
      </c>
      <c r="Q36" s="297" t="str" cm="1">
        <f t="array" aca="1" ref="Q36" ca="1">IF(H36="*","",IFERROR(INDEX(AGR!$R$52:$AC$73,MATCH($C36,AGR!$B$52:$B$73,0),MATCH('TS DMARK'!$H36&amp;'TS DMARK'!Q$7,AGR!$R$46:$AC$46&amp;AGR!$R$49:$AC$49,0)),""))</f>
        <v/>
      </c>
      <c r="R36" s="297" t="str" cm="1">
        <f t="array" aca="1" ref="R36" ca="1">IF(I36="*","",IFERROR(INDEX(AGR!$R$52:$AC$73,MATCH($C36,AGR!$B$52:$B$73,0),MATCH('TS DMARK'!$H36&amp;'TS DMARK'!R$7,AGR!$R$46:$AC$46&amp;AGR!$R$49:$AC$49,0)),""))</f>
        <v/>
      </c>
      <c r="S36" s="297" t="str" cm="1">
        <f t="array" aca="1" ref="S36" ca="1">IF(J36="*","",IFERROR(INDEX(AGR!$R$52:$AC$73,MATCH($C36,AGR!$B$52:$B$73,0),MATCH('TS DMARK'!$H36&amp;'TS DMARK'!S$7,AGR!$R$46:$AC$46&amp;AGR!$R$49:$AC$49,0)),""))</f>
        <v/>
      </c>
      <c r="T36" s="297" t="str" cm="1">
        <f t="array" aca="1" ref="T36" ca="1">IF(K36="*","",IFERROR(INDEX(AGR!$R$52:$AC$73,MATCH($C36,AGR!$B$52:$B$73,0),MATCH('TS DMARK'!$H36&amp;'TS DMARK'!T$7,AGR!$R$46:$AC$46&amp;AGR!$R$49:$AC$49,0)),""))</f>
        <v/>
      </c>
      <c r="U36" s="297" t="str" cm="1">
        <f t="array" aca="1" ref="U36" ca="1">IF(L36="*","",IFERROR(INDEX(AGR!$R$52:$AC$73,MATCH($C36,AGR!$B$52:$B$73,0),MATCH('TS DMARK'!$H36&amp;'TS DMARK'!U$7,AGR!$R$46:$AC$46&amp;AGR!$R$49:$AC$49,0)),""))</f>
        <v/>
      </c>
      <c r="V36" s="297" t="str" cm="1">
        <f t="array" aca="1" ref="V36" ca="1">IF(M36="*","",IFERROR(INDEX(AGR!$R$52:$AC$73,MATCH($C36,AGR!$B$52:$B$73,0),MATCH('TS DMARK'!$H36&amp;'TS DMARK'!V$7,AGR!$R$46:$AC$46&amp;AGR!$R$49:$AC$49,0)),""))</f>
        <v/>
      </c>
      <c r="W36" s="297" t="str" cm="1">
        <f t="array" aca="1" ref="W36" ca="1">IF(N36="*","",IFERROR(INDEX(AGR!$R$52:$AC$73,MATCH($C36,AGR!$B$52:$B$73,0),MATCH('TS DMARK'!$H36&amp;'TS DMARK'!W$7,AGR!$R$46:$AC$46&amp;AGR!$R$49:$AC$49,0)),""))</f>
        <v/>
      </c>
      <c r="X36" s="297" t="str" cm="1">
        <f t="array" aca="1" ref="X36" ca="1">IF(O36="*","",IFERROR(INDEX(AGR!$R$52:$AC$73,MATCH($C36,AGR!$B$52:$B$73,0),MATCH('TS DMARK'!$H36&amp;'TS DMARK'!X$7,AGR!$R$46:$AC$46&amp;AGR!$R$49:$AC$49,0)),""))</f>
        <v/>
      </c>
      <c r="Y36" s="297" t="str" cm="1">
        <f t="array" aca="1" ref="Y36" ca="1">IF(P36="*","",IFERROR(INDEX(AGR!$R$52:$AC$73,MATCH($C36,AGR!$B$52:$B$73,0),MATCH('TS DMARK'!$H36&amp;'TS DMARK'!Y$7,AGR!$R$46:$AC$46&amp;AGR!$R$49:$AC$49,0)),""))</f>
        <v/>
      </c>
      <c r="Z36" s="297" t="str" cm="1">
        <f t="array" aca="1" ref="Z36" ca="1">IF(Q36="*","",IFERROR(INDEX(AGR!$R$52:$AC$73,MATCH($C36,AGR!$B$52:$B$73,0),MATCH('TS DMARK'!$H36&amp;'TS DMARK'!Z$7,AGR!$R$46:$AC$46&amp;AGR!$R$49:$AC$49,0)),""))</f>
        <v/>
      </c>
      <c r="AA36" s="297" t="str" cm="1">
        <f t="array" aca="1" ref="AA36" ca="1">IF(R36="*","",IFERROR(INDEX(AGR!$R$52:$AC$73,MATCH($C36,AGR!$B$52:$B$73,0),MATCH('TS DMARK'!$H36&amp;'TS DMARK'!AA$7,AGR!$R$46:$AC$46&amp;AGR!$R$49:$AC$49,0)),""))</f>
        <v/>
      </c>
      <c r="AB36" s="297" cm="1">
        <f t="array" aca="1" ref="AB36" ca="1">IF(S36="*","",IFERROR(INDEX(AGR!$R$52:$AC$73,MATCH($C36,AGR!$B$52:$B$73,0),MATCH('TS DMARK'!$H36&amp;'TS DMARK'!AB$7,AGR!$R$46:$AC$46&amp;AGR!$R$49:$AC$49,0)),""))</f>
        <v>5.2213666256296518E-2</v>
      </c>
      <c r="AC36" s="297" t="str" cm="1">
        <f t="array" aca="1" ref="AC36" ca="1">IF(T36="*","",IFERROR(INDEX(AGR!$R$52:$AC$73,MATCH($C36,AGR!$B$52:$B$73,0),MATCH('TS DMARK'!$H36&amp;'TS DMARK'!AC$7,AGR!$R$46:$AC$46&amp;AGR!$R$49:$AC$49,0)),""))</f>
        <v/>
      </c>
      <c r="AD36" s="297" t="str" cm="1">
        <f t="array" aca="1" ref="AD36" ca="1">IF(U36="*","",IFERROR(INDEX(AGR!$R$52:$AC$73,MATCH($C36,AGR!$B$52:$B$73,0),MATCH('TS DMARK'!$H36&amp;'TS DMARK'!AD$7,AGR!$R$46:$AC$46&amp;AGR!$R$49:$AC$49,0)),""))</f>
        <v/>
      </c>
      <c r="AE36" s="297" t="str" cm="1">
        <f t="array" aca="1" ref="AE36" ca="1">IF(V36="*","",IFERROR(INDEX(AGR!$R$52:$AC$73,MATCH($C36,AGR!$B$52:$B$73,0),MATCH('TS DMARK'!$H36&amp;'TS DMARK'!AE$7,AGR!$R$46:$AC$46&amp;AGR!$R$49:$AC$49,0)),""))</f>
        <v/>
      </c>
      <c r="AF36" s="297" t="str" cm="1">
        <f t="array" aca="1" ref="AF36" ca="1">IF(W36="*","",IFERROR(INDEX(AGR!$R$52:$AC$73,MATCH($C36,AGR!$B$52:$B$73,0),MATCH('TS DMARK'!$H36&amp;'TS DMARK'!AF$7,AGR!$R$46:$AC$46&amp;AGR!$R$49:$AC$49,0)),""))</f>
        <v/>
      </c>
      <c r="AG36" s="297" t="str" cm="1">
        <f t="array" aca="1" ref="AG36" ca="1">IF(X36="*","",IFERROR(INDEX(AGR!$R$52:$AC$73,MATCH($C36,AGR!$B$52:$B$73,0),MATCH('TS DMARK'!$H36&amp;'TS DMARK'!AG$7,AGR!$R$46:$AC$46&amp;AGR!$R$49:$AC$49,0)),""))</f>
        <v/>
      </c>
      <c r="AH36" s="297" t="str" cm="1">
        <f t="array" aca="1" ref="AH36" ca="1">IF(Y36="*","",IFERROR(INDEX(AGR!$R$52:$AC$73,MATCH($C36,AGR!$B$52:$B$73,0),MATCH('TS DMARK'!$H36&amp;'TS DMARK'!AH$7,AGR!$R$46:$AC$46&amp;AGR!$R$49:$AC$49,0)),""))</f>
        <v/>
      </c>
      <c r="AI36" s="297" t="str" cm="1">
        <f t="array" aca="1" ref="AI36" ca="1">IF(Z36="*","",IFERROR(INDEX(AGR!$R$52:$AC$73,MATCH($C36,AGR!$B$52:$B$73,0),MATCH('TS DMARK'!$H36&amp;'TS DMARK'!AI$7,AGR!$R$46:$AC$46&amp;AGR!$R$49:$AC$49,0)),""))</f>
        <v/>
      </c>
      <c r="AJ36" s="297" t="str" cm="1">
        <f t="array" aca="1" ref="AJ36" ca="1">IF(AA36="*","",IFERROR(INDEX(AGR!$R$52:$AC$73,MATCH($C36,AGR!$B$52:$B$73,0),MATCH('TS DMARK'!$H36&amp;'TS DMARK'!AJ$7,AGR!$R$46:$AC$46&amp;AGR!$R$49:$AC$49,0)),""))</f>
        <v/>
      </c>
      <c r="AK36" s="297" t="str" cm="1">
        <f t="array" aca="1" ref="AK36" ca="1">IF(AB36="*","",IFERROR(INDEX(AGR!$R$52:$AC$73,MATCH($C36,AGR!$B$52:$B$73,0),MATCH('TS DMARK'!$H36&amp;'TS DMARK'!AK$7,AGR!$R$46:$AC$46&amp;AGR!$R$49:$AC$49,0)),""))</f>
        <v/>
      </c>
      <c r="AL36" s="297" t="str" cm="1">
        <f t="array" aca="1" ref="AL36" ca="1">IF(AC36="*","",IFERROR(INDEX(AGR!$R$52:$AC$73,MATCH($C36,AGR!$B$52:$B$73,0),MATCH('TS DMARK'!$H36&amp;'TS DMARK'!AL$7,AGR!$R$46:$AC$46&amp;AGR!$R$49:$AC$49,0)),""))</f>
        <v/>
      </c>
      <c r="AM36" s="297" t="str" cm="1">
        <f t="array" aca="1" ref="AM36" ca="1">IF(AD36="*","",IFERROR(INDEX(AGR!$R$52:$AC$73,MATCH($C36,AGR!$B$52:$B$73,0),MATCH('TS DMARK'!$H36&amp;'TS DMARK'!AM$7,AGR!$R$46:$AC$46&amp;AGR!$R$49:$AC$49,0)),""))</f>
        <v/>
      </c>
      <c r="AN36" s="297" cm="1">
        <f t="array" aca="1" ref="AN36" ca="1">IF(AE36="*","",IFERROR(INDEX(AGR!$R$52:$AC$73,MATCH($C36,AGR!$B$52:$B$73,0),MATCH('TS DMARK'!$H36&amp;'TS DMARK'!AN$7,AGR!$R$46:$AC$46&amp;AGR!$R$49:$AC$49,0)),""))</f>
        <v>0</v>
      </c>
      <c r="AO36" s="297" t="str" cm="1">
        <f t="array" aca="1" ref="AO36" ca="1">IF(AF36="*","",IFERROR(INDEX(AGR!$R$52:$AC$73,MATCH($C36,AGR!$B$52:$B$73,0),MATCH('TS DMARK'!$H36&amp;'TS DMARK'!AO$7,AGR!$R$46:$AC$46&amp;AGR!$R$49:$AC$49,0)),""))</f>
        <v/>
      </c>
      <c r="AP36" s="297" cm="1">
        <f t="array" aca="1" ref="AP36" ca="1">IF(AG36="*","",IFERROR(INDEX(AGR!$R$52:$AC$73,MATCH($C36,AGR!$B$52:$B$73,0),MATCH('TS DMARK'!$H36&amp;'TS DMARK'!AP$7,AGR!$R$46:$AC$46&amp;AGR!$R$49:$AC$49,0)),""))</f>
        <v>0</v>
      </c>
      <c r="AQ36" s="238">
        <f>IF(AR35=AGR!$AD$74,AQ35+1,AQ35)</f>
        <v>2</v>
      </c>
      <c r="AR36" s="238">
        <f>IF(AQ36=AQ35,AR35+1,1)</f>
        <v>1</v>
      </c>
    </row>
    <row r="37" spans="1:44">
      <c r="A37" s="238" t="str">
        <f ca="1">IF(LEFT(OFFSET(AGR!$A$51,AR37,0),2)="\I","*","")</f>
        <v/>
      </c>
      <c r="B37" s="243" t="str">
        <f t="shared" ca="1" si="0"/>
        <v>FLO_MARK</v>
      </c>
      <c r="C37" s="243" t="str">
        <f ca="1">IF($A37="*","",OFFSET(AGR!$B$51,AR37,0))</f>
        <v>AHOHF-E</v>
      </c>
      <c r="D37" s="298" t="str">
        <f t="shared" ca="1" si="3"/>
        <v>AH</v>
      </c>
      <c r="E37" s="298" t="str">
        <f t="shared" ca="1" si="5"/>
        <v>-</v>
      </c>
      <c r="F37" s="298" t="str">
        <f t="shared" ca="1" si="5"/>
        <v>-</v>
      </c>
      <c r="G37" s="298" t="str">
        <f t="shared" ca="1" si="6"/>
        <v>-</v>
      </c>
      <c r="H37" s="298" t="str">
        <f t="shared" ca="1" si="6"/>
        <v>LO</v>
      </c>
      <c r="I37" s="298">
        <f t="shared" ca="1" si="6"/>
        <v>3</v>
      </c>
      <c r="J37" s="297" cm="1">
        <f t="array" aca="1" ref="J37" ca="1">IF(A37="*","",IFERROR(INDEX(AGR!$R$52:$AC$73,MATCH($C37,AGR!$B$52:$B$73,0),MATCH('TS DMARK'!$H37&amp;'TS DMARK'!J$7,AGR!$R$46:$AC$46&amp;AGR!$R$49:$AC$49,0)),""))</f>
        <v>0</v>
      </c>
      <c r="K37" s="297" t="str" cm="1">
        <f t="array" aca="1" ref="K37" ca="1">IF(B37="*","",IFERROR(INDEX(AGR!$R$52:$AC$73,MATCH($C37,AGR!$B$52:$B$73,0),MATCH('TS DMARK'!$H37&amp;'TS DMARK'!K$7,AGR!$R$46:$AC$46&amp;AGR!$R$49:$AC$49,0)),""))</f>
        <v/>
      </c>
      <c r="L37" s="297" t="str" cm="1">
        <f t="array" aca="1" ref="L37" ca="1">IF(C37="*","",IFERROR(INDEX(AGR!$R$52:$AC$73,MATCH($C37,AGR!$B$52:$B$73,0),MATCH('TS DMARK'!$H37&amp;'TS DMARK'!L$7,AGR!$R$46:$AC$46&amp;AGR!$R$49:$AC$49,0)),""))</f>
        <v/>
      </c>
      <c r="M37" s="297" cm="1">
        <f t="array" aca="1" ref="M37" ca="1">IF(D37="*","",IFERROR(INDEX(AGR!$R$52:$AC$73,MATCH($C37,AGR!$B$52:$B$73,0),MATCH('TS DMARK'!$H37&amp;'TS DMARK'!M$7,AGR!$R$46:$AC$46&amp;AGR!$R$49:$AC$49,0)),""))</f>
        <v>0.16758206667518202</v>
      </c>
      <c r="N37" s="297" t="str" cm="1">
        <f t="array" aca="1" ref="N37" ca="1">IF(E37="*","",IFERROR(INDEX(AGR!$R$52:$AC$73,MATCH($C37,AGR!$B$52:$B$73,0),MATCH('TS DMARK'!$H37&amp;'TS DMARK'!N$7,AGR!$R$46:$AC$46&amp;AGR!$R$49:$AC$49,0)),""))</f>
        <v/>
      </c>
      <c r="O37" s="297" cm="1">
        <f t="array" aca="1" ref="O37" ca="1">IF(F37="*","",IFERROR(INDEX(AGR!$R$52:$AC$73,MATCH($C37,AGR!$B$52:$B$73,0),MATCH('TS DMARK'!$H37&amp;'TS DMARK'!O$7,AGR!$R$46:$AC$46&amp;AGR!$R$49:$AC$49,0)),""))</f>
        <v>0.33516413335036405</v>
      </c>
      <c r="P37" s="297" t="str" cm="1">
        <f t="array" aca="1" ref="P37" ca="1">IF(G37="*","",IFERROR(INDEX(AGR!$R$52:$AC$73,MATCH($C37,AGR!$B$52:$B$73,0),MATCH('TS DMARK'!$H37&amp;'TS DMARK'!P$7,AGR!$R$46:$AC$46&amp;AGR!$R$49:$AC$49,0)),""))</f>
        <v/>
      </c>
      <c r="Q37" s="297" t="str" cm="1">
        <f t="array" aca="1" ref="Q37" ca="1">IF(H37="*","",IFERROR(INDEX(AGR!$R$52:$AC$73,MATCH($C37,AGR!$B$52:$B$73,0),MATCH('TS DMARK'!$H37&amp;'TS DMARK'!Q$7,AGR!$R$46:$AC$46&amp;AGR!$R$49:$AC$49,0)),""))</f>
        <v/>
      </c>
      <c r="R37" s="297" t="str" cm="1">
        <f t="array" aca="1" ref="R37" ca="1">IF(I37="*","",IFERROR(INDEX(AGR!$R$52:$AC$73,MATCH($C37,AGR!$B$52:$B$73,0),MATCH('TS DMARK'!$H37&amp;'TS DMARK'!R$7,AGR!$R$46:$AC$46&amp;AGR!$R$49:$AC$49,0)),""))</f>
        <v/>
      </c>
      <c r="S37" s="297" t="str" cm="1">
        <f t="array" aca="1" ref="S37" ca="1">IF(J37="*","",IFERROR(INDEX(AGR!$R$52:$AC$73,MATCH($C37,AGR!$B$52:$B$73,0),MATCH('TS DMARK'!$H37&amp;'TS DMARK'!S$7,AGR!$R$46:$AC$46&amp;AGR!$R$49:$AC$49,0)),""))</f>
        <v/>
      </c>
      <c r="T37" s="297" t="str" cm="1">
        <f t="array" aca="1" ref="T37" ca="1">IF(K37="*","",IFERROR(INDEX(AGR!$R$52:$AC$73,MATCH($C37,AGR!$B$52:$B$73,0),MATCH('TS DMARK'!$H37&amp;'TS DMARK'!T$7,AGR!$R$46:$AC$46&amp;AGR!$R$49:$AC$49,0)),""))</f>
        <v/>
      </c>
      <c r="U37" s="297" t="str" cm="1">
        <f t="array" aca="1" ref="U37" ca="1">IF(L37="*","",IFERROR(INDEX(AGR!$R$52:$AC$73,MATCH($C37,AGR!$B$52:$B$73,0),MATCH('TS DMARK'!$H37&amp;'TS DMARK'!U$7,AGR!$R$46:$AC$46&amp;AGR!$R$49:$AC$49,0)),""))</f>
        <v/>
      </c>
      <c r="V37" s="297" t="str" cm="1">
        <f t="array" aca="1" ref="V37" ca="1">IF(M37="*","",IFERROR(INDEX(AGR!$R$52:$AC$73,MATCH($C37,AGR!$B$52:$B$73,0),MATCH('TS DMARK'!$H37&amp;'TS DMARK'!V$7,AGR!$R$46:$AC$46&amp;AGR!$R$49:$AC$49,0)),""))</f>
        <v/>
      </c>
      <c r="W37" s="297" t="str" cm="1">
        <f t="array" aca="1" ref="W37" ca="1">IF(N37="*","",IFERROR(INDEX(AGR!$R$52:$AC$73,MATCH($C37,AGR!$B$52:$B$73,0),MATCH('TS DMARK'!$H37&amp;'TS DMARK'!W$7,AGR!$R$46:$AC$46&amp;AGR!$R$49:$AC$49,0)),""))</f>
        <v/>
      </c>
      <c r="X37" s="297" t="str" cm="1">
        <f t="array" aca="1" ref="X37" ca="1">IF(O37="*","",IFERROR(INDEX(AGR!$R$52:$AC$73,MATCH($C37,AGR!$B$52:$B$73,0),MATCH('TS DMARK'!$H37&amp;'TS DMARK'!X$7,AGR!$R$46:$AC$46&amp;AGR!$R$49:$AC$49,0)),""))</f>
        <v/>
      </c>
      <c r="Y37" s="297" t="str" cm="1">
        <f t="array" aca="1" ref="Y37" ca="1">IF(P37="*","",IFERROR(INDEX(AGR!$R$52:$AC$73,MATCH($C37,AGR!$B$52:$B$73,0),MATCH('TS DMARK'!$H37&amp;'TS DMARK'!Y$7,AGR!$R$46:$AC$46&amp;AGR!$R$49:$AC$49,0)),""))</f>
        <v/>
      </c>
      <c r="Z37" s="297" t="str" cm="1">
        <f t="array" aca="1" ref="Z37" ca="1">IF(Q37="*","",IFERROR(INDEX(AGR!$R$52:$AC$73,MATCH($C37,AGR!$B$52:$B$73,0),MATCH('TS DMARK'!$H37&amp;'TS DMARK'!Z$7,AGR!$R$46:$AC$46&amp;AGR!$R$49:$AC$49,0)),""))</f>
        <v/>
      </c>
      <c r="AA37" s="297" t="str" cm="1">
        <f t="array" aca="1" ref="AA37" ca="1">IF(R37="*","",IFERROR(INDEX(AGR!$R$52:$AC$73,MATCH($C37,AGR!$B$52:$B$73,0),MATCH('TS DMARK'!$H37&amp;'TS DMARK'!AA$7,AGR!$R$46:$AC$46&amp;AGR!$R$49:$AC$49,0)),""))</f>
        <v/>
      </c>
      <c r="AB37" s="297" cm="1">
        <f t="array" aca="1" ref="AB37" ca="1">IF(S37="*","",IFERROR(INDEX(AGR!$R$52:$AC$73,MATCH($C37,AGR!$B$52:$B$73,0),MATCH('TS DMARK'!$H37&amp;'TS DMARK'!AB$7,AGR!$R$46:$AC$46&amp;AGR!$R$49:$AC$49,0)),""))</f>
        <v>0</v>
      </c>
      <c r="AC37" s="297" t="str" cm="1">
        <f t="array" aca="1" ref="AC37" ca="1">IF(T37="*","",IFERROR(INDEX(AGR!$R$52:$AC$73,MATCH($C37,AGR!$B$52:$B$73,0),MATCH('TS DMARK'!$H37&amp;'TS DMARK'!AC$7,AGR!$R$46:$AC$46&amp;AGR!$R$49:$AC$49,0)),""))</f>
        <v/>
      </c>
      <c r="AD37" s="297" t="str" cm="1">
        <f t="array" aca="1" ref="AD37" ca="1">IF(U37="*","",IFERROR(INDEX(AGR!$R$52:$AC$73,MATCH($C37,AGR!$B$52:$B$73,0),MATCH('TS DMARK'!$H37&amp;'TS DMARK'!AD$7,AGR!$R$46:$AC$46&amp;AGR!$R$49:$AC$49,0)),""))</f>
        <v/>
      </c>
      <c r="AE37" s="297" t="str" cm="1">
        <f t="array" aca="1" ref="AE37" ca="1">IF(V37="*","",IFERROR(INDEX(AGR!$R$52:$AC$73,MATCH($C37,AGR!$B$52:$B$73,0),MATCH('TS DMARK'!$H37&amp;'TS DMARK'!AE$7,AGR!$R$46:$AC$46&amp;AGR!$R$49:$AC$49,0)),""))</f>
        <v/>
      </c>
      <c r="AF37" s="297" t="str" cm="1">
        <f t="array" aca="1" ref="AF37" ca="1">IF(W37="*","",IFERROR(INDEX(AGR!$R$52:$AC$73,MATCH($C37,AGR!$B$52:$B$73,0),MATCH('TS DMARK'!$H37&amp;'TS DMARK'!AF$7,AGR!$R$46:$AC$46&amp;AGR!$R$49:$AC$49,0)),""))</f>
        <v/>
      </c>
      <c r="AG37" s="297" t="str" cm="1">
        <f t="array" aca="1" ref="AG37" ca="1">IF(X37="*","",IFERROR(INDEX(AGR!$R$52:$AC$73,MATCH($C37,AGR!$B$52:$B$73,0),MATCH('TS DMARK'!$H37&amp;'TS DMARK'!AG$7,AGR!$R$46:$AC$46&amp;AGR!$R$49:$AC$49,0)),""))</f>
        <v/>
      </c>
      <c r="AH37" s="297" t="str" cm="1">
        <f t="array" aca="1" ref="AH37" ca="1">IF(Y37="*","",IFERROR(INDEX(AGR!$R$52:$AC$73,MATCH($C37,AGR!$B$52:$B$73,0),MATCH('TS DMARK'!$H37&amp;'TS DMARK'!AH$7,AGR!$R$46:$AC$46&amp;AGR!$R$49:$AC$49,0)),""))</f>
        <v/>
      </c>
      <c r="AI37" s="297" t="str" cm="1">
        <f t="array" aca="1" ref="AI37" ca="1">IF(Z37="*","",IFERROR(INDEX(AGR!$R$52:$AC$73,MATCH($C37,AGR!$B$52:$B$73,0),MATCH('TS DMARK'!$H37&amp;'TS DMARK'!AI$7,AGR!$R$46:$AC$46&amp;AGR!$R$49:$AC$49,0)),""))</f>
        <v/>
      </c>
      <c r="AJ37" s="297" t="str" cm="1">
        <f t="array" aca="1" ref="AJ37" ca="1">IF(AA37="*","",IFERROR(INDEX(AGR!$R$52:$AC$73,MATCH($C37,AGR!$B$52:$B$73,0),MATCH('TS DMARK'!$H37&amp;'TS DMARK'!AJ$7,AGR!$R$46:$AC$46&amp;AGR!$R$49:$AC$49,0)),""))</f>
        <v/>
      </c>
      <c r="AK37" s="297" t="str" cm="1">
        <f t="array" aca="1" ref="AK37" ca="1">IF(AB37="*","",IFERROR(INDEX(AGR!$R$52:$AC$73,MATCH($C37,AGR!$B$52:$B$73,0),MATCH('TS DMARK'!$H37&amp;'TS DMARK'!AK$7,AGR!$R$46:$AC$46&amp;AGR!$R$49:$AC$49,0)),""))</f>
        <v/>
      </c>
      <c r="AL37" s="297" t="str" cm="1">
        <f t="array" aca="1" ref="AL37" ca="1">IF(AC37="*","",IFERROR(INDEX(AGR!$R$52:$AC$73,MATCH($C37,AGR!$B$52:$B$73,0),MATCH('TS DMARK'!$H37&amp;'TS DMARK'!AL$7,AGR!$R$46:$AC$46&amp;AGR!$R$49:$AC$49,0)),""))</f>
        <v/>
      </c>
      <c r="AM37" s="297" t="str" cm="1">
        <f t="array" aca="1" ref="AM37" ca="1">IF(AD37="*","",IFERROR(INDEX(AGR!$R$52:$AC$73,MATCH($C37,AGR!$B$52:$B$73,0),MATCH('TS DMARK'!$H37&amp;'TS DMARK'!AM$7,AGR!$R$46:$AC$46&amp;AGR!$R$49:$AC$49,0)),""))</f>
        <v/>
      </c>
      <c r="AN37" s="297" cm="1">
        <f t="array" aca="1" ref="AN37" ca="1">IF(AE37="*","",IFERROR(INDEX(AGR!$R$52:$AC$73,MATCH($C37,AGR!$B$52:$B$73,0),MATCH('TS DMARK'!$H37&amp;'TS DMARK'!AN$7,AGR!$R$46:$AC$46&amp;AGR!$R$49:$AC$49,0)),""))</f>
        <v>0</v>
      </c>
      <c r="AO37" s="297" t="str" cm="1">
        <f t="array" aca="1" ref="AO37" ca="1">IF(AF37="*","",IFERROR(INDEX(AGR!$R$52:$AC$73,MATCH($C37,AGR!$B$52:$B$73,0),MATCH('TS DMARK'!$H37&amp;'TS DMARK'!AO$7,AGR!$R$46:$AC$46&amp;AGR!$R$49:$AC$49,0)),""))</f>
        <v/>
      </c>
      <c r="AP37" s="297" cm="1">
        <f t="array" aca="1" ref="AP37" ca="1">IF(AG37="*","",IFERROR(INDEX(AGR!$R$52:$AC$73,MATCH($C37,AGR!$B$52:$B$73,0),MATCH('TS DMARK'!$H37&amp;'TS DMARK'!AP$7,AGR!$R$46:$AC$46&amp;AGR!$R$49:$AC$49,0)),""))</f>
        <v>0</v>
      </c>
      <c r="AQ37" s="238">
        <f>IF(AR36=AGR!$AD$74,AQ36+1,AQ36)</f>
        <v>2</v>
      </c>
      <c r="AR37" s="238">
        <f t="shared" si="7"/>
        <v>2</v>
      </c>
    </row>
    <row r="38" spans="1:44">
      <c r="A38" s="238" t="str">
        <f ca="1">IF(LEFT(OFFSET(AGR!$A$51,AR38,0),2)="\I","*","")</f>
        <v/>
      </c>
      <c r="B38" s="243" t="str">
        <f t="shared" ca="1" si="0"/>
        <v>FLO_MARK</v>
      </c>
      <c r="C38" s="243" t="str">
        <f ca="1">IF($A38="*","",OFFSET(AGR!$B$51,AR38,0))</f>
        <v>AHOKE-E</v>
      </c>
      <c r="D38" s="298" t="str">
        <f t="shared" ca="1" si="3"/>
        <v>AH</v>
      </c>
      <c r="E38" s="298" t="str">
        <f t="shared" ca="1" si="5"/>
        <v>-</v>
      </c>
      <c r="F38" s="298" t="str">
        <f t="shared" ca="1" si="5"/>
        <v>-</v>
      </c>
      <c r="G38" s="298" t="str">
        <f t="shared" ca="1" si="6"/>
        <v>-</v>
      </c>
      <c r="H38" s="298" t="str">
        <f t="shared" ca="1" si="6"/>
        <v>LO</v>
      </c>
      <c r="I38" s="298">
        <f t="shared" ca="1" si="6"/>
        <v>3</v>
      </c>
      <c r="J38" s="297" cm="1">
        <f t="array" aca="1" ref="J38" ca="1">IF(A38="*","",IFERROR(INDEX(AGR!$R$52:$AC$73,MATCH($C38,AGR!$B$52:$B$73,0),MATCH('TS DMARK'!$H38&amp;'TS DMARK'!J$7,AGR!$R$46:$AC$46&amp;AGR!$R$49:$AC$49,0)),""))</f>
        <v>0.79114533497481387</v>
      </c>
      <c r="K38" s="297" t="str" cm="1">
        <f t="array" aca="1" ref="K38" ca="1">IF(B38="*","",IFERROR(INDEX(AGR!$R$52:$AC$73,MATCH($C38,AGR!$B$52:$B$73,0),MATCH('TS DMARK'!$H38&amp;'TS DMARK'!K$7,AGR!$R$46:$AC$46&amp;AGR!$R$49:$AC$49,0)),""))</f>
        <v/>
      </c>
      <c r="L38" s="297" t="str" cm="1">
        <f t="array" aca="1" ref="L38" ca="1">IF(C38="*","",IFERROR(INDEX(AGR!$R$52:$AC$73,MATCH($C38,AGR!$B$52:$B$73,0),MATCH('TS DMARK'!$H38&amp;'TS DMARK'!L$7,AGR!$R$46:$AC$46&amp;AGR!$R$49:$AC$49,0)),""))</f>
        <v/>
      </c>
      <c r="M38" s="297" cm="1">
        <f t="array" aca="1" ref="M38" ca="1">IF(D38="*","",IFERROR(INDEX(AGR!$R$52:$AC$73,MATCH($C38,AGR!$B$52:$B$73,0),MATCH('TS DMARK'!$H38&amp;'TS DMARK'!M$7,AGR!$R$46:$AC$46&amp;AGR!$R$49:$AC$49,0)),""))</f>
        <v>0.5975141670403511</v>
      </c>
      <c r="N38" s="297" t="str" cm="1">
        <f t="array" aca="1" ref="N38" ca="1">IF(E38="*","",IFERROR(INDEX(AGR!$R$52:$AC$73,MATCH($C38,AGR!$B$52:$B$73,0),MATCH('TS DMARK'!$H38&amp;'TS DMARK'!N$7,AGR!$R$46:$AC$46&amp;AGR!$R$49:$AC$49,0)),""))</f>
        <v/>
      </c>
      <c r="O38" s="297" cm="1">
        <f t="array" aca="1" ref="O38" ca="1">IF(F38="*","",IFERROR(INDEX(AGR!$R$52:$AC$73,MATCH($C38,AGR!$B$52:$B$73,0),MATCH('TS DMARK'!$H38&amp;'TS DMARK'!O$7,AGR!$R$46:$AC$46&amp;AGR!$R$49:$AC$49,0)),""))</f>
        <v>0.40388299910588837</v>
      </c>
      <c r="P38" s="297" t="str" cm="1">
        <f t="array" aca="1" ref="P38" ca="1">IF(G38="*","",IFERROR(INDEX(AGR!$R$52:$AC$73,MATCH($C38,AGR!$B$52:$B$73,0),MATCH('TS DMARK'!$H38&amp;'TS DMARK'!P$7,AGR!$R$46:$AC$46&amp;AGR!$R$49:$AC$49,0)),""))</f>
        <v/>
      </c>
      <c r="Q38" s="297" t="str" cm="1">
        <f t="array" aca="1" ref="Q38" ca="1">IF(H38="*","",IFERROR(INDEX(AGR!$R$52:$AC$73,MATCH($C38,AGR!$B$52:$B$73,0),MATCH('TS DMARK'!$H38&amp;'TS DMARK'!Q$7,AGR!$R$46:$AC$46&amp;AGR!$R$49:$AC$49,0)),""))</f>
        <v/>
      </c>
      <c r="R38" s="297" t="str" cm="1">
        <f t="array" aca="1" ref="R38" ca="1">IF(I38="*","",IFERROR(INDEX(AGR!$R$52:$AC$73,MATCH($C38,AGR!$B$52:$B$73,0),MATCH('TS DMARK'!$H38&amp;'TS DMARK'!R$7,AGR!$R$46:$AC$46&amp;AGR!$R$49:$AC$49,0)),""))</f>
        <v/>
      </c>
      <c r="S38" s="297" t="str" cm="1">
        <f t="array" aca="1" ref="S38" ca="1">IF(J38="*","",IFERROR(INDEX(AGR!$R$52:$AC$73,MATCH($C38,AGR!$B$52:$B$73,0),MATCH('TS DMARK'!$H38&amp;'TS DMARK'!S$7,AGR!$R$46:$AC$46&amp;AGR!$R$49:$AC$49,0)),""))</f>
        <v/>
      </c>
      <c r="T38" s="297" t="str" cm="1">
        <f t="array" aca="1" ref="T38" ca="1">IF(K38="*","",IFERROR(INDEX(AGR!$R$52:$AC$73,MATCH($C38,AGR!$B$52:$B$73,0),MATCH('TS DMARK'!$H38&amp;'TS DMARK'!T$7,AGR!$R$46:$AC$46&amp;AGR!$R$49:$AC$49,0)),""))</f>
        <v/>
      </c>
      <c r="U38" s="297" t="str" cm="1">
        <f t="array" aca="1" ref="U38" ca="1">IF(L38="*","",IFERROR(INDEX(AGR!$R$52:$AC$73,MATCH($C38,AGR!$B$52:$B$73,0),MATCH('TS DMARK'!$H38&amp;'TS DMARK'!U$7,AGR!$R$46:$AC$46&amp;AGR!$R$49:$AC$49,0)),""))</f>
        <v/>
      </c>
      <c r="V38" s="297" t="str" cm="1">
        <f t="array" aca="1" ref="V38" ca="1">IF(M38="*","",IFERROR(INDEX(AGR!$R$52:$AC$73,MATCH($C38,AGR!$B$52:$B$73,0),MATCH('TS DMARK'!$H38&amp;'TS DMARK'!V$7,AGR!$R$46:$AC$46&amp;AGR!$R$49:$AC$49,0)),""))</f>
        <v/>
      </c>
      <c r="W38" s="297" t="str" cm="1">
        <f t="array" aca="1" ref="W38" ca="1">IF(N38="*","",IFERROR(INDEX(AGR!$R$52:$AC$73,MATCH($C38,AGR!$B$52:$B$73,0),MATCH('TS DMARK'!$H38&amp;'TS DMARK'!W$7,AGR!$R$46:$AC$46&amp;AGR!$R$49:$AC$49,0)),""))</f>
        <v/>
      </c>
      <c r="X38" s="297" t="str" cm="1">
        <f t="array" aca="1" ref="X38" ca="1">IF(O38="*","",IFERROR(INDEX(AGR!$R$52:$AC$73,MATCH($C38,AGR!$B$52:$B$73,0),MATCH('TS DMARK'!$H38&amp;'TS DMARK'!X$7,AGR!$R$46:$AC$46&amp;AGR!$R$49:$AC$49,0)),""))</f>
        <v/>
      </c>
      <c r="Y38" s="297" t="str" cm="1">
        <f t="array" aca="1" ref="Y38" ca="1">IF(P38="*","",IFERROR(INDEX(AGR!$R$52:$AC$73,MATCH($C38,AGR!$B$52:$B$73,0),MATCH('TS DMARK'!$H38&amp;'TS DMARK'!Y$7,AGR!$R$46:$AC$46&amp;AGR!$R$49:$AC$49,0)),""))</f>
        <v/>
      </c>
      <c r="Z38" s="297" t="str" cm="1">
        <f t="array" aca="1" ref="Z38" ca="1">IF(Q38="*","",IFERROR(INDEX(AGR!$R$52:$AC$73,MATCH($C38,AGR!$B$52:$B$73,0),MATCH('TS DMARK'!$H38&amp;'TS DMARK'!Z$7,AGR!$R$46:$AC$46&amp;AGR!$R$49:$AC$49,0)),""))</f>
        <v/>
      </c>
      <c r="AA38" s="297" t="str" cm="1">
        <f t="array" aca="1" ref="AA38" ca="1">IF(R38="*","",IFERROR(INDEX(AGR!$R$52:$AC$73,MATCH($C38,AGR!$B$52:$B$73,0),MATCH('TS DMARK'!$H38&amp;'TS DMARK'!AA$7,AGR!$R$46:$AC$46&amp;AGR!$R$49:$AC$49,0)),""))</f>
        <v/>
      </c>
      <c r="AB38" s="297" cm="1">
        <f t="array" aca="1" ref="AB38" ca="1">IF(S38="*","",IFERROR(INDEX(AGR!$R$52:$AC$73,MATCH($C38,AGR!$B$52:$B$73,0),MATCH('TS DMARK'!$H38&amp;'TS DMARK'!AB$7,AGR!$R$46:$AC$46&amp;AGR!$R$49:$AC$49,0)),""))</f>
        <v>0.19778633374370347</v>
      </c>
      <c r="AC38" s="297" t="str" cm="1">
        <f t="array" aca="1" ref="AC38" ca="1">IF(T38="*","",IFERROR(INDEX(AGR!$R$52:$AC$73,MATCH($C38,AGR!$B$52:$B$73,0),MATCH('TS DMARK'!$H38&amp;'TS DMARK'!AC$7,AGR!$R$46:$AC$46&amp;AGR!$R$49:$AC$49,0)),""))</f>
        <v/>
      </c>
      <c r="AD38" s="297" t="str" cm="1">
        <f t="array" aca="1" ref="AD38" ca="1">IF(U38="*","",IFERROR(INDEX(AGR!$R$52:$AC$73,MATCH($C38,AGR!$B$52:$B$73,0),MATCH('TS DMARK'!$H38&amp;'TS DMARK'!AD$7,AGR!$R$46:$AC$46&amp;AGR!$R$49:$AC$49,0)),""))</f>
        <v/>
      </c>
      <c r="AE38" s="297" t="str" cm="1">
        <f t="array" aca="1" ref="AE38" ca="1">IF(V38="*","",IFERROR(INDEX(AGR!$R$52:$AC$73,MATCH($C38,AGR!$B$52:$B$73,0),MATCH('TS DMARK'!$H38&amp;'TS DMARK'!AE$7,AGR!$R$46:$AC$46&amp;AGR!$R$49:$AC$49,0)),""))</f>
        <v/>
      </c>
      <c r="AF38" s="297" t="str" cm="1">
        <f t="array" aca="1" ref="AF38" ca="1">IF(W38="*","",IFERROR(INDEX(AGR!$R$52:$AC$73,MATCH($C38,AGR!$B$52:$B$73,0),MATCH('TS DMARK'!$H38&amp;'TS DMARK'!AF$7,AGR!$R$46:$AC$46&amp;AGR!$R$49:$AC$49,0)),""))</f>
        <v/>
      </c>
      <c r="AG38" s="297" t="str" cm="1">
        <f t="array" aca="1" ref="AG38" ca="1">IF(X38="*","",IFERROR(INDEX(AGR!$R$52:$AC$73,MATCH($C38,AGR!$B$52:$B$73,0),MATCH('TS DMARK'!$H38&amp;'TS DMARK'!AG$7,AGR!$R$46:$AC$46&amp;AGR!$R$49:$AC$49,0)),""))</f>
        <v/>
      </c>
      <c r="AH38" s="297" t="str" cm="1">
        <f t="array" aca="1" ref="AH38" ca="1">IF(Y38="*","",IFERROR(INDEX(AGR!$R$52:$AC$73,MATCH($C38,AGR!$B$52:$B$73,0),MATCH('TS DMARK'!$H38&amp;'TS DMARK'!AH$7,AGR!$R$46:$AC$46&amp;AGR!$R$49:$AC$49,0)),""))</f>
        <v/>
      </c>
      <c r="AI38" s="297" t="str" cm="1">
        <f t="array" aca="1" ref="AI38" ca="1">IF(Z38="*","",IFERROR(INDEX(AGR!$R$52:$AC$73,MATCH($C38,AGR!$B$52:$B$73,0),MATCH('TS DMARK'!$H38&amp;'TS DMARK'!AI$7,AGR!$R$46:$AC$46&amp;AGR!$R$49:$AC$49,0)),""))</f>
        <v/>
      </c>
      <c r="AJ38" s="297" t="str" cm="1">
        <f t="array" aca="1" ref="AJ38" ca="1">IF(AA38="*","",IFERROR(INDEX(AGR!$R$52:$AC$73,MATCH($C38,AGR!$B$52:$B$73,0),MATCH('TS DMARK'!$H38&amp;'TS DMARK'!AJ$7,AGR!$R$46:$AC$46&amp;AGR!$R$49:$AC$49,0)),""))</f>
        <v/>
      </c>
      <c r="AK38" s="297" t="str" cm="1">
        <f t="array" aca="1" ref="AK38" ca="1">IF(AB38="*","",IFERROR(INDEX(AGR!$R$52:$AC$73,MATCH($C38,AGR!$B$52:$B$73,0),MATCH('TS DMARK'!$H38&amp;'TS DMARK'!AK$7,AGR!$R$46:$AC$46&amp;AGR!$R$49:$AC$49,0)),""))</f>
        <v/>
      </c>
      <c r="AL38" s="297" t="str" cm="1">
        <f t="array" aca="1" ref="AL38" ca="1">IF(AC38="*","",IFERROR(INDEX(AGR!$R$52:$AC$73,MATCH($C38,AGR!$B$52:$B$73,0),MATCH('TS DMARK'!$H38&amp;'TS DMARK'!AL$7,AGR!$R$46:$AC$46&amp;AGR!$R$49:$AC$49,0)),""))</f>
        <v/>
      </c>
      <c r="AM38" s="297" t="str" cm="1">
        <f t="array" aca="1" ref="AM38" ca="1">IF(AD38="*","",IFERROR(INDEX(AGR!$R$52:$AC$73,MATCH($C38,AGR!$B$52:$B$73,0),MATCH('TS DMARK'!$H38&amp;'TS DMARK'!AM$7,AGR!$R$46:$AC$46&amp;AGR!$R$49:$AC$49,0)),""))</f>
        <v/>
      </c>
      <c r="AN38" s="297" cm="1">
        <f t="array" aca="1" ref="AN38" ca="1">IF(AE38="*","",IFERROR(INDEX(AGR!$R$52:$AC$73,MATCH($C38,AGR!$B$52:$B$73,0),MATCH('TS DMARK'!$H38&amp;'TS DMARK'!AN$7,AGR!$R$46:$AC$46&amp;AGR!$R$49:$AC$49,0)),""))</f>
        <v>0</v>
      </c>
      <c r="AO38" s="297" t="str" cm="1">
        <f t="array" aca="1" ref="AO38" ca="1">IF(AF38="*","",IFERROR(INDEX(AGR!$R$52:$AC$73,MATCH($C38,AGR!$B$52:$B$73,0),MATCH('TS DMARK'!$H38&amp;'TS DMARK'!AO$7,AGR!$R$46:$AC$46&amp;AGR!$R$49:$AC$49,0)),""))</f>
        <v/>
      </c>
      <c r="AP38" s="297" cm="1">
        <f t="array" aca="1" ref="AP38" ca="1">IF(AG38="*","",IFERROR(INDEX(AGR!$R$52:$AC$73,MATCH($C38,AGR!$B$52:$B$73,0),MATCH('TS DMARK'!$H38&amp;'TS DMARK'!AP$7,AGR!$R$46:$AC$46&amp;AGR!$R$49:$AC$49,0)),""))</f>
        <v>0</v>
      </c>
      <c r="AQ38" s="238">
        <f>IF(AR37=AGR!$AD$74,AQ37+1,AQ37)</f>
        <v>2</v>
      </c>
      <c r="AR38" s="238">
        <f t="shared" si="7"/>
        <v>3</v>
      </c>
    </row>
    <row r="39" spans="1:44">
      <c r="A39" s="238" t="str">
        <f ca="1">IF(LEFT(OFFSET(AGR!$A$51,AR39,0),2)="\I","*","")</f>
        <v/>
      </c>
      <c r="B39" s="243" t="str">
        <f t="shared" ca="1" si="0"/>
        <v>FLO_MARK</v>
      </c>
      <c r="C39" s="243" t="str">
        <f ca="1">IF($A39="*","",OFFSET(AGR!$B$51,AR39,0))</f>
        <v>AHOLP-E</v>
      </c>
      <c r="D39" s="298" t="str">
        <f t="shared" ca="1" si="3"/>
        <v>AH</v>
      </c>
      <c r="E39" s="298" t="str">
        <f t="shared" ca="1" si="5"/>
        <v>-</v>
      </c>
      <c r="F39" s="298" t="str">
        <f t="shared" ca="1" si="5"/>
        <v>-</v>
      </c>
      <c r="G39" s="298" t="str">
        <f t="shared" ca="1" si="6"/>
        <v>-</v>
      </c>
      <c r="H39" s="298" t="str">
        <f t="shared" ca="1" si="6"/>
        <v>LO</v>
      </c>
      <c r="I39" s="298">
        <f t="shared" ca="1" si="6"/>
        <v>3</v>
      </c>
      <c r="J39" s="297" cm="1">
        <f t="array" aca="1" ref="J39" ca="1">IF(A39="*","",IFERROR(INDEX(AGR!$R$52:$AC$73,MATCH($C39,AGR!$B$52:$B$73,0),MATCH('TS DMARK'!$H39&amp;'TS DMARK'!J$7,AGR!$R$46:$AC$46&amp;AGR!$R$49:$AC$49,0)),""))</f>
        <v>0</v>
      </c>
      <c r="K39" s="297" t="str" cm="1">
        <f t="array" aca="1" ref="K39" ca="1">IF(B39="*","",IFERROR(INDEX(AGR!$R$52:$AC$73,MATCH($C39,AGR!$B$52:$B$73,0),MATCH('TS DMARK'!$H39&amp;'TS DMARK'!K$7,AGR!$R$46:$AC$46&amp;AGR!$R$49:$AC$49,0)),""))</f>
        <v/>
      </c>
      <c r="L39" s="297" t="str" cm="1">
        <f t="array" aca="1" ref="L39" ca="1">IF(C39="*","",IFERROR(INDEX(AGR!$R$52:$AC$73,MATCH($C39,AGR!$B$52:$B$73,0),MATCH('TS DMARK'!$H39&amp;'TS DMARK'!L$7,AGR!$R$46:$AC$46&amp;AGR!$R$49:$AC$49,0)),""))</f>
        <v/>
      </c>
      <c r="M39" s="297" cm="1">
        <f t="array" aca="1" ref="M39" ca="1">IF(D39="*","",IFERROR(INDEX(AGR!$R$52:$AC$73,MATCH($C39,AGR!$B$52:$B$73,0),MATCH('TS DMARK'!$H39&amp;'TS DMARK'!M$7,AGR!$R$46:$AC$46&amp;AGR!$R$49:$AC$49,0)),""))</f>
        <v>2.8739302592923747E-3</v>
      </c>
      <c r="N39" s="297" t="str" cm="1">
        <f t="array" aca="1" ref="N39" ca="1">IF(E39="*","",IFERROR(INDEX(AGR!$R$52:$AC$73,MATCH($C39,AGR!$B$52:$B$73,0),MATCH('TS DMARK'!$H39&amp;'TS DMARK'!N$7,AGR!$R$46:$AC$46&amp;AGR!$R$49:$AC$49,0)),""))</f>
        <v/>
      </c>
      <c r="O39" s="297" cm="1">
        <f t="array" aca="1" ref="O39" ca="1">IF(F39="*","",IFERROR(INDEX(AGR!$R$52:$AC$73,MATCH($C39,AGR!$B$52:$B$73,0),MATCH('TS DMARK'!$H39&amp;'TS DMARK'!O$7,AGR!$R$46:$AC$46&amp;AGR!$R$49:$AC$49,0)),""))</f>
        <v>5.7478605185847494E-3</v>
      </c>
      <c r="P39" s="297" t="str" cm="1">
        <f t="array" aca="1" ref="P39" ca="1">IF(G39="*","",IFERROR(INDEX(AGR!$R$52:$AC$73,MATCH($C39,AGR!$B$52:$B$73,0),MATCH('TS DMARK'!$H39&amp;'TS DMARK'!P$7,AGR!$R$46:$AC$46&amp;AGR!$R$49:$AC$49,0)),""))</f>
        <v/>
      </c>
      <c r="Q39" s="297" t="str" cm="1">
        <f t="array" aca="1" ref="Q39" ca="1">IF(H39="*","",IFERROR(INDEX(AGR!$R$52:$AC$73,MATCH($C39,AGR!$B$52:$B$73,0),MATCH('TS DMARK'!$H39&amp;'TS DMARK'!Q$7,AGR!$R$46:$AC$46&amp;AGR!$R$49:$AC$49,0)),""))</f>
        <v/>
      </c>
      <c r="R39" s="297" t="str" cm="1">
        <f t="array" aca="1" ref="R39" ca="1">IF(I39="*","",IFERROR(INDEX(AGR!$R$52:$AC$73,MATCH($C39,AGR!$B$52:$B$73,0),MATCH('TS DMARK'!$H39&amp;'TS DMARK'!R$7,AGR!$R$46:$AC$46&amp;AGR!$R$49:$AC$49,0)),""))</f>
        <v/>
      </c>
      <c r="S39" s="297" t="str" cm="1">
        <f t="array" aca="1" ref="S39" ca="1">IF(J39="*","",IFERROR(INDEX(AGR!$R$52:$AC$73,MATCH($C39,AGR!$B$52:$B$73,0),MATCH('TS DMARK'!$H39&amp;'TS DMARK'!S$7,AGR!$R$46:$AC$46&amp;AGR!$R$49:$AC$49,0)),""))</f>
        <v/>
      </c>
      <c r="T39" s="297" t="str" cm="1">
        <f t="array" aca="1" ref="T39" ca="1">IF(K39="*","",IFERROR(INDEX(AGR!$R$52:$AC$73,MATCH($C39,AGR!$B$52:$B$73,0),MATCH('TS DMARK'!$H39&amp;'TS DMARK'!T$7,AGR!$R$46:$AC$46&amp;AGR!$R$49:$AC$49,0)),""))</f>
        <v/>
      </c>
      <c r="U39" s="297" t="str" cm="1">
        <f t="array" aca="1" ref="U39" ca="1">IF(L39="*","",IFERROR(INDEX(AGR!$R$52:$AC$73,MATCH($C39,AGR!$B$52:$B$73,0),MATCH('TS DMARK'!$H39&amp;'TS DMARK'!U$7,AGR!$R$46:$AC$46&amp;AGR!$R$49:$AC$49,0)),""))</f>
        <v/>
      </c>
      <c r="V39" s="297" t="str" cm="1">
        <f t="array" aca="1" ref="V39" ca="1">IF(M39="*","",IFERROR(INDEX(AGR!$R$52:$AC$73,MATCH($C39,AGR!$B$52:$B$73,0),MATCH('TS DMARK'!$H39&amp;'TS DMARK'!V$7,AGR!$R$46:$AC$46&amp;AGR!$R$49:$AC$49,0)),""))</f>
        <v/>
      </c>
      <c r="W39" s="297" t="str" cm="1">
        <f t="array" aca="1" ref="W39" ca="1">IF(N39="*","",IFERROR(INDEX(AGR!$R$52:$AC$73,MATCH($C39,AGR!$B$52:$B$73,0),MATCH('TS DMARK'!$H39&amp;'TS DMARK'!W$7,AGR!$R$46:$AC$46&amp;AGR!$R$49:$AC$49,0)),""))</f>
        <v/>
      </c>
      <c r="X39" s="297" t="str" cm="1">
        <f t="array" aca="1" ref="X39" ca="1">IF(O39="*","",IFERROR(INDEX(AGR!$R$52:$AC$73,MATCH($C39,AGR!$B$52:$B$73,0),MATCH('TS DMARK'!$H39&amp;'TS DMARK'!X$7,AGR!$R$46:$AC$46&amp;AGR!$R$49:$AC$49,0)),""))</f>
        <v/>
      </c>
      <c r="Y39" s="297" t="str" cm="1">
        <f t="array" aca="1" ref="Y39" ca="1">IF(P39="*","",IFERROR(INDEX(AGR!$R$52:$AC$73,MATCH($C39,AGR!$B$52:$B$73,0),MATCH('TS DMARK'!$H39&amp;'TS DMARK'!Y$7,AGR!$R$46:$AC$46&amp;AGR!$R$49:$AC$49,0)),""))</f>
        <v/>
      </c>
      <c r="Z39" s="297" t="str" cm="1">
        <f t="array" aca="1" ref="Z39" ca="1">IF(Q39="*","",IFERROR(INDEX(AGR!$R$52:$AC$73,MATCH($C39,AGR!$B$52:$B$73,0),MATCH('TS DMARK'!$H39&amp;'TS DMARK'!Z$7,AGR!$R$46:$AC$46&amp;AGR!$R$49:$AC$49,0)),""))</f>
        <v/>
      </c>
      <c r="AA39" s="297" t="str" cm="1">
        <f t="array" aca="1" ref="AA39" ca="1">IF(R39="*","",IFERROR(INDEX(AGR!$R$52:$AC$73,MATCH($C39,AGR!$B$52:$B$73,0),MATCH('TS DMARK'!$H39&amp;'TS DMARK'!AA$7,AGR!$R$46:$AC$46&amp;AGR!$R$49:$AC$49,0)),""))</f>
        <v/>
      </c>
      <c r="AB39" s="297" cm="1">
        <f t="array" aca="1" ref="AB39" ca="1">IF(S39="*","",IFERROR(INDEX(AGR!$R$52:$AC$73,MATCH($C39,AGR!$B$52:$B$73,0),MATCH('TS DMARK'!$H39&amp;'TS DMARK'!AB$7,AGR!$R$46:$AC$46&amp;AGR!$R$49:$AC$49,0)),""))</f>
        <v>0</v>
      </c>
      <c r="AC39" s="297" t="str" cm="1">
        <f t="array" aca="1" ref="AC39" ca="1">IF(T39="*","",IFERROR(INDEX(AGR!$R$52:$AC$73,MATCH($C39,AGR!$B$52:$B$73,0),MATCH('TS DMARK'!$H39&amp;'TS DMARK'!AC$7,AGR!$R$46:$AC$46&amp;AGR!$R$49:$AC$49,0)),""))</f>
        <v/>
      </c>
      <c r="AD39" s="297" t="str" cm="1">
        <f t="array" aca="1" ref="AD39" ca="1">IF(U39="*","",IFERROR(INDEX(AGR!$R$52:$AC$73,MATCH($C39,AGR!$B$52:$B$73,0),MATCH('TS DMARK'!$H39&amp;'TS DMARK'!AD$7,AGR!$R$46:$AC$46&amp;AGR!$R$49:$AC$49,0)),""))</f>
        <v/>
      </c>
      <c r="AE39" s="297" t="str" cm="1">
        <f t="array" aca="1" ref="AE39" ca="1">IF(V39="*","",IFERROR(INDEX(AGR!$R$52:$AC$73,MATCH($C39,AGR!$B$52:$B$73,0),MATCH('TS DMARK'!$H39&amp;'TS DMARK'!AE$7,AGR!$R$46:$AC$46&amp;AGR!$R$49:$AC$49,0)),""))</f>
        <v/>
      </c>
      <c r="AF39" s="297" t="str" cm="1">
        <f t="array" aca="1" ref="AF39" ca="1">IF(W39="*","",IFERROR(INDEX(AGR!$R$52:$AC$73,MATCH($C39,AGR!$B$52:$B$73,0),MATCH('TS DMARK'!$H39&amp;'TS DMARK'!AF$7,AGR!$R$46:$AC$46&amp;AGR!$R$49:$AC$49,0)),""))</f>
        <v/>
      </c>
      <c r="AG39" s="297" t="str" cm="1">
        <f t="array" aca="1" ref="AG39" ca="1">IF(X39="*","",IFERROR(INDEX(AGR!$R$52:$AC$73,MATCH($C39,AGR!$B$52:$B$73,0),MATCH('TS DMARK'!$H39&amp;'TS DMARK'!AG$7,AGR!$R$46:$AC$46&amp;AGR!$R$49:$AC$49,0)),""))</f>
        <v/>
      </c>
      <c r="AH39" s="297" t="str" cm="1">
        <f t="array" aca="1" ref="AH39" ca="1">IF(Y39="*","",IFERROR(INDEX(AGR!$R$52:$AC$73,MATCH($C39,AGR!$B$52:$B$73,0),MATCH('TS DMARK'!$H39&amp;'TS DMARK'!AH$7,AGR!$R$46:$AC$46&amp;AGR!$R$49:$AC$49,0)),""))</f>
        <v/>
      </c>
      <c r="AI39" s="297" t="str" cm="1">
        <f t="array" aca="1" ref="AI39" ca="1">IF(Z39="*","",IFERROR(INDEX(AGR!$R$52:$AC$73,MATCH($C39,AGR!$B$52:$B$73,0),MATCH('TS DMARK'!$H39&amp;'TS DMARK'!AI$7,AGR!$R$46:$AC$46&amp;AGR!$R$49:$AC$49,0)),""))</f>
        <v/>
      </c>
      <c r="AJ39" s="297" t="str" cm="1">
        <f t="array" aca="1" ref="AJ39" ca="1">IF(AA39="*","",IFERROR(INDEX(AGR!$R$52:$AC$73,MATCH($C39,AGR!$B$52:$B$73,0),MATCH('TS DMARK'!$H39&amp;'TS DMARK'!AJ$7,AGR!$R$46:$AC$46&amp;AGR!$R$49:$AC$49,0)),""))</f>
        <v/>
      </c>
      <c r="AK39" s="297" t="str" cm="1">
        <f t="array" aca="1" ref="AK39" ca="1">IF(AB39="*","",IFERROR(INDEX(AGR!$R$52:$AC$73,MATCH($C39,AGR!$B$52:$B$73,0),MATCH('TS DMARK'!$H39&amp;'TS DMARK'!AK$7,AGR!$R$46:$AC$46&amp;AGR!$R$49:$AC$49,0)),""))</f>
        <v/>
      </c>
      <c r="AL39" s="297" t="str" cm="1">
        <f t="array" aca="1" ref="AL39" ca="1">IF(AC39="*","",IFERROR(INDEX(AGR!$R$52:$AC$73,MATCH($C39,AGR!$B$52:$B$73,0),MATCH('TS DMARK'!$H39&amp;'TS DMARK'!AL$7,AGR!$R$46:$AC$46&amp;AGR!$R$49:$AC$49,0)),""))</f>
        <v/>
      </c>
      <c r="AM39" s="297" t="str" cm="1">
        <f t="array" aca="1" ref="AM39" ca="1">IF(AD39="*","",IFERROR(INDEX(AGR!$R$52:$AC$73,MATCH($C39,AGR!$B$52:$B$73,0),MATCH('TS DMARK'!$H39&amp;'TS DMARK'!AM$7,AGR!$R$46:$AC$46&amp;AGR!$R$49:$AC$49,0)),""))</f>
        <v/>
      </c>
      <c r="AN39" s="297" cm="1">
        <f t="array" aca="1" ref="AN39" ca="1">IF(AE39="*","",IFERROR(INDEX(AGR!$R$52:$AC$73,MATCH($C39,AGR!$B$52:$B$73,0),MATCH('TS DMARK'!$H39&amp;'TS DMARK'!AN$7,AGR!$R$46:$AC$46&amp;AGR!$R$49:$AC$49,0)),""))</f>
        <v>0</v>
      </c>
      <c r="AO39" s="297" t="str" cm="1">
        <f t="array" aca="1" ref="AO39" ca="1">IF(AF39="*","",IFERROR(INDEX(AGR!$R$52:$AC$73,MATCH($C39,AGR!$B$52:$B$73,0),MATCH('TS DMARK'!$H39&amp;'TS DMARK'!AO$7,AGR!$R$46:$AC$46&amp;AGR!$R$49:$AC$49,0)),""))</f>
        <v/>
      </c>
      <c r="AP39" s="297" cm="1">
        <f t="array" aca="1" ref="AP39" ca="1">IF(AG39="*","",IFERROR(INDEX(AGR!$R$52:$AC$73,MATCH($C39,AGR!$B$52:$B$73,0),MATCH('TS DMARK'!$H39&amp;'TS DMARK'!AP$7,AGR!$R$46:$AC$46&amp;AGR!$R$49:$AC$49,0)),""))</f>
        <v>0</v>
      </c>
      <c r="AQ39" s="238">
        <f>IF(AR38=AGR!$AD$74,AQ38+1,AQ38)</f>
        <v>2</v>
      </c>
      <c r="AR39" s="238">
        <f t="shared" si="7"/>
        <v>4</v>
      </c>
    </row>
    <row r="40" spans="1:44">
      <c r="A40" s="238" t="str">
        <f ca="1">IF(LEFT(OFFSET(AGR!$A$51,AR40,0),2)="\I","*","")</f>
        <v/>
      </c>
      <c r="B40" s="243" t="str">
        <f t="shared" ca="1" si="0"/>
        <v>FLO_MARK</v>
      </c>
      <c r="C40" s="243" t="str">
        <f ca="1">IF($A40="*","",OFFSET(AGR!$B$51,AR40,0))</f>
        <v>AHELC-E</v>
      </c>
      <c r="D40" s="298" t="str">
        <f t="shared" ca="1" si="3"/>
        <v>AH</v>
      </c>
      <c r="E40" s="298" t="str">
        <f t="shared" ca="1" si="5"/>
        <v>-</v>
      </c>
      <c r="F40" s="298" t="str">
        <f t="shared" ca="1" si="5"/>
        <v>-</v>
      </c>
      <c r="G40" s="298" t="str">
        <f t="shared" ca="1" si="6"/>
        <v>-</v>
      </c>
      <c r="H40" s="298" t="str">
        <f t="shared" ca="1" si="6"/>
        <v>LO</v>
      </c>
      <c r="I40" s="298">
        <f t="shared" ca="1" si="6"/>
        <v>3</v>
      </c>
      <c r="J40" s="297" cm="1">
        <f t="array" aca="1" ref="J40" ca="1">IF(A40="*","",IFERROR(INDEX(AGR!$R$52:$AC$73,MATCH($C40,AGR!$B$52:$B$73,0),MATCH('TS DMARK'!$H40&amp;'TS DMARK'!J$7,AGR!$R$46:$AC$46&amp;AGR!$R$49:$AC$49,0)),""))</f>
        <v>0</v>
      </c>
      <c r="K40" s="297" t="str" cm="1">
        <f t="array" aca="1" ref="K40" ca="1">IF(B40="*","",IFERROR(INDEX(AGR!$R$52:$AC$73,MATCH($C40,AGR!$B$52:$B$73,0),MATCH('TS DMARK'!$H40&amp;'TS DMARK'!K$7,AGR!$R$46:$AC$46&amp;AGR!$R$49:$AC$49,0)),""))</f>
        <v/>
      </c>
      <c r="L40" s="297" t="str" cm="1">
        <f t="array" aca="1" ref="L40" ca="1">IF(C40="*","",IFERROR(INDEX(AGR!$R$52:$AC$73,MATCH($C40,AGR!$B$52:$B$73,0),MATCH('TS DMARK'!$H40&amp;'TS DMARK'!L$7,AGR!$R$46:$AC$46&amp;AGR!$R$49:$AC$49,0)),""))</f>
        <v/>
      </c>
      <c r="M40" s="297" cm="1">
        <f t="array" aca="1" ref="M40" ca="1">IF(D40="*","",IFERROR(INDEX(AGR!$R$52:$AC$73,MATCH($C40,AGR!$B$52:$B$73,0),MATCH('TS DMARK'!$H40&amp;'TS DMARK'!M$7,AGR!$R$46:$AC$46&amp;AGR!$R$49:$AC$49,0)),""))</f>
        <v>0</v>
      </c>
      <c r="N40" s="297" t="str" cm="1">
        <f t="array" aca="1" ref="N40" ca="1">IF(E40="*","",IFERROR(INDEX(AGR!$R$52:$AC$73,MATCH($C40,AGR!$B$52:$B$73,0),MATCH('TS DMARK'!$H40&amp;'TS DMARK'!N$7,AGR!$R$46:$AC$46&amp;AGR!$R$49:$AC$49,0)),""))</f>
        <v/>
      </c>
      <c r="O40" s="297" cm="1">
        <f t="array" aca="1" ref="O40" ca="1">IF(F40="*","",IFERROR(INDEX(AGR!$R$52:$AC$73,MATCH($C40,AGR!$B$52:$B$73,0),MATCH('TS DMARK'!$H40&amp;'TS DMARK'!O$7,AGR!$R$46:$AC$46&amp;AGR!$R$49:$AC$49,0)),""))</f>
        <v>0</v>
      </c>
      <c r="P40" s="297" t="str" cm="1">
        <f t="array" aca="1" ref="P40" ca="1">IF(G40="*","",IFERROR(INDEX(AGR!$R$52:$AC$73,MATCH($C40,AGR!$B$52:$B$73,0),MATCH('TS DMARK'!$H40&amp;'TS DMARK'!P$7,AGR!$R$46:$AC$46&amp;AGR!$R$49:$AC$49,0)),""))</f>
        <v/>
      </c>
      <c r="Q40" s="297" t="str" cm="1">
        <f t="array" aca="1" ref="Q40" ca="1">IF(H40="*","",IFERROR(INDEX(AGR!$R$52:$AC$73,MATCH($C40,AGR!$B$52:$B$73,0),MATCH('TS DMARK'!$H40&amp;'TS DMARK'!Q$7,AGR!$R$46:$AC$46&amp;AGR!$R$49:$AC$49,0)),""))</f>
        <v/>
      </c>
      <c r="R40" s="297" t="str" cm="1">
        <f t="array" aca="1" ref="R40" ca="1">IF(I40="*","",IFERROR(INDEX(AGR!$R$52:$AC$73,MATCH($C40,AGR!$B$52:$B$73,0),MATCH('TS DMARK'!$H40&amp;'TS DMARK'!R$7,AGR!$R$46:$AC$46&amp;AGR!$R$49:$AC$49,0)),""))</f>
        <v/>
      </c>
      <c r="S40" s="297" t="str" cm="1">
        <f t="array" aca="1" ref="S40" ca="1">IF(J40="*","",IFERROR(INDEX(AGR!$R$52:$AC$73,MATCH($C40,AGR!$B$52:$B$73,0),MATCH('TS DMARK'!$H40&amp;'TS DMARK'!S$7,AGR!$R$46:$AC$46&amp;AGR!$R$49:$AC$49,0)),""))</f>
        <v/>
      </c>
      <c r="T40" s="297" t="str" cm="1">
        <f t="array" aca="1" ref="T40" ca="1">IF(K40="*","",IFERROR(INDEX(AGR!$R$52:$AC$73,MATCH($C40,AGR!$B$52:$B$73,0),MATCH('TS DMARK'!$H40&amp;'TS DMARK'!T$7,AGR!$R$46:$AC$46&amp;AGR!$R$49:$AC$49,0)),""))</f>
        <v/>
      </c>
      <c r="U40" s="297" t="str" cm="1">
        <f t="array" aca="1" ref="U40" ca="1">IF(L40="*","",IFERROR(INDEX(AGR!$R$52:$AC$73,MATCH($C40,AGR!$B$52:$B$73,0),MATCH('TS DMARK'!$H40&amp;'TS DMARK'!U$7,AGR!$R$46:$AC$46&amp;AGR!$R$49:$AC$49,0)),""))</f>
        <v/>
      </c>
      <c r="V40" s="297" t="str" cm="1">
        <f t="array" aca="1" ref="V40" ca="1">IF(M40="*","",IFERROR(INDEX(AGR!$R$52:$AC$73,MATCH($C40,AGR!$B$52:$B$73,0),MATCH('TS DMARK'!$H40&amp;'TS DMARK'!V$7,AGR!$R$46:$AC$46&amp;AGR!$R$49:$AC$49,0)),""))</f>
        <v/>
      </c>
      <c r="W40" s="297" t="str" cm="1">
        <f t="array" aca="1" ref="W40" ca="1">IF(N40="*","",IFERROR(INDEX(AGR!$R$52:$AC$73,MATCH($C40,AGR!$B$52:$B$73,0),MATCH('TS DMARK'!$H40&amp;'TS DMARK'!W$7,AGR!$R$46:$AC$46&amp;AGR!$R$49:$AC$49,0)),""))</f>
        <v/>
      </c>
      <c r="X40" s="297" t="str" cm="1">
        <f t="array" aca="1" ref="X40" ca="1">IF(O40="*","",IFERROR(INDEX(AGR!$R$52:$AC$73,MATCH($C40,AGR!$B$52:$B$73,0),MATCH('TS DMARK'!$H40&amp;'TS DMARK'!X$7,AGR!$R$46:$AC$46&amp;AGR!$R$49:$AC$49,0)),""))</f>
        <v/>
      </c>
      <c r="Y40" s="297" t="str" cm="1">
        <f t="array" aca="1" ref="Y40" ca="1">IF(P40="*","",IFERROR(INDEX(AGR!$R$52:$AC$73,MATCH($C40,AGR!$B$52:$B$73,0),MATCH('TS DMARK'!$H40&amp;'TS DMARK'!Y$7,AGR!$R$46:$AC$46&amp;AGR!$R$49:$AC$49,0)),""))</f>
        <v/>
      </c>
      <c r="Z40" s="297" t="str" cm="1">
        <f t="array" aca="1" ref="Z40" ca="1">IF(Q40="*","",IFERROR(INDEX(AGR!$R$52:$AC$73,MATCH($C40,AGR!$B$52:$B$73,0),MATCH('TS DMARK'!$H40&amp;'TS DMARK'!Z$7,AGR!$R$46:$AC$46&amp;AGR!$R$49:$AC$49,0)),""))</f>
        <v/>
      </c>
      <c r="AA40" s="297" t="str" cm="1">
        <f t="array" aca="1" ref="AA40" ca="1">IF(R40="*","",IFERROR(INDEX(AGR!$R$52:$AC$73,MATCH($C40,AGR!$B$52:$B$73,0),MATCH('TS DMARK'!$H40&amp;'TS DMARK'!AA$7,AGR!$R$46:$AC$46&amp;AGR!$R$49:$AC$49,0)),""))</f>
        <v/>
      </c>
      <c r="AB40" s="297" cm="1">
        <f t="array" aca="1" ref="AB40" ca="1">IF(S40="*","",IFERROR(INDEX(AGR!$R$52:$AC$73,MATCH($C40,AGR!$B$52:$B$73,0),MATCH('TS DMARK'!$H40&amp;'TS DMARK'!AB$7,AGR!$R$46:$AC$46&amp;AGR!$R$49:$AC$49,0)),""))</f>
        <v>0</v>
      </c>
      <c r="AC40" s="297" t="str" cm="1">
        <f t="array" aca="1" ref="AC40" ca="1">IF(T40="*","",IFERROR(INDEX(AGR!$R$52:$AC$73,MATCH($C40,AGR!$B$52:$B$73,0),MATCH('TS DMARK'!$H40&amp;'TS DMARK'!AC$7,AGR!$R$46:$AC$46&amp;AGR!$R$49:$AC$49,0)),""))</f>
        <v/>
      </c>
      <c r="AD40" s="297" t="str" cm="1">
        <f t="array" aca="1" ref="AD40" ca="1">IF(U40="*","",IFERROR(INDEX(AGR!$R$52:$AC$73,MATCH($C40,AGR!$B$52:$B$73,0),MATCH('TS DMARK'!$H40&amp;'TS DMARK'!AD$7,AGR!$R$46:$AC$46&amp;AGR!$R$49:$AC$49,0)),""))</f>
        <v/>
      </c>
      <c r="AE40" s="297" t="str" cm="1">
        <f t="array" aca="1" ref="AE40" ca="1">IF(V40="*","",IFERROR(INDEX(AGR!$R$52:$AC$73,MATCH($C40,AGR!$B$52:$B$73,0),MATCH('TS DMARK'!$H40&amp;'TS DMARK'!AE$7,AGR!$R$46:$AC$46&amp;AGR!$R$49:$AC$49,0)),""))</f>
        <v/>
      </c>
      <c r="AF40" s="297" t="str" cm="1">
        <f t="array" aca="1" ref="AF40" ca="1">IF(W40="*","",IFERROR(INDEX(AGR!$R$52:$AC$73,MATCH($C40,AGR!$B$52:$B$73,0),MATCH('TS DMARK'!$H40&amp;'TS DMARK'!AF$7,AGR!$R$46:$AC$46&amp;AGR!$R$49:$AC$49,0)),""))</f>
        <v/>
      </c>
      <c r="AG40" s="297" t="str" cm="1">
        <f t="array" aca="1" ref="AG40" ca="1">IF(X40="*","",IFERROR(INDEX(AGR!$R$52:$AC$73,MATCH($C40,AGR!$B$52:$B$73,0),MATCH('TS DMARK'!$H40&amp;'TS DMARK'!AG$7,AGR!$R$46:$AC$46&amp;AGR!$R$49:$AC$49,0)),""))</f>
        <v/>
      </c>
      <c r="AH40" s="297" t="str" cm="1">
        <f t="array" aca="1" ref="AH40" ca="1">IF(Y40="*","",IFERROR(INDEX(AGR!$R$52:$AC$73,MATCH($C40,AGR!$B$52:$B$73,0),MATCH('TS DMARK'!$H40&amp;'TS DMARK'!AH$7,AGR!$R$46:$AC$46&amp;AGR!$R$49:$AC$49,0)),""))</f>
        <v/>
      </c>
      <c r="AI40" s="297" t="str" cm="1">
        <f t="array" aca="1" ref="AI40" ca="1">IF(Z40="*","",IFERROR(INDEX(AGR!$R$52:$AC$73,MATCH($C40,AGR!$B$52:$B$73,0),MATCH('TS DMARK'!$H40&amp;'TS DMARK'!AI$7,AGR!$R$46:$AC$46&amp;AGR!$R$49:$AC$49,0)),""))</f>
        <v/>
      </c>
      <c r="AJ40" s="297" t="str" cm="1">
        <f t="array" aca="1" ref="AJ40" ca="1">IF(AA40="*","",IFERROR(INDEX(AGR!$R$52:$AC$73,MATCH($C40,AGR!$B$52:$B$73,0),MATCH('TS DMARK'!$H40&amp;'TS DMARK'!AJ$7,AGR!$R$46:$AC$46&amp;AGR!$R$49:$AC$49,0)),""))</f>
        <v/>
      </c>
      <c r="AK40" s="297" t="str" cm="1">
        <f t="array" aca="1" ref="AK40" ca="1">IF(AB40="*","",IFERROR(INDEX(AGR!$R$52:$AC$73,MATCH($C40,AGR!$B$52:$B$73,0),MATCH('TS DMARK'!$H40&amp;'TS DMARK'!AK$7,AGR!$R$46:$AC$46&amp;AGR!$R$49:$AC$49,0)),""))</f>
        <v/>
      </c>
      <c r="AL40" s="297" t="str" cm="1">
        <f t="array" aca="1" ref="AL40" ca="1">IF(AC40="*","",IFERROR(INDEX(AGR!$R$52:$AC$73,MATCH($C40,AGR!$B$52:$B$73,0),MATCH('TS DMARK'!$H40&amp;'TS DMARK'!AL$7,AGR!$R$46:$AC$46&amp;AGR!$R$49:$AC$49,0)),""))</f>
        <v/>
      </c>
      <c r="AM40" s="297" t="str" cm="1">
        <f t="array" aca="1" ref="AM40" ca="1">IF(AD40="*","",IFERROR(INDEX(AGR!$R$52:$AC$73,MATCH($C40,AGR!$B$52:$B$73,0),MATCH('TS DMARK'!$H40&amp;'TS DMARK'!AM$7,AGR!$R$46:$AC$46&amp;AGR!$R$49:$AC$49,0)),""))</f>
        <v/>
      </c>
      <c r="AN40" s="297" cm="1">
        <f t="array" aca="1" ref="AN40" ca="1">IF(AE40="*","",IFERROR(INDEX(AGR!$R$52:$AC$73,MATCH($C40,AGR!$B$52:$B$73,0),MATCH('TS DMARK'!$H40&amp;'TS DMARK'!AN$7,AGR!$R$46:$AC$46&amp;AGR!$R$49:$AC$49,0)),""))</f>
        <v>0</v>
      </c>
      <c r="AO40" s="297" t="str" cm="1">
        <f t="array" aca="1" ref="AO40" ca="1">IF(AF40="*","",IFERROR(INDEX(AGR!$R$52:$AC$73,MATCH($C40,AGR!$B$52:$B$73,0),MATCH('TS DMARK'!$H40&amp;'TS DMARK'!AO$7,AGR!$R$46:$AC$46&amp;AGR!$R$49:$AC$49,0)),""))</f>
        <v/>
      </c>
      <c r="AP40" s="297" cm="1">
        <f t="array" aca="1" ref="AP40" ca="1">IF(AG40="*","",IFERROR(INDEX(AGR!$R$52:$AC$73,MATCH($C40,AGR!$B$52:$B$73,0),MATCH('TS DMARK'!$H40&amp;'TS DMARK'!AP$7,AGR!$R$46:$AC$46&amp;AGR!$R$49:$AC$49,0)),""))</f>
        <v>0</v>
      </c>
      <c r="AQ40" s="238">
        <f>IF(AR39=AGR!$AD$74,AQ39+1,AQ39)</f>
        <v>2</v>
      </c>
      <c r="AR40" s="238">
        <f t="shared" si="7"/>
        <v>5</v>
      </c>
    </row>
    <row r="41" spans="1:44">
      <c r="A41" s="238" t="str">
        <f ca="1">IF(LEFT(OFFSET(AGR!$A$51,AR41,0),2)="\I","*","")</f>
        <v>*</v>
      </c>
      <c r="B41" s="243" t="str">
        <f t="shared" ca="1" si="0"/>
        <v/>
      </c>
      <c r="C41" s="243" t="str">
        <f ca="1">IF($A41="*","",OFFSET(AGR!$B$51,AR41,0))</f>
        <v/>
      </c>
      <c r="D41" s="298" t="str">
        <f t="shared" ca="1" si="3"/>
        <v/>
      </c>
      <c r="E41" s="298" t="str">
        <f t="shared" ca="1" si="5"/>
        <v/>
      </c>
      <c r="F41" s="298" t="str">
        <f t="shared" ca="1" si="5"/>
        <v/>
      </c>
      <c r="G41" s="298" t="str">
        <f t="shared" ca="1" si="6"/>
        <v/>
      </c>
      <c r="H41" s="298" t="str">
        <f t="shared" ca="1" si="6"/>
        <v/>
      </c>
      <c r="I41" s="298" t="str">
        <f t="shared" ca="1" si="6"/>
        <v/>
      </c>
      <c r="J41" s="297" t="str" cm="1">
        <f t="array" aca="1" ref="J41" ca="1">IF(A41="*","",IFERROR(INDEX(AGR!$R$52:$AC$73,MATCH($C41,AGR!$B$52:$B$73,0),MATCH('TS DMARK'!$H41&amp;'TS DMARK'!J$7,AGR!$R$46:$AC$46&amp;AGR!$R$49:$AC$49,0)),""))</f>
        <v/>
      </c>
      <c r="K41" s="297" t="str" cm="1">
        <f t="array" aca="1" ref="K41" ca="1">IF(B41="*","",IFERROR(INDEX(AGR!$R$52:$AC$73,MATCH($C41,AGR!$B$52:$B$73,0),MATCH('TS DMARK'!$H41&amp;'TS DMARK'!K$7,AGR!$R$46:$AC$46&amp;AGR!$R$49:$AC$49,0)),""))</f>
        <v/>
      </c>
      <c r="L41" s="297" t="str" cm="1">
        <f t="array" aca="1" ref="L41" ca="1">IF(C41="*","",IFERROR(INDEX(AGR!$R$52:$AC$73,MATCH($C41,AGR!$B$52:$B$73,0),MATCH('TS DMARK'!$H41&amp;'TS DMARK'!L$7,AGR!$R$46:$AC$46&amp;AGR!$R$49:$AC$49,0)),""))</f>
        <v/>
      </c>
      <c r="M41" s="297" t="str" cm="1">
        <f t="array" aca="1" ref="M41" ca="1">IF(D41="*","",IFERROR(INDEX(AGR!$R$52:$AC$73,MATCH($C41,AGR!$B$52:$B$73,0),MATCH('TS DMARK'!$H41&amp;'TS DMARK'!M$7,AGR!$R$46:$AC$46&amp;AGR!$R$49:$AC$49,0)),""))</f>
        <v/>
      </c>
      <c r="N41" s="297" t="str" cm="1">
        <f t="array" aca="1" ref="N41" ca="1">IF(E41="*","",IFERROR(INDEX(AGR!$R$52:$AC$73,MATCH($C41,AGR!$B$52:$B$73,0),MATCH('TS DMARK'!$H41&amp;'TS DMARK'!N$7,AGR!$R$46:$AC$46&amp;AGR!$R$49:$AC$49,0)),""))</f>
        <v/>
      </c>
      <c r="O41" s="297" t="str" cm="1">
        <f t="array" aca="1" ref="O41" ca="1">IF(F41="*","",IFERROR(INDEX(AGR!$R$52:$AC$73,MATCH($C41,AGR!$B$52:$B$73,0),MATCH('TS DMARK'!$H41&amp;'TS DMARK'!O$7,AGR!$R$46:$AC$46&amp;AGR!$R$49:$AC$49,0)),""))</f>
        <v/>
      </c>
      <c r="P41" s="297" t="str" cm="1">
        <f t="array" aca="1" ref="P41" ca="1">IF(G41="*","",IFERROR(INDEX(AGR!$R$52:$AC$73,MATCH($C41,AGR!$B$52:$B$73,0),MATCH('TS DMARK'!$H41&amp;'TS DMARK'!P$7,AGR!$R$46:$AC$46&amp;AGR!$R$49:$AC$49,0)),""))</f>
        <v/>
      </c>
      <c r="Q41" s="297" t="str" cm="1">
        <f t="array" aca="1" ref="Q41" ca="1">IF(H41="*","",IFERROR(INDEX(AGR!$R$52:$AC$73,MATCH($C41,AGR!$B$52:$B$73,0),MATCH('TS DMARK'!$H41&amp;'TS DMARK'!Q$7,AGR!$R$46:$AC$46&amp;AGR!$R$49:$AC$49,0)),""))</f>
        <v/>
      </c>
      <c r="R41" s="297" t="str" cm="1">
        <f t="array" aca="1" ref="R41" ca="1">IF(I41="*","",IFERROR(INDEX(AGR!$R$52:$AC$73,MATCH($C41,AGR!$B$52:$B$73,0),MATCH('TS DMARK'!$H41&amp;'TS DMARK'!R$7,AGR!$R$46:$AC$46&amp;AGR!$R$49:$AC$49,0)),""))</f>
        <v/>
      </c>
      <c r="S41" s="297" t="str" cm="1">
        <f t="array" aca="1" ref="S41" ca="1">IF(J41="*","",IFERROR(INDEX(AGR!$R$52:$AC$73,MATCH($C41,AGR!$B$52:$B$73,0),MATCH('TS DMARK'!$H41&amp;'TS DMARK'!S$7,AGR!$R$46:$AC$46&amp;AGR!$R$49:$AC$49,0)),""))</f>
        <v/>
      </c>
      <c r="T41" s="297" t="str" cm="1">
        <f t="array" aca="1" ref="T41" ca="1">IF(K41="*","",IFERROR(INDEX(AGR!$R$52:$AC$73,MATCH($C41,AGR!$B$52:$B$73,0),MATCH('TS DMARK'!$H41&amp;'TS DMARK'!T$7,AGR!$R$46:$AC$46&amp;AGR!$R$49:$AC$49,0)),""))</f>
        <v/>
      </c>
      <c r="U41" s="297" t="str" cm="1">
        <f t="array" aca="1" ref="U41" ca="1">IF(L41="*","",IFERROR(INDEX(AGR!$R$52:$AC$73,MATCH($C41,AGR!$B$52:$B$73,0),MATCH('TS DMARK'!$H41&amp;'TS DMARK'!U$7,AGR!$R$46:$AC$46&amp;AGR!$R$49:$AC$49,0)),""))</f>
        <v/>
      </c>
      <c r="V41" s="297" t="str" cm="1">
        <f t="array" aca="1" ref="V41" ca="1">IF(M41="*","",IFERROR(INDEX(AGR!$R$52:$AC$73,MATCH($C41,AGR!$B$52:$B$73,0),MATCH('TS DMARK'!$H41&amp;'TS DMARK'!V$7,AGR!$R$46:$AC$46&amp;AGR!$R$49:$AC$49,0)),""))</f>
        <v/>
      </c>
      <c r="W41" s="297" t="str" cm="1">
        <f t="array" aca="1" ref="W41" ca="1">IF(N41="*","",IFERROR(INDEX(AGR!$R$52:$AC$73,MATCH($C41,AGR!$B$52:$B$73,0),MATCH('TS DMARK'!$H41&amp;'TS DMARK'!W$7,AGR!$R$46:$AC$46&amp;AGR!$R$49:$AC$49,0)),""))</f>
        <v/>
      </c>
      <c r="X41" s="297" t="str" cm="1">
        <f t="array" aca="1" ref="X41" ca="1">IF(O41="*","",IFERROR(INDEX(AGR!$R$52:$AC$73,MATCH($C41,AGR!$B$52:$B$73,0),MATCH('TS DMARK'!$H41&amp;'TS DMARK'!X$7,AGR!$R$46:$AC$46&amp;AGR!$R$49:$AC$49,0)),""))</f>
        <v/>
      </c>
      <c r="Y41" s="297" t="str" cm="1">
        <f t="array" aca="1" ref="Y41" ca="1">IF(P41="*","",IFERROR(INDEX(AGR!$R$52:$AC$73,MATCH($C41,AGR!$B$52:$B$73,0),MATCH('TS DMARK'!$H41&amp;'TS DMARK'!Y$7,AGR!$R$46:$AC$46&amp;AGR!$R$49:$AC$49,0)),""))</f>
        <v/>
      </c>
      <c r="Z41" s="297" t="str" cm="1">
        <f t="array" aca="1" ref="Z41" ca="1">IF(Q41="*","",IFERROR(INDEX(AGR!$R$52:$AC$73,MATCH($C41,AGR!$B$52:$B$73,0),MATCH('TS DMARK'!$H41&amp;'TS DMARK'!Z$7,AGR!$R$46:$AC$46&amp;AGR!$R$49:$AC$49,0)),""))</f>
        <v/>
      </c>
      <c r="AA41" s="297" t="str" cm="1">
        <f t="array" aca="1" ref="AA41" ca="1">IF(R41="*","",IFERROR(INDEX(AGR!$R$52:$AC$73,MATCH($C41,AGR!$B$52:$B$73,0),MATCH('TS DMARK'!$H41&amp;'TS DMARK'!AA$7,AGR!$R$46:$AC$46&amp;AGR!$R$49:$AC$49,0)),""))</f>
        <v/>
      </c>
      <c r="AB41" s="297" t="str" cm="1">
        <f t="array" aca="1" ref="AB41" ca="1">IF(S41="*","",IFERROR(INDEX(AGR!$R$52:$AC$73,MATCH($C41,AGR!$B$52:$B$73,0),MATCH('TS DMARK'!$H41&amp;'TS DMARK'!AB$7,AGR!$R$46:$AC$46&amp;AGR!$R$49:$AC$49,0)),""))</f>
        <v/>
      </c>
      <c r="AC41" s="297" t="str" cm="1">
        <f t="array" aca="1" ref="AC41" ca="1">IF(T41="*","",IFERROR(INDEX(AGR!$R$52:$AC$73,MATCH($C41,AGR!$B$52:$B$73,0),MATCH('TS DMARK'!$H41&amp;'TS DMARK'!AC$7,AGR!$R$46:$AC$46&amp;AGR!$R$49:$AC$49,0)),""))</f>
        <v/>
      </c>
      <c r="AD41" s="297" t="str" cm="1">
        <f t="array" aca="1" ref="AD41" ca="1">IF(U41="*","",IFERROR(INDEX(AGR!$R$52:$AC$73,MATCH($C41,AGR!$B$52:$B$73,0),MATCH('TS DMARK'!$H41&amp;'TS DMARK'!AD$7,AGR!$R$46:$AC$46&amp;AGR!$R$49:$AC$49,0)),""))</f>
        <v/>
      </c>
      <c r="AE41" s="297" t="str" cm="1">
        <f t="array" aca="1" ref="AE41" ca="1">IF(V41="*","",IFERROR(INDEX(AGR!$R$52:$AC$73,MATCH($C41,AGR!$B$52:$B$73,0),MATCH('TS DMARK'!$H41&amp;'TS DMARK'!AE$7,AGR!$R$46:$AC$46&amp;AGR!$R$49:$AC$49,0)),""))</f>
        <v/>
      </c>
      <c r="AF41" s="297" t="str" cm="1">
        <f t="array" aca="1" ref="AF41" ca="1">IF(W41="*","",IFERROR(INDEX(AGR!$R$52:$AC$73,MATCH($C41,AGR!$B$52:$B$73,0),MATCH('TS DMARK'!$H41&amp;'TS DMARK'!AF$7,AGR!$R$46:$AC$46&amp;AGR!$R$49:$AC$49,0)),""))</f>
        <v/>
      </c>
      <c r="AG41" s="297" t="str" cm="1">
        <f t="array" aca="1" ref="AG41" ca="1">IF(X41="*","",IFERROR(INDEX(AGR!$R$52:$AC$73,MATCH($C41,AGR!$B$52:$B$73,0),MATCH('TS DMARK'!$H41&amp;'TS DMARK'!AG$7,AGR!$R$46:$AC$46&amp;AGR!$R$49:$AC$49,0)),""))</f>
        <v/>
      </c>
      <c r="AH41" s="297" t="str" cm="1">
        <f t="array" aca="1" ref="AH41" ca="1">IF(Y41="*","",IFERROR(INDEX(AGR!$R$52:$AC$73,MATCH($C41,AGR!$B$52:$B$73,0),MATCH('TS DMARK'!$H41&amp;'TS DMARK'!AH$7,AGR!$R$46:$AC$46&amp;AGR!$R$49:$AC$49,0)),""))</f>
        <v/>
      </c>
      <c r="AI41" s="297" t="str" cm="1">
        <f t="array" aca="1" ref="AI41" ca="1">IF(Z41="*","",IFERROR(INDEX(AGR!$R$52:$AC$73,MATCH($C41,AGR!$B$52:$B$73,0),MATCH('TS DMARK'!$H41&amp;'TS DMARK'!AI$7,AGR!$R$46:$AC$46&amp;AGR!$R$49:$AC$49,0)),""))</f>
        <v/>
      </c>
      <c r="AJ41" s="297" t="str" cm="1">
        <f t="array" aca="1" ref="AJ41" ca="1">IF(AA41="*","",IFERROR(INDEX(AGR!$R$52:$AC$73,MATCH($C41,AGR!$B$52:$B$73,0),MATCH('TS DMARK'!$H41&amp;'TS DMARK'!AJ$7,AGR!$R$46:$AC$46&amp;AGR!$R$49:$AC$49,0)),""))</f>
        <v/>
      </c>
      <c r="AK41" s="297" t="str" cm="1">
        <f t="array" aca="1" ref="AK41" ca="1">IF(AB41="*","",IFERROR(INDEX(AGR!$R$52:$AC$73,MATCH($C41,AGR!$B$52:$B$73,0),MATCH('TS DMARK'!$H41&amp;'TS DMARK'!AK$7,AGR!$R$46:$AC$46&amp;AGR!$R$49:$AC$49,0)),""))</f>
        <v/>
      </c>
      <c r="AL41" s="297" t="str" cm="1">
        <f t="array" aca="1" ref="AL41" ca="1">IF(AC41="*","",IFERROR(INDEX(AGR!$R$52:$AC$73,MATCH($C41,AGR!$B$52:$B$73,0),MATCH('TS DMARK'!$H41&amp;'TS DMARK'!AL$7,AGR!$R$46:$AC$46&amp;AGR!$R$49:$AC$49,0)),""))</f>
        <v/>
      </c>
      <c r="AM41" s="297" t="str" cm="1">
        <f t="array" aca="1" ref="AM41" ca="1">IF(AD41="*","",IFERROR(INDEX(AGR!$R$52:$AC$73,MATCH($C41,AGR!$B$52:$B$73,0),MATCH('TS DMARK'!$H41&amp;'TS DMARK'!AM$7,AGR!$R$46:$AC$46&amp;AGR!$R$49:$AC$49,0)),""))</f>
        <v/>
      </c>
      <c r="AN41" s="297" t="str" cm="1">
        <f t="array" aca="1" ref="AN41" ca="1">IF(AE41="*","",IFERROR(INDEX(AGR!$R$52:$AC$73,MATCH($C41,AGR!$B$52:$B$73,0),MATCH('TS DMARK'!$H41&amp;'TS DMARK'!AN$7,AGR!$R$46:$AC$46&amp;AGR!$R$49:$AC$49,0)),""))</f>
        <v/>
      </c>
      <c r="AO41" s="297" t="str" cm="1">
        <f t="array" aca="1" ref="AO41" ca="1">IF(AF41="*","",IFERROR(INDEX(AGR!$R$52:$AC$73,MATCH($C41,AGR!$B$52:$B$73,0),MATCH('TS DMARK'!$H41&amp;'TS DMARK'!AO$7,AGR!$R$46:$AC$46&amp;AGR!$R$49:$AC$49,0)),""))</f>
        <v/>
      </c>
      <c r="AP41" s="297" t="str" cm="1">
        <f t="array" aca="1" ref="AP41" ca="1">IF(AG41="*","",IFERROR(INDEX(AGR!$R$52:$AC$73,MATCH($C41,AGR!$B$52:$B$73,0),MATCH('TS DMARK'!$H41&amp;'TS DMARK'!AP$7,AGR!$R$46:$AC$46&amp;AGR!$R$49:$AC$49,0)),""))</f>
        <v/>
      </c>
      <c r="AQ41" s="238">
        <f>IF(AR40=AGR!$AD$74,AQ40+1,AQ40)</f>
        <v>2</v>
      </c>
      <c r="AR41" s="238">
        <f t="shared" si="7"/>
        <v>6</v>
      </c>
    </row>
    <row r="42" spans="1:44">
      <c r="A42" s="238" t="str">
        <f ca="1">IF(LEFT(OFFSET(AGR!$A$51,AR42,0),2)="\I","*","")</f>
        <v>*</v>
      </c>
      <c r="B42" s="243" t="str">
        <f t="shared" ca="1" si="0"/>
        <v/>
      </c>
      <c r="C42" s="243" t="str">
        <f ca="1">IF($A42="*","",OFFSET(AGR!$B$51,AR42,0))</f>
        <v/>
      </c>
      <c r="D42" s="298" t="str">
        <f t="shared" ca="1" si="3"/>
        <v/>
      </c>
      <c r="E42" s="298" t="str">
        <f t="shared" ca="1" si="5"/>
        <v/>
      </c>
      <c r="F42" s="298" t="str">
        <f t="shared" ca="1" si="5"/>
        <v/>
      </c>
      <c r="G42" s="298" t="str">
        <f t="shared" ca="1" si="6"/>
        <v/>
      </c>
      <c r="H42" s="298" t="str">
        <f t="shared" ca="1" si="6"/>
        <v/>
      </c>
      <c r="I42" s="298" t="str">
        <f t="shared" ca="1" si="6"/>
        <v/>
      </c>
      <c r="J42" s="297" t="str" cm="1">
        <f t="array" aca="1" ref="J42" ca="1">IF(A42="*","",IFERROR(INDEX(AGR!$R$52:$AC$73,MATCH($C42,AGR!$B$52:$B$73,0),MATCH('TS DMARK'!$H42&amp;'TS DMARK'!J$7,AGR!$R$46:$AC$46&amp;AGR!$R$49:$AC$49,0)),""))</f>
        <v/>
      </c>
      <c r="K42" s="297" t="str" cm="1">
        <f t="array" aca="1" ref="K42" ca="1">IF(B42="*","",IFERROR(INDEX(AGR!$R$52:$AC$73,MATCH($C42,AGR!$B$52:$B$73,0),MATCH('TS DMARK'!$H42&amp;'TS DMARK'!K$7,AGR!$R$46:$AC$46&amp;AGR!$R$49:$AC$49,0)),""))</f>
        <v/>
      </c>
      <c r="L42" s="297" t="str" cm="1">
        <f t="array" aca="1" ref="L42" ca="1">IF(C42="*","",IFERROR(INDEX(AGR!$R$52:$AC$73,MATCH($C42,AGR!$B$52:$B$73,0),MATCH('TS DMARK'!$H42&amp;'TS DMARK'!L$7,AGR!$R$46:$AC$46&amp;AGR!$R$49:$AC$49,0)),""))</f>
        <v/>
      </c>
      <c r="M42" s="297" t="str" cm="1">
        <f t="array" aca="1" ref="M42" ca="1">IF(D42="*","",IFERROR(INDEX(AGR!$R$52:$AC$73,MATCH($C42,AGR!$B$52:$B$73,0),MATCH('TS DMARK'!$H42&amp;'TS DMARK'!M$7,AGR!$R$46:$AC$46&amp;AGR!$R$49:$AC$49,0)),""))</f>
        <v/>
      </c>
      <c r="N42" s="297" t="str" cm="1">
        <f t="array" aca="1" ref="N42" ca="1">IF(E42="*","",IFERROR(INDEX(AGR!$R$52:$AC$73,MATCH($C42,AGR!$B$52:$B$73,0),MATCH('TS DMARK'!$H42&amp;'TS DMARK'!N$7,AGR!$R$46:$AC$46&amp;AGR!$R$49:$AC$49,0)),""))</f>
        <v/>
      </c>
      <c r="O42" s="297" t="str" cm="1">
        <f t="array" aca="1" ref="O42" ca="1">IF(F42="*","",IFERROR(INDEX(AGR!$R$52:$AC$73,MATCH($C42,AGR!$B$52:$B$73,0),MATCH('TS DMARK'!$H42&amp;'TS DMARK'!O$7,AGR!$R$46:$AC$46&amp;AGR!$R$49:$AC$49,0)),""))</f>
        <v/>
      </c>
      <c r="P42" s="297" t="str" cm="1">
        <f t="array" aca="1" ref="P42" ca="1">IF(G42="*","",IFERROR(INDEX(AGR!$R$52:$AC$73,MATCH($C42,AGR!$B$52:$B$73,0),MATCH('TS DMARK'!$H42&amp;'TS DMARK'!P$7,AGR!$R$46:$AC$46&amp;AGR!$R$49:$AC$49,0)),""))</f>
        <v/>
      </c>
      <c r="Q42" s="297" t="str" cm="1">
        <f t="array" aca="1" ref="Q42" ca="1">IF(H42="*","",IFERROR(INDEX(AGR!$R$52:$AC$73,MATCH($C42,AGR!$B$52:$B$73,0),MATCH('TS DMARK'!$H42&amp;'TS DMARK'!Q$7,AGR!$R$46:$AC$46&amp;AGR!$R$49:$AC$49,0)),""))</f>
        <v/>
      </c>
      <c r="R42" s="297" t="str" cm="1">
        <f t="array" aca="1" ref="R42" ca="1">IF(I42="*","",IFERROR(INDEX(AGR!$R$52:$AC$73,MATCH($C42,AGR!$B$52:$B$73,0),MATCH('TS DMARK'!$H42&amp;'TS DMARK'!R$7,AGR!$R$46:$AC$46&amp;AGR!$R$49:$AC$49,0)),""))</f>
        <v/>
      </c>
      <c r="S42" s="297" t="str" cm="1">
        <f t="array" aca="1" ref="S42" ca="1">IF(J42="*","",IFERROR(INDEX(AGR!$R$52:$AC$73,MATCH($C42,AGR!$B$52:$B$73,0),MATCH('TS DMARK'!$H42&amp;'TS DMARK'!S$7,AGR!$R$46:$AC$46&amp;AGR!$R$49:$AC$49,0)),""))</f>
        <v/>
      </c>
      <c r="T42" s="297" t="str" cm="1">
        <f t="array" aca="1" ref="T42" ca="1">IF(K42="*","",IFERROR(INDEX(AGR!$R$52:$AC$73,MATCH($C42,AGR!$B$52:$B$73,0),MATCH('TS DMARK'!$H42&amp;'TS DMARK'!T$7,AGR!$R$46:$AC$46&amp;AGR!$R$49:$AC$49,0)),""))</f>
        <v/>
      </c>
      <c r="U42" s="297" t="str" cm="1">
        <f t="array" aca="1" ref="U42" ca="1">IF(L42="*","",IFERROR(INDEX(AGR!$R$52:$AC$73,MATCH($C42,AGR!$B$52:$B$73,0),MATCH('TS DMARK'!$H42&amp;'TS DMARK'!U$7,AGR!$R$46:$AC$46&amp;AGR!$R$49:$AC$49,0)),""))</f>
        <v/>
      </c>
      <c r="V42" s="297" t="str" cm="1">
        <f t="array" aca="1" ref="V42" ca="1">IF(M42="*","",IFERROR(INDEX(AGR!$R$52:$AC$73,MATCH($C42,AGR!$B$52:$B$73,0),MATCH('TS DMARK'!$H42&amp;'TS DMARK'!V$7,AGR!$R$46:$AC$46&amp;AGR!$R$49:$AC$49,0)),""))</f>
        <v/>
      </c>
      <c r="W42" s="297" t="str" cm="1">
        <f t="array" aca="1" ref="W42" ca="1">IF(N42="*","",IFERROR(INDEX(AGR!$R$52:$AC$73,MATCH($C42,AGR!$B$52:$B$73,0),MATCH('TS DMARK'!$H42&amp;'TS DMARK'!W$7,AGR!$R$46:$AC$46&amp;AGR!$R$49:$AC$49,0)),""))</f>
        <v/>
      </c>
      <c r="X42" s="297" t="str" cm="1">
        <f t="array" aca="1" ref="X42" ca="1">IF(O42="*","",IFERROR(INDEX(AGR!$R$52:$AC$73,MATCH($C42,AGR!$B$52:$B$73,0),MATCH('TS DMARK'!$H42&amp;'TS DMARK'!X$7,AGR!$R$46:$AC$46&amp;AGR!$R$49:$AC$49,0)),""))</f>
        <v/>
      </c>
      <c r="Y42" s="297" t="str" cm="1">
        <f t="array" aca="1" ref="Y42" ca="1">IF(P42="*","",IFERROR(INDEX(AGR!$R$52:$AC$73,MATCH($C42,AGR!$B$52:$B$73,0),MATCH('TS DMARK'!$H42&amp;'TS DMARK'!Y$7,AGR!$R$46:$AC$46&amp;AGR!$R$49:$AC$49,0)),""))</f>
        <v/>
      </c>
      <c r="Z42" s="297" t="str" cm="1">
        <f t="array" aca="1" ref="Z42" ca="1">IF(Q42="*","",IFERROR(INDEX(AGR!$R$52:$AC$73,MATCH($C42,AGR!$B$52:$B$73,0),MATCH('TS DMARK'!$H42&amp;'TS DMARK'!Z$7,AGR!$R$46:$AC$46&amp;AGR!$R$49:$AC$49,0)),""))</f>
        <v/>
      </c>
      <c r="AA42" s="297" t="str" cm="1">
        <f t="array" aca="1" ref="AA42" ca="1">IF(R42="*","",IFERROR(INDEX(AGR!$R$52:$AC$73,MATCH($C42,AGR!$B$52:$B$73,0),MATCH('TS DMARK'!$H42&amp;'TS DMARK'!AA$7,AGR!$R$46:$AC$46&amp;AGR!$R$49:$AC$49,0)),""))</f>
        <v/>
      </c>
      <c r="AB42" s="297" t="str" cm="1">
        <f t="array" aca="1" ref="AB42" ca="1">IF(S42="*","",IFERROR(INDEX(AGR!$R$52:$AC$73,MATCH($C42,AGR!$B$52:$B$73,0),MATCH('TS DMARK'!$H42&amp;'TS DMARK'!AB$7,AGR!$R$46:$AC$46&amp;AGR!$R$49:$AC$49,0)),""))</f>
        <v/>
      </c>
      <c r="AC42" s="297" t="str" cm="1">
        <f t="array" aca="1" ref="AC42" ca="1">IF(T42="*","",IFERROR(INDEX(AGR!$R$52:$AC$73,MATCH($C42,AGR!$B$52:$B$73,0),MATCH('TS DMARK'!$H42&amp;'TS DMARK'!AC$7,AGR!$R$46:$AC$46&amp;AGR!$R$49:$AC$49,0)),""))</f>
        <v/>
      </c>
      <c r="AD42" s="297" t="str" cm="1">
        <f t="array" aca="1" ref="AD42" ca="1">IF(U42="*","",IFERROR(INDEX(AGR!$R$52:$AC$73,MATCH($C42,AGR!$B$52:$B$73,0),MATCH('TS DMARK'!$H42&amp;'TS DMARK'!AD$7,AGR!$R$46:$AC$46&amp;AGR!$R$49:$AC$49,0)),""))</f>
        <v/>
      </c>
      <c r="AE42" s="297" t="str" cm="1">
        <f t="array" aca="1" ref="AE42" ca="1">IF(V42="*","",IFERROR(INDEX(AGR!$R$52:$AC$73,MATCH($C42,AGR!$B$52:$B$73,0),MATCH('TS DMARK'!$H42&amp;'TS DMARK'!AE$7,AGR!$R$46:$AC$46&amp;AGR!$R$49:$AC$49,0)),""))</f>
        <v/>
      </c>
      <c r="AF42" s="297" t="str" cm="1">
        <f t="array" aca="1" ref="AF42" ca="1">IF(W42="*","",IFERROR(INDEX(AGR!$R$52:$AC$73,MATCH($C42,AGR!$B$52:$B$73,0),MATCH('TS DMARK'!$H42&amp;'TS DMARK'!AF$7,AGR!$R$46:$AC$46&amp;AGR!$R$49:$AC$49,0)),""))</f>
        <v/>
      </c>
      <c r="AG42" s="297" t="str" cm="1">
        <f t="array" aca="1" ref="AG42" ca="1">IF(X42="*","",IFERROR(INDEX(AGR!$R$52:$AC$73,MATCH($C42,AGR!$B$52:$B$73,0),MATCH('TS DMARK'!$H42&amp;'TS DMARK'!AG$7,AGR!$R$46:$AC$46&amp;AGR!$R$49:$AC$49,0)),""))</f>
        <v/>
      </c>
      <c r="AH42" s="297" t="str" cm="1">
        <f t="array" aca="1" ref="AH42" ca="1">IF(Y42="*","",IFERROR(INDEX(AGR!$R$52:$AC$73,MATCH($C42,AGR!$B$52:$B$73,0),MATCH('TS DMARK'!$H42&amp;'TS DMARK'!AH$7,AGR!$R$46:$AC$46&amp;AGR!$R$49:$AC$49,0)),""))</f>
        <v/>
      </c>
      <c r="AI42" s="297" t="str" cm="1">
        <f t="array" aca="1" ref="AI42" ca="1">IF(Z42="*","",IFERROR(INDEX(AGR!$R$52:$AC$73,MATCH($C42,AGR!$B$52:$B$73,0),MATCH('TS DMARK'!$H42&amp;'TS DMARK'!AI$7,AGR!$R$46:$AC$46&amp;AGR!$R$49:$AC$49,0)),""))</f>
        <v/>
      </c>
      <c r="AJ42" s="297" t="str" cm="1">
        <f t="array" aca="1" ref="AJ42" ca="1">IF(AA42="*","",IFERROR(INDEX(AGR!$R$52:$AC$73,MATCH($C42,AGR!$B$52:$B$73,0),MATCH('TS DMARK'!$H42&amp;'TS DMARK'!AJ$7,AGR!$R$46:$AC$46&amp;AGR!$R$49:$AC$49,0)),""))</f>
        <v/>
      </c>
      <c r="AK42" s="297" t="str" cm="1">
        <f t="array" aca="1" ref="AK42" ca="1">IF(AB42="*","",IFERROR(INDEX(AGR!$R$52:$AC$73,MATCH($C42,AGR!$B$52:$B$73,0),MATCH('TS DMARK'!$H42&amp;'TS DMARK'!AK$7,AGR!$R$46:$AC$46&amp;AGR!$R$49:$AC$49,0)),""))</f>
        <v/>
      </c>
      <c r="AL42" s="297" t="str" cm="1">
        <f t="array" aca="1" ref="AL42" ca="1">IF(AC42="*","",IFERROR(INDEX(AGR!$R$52:$AC$73,MATCH($C42,AGR!$B$52:$B$73,0),MATCH('TS DMARK'!$H42&amp;'TS DMARK'!AL$7,AGR!$R$46:$AC$46&amp;AGR!$R$49:$AC$49,0)),""))</f>
        <v/>
      </c>
      <c r="AM42" s="297" t="str" cm="1">
        <f t="array" aca="1" ref="AM42" ca="1">IF(AD42="*","",IFERROR(INDEX(AGR!$R$52:$AC$73,MATCH($C42,AGR!$B$52:$B$73,0),MATCH('TS DMARK'!$H42&amp;'TS DMARK'!AM$7,AGR!$R$46:$AC$46&amp;AGR!$R$49:$AC$49,0)),""))</f>
        <v/>
      </c>
      <c r="AN42" s="297" t="str" cm="1">
        <f t="array" aca="1" ref="AN42" ca="1">IF(AE42="*","",IFERROR(INDEX(AGR!$R$52:$AC$73,MATCH($C42,AGR!$B$52:$B$73,0),MATCH('TS DMARK'!$H42&amp;'TS DMARK'!AN$7,AGR!$R$46:$AC$46&amp;AGR!$R$49:$AC$49,0)),""))</f>
        <v/>
      </c>
      <c r="AO42" s="297" t="str" cm="1">
        <f t="array" aca="1" ref="AO42" ca="1">IF(AF42="*","",IFERROR(INDEX(AGR!$R$52:$AC$73,MATCH($C42,AGR!$B$52:$B$73,0),MATCH('TS DMARK'!$H42&amp;'TS DMARK'!AO$7,AGR!$R$46:$AC$46&amp;AGR!$R$49:$AC$49,0)),""))</f>
        <v/>
      </c>
      <c r="AP42" s="297" t="str" cm="1">
        <f t="array" aca="1" ref="AP42" ca="1">IF(AG42="*","",IFERROR(INDEX(AGR!$R$52:$AC$73,MATCH($C42,AGR!$B$52:$B$73,0),MATCH('TS DMARK'!$H42&amp;'TS DMARK'!AP$7,AGR!$R$46:$AC$46&amp;AGR!$R$49:$AC$49,0)),""))</f>
        <v/>
      </c>
      <c r="AQ42" s="238">
        <f>IF(AR41=AGR!$AD$74,AQ41+1,AQ41)</f>
        <v>2</v>
      </c>
      <c r="AR42" s="238">
        <f t="shared" si="7"/>
        <v>7</v>
      </c>
    </row>
    <row r="43" spans="1:44">
      <c r="A43" s="238" t="str">
        <f ca="1">IF(LEFT(OFFSET(AGR!$A$51,AR43,0),2)="\I","*","")</f>
        <v/>
      </c>
      <c r="B43" s="243" t="str">
        <f t="shared" ca="1" si="0"/>
        <v>FLO_MARK</v>
      </c>
      <c r="C43" s="243" t="str">
        <f ca="1">IF($A43="*","",OFFSET(AGR!$B$51,AR43,0))</f>
        <v>APELC-E</v>
      </c>
      <c r="D43" s="298" t="str">
        <f t="shared" ca="1" si="3"/>
        <v>AP</v>
      </c>
      <c r="E43" s="298" t="str">
        <f t="shared" ca="1" si="5"/>
        <v>-</v>
      </c>
      <c r="F43" s="298" t="str">
        <f t="shared" ca="1" si="5"/>
        <v>-</v>
      </c>
      <c r="G43" s="298" t="str">
        <f t="shared" ca="1" si="6"/>
        <v>-</v>
      </c>
      <c r="H43" s="298" t="str">
        <f t="shared" ca="1" si="6"/>
        <v>LO</v>
      </c>
      <c r="I43" s="298">
        <f t="shared" ca="1" si="6"/>
        <v>3</v>
      </c>
      <c r="J43" s="297" cm="1">
        <f t="array" aca="1" ref="J43" ca="1">IF(A43="*","",IFERROR(INDEX(AGR!$R$52:$AC$73,MATCH($C43,AGR!$B$52:$B$73,0),MATCH('TS DMARK'!$H43&amp;'TS DMARK'!J$7,AGR!$R$46:$AC$46&amp;AGR!$R$49:$AC$49,0)),""))</f>
        <v>1</v>
      </c>
      <c r="K43" s="297" t="str" cm="1">
        <f t="array" aca="1" ref="K43" ca="1">IF(B43="*","",IFERROR(INDEX(AGR!$R$52:$AC$73,MATCH($C43,AGR!$B$52:$B$73,0),MATCH('TS DMARK'!$H43&amp;'TS DMARK'!K$7,AGR!$R$46:$AC$46&amp;AGR!$R$49:$AC$49,0)),""))</f>
        <v/>
      </c>
      <c r="L43" s="297" t="str" cm="1">
        <f t="array" aca="1" ref="L43" ca="1">IF(C43="*","",IFERROR(INDEX(AGR!$R$52:$AC$73,MATCH($C43,AGR!$B$52:$B$73,0),MATCH('TS DMARK'!$H43&amp;'TS DMARK'!L$7,AGR!$R$46:$AC$46&amp;AGR!$R$49:$AC$49,0)),""))</f>
        <v/>
      </c>
      <c r="M43" s="297" cm="1">
        <f t="array" aca="1" ref="M43" ca="1">IF(D43="*","",IFERROR(INDEX(AGR!$R$52:$AC$73,MATCH($C43,AGR!$B$52:$B$73,0),MATCH('TS DMARK'!$H43&amp;'TS DMARK'!M$7,AGR!$R$46:$AC$46&amp;AGR!$R$49:$AC$49,0)),""))</f>
        <v>1</v>
      </c>
      <c r="N43" s="297" t="str" cm="1">
        <f t="array" aca="1" ref="N43" ca="1">IF(E43="*","",IFERROR(INDEX(AGR!$R$52:$AC$73,MATCH($C43,AGR!$B$52:$B$73,0),MATCH('TS DMARK'!$H43&amp;'TS DMARK'!N$7,AGR!$R$46:$AC$46&amp;AGR!$R$49:$AC$49,0)),""))</f>
        <v/>
      </c>
      <c r="O43" s="297" cm="1">
        <f t="array" aca="1" ref="O43" ca="1">IF(F43="*","",IFERROR(INDEX(AGR!$R$52:$AC$73,MATCH($C43,AGR!$B$52:$B$73,0),MATCH('TS DMARK'!$H43&amp;'TS DMARK'!O$7,AGR!$R$46:$AC$46&amp;AGR!$R$49:$AC$49,0)),""))</f>
        <v>1</v>
      </c>
      <c r="P43" s="297" t="str" cm="1">
        <f t="array" aca="1" ref="P43" ca="1">IF(G43="*","",IFERROR(INDEX(AGR!$R$52:$AC$73,MATCH($C43,AGR!$B$52:$B$73,0),MATCH('TS DMARK'!$H43&amp;'TS DMARK'!P$7,AGR!$R$46:$AC$46&amp;AGR!$R$49:$AC$49,0)),""))</f>
        <v/>
      </c>
      <c r="Q43" s="297" t="str" cm="1">
        <f t="array" aca="1" ref="Q43" ca="1">IF(H43="*","",IFERROR(INDEX(AGR!$R$52:$AC$73,MATCH($C43,AGR!$B$52:$B$73,0),MATCH('TS DMARK'!$H43&amp;'TS DMARK'!Q$7,AGR!$R$46:$AC$46&amp;AGR!$R$49:$AC$49,0)),""))</f>
        <v/>
      </c>
      <c r="R43" s="297" t="str" cm="1">
        <f t="array" aca="1" ref="R43" ca="1">IF(I43="*","",IFERROR(INDEX(AGR!$R$52:$AC$73,MATCH($C43,AGR!$B$52:$B$73,0),MATCH('TS DMARK'!$H43&amp;'TS DMARK'!R$7,AGR!$R$46:$AC$46&amp;AGR!$R$49:$AC$49,0)),""))</f>
        <v/>
      </c>
      <c r="S43" s="297" t="str" cm="1">
        <f t="array" aca="1" ref="S43" ca="1">IF(J43="*","",IFERROR(INDEX(AGR!$R$52:$AC$73,MATCH($C43,AGR!$B$52:$B$73,0),MATCH('TS DMARK'!$H43&amp;'TS DMARK'!S$7,AGR!$R$46:$AC$46&amp;AGR!$R$49:$AC$49,0)),""))</f>
        <v/>
      </c>
      <c r="T43" s="297" t="str" cm="1">
        <f t="array" aca="1" ref="T43" ca="1">IF(K43="*","",IFERROR(INDEX(AGR!$R$52:$AC$73,MATCH($C43,AGR!$B$52:$B$73,0),MATCH('TS DMARK'!$H43&amp;'TS DMARK'!T$7,AGR!$R$46:$AC$46&amp;AGR!$R$49:$AC$49,0)),""))</f>
        <v/>
      </c>
      <c r="U43" s="297" t="str" cm="1">
        <f t="array" aca="1" ref="U43" ca="1">IF(L43="*","",IFERROR(INDEX(AGR!$R$52:$AC$73,MATCH($C43,AGR!$B$52:$B$73,0),MATCH('TS DMARK'!$H43&amp;'TS DMARK'!U$7,AGR!$R$46:$AC$46&amp;AGR!$R$49:$AC$49,0)),""))</f>
        <v/>
      </c>
      <c r="V43" s="297" t="str" cm="1">
        <f t="array" aca="1" ref="V43" ca="1">IF(M43="*","",IFERROR(INDEX(AGR!$R$52:$AC$73,MATCH($C43,AGR!$B$52:$B$73,0),MATCH('TS DMARK'!$H43&amp;'TS DMARK'!V$7,AGR!$R$46:$AC$46&amp;AGR!$R$49:$AC$49,0)),""))</f>
        <v/>
      </c>
      <c r="W43" s="297" t="str" cm="1">
        <f t="array" aca="1" ref="W43" ca="1">IF(N43="*","",IFERROR(INDEX(AGR!$R$52:$AC$73,MATCH($C43,AGR!$B$52:$B$73,0),MATCH('TS DMARK'!$H43&amp;'TS DMARK'!W$7,AGR!$R$46:$AC$46&amp;AGR!$R$49:$AC$49,0)),""))</f>
        <v/>
      </c>
      <c r="X43" s="297" t="str" cm="1">
        <f t="array" aca="1" ref="X43" ca="1">IF(O43="*","",IFERROR(INDEX(AGR!$R$52:$AC$73,MATCH($C43,AGR!$B$52:$B$73,0),MATCH('TS DMARK'!$H43&amp;'TS DMARK'!X$7,AGR!$R$46:$AC$46&amp;AGR!$R$49:$AC$49,0)),""))</f>
        <v/>
      </c>
      <c r="Y43" s="297" t="str" cm="1">
        <f t="array" aca="1" ref="Y43" ca="1">IF(P43="*","",IFERROR(INDEX(AGR!$R$52:$AC$73,MATCH($C43,AGR!$B$52:$B$73,0),MATCH('TS DMARK'!$H43&amp;'TS DMARK'!Y$7,AGR!$R$46:$AC$46&amp;AGR!$R$49:$AC$49,0)),""))</f>
        <v/>
      </c>
      <c r="Z43" s="297" t="str" cm="1">
        <f t="array" aca="1" ref="Z43" ca="1">IF(Q43="*","",IFERROR(INDEX(AGR!$R$52:$AC$73,MATCH($C43,AGR!$B$52:$B$73,0),MATCH('TS DMARK'!$H43&amp;'TS DMARK'!Z$7,AGR!$R$46:$AC$46&amp;AGR!$R$49:$AC$49,0)),""))</f>
        <v/>
      </c>
      <c r="AA43" s="297" t="str" cm="1">
        <f t="array" aca="1" ref="AA43" ca="1">IF(R43="*","",IFERROR(INDEX(AGR!$R$52:$AC$73,MATCH($C43,AGR!$B$52:$B$73,0),MATCH('TS DMARK'!$H43&amp;'TS DMARK'!AA$7,AGR!$R$46:$AC$46&amp;AGR!$R$49:$AC$49,0)),""))</f>
        <v/>
      </c>
      <c r="AB43" s="297" cm="1">
        <f t="array" aca="1" ref="AB43" ca="1">IF(S43="*","",IFERROR(INDEX(AGR!$R$52:$AC$73,MATCH($C43,AGR!$B$52:$B$73,0),MATCH('TS DMARK'!$H43&amp;'TS DMARK'!AB$7,AGR!$R$46:$AC$46&amp;AGR!$R$49:$AC$49,0)),""))</f>
        <v>0.25</v>
      </c>
      <c r="AC43" s="297" t="str" cm="1">
        <f t="array" aca="1" ref="AC43" ca="1">IF(T43="*","",IFERROR(INDEX(AGR!$R$52:$AC$73,MATCH($C43,AGR!$B$52:$B$73,0),MATCH('TS DMARK'!$H43&amp;'TS DMARK'!AC$7,AGR!$R$46:$AC$46&amp;AGR!$R$49:$AC$49,0)),""))</f>
        <v/>
      </c>
      <c r="AD43" s="297" t="str" cm="1">
        <f t="array" aca="1" ref="AD43" ca="1">IF(U43="*","",IFERROR(INDEX(AGR!$R$52:$AC$73,MATCH($C43,AGR!$B$52:$B$73,0),MATCH('TS DMARK'!$H43&amp;'TS DMARK'!AD$7,AGR!$R$46:$AC$46&amp;AGR!$R$49:$AC$49,0)),""))</f>
        <v/>
      </c>
      <c r="AE43" s="297" t="str" cm="1">
        <f t="array" aca="1" ref="AE43" ca="1">IF(V43="*","",IFERROR(INDEX(AGR!$R$52:$AC$73,MATCH($C43,AGR!$B$52:$B$73,0),MATCH('TS DMARK'!$H43&amp;'TS DMARK'!AE$7,AGR!$R$46:$AC$46&amp;AGR!$R$49:$AC$49,0)),""))</f>
        <v/>
      </c>
      <c r="AF43" s="297" t="str" cm="1">
        <f t="array" aca="1" ref="AF43" ca="1">IF(W43="*","",IFERROR(INDEX(AGR!$R$52:$AC$73,MATCH($C43,AGR!$B$52:$B$73,0),MATCH('TS DMARK'!$H43&amp;'TS DMARK'!AF$7,AGR!$R$46:$AC$46&amp;AGR!$R$49:$AC$49,0)),""))</f>
        <v/>
      </c>
      <c r="AG43" s="297" t="str" cm="1">
        <f t="array" aca="1" ref="AG43" ca="1">IF(X43="*","",IFERROR(INDEX(AGR!$R$52:$AC$73,MATCH($C43,AGR!$B$52:$B$73,0),MATCH('TS DMARK'!$H43&amp;'TS DMARK'!AG$7,AGR!$R$46:$AC$46&amp;AGR!$R$49:$AC$49,0)),""))</f>
        <v/>
      </c>
      <c r="AH43" s="297" t="str" cm="1">
        <f t="array" aca="1" ref="AH43" ca="1">IF(Y43="*","",IFERROR(INDEX(AGR!$R$52:$AC$73,MATCH($C43,AGR!$B$52:$B$73,0),MATCH('TS DMARK'!$H43&amp;'TS DMARK'!AH$7,AGR!$R$46:$AC$46&amp;AGR!$R$49:$AC$49,0)),""))</f>
        <v/>
      </c>
      <c r="AI43" s="297" t="str" cm="1">
        <f t="array" aca="1" ref="AI43" ca="1">IF(Z43="*","",IFERROR(INDEX(AGR!$R$52:$AC$73,MATCH($C43,AGR!$B$52:$B$73,0),MATCH('TS DMARK'!$H43&amp;'TS DMARK'!AI$7,AGR!$R$46:$AC$46&amp;AGR!$R$49:$AC$49,0)),""))</f>
        <v/>
      </c>
      <c r="AJ43" s="297" t="str" cm="1">
        <f t="array" aca="1" ref="AJ43" ca="1">IF(AA43="*","",IFERROR(INDEX(AGR!$R$52:$AC$73,MATCH($C43,AGR!$B$52:$B$73,0),MATCH('TS DMARK'!$H43&amp;'TS DMARK'!AJ$7,AGR!$R$46:$AC$46&amp;AGR!$R$49:$AC$49,0)),""))</f>
        <v/>
      </c>
      <c r="AK43" s="297" t="str" cm="1">
        <f t="array" aca="1" ref="AK43" ca="1">IF(AB43="*","",IFERROR(INDEX(AGR!$R$52:$AC$73,MATCH($C43,AGR!$B$52:$B$73,0),MATCH('TS DMARK'!$H43&amp;'TS DMARK'!AK$7,AGR!$R$46:$AC$46&amp;AGR!$R$49:$AC$49,0)),""))</f>
        <v/>
      </c>
      <c r="AL43" s="297" t="str" cm="1">
        <f t="array" aca="1" ref="AL43" ca="1">IF(AC43="*","",IFERROR(INDEX(AGR!$R$52:$AC$73,MATCH($C43,AGR!$B$52:$B$73,0),MATCH('TS DMARK'!$H43&amp;'TS DMARK'!AL$7,AGR!$R$46:$AC$46&amp;AGR!$R$49:$AC$49,0)),""))</f>
        <v/>
      </c>
      <c r="AM43" s="297" t="str" cm="1">
        <f t="array" aca="1" ref="AM43" ca="1">IF(AD43="*","",IFERROR(INDEX(AGR!$R$52:$AC$73,MATCH($C43,AGR!$B$52:$B$73,0),MATCH('TS DMARK'!$H43&amp;'TS DMARK'!AM$7,AGR!$R$46:$AC$46&amp;AGR!$R$49:$AC$49,0)),""))</f>
        <v/>
      </c>
      <c r="AN43" s="297" cm="1">
        <f t="array" aca="1" ref="AN43" ca="1">IF(AE43="*","",IFERROR(INDEX(AGR!$R$52:$AC$73,MATCH($C43,AGR!$B$52:$B$73,0),MATCH('TS DMARK'!$H43&amp;'TS DMARK'!AN$7,AGR!$R$46:$AC$46&amp;AGR!$R$49:$AC$49,0)),""))</f>
        <v>0</v>
      </c>
      <c r="AO43" s="297" t="str" cm="1">
        <f t="array" aca="1" ref="AO43" ca="1">IF(AF43="*","",IFERROR(INDEX(AGR!$R$52:$AC$73,MATCH($C43,AGR!$B$52:$B$73,0),MATCH('TS DMARK'!$H43&amp;'TS DMARK'!AO$7,AGR!$R$46:$AC$46&amp;AGR!$R$49:$AC$49,0)),""))</f>
        <v/>
      </c>
      <c r="AP43" s="297" cm="1">
        <f t="array" aca="1" ref="AP43" ca="1">IF(AG43="*","",IFERROR(INDEX(AGR!$R$52:$AC$73,MATCH($C43,AGR!$B$52:$B$73,0),MATCH('TS DMARK'!$H43&amp;'TS DMARK'!AP$7,AGR!$R$46:$AC$46&amp;AGR!$R$49:$AC$49,0)),""))</f>
        <v>0</v>
      </c>
      <c r="AQ43" s="238">
        <f>IF(AR42=AGR!$AD$74,AQ42+1,AQ42)</f>
        <v>2</v>
      </c>
      <c r="AR43" s="238">
        <f t="shared" si="7"/>
        <v>8</v>
      </c>
    </row>
    <row r="44" spans="1:44">
      <c r="A44" s="238" t="str">
        <f ca="1">IF(LEFT(OFFSET(AGR!$A$51,AR44,0),2)="\I","*","")</f>
        <v>*</v>
      </c>
      <c r="B44" s="243" t="str">
        <f t="shared" ca="1" si="0"/>
        <v/>
      </c>
      <c r="C44" s="243" t="str">
        <f ca="1">IF($A44="*","",OFFSET(AGR!$B$51,AR44,0))</f>
        <v/>
      </c>
      <c r="D44" s="298" t="str">
        <f t="shared" ca="1" si="3"/>
        <v/>
      </c>
      <c r="E44" s="298" t="str">
        <f t="shared" ca="1" si="5"/>
        <v/>
      </c>
      <c r="F44" s="298" t="str">
        <f t="shared" ca="1" si="5"/>
        <v/>
      </c>
      <c r="G44" s="298" t="str">
        <f t="shared" ca="1" si="6"/>
        <v/>
      </c>
      <c r="H44" s="298" t="str">
        <f t="shared" ca="1" si="6"/>
        <v/>
      </c>
      <c r="I44" s="298" t="str">
        <f t="shared" ca="1" si="6"/>
        <v/>
      </c>
      <c r="J44" s="297" t="str" cm="1">
        <f t="array" aca="1" ref="J44" ca="1">IF(A44="*","",IFERROR(INDEX(AGR!$R$52:$AC$73,MATCH($C44,AGR!$B$52:$B$73,0),MATCH('TS DMARK'!$H44&amp;'TS DMARK'!J$7,AGR!$R$46:$AC$46&amp;AGR!$R$49:$AC$49,0)),""))</f>
        <v/>
      </c>
      <c r="K44" s="297" t="str" cm="1">
        <f t="array" aca="1" ref="K44" ca="1">IF(B44="*","",IFERROR(INDEX(AGR!$R$52:$AC$73,MATCH($C44,AGR!$B$52:$B$73,0),MATCH('TS DMARK'!$H44&amp;'TS DMARK'!K$7,AGR!$R$46:$AC$46&amp;AGR!$R$49:$AC$49,0)),""))</f>
        <v/>
      </c>
      <c r="L44" s="297" t="str" cm="1">
        <f t="array" aca="1" ref="L44" ca="1">IF(C44="*","",IFERROR(INDEX(AGR!$R$52:$AC$73,MATCH($C44,AGR!$B$52:$B$73,0),MATCH('TS DMARK'!$H44&amp;'TS DMARK'!L$7,AGR!$R$46:$AC$46&amp;AGR!$R$49:$AC$49,0)),""))</f>
        <v/>
      </c>
      <c r="M44" s="297" t="str" cm="1">
        <f t="array" aca="1" ref="M44" ca="1">IF(D44="*","",IFERROR(INDEX(AGR!$R$52:$AC$73,MATCH($C44,AGR!$B$52:$B$73,0),MATCH('TS DMARK'!$H44&amp;'TS DMARK'!M$7,AGR!$R$46:$AC$46&amp;AGR!$R$49:$AC$49,0)),""))</f>
        <v/>
      </c>
      <c r="N44" s="297" t="str" cm="1">
        <f t="array" aca="1" ref="N44" ca="1">IF(E44="*","",IFERROR(INDEX(AGR!$R$52:$AC$73,MATCH($C44,AGR!$B$52:$B$73,0),MATCH('TS DMARK'!$H44&amp;'TS DMARK'!N$7,AGR!$R$46:$AC$46&amp;AGR!$R$49:$AC$49,0)),""))</f>
        <v/>
      </c>
      <c r="O44" s="297" t="str" cm="1">
        <f t="array" aca="1" ref="O44" ca="1">IF(F44="*","",IFERROR(INDEX(AGR!$R$52:$AC$73,MATCH($C44,AGR!$B$52:$B$73,0),MATCH('TS DMARK'!$H44&amp;'TS DMARK'!O$7,AGR!$R$46:$AC$46&amp;AGR!$R$49:$AC$49,0)),""))</f>
        <v/>
      </c>
      <c r="P44" s="297" t="str" cm="1">
        <f t="array" aca="1" ref="P44" ca="1">IF(G44="*","",IFERROR(INDEX(AGR!$R$52:$AC$73,MATCH($C44,AGR!$B$52:$B$73,0),MATCH('TS DMARK'!$H44&amp;'TS DMARK'!P$7,AGR!$R$46:$AC$46&amp;AGR!$R$49:$AC$49,0)),""))</f>
        <v/>
      </c>
      <c r="Q44" s="297" t="str" cm="1">
        <f t="array" aca="1" ref="Q44" ca="1">IF(H44="*","",IFERROR(INDEX(AGR!$R$52:$AC$73,MATCH($C44,AGR!$B$52:$B$73,0),MATCH('TS DMARK'!$H44&amp;'TS DMARK'!Q$7,AGR!$R$46:$AC$46&amp;AGR!$R$49:$AC$49,0)),""))</f>
        <v/>
      </c>
      <c r="R44" s="297" t="str" cm="1">
        <f t="array" aca="1" ref="R44" ca="1">IF(I44="*","",IFERROR(INDEX(AGR!$R$52:$AC$73,MATCH($C44,AGR!$B$52:$B$73,0),MATCH('TS DMARK'!$H44&amp;'TS DMARK'!R$7,AGR!$R$46:$AC$46&amp;AGR!$R$49:$AC$49,0)),""))</f>
        <v/>
      </c>
      <c r="S44" s="297" t="str" cm="1">
        <f t="array" aca="1" ref="S44" ca="1">IF(J44="*","",IFERROR(INDEX(AGR!$R$52:$AC$73,MATCH($C44,AGR!$B$52:$B$73,0),MATCH('TS DMARK'!$H44&amp;'TS DMARK'!S$7,AGR!$R$46:$AC$46&amp;AGR!$R$49:$AC$49,0)),""))</f>
        <v/>
      </c>
      <c r="T44" s="297" t="str" cm="1">
        <f t="array" aca="1" ref="T44" ca="1">IF(K44="*","",IFERROR(INDEX(AGR!$R$52:$AC$73,MATCH($C44,AGR!$B$52:$B$73,0),MATCH('TS DMARK'!$H44&amp;'TS DMARK'!T$7,AGR!$R$46:$AC$46&amp;AGR!$R$49:$AC$49,0)),""))</f>
        <v/>
      </c>
      <c r="U44" s="297" t="str" cm="1">
        <f t="array" aca="1" ref="U44" ca="1">IF(L44="*","",IFERROR(INDEX(AGR!$R$52:$AC$73,MATCH($C44,AGR!$B$52:$B$73,0),MATCH('TS DMARK'!$H44&amp;'TS DMARK'!U$7,AGR!$R$46:$AC$46&amp;AGR!$R$49:$AC$49,0)),""))</f>
        <v/>
      </c>
      <c r="V44" s="297" t="str" cm="1">
        <f t="array" aca="1" ref="V44" ca="1">IF(M44="*","",IFERROR(INDEX(AGR!$R$52:$AC$73,MATCH($C44,AGR!$B$52:$B$73,0),MATCH('TS DMARK'!$H44&amp;'TS DMARK'!V$7,AGR!$R$46:$AC$46&amp;AGR!$R$49:$AC$49,0)),""))</f>
        <v/>
      </c>
      <c r="W44" s="297" t="str" cm="1">
        <f t="array" aca="1" ref="W44" ca="1">IF(N44="*","",IFERROR(INDEX(AGR!$R$52:$AC$73,MATCH($C44,AGR!$B$52:$B$73,0),MATCH('TS DMARK'!$H44&amp;'TS DMARK'!W$7,AGR!$R$46:$AC$46&amp;AGR!$R$49:$AC$49,0)),""))</f>
        <v/>
      </c>
      <c r="X44" s="297" t="str" cm="1">
        <f t="array" aca="1" ref="X44" ca="1">IF(O44="*","",IFERROR(INDEX(AGR!$R$52:$AC$73,MATCH($C44,AGR!$B$52:$B$73,0),MATCH('TS DMARK'!$H44&amp;'TS DMARK'!X$7,AGR!$R$46:$AC$46&amp;AGR!$R$49:$AC$49,0)),""))</f>
        <v/>
      </c>
      <c r="Y44" s="297" t="str" cm="1">
        <f t="array" aca="1" ref="Y44" ca="1">IF(P44="*","",IFERROR(INDEX(AGR!$R$52:$AC$73,MATCH($C44,AGR!$B$52:$B$73,0),MATCH('TS DMARK'!$H44&amp;'TS DMARK'!Y$7,AGR!$R$46:$AC$46&amp;AGR!$R$49:$AC$49,0)),""))</f>
        <v/>
      </c>
      <c r="Z44" s="297" t="str" cm="1">
        <f t="array" aca="1" ref="Z44" ca="1">IF(Q44="*","",IFERROR(INDEX(AGR!$R$52:$AC$73,MATCH($C44,AGR!$B$52:$B$73,0),MATCH('TS DMARK'!$H44&amp;'TS DMARK'!Z$7,AGR!$R$46:$AC$46&amp;AGR!$R$49:$AC$49,0)),""))</f>
        <v/>
      </c>
      <c r="AA44" s="297" t="str" cm="1">
        <f t="array" aca="1" ref="AA44" ca="1">IF(R44="*","",IFERROR(INDEX(AGR!$R$52:$AC$73,MATCH($C44,AGR!$B$52:$B$73,0),MATCH('TS DMARK'!$H44&amp;'TS DMARK'!AA$7,AGR!$R$46:$AC$46&amp;AGR!$R$49:$AC$49,0)),""))</f>
        <v/>
      </c>
      <c r="AB44" s="297" t="str" cm="1">
        <f t="array" aca="1" ref="AB44" ca="1">IF(S44="*","",IFERROR(INDEX(AGR!$R$52:$AC$73,MATCH($C44,AGR!$B$52:$B$73,0),MATCH('TS DMARK'!$H44&amp;'TS DMARK'!AB$7,AGR!$R$46:$AC$46&amp;AGR!$R$49:$AC$49,0)),""))</f>
        <v/>
      </c>
      <c r="AC44" s="297" t="str" cm="1">
        <f t="array" aca="1" ref="AC44" ca="1">IF(T44="*","",IFERROR(INDEX(AGR!$R$52:$AC$73,MATCH($C44,AGR!$B$52:$B$73,0),MATCH('TS DMARK'!$H44&amp;'TS DMARK'!AC$7,AGR!$R$46:$AC$46&amp;AGR!$R$49:$AC$49,0)),""))</f>
        <v/>
      </c>
      <c r="AD44" s="297" t="str" cm="1">
        <f t="array" aca="1" ref="AD44" ca="1">IF(U44="*","",IFERROR(INDEX(AGR!$R$52:$AC$73,MATCH($C44,AGR!$B$52:$B$73,0),MATCH('TS DMARK'!$H44&amp;'TS DMARK'!AD$7,AGR!$R$46:$AC$46&amp;AGR!$R$49:$AC$49,0)),""))</f>
        <v/>
      </c>
      <c r="AE44" s="297" t="str" cm="1">
        <f t="array" aca="1" ref="AE44" ca="1">IF(V44="*","",IFERROR(INDEX(AGR!$R$52:$AC$73,MATCH($C44,AGR!$B$52:$B$73,0),MATCH('TS DMARK'!$H44&amp;'TS DMARK'!AE$7,AGR!$R$46:$AC$46&amp;AGR!$R$49:$AC$49,0)),""))</f>
        <v/>
      </c>
      <c r="AF44" s="297" t="str" cm="1">
        <f t="array" aca="1" ref="AF44" ca="1">IF(W44="*","",IFERROR(INDEX(AGR!$R$52:$AC$73,MATCH($C44,AGR!$B$52:$B$73,0),MATCH('TS DMARK'!$H44&amp;'TS DMARK'!AF$7,AGR!$R$46:$AC$46&amp;AGR!$R$49:$AC$49,0)),""))</f>
        <v/>
      </c>
      <c r="AG44" s="297" t="str" cm="1">
        <f t="array" aca="1" ref="AG44" ca="1">IF(X44="*","",IFERROR(INDEX(AGR!$R$52:$AC$73,MATCH($C44,AGR!$B$52:$B$73,0),MATCH('TS DMARK'!$H44&amp;'TS DMARK'!AG$7,AGR!$R$46:$AC$46&amp;AGR!$R$49:$AC$49,0)),""))</f>
        <v/>
      </c>
      <c r="AH44" s="297" t="str" cm="1">
        <f t="array" aca="1" ref="AH44" ca="1">IF(Y44="*","",IFERROR(INDEX(AGR!$R$52:$AC$73,MATCH($C44,AGR!$B$52:$B$73,0),MATCH('TS DMARK'!$H44&amp;'TS DMARK'!AH$7,AGR!$R$46:$AC$46&amp;AGR!$R$49:$AC$49,0)),""))</f>
        <v/>
      </c>
      <c r="AI44" s="297" t="str" cm="1">
        <f t="array" aca="1" ref="AI44" ca="1">IF(Z44="*","",IFERROR(INDEX(AGR!$R$52:$AC$73,MATCH($C44,AGR!$B$52:$B$73,0),MATCH('TS DMARK'!$H44&amp;'TS DMARK'!AI$7,AGR!$R$46:$AC$46&amp;AGR!$R$49:$AC$49,0)),""))</f>
        <v/>
      </c>
      <c r="AJ44" s="297" t="str" cm="1">
        <f t="array" aca="1" ref="AJ44" ca="1">IF(AA44="*","",IFERROR(INDEX(AGR!$R$52:$AC$73,MATCH($C44,AGR!$B$52:$B$73,0),MATCH('TS DMARK'!$H44&amp;'TS DMARK'!AJ$7,AGR!$R$46:$AC$46&amp;AGR!$R$49:$AC$49,0)),""))</f>
        <v/>
      </c>
      <c r="AK44" s="297" t="str" cm="1">
        <f t="array" aca="1" ref="AK44" ca="1">IF(AB44="*","",IFERROR(INDEX(AGR!$R$52:$AC$73,MATCH($C44,AGR!$B$52:$B$73,0),MATCH('TS DMARK'!$H44&amp;'TS DMARK'!AK$7,AGR!$R$46:$AC$46&amp;AGR!$R$49:$AC$49,0)),""))</f>
        <v/>
      </c>
      <c r="AL44" s="297" t="str" cm="1">
        <f t="array" aca="1" ref="AL44" ca="1">IF(AC44="*","",IFERROR(INDEX(AGR!$R$52:$AC$73,MATCH($C44,AGR!$B$52:$B$73,0),MATCH('TS DMARK'!$H44&amp;'TS DMARK'!AL$7,AGR!$R$46:$AC$46&amp;AGR!$R$49:$AC$49,0)),""))</f>
        <v/>
      </c>
      <c r="AM44" s="297" t="str" cm="1">
        <f t="array" aca="1" ref="AM44" ca="1">IF(AD44="*","",IFERROR(INDEX(AGR!$R$52:$AC$73,MATCH($C44,AGR!$B$52:$B$73,0),MATCH('TS DMARK'!$H44&amp;'TS DMARK'!AM$7,AGR!$R$46:$AC$46&amp;AGR!$R$49:$AC$49,0)),""))</f>
        <v/>
      </c>
      <c r="AN44" s="297" t="str" cm="1">
        <f t="array" aca="1" ref="AN44" ca="1">IF(AE44="*","",IFERROR(INDEX(AGR!$R$52:$AC$73,MATCH($C44,AGR!$B$52:$B$73,0),MATCH('TS DMARK'!$H44&amp;'TS DMARK'!AN$7,AGR!$R$46:$AC$46&amp;AGR!$R$49:$AC$49,0)),""))</f>
        <v/>
      </c>
      <c r="AO44" s="297" t="str" cm="1">
        <f t="array" aca="1" ref="AO44" ca="1">IF(AF44="*","",IFERROR(INDEX(AGR!$R$52:$AC$73,MATCH($C44,AGR!$B$52:$B$73,0),MATCH('TS DMARK'!$H44&amp;'TS DMARK'!AO$7,AGR!$R$46:$AC$46&amp;AGR!$R$49:$AC$49,0)),""))</f>
        <v/>
      </c>
      <c r="AP44" s="297" t="str" cm="1">
        <f t="array" aca="1" ref="AP44" ca="1">IF(AG44="*","",IFERROR(INDEX(AGR!$R$52:$AC$73,MATCH($C44,AGR!$B$52:$B$73,0),MATCH('TS DMARK'!$H44&amp;'TS DMARK'!AP$7,AGR!$R$46:$AC$46&amp;AGR!$R$49:$AC$49,0)),""))</f>
        <v/>
      </c>
      <c r="AQ44" s="238">
        <f>IF(AR43=AGR!$AD$74,AQ43+1,AQ43)</f>
        <v>2</v>
      </c>
      <c r="AR44" s="238">
        <f t="shared" si="7"/>
        <v>9</v>
      </c>
    </row>
    <row r="45" spans="1:44">
      <c r="A45" s="238" t="str">
        <f ca="1">IF(LEFT(OFFSET(AGR!$A$51,AR45,0),2)="\I","*","")</f>
        <v>*</v>
      </c>
      <c r="B45" s="243" t="str">
        <f t="shared" ca="1" si="0"/>
        <v/>
      </c>
      <c r="C45" s="243" t="str">
        <f ca="1">IF($A45="*","",OFFSET(AGR!$B$51,AR45,0))</f>
        <v/>
      </c>
      <c r="D45" s="298" t="str">
        <f t="shared" ca="1" si="3"/>
        <v/>
      </c>
      <c r="E45" s="298" t="str">
        <f t="shared" ca="1" si="5"/>
        <v/>
      </c>
      <c r="F45" s="298" t="str">
        <f t="shared" ca="1" si="5"/>
        <v/>
      </c>
      <c r="G45" s="298" t="str">
        <f t="shared" ca="1" si="6"/>
        <v/>
      </c>
      <c r="H45" s="298" t="str">
        <f t="shared" ca="1" si="6"/>
        <v/>
      </c>
      <c r="I45" s="298" t="str">
        <f t="shared" ca="1" si="6"/>
        <v/>
      </c>
      <c r="J45" s="297" t="str" cm="1">
        <f t="array" aca="1" ref="J45" ca="1">IF(A45="*","",IFERROR(INDEX(AGR!$R$52:$AC$73,MATCH($C45,AGR!$B$52:$B$73,0),MATCH('TS DMARK'!$H45&amp;'TS DMARK'!J$7,AGR!$R$46:$AC$46&amp;AGR!$R$49:$AC$49,0)),""))</f>
        <v/>
      </c>
      <c r="K45" s="297" t="str" cm="1">
        <f t="array" aca="1" ref="K45" ca="1">IF(B45="*","",IFERROR(INDEX(AGR!$R$52:$AC$73,MATCH($C45,AGR!$B$52:$B$73,0),MATCH('TS DMARK'!$H45&amp;'TS DMARK'!K$7,AGR!$R$46:$AC$46&amp;AGR!$R$49:$AC$49,0)),""))</f>
        <v/>
      </c>
      <c r="L45" s="297" t="str" cm="1">
        <f t="array" aca="1" ref="L45" ca="1">IF(C45="*","",IFERROR(INDEX(AGR!$R$52:$AC$73,MATCH($C45,AGR!$B$52:$B$73,0),MATCH('TS DMARK'!$H45&amp;'TS DMARK'!L$7,AGR!$R$46:$AC$46&amp;AGR!$R$49:$AC$49,0)),""))</f>
        <v/>
      </c>
      <c r="M45" s="297" t="str" cm="1">
        <f t="array" aca="1" ref="M45" ca="1">IF(D45="*","",IFERROR(INDEX(AGR!$R$52:$AC$73,MATCH($C45,AGR!$B$52:$B$73,0),MATCH('TS DMARK'!$H45&amp;'TS DMARK'!M$7,AGR!$R$46:$AC$46&amp;AGR!$R$49:$AC$49,0)),""))</f>
        <v/>
      </c>
      <c r="N45" s="297" t="str" cm="1">
        <f t="array" aca="1" ref="N45" ca="1">IF(E45="*","",IFERROR(INDEX(AGR!$R$52:$AC$73,MATCH($C45,AGR!$B$52:$B$73,0),MATCH('TS DMARK'!$H45&amp;'TS DMARK'!N$7,AGR!$R$46:$AC$46&amp;AGR!$R$49:$AC$49,0)),""))</f>
        <v/>
      </c>
      <c r="O45" s="297" t="str" cm="1">
        <f t="array" aca="1" ref="O45" ca="1">IF(F45="*","",IFERROR(INDEX(AGR!$R$52:$AC$73,MATCH($C45,AGR!$B$52:$B$73,0),MATCH('TS DMARK'!$H45&amp;'TS DMARK'!O$7,AGR!$R$46:$AC$46&amp;AGR!$R$49:$AC$49,0)),""))</f>
        <v/>
      </c>
      <c r="P45" s="297" t="str" cm="1">
        <f t="array" aca="1" ref="P45" ca="1">IF(G45="*","",IFERROR(INDEX(AGR!$R$52:$AC$73,MATCH($C45,AGR!$B$52:$B$73,0),MATCH('TS DMARK'!$H45&amp;'TS DMARK'!P$7,AGR!$R$46:$AC$46&amp;AGR!$R$49:$AC$49,0)),""))</f>
        <v/>
      </c>
      <c r="Q45" s="297" t="str" cm="1">
        <f t="array" aca="1" ref="Q45" ca="1">IF(H45="*","",IFERROR(INDEX(AGR!$R$52:$AC$73,MATCH($C45,AGR!$B$52:$B$73,0),MATCH('TS DMARK'!$H45&amp;'TS DMARK'!Q$7,AGR!$R$46:$AC$46&amp;AGR!$R$49:$AC$49,0)),""))</f>
        <v/>
      </c>
      <c r="R45" s="297" t="str" cm="1">
        <f t="array" aca="1" ref="R45" ca="1">IF(I45="*","",IFERROR(INDEX(AGR!$R$52:$AC$73,MATCH($C45,AGR!$B$52:$B$73,0),MATCH('TS DMARK'!$H45&amp;'TS DMARK'!R$7,AGR!$R$46:$AC$46&amp;AGR!$R$49:$AC$49,0)),""))</f>
        <v/>
      </c>
      <c r="S45" s="297" t="str" cm="1">
        <f t="array" aca="1" ref="S45" ca="1">IF(J45="*","",IFERROR(INDEX(AGR!$R$52:$AC$73,MATCH($C45,AGR!$B$52:$B$73,0),MATCH('TS DMARK'!$H45&amp;'TS DMARK'!S$7,AGR!$R$46:$AC$46&amp;AGR!$R$49:$AC$49,0)),""))</f>
        <v/>
      </c>
      <c r="T45" s="297" t="str" cm="1">
        <f t="array" aca="1" ref="T45" ca="1">IF(K45="*","",IFERROR(INDEX(AGR!$R$52:$AC$73,MATCH($C45,AGR!$B$52:$B$73,0),MATCH('TS DMARK'!$H45&amp;'TS DMARK'!T$7,AGR!$R$46:$AC$46&amp;AGR!$R$49:$AC$49,0)),""))</f>
        <v/>
      </c>
      <c r="U45" s="297" t="str" cm="1">
        <f t="array" aca="1" ref="U45" ca="1">IF(L45="*","",IFERROR(INDEX(AGR!$R$52:$AC$73,MATCH($C45,AGR!$B$52:$B$73,0),MATCH('TS DMARK'!$H45&amp;'TS DMARK'!U$7,AGR!$R$46:$AC$46&amp;AGR!$R$49:$AC$49,0)),""))</f>
        <v/>
      </c>
      <c r="V45" s="297" t="str" cm="1">
        <f t="array" aca="1" ref="V45" ca="1">IF(M45="*","",IFERROR(INDEX(AGR!$R$52:$AC$73,MATCH($C45,AGR!$B$52:$B$73,0),MATCH('TS DMARK'!$H45&amp;'TS DMARK'!V$7,AGR!$R$46:$AC$46&amp;AGR!$R$49:$AC$49,0)),""))</f>
        <v/>
      </c>
      <c r="W45" s="297" t="str" cm="1">
        <f t="array" aca="1" ref="W45" ca="1">IF(N45="*","",IFERROR(INDEX(AGR!$R$52:$AC$73,MATCH($C45,AGR!$B$52:$B$73,0),MATCH('TS DMARK'!$H45&amp;'TS DMARK'!W$7,AGR!$R$46:$AC$46&amp;AGR!$R$49:$AC$49,0)),""))</f>
        <v/>
      </c>
      <c r="X45" s="297" t="str" cm="1">
        <f t="array" aca="1" ref="X45" ca="1">IF(O45="*","",IFERROR(INDEX(AGR!$R$52:$AC$73,MATCH($C45,AGR!$B$52:$B$73,0),MATCH('TS DMARK'!$H45&amp;'TS DMARK'!X$7,AGR!$R$46:$AC$46&amp;AGR!$R$49:$AC$49,0)),""))</f>
        <v/>
      </c>
      <c r="Y45" s="297" t="str" cm="1">
        <f t="array" aca="1" ref="Y45" ca="1">IF(P45="*","",IFERROR(INDEX(AGR!$R$52:$AC$73,MATCH($C45,AGR!$B$52:$B$73,0),MATCH('TS DMARK'!$H45&amp;'TS DMARK'!Y$7,AGR!$R$46:$AC$46&amp;AGR!$R$49:$AC$49,0)),""))</f>
        <v/>
      </c>
      <c r="Z45" s="297" t="str" cm="1">
        <f t="array" aca="1" ref="Z45" ca="1">IF(Q45="*","",IFERROR(INDEX(AGR!$R$52:$AC$73,MATCH($C45,AGR!$B$52:$B$73,0),MATCH('TS DMARK'!$H45&amp;'TS DMARK'!Z$7,AGR!$R$46:$AC$46&amp;AGR!$R$49:$AC$49,0)),""))</f>
        <v/>
      </c>
      <c r="AA45" s="297" t="str" cm="1">
        <f t="array" aca="1" ref="AA45" ca="1">IF(R45="*","",IFERROR(INDEX(AGR!$R$52:$AC$73,MATCH($C45,AGR!$B$52:$B$73,0),MATCH('TS DMARK'!$H45&amp;'TS DMARK'!AA$7,AGR!$R$46:$AC$46&amp;AGR!$R$49:$AC$49,0)),""))</f>
        <v/>
      </c>
      <c r="AB45" s="297" t="str" cm="1">
        <f t="array" aca="1" ref="AB45" ca="1">IF(S45="*","",IFERROR(INDEX(AGR!$R$52:$AC$73,MATCH($C45,AGR!$B$52:$B$73,0),MATCH('TS DMARK'!$H45&amp;'TS DMARK'!AB$7,AGR!$R$46:$AC$46&amp;AGR!$R$49:$AC$49,0)),""))</f>
        <v/>
      </c>
      <c r="AC45" s="297" t="str" cm="1">
        <f t="array" aca="1" ref="AC45" ca="1">IF(T45="*","",IFERROR(INDEX(AGR!$R$52:$AC$73,MATCH($C45,AGR!$B$52:$B$73,0),MATCH('TS DMARK'!$H45&amp;'TS DMARK'!AC$7,AGR!$R$46:$AC$46&amp;AGR!$R$49:$AC$49,0)),""))</f>
        <v/>
      </c>
      <c r="AD45" s="297" t="str" cm="1">
        <f t="array" aca="1" ref="AD45" ca="1">IF(U45="*","",IFERROR(INDEX(AGR!$R$52:$AC$73,MATCH($C45,AGR!$B$52:$B$73,0),MATCH('TS DMARK'!$H45&amp;'TS DMARK'!AD$7,AGR!$R$46:$AC$46&amp;AGR!$R$49:$AC$49,0)),""))</f>
        <v/>
      </c>
      <c r="AE45" s="297" t="str" cm="1">
        <f t="array" aca="1" ref="AE45" ca="1">IF(V45="*","",IFERROR(INDEX(AGR!$R$52:$AC$73,MATCH($C45,AGR!$B$52:$B$73,0),MATCH('TS DMARK'!$H45&amp;'TS DMARK'!AE$7,AGR!$R$46:$AC$46&amp;AGR!$R$49:$AC$49,0)),""))</f>
        <v/>
      </c>
      <c r="AF45" s="297" t="str" cm="1">
        <f t="array" aca="1" ref="AF45" ca="1">IF(W45="*","",IFERROR(INDEX(AGR!$R$52:$AC$73,MATCH($C45,AGR!$B$52:$B$73,0),MATCH('TS DMARK'!$H45&amp;'TS DMARK'!AF$7,AGR!$R$46:$AC$46&amp;AGR!$R$49:$AC$49,0)),""))</f>
        <v/>
      </c>
      <c r="AG45" s="297" t="str" cm="1">
        <f t="array" aca="1" ref="AG45" ca="1">IF(X45="*","",IFERROR(INDEX(AGR!$R$52:$AC$73,MATCH($C45,AGR!$B$52:$B$73,0),MATCH('TS DMARK'!$H45&amp;'TS DMARK'!AG$7,AGR!$R$46:$AC$46&amp;AGR!$R$49:$AC$49,0)),""))</f>
        <v/>
      </c>
      <c r="AH45" s="297" t="str" cm="1">
        <f t="array" aca="1" ref="AH45" ca="1">IF(Y45="*","",IFERROR(INDEX(AGR!$R$52:$AC$73,MATCH($C45,AGR!$B$52:$B$73,0),MATCH('TS DMARK'!$H45&amp;'TS DMARK'!AH$7,AGR!$R$46:$AC$46&amp;AGR!$R$49:$AC$49,0)),""))</f>
        <v/>
      </c>
      <c r="AI45" s="297" t="str" cm="1">
        <f t="array" aca="1" ref="AI45" ca="1">IF(Z45="*","",IFERROR(INDEX(AGR!$R$52:$AC$73,MATCH($C45,AGR!$B$52:$B$73,0),MATCH('TS DMARK'!$H45&amp;'TS DMARK'!AI$7,AGR!$R$46:$AC$46&amp;AGR!$R$49:$AC$49,0)),""))</f>
        <v/>
      </c>
      <c r="AJ45" s="297" t="str" cm="1">
        <f t="array" aca="1" ref="AJ45" ca="1">IF(AA45="*","",IFERROR(INDEX(AGR!$R$52:$AC$73,MATCH($C45,AGR!$B$52:$B$73,0),MATCH('TS DMARK'!$H45&amp;'TS DMARK'!AJ$7,AGR!$R$46:$AC$46&amp;AGR!$R$49:$AC$49,0)),""))</f>
        <v/>
      </c>
      <c r="AK45" s="297" t="str" cm="1">
        <f t="array" aca="1" ref="AK45" ca="1">IF(AB45="*","",IFERROR(INDEX(AGR!$R$52:$AC$73,MATCH($C45,AGR!$B$52:$B$73,0),MATCH('TS DMARK'!$H45&amp;'TS DMARK'!AK$7,AGR!$R$46:$AC$46&amp;AGR!$R$49:$AC$49,0)),""))</f>
        <v/>
      </c>
      <c r="AL45" s="297" t="str" cm="1">
        <f t="array" aca="1" ref="AL45" ca="1">IF(AC45="*","",IFERROR(INDEX(AGR!$R$52:$AC$73,MATCH($C45,AGR!$B$52:$B$73,0),MATCH('TS DMARK'!$H45&amp;'TS DMARK'!AL$7,AGR!$R$46:$AC$46&amp;AGR!$R$49:$AC$49,0)),""))</f>
        <v/>
      </c>
      <c r="AM45" s="297" t="str" cm="1">
        <f t="array" aca="1" ref="AM45" ca="1">IF(AD45="*","",IFERROR(INDEX(AGR!$R$52:$AC$73,MATCH($C45,AGR!$B$52:$B$73,0),MATCH('TS DMARK'!$H45&amp;'TS DMARK'!AM$7,AGR!$R$46:$AC$46&amp;AGR!$R$49:$AC$49,0)),""))</f>
        <v/>
      </c>
      <c r="AN45" s="297" t="str" cm="1">
        <f t="array" aca="1" ref="AN45" ca="1">IF(AE45="*","",IFERROR(INDEX(AGR!$R$52:$AC$73,MATCH($C45,AGR!$B$52:$B$73,0),MATCH('TS DMARK'!$H45&amp;'TS DMARK'!AN$7,AGR!$R$46:$AC$46&amp;AGR!$R$49:$AC$49,0)),""))</f>
        <v/>
      </c>
      <c r="AO45" s="297" t="str" cm="1">
        <f t="array" aca="1" ref="AO45" ca="1">IF(AF45="*","",IFERROR(INDEX(AGR!$R$52:$AC$73,MATCH($C45,AGR!$B$52:$B$73,0),MATCH('TS DMARK'!$H45&amp;'TS DMARK'!AO$7,AGR!$R$46:$AC$46&amp;AGR!$R$49:$AC$49,0)),""))</f>
        <v/>
      </c>
      <c r="AP45" s="297" t="str" cm="1">
        <f t="array" aca="1" ref="AP45" ca="1">IF(AG45="*","",IFERROR(INDEX(AGR!$R$52:$AC$73,MATCH($C45,AGR!$B$52:$B$73,0),MATCH('TS DMARK'!$H45&amp;'TS DMARK'!AP$7,AGR!$R$46:$AC$46&amp;AGR!$R$49:$AC$49,0)),""))</f>
        <v/>
      </c>
      <c r="AQ45" s="238">
        <f>IF(AR44=AGR!$AD$74,AQ44+1,AQ44)</f>
        <v>2</v>
      </c>
      <c r="AR45" s="238">
        <f t="shared" ref="AR45:AR51" si="8">IF(AQ45=AQ44,AR44+1,1)</f>
        <v>10</v>
      </c>
    </row>
    <row r="46" spans="1:44">
      <c r="A46" s="238" t="str">
        <f ca="1">IF(LEFT(OFFSET(AGR!$A$51,AR46,0),2)="\I","*","")</f>
        <v/>
      </c>
      <c r="B46" s="243" t="str">
        <f t="shared" ca="1" si="0"/>
        <v>FLO_MARK</v>
      </c>
      <c r="C46" s="243" t="str">
        <f ca="1">IF($A46="*","",OFFSET(AGR!$B$51,AR46,0))</f>
        <v>ATODS-E</v>
      </c>
      <c r="D46" s="298" t="str">
        <f t="shared" ca="1" si="3"/>
        <v>AT</v>
      </c>
      <c r="E46" s="298" t="str">
        <f t="shared" ca="1" si="5"/>
        <v>-</v>
      </c>
      <c r="F46" s="298" t="str">
        <f t="shared" ca="1" si="5"/>
        <v>-</v>
      </c>
      <c r="G46" s="298" t="str">
        <f t="shared" ca="1" si="6"/>
        <v>-</v>
      </c>
      <c r="H46" s="298" t="str">
        <f t="shared" ca="1" si="6"/>
        <v>LO</v>
      </c>
      <c r="I46" s="298">
        <f t="shared" ca="1" si="6"/>
        <v>3</v>
      </c>
      <c r="J46" s="297" cm="1">
        <f t="array" aca="1" ref="J46" ca="1">IF(A46="*","",IFERROR(INDEX(AGR!$R$52:$AC$73,MATCH($C46,AGR!$B$52:$B$73,0),MATCH('TS DMARK'!$H46&amp;'TS DMARK'!J$7,AGR!$R$46:$AC$46&amp;AGR!$R$49:$AC$49,0)),""))</f>
        <v>1</v>
      </c>
      <c r="K46" s="297" t="str" cm="1">
        <f t="array" aca="1" ref="K46" ca="1">IF(B46="*","",IFERROR(INDEX(AGR!$R$52:$AC$73,MATCH($C46,AGR!$B$52:$B$73,0),MATCH('TS DMARK'!$H46&amp;'TS DMARK'!K$7,AGR!$R$46:$AC$46&amp;AGR!$R$49:$AC$49,0)),""))</f>
        <v/>
      </c>
      <c r="L46" s="297" t="str" cm="1">
        <f t="array" aca="1" ref="L46" ca="1">IF(C46="*","",IFERROR(INDEX(AGR!$R$52:$AC$73,MATCH($C46,AGR!$B$52:$B$73,0),MATCH('TS DMARK'!$H46&amp;'TS DMARK'!L$7,AGR!$R$46:$AC$46&amp;AGR!$R$49:$AC$49,0)),""))</f>
        <v/>
      </c>
      <c r="M46" s="297" cm="1">
        <f t="array" aca="1" ref="M46" ca="1">IF(D46="*","",IFERROR(INDEX(AGR!$R$52:$AC$73,MATCH($C46,AGR!$B$52:$B$73,0),MATCH('TS DMARK'!$H46&amp;'TS DMARK'!M$7,AGR!$R$46:$AC$46&amp;AGR!$R$49:$AC$49,0)),""))</f>
        <v>1</v>
      </c>
      <c r="N46" s="297" t="str" cm="1">
        <f t="array" aca="1" ref="N46" ca="1">IF(E46="*","",IFERROR(INDEX(AGR!$R$52:$AC$73,MATCH($C46,AGR!$B$52:$B$73,0),MATCH('TS DMARK'!$H46&amp;'TS DMARK'!N$7,AGR!$R$46:$AC$46&amp;AGR!$R$49:$AC$49,0)),""))</f>
        <v/>
      </c>
      <c r="O46" s="297" cm="1">
        <f t="array" aca="1" ref="O46" ca="1">IF(F46="*","",IFERROR(INDEX(AGR!$R$52:$AC$73,MATCH($C46,AGR!$B$52:$B$73,0),MATCH('TS DMARK'!$H46&amp;'TS DMARK'!O$7,AGR!$R$46:$AC$46&amp;AGR!$R$49:$AC$49,0)),""))</f>
        <v>1</v>
      </c>
      <c r="P46" s="297" t="str" cm="1">
        <f t="array" aca="1" ref="P46" ca="1">IF(G46="*","",IFERROR(INDEX(AGR!$R$52:$AC$73,MATCH($C46,AGR!$B$52:$B$73,0),MATCH('TS DMARK'!$H46&amp;'TS DMARK'!P$7,AGR!$R$46:$AC$46&amp;AGR!$R$49:$AC$49,0)),""))</f>
        <v/>
      </c>
      <c r="Q46" s="297" t="str" cm="1">
        <f t="array" aca="1" ref="Q46" ca="1">IF(H46="*","",IFERROR(INDEX(AGR!$R$52:$AC$73,MATCH($C46,AGR!$B$52:$B$73,0),MATCH('TS DMARK'!$H46&amp;'TS DMARK'!Q$7,AGR!$R$46:$AC$46&amp;AGR!$R$49:$AC$49,0)),""))</f>
        <v/>
      </c>
      <c r="R46" s="297" t="str" cm="1">
        <f t="array" aca="1" ref="R46" ca="1">IF(I46="*","",IFERROR(INDEX(AGR!$R$52:$AC$73,MATCH($C46,AGR!$B$52:$B$73,0),MATCH('TS DMARK'!$H46&amp;'TS DMARK'!R$7,AGR!$R$46:$AC$46&amp;AGR!$R$49:$AC$49,0)),""))</f>
        <v/>
      </c>
      <c r="S46" s="297" t="str" cm="1">
        <f t="array" aca="1" ref="S46" ca="1">IF(J46="*","",IFERROR(INDEX(AGR!$R$52:$AC$73,MATCH($C46,AGR!$B$52:$B$73,0),MATCH('TS DMARK'!$H46&amp;'TS DMARK'!S$7,AGR!$R$46:$AC$46&amp;AGR!$R$49:$AC$49,0)),""))</f>
        <v/>
      </c>
      <c r="T46" s="297" t="str" cm="1">
        <f t="array" aca="1" ref="T46" ca="1">IF(K46="*","",IFERROR(INDEX(AGR!$R$52:$AC$73,MATCH($C46,AGR!$B$52:$B$73,0),MATCH('TS DMARK'!$H46&amp;'TS DMARK'!T$7,AGR!$R$46:$AC$46&amp;AGR!$R$49:$AC$49,0)),""))</f>
        <v/>
      </c>
      <c r="U46" s="297" t="str" cm="1">
        <f t="array" aca="1" ref="U46" ca="1">IF(L46="*","",IFERROR(INDEX(AGR!$R$52:$AC$73,MATCH($C46,AGR!$B$52:$B$73,0),MATCH('TS DMARK'!$H46&amp;'TS DMARK'!U$7,AGR!$R$46:$AC$46&amp;AGR!$R$49:$AC$49,0)),""))</f>
        <v/>
      </c>
      <c r="V46" s="297" t="str" cm="1">
        <f t="array" aca="1" ref="V46" ca="1">IF(M46="*","",IFERROR(INDEX(AGR!$R$52:$AC$73,MATCH($C46,AGR!$B$52:$B$73,0),MATCH('TS DMARK'!$H46&amp;'TS DMARK'!V$7,AGR!$R$46:$AC$46&amp;AGR!$R$49:$AC$49,0)),""))</f>
        <v/>
      </c>
      <c r="W46" s="297" t="str" cm="1">
        <f t="array" aca="1" ref="W46" ca="1">IF(N46="*","",IFERROR(INDEX(AGR!$R$52:$AC$73,MATCH($C46,AGR!$B$52:$B$73,0),MATCH('TS DMARK'!$H46&amp;'TS DMARK'!W$7,AGR!$R$46:$AC$46&amp;AGR!$R$49:$AC$49,0)),""))</f>
        <v/>
      </c>
      <c r="X46" s="297" t="str" cm="1">
        <f t="array" aca="1" ref="X46" ca="1">IF(O46="*","",IFERROR(INDEX(AGR!$R$52:$AC$73,MATCH($C46,AGR!$B$52:$B$73,0),MATCH('TS DMARK'!$H46&amp;'TS DMARK'!X$7,AGR!$R$46:$AC$46&amp;AGR!$R$49:$AC$49,0)),""))</f>
        <v/>
      </c>
      <c r="Y46" s="297" t="str" cm="1">
        <f t="array" aca="1" ref="Y46" ca="1">IF(P46="*","",IFERROR(INDEX(AGR!$R$52:$AC$73,MATCH($C46,AGR!$B$52:$B$73,0),MATCH('TS DMARK'!$H46&amp;'TS DMARK'!Y$7,AGR!$R$46:$AC$46&amp;AGR!$R$49:$AC$49,0)),""))</f>
        <v/>
      </c>
      <c r="Z46" s="297" t="str" cm="1">
        <f t="array" aca="1" ref="Z46" ca="1">IF(Q46="*","",IFERROR(INDEX(AGR!$R$52:$AC$73,MATCH($C46,AGR!$B$52:$B$73,0),MATCH('TS DMARK'!$H46&amp;'TS DMARK'!Z$7,AGR!$R$46:$AC$46&amp;AGR!$R$49:$AC$49,0)),""))</f>
        <v/>
      </c>
      <c r="AA46" s="297" t="str" cm="1">
        <f t="array" aca="1" ref="AA46" ca="1">IF(R46="*","",IFERROR(INDEX(AGR!$R$52:$AC$73,MATCH($C46,AGR!$B$52:$B$73,0),MATCH('TS DMARK'!$H46&amp;'TS DMARK'!AA$7,AGR!$R$46:$AC$46&amp;AGR!$R$49:$AC$49,0)),""))</f>
        <v/>
      </c>
      <c r="AB46" s="297" cm="1">
        <f t="array" aca="1" ref="AB46" ca="1">IF(S46="*","",IFERROR(INDEX(AGR!$R$52:$AC$73,MATCH($C46,AGR!$B$52:$B$73,0),MATCH('TS DMARK'!$H46&amp;'TS DMARK'!AB$7,AGR!$R$46:$AC$46&amp;AGR!$R$49:$AC$49,0)),""))</f>
        <v>0.25</v>
      </c>
      <c r="AC46" s="297" t="str" cm="1">
        <f t="array" aca="1" ref="AC46" ca="1">IF(T46="*","",IFERROR(INDEX(AGR!$R$52:$AC$73,MATCH($C46,AGR!$B$52:$B$73,0),MATCH('TS DMARK'!$H46&amp;'TS DMARK'!AC$7,AGR!$R$46:$AC$46&amp;AGR!$R$49:$AC$49,0)),""))</f>
        <v/>
      </c>
      <c r="AD46" s="297" t="str" cm="1">
        <f t="array" aca="1" ref="AD46" ca="1">IF(U46="*","",IFERROR(INDEX(AGR!$R$52:$AC$73,MATCH($C46,AGR!$B$52:$B$73,0),MATCH('TS DMARK'!$H46&amp;'TS DMARK'!AD$7,AGR!$R$46:$AC$46&amp;AGR!$R$49:$AC$49,0)),""))</f>
        <v/>
      </c>
      <c r="AE46" s="297" t="str" cm="1">
        <f t="array" aca="1" ref="AE46" ca="1">IF(V46="*","",IFERROR(INDEX(AGR!$R$52:$AC$73,MATCH($C46,AGR!$B$52:$B$73,0),MATCH('TS DMARK'!$H46&amp;'TS DMARK'!AE$7,AGR!$R$46:$AC$46&amp;AGR!$R$49:$AC$49,0)),""))</f>
        <v/>
      </c>
      <c r="AF46" s="297" t="str" cm="1">
        <f t="array" aca="1" ref="AF46" ca="1">IF(W46="*","",IFERROR(INDEX(AGR!$R$52:$AC$73,MATCH($C46,AGR!$B$52:$B$73,0),MATCH('TS DMARK'!$H46&amp;'TS DMARK'!AF$7,AGR!$R$46:$AC$46&amp;AGR!$R$49:$AC$49,0)),""))</f>
        <v/>
      </c>
      <c r="AG46" s="297" t="str" cm="1">
        <f t="array" aca="1" ref="AG46" ca="1">IF(X46="*","",IFERROR(INDEX(AGR!$R$52:$AC$73,MATCH($C46,AGR!$B$52:$B$73,0),MATCH('TS DMARK'!$H46&amp;'TS DMARK'!AG$7,AGR!$R$46:$AC$46&amp;AGR!$R$49:$AC$49,0)),""))</f>
        <v/>
      </c>
      <c r="AH46" s="297" t="str" cm="1">
        <f t="array" aca="1" ref="AH46" ca="1">IF(Y46="*","",IFERROR(INDEX(AGR!$R$52:$AC$73,MATCH($C46,AGR!$B$52:$B$73,0),MATCH('TS DMARK'!$H46&amp;'TS DMARK'!AH$7,AGR!$R$46:$AC$46&amp;AGR!$R$49:$AC$49,0)),""))</f>
        <v/>
      </c>
      <c r="AI46" s="297" t="str" cm="1">
        <f t="array" aca="1" ref="AI46" ca="1">IF(Z46="*","",IFERROR(INDEX(AGR!$R$52:$AC$73,MATCH($C46,AGR!$B$52:$B$73,0),MATCH('TS DMARK'!$H46&amp;'TS DMARK'!AI$7,AGR!$R$46:$AC$46&amp;AGR!$R$49:$AC$49,0)),""))</f>
        <v/>
      </c>
      <c r="AJ46" s="297" t="str" cm="1">
        <f t="array" aca="1" ref="AJ46" ca="1">IF(AA46="*","",IFERROR(INDEX(AGR!$R$52:$AC$73,MATCH($C46,AGR!$B$52:$B$73,0),MATCH('TS DMARK'!$H46&amp;'TS DMARK'!AJ$7,AGR!$R$46:$AC$46&amp;AGR!$R$49:$AC$49,0)),""))</f>
        <v/>
      </c>
      <c r="AK46" s="297" t="str" cm="1">
        <f t="array" aca="1" ref="AK46" ca="1">IF(AB46="*","",IFERROR(INDEX(AGR!$R$52:$AC$73,MATCH($C46,AGR!$B$52:$B$73,0),MATCH('TS DMARK'!$H46&amp;'TS DMARK'!AK$7,AGR!$R$46:$AC$46&amp;AGR!$R$49:$AC$49,0)),""))</f>
        <v/>
      </c>
      <c r="AL46" s="297" t="str" cm="1">
        <f t="array" aca="1" ref="AL46" ca="1">IF(AC46="*","",IFERROR(INDEX(AGR!$R$52:$AC$73,MATCH($C46,AGR!$B$52:$B$73,0),MATCH('TS DMARK'!$H46&amp;'TS DMARK'!AL$7,AGR!$R$46:$AC$46&amp;AGR!$R$49:$AC$49,0)),""))</f>
        <v/>
      </c>
      <c r="AM46" s="297" t="str" cm="1">
        <f t="array" aca="1" ref="AM46" ca="1">IF(AD46="*","",IFERROR(INDEX(AGR!$R$52:$AC$73,MATCH($C46,AGR!$B$52:$B$73,0),MATCH('TS DMARK'!$H46&amp;'TS DMARK'!AM$7,AGR!$R$46:$AC$46&amp;AGR!$R$49:$AC$49,0)),""))</f>
        <v/>
      </c>
      <c r="AN46" s="297" cm="1">
        <f t="array" aca="1" ref="AN46" ca="1">IF(AE46="*","",IFERROR(INDEX(AGR!$R$52:$AC$73,MATCH($C46,AGR!$B$52:$B$73,0),MATCH('TS DMARK'!$H46&amp;'TS DMARK'!AN$7,AGR!$R$46:$AC$46&amp;AGR!$R$49:$AC$49,0)),""))</f>
        <v>0</v>
      </c>
      <c r="AO46" s="297" t="str" cm="1">
        <f t="array" aca="1" ref="AO46" ca="1">IF(AF46="*","",IFERROR(INDEX(AGR!$R$52:$AC$73,MATCH($C46,AGR!$B$52:$B$73,0),MATCH('TS DMARK'!$H46&amp;'TS DMARK'!AO$7,AGR!$R$46:$AC$46&amp;AGR!$R$49:$AC$49,0)),""))</f>
        <v/>
      </c>
      <c r="AP46" s="297" cm="1">
        <f t="array" aca="1" ref="AP46" ca="1">IF(AG46="*","",IFERROR(INDEX(AGR!$R$52:$AC$73,MATCH($C46,AGR!$B$52:$B$73,0),MATCH('TS DMARK'!$H46&amp;'TS DMARK'!AP$7,AGR!$R$46:$AC$46&amp;AGR!$R$49:$AC$49,0)),""))</f>
        <v>0</v>
      </c>
      <c r="AQ46" s="238">
        <f>IF(AR45=AGR!$AD$74,AQ45+1,AQ45)</f>
        <v>2</v>
      </c>
      <c r="AR46" s="238">
        <f t="shared" si="8"/>
        <v>11</v>
      </c>
    </row>
    <row r="47" spans="1:44">
      <c r="A47" s="238" t="str">
        <f ca="1">IF(LEFT(OFFSET(AGR!$A$51,AR47,0),2)="\I","*","")</f>
        <v/>
      </c>
      <c r="B47" s="243" t="str">
        <f t="shared" ca="1" si="0"/>
        <v>FLO_MARK</v>
      </c>
      <c r="C47" s="243" t="str">
        <f ca="1">IF($A47="*","",OFFSET(AGR!$B$51,AR47,0))</f>
        <v>ATELC-E</v>
      </c>
      <c r="D47" s="298" t="str">
        <f t="shared" ca="1" si="3"/>
        <v>AT</v>
      </c>
      <c r="E47" s="298" t="str">
        <f t="shared" ca="1" si="5"/>
        <v>-</v>
      </c>
      <c r="F47" s="298" t="str">
        <f t="shared" ca="1" si="5"/>
        <v>-</v>
      </c>
      <c r="G47" s="298" t="str">
        <f t="shared" ca="1" si="6"/>
        <v>-</v>
      </c>
      <c r="H47" s="298" t="str">
        <f t="shared" ca="1" si="6"/>
        <v>LO</v>
      </c>
      <c r="I47" s="298">
        <f t="shared" ca="1" si="6"/>
        <v>3</v>
      </c>
      <c r="J47" s="297" cm="1">
        <f t="array" aca="1" ref="J47" ca="1">IF(A47="*","",IFERROR(INDEX(AGR!$R$52:$AC$73,MATCH($C47,AGR!$B$52:$B$73,0),MATCH('TS DMARK'!$H47&amp;'TS DMARK'!J$7,AGR!$R$46:$AC$46&amp;AGR!$R$49:$AC$49,0)),""))</f>
        <v>0</v>
      </c>
      <c r="K47" s="297" t="str" cm="1">
        <f t="array" aca="1" ref="K47" ca="1">IF(B47="*","",IFERROR(INDEX(AGR!$R$52:$AC$73,MATCH($C47,AGR!$B$52:$B$73,0),MATCH('TS DMARK'!$H47&amp;'TS DMARK'!K$7,AGR!$R$46:$AC$46&amp;AGR!$R$49:$AC$49,0)),""))</f>
        <v/>
      </c>
      <c r="L47" s="297" t="str" cm="1">
        <f t="array" aca="1" ref="L47" ca="1">IF(C47="*","",IFERROR(INDEX(AGR!$R$52:$AC$73,MATCH($C47,AGR!$B$52:$B$73,0),MATCH('TS DMARK'!$H47&amp;'TS DMARK'!L$7,AGR!$R$46:$AC$46&amp;AGR!$R$49:$AC$49,0)),""))</f>
        <v/>
      </c>
      <c r="M47" s="297" cm="1">
        <f t="array" aca="1" ref="M47" ca="1">IF(D47="*","",IFERROR(INDEX(AGR!$R$52:$AC$73,MATCH($C47,AGR!$B$52:$B$73,0),MATCH('TS DMARK'!$H47&amp;'TS DMARK'!M$7,AGR!$R$46:$AC$46&amp;AGR!$R$49:$AC$49,0)),""))</f>
        <v>0</v>
      </c>
      <c r="N47" s="297" t="str" cm="1">
        <f t="array" aca="1" ref="N47" ca="1">IF(E47="*","",IFERROR(INDEX(AGR!$R$52:$AC$73,MATCH($C47,AGR!$B$52:$B$73,0),MATCH('TS DMARK'!$H47&amp;'TS DMARK'!N$7,AGR!$R$46:$AC$46&amp;AGR!$R$49:$AC$49,0)),""))</f>
        <v/>
      </c>
      <c r="O47" s="297" cm="1">
        <f t="array" aca="1" ref="O47" ca="1">IF(F47="*","",IFERROR(INDEX(AGR!$R$52:$AC$73,MATCH($C47,AGR!$B$52:$B$73,0),MATCH('TS DMARK'!$H47&amp;'TS DMARK'!O$7,AGR!$R$46:$AC$46&amp;AGR!$R$49:$AC$49,0)),""))</f>
        <v>0</v>
      </c>
      <c r="P47" s="297" t="str" cm="1">
        <f t="array" aca="1" ref="P47" ca="1">IF(G47="*","",IFERROR(INDEX(AGR!$R$52:$AC$73,MATCH($C47,AGR!$B$52:$B$73,0),MATCH('TS DMARK'!$H47&amp;'TS DMARK'!P$7,AGR!$R$46:$AC$46&amp;AGR!$R$49:$AC$49,0)),""))</f>
        <v/>
      </c>
      <c r="Q47" s="297" t="str" cm="1">
        <f t="array" aca="1" ref="Q47" ca="1">IF(H47="*","",IFERROR(INDEX(AGR!$R$52:$AC$73,MATCH($C47,AGR!$B$52:$B$73,0),MATCH('TS DMARK'!$H47&amp;'TS DMARK'!Q$7,AGR!$R$46:$AC$46&amp;AGR!$R$49:$AC$49,0)),""))</f>
        <v/>
      </c>
      <c r="R47" s="297" t="str" cm="1">
        <f t="array" aca="1" ref="R47" ca="1">IF(I47="*","",IFERROR(INDEX(AGR!$R$52:$AC$73,MATCH($C47,AGR!$B$52:$B$73,0),MATCH('TS DMARK'!$H47&amp;'TS DMARK'!R$7,AGR!$R$46:$AC$46&amp;AGR!$R$49:$AC$49,0)),""))</f>
        <v/>
      </c>
      <c r="S47" s="297" t="str" cm="1">
        <f t="array" aca="1" ref="S47" ca="1">IF(J47="*","",IFERROR(INDEX(AGR!$R$52:$AC$73,MATCH($C47,AGR!$B$52:$B$73,0),MATCH('TS DMARK'!$H47&amp;'TS DMARK'!S$7,AGR!$R$46:$AC$46&amp;AGR!$R$49:$AC$49,0)),""))</f>
        <v/>
      </c>
      <c r="T47" s="297" t="str" cm="1">
        <f t="array" aca="1" ref="T47" ca="1">IF(K47="*","",IFERROR(INDEX(AGR!$R$52:$AC$73,MATCH($C47,AGR!$B$52:$B$73,0),MATCH('TS DMARK'!$H47&amp;'TS DMARK'!T$7,AGR!$R$46:$AC$46&amp;AGR!$R$49:$AC$49,0)),""))</f>
        <v/>
      </c>
      <c r="U47" s="297" t="str" cm="1">
        <f t="array" aca="1" ref="U47" ca="1">IF(L47="*","",IFERROR(INDEX(AGR!$R$52:$AC$73,MATCH($C47,AGR!$B$52:$B$73,0),MATCH('TS DMARK'!$H47&amp;'TS DMARK'!U$7,AGR!$R$46:$AC$46&amp;AGR!$R$49:$AC$49,0)),""))</f>
        <v/>
      </c>
      <c r="V47" s="297" t="str" cm="1">
        <f t="array" aca="1" ref="V47" ca="1">IF(M47="*","",IFERROR(INDEX(AGR!$R$52:$AC$73,MATCH($C47,AGR!$B$52:$B$73,0),MATCH('TS DMARK'!$H47&amp;'TS DMARK'!V$7,AGR!$R$46:$AC$46&amp;AGR!$R$49:$AC$49,0)),""))</f>
        <v/>
      </c>
      <c r="W47" s="297" t="str" cm="1">
        <f t="array" aca="1" ref="W47" ca="1">IF(N47="*","",IFERROR(INDEX(AGR!$R$52:$AC$73,MATCH($C47,AGR!$B$52:$B$73,0),MATCH('TS DMARK'!$H47&amp;'TS DMARK'!W$7,AGR!$R$46:$AC$46&amp;AGR!$R$49:$AC$49,0)),""))</f>
        <v/>
      </c>
      <c r="X47" s="297" t="str" cm="1">
        <f t="array" aca="1" ref="X47" ca="1">IF(O47="*","",IFERROR(INDEX(AGR!$R$52:$AC$73,MATCH($C47,AGR!$B$52:$B$73,0),MATCH('TS DMARK'!$H47&amp;'TS DMARK'!X$7,AGR!$R$46:$AC$46&amp;AGR!$R$49:$AC$49,0)),""))</f>
        <v/>
      </c>
      <c r="Y47" s="297" t="str" cm="1">
        <f t="array" aca="1" ref="Y47" ca="1">IF(P47="*","",IFERROR(INDEX(AGR!$R$52:$AC$73,MATCH($C47,AGR!$B$52:$B$73,0),MATCH('TS DMARK'!$H47&amp;'TS DMARK'!Y$7,AGR!$R$46:$AC$46&amp;AGR!$R$49:$AC$49,0)),""))</f>
        <v/>
      </c>
      <c r="Z47" s="297" t="str" cm="1">
        <f t="array" aca="1" ref="Z47" ca="1">IF(Q47="*","",IFERROR(INDEX(AGR!$R$52:$AC$73,MATCH($C47,AGR!$B$52:$B$73,0),MATCH('TS DMARK'!$H47&amp;'TS DMARK'!Z$7,AGR!$R$46:$AC$46&amp;AGR!$R$49:$AC$49,0)),""))</f>
        <v/>
      </c>
      <c r="AA47" s="297" t="str" cm="1">
        <f t="array" aca="1" ref="AA47" ca="1">IF(R47="*","",IFERROR(INDEX(AGR!$R$52:$AC$73,MATCH($C47,AGR!$B$52:$B$73,0),MATCH('TS DMARK'!$H47&amp;'TS DMARK'!AA$7,AGR!$R$46:$AC$46&amp;AGR!$R$49:$AC$49,0)),""))</f>
        <v/>
      </c>
      <c r="AB47" s="297" cm="1">
        <f t="array" aca="1" ref="AB47" ca="1">IF(S47="*","",IFERROR(INDEX(AGR!$R$52:$AC$73,MATCH($C47,AGR!$B$52:$B$73,0),MATCH('TS DMARK'!$H47&amp;'TS DMARK'!AB$7,AGR!$R$46:$AC$46&amp;AGR!$R$49:$AC$49,0)),""))</f>
        <v>0</v>
      </c>
      <c r="AC47" s="297" t="str" cm="1">
        <f t="array" aca="1" ref="AC47" ca="1">IF(T47="*","",IFERROR(INDEX(AGR!$R$52:$AC$73,MATCH($C47,AGR!$B$52:$B$73,0),MATCH('TS DMARK'!$H47&amp;'TS DMARK'!AC$7,AGR!$R$46:$AC$46&amp;AGR!$R$49:$AC$49,0)),""))</f>
        <v/>
      </c>
      <c r="AD47" s="297" t="str" cm="1">
        <f t="array" aca="1" ref="AD47" ca="1">IF(U47="*","",IFERROR(INDEX(AGR!$R$52:$AC$73,MATCH($C47,AGR!$B$52:$B$73,0),MATCH('TS DMARK'!$H47&amp;'TS DMARK'!AD$7,AGR!$R$46:$AC$46&amp;AGR!$R$49:$AC$49,0)),""))</f>
        <v/>
      </c>
      <c r="AE47" s="297" t="str" cm="1">
        <f t="array" aca="1" ref="AE47" ca="1">IF(V47="*","",IFERROR(INDEX(AGR!$R$52:$AC$73,MATCH($C47,AGR!$B$52:$B$73,0),MATCH('TS DMARK'!$H47&amp;'TS DMARK'!AE$7,AGR!$R$46:$AC$46&amp;AGR!$R$49:$AC$49,0)),""))</f>
        <v/>
      </c>
      <c r="AF47" s="297" t="str" cm="1">
        <f t="array" aca="1" ref="AF47" ca="1">IF(W47="*","",IFERROR(INDEX(AGR!$R$52:$AC$73,MATCH($C47,AGR!$B$52:$B$73,0),MATCH('TS DMARK'!$H47&amp;'TS DMARK'!AF$7,AGR!$R$46:$AC$46&amp;AGR!$R$49:$AC$49,0)),""))</f>
        <v/>
      </c>
      <c r="AG47" s="297" t="str" cm="1">
        <f t="array" aca="1" ref="AG47" ca="1">IF(X47="*","",IFERROR(INDEX(AGR!$R$52:$AC$73,MATCH($C47,AGR!$B$52:$B$73,0),MATCH('TS DMARK'!$H47&amp;'TS DMARK'!AG$7,AGR!$R$46:$AC$46&amp;AGR!$R$49:$AC$49,0)),""))</f>
        <v/>
      </c>
      <c r="AH47" s="297" t="str" cm="1">
        <f t="array" aca="1" ref="AH47" ca="1">IF(Y47="*","",IFERROR(INDEX(AGR!$R$52:$AC$73,MATCH($C47,AGR!$B$52:$B$73,0),MATCH('TS DMARK'!$H47&amp;'TS DMARK'!AH$7,AGR!$R$46:$AC$46&amp;AGR!$R$49:$AC$49,0)),""))</f>
        <v/>
      </c>
      <c r="AI47" s="297" t="str" cm="1">
        <f t="array" aca="1" ref="AI47" ca="1">IF(Z47="*","",IFERROR(INDEX(AGR!$R$52:$AC$73,MATCH($C47,AGR!$B$52:$B$73,0),MATCH('TS DMARK'!$H47&amp;'TS DMARK'!AI$7,AGR!$R$46:$AC$46&amp;AGR!$R$49:$AC$49,0)),""))</f>
        <v/>
      </c>
      <c r="AJ47" s="297" t="str" cm="1">
        <f t="array" aca="1" ref="AJ47" ca="1">IF(AA47="*","",IFERROR(INDEX(AGR!$R$52:$AC$73,MATCH($C47,AGR!$B$52:$B$73,0),MATCH('TS DMARK'!$H47&amp;'TS DMARK'!AJ$7,AGR!$R$46:$AC$46&amp;AGR!$R$49:$AC$49,0)),""))</f>
        <v/>
      </c>
      <c r="AK47" s="297" t="str" cm="1">
        <f t="array" aca="1" ref="AK47" ca="1">IF(AB47="*","",IFERROR(INDEX(AGR!$R$52:$AC$73,MATCH($C47,AGR!$B$52:$B$73,0),MATCH('TS DMARK'!$H47&amp;'TS DMARK'!AK$7,AGR!$R$46:$AC$46&amp;AGR!$R$49:$AC$49,0)),""))</f>
        <v/>
      </c>
      <c r="AL47" s="297" t="str" cm="1">
        <f t="array" aca="1" ref="AL47" ca="1">IF(AC47="*","",IFERROR(INDEX(AGR!$R$52:$AC$73,MATCH($C47,AGR!$B$52:$B$73,0),MATCH('TS DMARK'!$H47&amp;'TS DMARK'!AL$7,AGR!$R$46:$AC$46&amp;AGR!$R$49:$AC$49,0)),""))</f>
        <v/>
      </c>
      <c r="AM47" s="297" t="str" cm="1">
        <f t="array" aca="1" ref="AM47" ca="1">IF(AD47="*","",IFERROR(INDEX(AGR!$R$52:$AC$73,MATCH($C47,AGR!$B$52:$B$73,0),MATCH('TS DMARK'!$H47&amp;'TS DMARK'!AM$7,AGR!$R$46:$AC$46&amp;AGR!$R$49:$AC$49,0)),""))</f>
        <v/>
      </c>
      <c r="AN47" s="297" cm="1">
        <f t="array" aca="1" ref="AN47" ca="1">IF(AE47="*","",IFERROR(INDEX(AGR!$R$52:$AC$73,MATCH($C47,AGR!$B$52:$B$73,0),MATCH('TS DMARK'!$H47&amp;'TS DMARK'!AN$7,AGR!$R$46:$AC$46&amp;AGR!$R$49:$AC$49,0)),""))</f>
        <v>0</v>
      </c>
      <c r="AO47" s="297" t="str" cm="1">
        <f t="array" aca="1" ref="AO47" ca="1">IF(AF47="*","",IFERROR(INDEX(AGR!$R$52:$AC$73,MATCH($C47,AGR!$B$52:$B$73,0),MATCH('TS DMARK'!$H47&amp;'TS DMARK'!AO$7,AGR!$R$46:$AC$46&amp;AGR!$R$49:$AC$49,0)),""))</f>
        <v/>
      </c>
      <c r="AP47" s="297" cm="1">
        <f t="array" aca="1" ref="AP47" ca="1">IF(AG47="*","",IFERROR(INDEX(AGR!$R$52:$AC$73,MATCH($C47,AGR!$B$52:$B$73,0),MATCH('TS DMARK'!$H47&amp;'TS DMARK'!AP$7,AGR!$R$46:$AC$46&amp;AGR!$R$49:$AC$49,0)),""))</f>
        <v>0</v>
      </c>
      <c r="AQ47" s="238">
        <f>IF(AR46=AGR!$AD$74,AQ46+1,AQ46)</f>
        <v>2</v>
      </c>
      <c r="AR47" s="238">
        <f t="shared" si="8"/>
        <v>12</v>
      </c>
    </row>
    <row r="48" spans="1:44">
      <c r="A48" s="238" t="str">
        <f ca="1">IF(LEFT(OFFSET(AGR!$A$51,AR48,0),2)="\I","*","")</f>
        <v/>
      </c>
      <c r="B48" s="243" t="str">
        <f t="shared" ca="1" si="0"/>
        <v>FLO_MARK</v>
      </c>
      <c r="C48" s="243" t="str">
        <f ca="1">IF($A48="*","",OFFSET(AGR!$B$51,AR48,0))</f>
        <v>ATOGS-E</v>
      </c>
      <c r="D48" s="298" t="str">
        <f t="shared" ca="1" si="3"/>
        <v>AT</v>
      </c>
      <c r="E48" s="298" t="str">
        <f t="shared" ca="1" si="5"/>
        <v>-</v>
      </c>
      <c r="F48" s="298" t="str">
        <f t="shared" ca="1" si="5"/>
        <v>-</v>
      </c>
      <c r="G48" s="298" t="str">
        <f t="shared" ca="1" si="6"/>
        <v>-</v>
      </c>
      <c r="H48" s="298" t="str">
        <f t="shared" ca="1" si="6"/>
        <v>LO</v>
      </c>
      <c r="I48" s="298">
        <f t="shared" ca="1" si="6"/>
        <v>3</v>
      </c>
      <c r="J48" s="297" cm="1">
        <f t="array" aca="1" ref="J48" ca="1">IF(A48="*","",IFERROR(INDEX(AGR!$R$52:$AC$73,MATCH($C48,AGR!$B$52:$B$73,0),MATCH('TS DMARK'!$H48&amp;'TS DMARK'!J$7,AGR!$R$46:$AC$46&amp;AGR!$R$49:$AC$49,0)),""))</f>
        <v>0</v>
      </c>
      <c r="K48" s="297" t="str" cm="1">
        <f t="array" aca="1" ref="K48" ca="1">IF(B48="*","",IFERROR(INDEX(AGR!$R$52:$AC$73,MATCH($C48,AGR!$B$52:$B$73,0),MATCH('TS DMARK'!$H48&amp;'TS DMARK'!K$7,AGR!$R$46:$AC$46&amp;AGR!$R$49:$AC$49,0)),""))</f>
        <v/>
      </c>
      <c r="L48" s="297" t="str" cm="1">
        <f t="array" aca="1" ref="L48" ca="1">IF(C48="*","",IFERROR(INDEX(AGR!$R$52:$AC$73,MATCH($C48,AGR!$B$52:$B$73,0),MATCH('TS DMARK'!$H48&amp;'TS DMARK'!L$7,AGR!$R$46:$AC$46&amp;AGR!$R$49:$AC$49,0)),""))</f>
        <v/>
      </c>
      <c r="M48" s="297" cm="1">
        <f t="array" aca="1" ref="M48" ca="1">IF(D48="*","",IFERROR(INDEX(AGR!$R$52:$AC$73,MATCH($C48,AGR!$B$52:$B$73,0),MATCH('TS DMARK'!$H48&amp;'TS DMARK'!M$7,AGR!$R$46:$AC$46&amp;AGR!$R$49:$AC$49,0)),""))</f>
        <v>0</v>
      </c>
      <c r="N48" s="297" t="str" cm="1">
        <f t="array" aca="1" ref="N48" ca="1">IF(E48="*","",IFERROR(INDEX(AGR!$R$52:$AC$73,MATCH($C48,AGR!$B$52:$B$73,0),MATCH('TS DMARK'!$H48&amp;'TS DMARK'!N$7,AGR!$R$46:$AC$46&amp;AGR!$R$49:$AC$49,0)),""))</f>
        <v/>
      </c>
      <c r="O48" s="297" cm="1">
        <f t="array" aca="1" ref="O48" ca="1">IF(F48="*","",IFERROR(INDEX(AGR!$R$52:$AC$73,MATCH($C48,AGR!$B$52:$B$73,0),MATCH('TS DMARK'!$H48&amp;'TS DMARK'!O$7,AGR!$R$46:$AC$46&amp;AGR!$R$49:$AC$49,0)),""))</f>
        <v>0</v>
      </c>
      <c r="P48" s="297" t="str" cm="1">
        <f t="array" aca="1" ref="P48" ca="1">IF(G48="*","",IFERROR(INDEX(AGR!$R$52:$AC$73,MATCH($C48,AGR!$B$52:$B$73,0),MATCH('TS DMARK'!$H48&amp;'TS DMARK'!P$7,AGR!$R$46:$AC$46&amp;AGR!$R$49:$AC$49,0)),""))</f>
        <v/>
      </c>
      <c r="Q48" s="297" t="str" cm="1">
        <f t="array" aca="1" ref="Q48" ca="1">IF(H48="*","",IFERROR(INDEX(AGR!$R$52:$AC$73,MATCH($C48,AGR!$B$52:$B$73,0),MATCH('TS DMARK'!$H48&amp;'TS DMARK'!Q$7,AGR!$R$46:$AC$46&amp;AGR!$R$49:$AC$49,0)),""))</f>
        <v/>
      </c>
      <c r="R48" s="297" t="str" cm="1">
        <f t="array" aca="1" ref="R48" ca="1">IF(I48="*","",IFERROR(INDEX(AGR!$R$52:$AC$73,MATCH($C48,AGR!$B$52:$B$73,0),MATCH('TS DMARK'!$H48&amp;'TS DMARK'!R$7,AGR!$R$46:$AC$46&amp;AGR!$R$49:$AC$49,0)),""))</f>
        <v/>
      </c>
      <c r="S48" s="297" t="str" cm="1">
        <f t="array" aca="1" ref="S48" ca="1">IF(J48="*","",IFERROR(INDEX(AGR!$R$52:$AC$73,MATCH($C48,AGR!$B$52:$B$73,0),MATCH('TS DMARK'!$H48&amp;'TS DMARK'!S$7,AGR!$R$46:$AC$46&amp;AGR!$R$49:$AC$49,0)),""))</f>
        <v/>
      </c>
      <c r="T48" s="297" t="str" cm="1">
        <f t="array" aca="1" ref="T48" ca="1">IF(K48="*","",IFERROR(INDEX(AGR!$R$52:$AC$73,MATCH($C48,AGR!$B$52:$B$73,0),MATCH('TS DMARK'!$H48&amp;'TS DMARK'!T$7,AGR!$R$46:$AC$46&amp;AGR!$R$49:$AC$49,0)),""))</f>
        <v/>
      </c>
      <c r="U48" s="297" t="str" cm="1">
        <f t="array" aca="1" ref="U48" ca="1">IF(L48="*","",IFERROR(INDEX(AGR!$R$52:$AC$73,MATCH($C48,AGR!$B$52:$B$73,0),MATCH('TS DMARK'!$H48&amp;'TS DMARK'!U$7,AGR!$R$46:$AC$46&amp;AGR!$R$49:$AC$49,0)),""))</f>
        <v/>
      </c>
      <c r="V48" s="297" t="str" cm="1">
        <f t="array" aca="1" ref="V48" ca="1">IF(M48="*","",IFERROR(INDEX(AGR!$R$52:$AC$73,MATCH($C48,AGR!$B$52:$B$73,0),MATCH('TS DMARK'!$H48&amp;'TS DMARK'!V$7,AGR!$R$46:$AC$46&amp;AGR!$R$49:$AC$49,0)),""))</f>
        <v/>
      </c>
      <c r="W48" s="297" t="str" cm="1">
        <f t="array" aca="1" ref="W48" ca="1">IF(N48="*","",IFERROR(INDEX(AGR!$R$52:$AC$73,MATCH($C48,AGR!$B$52:$B$73,0),MATCH('TS DMARK'!$H48&amp;'TS DMARK'!W$7,AGR!$R$46:$AC$46&amp;AGR!$R$49:$AC$49,0)),""))</f>
        <v/>
      </c>
      <c r="X48" s="297" t="str" cm="1">
        <f t="array" aca="1" ref="X48" ca="1">IF(O48="*","",IFERROR(INDEX(AGR!$R$52:$AC$73,MATCH($C48,AGR!$B$52:$B$73,0),MATCH('TS DMARK'!$H48&amp;'TS DMARK'!X$7,AGR!$R$46:$AC$46&amp;AGR!$R$49:$AC$49,0)),""))</f>
        <v/>
      </c>
      <c r="Y48" s="297" t="str" cm="1">
        <f t="array" aca="1" ref="Y48" ca="1">IF(P48="*","",IFERROR(INDEX(AGR!$R$52:$AC$73,MATCH($C48,AGR!$B$52:$B$73,0),MATCH('TS DMARK'!$H48&amp;'TS DMARK'!Y$7,AGR!$R$46:$AC$46&amp;AGR!$R$49:$AC$49,0)),""))</f>
        <v/>
      </c>
      <c r="Z48" s="297" t="str" cm="1">
        <f t="array" aca="1" ref="Z48" ca="1">IF(Q48="*","",IFERROR(INDEX(AGR!$R$52:$AC$73,MATCH($C48,AGR!$B$52:$B$73,0),MATCH('TS DMARK'!$H48&amp;'TS DMARK'!Z$7,AGR!$R$46:$AC$46&amp;AGR!$R$49:$AC$49,0)),""))</f>
        <v/>
      </c>
      <c r="AA48" s="297" t="str" cm="1">
        <f t="array" aca="1" ref="AA48" ca="1">IF(R48="*","",IFERROR(INDEX(AGR!$R$52:$AC$73,MATCH($C48,AGR!$B$52:$B$73,0),MATCH('TS DMARK'!$H48&amp;'TS DMARK'!AA$7,AGR!$R$46:$AC$46&amp;AGR!$R$49:$AC$49,0)),""))</f>
        <v/>
      </c>
      <c r="AB48" s="297" cm="1">
        <f t="array" aca="1" ref="AB48" ca="1">IF(S48="*","",IFERROR(INDEX(AGR!$R$52:$AC$73,MATCH($C48,AGR!$B$52:$B$73,0),MATCH('TS DMARK'!$H48&amp;'TS DMARK'!AB$7,AGR!$R$46:$AC$46&amp;AGR!$R$49:$AC$49,0)),""))</f>
        <v>0</v>
      </c>
      <c r="AC48" s="297" t="str" cm="1">
        <f t="array" aca="1" ref="AC48" ca="1">IF(T48="*","",IFERROR(INDEX(AGR!$R$52:$AC$73,MATCH($C48,AGR!$B$52:$B$73,0),MATCH('TS DMARK'!$H48&amp;'TS DMARK'!AC$7,AGR!$R$46:$AC$46&amp;AGR!$R$49:$AC$49,0)),""))</f>
        <v/>
      </c>
      <c r="AD48" s="297" t="str" cm="1">
        <f t="array" aca="1" ref="AD48" ca="1">IF(U48="*","",IFERROR(INDEX(AGR!$R$52:$AC$73,MATCH($C48,AGR!$B$52:$B$73,0),MATCH('TS DMARK'!$H48&amp;'TS DMARK'!AD$7,AGR!$R$46:$AC$46&amp;AGR!$R$49:$AC$49,0)),""))</f>
        <v/>
      </c>
      <c r="AE48" s="297" t="str" cm="1">
        <f t="array" aca="1" ref="AE48" ca="1">IF(V48="*","",IFERROR(INDEX(AGR!$R$52:$AC$73,MATCH($C48,AGR!$B$52:$B$73,0),MATCH('TS DMARK'!$H48&amp;'TS DMARK'!AE$7,AGR!$R$46:$AC$46&amp;AGR!$R$49:$AC$49,0)),""))</f>
        <v/>
      </c>
      <c r="AF48" s="297" t="str" cm="1">
        <f t="array" aca="1" ref="AF48" ca="1">IF(W48="*","",IFERROR(INDEX(AGR!$R$52:$AC$73,MATCH($C48,AGR!$B$52:$B$73,0),MATCH('TS DMARK'!$H48&amp;'TS DMARK'!AF$7,AGR!$R$46:$AC$46&amp;AGR!$R$49:$AC$49,0)),""))</f>
        <v/>
      </c>
      <c r="AG48" s="297" t="str" cm="1">
        <f t="array" aca="1" ref="AG48" ca="1">IF(X48="*","",IFERROR(INDEX(AGR!$R$52:$AC$73,MATCH($C48,AGR!$B$52:$B$73,0),MATCH('TS DMARK'!$H48&amp;'TS DMARK'!AG$7,AGR!$R$46:$AC$46&amp;AGR!$R$49:$AC$49,0)),""))</f>
        <v/>
      </c>
      <c r="AH48" s="297" t="str" cm="1">
        <f t="array" aca="1" ref="AH48" ca="1">IF(Y48="*","",IFERROR(INDEX(AGR!$R$52:$AC$73,MATCH($C48,AGR!$B$52:$B$73,0),MATCH('TS DMARK'!$H48&amp;'TS DMARK'!AH$7,AGR!$R$46:$AC$46&amp;AGR!$R$49:$AC$49,0)),""))</f>
        <v/>
      </c>
      <c r="AI48" s="297" t="str" cm="1">
        <f t="array" aca="1" ref="AI48" ca="1">IF(Z48="*","",IFERROR(INDEX(AGR!$R$52:$AC$73,MATCH($C48,AGR!$B$52:$B$73,0),MATCH('TS DMARK'!$H48&amp;'TS DMARK'!AI$7,AGR!$R$46:$AC$46&amp;AGR!$R$49:$AC$49,0)),""))</f>
        <v/>
      </c>
      <c r="AJ48" s="297" t="str" cm="1">
        <f t="array" aca="1" ref="AJ48" ca="1">IF(AA48="*","",IFERROR(INDEX(AGR!$R$52:$AC$73,MATCH($C48,AGR!$B$52:$B$73,0),MATCH('TS DMARK'!$H48&amp;'TS DMARK'!AJ$7,AGR!$R$46:$AC$46&amp;AGR!$R$49:$AC$49,0)),""))</f>
        <v/>
      </c>
      <c r="AK48" s="297" t="str" cm="1">
        <f t="array" aca="1" ref="AK48" ca="1">IF(AB48="*","",IFERROR(INDEX(AGR!$R$52:$AC$73,MATCH($C48,AGR!$B$52:$B$73,0),MATCH('TS DMARK'!$H48&amp;'TS DMARK'!AK$7,AGR!$R$46:$AC$46&amp;AGR!$R$49:$AC$49,0)),""))</f>
        <v/>
      </c>
      <c r="AL48" s="297" t="str" cm="1">
        <f t="array" aca="1" ref="AL48" ca="1">IF(AC48="*","",IFERROR(INDEX(AGR!$R$52:$AC$73,MATCH($C48,AGR!$B$52:$B$73,0),MATCH('TS DMARK'!$H48&amp;'TS DMARK'!AL$7,AGR!$R$46:$AC$46&amp;AGR!$R$49:$AC$49,0)),""))</f>
        <v/>
      </c>
      <c r="AM48" s="297" t="str" cm="1">
        <f t="array" aca="1" ref="AM48" ca="1">IF(AD48="*","",IFERROR(INDEX(AGR!$R$52:$AC$73,MATCH($C48,AGR!$B$52:$B$73,0),MATCH('TS DMARK'!$H48&amp;'TS DMARK'!AM$7,AGR!$R$46:$AC$46&amp;AGR!$R$49:$AC$49,0)),""))</f>
        <v/>
      </c>
      <c r="AN48" s="297" cm="1">
        <f t="array" aca="1" ref="AN48" ca="1">IF(AE48="*","",IFERROR(INDEX(AGR!$R$52:$AC$73,MATCH($C48,AGR!$B$52:$B$73,0),MATCH('TS DMARK'!$H48&amp;'TS DMARK'!AN$7,AGR!$R$46:$AC$46&amp;AGR!$R$49:$AC$49,0)),""))</f>
        <v>0</v>
      </c>
      <c r="AO48" s="297" t="str" cm="1">
        <f t="array" aca="1" ref="AO48" ca="1">IF(AF48="*","",IFERROR(INDEX(AGR!$R$52:$AC$73,MATCH($C48,AGR!$B$52:$B$73,0),MATCH('TS DMARK'!$H48&amp;'TS DMARK'!AO$7,AGR!$R$46:$AC$46&amp;AGR!$R$49:$AC$49,0)),""))</f>
        <v/>
      </c>
      <c r="AP48" s="297" cm="1">
        <f t="array" aca="1" ref="AP48" ca="1">IF(AG48="*","",IFERROR(INDEX(AGR!$R$52:$AC$73,MATCH($C48,AGR!$B$52:$B$73,0),MATCH('TS DMARK'!$H48&amp;'TS DMARK'!AP$7,AGR!$R$46:$AC$46&amp;AGR!$R$49:$AC$49,0)),""))</f>
        <v>0</v>
      </c>
      <c r="AQ48" s="238">
        <f>IF(AR47=AGR!$AD$74,AQ47+1,AQ47)</f>
        <v>2</v>
      </c>
      <c r="AR48" s="238">
        <f t="shared" si="8"/>
        <v>13</v>
      </c>
    </row>
    <row r="49" spans="1:44">
      <c r="A49" s="238" t="str">
        <f ca="1">IF(LEFT(OFFSET(AGR!$A$51,AR49,0),2)="\I","*","")</f>
        <v>*</v>
      </c>
      <c r="B49" s="243" t="str">
        <f t="shared" ca="1" si="0"/>
        <v/>
      </c>
      <c r="C49" s="243" t="str">
        <f ca="1">IF($A49="*","",OFFSET(AGR!$B$51,AR49,0))</f>
        <v/>
      </c>
      <c r="D49" s="298" t="str">
        <f t="shared" ca="1" si="3"/>
        <v/>
      </c>
      <c r="E49" s="298" t="str">
        <f t="shared" ca="1" si="5"/>
        <v/>
      </c>
      <c r="F49" s="298" t="str">
        <f t="shared" ca="1" si="5"/>
        <v/>
      </c>
      <c r="G49" s="298" t="str">
        <f t="shared" ca="1" si="6"/>
        <v/>
      </c>
      <c r="H49" s="298" t="str">
        <f t="shared" ca="1" si="6"/>
        <v/>
      </c>
      <c r="I49" s="298" t="str">
        <f t="shared" ca="1" si="6"/>
        <v/>
      </c>
      <c r="J49" s="297" t="str" cm="1">
        <f t="array" aca="1" ref="J49" ca="1">IF(A49="*","",IFERROR(INDEX(AGR!$R$52:$AC$73,MATCH($C49,AGR!$B$52:$B$73,0),MATCH('TS DMARK'!$H49&amp;'TS DMARK'!J$7,AGR!$R$46:$AC$46&amp;AGR!$R$49:$AC$49,0)),""))</f>
        <v/>
      </c>
      <c r="K49" s="297" t="str" cm="1">
        <f t="array" aca="1" ref="K49" ca="1">IF(B49="*","",IFERROR(INDEX(AGR!$R$52:$AC$73,MATCH($C49,AGR!$B$52:$B$73,0),MATCH('TS DMARK'!$H49&amp;'TS DMARK'!K$7,AGR!$R$46:$AC$46&amp;AGR!$R$49:$AC$49,0)),""))</f>
        <v/>
      </c>
      <c r="L49" s="297" t="str" cm="1">
        <f t="array" aca="1" ref="L49" ca="1">IF(C49="*","",IFERROR(INDEX(AGR!$R$52:$AC$73,MATCH($C49,AGR!$B$52:$B$73,0),MATCH('TS DMARK'!$H49&amp;'TS DMARK'!L$7,AGR!$R$46:$AC$46&amp;AGR!$R$49:$AC$49,0)),""))</f>
        <v/>
      </c>
      <c r="M49" s="297" t="str" cm="1">
        <f t="array" aca="1" ref="M49" ca="1">IF(D49="*","",IFERROR(INDEX(AGR!$R$52:$AC$73,MATCH($C49,AGR!$B$52:$B$73,0),MATCH('TS DMARK'!$H49&amp;'TS DMARK'!M$7,AGR!$R$46:$AC$46&amp;AGR!$R$49:$AC$49,0)),""))</f>
        <v/>
      </c>
      <c r="N49" s="297" t="str" cm="1">
        <f t="array" aca="1" ref="N49" ca="1">IF(E49="*","",IFERROR(INDEX(AGR!$R$52:$AC$73,MATCH($C49,AGR!$B$52:$B$73,0),MATCH('TS DMARK'!$H49&amp;'TS DMARK'!N$7,AGR!$R$46:$AC$46&amp;AGR!$R$49:$AC$49,0)),""))</f>
        <v/>
      </c>
      <c r="O49" s="297" t="str" cm="1">
        <f t="array" aca="1" ref="O49" ca="1">IF(F49="*","",IFERROR(INDEX(AGR!$R$52:$AC$73,MATCH($C49,AGR!$B$52:$B$73,0),MATCH('TS DMARK'!$H49&amp;'TS DMARK'!O$7,AGR!$R$46:$AC$46&amp;AGR!$R$49:$AC$49,0)),""))</f>
        <v/>
      </c>
      <c r="P49" s="297" t="str" cm="1">
        <f t="array" aca="1" ref="P49" ca="1">IF(G49="*","",IFERROR(INDEX(AGR!$R$52:$AC$73,MATCH($C49,AGR!$B$52:$B$73,0),MATCH('TS DMARK'!$H49&amp;'TS DMARK'!P$7,AGR!$R$46:$AC$46&amp;AGR!$R$49:$AC$49,0)),""))</f>
        <v/>
      </c>
      <c r="Q49" s="297" t="str" cm="1">
        <f t="array" aca="1" ref="Q49" ca="1">IF(H49="*","",IFERROR(INDEX(AGR!$R$52:$AC$73,MATCH($C49,AGR!$B$52:$B$73,0),MATCH('TS DMARK'!$H49&amp;'TS DMARK'!Q$7,AGR!$R$46:$AC$46&amp;AGR!$R$49:$AC$49,0)),""))</f>
        <v/>
      </c>
      <c r="R49" s="297" t="str" cm="1">
        <f t="array" aca="1" ref="R49" ca="1">IF(I49="*","",IFERROR(INDEX(AGR!$R$52:$AC$73,MATCH($C49,AGR!$B$52:$B$73,0),MATCH('TS DMARK'!$H49&amp;'TS DMARK'!R$7,AGR!$R$46:$AC$46&amp;AGR!$R$49:$AC$49,0)),""))</f>
        <v/>
      </c>
      <c r="S49" s="297" t="str" cm="1">
        <f t="array" aca="1" ref="S49" ca="1">IF(J49="*","",IFERROR(INDEX(AGR!$R$52:$AC$73,MATCH($C49,AGR!$B$52:$B$73,0),MATCH('TS DMARK'!$H49&amp;'TS DMARK'!S$7,AGR!$R$46:$AC$46&amp;AGR!$R$49:$AC$49,0)),""))</f>
        <v/>
      </c>
      <c r="T49" s="297" t="str" cm="1">
        <f t="array" aca="1" ref="T49" ca="1">IF(K49="*","",IFERROR(INDEX(AGR!$R$52:$AC$73,MATCH($C49,AGR!$B$52:$B$73,0),MATCH('TS DMARK'!$H49&amp;'TS DMARK'!T$7,AGR!$R$46:$AC$46&amp;AGR!$R$49:$AC$49,0)),""))</f>
        <v/>
      </c>
      <c r="U49" s="297" t="str" cm="1">
        <f t="array" aca="1" ref="U49" ca="1">IF(L49="*","",IFERROR(INDEX(AGR!$R$52:$AC$73,MATCH($C49,AGR!$B$52:$B$73,0),MATCH('TS DMARK'!$H49&amp;'TS DMARK'!U$7,AGR!$R$46:$AC$46&amp;AGR!$R$49:$AC$49,0)),""))</f>
        <v/>
      </c>
      <c r="V49" s="297" t="str" cm="1">
        <f t="array" aca="1" ref="V49" ca="1">IF(M49="*","",IFERROR(INDEX(AGR!$R$52:$AC$73,MATCH($C49,AGR!$B$52:$B$73,0),MATCH('TS DMARK'!$H49&amp;'TS DMARK'!V$7,AGR!$R$46:$AC$46&amp;AGR!$R$49:$AC$49,0)),""))</f>
        <v/>
      </c>
      <c r="W49" s="297" t="str" cm="1">
        <f t="array" aca="1" ref="W49" ca="1">IF(N49="*","",IFERROR(INDEX(AGR!$R$52:$AC$73,MATCH($C49,AGR!$B$52:$B$73,0),MATCH('TS DMARK'!$H49&amp;'TS DMARK'!W$7,AGR!$R$46:$AC$46&amp;AGR!$R$49:$AC$49,0)),""))</f>
        <v/>
      </c>
      <c r="X49" s="297" t="str" cm="1">
        <f t="array" aca="1" ref="X49" ca="1">IF(O49="*","",IFERROR(INDEX(AGR!$R$52:$AC$73,MATCH($C49,AGR!$B$52:$B$73,0),MATCH('TS DMARK'!$H49&amp;'TS DMARK'!X$7,AGR!$R$46:$AC$46&amp;AGR!$R$49:$AC$49,0)),""))</f>
        <v/>
      </c>
      <c r="Y49" s="297" t="str" cm="1">
        <f t="array" aca="1" ref="Y49" ca="1">IF(P49="*","",IFERROR(INDEX(AGR!$R$52:$AC$73,MATCH($C49,AGR!$B$52:$B$73,0),MATCH('TS DMARK'!$H49&amp;'TS DMARK'!Y$7,AGR!$R$46:$AC$46&amp;AGR!$R$49:$AC$49,0)),""))</f>
        <v/>
      </c>
      <c r="Z49" s="297" t="str" cm="1">
        <f t="array" aca="1" ref="Z49" ca="1">IF(Q49="*","",IFERROR(INDEX(AGR!$R$52:$AC$73,MATCH($C49,AGR!$B$52:$B$73,0),MATCH('TS DMARK'!$H49&amp;'TS DMARK'!Z$7,AGR!$R$46:$AC$46&amp;AGR!$R$49:$AC$49,0)),""))</f>
        <v/>
      </c>
      <c r="AA49" s="297" t="str" cm="1">
        <f t="array" aca="1" ref="AA49" ca="1">IF(R49="*","",IFERROR(INDEX(AGR!$R$52:$AC$73,MATCH($C49,AGR!$B$52:$B$73,0),MATCH('TS DMARK'!$H49&amp;'TS DMARK'!AA$7,AGR!$R$46:$AC$46&amp;AGR!$R$49:$AC$49,0)),""))</f>
        <v/>
      </c>
      <c r="AB49" s="297" t="str" cm="1">
        <f t="array" aca="1" ref="AB49" ca="1">IF(S49="*","",IFERROR(INDEX(AGR!$R$52:$AC$73,MATCH($C49,AGR!$B$52:$B$73,0),MATCH('TS DMARK'!$H49&amp;'TS DMARK'!AB$7,AGR!$R$46:$AC$46&amp;AGR!$R$49:$AC$49,0)),""))</f>
        <v/>
      </c>
      <c r="AC49" s="297" t="str" cm="1">
        <f t="array" aca="1" ref="AC49" ca="1">IF(T49="*","",IFERROR(INDEX(AGR!$R$52:$AC$73,MATCH($C49,AGR!$B$52:$B$73,0),MATCH('TS DMARK'!$H49&amp;'TS DMARK'!AC$7,AGR!$R$46:$AC$46&amp;AGR!$R$49:$AC$49,0)),""))</f>
        <v/>
      </c>
      <c r="AD49" s="297" t="str" cm="1">
        <f t="array" aca="1" ref="AD49" ca="1">IF(U49="*","",IFERROR(INDEX(AGR!$R$52:$AC$73,MATCH($C49,AGR!$B$52:$B$73,0),MATCH('TS DMARK'!$H49&amp;'TS DMARK'!AD$7,AGR!$R$46:$AC$46&amp;AGR!$R$49:$AC$49,0)),""))</f>
        <v/>
      </c>
      <c r="AE49" s="297" t="str" cm="1">
        <f t="array" aca="1" ref="AE49" ca="1">IF(V49="*","",IFERROR(INDEX(AGR!$R$52:$AC$73,MATCH($C49,AGR!$B$52:$B$73,0),MATCH('TS DMARK'!$H49&amp;'TS DMARK'!AE$7,AGR!$R$46:$AC$46&amp;AGR!$R$49:$AC$49,0)),""))</f>
        <v/>
      </c>
      <c r="AF49" s="297" t="str" cm="1">
        <f t="array" aca="1" ref="AF49" ca="1">IF(W49="*","",IFERROR(INDEX(AGR!$R$52:$AC$73,MATCH($C49,AGR!$B$52:$B$73,0),MATCH('TS DMARK'!$H49&amp;'TS DMARK'!AF$7,AGR!$R$46:$AC$46&amp;AGR!$R$49:$AC$49,0)),""))</f>
        <v/>
      </c>
      <c r="AG49" s="297" t="str" cm="1">
        <f t="array" aca="1" ref="AG49" ca="1">IF(X49="*","",IFERROR(INDEX(AGR!$R$52:$AC$73,MATCH($C49,AGR!$B$52:$B$73,0),MATCH('TS DMARK'!$H49&amp;'TS DMARK'!AG$7,AGR!$R$46:$AC$46&amp;AGR!$R$49:$AC$49,0)),""))</f>
        <v/>
      </c>
      <c r="AH49" s="297" t="str" cm="1">
        <f t="array" aca="1" ref="AH49" ca="1">IF(Y49="*","",IFERROR(INDEX(AGR!$R$52:$AC$73,MATCH($C49,AGR!$B$52:$B$73,0),MATCH('TS DMARK'!$H49&amp;'TS DMARK'!AH$7,AGR!$R$46:$AC$46&amp;AGR!$R$49:$AC$49,0)),""))</f>
        <v/>
      </c>
      <c r="AI49" s="297" t="str" cm="1">
        <f t="array" aca="1" ref="AI49" ca="1">IF(Z49="*","",IFERROR(INDEX(AGR!$R$52:$AC$73,MATCH($C49,AGR!$B$52:$B$73,0),MATCH('TS DMARK'!$H49&amp;'TS DMARK'!AI$7,AGR!$R$46:$AC$46&amp;AGR!$R$49:$AC$49,0)),""))</f>
        <v/>
      </c>
      <c r="AJ49" s="297" t="str" cm="1">
        <f t="array" aca="1" ref="AJ49" ca="1">IF(AA49="*","",IFERROR(INDEX(AGR!$R$52:$AC$73,MATCH($C49,AGR!$B$52:$B$73,0),MATCH('TS DMARK'!$H49&amp;'TS DMARK'!AJ$7,AGR!$R$46:$AC$46&amp;AGR!$R$49:$AC$49,0)),""))</f>
        <v/>
      </c>
      <c r="AK49" s="297" t="str" cm="1">
        <f t="array" aca="1" ref="AK49" ca="1">IF(AB49="*","",IFERROR(INDEX(AGR!$R$52:$AC$73,MATCH($C49,AGR!$B$52:$B$73,0),MATCH('TS DMARK'!$H49&amp;'TS DMARK'!AK$7,AGR!$R$46:$AC$46&amp;AGR!$R$49:$AC$49,0)),""))</f>
        <v/>
      </c>
      <c r="AL49" s="297" t="str" cm="1">
        <f t="array" aca="1" ref="AL49" ca="1">IF(AC49="*","",IFERROR(INDEX(AGR!$R$52:$AC$73,MATCH($C49,AGR!$B$52:$B$73,0),MATCH('TS DMARK'!$H49&amp;'TS DMARK'!AL$7,AGR!$R$46:$AC$46&amp;AGR!$R$49:$AC$49,0)),""))</f>
        <v/>
      </c>
      <c r="AM49" s="297" t="str" cm="1">
        <f t="array" aca="1" ref="AM49" ca="1">IF(AD49="*","",IFERROR(INDEX(AGR!$R$52:$AC$73,MATCH($C49,AGR!$B$52:$B$73,0),MATCH('TS DMARK'!$H49&amp;'TS DMARK'!AM$7,AGR!$R$46:$AC$46&amp;AGR!$R$49:$AC$49,0)),""))</f>
        <v/>
      </c>
      <c r="AN49" s="297" t="str" cm="1">
        <f t="array" aca="1" ref="AN49" ca="1">IF(AE49="*","",IFERROR(INDEX(AGR!$R$52:$AC$73,MATCH($C49,AGR!$B$52:$B$73,0),MATCH('TS DMARK'!$H49&amp;'TS DMARK'!AN$7,AGR!$R$46:$AC$46&amp;AGR!$R$49:$AC$49,0)),""))</f>
        <v/>
      </c>
      <c r="AO49" s="297" t="str" cm="1">
        <f t="array" aca="1" ref="AO49" ca="1">IF(AF49="*","",IFERROR(INDEX(AGR!$R$52:$AC$73,MATCH($C49,AGR!$B$52:$B$73,0),MATCH('TS DMARK'!$H49&amp;'TS DMARK'!AO$7,AGR!$R$46:$AC$46&amp;AGR!$R$49:$AC$49,0)),""))</f>
        <v/>
      </c>
      <c r="AP49" s="297" t="str" cm="1">
        <f t="array" aca="1" ref="AP49" ca="1">IF(AG49="*","",IFERROR(INDEX(AGR!$R$52:$AC$73,MATCH($C49,AGR!$B$52:$B$73,0),MATCH('TS DMARK'!$H49&amp;'TS DMARK'!AP$7,AGR!$R$46:$AC$46&amp;AGR!$R$49:$AC$49,0)),""))</f>
        <v/>
      </c>
      <c r="AQ49" s="238">
        <f>IF(AR48=AGR!$AD$74,AQ48+1,AQ48)</f>
        <v>2</v>
      </c>
      <c r="AR49" s="238">
        <f t="shared" si="8"/>
        <v>14</v>
      </c>
    </row>
    <row r="50" spans="1:44">
      <c r="A50" s="238" t="str">
        <f ca="1">IF(LEFT(OFFSET(AGR!$A$51,AR50,0),2)="\I","*","")</f>
        <v>*</v>
      </c>
      <c r="B50" s="243" t="str">
        <f t="shared" ca="1" si="0"/>
        <v/>
      </c>
      <c r="C50" s="243" t="str">
        <f ca="1">IF($A50="*","",OFFSET(AGR!$B$51,AR50,0))</f>
        <v/>
      </c>
      <c r="D50" s="298" t="str">
        <f t="shared" ca="1" si="3"/>
        <v/>
      </c>
      <c r="E50" s="298" t="str">
        <f t="shared" ca="1" si="5"/>
        <v/>
      </c>
      <c r="F50" s="298" t="str">
        <f t="shared" ca="1" si="5"/>
        <v/>
      </c>
      <c r="G50" s="298" t="str">
        <f t="shared" ca="1" si="6"/>
        <v/>
      </c>
      <c r="H50" s="298" t="str">
        <f t="shared" ca="1" si="6"/>
        <v/>
      </c>
      <c r="I50" s="298" t="str">
        <f t="shared" ca="1" si="6"/>
        <v/>
      </c>
      <c r="J50" s="297" t="str" cm="1">
        <f t="array" aca="1" ref="J50" ca="1">IF(A50="*","",IFERROR(INDEX(AGR!$R$52:$AC$73,MATCH($C50,AGR!$B$52:$B$73,0),MATCH('TS DMARK'!$H50&amp;'TS DMARK'!J$7,AGR!$R$46:$AC$46&amp;AGR!$R$49:$AC$49,0)),""))</f>
        <v/>
      </c>
      <c r="K50" s="297" t="str" cm="1">
        <f t="array" aca="1" ref="K50" ca="1">IF(B50="*","",IFERROR(INDEX(AGR!$R$52:$AC$73,MATCH($C50,AGR!$B$52:$B$73,0),MATCH('TS DMARK'!$H50&amp;'TS DMARK'!K$7,AGR!$R$46:$AC$46&amp;AGR!$R$49:$AC$49,0)),""))</f>
        <v/>
      </c>
      <c r="L50" s="297" t="str" cm="1">
        <f t="array" aca="1" ref="L50" ca="1">IF(C50="*","",IFERROR(INDEX(AGR!$R$52:$AC$73,MATCH($C50,AGR!$B$52:$B$73,0),MATCH('TS DMARK'!$H50&amp;'TS DMARK'!L$7,AGR!$R$46:$AC$46&amp;AGR!$R$49:$AC$49,0)),""))</f>
        <v/>
      </c>
      <c r="M50" s="297" t="str" cm="1">
        <f t="array" aca="1" ref="M50" ca="1">IF(D50="*","",IFERROR(INDEX(AGR!$R$52:$AC$73,MATCH($C50,AGR!$B$52:$B$73,0),MATCH('TS DMARK'!$H50&amp;'TS DMARK'!M$7,AGR!$R$46:$AC$46&amp;AGR!$R$49:$AC$49,0)),""))</f>
        <v/>
      </c>
      <c r="N50" s="297" t="str" cm="1">
        <f t="array" aca="1" ref="N50" ca="1">IF(E50="*","",IFERROR(INDEX(AGR!$R$52:$AC$73,MATCH($C50,AGR!$B$52:$B$73,0),MATCH('TS DMARK'!$H50&amp;'TS DMARK'!N$7,AGR!$R$46:$AC$46&amp;AGR!$R$49:$AC$49,0)),""))</f>
        <v/>
      </c>
      <c r="O50" s="297" t="str" cm="1">
        <f t="array" aca="1" ref="O50" ca="1">IF(F50="*","",IFERROR(INDEX(AGR!$R$52:$AC$73,MATCH($C50,AGR!$B$52:$B$73,0),MATCH('TS DMARK'!$H50&amp;'TS DMARK'!O$7,AGR!$R$46:$AC$46&amp;AGR!$R$49:$AC$49,0)),""))</f>
        <v/>
      </c>
      <c r="P50" s="297" t="str" cm="1">
        <f t="array" aca="1" ref="P50" ca="1">IF(G50="*","",IFERROR(INDEX(AGR!$R$52:$AC$73,MATCH($C50,AGR!$B$52:$B$73,0),MATCH('TS DMARK'!$H50&amp;'TS DMARK'!P$7,AGR!$R$46:$AC$46&amp;AGR!$R$49:$AC$49,0)),""))</f>
        <v/>
      </c>
      <c r="Q50" s="297" t="str" cm="1">
        <f t="array" aca="1" ref="Q50" ca="1">IF(H50="*","",IFERROR(INDEX(AGR!$R$52:$AC$73,MATCH($C50,AGR!$B$52:$B$73,0),MATCH('TS DMARK'!$H50&amp;'TS DMARK'!Q$7,AGR!$R$46:$AC$46&amp;AGR!$R$49:$AC$49,0)),""))</f>
        <v/>
      </c>
      <c r="R50" s="297" t="str" cm="1">
        <f t="array" aca="1" ref="R50" ca="1">IF(I50="*","",IFERROR(INDEX(AGR!$R$52:$AC$73,MATCH($C50,AGR!$B$52:$B$73,0),MATCH('TS DMARK'!$H50&amp;'TS DMARK'!R$7,AGR!$R$46:$AC$46&amp;AGR!$R$49:$AC$49,0)),""))</f>
        <v/>
      </c>
      <c r="S50" s="297" t="str" cm="1">
        <f t="array" aca="1" ref="S50" ca="1">IF(J50="*","",IFERROR(INDEX(AGR!$R$52:$AC$73,MATCH($C50,AGR!$B$52:$B$73,0),MATCH('TS DMARK'!$H50&amp;'TS DMARK'!S$7,AGR!$R$46:$AC$46&amp;AGR!$R$49:$AC$49,0)),""))</f>
        <v/>
      </c>
      <c r="T50" s="297" t="str" cm="1">
        <f t="array" aca="1" ref="T50" ca="1">IF(K50="*","",IFERROR(INDEX(AGR!$R$52:$AC$73,MATCH($C50,AGR!$B$52:$B$73,0),MATCH('TS DMARK'!$H50&amp;'TS DMARK'!T$7,AGR!$R$46:$AC$46&amp;AGR!$R$49:$AC$49,0)),""))</f>
        <v/>
      </c>
      <c r="U50" s="297" t="str" cm="1">
        <f t="array" aca="1" ref="U50" ca="1">IF(L50="*","",IFERROR(INDEX(AGR!$R$52:$AC$73,MATCH($C50,AGR!$B$52:$B$73,0),MATCH('TS DMARK'!$H50&amp;'TS DMARK'!U$7,AGR!$R$46:$AC$46&amp;AGR!$R$49:$AC$49,0)),""))</f>
        <v/>
      </c>
      <c r="V50" s="297" t="str" cm="1">
        <f t="array" aca="1" ref="V50" ca="1">IF(M50="*","",IFERROR(INDEX(AGR!$R$52:$AC$73,MATCH($C50,AGR!$B$52:$B$73,0),MATCH('TS DMARK'!$H50&amp;'TS DMARK'!V$7,AGR!$R$46:$AC$46&amp;AGR!$R$49:$AC$49,0)),""))</f>
        <v/>
      </c>
      <c r="W50" s="297" t="str" cm="1">
        <f t="array" aca="1" ref="W50" ca="1">IF(N50="*","",IFERROR(INDEX(AGR!$R$52:$AC$73,MATCH($C50,AGR!$B$52:$B$73,0),MATCH('TS DMARK'!$H50&amp;'TS DMARK'!W$7,AGR!$R$46:$AC$46&amp;AGR!$R$49:$AC$49,0)),""))</f>
        <v/>
      </c>
      <c r="X50" s="297" t="str" cm="1">
        <f t="array" aca="1" ref="X50" ca="1">IF(O50="*","",IFERROR(INDEX(AGR!$R$52:$AC$73,MATCH($C50,AGR!$B$52:$B$73,0),MATCH('TS DMARK'!$H50&amp;'TS DMARK'!X$7,AGR!$R$46:$AC$46&amp;AGR!$R$49:$AC$49,0)),""))</f>
        <v/>
      </c>
      <c r="Y50" s="297" t="str" cm="1">
        <f t="array" aca="1" ref="Y50" ca="1">IF(P50="*","",IFERROR(INDEX(AGR!$R$52:$AC$73,MATCH($C50,AGR!$B$52:$B$73,0),MATCH('TS DMARK'!$H50&amp;'TS DMARK'!Y$7,AGR!$R$46:$AC$46&amp;AGR!$R$49:$AC$49,0)),""))</f>
        <v/>
      </c>
      <c r="Z50" s="297" t="str" cm="1">
        <f t="array" aca="1" ref="Z50" ca="1">IF(Q50="*","",IFERROR(INDEX(AGR!$R$52:$AC$73,MATCH($C50,AGR!$B$52:$B$73,0),MATCH('TS DMARK'!$H50&amp;'TS DMARK'!Z$7,AGR!$R$46:$AC$46&amp;AGR!$R$49:$AC$49,0)),""))</f>
        <v/>
      </c>
      <c r="AA50" s="297" t="str" cm="1">
        <f t="array" aca="1" ref="AA50" ca="1">IF(R50="*","",IFERROR(INDEX(AGR!$R$52:$AC$73,MATCH($C50,AGR!$B$52:$B$73,0),MATCH('TS DMARK'!$H50&amp;'TS DMARK'!AA$7,AGR!$R$46:$AC$46&amp;AGR!$R$49:$AC$49,0)),""))</f>
        <v/>
      </c>
      <c r="AB50" s="297" t="str" cm="1">
        <f t="array" aca="1" ref="AB50" ca="1">IF(S50="*","",IFERROR(INDEX(AGR!$R$52:$AC$73,MATCH($C50,AGR!$B$52:$B$73,0),MATCH('TS DMARK'!$H50&amp;'TS DMARK'!AB$7,AGR!$R$46:$AC$46&amp;AGR!$R$49:$AC$49,0)),""))</f>
        <v/>
      </c>
      <c r="AC50" s="297" t="str" cm="1">
        <f t="array" aca="1" ref="AC50" ca="1">IF(T50="*","",IFERROR(INDEX(AGR!$R$52:$AC$73,MATCH($C50,AGR!$B$52:$B$73,0),MATCH('TS DMARK'!$H50&amp;'TS DMARK'!AC$7,AGR!$R$46:$AC$46&amp;AGR!$R$49:$AC$49,0)),""))</f>
        <v/>
      </c>
      <c r="AD50" s="297" t="str" cm="1">
        <f t="array" aca="1" ref="AD50" ca="1">IF(U50="*","",IFERROR(INDEX(AGR!$R$52:$AC$73,MATCH($C50,AGR!$B$52:$B$73,0),MATCH('TS DMARK'!$H50&amp;'TS DMARK'!AD$7,AGR!$R$46:$AC$46&amp;AGR!$R$49:$AC$49,0)),""))</f>
        <v/>
      </c>
      <c r="AE50" s="297" t="str" cm="1">
        <f t="array" aca="1" ref="AE50" ca="1">IF(V50="*","",IFERROR(INDEX(AGR!$R$52:$AC$73,MATCH($C50,AGR!$B$52:$B$73,0),MATCH('TS DMARK'!$H50&amp;'TS DMARK'!AE$7,AGR!$R$46:$AC$46&amp;AGR!$R$49:$AC$49,0)),""))</f>
        <v/>
      </c>
      <c r="AF50" s="297" t="str" cm="1">
        <f t="array" aca="1" ref="AF50" ca="1">IF(W50="*","",IFERROR(INDEX(AGR!$R$52:$AC$73,MATCH($C50,AGR!$B$52:$B$73,0),MATCH('TS DMARK'!$H50&amp;'TS DMARK'!AF$7,AGR!$R$46:$AC$46&amp;AGR!$R$49:$AC$49,0)),""))</f>
        <v/>
      </c>
      <c r="AG50" s="297" t="str" cm="1">
        <f t="array" aca="1" ref="AG50" ca="1">IF(X50="*","",IFERROR(INDEX(AGR!$R$52:$AC$73,MATCH($C50,AGR!$B$52:$B$73,0),MATCH('TS DMARK'!$H50&amp;'TS DMARK'!AG$7,AGR!$R$46:$AC$46&amp;AGR!$R$49:$AC$49,0)),""))</f>
        <v/>
      </c>
      <c r="AH50" s="297" t="str" cm="1">
        <f t="array" aca="1" ref="AH50" ca="1">IF(Y50="*","",IFERROR(INDEX(AGR!$R$52:$AC$73,MATCH($C50,AGR!$B$52:$B$73,0),MATCH('TS DMARK'!$H50&amp;'TS DMARK'!AH$7,AGR!$R$46:$AC$46&amp;AGR!$R$49:$AC$49,0)),""))</f>
        <v/>
      </c>
      <c r="AI50" s="297" t="str" cm="1">
        <f t="array" aca="1" ref="AI50" ca="1">IF(Z50="*","",IFERROR(INDEX(AGR!$R$52:$AC$73,MATCH($C50,AGR!$B$52:$B$73,0),MATCH('TS DMARK'!$H50&amp;'TS DMARK'!AI$7,AGR!$R$46:$AC$46&amp;AGR!$R$49:$AC$49,0)),""))</f>
        <v/>
      </c>
      <c r="AJ50" s="297" t="str" cm="1">
        <f t="array" aca="1" ref="AJ50" ca="1">IF(AA50="*","",IFERROR(INDEX(AGR!$R$52:$AC$73,MATCH($C50,AGR!$B$52:$B$73,0),MATCH('TS DMARK'!$H50&amp;'TS DMARK'!AJ$7,AGR!$R$46:$AC$46&amp;AGR!$R$49:$AC$49,0)),""))</f>
        <v/>
      </c>
      <c r="AK50" s="297" t="str" cm="1">
        <f t="array" aca="1" ref="AK50" ca="1">IF(AB50="*","",IFERROR(INDEX(AGR!$R$52:$AC$73,MATCH($C50,AGR!$B$52:$B$73,0),MATCH('TS DMARK'!$H50&amp;'TS DMARK'!AK$7,AGR!$R$46:$AC$46&amp;AGR!$R$49:$AC$49,0)),""))</f>
        <v/>
      </c>
      <c r="AL50" s="297" t="str" cm="1">
        <f t="array" aca="1" ref="AL50" ca="1">IF(AC50="*","",IFERROR(INDEX(AGR!$R$52:$AC$73,MATCH($C50,AGR!$B$52:$B$73,0),MATCH('TS DMARK'!$H50&amp;'TS DMARK'!AL$7,AGR!$R$46:$AC$46&amp;AGR!$R$49:$AC$49,0)),""))</f>
        <v/>
      </c>
      <c r="AM50" s="297" t="str" cm="1">
        <f t="array" aca="1" ref="AM50" ca="1">IF(AD50="*","",IFERROR(INDEX(AGR!$R$52:$AC$73,MATCH($C50,AGR!$B$52:$B$73,0),MATCH('TS DMARK'!$H50&amp;'TS DMARK'!AM$7,AGR!$R$46:$AC$46&amp;AGR!$R$49:$AC$49,0)),""))</f>
        <v/>
      </c>
      <c r="AN50" s="297" t="str" cm="1">
        <f t="array" aca="1" ref="AN50" ca="1">IF(AE50="*","",IFERROR(INDEX(AGR!$R$52:$AC$73,MATCH($C50,AGR!$B$52:$B$73,0),MATCH('TS DMARK'!$H50&amp;'TS DMARK'!AN$7,AGR!$R$46:$AC$46&amp;AGR!$R$49:$AC$49,0)),""))</f>
        <v/>
      </c>
      <c r="AO50" s="297" t="str" cm="1">
        <f t="array" aca="1" ref="AO50" ca="1">IF(AF50="*","",IFERROR(INDEX(AGR!$R$52:$AC$73,MATCH($C50,AGR!$B$52:$B$73,0),MATCH('TS DMARK'!$H50&amp;'TS DMARK'!AO$7,AGR!$R$46:$AC$46&amp;AGR!$R$49:$AC$49,0)),""))</f>
        <v/>
      </c>
      <c r="AP50" s="297" t="str" cm="1">
        <f t="array" aca="1" ref="AP50" ca="1">IF(AG50="*","",IFERROR(INDEX(AGR!$R$52:$AC$73,MATCH($C50,AGR!$B$52:$B$73,0),MATCH('TS DMARK'!$H50&amp;'TS DMARK'!AP$7,AGR!$R$46:$AC$46&amp;AGR!$R$49:$AC$49,0)),""))</f>
        <v/>
      </c>
      <c r="AQ50" s="238">
        <f>IF(AR49=AGR!$AD$74,AQ49+1,AQ49)</f>
        <v>2</v>
      </c>
      <c r="AR50" s="238">
        <f t="shared" si="8"/>
        <v>15</v>
      </c>
    </row>
    <row r="51" spans="1:44">
      <c r="A51" s="238" t="str">
        <f ca="1">IF(LEFT(OFFSET(AGR!$A$51,AR51,0),2)="\I","*","")</f>
        <v/>
      </c>
      <c r="B51" s="243" t="str">
        <f t="shared" ca="1" si="0"/>
        <v>FLO_MARK</v>
      </c>
      <c r="C51" s="243" t="str">
        <f ca="1">IF($A51="*","",OFFSET(AGR!$B$51,AR51,0))</f>
        <v>AIODS-E</v>
      </c>
      <c r="D51" s="298" t="str">
        <f t="shared" ca="1" si="3"/>
        <v>AI</v>
      </c>
      <c r="E51" s="298" t="str">
        <f t="shared" ca="1" si="5"/>
        <v>-</v>
      </c>
      <c r="F51" s="298" t="str">
        <f t="shared" ca="1" si="5"/>
        <v>-</v>
      </c>
      <c r="G51" s="298" t="str">
        <f t="shared" ca="1" si="6"/>
        <v>-</v>
      </c>
      <c r="H51" s="298" t="str">
        <f t="shared" ca="1" si="6"/>
        <v>LO</v>
      </c>
      <c r="I51" s="298">
        <f t="shared" ca="1" si="6"/>
        <v>3</v>
      </c>
      <c r="J51" s="297" cm="1">
        <f t="array" aca="1" ref="J51" ca="1">IF(A51="*","",IFERROR(INDEX(AGR!$R$52:$AC$73,MATCH($C51,AGR!$B$52:$B$73,0),MATCH('TS DMARK'!$H51&amp;'TS DMARK'!J$7,AGR!$R$46:$AC$46&amp;AGR!$R$49:$AC$49,0)),""))</f>
        <v>7.7688478413921722E-2</v>
      </c>
      <c r="K51" s="297" t="str" cm="1">
        <f t="array" aca="1" ref="K51" ca="1">IF(B51="*","",IFERROR(INDEX(AGR!$R$52:$AC$73,MATCH($C51,AGR!$B$52:$B$73,0),MATCH('TS DMARK'!$H51&amp;'TS DMARK'!K$7,AGR!$R$46:$AC$46&amp;AGR!$R$49:$AC$49,0)),""))</f>
        <v/>
      </c>
      <c r="L51" s="297" t="str" cm="1">
        <f t="array" aca="1" ref="L51" ca="1">IF(C51="*","",IFERROR(INDEX(AGR!$R$52:$AC$73,MATCH($C51,AGR!$B$52:$B$73,0),MATCH('TS DMARK'!$H51&amp;'TS DMARK'!L$7,AGR!$R$46:$AC$46&amp;AGR!$R$49:$AC$49,0)),""))</f>
        <v/>
      </c>
      <c r="M51" s="297" cm="1">
        <f t="array" aca="1" ref="M51" ca="1">IF(D51="*","",IFERROR(INDEX(AGR!$R$52:$AC$73,MATCH($C51,AGR!$B$52:$B$73,0),MATCH('TS DMARK'!$H51&amp;'TS DMARK'!M$7,AGR!$R$46:$AC$46&amp;AGR!$R$49:$AC$49,0)),""))</f>
        <v>0.12801975283770342</v>
      </c>
      <c r="N51" s="297" t="str" cm="1">
        <f t="array" aca="1" ref="N51" ca="1">IF(E51="*","",IFERROR(INDEX(AGR!$R$52:$AC$73,MATCH($C51,AGR!$B$52:$B$73,0),MATCH('TS DMARK'!$H51&amp;'TS DMARK'!N$7,AGR!$R$46:$AC$46&amp;AGR!$R$49:$AC$49,0)),""))</f>
        <v/>
      </c>
      <c r="O51" s="297" cm="1">
        <f t="array" aca="1" ref="O51" ca="1">IF(F51="*","",IFERROR(INDEX(AGR!$R$52:$AC$73,MATCH($C51,AGR!$B$52:$B$73,0),MATCH('TS DMARK'!$H51&amp;'TS DMARK'!O$7,AGR!$R$46:$AC$46&amp;AGR!$R$49:$AC$49,0)),""))</f>
        <v>0.17835102726148511</v>
      </c>
      <c r="P51" s="297" t="str" cm="1">
        <f t="array" aca="1" ref="P51" ca="1">IF(G51="*","",IFERROR(INDEX(AGR!$R$52:$AC$73,MATCH($C51,AGR!$B$52:$B$73,0),MATCH('TS DMARK'!$H51&amp;'TS DMARK'!P$7,AGR!$R$46:$AC$46&amp;AGR!$R$49:$AC$49,0)),""))</f>
        <v/>
      </c>
      <c r="Q51" s="297" t="str" cm="1">
        <f t="array" aca="1" ref="Q51" ca="1">IF(H51="*","",IFERROR(INDEX(AGR!$R$52:$AC$73,MATCH($C51,AGR!$B$52:$B$73,0),MATCH('TS DMARK'!$H51&amp;'TS DMARK'!Q$7,AGR!$R$46:$AC$46&amp;AGR!$R$49:$AC$49,0)),""))</f>
        <v/>
      </c>
      <c r="R51" s="297" t="str" cm="1">
        <f t="array" aca="1" ref="R51" ca="1">IF(I51="*","",IFERROR(INDEX(AGR!$R$52:$AC$73,MATCH($C51,AGR!$B$52:$B$73,0),MATCH('TS DMARK'!$H51&amp;'TS DMARK'!R$7,AGR!$R$46:$AC$46&amp;AGR!$R$49:$AC$49,0)),""))</f>
        <v/>
      </c>
      <c r="S51" s="297" t="str" cm="1">
        <f t="array" aca="1" ref="S51" ca="1">IF(J51="*","",IFERROR(INDEX(AGR!$R$52:$AC$73,MATCH($C51,AGR!$B$52:$B$73,0),MATCH('TS DMARK'!$H51&amp;'TS DMARK'!S$7,AGR!$R$46:$AC$46&amp;AGR!$R$49:$AC$49,0)),""))</f>
        <v/>
      </c>
      <c r="T51" s="297" t="str" cm="1">
        <f t="array" aca="1" ref="T51" ca="1">IF(K51="*","",IFERROR(INDEX(AGR!$R$52:$AC$73,MATCH($C51,AGR!$B$52:$B$73,0),MATCH('TS DMARK'!$H51&amp;'TS DMARK'!T$7,AGR!$R$46:$AC$46&amp;AGR!$R$49:$AC$49,0)),""))</f>
        <v/>
      </c>
      <c r="U51" s="297" t="str" cm="1">
        <f t="array" aca="1" ref="U51" ca="1">IF(L51="*","",IFERROR(INDEX(AGR!$R$52:$AC$73,MATCH($C51,AGR!$B$52:$B$73,0),MATCH('TS DMARK'!$H51&amp;'TS DMARK'!U$7,AGR!$R$46:$AC$46&amp;AGR!$R$49:$AC$49,0)),""))</f>
        <v/>
      </c>
      <c r="V51" s="297" t="str" cm="1">
        <f t="array" aca="1" ref="V51" ca="1">IF(M51="*","",IFERROR(INDEX(AGR!$R$52:$AC$73,MATCH($C51,AGR!$B$52:$B$73,0),MATCH('TS DMARK'!$H51&amp;'TS DMARK'!V$7,AGR!$R$46:$AC$46&amp;AGR!$R$49:$AC$49,0)),""))</f>
        <v/>
      </c>
      <c r="W51" s="297" t="str" cm="1">
        <f t="array" aca="1" ref="W51" ca="1">IF(N51="*","",IFERROR(INDEX(AGR!$R$52:$AC$73,MATCH($C51,AGR!$B$52:$B$73,0),MATCH('TS DMARK'!$H51&amp;'TS DMARK'!W$7,AGR!$R$46:$AC$46&amp;AGR!$R$49:$AC$49,0)),""))</f>
        <v/>
      </c>
      <c r="X51" s="297" t="str" cm="1">
        <f t="array" aca="1" ref="X51" ca="1">IF(O51="*","",IFERROR(INDEX(AGR!$R$52:$AC$73,MATCH($C51,AGR!$B$52:$B$73,0),MATCH('TS DMARK'!$H51&amp;'TS DMARK'!X$7,AGR!$R$46:$AC$46&amp;AGR!$R$49:$AC$49,0)),""))</f>
        <v/>
      </c>
      <c r="Y51" s="297" t="str" cm="1">
        <f t="array" aca="1" ref="Y51" ca="1">IF(P51="*","",IFERROR(INDEX(AGR!$R$52:$AC$73,MATCH($C51,AGR!$B$52:$B$73,0),MATCH('TS DMARK'!$H51&amp;'TS DMARK'!Y$7,AGR!$R$46:$AC$46&amp;AGR!$R$49:$AC$49,0)),""))</f>
        <v/>
      </c>
      <c r="Z51" s="297" t="str" cm="1">
        <f t="array" aca="1" ref="Z51" ca="1">IF(Q51="*","",IFERROR(INDEX(AGR!$R$52:$AC$73,MATCH($C51,AGR!$B$52:$B$73,0),MATCH('TS DMARK'!$H51&amp;'TS DMARK'!Z$7,AGR!$R$46:$AC$46&amp;AGR!$R$49:$AC$49,0)),""))</f>
        <v/>
      </c>
      <c r="AA51" s="297" t="str" cm="1">
        <f t="array" aca="1" ref="AA51" ca="1">IF(R51="*","",IFERROR(INDEX(AGR!$R$52:$AC$73,MATCH($C51,AGR!$B$52:$B$73,0),MATCH('TS DMARK'!$H51&amp;'TS DMARK'!AA$7,AGR!$R$46:$AC$46&amp;AGR!$R$49:$AC$49,0)),""))</f>
        <v/>
      </c>
      <c r="AB51" s="297" cm="1">
        <f t="array" aca="1" ref="AB51" ca="1">IF(S51="*","",IFERROR(INDEX(AGR!$R$52:$AC$73,MATCH($C51,AGR!$B$52:$B$73,0),MATCH('TS DMARK'!$H51&amp;'TS DMARK'!AB$7,AGR!$R$46:$AC$46&amp;AGR!$R$49:$AC$49,0)),""))</f>
        <v>1.942211960348043E-2</v>
      </c>
      <c r="AC51" s="297" t="str" cm="1">
        <f t="array" aca="1" ref="AC51" ca="1">IF(T51="*","",IFERROR(INDEX(AGR!$R$52:$AC$73,MATCH($C51,AGR!$B$52:$B$73,0),MATCH('TS DMARK'!$H51&amp;'TS DMARK'!AC$7,AGR!$R$46:$AC$46&amp;AGR!$R$49:$AC$49,0)),""))</f>
        <v/>
      </c>
      <c r="AD51" s="297" t="str" cm="1">
        <f t="array" aca="1" ref="AD51" ca="1">IF(U51="*","",IFERROR(INDEX(AGR!$R$52:$AC$73,MATCH($C51,AGR!$B$52:$B$73,0),MATCH('TS DMARK'!$H51&amp;'TS DMARK'!AD$7,AGR!$R$46:$AC$46&amp;AGR!$R$49:$AC$49,0)),""))</f>
        <v/>
      </c>
      <c r="AE51" s="297" t="str" cm="1">
        <f t="array" aca="1" ref="AE51" ca="1">IF(V51="*","",IFERROR(INDEX(AGR!$R$52:$AC$73,MATCH($C51,AGR!$B$52:$B$73,0),MATCH('TS DMARK'!$H51&amp;'TS DMARK'!AE$7,AGR!$R$46:$AC$46&amp;AGR!$R$49:$AC$49,0)),""))</f>
        <v/>
      </c>
      <c r="AF51" s="297" t="str" cm="1">
        <f t="array" aca="1" ref="AF51" ca="1">IF(W51="*","",IFERROR(INDEX(AGR!$R$52:$AC$73,MATCH($C51,AGR!$B$52:$B$73,0),MATCH('TS DMARK'!$H51&amp;'TS DMARK'!AF$7,AGR!$R$46:$AC$46&amp;AGR!$R$49:$AC$49,0)),""))</f>
        <v/>
      </c>
      <c r="AG51" s="297" t="str" cm="1">
        <f t="array" aca="1" ref="AG51" ca="1">IF(X51="*","",IFERROR(INDEX(AGR!$R$52:$AC$73,MATCH($C51,AGR!$B$52:$B$73,0),MATCH('TS DMARK'!$H51&amp;'TS DMARK'!AG$7,AGR!$R$46:$AC$46&amp;AGR!$R$49:$AC$49,0)),""))</f>
        <v/>
      </c>
      <c r="AH51" s="297" t="str" cm="1">
        <f t="array" aca="1" ref="AH51" ca="1">IF(Y51="*","",IFERROR(INDEX(AGR!$R$52:$AC$73,MATCH($C51,AGR!$B$52:$B$73,0),MATCH('TS DMARK'!$H51&amp;'TS DMARK'!AH$7,AGR!$R$46:$AC$46&amp;AGR!$R$49:$AC$49,0)),""))</f>
        <v/>
      </c>
      <c r="AI51" s="297" t="str" cm="1">
        <f t="array" aca="1" ref="AI51" ca="1">IF(Z51="*","",IFERROR(INDEX(AGR!$R$52:$AC$73,MATCH($C51,AGR!$B$52:$B$73,0),MATCH('TS DMARK'!$H51&amp;'TS DMARK'!AI$7,AGR!$R$46:$AC$46&amp;AGR!$R$49:$AC$49,0)),""))</f>
        <v/>
      </c>
      <c r="AJ51" s="297" t="str" cm="1">
        <f t="array" aca="1" ref="AJ51" ca="1">IF(AA51="*","",IFERROR(INDEX(AGR!$R$52:$AC$73,MATCH($C51,AGR!$B$52:$B$73,0),MATCH('TS DMARK'!$H51&amp;'TS DMARK'!AJ$7,AGR!$R$46:$AC$46&amp;AGR!$R$49:$AC$49,0)),""))</f>
        <v/>
      </c>
      <c r="AK51" s="297" t="str" cm="1">
        <f t="array" aca="1" ref="AK51" ca="1">IF(AB51="*","",IFERROR(INDEX(AGR!$R$52:$AC$73,MATCH($C51,AGR!$B$52:$B$73,0),MATCH('TS DMARK'!$H51&amp;'TS DMARK'!AK$7,AGR!$R$46:$AC$46&amp;AGR!$R$49:$AC$49,0)),""))</f>
        <v/>
      </c>
      <c r="AL51" s="297" t="str" cm="1">
        <f t="array" aca="1" ref="AL51" ca="1">IF(AC51="*","",IFERROR(INDEX(AGR!$R$52:$AC$73,MATCH($C51,AGR!$B$52:$B$73,0),MATCH('TS DMARK'!$H51&amp;'TS DMARK'!AL$7,AGR!$R$46:$AC$46&amp;AGR!$R$49:$AC$49,0)),""))</f>
        <v/>
      </c>
      <c r="AM51" s="297" t="str" cm="1">
        <f t="array" aca="1" ref="AM51" ca="1">IF(AD51="*","",IFERROR(INDEX(AGR!$R$52:$AC$73,MATCH($C51,AGR!$B$52:$B$73,0),MATCH('TS DMARK'!$H51&amp;'TS DMARK'!AM$7,AGR!$R$46:$AC$46&amp;AGR!$R$49:$AC$49,0)),""))</f>
        <v/>
      </c>
      <c r="AN51" s="297" cm="1">
        <f t="array" aca="1" ref="AN51" ca="1">IF(AE51="*","",IFERROR(INDEX(AGR!$R$52:$AC$73,MATCH($C51,AGR!$B$52:$B$73,0),MATCH('TS DMARK'!$H51&amp;'TS DMARK'!AN$7,AGR!$R$46:$AC$46&amp;AGR!$R$49:$AC$49,0)),""))</f>
        <v>0</v>
      </c>
      <c r="AO51" s="297" t="str" cm="1">
        <f t="array" aca="1" ref="AO51" ca="1">IF(AF51="*","",IFERROR(INDEX(AGR!$R$52:$AC$73,MATCH($C51,AGR!$B$52:$B$73,0),MATCH('TS DMARK'!$H51&amp;'TS DMARK'!AO$7,AGR!$R$46:$AC$46&amp;AGR!$R$49:$AC$49,0)),""))</f>
        <v/>
      </c>
      <c r="AP51" s="297" cm="1">
        <f t="array" aca="1" ref="AP51" ca="1">IF(AG51="*","",IFERROR(INDEX(AGR!$R$52:$AC$73,MATCH($C51,AGR!$B$52:$B$73,0),MATCH('TS DMARK'!$H51&amp;'TS DMARK'!AP$7,AGR!$R$46:$AC$46&amp;AGR!$R$49:$AC$49,0)),""))</f>
        <v>0</v>
      </c>
      <c r="AQ51" s="238">
        <f>IF(AR50=AGR!$AD$74,AQ50+1,AQ50)</f>
        <v>2</v>
      </c>
      <c r="AR51" s="238">
        <f t="shared" si="8"/>
        <v>16</v>
      </c>
    </row>
    <row r="52" spans="1:44">
      <c r="A52" s="238" t="str">
        <f ca="1">IF(LEFT(OFFSET(AGR!$A$51,AR52,0),2)="\I","*","")</f>
        <v/>
      </c>
      <c r="B52" s="243" t="str">
        <f t="shared" ca="1" si="0"/>
        <v>FLO_MARK</v>
      </c>
      <c r="C52" s="243" t="str">
        <f ca="1">IF($A52="*","",OFFSET(AGR!$B$51,AR52,0))</f>
        <v>AIELC-E</v>
      </c>
      <c r="D52" s="298" t="str">
        <f t="shared" ca="1" si="3"/>
        <v>AI</v>
      </c>
      <c r="E52" s="298" t="str">
        <f t="shared" ca="1" si="5"/>
        <v>-</v>
      </c>
      <c r="F52" s="298" t="str">
        <f t="shared" ca="1" si="5"/>
        <v>-</v>
      </c>
      <c r="G52" s="298" t="str">
        <f t="shared" ca="1" si="6"/>
        <v>-</v>
      </c>
      <c r="H52" s="298" t="str">
        <f t="shared" ca="1" si="6"/>
        <v>LO</v>
      </c>
      <c r="I52" s="298">
        <f t="shared" ca="1" si="6"/>
        <v>3</v>
      </c>
      <c r="J52" s="297" cm="1">
        <f t="array" aca="1" ref="J52" ca="1">IF(A52="*","",IFERROR(INDEX(AGR!$R$52:$AC$73,MATCH($C52,AGR!$B$52:$B$73,0),MATCH('TS DMARK'!$H52&amp;'TS DMARK'!J$7,AGR!$R$46:$AC$46&amp;AGR!$R$49:$AC$49,0)),""))</f>
        <v>0.92231152158607832</v>
      </c>
      <c r="K52" s="297" t="str" cm="1">
        <f t="array" aca="1" ref="K52" ca="1">IF(B52="*","",IFERROR(INDEX(AGR!$R$52:$AC$73,MATCH($C52,AGR!$B$52:$B$73,0),MATCH('TS DMARK'!$H52&amp;'TS DMARK'!K$7,AGR!$R$46:$AC$46&amp;AGR!$R$49:$AC$49,0)),""))</f>
        <v/>
      </c>
      <c r="L52" s="297" t="str" cm="1">
        <f t="array" aca="1" ref="L52" ca="1">IF(C52="*","",IFERROR(INDEX(AGR!$R$52:$AC$73,MATCH($C52,AGR!$B$52:$B$73,0),MATCH('TS DMARK'!$H52&amp;'TS DMARK'!L$7,AGR!$R$46:$AC$46&amp;AGR!$R$49:$AC$49,0)),""))</f>
        <v/>
      </c>
      <c r="M52" s="297" cm="1">
        <f t="array" aca="1" ref="M52" ca="1">IF(D52="*","",IFERROR(INDEX(AGR!$R$52:$AC$73,MATCH($C52,AGR!$B$52:$B$73,0),MATCH('TS DMARK'!$H52&amp;'TS DMARK'!M$7,AGR!$R$46:$AC$46&amp;AGR!$R$49:$AC$49,0)),""))</f>
        <v>0.87198024716229661</v>
      </c>
      <c r="N52" s="297" t="str" cm="1">
        <f t="array" aca="1" ref="N52" ca="1">IF(E52="*","",IFERROR(INDEX(AGR!$R$52:$AC$73,MATCH($C52,AGR!$B$52:$B$73,0),MATCH('TS DMARK'!$H52&amp;'TS DMARK'!N$7,AGR!$R$46:$AC$46&amp;AGR!$R$49:$AC$49,0)),""))</f>
        <v/>
      </c>
      <c r="O52" s="297" cm="1">
        <f t="array" aca="1" ref="O52" ca="1">IF(F52="*","",IFERROR(INDEX(AGR!$R$52:$AC$73,MATCH($C52,AGR!$B$52:$B$73,0),MATCH('TS DMARK'!$H52&amp;'TS DMARK'!O$7,AGR!$R$46:$AC$46&amp;AGR!$R$49:$AC$49,0)),""))</f>
        <v>0.82164897273851489</v>
      </c>
      <c r="P52" s="297" t="str" cm="1">
        <f t="array" aca="1" ref="P52" ca="1">IF(G52="*","",IFERROR(INDEX(AGR!$R$52:$AC$73,MATCH($C52,AGR!$B$52:$B$73,0),MATCH('TS DMARK'!$H52&amp;'TS DMARK'!P$7,AGR!$R$46:$AC$46&amp;AGR!$R$49:$AC$49,0)),""))</f>
        <v/>
      </c>
      <c r="Q52" s="297" t="str" cm="1">
        <f t="array" aca="1" ref="Q52" ca="1">IF(H52="*","",IFERROR(INDEX(AGR!$R$52:$AC$73,MATCH($C52,AGR!$B$52:$B$73,0),MATCH('TS DMARK'!$H52&amp;'TS DMARK'!Q$7,AGR!$R$46:$AC$46&amp;AGR!$R$49:$AC$49,0)),""))</f>
        <v/>
      </c>
      <c r="R52" s="297" t="str" cm="1">
        <f t="array" aca="1" ref="R52" ca="1">IF(I52="*","",IFERROR(INDEX(AGR!$R$52:$AC$73,MATCH($C52,AGR!$B$52:$B$73,0),MATCH('TS DMARK'!$H52&amp;'TS DMARK'!R$7,AGR!$R$46:$AC$46&amp;AGR!$R$49:$AC$49,0)),""))</f>
        <v/>
      </c>
      <c r="S52" s="297" t="str" cm="1">
        <f t="array" aca="1" ref="S52" ca="1">IF(J52="*","",IFERROR(INDEX(AGR!$R$52:$AC$73,MATCH($C52,AGR!$B$52:$B$73,0),MATCH('TS DMARK'!$H52&amp;'TS DMARK'!S$7,AGR!$R$46:$AC$46&amp;AGR!$R$49:$AC$49,0)),""))</f>
        <v/>
      </c>
      <c r="T52" s="297" t="str" cm="1">
        <f t="array" aca="1" ref="T52" ca="1">IF(K52="*","",IFERROR(INDEX(AGR!$R$52:$AC$73,MATCH($C52,AGR!$B$52:$B$73,0),MATCH('TS DMARK'!$H52&amp;'TS DMARK'!T$7,AGR!$R$46:$AC$46&amp;AGR!$R$49:$AC$49,0)),""))</f>
        <v/>
      </c>
      <c r="U52" s="297" t="str" cm="1">
        <f t="array" aca="1" ref="U52" ca="1">IF(L52="*","",IFERROR(INDEX(AGR!$R$52:$AC$73,MATCH($C52,AGR!$B$52:$B$73,0),MATCH('TS DMARK'!$H52&amp;'TS DMARK'!U$7,AGR!$R$46:$AC$46&amp;AGR!$R$49:$AC$49,0)),""))</f>
        <v/>
      </c>
      <c r="V52" s="297" t="str" cm="1">
        <f t="array" aca="1" ref="V52" ca="1">IF(M52="*","",IFERROR(INDEX(AGR!$R$52:$AC$73,MATCH($C52,AGR!$B$52:$B$73,0),MATCH('TS DMARK'!$H52&amp;'TS DMARK'!V$7,AGR!$R$46:$AC$46&amp;AGR!$R$49:$AC$49,0)),""))</f>
        <v/>
      </c>
      <c r="W52" s="297" t="str" cm="1">
        <f t="array" aca="1" ref="W52" ca="1">IF(N52="*","",IFERROR(INDEX(AGR!$R$52:$AC$73,MATCH($C52,AGR!$B$52:$B$73,0),MATCH('TS DMARK'!$H52&amp;'TS DMARK'!W$7,AGR!$R$46:$AC$46&amp;AGR!$R$49:$AC$49,0)),""))</f>
        <v/>
      </c>
      <c r="X52" s="297" t="str" cm="1">
        <f t="array" aca="1" ref="X52" ca="1">IF(O52="*","",IFERROR(INDEX(AGR!$R$52:$AC$73,MATCH($C52,AGR!$B$52:$B$73,0),MATCH('TS DMARK'!$H52&amp;'TS DMARK'!X$7,AGR!$R$46:$AC$46&amp;AGR!$R$49:$AC$49,0)),""))</f>
        <v/>
      </c>
      <c r="Y52" s="297" t="str" cm="1">
        <f t="array" aca="1" ref="Y52" ca="1">IF(P52="*","",IFERROR(INDEX(AGR!$R$52:$AC$73,MATCH($C52,AGR!$B$52:$B$73,0),MATCH('TS DMARK'!$H52&amp;'TS DMARK'!Y$7,AGR!$R$46:$AC$46&amp;AGR!$R$49:$AC$49,0)),""))</f>
        <v/>
      </c>
      <c r="Z52" s="297" t="str" cm="1">
        <f t="array" aca="1" ref="Z52" ca="1">IF(Q52="*","",IFERROR(INDEX(AGR!$R$52:$AC$73,MATCH($C52,AGR!$B$52:$B$73,0),MATCH('TS DMARK'!$H52&amp;'TS DMARK'!Z$7,AGR!$R$46:$AC$46&amp;AGR!$R$49:$AC$49,0)),""))</f>
        <v/>
      </c>
      <c r="AA52" s="297" t="str" cm="1">
        <f t="array" aca="1" ref="AA52" ca="1">IF(R52="*","",IFERROR(INDEX(AGR!$R$52:$AC$73,MATCH($C52,AGR!$B$52:$B$73,0),MATCH('TS DMARK'!$H52&amp;'TS DMARK'!AA$7,AGR!$R$46:$AC$46&amp;AGR!$R$49:$AC$49,0)),""))</f>
        <v/>
      </c>
      <c r="AB52" s="297" cm="1">
        <f t="array" aca="1" ref="AB52" ca="1">IF(S52="*","",IFERROR(INDEX(AGR!$R$52:$AC$73,MATCH($C52,AGR!$B$52:$B$73,0),MATCH('TS DMARK'!$H52&amp;'TS DMARK'!AB$7,AGR!$R$46:$AC$46&amp;AGR!$R$49:$AC$49,0)),""))</f>
        <v>0.23057788039651958</v>
      </c>
      <c r="AC52" s="297" t="str" cm="1">
        <f t="array" aca="1" ref="AC52" ca="1">IF(T52="*","",IFERROR(INDEX(AGR!$R$52:$AC$73,MATCH($C52,AGR!$B$52:$B$73,0),MATCH('TS DMARK'!$H52&amp;'TS DMARK'!AC$7,AGR!$R$46:$AC$46&amp;AGR!$R$49:$AC$49,0)),""))</f>
        <v/>
      </c>
      <c r="AD52" s="297" t="str" cm="1">
        <f t="array" aca="1" ref="AD52" ca="1">IF(U52="*","",IFERROR(INDEX(AGR!$R$52:$AC$73,MATCH($C52,AGR!$B$52:$B$73,0),MATCH('TS DMARK'!$H52&amp;'TS DMARK'!AD$7,AGR!$R$46:$AC$46&amp;AGR!$R$49:$AC$49,0)),""))</f>
        <v/>
      </c>
      <c r="AE52" s="297" t="str" cm="1">
        <f t="array" aca="1" ref="AE52" ca="1">IF(V52="*","",IFERROR(INDEX(AGR!$R$52:$AC$73,MATCH($C52,AGR!$B$52:$B$73,0),MATCH('TS DMARK'!$H52&amp;'TS DMARK'!AE$7,AGR!$R$46:$AC$46&amp;AGR!$R$49:$AC$49,0)),""))</f>
        <v/>
      </c>
      <c r="AF52" s="297" t="str" cm="1">
        <f t="array" aca="1" ref="AF52" ca="1">IF(W52="*","",IFERROR(INDEX(AGR!$R$52:$AC$73,MATCH($C52,AGR!$B$52:$B$73,0),MATCH('TS DMARK'!$H52&amp;'TS DMARK'!AF$7,AGR!$R$46:$AC$46&amp;AGR!$R$49:$AC$49,0)),""))</f>
        <v/>
      </c>
      <c r="AG52" s="297" t="str" cm="1">
        <f t="array" aca="1" ref="AG52" ca="1">IF(X52="*","",IFERROR(INDEX(AGR!$R$52:$AC$73,MATCH($C52,AGR!$B$52:$B$73,0),MATCH('TS DMARK'!$H52&amp;'TS DMARK'!AG$7,AGR!$R$46:$AC$46&amp;AGR!$R$49:$AC$49,0)),""))</f>
        <v/>
      </c>
      <c r="AH52" s="297" t="str" cm="1">
        <f t="array" aca="1" ref="AH52" ca="1">IF(Y52="*","",IFERROR(INDEX(AGR!$R$52:$AC$73,MATCH($C52,AGR!$B$52:$B$73,0),MATCH('TS DMARK'!$H52&amp;'TS DMARK'!AH$7,AGR!$R$46:$AC$46&amp;AGR!$R$49:$AC$49,0)),""))</f>
        <v/>
      </c>
      <c r="AI52" s="297" t="str" cm="1">
        <f t="array" aca="1" ref="AI52" ca="1">IF(Z52="*","",IFERROR(INDEX(AGR!$R$52:$AC$73,MATCH($C52,AGR!$B$52:$B$73,0),MATCH('TS DMARK'!$H52&amp;'TS DMARK'!AI$7,AGR!$R$46:$AC$46&amp;AGR!$R$49:$AC$49,0)),""))</f>
        <v/>
      </c>
      <c r="AJ52" s="297" t="str" cm="1">
        <f t="array" aca="1" ref="AJ52" ca="1">IF(AA52="*","",IFERROR(INDEX(AGR!$R$52:$AC$73,MATCH($C52,AGR!$B$52:$B$73,0),MATCH('TS DMARK'!$H52&amp;'TS DMARK'!AJ$7,AGR!$R$46:$AC$46&amp;AGR!$R$49:$AC$49,0)),""))</f>
        <v/>
      </c>
      <c r="AK52" s="297" t="str" cm="1">
        <f t="array" aca="1" ref="AK52" ca="1">IF(AB52="*","",IFERROR(INDEX(AGR!$R$52:$AC$73,MATCH($C52,AGR!$B$52:$B$73,0),MATCH('TS DMARK'!$H52&amp;'TS DMARK'!AK$7,AGR!$R$46:$AC$46&amp;AGR!$R$49:$AC$49,0)),""))</f>
        <v/>
      </c>
      <c r="AL52" s="297" t="str" cm="1">
        <f t="array" aca="1" ref="AL52" ca="1">IF(AC52="*","",IFERROR(INDEX(AGR!$R$52:$AC$73,MATCH($C52,AGR!$B$52:$B$73,0),MATCH('TS DMARK'!$H52&amp;'TS DMARK'!AL$7,AGR!$R$46:$AC$46&amp;AGR!$R$49:$AC$49,0)),""))</f>
        <v/>
      </c>
      <c r="AM52" s="297" t="str" cm="1">
        <f t="array" aca="1" ref="AM52" ca="1">IF(AD52="*","",IFERROR(INDEX(AGR!$R$52:$AC$73,MATCH($C52,AGR!$B$52:$B$73,0),MATCH('TS DMARK'!$H52&amp;'TS DMARK'!AM$7,AGR!$R$46:$AC$46&amp;AGR!$R$49:$AC$49,0)),""))</f>
        <v/>
      </c>
      <c r="AN52" s="297" cm="1">
        <f t="array" aca="1" ref="AN52" ca="1">IF(AE52="*","",IFERROR(INDEX(AGR!$R$52:$AC$73,MATCH($C52,AGR!$B$52:$B$73,0),MATCH('TS DMARK'!$H52&amp;'TS DMARK'!AN$7,AGR!$R$46:$AC$46&amp;AGR!$R$49:$AC$49,0)),""))</f>
        <v>0</v>
      </c>
      <c r="AO52" s="297" t="str" cm="1">
        <f t="array" aca="1" ref="AO52" ca="1">IF(AF52="*","",IFERROR(INDEX(AGR!$R$52:$AC$73,MATCH($C52,AGR!$B$52:$B$73,0),MATCH('TS DMARK'!$H52&amp;'TS DMARK'!AO$7,AGR!$R$46:$AC$46&amp;AGR!$R$49:$AC$49,0)),""))</f>
        <v/>
      </c>
      <c r="AP52" s="297" cm="1">
        <f t="array" aca="1" ref="AP52" ca="1">IF(AG52="*","",IFERROR(INDEX(AGR!$R$52:$AC$73,MATCH($C52,AGR!$B$52:$B$73,0),MATCH('TS DMARK'!$H52&amp;'TS DMARK'!AP$7,AGR!$R$46:$AC$46&amp;AGR!$R$49:$AC$49,0)),""))</f>
        <v>0</v>
      </c>
      <c r="AQ52" s="238">
        <f>IF(AR51=AGR!$AD$74,AQ51+1,AQ51)</f>
        <v>2</v>
      </c>
      <c r="AR52" s="238">
        <f>IF(AQ52=AQ51,AR51+1,1)</f>
        <v>17</v>
      </c>
    </row>
    <row r="53" spans="1:44">
      <c r="A53" s="238" t="str">
        <f ca="1">IF(LEFT(OFFSET(AGR!$A$51,AR53,0),2)="\I","*","")</f>
        <v/>
      </c>
      <c r="B53" s="243" t="str">
        <f t="shared" ca="1" si="0"/>
        <v>FLO_MARK</v>
      </c>
      <c r="C53" s="243" t="str">
        <f ca="1">IF($A53="*","",OFFSET(AGR!$B$51,AR53,0))</f>
        <v>AIOGS-E</v>
      </c>
      <c r="D53" s="298" t="str">
        <f t="shared" ca="1" si="3"/>
        <v>AI</v>
      </c>
      <c r="E53" s="298" t="str">
        <f t="shared" ca="1" si="5"/>
        <v>-</v>
      </c>
      <c r="F53" s="298" t="str">
        <f t="shared" ca="1" si="5"/>
        <v>-</v>
      </c>
      <c r="G53" s="298" t="str">
        <f t="shared" ca="1" si="6"/>
        <v>-</v>
      </c>
      <c r="H53" s="298" t="str">
        <f t="shared" ca="1" si="6"/>
        <v>LO</v>
      </c>
      <c r="I53" s="298">
        <f t="shared" ca="1" si="6"/>
        <v>3</v>
      </c>
      <c r="J53" s="297" cm="1">
        <f t="array" aca="1" ref="J53" ca="1">IF(A53="*","",IFERROR(INDEX(AGR!$R$52:$AC$73,MATCH($C53,AGR!$B$52:$B$73,0),MATCH('TS DMARK'!$H53&amp;'TS DMARK'!J$7,AGR!$R$46:$AC$46&amp;AGR!$R$49:$AC$49,0)),""))</f>
        <v>0</v>
      </c>
      <c r="K53" s="297" t="str" cm="1">
        <f t="array" aca="1" ref="K53" ca="1">IF(B53="*","",IFERROR(INDEX(AGR!$R$52:$AC$73,MATCH($C53,AGR!$B$52:$B$73,0),MATCH('TS DMARK'!$H53&amp;'TS DMARK'!K$7,AGR!$R$46:$AC$46&amp;AGR!$R$49:$AC$49,0)),""))</f>
        <v/>
      </c>
      <c r="L53" s="297" t="str" cm="1">
        <f t="array" aca="1" ref="L53" ca="1">IF(C53="*","",IFERROR(INDEX(AGR!$R$52:$AC$73,MATCH($C53,AGR!$B$52:$B$73,0),MATCH('TS DMARK'!$H53&amp;'TS DMARK'!L$7,AGR!$R$46:$AC$46&amp;AGR!$R$49:$AC$49,0)),""))</f>
        <v/>
      </c>
      <c r="M53" s="297" cm="1">
        <f t="array" aca="1" ref="M53" ca="1">IF(D53="*","",IFERROR(INDEX(AGR!$R$52:$AC$73,MATCH($C53,AGR!$B$52:$B$73,0),MATCH('TS DMARK'!$H53&amp;'TS DMARK'!M$7,AGR!$R$46:$AC$46&amp;AGR!$R$49:$AC$49,0)),""))</f>
        <v>0</v>
      </c>
      <c r="N53" s="297" t="str" cm="1">
        <f t="array" aca="1" ref="N53" ca="1">IF(E53="*","",IFERROR(INDEX(AGR!$R$52:$AC$73,MATCH($C53,AGR!$B$52:$B$73,0),MATCH('TS DMARK'!$H53&amp;'TS DMARK'!N$7,AGR!$R$46:$AC$46&amp;AGR!$R$49:$AC$49,0)),""))</f>
        <v/>
      </c>
      <c r="O53" s="297" cm="1">
        <f t="array" aca="1" ref="O53" ca="1">IF(F53="*","",IFERROR(INDEX(AGR!$R$52:$AC$73,MATCH($C53,AGR!$B$52:$B$73,0),MATCH('TS DMARK'!$H53&amp;'TS DMARK'!O$7,AGR!$R$46:$AC$46&amp;AGR!$R$49:$AC$49,0)),""))</f>
        <v>0</v>
      </c>
      <c r="P53" s="297" t="str" cm="1">
        <f t="array" aca="1" ref="P53" ca="1">IF(G53="*","",IFERROR(INDEX(AGR!$R$52:$AC$73,MATCH($C53,AGR!$B$52:$B$73,0),MATCH('TS DMARK'!$H53&amp;'TS DMARK'!P$7,AGR!$R$46:$AC$46&amp;AGR!$R$49:$AC$49,0)),""))</f>
        <v/>
      </c>
      <c r="Q53" s="297" t="str" cm="1">
        <f t="array" aca="1" ref="Q53" ca="1">IF(H53="*","",IFERROR(INDEX(AGR!$R$52:$AC$73,MATCH($C53,AGR!$B$52:$B$73,0),MATCH('TS DMARK'!$H53&amp;'TS DMARK'!Q$7,AGR!$R$46:$AC$46&amp;AGR!$R$49:$AC$49,0)),""))</f>
        <v/>
      </c>
      <c r="R53" s="297" t="str" cm="1">
        <f t="array" aca="1" ref="R53" ca="1">IF(I53="*","",IFERROR(INDEX(AGR!$R$52:$AC$73,MATCH($C53,AGR!$B$52:$B$73,0),MATCH('TS DMARK'!$H53&amp;'TS DMARK'!R$7,AGR!$R$46:$AC$46&amp;AGR!$R$49:$AC$49,0)),""))</f>
        <v/>
      </c>
      <c r="S53" s="297" t="str" cm="1">
        <f t="array" aca="1" ref="S53" ca="1">IF(J53="*","",IFERROR(INDEX(AGR!$R$52:$AC$73,MATCH($C53,AGR!$B$52:$B$73,0),MATCH('TS DMARK'!$H53&amp;'TS DMARK'!S$7,AGR!$R$46:$AC$46&amp;AGR!$R$49:$AC$49,0)),""))</f>
        <v/>
      </c>
      <c r="T53" s="297" t="str" cm="1">
        <f t="array" aca="1" ref="T53" ca="1">IF(K53="*","",IFERROR(INDEX(AGR!$R$52:$AC$73,MATCH($C53,AGR!$B$52:$B$73,0),MATCH('TS DMARK'!$H53&amp;'TS DMARK'!T$7,AGR!$R$46:$AC$46&amp;AGR!$R$49:$AC$49,0)),""))</f>
        <v/>
      </c>
      <c r="U53" s="297" t="str" cm="1">
        <f t="array" aca="1" ref="U53" ca="1">IF(L53="*","",IFERROR(INDEX(AGR!$R$52:$AC$73,MATCH($C53,AGR!$B$52:$B$73,0),MATCH('TS DMARK'!$H53&amp;'TS DMARK'!U$7,AGR!$R$46:$AC$46&amp;AGR!$R$49:$AC$49,0)),""))</f>
        <v/>
      </c>
      <c r="V53" s="297" t="str" cm="1">
        <f t="array" aca="1" ref="V53" ca="1">IF(M53="*","",IFERROR(INDEX(AGR!$R$52:$AC$73,MATCH($C53,AGR!$B$52:$B$73,0),MATCH('TS DMARK'!$H53&amp;'TS DMARK'!V$7,AGR!$R$46:$AC$46&amp;AGR!$R$49:$AC$49,0)),""))</f>
        <v/>
      </c>
      <c r="W53" s="297" t="str" cm="1">
        <f t="array" aca="1" ref="W53" ca="1">IF(N53="*","",IFERROR(INDEX(AGR!$R$52:$AC$73,MATCH($C53,AGR!$B$52:$B$73,0),MATCH('TS DMARK'!$H53&amp;'TS DMARK'!W$7,AGR!$R$46:$AC$46&amp;AGR!$R$49:$AC$49,0)),""))</f>
        <v/>
      </c>
      <c r="X53" s="297" t="str" cm="1">
        <f t="array" aca="1" ref="X53" ca="1">IF(O53="*","",IFERROR(INDEX(AGR!$R$52:$AC$73,MATCH($C53,AGR!$B$52:$B$73,0),MATCH('TS DMARK'!$H53&amp;'TS DMARK'!X$7,AGR!$R$46:$AC$46&amp;AGR!$R$49:$AC$49,0)),""))</f>
        <v/>
      </c>
      <c r="Y53" s="297" t="str" cm="1">
        <f t="array" aca="1" ref="Y53" ca="1">IF(P53="*","",IFERROR(INDEX(AGR!$R$52:$AC$73,MATCH($C53,AGR!$B$52:$B$73,0),MATCH('TS DMARK'!$H53&amp;'TS DMARK'!Y$7,AGR!$R$46:$AC$46&amp;AGR!$R$49:$AC$49,0)),""))</f>
        <v/>
      </c>
      <c r="Z53" s="297" t="str" cm="1">
        <f t="array" aca="1" ref="Z53" ca="1">IF(Q53="*","",IFERROR(INDEX(AGR!$R$52:$AC$73,MATCH($C53,AGR!$B$52:$B$73,0),MATCH('TS DMARK'!$H53&amp;'TS DMARK'!Z$7,AGR!$R$46:$AC$46&amp;AGR!$R$49:$AC$49,0)),""))</f>
        <v/>
      </c>
      <c r="AA53" s="297" t="str" cm="1">
        <f t="array" aca="1" ref="AA53" ca="1">IF(R53="*","",IFERROR(INDEX(AGR!$R$52:$AC$73,MATCH($C53,AGR!$B$52:$B$73,0),MATCH('TS DMARK'!$H53&amp;'TS DMARK'!AA$7,AGR!$R$46:$AC$46&amp;AGR!$R$49:$AC$49,0)),""))</f>
        <v/>
      </c>
      <c r="AB53" s="297" cm="1">
        <f t="array" aca="1" ref="AB53" ca="1">IF(S53="*","",IFERROR(INDEX(AGR!$R$52:$AC$73,MATCH($C53,AGR!$B$52:$B$73,0),MATCH('TS DMARK'!$H53&amp;'TS DMARK'!AB$7,AGR!$R$46:$AC$46&amp;AGR!$R$49:$AC$49,0)),""))</f>
        <v>0</v>
      </c>
      <c r="AC53" s="297" t="str" cm="1">
        <f t="array" aca="1" ref="AC53" ca="1">IF(T53="*","",IFERROR(INDEX(AGR!$R$52:$AC$73,MATCH($C53,AGR!$B$52:$B$73,0),MATCH('TS DMARK'!$H53&amp;'TS DMARK'!AC$7,AGR!$R$46:$AC$46&amp;AGR!$R$49:$AC$49,0)),""))</f>
        <v/>
      </c>
      <c r="AD53" s="297" t="str" cm="1">
        <f t="array" aca="1" ref="AD53" ca="1">IF(U53="*","",IFERROR(INDEX(AGR!$R$52:$AC$73,MATCH($C53,AGR!$B$52:$B$73,0),MATCH('TS DMARK'!$H53&amp;'TS DMARK'!AD$7,AGR!$R$46:$AC$46&amp;AGR!$R$49:$AC$49,0)),""))</f>
        <v/>
      </c>
      <c r="AE53" s="297" t="str" cm="1">
        <f t="array" aca="1" ref="AE53" ca="1">IF(V53="*","",IFERROR(INDEX(AGR!$R$52:$AC$73,MATCH($C53,AGR!$B$52:$B$73,0),MATCH('TS DMARK'!$H53&amp;'TS DMARK'!AE$7,AGR!$R$46:$AC$46&amp;AGR!$R$49:$AC$49,0)),""))</f>
        <v/>
      </c>
      <c r="AF53" s="297" t="str" cm="1">
        <f t="array" aca="1" ref="AF53" ca="1">IF(W53="*","",IFERROR(INDEX(AGR!$R$52:$AC$73,MATCH($C53,AGR!$B$52:$B$73,0),MATCH('TS DMARK'!$H53&amp;'TS DMARK'!AF$7,AGR!$R$46:$AC$46&amp;AGR!$R$49:$AC$49,0)),""))</f>
        <v/>
      </c>
      <c r="AG53" s="297" t="str" cm="1">
        <f t="array" aca="1" ref="AG53" ca="1">IF(X53="*","",IFERROR(INDEX(AGR!$R$52:$AC$73,MATCH($C53,AGR!$B$52:$B$73,0),MATCH('TS DMARK'!$H53&amp;'TS DMARK'!AG$7,AGR!$R$46:$AC$46&amp;AGR!$R$49:$AC$49,0)),""))</f>
        <v/>
      </c>
      <c r="AH53" s="297" t="str" cm="1">
        <f t="array" aca="1" ref="AH53" ca="1">IF(Y53="*","",IFERROR(INDEX(AGR!$R$52:$AC$73,MATCH($C53,AGR!$B$52:$B$73,0),MATCH('TS DMARK'!$H53&amp;'TS DMARK'!AH$7,AGR!$R$46:$AC$46&amp;AGR!$R$49:$AC$49,0)),""))</f>
        <v/>
      </c>
      <c r="AI53" s="297" t="str" cm="1">
        <f t="array" aca="1" ref="AI53" ca="1">IF(Z53="*","",IFERROR(INDEX(AGR!$R$52:$AC$73,MATCH($C53,AGR!$B$52:$B$73,0),MATCH('TS DMARK'!$H53&amp;'TS DMARK'!AI$7,AGR!$R$46:$AC$46&amp;AGR!$R$49:$AC$49,0)),""))</f>
        <v/>
      </c>
      <c r="AJ53" s="297" t="str" cm="1">
        <f t="array" aca="1" ref="AJ53" ca="1">IF(AA53="*","",IFERROR(INDEX(AGR!$R$52:$AC$73,MATCH($C53,AGR!$B$52:$B$73,0),MATCH('TS DMARK'!$H53&amp;'TS DMARK'!AJ$7,AGR!$R$46:$AC$46&amp;AGR!$R$49:$AC$49,0)),""))</f>
        <v/>
      </c>
      <c r="AK53" s="297" t="str" cm="1">
        <f t="array" aca="1" ref="AK53" ca="1">IF(AB53="*","",IFERROR(INDEX(AGR!$R$52:$AC$73,MATCH($C53,AGR!$B$52:$B$73,0),MATCH('TS DMARK'!$H53&amp;'TS DMARK'!AK$7,AGR!$R$46:$AC$46&amp;AGR!$R$49:$AC$49,0)),""))</f>
        <v/>
      </c>
      <c r="AL53" s="297" t="str" cm="1">
        <f t="array" aca="1" ref="AL53" ca="1">IF(AC53="*","",IFERROR(INDEX(AGR!$R$52:$AC$73,MATCH($C53,AGR!$B$52:$B$73,0),MATCH('TS DMARK'!$H53&amp;'TS DMARK'!AL$7,AGR!$R$46:$AC$46&amp;AGR!$R$49:$AC$49,0)),""))</f>
        <v/>
      </c>
      <c r="AM53" s="297" t="str" cm="1">
        <f t="array" aca="1" ref="AM53" ca="1">IF(AD53="*","",IFERROR(INDEX(AGR!$R$52:$AC$73,MATCH($C53,AGR!$B$52:$B$73,0),MATCH('TS DMARK'!$H53&amp;'TS DMARK'!AM$7,AGR!$R$46:$AC$46&amp;AGR!$R$49:$AC$49,0)),""))</f>
        <v/>
      </c>
      <c r="AN53" s="297" cm="1">
        <f t="array" aca="1" ref="AN53" ca="1">IF(AE53="*","",IFERROR(INDEX(AGR!$R$52:$AC$73,MATCH($C53,AGR!$B$52:$B$73,0),MATCH('TS DMARK'!$H53&amp;'TS DMARK'!AN$7,AGR!$R$46:$AC$46&amp;AGR!$R$49:$AC$49,0)),""))</f>
        <v>0</v>
      </c>
      <c r="AO53" s="297" t="str" cm="1">
        <f t="array" aca="1" ref="AO53" ca="1">IF(AF53="*","",IFERROR(INDEX(AGR!$R$52:$AC$73,MATCH($C53,AGR!$B$52:$B$73,0),MATCH('TS DMARK'!$H53&amp;'TS DMARK'!AO$7,AGR!$R$46:$AC$46&amp;AGR!$R$49:$AC$49,0)),""))</f>
        <v/>
      </c>
      <c r="AP53" s="297" cm="1">
        <f t="array" aca="1" ref="AP53" ca="1">IF(AG53="*","",IFERROR(INDEX(AGR!$R$52:$AC$73,MATCH($C53,AGR!$B$52:$B$73,0),MATCH('TS DMARK'!$H53&amp;'TS DMARK'!AP$7,AGR!$R$46:$AC$46&amp;AGR!$R$49:$AC$49,0)),""))</f>
        <v>0</v>
      </c>
      <c r="AQ53" s="238">
        <f>IF(AR52=AGR!$AD$74,AQ52+1,AQ52)</f>
        <v>2</v>
      </c>
      <c r="AR53" s="238">
        <f>IF(AQ53=AQ52,AR52+1,1)</f>
        <v>18</v>
      </c>
    </row>
    <row r="54" spans="1:44">
      <c r="A54" s="238" t="str">
        <f ca="1">IF(LEFT(OFFSET(AGR!$A$51,AR54,0),2)="\I","*","")</f>
        <v>*</v>
      </c>
      <c r="B54" s="243" t="str">
        <f t="shared" ca="1" si="0"/>
        <v/>
      </c>
      <c r="C54" s="243" t="str">
        <f ca="1">IF($A54="*","",OFFSET(AGR!$B$51,AR54,0))</f>
        <v/>
      </c>
      <c r="D54" s="298" t="str">
        <f t="shared" ca="1" si="3"/>
        <v/>
      </c>
      <c r="E54" s="298" t="str">
        <f t="shared" ca="1" si="5"/>
        <v/>
      </c>
      <c r="F54" s="298" t="str">
        <f t="shared" ca="1" si="5"/>
        <v/>
      </c>
      <c r="G54" s="298" t="str">
        <f t="shared" ca="1" si="6"/>
        <v/>
      </c>
      <c r="H54" s="298" t="str">
        <f t="shared" ca="1" si="6"/>
        <v/>
      </c>
      <c r="I54" s="298" t="str">
        <f t="shared" ca="1" si="6"/>
        <v/>
      </c>
      <c r="J54" s="297" t="str" cm="1">
        <f t="array" aca="1" ref="J54" ca="1">IF(A54="*","",IFERROR(INDEX(AGR!$R$52:$AC$73,MATCH($C54,AGR!$B$52:$B$73,0),MATCH('TS DMARK'!$H54&amp;'TS DMARK'!J$7,AGR!$R$46:$AC$46&amp;AGR!$R$49:$AC$49,0)),""))</f>
        <v/>
      </c>
      <c r="K54" s="297" t="str" cm="1">
        <f t="array" aca="1" ref="K54" ca="1">IF(B54="*","",IFERROR(INDEX(AGR!$R$52:$AC$73,MATCH($C54,AGR!$B$52:$B$73,0),MATCH('TS DMARK'!$H54&amp;'TS DMARK'!K$7,AGR!$R$46:$AC$46&amp;AGR!$R$49:$AC$49,0)),""))</f>
        <v/>
      </c>
      <c r="L54" s="297" t="str" cm="1">
        <f t="array" aca="1" ref="L54" ca="1">IF(C54="*","",IFERROR(INDEX(AGR!$R$52:$AC$73,MATCH($C54,AGR!$B$52:$B$73,0),MATCH('TS DMARK'!$H54&amp;'TS DMARK'!L$7,AGR!$R$46:$AC$46&amp;AGR!$R$49:$AC$49,0)),""))</f>
        <v/>
      </c>
      <c r="M54" s="297" t="str" cm="1">
        <f t="array" aca="1" ref="M54" ca="1">IF(D54="*","",IFERROR(INDEX(AGR!$R$52:$AC$73,MATCH($C54,AGR!$B$52:$B$73,0),MATCH('TS DMARK'!$H54&amp;'TS DMARK'!M$7,AGR!$R$46:$AC$46&amp;AGR!$R$49:$AC$49,0)),""))</f>
        <v/>
      </c>
      <c r="N54" s="297" t="str" cm="1">
        <f t="array" aca="1" ref="N54" ca="1">IF(E54="*","",IFERROR(INDEX(AGR!$R$52:$AC$73,MATCH($C54,AGR!$B$52:$B$73,0),MATCH('TS DMARK'!$H54&amp;'TS DMARK'!N$7,AGR!$R$46:$AC$46&amp;AGR!$R$49:$AC$49,0)),""))</f>
        <v/>
      </c>
      <c r="O54" s="297" t="str" cm="1">
        <f t="array" aca="1" ref="O54" ca="1">IF(F54="*","",IFERROR(INDEX(AGR!$R$52:$AC$73,MATCH($C54,AGR!$B$52:$B$73,0),MATCH('TS DMARK'!$H54&amp;'TS DMARK'!O$7,AGR!$R$46:$AC$46&amp;AGR!$R$49:$AC$49,0)),""))</f>
        <v/>
      </c>
      <c r="P54" s="297" t="str" cm="1">
        <f t="array" aca="1" ref="P54" ca="1">IF(G54="*","",IFERROR(INDEX(AGR!$R$52:$AC$73,MATCH($C54,AGR!$B$52:$B$73,0),MATCH('TS DMARK'!$H54&amp;'TS DMARK'!P$7,AGR!$R$46:$AC$46&amp;AGR!$R$49:$AC$49,0)),""))</f>
        <v/>
      </c>
      <c r="Q54" s="297" t="str" cm="1">
        <f t="array" aca="1" ref="Q54" ca="1">IF(H54="*","",IFERROR(INDEX(AGR!$R$52:$AC$73,MATCH($C54,AGR!$B$52:$B$73,0),MATCH('TS DMARK'!$H54&amp;'TS DMARK'!Q$7,AGR!$R$46:$AC$46&amp;AGR!$R$49:$AC$49,0)),""))</f>
        <v/>
      </c>
      <c r="R54" s="297" t="str" cm="1">
        <f t="array" aca="1" ref="R54" ca="1">IF(I54="*","",IFERROR(INDEX(AGR!$R$52:$AC$73,MATCH($C54,AGR!$B$52:$B$73,0),MATCH('TS DMARK'!$H54&amp;'TS DMARK'!R$7,AGR!$R$46:$AC$46&amp;AGR!$R$49:$AC$49,0)),""))</f>
        <v/>
      </c>
      <c r="S54" s="297" t="str" cm="1">
        <f t="array" aca="1" ref="S54" ca="1">IF(J54="*","",IFERROR(INDEX(AGR!$R$52:$AC$73,MATCH($C54,AGR!$B$52:$B$73,0),MATCH('TS DMARK'!$H54&amp;'TS DMARK'!S$7,AGR!$R$46:$AC$46&amp;AGR!$R$49:$AC$49,0)),""))</f>
        <v/>
      </c>
      <c r="T54" s="297" t="str" cm="1">
        <f t="array" aca="1" ref="T54" ca="1">IF(K54="*","",IFERROR(INDEX(AGR!$R$52:$AC$73,MATCH($C54,AGR!$B$52:$B$73,0),MATCH('TS DMARK'!$H54&amp;'TS DMARK'!T$7,AGR!$R$46:$AC$46&amp;AGR!$R$49:$AC$49,0)),""))</f>
        <v/>
      </c>
      <c r="U54" s="297" t="str" cm="1">
        <f t="array" aca="1" ref="U54" ca="1">IF(L54="*","",IFERROR(INDEX(AGR!$R$52:$AC$73,MATCH($C54,AGR!$B$52:$B$73,0),MATCH('TS DMARK'!$H54&amp;'TS DMARK'!U$7,AGR!$R$46:$AC$46&amp;AGR!$R$49:$AC$49,0)),""))</f>
        <v/>
      </c>
      <c r="V54" s="297" t="str" cm="1">
        <f t="array" aca="1" ref="V54" ca="1">IF(M54="*","",IFERROR(INDEX(AGR!$R$52:$AC$73,MATCH($C54,AGR!$B$52:$B$73,0),MATCH('TS DMARK'!$H54&amp;'TS DMARK'!V$7,AGR!$R$46:$AC$46&amp;AGR!$R$49:$AC$49,0)),""))</f>
        <v/>
      </c>
      <c r="W54" s="297" t="str" cm="1">
        <f t="array" aca="1" ref="W54" ca="1">IF(N54="*","",IFERROR(INDEX(AGR!$R$52:$AC$73,MATCH($C54,AGR!$B$52:$B$73,0),MATCH('TS DMARK'!$H54&amp;'TS DMARK'!W$7,AGR!$R$46:$AC$46&amp;AGR!$R$49:$AC$49,0)),""))</f>
        <v/>
      </c>
      <c r="X54" s="297" t="str" cm="1">
        <f t="array" aca="1" ref="X54" ca="1">IF(O54="*","",IFERROR(INDEX(AGR!$R$52:$AC$73,MATCH($C54,AGR!$B$52:$B$73,0),MATCH('TS DMARK'!$H54&amp;'TS DMARK'!X$7,AGR!$R$46:$AC$46&amp;AGR!$R$49:$AC$49,0)),""))</f>
        <v/>
      </c>
      <c r="Y54" s="297" t="str" cm="1">
        <f t="array" aca="1" ref="Y54" ca="1">IF(P54="*","",IFERROR(INDEX(AGR!$R$52:$AC$73,MATCH($C54,AGR!$B$52:$B$73,0),MATCH('TS DMARK'!$H54&amp;'TS DMARK'!Y$7,AGR!$R$46:$AC$46&amp;AGR!$R$49:$AC$49,0)),""))</f>
        <v/>
      </c>
      <c r="Z54" s="297" t="str" cm="1">
        <f t="array" aca="1" ref="Z54" ca="1">IF(Q54="*","",IFERROR(INDEX(AGR!$R$52:$AC$73,MATCH($C54,AGR!$B$52:$B$73,0),MATCH('TS DMARK'!$H54&amp;'TS DMARK'!Z$7,AGR!$R$46:$AC$46&amp;AGR!$R$49:$AC$49,0)),""))</f>
        <v/>
      </c>
      <c r="AA54" s="297" t="str" cm="1">
        <f t="array" aca="1" ref="AA54" ca="1">IF(R54="*","",IFERROR(INDEX(AGR!$R$52:$AC$73,MATCH($C54,AGR!$B$52:$B$73,0),MATCH('TS DMARK'!$H54&amp;'TS DMARK'!AA$7,AGR!$R$46:$AC$46&amp;AGR!$R$49:$AC$49,0)),""))</f>
        <v/>
      </c>
      <c r="AB54" s="297" t="str" cm="1">
        <f t="array" aca="1" ref="AB54" ca="1">IF(S54="*","",IFERROR(INDEX(AGR!$R$52:$AC$73,MATCH($C54,AGR!$B$52:$B$73,0),MATCH('TS DMARK'!$H54&amp;'TS DMARK'!AB$7,AGR!$R$46:$AC$46&amp;AGR!$R$49:$AC$49,0)),""))</f>
        <v/>
      </c>
      <c r="AC54" s="297" t="str" cm="1">
        <f t="array" aca="1" ref="AC54" ca="1">IF(T54="*","",IFERROR(INDEX(AGR!$R$52:$AC$73,MATCH($C54,AGR!$B$52:$B$73,0),MATCH('TS DMARK'!$H54&amp;'TS DMARK'!AC$7,AGR!$R$46:$AC$46&amp;AGR!$R$49:$AC$49,0)),""))</f>
        <v/>
      </c>
      <c r="AD54" s="297" t="str" cm="1">
        <f t="array" aca="1" ref="AD54" ca="1">IF(U54="*","",IFERROR(INDEX(AGR!$R$52:$AC$73,MATCH($C54,AGR!$B$52:$B$73,0),MATCH('TS DMARK'!$H54&amp;'TS DMARK'!AD$7,AGR!$R$46:$AC$46&amp;AGR!$R$49:$AC$49,0)),""))</f>
        <v/>
      </c>
      <c r="AE54" s="297" t="str" cm="1">
        <f t="array" aca="1" ref="AE54" ca="1">IF(V54="*","",IFERROR(INDEX(AGR!$R$52:$AC$73,MATCH($C54,AGR!$B$52:$B$73,0),MATCH('TS DMARK'!$H54&amp;'TS DMARK'!AE$7,AGR!$R$46:$AC$46&amp;AGR!$R$49:$AC$49,0)),""))</f>
        <v/>
      </c>
      <c r="AF54" s="297" t="str" cm="1">
        <f t="array" aca="1" ref="AF54" ca="1">IF(W54="*","",IFERROR(INDEX(AGR!$R$52:$AC$73,MATCH($C54,AGR!$B$52:$B$73,0),MATCH('TS DMARK'!$H54&amp;'TS DMARK'!AF$7,AGR!$R$46:$AC$46&amp;AGR!$R$49:$AC$49,0)),""))</f>
        <v/>
      </c>
      <c r="AG54" s="297" t="str" cm="1">
        <f t="array" aca="1" ref="AG54" ca="1">IF(X54="*","",IFERROR(INDEX(AGR!$R$52:$AC$73,MATCH($C54,AGR!$B$52:$B$73,0),MATCH('TS DMARK'!$H54&amp;'TS DMARK'!AG$7,AGR!$R$46:$AC$46&amp;AGR!$R$49:$AC$49,0)),""))</f>
        <v/>
      </c>
      <c r="AH54" s="297" t="str" cm="1">
        <f t="array" aca="1" ref="AH54" ca="1">IF(Y54="*","",IFERROR(INDEX(AGR!$R$52:$AC$73,MATCH($C54,AGR!$B$52:$B$73,0),MATCH('TS DMARK'!$H54&amp;'TS DMARK'!AH$7,AGR!$R$46:$AC$46&amp;AGR!$R$49:$AC$49,0)),""))</f>
        <v/>
      </c>
      <c r="AI54" s="297" t="str" cm="1">
        <f t="array" aca="1" ref="AI54" ca="1">IF(Z54="*","",IFERROR(INDEX(AGR!$R$52:$AC$73,MATCH($C54,AGR!$B$52:$B$73,0),MATCH('TS DMARK'!$H54&amp;'TS DMARK'!AI$7,AGR!$R$46:$AC$46&amp;AGR!$R$49:$AC$49,0)),""))</f>
        <v/>
      </c>
      <c r="AJ54" s="297" t="str" cm="1">
        <f t="array" aca="1" ref="AJ54" ca="1">IF(AA54="*","",IFERROR(INDEX(AGR!$R$52:$AC$73,MATCH($C54,AGR!$B$52:$B$73,0),MATCH('TS DMARK'!$H54&amp;'TS DMARK'!AJ$7,AGR!$R$46:$AC$46&amp;AGR!$R$49:$AC$49,0)),""))</f>
        <v/>
      </c>
      <c r="AK54" s="297" t="str" cm="1">
        <f t="array" aca="1" ref="AK54" ca="1">IF(AB54="*","",IFERROR(INDEX(AGR!$R$52:$AC$73,MATCH($C54,AGR!$B$52:$B$73,0),MATCH('TS DMARK'!$H54&amp;'TS DMARK'!AK$7,AGR!$R$46:$AC$46&amp;AGR!$R$49:$AC$49,0)),""))</f>
        <v/>
      </c>
      <c r="AL54" s="297" t="str" cm="1">
        <f t="array" aca="1" ref="AL54" ca="1">IF(AC54="*","",IFERROR(INDEX(AGR!$R$52:$AC$73,MATCH($C54,AGR!$B$52:$B$73,0),MATCH('TS DMARK'!$H54&amp;'TS DMARK'!AL$7,AGR!$R$46:$AC$46&amp;AGR!$R$49:$AC$49,0)),""))</f>
        <v/>
      </c>
      <c r="AM54" s="297" t="str" cm="1">
        <f t="array" aca="1" ref="AM54" ca="1">IF(AD54="*","",IFERROR(INDEX(AGR!$R$52:$AC$73,MATCH($C54,AGR!$B$52:$B$73,0),MATCH('TS DMARK'!$H54&amp;'TS DMARK'!AM$7,AGR!$R$46:$AC$46&amp;AGR!$R$49:$AC$49,0)),""))</f>
        <v/>
      </c>
      <c r="AN54" s="297" t="str" cm="1">
        <f t="array" aca="1" ref="AN54" ca="1">IF(AE54="*","",IFERROR(INDEX(AGR!$R$52:$AC$73,MATCH($C54,AGR!$B$52:$B$73,0),MATCH('TS DMARK'!$H54&amp;'TS DMARK'!AN$7,AGR!$R$46:$AC$46&amp;AGR!$R$49:$AC$49,0)),""))</f>
        <v/>
      </c>
      <c r="AO54" s="297" t="str" cm="1">
        <f t="array" aca="1" ref="AO54" ca="1">IF(AF54="*","",IFERROR(INDEX(AGR!$R$52:$AC$73,MATCH($C54,AGR!$B$52:$B$73,0),MATCH('TS DMARK'!$H54&amp;'TS DMARK'!AO$7,AGR!$R$46:$AC$46&amp;AGR!$R$49:$AC$49,0)),""))</f>
        <v/>
      </c>
      <c r="AP54" s="297" t="str" cm="1">
        <f t="array" aca="1" ref="AP54" ca="1">IF(AG54="*","",IFERROR(INDEX(AGR!$R$52:$AC$73,MATCH($C54,AGR!$B$52:$B$73,0),MATCH('TS DMARK'!$H54&amp;'TS DMARK'!AP$7,AGR!$R$46:$AC$46&amp;AGR!$R$49:$AC$49,0)),""))</f>
        <v/>
      </c>
      <c r="AQ54" s="238">
        <f>IF(AR53=AGR!$AD$74,AQ53+1,AQ53)</f>
        <v>2</v>
      </c>
      <c r="AR54" s="238">
        <f>IF(AQ54=AQ53,AR53+1,1)</f>
        <v>19</v>
      </c>
    </row>
    <row r="55" spans="1:44">
      <c r="A55" s="238" t="str">
        <f ca="1">IF(LEFT(OFFSET(AGR!$A$51,AR55,0),2)="\I","*","")</f>
        <v>*</v>
      </c>
      <c r="B55" s="243" t="str">
        <f t="shared" ca="1" si="0"/>
        <v/>
      </c>
      <c r="C55" s="243" t="str">
        <f ca="1">IF($A55="*","",OFFSET(AGR!$B$51,AR55,0))</f>
        <v/>
      </c>
      <c r="D55" s="298" t="str">
        <f t="shared" ca="1" si="3"/>
        <v/>
      </c>
      <c r="E55" s="298" t="str">
        <f t="shared" ca="1" si="5"/>
        <v/>
      </c>
      <c r="F55" s="298" t="str">
        <f t="shared" ca="1" si="5"/>
        <v/>
      </c>
      <c r="G55" s="298" t="str">
        <f t="shared" ca="1" si="6"/>
        <v/>
      </c>
      <c r="H55" s="298" t="str">
        <f t="shared" ca="1" si="6"/>
        <v/>
      </c>
      <c r="I55" s="298" t="str">
        <f t="shared" ca="1" si="6"/>
        <v/>
      </c>
      <c r="J55" s="297" t="str" cm="1">
        <f t="array" aca="1" ref="J55" ca="1">IF(A55="*","",IFERROR(INDEX(AGR!$R$52:$AC$73,MATCH($C55,AGR!$B$52:$B$73,0),MATCH('TS DMARK'!$H55&amp;'TS DMARK'!J$7,AGR!$R$46:$AC$46&amp;AGR!$R$49:$AC$49,0)),""))</f>
        <v/>
      </c>
      <c r="K55" s="297" t="str" cm="1">
        <f t="array" aca="1" ref="K55" ca="1">IF(B55="*","",IFERROR(INDEX(AGR!$R$52:$AC$73,MATCH($C55,AGR!$B$52:$B$73,0),MATCH('TS DMARK'!$H55&amp;'TS DMARK'!K$7,AGR!$R$46:$AC$46&amp;AGR!$R$49:$AC$49,0)),""))</f>
        <v/>
      </c>
      <c r="L55" s="297" t="str" cm="1">
        <f t="array" aca="1" ref="L55" ca="1">IF(C55="*","",IFERROR(INDEX(AGR!$R$52:$AC$73,MATCH($C55,AGR!$B$52:$B$73,0),MATCH('TS DMARK'!$H55&amp;'TS DMARK'!L$7,AGR!$R$46:$AC$46&amp;AGR!$R$49:$AC$49,0)),""))</f>
        <v/>
      </c>
      <c r="M55" s="297" t="str" cm="1">
        <f t="array" aca="1" ref="M55" ca="1">IF(D55="*","",IFERROR(INDEX(AGR!$R$52:$AC$73,MATCH($C55,AGR!$B$52:$B$73,0),MATCH('TS DMARK'!$H55&amp;'TS DMARK'!M$7,AGR!$R$46:$AC$46&amp;AGR!$R$49:$AC$49,0)),""))</f>
        <v/>
      </c>
      <c r="N55" s="297" t="str" cm="1">
        <f t="array" aca="1" ref="N55" ca="1">IF(E55="*","",IFERROR(INDEX(AGR!$R$52:$AC$73,MATCH($C55,AGR!$B$52:$B$73,0),MATCH('TS DMARK'!$H55&amp;'TS DMARK'!N$7,AGR!$R$46:$AC$46&amp;AGR!$R$49:$AC$49,0)),""))</f>
        <v/>
      </c>
      <c r="O55" s="297" t="str" cm="1">
        <f t="array" aca="1" ref="O55" ca="1">IF(F55="*","",IFERROR(INDEX(AGR!$R$52:$AC$73,MATCH($C55,AGR!$B$52:$B$73,0),MATCH('TS DMARK'!$H55&amp;'TS DMARK'!O$7,AGR!$R$46:$AC$46&amp;AGR!$R$49:$AC$49,0)),""))</f>
        <v/>
      </c>
      <c r="P55" s="297" t="str" cm="1">
        <f t="array" aca="1" ref="P55" ca="1">IF(G55="*","",IFERROR(INDEX(AGR!$R$52:$AC$73,MATCH($C55,AGR!$B$52:$B$73,0),MATCH('TS DMARK'!$H55&amp;'TS DMARK'!P$7,AGR!$R$46:$AC$46&amp;AGR!$R$49:$AC$49,0)),""))</f>
        <v/>
      </c>
      <c r="Q55" s="297" t="str" cm="1">
        <f t="array" aca="1" ref="Q55" ca="1">IF(H55="*","",IFERROR(INDEX(AGR!$R$52:$AC$73,MATCH($C55,AGR!$B$52:$B$73,0),MATCH('TS DMARK'!$H55&amp;'TS DMARK'!Q$7,AGR!$R$46:$AC$46&amp;AGR!$R$49:$AC$49,0)),""))</f>
        <v/>
      </c>
      <c r="R55" s="297" t="str" cm="1">
        <f t="array" aca="1" ref="R55" ca="1">IF(I55="*","",IFERROR(INDEX(AGR!$R$52:$AC$73,MATCH($C55,AGR!$B$52:$B$73,0),MATCH('TS DMARK'!$H55&amp;'TS DMARK'!R$7,AGR!$R$46:$AC$46&amp;AGR!$R$49:$AC$49,0)),""))</f>
        <v/>
      </c>
      <c r="S55" s="297" t="str" cm="1">
        <f t="array" aca="1" ref="S55" ca="1">IF(J55="*","",IFERROR(INDEX(AGR!$R$52:$AC$73,MATCH($C55,AGR!$B$52:$B$73,0),MATCH('TS DMARK'!$H55&amp;'TS DMARK'!S$7,AGR!$R$46:$AC$46&amp;AGR!$R$49:$AC$49,0)),""))</f>
        <v/>
      </c>
      <c r="T55" s="297" t="str" cm="1">
        <f t="array" aca="1" ref="T55" ca="1">IF(K55="*","",IFERROR(INDEX(AGR!$R$52:$AC$73,MATCH($C55,AGR!$B$52:$B$73,0),MATCH('TS DMARK'!$H55&amp;'TS DMARK'!T$7,AGR!$R$46:$AC$46&amp;AGR!$R$49:$AC$49,0)),""))</f>
        <v/>
      </c>
      <c r="U55" s="297" t="str" cm="1">
        <f t="array" aca="1" ref="U55" ca="1">IF(L55="*","",IFERROR(INDEX(AGR!$R$52:$AC$73,MATCH($C55,AGR!$B$52:$B$73,0),MATCH('TS DMARK'!$H55&amp;'TS DMARK'!U$7,AGR!$R$46:$AC$46&amp;AGR!$R$49:$AC$49,0)),""))</f>
        <v/>
      </c>
      <c r="V55" s="297" t="str" cm="1">
        <f t="array" aca="1" ref="V55" ca="1">IF(M55="*","",IFERROR(INDEX(AGR!$R$52:$AC$73,MATCH($C55,AGR!$B$52:$B$73,0),MATCH('TS DMARK'!$H55&amp;'TS DMARK'!V$7,AGR!$R$46:$AC$46&amp;AGR!$R$49:$AC$49,0)),""))</f>
        <v/>
      </c>
      <c r="W55" s="297" t="str" cm="1">
        <f t="array" aca="1" ref="W55" ca="1">IF(N55="*","",IFERROR(INDEX(AGR!$R$52:$AC$73,MATCH($C55,AGR!$B$52:$B$73,0),MATCH('TS DMARK'!$H55&amp;'TS DMARK'!W$7,AGR!$R$46:$AC$46&amp;AGR!$R$49:$AC$49,0)),""))</f>
        <v/>
      </c>
      <c r="X55" s="297" t="str" cm="1">
        <f t="array" aca="1" ref="X55" ca="1">IF(O55="*","",IFERROR(INDEX(AGR!$R$52:$AC$73,MATCH($C55,AGR!$B$52:$B$73,0),MATCH('TS DMARK'!$H55&amp;'TS DMARK'!X$7,AGR!$R$46:$AC$46&amp;AGR!$R$49:$AC$49,0)),""))</f>
        <v/>
      </c>
      <c r="Y55" s="297" t="str" cm="1">
        <f t="array" aca="1" ref="Y55" ca="1">IF(P55="*","",IFERROR(INDEX(AGR!$R$52:$AC$73,MATCH($C55,AGR!$B$52:$B$73,0),MATCH('TS DMARK'!$H55&amp;'TS DMARK'!Y$7,AGR!$R$46:$AC$46&amp;AGR!$R$49:$AC$49,0)),""))</f>
        <v/>
      </c>
      <c r="Z55" s="297" t="str" cm="1">
        <f t="array" aca="1" ref="Z55" ca="1">IF(Q55="*","",IFERROR(INDEX(AGR!$R$52:$AC$73,MATCH($C55,AGR!$B$52:$B$73,0),MATCH('TS DMARK'!$H55&amp;'TS DMARK'!Z$7,AGR!$R$46:$AC$46&amp;AGR!$R$49:$AC$49,0)),""))</f>
        <v/>
      </c>
      <c r="AA55" s="297" t="str" cm="1">
        <f t="array" aca="1" ref="AA55" ca="1">IF(R55="*","",IFERROR(INDEX(AGR!$R$52:$AC$73,MATCH($C55,AGR!$B$52:$B$73,0),MATCH('TS DMARK'!$H55&amp;'TS DMARK'!AA$7,AGR!$R$46:$AC$46&amp;AGR!$R$49:$AC$49,0)),""))</f>
        <v/>
      </c>
      <c r="AB55" s="297" t="str" cm="1">
        <f t="array" aca="1" ref="AB55" ca="1">IF(S55="*","",IFERROR(INDEX(AGR!$R$52:$AC$73,MATCH($C55,AGR!$B$52:$B$73,0),MATCH('TS DMARK'!$H55&amp;'TS DMARK'!AB$7,AGR!$R$46:$AC$46&amp;AGR!$R$49:$AC$49,0)),""))</f>
        <v/>
      </c>
      <c r="AC55" s="297" t="str" cm="1">
        <f t="array" aca="1" ref="AC55" ca="1">IF(T55="*","",IFERROR(INDEX(AGR!$R$52:$AC$73,MATCH($C55,AGR!$B$52:$B$73,0),MATCH('TS DMARK'!$H55&amp;'TS DMARK'!AC$7,AGR!$R$46:$AC$46&amp;AGR!$R$49:$AC$49,0)),""))</f>
        <v/>
      </c>
      <c r="AD55" s="297" t="str" cm="1">
        <f t="array" aca="1" ref="AD55" ca="1">IF(U55="*","",IFERROR(INDEX(AGR!$R$52:$AC$73,MATCH($C55,AGR!$B$52:$B$73,0),MATCH('TS DMARK'!$H55&amp;'TS DMARK'!AD$7,AGR!$R$46:$AC$46&amp;AGR!$R$49:$AC$49,0)),""))</f>
        <v/>
      </c>
      <c r="AE55" s="297" t="str" cm="1">
        <f t="array" aca="1" ref="AE55" ca="1">IF(V55="*","",IFERROR(INDEX(AGR!$R$52:$AC$73,MATCH($C55,AGR!$B$52:$B$73,0),MATCH('TS DMARK'!$H55&amp;'TS DMARK'!AE$7,AGR!$R$46:$AC$46&amp;AGR!$R$49:$AC$49,0)),""))</f>
        <v/>
      </c>
      <c r="AF55" s="297" t="str" cm="1">
        <f t="array" aca="1" ref="AF55" ca="1">IF(W55="*","",IFERROR(INDEX(AGR!$R$52:$AC$73,MATCH($C55,AGR!$B$52:$B$73,0),MATCH('TS DMARK'!$H55&amp;'TS DMARK'!AF$7,AGR!$R$46:$AC$46&amp;AGR!$R$49:$AC$49,0)),""))</f>
        <v/>
      </c>
      <c r="AG55" s="297" t="str" cm="1">
        <f t="array" aca="1" ref="AG55" ca="1">IF(X55="*","",IFERROR(INDEX(AGR!$R$52:$AC$73,MATCH($C55,AGR!$B$52:$B$73,0),MATCH('TS DMARK'!$H55&amp;'TS DMARK'!AG$7,AGR!$R$46:$AC$46&amp;AGR!$R$49:$AC$49,0)),""))</f>
        <v/>
      </c>
      <c r="AH55" s="297" t="str" cm="1">
        <f t="array" aca="1" ref="AH55" ca="1">IF(Y55="*","",IFERROR(INDEX(AGR!$R$52:$AC$73,MATCH($C55,AGR!$B$52:$B$73,0),MATCH('TS DMARK'!$H55&amp;'TS DMARK'!AH$7,AGR!$R$46:$AC$46&amp;AGR!$R$49:$AC$49,0)),""))</f>
        <v/>
      </c>
      <c r="AI55" s="297" t="str" cm="1">
        <f t="array" aca="1" ref="AI55" ca="1">IF(Z55="*","",IFERROR(INDEX(AGR!$R$52:$AC$73,MATCH($C55,AGR!$B$52:$B$73,0),MATCH('TS DMARK'!$H55&amp;'TS DMARK'!AI$7,AGR!$R$46:$AC$46&amp;AGR!$R$49:$AC$49,0)),""))</f>
        <v/>
      </c>
      <c r="AJ55" s="297" t="str" cm="1">
        <f t="array" aca="1" ref="AJ55" ca="1">IF(AA55="*","",IFERROR(INDEX(AGR!$R$52:$AC$73,MATCH($C55,AGR!$B$52:$B$73,0),MATCH('TS DMARK'!$H55&amp;'TS DMARK'!AJ$7,AGR!$R$46:$AC$46&amp;AGR!$R$49:$AC$49,0)),""))</f>
        <v/>
      </c>
      <c r="AK55" s="297" t="str" cm="1">
        <f t="array" aca="1" ref="AK55" ca="1">IF(AB55="*","",IFERROR(INDEX(AGR!$R$52:$AC$73,MATCH($C55,AGR!$B$52:$B$73,0),MATCH('TS DMARK'!$H55&amp;'TS DMARK'!AK$7,AGR!$R$46:$AC$46&amp;AGR!$R$49:$AC$49,0)),""))</f>
        <v/>
      </c>
      <c r="AL55" s="297" t="str" cm="1">
        <f t="array" aca="1" ref="AL55" ca="1">IF(AC55="*","",IFERROR(INDEX(AGR!$R$52:$AC$73,MATCH($C55,AGR!$B$52:$B$73,0),MATCH('TS DMARK'!$H55&amp;'TS DMARK'!AL$7,AGR!$R$46:$AC$46&amp;AGR!$R$49:$AC$49,0)),""))</f>
        <v/>
      </c>
      <c r="AM55" s="297" t="str" cm="1">
        <f t="array" aca="1" ref="AM55" ca="1">IF(AD55="*","",IFERROR(INDEX(AGR!$R$52:$AC$73,MATCH($C55,AGR!$B$52:$B$73,0),MATCH('TS DMARK'!$H55&amp;'TS DMARK'!AM$7,AGR!$R$46:$AC$46&amp;AGR!$R$49:$AC$49,0)),""))</f>
        <v/>
      </c>
      <c r="AN55" s="297" t="str" cm="1">
        <f t="array" aca="1" ref="AN55" ca="1">IF(AE55="*","",IFERROR(INDEX(AGR!$R$52:$AC$73,MATCH($C55,AGR!$B$52:$B$73,0),MATCH('TS DMARK'!$H55&amp;'TS DMARK'!AN$7,AGR!$R$46:$AC$46&amp;AGR!$R$49:$AC$49,0)),""))</f>
        <v/>
      </c>
      <c r="AO55" s="297" t="str" cm="1">
        <f t="array" aca="1" ref="AO55" ca="1">IF(AF55="*","",IFERROR(INDEX(AGR!$R$52:$AC$73,MATCH($C55,AGR!$B$52:$B$73,0),MATCH('TS DMARK'!$H55&amp;'TS DMARK'!AO$7,AGR!$R$46:$AC$46&amp;AGR!$R$49:$AC$49,0)),""))</f>
        <v/>
      </c>
      <c r="AP55" s="297" t="str" cm="1">
        <f t="array" aca="1" ref="AP55" ca="1">IF(AG55="*","",IFERROR(INDEX(AGR!$R$52:$AC$73,MATCH($C55,AGR!$B$52:$B$73,0),MATCH('TS DMARK'!$H55&amp;'TS DMARK'!AP$7,AGR!$R$46:$AC$46&amp;AGR!$R$49:$AC$49,0)),""))</f>
        <v/>
      </c>
      <c r="AQ55" s="238">
        <f>IF(AR54=AGR!$AD$74,AQ54+1,AQ54)</f>
        <v>2</v>
      </c>
      <c r="AR55" s="238">
        <f t="shared" ref="AR55:AR58" si="9">IF(AQ55=AQ54,AR54+1,1)</f>
        <v>20</v>
      </c>
    </row>
    <row r="56" spans="1:44">
      <c r="A56" s="238" t="str">
        <f ca="1">IF(LEFT(OFFSET(AGR!$A$51,AR56,0),2)="\I","*","")</f>
        <v/>
      </c>
      <c r="B56" s="243" t="str">
        <f t="shared" ca="1" si="0"/>
        <v>FLO_MARK</v>
      </c>
      <c r="C56" s="243" t="str">
        <f ca="1">IF($A56="*","",OFFSET(AGR!$B$51,AR56,0))</f>
        <v>AOELC-E</v>
      </c>
      <c r="D56" s="298" t="str">
        <f t="shared" ca="1" si="3"/>
        <v>AO</v>
      </c>
      <c r="E56" s="298" t="str">
        <f t="shared" ca="1" si="5"/>
        <v>-</v>
      </c>
      <c r="F56" s="298" t="str">
        <f t="shared" ca="1" si="5"/>
        <v>-</v>
      </c>
      <c r="G56" s="298" t="str">
        <f t="shared" ca="1" si="6"/>
        <v>-</v>
      </c>
      <c r="H56" s="298" t="str">
        <f t="shared" ca="1" si="6"/>
        <v>LO</v>
      </c>
      <c r="I56" s="298">
        <f t="shared" ca="1" si="6"/>
        <v>3</v>
      </c>
      <c r="J56" s="297" cm="1">
        <f t="array" aca="1" ref="J56" ca="1">IF(A56="*","",IFERROR(INDEX(AGR!$R$52:$AC$73,MATCH($C56,AGR!$B$52:$B$73,0),MATCH('TS DMARK'!$H56&amp;'TS DMARK'!J$7,AGR!$R$46:$AC$46&amp;AGR!$R$49:$AC$49,0)),""))</f>
        <v>1</v>
      </c>
      <c r="K56" s="297" t="str" cm="1">
        <f t="array" aca="1" ref="K56" ca="1">IF(B56="*","",IFERROR(INDEX(AGR!$R$52:$AC$73,MATCH($C56,AGR!$B$52:$B$73,0),MATCH('TS DMARK'!$H56&amp;'TS DMARK'!K$7,AGR!$R$46:$AC$46&amp;AGR!$R$49:$AC$49,0)),""))</f>
        <v/>
      </c>
      <c r="L56" s="297" t="str" cm="1">
        <f t="array" aca="1" ref="L56" ca="1">IF(C56="*","",IFERROR(INDEX(AGR!$R$52:$AC$73,MATCH($C56,AGR!$B$52:$B$73,0),MATCH('TS DMARK'!$H56&amp;'TS DMARK'!L$7,AGR!$R$46:$AC$46&amp;AGR!$R$49:$AC$49,0)),""))</f>
        <v/>
      </c>
      <c r="M56" s="297" cm="1">
        <f t="array" aca="1" ref="M56" ca="1">IF(D56="*","",IFERROR(INDEX(AGR!$R$52:$AC$73,MATCH($C56,AGR!$B$52:$B$73,0),MATCH('TS DMARK'!$H56&amp;'TS DMARK'!M$7,AGR!$R$46:$AC$46&amp;AGR!$R$49:$AC$49,0)),""))</f>
        <v>1</v>
      </c>
      <c r="N56" s="297" t="str" cm="1">
        <f t="array" aca="1" ref="N56" ca="1">IF(E56="*","",IFERROR(INDEX(AGR!$R$52:$AC$73,MATCH($C56,AGR!$B$52:$B$73,0),MATCH('TS DMARK'!$H56&amp;'TS DMARK'!N$7,AGR!$R$46:$AC$46&amp;AGR!$R$49:$AC$49,0)),""))</f>
        <v/>
      </c>
      <c r="O56" s="297" cm="1">
        <f t="array" aca="1" ref="O56" ca="1">IF(F56="*","",IFERROR(INDEX(AGR!$R$52:$AC$73,MATCH($C56,AGR!$B$52:$B$73,0),MATCH('TS DMARK'!$H56&amp;'TS DMARK'!O$7,AGR!$R$46:$AC$46&amp;AGR!$R$49:$AC$49,0)),""))</f>
        <v>1</v>
      </c>
      <c r="P56" s="297" t="str" cm="1">
        <f t="array" aca="1" ref="P56" ca="1">IF(G56="*","",IFERROR(INDEX(AGR!$R$52:$AC$73,MATCH($C56,AGR!$B$52:$B$73,0),MATCH('TS DMARK'!$H56&amp;'TS DMARK'!P$7,AGR!$R$46:$AC$46&amp;AGR!$R$49:$AC$49,0)),""))</f>
        <v/>
      </c>
      <c r="Q56" s="297" t="str" cm="1">
        <f t="array" aca="1" ref="Q56" ca="1">IF(H56="*","",IFERROR(INDEX(AGR!$R$52:$AC$73,MATCH($C56,AGR!$B$52:$B$73,0),MATCH('TS DMARK'!$H56&amp;'TS DMARK'!Q$7,AGR!$R$46:$AC$46&amp;AGR!$R$49:$AC$49,0)),""))</f>
        <v/>
      </c>
      <c r="R56" s="297" t="str" cm="1">
        <f t="array" aca="1" ref="R56" ca="1">IF(I56="*","",IFERROR(INDEX(AGR!$R$52:$AC$73,MATCH($C56,AGR!$B$52:$B$73,0),MATCH('TS DMARK'!$H56&amp;'TS DMARK'!R$7,AGR!$R$46:$AC$46&amp;AGR!$R$49:$AC$49,0)),""))</f>
        <v/>
      </c>
      <c r="S56" s="297" t="str" cm="1">
        <f t="array" aca="1" ref="S56" ca="1">IF(J56="*","",IFERROR(INDEX(AGR!$R$52:$AC$73,MATCH($C56,AGR!$B$52:$B$73,0),MATCH('TS DMARK'!$H56&amp;'TS DMARK'!S$7,AGR!$R$46:$AC$46&amp;AGR!$R$49:$AC$49,0)),""))</f>
        <v/>
      </c>
      <c r="T56" s="297" t="str" cm="1">
        <f t="array" aca="1" ref="T56" ca="1">IF(K56="*","",IFERROR(INDEX(AGR!$R$52:$AC$73,MATCH($C56,AGR!$B$52:$B$73,0),MATCH('TS DMARK'!$H56&amp;'TS DMARK'!T$7,AGR!$R$46:$AC$46&amp;AGR!$R$49:$AC$49,0)),""))</f>
        <v/>
      </c>
      <c r="U56" s="297" t="str" cm="1">
        <f t="array" aca="1" ref="U56" ca="1">IF(L56="*","",IFERROR(INDEX(AGR!$R$52:$AC$73,MATCH($C56,AGR!$B$52:$B$73,0),MATCH('TS DMARK'!$H56&amp;'TS DMARK'!U$7,AGR!$R$46:$AC$46&amp;AGR!$R$49:$AC$49,0)),""))</f>
        <v/>
      </c>
      <c r="V56" s="297" t="str" cm="1">
        <f t="array" aca="1" ref="V56" ca="1">IF(M56="*","",IFERROR(INDEX(AGR!$R$52:$AC$73,MATCH($C56,AGR!$B$52:$B$73,0),MATCH('TS DMARK'!$H56&amp;'TS DMARK'!V$7,AGR!$R$46:$AC$46&amp;AGR!$R$49:$AC$49,0)),""))</f>
        <v/>
      </c>
      <c r="W56" s="297" t="str" cm="1">
        <f t="array" aca="1" ref="W56" ca="1">IF(N56="*","",IFERROR(INDEX(AGR!$R$52:$AC$73,MATCH($C56,AGR!$B$52:$B$73,0),MATCH('TS DMARK'!$H56&amp;'TS DMARK'!W$7,AGR!$R$46:$AC$46&amp;AGR!$R$49:$AC$49,0)),""))</f>
        <v/>
      </c>
      <c r="X56" s="297" t="str" cm="1">
        <f t="array" aca="1" ref="X56" ca="1">IF(O56="*","",IFERROR(INDEX(AGR!$R$52:$AC$73,MATCH($C56,AGR!$B$52:$B$73,0),MATCH('TS DMARK'!$H56&amp;'TS DMARK'!X$7,AGR!$R$46:$AC$46&amp;AGR!$R$49:$AC$49,0)),""))</f>
        <v/>
      </c>
      <c r="Y56" s="297" t="str" cm="1">
        <f t="array" aca="1" ref="Y56" ca="1">IF(P56="*","",IFERROR(INDEX(AGR!$R$52:$AC$73,MATCH($C56,AGR!$B$52:$B$73,0),MATCH('TS DMARK'!$H56&amp;'TS DMARK'!Y$7,AGR!$R$46:$AC$46&amp;AGR!$R$49:$AC$49,0)),""))</f>
        <v/>
      </c>
      <c r="Z56" s="297" t="str" cm="1">
        <f t="array" aca="1" ref="Z56" ca="1">IF(Q56="*","",IFERROR(INDEX(AGR!$R$52:$AC$73,MATCH($C56,AGR!$B$52:$B$73,0),MATCH('TS DMARK'!$H56&amp;'TS DMARK'!Z$7,AGR!$R$46:$AC$46&amp;AGR!$R$49:$AC$49,0)),""))</f>
        <v/>
      </c>
      <c r="AA56" s="297" t="str" cm="1">
        <f t="array" aca="1" ref="AA56" ca="1">IF(R56="*","",IFERROR(INDEX(AGR!$R$52:$AC$73,MATCH($C56,AGR!$B$52:$B$73,0),MATCH('TS DMARK'!$H56&amp;'TS DMARK'!AA$7,AGR!$R$46:$AC$46&amp;AGR!$R$49:$AC$49,0)),""))</f>
        <v/>
      </c>
      <c r="AB56" s="297" cm="1">
        <f t="array" aca="1" ref="AB56" ca="1">IF(S56="*","",IFERROR(INDEX(AGR!$R$52:$AC$73,MATCH($C56,AGR!$B$52:$B$73,0),MATCH('TS DMARK'!$H56&amp;'TS DMARK'!AB$7,AGR!$R$46:$AC$46&amp;AGR!$R$49:$AC$49,0)),""))</f>
        <v>0.25</v>
      </c>
      <c r="AC56" s="297" t="str" cm="1">
        <f t="array" aca="1" ref="AC56" ca="1">IF(T56="*","",IFERROR(INDEX(AGR!$R$52:$AC$73,MATCH($C56,AGR!$B$52:$B$73,0),MATCH('TS DMARK'!$H56&amp;'TS DMARK'!AC$7,AGR!$R$46:$AC$46&amp;AGR!$R$49:$AC$49,0)),""))</f>
        <v/>
      </c>
      <c r="AD56" s="297" t="str" cm="1">
        <f t="array" aca="1" ref="AD56" ca="1">IF(U56="*","",IFERROR(INDEX(AGR!$R$52:$AC$73,MATCH($C56,AGR!$B$52:$B$73,0),MATCH('TS DMARK'!$H56&amp;'TS DMARK'!AD$7,AGR!$R$46:$AC$46&amp;AGR!$R$49:$AC$49,0)),""))</f>
        <v/>
      </c>
      <c r="AE56" s="297" t="str" cm="1">
        <f t="array" aca="1" ref="AE56" ca="1">IF(V56="*","",IFERROR(INDEX(AGR!$R$52:$AC$73,MATCH($C56,AGR!$B$52:$B$73,0),MATCH('TS DMARK'!$H56&amp;'TS DMARK'!AE$7,AGR!$R$46:$AC$46&amp;AGR!$R$49:$AC$49,0)),""))</f>
        <v/>
      </c>
      <c r="AF56" s="297" t="str" cm="1">
        <f t="array" aca="1" ref="AF56" ca="1">IF(W56="*","",IFERROR(INDEX(AGR!$R$52:$AC$73,MATCH($C56,AGR!$B$52:$B$73,0),MATCH('TS DMARK'!$H56&amp;'TS DMARK'!AF$7,AGR!$R$46:$AC$46&amp;AGR!$R$49:$AC$49,0)),""))</f>
        <v/>
      </c>
      <c r="AG56" s="297" t="str" cm="1">
        <f t="array" aca="1" ref="AG56" ca="1">IF(X56="*","",IFERROR(INDEX(AGR!$R$52:$AC$73,MATCH($C56,AGR!$B$52:$B$73,0),MATCH('TS DMARK'!$H56&amp;'TS DMARK'!AG$7,AGR!$R$46:$AC$46&amp;AGR!$R$49:$AC$49,0)),""))</f>
        <v/>
      </c>
      <c r="AH56" s="297" t="str" cm="1">
        <f t="array" aca="1" ref="AH56" ca="1">IF(Y56="*","",IFERROR(INDEX(AGR!$R$52:$AC$73,MATCH($C56,AGR!$B$52:$B$73,0),MATCH('TS DMARK'!$H56&amp;'TS DMARK'!AH$7,AGR!$R$46:$AC$46&amp;AGR!$R$49:$AC$49,0)),""))</f>
        <v/>
      </c>
      <c r="AI56" s="297" t="str" cm="1">
        <f t="array" aca="1" ref="AI56" ca="1">IF(Z56="*","",IFERROR(INDEX(AGR!$R$52:$AC$73,MATCH($C56,AGR!$B$52:$B$73,0),MATCH('TS DMARK'!$H56&amp;'TS DMARK'!AI$7,AGR!$R$46:$AC$46&amp;AGR!$R$49:$AC$49,0)),""))</f>
        <v/>
      </c>
      <c r="AJ56" s="297" t="str" cm="1">
        <f t="array" aca="1" ref="AJ56" ca="1">IF(AA56="*","",IFERROR(INDEX(AGR!$R$52:$AC$73,MATCH($C56,AGR!$B$52:$B$73,0),MATCH('TS DMARK'!$H56&amp;'TS DMARK'!AJ$7,AGR!$R$46:$AC$46&amp;AGR!$R$49:$AC$49,0)),""))</f>
        <v/>
      </c>
      <c r="AK56" s="297" t="str" cm="1">
        <f t="array" aca="1" ref="AK56" ca="1">IF(AB56="*","",IFERROR(INDEX(AGR!$R$52:$AC$73,MATCH($C56,AGR!$B$52:$B$73,0),MATCH('TS DMARK'!$H56&amp;'TS DMARK'!AK$7,AGR!$R$46:$AC$46&amp;AGR!$R$49:$AC$49,0)),""))</f>
        <v/>
      </c>
      <c r="AL56" s="297" t="str" cm="1">
        <f t="array" aca="1" ref="AL56" ca="1">IF(AC56="*","",IFERROR(INDEX(AGR!$R$52:$AC$73,MATCH($C56,AGR!$B$52:$B$73,0),MATCH('TS DMARK'!$H56&amp;'TS DMARK'!AL$7,AGR!$R$46:$AC$46&amp;AGR!$R$49:$AC$49,0)),""))</f>
        <v/>
      </c>
      <c r="AM56" s="297" t="str" cm="1">
        <f t="array" aca="1" ref="AM56" ca="1">IF(AD56="*","",IFERROR(INDEX(AGR!$R$52:$AC$73,MATCH($C56,AGR!$B$52:$B$73,0),MATCH('TS DMARK'!$H56&amp;'TS DMARK'!AM$7,AGR!$R$46:$AC$46&amp;AGR!$R$49:$AC$49,0)),""))</f>
        <v/>
      </c>
      <c r="AN56" s="297" cm="1">
        <f t="array" aca="1" ref="AN56" ca="1">IF(AE56="*","",IFERROR(INDEX(AGR!$R$52:$AC$73,MATCH($C56,AGR!$B$52:$B$73,0),MATCH('TS DMARK'!$H56&amp;'TS DMARK'!AN$7,AGR!$R$46:$AC$46&amp;AGR!$R$49:$AC$49,0)),""))</f>
        <v>0</v>
      </c>
      <c r="AO56" s="297" t="str" cm="1">
        <f t="array" aca="1" ref="AO56" ca="1">IF(AF56="*","",IFERROR(INDEX(AGR!$R$52:$AC$73,MATCH($C56,AGR!$B$52:$B$73,0),MATCH('TS DMARK'!$H56&amp;'TS DMARK'!AO$7,AGR!$R$46:$AC$46&amp;AGR!$R$49:$AC$49,0)),""))</f>
        <v/>
      </c>
      <c r="AP56" s="297" cm="1">
        <f t="array" aca="1" ref="AP56" ca="1">IF(AG56="*","",IFERROR(INDEX(AGR!$R$52:$AC$73,MATCH($C56,AGR!$B$52:$B$73,0),MATCH('TS DMARK'!$H56&amp;'TS DMARK'!AP$7,AGR!$R$46:$AC$46&amp;AGR!$R$49:$AC$49,0)),""))</f>
        <v>0</v>
      </c>
      <c r="AQ56" s="238">
        <f>IF(AR55=AGR!$AD$74,AQ55+1,AQ55)</f>
        <v>2</v>
      </c>
      <c r="AR56" s="238">
        <f t="shared" si="9"/>
        <v>21</v>
      </c>
    </row>
    <row r="57" spans="1:44">
      <c r="A57" s="238" t="str">
        <f ca="1">IF(LEFT(OFFSET(AGR!$A$51,AR57,0),2)="\I","*","")</f>
        <v>*</v>
      </c>
      <c r="B57" s="243" t="str">
        <f t="shared" ca="1" si="0"/>
        <v/>
      </c>
      <c r="C57" s="243" t="str">
        <f ca="1">IF($A57="*","",OFFSET(AGR!$B$51,AR57,0))</f>
        <v/>
      </c>
      <c r="D57" s="298" t="str">
        <f t="shared" ca="1" si="3"/>
        <v/>
      </c>
      <c r="E57" s="243" t="str">
        <f t="shared" ref="E57:F58" ca="1" si="10">IF($A57="*","",VLOOKUP($B57,$B$10:$I$11,E$9,FALSE))</f>
        <v/>
      </c>
      <c r="F57" s="243" t="str">
        <f t="shared" ca="1" si="10"/>
        <v/>
      </c>
      <c r="G57" s="298" t="str">
        <f t="shared" ca="1" si="6"/>
        <v/>
      </c>
      <c r="H57" s="298" t="str">
        <f t="shared" ca="1" si="6"/>
        <v/>
      </c>
      <c r="I57" s="298" t="str">
        <f t="shared" ca="1" si="6"/>
        <v/>
      </c>
      <c r="J57" s="297" t="str" cm="1">
        <f t="array" aca="1" ref="J57" ca="1">IF(A57="*","",IFERROR(INDEX(AGR!$R$52:$AC$73,MATCH($C57,AGR!$B$52:$B$73,0),MATCH('TS DMARK'!$I57&amp;'TS DMARK'!J$7,AGR!$R$46:$AC$46&amp;AGR!$R$49:$AC$49,0)),""))</f>
        <v/>
      </c>
      <c r="K57" s="297" t="str" cm="1">
        <f t="array" aca="1" ref="K57" ca="1">IF(B57="*","",IFERROR(INDEX(AGR!$R$52:$AC$73,MATCH($C57,AGR!$B$52:$B$73,0),MATCH('TS DMARK'!$I57&amp;'TS DMARK'!K$7,AGR!$R$46:$AC$46&amp;AGR!$R$49:$AC$49,0)),""))</f>
        <v/>
      </c>
      <c r="L57" s="297" t="str" cm="1">
        <f t="array" aca="1" ref="L57" ca="1">IF(C57="*","",IFERROR(INDEX(AGR!$R$52:$AC$73,MATCH($C57,AGR!$B$52:$B$73,0),MATCH('TS DMARK'!$I57&amp;'TS DMARK'!L$7,AGR!$R$46:$AC$46&amp;AGR!$R$49:$AC$49,0)),""))</f>
        <v/>
      </c>
      <c r="M57" s="297" t="str" cm="1">
        <f t="array" aca="1" ref="M57" ca="1">IF(D57="*","",IFERROR(INDEX(AGR!$R$52:$AC$73,MATCH($C57,AGR!$B$52:$B$73,0),MATCH('TS DMARK'!$I57&amp;'TS DMARK'!M$7,AGR!$R$46:$AC$46&amp;AGR!$R$49:$AC$49,0)),""))</f>
        <v/>
      </c>
      <c r="N57" s="297" t="str" cm="1">
        <f t="array" aca="1" ref="N57" ca="1">IF(E57="*","",IFERROR(INDEX(AGR!$R$52:$AC$73,MATCH($C57,AGR!$B$52:$B$73,0),MATCH('TS DMARK'!$I57&amp;'TS DMARK'!N$7,AGR!$R$46:$AC$46&amp;AGR!$R$49:$AC$49,0)),""))</f>
        <v/>
      </c>
      <c r="O57" s="297" t="str" cm="1">
        <f t="array" aca="1" ref="O57" ca="1">IF(F57="*","",IFERROR(INDEX(AGR!$R$52:$AC$73,MATCH($C57,AGR!$B$52:$B$73,0),MATCH('TS DMARK'!$I57&amp;'TS DMARK'!O$7,AGR!$R$46:$AC$46&amp;AGR!$R$49:$AC$49,0)),""))</f>
        <v/>
      </c>
      <c r="P57" s="297" t="str" cm="1">
        <f t="array" aca="1" ref="P57" ca="1">IF(G57="*","",IFERROR(INDEX(AGR!$R$52:$AC$73,MATCH($C57,AGR!$B$52:$B$73,0),MATCH('TS DMARK'!$I57&amp;'TS DMARK'!P$7,AGR!$R$46:$AC$46&amp;AGR!$R$49:$AC$49,0)),""))</f>
        <v/>
      </c>
      <c r="Q57" s="297" t="str" cm="1">
        <f t="array" aca="1" ref="Q57" ca="1">IF(H57="*","",IFERROR(INDEX(AGR!$R$52:$AC$73,MATCH($C57,AGR!$B$52:$B$73,0),MATCH('TS DMARK'!$I57&amp;'TS DMARK'!Q$7,AGR!$R$46:$AC$46&amp;AGR!$R$49:$AC$49,0)),""))</f>
        <v/>
      </c>
      <c r="R57" s="297" t="str" cm="1">
        <f t="array" aca="1" ref="R57" ca="1">IF(I57="*","",IFERROR(INDEX(AGR!$R$52:$AC$73,MATCH($C57,AGR!$B$52:$B$73,0),MATCH('TS DMARK'!$I57&amp;'TS DMARK'!R$7,AGR!$R$46:$AC$46&amp;AGR!$R$49:$AC$49,0)),""))</f>
        <v/>
      </c>
      <c r="S57" s="297" t="str" cm="1">
        <f t="array" aca="1" ref="S57" ca="1">IF(J57="*","",IFERROR(INDEX(AGR!$R$52:$AC$73,MATCH($C57,AGR!$B$52:$B$73,0),MATCH('TS DMARK'!$I57&amp;'TS DMARK'!S$7,AGR!$R$46:$AC$46&amp;AGR!$R$49:$AC$49,0)),""))</f>
        <v/>
      </c>
      <c r="T57" s="297" t="str" cm="1">
        <f t="array" aca="1" ref="T57" ca="1">IF(K57="*","",IFERROR(INDEX(AGR!$R$52:$AC$73,MATCH($C57,AGR!$B$52:$B$73,0),MATCH('TS DMARK'!$I57&amp;'TS DMARK'!T$7,AGR!$R$46:$AC$46&amp;AGR!$R$49:$AC$49,0)),""))</f>
        <v/>
      </c>
      <c r="U57" s="297" t="str" cm="1">
        <f t="array" aca="1" ref="U57" ca="1">IF(L57="*","",IFERROR(INDEX(AGR!$R$52:$AC$73,MATCH($C57,AGR!$B$52:$B$73,0),MATCH('TS DMARK'!$I57&amp;'TS DMARK'!U$7,AGR!$R$46:$AC$46&amp;AGR!$R$49:$AC$49,0)),""))</f>
        <v/>
      </c>
      <c r="V57" s="297" t="str" cm="1">
        <f t="array" aca="1" ref="V57" ca="1">IF(M57="*","",IFERROR(INDEX(AGR!$R$52:$AC$73,MATCH($C57,AGR!$B$52:$B$73,0),MATCH('TS DMARK'!$I57&amp;'TS DMARK'!V$7,AGR!$R$46:$AC$46&amp;AGR!$R$49:$AC$49,0)),""))</f>
        <v/>
      </c>
      <c r="W57" s="297" t="str" cm="1">
        <f t="array" aca="1" ref="W57" ca="1">IF(N57="*","",IFERROR(INDEX(AGR!$R$52:$AC$73,MATCH($C57,AGR!$B$52:$B$73,0),MATCH('TS DMARK'!$I57&amp;'TS DMARK'!W$7,AGR!$R$46:$AC$46&amp;AGR!$R$49:$AC$49,0)),""))</f>
        <v/>
      </c>
      <c r="X57" s="297" t="str" cm="1">
        <f t="array" aca="1" ref="X57" ca="1">IF(O57="*","",IFERROR(INDEX(AGR!$R$52:$AC$73,MATCH($C57,AGR!$B$52:$B$73,0),MATCH('TS DMARK'!$I57&amp;'TS DMARK'!X$7,AGR!$R$46:$AC$46&amp;AGR!$R$49:$AC$49,0)),""))</f>
        <v/>
      </c>
      <c r="Y57" s="297" t="str" cm="1">
        <f t="array" aca="1" ref="Y57" ca="1">IF(P57="*","",IFERROR(INDEX(AGR!$R$52:$AC$73,MATCH($C57,AGR!$B$52:$B$73,0),MATCH('TS DMARK'!$I57&amp;'TS DMARK'!Y$7,AGR!$R$46:$AC$46&amp;AGR!$R$49:$AC$49,0)),""))</f>
        <v/>
      </c>
      <c r="Z57" s="297" t="str" cm="1">
        <f t="array" aca="1" ref="Z57" ca="1">IF(Q57="*","",IFERROR(INDEX(AGR!$R$52:$AC$73,MATCH($C57,AGR!$B$52:$B$73,0),MATCH('TS DMARK'!$I57&amp;'TS DMARK'!Z$7,AGR!$R$46:$AC$46&amp;AGR!$R$49:$AC$49,0)),""))</f>
        <v/>
      </c>
      <c r="AA57" s="297" t="str" cm="1">
        <f t="array" aca="1" ref="AA57" ca="1">IF(R57="*","",IFERROR(INDEX(AGR!$R$52:$AC$73,MATCH($C57,AGR!$B$52:$B$73,0),MATCH('TS DMARK'!$I57&amp;'TS DMARK'!AA$7,AGR!$R$46:$AC$46&amp;AGR!$R$49:$AC$49,0)),""))</f>
        <v/>
      </c>
      <c r="AB57" s="297" t="str" cm="1">
        <f t="array" aca="1" ref="AB57" ca="1">IF(S57="*","",IFERROR(INDEX(AGR!$R$52:$AC$73,MATCH($C57,AGR!$B$52:$B$73,0),MATCH('TS DMARK'!$I57&amp;'TS DMARK'!AB$7,AGR!$R$46:$AC$46&amp;AGR!$R$49:$AC$49,0)),""))</f>
        <v/>
      </c>
      <c r="AC57" s="297" t="str" cm="1">
        <f t="array" aca="1" ref="AC57" ca="1">IF(T57="*","",IFERROR(INDEX(AGR!$R$52:$AC$73,MATCH($C57,AGR!$B$52:$B$73,0),MATCH('TS DMARK'!$I57&amp;'TS DMARK'!AC$7,AGR!$R$46:$AC$46&amp;AGR!$R$49:$AC$49,0)),""))</f>
        <v/>
      </c>
      <c r="AD57" s="297" t="str" cm="1">
        <f t="array" aca="1" ref="AD57" ca="1">IF(U57="*","",IFERROR(INDEX(AGR!$R$52:$AC$73,MATCH($C57,AGR!$B$52:$B$73,0),MATCH('TS DMARK'!$I57&amp;'TS DMARK'!AD$7,AGR!$R$46:$AC$46&amp;AGR!$R$49:$AC$49,0)),""))</f>
        <v/>
      </c>
      <c r="AE57" s="297" t="str" cm="1">
        <f t="array" aca="1" ref="AE57" ca="1">IF(V57="*","",IFERROR(INDEX(AGR!$R$52:$AC$73,MATCH($C57,AGR!$B$52:$B$73,0),MATCH('TS DMARK'!$I57&amp;'TS DMARK'!AE$7,AGR!$R$46:$AC$46&amp;AGR!$R$49:$AC$49,0)),""))</f>
        <v/>
      </c>
      <c r="AF57" s="297" t="str" cm="1">
        <f t="array" aca="1" ref="AF57" ca="1">IF(W57="*","",IFERROR(INDEX(AGR!$R$52:$AC$73,MATCH($C57,AGR!$B$52:$B$73,0),MATCH('TS DMARK'!$I57&amp;'TS DMARK'!AF$7,AGR!$R$46:$AC$46&amp;AGR!$R$49:$AC$49,0)),""))</f>
        <v/>
      </c>
      <c r="AG57" s="297" t="str" cm="1">
        <f t="array" aca="1" ref="AG57" ca="1">IF(X57="*","",IFERROR(INDEX(AGR!$R$52:$AC$73,MATCH($C57,AGR!$B$52:$B$73,0),MATCH('TS DMARK'!$I57&amp;'TS DMARK'!AG$7,AGR!$R$46:$AC$46&amp;AGR!$R$49:$AC$49,0)),""))</f>
        <v/>
      </c>
      <c r="AH57" s="297" t="str" cm="1">
        <f t="array" aca="1" ref="AH57" ca="1">IF(Y57="*","",IFERROR(INDEX(AGR!$R$52:$AC$73,MATCH($C57,AGR!$B$52:$B$73,0),MATCH('TS DMARK'!$I57&amp;'TS DMARK'!AH$7,AGR!$R$46:$AC$46&amp;AGR!$R$49:$AC$49,0)),""))</f>
        <v/>
      </c>
      <c r="AI57" s="297" t="str" cm="1">
        <f t="array" aca="1" ref="AI57" ca="1">IF(Z57="*","",IFERROR(INDEX(AGR!$R$52:$AC$73,MATCH($C57,AGR!$B$52:$B$73,0),MATCH('TS DMARK'!$I57&amp;'TS DMARK'!AI$7,AGR!$R$46:$AC$46&amp;AGR!$R$49:$AC$49,0)),""))</f>
        <v/>
      </c>
      <c r="AJ57" s="297" t="str" cm="1">
        <f t="array" aca="1" ref="AJ57" ca="1">IF(AA57="*","",IFERROR(INDEX(AGR!$R$52:$AC$73,MATCH($C57,AGR!$B$52:$B$73,0),MATCH('TS DMARK'!$I57&amp;'TS DMARK'!AJ$7,AGR!$R$46:$AC$46&amp;AGR!$R$49:$AC$49,0)),""))</f>
        <v/>
      </c>
      <c r="AK57" s="297" t="str" cm="1">
        <f t="array" aca="1" ref="AK57" ca="1">IF(AB57="*","",IFERROR(INDEX(AGR!$R$52:$AC$73,MATCH($C57,AGR!$B$52:$B$73,0),MATCH('TS DMARK'!$I57&amp;'TS DMARK'!AK$7,AGR!$R$46:$AC$46&amp;AGR!$R$49:$AC$49,0)),""))</f>
        <v/>
      </c>
      <c r="AL57" s="297" t="str" cm="1">
        <f t="array" aca="1" ref="AL57" ca="1">IF(AC57="*","",IFERROR(INDEX(AGR!$R$52:$AC$73,MATCH($C57,AGR!$B$52:$B$73,0),MATCH('TS DMARK'!$I57&amp;'TS DMARK'!AL$7,AGR!$R$46:$AC$46&amp;AGR!$R$49:$AC$49,0)),""))</f>
        <v/>
      </c>
      <c r="AM57" s="297" t="str" cm="1">
        <f t="array" aca="1" ref="AM57" ca="1">IF(AD57="*","",IFERROR(INDEX(AGR!$R$52:$AC$73,MATCH($C57,AGR!$B$52:$B$73,0),MATCH('TS DMARK'!$I57&amp;'TS DMARK'!AM$7,AGR!$R$46:$AC$46&amp;AGR!$R$49:$AC$49,0)),""))</f>
        <v/>
      </c>
      <c r="AN57" s="297" t="str" cm="1">
        <f t="array" aca="1" ref="AN57" ca="1">IF(AE57="*","",IFERROR(INDEX(AGR!$R$52:$AC$73,MATCH($C57,AGR!$B$52:$B$73,0),MATCH('TS DMARK'!$I57&amp;'TS DMARK'!AN$7,AGR!$R$46:$AC$46&amp;AGR!$R$49:$AC$49,0)),""))</f>
        <v/>
      </c>
      <c r="AO57" s="297" t="str" cm="1">
        <f t="array" aca="1" ref="AO57" ca="1">IF(AF57="*","",IFERROR(INDEX(AGR!$R$52:$AC$73,MATCH($C57,AGR!$B$52:$B$73,0),MATCH('TS DMARK'!$I57&amp;'TS DMARK'!AO$7,AGR!$R$46:$AC$46&amp;AGR!$R$49:$AC$49,0)),""))</f>
        <v/>
      </c>
      <c r="AP57" s="297" t="str" cm="1">
        <f t="array" aca="1" ref="AP57" ca="1">IF(AG57="*","",IFERROR(INDEX(AGR!$R$52:$AC$73,MATCH($C57,AGR!$B$52:$B$73,0),MATCH('TS DMARK'!$I57&amp;'TS DMARK'!AP$7,AGR!$R$46:$AC$46&amp;AGR!$R$49:$AC$49,0)),""))</f>
        <v/>
      </c>
      <c r="AQ57" s="238">
        <f>IF(AR56=AGR!$AD$74,AQ56+1,AQ56)</f>
        <v>2</v>
      </c>
      <c r="AR57" s="238">
        <f t="shared" si="9"/>
        <v>22</v>
      </c>
    </row>
    <row r="58" spans="1:44">
      <c r="A58" s="238" t="str">
        <f ca="1">IF(LEFT(OFFSET(AGR!$A$51,AR58,0),2)="\I","*","")</f>
        <v>*</v>
      </c>
      <c r="B58" s="243" t="str">
        <f t="shared" ca="1" si="0"/>
        <v/>
      </c>
      <c r="C58" s="243" t="str">
        <f ca="1">IF($A58="*","",OFFSET(AGR!$B$51,AR58,0))</f>
        <v/>
      </c>
      <c r="D58" s="298" t="str">
        <f t="shared" ca="1" si="3"/>
        <v/>
      </c>
      <c r="E58" s="243" t="str">
        <f t="shared" ca="1" si="10"/>
        <v/>
      </c>
      <c r="F58" s="243" t="str">
        <f t="shared" ca="1" si="10"/>
        <v/>
      </c>
      <c r="G58" s="298" t="str">
        <f t="shared" ca="1" si="6"/>
        <v/>
      </c>
      <c r="H58" s="298" t="str">
        <f t="shared" ca="1" si="6"/>
        <v/>
      </c>
      <c r="I58" s="298" t="str">
        <f t="shared" ca="1" si="6"/>
        <v/>
      </c>
      <c r="J58" s="297" t="str">
        <f t="array" aca="1" ref="J58" ca="1">IF(A58="*","",IFERROR(INDEX(AGR!$R$52:$AC$73,MATCH($C58,AGR!$B$52:$B$73,0),MATCH('TS DMARK'!$H58&amp;'TS DMARK'!J$7,AGR!$R$46:$AC$46&amp;AGR!$R$49:$AC$49,0)),""))</f>
        <v/>
      </c>
      <c r="K58" s="297" t="str">
        <f t="array" aca="1" ref="K58" ca="1">IF(B58="*","",IFERROR(INDEX(AGR!$R$52:$AC$73,MATCH($C58,AGR!$B$52:$B$73,0),MATCH('TS DMARK'!$H58&amp;'TS DMARK'!K$7,AGR!$R$46:$AC$46&amp;AGR!$R$49:$AC$49,0)),""))</f>
        <v/>
      </c>
      <c r="L58" s="297" t="str">
        <f t="array" aca="1" ref="L58" ca="1">IF(C58="*","",IFERROR(INDEX(AGR!$R$52:$AC$73,MATCH($C58,AGR!$B$52:$B$73,0),MATCH('TS DMARK'!$H58&amp;'TS DMARK'!L$7,AGR!$R$46:$AC$46&amp;AGR!$R$49:$AC$49,0)),""))</f>
        <v/>
      </c>
      <c r="M58" s="297" t="str">
        <f t="array" aca="1" ref="M58" ca="1">IF(D58="*","",IFERROR(INDEX(AGR!$R$52:$AC$73,MATCH($C58,AGR!$B$52:$B$73,0),MATCH('TS DMARK'!$H58&amp;'TS DMARK'!M$7,AGR!$R$46:$AC$46&amp;AGR!$R$49:$AC$49,0)),""))</f>
        <v/>
      </c>
      <c r="N58" s="297" t="str">
        <f t="array" aca="1" ref="N58" ca="1">IF(E58="*","",IFERROR(INDEX(AGR!$R$52:$AC$73,MATCH($C58,AGR!$B$52:$B$73,0),MATCH('TS DMARK'!$H58&amp;'TS DMARK'!N$7,AGR!$R$46:$AC$46&amp;AGR!$R$49:$AC$49,0)),""))</f>
        <v/>
      </c>
      <c r="O58" s="297" t="str">
        <f t="array" aca="1" ref="O58" ca="1">IF(F58="*","",IFERROR(INDEX(AGR!$R$52:$AC$73,MATCH($C58,AGR!$B$52:$B$73,0),MATCH('TS DMARK'!$H58&amp;'TS DMARK'!O$7,AGR!$R$46:$AC$46&amp;AGR!$R$49:$AC$49,0)),""))</f>
        <v/>
      </c>
      <c r="P58" s="297" t="str">
        <f t="array" aca="1" ref="P58" ca="1">IF(G58="*","",IFERROR(INDEX(AGR!$R$52:$AC$73,MATCH($C58,AGR!$B$52:$B$73,0),MATCH('TS DMARK'!$H58&amp;'TS DMARK'!P$7,AGR!$R$46:$AC$46&amp;AGR!$R$49:$AC$49,0)),""))</f>
        <v/>
      </c>
      <c r="Q58" s="297" t="str">
        <f t="array" aca="1" ref="Q58" ca="1">IF(H58="*","",IFERROR(INDEX(AGR!$R$52:$AC$73,MATCH($C58,AGR!$B$52:$B$73,0),MATCH('TS DMARK'!$H58&amp;'TS DMARK'!Q$7,AGR!$R$46:$AC$46&amp;AGR!$R$49:$AC$49,0)),""))</f>
        <v/>
      </c>
      <c r="R58" s="297" t="str">
        <f t="array" aca="1" ref="R58" ca="1">IF(I58="*","",IFERROR(INDEX(AGR!$R$52:$AC$73,MATCH($C58,AGR!$B$52:$B$73,0),MATCH('TS DMARK'!$H58&amp;'TS DMARK'!R$7,AGR!$R$46:$AC$46&amp;AGR!$R$49:$AC$49,0)),""))</f>
        <v/>
      </c>
      <c r="S58" s="297" t="str">
        <f t="array" aca="1" ref="S58" ca="1">IF(J58="*","",IFERROR(INDEX(AGR!$R$52:$AC$73,MATCH($C58,AGR!$B$52:$B$73,0),MATCH('TS DMARK'!$H58&amp;'TS DMARK'!S$7,AGR!$R$46:$AC$46&amp;AGR!$R$49:$AC$49,0)),""))</f>
        <v/>
      </c>
      <c r="T58" s="297" t="str">
        <f t="array" aca="1" ref="T58" ca="1">IF(K58="*","",IFERROR(INDEX(AGR!$R$52:$AC$73,MATCH($C58,AGR!$B$52:$B$73,0),MATCH('TS DMARK'!$H58&amp;'TS DMARK'!T$7,AGR!$R$46:$AC$46&amp;AGR!$R$49:$AC$49,0)),""))</f>
        <v/>
      </c>
      <c r="U58" s="297" t="str">
        <f t="array" aca="1" ref="U58" ca="1">IF(L58="*","",IFERROR(INDEX(AGR!$R$52:$AC$73,MATCH($C58,AGR!$B$52:$B$73,0),MATCH('TS DMARK'!$H58&amp;'TS DMARK'!U$7,AGR!$R$46:$AC$46&amp;AGR!$R$49:$AC$49,0)),""))</f>
        <v/>
      </c>
      <c r="V58" s="297" t="str">
        <f t="array" aca="1" ref="V58" ca="1">IF(M58="*","",IFERROR(INDEX(AGR!$R$52:$AC$73,MATCH($C58,AGR!$B$52:$B$73,0),MATCH('TS DMARK'!$H58&amp;'TS DMARK'!V$7,AGR!$R$46:$AC$46&amp;AGR!$R$49:$AC$49,0)),""))</f>
        <v/>
      </c>
      <c r="W58" s="297" t="str">
        <f t="array" aca="1" ref="W58" ca="1">IF(N58="*","",IFERROR(INDEX(AGR!$R$52:$AC$73,MATCH($C58,AGR!$B$52:$B$73,0),MATCH('TS DMARK'!$H58&amp;'TS DMARK'!W$7,AGR!$R$46:$AC$46&amp;AGR!$R$49:$AC$49,0)),""))</f>
        <v/>
      </c>
      <c r="X58" s="297" t="str">
        <f t="array" aca="1" ref="X58" ca="1">IF(O58="*","",IFERROR(INDEX(AGR!$R$52:$AC$73,MATCH($C58,AGR!$B$52:$B$73,0),MATCH('TS DMARK'!$H58&amp;'TS DMARK'!X$7,AGR!$R$46:$AC$46&amp;AGR!$R$49:$AC$49,0)),""))</f>
        <v/>
      </c>
      <c r="Y58" s="297" t="str">
        <f t="array" aca="1" ref="Y58" ca="1">IF(P58="*","",IFERROR(INDEX(AGR!$R$52:$AC$73,MATCH($C58,AGR!$B$52:$B$73,0),MATCH('TS DMARK'!$H58&amp;'TS DMARK'!Y$7,AGR!$R$46:$AC$46&amp;AGR!$R$49:$AC$49,0)),""))</f>
        <v/>
      </c>
      <c r="Z58" s="297" t="str">
        <f t="array" aca="1" ref="Z58" ca="1">IF(Q58="*","",IFERROR(INDEX(AGR!$R$52:$AC$73,MATCH($C58,AGR!$B$52:$B$73,0),MATCH('TS DMARK'!$H58&amp;'TS DMARK'!Z$7,AGR!$R$46:$AC$46&amp;AGR!$R$49:$AC$49,0)),""))</f>
        <v/>
      </c>
      <c r="AA58" s="297" t="str">
        <f t="array" aca="1" ref="AA58" ca="1">IF(R58="*","",IFERROR(INDEX(AGR!$R$52:$AC$73,MATCH($C58,AGR!$B$52:$B$73,0),MATCH('TS DMARK'!$H58&amp;'TS DMARK'!AA$7,AGR!$R$46:$AC$46&amp;AGR!$R$49:$AC$49,0)),""))</f>
        <v/>
      </c>
      <c r="AB58" s="297" t="str">
        <f t="array" aca="1" ref="AB58" ca="1">IF(S58="*","",IFERROR(INDEX(AGR!$R$52:$AC$73,MATCH($C58,AGR!$B$52:$B$73,0),MATCH('TS DMARK'!$H58&amp;'TS DMARK'!AB$7,AGR!$R$46:$AC$46&amp;AGR!$R$49:$AC$49,0)),""))</f>
        <v/>
      </c>
      <c r="AC58" s="297" t="str">
        <f t="array" aca="1" ref="AC58" ca="1">IF(T58="*","",IFERROR(INDEX(AGR!$R$52:$AC$73,MATCH($C58,AGR!$B$52:$B$73,0),MATCH('TS DMARK'!$H58&amp;'TS DMARK'!AC$7,AGR!$R$46:$AC$46&amp;AGR!$R$49:$AC$49,0)),""))</f>
        <v/>
      </c>
      <c r="AD58" s="297" t="str">
        <f t="array" aca="1" ref="AD58" ca="1">IF(U58="*","",IFERROR(INDEX(AGR!$R$52:$AC$73,MATCH($C58,AGR!$B$52:$B$73,0),MATCH('TS DMARK'!$H58&amp;'TS DMARK'!AD$7,AGR!$R$46:$AC$46&amp;AGR!$R$49:$AC$49,0)),""))</f>
        <v/>
      </c>
      <c r="AE58" s="297" t="str">
        <f t="array" aca="1" ref="AE58" ca="1">IF(V58="*","",IFERROR(INDEX(AGR!$R$52:$AC$73,MATCH($C58,AGR!$B$52:$B$73,0),MATCH('TS DMARK'!$H58&amp;'TS DMARK'!AE$7,AGR!$R$46:$AC$46&amp;AGR!$R$49:$AC$49,0)),""))</f>
        <v/>
      </c>
      <c r="AF58" s="297" t="str">
        <f t="array" aca="1" ref="AF58" ca="1">IF(W58="*","",IFERROR(INDEX(AGR!$R$52:$AC$73,MATCH($C58,AGR!$B$52:$B$73,0),MATCH('TS DMARK'!$H58&amp;'TS DMARK'!AF$7,AGR!$R$46:$AC$46&amp;AGR!$R$49:$AC$49,0)),""))</f>
        <v/>
      </c>
      <c r="AG58" s="297" t="str">
        <f t="array" aca="1" ref="AG58" ca="1">IF(X58="*","",IFERROR(INDEX(AGR!$R$52:$AC$73,MATCH($C58,AGR!$B$52:$B$73,0),MATCH('TS DMARK'!$H58&amp;'TS DMARK'!AG$7,AGR!$R$46:$AC$46&amp;AGR!$R$49:$AC$49,0)),""))</f>
        <v/>
      </c>
      <c r="AH58" s="297" t="str">
        <f t="array" aca="1" ref="AH58" ca="1">IF(Y58="*","",IFERROR(INDEX(AGR!$R$52:$AC$73,MATCH($C58,AGR!$B$52:$B$73,0),MATCH('TS DMARK'!$H58&amp;'TS DMARK'!AH$7,AGR!$R$46:$AC$46&amp;AGR!$R$49:$AC$49,0)),""))</f>
        <v/>
      </c>
      <c r="AI58" s="297" t="str">
        <f t="array" aca="1" ref="AI58" ca="1">IF(Z58="*","",IFERROR(INDEX(AGR!$R$52:$AC$73,MATCH($C58,AGR!$B$52:$B$73,0),MATCH('TS DMARK'!$H58&amp;'TS DMARK'!AI$7,AGR!$R$46:$AC$46&amp;AGR!$R$49:$AC$49,0)),""))</f>
        <v/>
      </c>
      <c r="AJ58" s="297" t="str">
        <f t="array" aca="1" ref="AJ58" ca="1">IF(AA58="*","",IFERROR(INDEX(AGR!$R$52:$AC$73,MATCH($C58,AGR!$B$52:$B$73,0),MATCH('TS DMARK'!$H58&amp;'TS DMARK'!AJ$7,AGR!$R$46:$AC$46&amp;AGR!$R$49:$AC$49,0)),""))</f>
        <v/>
      </c>
      <c r="AK58" s="297" t="str">
        <f t="array" aca="1" ref="AK58" ca="1">IF(AB58="*","",IFERROR(INDEX(AGR!$R$52:$AC$73,MATCH($C58,AGR!$B$52:$B$73,0),MATCH('TS DMARK'!$H58&amp;'TS DMARK'!AK$7,AGR!$R$46:$AC$46&amp;AGR!$R$49:$AC$49,0)),""))</f>
        <v/>
      </c>
      <c r="AL58" s="297" t="str">
        <f t="array" aca="1" ref="AL58" ca="1">IF(AC58="*","",IFERROR(INDEX(AGR!$R$52:$AC$73,MATCH($C58,AGR!$B$52:$B$73,0),MATCH('TS DMARK'!$H58&amp;'TS DMARK'!AL$7,AGR!$R$46:$AC$46&amp;AGR!$R$49:$AC$49,0)),""))</f>
        <v/>
      </c>
      <c r="AM58" s="297" t="str">
        <f t="array" aca="1" ref="AM58" ca="1">IF(AD58="*","",IFERROR(INDEX(AGR!$R$52:$AC$73,MATCH($C58,AGR!$B$52:$B$73,0),MATCH('TS DMARK'!$H58&amp;'TS DMARK'!AM$7,AGR!$R$46:$AC$46&amp;AGR!$R$49:$AC$49,0)),""))</f>
        <v/>
      </c>
      <c r="AN58" s="297" t="str">
        <f t="array" aca="1" ref="AN58" ca="1">IF(AE58="*","",IFERROR(INDEX(AGR!$R$52:$AC$73,MATCH($C58,AGR!$B$52:$B$73,0),MATCH('TS DMARK'!$H58&amp;'TS DMARK'!AN$7,AGR!$R$46:$AC$46&amp;AGR!$R$49:$AC$49,0)),""))</f>
        <v/>
      </c>
      <c r="AO58" s="297" t="str">
        <f t="array" aca="1" ref="AO58" ca="1">IF(AF58="*","",IFERROR(INDEX(AGR!$R$52:$AC$73,MATCH($C58,AGR!$B$52:$B$73,0),MATCH('TS DMARK'!$H58&amp;'TS DMARK'!AO$7,AGR!$R$46:$AC$46&amp;AGR!$R$49:$AC$49,0)),""))</f>
        <v/>
      </c>
      <c r="AP58" s="297" t="str">
        <f t="array" aca="1" ref="AP58" ca="1">IF(AG58="*","",IFERROR(INDEX(AGR!$R$52:$AC$73,MATCH($C58,AGR!$B$52:$B$73,0),MATCH('TS DMARK'!$H58&amp;'TS DMARK'!AP$7,AGR!$R$46:$AC$46&amp;AGR!$R$49:$AC$49,0)),""))</f>
        <v/>
      </c>
      <c r="AQ58" s="238">
        <f>IF(AR57=AGR!$AD$74,AQ57+1,AQ57)</f>
        <v>2</v>
      </c>
      <c r="AR58" s="238">
        <f t="shared" si="9"/>
        <v>23</v>
      </c>
    </row>
    <row r="59" spans="1:44">
      <c r="J59" s="297" t="str">
        <f t="array" ref="J59">IF(A59="*","",IFERROR(INDEX(AGR!$R$52:$AC$73,MATCH($C59,AGR!$B$52:$B$73,0),MATCH('TS DMARK'!$H59&amp;'TS DMARK'!J$7,AGR!$R$46:$AC$46&amp;AGR!$R$49:$AC$49,0)),""))</f>
        <v/>
      </c>
      <c r="K59" s="297" t="str">
        <f t="array" ref="K59">IF(B59="*","",IFERROR(INDEX(AGR!$R$52:$AC$73,MATCH($C59,AGR!$B$52:$B$73,0),MATCH('TS DMARK'!$H59&amp;'TS DMARK'!K$7,AGR!$R$46:$AC$46&amp;AGR!$R$49:$AC$49,0)),""))</f>
        <v/>
      </c>
      <c r="L59" s="297" t="str">
        <f t="array" ref="L59">IF(C59="*","",IFERROR(INDEX(AGR!$R$52:$AC$73,MATCH($C59,AGR!$B$52:$B$73,0),MATCH('TS DMARK'!$H59&amp;'TS DMARK'!L$7,AGR!$R$46:$AC$46&amp;AGR!$R$49:$AC$49,0)),""))</f>
        <v/>
      </c>
      <c r="M59" s="297" t="str">
        <f t="array" ref="M59">IF(D59="*","",IFERROR(INDEX(AGR!$R$52:$AC$73,MATCH($C59,AGR!$B$52:$B$73,0),MATCH('TS DMARK'!$H59&amp;'TS DMARK'!M$7,AGR!$R$46:$AC$46&amp;AGR!$R$49:$AC$49,0)),""))</f>
        <v/>
      </c>
      <c r="N59" s="297" t="str">
        <f t="array" ref="N59">IF(E59="*","",IFERROR(INDEX(AGR!$R$52:$AC$73,MATCH($C59,AGR!$B$52:$B$73,0),MATCH('TS DMARK'!$H59&amp;'TS DMARK'!N$7,AGR!$R$46:$AC$46&amp;AGR!$R$49:$AC$49,0)),""))</f>
        <v/>
      </c>
      <c r="O59" s="297" t="str">
        <f t="array" ref="O59">IF(F59="*","",IFERROR(INDEX(AGR!$R$52:$AC$73,MATCH($C59,AGR!$B$52:$B$73,0),MATCH('TS DMARK'!$H59&amp;'TS DMARK'!O$7,AGR!$R$46:$AC$46&amp;AGR!$R$49:$AC$49,0)),""))</f>
        <v/>
      </c>
      <c r="P59" s="297" t="str">
        <f t="array" ref="P59">IF(G59="*","",IFERROR(INDEX(AGR!$R$52:$AC$73,MATCH($C59,AGR!$B$52:$B$73,0),MATCH('TS DMARK'!$H59&amp;'TS DMARK'!P$7,AGR!$R$46:$AC$46&amp;AGR!$R$49:$AC$49,0)),""))</f>
        <v/>
      </c>
      <c r="Q59" s="297" t="str">
        <f t="array" ref="Q59">IF(H59="*","",IFERROR(INDEX(AGR!$R$52:$AC$73,MATCH($C59,AGR!$B$52:$B$73,0),MATCH('TS DMARK'!$H59&amp;'TS DMARK'!Q$7,AGR!$R$46:$AC$46&amp;AGR!$R$49:$AC$49,0)),""))</f>
        <v/>
      </c>
      <c r="R59" s="297" t="str">
        <f t="array" ref="R59">IF(I59="*","",IFERROR(INDEX(AGR!$R$52:$AC$73,MATCH($C59,AGR!$B$52:$B$73,0),MATCH('TS DMARK'!$H59&amp;'TS DMARK'!R$7,AGR!$R$46:$AC$46&amp;AGR!$R$49:$AC$49,0)),""))</f>
        <v/>
      </c>
      <c r="S59" s="297" t="str">
        <f t="array" ref="S59">IF(J59="*","",IFERROR(INDEX(AGR!$R$52:$AC$73,MATCH($C59,AGR!$B$52:$B$73,0),MATCH('TS DMARK'!$H59&amp;'TS DMARK'!S$7,AGR!$R$46:$AC$46&amp;AGR!$R$49:$AC$49,0)),""))</f>
        <v/>
      </c>
      <c r="T59" s="297" t="str">
        <f t="array" ref="T59">IF(K59="*","",IFERROR(INDEX(AGR!$R$52:$AC$73,MATCH($C59,AGR!$B$52:$B$73,0),MATCH('TS DMARK'!$H59&amp;'TS DMARK'!T$7,AGR!$R$46:$AC$46&amp;AGR!$R$49:$AC$49,0)),""))</f>
        <v/>
      </c>
      <c r="U59" s="297" t="str">
        <f t="array" ref="U59">IF(L59="*","",IFERROR(INDEX(AGR!$R$52:$AC$73,MATCH($C59,AGR!$B$52:$B$73,0),MATCH('TS DMARK'!$H59&amp;'TS DMARK'!U$7,AGR!$R$46:$AC$46&amp;AGR!$R$49:$AC$49,0)),""))</f>
        <v/>
      </c>
      <c r="V59" s="297" t="str">
        <f t="array" ref="V59">IF(M59="*","",IFERROR(INDEX(AGR!$R$52:$AC$73,MATCH($C59,AGR!$B$52:$B$73,0),MATCH('TS DMARK'!$H59&amp;'TS DMARK'!V$7,AGR!$R$46:$AC$46&amp;AGR!$R$49:$AC$49,0)),""))</f>
        <v/>
      </c>
      <c r="W59" s="297" t="str">
        <f t="array" ref="W59">IF(N59="*","",IFERROR(INDEX(AGR!$R$52:$AC$73,MATCH($C59,AGR!$B$52:$B$73,0),MATCH('TS DMARK'!$H59&amp;'TS DMARK'!W$7,AGR!$R$46:$AC$46&amp;AGR!$R$49:$AC$49,0)),""))</f>
        <v/>
      </c>
      <c r="X59" s="297" t="str">
        <f t="array" ref="X59">IF(O59="*","",IFERROR(INDEX(AGR!$R$52:$AC$73,MATCH($C59,AGR!$B$52:$B$73,0),MATCH('TS DMARK'!$H59&amp;'TS DMARK'!X$7,AGR!$R$46:$AC$46&amp;AGR!$R$49:$AC$49,0)),""))</f>
        <v/>
      </c>
      <c r="Y59" s="297" t="str">
        <f t="array" ref="Y59">IF(P59="*","",IFERROR(INDEX(AGR!$R$52:$AC$73,MATCH($C59,AGR!$B$52:$B$73,0),MATCH('TS DMARK'!$H59&amp;'TS DMARK'!Y$7,AGR!$R$46:$AC$46&amp;AGR!$R$49:$AC$49,0)),""))</f>
        <v/>
      </c>
      <c r="Z59" s="297" t="str">
        <f t="array" ref="Z59">IF(Q59="*","",IFERROR(INDEX(AGR!$R$52:$AC$73,MATCH($C59,AGR!$B$52:$B$73,0),MATCH('TS DMARK'!$H59&amp;'TS DMARK'!Z$7,AGR!$R$46:$AC$46&amp;AGR!$R$49:$AC$49,0)),""))</f>
        <v/>
      </c>
      <c r="AA59" s="297" t="str">
        <f t="array" ref="AA59">IF(R59="*","",IFERROR(INDEX(AGR!$R$52:$AC$73,MATCH($C59,AGR!$B$52:$B$73,0),MATCH('TS DMARK'!$H59&amp;'TS DMARK'!AA$7,AGR!$R$46:$AC$46&amp;AGR!$R$49:$AC$49,0)),""))</f>
        <v/>
      </c>
      <c r="AB59" s="297" t="str">
        <f t="array" ref="AB59">IF(S59="*","",IFERROR(INDEX(AGR!$R$52:$AC$73,MATCH($C59,AGR!$B$52:$B$73,0),MATCH('TS DMARK'!$H59&amp;'TS DMARK'!AB$7,AGR!$R$46:$AC$46&amp;AGR!$R$49:$AC$49,0)),""))</f>
        <v/>
      </c>
      <c r="AC59" s="297" t="str">
        <f t="array" ref="AC59">IF(T59="*","",IFERROR(INDEX(AGR!$R$52:$AC$73,MATCH($C59,AGR!$B$52:$B$73,0),MATCH('TS DMARK'!$H59&amp;'TS DMARK'!AC$7,AGR!$R$46:$AC$46&amp;AGR!$R$49:$AC$49,0)),""))</f>
        <v/>
      </c>
      <c r="AD59" s="297" t="str">
        <f t="array" ref="AD59">IF(U59="*","",IFERROR(INDEX(AGR!$R$52:$AC$73,MATCH($C59,AGR!$B$52:$B$73,0),MATCH('TS DMARK'!$H59&amp;'TS DMARK'!AD$7,AGR!$R$46:$AC$46&amp;AGR!$R$49:$AC$49,0)),""))</f>
        <v/>
      </c>
      <c r="AE59" s="297" t="str">
        <f t="array" ref="AE59">IF(V59="*","",IFERROR(INDEX(AGR!$R$52:$AC$73,MATCH($C59,AGR!$B$52:$B$73,0),MATCH('TS DMARK'!$H59&amp;'TS DMARK'!AE$7,AGR!$R$46:$AC$46&amp;AGR!$R$49:$AC$49,0)),""))</f>
        <v/>
      </c>
      <c r="AF59" s="297" t="str">
        <f t="array" ref="AF59">IF(W59="*","",IFERROR(INDEX(AGR!$R$52:$AC$73,MATCH($C59,AGR!$B$52:$B$73,0),MATCH('TS DMARK'!$H59&amp;'TS DMARK'!AF$7,AGR!$R$46:$AC$46&amp;AGR!$R$49:$AC$49,0)),""))</f>
        <v/>
      </c>
      <c r="AG59" s="297" t="str">
        <f t="array" ref="AG59">IF(X59="*","",IFERROR(INDEX(AGR!$R$52:$AC$73,MATCH($C59,AGR!$B$52:$B$73,0),MATCH('TS DMARK'!$H59&amp;'TS DMARK'!AG$7,AGR!$R$46:$AC$46&amp;AGR!$R$49:$AC$49,0)),""))</f>
        <v/>
      </c>
      <c r="AH59" s="297" t="str">
        <f t="array" ref="AH59">IF(Y59="*","",IFERROR(INDEX(AGR!$R$52:$AC$73,MATCH($C59,AGR!$B$52:$B$73,0),MATCH('TS DMARK'!$H59&amp;'TS DMARK'!AH$7,AGR!$R$46:$AC$46&amp;AGR!$R$49:$AC$49,0)),""))</f>
        <v/>
      </c>
      <c r="AI59" s="297" t="str">
        <f t="array" ref="AI59">IF(Z59="*","",IFERROR(INDEX(AGR!$R$52:$AC$73,MATCH($C59,AGR!$B$52:$B$73,0),MATCH('TS DMARK'!$H59&amp;'TS DMARK'!AI$7,AGR!$R$46:$AC$46&amp;AGR!$R$49:$AC$49,0)),""))</f>
        <v/>
      </c>
      <c r="AJ59" s="297" t="str">
        <f t="array" ref="AJ59">IF(AA59="*","",IFERROR(INDEX(AGR!$R$52:$AC$73,MATCH($C59,AGR!$B$52:$B$73,0),MATCH('TS DMARK'!$H59&amp;'TS DMARK'!AJ$7,AGR!$R$46:$AC$46&amp;AGR!$R$49:$AC$49,0)),""))</f>
        <v/>
      </c>
      <c r="AK59" s="297" t="str">
        <f t="array" ref="AK59">IF(AB59="*","",IFERROR(INDEX(AGR!$R$52:$AC$73,MATCH($C59,AGR!$B$52:$B$73,0),MATCH('TS DMARK'!$H59&amp;'TS DMARK'!AK$7,AGR!$R$46:$AC$46&amp;AGR!$R$49:$AC$49,0)),""))</f>
        <v/>
      </c>
      <c r="AL59" s="297" t="str">
        <f t="array" ref="AL59">IF(AC59="*","",IFERROR(INDEX(AGR!$R$52:$AC$73,MATCH($C59,AGR!$B$52:$B$73,0),MATCH('TS DMARK'!$H59&amp;'TS DMARK'!AL$7,AGR!$R$46:$AC$46&amp;AGR!$R$49:$AC$49,0)),""))</f>
        <v/>
      </c>
      <c r="AM59" s="297" t="str">
        <f t="array" ref="AM59">IF(AD59="*","",IFERROR(INDEX(AGR!$R$52:$AC$73,MATCH($C59,AGR!$B$52:$B$73,0),MATCH('TS DMARK'!$H59&amp;'TS DMARK'!AM$7,AGR!$R$46:$AC$46&amp;AGR!$R$49:$AC$49,0)),""))</f>
        <v/>
      </c>
      <c r="AN59" s="297" t="str">
        <f t="array" ref="AN59">IF(AE59="*","",IFERROR(INDEX(AGR!$R$52:$AC$73,MATCH($C59,AGR!$B$52:$B$73,0),MATCH('TS DMARK'!$H59&amp;'TS DMARK'!AN$7,AGR!$R$46:$AC$46&amp;AGR!$R$49:$AC$49,0)),""))</f>
        <v/>
      </c>
      <c r="AO59" s="297" t="str">
        <f t="array" ref="AO59">IF(AF59="*","",IFERROR(INDEX(AGR!$R$52:$AC$73,MATCH($C59,AGR!$B$52:$B$73,0),MATCH('TS DMARK'!$H59&amp;'TS DMARK'!AO$7,AGR!$R$46:$AC$46&amp;AGR!$R$49:$AC$49,0)),""))</f>
        <v/>
      </c>
      <c r="AP59" s="297" t="str">
        <f t="array" ref="AP59">IF(AG59="*","",IFERROR(INDEX(AGR!$R$52:$AC$73,MATCH($C59,AGR!$B$52:$B$73,0),MATCH('TS DMARK'!$H59&amp;'TS DMARK'!AP$7,AGR!$R$46:$AC$46&amp;AGR!$R$49:$AC$49,0)),""))</f>
        <v/>
      </c>
    </row>
    <row r="60" spans="1:44">
      <c r="J60" s="297" t="str">
        <f t="array" ref="J60">IF(A60="*","",IFERROR(INDEX(AGR!$R$52:$AC$73,MATCH($C60,AGR!$B$52:$B$73,0),MATCH('TS DMARK'!$H60&amp;'TS DMARK'!J$7,AGR!$R$46:$AC$46&amp;AGR!$R$49:$AC$49,0)),""))</f>
        <v/>
      </c>
      <c r="K60" s="297" t="str">
        <f t="array" ref="K60">IF(B60="*","",IFERROR(INDEX(AGR!$R$52:$AC$73,MATCH($C60,AGR!$B$52:$B$73,0),MATCH('TS DMARK'!$H60&amp;'TS DMARK'!K$7,AGR!$R$46:$AC$46&amp;AGR!$R$49:$AC$49,0)),""))</f>
        <v/>
      </c>
      <c r="L60" s="297" t="str">
        <f t="array" ref="L60">IF(C60="*","",IFERROR(INDEX(AGR!$R$52:$AC$73,MATCH($C60,AGR!$B$52:$B$73,0),MATCH('TS DMARK'!$H60&amp;'TS DMARK'!L$7,AGR!$R$46:$AC$46&amp;AGR!$R$49:$AC$49,0)),""))</f>
        <v/>
      </c>
      <c r="M60" s="297" t="str">
        <f t="array" ref="M60">IF(D60="*","",IFERROR(INDEX(AGR!$R$52:$AC$73,MATCH($C60,AGR!$B$52:$B$73,0),MATCH('TS DMARK'!$H60&amp;'TS DMARK'!M$7,AGR!$R$46:$AC$46&amp;AGR!$R$49:$AC$49,0)),""))</f>
        <v/>
      </c>
      <c r="N60" s="297" t="str">
        <f t="array" ref="N60">IF(E60="*","",IFERROR(INDEX(AGR!$R$52:$AC$73,MATCH($C60,AGR!$B$52:$B$73,0),MATCH('TS DMARK'!$H60&amp;'TS DMARK'!N$7,AGR!$R$46:$AC$46&amp;AGR!$R$49:$AC$49,0)),""))</f>
        <v/>
      </c>
      <c r="O60" s="297" t="str">
        <f t="array" ref="O60">IF(F60="*","",IFERROR(INDEX(AGR!$R$52:$AC$73,MATCH($C60,AGR!$B$52:$B$73,0),MATCH('TS DMARK'!$H60&amp;'TS DMARK'!O$7,AGR!$R$46:$AC$46&amp;AGR!$R$49:$AC$49,0)),""))</f>
        <v/>
      </c>
      <c r="P60" s="297" t="str">
        <f t="array" ref="P60">IF(G60="*","",IFERROR(INDEX(AGR!$R$52:$AC$73,MATCH($C60,AGR!$B$52:$B$73,0),MATCH('TS DMARK'!$H60&amp;'TS DMARK'!P$7,AGR!$R$46:$AC$46&amp;AGR!$R$49:$AC$49,0)),""))</f>
        <v/>
      </c>
      <c r="Q60" s="297" t="str">
        <f t="array" ref="Q60">IF(H60="*","",IFERROR(INDEX(AGR!$R$52:$AC$73,MATCH($C60,AGR!$B$52:$B$73,0),MATCH('TS DMARK'!$H60&amp;'TS DMARK'!Q$7,AGR!$R$46:$AC$46&amp;AGR!$R$49:$AC$49,0)),""))</f>
        <v/>
      </c>
      <c r="R60" s="297" t="str">
        <f t="array" ref="R60">IF(I60="*","",IFERROR(INDEX(AGR!$R$52:$AC$73,MATCH($C60,AGR!$B$52:$B$73,0),MATCH('TS DMARK'!$H60&amp;'TS DMARK'!R$7,AGR!$R$46:$AC$46&amp;AGR!$R$49:$AC$49,0)),""))</f>
        <v/>
      </c>
      <c r="S60" s="297" t="str">
        <f t="array" ref="S60">IF(J60="*","",IFERROR(INDEX(AGR!$R$52:$AC$73,MATCH($C60,AGR!$B$52:$B$73,0),MATCH('TS DMARK'!$H60&amp;'TS DMARK'!S$7,AGR!$R$46:$AC$46&amp;AGR!$R$49:$AC$49,0)),""))</f>
        <v/>
      </c>
      <c r="T60" s="297" t="str">
        <f t="array" ref="T60">IF(K60="*","",IFERROR(INDEX(AGR!$R$52:$AC$73,MATCH($C60,AGR!$B$52:$B$73,0),MATCH('TS DMARK'!$H60&amp;'TS DMARK'!T$7,AGR!$R$46:$AC$46&amp;AGR!$R$49:$AC$49,0)),""))</f>
        <v/>
      </c>
      <c r="U60" s="297" t="str">
        <f t="array" ref="U60">IF(L60="*","",IFERROR(INDEX(AGR!$R$52:$AC$73,MATCH($C60,AGR!$B$52:$B$73,0),MATCH('TS DMARK'!$H60&amp;'TS DMARK'!U$7,AGR!$R$46:$AC$46&amp;AGR!$R$49:$AC$49,0)),""))</f>
        <v/>
      </c>
      <c r="V60" s="297" t="str">
        <f t="array" ref="V60">IF(M60="*","",IFERROR(INDEX(AGR!$R$52:$AC$73,MATCH($C60,AGR!$B$52:$B$73,0),MATCH('TS DMARK'!$H60&amp;'TS DMARK'!V$7,AGR!$R$46:$AC$46&amp;AGR!$R$49:$AC$49,0)),""))</f>
        <v/>
      </c>
      <c r="W60" s="297" t="str">
        <f t="array" ref="W60">IF(N60="*","",IFERROR(INDEX(AGR!$R$52:$AC$73,MATCH($C60,AGR!$B$52:$B$73,0),MATCH('TS DMARK'!$H60&amp;'TS DMARK'!W$7,AGR!$R$46:$AC$46&amp;AGR!$R$49:$AC$49,0)),""))</f>
        <v/>
      </c>
      <c r="X60" s="297" t="str">
        <f t="array" ref="X60">IF(O60="*","",IFERROR(INDEX(AGR!$R$52:$AC$73,MATCH($C60,AGR!$B$52:$B$73,0),MATCH('TS DMARK'!$H60&amp;'TS DMARK'!X$7,AGR!$R$46:$AC$46&amp;AGR!$R$49:$AC$49,0)),""))</f>
        <v/>
      </c>
      <c r="Y60" s="297" t="str">
        <f t="array" ref="Y60">IF(P60="*","",IFERROR(INDEX(AGR!$R$52:$AC$73,MATCH($C60,AGR!$B$52:$B$73,0),MATCH('TS DMARK'!$H60&amp;'TS DMARK'!Y$7,AGR!$R$46:$AC$46&amp;AGR!$R$49:$AC$49,0)),""))</f>
        <v/>
      </c>
      <c r="Z60" s="297" t="str">
        <f t="array" ref="Z60">IF(Q60="*","",IFERROR(INDEX(AGR!$R$52:$AC$73,MATCH($C60,AGR!$B$52:$B$73,0),MATCH('TS DMARK'!$H60&amp;'TS DMARK'!Z$7,AGR!$R$46:$AC$46&amp;AGR!$R$49:$AC$49,0)),""))</f>
        <v/>
      </c>
      <c r="AA60" s="297" t="str">
        <f t="array" ref="AA60">IF(R60="*","",IFERROR(INDEX(AGR!$R$52:$AC$73,MATCH($C60,AGR!$B$52:$B$73,0),MATCH('TS DMARK'!$H60&amp;'TS DMARK'!AA$7,AGR!$R$46:$AC$46&amp;AGR!$R$49:$AC$49,0)),""))</f>
        <v/>
      </c>
      <c r="AB60" s="297" t="str">
        <f t="array" ref="AB60">IF(S60="*","",IFERROR(INDEX(AGR!$R$52:$AC$73,MATCH($C60,AGR!$B$52:$B$73,0),MATCH('TS DMARK'!$H60&amp;'TS DMARK'!AB$7,AGR!$R$46:$AC$46&amp;AGR!$R$49:$AC$49,0)),""))</f>
        <v/>
      </c>
      <c r="AC60" s="297" t="str">
        <f t="array" ref="AC60">IF(T60="*","",IFERROR(INDEX(AGR!$R$52:$AC$73,MATCH($C60,AGR!$B$52:$B$73,0),MATCH('TS DMARK'!$H60&amp;'TS DMARK'!AC$7,AGR!$R$46:$AC$46&amp;AGR!$R$49:$AC$49,0)),""))</f>
        <v/>
      </c>
      <c r="AD60" s="297" t="str">
        <f t="array" ref="AD60">IF(U60="*","",IFERROR(INDEX(AGR!$R$52:$AC$73,MATCH($C60,AGR!$B$52:$B$73,0),MATCH('TS DMARK'!$H60&amp;'TS DMARK'!AD$7,AGR!$R$46:$AC$46&amp;AGR!$R$49:$AC$49,0)),""))</f>
        <v/>
      </c>
      <c r="AE60" s="297" t="str">
        <f t="array" ref="AE60">IF(V60="*","",IFERROR(INDEX(AGR!$R$52:$AC$73,MATCH($C60,AGR!$B$52:$B$73,0),MATCH('TS DMARK'!$H60&amp;'TS DMARK'!AE$7,AGR!$R$46:$AC$46&amp;AGR!$R$49:$AC$49,0)),""))</f>
        <v/>
      </c>
      <c r="AF60" s="297" t="str">
        <f t="array" ref="AF60">IF(W60="*","",IFERROR(INDEX(AGR!$R$52:$AC$73,MATCH($C60,AGR!$B$52:$B$73,0),MATCH('TS DMARK'!$H60&amp;'TS DMARK'!AF$7,AGR!$R$46:$AC$46&amp;AGR!$R$49:$AC$49,0)),""))</f>
        <v/>
      </c>
      <c r="AG60" s="297" t="str">
        <f t="array" ref="AG60">IF(X60="*","",IFERROR(INDEX(AGR!$R$52:$AC$73,MATCH($C60,AGR!$B$52:$B$73,0),MATCH('TS DMARK'!$H60&amp;'TS DMARK'!AG$7,AGR!$R$46:$AC$46&amp;AGR!$R$49:$AC$49,0)),""))</f>
        <v/>
      </c>
      <c r="AH60" s="297" t="str">
        <f t="array" ref="AH60">IF(Y60="*","",IFERROR(INDEX(AGR!$R$52:$AC$73,MATCH($C60,AGR!$B$52:$B$73,0),MATCH('TS DMARK'!$H60&amp;'TS DMARK'!AH$7,AGR!$R$46:$AC$46&amp;AGR!$R$49:$AC$49,0)),""))</f>
        <v/>
      </c>
      <c r="AI60" s="297" t="str">
        <f t="array" ref="AI60">IF(Z60="*","",IFERROR(INDEX(AGR!$R$52:$AC$73,MATCH($C60,AGR!$B$52:$B$73,0),MATCH('TS DMARK'!$H60&amp;'TS DMARK'!AI$7,AGR!$R$46:$AC$46&amp;AGR!$R$49:$AC$49,0)),""))</f>
        <v/>
      </c>
      <c r="AJ60" s="297" t="str">
        <f t="array" ref="AJ60">IF(AA60="*","",IFERROR(INDEX(AGR!$R$52:$AC$73,MATCH($C60,AGR!$B$52:$B$73,0),MATCH('TS DMARK'!$H60&amp;'TS DMARK'!AJ$7,AGR!$R$46:$AC$46&amp;AGR!$R$49:$AC$49,0)),""))</f>
        <v/>
      </c>
      <c r="AK60" s="297" t="str">
        <f t="array" ref="AK60">IF(AB60="*","",IFERROR(INDEX(AGR!$R$52:$AC$73,MATCH($C60,AGR!$B$52:$B$73,0),MATCH('TS DMARK'!$H60&amp;'TS DMARK'!AK$7,AGR!$R$46:$AC$46&amp;AGR!$R$49:$AC$49,0)),""))</f>
        <v/>
      </c>
      <c r="AL60" s="297" t="str">
        <f t="array" ref="AL60">IF(AC60="*","",IFERROR(INDEX(AGR!$R$52:$AC$73,MATCH($C60,AGR!$B$52:$B$73,0),MATCH('TS DMARK'!$H60&amp;'TS DMARK'!AL$7,AGR!$R$46:$AC$46&amp;AGR!$R$49:$AC$49,0)),""))</f>
        <v/>
      </c>
      <c r="AM60" s="297" t="str">
        <f t="array" ref="AM60">IF(AD60="*","",IFERROR(INDEX(AGR!$R$52:$AC$73,MATCH($C60,AGR!$B$52:$B$73,0),MATCH('TS DMARK'!$H60&amp;'TS DMARK'!AM$7,AGR!$R$46:$AC$46&amp;AGR!$R$49:$AC$49,0)),""))</f>
        <v/>
      </c>
      <c r="AN60" s="297" t="str">
        <f t="array" ref="AN60">IF(AE60="*","",IFERROR(INDEX(AGR!$R$52:$AC$73,MATCH($C60,AGR!$B$52:$B$73,0),MATCH('TS DMARK'!$H60&amp;'TS DMARK'!AN$7,AGR!$R$46:$AC$46&amp;AGR!$R$49:$AC$49,0)),""))</f>
        <v/>
      </c>
      <c r="AO60" s="297" t="str">
        <f t="array" ref="AO60">IF(AF60="*","",IFERROR(INDEX(AGR!$R$52:$AC$73,MATCH($C60,AGR!$B$52:$B$73,0),MATCH('TS DMARK'!$H60&amp;'TS DMARK'!AO$7,AGR!$R$46:$AC$46&amp;AGR!$R$49:$AC$49,0)),""))</f>
        <v/>
      </c>
      <c r="AP60" s="297" t="str">
        <f t="array" ref="AP60">IF(AG60="*","",IFERROR(INDEX(AGR!$R$52:$AC$73,MATCH($C60,AGR!$B$52:$B$73,0),MATCH('TS DMARK'!$H60&amp;'TS DMARK'!AP$7,AGR!$R$46:$AC$46&amp;AGR!$R$49:$AC$49,0)),""))</f>
        <v/>
      </c>
    </row>
    <row r="61" spans="1:44">
      <c r="J61" s="297" t="str">
        <f t="array" ref="J61">IF(A61="*","",IFERROR(INDEX(AGR!$R$52:$AC$73,MATCH($C61,AGR!$B$52:$B$73,0),MATCH('TS DMARK'!$H61&amp;'TS DMARK'!J$7,AGR!$R$46:$AC$46&amp;AGR!$R$49:$AC$49,0)),""))</f>
        <v/>
      </c>
      <c r="K61" s="297" t="str">
        <f t="array" ref="K61">IF(B61="*","",IFERROR(INDEX(AGR!$R$52:$AC$73,MATCH($C61,AGR!$B$52:$B$73,0),MATCH('TS DMARK'!$H61&amp;'TS DMARK'!K$7,AGR!$R$46:$AC$46&amp;AGR!$R$49:$AC$49,0)),""))</f>
        <v/>
      </c>
      <c r="L61" s="297" t="str">
        <f t="array" ref="L61">IF(C61="*","",IFERROR(INDEX(AGR!$R$52:$AC$73,MATCH($C61,AGR!$B$52:$B$73,0),MATCH('TS DMARK'!$H61&amp;'TS DMARK'!L$7,AGR!$R$46:$AC$46&amp;AGR!$R$49:$AC$49,0)),""))</f>
        <v/>
      </c>
      <c r="M61" s="297" t="str">
        <f t="array" ref="M61">IF(D61="*","",IFERROR(INDEX(AGR!$R$52:$AC$73,MATCH($C61,AGR!$B$52:$B$73,0),MATCH('TS DMARK'!$H61&amp;'TS DMARK'!M$7,AGR!$R$46:$AC$46&amp;AGR!$R$49:$AC$49,0)),""))</f>
        <v/>
      </c>
      <c r="N61" s="297" t="str">
        <f t="array" ref="N61">IF(E61="*","",IFERROR(INDEX(AGR!$R$52:$AC$73,MATCH($C61,AGR!$B$52:$B$73,0),MATCH('TS DMARK'!$H61&amp;'TS DMARK'!N$7,AGR!$R$46:$AC$46&amp;AGR!$R$49:$AC$49,0)),""))</f>
        <v/>
      </c>
      <c r="O61" s="297" t="str">
        <f t="array" ref="O61">IF(F61="*","",IFERROR(INDEX(AGR!$R$52:$AC$73,MATCH($C61,AGR!$B$52:$B$73,0),MATCH('TS DMARK'!$H61&amp;'TS DMARK'!O$7,AGR!$R$46:$AC$46&amp;AGR!$R$49:$AC$49,0)),""))</f>
        <v/>
      </c>
      <c r="P61" s="297" t="str">
        <f t="array" ref="P61">IF(G61="*","",IFERROR(INDEX(AGR!$R$52:$AC$73,MATCH($C61,AGR!$B$52:$B$73,0),MATCH('TS DMARK'!$H61&amp;'TS DMARK'!P$7,AGR!$R$46:$AC$46&amp;AGR!$R$49:$AC$49,0)),""))</f>
        <v/>
      </c>
      <c r="Q61" s="297" t="str">
        <f t="array" ref="Q61">IF(H61="*","",IFERROR(INDEX(AGR!$R$52:$AC$73,MATCH($C61,AGR!$B$52:$B$73,0),MATCH('TS DMARK'!$H61&amp;'TS DMARK'!Q$7,AGR!$R$46:$AC$46&amp;AGR!$R$49:$AC$49,0)),""))</f>
        <v/>
      </c>
      <c r="R61" s="297" t="str">
        <f t="array" ref="R61">IF(I61="*","",IFERROR(INDEX(AGR!$R$52:$AC$73,MATCH($C61,AGR!$B$52:$B$73,0),MATCH('TS DMARK'!$H61&amp;'TS DMARK'!R$7,AGR!$R$46:$AC$46&amp;AGR!$R$49:$AC$49,0)),""))</f>
        <v/>
      </c>
      <c r="S61" s="297" t="str">
        <f t="array" ref="S61">IF(J61="*","",IFERROR(INDEX(AGR!$R$52:$AC$73,MATCH($C61,AGR!$B$52:$B$73,0),MATCH('TS DMARK'!$H61&amp;'TS DMARK'!S$7,AGR!$R$46:$AC$46&amp;AGR!$R$49:$AC$49,0)),""))</f>
        <v/>
      </c>
      <c r="T61" s="297" t="str">
        <f t="array" ref="T61">IF(K61="*","",IFERROR(INDEX(AGR!$R$52:$AC$73,MATCH($C61,AGR!$B$52:$B$73,0),MATCH('TS DMARK'!$H61&amp;'TS DMARK'!T$7,AGR!$R$46:$AC$46&amp;AGR!$R$49:$AC$49,0)),""))</f>
        <v/>
      </c>
      <c r="U61" s="297" t="str">
        <f t="array" ref="U61">IF(L61="*","",IFERROR(INDEX(AGR!$R$52:$AC$73,MATCH($C61,AGR!$B$52:$B$73,0),MATCH('TS DMARK'!$H61&amp;'TS DMARK'!U$7,AGR!$R$46:$AC$46&amp;AGR!$R$49:$AC$49,0)),""))</f>
        <v/>
      </c>
      <c r="V61" s="297" t="str">
        <f t="array" ref="V61">IF(M61="*","",IFERROR(INDEX(AGR!$R$52:$AC$73,MATCH($C61,AGR!$B$52:$B$73,0),MATCH('TS DMARK'!$H61&amp;'TS DMARK'!V$7,AGR!$R$46:$AC$46&amp;AGR!$R$49:$AC$49,0)),""))</f>
        <v/>
      </c>
      <c r="W61" s="297" t="str">
        <f t="array" ref="W61">IF(N61="*","",IFERROR(INDEX(AGR!$R$52:$AC$73,MATCH($C61,AGR!$B$52:$B$73,0),MATCH('TS DMARK'!$H61&amp;'TS DMARK'!W$7,AGR!$R$46:$AC$46&amp;AGR!$R$49:$AC$49,0)),""))</f>
        <v/>
      </c>
      <c r="X61" s="297" t="str">
        <f t="array" ref="X61">IF(O61="*","",IFERROR(INDEX(AGR!$R$52:$AC$73,MATCH($C61,AGR!$B$52:$B$73,0),MATCH('TS DMARK'!$H61&amp;'TS DMARK'!X$7,AGR!$R$46:$AC$46&amp;AGR!$R$49:$AC$49,0)),""))</f>
        <v/>
      </c>
      <c r="Y61" s="297" t="str">
        <f t="array" ref="Y61">IF(P61="*","",IFERROR(INDEX(AGR!$R$52:$AC$73,MATCH($C61,AGR!$B$52:$B$73,0),MATCH('TS DMARK'!$H61&amp;'TS DMARK'!Y$7,AGR!$R$46:$AC$46&amp;AGR!$R$49:$AC$49,0)),""))</f>
        <v/>
      </c>
      <c r="Z61" s="297" t="str">
        <f t="array" ref="Z61">IF(Q61="*","",IFERROR(INDEX(AGR!$R$52:$AC$73,MATCH($C61,AGR!$B$52:$B$73,0),MATCH('TS DMARK'!$H61&amp;'TS DMARK'!Z$7,AGR!$R$46:$AC$46&amp;AGR!$R$49:$AC$49,0)),""))</f>
        <v/>
      </c>
      <c r="AA61" s="297" t="str">
        <f t="array" ref="AA61">IF(R61="*","",IFERROR(INDEX(AGR!$R$52:$AC$73,MATCH($C61,AGR!$B$52:$B$73,0),MATCH('TS DMARK'!$H61&amp;'TS DMARK'!AA$7,AGR!$R$46:$AC$46&amp;AGR!$R$49:$AC$49,0)),""))</f>
        <v/>
      </c>
      <c r="AB61" s="297" t="str">
        <f t="array" ref="AB61">IF(S61="*","",IFERROR(INDEX(AGR!$R$52:$AC$73,MATCH($C61,AGR!$B$52:$B$73,0),MATCH('TS DMARK'!$H61&amp;'TS DMARK'!AB$7,AGR!$R$46:$AC$46&amp;AGR!$R$49:$AC$49,0)),""))</f>
        <v/>
      </c>
      <c r="AC61" s="297" t="str">
        <f t="array" ref="AC61">IF(T61="*","",IFERROR(INDEX(AGR!$R$52:$AC$73,MATCH($C61,AGR!$B$52:$B$73,0),MATCH('TS DMARK'!$H61&amp;'TS DMARK'!AC$7,AGR!$R$46:$AC$46&amp;AGR!$R$49:$AC$49,0)),""))</f>
        <v/>
      </c>
      <c r="AD61" s="297" t="str">
        <f t="array" ref="AD61">IF(U61="*","",IFERROR(INDEX(AGR!$R$52:$AC$73,MATCH($C61,AGR!$B$52:$B$73,0),MATCH('TS DMARK'!$H61&amp;'TS DMARK'!AD$7,AGR!$R$46:$AC$46&amp;AGR!$R$49:$AC$49,0)),""))</f>
        <v/>
      </c>
      <c r="AE61" s="297" t="str">
        <f t="array" ref="AE61">IF(V61="*","",IFERROR(INDEX(AGR!$R$52:$AC$73,MATCH($C61,AGR!$B$52:$B$73,0),MATCH('TS DMARK'!$H61&amp;'TS DMARK'!AE$7,AGR!$R$46:$AC$46&amp;AGR!$R$49:$AC$49,0)),""))</f>
        <v/>
      </c>
      <c r="AF61" s="297" t="str">
        <f t="array" ref="AF61">IF(W61="*","",IFERROR(INDEX(AGR!$R$52:$AC$73,MATCH($C61,AGR!$B$52:$B$73,0),MATCH('TS DMARK'!$H61&amp;'TS DMARK'!AF$7,AGR!$R$46:$AC$46&amp;AGR!$R$49:$AC$49,0)),""))</f>
        <v/>
      </c>
      <c r="AG61" s="297" t="str">
        <f t="array" ref="AG61">IF(X61="*","",IFERROR(INDEX(AGR!$R$52:$AC$73,MATCH($C61,AGR!$B$52:$B$73,0),MATCH('TS DMARK'!$H61&amp;'TS DMARK'!AG$7,AGR!$R$46:$AC$46&amp;AGR!$R$49:$AC$49,0)),""))</f>
        <v/>
      </c>
      <c r="AH61" s="297" t="str">
        <f t="array" ref="AH61">IF(Y61="*","",IFERROR(INDEX(AGR!$R$52:$AC$73,MATCH($C61,AGR!$B$52:$B$73,0),MATCH('TS DMARK'!$H61&amp;'TS DMARK'!AH$7,AGR!$R$46:$AC$46&amp;AGR!$R$49:$AC$49,0)),""))</f>
        <v/>
      </c>
      <c r="AI61" s="297" t="str">
        <f t="array" ref="AI61">IF(Z61="*","",IFERROR(INDEX(AGR!$R$52:$AC$73,MATCH($C61,AGR!$B$52:$B$73,0),MATCH('TS DMARK'!$H61&amp;'TS DMARK'!AI$7,AGR!$R$46:$AC$46&amp;AGR!$R$49:$AC$49,0)),""))</f>
        <v/>
      </c>
      <c r="AJ61" s="297" t="str">
        <f t="array" ref="AJ61">IF(AA61="*","",IFERROR(INDEX(AGR!$R$52:$AC$73,MATCH($C61,AGR!$B$52:$B$73,0),MATCH('TS DMARK'!$H61&amp;'TS DMARK'!AJ$7,AGR!$R$46:$AC$46&amp;AGR!$R$49:$AC$49,0)),""))</f>
        <v/>
      </c>
      <c r="AK61" s="297" t="str">
        <f t="array" ref="AK61">IF(AB61="*","",IFERROR(INDEX(AGR!$R$52:$AC$73,MATCH($C61,AGR!$B$52:$B$73,0),MATCH('TS DMARK'!$H61&amp;'TS DMARK'!AK$7,AGR!$R$46:$AC$46&amp;AGR!$R$49:$AC$49,0)),""))</f>
        <v/>
      </c>
      <c r="AL61" s="297" t="str">
        <f t="array" ref="AL61">IF(AC61="*","",IFERROR(INDEX(AGR!$R$52:$AC$73,MATCH($C61,AGR!$B$52:$B$73,0),MATCH('TS DMARK'!$H61&amp;'TS DMARK'!AL$7,AGR!$R$46:$AC$46&amp;AGR!$R$49:$AC$49,0)),""))</f>
        <v/>
      </c>
      <c r="AM61" s="297" t="str">
        <f t="array" ref="AM61">IF(AD61="*","",IFERROR(INDEX(AGR!$R$52:$AC$73,MATCH($C61,AGR!$B$52:$B$73,0),MATCH('TS DMARK'!$H61&amp;'TS DMARK'!AM$7,AGR!$R$46:$AC$46&amp;AGR!$R$49:$AC$49,0)),""))</f>
        <v/>
      </c>
      <c r="AN61" s="297" t="str">
        <f t="array" ref="AN61">IF(AE61="*","",IFERROR(INDEX(AGR!$R$52:$AC$73,MATCH($C61,AGR!$B$52:$B$73,0),MATCH('TS DMARK'!$H61&amp;'TS DMARK'!AN$7,AGR!$R$46:$AC$46&amp;AGR!$R$49:$AC$49,0)),""))</f>
        <v/>
      </c>
      <c r="AO61" s="297" t="str">
        <f t="array" ref="AO61">IF(AF61="*","",IFERROR(INDEX(AGR!$R$52:$AC$73,MATCH($C61,AGR!$B$52:$B$73,0),MATCH('TS DMARK'!$H61&amp;'TS DMARK'!AO$7,AGR!$R$46:$AC$46&amp;AGR!$R$49:$AC$49,0)),""))</f>
        <v/>
      </c>
      <c r="AP61" s="297" t="str">
        <f t="array" ref="AP61">IF(AG61="*","",IFERROR(INDEX(AGR!$R$52:$AC$73,MATCH($C61,AGR!$B$52:$B$73,0),MATCH('TS DMARK'!$H61&amp;'TS DMARK'!AP$7,AGR!$R$46:$AC$46&amp;AGR!$R$49:$AC$49,0)),""))</f>
        <v/>
      </c>
    </row>
    <row r="62" spans="1:44">
      <c r="J62" s="297" t="str">
        <f t="array" ref="J62">IF(A62="*","",IFERROR(INDEX(AGR!$R$52:$AC$73,MATCH($C62,AGR!$B$52:$B$73,0),MATCH('TS DMARK'!$H62&amp;'TS DMARK'!J$7,AGR!$R$46:$AC$46&amp;AGR!$R$49:$AC$49,0)),""))</f>
        <v/>
      </c>
      <c r="K62" s="297" t="str">
        <f t="array" ref="K62">IF(B62="*","",IFERROR(INDEX(AGR!$R$52:$AC$73,MATCH($C62,AGR!$B$52:$B$73,0),MATCH('TS DMARK'!$H62&amp;'TS DMARK'!K$7,AGR!$R$46:$AC$46&amp;AGR!$R$49:$AC$49,0)),""))</f>
        <v/>
      </c>
      <c r="L62" s="297" t="str">
        <f t="array" ref="L62">IF(C62="*","",IFERROR(INDEX(AGR!$R$52:$AC$73,MATCH($C62,AGR!$B$52:$B$73,0),MATCH('TS DMARK'!$H62&amp;'TS DMARK'!L$7,AGR!$R$46:$AC$46&amp;AGR!$R$49:$AC$49,0)),""))</f>
        <v/>
      </c>
      <c r="M62" s="297" t="str">
        <f t="array" ref="M62">IF(D62="*","",IFERROR(INDEX(AGR!$R$52:$AC$73,MATCH($C62,AGR!$B$52:$B$73,0),MATCH('TS DMARK'!$H62&amp;'TS DMARK'!M$7,AGR!$R$46:$AC$46&amp;AGR!$R$49:$AC$49,0)),""))</f>
        <v/>
      </c>
      <c r="N62" s="297" t="str">
        <f t="array" ref="N62">IF(E62="*","",IFERROR(INDEX(AGR!$R$52:$AC$73,MATCH($C62,AGR!$B$52:$B$73,0),MATCH('TS DMARK'!$H62&amp;'TS DMARK'!N$7,AGR!$R$46:$AC$46&amp;AGR!$R$49:$AC$49,0)),""))</f>
        <v/>
      </c>
      <c r="O62" s="297" t="str">
        <f t="array" ref="O62">IF(F62="*","",IFERROR(INDEX(AGR!$R$52:$AC$73,MATCH($C62,AGR!$B$52:$B$73,0),MATCH('TS DMARK'!$H62&amp;'TS DMARK'!O$7,AGR!$R$46:$AC$46&amp;AGR!$R$49:$AC$49,0)),""))</f>
        <v/>
      </c>
      <c r="P62" s="297" t="str">
        <f t="array" ref="P62">IF(G62="*","",IFERROR(INDEX(AGR!$R$52:$AC$73,MATCH($C62,AGR!$B$52:$B$73,0),MATCH('TS DMARK'!$H62&amp;'TS DMARK'!P$7,AGR!$R$46:$AC$46&amp;AGR!$R$49:$AC$49,0)),""))</f>
        <v/>
      </c>
      <c r="Q62" s="297" t="str">
        <f t="array" ref="Q62">IF(H62="*","",IFERROR(INDEX(AGR!$R$52:$AC$73,MATCH($C62,AGR!$B$52:$B$73,0),MATCH('TS DMARK'!$H62&amp;'TS DMARK'!Q$7,AGR!$R$46:$AC$46&amp;AGR!$R$49:$AC$49,0)),""))</f>
        <v/>
      </c>
      <c r="R62" s="297" t="str">
        <f t="array" ref="R62">IF(I62="*","",IFERROR(INDEX(AGR!$R$52:$AC$73,MATCH($C62,AGR!$B$52:$B$73,0),MATCH('TS DMARK'!$H62&amp;'TS DMARK'!R$7,AGR!$R$46:$AC$46&amp;AGR!$R$49:$AC$49,0)),""))</f>
        <v/>
      </c>
      <c r="S62" s="297" t="str">
        <f t="array" ref="S62">IF(J62="*","",IFERROR(INDEX(AGR!$R$52:$AC$73,MATCH($C62,AGR!$B$52:$B$73,0),MATCH('TS DMARK'!$H62&amp;'TS DMARK'!S$7,AGR!$R$46:$AC$46&amp;AGR!$R$49:$AC$49,0)),""))</f>
        <v/>
      </c>
      <c r="T62" s="297" t="str">
        <f t="array" ref="T62">IF(K62="*","",IFERROR(INDEX(AGR!$R$52:$AC$73,MATCH($C62,AGR!$B$52:$B$73,0),MATCH('TS DMARK'!$H62&amp;'TS DMARK'!T$7,AGR!$R$46:$AC$46&amp;AGR!$R$49:$AC$49,0)),""))</f>
        <v/>
      </c>
      <c r="U62" s="297" t="str">
        <f t="array" ref="U62">IF(L62="*","",IFERROR(INDEX(AGR!$R$52:$AC$73,MATCH($C62,AGR!$B$52:$B$73,0),MATCH('TS DMARK'!$H62&amp;'TS DMARK'!U$7,AGR!$R$46:$AC$46&amp;AGR!$R$49:$AC$49,0)),""))</f>
        <v/>
      </c>
      <c r="V62" s="297" t="str">
        <f t="array" ref="V62">IF(M62="*","",IFERROR(INDEX(AGR!$R$52:$AC$73,MATCH($C62,AGR!$B$52:$B$73,0),MATCH('TS DMARK'!$H62&amp;'TS DMARK'!V$7,AGR!$R$46:$AC$46&amp;AGR!$R$49:$AC$49,0)),""))</f>
        <v/>
      </c>
      <c r="W62" s="297" t="str">
        <f t="array" ref="W62">IF(N62="*","",IFERROR(INDEX(AGR!$R$52:$AC$73,MATCH($C62,AGR!$B$52:$B$73,0),MATCH('TS DMARK'!$H62&amp;'TS DMARK'!W$7,AGR!$R$46:$AC$46&amp;AGR!$R$49:$AC$49,0)),""))</f>
        <v/>
      </c>
      <c r="X62" s="297" t="str">
        <f t="array" ref="X62">IF(O62="*","",IFERROR(INDEX(AGR!$R$52:$AC$73,MATCH($C62,AGR!$B$52:$B$73,0),MATCH('TS DMARK'!$H62&amp;'TS DMARK'!X$7,AGR!$R$46:$AC$46&amp;AGR!$R$49:$AC$49,0)),""))</f>
        <v/>
      </c>
      <c r="Y62" s="297" t="str">
        <f t="array" ref="Y62">IF(P62="*","",IFERROR(INDEX(AGR!$R$52:$AC$73,MATCH($C62,AGR!$B$52:$B$73,0),MATCH('TS DMARK'!$H62&amp;'TS DMARK'!Y$7,AGR!$R$46:$AC$46&amp;AGR!$R$49:$AC$49,0)),""))</f>
        <v/>
      </c>
      <c r="Z62" s="297" t="str">
        <f t="array" ref="Z62">IF(Q62="*","",IFERROR(INDEX(AGR!$R$52:$AC$73,MATCH($C62,AGR!$B$52:$B$73,0),MATCH('TS DMARK'!$H62&amp;'TS DMARK'!Z$7,AGR!$R$46:$AC$46&amp;AGR!$R$49:$AC$49,0)),""))</f>
        <v/>
      </c>
      <c r="AA62" s="297" t="str">
        <f t="array" ref="AA62">IF(R62="*","",IFERROR(INDEX(AGR!$R$52:$AC$73,MATCH($C62,AGR!$B$52:$B$73,0),MATCH('TS DMARK'!$H62&amp;'TS DMARK'!AA$7,AGR!$R$46:$AC$46&amp;AGR!$R$49:$AC$49,0)),""))</f>
        <v/>
      </c>
      <c r="AB62" s="297" t="str">
        <f t="array" ref="AB62">IF(S62="*","",IFERROR(INDEX(AGR!$R$52:$AC$73,MATCH($C62,AGR!$B$52:$B$73,0),MATCH('TS DMARK'!$H62&amp;'TS DMARK'!AB$7,AGR!$R$46:$AC$46&amp;AGR!$R$49:$AC$49,0)),""))</f>
        <v/>
      </c>
      <c r="AC62" s="297" t="str">
        <f t="array" ref="AC62">IF(T62="*","",IFERROR(INDEX(AGR!$R$52:$AC$73,MATCH($C62,AGR!$B$52:$B$73,0),MATCH('TS DMARK'!$H62&amp;'TS DMARK'!AC$7,AGR!$R$46:$AC$46&amp;AGR!$R$49:$AC$49,0)),""))</f>
        <v/>
      </c>
      <c r="AD62" s="297" t="str">
        <f t="array" ref="AD62">IF(U62="*","",IFERROR(INDEX(AGR!$R$52:$AC$73,MATCH($C62,AGR!$B$52:$B$73,0),MATCH('TS DMARK'!$H62&amp;'TS DMARK'!AD$7,AGR!$R$46:$AC$46&amp;AGR!$R$49:$AC$49,0)),""))</f>
        <v/>
      </c>
      <c r="AE62" s="297" t="str">
        <f t="array" ref="AE62">IF(V62="*","",IFERROR(INDEX(AGR!$R$52:$AC$73,MATCH($C62,AGR!$B$52:$B$73,0),MATCH('TS DMARK'!$H62&amp;'TS DMARK'!AE$7,AGR!$R$46:$AC$46&amp;AGR!$R$49:$AC$49,0)),""))</f>
        <v/>
      </c>
      <c r="AF62" s="297" t="str">
        <f t="array" ref="AF62">IF(W62="*","",IFERROR(INDEX(AGR!$R$52:$AC$73,MATCH($C62,AGR!$B$52:$B$73,0),MATCH('TS DMARK'!$H62&amp;'TS DMARK'!AF$7,AGR!$R$46:$AC$46&amp;AGR!$R$49:$AC$49,0)),""))</f>
        <v/>
      </c>
      <c r="AG62" s="297" t="str">
        <f t="array" ref="AG62">IF(X62="*","",IFERROR(INDEX(AGR!$R$52:$AC$73,MATCH($C62,AGR!$B$52:$B$73,0),MATCH('TS DMARK'!$H62&amp;'TS DMARK'!AG$7,AGR!$R$46:$AC$46&amp;AGR!$R$49:$AC$49,0)),""))</f>
        <v/>
      </c>
      <c r="AH62" s="297" t="str">
        <f t="array" ref="AH62">IF(Y62="*","",IFERROR(INDEX(AGR!$R$52:$AC$73,MATCH($C62,AGR!$B$52:$B$73,0),MATCH('TS DMARK'!$H62&amp;'TS DMARK'!AH$7,AGR!$R$46:$AC$46&amp;AGR!$R$49:$AC$49,0)),""))</f>
        <v/>
      </c>
      <c r="AI62" s="297" t="str">
        <f t="array" ref="AI62">IF(Z62="*","",IFERROR(INDEX(AGR!$R$52:$AC$73,MATCH($C62,AGR!$B$52:$B$73,0),MATCH('TS DMARK'!$H62&amp;'TS DMARK'!AI$7,AGR!$R$46:$AC$46&amp;AGR!$R$49:$AC$49,0)),""))</f>
        <v/>
      </c>
      <c r="AJ62" s="297" t="str">
        <f t="array" ref="AJ62">IF(AA62="*","",IFERROR(INDEX(AGR!$R$52:$AC$73,MATCH($C62,AGR!$B$52:$B$73,0),MATCH('TS DMARK'!$H62&amp;'TS DMARK'!AJ$7,AGR!$R$46:$AC$46&amp;AGR!$R$49:$AC$49,0)),""))</f>
        <v/>
      </c>
      <c r="AK62" s="297" t="str">
        <f t="array" ref="AK62">IF(AB62="*","",IFERROR(INDEX(AGR!$R$52:$AC$73,MATCH($C62,AGR!$B$52:$B$73,0),MATCH('TS DMARK'!$H62&amp;'TS DMARK'!AK$7,AGR!$R$46:$AC$46&amp;AGR!$R$49:$AC$49,0)),""))</f>
        <v/>
      </c>
      <c r="AL62" s="297" t="str">
        <f t="array" ref="AL62">IF(AC62="*","",IFERROR(INDEX(AGR!$R$52:$AC$73,MATCH($C62,AGR!$B$52:$B$73,0),MATCH('TS DMARK'!$H62&amp;'TS DMARK'!AL$7,AGR!$R$46:$AC$46&amp;AGR!$R$49:$AC$49,0)),""))</f>
        <v/>
      </c>
      <c r="AM62" s="297" t="str">
        <f t="array" ref="AM62">IF(AD62="*","",IFERROR(INDEX(AGR!$R$52:$AC$73,MATCH($C62,AGR!$B$52:$B$73,0),MATCH('TS DMARK'!$H62&amp;'TS DMARK'!AM$7,AGR!$R$46:$AC$46&amp;AGR!$R$49:$AC$49,0)),""))</f>
        <v/>
      </c>
      <c r="AN62" s="297" t="str">
        <f t="array" ref="AN62">IF(AE62="*","",IFERROR(INDEX(AGR!$R$52:$AC$73,MATCH($C62,AGR!$B$52:$B$73,0),MATCH('TS DMARK'!$H62&amp;'TS DMARK'!AN$7,AGR!$R$46:$AC$46&amp;AGR!$R$49:$AC$49,0)),""))</f>
        <v/>
      </c>
      <c r="AO62" s="297" t="str">
        <f t="array" ref="AO62">IF(AF62="*","",IFERROR(INDEX(AGR!$R$52:$AC$73,MATCH($C62,AGR!$B$52:$B$73,0),MATCH('TS DMARK'!$H62&amp;'TS DMARK'!AO$7,AGR!$R$46:$AC$46&amp;AGR!$R$49:$AC$49,0)),""))</f>
        <v/>
      </c>
      <c r="AP62" s="297" t="str">
        <f t="array" ref="AP62">IF(AG62="*","",IFERROR(INDEX(AGR!$R$52:$AC$73,MATCH($C62,AGR!$B$52:$B$73,0),MATCH('TS DMARK'!$H62&amp;'TS DMARK'!AP$7,AGR!$R$46:$AC$46&amp;AGR!$R$49:$AC$49,0)),""))</f>
        <v/>
      </c>
    </row>
    <row r="63" spans="1:44">
      <c r="J63" s="244" t="str">
        <f t="array" ref="J63">IF(A63="*","",IFERROR(INDEX(AGR!$R$52:$AC$73,MATCH($C63,AGR!$B$52:$B$73,0),MATCH('TS DMARK'!$H63&amp;'TS DMARK'!J$7,AGR!$R$46:$AC$46&amp;AGR!$R$49:$AC$49,0)),""))</f>
        <v/>
      </c>
      <c r="K63" s="244" t="str">
        <f t="array" ref="K63">IF(B63="*","",IFERROR(INDEX(AGR!$R$52:$AC$73,MATCH($C63,AGR!$B$52:$B$73,0),MATCH('TS DMARK'!$H63&amp;'TS DMARK'!K$7,AGR!$R$46:$AC$46&amp;AGR!$R$49:$AC$49,0)),""))</f>
        <v/>
      </c>
      <c r="L63" s="244" t="str">
        <f t="array" ref="L63">IF(C63="*","",IFERROR(INDEX(AGR!$R$52:$AC$73,MATCH($C63,AGR!$B$52:$B$73,0),MATCH('TS DMARK'!$H63&amp;'TS DMARK'!L$7,AGR!$R$46:$AC$46&amp;AGR!$R$49:$AC$49,0)),""))</f>
        <v/>
      </c>
      <c r="M63" s="244" t="str">
        <f t="array" ref="M63">IF(D63="*","",IFERROR(INDEX(AGR!$R$52:$AC$73,MATCH($C63,AGR!$B$52:$B$73,0),MATCH('TS DMARK'!$H63&amp;'TS DMARK'!M$7,AGR!$R$46:$AC$46&amp;AGR!$R$49:$AC$49,0)),""))</f>
        <v/>
      </c>
      <c r="N63" s="244" t="str">
        <f t="array" ref="N63">IF(E63="*","",IFERROR(INDEX(AGR!$R$52:$AC$73,MATCH($C63,AGR!$B$52:$B$73,0),MATCH('TS DMARK'!$H63&amp;'TS DMARK'!N$7,AGR!$R$46:$AC$46&amp;AGR!$R$49:$AC$49,0)),""))</f>
        <v/>
      </c>
      <c r="O63" s="244" t="str">
        <f t="array" ref="O63">IF(F63="*","",IFERROR(INDEX(AGR!$R$52:$AC$73,MATCH($C63,AGR!$B$52:$B$73,0),MATCH('TS DMARK'!$H63&amp;'TS DMARK'!O$7,AGR!$R$46:$AC$46&amp;AGR!$R$49:$AC$49,0)),""))</f>
        <v/>
      </c>
      <c r="P63" s="244" t="str">
        <f t="array" ref="P63">IF(G63="*","",IFERROR(INDEX(AGR!$R$52:$AC$73,MATCH($C63,AGR!$B$52:$B$73,0),MATCH('TS DMARK'!$H63&amp;'TS DMARK'!P$7,AGR!$R$46:$AC$46&amp;AGR!$R$49:$AC$49,0)),""))</f>
        <v/>
      </c>
      <c r="Q63" s="244" t="str">
        <f t="array" ref="Q63">IF(H63="*","",IFERROR(INDEX(AGR!$R$52:$AC$73,MATCH($C63,AGR!$B$52:$B$73,0),MATCH('TS DMARK'!$H63&amp;'TS DMARK'!Q$7,AGR!$R$46:$AC$46&amp;AGR!$R$49:$AC$49,0)),""))</f>
        <v/>
      </c>
      <c r="R63" s="244" t="str">
        <f t="array" ref="R63">IF(I63="*","",IFERROR(INDEX(AGR!$R$52:$AC$73,MATCH($C63,AGR!$B$52:$B$73,0),MATCH('TS DMARK'!$H63&amp;'TS DMARK'!R$7,AGR!$R$46:$AC$46&amp;AGR!$R$49:$AC$49,0)),""))</f>
        <v/>
      </c>
      <c r="S63" s="244" t="str">
        <f t="array" ref="S63">IF(J63="*","",IFERROR(INDEX(AGR!$R$52:$AC$73,MATCH($C63,AGR!$B$52:$B$73,0),MATCH('TS DMARK'!$H63&amp;'TS DMARK'!S$7,AGR!$R$46:$AC$46&amp;AGR!$R$49:$AC$49,0)),""))</f>
        <v/>
      </c>
      <c r="T63" s="244" t="str">
        <f t="array" ref="T63">IF(K63="*","",IFERROR(INDEX(AGR!$R$52:$AC$73,MATCH($C63,AGR!$B$52:$B$73,0),MATCH('TS DMARK'!$H63&amp;'TS DMARK'!T$7,AGR!$R$46:$AC$46&amp;AGR!$R$49:$AC$49,0)),""))</f>
        <v/>
      </c>
      <c r="U63" s="244" t="str">
        <f t="array" ref="U63">IF(L63="*","",IFERROR(INDEX(AGR!$R$52:$AC$73,MATCH($C63,AGR!$B$52:$B$73,0),MATCH('TS DMARK'!$H63&amp;'TS DMARK'!U$7,AGR!$R$46:$AC$46&amp;AGR!$R$49:$AC$49,0)),""))</f>
        <v/>
      </c>
      <c r="V63" s="244" t="str">
        <f t="array" ref="V63">IF(M63="*","",IFERROR(INDEX(AGR!$R$52:$AC$73,MATCH($C63,AGR!$B$52:$B$73,0),MATCH('TS DMARK'!$H63&amp;'TS DMARK'!V$7,AGR!$R$46:$AC$46&amp;AGR!$R$49:$AC$49,0)),""))</f>
        <v/>
      </c>
      <c r="W63" s="244" t="str">
        <f t="array" ref="W63">IF(N63="*","",IFERROR(INDEX(AGR!$R$52:$AC$73,MATCH($C63,AGR!$B$52:$B$73,0),MATCH('TS DMARK'!$H63&amp;'TS DMARK'!W$7,AGR!$R$46:$AC$46&amp;AGR!$R$49:$AC$49,0)),""))</f>
        <v/>
      </c>
      <c r="X63" s="244" t="str">
        <f t="array" ref="X63">IF(O63="*","",IFERROR(INDEX(AGR!$R$52:$AC$73,MATCH($C63,AGR!$B$52:$B$73,0),MATCH('TS DMARK'!$H63&amp;'TS DMARK'!X$7,AGR!$R$46:$AC$46&amp;AGR!$R$49:$AC$49,0)),""))</f>
        <v/>
      </c>
      <c r="Y63" s="244" t="str">
        <f t="array" ref="Y63">IF(P63="*","",IFERROR(INDEX(AGR!$R$52:$AC$73,MATCH($C63,AGR!$B$52:$B$73,0),MATCH('TS DMARK'!$H63&amp;'TS DMARK'!Y$7,AGR!$R$46:$AC$46&amp;AGR!$R$49:$AC$49,0)),""))</f>
        <v/>
      </c>
      <c r="Z63" s="244" t="str">
        <f t="array" ref="Z63">IF(Q63="*","",IFERROR(INDEX(AGR!$R$52:$AC$73,MATCH($C63,AGR!$B$52:$B$73,0),MATCH('TS DMARK'!$H63&amp;'TS DMARK'!Z$7,AGR!$R$46:$AC$46&amp;AGR!$R$49:$AC$49,0)),""))</f>
        <v/>
      </c>
      <c r="AA63" s="244" t="str">
        <f t="array" ref="AA63">IF(R63="*","",IFERROR(INDEX(AGR!$R$52:$AC$73,MATCH($C63,AGR!$B$52:$B$73,0),MATCH('TS DMARK'!$H63&amp;'TS DMARK'!AA$7,AGR!$R$46:$AC$46&amp;AGR!$R$49:$AC$49,0)),""))</f>
        <v/>
      </c>
      <c r="AB63" s="244" t="str">
        <f t="array" ref="AB63">IF(S63="*","",IFERROR(INDEX(AGR!$R$52:$AC$73,MATCH($C63,AGR!$B$52:$B$73,0),MATCH('TS DMARK'!$H63&amp;'TS DMARK'!AB$7,AGR!$R$46:$AC$46&amp;AGR!$R$49:$AC$49,0)),""))</f>
        <v/>
      </c>
      <c r="AC63" s="244" t="str">
        <f t="array" ref="AC63">IF(T63="*","",IFERROR(INDEX(AGR!$R$52:$AC$73,MATCH($C63,AGR!$B$52:$B$73,0),MATCH('TS DMARK'!$H63&amp;'TS DMARK'!AC$7,AGR!$R$46:$AC$46&amp;AGR!$R$49:$AC$49,0)),""))</f>
        <v/>
      </c>
      <c r="AD63" s="244" t="str">
        <f t="array" ref="AD63">IF(U63="*","",IFERROR(INDEX(AGR!$R$52:$AC$73,MATCH($C63,AGR!$B$52:$B$73,0),MATCH('TS DMARK'!$H63&amp;'TS DMARK'!AD$7,AGR!$R$46:$AC$46&amp;AGR!$R$49:$AC$49,0)),""))</f>
        <v/>
      </c>
      <c r="AE63" s="244" t="str">
        <f t="array" ref="AE63">IF(V63="*","",IFERROR(INDEX(AGR!$R$52:$AC$73,MATCH($C63,AGR!$B$52:$B$73,0),MATCH('TS DMARK'!$H63&amp;'TS DMARK'!AE$7,AGR!$R$46:$AC$46&amp;AGR!$R$49:$AC$49,0)),""))</f>
        <v/>
      </c>
      <c r="AF63" s="244" t="str">
        <f t="array" ref="AF63">IF(W63="*","",IFERROR(INDEX(AGR!$R$52:$AC$73,MATCH($C63,AGR!$B$52:$B$73,0),MATCH('TS DMARK'!$H63&amp;'TS DMARK'!AF$7,AGR!$R$46:$AC$46&amp;AGR!$R$49:$AC$49,0)),""))</f>
        <v/>
      </c>
      <c r="AG63" s="244" t="str">
        <f t="array" ref="AG63">IF(X63="*","",IFERROR(INDEX(AGR!$R$52:$AC$73,MATCH($C63,AGR!$B$52:$B$73,0),MATCH('TS DMARK'!$H63&amp;'TS DMARK'!AG$7,AGR!$R$46:$AC$46&amp;AGR!$R$49:$AC$49,0)),""))</f>
        <v/>
      </c>
      <c r="AH63" s="244" t="str">
        <f t="array" ref="AH63">IF(Y63="*","",IFERROR(INDEX(AGR!$R$52:$AC$73,MATCH($C63,AGR!$B$52:$B$73,0),MATCH('TS DMARK'!$H63&amp;'TS DMARK'!AH$7,AGR!$R$46:$AC$46&amp;AGR!$R$49:$AC$49,0)),""))</f>
        <v/>
      </c>
      <c r="AI63" s="244" t="str">
        <f t="array" ref="AI63">IF(Z63="*","",IFERROR(INDEX(AGR!$R$52:$AC$73,MATCH($C63,AGR!$B$52:$B$73,0),MATCH('TS DMARK'!$H63&amp;'TS DMARK'!AI$7,AGR!$R$46:$AC$46&amp;AGR!$R$49:$AC$49,0)),""))</f>
        <v/>
      </c>
      <c r="AJ63" s="244" t="str">
        <f t="array" ref="AJ63">IF(AA63="*","",IFERROR(INDEX(AGR!$R$52:$AC$73,MATCH($C63,AGR!$B$52:$B$73,0),MATCH('TS DMARK'!$H63&amp;'TS DMARK'!AJ$7,AGR!$R$46:$AC$46&amp;AGR!$R$49:$AC$49,0)),""))</f>
        <v/>
      </c>
      <c r="AK63" s="244" t="str">
        <f t="array" ref="AK63">IF(AB63="*","",IFERROR(INDEX(AGR!$R$52:$AC$73,MATCH($C63,AGR!$B$52:$B$73,0),MATCH('TS DMARK'!$H63&amp;'TS DMARK'!AK$7,AGR!$R$46:$AC$46&amp;AGR!$R$49:$AC$49,0)),""))</f>
        <v/>
      </c>
      <c r="AL63" s="244" t="str">
        <f t="array" ref="AL63">IF(AC63="*","",IFERROR(INDEX(AGR!$R$52:$AC$73,MATCH($C63,AGR!$B$52:$B$73,0),MATCH('TS DMARK'!$H63&amp;'TS DMARK'!AL$7,AGR!$R$46:$AC$46&amp;AGR!$R$49:$AC$49,0)),""))</f>
        <v/>
      </c>
      <c r="AM63" s="244" t="str">
        <f t="array" ref="AM63">IF(AD63="*","",IFERROR(INDEX(AGR!$R$52:$AC$73,MATCH($C63,AGR!$B$52:$B$73,0),MATCH('TS DMARK'!$H63&amp;'TS DMARK'!AM$7,AGR!$R$46:$AC$46&amp;AGR!$R$49:$AC$49,0)),""))</f>
        <v/>
      </c>
      <c r="AN63" s="244" t="str">
        <f t="array" ref="AN63">IF(AE63="*","",IFERROR(INDEX(AGR!$R$52:$AC$73,MATCH($C63,AGR!$B$52:$B$73,0),MATCH('TS DMARK'!$H63&amp;'TS DMARK'!AN$7,AGR!$R$46:$AC$46&amp;AGR!$R$49:$AC$49,0)),""))</f>
        <v/>
      </c>
      <c r="AO63" s="244" t="str">
        <f t="array" ref="AO63">IF(AF63="*","",IFERROR(INDEX(AGR!$R$52:$AC$73,MATCH($C63,AGR!$B$52:$B$73,0),MATCH('TS DMARK'!$H63&amp;'TS DMARK'!AO$7,AGR!$R$46:$AC$46&amp;AGR!$R$49:$AC$49,0)),""))</f>
        <v/>
      </c>
      <c r="AP63" s="244" t="str">
        <f t="array" ref="AP63">IF(AG63="*","",IFERROR(INDEX(AGR!$R$52:$AC$73,MATCH($C63,AGR!$B$52:$B$73,0),MATCH('TS DMARK'!$H63&amp;'TS DMARK'!AP$7,AGR!$R$46:$AC$46&amp;AGR!$R$49:$AC$49,0)),""))</f>
        <v/>
      </c>
    </row>
    <row r="64" spans="1:44">
      <c r="J64" s="244" t="str">
        <f t="array" ref="J64">IF(A64="*","",IFERROR(INDEX(AGR!$R$52:$AC$73,MATCH($C64,AGR!$B$52:$B$73,0),MATCH('TS DMARK'!$H64&amp;'TS DMARK'!J$7,AGR!$R$46:$AC$46&amp;AGR!$R$49:$AC$49,0)),""))</f>
        <v/>
      </c>
      <c r="K64" s="244" t="str">
        <f t="array" ref="K64">IF(B64="*","",IFERROR(INDEX(AGR!$R$52:$AC$73,MATCH($C64,AGR!$B$52:$B$73,0),MATCH('TS DMARK'!$H64&amp;'TS DMARK'!K$7,AGR!$R$46:$AC$46&amp;AGR!$R$49:$AC$49,0)),""))</f>
        <v/>
      </c>
      <c r="L64" s="244" t="str">
        <f t="array" ref="L64">IF(C64="*","",IFERROR(INDEX(AGR!$R$52:$AC$73,MATCH($C64,AGR!$B$52:$B$73,0),MATCH('TS DMARK'!$H64&amp;'TS DMARK'!L$7,AGR!$R$46:$AC$46&amp;AGR!$R$49:$AC$49,0)),""))</f>
        <v/>
      </c>
      <c r="M64" s="244" t="str">
        <f t="array" ref="M64">IF(D64="*","",IFERROR(INDEX(AGR!$R$52:$AC$73,MATCH($C64,AGR!$B$52:$B$73,0),MATCH('TS DMARK'!$H64&amp;'TS DMARK'!M$7,AGR!$R$46:$AC$46&amp;AGR!$R$49:$AC$49,0)),""))</f>
        <v/>
      </c>
      <c r="N64" s="244" t="str">
        <f t="array" ref="N64">IF(E64="*","",IFERROR(INDEX(AGR!$R$52:$AC$73,MATCH($C64,AGR!$B$52:$B$73,0),MATCH('TS DMARK'!$H64&amp;'TS DMARK'!N$7,AGR!$R$46:$AC$46&amp;AGR!$R$49:$AC$49,0)),""))</f>
        <v/>
      </c>
      <c r="O64" s="244" t="str">
        <f t="array" ref="O64">IF(F64="*","",IFERROR(INDEX(AGR!$R$52:$AC$73,MATCH($C64,AGR!$B$52:$B$73,0),MATCH('TS DMARK'!$H64&amp;'TS DMARK'!O$7,AGR!$R$46:$AC$46&amp;AGR!$R$49:$AC$49,0)),""))</f>
        <v/>
      </c>
      <c r="P64" s="244" t="str">
        <f t="array" ref="P64">IF(G64="*","",IFERROR(INDEX(AGR!$R$52:$AC$73,MATCH($C64,AGR!$B$52:$B$73,0),MATCH('TS DMARK'!$H64&amp;'TS DMARK'!P$7,AGR!$R$46:$AC$46&amp;AGR!$R$49:$AC$49,0)),""))</f>
        <v/>
      </c>
      <c r="Q64" s="244" t="str">
        <f t="array" ref="Q64">IF(H64="*","",IFERROR(INDEX(AGR!$R$52:$AC$73,MATCH($C64,AGR!$B$52:$B$73,0),MATCH('TS DMARK'!$H64&amp;'TS DMARK'!Q$7,AGR!$R$46:$AC$46&amp;AGR!$R$49:$AC$49,0)),""))</f>
        <v/>
      </c>
      <c r="R64" s="244" t="str">
        <f t="array" ref="R64">IF(I64="*","",IFERROR(INDEX(AGR!$R$52:$AC$73,MATCH($C64,AGR!$B$52:$B$73,0),MATCH('TS DMARK'!$H64&amp;'TS DMARK'!R$7,AGR!$R$46:$AC$46&amp;AGR!$R$49:$AC$49,0)),""))</f>
        <v/>
      </c>
      <c r="S64" s="244" t="str">
        <f t="array" ref="S64">IF(J64="*","",IFERROR(INDEX(AGR!$R$52:$AC$73,MATCH($C64,AGR!$B$52:$B$73,0),MATCH('TS DMARK'!$H64&amp;'TS DMARK'!S$7,AGR!$R$46:$AC$46&amp;AGR!$R$49:$AC$49,0)),""))</f>
        <v/>
      </c>
      <c r="T64" s="244" t="str">
        <f t="array" ref="T64">IF(K64="*","",IFERROR(INDEX(AGR!$R$52:$AC$73,MATCH($C64,AGR!$B$52:$B$73,0),MATCH('TS DMARK'!$H64&amp;'TS DMARK'!T$7,AGR!$R$46:$AC$46&amp;AGR!$R$49:$AC$49,0)),""))</f>
        <v/>
      </c>
      <c r="U64" s="244" t="str">
        <f t="array" ref="U64">IF(L64="*","",IFERROR(INDEX(AGR!$R$52:$AC$73,MATCH($C64,AGR!$B$52:$B$73,0),MATCH('TS DMARK'!$H64&amp;'TS DMARK'!U$7,AGR!$R$46:$AC$46&amp;AGR!$R$49:$AC$49,0)),""))</f>
        <v/>
      </c>
      <c r="V64" s="244" t="str">
        <f t="array" ref="V64">IF(M64="*","",IFERROR(INDEX(AGR!$R$52:$AC$73,MATCH($C64,AGR!$B$52:$B$73,0),MATCH('TS DMARK'!$H64&amp;'TS DMARK'!V$7,AGR!$R$46:$AC$46&amp;AGR!$R$49:$AC$49,0)),""))</f>
        <v/>
      </c>
      <c r="W64" s="244" t="str">
        <f t="array" ref="W64">IF(N64="*","",IFERROR(INDEX(AGR!$R$52:$AC$73,MATCH($C64,AGR!$B$52:$B$73,0),MATCH('TS DMARK'!$H64&amp;'TS DMARK'!W$7,AGR!$R$46:$AC$46&amp;AGR!$R$49:$AC$49,0)),""))</f>
        <v/>
      </c>
      <c r="X64" s="244" t="str">
        <f t="array" ref="X64">IF(O64="*","",IFERROR(INDEX(AGR!$R$52:$AC$73,MATCH($C64,AGR!$B$52:$B$73,0),MATCH('TS DMARK'!$H64&amp;'TS DMARK'!X$7,AGR!$R$46:$AC$46&amp;AGR!$R$49:$AC$49,0)),""))</f>
        <v/>
      </c>
      <c r="Y64" s="244" t="str">
        <f t="array" ref="Y64">IF(P64="*","",IFERROR(INDEX(AGR!$R$52:$AC$73,MATCH($C64,AGR!$B$52:$B$73,0),MATCH('TS DMARK'!$H64&amp;'TS DMARK'!Y$7,AGR!$R$46:$AC$46&amp;AGR!$R$49:$AC$49,0)),""))</f>
        <v/>
      </c>
      <c r="Z64" s="244" t="str">
        <f t="array" ref="Z64">IF(Q64="*","",IFERROR(INDEX(AGR!$R$52:$AC$73,MATCH($C64,AGR!$B$52:$B$73,0),MATCH('TS DMARK'!$H64&amp;'TS DMARK'!Z$7,AGR!$R$46:$AC$46&amp;AGR!$R$49:$AC$49,0)),""))</f>
        <v/>
      </c>
      <c r="AA64" s="244" t="str">
        <f t="array" ref="AA64">IF(R64="*","",IFERROR(INDEX(AGR!$R$52:$AC$73,MATCH($C64,AGR!$B$52:$B$73,0),MATCH('TS DMARK'!$H64&amp;'TS DMARK'!AA$7,AGR!$R$46:$AC$46&amp;AGR!$R$49:$AC$49,0)),""))</f>
        <v/>
      </c>
      <c r="AB64" s="244" t="str">
        <f t="array" ref="AB64">IF(S64="*","",IFERROR(INDEX(AGR!$R$52:$AC$73,MATCH($C64,AGR!$B$52:$B$73,0),MATCH('TS DMARK'!$H64&amp;'TS DMARK'!AB$7,AGR!$R$46:$AC$46&amp;AGR!$R$49:$AC$49,0)),""))</f>
        <v/>
      </c>
      <c r="AC64" s="244" t="str">
        <f t="array" ref="AC64">IF(T64="*","",IFERROR(INDEX(AGR!$R$52:$AC$73,MATCH($C64,AGR!$B$52:$B$73,0),MATCH('TS DMARK'!$H64&amp;'TS DMARK'!AC$7,AGR!$R$46:$AC$46&amp;AGR!$R$49:$AC$49,0)),""))</f>
        <v/>
      </c>
      <c r="AD64" s="244" t="str">
        <f t="array" ref="AD64">IF(U64="*","",IFERROR(INDEX(AGR!$R$52:$AC$73,MATCH($C64,AGR!$B$52:$B$73,0),MATCH('TS DMARK'!$H64&amp;'TS DMARK'!AD$7,AGR!$R$46:$AC$46&amp;AGR!$R$49:$AC$49,0)),""))</f>
        <v/>
      </c>
      <c r="AE64" s="244" t="str">
        <f t="array" ref="AE64">IF(V64="*","",IFERROR(INDEX(AGR!$R$52:$AC$73,MATCH($C64,AGR!$B$52:$B$73,0),MATCH('TS DMARK'!$H64&amp;'TS DMARK'!AE$7,AGR!$R$46:$AC$46&amp;AGR!$R$49:$AC$49,0)),""))</f>
        <v/>
      </c>
      <c r="AF64" s="244" t="str">
        <f t="array" ref="AF64">IF(W64="*","",IFERROR(INDEX(AGR!$R$52:$AC$73,MATCH($C64,AGR!$B$52:$B$73,0),MATCH('TS DMARK'!$H64&amp;'TS DMARK'!AF$7,AGR!$R$46:$AC$46&amp;AGR!$R$49:$AC$49,0)),""))</f>
        <v/>
      </c>
      <c r="AG64" s="244" t="str">
        <f t="array" ref="AG64">IF(X64="*","",IFERROR(INDEX(AGR!$R$52:$AC$73,MATCH($C64,AGR!$B$52:$B$73,0),MATCH('TS DMARK'!$H64&amp;'TS DMARK'!AG$7,AGR!$R$46:$AC$46&amp;AGR!$R$49:$AC$49,0)),""))</f>
        <v/>
      </c>
      <c r="AH64" s="244" t="str">
        <f t="array" ref="AH64">IF(Y64="*","",IFERROR(INDEX(AGR!$R$52:$AC$73,MATCH($C64,AGR!$B$52:$B$73,0),MATCH('TS DMARK'!$H64&amp;'TS DMARK'!AH$7,AGR!$R$46:$AC$46&amp;AGR!$R$49:$AC$49,0)),""))</f>
        <v/>
      </c>
      <c r="AI64" s="244" t="str">
        <f t="array" ref="AI64">IF(Z64="*","",IFERROR(INDEX(AGR!$R$52:$AC$73,MATCH($C64,AGR!$B$52:$B$73,0),MATCH('TS DMARK'!$H64&amp;'TS DMARK'!AI$7,AGR!$R$46:$AC$46&amp;AGR!$R$49:$AC$49,0)),""))</f>
        <v/>
      </c>
      <c r="AJ64" s="244" t="str">
        <f t="array" ref="AJ64">IF(AA64="*","",IFERROR(INDEX(AGR!$R$52:$AC$73,MATCH($C64,AGR!$B$52:$B$73,0),MATCH('TS DMARK'!$H64&amp;'TS DMARK'!AJ$7,AGR!$R$46:$AC$46&amp;AGR!$R$49:$AC$49,0)),""))</f>
        <v/>
      </c>
      <c r="AK64" s="244" t="str">
        <f t="array" ref="AK64">IF(AB64="*","",IFERROR(INDEX(AGR!$R$52:$AC$73,MATCH($C64,AGR!$B$52:$B$73,0),MATCH('TS DMARK'!$H64&amp;'TS DMARK'!AK$7,AGR!$R$46:$AC$46&amp;AGR!$R$49:$AC$49,0)),""))</f>
        <v/>
      </c>
      <c r="AL64" s="244" t="str">
        <f t="array" ref="AL64">IF(AC64="*","",IFERROR(INDEX(AGR!$R$52:$AC$73,MATCH($C64,AGR!$B$52:$B$73,0),MATCH('TS DMARK'!$H64&amp;'TS DMARK'!AL$7,AGR!$R$46:$AC$46&amp;AGR!$R$49:$AC$49,0)),""))</f>
        <v/>
      </c>
      <c r="AM64" s="244" t="str">
        <f t="array" ref="AM64">IF(AD64="*","",IFERROR(INDEX(AGR!$R$52:$AC$73,MATCH($C64,AGR!$B$52:$B$73,0),MATCH('TS DMARK'!$H64&amp;'TS DMARK'!AM$7,AGR!$R$46:$AC$46&amp;AGR!$R$49:$AC$49,0)),""))</f>
        <v/>
      </c>
      <c r="AN64" s="244" t="str">
        <f t="array" ref="AN64">IF(AE64="*","",IFERROR(INDEX(AGR!$R$52:$AC$73,MATCH($C64,AGR!$B$52:$B$73,0),MATCH('TS DMARK'!$H64&amp;'TS DMARK'!AN$7,AGR!$R$46:$AC$46&amp;AGR!$R$49:$AC$49,0)),""))</f>
        <v/>
      </c>
      <c r="AO64" s="244" t="str">
        <f t="array" ref="AO64">IF(AF64="*","",IFERROR(INDEX(AGR!$R$52:$AC$73,MATCH($C64,AGR!$B$52:$B$73,0),MATCH('TS DMARK'!$H64&amp;'TS DMARK'!AO$7,AGR!$R$46:$AC$46&amp;AGR!$R$49:$AC$49,0)),""))</f>
        <v/>
      </c>
      <c r="AP64" s="244" t="str">
        <f t="array" ref="AP64">IF(AG64="*","",IFERROR(INDEX(AGR!$R$52:$AC$73,MATCH($C64,AGR!$B$52:$B$73,0),MATCH('TS DMARK'!$H64&amp;'TS DMARK'!AP$7,AGR!$R$46:$AC$46&amp;AGR!$R$49:$AC$49,0)),""))</f>
        <v/>
      </c>
    </row>
    <row r="65" spans="10:42">
      <c r="J65" s="244" t="str">
        <f t="array" ref="J65">IF(A65="*","",IFERROR(INDEX(AGR!$R$52:$AC$73,MATCH($C65,AGR!$B$52:$B$73,0),MATCH('TS DMARK'!$H65&amp;'TS DMARK'!J$7,AGR!$R$46:$AC$46&amp;AGR!$R$49:$AC$49,0)),""))</f>
        <v/>
      </c>
      <c r="K65" s="244" t="str">
        <f t="array" ref="K65">IF(B65="*","",IFERROR(INDEX(AGR!$R$52:$AC$73,MATCH($C65,AGR!$B$52:$B$73,0),MATCH('TS DMARK'!$H65&amp;'TS DMARK'!K$7,AGR!$R$46:$AC$46&amp;AGR!$R$49:$AC$49,0)),""))</f>
        <v/>
      </c>
      <c r="L65" s="244" t="str">
        <f t="array" ref="L65">IF(C65="*","",IFERROR(INDEX(AGR!$R$52:$AC$73,MATCH($C65,AGR!$B$52:$B$73,0),MATCH('TS DMARK'!$H65&amp;'TS DMARK'!L$7,AGR!$R$46:$AC$46&amp;AGR!$R$49:$AC$49,0)),""))</f>
        <v/>
      </c>
      <c r="M65" s="244" t="str">
        <f t="array" ref="M65">IF(D65="*","",IFERROR(INDEX(AGR!$R$52:$AC$73,MATCH($C65,AGR!$B$52:$B$73,0),MATCH('TS DMARK'!$H65&amp;'TS DMARK'!M$7,AGR!$R$46:$AC$46&amp;AGR!$R$49:$AC$49,0)),""))</f>
        <v/>
      </c>
      <c r="N65" s="244" t="str">
        <f t="array" ref="N65">IF(E65="*","",IFERROR(INDEX(AGR!$R$52:$AC$73,MATCH($C65,AGR!$B$52:$B$73,0),MATCH('TS DMARK'!$H65&amp;'TS DMARK'!N$7,AGR!$R$46:$AC$46&amp;AGR!$R$49:$AC$49,0)),""))</f>
        <v/>
      </c>
      <c r="O65" s="244" t="str">
        <f t="array" ref="O65">IF(F65="*","",IFERROR(INDEX(AGR!$R$52:$AC$73,MATCH($C65,AGR!$B$52:$B$73,0),MATCH('TS DMARK'!$H65&amp;'TS DMARK'!O$7,AGR!$R$46:$AC$46&amp;AGR!$R$49:$AC$49,0)),""))</f>
        <v/>
      </c>
      <c r="P65" s="244" t="str">
        <f t="array" ref="P65">IF(G65="*","",IFERROR(INDEX(AGR!$R$52:$AC$73,MATCH($C65,AGR!$B$52:$B$73,0),MATCH('TS DMARK'!$H65&amp;'TS DMARK'!P$7,AGR!$R$46:$AC$46&amp;AGR!$R$49:$AC$49,0)),""))</f>
        <v/>
      </c>
      <c r="Q65" s="244" t="str">
        <f t="array" ref="Q65">IF(H65="*","",IFERROR(INDEX(AGR!$R$52:$AC$73,MATCH($C65,AGR!$B$52:$B$73,0),MATCH('TS DMARK'!$H65&amp;'TS DMARK'!Q$7,AGR!$R$46:$AC$46&amp;AGR!$R$49:$AC$49,0)),""))</f>
        <v/>
      </c>
      <c r="R65" s="244" t="str">
        <f t="array" ref="R65">IF(I65="*","",IFERROR(INDEX(AGR!$R$52:$AC$73,MATCH($C65,AGR!$B$52:$B$73,0),MATCH('TS DMARK'!$H65&amp;'TS DMARK'!R$7,AGR!$R$46:$AC$46&amp;AGR!$R$49:$AC$49,0)),""))</f>
        <v/>
      </c>
      <c r="S65" s="244" t="str">
        <f t="array" ref="S65">IF(J65="*","",IFERROR(INDEX(AGR!$R$52:$AC$73,MATCH($C65,AGR!$B$52:$B$73,0),MATCH('TS DMARK'!$H65&amp;'TS DMARK'!S$7,AGR!$R$46:$AC$46&amp;AGR!$R$49:$AC$49,0)),""))</f>
        <v/>
      </c>
      <c r="T65" s="244" t="str">
        <f t="array" ref="T65">IF(K65="*","",IFERROR(INDEX(AGR!$R$52:$AC$73,MATCH($C65,AGR!$B$52:$B$73,0),MATCH('TS DMARK'!$H65&amp;'TS DMARK'!T$7,AGR!$R$46:$AC$46&amp;AGR!$R$49:$AC$49,0)),""))</f>
        <v/>
      </c>
      <c r="U65" s="244" t="str">
        <f t="array" ref="U65">IF(L65="*","",IFERROR(INDEX(AGR!$R$52:$AC$73,MATCH($C65,AGR!$B$52:$B$73,0),MATCH('TS DMARK'!$H65&amp;'TS DMARK'!U$7,AGR!$R$46:$AC$46&amp;AGR!$R$49:$AC$49,0)),""))</f>
        <v/>
      </c>
      <c r="V65" s="244" t="str">
        <f t="array" ref="V65">IF(M65="*","",IFERROR(INDEX(AGR!$R$52:$AC$73,MATCH($C65,AGR!$B$52:$B$73,0),MATCH('TS DMARK'!$H65&amp;'TS DMARK'!V$7,AGR!$R$46:$AC$46&amp;AGR!$R$49:$AC$49,0)),""))</f>
        <v/>
      </c>
      <c r="W65" s="244" t="str">
        <f t="array" ref="W65">IF(N65="*","",IFERROR(INDEX(AGR!$R$52:$AC$73,MATCH($C65,AGR!$B$52:$B$73,0),MATCH('TS DMARK'!$H65&amp;'TS DMARK'!W$7,AGR!$R$46:$AC$46&amp;AGR!$R$49:$AC$49,0)),""))</f>
        <v/>
      </c>
      <c r="X65" s="244" t="str">
        <f t="array" ref="X65">IF(O65="*","",IFERROR(INDEX(AGR!$R$52:$AC$73,MATCH($C65,AGR!$B$52:$B$73,0),MATCH('TS DMARK'!$H65&amp;'TS DMARK'!X$7,AGR!$R$46:$AC$46&amp;AGR!$R$49:$AC$49,0)),""))</f>
        <v/>
      </c>
      <c r="Y65" s="244" t="str">
        <f t="array" ref="Y65">IF(P65="*","",IFERROR(INDEX(AGR!$R$52:$AC$73,MATCH($C65,AGR!$B$52:$B$73,0),MATCH('TS DMARK'!$H65&amp;'TS DMARK'!Y$7,AGR!$R$46:$AC$46&amp;AGR!$R$49:$AC$49,0)),""))</f>
        <v/>
      </c>
      <c r="Z65" s="244" t="str">
        <f t="array" ref="Z65">IF(Q65="*","",IFERROR(INDEX(AGR!$R$52:$AC$73,MATCH($C65,AGR!$B$52:$B$73,0),MATCH('TS DMARK'!$H65&amp;'TS DMARK'!Z$7,AGR!$R$46:$AC$46&amp;AGR!$R$49:$AC$49,0)),""))</f>
        <v/>
      </c>
      <c r="AA65" s="244" t="str">
        <f t="array" ref="AA65">IF(R65="*","",IFERROR(INDEX(AGR!$R$52:$AC$73,MATCH($C65,AGR!$B$52:$B$73,0),MATCH('TS DMARK'!$H65&amp;'TS DMARK'!AA$7,AGR!$R$46:$AC$46&amp;AGR!$R$49:$AC$49,0)),""))</f>
        <v/>
      </c>
      <c r="AB65" s="244" t="str">
        <f t="array" ref="AB65">IF(S65="*","",IFERROR(INDEX(AGR!$R$52:$AC$73,MATCH($C65,AGR!$B$52:$B$73,0),MATCH('TS DMARK'!$H65&amp;'TS DMARK'!AB$7,AGR!$R$46:$AC$46&amp;AGR!$R$49:$AC$49,0)),""))</f>
        <v/>
      </c>
      <c r="AC65" s="244" t="str">
        <f t="array" ref="AC65">IF(T65="*","",IFERROR(INDEX(AGR!$R$52:$AC$73,MATCH($C65,AGR!$B$52:$B$73,0),MATCH('TS DMARK'!$H65&amp;'TS DMARK'!AC$7,AGR!$R$46:$AC$46&amp;AGR!$R$49:$AC$49,0)),""))</f>
        <v/>
      </c>
      <c r="AD65" s="244" t="str">
        <f t="array" ref="AD65">IF(U65="*","",IFERROR(INDEX(AGR!$R$52:$AC$73,MATCH($C65,AGR!$B$52:$B$73,0),MATCH('TS DMARK'!$H65&amp;'TS DMARK'!AD$7,AGR!$R$46:$AC$46&amp;AGR!$R$49:$AC$49,0)),""))</f>
        <v/>
      </c>
      <c r="AE65" s="244" t="str">
        <f t="array" ref="AE65">IF(V65="*","",IFERROR(INDEX(AGR!$R$52:$AC$73,MATCH($C65,AGR!$B$52:$B$73,0),MATCH('TS DMARK'!$H65&amp;'TS DMARK'!AE$7,AGR!$R$46:$AC$46&amp;AGR!$R$49:$AC$49,0)),""))</f>
        <v/>
      </c>
      <c r="AF65" s="244" t="str">
        <f t="array" ref="AF65">IF(W65="*","",IFERROR(INDEX(AGR!$R$52:$AC$73,MATCH($C65,AGR!$B$52:$B$73,0),MATCH('TS DMARK'!$H65&amp;'TS DMARK'!AF$7,AGR!$R$46:$AC$46&amp;AGR!$R$49:$AC$49,0)),""))</f>
        <v/>
      </c>
      <c r="AG65" s="244" t="str">
        <f t="array" ref="AG65">IF(X65="*","",IFERROR(INDEX(AGR!$R$52:$AC$73,MATCH($C65,AGR!$B$52:$B$73,0),MATCH('TS DMARK'!$H65&amp;'TS DMARK'!AG$7,AGR!$R$46:$AC$46&amp;AGR!$R$49:$AC$49,0)),""))</f>
        <v/>
      </c>
      <c r="AH65" s="244" t="str">
        <f t="array" ref="AH65">IF(Y65="*","",IFERROR(INDEX(AGR!$R$52:$AC$73,MATCH($C65,AGR!$B$52:$B$73,0),MATCH('TS DMARK'!$H65&amp;'TS DMARK'!AH$7,AGR!$R$46:$AC$46&amp;AGR!$R$49:$AC$49,0)),""))</f>
        <v/>
      </c>
      <c r="AI65" s="244" t="str">
        <f t="array" ref="AI65">IF(Z65="*","",IFERROR(INDEX(AGR!$R$52:$AC$73,MATCH($C65,AGR!$B$52:$B$73,0),MATCH('TS DMARK'!$H65&amp;'TS DMARK'!AI$7,AGR!$R$46:$AC$46&amp;AGR!$R$49:$AC$49,0)),""))</f>
        <v/>
      </c>
      <c r="AJ65" s="244" t="str">
        <f t="array" ref="AJ65">IF(AA65="*","",IFERROR(INDEX(AGR!$R$52:$AC$73,MATCH($C65,AGR!$B$52:$B$73,0),MATCH('TS DMARK'!$H65&amp;'TS DMARK'!AJ$7,AGR!$R$46:$AC$46&amp;AGR!$R$49:$AC$49,0)),""))</f>
        <v/>
      </c>
      <c r="AK65" s="244" t="str">
        <f t="array" ref="AK65">IF(AB65="*","",IFERROR(INDEX(AGR!$R$52:$AC$73,MATCH($C65,AGR!$B$52:$B$73,0),MATCH('TS DMARK'!$H65&amp;'TS DMARK'!AK$7,AGR!$R$46:$AC$46&amp;AGR!$R$49:$AC$49,0)),""))</f>
        <v/>
      </c>
      <c r="AL65" s="244" t="str">
        <f t="array" ref="AL65">IF(AC65="*","",IFERROR(INDEX(AGR!$R$52:$AC$73,MATCH($C65,AGR!$B$52:$B$73,0),MATCH('TS DMARK'!$H65&amp;'TS DMARK'!AL$7,AGR!$R$46:$AC$46&amp;AGR!$R$49:$AC$49,0)),""))</f>
        <v/>
      </c>
      <c r="AM65" s="244" t="str">
        <f t="array" ref="AM65">IF(AD65="*","",IFERROR(INDEX(AGR!$R$52:$AC$73,MATCH($C65,AGR!$B$52:$B$73,0),MATCH('TS DMARK'!$H65&amp;'TS DMARK'!AM$7,AGR!$R$46:$AC$46&amp;AGR!$R$49:$AC$49,0)),""))</f>
        <v/>
      </c>
      <c r="AN65" s="244" t="str">
        <f t="array" ref="AN65">IF(AE65="*","",IFERROR(INDEX(AGR!$R$52:$AC$73,MATCH($C65,AGR!$B$52:$B$73,0),MATCH('TS DMARK'!$H65&amp;'TS DMARK'!AN$7,AGR!$R$46:$AC$46&amp;AGR!$R$49:$AC$49,0)),""))</f>
        <v/>
      </c>
      <c r="AO65" s="244" t="str">
        <f t="array" ref="AO65">IF(AF65="*","",IFERROR(INDEX(AGR!$R$52:$AC$73,MATCH($C65,AGR!$B$52:$B$73,0),MATCH('TS DMARK'!$H65&amp;'TS DMARK'!AO$7,AGR!$R$46:$AC$46&amp;AGR!$R$49:$AC$49,0)),""))</f>
        <v/>
      </c>
      <c r="AP65" s="244" t="str">
        <f t="array" ref="AP65">IF(AG65="*","",IFERROR(INDEX(AGR!$R$52:$AC$73,MATCH($C65,AGR!$B$52:$B$73,0),MATCH('TS DMARK'!$H65&amp;'TS DMARK'!AP$7,AGR!$R$46:$AC$46&amp;AGR!$R$49:$AC$49,0)),""))</f>
        <v/>
      </c>
    </row>
    <row r="66" spans="10:42">
      <c r="J66" s="244" t="str">
        <f t="array" ref="J66">IF(A66="*","",IFERROR(INDEX(AGR!$R$52:$AC$73,MATCH($C66,AGR!$B$52:$B$73,0),MATCH('TS DMARK'!$H66&amp;'TS DMARK'!J$7,AGR!$R$46:$AC$46&amp;AGR!$R$49:$AC$49,0)),""))</f>
        <v/>
      </c>
      <c r="K66" s="244" t="str">
        <f t="array" ref="K66">IF(B66="*","",IFERROR(INDEX(AGR!$R$52:$AC$73,MATCH($C66,AGR!$B$52:$B$73,0),MATCH('TS DMARK'!$H66&amp;'TS DMARK'!K$7,AGR!$R$46:$AC$46&amp;AGR!$R$49:$AC$49,0)),""))</f>
        <v/>
      </c>
      <c r="L66" s="244" t="str">
        <f t="array" ref="L66">IF(C66="*","",IFERROR(INDEX(AGR!$R$52:$AC$73,MATCH($C66,AGR!$B$52:$B$73,0),MATCH('TS DMARK'!$H66&amp;'TS DMARK'!L$7,AGR!$R$46:$AC$46&amp;AGR!$R$49:$AC$49,0)),""))</f>
        <v/>
      </c>
      <c r="M66" s="244" t="str">
        <f t="array" ref="M66">IF(D66="*","",IFERROR(INDEX(AGR!$R$52:$AC$73,MATCH($C66,AGR!$B$52:$B$73,0),MATCH('TS DMARK'!$H66&amp;'TS DMARK'!M$7,AGR!$R$46:$AC$46&amp;AGR!$R$49:$AC$49,0)),""))</f>
        <v/>
      </c>
      <c r="N66" s="244" t="str">
        <f t="array" ref="N66">IF(E66="*","",IFERROR(INDEX(AGR!$R$52:$AC$73,MATCH($C66,AGR!$B$52:$B$73,0),MATCH('TS DMARK'!$H66&amp;'TS DMARK'!N$7,AGR!$R$46:$AC$46&amp;AGR!$R$49:$AC$49,0)),""))</f>
        <v/>
      </c>
      <c r="O66" s="244" t="str">
        <f t="array" ref="O66">IF(F66="*","",IFERROR(INDEX(AGR!$R$52:$AC$73,MATCH($C66,AGR!$B$52:$B$73,0),MATCH('TS DMARK'!$H66&amp;'TS DMARK'!O$7,AGR!$R$46:$AC$46&amp;AGR!$R$49:$AC$49,0)),""))</f>
        <v/>
      </c>
      <c r="P66" s="244" t="str">
        <f t="array" ref="P66">IF(G66="*","",IFERROR(INDEX(AGR!$R$52:$AC$73,MATCH($C66,AGR!$B$52:$B$73,0),MATCH('TS DMARK'!$H66&amp;'TS DMARK'!P$7,AGR!$R$46:$AC$46&amp;AGR!$R$49:$AC$49,0)),""))</f>
        <v/>
      </c>
      <c r="Q66" s="244" t="str">
        <f t="array" ref="Q66">IF(H66="*","",IFERROR(INDEX(AGR!$R$52:$AC$73,MATCH($C66,AGR!$B$52:$B$73,0),MATCH('TS DMARK'!$H66&amp;'TS DMARK'!Q$7,AGR!$R$46:$AC$46&amp;AGR!$R$49:$AC$49,0)),""))</f>
        <v/>
      </c>
      <c r="R66" s="244" t="str">
        <f t="array" ref="R66">IF(I66="*","",IFERROR(INDEX(AGR!$R$52:$AC$73,MATCH($C66,AGR!$B$52:$B$73,0),MATCH('TS DMARK'!$H66&amp;'TS DMARK'!R$7,AGR!$R$46:$AC$46&amp;AGR!$R$49:$AC$49,0)),""))</f>
        <v/>
      </c>
      <c r="S66" s="244" t="str">
        <f t="array" ref="S66">IF(J66="*","",IFERROR(INDEX(AGR!$R$52:$AC$73,MATCH($C66,AGR!$B$52:$B$73,0),MATCH('TS DMARK'!$H66&amp;'TS DMARK'!S$7,AGR!$R$46:$AC$46&amp;AGR!$R$49:$AC$49,0)),""))</f>
        <v/>
      </c>
      <c r="T66" s="244" t="str">
        <f t="array" ref="T66">IF(K66="*","",IFERROR(INDEX(AGR!$R$52:$AC$73,MATCH($C66,AGR!$B$52:$B$73,0),MATCH('TS DMARK'!$H66&amp;'TS DMARK'!T$7,AGR!$R$46:$AC$46&amp;AGR!$R$49:$AC$49,0)),""))</f>
        <v/>
      </c>
      <c r="U66" s="244" t="str">
        <f t="array" ref="U66">IF(L66="*","",IFERROR(INDEX(AGR!$R$52:$AC$73,MATCH($C66,AGR!$B$52:$B$73,0),MATCH('TS DMARK'!$H66&amp;'TS DMARK'!U$7,AGR!$R$46:$AC$46&amp;AGR!$R$49:$AC$49,0)),""))</f>
        <v/>
      </c>
      <c r="V66" s="244" t="str">
        <f t="array" ref="V66">IF(M66="*","",IFERROR(INDEX(AGR!$R$52:$AC$73,MATCH($C66,AGR!$B$52:$B$73,0),MATCH('TS DMARK'!$H66&amp;'TS DMARK'!V$7,AGR!$R$46:$AC$46&amp;AGR!$R$49:$AC$49,0)),""))</f>
        <v/>
      </c>
      <c r="W66" s="244" t="str">
        <f t="array" ref="W66">IF(N66="*","",IFERROR(INDEX(AGR!$R$52:$AC$73,MATCH($C66,AGR!$B$52:$B$73,0),MATCH('TS DMARK'!$H66&amp;'TS DMARK'!W$7,AGR!$R$46:$AC$46&amp;AGR!$R$49:$AC$49,0)),""))</f>
        <v/>
      </c>
      <c r="X66" s="244" t="str">
        <f t="array" ref="X66">IF(O66="*","",IFERROR(INDEX(AGR!$R$52:$AC$73,MATCH($C66,AGR!$B$52:$B$73,0),MATCH('TS DMARK'!$H66&amp;'TS DMARK'!X$7,AGR!$R$46:$AC$46&amp;AGR!$R$49:$AC$49,0)),""))</f>
        <v/>
      </c>
      <c r="Y66" s="244" t="str">
        <f t="array" ref="Y66">IF(P66="*","",IFERROR(INDEX(AGR!$R$52:$AC$73,MATCH($C66,AGR!$B$52:$B$73,0),MATCH('TS DMARK'!$H66&amp;'TS DMARK'!Y$7,AGR!$R$46:$AC$46&amp;AGR!$R$49:$AC$49,0)),""))</f>
        <v/>
      </c>
      <c r="Z66" s="244" t="str">
        <f t="array" ref="Z66">IF(Q66="*","",IFERROR(INDEX(AGR!$R$52:$AC$73,MATCH($C66,AGR!$B$52:$B$73,0),MATCH('TS DMARK'!$H66&amp;'TS DMARK'!Z$7,AGR!$R$46:$AC$46&amp;AGR!$R$49:$AC$49,0)),""))</f>
        <v/>
      </c>
      <c r="AA66" s="244" t="str">
        <f t="array" ref="AA66">IF(R66="*","",IFERROR(INDEX(AGR!$R$52:$AC$73,MATCH($C66,AGR!$B$52:$B$73,0),MATCH('TS DMARK'!$H66&amp;'TS DMARK'!AA$7,AGR!$R$46:$AC$46&amp;AGR!$R$49:$AC$49,0)),""))</f>
        <v/>
      </c>
      <c r="AB66" s="244" t="str">
        <f t="array" ref="AB66">IF(S66="*","",IFERROR(INDEX(AGR!$R$52:$AC$73,MATCH($C66,AGR!$B$52:$B$73,0),MATCH('TS DMARK'!$H66&amp;'TS DMARK'!AB$7,AGR!$R$46:$AC$46&amp;AGR!$R$49:$AC$49,0)),""))</f>
        <v/>
      </c>
      <c r="AC66" s="244" t="str">
        <f t="array" ref="AC66">IF(T66="*","",IFERROR(INDEX(AGR!$R$52:$AC$73,MATCH($C66,AGR!$B$52:$B$73,0),MATCH('TS DMARK'!$H66&amp;'TS DMARK'!AC$7,AGR!$R$46:$AC$46&amp;AGR!$R$49:$AC$49,0)),""))</f>
        <v/>
      </c>
      <c r="AD66" s="244" t="str">
        <f t="array" ref="AD66">IF(U66="*","",IFERROR(INDEX(AGR!$R$52:$AC$73,MATCH($C66,AGR!$B$52:$B$73,0),MATCH('TS DMARK'!$H66&amp;'TS DMARK'!AD$7,AGR!$R$46:$AC$46&amp;AGR!$R$49:$AC$49,0)),""))</f>
        <v/>
      </c>
      <c r="AE66" s="244" t="str">
        <f t="array" ref="AE66">IF(V66="*","",IFERROR(INDEX(AGR!$R$52:$AC$73,MATCH($C66,AGR!$B$52:$B$73,0),MATCH('TS DMARK'!$H66&amp;'TS DMARK'!AE$7,AGR!$R$46:$AC$46&amp;AGR!$R$49:$AC$49,0)),""))</f>
        <v/>
      </c>
      <c r="AF66" s="244" t="str">
        <f t="array" ref="AF66">IF(W66="*","",IFERROR(INDEX(AGR!$R$52:$AC$73,MATCH($C66,AGR!$B$52:$B$73,0),MATCH('TS DMARK'!$H66&amp;'TS DMARK'!AF$7,AGR!$R$46:$AC$46&amp;AGR!$R$49:$AC$49,0)),""))</f>
        <v/>
      </c>
      <c r="AG66" s="244" t="str">
        <f t="array" ref="AG66">IF(X66="*","",IFERROR(INDEX(AGR!$R$52:$AC$73,MATCH($C66,AGR!$B$52:$B$73,0),MATCH('TS DMARK'!$H66&amp;'TS DMARK'!AG$7,AGR!$R$46:$AC$46&amp;AGR!$R$49:$AC$49,0)),""))</f>
        <v/>
      </c>
      <c r="AH66" s="244" t="str">
        <f t="array" ref="AH66">IF(Y66="*","",IFERROR(INDEX(AGR!$R$52:$AC$73,MATCH($C66,AGR!$B$52:$B$73,0),MATCH('TS DMARK'!$H66&amp;'TS DMARK'!AH$7,AGR!$R$46:$AC$46&amp;AGR!$R$49:$AC$49,0)),""))</f>
        <v/>
      </c>
      <c r="AI66" s="244" t="str">
        <f t="array" ref="AI66">IF(Z66="*","",IFERROR(INDEX(AGR!$R$52:$AC$73,MATCH($C66,AGR!$B$52:$B$73,0),MATCH('TS DMARK'!$H66&amp;'TS DMARK'!AI$7,AGR!$R$46:$AC$46&amp;AGR!$R$49:$AC$49,0)),""))</f>
        <v/>
      </c>
      <c r="AJ66" s="244" t="str">
        <f t="array" ref="AJ66">IF(AA66="*","",IFERROR(INDEX(AGR!$R$52:$AC$73,MATCH($C66,AGR!$B$52:$B$73,0),MATCH('TS DMARK'!$H66&amp;'TS DMARK'!AJ$7,AGR!$R$46:$AC$46&amp;AGR!$R$49:$AC$49,0)),""))</f>
        <v/>
      </c>
      <c r="AK66" s="244" t="str">
        <f t="array" ref="AK66">IF(AB66="*","",IFERROR(INDEX(AGR!$R$52:$AC$73,MATCH($C66,AGR!$B$52:$B$73,0),MATCH('TS DMARK'!$H66&amp;'TS DMARK'!AK$7,AGR!$R$46:$AC$46&amp;AGR!$R$49:$AC$49,0)),""))</f>
        <v/>
      </c>
      <c r="AL66" s="244" t="str">
        <f t="array" ref="AL66">IF(AC66="*","",IFERROR(INDEX(AGR!$R$52:$AC$73,MATCH($C66,AGR!$B$52:$B$73,0),MATCH('TS DMARK'!$H66&amp;'TS DMARK'!AL$7,AGR!$R$46:$AC$46&amp;AGR!$R$49:$AC$49,0)),""))</f>
        <v/>
      </c>
      <c r="AM66" s="244" t="str">
        <f t="array" ref="AM66">IF(AD66="*","",IFERROR(INDEX(AGR!$R$52:$AC$73,MATCH($C66,AGR!$B$52:$B$73,0),MATCH('TS DMARK'!$H66&amp;'TS DMARK'!AM$7,AGR!$R$46:$AC$46&amp;AGR!$R$49:$AC$49,0)),""))</f>
        <v/>
      </c>
      <c r="AN66" s="244" t="str">
        <f t="array" ref="AN66">IF(AE66="*","",IFERROR(INDEX(AGR!$R$52:$AC$73,MATCH($C66,AGR!$B$52:$B$73,0),MATCH('TS DMARK'!$H66&amp;'TS DMARK'!AN$7,AGR!$R$46:$AC$46&amp;AGR!$R$49:$AC$49,0)),""))</f>
        <v/>
      </c>
      <c r="AO66" s="244" t="str">
        <f t="array" ref="AO66">IF(AF66="*","",IFERROR(INDEX(AGR!$R$52:$AC$73,MATCH($C66,AGR!$B$52:$B$73,0),MATCH('TS DMARK'!$H66&amp;'TS DMARK'!AO$7,AGR!$R$46:$AC$46&amp;AGR!$R$49:$AC$49,0)),""))</f>
        <v/>
      </c>
      <c r="AP66" s="244" t="str">
        <f t="array" ref="AP66">IF(AG66="*","",IFERROR(INDEX(AGR!$R$52:$AC$73,MATCH($C66,AGR!$B$52:$B$73,0),MATCH('TS DMARK'!$H66&amp;'TS DMARK'!AP$7,AGR!$R$46:$AC$46&amp;AGR!$R$49:$AC$49,0)),""))</f>
        <v/>
      </c>
    </row>
    <row r="67" spans="10:42">
      <c r="J67" s="244" t="str">
        <f t="array" ref="J67">IF(A67="*","",IFERROR(INDEX(AGR!$R$52:$AC$73,MATCH($C67,AGR!$B$52:$B$73,0),MATCH('TS DMARK'!$H67&amp;'TS DMARK'!J$7,AGR!$R$46:$AC$46&amp;AGR!$R$49:$AC$49,0)),""))</f>
        <v/>
      </c>
      <c r="K67" s="244" t="str">
        <f t="array" ref="K67">IF(B67="*","",IFERROR(INDEX(AGR!$R$52:$AC$73,MATCH($C67,AGR!$B$52:$B$73,0),MATCH('TS DMARK'!$H67&amp;'TS DMARK'!K$7,AGR!$R$46:$AC$46&amp;AGR!$R$49:$AC$49,0)),""))</f>
        <v/>
      </c>
      <c r="L67" s="244" t="str">
        <f t="array" ref="L67">IF(C67="*","",IFERROR(INDEX(AGR!$R$52:$AC$73,MATCH($C67,AGR!$B$52:$B$73,0),MATCH('TS DMARK'!$H67&amp;'TS DMARK'!L$7,AGR!$R$46:$AC$46&amp;AGR!$R$49:$AC$49,0)),""))</f>
        <v/>
      </c>
      <c r="M67" s="244" t="str">
        <f t="array" ref="M67">IF(D67="*","",IFERROR(INDEX(AGR!$R$52:$AC$73,MATCH($C67,AGR!$B$52:$B$73,0),MATCH('TS DMARK'!$H67&amp;'TS DMARK'!M$7,AGR!$R$46:$AC$46&amp;AGR!$R$49:$AC$49,0)),""))</f>
        <v/>
      </c>
      <c r="N67" s="244" t="str">
        <f t="array" ref="N67">IF(E67="*","",IFERROR(INDEX(AGR!$R$52:$AC$73,MATCH($C67,AGR!$B$52:$B$73,0),MATCH('TS DMARK'!$H67&amp;'TS DMARK'!N$7,AGR!$R$46:$AC$46&amp;AGR!$R$49:$AC$49,0)),""))</f>
        <v/>
      </c>
      <c r="O67" s="244" t="str">
        <f t="array" ref="O67">IF(F67="*","",IFERROR(INDEX(AGR!$R$52:$AC$73,MATCH($C67,AGR!$B$52:$B$73,0),MATCH('TS DMARK'!$H67&amp;'TS DMARK'!O$7,AGR!$R$46:$AC$46&amp;AGR!$R$49:$AC$49,0)),""))</f>
        <v/>
      </c>
      <c r="P67" s="244" t="str">
        <f t="array" ref="P67">IF(G67="*","",IFERROR(INDEX(AGR!$R$52:$AC$73,MATCH($C67,AGR!$B$52:$B$73,0),MATCH('TS DMARK'!$H67&amp;'TS DMARK'!P$7,AGR!$R$46:$AC$46&amp;AGR!$R$49:$AC$49,0)),""))</f>
        <v/>
      </c>
      <c r="Q67" s="244" t="str">
        <f t="array" ref="Q67">IF(H67="*","",IFERROR(INDEX(AGR!$R$52:$AC$73,MATCH($C67,AGR!$B$52:$B$73,0),MATCH('TS DMARK'!$H67&amp;'TS DMARK'!Q$7,AGR!$R$46:$AC$46&amp;AGR!$R$49:$AC$49,0)),""))</f>
        <v/>
      </c>
      <c r="R67" s="244" t="str">
        <f t="array" ref="R67">IF(I67="*","",IFERROR(INDEX(AGR!$R$52:$AC$73,MATCH($C67,AGR!$B$52:$B$73,0),MATCH('TS DMARK'!$H67&amp;'TS DMARK'!R$7,AGR!$R$46:$AC$46&amp;AGR!$R$49:$AC$49,0)),""))</f>
        <v/>
      </c>
      <c r="S67" s="244" t="str">
        <f t="array" ref="S67">IF(J67="*","",IFERROR(INDEX(AGR!$R$52:$AC$73,MATCH($C67,AGR!$B$52:$B$73,0),MATCH('TS DMARK'!$H67&amp;'TS DMARK'!S$7,AGR!$R$46:$AC$46&amp;AGR!$R$49:$AC$49,0)),""))</f>
        <v/>
      </c>
      <c r="T67" s="244" t="str">
        <f t="array" ref="T67">IF(K67="*","",IFERROR(INDEX(AGR!$R$52:$AC$73,MATCH($C67,AGR!$B$52:$B$73,0),MATCH('TS DMARK'!$H67&amp;'TS DMARK'!T$7,AGR!$R$46:$AC$46&amp;AGR!$R$49:$AC$49,0)),""))</f>
        <v/>
      </c>
      <c r="U67" s="244" t="str">
        <f t="array" ref="U67">IF(L67="*","",IFERROR(INDEX(AGR!$R$52:$AC$73,MATCH($C67,AGR!$B$52:$B$73,0),MATCH('TS DMARK'!$H67&amp;'TS DMARK'!U$7,AGR!$R$46:$AC$46&amp;AGR!$R$49:$AC$49,0)),""))</f>
        <v/>
      </c>
      <c r="V67" s="244" t="str">
        <f t="array" ref="V67">IF(M67="*","",IFERROR(INDEX(AGR!$R$52:$AC$73,MATCH($C67,AGR!$B$52:$B$73,0),MATCH('TS DMARK'!$H67&amp;'TS DMARK'!V$7,AGR!$R$46:$AC$46&amp;AGR!$R$49:$AC$49,0)),""))</f>
        <v/>
      </c>
      <c r="W67" s="244" t="str">
        <f t="array" ref="W67">IF(N67="*","",IFERROR(INDEX(AGR!$R$52:$AC$73,MATCH($C67,AGR!$B$52:$B$73,0),MATCH('TS DMARK'!$H67&amp;'TS DMARK'!W$7,AGR!$R$46:$AC$46&amp;AGR!$R$49:$AC$49,0)),""))</f>
        <v/>
      </c>
      <c r="X67" s="244" t="str">
        <f t="array" ref="X67">IF(O67="*","",IFERROR(INDEX(AGR!$R$52:$AC$73,MATCH($C67,AGR!$B$52:$B$73,0),MATCH('TS DMARK'!$H67&amp;'TS DMARK'!X$7,AGR!$R$46:$AC$46&amp;AGR!$R$49:$AC$49,0)),""))</f>
        <v/>
      </c>
      <c r="Y67" s="244" t="str">
        <f t="array" ref="Y67">IF(P67="*","",IFERROR(INDEX(AGR!$R$52:$AC$73,MATCH($C67,AGR!$B$52:$B$73,0),MATCH('TS DMARK'!$H67&amp;'TS DMARK'!Y$7,AGR!$R$46:$AC$46&amp;AGR!$R$49:$AC$49,0)),""))</f>
        <v/>
      </c>
      <c r="Z67" s="244" t="str">
        <f t="array" ref="Z67">IF(Q67="*","",IFERROR(INDEX(AGR!$R$52:$AC$73,MATCH($C67,AGR!$B$52:$B$73,0),MATCH('TS DMARK'!$H67&amp;'TS DMARK'!Z$7,AGR!$R$46:$AC$46&amp;AGR!$R$49:$AC$49,0)),""))</f>
        <v/>
      </c>
      <c r="AA67" s="244" t="str">
        <f t="array" ref="AA67">IF(R67="*","",IFERROR(INDEX(AGR!$R$52:$AC$73,MATCH($C67,AGR!$B$52:$B$73,0),MATCH('TS DMARK'!$H67&amp;'TS DMARK'!AA$7,AGR!$R$46:$AC$46&amp;AGR!$R$49:$AC$49,0)),""))</f>
        <v/>
      </c>
      <c r="AB67" s="244" t="str">
        <f t="array" ref="AB67">IF(S67="*","",IFERROR(INDEX(AGR!$R$52:$AC$73,MATCH($C67,AGR!$B$52:$B$73,0),MATCH('TS DMARK'!$H67&amp;'TS DMARK'!AB$7,AGR!$R$46:$AC$46&amp;AGR!$R$49:$AC$49,0)),""))</f>
        <v/>
      </c>
      <c r="AC67" s="244" t="str">
        <f t="array" ref="AC67">IF(T67="*","",IFERROR(INDEX(AGR!$R$52:$AC$73,MATCH($C67,AGR!$B$52:$B$73,0),MATCH('TS DMARK'!$H67&amp;'TS DMARK'!AC$7,AGR!$R$46:$AC$46&amp;AGR!$R$49:$AC$49,0)),""))</f>
        <v/>
      </c>
      <c r="AD67" s="244" t="str">
        <f t="array" ref="AD67">IF(U67="*","",IFERROR(INDEX(AGR!$R$52:$AC$73,MATCH($C67,AGR!$B$52:$B$73,0),MATCH('TS DMARK'!$H67&amp;'TS DMARK'!AD$7,AGR!$R$46:$AC$46&amp;AGR!$R$49:$AC$49,0)),""))</f>
        <v/>
      </c>
      <c r="AE67" s="244" t="str">
        <f t="array" ref="AE67">IF(V67="*","",IFERROR(INDEX(AGR!$R$52:$AC$73,MATCH($C67,AGR!$B$52:$B$73,0),MATCH('TS DMARK'!$H67&amp;'TS DMARK'!AE$7,AGR!$R$46:$AC$46&amp;AGR!$R$49:$AC$49,0)),""))</f>
        <v/>
      </c>
      <c r="AF67" s="244" t="str">
        <f t="array" ref="AF67">IF(W67="*","",IFERROR(INDEX(AGR!$R$52:$AC$73,MATCH($C67,AGR!$B$52:$B$73,0),MATCH('TS DMARK'!$H67&amp;'TS DMARK'!AF$7,AGR!$R$46:$AC$46&amp;AGR!$R$49:$AC$49,0)),""))</f>
        <v/>
      </c>
      <c r="AG67" s="244" t="str">
        <f t="array" ref="AG67">IF(X67="*","",IFERROR(INDEX(AGR!$R$52:$AC$73,MATCH($C67,AGR!$B$52:$B$73,0),MATCH('TS DMARK'!$H67&amp;'TS DMARK'!AG$7,AGR!$R$46:$AC$46&amp;AGR!$R$49:$AC$49,0)),""))</f>
        <v/>
      </c>
      <c r="AH67" s="244" t="str">
        <f t="array" ref="AH67">IF(Y67="*","",IFERROR(INDEX(AGR!$R$52:$AC$73,MATCH($C67,AGR!$B$52:$B$73,0),MATCH('TS DMARK'!$H67&amp;'TS DMARK'!AH$7,AGR!$R$46:$AC$46&amp;AGR!$R$49:$AC$49,0)),""))</f>
        <v/>
      </c>
      <c r="AI67" s="244" t="str">
        <f t="array" ref="AI67">IF(Z67="*","",IFERROR(INDEX(AGR!$R$52:$AC$73,MATCH($C67,AGR!$B$52:$B$73,0),MATCH('TS DMARK'!$H67&amp;'TS DMARK'!AI$7,AGR!$R$46:$AC$46&amp;AGR!$R$49:$AC$49,0)),""))</f>
        <v/>
      </c>
      <c r="AJ67" s="244" t="str">
        <f t="array" ref="AJ67">IF(AA67="*","",IFERROR(INDEX(AGR!$R$52:$AC$73,MATCH($C67,AGR!$B$52:$B$73,0),MATCH('TS DMARK'!$H67&amp;'TS DMARK'!AJ$7,AGR!$R$46:$AC$46&amp;AGR!$R$49:$AC$49,0)),""))</f>
        <v/>
      </c>
      <c r="AK67" s="244" t="str">
        <f t="array" ref="AK67">IF(AB67="*","",IFERROR(INDEX(AGR!$R$52:$AC$73,MATCH($C67,AGR!$B$52:$B$73,0),MATCH('TS DMARK'!$H67&amp;'TS DMARK'!AK$7,AGR!$R$46:$AC$46&amp;AGR!$R$49:$AC$49,0)),""))</f>
        <v/>
      </c>
      <c r="AL67" s="244" t="str">
        <f t="array" ref="AL67">IF(AC67="*","",IFERROR(INDEX(AGR!$R$52:$AC$73,MATCH($C67,AGR!$B$52:$B$73,0),MATCH('TS DMARK'!$H67&amp;'TS DMARK'!AL$7,AGR!$R$46:$AC$46&amp;AGR!$R$49:$AC$49,0)),""))</f>
        <v/>
      </c>
      <c r="AM67" s="244" t="str">
        <f t="array" ref="AM67">IF(AD67="*","",IFERROR(INDEX(AGR!$R$52:$AC$73,MATCH($C67,AGR!$B$52:$B$73,0),MATCH('TS DMARK'!$H67&amp;'TS DMARK'!AM$7,AGR!$R$46:$AC$46&amp;AGR!$R$49:$AC$49,0)),""))</f>
        <v/>
      </c>
      <c r="AN67" s="244" t="str">
        <f t="array" ref="AN67">IF(AE67="*","",IFERROR(INDEX(AGR!$R$52:$AC$73,MATCH($C67,AGR!$B$52:$B$73,0),MATCH('TS DMARK'!$H67&amp;'TS DMARK'!AN$7,AGR!$R$46:$AC$46&amp;AGR!$R$49:$AC$49,0)),""))</f>
        <v/>
      </c>
      <c r="AO67" s="244" t="str">
        <f t="array" ref="AO67">IF(AF67="*","",IFERROR(INDEX(AGR!$R$52:$AC$73,MATCH($C67,AGR!$B$52:$B$73,0),MATCH('TS DMARK'!$H67&amp;'TS DMARK'!AO$7,AGR!$R$46:$AC$46&amp;AGR!$R$49:$AC$49,0)),""))</f>
        <v/>
      </c>
      <c r="AP67" s="244" t="str">
        <f t="array" ref="AP67">IF(AG67="*","",IFERROR(INDEX(AGR!$R$52:$AC$73,MATCH($C67,AGR!$B$52:$B$73,0),MATCH('TS DMARK'!$H67&amp;'TS DMARK'!AP$7,AGR!$R$46:$AC$46&amp;AGR!$R$49:$AC$49,0)),""))</f>
        <v/>
      </c>
    </row>
    <row r="68" spans="10:42">
      <c r="J68" s="244" t="str">
        <f t="array" ref="J68">IF(A68="*","",IFERROR(INDEX(AGR!$R$52:$AC$73,MATCH($C68,AGR!$B$52:$B$73,0),MATCH('TS DMARK'!$H68&amp;'TS DMARK'!J$7,AGR!$R$46:$AC$46&amp;AGR!$R$49:$AC$49,0)),""))</f>
        <v/>
      </c>
      <c r="K68" s="244" t="str">
        <f t="array" ref="K68">IF(B68="*","",IFERROR(INDEX(AGR!$R$52:$AC$73,MATCH($C68,AGR!$B$52:$B$73,0),MATCH('TS DMARK'!$H68&amp;'TS DMARK'!K$7,AGR!$R$46:$AC$46&amp;AGR!$R$49:$AC$49,0)),""))</f>
        <v/>
      </c>
      <c r="L68" s="244" t="str">
        <f t="array" ref="L68">IF(C68="*","",IFERROR(INDEX(AGR!$R$52:$AC$73,MATCH($C68,AGR!$B$52:$B$73,0),MATCH('TS DMARK'!$H68&amp;'TS DMARK'!L$7,AGR!$R$46:$AC$46&amp;AGR!$R$49:$AC$49,0)),""))</f>
        <v/>
      </c>
      <c r="M68" s="244" t="str">
        <f t="array" ref="M68">IF(D68="*","",IFERROR(INDEX(AGR!$R$52:$AC$73,MATCH($C68,AGR!$B$52:$B$73,0),MATCH('TS DMARK'!$H68&amp;'TS DMARK'!M$7,AGR!$R$46:$AC$46&amp;AGR!$R$49:$AC$49,0)),""))</f>
        <v/>
      </c>
      <c r="N68" s="244" t="str">
        <f t="array" ref="N68">IF(E68="*","",IFERROR(INDEX(AGR!$R$52:$AC$73,MATCH($C68,AGR!$B$52:$B$73,0),MATCH('TS DMARK'!$H68&amp;'TS DMARK'!N$7,AGR!$R$46:$AC$46&amp;AGR!$R$49:$AC$49,0)),""))</f>
        <v/>
      </c>
      <c r="O68" s="244" t="str">
        <f t="array" ref="O68">IF(F68="*","",IFERROR(INDEX(AGR!$R$52:$AC$73,MATCH($C68,AGR!$B$52:$B$73,0),MATCH('TS DMARK'!$H68&amp;'TS DMARK'!O$7,AGR!$R$46:$AC$46&amp;AGR!$R$49:$AC$49,0)),""))</f>
        <v/>
      </c>
      <c r="P68" s="244" t="str">
        <f t="array" ref="P68">IF(G68="*","",IFERROR(INDEX(AGR!$R$52:$AC$73,MATCH($C68,AGR!$B$52:$B$73,0),MATCH('TS DMARK'!$H68&amp;'TS DMARK'!P$7,AGR!$R$46:$AC$46&amp;AGR!$R$49:$AC$49,0)),""))</f>
        <v/>
      </c>
      <c r="Q68" s="244" t="str">
        <f t="array" ref="Q68">IF(H68="*","",IFERROR(INDEX(AGR!$R$52:$AC$73,MATCH($C68,AGR!$B$52:$B$73,0),MATCH('TS DMARK'!$H68&amp;'TS DMARK'!Q$7,AGR!$R$46:$AC$46&amp;AGR!$R$49:$AC$49,0)),""))</f>
        <v/>
      </c>
      <c r="R68" s="244" t="str">
        <f t="array" ref="R68">IF(I68="*","",IFERROR(INDEX(AGR!$R$52:$AC$73,MATCH($C68,AGR!$B$52:$B$73,0),MATCH('TS DMARK'!$H68&amp;'TS DMARK'!R$7,AGR!$R$46:$AC$46&amp;AGR!$R$49:$AC$49,0)),""))</f>
        <v/>
      </c>
      <c r="S68" s="244" t="str">
        <f t="array" ref="S68">IF(J68="*","",IFERROR(INDEX(AGR!$R$52:$AC$73,MATCH($C68,AGR!$B$52:$B$73,0),MATCH('TS DMARK'!$H68&amp;'TS DMARK'!S$7,AGR!$R$46:$AC$46&amp;AGR!$R$49:$AC$49,0)),""))</f>
        <v/>
      </c>
      <c r="T68" s="244" t="str">
        <f t="array" ref="T68">IF(K68="*","",IFERROR(INDEX(AGR!$R$52:$AC$73,MATCH($C68,AGR!$B$52:$B$73,0),MATCH('TS DMARK'!$H68&amp;'TS DMARK'!T$7,AGR!$R$46:$AC$46&amp;AGR!$R$49:$AC$49,0)),""))</f>
        <v/>
      </c>
      <c r="U68" s="244" t="str">
        <f t="array" ref="U68">IF(L68="*","",IFERROR(INDEX(AGR!$R$52:$AC$73,MATCH($C68,AGR!$B$52:$B$73,0),MATCH('TS DMARK'!$H68&amp;'TS DMARK'!U$7,AGR!$R$46:$AC$46&amp;AGR!$R$49:$AC$49,0)),""))</f>
        <v/>
      </c>
      <c r="V68" s="244" t="str">
        <f t="array" ref="V68">IF(M68="*","",IFERROR(INDEX(AGR!$R$52:$AC$73,MATCH($C68,AGR!$B$52:$B$73,0),MATCH('TS DMARK'!$H68&amp;'TS DMARK'!V$7,AGR!$R$46:$AC$46&amp;AGR!$R$49:$AC$49,0)),""))</f>
        <v/>
      </c>
      <c r="W68" s="244" t="str">
        <f t="array" ref="W68">IF(N68="*","",IFERROR(INDEX(AGR!$R$52:$AC$73,MATCH($C68,AGR!$B$52:$B$73,0),MATCH('TS DMARK'!$H68&amp;'TS DMARK'!W$7,AGR!$R$46:$AC$46&amp;AGR!$R$49:$AC$49,0)),""))</f>
        <v/>
      </c>
      <c r="X68" s="244" t="str">
        <f t="array" ref="X68">IF(O68="*","",IFERROR(INDEX(AGR!$R$52:$AC$73,MATCH($C68,AGR!$B$52:$B$73,0),MATCH('TS DMARK'!$H68&amp;'TS DMARK'!X$7,AGR!$R$46:$AC$46&amp;AGR!$R$49:$AC$49,0)),""))</f>
        <v/>
      </c>
      <c r="Y68" s="244" t="str">
        <f t="array" ref="Y68">IF(P68="*","",IFERROR(INDEX(AGR!$R$52:$AC$73,MATCH($C68,AGR!$B$52:$B$73,0),MATCH('TS DMARK'!$H68&amp;'TS DMARK'!Y$7,AGR!$R$46:$AC$46&amp;AGR!$R$49:$AC$49,0)),""))</f>
        <v/>
      </c>
      <c r="Z68" s="244" t="str">
        <f t="array" ref="Z68">IF(Q68="*","",IFERROR(INDEX(AGR!$R$52:$AC$73,MATCH($C68,AGR!$B$52:$B$73,0),MATCH('TS DMARK'!$H68&amp;'TS DMARK'!Z$7,AGR!$R$46:$AC$46&amp;AGR!$R$49:$AC$49,0)),""))</f>
        <v/>
      </c>
      <c r="AA68" s="244" t="str">
        <f t="array" ref="AA68">IF(R68="*","",IFERROR(INDEX(AGR!$R$52:$AC$73,MATCH($C68,AGR!$B$52:$B$73,0),MATCH('TS DMARK'!$H68&amp;'TS DMARK'!AA$7,AGR!$R$46:$AC$46&amp;AGR!$R$49:$AC$49,0)),""))</f>
        <v/>
      </c>
      <c r="AB68" s="244" t="str">
        <f t="array" ref="AB68">IF(S68="*","",IFERROR(INDEX(AGR!$R$52:$AC$73,MATCH($C68,AGR!$B$52:$B$73,0),MATCH('TS DMARK'!$H68&amp;'TS DMARK'!AB$7,AGR!$R$46:$AC$46&amp;AGR!$R$49:$AC$49,0)),""))</f>
        <v/>
      </c>
      <c r="AC68" s="244" t="str">
        <f t="array" ref="AC68">IF(T68="*","",IFERROR(INDEX(AGR!$R$52:$AC$73,MATCH($C68,AGR!$B$52:$B$73,0),MATCH('TS DMARK'!$H68&amp;'TS DMARK'!AC$7,AGR!$R$46:$AC$46&amp;AGR!$R$49:$AC$49,0)),""))</f>
        <v/>
      </c>
      <c r="AD68" s="244" t="str">
        <f t="array" ref="AD68">IF(U68="*","",IFERROR(INDEX(AGR!$R$52:$AC$73,MATCH($C68,AGR!$B$52:$B$73,0),MATCH('TS DMARK'!$H68&amp;'TS DMARK'!AD$7,AGR!$R$46:$AC$46&amp;AGR!$R$49:$AC$49,0)),""))</f>
        <v/>
      </c>
      <c r="AE68" s="244" t="str">
        <f t="array" ref="AE68">IF(V68="*","",IFERROR(INDEX(AGR!$R$52:$AC$73,MATCH($C68,AGR!$B$52:$B$73,0),MATCH('TS DMARK'!$H68&amp;'TS DMARK'!AE$7,AGR!$R$46:$AC$46&amp;AGR!$R$49:$AC$49,0)),""))</f>
        <v/>
      </c>
      <c r="AF68" s="244" t="str">
        <f t="array" ref="AF68">IF(W68="*","",IFERROR(INDEX(AGR!$R$52:$AC$73,MATCH($C68,AGR!$B$52:$B$73,0),MATCH('TS DMARK'!$H68&amp;'TS DMARK'!AF$7,AGR!$R$46:$AC$46&amp;AGR!$R$49:$AC$49,0)),""))</f>
        <v/>
      </c>
      <c r="AG68" s="244" t="str">
        <f t="array" ref="AG68">IF(X68="*","",IFERROR(INDEX(AGR!$R$52:$AC$73,MATCH($C68,AGR!$B$52:$B$73,0),MATCH('TS DMARK'!$H68&amp;'TS DMARK'!AG$7,AGR!$R$46:$AC$46&amp;AGR!$R$49:$AC$49,0)),""))</f>
        <v/>
      </c>
      <c r="AH68" s="244" t="str">
        <f t="array" ref="AH68">IF(Y68="*","",IFERROR(INDEX(AGR!$R$52:$AC$73,MATCH($C68,AGR!$B$52:$B$73,0),MATCH('TS DMARK'!$H68&amp;'TS DMARK'!AH$7,AGR!$R$46:$AC$46&amp;AGR!$R$49:$AC$49,0)),""))</f>
        <v/>
      </c>
      <c r="AI68" s="244" t="str">
        <f t="array" ref="AI68">IF(Z68="*","",IFERROR(INDEX(AGR!$R$52:$AC$73,MATCH($C68,AGR!$B$52:$B$73,0),MATCH('TS DMARK'!$H68&amp;'TS DMARK'!AI$7,AGR!$R$46:$AC$46&amp;AGR!$R$49:$AC$49,0)),""))</f>
        <v/>
      </c>
      <c r="AJ68" s="244" t="str">
        <f t="array" ref="AJ68">IF(AA68="*","",IFERROR(INDEX(AGR!$R$52:$AC$73,MATCH($C68,AGR!$B$52:$B$73,0),MATCH('TS DMARK'!$H68&amp;'TS DMARK'!AJ$7,AGR!$R$46:$AC$46&amp;AGR!$R$49:$AC$49,0)),""))</f>
        <v/>
      </c>
      <c r="AK68" s="244" t="str">
        <f t="array" ref="AK68">IF(AB68="*","",IFERROR(INDEX(AGR!$R$52:$AC$73,MATCH($C68,AGR!$B$52:$B$73,0),MATCH('TS DMARK'!$H68&amp;'TS DMARK'!AK$7,AGR!$R$46:$AC$46&amp;AGR!$R$49:$AC$49,0)),""))</f>
        <v/>
      </c>
      <c r="AL68" s="244" t="str">
        <f t="array" ref="AL68">IF(AC68="*","",IFERROR(INDEX(AGR!$R$52:$AC$73,MATCH($C68,AGR!$B$52:$B$73,0),MATCH('TS DMARK'!$H68&amp;'TS DMARK'!AL$7,AGR!$R$46:$AC$46&amp;AGR!$R$49:$AC$49,0)),""))</f>
        <v/>
      </c>
      <c r="AM68" s="244" t="str">
        <f t="array" ref="AM68">IF(AD68="*","",IFERROR(INDEX(AGR!$R$52:$AC$73,MATCH($C68,AGR!$B$52:$B$73,0),MATCH('TS DMARK'!$H68&amp;'TS DMARK'!AM$7,AGR!$R$46:$AC$46&amp;AGR!$R$49:$AC$49,0)),""))</f>
        <v/>
      </c>
      <c r="AN68" s="244" t="str">
        <f t="array" ref="AN68">IF(AE68="*","",IFERROR(INDEX(AGR!$R$52:$AC$73,MATCH($C68,AGR!$B$52:$B$73,0),MATCH('TS DMARK'!$H68&amp;'TS DMARK'!AN$7,AGR!$R$46:$AC$46&amp;AGR!$R$49:$AC$49,0)),""))</f>
        <v/>
      </c>
      <c r="AO68" s="244" t="str">
        <f t="array" ref="AO68">IF(AF68="*","",IFERROR(INDEX(AGR!$R$52:$AC$73,MATCH($C68,AGR!$B$52:$B$73,0),MATCH('TS DMARK'!$H68&amp;'TS DMARK'!AO$7,AGR!$R$46:$AC$46&amp;AGR!$R$49:$AC$49,0)),""))</f>
        <v/>
      </c>
      <c r="AP68" s="244" t="str">
        <f t="array" ref="AP68">IF(AG68="*","",IFERROR(INDEX(AGR!$R$52:$AC$73,MATCH($C68,AGR!$B$52:$B$73,0),MATCH('TS DMARK'!$H68&amp;'TS DMARK'!AP$7,AGR!$R$46:$AC$46&amp;AGR!$R$49:$AC$49,0)),""))</f>
        <v/>
      </c>
    </row>
    <row r="69" spans="10:42">
      <c r="J69" s="244" t="str">
        <f t="array" ref="J69">IF(A69="*","",IFERROR(INDEX(AGR!$R$52:$AC$73,MATCH($C69,AGR!$B$52:$B$73,0),MATCH('TS DMARK'!$H69&amp;'TS DMARK'!J$7,AGR!$R$46:$AC$46&amp;AGR!$R$49:$AC$49,0)),""))</f>
        <v/>
      </c>
      <c r="K69" s="244" t="str">
        <f t="array" ref="K69">IF(B69="*","",IFERROR(INDEX(AGR!$R$52:$AC$73,MATCH($C69,AGR!$B$52:$B$73,0),MATCH('TS DMARK'!$H69&amp;'TS DMARK'!K$7,AGR!$R$46:$AC$46&amp;AGR!$R$49:$AC$49,0)),""))</f>
        <v/>
      </c>
      <c r="L69" s="244" t="str">
        <f t="array" ref="L69">IF(C69="*","",IFERROR(INDEX(AGR!$R$52:$AC$73,MATCH($C69,AGR!$B$52:$B$73,0),MATCH('TS DMARK'!$H69&amp;'TS DMARK'!L$7,AGR!$R$46:$AC$46&amp;AGR!$R$49:$AC$49,0)),""))</f>
        <v/>
      </c>
      <c r="M69" s="244" t="str">
        <f t="array" ref="M69">IF(D69="*","",IFERROR(INDEX(AGR!$R$52:$AC$73,MATCH($C69,AGR!$B$52:$B$73,0),MATCH('TS DMARK'!$H69&amp;'TS DMARK'!M$7,AGR!$R$46:$AC$46&amp;AGR!$R$49:$AC$49,0)),""))</f>
        <v/>
      </c>
      <c r="N69" s="244" t="str">
        <f t="array" ref="N69">IF(E69="*","",IFERROR(INDEX(AGR!$R$52:$AC$73,MATCH($C69,AGR!$B$52:$B$73,0),MATCH('TS DMARK'!$H69&amp;'TS DMARK'!N$7,AGR!$R$46:$AC$46&amp;AGR!$R$49:$AC$49,0)),""))</f>
        <v/>
      </c>
      <c r="O69" s="244" t="str">
        <f t="array" ref="O69">IF(F69="*","",IFERROR(INDEX(AGR!$R$52:$AC$73,MATCH($C69,AGR!$B$52:$B$73,0),MATCH('TS DMARK'!$H69&amp;'TS DMARK'!O$7,AGR!$R$46:$AC$46&amp;AGR!$R$49:$AC$49,0)),""))</f>
        <v/>
      </c>
      <c r="P69" s="244" t="str">
        <f t="array" ref="P69">IF(G69="*","",IFERROR(INDEX(AGR!$R$52:$AC$73,MATCH($C69,AGR!$B$52:$B$73,0),MATCH('TS DMARK'!$H69&amp;'TS DMARK'!P$7,AGR!$R$46:$AC$46&amp;AGR!$R$49:$AC$49,0)),""))</f>
        <v/>
      </c>
      <c r="Q69" s="244" t="str">
        <f t="array" ref="Q69">IF(H69="*","",IFERROR(INDEX(AGR!$R$52:$AC$73,MATCH($C69,AGR!$B$52:$B$73,0),MATCH('TS DMARK'!$H69&amp;'TS DMARK'!Q$7,AGR!$R$46:$AC$46&amp;AGR!$R$49:$AC$49,0)),""))</f>
        <v/>
      </c>
      <c r="R69" s="244" t="str">
        <f t="array" ref="R69">IF(I69="*","",IFERROR(INDEX(AGR!$R$52:$AC$73,MATCH($C69,AGR!$B$52:$B$73,0),MATCH('TS DMARK'!$H69&amp;'TS DMARK'!R$7,AGR!$R$46:$AC$46&amp;AGR!$R$49:$AC$49,0)),""))</f>
        <v/>
      </c>
      <c r="S69" s="244" t="str">
        <f t="array" ref="S69">IF(J69="*","",IFERROR(INDEX(AGR!$R$52:$AC$73,MATCH($C69,AGR!$B$52:$B$73,0),MATCH('TS DMARK'!$H69&amp;'TS DMARK'!S$7,AGR!$R$46:$AC$46&amp;AGR!$R$49:$AC$49,0)),""))</f>
        <v/>
      </c>
      <c r="T69" s="244" t="str">
        <f t="array" ref="T69">IF(K69="*","",IFERROR(INDEX(AGR!$R$52:$AC$73,MATCH($C69,AGR!$B$52:$B$73,0),MATCH('TS DMARK'!$H69&amp;'TS DMARK'!T$7,AGR!$R$46:$AC$46&amp;AGR!$R$49:$AC$49,0)),""))</f>
        <v/>
      </c>
      <c r="U69" s="244" t="str">
        <f t="array" ref="U69">IF(L69="*","",IFERROR(INDEX(AGR!$R$52:$AC$73,MATCH($C69,AGR!$B$52:$B$73,0),MATCH('TS DMARK'!$H69&amp;'TS DMARK'!U$7,AGR!$R$46:$AC$46&amp;AGR!$R$49:$AC$49,0)),""))</f>
        <v/>
      </c>
      <c r="V69" s="244" t="str">
        <f t="array" ref="V69">IF(M69="*","",IFERROR(INDEX(AGR!$R$52:$AC$73,MATCH($C69,AGR!$B$52:$B$73,0),MATCH('TS DMARK'!$H69&amp;'TS DMARK'!V$7,AGR!$R$46:$AC$46&amp;AGR!$R$49:$AC$49,0)),""))</f>
        <v/>
      </c>
      <c r="W69" s="244" t="str">
        <f t="array" ref="W69">IF(N69="*","",IFERROR(INDEX(AGR!$R$52:$AC$73,MATCH($C69,AGR!$B$52:$B$73,0),MATCH('TS DMARK'!$H69&amp;'TS DMARK'!W$7,AGR!$R$46:$AC$46&amp;AGR!$R$49:$AC$49,0)),""))</f>
        <v/>
      </c>
      <c r="X69" s="244" t="str">
        <f t="array" ref="X69">IF(O69="*","",IFERROR(INDEX(AGR!$R$52:$AC$73,MATCH($C69,AGR!$B$52:$B$73,0),MATCH('TS DMARK'!$H69&amp;'TS DMARK'!X$7,AGR!$R$46:$AC$46&amp;AGR!$R$49:$AC$49,0)),""))</f>
        <v/>
      </c>
      <c r="Y69" s="244" t="str">
        <f t="array" ref="Y69">IF(P69="*","",IFERROR(INDEX(AGR!$R$52:$AC$73,MATCH($C69,AGR!$B$52:$B$73,0),MATCH('TS DMARK'!$H69&amp;'TS DMARK'!Y$7,AGR!$R$46:$AC$46&amp;AGR!$R$49:$AC$49,0)),""))</f>
        <v/>
      </c>
      <c r="Z69" s="244" t="str">
        <f t="array" ref="Z69">IF(Q69="*","",IFERROR(INDEX(AGR!$R$52:$AC$73,MATCH($C69,AGR!$B$52:$B$73,0),MATCH('TS DMARK'!$H69&amp;'TS DMARK'!Z$7,AGR!$R$46:$AC$46&amp;AGR!$R$49:$AC$49,0)),""))</f>
        <v/>
      </c>
      <c r="AA69" s="244" t="str">
        <f t="array" ref="AA69">IF(R69="*","",IFERROR(INDEX(AGR!$R$52:$AC$73,MATCH($C69,AGR!$B$52:$B$73,0),MATCH('TS DMARK'!$H69&amp;'TS DMARK'!AA$7,AGR!$R$46:$AC$46&amp;AGR!$R$49:$AC$49,0)),""))</f>
        <v/>
      </c>
      <c r="AB69" s="244" t="str">
        <f t="array" ref="AB69">IF(S69="*","",IFERROR(INDEX(AGR!$R$52:$AC$73,MATCH($C69,AGR!$B$52:$B$73,0),MATCH('TS DMARK'!$H69&amp;'TS DMARK'!AB$7,AGR!$R$46:$AC$46&amp;AGR!$R$49:$AC$49,0)),""))</f>
        <v/>
      </c>
      <c r="AC69" s="244" t="str">
        <f t="array" ref="AC69">IF(T69="*","",IFERROR(INDEX(AGR!$R$52:$AC$73,MATCH($C69,AGR!$B$52:$B$73,0),MATCH('TS DMARK'!$H69&amp;'TS DMARK'!AC$7,AGR!$R$46:$AC$46&amp;AGR!$R$49:$AC$49,0)),""))</f>
        <v/>
      </c>
      <c r="AD69" s="244" t="str">
        <f t="array" ref="AD69">IF(U69="*","",IFERROR(INDEX(AGR!$R$52:$AC$73,MATCH($C69,AGR!$B$52:$B$73,0),MATCH('TS DMARK'!$H69&amp;'TS DMARK'!AD$7,AGR!$R$46:$AC$46&amp;AGR!$R$49:$AC$49,0)),""))</f>
        <v/>
      </c>
      <c r="AE69" s="244" t="str">
        <f t="array" ref="AE69">IF(V69="*","",IFERROR(INDEX(AGR!$R$52:$AC$73,MATCH($C69,AGR!$B$52:$B$73,0),MATCH('TS DMARK'!$H69&amp;'TS DMARK'!AE$7,AGR!$R$46:$AC$46&amp;AGR!$R$49:$AC$49,0)),""))</f>
        <v/>
      </c>
      <c r="AF69" s="244" t="str">
        <f t="array" ref="AF69">IF(W69="*","",IFERROR(INDEX(AGR!$R$52:$AC$73,MATCH($C69,AGR!$B$52:$B$73,0),MATCH('TS DMARK'!$H69&amp;'TS DMARK'!AF$7,AGR!$R$46:$AC$46&amp;AGR!$R$49:$AC$49,0)),""))</f>
        <v/>
      </c>
      <c r="AG69" s="244" t="str">
        <f t="array" ref="AG69">IF(X69="*","",IFERROR(INDEX(AGR!$R$52:$AC$73,MATCH($C69,AGR!$B$52:$B$73,0),MATCH('TS DMARK'!$H69&amp;'TS DMARK'!AG$7,AGR!$R$46:$AC$46&amp;AGR!$R$49:$AC$49,0)),""))</f>
        <v/>
      </c>
      <c r="AH69" s="244" t="str">
        <f t="array" ref="AH69">IF(Y69="*","",IFERROR(INDEX(AGR!$R$52:$AC$73,MATCH($C69,AGR!$B$52:$B$73,0),MATCH('TS DMARK'!$H69&amp;'TS DMARK'!AH$7,AGR!$R$46:$AC$46&amp;AGR!$R$49:$AC$49,0)),""))</f>
        <v/>
      </c>
      <c r="AI69" s="244" t="str">
        <f t="array" ref="AI69">IF(Z69="*","",IFERROR(INDEX(AGR!$R$52:$AC$73,MATCH($C69,AGR!$B$52:$B$73,0),MATCH('TS DMARK'!$H69&amp;'TS DMARK'!AI$7,AGR!$R$46:$AC$46&amp;AGR!$R$49:$AC$49,0)),""))</f>
        <v/>
      </c>
      <c r="AJ69" s="244" t="str">
        <f t="array" ref="AJ69">IF(AA69="*","",IFERROR(INDEX(AGR!$R$52:$AC$73,MATCH($C69,AGR!$B$52:$B$73,0),MATCH('TS DMARK'!$H69&amp;'TS DMARK'!AJ$7,AGR!$R$46:$AC$46&amp;AGR!$R$49:$AC$49,0)),""))</f>
        <v/>
      </c>
      <c r="AK69" s="244" t="str">
        <f t="array" ref="AK69">IF(AB69="*","",IFERROR(INDEX(AGR!$R$52:$AC$73,MATCH($C69,AGR!$B$52:$B$73,0),MATCH('TS DMARK'!$H69&amp;'TS DMARK'!AK$7,AGR!$R$46:$AC$46&amp;AGR!$R$49:$AC$49,0)),""))</f>
        <v/>
      </c>
      <c r="AL69" s="244" t="str">
        <f t="array" ref="AL69">IF(AC69="*","",IFERROR(INDEX(AGR!$R$52:$AC$73,MATCH($C69,AGR!$B$52:$B$73,0),MATCH('TS DMARK'!$H69&amp;'TS DMARK'!AL$7,AGR!$R$46:$AC$46&amp;AGR!$R$49:$AC$49,0)),""))</f>
        <v/>
      </c>
      <c r="AM69" s="244" t="str">
        <f t="array" ref="AM69">IF(AD69="*","",IFERROR(INDEX(AGR!$R$52:$AC$73,MATCH($C69,AGR!$B$52:$B$73,0),MATCH('TS DMARK'!$H69&amp;'TS DMARK'!AM$7,AGR!$R$46:$AC$46&amp;AGR!$R$49:$AC$49,0)),""))</f>
        <v/>
      </c>
      <c r="AN69" s="244" t="str">
        <f t="array" ref="AN69">IF(AE69="*","",IFERROR(INDEX(AGR!$R$52:$AC$73,MATCH($C69,AGR!$B$52:$B$73,0),MATCH('TS DMARK'!$H69&amp;'TS DMARK'!AN$7,AGR!$R$46:$AC$46&amp;AGR!$R$49:$AC$49,0)),""))</f>
        <v/>
      </c>
      <c r="AO69" s="244" t="str">
        <f t="array" ref="AO69">IF(AF69="*","",IFERROR(INDEX(AGR!$R$52:$AC$73,MATCH($C69,AGR!$B$52:$B$73,0),MATCH('TS DMARK'!$H69&amp;'TS DMARK'!AO$7,AGR!$R$46:$AC$46&amp;AGR!$R$49:$AC$49,0)),""))</f>
        <v/>
      </c>
      <c r="AP69" s="244" t="str">
        <f t="array" ref="AP69">IF(AG69="*","",IFERROR(INDEX(AGR!$R$52:$AC$73,MATCH($C69,AGR!$B$52:$B$73,0),MATCH('TS DMARK'!$H69&amp;'TS DMARK'!AP$7,AGR!$R$46:$AC$46&amp;AGR!$R$49:$AC$49,0)),""))</f>
        <v/>
      </c>
    </row>
    <row r="70" spans="10:42">
      <c r="J70" s="244" t="str">
        <f t="array" ref="J70">IF(A70="*","",IFERROR(INDEX(AGR!$R$52:$AC$73,MATCH($C70,AGR!$B$52:$B$73,0),MATCH('TS DMARK'!$H70&amp;'TS DMARK'!J$7,AGR!$R$46:$AC$46&amp;AGR!$R$49:$AC$49,0)),""))</f>
        <v/>
      </c>
      <c r="K70" s="244" t="str">
        <f t="array" ref="K70">IF(B70="*","",IFERROR(INDEX(AGR!$R$52:$AC$73,MATCH($C70,AGR!$B$52:$B$73,0),MATCH('TS DMARK'!$H70&amp;'TS DMARK'!K$7,AGR!$R$46:$AC$46&amp;AGR!$R$49:$AC$49,0)),""))</f>
        <v/>
      </c>
      <c r="L70" s="244" t="str">
        <f t="array" ref="L70">IF(C70="*","",IFERROR(INDEX(AGR!$R$52:$AC$73,MATCH($C70,AGR!$B$52:$B$73,0),MATCH('TS DMARK'!$H70&amp;'TS DMARK'!L$7,AGR!$R$46:$AC$46&amp;AGR!$R$49:$AC$49,0)),""))</f>
        <v/>
      </c>
      <c r="M70" s="244" t="str">
        <f t="array" ref="M70">IF(D70="*","",IFERROR(INDEX(AGR!$R$52:$AC$73,MATCH($C70,AGR!$B$52:$B$73,0),MATCH('TS DMARK'!$H70&amp;'TS DMARK'!M$7,AGR!$R$46:$AC$46&amp;AGR!$R$49:$AC$49,0)),""))</f>
        <v/>
      </c>
      <c r="N70" s="244" t="str">
        <f t="array" ref="N70">IF(E70="*","",IFERROR(INDEX(AGR!$R$52:$AC$73,MATCH($C70,AGR!$B$52:$B$73,0),MATCH('TS DMARK'!$H70&amp;'TS DMARK'!N$7,AGR!$R$46:$AC$46&amp;AGR!$R$49:$AC$49,0)),""))</f>
        <v/>
      </c>
      <c r="O70" s="244" t="str">
        <f t="array" ref="O70">IF(F70="*","",IFERROR(INDEX(AGR!$R$52:$AC$73,MATCH($C70,AGR!$B$52:$B$73,0),MATCH('TS DMARK'!$H70&amp;'TS DMARK'!O$7,AGR!$R$46:$AC$46&amp;AGR!$R$49:$AC$49,0)),""))</f>
        <v/>
      </c>
      <c r="P70" s="244" t="str">
        <f t="array" ref="P70">IF(G70="*","",IFERROR(INDEX(AGR!$R$52:$AC$73,MATCH($C70,AGR!$B$52:$B$73,0),MATCH('TS DMARK'!$H70&amp;'TS DMARK'!P$7,AGR!$R$46:$AC$46&amp;AGR!$R$49:$AC$49,0)),""))</f>
        <v/>
      </c>
      <c r="Q70" s="244" t="str">
        <f t="array" ref="Q70">IF(H70="*","",IFERROR(INDEX(AGR!$R$52:$AC$73,MATCH($C70,AGR!$B$52:$B$73,0),MATCH('TS DMARK'!$H70&amp;'TS DMARK'!Q$7,AGR!$R$46:$AC$46&amp;AGR!$R$49:$AC$49,0)),""))</f>
        <v/>
      </c>
      <c r="R70" s="244" t="str">
        <f t="array" ref="R70">IF(I70="*","",IFERROR(INDEX(AGR!$R$52:$AC$73,MATCH($C70,AGR!$B$52:$B$73,0),MATCH('TS DMARK'!$H70&amp;'TS DMARK'!R$7,AGR!$R$46:$AC$46&amp;AGR!$R$49:$AC$49,0)),""))</f>
        <v/>
      </c>
      <c r="S70" s="244" t="str">
        <f t="array" ref="S70">IF(J70="*","",IFERROR(INDEX(AGR!$R$52:$AC$73,MATCH($C70,AGR!$B$52:$B$73,0),MATCH('TS DMARK'!$H70&amp;'TS DMARK'!S$7,AGR!$R$46:$AC$46&amp;AGR!$R$49:$AC$49,0)),""))</f>
        <v/>
      </c>
      <c r="T70" s="244" t="str">
        <f t="array" ref="T70">IF(K70="*","",IFERROR(INDEX(AGR!$R$52:$AC$73,MATCH($C70,AGR!$B$52:$B$73,0),MATCH('TS DMARK'!$H70&amp;'TS DMARK'!T$7,AGR!$R$46:$AC$46&amp;AGR!$R$49:$AC$49,0)),""))</f>
        <v/>
      </c>
      <c r="U70" s="244" t="str">
        <f t="array" ref="U70">IF(L70="*","",IFERROR(INDEX(AGR!$R$52:$AC$73,MATCH($C70,AGR!$B$52:$B$73,0),MATCH('TS DMARK'!$H70&amp;'TS DMARK'!U$7,AGR!$R$46:$AC$46&amp;AGR!$R$49:$AC$49,0)),""))</f>
        <v/>
      </c>
      <c r="V70" s="244" t="str">
        <f t="array" ref="V70">IF(M70="*","",IFERROR(INDEX(AGR!$R$52:$AC$73,MATCH($C70,AGR!$B$52:$B$73,0),MATCH('TS DMARK'!$H70&amp;'TS DMARK'!V$7,AGR!$R$46:$AC$46&amp;AGR!$R$49:$AC$49,0)),""))</f>
        <v/>
      </c>
      <c r="W70" s="244" t="str">
        <f t="array" ref="W70">IF(N70="*","",IFERROR(INDEX(AGR!$R$52:$AC$73,MATCH($C70,AGR!$B$52:$B$73,0),MATCH('TS DMARK'!$H70&amp;'TS DMARK'!W$7,AGR!$R$46:$AC$46&amp;AGR!$R$49:$AC$49,0)),""))</f>
        <v/>
      </c>
      <c r="X70" s="244" t="str">
        <f t="array" ref="X70">IF(O70="*","",IFERROR(INDEX(AGR!$R$52:$AC$73,MATCH($C70,AGR!$B$52:$B$73,0),MATCH('TS DMARK'!$H70&amp;'TS DMARK'!X$7,AGR!$R$46:$AC$46&amp;AGR!$R$49:$AC$49,0)),""))</f>
        <v/>
      </c>
      <c r="Y70" s="244" t="str">
        <f t="array" ref="Y70">IF(P70="*","",IFERROR(INDEX(AGR!$R$52:$AC$73,MATCH($C70,AGR!$B$52:$B$73,0),MATCH('TS DMARK'!$H70&amp;'TS DMARK'!Y$7,AGR!$R$46:$AC$46&amp;AGR!$R$49:$AC$49,0)),""))</f>
        <v/>
      </c>
      <c r="Z70" s="244" t="str">
        <f t="array" ref="Z70">IF(Q70="*","",IFERROR(INDEX(AGR!$R$52:$AC$73,MATCH($C70,AGR!$B$52:$B$73,0),MATCH('TS DMARK'!$H70&amp;'TS DMARK'!Z$7,AGR!$R$46:$AC$46&amp;AGR!$R$49:$AC$49,0)),""))</f>
        <v/>
      </c>
      <c r="AA70" s="244" t="str">
        <f t="array" ref="AA70">IF(R70="*","",IFERROR(INDEX(AGR!$R$52:$AC$73,MATCH($C70,AGR!$B$52:$B$73,0),MATCH('TS DMARK'!$H70&amp;'TS DMARK'!AA$7,AGR!$R$46:$AC$46&amp;AGR!$R$49:$AC$49,0)),""))</f>
        <v/>
      </c>
      <c r="AB70" s="244" t="str">
        <f t="array" ref="AB70">IF(S70="*","",IFERROR(INDEX(AGR!$R$52:$AC$73,MATCH($C70,AGR!$B$52:$B$73,0),MATCH('TS DMARK'!$H70&amp;'TS DMARK'!AB$7,AGR!$R$46:$AC$46&amp;AGR!$R$49:$AC$49,0)),""))</f>
        <v/>
      </c>
      <c r="AC70" s="244" t="str">
        <f t="array" ref="AC70">IF(T70="*","",IFERROR(INDEX(AGR!$R$52:$AC$73,MATCH($C70,AGR!$B$52:$B$73,0),MATCH('TS DMARK'!$H70&amp;'TS DMARK'!AC$7,AGR!$R$46:$AC$46&amp;AGR!$R$49:$AC$49,0)),""))</f>
        <v/>
      </c>
      <c r="AD70" s="244" t="str">
        <f t="array" ref="AD70">IF(U70="*","",IFERROR(INDEX(AGR!$R$52:$AC$73,MATCH($C70,AGR!$B$52:$B$73,0),MATCH('TS DMARK'!$H70&amp;'TS DMARK'!AD$7,AGR!$R$46:$AC$46&amp;AGR!$R$49:$AC$49,0)),""))</f>
        <v/>
      </c>
      <c r="AE70" s="244" t="str">
        <f t="array" ref="AE70">IF(V70="*","",IFERROR(INDEX(AGR!$R$52:$AC$73,MATCH($C70,AGR!$B$52:$B$73,0),MATCH('TS DMARK'!$H70&amp;'TS DMARK'!AE$7,AGR!$R$46:$AC$46&amp;AGR!$R$49:$AC$49,0)),""))</f>
        <v/>
      </c>
      <c r="AF70" s="244" t="str">
        <f t="array" ref="AF70">IF(W70="*","",IFERROR(INDEX(AGR!$R$52:$AC$73,MATCH($C70,AGR!$B$52:$B$73,0),MATCH('TS DMARK'!$H70&amp;'TS DMARK'!AF$7,AGR!$R$46:$AC$46&amp;AGR!$R$49:$AC$49,0)),""))</f>
        <v/>
      </c>
      <c r="AG70" s="244" t="str">
        <f t="array" ref="AG70">IF(X70="*","",IFERROR(INDEX(AGR!$R$52:$AC$73,MATCH($C70,AGR!$B$52:$B$73,0),MATCH('TS DMARK'!$H70&amp;'TS DMARK'!AG$7,AGR!$R$46:$AC$46&amp;AGR!$R$49:$AC$49,0)),""))</f>
        <v/>
      </c>
      <c r="AH70" s="244" t="str">
        <f t="array" ref="AH70">IF(Y70="*","",IFERROR(INDEX(AGR!$R$52:$AC$73,MATCH($C70,AGR!$B$52:$B$73,0),MATCH('TS DMARK'!$H70&amp;'TS DMARK'!AH$7,AGR!$R$46:$AC$46&amp;AGR!$R$49:$AC$49,0)),""))</f>
        <v/>
      </c>
      <c r="AI70" s="244" t="str">
        <f t="array" ref="AI70">IF(Z70="*","",IFERROR(INDEX(AGR!$R$52:$AC$73,MATCH($C70,AGR!$B$52:$B$73,0),MATCH('TS DMARK'!$H70&amp;'TS DMARK'!AI$7,AGR!$R$46:$AC$46&amp;AGR!$R$49:$AC$49,0)),""))</f>
        <v/>
      </c>
      <c r="AJ70" s="244" t="str">
        <f t="array" ref="AJ70">IF(AA70="*","",IFERROR(INDEX(AGR!$R$52:$AC$73,MATCH($C70,AGR!$B$52:$B$73,0),MATCH('TS DMARK'!$H70&amp;'TS DMARK'!AJ$7,AGR!$R$46:$AC$46&amp;AGR!$R$49:$AC$49,0)),""))</f>
        <v/>
      </c>
      <c r="AK70" s="244" t="str">
        <f t="array" ref="AK70">IF(AB70="*","",IFERROR(INDEX(AGR!$R$52:$AC$73,MATCH($C70,AGR!$B$52:$B$73,0),MATCH('TS DMARK'!$H70&amp;'TS DMARK'!AK$7,AGR!$R$46:$AC$46&amp;AGR!$R$49:$AC$49,0)),""))</f>
        <v/>
      </c>
      <c r="AL70" s="244" t="str">
        <f t="array" ref="AL70">IF(AC70="*","",IFERROR(INDEX(AGR!$R$52:$AC$73,MATCH($C70,AGR!$B$52:$B$73,0),MATCH('TS DMARK'!$H70&amp;'TS DMARK'!AL$7,AGR!$R$46:$AC$46&amp;AGR!$R$49:$AC$49,0)),""))</f>
        <v/>
      </c>
      <c r="AM70" s="244" t="str">
        <f t="array" ref="AM70">IF(AD70="*","",IFERROR(INDEX(AGR!$R$52:$AC$73,MATCH($C70,AGR!$B$52:$B$73,0),MATCH('TS DMARK'!$H70&amp;'TS DMARK'!AM$7,AGR!$R$46:$AC$46&amp;AGR!$R$49:$AC$49,0)),""))</f>
        <v/>
      </c>
      <c r="AN70" s="244" t="str">
        <f t="array" ref="AN70">IF(AE70="*","",IFERROR(INDEX(AGR!$R$52:$AC$73,MATCH($C70,AGR!$B$52:$B$73,0),MATCH('TS DMARK'!$H70&amp;'TS DMARK'!AN$7,AGR!$R$46:$AC$46&amp;AGR!$R$49:$AC$49,0)),""))</f>
        <v/>
      </c>
      <c r="AO70" s="244" t="str">
        <f t="array" ref="AO70">IF(AF70="*","",IFERROR(INDEX(AGR!$R$52:$AC$73,MATCH($C70,AGR!$B$52:$B$73,0),MATCH('TS DMARK'!$H70&amp;'TS DMARK'!AO$7,AGR!$R$46:$AC$46&amp;AGR!$R$49:$AC$49,0)),""))</f>
        <v/>
      </c>
      <c r="AP70" s="244" t="str">
        <f t="array" ref="AP70">IF(AG70="*","",IFERROR(INDEX(AGR!$R$52:$AC$73,MATCH($C70,AGR!$B$52:$B$73,0),MATCH('TS DMARK'!$H70&amp;'TS DMARK'!AP$7,AGR!$R$46:$AC$46&amp;AGR!$R$49:$AC$49,0)),""))</f>
        <v/>
      </c>
    </row>
    <row r="71" spans="10:42">
      <c r="J71" s="244" t="str">
        <f t="array" ref="J71">IF(A71="*","",IFERROR(INDEX(AGR!$R$52:$AC$73,MATCH($C71,AGR!$B$52:$B$73,0),MATCH('TS DMARK'!$H71&amp;'TS DMARK'!J$7,AGR!$R$46:$AC$46&amp;AGR!$R$49:$AC$49,0)),""))</f>
        <v/>
      </c>
      <c r="K71" s="244" t="str">
        <f t="array" ref="K71">IF(B71="*","",IFERROR(INDEX(AGR!$R$52:$AC$73,MATCH($C71,AGR!$B$52:$B$73,0),MATCH('TS DMARK'!$H71&amp;'TS DMARK'!K$7,AGR!$R$46:$AC$46&amp;AGR!$R$49:$AC$49,0)),""))</f>
        <v/>
      </c>
      <c r="L71" s="244" t="str">
        <f t="array" ref="L71">IF(C71="*","",IFERROR(INDEX(AGR!$R$52:$AC$73,MATCH($C71,AGR!$B$52:$B$73,0),MATCH('TS DMARK'!$H71&amp;'TS DMARK'!L$7,AGR!$R$46:$AC$46&amp;AGR!$R$49:$AC$49,0)),""))</f>
        <v/>
      </c>
      <c r="M71" s="244" t="str">
        <f t="array" ref="M71">IF(D71="*","",IFERROR(INDEX(AGR!$R$52:$AC$73,MATCH($C71,AGR!$B$52:$B$73,0),MATCH('TS DMARK'!$H71&amp;'TS DMARK'!M$7,AGR!$R$46:$AC$46&amp;AGR!$R$49:$AC$49,0)),""))</f>
        <v/>
      </c>
      <c r="N71" s="244" t="str">
        <f t="array" ref="N71">IF(E71="*","",IFERROR(INDEX(AGR!$R$52:$AC$73,MATCH($C71,AGR!$B$52:$B$73,0),MATCH('TS DMARK'!$H71&amp;'TS DMARK'!N$7,AGR!$R$46:$AC$46&amp;AGR!$R$49:$AC$49,0)),""))</f>
        <v/>
      </c>
      <c r="O71" s="244" t="str">
        <f t="array" ref="O71">IF(F71="*","",IFERROR(INDEX(AGR!$R$52:$AC$73,MATCH($C71,AGR!$B$52:$B$73,0),MATCH('TS DMARK'!$H71&amp;'TS DMARK'!O$7,AGR!$R$46:$AC$46&amp;AGR!$R$49:$AC$49,0)),""))</f>
        <v/>
      </c>
      <c r="P71" s="244" t="str">
        <f t="array" ref="P71">IF(G71="*","",IFERROR(INDEX(AGR!$R$52:$AC$73,MATCH($C71,AGR!$B$52:$B$73,0),MATCH('TS DMARK'!$H71&amp;'TS DMARK'!P$7,AGR!$R$46:$AC$46&amp;AGR!$R$49:$AC$49,0)),""))</f>
        <v/>
      </c>
      <c r="Q71" s="244" t="str">
        <f t="array" ref="Q71">IF(H71="*","",IFERROR(INDEX(AGR!$R$52:$AC$73,MATCH($C71,AGR!$B$52:$B$73,0),MATCH('TS DMARK'!$H71&amp;'TS DMARK'!Q$7,AGR!$R$46:$AC$46&amp;AGR!$R$49:$AC$49,0)),""))</f>
        <v/>
      </c>
      <c r="R71" s="244" t="str">
        <f t="array" ref="R71">IF(I71="*","",IFERROR(INDEX(AGR!$R$52:$AC$73,MATCH($C71,AGR!$B$52:$B$73,0),MATCH('TS DMARK'!$H71&amp;'TS DMARK'!R$7,AGR!$R$46:$AC$46&amp;AGR!$R$49:$AC$49,0)),""))</f>
        <v/>
      </c>
      <c r="S71" s="244" t="str">
        <f t="array" ref="S71">IF(J71="*","",IFERROR(INDEX(AGR!$R$52:$AC$73,MATCH($C71,AGR!$B$52:$B$73,0),MATCH('TS DMARK'!$H71&amp;'TS DMARK'!S$7,AGR!$R$46:$AC$46&amp;AGR!$R$49:$AC$49,0)),""))</f>
        <v/>
      </c>
      <c r="T71" s="244" t="str">
        <f t="array" ref="T71">IF(K71="*","",IFERROR(INDEX(AGR!$R$52:$AC$73,MATCH($C71,AGR!$B$52:$B$73,0),MATCH('TS DMARK'!$H71&amp;'TS DMARK'!T$7,AGR!$R$46:$AC$46&amp;AGR!$R$49:$AC$49,0)),""))</f>
        <v/>
      </c>
      <c r="U71" s="244" t="str">
        <f t="array" ref="U71">IF(L71="*","",IFERROR(INDEX(AGR!$R$52:$AC$73,MATCH($C71,AGR!$B$52:$B$73,0),MATCH('TS DMARK'!$H71&amp;'TS DMARK'!U$7,AGR!$R$46:$AC$46&amp;AGR!$R$49:$AC$49,0)),""))</f>
        <v/>
      </c>
      <c r="V71" s="244" t="str">
        <f t="array" ref="V71">IF(M71="*","",IFERROR(INDEX(AGR!$R$52:$AC$73,MATCH($C71,AGR!$B$52:$B$73,0),MATCH('TS DMARK'!$H71&amp;'TS DMARK'!V$7,AGR!$R$46:$AC$46&amp;AGR!$R$49:$AC$49,0)),""))</f>
        <v/>
      </c>
      <c r="W71" s="244" t="str">
        <f t="array" ref="W71">IF(N71="*","",IFERROR(INDEX(AGR!$R$52:$AC$73,MATCH($C71,AGR!$B$52:$B$73,0),MATCH('TS DMARK'!$H71&amp;'TS DMARK'!W$7,AGR!$R$46:$AC$46&amp;AGR!$R$49:$AC$49,0)),""))</f>
        <v/>
      </c>
      <c r="X71" s="244" t="str">
        <f t="array" ref="X71">IF(O71="*","",IFERROR(INDEX(AGR!$R$52:$AC$73,MATCH($C71,AGR!$B$52:$B$73,0),MATCH('TS DMARK'!$H71&amp;'TS DMARK'!X$7,AGR!$R$46:$AC$46&amp;AGR!$R$49:$AC$49,0)),""))</f>
        <v/>
      </c>
      <c r="Y71" s="244" t="str">
        <f t="array" ref="Y71">IF(P71="*","",IFERROR(INDEX(AGR!$R$52:$AC$73,MATCH($C71,AGR!$B$52:$B$73,0),MATCH('TS DMARK'!$H71&amp;'TS DMARK'!Y$7,AGR!$R$46:$AC$46&amp;AGR!$R$49:$AC$49,0)),""))</f>
        <v/>
      </c>
      <c r="Z71" s="244" t="str">
        <f t="array" ref="Z71">IF(Q71="*","",IFERROR(INDEX(AGR!$R$52:$AC$73,MATCH($C71,AGR!$B$52:$B$73,0),MATCH('TS DMARK'!$H71&amp;'TS DMARK'!Z$7,AGR!$R$46:$AC$46&amp;AGR!$R$49:$AC$49,0)),""))</f>
        <v/>
      </c>
      <c r="AA71" s="244" t="str">
        <f t="array" ref="AA71">IF(R71="*","",IFERROR(INDEX(AGR!$R$52:$AC$73,MATCH($C71,AGR!$B$52:$B$73,0),MATCH('TS DMARK'!$H71&amp;'TS DMARK'!AA$7,AGR!$R$46:$AC$46&amp;AGR!$R$49:$AC$49,0)),""))</f>
        <v/>
      </c>
      <c r="AB71" s="244" t="str">
        <f t="array" ref="AB71">IF(S71="*","",IFERROR(INDEX(AGR!$R$52:$AC$73,MATCH($C71,AGR!$B$52:$B$73,0),MATCH('TS DMARK'!$H71&amp;'TS DMARK'!AB$7,AGR!$R$46:$AC$46&amp;AGR!$R$49:$AC$49,0)),""))</f>
        <v/>
      </c>
      <c r="AC71" s="244" t="str">
        <f t="array" ref="AC71">IF(T71="*","",IFERROR(INDEX(AGR!$R$52:$AC$73,MATCH($C71,AGR!$B$52:$B$73,0),MATCH('TS DMARK'!$H71&amp;'TS DMARK'!AC$7,AGR!$R$46:$AC$46&amp;AGR!$R$49:$AC$49,0)),""))</f>
        <v/>
      </c>
      <c r="AD71" s="244" t="str">
        <f t="array" ref="AD71">IF(U71="*","",IFERROR(INDEX(AGR!$R$52:$AC$73,MATCH($C71,AGR!$B$52:$B$73,0),MATCH('TS DMARK'!$H71&amp;'TS DMARK'!AD$7,AGR!$R$46:$AC$46&amp;AGR!$R$49:$AC$49,0)),""))</f>
        <v/>
      </c>
      <c r="AE71" s="244" t="str">
        <f t="array" ref="AE71">IF(V71="*","",IFERROR(INDEX(AGR!$R$52:$AC$73,MATCH($C71,AGR!$B$52:$B$73,0),MATCH('TS DMARK'!$H71&amp;'TS DMARK'!AE$7,AGR!$R$46:$AC$46&amp;AGR!$R$49:$AC$49,0)),""))</f>
        <v/>
      </c>
      <c r="AF71" s="244" t="str">
        <f t="array" ref="AF71">IF(W71="*","",IFERROR(INDEX(AGR!$R$52:$AC$73,MATCH($C71,AGR!$B$52:$B$73,0),MATCH('TS DMARK'!$H71&amp;'TS DMARK'!AF$7,AGR!$R$46:$AC$46&amp;AGR!$R$49:$AC$49,0)),""))</f>
        <v/>
      </c>
      <c r="AG71" s="244" t="str">
        <f t="array" ref="AG71">IF(X71="*","",IFERROR(INDEX(AGR!$R$52:$AC$73,MATCH($C71,AGR!$B$52:$B$73,0),MATCH('TS DMARK'!$H71&amp;'TS DMARK'!AG$7,AGR!$R$46:$AC$46&amp;AGR!$R$49:$AC$49,0)),""))</f>
        <v/>
      </c>
      <c r="AH71" s="244" t="str">
        <f t="array" ref="AH71">IF(Y71="*","",IFERROR(INDEX(AGR!$R$52:$AC$73,MATCH($C71,AGR!$B$52:$B$73,0),MATCH('TS DMARK'!$H71&amp;'TS DMARK'!AH$7,AGR!$R$46:$AC$46&amp;AGR!$R$49:$AC$49,0)),""))</f>
        <v/>
      </c>
      <c r="AI71" s="244" t="str">
        <f t="array" ref="AI71">IF(Z71="*","",IFERROR(INDEX(AGR!$R$52:$AC$73,MATCH($C71,AGR!$B$52:$B$73,0),MATCH('TS DMARK'!$H71&amp;'TS DMARK'!AI$7,AGR!$R$46:$AC$46&amp;AGR!$R$49:$AC$49,0)),""))</f>
        <v/>
      </c>
      <c r="AJ71" s="244" t="str">
        <f t="array" ref="AJ71">IF(AA71="*","",IFERROR(INDEX(AGR!$R$52:$AC$73,MATCH($C71,AGR!$B$52:$B$73,0),MATCH('TS DMARK'!$H71&amp;'TS DMARK'!AJ$7,AGR!$R$46:$AC$46&amp;AGR!$R$49:$AC$49,0)),""))</f>
        <v/>
      </c>
      <c r="AK71" s="244" t="str">
        <f t="array" ref="AK71">IF(AB71="*","",IFERROR(INDEX(AGR!$R$52:$AC$73,MATCH($C71,AGR!$B$52:$B$73,0),MATCH('TS DMARK'!$H71&amp;'TS DMARK'!AK$7,AGR!$R$46:$AC$46&amp;AGR!$R$49:$AC$49,0)),""))</f>
        <v/>
      </c>
      <c r="AL71" s="244" t="str">
        <f t="array" ref="AL71">IF(AC71="*","",IFERROR(INDEX(AGR!$R$52:$AC$73,MATCH($C71,AGR!$B$52:$B$73,0),MATCH('TS DMARK'!$H71&amp;'TS DMARK'!AL$7,AGR!$R$46:$AC$46&amp;AGR!$R$49:$AC$49,0)),""))</f>
        <v/>
      </c>
      <c r="AM71" s="244" t="str">
        <f t="array" ref="AM71">IF(AD71="*","",IFERROR(INDEX(AGR!$R$52:$AC$73,MATCH($C71,AGR!$B$52:$B$73,0),MATCH('TS DMARK'!$H71&amp;'TS DMARK'!AM$7,AGR!$R$46:$AC$46&amp;AGR!$R$49:$AC$49,0)),""))</f>
        <v/>
      </c>
      <c r="AN71" s="244" t="str">
        <f t="array" ref="AN71">IF(AE71="*","",IFERROR(INDEX(AGR!$R$52:$AC$73,MATCH($C71,AGR!$B$52:$B$73,0),MATCH('TS DMARK'!$H71&amp;'TS DMARK'!AN$7,AGR!$R$46:$AC$46&amp;AGR!$R$49:$AC$49,0)),""))</f>
        <v/>
      </c>
      <c r="AO71" s="244" t="str">
        <f t="array" ref="AO71">IF(AF71="*","",IFERROR(INDEX(AGR!$R$52:$AC$73,MATCH($C71,AGR!$B$52:$B$73,0),MATCH('TS DMARK'!$H71&amp;'TS DMARK'!AO$7,AGR!$R$46:$AC$46&amp;AGR!$R$49:$AC$49,0)),""))</f>
        <v/>
      </c>
      <c r="AP71" s="244" t="str">
        <f t="array" ref="AP71">IF(AG71="*","",IFERROR(INDEX(AGR!$R$52:$AC$73,MATCH($C71,AGR!$B$52:$B$73,0),MATCH('TS DMARK'!$H71&amp;'TS DMARK'!AP$7,AGR!$R$46:$AC$46&amp;AGR!$R$49:$AC$49,0)),""))</f>
        <v/>
      </c>
    </row>
    <row r="72" spans="10:42">
      <c r="J72" s="244" t="str">
        <f t="array" ref="J72">IF(A72="*","",IFERROR(INDEX(AGR!$R$52:$AC$73,MATCH($C72,AGR!$B$52:$B$73,0),MATCH('TS DMARK'!$H72&amp;'TS DMARK'!J$7,AGR!$R$46:$AC$46&amp;AGR!$R$49:$AC$49,0)),""))</f>
        <v/>
      </c>
      <c r="K72" s="244" t="str">
        <f t="array" ref="K72">IF(B72="*","",IFERROR(INDEX(AGR!$R$52:$AC$73,MATCH($C72,AGR!$B$52:$B$73,0),MATCH('TS DMARK'!$H72&amp;'TS DMARK'!K$7,AGR!$R$46:$AC$46&amp;AGR!$R$49:$AC$49,0)),""))</f>
        <v/>
      </c>
      <c r="L72" s="244" t="str">
        <f t="array" ref="L72">IF(C72="*","",IFERROR(INDEX(AGR!$R$52:$AC$73,MATCH($C72,AGR!$B$52:$B$73,0),MATCH('TS DMARK'!$H72&amp;'TS DMARK'!L$7,AGR!$R$46:$AC$46&amp;AGR!$R$49:$AC$49,0)),""))</f>
        <v/>
      </c>
      <c r="M72" s="244" t="str">
        <f t="array" ref="M72">IF(D72="*","",IFERROR(INDEX(AGR!$R$52:$AC$73,MATCH($C72,AGR!$B$52:$B$73,0),MATCH('TS DMARK'!$H72&amp;'TS DMARK'!M$7,AGR!$R$46:$AC$46&amp;AGR!$R$49:$AC$49,0)),""))</f>
        <v/>
      </c>
      <c r="N72" s="244" t="str">
        <f t="array" ref="N72">IF(E72="*","",IFERROR(INDEX(AGR!$R$52:$AC$73,MATCH($C72,AGR!$B$52:$B$73,0),MATCH('TS DMARK'!$H72&amp;'TS DMARK'!N$7,AGR!$R$46:$AC$46&amp;AGR!$R$49:$AC$49,0)),""))</f>
        <v/>
      </c>
      <c r="O72" s="244" t="str">
        <f t="array" ref="O72">IF(F72="*","",IFERROR(INDEX(AGR!$R$52:$AC$73,MATCH($C72,AGR!$B$52:$B$73,0),MATCH('TS DMARK'!$H72&amp;'TS DMARK'!O$7,AGR!$R$46:$AC$46&amp;AGR!$R$49:$AC$49,0)),""))</f>
        <v/>
      </c>
      <c r="P72" s="244" t="str">
        <f t="array" ref="P72">IF(G72="*","",IFERROR(INDEX(AGR!$R$52:$AC$73,MATCH($C72,AGR!$B$52:$B$73,0),MATCH('TS DMARK'!$H72&amp;'TS DMARK'!P$7,AGR!$R$46:$AC$46&amp;AGR!$R$49:$AC$49,0)),""))</f>
        <v/>
      </c>
      <c r="Q72" s="244" t="str">
        <f t="array" ref="Q72">IF(H72="*","",IFERROR(INDEX(AGR!$R$52:$AC$73,MATCH($C72,AGR!$B$52:$B$73,0),MATCH('TS DMARK'!$H72&amp;'TS DMARK'!Q$7,AGR!$R$46:$AC$46&amp;AGR!$R$49:$AC$49,0)),""))</f>
        <v/>
      </c>
      <c r="R72" s="244" t="str">
        <f t="array" ref="R72">IF(I72="*","",IFERROR(INDEX(AGR!$R$52:$AC$73,MATCH($C72,AGR!$B$52:$B$73,0),MATCH('TS DMARK'!$H72&amp;'TS DMARK'!R$7,AGR!$R$46:$AC$46&amp;AGR!$R$49:$AC$49,0)),""))</f>
        <v/>
      </c>
      <c r="S72" s="244" t="str">
        <f t="array" ref="S72">IF(J72="*","",IFERROR(INDEX(AGR!$R$52:$AC$73,MATCH($C72,AGR!$B$52:$B$73,0),MATCH('TS DMARK'!$H72&amp;'TS DMARK'!S$7,AGR!$R$46:$AC$46&amp;AGR!$R$49:$AC$49,0)),""))</f>
        <v/>
      </c>
      <c r="T72" s="244" t="str">
        <f t="array" ref="T72">IF(K72="*","",IFERROR(INDEX(AGR!$R$52:$AC$73,MATCH($C72,AGR!$B$52:$B$73,0),MATCH('TS DMARK'!$H72&amp;'TS DMARK'!T$7,AGR!$R$46:$AC$46&amp;AGR!$R$49:$AC$49,0)),""))</f>
        <v/>
      </c>
      <c r="U72" s="244" t="str">
        <f t="array" ref="U72">IF(L72="*","",IFERROR(INDEX(AGR!$R$52:$AC$73,MATCH($C72,AGR!$B$52:$B$73,0),MATCH('TS DMARK'!$H72&amp;'TS DMARK'!U$7,AGR!$R$46:$AC$46&amp;AGR!$R$49:$AC$49,0)),""))</f>
        <v/>
      </c>
      <c r="V72" s="244" t="str">
        <f t="array" ref="V72">IF(M72="*","",IFERROR(INDEX(AGR!$R$52:$AC$73,MATCH($C72,AGR!$B$52:$B$73,0),MATCH('TS DMARK'!$H72&amp;'TS DMARK'!V$7,AGR!$R$46:$AC$46&amp;AGR!$R$49:$AC$49,0)),""))</f>
        <v/>
      </c>
      <c r="W72" s="244" t="str">
        <f t="array" ref="W72">IF(N72="*","",IFERROR(INDEX(AGR!$R$52:$AC$73,MATCH($C72,AGR!$B$52:$B$73,0),MATCH('TS DMARK'!$H72&amp;'TS DMARK'!W$7,AGR!$R$46:$AC$46&amp;AGR!$R$49:$AC$49,0)),""))</f>
        <v/>
      </c>
      <c r="X72" s="244" t="str">
        <f t="array" ref="X72">IF(O72="*","",IFERROR(INDEX(AGR!$R$52:$AC$73,MATCH($C72,AGR!$B$52:$B$73,0),MATCH('TS DMARK'!$H72&amp;'TS DMARK'!X$7,AGR!$R$46:$AC$46&amp;AGR!$R$49:$AC$49,0)),""))</f>
        <v/>
      </c>
      <c r="Y72" s="244" t="str">
        <f t="array" ref="Y72">IF(P72="*","",IFERROR(INDEX(AGR!$R$52:$AC$73,MATCH($C72,AGR!$B$52:$B$73,0),MATCH('TS DMARK'!$H72&amp;'TS DMARK'!Y$7,AGR!$R$46:$AC$46&amp;AGR!$R$49:$AC$49,0)),""))</f>
        <v/>
      </c>
      <c r="Z72" s="244" t="str">
        <f t="array" ref="Z72">IF(Q72="*","",IFERROR(INDEX(AGR!$R$52:$AC$73,MATCH($C72,AGR!$B$52:$B$73,0),MATCH('TS DMARK'!$H72&amp;'TS DMARK'!Z$7,AGR!$R$46:$AC$46&amp;AGR!$R$49:$AC$49,0)),""))</f>
        <v/>
      </c>
      <c r="AA72" s="244" t="str">
        <f t="array" ref="AA72">IF(R72="*","",IFERROR(INDEX(AGR!$R$52:$AC$73,MATCH($C72,AGR!$B$52:$B$73,0),MATCH('TS DMARK'!$H72&amp;'TS DMARK'!AA$7,AGR!$R$46:$AC$46&amp;AGR!$R$49:$AC$49,0)),""))</f>
        <v/>
      </c>
      <c r="AB72" s="244" t="str">
        <f t="array" ref="AB72">IF(S72="*","",IFERROR(INDEX(AGR!$R$52:$AC$73,MATCH($C72,AGR!$B$52:$B$73,0),MATCH('TS DMARK'!$H72&amp;'TS DMARK'!AB$7,AGR!$R$46:$AC$46&amp;AGR!$R$49:$AC$49,0)),""))</f>
        <v/>
      </c>
      <c r="AC72" s="244" t="str">
        <f t="array" ref="AC72">IF(T72="*","",IFERROR(INDEX(AGR!$R$52:$AC$73,MATCH($C72,AGR!$B$52:$B$73,0),MATCH('TS DMARK'!$H72&amp;'TS DMARK'!AC$7,AGR!$R$46:$AC$46&amp;AGR!$R$49:$AC$49,0)),""))</f>
        <v/>
      </c>
      <c r="AD72" s="244" t="str">
        <f t="array" ref="AD72">IF(U72="*","",IFERROR(INDEX(AGR!$R$52:$AC$73,MATCH($C72,AGR!$B$52:$B$73,0),MATCH('TS DMARK'!$H72&amp;'TS DMARK'!AD$7,AGR!$R$46:$AC$46&amp;AGR!$R$49:$AC$49,0)),""))</f>
        <v/>
      </c>
      <c r="AE72" s="244" t="str">
        <f t="array" ref="AE72">IF(V72="*","",IFERROR(INDEX(AGR!$R$52:$AC$73,MATCH($C72,AGR!$B$52:$B$73,0),MATCH('TS DMARK'!$H72&amp;'TS DMARK'!AE$7,AGR!$R$46:$AC$46&amp;AGR!$R$49:$AC$49,0)),""))</f>
        <v/>
      </c>
      <c r="AF72" s="244" t="str">
        <f t="array" ref="AF72">IF(W72="*","",IFERROR(INDEX(AGR!$R$52:$AC$73,MATCH($C72,AGR!$B$52:$B$73,0),MATCH('TS DMARK'!$H72&amp;'TS DMARK'!AF$7,AGR!$R$46:$AC$46&amp;AGR!$R$49:$AC$49,0)),""))</f>
        <v/>
      </c>
      <c r="AG72" s="244" t="str">
        <f t="array" ref="AG72">IF(X72="*","",IFERROR(INDEX(AGR!$R$52:$AC$73,MATCH($C72,AGR!$B$52:$B$73,0),MATCH('TS DMARK'!$H72&amp;'TS DMARK'!AG$7,AGR!$R$46:$AC$46&amp;AGR!$R$49:$AC$49,0)),""))</f>
        <v/>
      </c>
      <c r="AH72" s="244" t="str">
        <f t="array" ref="AH72">IF(Y72="*","",IFERROR(INDEX(AGR!$R$52:$AC$73,MATCH($C72,AGR!$B$52:$B$73,0),MATCH('TS DMARK'!$H72&amp;'TS DMARK'!AH$7,AGR!$R$46:$AC$46&amp;AGR!$R$49:$AC$49,0)),""))</f>
        <v/>
      </c>
      <c r="AI72" s="244" t="str">
        <f t="array" ref="AI72">IF(Z72="*","",IFERROR(INDEX(AGR!$R$52:$AC$73,MATCH($C72,AGR!$B$52:$B$73,0),MATCH('TS DMARK'!$H72&amp;'TS DMARK'!AI$7,AGR!$R$46:$AC$46&amp;AGR!$R$49:$AC$49,0)),""))</f>
        <v/>
      </c>
      <c r="AJ72" s="244" t="str">
        <f t="array" ref="AJ72">IF(AA72="*","",IFERROR(INDEX(AGR!$R$52:$AC$73,MATCH($C72,AGR!$B$52:$B$73,0),MATCH('TS DMARK'!$H72&amp;'TS DMARK'!AJ$7,AGR!$R$46:$AC$46&amp;AGR!$R$49:$AC$49,0)),""))</f>
        <v/>
      </c>
      <c r="AK72" s="244" t="str">
        <f t="array" ref="AK72">IF(AB72="*","",IFERROR(INDEX(AGR!$R$52:$AC$73,MATCH($C72,AGR!$B$52:$B$73,0),MATCH('TS DMARK'!$H72&amp;'TS DMARK'!AK$7,AGR!$R$46:$AC$46&amp;AGR!$R$49:$AC$49,0)),""))</f>
        <v/>
      </c>
      <c r="AL72" s="244" t="str">
        <f t="array" ref="AL72">IF(AC72="*","",IFERROR(INDEX(AGR!$R$52:$AC$73,MATCH($C72,AGR!$B$52:$B$73,0),MATCH('TS DMARK'!$H72&amp;'TS DMARK'!AL$7,AGR!$R$46:$AC$46&amp;AGR!$R$49:$AC$49,0)),""))</f>
        <v/>
      </c>
      <c r="AM72" s="244" t="str">
        <f t="array" ref="AM72">IF(AD72="*","",IFERROR(INDEX(AGR!$R$52:$AC$73,MATCH($C72,AGR!$B$52:$B$73,0),MATCH('TS DMARK'!$H72&amp;'TS DMARK'!AM$7,AGR!$R$46:$AC$46&amp;AGR!$R$49:$AC$49,0)),""))</f>
        <v/>
      </c>
      <c r="AN72" s="244" t="str">
        <f t="array" ref="AN72">IF(AE72="*","",IFERROR(INDEX(AGR!$R$52:$AC$73,MATCH($C72,AGR!$B$52:$B$73,0),MATCH('TS DMARK'!$H72&amp;'TS DMARK'!AN$7,AGR!$R$46:$AC$46&amp;AGR!$R$49:$AC$49,0)),""))</f>
        <v/>
      </c>
      <c r="AO72" s="244" t="str">
        <f t="array" ref="AO72">IF(AF72="*","",IFERROR(INDEX(AGR!$R$52:$AC$73,MATCH($C72,AGR!$B$52:$B$73,0),MATCH('TS DMARK'!$H72&amp;'TS DMARK'!AO$7,AGR!$R$46:$AC$46&amp;AGR!$R$49:$AC$49,0)),""))</f>
        <v/>
      </c>
      <c r="AP72" s="244" t="str">
        <f t="array" ref="AP72">IF(AG72="*","",IFERROR(INDEX(AGR!$R$52:$AC$73,MATCH($C72,AGR!$B$52:$B$73,0),MATCH('TS DMARK'!$H72&amp;'TS DMARK'!AP$7,AGR!$R$46:$AC$46&amp;AGR!$R$49:$AC$49,0)),""))</f>
        <v/>
      </c>
    </row>
  </sheetData>
  <pageMargins left="0.75" right="0.75" top="1" bottom="1" header="0.5" footer="0.5"/>
  <headerFooter alignWithMargins="0"/>
  <drawing r:id="rId1"/>
  <legacyDrawing r:id="rId2"/>
  <controls>
    <mc:AlternateContent xmlns:mc="http://schemas.openxmlformats.org/markup-compatibility/2006">
      <mc:Choice Requires="x14">
        <control shapeId="482313"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482313" r:id="rId3" name="cmdSpecifyIEOptcode"/>
      </mc:Fallback>
    </mc:AlternateContent>
    <mc:AlternateContent xmlns:mc="http://schemas.openxmlformats.org/markup-compatibility/2006">
      <mc:Choice Requires="x14">
        <control shapeId="482312"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482312" r:id="rId5" name="cmdSpecifyArg6"/>
      </mc:Fallback>
    </mc:AlternateContent>
    <mc:AlternateContent xmlns:mc="http://schemas.openxmlformats.org/markup-compatibility/2006">
      <mc:Choice Requires="x14">
        <control shapeId="482311"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482311" r:id="rId7" name="cmdSpecifyArg5"/>
      </mc:Fallback>
    </mc:AlternateContent>
    <mc:AlternateContent xmlns:mc="http://schemas.openxmlformats.org/markup-compatibility/2006">
      <mc:Choice Requires="x14">
        <control shapeId="482310"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482310" r:id="rId9" name="cmdSpecifyArg4"/>
      </mc:Fallback>
    </mc:AlternateContent>
    <mc:AlternateContent xmlns:mc="http://schemas.openxmlformats.org/markup-compatibility/2006">
      <mc:Choice Requires="x14">
        <control shapeId="482309"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482309" r:id="rId11" name="cmdSpecifyArg3"/>
      </mc:Fallback>
    </mc:AlternateContent>
    <mc:AlternateContent xmlns:mc="http://schemas.openxmlformats.org/markup-compatibility/2006">
      <mc:Choice Requires="x14">
        <control shapeId="482308"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482308" r:id="rId13" name="cmdSpecifyArg2"/>
      </mc:Fallback>
    </mc:AlternateContent>
    <mc:AlternateContent xmlns:mc="http://schemas.openxmlformats.org/markup-compatibility/2006">
      <mc:Choice Requires="x14">
        <control shapeId="482307"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482307" r:id="rId15" name="cmdSpecifyArg1"/>
      </mc:Fallback>
    </mc:AlternateContent>
    <mc:AlternateContent xmlns:mc="http://schemas.openxmlformats.org/markup-compatibility/2006">
      <mc:Choice Requires="x14">
        <control shapeId="482306"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482306" r:id="rId17" name="cmdSpecifyParameter"/>
      </mc:Fallback>
    </mc:AlternateContent>
    <mc:AlternateContent xmlns:mc="http://schemas.openxmlformats.org/markup-compatibility/2006">
      <mc:Choice Requires="x14">
        <control shapeId="482305" r:id="rId19" name="cmdCheckTSandTIDDataSheet">
          <controlPr defaultSize="0" autoLine="0" r:id="rId20">
            <anchor moveWithCells="1">
              <from>
                <xdr:col>1</xdr:col>
                <xdr:colOff>9525</xdr:colOff>
                <xdr:row>1</xdr:row>
                <xdr:rowOff>47625</xdr:rowOff>
              </from>
              <to>
                <xdr:col>2</xdr:col>
                <xdr:colOff>28575</xdr:colOff>
                <xdr:row>2</xdr:row>
                <xdr:rowOff>142875</xdr:rowOff>
              </to>
            </anchor>
          </controlPr>
        </control>
      </mc:Choice>
      <mc:Fallback>
        <control shapeId="482305" r:id="rId19" name="cmdCheckTSandTIDDataSheet"/>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9" tint="-0.249977111117893"/>
  </sheetPr>
  <dimension ref="A1:M105"/>
  <sheetViews>
    <sheetView workbookViewId="0">
      <pane ySplit="7" topLeftCell="A71" activePane="bottomLeft" state="frozen"/>
      <selection activeCell="B3" sqref="B3"/>
      <selection pane="bottomLeft" activeCell="D83" sqref="D83"/>
    </sheetView>
  </sheetViews>
  <sheetFormatPr defaultColWidth="9.140625" defaultRowHeight="11.25"/>
  <cols>
    <col min="1" max="1" width="15.42578125" style="137" customWidth="1"/>
    <col min="2" max="2" width="12" style="137" customWidth="1"/>
    <col min="3" max="3" width="13.7109375" style="137" customWidth="1"/>
    <col min="4" max="16384" width="9.140625" style="137"/>
  </cols>
  <sheetData>
    <row r="1" spans="1:13">
      <c r="A1" s="136" t="s">
        <v>313</v>
      </c>
      <c r="B1" s="137" t="s">
        <v>275</v>
      </c>
      <c r="K1" s="137" t="s">
        <v>277</v>
      </c>
      <c r="L1" s="137" t="s">
        <v>277</v>
      </c>
      <c r="M1" s="137" t="s">
        <v>277</v>
      </c>
    </row>
    <row r="2" spans="1:13">
      <c r="A2" s="137" t="s">
        <v>277</v>
      </c>
      <c r="K2" s="137" t="s">
        <v>287</v>
      </c>
      <c r="L2" s="137" t="s">
        <v>288</v>
      </c>
      <c r="M2" s="137" t="s">
        <v>289</v>
      </c>
    </row>
    <row r="3" spans="1:13" ht="15.75" customHeight="1">
      <c r="A3" s="137" t="s">
        <v>277</v>
      </c>
    </row>
    <row r="4" spans="1:13" ht="12.75" customHeight="1">
      <c r="A4" s="137" t="s">
        <v>277</v>
      </c>
    </row>
    <row r="5" spans="1:13">
      <c r="A5" s="137" t="s">
        <v>277</v>
      </c>
    </row>
    <row r="6" spans="1:13">
      <c r="A6" s="137" t="s">
        <v>277</v>
      </c>
    </row>
    <row r="7" spans="1:13">
      <c r="A7" s="137" t="s">
        <v>277</v>
      </c>
      <c r="B7" s="136" t="s">
        <v>290</v>
      </c>
      <c r="C7" s="136" t="s">
        <v>291</v>
      </c>
      <c r="D7" s="136" t="s">
        <v>292</v>
      </c>
      <c r="E7" s="136" t="s">
        <v>293</v>
      </c>
      <c r="F7" s="136" t="s">
        <v>294</v>
      </c>
      <c r="G7" s="136" t="s">
        <v>295</v>
      </c>
      <c r="H7" s="136" t="s">
        <v>296</v>
      </c>
      <c r="I7" s="136" t="s">
        <v>314</v>
      </c>
      <c r="J7" s="136"/>
    </row>
    <row r="8" spans="1:13">
      <c r="A8" s="137" t="s">
        <v>277</v>
      </c>
    </row>
    <row r="9" spans="1:13">
      <c r="A9" s="137" t="s">
        <v>298</v>
      </c>
      <c r="B9" s="212" t="s">
        <v>315</v>
      </c>
      <c r="C9" s="212" t="s">
        <v>300</v>
      </c>
      <c r="D9" s="212" t="s">
        <v>301</v>
      </c>
      <c r="E9" s="212" t="s">
        <v>316</v>
      </c>
      <c r="F9" s="212" t="s">
        <v>301</v>
      </c>
      <c r="G9" s="212" t="s">
        <v>301</v>
      </c>
      <c r="H9" s="212" t="s">
        <v>301</v>
      </c>
      <c r="I9" s="212">
        <v>1</v>
      </c>
      <c r="J9" s="212"/>
      <c r="M9" s="137">
        <f>AGR!$D$50</f>
        <v>2</v>
      </c>
    </row>
    <row r="10" spans="1:13">
      <c r="A10" s="137" t="s">
        <v>304</v>
      </c>
      <c r="B10" s="212" t="s">
        <v>317</v>
      </c>
      <c r="C10" s="212" t="s">
        <v>300</v>
      </c>
      <c r="D10" s="212" t="s">
        <v>301</v>
      </c>
      <c r="E10" s="212" t="s">
        <v>301</v>
      </c>
      <c r="F10" s="212" t="s">
        <v>301</v>
      </c>
      <c r="G10" s="212" t="s">
        <v>301</v>
      </c>
      <c r="H10" s="212" t="s">
        <v>301</v>
      </c>
      <c r="I10" s="212">
        <v>1</v>
      </c>
      <c r="J10" s="212"/>
    </row>
    <row r="11" spans="1:13">
      <c r="A11" s="137" t="s">
        <v>307</v>
      </c>
      <c r="B11" s="212" t="s">
        <v>318</v>
      </c>
      <c r="C11" s="212" t="s">
        <v>300</v>
      </c>
      <c r="D11" s="212" t="s">
        <v>319</v>
      </c>
      <c r="E11" s="212" t="s">
        <v>301</v>
      </c>
      <c r="F11" s="212" t="s">
        <v>301</v>
      </c>
      <c r="G11" s="212" t="s">
        <v>301</v>
      </c>
      <c r="H11" s="212" t="s">
        <v>301</v>
      </c>
      <c r="I11" s="212">
        <v>1</v>
      </c>
      <c r="J11" s="212"/>
      <c r="M11" s="137">
        <f>AGR!$D$50</f>
        <v>2</v>
      </c>
    </row>
    <row r="12" spans="1:13">
      <c r="A12" s="137" t="s">
        <v>309</v>
      </c>
      <c r="B12" s="212" t="s">
        <v>320</v>
      </c>
      <c r="C12" s="212" t="s">
        <v>300</v>
      </c>
      <c r="D12" s="212" t="s">
        <v>319</v>
      </c>
      <c r="E12" s="212" t="s">
        <v>301</v>
      </c>
      <c r="F12" s="212" t="s">
        <v>301</v>
      </c>
      <c r="G12" s="212" t="s">
        <v>301</v>
      </c>
      <c r="H12" s="212" t="s">
        <v>301</v>
      </c>
      <c r="I12" s="212">
        <v>1</v>
      </c>
      <c r="J12" s="212"/>
      <c r="M12" s="137">
        <f>AGR!$C$50</f>
        <v>1</v>
      </c>
    </row>
    <row r="13" spans="1:13">
      <c r="A13" s="137" t="s">
        <v>277</v>
      </c>
    </row>
    <row r="14" spans="1:13">
      <c r="A14" s="137" t="str">
        <f ca="1">IF(LEFT(OFFSET(AGR!$A$51,L14,0),2)="\I","*","")</f>
        <v/>
      </c>
      <c r="B14" s="212" t="str">
        <f ca="1">IF(A14="*","",VLOOKUP("*"&amp;K14,$A$9:$B$14,2,FALSE))</f>
        <v>PRC_ACTUNT</v>
      </c>
      <c r="C14" s="212" t="str">
        <f ca="1">IF($A14="*","",OFFSET(AGR!$B$51,L14,0))</f>
        <v>AHCOA-E</v>
      </c>
      <c r="D14" s="212" t="str">
        <f ca="1">IF($A14="*","",IF(LEFT($B14,3)="TOP",OFFSET(AGR!$B$51,$L14,SUMIF($B$9:$B$12,$B14,$M$9:$M$12)),"-"))</f>
        <v>-</v>
      </c>
      <c r="E14" s="212" t="str">
        <f ca="1">IF($A14="*","",IF($B14="PRC_ACTUNT",OFFSET(AGR!$B$51,$L14,SUMIF($B$9:$B$12,$B14,$M$9:$M$12)),"-"))</f>
        <v>AH</v>
      </c>
      <c r="F14" s="212" t="str">
        <f ca="1">IF($A14="*","","-")</f>
        <v>-</v>
      </c>
      <c r="G14" s="212" t="str">
        <f t="shared" ref="G14:H29" ca="1" si="0">IF($A14="*","","-")</f>
        <v>-</v>
      </c>
      <c r="H14" s="212" t="str">
        <f t="shared" ca="1" si="0"/>
        <v>-</v>
      </c>
      <c r="I14" s="212">
        <f ca="1">IF($A14="*","",SUMIF($B$9:$B$12,B14,$I$9:$I$12))</f>
        <v>1</v>
      </c>
      <c r="J14" s="212"/>
      <c r="K14" s="207">
        <v>1</v>
      </c>
      <c r="L14" s="137">
        <v>1</v>
      </c>
    </row>
    <row r="15" spans="1:13">
      <c r="A15" s="137" t="str">
        <f ca="1">IF(LEFT(OFFSET(AGR!$A$51,L15,0),2)="\I","*","")</f>
        <v/>
      </c>
      <c r="B15" s="212" t="str">
        <f t="shared" ref="B15:B61" ca="1" si="1">IF(A15="*","",VLOOKUP("*"&amp;K15,$A$9:$B$14,2,FALSE))</f>
        <v>PRC_ACTUNT</v>
      </c>
      <c r="C15" s="212" t="str">
        <f ca="1">IF($A15="*","",OFFSET(AGR!$B$51,L15,0))</f>
        <v>AHOHF-E</v>
      </c>
      <c r="D15" s="212" t="str">
        <f ca="1">IF($A15="*","",IF(LEFT($B15,3)="TOP",OFFSET(AGR!$B$51,$L15,SUMIF($B$9:$B$12,$B15,$M$9:$M$12)),"-"))</f>
        <v>-</v>
      </c>
      <c r="E15" s="212" t="str">
        <f ca="1">IF($A15="*","",IF($B15="PRC_ACTUNT",OFFSET(AGR!$B$51,$L15,SUMIF($B$9:$B$12,$B15,$M$9:$M$12)),"-"))</f>
        <v>AH</v>
      </c>
      <c r="F15" s="212" t="str">
        <f t="shared" ref="F15:H54" ca="1" si="2">IF($A15="*","","-")</f>
        <v>-</v>
      </c>
      <c r="G15" s="212" t="str">
        <f t="shared" ca="1" si="0"/>
        <v>-</v>
      </c>
      <c r="H15" s="212" t="str">
        <f t="shared" ca="1" si="0"/>
        <v>-</v>
      </c>
      <c r="I15" s="212">
        <f t="shared" ref="I15:I61" ca="1" si="3">IF($A15="*","",SUMIF($B$9:$B$12,B15,$I$9:$I$12))</f>
        <v>1</v>
      </c>
      <c r="J15" s="212"/>
      <c r="K15" s="137">
        <f>IF(L14=AGR!$AD$74,K14+1,K14)</f>
        <v>1</v>
      </c>
      <c r="L15" s="137">
        <f>IF(K15=K14,L14+1,1)</f>
        <v>2</v>
      </c>
    </row>
    <row r="16" spans="1:13">
      <c r="A16" s="137" t="str">
        <f ca="1">IF(LEFT(OFFSET(AGR!$A$51,L16,0),2)="\I","*","")</f>
        <v/>
      </c>
      <c r="B16" s="212" t="str">
        <f t="shared" ca="1" si="1"/>
        <v>PRC_ACTUNT</v>
      </c>
      <c r="C16" s="212" t="str">
        <f ca="1">IF($A16="*","",OFFSET(AGR!$B$51,L16,0))</f>
        <v>AHOKE-E</v>
      </c>
      <c r="D16" s="212" t="str">
        <f ca="1">IF($A16="*","",IF(LEFT($B16,3)="TOP",OFFSET(AGR!$B$51,$L16,SUMIF($B$9:$B$12,$B16,$M$9:$M$12)),"-"))</f>
        <v>-</v>
      </c>
      <c r="E16" s="212" t="str">
        <f ca="1">IF($A16="*","",IF($B16="PRC_ACTUNT",OFFSET(AGR!$B$51,$L16,SUMIF($B$9:$B$12,$B16,$M$9:$M$12)),"-"))</f>
        <v>AH</v>
      </c>
      <c r="F16" s="212" t="str">
        <f t="shared" ca="1" si="2"/>
        <v>-</v>
      </c>
      <c r="G16" s="212" t="str">
        <f t="shared" ca="1" si="0"/>
        <v>-</v>
      </c>
      <c r="H16" s="212" t="str">
        <f t="shared" ca="1" si="0"/>
        <v>-</v>
      </c>
      <c r="I16" s="212">
        <f t="shared" ca="1" si="3"/>
        <v>1</v>
      </c>
      <c r="J16" s="212"/>
      <c r="K16" s="137">
        <f>IF(L15=AGR!$AD$74,K15+1,K15)</f>
        <v>1</v>
      </c>
      <c r="L16" s="137">
        <f t="shared" ref="L16:L79" si="4">IF(K16=K15,L15+1,1)</f>
        <v>3</v>
      </c>
    </row>
    <row r="17" spans="1:12">
      <c r="A17" s="137" t="str">
        <f ca="1">IF(LEFT(OFFSET(AGR!$A$51,L17,0),2)="\I","*","")</f>
        <v/>
      </c>
      <c r="B17" s="212" t="str">
        <f t="shared" ca="1" si="1"/>
        <v>PRC_ACTUNT</v>
      </c>
      <c r="C17" s="212" t="str">
        <f ca="1">IF($A17="*","",OFFSET(AGR!$B$51,L17,0))</f>
        <v>AHOLP-E</v>
      </c>
      <c r="D17" s="212" t="str">
        <f ca="1">IF($A17="*","",IF(LEFT($B17,3)="TOP",OFFSET(AGR!$B$51,$L17,SUMIF($B$9:$B$12,$B17,$M$9:$M$12)),"-"))</f>
        <v>-</v>
      </c>
      <c r="E17" s="212" t="str">
        <f ca="1">IF($A17="*","",IF($B17="PRC_ACTUNT",OFFSET(AGR!$B$51,$L17,SUMIF($B$9:$B$12,$B17,$M$9:$M$12)),"-"))</f>
        <v>AH</v>
      </c>
      <c r="F17" s="212" t="str">
        <f t="shared" ca="1" si="2"/>
        <v>-</v>
      </c>
      <c r="G17" s="212" t="str">
        <f t="shared" ca="1" si="0"/>
        <v>-</v>
      </c>
      <c r="H17" s="212" t="str">
        <f t="shared" ca="1" si="0"/>
        <v>-</v>
      </c>
      <c r="I17" s="212">
        <f t="shared" ca="1" si="3"/>
        <v>1</v>
      </c>
      <c r="J17" s="212"/>
      <c r="K17" s="137">
        <f>IF(L16=AGR!$AD$74,K16+1,K16)</f>
        <v>1</v>
      </c>
      <c r="L17" s="137">
        <f t="shared" si="4"/>
        <v>4</v>
      </c>
    </row>
    <row r="18" spans="1:12">
      <c r="A18" s="137" t="str">
        <f ca="1">IF(LEFT(OFFSET(AGR!$A$51,L18,0),2)="\I","*","")</f>
        <v/>
      </c>
      <c r="B18" s="212" t="str">
        <f t="shared" ca="1" si="1"/>
        <v>PRC_ACTUNT</v>
      </c>
      <c r="C18" s="212" t="str">
        <f ca="1">IF($A18="*","",OFFSET(AGR!$B$51,L18,0))</f>
        <v>AHELC-E</v>
      </c>
      <c r="D18" s="212" t="str">
        <f ca="1">IF($A18="*","",IF(LEFT($B18,3)="TOP",OFFSET(AGR!$B$51,$L18,SUMIF($B$9:$B$12,$B18,$M$9:$M$12)),"-"))</f>
        <v>-</v>
      </c>
      <c r="E18" s="212" t="str">
        <f ca="1">IF($A18="*","",IF($B18="PRC_ACTUNT",OFFSET(AGR!$B$51,$L18,SUMIF($B$9:$B$12,$B18,$M$9:$M$12)),"-"))</f>
        <v>AH</v>
      </c>
      <c r="F18" s="212" t="str">
        <f t="shared" ca="1" si="2"/>
        <v>-</v>
      </c>
      <c r="G18" s="212" t="str">
        <f t="shared" ca="1" si="0"/>
        <v>-</v>
      </c>
      <c r="H18" s="212" t="str">
        <f t="shared" ca="1" si="0"/>
        <v>-</v>
      </c>
      <c r="I18" s="212">
        <f t="shared" ca="1" si="3"/>
        <v>1</v>
      </c>
      <c r="J18" s="212"/>
      <c r="K18" s="137">
        <f>IF(L17=AGR!$AD$74,K17+1,K17)</f>
        <v>1</v>
      </c>
      <c r="L18" s="137">
        <f t="shared" si="4"/>
        <v>5</v>
      </c>
    </row>
    <row r="19" spans="1:12">
      <c r="A19" s="137" t="str">
        <f ca="1">IF(LEFT(OFFSET(AGR!$A$51,L19,0),2)="\I","*","")</f>
        <v>*</v>
      </c>
      <c r="B19" s="212" t="str">
        <f t="shared" ca="1" si="1"/>
        <v/>
      </c>
      <c r="C19" s="212" t="str">
        <f ca="1">IF($A19="*","",OFFSET(AGR!$B$51,L19,0))</f>
        <v/>
      </c>
      <c r="D19" s="212" t="str">
        <f ca="1">IF($A19="*","",IF(LEFT($B19,3)="TOP",OFFSET(AGR!$B$51,$L19,SUMIF($B$9:$B$12,$B19,$M$9:$M$12)),"-"))</f>
        <v/>
      </c>
      <c r="E19" s="212" t="str">
        <f ca="1">IF($A19="*","",IF($B19="PRC_ACTUNT",OFFSET(AGR!$B$51,$L19,SUMIF($B$9:$B$12,$B19,$M$9:$M$12)),"-"))</f>
        <v/>
      </c>
      <c r="F19" s="212" t="str">
        <f t="shared" ca="1" si="2"/>
        <v/>
      </c>
      <c r="G19" s="212" t="str">
        <f t="shared" ca="1" si="0"/>
        <v/>
      </c>
      <c r="H19" s="212" t="str">
        <f t="shared" ca="1" si="0"/>
        <v/>
      </c>
      <c r="I19" s="212" t="str">
        <f t="shared" ca="1" si="3"/>
        <v/>
      </c>
      <c r="J19" s="212"/>
      <c r="K19" s="137">
        <f>IF(L18=AGR!$AD$74,K18+1,K18)</f>
        <v>1</v>
      </c>
      <c r="L19" s="137">
        <f t="shared" si="4"/>
        <v>6</v>
      </c>
    </row>
    <row r="20" spans="1:12">
      <c r="A20" s="137" t="str">
        <f ca="1">IF(LEFT(OFFSET(AGR!$A$51,L20,0),2)="\I","*","")</f>
        <v>*</v>
      </c>
      <c r="B20" s="212" t="str">
        <f t="shared" ca="1" si="1"/>
        <v/>
      </c>
      <c r="C20" s="212" t="str">
        <f ca="1">IF($A20="*","",OFFSET(AGR!$B$51,L20,0))</f>
        <v/>
      </c>
      <c r="D20" s="212" t="str">
        <f ca="1">IF($A20="*","",IF(LEFT($B20,3)="TOP",OFFSET(AGR!$B$51,$L20,SUMIF($B$9:$B$12,$B20,$M$9:$M$12)),"-"))</f>
        <v/>
      </c>
      <c r="E20" s="212" t="str">
        <f ca="1">IF($A20="*","",IF($B20="PRC_ACTUNT",OFFSET(AGR!$B$51,$L20,SUMIF($B$9:$B$12,$B20,$M$9:$M$12)),"-"))</f>
        <v/>
      </c>
      <c r="F20" s="212" t="str">
        <f t="shared" ca="1" si="2"/>
        <v/>
      </c>
      <c r="G20" s="212" t="str">
        <f t="shared" ca="1" si="0"/>
        <v/>
      </c>
      <c r="H20" s="212" t="str">
        <f t="shared" ca="1" si="0"/>
        <v/>
      </c>
      <c r="I20" s="212" t="str">
        <f t="shared" ca="1" si="3"/>
        <v/>
      </c>
      <c r="J20" s="212"/>
      <c r="K20" s="137">
        <f>IF(L19=AGR!$AD$74,K19+1,K19)</f>
        <v>1</v>
      </c>
      <c r="L20" s="137">
        <f t="shared" si="4"/>
        <v>7</v>
      </c>
    </row>
    <row r="21" spans="1:12">
      <c r="A21" s="137" t="str">
        <f ca="1">IF(LEFT(OFFSET(AGR!$A$51,L21,0),2)="\I","*","")</f>
        <v/>
      </c>
      <c r="B21" s="212" t="str">
        <f t="shared" ca="1" si="1"/>
        <v>PRC_ACTUNT</v>
      </c>
      <c r="C21" s="212" t="str">
        <f ca="1">IF($A21="*","",OFFSET(AGR!$B$51,L21,0))</f>
        <v>APELC-E</v>
      </c>
      <c r="D21" s="212" t="str">
        <f ca="1">IF($A21="*","",IF(LEFT($B21,3)="TOP",OFFSET(AGR!$B$51,$L21,SUMIF($B$9:$B$12,$B21,$M$9:$M$12)),"-"))</f>
        <v>-</v>
      </c>
      <c r="E21" s="212" t="str">
        <f ca="1">IF($A21="*","",IF($B21="PRC_ACTUNT",OFFSET(AGR!$B$51,$L21,SUMIF($B$9:$B$12,$B21,$M$9:$M$12)),"-"))</f>
        <v>AP</v>
      </c>
      <c r="F21" s="212" t="str">
        <f t="shared" ca="1" si="2"/>
        <v>-</v>
      </c>
      <c r="G21" s="212" t="str">
        <f t="shared" ca="1" si="0"/>
        <v>-</v>
      </c>
      <c r="H21" s="212" t="str">
        <f t="shared" ca="1" si="0"/>
        <v>-</v>
      </c>
      <c r="I21" s="212">
        <f t="shared" ca="1" si="3"/>
        <v>1</v>
      </c>
      <c r="J21" s="212"/>
      <c r="K21" s="137">
        <f>IF(L20=AGR!$AD$74,K20+1,K20)</f>
        <v>1</v>
      </c>
      <c r="L21" s="137">
        <f t="shared" si="4"/>
        <v>8</v>
      </c>
    </row>
    <row r="22" spans="1:12">
      <c r="A22" s="137" t="str">
        <f ca="1">IF(LEFT(OFFSET(AGR!$A$51,L22,0),2)="\I","*","")</f>
        <v>*</v>
      </c>
      <c r="B22" s="212" t="str">
        <f t="shared" ca="1" si="1"/>
        <v/>
      </c>
      <c r="C22" s="212" t="str">
        <f ca="1">IF($A22="*","",OFFSET(AGR!$B$51,L22,0))</f>
        <v/>
      </c>
      <c r="D22" s="212" t="str">
        <f ca="1">IF($A22="*","",IF(LEFT($B22,3)="TOP",OFFSET(AGR!$B$51,$L22,SUMIF($B$9:$B$12,$B22,$M$9:$M$12)),"-"))</f>
        <v/>
      </c>
      <c r="E22" s="212" t="str">
        <f ca="1">IF($A22="*","",IF($B22="PRC_ACTUNT",OFFSET(AGR!$B$51,$L22,SUMIF($B$9:$B$12,$B22,$M$9:$M$12)),"-"))</f>
        <v/>
      </c>
      <c r="F22" s="212" t="str">
        <f t="shared" ca="1" si="2"/>
        <v/>
      </c>
      <c r="G22" s="212" t="str">
        <f t="shared" ca="1" si="0"/>
        <v/>
      </c>
      <c r="H22" s="212" t="str">
        <f t="shared" ca="1" si="0"/>
        <v/>
      </c>
      <c r="I22" s="212" t="str">
        <f t="shared" ca="1" si="3"/>
        <v/>
      </c>
      <c r="J22" s="212"/>
      <c r="K22" s="137">
        <f>IF(L21=AGR!$AD$74,K21+1,K21)</f>
        <v>1</v>
      </c>
      <c r="L22" s="137">
        <f t="shared" si="4"/>
        <v>9</v>
      </c>
    </row>
    <row r="23" spans="1:12">
      <c r="A23" s="137" t="str">
        <f ca="1">IF(LEFT(OFFSET(AGR!$A$51,L23,0),2)="\I","*","")</f>
        <v>*</v>
      </c>
      <c r="B23" s="212" t="str">
        <f t="shared" ca="1" si="1"/>
        <v/>
      </c>
      <c r="C23" s="212" t="str">
        <f ca="1">IF($A23="*","",OFFSET(AGR!$B$51,L23,0))</f>
        <v/>
      </c>
      <c r="D23" s="212" t="str">
        <f ca="1">IF($A23="*","",IF(LEFT($B23,3)="TOP",OFFSET(AGR!$B$51,$L23,SUMIF($B$9:$B$12,$B23,$M$9:$M$12)),"-"))</f>
        <v/>
      </c>
      <c r="E23" s="212" t="str">
        <f ca="1">IF($A23="*","",IF($B23="PRC_ACTUNT",OFFSET(AGR!$B$51,$L23,SUMIF($B$9:$B$12,$B23,$M$9:$M$12)),"-"))</f>
        <v/>
      </c>
      <c r="F23" s="212" t="str">
        <f t="shared" ca="1" si="2"/>
        <v/>
      </c>
      <c r="G23" s="212" t="str">
        <f t="shared" ca="1" si="0"/>
        <v/>
      </c>
      <c r="H23" s="212" t="str">
        <f t="shared" ca="1" si="0"/>
        <v/>
      </c>
      <c r="I23" s="212" t="str">
        <f t="shared" ca="1" si="3"/>
        <v/>
      </c>
      <c r="J23" s="212"/>
      <c r="K23" s="137">
        <f>IF(L22=AGR!$AD$74,K22+1,K22)</f>
        <v>1</v>
      </c>
      <c r="L23" s="137">
        <f t="shared" si="4"/>
        <v>10</v>
      </c>
    </row>
    <row r="24" spans="1:12">
      <c r="A24" s="137" t="str">
        <f ca="1">IF(LEFT(OFFSET(AGR!$A$51,L24,0),2)="\I","*","")</f>
        <v/>
      </c>
      <c r="B24" s="212" t="str">
        <f t="shared" ca="1" si="1"/>
        <v>PRC_ACTUNT</v>
      </c>
      <c r="C24" s="212" t="str">
        <f ca="1">IF($A24="*","",OFFSET(AGR!$B$51,L24,0))</f>
        <v>ATODS-E</v>
      </c>
      <c r="D24" s="212" t="str">
        <f ca="1">IF($A24="*","",IF(LEFT($B24,3)="TOP",OFFSET(AGR!$B$51,$L24,SUMIF($B$9:$B$12,$B24,$M$9:$M$12)),"-"))</f>
        <v>-</v>
      </c>
      <c r="E24" s="212" t="str">
        <f ca="1">IF($A24="*","",IF($B24="PRC_ACTUNT",OFFSET(AGR!$B$51,$L24,SUMIF($B$9:$B$12,$B24,$M$9:$M$12)),"-"))</f>
        <v>AT</v>
      </c>
      <c r="F24" s="212" t="str">
        <f t="shared" ca="1" si="2"/>
        <v>-</v>
      </c>
      <c r="G24" s="212" t="str">
        <f t="shared" ca="1" si="0"/>
        <v>-</v>
      </c>
      <c r="H24" s="212" t="str">
        <f t="shared" ca="1" si="0"/>
        <v>-</v>
      </c>
      <c r="I24" s="212">
        <f t="shared" ca="1" si="3"/>
        <v>1</v>
      </c>
      <c r="J24" s="212"/>
      <c r="K24" s="137">
        <f>IF(L23=AGR!$AD$74,K23+1,K23)</f>
        <v>1</v>
      </c>
      <c r="L24" s="137">
        <f t="shared" si="4"/>
        <v>11</v>
      </c>
    </row>
    <row r="25" spans="1:12">
      <c r="A25" s="137" t="str">
        <f ca="1">IF(LEFT(OFFSET(AGR!$A$51,L25,0),2)="\I","*","")</f>
        <v/>
      </c>
      <c r="B25" s="212" t="str">
        <f t="shared" ca="1" si="1"/>
        <v>PRC_ACTUNT</v>
      </c>
      <c r="C25" s="212" t="str">
        <f ca="1">IF($A25="*","",OFFSET(AGR!$B$51,L25,0))</f>
        <v>ATELC-E</v>
      </c>
      <c r="D25" s="212" t="str">
        <f ca="1">IF($A25="*","",IF(LEFT($B25,3)="TOP",OFFSET(AGR!$B$51,$L25,SUMIF($B$9:$B$12,$B25,$M$9:$M$12)),"-"))</f>
        <v>-</v>
      </c>
      <c r="E25" s="212" t="str">
        <f ca="1">IF($A25="*","",IF($B25="PRC_ACTUNT",OFFSET(AGR!$B$51,$L25,SUMIF($B$9:$B$12,$B25,$M$9:$M$12)),"-"))</f>
        <v>AT</v>
      </c>
      <c r="F25" s="212" t="str">
        <f t="shared" ca="1" si="2"/>
        <v>-</v>
      </c>
      <c r="G25" s="212" t="str">
        <f t="shared" ca="1" si="0"/>
        <v>-</v>
      </c>
      <c r="H25" s="212" t="str">
        <f t="shared" ca="1" si="0"/>
        <v>-</v>
      </c>
      <c r="I25" s="212">
        <f t="shared" ca="1" si="3"/>
        <v>1</v>
      </c>
      <c r="J25" s="212"/>
      <c r="K25" s="137">
        <f>IF(L24=AGR!$AD$74,K24+1,K24)</f>
        <v>1</v>
      </c>
      <c r="L25" s="137">
        <f t="shared" si="4"/>
        <v>12</v>
      </c>
    </row>
    <row r="26" spans="1:12">
      <c r="A26" s="137" t="str">
        <f ca="1">IF(LEFT(OFFSET(AGR!$A$51,L26,0),2)="\I","*","")</f>
        <v/>
      </c>
      <c r="B26" s="212" t="str">
        <f t="shared" ca="1" si="1"/>
        <v>PRC_ACTUNT</v>
      </c>
      <c r="C26" s="212" t="str">
        <f ca="1">IF($A26="*","",OFFSET(AGR!$B$51,L26,0))</f>
        <v>ATOGS-E</v>
      </c>
      <c r="D26" s="212" t="str">
        <f ca="1">IF($A26="*","",IF(LEFT($B26,3)="TOP",OFFSET(AGR!$B$51,$L26,SUMIF($B$9:$B$12,$B26,$M$9:$M$12)),"-"))</f>
        <v>-</v>
      </c>
      <c r="E26" s="212" t="str">
        <f ca="1">IF($A26="*","",IF($B26="PRC_ACTUNT",OFFSET(AGR!$B$51,$L26,SUMIF($B$9:$B$12,$B26,$M$9:$M$12)),"-"))</f>
        <v>AT</v>
      </c>
      <c r="F26" s="212" t="str">
        <f t="shared" ca="1" si="2"/>
        <v>-</v>
      </c>
      <c r="G26" s="212" t="str">
        <f t="shared" ca="1" si="0"/>
        <v>-</v>
      </c>
      <c r="H26" s="212" t="str">
        <f t="shared" ca="1" si="0"/>
        <v>-</v>
      </c>
      <c r="I26" s="212">
        <f t="shared" ca="1" si="3"/>
        <v>1</v>
      </c>
      <c r="J26" s="212"/>
      <c r="K26" s="137">
        <f>IF(L25=AGR!$AD$74,K25+1,K25)</f>
        <v>1</v>
      </c>
      <c r="L26" s="137">
        <f t="shared" si="4"/>
        <v>13</v>
      </c>
    </row>
    <row r="27" spans="1:12">
      <c r="A27" s="137" t="str">
        <f ca="1">IF(LEFT(OFFSET(AGR!$A$51,L27,0),2)="\I","*","")</f>
        <v>*</v>
      </c>
      <c r="B27" s="212" t="str">
        <f t="shared" ca="1" si="1"/>
        <v/>
      </c>
      <c r="C27" s="212" t="str">
        <f ca="1">IF($A27="*","",OFFSET(AGR!$B$51,L27,0))</f>
        <v/>
      </c>
      <c r="D27" s="212" t="str">
        <f ca="1">IF($A27="*","",IF(LEFT($B27,3)="TOP",OFFSET(AGR!$B$51,$L27,SUMIF($B$9:$B$12,$B27,$M$9:$M$12)),"-"))</f>
        <v/>
      </c>
      <c r="E27" s="212" t="str">
        <f ca="1">IF($A27="*","",IF($B27="PRC_ACTUNT",OFFSET(AGR!$B$51,$L27,SUMIF($B$9:$B$12,$B27,$M$9:$M$12)),"-"))</f>
        <v/>
      </c>
      <c r="F27" s="212" t="str">
        <f t="shared" ca="1" si="2"/>
        <v/>
      </c>
      <c r="G27" s="212" t="str">
        <f t="shared" ca="1" si="0"/>
        <v/>
      </c>
      <c r="H27" s="212" t="str">
        <f t="shared" ca="1" si="0"/>
        <v/>
      </c>
      <c r="I27" s="212" t="str">
        <f t="shared" ca="1" si="3"/>
        <v/>
      </c>
      <c r="J27" s="212"/>
      <c r="K27" s="137">
        <f>IF(L26=AGR!$AD$74,K26+1,K26)</f>
        <v>1</v>
      </c>
      <c r="L27" s="137">
        <f t="shared" si="4"/>
        <v>14</v>
      </c>
    </row>
    <row r="28" spans="1:12">
      <c r="A28" s="137" t="str">
        <f ca="1">IF(LEFT(OFFSET(AGR!$A$51,L28,0),2)="\I","*","")</f>
        <v>*</v>
      </c>
      <c r="B28" s="212" t="str">
        <f t="shared" ca="1" si="1"/>
        <v/>
      </c>
      <c r="C28" s="212" t="str">
        <f ca="1">IF($A28="*","",OFFSET(AGR!$B$51,L28,0))</f>
        <v/>
      </c>
      <c r="D28" s="212" t="str">
        <f ca="1">IF($A28="*","",IF(LEFT($B28,3)="TOP",OFFSET(AGR!$B$51,$L28,SUMIF($B$9:$B$12,$B28,$M$9:$M$12)),"-"))</f>
        <v/>
      </c>
      <c r="E28" s="212" t="str">
        <f ca="1">IF($A28="*","",IF($B28="PRC_ACTUNT",OFFSET(AGR!$B$51,$L28,SUMIF($B$9:$B$12,$B28,$M$9:$M$12)),"-"))</f>
        <v/>
      </c>
      <c r="F28" s="212" t="str">
        <f t="shared" ca="1" si="2"/>
        <v/>
      </c>
      <c r="G28" s="212" t="str">
        <f t="shared" ca="1" si="0"/>
        <v/>
      </c>
      <c r="H28" s="212" t="str">
        <f t="shared" ca="1" si="0"/>
        <v/>
      </c>
      <c r="I28" s="212" t="str">
        <f t="shared" ca="1" si="3"/>
        <v/>
      </c>
      <c r="J28" s="212"/>
      <c r="K28" s="137">
        <f>IF(L27=AGR!$AD$74,K27+1,K27)</f>
        <v>1</v>
      </c>
      <c r="L28" s="137">
        <f t="shared" si="4"/>
        <v>15</v>
      </c>
    </row>
    <row r="29" spans="1:12">
      <c r="A29" s="137" t="str">
        <f ca="1">IF(LEFT(OFFSET(AGR!$A$51,L29,0),2)="\I","*","")</f>
        <v/>
      </c>
      <c r="B29" s="212" t="str">
        <f t="shared" ca="1" si="1"/>
        <v>PRC_ACTUNT</v>
      </c>
      <c r="C29" s="212" t="str">
        <f ca="1">IF($A29="*","",OFFSET(AGR!$B$51,L29,0))</f>
        <v>AIODS-E</v>
      </c>
      <c r="D29" s="212" t="str">
        <f ca="1">IF($A29="*","",IF(LEFT($B29,3)="TOP",OFFSET(AGR!$B$51,$L29,SUMIF($B$9:$B$12,$B29,$M$9:$M$12)),"-"))</f>
        <v>-</v>
      </c>
      <c r="E29" s="212" t="str">
        <f ca="1">IF($A29="*","",IF($B29="PRC_ACTUNT",OFFSET(AGR!$B$51,$L29,SUMIF($B$9:$B$12,$B29,$M$9:$M$12)),"-"))</f>
        <v>AI</v>
      </c>
      <c r="F29" s="212" t="str">
        <f t="shared" ca="1" si="2"/>
        <v>-</v>
      </c>
      <c r="G29" s="212" t="str">
        <f t="shared" ca="1" si="0"/>
        <v>-</v>
      </c>
      <c r="H29" s="212" t="str">
        <f t="shared" ca="1" si="0"/>
        <v>-</v>
      </c>
      <c r="I29" s="212">
        <f t="shared" ca="1" si="3"/>
        <v>1</v>
      </c>
      <c r="J29" s="212"/>
      <c r="K29" s="137">
        <f>IF(L28=AGR!$AD$74,K28+1,K28)</f>
        <v>1</v>
      </c>
      <c r="L29" s="137">
        <f t="shared" si="4"/>
        <v>16</v>
      </c>
    </row>
    <row r="30" spans="1:12">
      <c r="A30" s="137" t="str">
        <f ca="1">IF(LEFT(OFFSET(AGR!$A$51,L30,0),2)="\I","*","")</f>
        <v/>
      </c>
      <c r="B30" s="212" t="str">
        <f t="shared" ca="1" si="1"/>
        <v>PRC_ACTUNT</v>
      </c>
      <c r="C30" s="212" t="str">
        <f ca="1">IF($A30="*","",OFFSET(AGR!$B$51,L30,0))</f>
        <v>AIELC-E</v>
      </c>
      <c r="D30" s="212" t="str">
        <f ca="1">IF($A30="*","",IF(LEFT($B30,3)="TOP",OFFSET(AGR!$B$51,$L30,SUMIF($B$9:$B$12,$B30,$M$9:$M$12)),"-"))</f>
        <v>-</v>
      </c>
      <c r="E30" s="212" t="str">
        <f ca="1">IF($A30="*","",IF($B30="PRC_ACTUNT",OFFSET(AGR!$B$51,$L30,SUMIF($B$9:$B$12,$B30,$M$9:$M$12)),"-"))</f>
        <v>AI</v>
      </c>
      <c r="F30" s="212" t="str">
        <f t="shared" ca="1" si="2"/>
        <v>-</v>
      </c>
      <c r="G30" s="212" t="str">
        <f t="shared" ca="1" si="2"/>
        <v>-</v>
      </c>
      <c r="H30" s="212" t="str">
        <f t="shared" ca="1" si="2"/>
        <v>-</v>
      </c>
      <c r="I30" s="212">
        <f t="shared" ca="1" si="3"/>
        <v>1</v>
      </c>
      <c r="J30" s="212"/>
      <c r="K30" s="137">
        <f>IF(L29=AGR!$AD$74,K29+1,K29)</f>
        <v>1</v>
      </c>
      <c r="L30" s="137">
        <f t="shared" si="4"/>
        <v>17</v>
      </c>
    </row>
    <row r="31" spans="1:12">
      <c r="A31" s="137" t="str">
        <f ca="1">IF(LEFT(OFFSET(AGR!$A$51,L31,0),2)="\I","*","")</f>
        <v/>
      </c>
      <c r="B31" s="212" t="str">
        <f t="shared" ca="1" si="1"/>
        <v>PRC_ACTUNT</v>
      </c>
      <c r="C31" s="212" t="str">
        <f ca="1">IF($A31="*","",OFFSET(AGR!$B$51,L31,0))</f>
        <v>AIOGS-E</v>
      </c>
      <c r="D31" s="212" t="str">
        <f ca="1">IF($A31="*","",IF(LEFT($B31,3)="TOP",OFFSET(AGR!$B$51,$L31,SUMIF($B$9:$B$12,$B31,$M$9:$M$12)),"-"))</f>
        <v>-</v>
      </c>
      <c r="E31" s="212" t="str">
        <f ca="1">IF($A31="*","",IF($B31="PRC_ACTUNT",OFFSET(AGR!$B$51,$L31,SUMIF($B$9:$B$12,$B31,$M$9:$M$12)),"-"))</f>
        <v>AI</v>
      </c>
      <c r="F31" s="212" t="str">
        <f t="shared" ca="1" si="2"/>
        <v>-</v>
      </c>
      <c r="G31" s="212" t="str">
        <f t="shared" ca="1" si="2"/>
        <v>-</v>
      </c>
      <c r="H31" s="212" t="str">
        <f t="shared" ca="1" si="2"/>
        <v>-</v>
      </c>
      <c r="I31" s="212">
        <f t="shared" ca="1" si="3"/>
        <v>1</v>
      </c>
      <c r="J31" s="212"/>
      <c r="K31" s="137">
        <f>IF(L30=AGR!$AD$74,K30+1,K30)</f>
        <v>1</v>
      </c>
      <c r="L31" s="137">
        <f t="shared" si="4"/>
        <v>18</v>
      </c>
    </row>
    <row r="32" spans="1:12">
      <c r="A32" s="137" t="str">
        <f ca="1">IF(LEFT(OFFSET(AGR!$A$51,L32,0),2)="\I","*","")</f>
        <v>*</v>
      </c>
      <c r="B32" s="212" t="str">
        <f t="shared" ca="1" si="1"/>
        <v/>
      </c>
      <c r="C32" s="212" t="str">
        <f ca="1">IF($A32="*","",OFFSET(AGR!$B$51,L32,0))</f>
        <v/>
      </c>
      <c r="D32" s="212" t="str">
        <f ca="1">IF($A32="*","",IF(LEFT($B32,3)="TOP",OFFSET(AGR!$B$51,$L32,SUMIF($B$9:$B$12,$B32,$M$9:$M$12)),"-"))</f>
        <v/>
      </c>
      <c r="E32" s="212" t="str">
        <f ca="1">IF($A32="*","",IF($B32="PRC_ACTUNT",OFFSET(AGR!$B$51,$L32,SUMIF($B$9:$B$12,$B32,$M$9:$M$12)),"-"))</f>
        <v/>
      </c>
      <c r="F32" s="212" t="str">
        <f t="shared" ca="1" si="2"/>
        <v/>
      </c>
      <c r="G32" s="212" t="str">
        <f t="shared" ca="1" si="2"/>
        <v/>
      </c>
      <c r="H32" s="212" t="str">
        <f t="shared" ca="1" si="2"/>
        <v/>
      </c>
      <c r="I32" s="212" t="str">
        <f t="shared" ca="1" si="3"/>
        <v/>
      </c>
      <c r="J32" s="212"/>
      <c r="K32" s="137">
        <f>IF(L31=AGR!$AD$74,K31+1,K31)</f>
        <v>1</v>
      </c>
      <c r="L32" s="137">
        <f t="shared" si="4"/>
        <v>19</v>
      </c>
    </row>
    <row r="33" spans="1:12">
      <c r="A33" s="137" t="str">
        <f ca="1">IF(LEFT(OFFSET(AGR!$A$51,L33,0),2)="\I","*","")</f>
        <v>*</v>
      </c>
      <c r="B33" s="212" t="str">
        <f t="shared" ca="1" si="1"/>
        <v/>
      </c>
      <c r="C33" s="212" t="str">
        <f ca="1">IF($A33="*","",OFFSET(AGR!$B$51,L33,0))</f>
        <v/>
      </c>
      <c r="D33" s="212" t="str">
        <f ca="1">IF($A33="*","",IF(LEFT($B33,3)="TOP",OFFSET(AGR!$B$51,$L33,SUMIF($B$9:$B$12,$B33,$M$9:$M$12)),"-"))</f>
        <v/>
      </c>
      <c r="E33" s="212" t="str">
        <f ca="1">IF($A33="*","",IF($B33="PRC_ACTUNT",OFFSET(AGR!$B$51,$L33,SUMIF($B$9:$B$12,$B33,$M$9:$M$12)),"-"))</f>
        <v/>
      </c>
      <c r="F33" s="212" t="str">
        <f t="shared" ca="1" si="2"/>
        <v/>
      </c>
      <c r="G33" s="212" t="str">
        <f t="shared" ca="1" si="2"/>
        <v/>
      </c>
      <c r="H33" s="212" t="str">
        <f t="shared" ca="1" si="2"/>
        <v/>
      </c>
      <c r="I33" s="212" t="str">
        <f t="shared" ca="1" si="3"/>
        <v/>
      </c>
      <c r="J33" s="212"/>
      <c r="K33" s="137">
        <f>IF(L32=AGR!$AD$74,K32+1,K32)</f>
        <v>1</v>
      </c>
      <c r="L33" s="137">
        <f t="shared" si="4"/>
        <v>20</v>
      </c>
    </row>
    <row r="34" spans="1:12">
      <c r="A34" s="137" t="str">
        <f ca="1">IF(LEFT(OFFSET(AGR!$A$51,L34,0),2)="\I","*","")</f>
        <v/>
      </c>
      <c r="B34" s="212" t="str">
        <f t="shared" ca="1" si="1"/>
        <v>PRC_ACTUNT</v>
      </c>
      <c r="C34" s="212" t="str">
        <f ca="1">IF($A34="*","",OFFSET(AGR!$B$51,L34,0))</f>
        <v>AOELC-E</v>
      </c>
      <c r="D34" s="212" t="str">
        <f ca="1">IF($A34="*","",IF(LEFT($B34,3)="TOP",OFFSET(AGR!$B$51,$L34,SUMIF($B$9:$B$12,$B34,$M$9:$M$12)),"-"))</f>
        <v>-</v>
      </c>
      <c r="E34" s="212" t="str">
        <f ca="1">IF($A34="*","",IF($B34="PRC_ACTUNT",OFFSET(AGR!$B$51,$L34,SUMIF($B$9:$B$12,$B34,$M$9:$M$12)),"-"))</f>
        <v>AO</v>
      </c>
      <c r="F34" s="212" t="str">
        <f t="shared" ca="1" si="2"/>
        <v>-</v>
      </c>
      <c r="G34" s="212" t="str">
        <f t="shared" ca="1" si="2"/>
        <v>-</v>
      </c>
      <c r="H34" s="212" t="str">
        <f t="shared" ca="1" si="2"/>
        <v>-</v>
      </c>
      <c r="I34" s="212">
        <f t="shared" ca="1" si="3"/>
        <v>1</v>
      </c>
      <c r="J34" s="212"/>
      <c r="K34" s="137">
        <f>IF(L33=AGR!$AD$74,K33+1,K33)</f>
        <v>1</v>
      </c>
      <c r="L34" s="137">
        <f t="shared" si="4"/>
        <v>21</v>
      </c>
    </row>
    <row r="35" spans="1:12">
      <c r="A35" s="137" t="str">
        <f ca="1">IF(LEFT(OFFSET(AGR!$A$51,L35,0),2)="\I","*","")</f>
        <v>*</v>
      </c>
      <c r="B35" s="212" t="str">
        <f t="shared" ca="1" si="1"/>
        <v/>
      </c>
      <c r="C35" s="212" t="str">
        <f ca="1">IF($A35="*","",OFFSET(AGR!$B$51,L35,0))</f>
        <v/>
      </c>
      <c r="D35" s="212" t="str">
        <f ca="1">IF($A35="*","",IF(LEFT($B35,3)="TOP",OFFSET(AGR!$B$51,$L35,SUMIF($B$9:$B$12,$B35,$M$9:$M$12)),"-"))</f>
        <v/>
      </c>
      <c r="E35" s="212" t="str">
        <f ca="1">IF($A35="*","",IF($B35="PRC_ACTUNT",OFFSET(AGR!$B$51,$L35,SUMIF($B$9:$B$12,$B35,$M$9:$M$12)),"-"))</f>
        <v/>
      </c>
      <c r="F35" s="212" t="str">
        <f t="shared" ca="1" si="2"/>
        <v/>
      </c>
      <c r="G35" s="212" t="str">
        <f t="shared" ca="1" si="2"/>
        <v/>
      </c>
      <c r="H35" s="212" t="str">
        <f t="shared" ca="1" si="2"/>
        <v/>
      </c>
      <c r="I35" s="212" t="str">
        <f t="shared" ca="1" si="3"/>
        <v/>
      </c>
      <c r="J35" s="212"/>
      <c r="K35" s="137">
        <f>IF(L34=AGR!$AD$74,K34+1,K34)</f>
        <v>1</v>
      </c>
      <c r="L35" s="137">
        <f t="shared" si="4"/>
        <v>22</v>
      </c>
    </row>
    <row r="36" spans="1:12">
      <c r="A36" s="137" t="str">
        <f ca="1">IF(LEFT(OFFSET(AGR!$A$51,L36,0),2)="\I","*","")</f>
        <v>*</v>
      </c>
      <c r="B36" s="212" t="str">
        <f t="shared" ca="1" si="1"/>
        <v/>
      </c>
      <c r="C36" s="212" t="str">
        <f ca="1">IF($A36="*","",OFFSET(AGR!$B$51,L36,0))</f>
        <v/>
      </c>
      <c r="D36" s="212" t="str">
        <f ca="1">IF($A36="*","",IF(LEFT($B36,3)="TOP",OFFSET(AGR!$B$51,$L36,SUMIF($B$9:$B$12,$B36,$M$9:$M$12)),"-"))</f>
        <v/>
      </c>
      <c r="E36" s="212" t="str">
        <f ca="1">IF($A36="*","",IF($B36="PRC_ACTUNT",OFFSET(AGR!$B$51,$L36,SUMIF($B$9:$B$12,$B36,$M$9:$M$12)),"-"))</f>
        <v/>
      </c>
      <c r="F36" s="212" t="str">
        <f t="shared" ca="1" si="2"/>
        <v/>
      </c>
      <c r="G36" s="212" t="str">
        <f t="shared" ca="1" si="2"/>
        <v/>
      </c>
      <c r="H36" s="212" t="str">
        <f t="shared" ca="1" si="2"/>
        <v/>
      </c>
      <c r="I36" s="212" t="str">
        <f t="shared" ca="1" si="3"/>
        <v/>
      </c>
      <c r="J36" s="212"/>
      <c r="K36" s="137">
        <f>IF(L35=AGR!$AD$74,K35+1,K35)</f>
        <v>1</v>
      </c>
      <c r="L36" s="137">
        <f t="shared" si="4"/>
        <v>23</v>
      </c>
    </row>
    <row r="37" spans="1:12">
      <c r="A37" s="137" t="str">
        <f ca="1">IF(LEFT(OFFSET(AGR!$A$51,L37,0),2)="\I","*","")</f>
        <v/>
      </c>
      <c r="B37" s="212" t="str">
        <f t="shared" ca="1" si="1"/>
        <v>PRC_CAPACT</v>
      </c>
      <c r="C37" s="212" t="str">
        <f ca="1">IF($A37="*","",OFFSET(AGR!$B$51,L37,0))</f>
        <v>AHCOA-E</v>
      </c>
      <c r="D37" s="212" t="str">
        <f ca="1">IF($A37="*","",IF(LEFT($B37,3)="TOP",OFFSET(AGR!$B$51,$L37,SUMIF($B$9:$B$12,$B37,$M$9:$M$12)),"-"))</f>
        <v>-</v>
      </c>
      <c r="E37" s="212" t="str">
        <f ca="1">IF($A37="*","",IF($B37="PRC_ACTUNT",OFFSET(AGR!$B$51,$L37,SUMIF($B$9:$B$12,$B37,$M$9:$M$12)),"-"))</f>
        <v>-</v>
      </c>
      <c r="F37" s="212" t="str">
        <f t="shared" ca="1" si="2"/>
        <v>-</v>
      </c>
      <c r="G37" s="212" t="str">
        <f t="shared" ca="1" si="2"/>
        <v>-</v>
      </c>
      <c r="H37" s="212" t="str">
        <f t="shared" ca="1" si="2"/>
        <v>-</v>
      </c>
      <c r="I37" s="212">
        <f t="shared" ca="1" si="3"/>
        <v>1</v>
      </c>
      <c r="J37" s="212"/>
      <c r="K37" s="137">
        <f>IF(L36=AGR!$AD$74,K36+1,K36)</f>
        <v>2</v>
      </c>
      <c r="L37" s="137">
        <f t="shared" si="4"/>
        <v>1</v>
      </c>
    </row>
    <row r="38" spans="1:12">
      <c r="A38" s="137" t="str">
        <f ca="1">IF(LEFT(OFFSET(AGR!$A$51,L38,0),2)="\I","*","")</f>
        <v/>
      </c>
      <c r="B38" s="212" t="str">
        <f t="shared" ca="1" si="1"/>
        <v>PRC_CAPACT</v>
      </c>
      <c r="C38" s="212" t="str">
        <f ca="1">IF($A38="*","",OFFSET(AGR!$B$51,L38,0))</f>
        <v>AHOHF-E</v>
      </c>
      <c r="D38" s="212" t="str">
        <f ca="1">IF($A38="*","",IF(LEFT($B38,3)="TOP",OFFSET(AGR!$B$51,$L38,SUMIF($B$9:$B$12,$B38,$M$9:$M$12)),"-"))</f>
        <v>-</v>
      </c>
      <c r="E38" s="212" t="str">
        <f ca="1">IF($A38="*","",IF($B38="PRC_ACTUNT",OFFSET(AGR!$B$51,$L38,SUMIF($B$9:$B$12,$B38,$M$9:$M$12)),"-"))</f>
        <v>-</v>
      </c>
      <c r="F38" s="212" t="str">
        <f t="shared" ca="1" si="2"/>
        <v>-</v>
      </c>
      <c r="G38" s="212" t="str">
        <f t="shared" ca="1" si="2"/>
        <v>-</v>
      </c>
      <c r="H38" s="212" t="str">
        <f t="shared" ca="1" si="2"/>
        <v>-</v>
      </c>
      <c r="I38" s="212">
        <f t="shared" ca="1" si="3"/>
        <v>1</v>
      </c>
      <c r="J38" s="212"/>
      <c r="K38" s="137">
        <f>IF(L37=AGR!$AD$74,K37+1,K37)</f>
        <v>2</v>
      </c>
      <c r="L38" s="137">
        <f t="shared" si="4"/>
        <v>2</v>
      </c>
    </row>
    <row r="39" spans="1:12">
      <c r="A39" s="137" t="str">
        <f ca="1">IF(LEFT(OFFSET(AGR!$A$51,L39,0),2)="\I","*","")</f>
        <v/>
      </c>
      <c r="B39" s="212" t="str">
        <f t="shared" ca="1" si="1"/>
        <v>PRC_CAPACT</v>
      </c>
      <c r="C39" s="212" t="str">
        <f ca="1">IF($A39="*","",OFFSET(AGR!$B$51,L39,0))</f>
        <v>AHOKE-E</v>
      </c>
      <c r="D39" s="212" t="str">
        <f ca="1">IF($A39="*","",IF(LEFT($B39,3)="TOP",OFFSET(AGR!$B$51,$L39,SUMIF($B$9:$B$12,$B39,$M$9:$M$12)),"-"))</f>
        <v>-</v>
      </c>
      <c r="E39" s="212" t="str">
        <f ca="1">IF($A39="*","",IF($B39="PRC_ACTUNT",OFFSET(AGR!$B$51,$L39,SUMIF($B$9:$B$12,$B39,$M$9:$M$12)),"-"))</f>
        <v>-</v>
      </c>
      <c r="F39" s="212" t="str">
        <f t="shared" ca="1" si="2"/>
        <v>-</v>
      </c>
      <c r="G39" s="212" t="str">
        <f t="shared" ca="1" si="2"/>
        <v>-</v>
      </c>
      <c r="H39" s="212" t="str">
        <f t="shared" ca="1" si="2"/>
        <v>-</v>
      </c>
      <c r="I39" s="212">
        <f t="shared" ca="1" si="3"/>
        <v>1</v>
      </c>
      <c r="J39" s="212"/>
      <c r="K39" s="137">
        <f>IF(L38=AGR!$AD$74,K38+1,K38)</f>
        <v>2</v>
      </c>
      <c r="L39" s="137">
        <f t="shared" si="4"/>
        <v>3</v>
      </c>
    </row>
    <row r="40" spans="1:12">
      <c r="A40" s="137" t="str">
        <f ca="1">IF(LEFT(OFFSET(AGR!$A$51,L40,0),2)="\I","*","")</f>
        <v/>
      </c>
      <c r="B40" s="212" t="str">
        <f t="shared" ca="1" si="1"/>
        <v>PRC_CAPACT</v>
      </c>
      <c r="C40" s="212" t="str">
        <f ca="1">IF($A40="*","",OFFSET(AGR!$B$51,L40,0))</f>
        <v>AHOLP-E</v>
      </c>
      <c r="D40" s="212" t="str">
        <f ca="1">IF($A40="*","",IF(LEFT($B40,3)="TOP",OFFSET(AGR!$B$51,$L40,SUMIF($B$9:$B$12,$B40,$M$9:$M$12)),"-"))</f>
        <v>-</v>
      </c>
      <c r="E40" s="212" t="str">
        <f ca="1">IF($A40="*","",IF($B40="PRC_ACTUNT",OFFSET(AGR!$B$51,$L40,SUMIF($B$9:$B$12,$B40,$M$9:$M$12)),"-"))</f>
        <v>-</v>
      </c>
      <c r="F40" s="212" t="str">
        <f t="shared" ca="1" si="2"/>
        <v>-</v>
      </c>
      <c r="G40" s="212" t="str">
        <f t="shared" ca="1" si="2"/>
        <v>-</v>
      </c>
      <c r="H40" s="212" t="str">
        <f t="shared" ca="1" si="2"/>
        <v>-</v>
      </c>
      <c r="I40" s="212">
        <f t="shared" ca="1" si="3"/>
        <v>1</v>
      </c>
      <c r="J40" s="212"/>
      <c r="K40" s="137">
        <f>IF(L39=AGR!$AD$74,K39+1,K39)</f>
        <v>2</v>
      </c>
      <c r="L40" s="137">
        <f t="shared" si="4"/>
        <v>4</v>
      </c>
    </row>
    <row r="41" spans="1:12">
      <c r="A41" s="137" t="str">
        <f ca="1">IF(LEFT(OFFSET(AGR!$A$51,L41,0),2)="\I","*","")</f>
        <v/>
      </c>
      <c r="B41" s="212" t="str">
        <f t="shared" ca="1" si="1"/>
        <v>PRC_CAPACT</v>
      </c>
      <c r="C41" s="212" t="str">
        <f ca="1">IF($A41="*","",OFFSET(AGR!$B$51,L41,0))</f>
        <v>AHELC-E</v>
      </c>
      <c r="D41" s="212" t="str">
        <f ca="1">IF($A41="*","",IF(LEFT($B41,3)="TOP",OFFSET(AGR!$B$51,$L41,SUMIF($B$9:$B$12,$B41,$M$9:$M$12)),"-"))</f>
        <v>-</v>
      </c>
      <c r="E41" s="212" t="str">
        <f ca="1">IF($A41="*","",IF($B41="PRC_ACTUNT",OFFSET(AGR!$B$51,$L41,SUMIF($B$9:$B$12,$B41,$M$9:$M$12)),"-"))</f>
        <v>-</v>
      </c>
      <c r="F41" s="212" t="str">
        <f t="shared" ca="1" si="2"/>
        <v>-</v>
      </c>
      <c r="G41" s="212" t="str">
        <f t="shared" ca="1" si="2"/>
        <v>-</v>
      </c>
      <c r="H41" s="212" t="str">
        <f t="shared" ca="1" si="2"/>
        <v>-</v>
      </c>
      <c r="I41" s="212">
        <f t="shared" ca="1" si="3"/>
        <v>1</v>
      </c>
      <c r="J41" s="212"/>
      <c r="K41" s="137">
        <f>IF(L40=AGR!$AD$74,K40+1,K40)</f>
        <v>2</v>
      </c>
      <c r="L41" s="137">
        <f t="shared" si="4"/>
        <v>5</v>
      </c>
    </row>
    <row r="42" spans="1:12">
      <c r="A42" s="137" t="str">
        <f ca="1">IF(LEFT(OFFSET(AGR!$A$51,L42,0),2)="\I","*","")</f>
        <v>*</v>
      </c>
      <c r="B42" s="212" t="str">
        <f t="shared" ca="1" si="1"/>
        <v/>
      </c>
      <c r="C42" s="212" t="str">
        <f ca="1">IF($A42="*","",OFFSET(AGR!$B$51,L42,0))</f>
        <v/>
      </c>
      <c r="D42" s="212" t="str">
        <f ca="1">IF($A42="*","",IF(LEFT($B42,3)="TOP",OFFSET(AGR!$B$51,$L42,SUMIF($B$9:$B$12,$B42,$M$9:$M$12)),"-"))</f>
        <v/>
      </c>
      <c r="E42" s="212" t="str">
        <f ca="1">IF($A42="*","",IF($B42="PRC_ACTUNT",OFFSET(AGR!$B$51,$L42,SUMIF($B$9:$B$12,$B42,$M$9:$M$12)),"-"))</f>
        <v/>
      </c>
      <c r="F42" s="212" t="str">
        <f t="shared" ca="1" si="2"/>
        <v/>
      </c>
      <c r="G42" s="212" t="str">
        <f t="shared" ca="1" si="2"/>
        <v/>
      </c>
      <c r="H42" s="212" t="str">
        <f t="shared" ca="1" si="2"/>
        <v/>
      </c>
      <c r="I42" s="212" t="str">
        <f t="shared" ca="1" si="3"/>
        <v/>
      </c>
      <c r="J42" s="212"/>
      <c r="K42" s="137">
        <f>IF(L41=AGR!$AD$74,K41+1,K41)</f>
        <v>2</v>
      </c>
      <c r="L42" s="137">
        <f t="shared" si="4"/>
        <v>6</v>
      </c>
    </row>
    <row r="43" spans="1:12">
      <c r="A43" s="137" t="str">
        <f ca="1">IF(LEFT(OFFSET(AGR!$A$51,L43,0),2)="\I","*","")</f>
        <v>*</v>
      </c>
      <c r="B43" s="212" t="str">
        <f t="shared" ca="1" si="1"/>
        <v/>
      </c>
      <c r="C43" s="212" t="str">
        <f ca="1">IF($A43="*","",OFFSET(AGR!$B$51,L43,0))</f>
        <v/>
      </c>
      <c r="D43" s="212" t="str">
        <f ca="1">IF($A43="*","",IF(LEFT($B43,3)="TOP",OFFSET(AGR!$B$51,$L43,SUMIF($B$9:$B$12,$B43,$M$9:$M$12)),"-"))</f>
        <v/>
      </c>
      <c r="E43" s="212" t="str">
        <f ca="1">IF($A43="*","",IF($B43="PRC_ACTUNT",OFFSET(AGR!$B$51,$L43,SUMIF($B$9:$B$12,$B43,$M$9:$M$12)),"-"))</f>
        <v/>
      </c>
      <c r="F43" s="212" t="str">
        <f t="shared" ca="1" si="2"/>
        <v/>
      </c>
      <c r="G43" s="212" t="str">
        <f t="shared" ca="1" si="2"/>
        <v/>
      </c>
      <c r="H43" s="212" t="str">
        <f t="shared" ca="1" si="2"/>
        <v/>
      </c>
      <c r="I43" s="212" t="str">
        <f t="shared" ca="1" si="3"/>
        <v/>
      </c>
      <c r="J43" s="212"/>
      <c r="K43" s="137">
        <f>IF(L42=AGR!$AD$74,K42+1,K42)</f>
        <v>2</v>
      </c>
      <c r="L43" s="137">
        <f t="shared" si="4"/>
        <v>7</v>
      </c>
    </row>
    <row r="44" spans="1:12">
      <c r="A44" s="137" t="str">
        <f ca="1">IF(LEFT(OFFSET(AGR!$A$51,L44,0),2)="\I","*","")</f>
        <v/>
      </c>
      <c r="B44" s="212" t="str">
        <f t="shared" ca="1" si="1"/>
        <v>PRC_CAPACT</v>
      </c>
      <c r="C44" s="212" t="str">
        <f ca="1">IF($A44="*","",OFFSET(AGR!$B$51,L44,0))</f>
        <v>APELC-E</v>
      </c>
      <c r="D44" s="212" t="str">
        <f ca="1">IF($A44="*","",IF(LEFT($B44,3)="TOP",OFFSET(AGR!$B$51,$L44,SUMIF($B$9:$B$12,$B44,$M$9:$M$12)),"-"))</f>
        <v>-</v>
      </c>
      <c r="E44" s="212" t="str">
        <f ca="1">IF($A44="*","",IF($B44="PRC_ACTUNT",OFFSET(AGR!$B$51,$L44,SUMIF($B$9:$B$12,$B44,$M$9:$M$12)),"-"))</f>
        <v>-</v>
      </c>
      <c r="F44" s="212" t="str">
        <f t="shared" ca="1" si="2"/>
        <v>-</v>
      </c>
      <c r="G44" s="212" t="str">
        <f t="shared" ca="1" si="2"/>
        <v>-</v>
      </c>
      <c r="H44" s="212" t="str">
        <f t="shared" ca="1" si="2"/>
        <v>-</v>
      </c>
      <c r="I44" s="212">
        <f t="shared" ca="1" si="3"/>
        <v>1</v>
      </c>
      <c r="J44" s="212"/>
      <c r="K44" s="137">
        <f>IF(L43=AGR!$AD$74,K43+1,K43)</f>
        <v>2</v>
      </c>
      <c r="L44" s="137">
        <f t="shared" si="4"/>
        <v>8</v>
      </c>
    </row>
    <row r="45" spans="1:12">
      <c r="A45" s="137" t="str">
        <f ca="1">IF(LEFT(OFFSET(AGR!$A$51,L45,0),2)="\I","*","")</f>
        <v>*</v>
      </c>
      <c r="B45" s="212" t="str">
        <f t="shared" ca="1" si="1"/>
        <v/>
      </c>
      <c r="C45" s="212" t="str">
        <f ca="1">IF($A45="*","",OFFSET(AGR!$B$51,L45,0))</f>
        <v/>
      </c>
      <c r="D45" s="212" t="str">
        <f ca="1">IF($A45="*","",IF(LEFT($B45,3)="TOP",OFFSET(AGR!$B$51,$L45,SUMIF($B$9:$B$12,$B45,$M$9:$M$12)),"-"))</f>
        <v/>
      </c>
      <c r="E45" s="212" t="str">
        <f ca="1">IF($A45="*","",IF($B45="PRC_ACTUNT",OFFSET(AGR!$B$51,$L45,SUMIF($B$9:$B$12,$B45,$M$9:$M$12)),"-"))</f>
        <v/>
      </c>
      <c r="F45" s="212" t="str">
        <f t="shared" ca="1" si="2"/>
        <v/>
      </c>
      <c r="G45" s="212" t="str">
        <f t="shared" ca="1" si="2"/>
        <v/>
      </c>
      <c r="H45" s="212" t="str">
        <f t="shared" ca="1" si="2"/>
        <v/>
      </c>
      <c r="I45" s="212" t="str">
        <f t="shared" ca="1" si="3"/>
        <v/>
      </c>
      <c r="J45" s="212"/>
      <c r="K45" s="137">
        <f>IF(L44=AGR!$AD$74,K44+1,K44)</f>
        <v>2</v>
      </c>
      <c r="L45" s="137">
        <f t="shared" si="4"/>
        <v>9</v>
      </c>
    </row>
    <row r="46" spans="1:12">
      <c r="A46" s="137" t="str">
        <f ca="1">IF(LEFT(OFFSET(AGR!$A$51,L46,0),2)="\I","*","")</f>
        <v>*</v>
      </c>
      <c r="B46" s="212" t="str">
        <f t="shared" ca="1" si="1"/>
        <v/>
      </c>
      <c r="C46" s="212" t="str">
        <f ca="1">IF($A46="*","",OFFSET(AGR!$B$51,L46,0))</f>
        <v/>
      </c>
      <c r="D46" s="212" t="str">
        <f ca="1">IF($A46="*","",IF(LEFT($B46,3)="TOP",OFFSET(AGR!$B$51,$L46,SUMIF($B$9:$B$12,$B46,$M$9:$M$12)),"-"))</f>
        <v/>
      </c>
      <c r="E46" s="212" t="str">
        <f ca="1">IF($A46="*","",IF($B46="PRC_ACTUNT",OFFSET(AGR!$B$51,$L46,SUMIF($B$9:$B$12,$B46,$M$9:$M$12)),"-"))</f>
        <v/>
      </c>
      <c r="F46" s="212" t="str">
        <f t="shared" ca="1" si="2"/>
        <v/>
      </c>
      <c r="G46" s="212" t="str">
        <f t="shared" ca="1" si="2"/>
        <v/>
      </c>
      <c r="H46" s="212" t="str">
        <f t="shared" ca="1" si="2"/>
        <v/>
      </c>
      <c r="I46" s="212" t="str">
        <f t="shared" ca="1" si="3"/>
        <v/>
      </c>
      <c r="J46" s="212"/>
      <c r="K46" s="137">
        <f>IF(L45=AGR!$AD$74,K45+1,K45)</f>
        <v>2</v>
      </c>
      <c r="L46" s="137">
        <f t="shared" si="4"/>
        <v>10</v>
      </c>
    </row>
    <row r="47" spans="1:12">
      <c r="A47" s="137" t="str">
        <f ca="1">IF(LEFT(OFFSET(AGR!$A$51,L47,0),2)="\I","*","")</f>
        <v/>
      </c>
      <c r="B47" s="212" t="str">
        <f t="shared" ca="1" si="1"/>
        <v>PRC_CAPACT</v>
      </c>
      <c r="C47" s="212" t="str">
        <f ca="1">IF($A47="*","",OFFSET(AGR!$B$51,L47,0))</f>
        <v>ATODS-E</v>
      </c>
      <c r="D47" s="212" t="str">
        <f ca="1">IF($A47="*","",IF(LEFT($B47,3)="TOP",OFFSET(AGR!$B$51,$L47,SUMIF($B$9:$B$12,$B47,$M$9:$M$12)),"-"))</f>
        <v>-</v>
      </c>
      <c r="E47" s="212" t="str">
        <f ca="1">IF($A47="*","",IF($B47="PRC_ACTUNT",OFFSET(AGR!$B$51,$L47,SUMIF($B$9:$B$12,$B47,$M$9:$M$12)),"-"))</f>
        <v>-</v>
      </c>
      <c r="F47" s="212" t="str">
        <f t="shared" ca="1" si="2"/>
        <v>-</v>
      </c>
      <c r="G47" s="212" t="str">
        <f t="shared" ca="1" si="2"/>
        <v>-</v>
      </c>
      <c r="H47" s="212" t="str">
        <f t="shared" ca="1" si="2"/>
        <v>-</v>
      </c>
      <c r="I47" s="212">
        <f t="shared" ca="1" si="3"/>
        <v>1</v>
      </c>
      <c r="J47" s="212"/>
      <c r="K47" s="137">
        <f>IF(L46=AGR!$AD$74,K46+1,K46)</f>
        <v>2</v>
      </c>
      <c r="L47" s="137">
        <f t="shared" si="4"/>
        <v>11</v>
      </c>
    </row>
    <row r="48" spans="1:12">
      <c r="A48" s="137" t="str">
        <f ca="1">IF(LEFT(OFFSET(AGR!$A$51,L48,0),2)="\I","*","")</f>
        <v/>
      </c>
      <c r="B48" s="212" t="str">
        <f t="shared" ca="1" si="1"/>
        <v>PRC_CAPACT</v>
      </c>
      <c r="C48" s="212" t="str">
        <f ca="1">IF($A48="*","",OFFSET(AGR!$B$51,L48,0))</f>
        <v>ATELC-E</v>
      </c>
      <c r="D48" s="212" t="str">
        <f ca="1">IF($A48="*","",IF(LEFT($B48,3)="TOP",OFFSET(AGR!$B$51,$L48,SUMIF($B$9:$B$12,$B48,$M$9:$M$12)),"-"))</f>
        <v>-</v>
      </c>
      <c r="E48" s="212" t="str">
        <f ca="1">IF($A48="*","",IF($B48="PRC_ACTUNT",OFFSET(AGR!$B$51,$L48,SUMIF($B$9:$B$12,$B48,$M$9:$M$12)),"-"))</f>
        <v>-</v>
      </c>
      <c r="F48" s="212" t="str">
        <f t="shared" ca="1" si="2"/>
        <v>-</v>
      </c>
      <c r="G48" s="212" t="str">
        <f t="shared" ca="1" si="2"/>
        <v>-</v>
      </c>
      <c r="H48" s="212" t="str">
        <f t="shared" ca="1" si="2"/>
        <v>-</v>
      </c>
      <c r="I48" s="212">
        <f t="shared" ca="1" si="3"/>
        <v>1</v>
      </c>
      <c r="J48" s="212"/>
      <c r="K48" s="137">
        <f>IF(L47=AGR!$AD$74,K47+1,K47)</f>
        <v>2</v>
      </c>
      <c r="L48" s="137">
        <f t="shared" si="4"/>
        <v>12</v>
      </c>
    </row>
    <row r="49" spans="1:12">
      <c r="A49" s="137" t="str">
        <f ca="1">IF(LEFT(OFFSET(AGR!$A$51,L49,0),2)="\I","*","")</f>
        <v/>
      </c>
      <c r="B49" s="212" t="str">
        <f t="shared" ca="1" si="1"/>
        <v>PRC_CAPACT</v>
      </c>
      <c r="C49" s="212" t="str">
        <f ca="1">IF($A49="*","",OFFSET(AGR!$B$51,L49,0))</f>
        <v>ATOGS-E</v>
      </c>
      <c r="D49" s="212" t="str">
        <f ca="1">IF($A49="*","",IF(LEFT($B49,3)="TOP",OFFSET(AGR!$B$51,$L49,SUMIF($B$9:$B$12,$B49,$M$9:$M$12)),"-"))</f>
        <v>-</v>
      </c>
      <c r="E49" s="212" t="str">
        <f ca="1">IF($A49="*","",IF($B49="PRC_ACTUNT",OFFSET(AGR!$B$51,$L49,SUMIF($B$9:$B$12,$B49,$M$9:$M$12)),"-"))</f>
        <v>-</v>
      </c>
      <c r="F49" s="212" t="str">
        <f t="shared" ca="1" si="2"/>
        <v>-</v>
      </c>
      <c r="G49" s="212" t="str">
        <f t="shared" ca="1" si="2"/>
        <v>-</v>
      </c>
      <c r="H49" s="212" t="str">
        <f t="shared" ca="1" si="2"/>
        <v>-</v>
      </c>
      <c r="I49" s="212">
        <f t="shared" ca="1" si="3"/>
        <v>1</v>
      </c>
      <c r="J49" s="212"/>
      <c r="K49" s="137">
        <f>IF(L48=AGR!$AD$74,K48+1,K48)</f>
        <v>2</v>
      </c>
      <c r="L49" s="137">
        <f t="shared" si="4"/>
        <v>13</v>
      </c>
    </row>
    <row r="50" spans="1:12">
      <c r="A50" s="137" t="str">
        <f ca="1">IF(LEFT(OFFSET(AGR!$A$51,L50,0),2)="\I","*","")</f>
        <v>*</v>
      </c>
      <c r="B50" s="212" t="str">
        <f t="shared" ca="1" si="1"/>
        <v/>
      </c>
      <c r="C50" s="212" t="str">
        <f ca="1">IF($A50="*","",OFFSET(AGR!$B$51,L50,0))</f>
        <v/>
      </c>
      <c r="D50" s="212" t="str">
        <f ca="1">IF($A50="*","",IF(LEFT($B50,3)="TOP",OFFSET(AGR!$B$51,$L50,SUMIF($B$9:$B$12,$B50,$M$9:$M$12)),"-"))</f>
        <v/>
      </c>
      <c r="E50" s="212" t="str">
        <f ca="1">IF($A50="*","",IF($B50="PRC_ACTUNT",OFFSET(AGR!$B$51,$L50,SUMIF($B$9:$B$12,$B50,$M$9:$M$12)),"-"))</f>
        <v/>
      </c>
      <c r="F50" s="212" t="str">
        <f t="shared" ca="1" si="2"/>
        <v/>
      </c>
      <c r="G50" s="212" t="str">
        <f t="shared" ca="1" si="2"/>
        <v/>
      </c>
      <c r="H50" s="212" t="str">
        <f t="shared" ca="1" si="2"/>
        <v/>
      </c>
      <c r="I50" s="212" t="str">
        <f t="shared" ca="1" si="3"/>
        <v/>
      </c>
      <c r="J50" s="212"/>
      <c r="K50" s="137">
        <f>IF(L49=AGR!$AD$74,K49+1,K49)</f>
        <v>2</v>
      </c>
      <c r="L50" s="137">
        <f t="shared" si="4"/>
        <v>14</v>
      </c>
    </row>
    <row r="51" spans="1:12">
      <c r="A51" s="137" t="str">
        <f ca="1">IF(LEFT(OFFSET(AGR!$A$51,L51,0),2)="\I","*","")</f>
        <v>*</v>
      </c>
      <c r="B51" s="212" t="str">
        <f t="shared" ca="1" si="1"/>
        <v/>
      </c>
      <c r="C51" s="212" t="str">
        <f ca="1">IF($A51="*","",OFFSET(AGR!$B$51,L51,0))</f>
        <v/>
      </c>
      <c r="D51" s="212" t="str">
        <f ca="1">IF($A51="*","",IF(LEFT($B51,3)="TOP",OFFSET(AGR!$B$51,$L51,SUMIF($B$9:$B$12,$B51,$M$9:$M$12)),"-"))</f>
        <v/>
      </c>
      <c r="E51" s="212" t="str">
        <f ca="1">IF($A51="*","",IF($B51="PRC_ACTUNT",OFFSET(AGR!$B$51,$L51,SUMIF($B$9:$B$12,$B51,$M$9:$M$12)),"-"))</f>
        <v/>
      </c>
      <c r="F51" s="212" t="str">
        <f t="shared" ca="1" si="2"/>
        <v/>
      </c>
      <c r="G51" s="212" t="str">
        <f t="shared" ca="1" si="2"/>
        <v/>
      </c>
      <c r="H51" s="212" t="str">
        <f t="shared" ca="1" si="2"/>
        <v/>
      </c>
      <c r="I51" s="212" t="str">
        <f t="shared" ca="1" si="3"/>
        <v/>
      </c>
      <c r="J51" s="212"/>
      <c r="K51" s="137">
        <f>IF(L50=AGR!$AD$74,K50+1,K50)</f>
        <v>2</v>
      </c>
      <c r="L51" s="137">
        <f t="shared" si="4"/>
        <v>15</v>
      </c>
    </row>
    <row r="52" spans="1:12">
      <c r="A52" s="137" t="str">
        <f ca="1">IF(LEFT(OFFSET(AGR!$A$51,L52,0),2)="\I","*","")</f>
        <v/>
      </c>
      <c r="B52" s="212" t="str">
        <f t="shared" ca="1" si="1"/>
        <v>PRC_CAPACT</v>
      </c>
      <c r="C52" s="212" t="str">
        <f ca="1">IF($A52="*","",OFFSET(AGR!$B$51,L52,0))</f>
        <v>AIODS-E</v>
      </c>
      <c r="D52" s="212" t="str">
        <f ca="1">IF($A52="*","",IF(LEFT($B52,3)="TOP",OFFSET(AGR!$B$51,$L52,SUMIF($B$9:$B$12,$B52,$M$9:$M$12)),"-"))</f>
        <v>-</v>
      </c>
      <c r="E52" s="212" t="str">
        <f ca="1">IF($A52="*","",IF($B52="PRC_ACTUNT",OFFSET(AGR!$B$51,$L52,SUMIF($B$9:$B$12,$B52,$M$9:$M$12)),"-"))</f>
        <v>-</v>
      </c>
      <c r="F52" s="212" t="str">
        <f t="shared" ca="1" si="2"/>
        <v>-</v>
      </c>
      <c r="G52" s="212" t="str">
        <f t="shared" ca="1" si="2"/>
        <v>-</v>
      </c>
      <c r="H52" s="212" t="str">
        <f t="shared" ca="1" si="2"/>
        <v>-</v>
      </c>
      <c r="I52" s="212">
        <f t="shared" ca="1" si="3"/>
        <v>1</v>
      </c>
      <c r="J52" s="212"/>
      <c r="K52" s="137">
        <f>IF(L51=AGR!$AD$74,K51+1,K51)</f>
        <v>2</v>
      </c>
      <c r="L52" s="137">
        <f t="shared" si="4"/>
        <v>16</v>
      </c>
    </row>
    <row r="53" spans="1:12">
      <c r="A53" s="137" t="str">
        <f ca="1">IF(LEFT(OFFSET(AGR!$A$51,L53,0),2)="\I","*","")</f>
        <v/>
      </c>
      <c r="B53" s="212" t="str">
        <f t="shared" ca="1" si="1"/>
        <v>PRC_CAPACT</v>
      </c>
      <c r="C53" s="212" t="str">
        <f ca="1">IF($A53="*","",OFFSET(AGR!$B$51,L53,0))</f>
        <v>AIELC-E</v>
      </c>
      <c r="D53" s="212" t="str">
        <f ca="1">IF($A53="*","",IF(LEFT($B53,3)="TOP",OFFSET(AGR!$B$51,$L53,SUMIF($B$9:$B$12,$B53,$M$9:$M$12)),"-"))</f>
        <v>-</v>
      </c>
      <c r="E53" s="212" t="str">
        <f ca="1">IF($A53="*","",IF($B53="PRC_ACTUNT",OFFSET(AGR!$B$51,$L53,SUMIF($B$9:$B$12,$B53,$M$9:$M$12)),"-"))</f>
        <v>-</v>
      </c>
      <c r="F53" s="212" t="str">
        <f t="shared" ca="1" si="2"/>
        <v>-</v>
      </c>
      <c r="G53" s="212" t="str">
        <f t="shared" ca="1" si="2"/>
        <v>-</v>
      </c>
      <c r="H53" s="212" t="str">
        <f t="shared" ca="1" si="2"/>
        <v>-</v>
      </c>
      <c r="I53" s="212">
        <f t="shared" ca="1" si="3"/>
        <v>1</v>
      </c>
      <c r="J53" s="212"/>
      <c r="K53" s="137">
        <f>IF(L52=AGR!$AD$74,K52+1,K52)</f>
        <v>2</v>
      </c>
      <c r="L53" s="137">
        <f t="shared" si="4"/>
        <v>17</v>
      </c>
    </row>
    <row r="54" spans="1:12">
      <c r="A54" s="137" t="str">
        <f ca="1">IF(LEFT(OFFSET(AGR!$A$51,L54,0),2)="\I","*","")</f>
        <v/>
      </c>
      <c r="B54" s="212" t="str">
        <f t="shared" ca="1" si="1"/>
        <v>PRC_CAPACT</v>
      </c>
      <c r="C54" s="212" t="str">
        <f ca="1">IF($A54="*","",OFFSET(AGR!$B$51,L54,0))</f>
        <v>AIOGS-E</v>
      </c>
      <c r="D54" s="212" t="str">
        <f ca="1">IF($A54="*","",IF(LEFT($B54,3)="TOP",OFFSET(AGR!$B$51,$L54,SUMIF($B$9:$B$12,$B54,$M$9:$M$12)),"-"))</f>
        <v>-</v>
      </c>
      <c r="E54" s="212" t="str">
        <f ca="1">IF($A54="*","",IF($B54="PRC_ACTUNT",OFFSET(AGR!$B$51,$L54,SUMIF($B$9:$B$12,$B54,$M$9:$M$12)),"-"))</f>
        <v>-</v>
      </c>
      <c r="F54" s="212" t="str">
        <f t="shared" ca="1" si="2"/>
        <v>-</v>
      </c>
      <c r="G54" s="212" t="str">
        <f t="shared" ca="1" si="2"/>
        <v>-</v>
      </c>
      <c r="H54" s="212" t="str">
        <f t="shared" ca="1" si="2"/>
        <v>-</v>
      </c>
      <c r="I54" s="212">
        <f t="shared" ca="1" si="3"/>
        <v>1</v>
      </c>
      <c r="K54" s="137">
        <f>IF(L53=AGR!$AD$74,K53+1,K53)</f>
        <v>2</v>
      </c>
      <c r="L54" s="137">
        <f t="shared" si="4"/>
        <v>18</v>
      </c>
    </row>
    <row r="55" spans="1:12">
      <c r="A55" s="137" t="str">
        <f ca="1">IF(LEFT(OFFSET(AGR!$A$51,L55,0),2)="\I","*","")</f>
        <v>*</v>
      </c>
      <c r="B55" s="212" t="str">
        <f t="shared" ca="1" si="1"/>
        <v/>
      </c>
      <c r="C55" s="212" t="str">
        <f ca="1">IF($A55="*","",OFFSET(AGR!$B$51,L55,0))</f>
        <v/>
      </c>
      <c r="D55" s="212" t="str">
        <f ca="1">IF($A55="*","",IF(LEFT($B55,3)="TOP",OFFSET(AGR!$B$51,$L55,SUMIF($B$9:$B$12,$B55,$M$9:$M$12)),"-"))</f>
        <v/>
      </c>
      <c r="E55" s="212" t="str">
        <f ca="1">IF($A55="*","",IF($B55="PRC_ACTUNT",OFFSET(AGR!$B$51,$L55,SUMIF($B$9:$B$12,$B55,$M$9:$M$12)),"-"))</f>
        <v/>
      </c>
      <c r="F55" s="212" t="str">
        <f t="shared" ref="F55:H70" ca="1" si="5">IF($A55="*","","-")</f>
        <v/>
      </c>
      <c r="G55" s="212" t="str">
        <f t="shared" ca="1" si="5"/>
        <v/>
      </c>
      <c r="H55" s="212" t="str">
        <f t="shared" ca="1" si="5"/>
        <v/>
      </c>
      <c r="I55" s="212" t="str">
        <f t="shared" ca="1" si="3"/>
        <v/>
      </c>
      <c r="K55" s="137">
        <f>IF(L54=AGR!$AD$74,K54+1,K54)</f>
        <v>2</v>
      </c>
      <c r="L55" s="137">
        <f t="shared" si="4"/>
        <v>19</v>
      </c>
    </row>
    <row r="56" spans="1:12">
      <c r="A56" s="137" t="str">
        <f ca="1">IF(LEFT(OFFSET(AGR!$A$51,L56,0),2)="\I","*","")</f>
        <v>*</v>
      </c>
      <c r="B56" s="212" t="str">
        <f t="shared" ca="1" si="1"/>
        <v/>
      </c>
      <c r="C56" s="212" t="str">
        <f ca="1">IF($A56="*","",OFFSET(AGR!$B$51,L56,0))</f>
        <v/>
      </c>
      <c r="D56" s="212" t="str">
        <f ca="1">IF($A56="*","",IF(LEFT($B56,3)="TOP",OFFSET(AGR!$B$51,$L56,SUMIF($B$9:$B$12,$B56,$M$9:$M$12)),"-"))</f>
        <v/>
      </c>
      <c r="E56" s="212" t="str">
        <f ca="1">IF($A56="*","",IF($B56="PRC_ACTUNT",OFFSET(AGR!$B$51,$L56,SUMIF($B$9:$B$12,$B56,$M$9:$M$12)),"-"))</f>
        <v/>
      </c>
      <c r="F56" s="212" t="str">
        <f t="shared" ca="1" si="5"/>
        <v/>
      </c>
      <c r="G56" s="212" t="str">
        <f t="shared" ca="1" si="5"/>
        <v/>
      </c>
      <c r="H56" s="212" t="str">
        <f t="shared" ca="1" si="5"/>
        <v/>
      </c>
      <c r="I56" s="212" t="str">
        <f t="shared" ca="1" si="3"/>
        <v/>
      </c>
      <c r="K56" s="137">
        <f>IF(L55=AGR!$AD$74,K55+1,K55)</f>
        <v>2</v>
      </c>
      <c r="L56" s="137">
        <f t="shared" si="4"/>
        <v>20</v>
      </c>
    </row>
    <row r="57" spans="1:12">
      <c r="A57" s="137" t="str">
        <f ca="1">IF(LEFT(OFFSET(AGR!$A$51,L57,0),2)="\I","*","")</f>
        <v/>
      </c>
      <c r="B57" s="212" t="str">
        <f t="shared" ca="1" si="1"/>
        <v>PRC_CAPACT</v>
      </c>
      <c r="C57" s="212" t="str">
        <f ca="1">IF($A57="*","",OFFSET(AGR!$B$51,L57,0))</f>
        <v>AOELC-E</v>
      </c>
      <c r="D57" s="212" t="str">
        <f ca="1">IF($A57="*","",IF(LEFT($B57,3)="TOP",OFFSET(AGR!$B$51,$L57,SUMIF($B$9:$B$12,$B57,$M$9:$M$12)),"-"))</f>
        <v>-</v>
      </c>
      <c r="E57" s="212" t="str">
        <f ca="1">IF($A57="*","",IF($B57="PRC_ACTUNT",OFFSET(AGR!$B$51,$L57,SUMIF($B$9:$B$12,$B57,$M$9:$M$12)),"-"))</f>
        <v>-</v>
      </c>
      <c r="F57" s="212" t="str">
        <f t="shared" ca="1" si="5"/>
        <v>-</v>
      </c>
      <c r="G57" s="212" t="str">
        <f t="shared" ca="1" si="5"/>
        <v>-</v>
      </c>
      <c r="H57" s="212" t="str">
        <f t="shared" ca="1" si="5"/>
        <v>-</v>
      </c>
      <c r="I57" s="212">
        <f t="shared" ca="1" si="3"/>
        <v>1</v>
      </c>
      <c r="K57" s="137">
        <f>IF(L56=AGR!$AD$74,K56+1,K56)</f>
        <v>2</v>
      </c>
      <c r="L57" s="137">
        <f t="shared" si="4"/>
        <v>21</v>
      </c>
    </row>
    <row r="58" spans="1:12">
      <c r="A58" s="137" t="str">
        <f ca="1">IF(LEFT(OFFSET(AGR!$A$51,L58,0),2)="\I","*","")</f>
        <v>*</v>
      </c>
      <c r="B58" s="212" t="str">
        <f t="shared" ca="1" si="1"/>
        <v/>
      </c>
      <c r="C58" s="212" t="str">
        <f ca="1">IF($A58="*","",OFFSET(AGR!$B$51,L58,0))</f>
        <v/>
      </c>
      <c r="D58" s="212" t="str">
        <f ca="1">IF($A58="*","",IF(LEFT($B58,3)="TOP",OFFSET(AGR!$B$51,$L58,SUMIF($B$9:$B$12,$B58,$M$9:$M$12)),"-"))</f>
        <v/>
      </c>
      <c r="E58" s="212" t="str">
        <f ca="1">IF($A58="*","",IF($B58="PRC_ACTUNT",OFFSET(AGR!$B$51,$L58,SUMIF($B$9:$B$12,$B58,$M$9:$M$12)),"-"))</f>
        <v/>
      </c>
      <c r="F58" s="212" t="str">
        <f t="shared" ca="1" si="5"/>
        <v/>
      </c>
      <c r="G58" s="212" t="str">
        <f t="shared" ca="1" si="5"/>
        <v/>
      </c>
      <c r="H58" s="212" t="str">
        <f t="shared" ca="1" si="5"/>
        <v/>
      </c>
      <c r="I58" s="212" t="str">
        <f t="shared" ca="1" si="3"/>
        <v/>
      </c>
      <c r="K58" s="137">
        <f>IF(L57=AGR!$AD$74,K57+1,K57)</f>
        <v>2</v>
      </c>
      <c r="L58" s="137">
        <f t="shared" si="4"/>
        <v>22</v>
      </c>
    </row>
    <row r="59" spans="1:12">
      <c r="A59" s="137" t="str">
        <f ca="1">IF(LEFT(OFFSET(AGR!$A$51,L59,0),2)="\I","*","")</f>
        <v>*</v>
      </c>
      <c r="B59" s="212" t="str">
        <f t="shared" ca="1" si="1"/>
        <v/>
      </c>
      <c r="C59" s="212" t="str">
        <f ca="1">IF($A59="*","",OFFSET(AGR!$B$51,L59,0))</f>
        <v/>
      </c>
      <c r="D59" s="212" t="str">
        <f ca="1">IF($A59="*","",IF(LEFT($B59,3)="TOP",OFFSET(AGR!$B$51,$L59,SUMIF($B$9:$B$12,$B59,$M$9:$M$12)),"-"))</f>
        <v/>
      </c>
      <c r="E59" s="212" t="str">
        <f ca="1">IF($A59="*","",IF($B59="PRC_ACTUNT",OFFSET(AGR!$B$51,$L59,SUMIF($B$9:$B$12,$B59,$M$9:$M$12)),"-"))</f>
        <v/>
      </c>
      <c r="F59" s="212" t="str">
        <f t="shared" ca="1" si="5"/>
        <v/>
      </c>
      <c r="G59" s="212" t="str">
        <f t="shared" ca="1" si="5"/>
        <v/>
      </c>
      <c r="H59" s="212" t="str">
        <f t="shared" ca="1" si="5"/>
        <v/>
      </c>
      <c r="I59" s="212" t="str">
        <f t="shared" ca="1" si="3"/>
        <v/>
      </c>
      <c r="K59" s="137">
        <f>IF(L58=AGR!$AD$74,K58+1,K58)</f>
        <v>2</v>
      </c>
      <c r="L59" s="137">
        <f t="shared" si="4"/>
        <v>23</v>
      </c>
    </row>
    <row r="60" spans="1:12">
      <c r="A60" s="137" t="str">
        <f ca="1">IF(LEFT(OFFSET(AGR!$A$51,L60,0),2)="\I","*","")</f>
        <v/>
      </c>
      <c r="B60" s="212" t="str">
        <f t="shared" ca="1" si="1"/>
        <v>TOP-OUT</v>
      </c>
      <c r="C60" s="212" t="str">
        <f ca="1">IF($A60="*","",OFFSET(AGR!$B$51,L60,0))</f>
        <v>AHCOA-E</v>
      </c>
      <c r="D60" s="212" t="str">
        <f ca="1">IF($A60="*","",IF(LEFT($B60,3)="TOP",OFFSET(AGR!$B$51,$L60,SUMIF($B$9:$B$12,$B60,$M$9:$M$12)),"-"))</f>
        <v>AH</v>
      </c>
      <c r="E60" s="212" t="str">
        <f ca="1">IF($A60="*","",IF($B60="PRC_ACTUNT",OFFSET(AGR!$B$51,$L60,SUMIF($B$9:$B$12,$B60,$M$9:$M$12)),"-"))</f>
        <v>-</v>
      </c>
      <c r="F60" s="212" t="str">
        <f t="shared" ca="1" si="5"/>
        <v>-</v>
      </c>
      <c r="G60" s="212" t="str">
        <f t="shared" ca="1" si="5"/>
        <v>-</v>
      </c>
      <c r="H60" s="212" t="str">
        <f t="shared" ca="1" si="5"/>
        <v>-</v>
      </c>
      <c r="I60" s="212">
        <f t="shared" ca="1" si="3"/>
        <v>1</v>
      </c>
      <c r="K60" s="137">
        <f>IF(L59=AGR!$AD$74,K59+1,K59)</f>
        <v>3</v>
      </c>
      <c r="L60" s="137">
        <f t="shared" si="4"/>
        <v>1</v>
      </c>
    </row>
    <row r="61" spans="1:12">
      <c r="A61" s="137" t="str">
        <f ca="1">IF(LEFT(OFFSET(AGR!$A$51,L61,0),2)="\I","*","")</f>
        <v/>
      </c>
      <c r="B61" s="212" t="str">
        <f t="shared" ca="1" si="1"/>
        <v>TOP-OUT</v>
      </c>
      <c r="C61" s="212" t="str">
        <f ca="1">IF($A61="*","",OFFSET(AGR!$B$51,L61,0))</f>
        <v>AHOHF-E</v>
      </c>
      <c r="D61" s="212" t="str">
        <f ca="1">IF($A61="*","",IF(LEFT($B61,3)="TOP",OFFSET(AGR!$B$51,$L61,SUMIF($B$9:$B$12,$B61,$M$9:$M$12)),"-"))</f>
        <v>AH</v>
      </c>
      <c r="E61" s="212" t="str">
        <f ca="1">IF($A61="*","",IF($B61="PRC_ACTUNT",OFFSET(AGR!$B$51,$L61,SUMIF($B$9:$B$12,$B61,$M$9:$M$12)),"-"))</f>
        <v>-</v>
      </c>
      <c r="F61" s="212" t="str">
        <f t="shared" ca="1" si="5"/>
        <v>-</v>
      </c>
      <c r="G61" s="212" t="str">
        <f t="shared" ca="1" si="5"/>
        <v>-</v>
      </c>
      <c r="H61" s="212" t="str">
        <f t="shared" ca="1" si="5"/>
        <v>-</v>
      </c>
      <c r="I61" s="212">
        <f t="shared" ca="1" si="3"/>
        <v>1</v>
      </c>
      <c r="K61" s="137">
        <f>IF(L60=AGR!$AD$74,K60+1,K60)</f>
        <v>3</v>
      </c>
      <c r="L61" s="137">
        <f t="shared" si="4"/>
        <v>2</v>
      </c>
    </row>
    <row r="62" spans="1:12">
      <c r="A62" s="137" t="str">
        <f ca="1">IF(LEFT(OFFSET(AGR!$A$51,L62,0),2)="\I","*","")</f>
        <v/>
      </c>
      <c r="B62" s="212" t="str">
        <f ca="1">IF(A62="*","",VLOOKUP("*"&amp;K62,$A$9:$B$14,2,FALSE))</f>
        <v>TOP-OUT</v>
      </c>
      <c r="C62" s="212" t="str">
        <f ca="1">IF($A62="*","",OFFSET(AGR!$B$51,L62,0))</f>
        <v>AHOKE-E</v>
      </c>
      <c r="D62" s="212" t="str">
        <f ca="1">IF($A62="*","",IF(LEFT($B62,3)="TOP",OFFSET(AGR!$B$51,$L62,SUMIF($B$9:$B$12,$B62,$M$9:$M$12)),"-"))</f>
        <v>AH</v>
      </c>
      <c r="E62" s="212" t="str">
        <f ca="1">IF($A62="*","",IF($B62="PRC_ACTUNT",OFFSET(AGR!$B$51,$L62,SUMIF($B$9:$B$12,$B62,$M$9:$M$12)),"-"))</f>
        <v>-</v>
      </c>
      <c r="F62" s="212" t="str">
        <f t="shared" ca="1" si="5"/>
        <v>-</v>
      </c>
      <c r="G62" s="212" t="str">
        <f t="shared" ca="1" si="5"/>
        <v>-</v>
      </c>
      <c r="H62" s="212" t="str">
        <f t="shared" ca="1" si="5"/>
        <v>-</v>
      </c>
      <c r="I62" s="212">
        <f ca="1">IF($A62="*","",SUMIF($B$9:$B$12,B62,$I$9:$I$12))</f>
        <v>1</v>
      </c>
      <c r="K62" s="137">
        <f>IF(L61=AGR!$AD$74,K61+1,K61)</f>
        <v>3</v>
      </c>
      <c r="L62" s="137">
        <f t="shared" si="4"/>
        <v>3</v>
      </c>
    </row>
    <row r="63" spans="1:12">
      <c r="A63" s="137" t="str">
        <f ca="1">IF(LEFT(OFFSET(AGR!$A$51,L63,0),2)="\I","*","")</f>
        <v/>
      </c>
      <c r="B63" s="212" t="str">
        <f ca="1">IF(A63="*","",VLOOKUP("*"&amp;K63,$A$9:$B$14,2,FALSE))</f>
        <v>TOP-OUT</v>
      </c>
      <c r="C63" s="212" t="str">
        <f ca="1">IF($A63="*","",OFFSET(AGR!$B$51,L63,0))</f>
        <v>AHOLP-E</v>
      </c>
      <c r="D63" s="212" t="str">
        <f ca="1">IF($A63="*","",IF(LEFT($B63,3)="TOP",OFFSET(AGR!$B$51,$L63,SUMIF($B$9:$B$12,$B63,$M$9:$M$12)),"-"))</f>
        <v>AH</v>
      </c>
      <c r="E63" s="212" t="str">
        <f ca="1">IF($A63="*","",IF($B63="PRC_ACTUNT",OFFSET(AGR!$B$51,$L63,SUMIF($B$9:$B$12,$B63,$M$9:$M$12)),"-"))</f>
        <v>-</v>
      </c>
      <c r="F63" s="212" t="str">
        <f t="shared" ca="1" si="5"/>
        <v>-</v>
      </c>
      <c r="G63" s="212" t="str">
        <f t="shared" ca="1" si="5"/>
        <v>-</v>
      </c>
      <c r="H63" s="212" t="str">
        <f t="shared" ca="1" si="5"/>
        <v>-</v>
      </c>
      <c r="I63" s="212">
        <f ca="1">IF($A63="*","",SUMIF($B$9:$B$12,B63,$I$9:$I$12))</f>
        <v>1</v>
      </c>
      <c r="K63" s="137">
        <f>IF(L62=AGR!$AD$74,K62+1,K62)</f>
        <v>3</v>
      </c>
      <c r="L63" s="137">
        <f t="shared" si="4"/>
        <v>4</v>
      </c>
    </row>
    <row r="64" spans="1:12">
      <c r="A64" s="137" t="str">
        <f ca="1">IF(LEFT(OFFSET(AGR!$A$51,L64,0),2)="\I","*","")</f>
        <v/>
      </c>
      <c r="B64" s="212" t="str">
        <f ca="1">IF(A64="*","",VLOOKUP("*"&amp;K64,$A$9:$B$14,2,FALSE))</f>
        <v>TOP-OUT</v>
      </c>
      <c r="C64" s="212" t="str">
        <f ca="1">IF($A64="*","",OFFSET(AGR!$B$51,L64,0))</f>
        <v>AHELC-E</v>
      </c>
      <c r="D64" s="212" t="str">
        <f ca="1">IF($A64="*","",IF(LEFT($B64,3)="TOP",OFFSET(AGR!$B$51,$L64,SUMIF($B$9:$B$12,$B64,$M$9:$M$12)),"-"))</f>
        <v>AH</v>
      </c>
      <c r="E64" s="212" t="str">
        <f ca="1">IF($A64="*","",IF($B64="PRC_ACTUNT",OFFSET(AGR!$B$51,$L64,SUMIF($B$9:$B$12,$B64,$M$9:$M$12)),"-"))</f>
        <v>-</v>
      </c>
      <c r="F64" s="212" t="str">
        <f t="shared" ca="1" si="5"/>
        <v>-</v>
      </c>
      <c r="G64" s="212" t="str">
        <f t="shared" ca="1" si="5"/>
        <v>-</v>
      </c>
      <c r="H64" s="212" t="str">
        <f t="shared" ca="1" si="5"/>
        <v>-</v>
      </c>
      <c r="I64" s="212">
        <f ca="1">IF($A64="*","",SUMIF($B$9:$B$12,B64,$I$9:$I$12))</f>
        <v>1</v>
      </c>
      <c r="K64" s="137">
        <f>IF(L63=AGR!$AD$74,K63+1,K63)</f>
        <v>3</v>
      </c>
      <c r="L64" s="137">
        <f t="shared" si="4"/>
        <v>5</v>
      </c>
    </row>
    <row r="65" spans="1:12">
      <c r="A65" s="137" t="str">
        <f ca="1">IF(LEFT(OFFSET(AGR!$A$51,L65,0),2)="\I","*","")</f>
        <v>*</v>
      </c>
      <c r="B65" s="212" t="str">
        <f ca="1">IF(A65="*","",VLOOKUP("*"&amp;K65,$A$9:$B$14,2,FALSE))</f>
        <v/>
      </c>
      <c r="C65" s="212" t="str">
        <f ca="1">IF($A65="*","",OFFSET(AGR!$B$51,L65,0))</f>
        <v/>
      </c>
      <c r="D65" s="212" t="str">
        <f ca="1">IF($A65="*","",IF(LEFT($B65,3)="TOP",OFFSET(AGR!$B$51,$L65,SUMIF($B$9:$B$12,$B65,$M$9:$M$12)),"-"))</f>
        <v/>
      </c>
      <c r="E65" s="212" t="str">
        <f ca="1">IF($A65="*","",IF($B65="PRC_ACTUNT",OFFSET(AGR!$B$51,$L65,SUMIF($B$9:$B$12,$B65,$M$9:$M$12)),"-"))</f>
        <v/>
      </c>
      <c r="F65" s="212" t="str">
        <f t="shared" ca="1" si="5"/>
        <v/>
      </c>
      <c r="G65" s="212" t="str">
        <f t="shared" ca="1" si="5"/>
        <v/>
      </c>
      <c r="H65" s="212" t="str">
        <f t="shared" ca="1" si="5"/>
        <v/>
      </c>
      <c r="I65" s="212" t="str">
        <f ca="1">IF($A65="*","",SUMIF($B$9:$B$12,B65,$I$9:$I$12))</f>
        <v/>
      </c>
      <c r="K65" s="137">
        <f>IF(L64=AGR!$AD$74,K64+1,K64)</f>
        <v>3</v>
      </c>
      <c r="L65" s="137">
        <f t="shared" si="4"/>
        <v>6</v>
      </c>
    </row>
    <row r="66" spans="1:12">
      <c r="A66" s="137" t="str">
        <f ca="1">IF(LEFT(OFFSET(AGR!$A$51,L66,0),2)="\I","*","")</f>
        <v>*</v>
      </c>
      <c r="B66" s="212" t="str">
        <f ca="1">IF(A66="*","",VLOOKUP("*"&amp;K66,$A$9:$B$14,2,FALSE))</f>
        <v/>
      </c>
      <c r="C66" s="212" t="str">
        <f ca="1">IF($A66="*","",OFFSET(AGR!$B$51,L66,0))</f>
        <v/>
      </c>
      <c r="D66" s="212" t="str">
        <f ca="1">IF($A66="*","",IF(LEFT($B66,3)="TOP",OFFSET(AGR!$B$51,$L66,SUMIF($B$9:$B$12,$B66,$M$9:$M$12)),"-"))</f>
        <v/>
      </c>
      <c r="E66" s="212" t="str">
        <f ca="1">IF($A66="*","",IF($B66="PRC_ACTUNT",OFFSET(AGR!$B$51,$L66,SUMIF($B$9:$B$12,$B66,$M$9:$M$12)),"-"))</f>
        <v/>
      </c>
      <c r="F66" s="212" t="str">
        <f t="shared" ca="1" si="5"/>
        <v/>
      </c>
      <c r="G66" s="212" t="str">
        <f t="shared" ca="1" si="5"/>
        <v/>
      </c>
      <c r="H66" s="212" t="str">
        <f t="shared" ca="1" si="5"/>
        <v/>
      </c>
      <c r="I66" s="212" t="str">
        <f ca="1">IF($A66="*","",SUMIF($B$9:$B$12,B66,$I$9:$I$12))</f>
        <v/>
      </c>
      <c r="K66" s="137">
        <f>IF(L65=AGR!$AD$74,K65+1,K65)</f>
        <v>3</v>
      </c>
      <c r="L66" s="137">
        <f t="shared" si="4"/>
        <v>7</v>
      </c>
    </row>
    <row r="67" spans="1:12">
      <c r="A67" s="137" t="str">
        <f ca="1">IF(LEFT(OFFSET(AGR!$A$51,L67,0),2)="\I","*","")</f>
        <v/>
      </c>
      <c r="B67" s="212" t="str">
        <f t="shared" ref="B67:B88" ca="1" si="6">IF(A67="*","",VLOOKUP("*"&amp;K67,$A$9:$B$14,2,FALSE))</f>
        <v>TOP-OUT</v>
      </c>
      <c r="C67" s="212" t="str">
        <f ca="1">IF($A67="*","",OFFSET(AGR!$B$51,L67,0))</f>
        <v>APELC-E</v>
      </c>
      <c r="D67" s="212" t="str">
        <f ca="1">IF($A67="*","",IF(LEFT($B67,3)="TOP",OFFSET(AGR!$B$51,$L67,SUMIF($B$9:$B$12,$B67,$M$9:$M$12)),"-"))</f>
        <v>AP</v>
      </c>
      <c r="E67" s="212" t="str">
        <f ca="1">IF($A67="*","",IF($B67="PRC_ACTUNT",OFFSET(AGR!$B$51,$L67,SUMIF($B$9:$B$12,$B67,$M$9:$M$12)),"-"))</f>
        <v>-</v>
      </c>
      <c r="F67" s="212" t="str">
        <f t="shared" ca="1" si="5"/>
        <v>-</v>
      </c>
      <c r="G67" s="212" t="str">
        <f t="shared" ca="1" si="5"/>
        <v>-</v>
      </c>
      <c r="H67" s="212" t="str">
        <f t="shared" ca="1" si="5"/>
        <v>-</v>
      </c>
      <c r="I67" s="212">
        <f t="shared" ref="I67:I88" ca="1" si="7">IF($A67="*","",SUMIF($B$9:$B$12,B67,$I$9:$I$12))</f>
        <v>1</v>
      </c>
      <c r="K67" s="137">
        <f>IF(L66=AGR!$AD$74,K66+1,K66)</f>
        <v>3</v>
      </c>
      <c r="L67" s="137">
        <f t="shared" si="4"/>
        <v>8</v>
      </c>
    </row>
    <row r="68" spans="1:12">
      <c r="A68" s="137" t="str">
        <f ca="1">IF(LEFT(OFFSET(AGR!$A$51,L68,0),2)="\I","*","")</f>
        <v>*</v>
      </c>
      <c r="B68" s="212" t="str">
        <f t="shared" ca="1" si="6"/>
        <v/>
      </c>
      <c r="C68" s="212" t="str">
        <f ca="1">IF($A68="*","",OFFSET(AGR!$B$51,L68,0))</f>
        <v/>
      </c>
      <c r="D68" s="212" t="str">
        <f ca="1">IF($A68="*","",IF(LEFT($B68,3)="TOP",OFFSET(AGR!$B$51,$L68,SUMIF($B$9:$B$12,$B68,$M$9:$M$12)),"-"))</f>
        <v/>
      </c>
      <c r="E68" s="212" t="str">
        <f ca="1">IF($A68="*","",IF($B68="PRC_ACTUNT",OFFSET(AGR!$B$51,$L68,SUMIF($B$9:$B$12,$B68,$M$9:$M$12)),"-"))</f>
        <v/>
      </c>
      <c r="F68" s="212" t="str">
        <f t="shared" ca="1" si="5"/>
        <v/>
      </c>
      <c r="G68" s="212" t="str">
        <f t="shared" ca="1" si="5"/>
        <v/>
      </c>
      <c r="H68" s="212" t="str">
        <f t="shared" ca="1" si="5"/>
        <v/>
      </c>
      <c r="I68" s="212" t="str">
        <f t="shared" ca="1" si="7"/>
        <v/>
      </c>
      <c r="K68" s="137">
        <f>IF(L67=AGR!$AD$74,K67+1,K67)</f>
        <v>3</v>
      </c>
      <c r="L68" s="137">
        <f t="shared" si="4"/>
        <v>9</v>
      </c>
    </row>
    <row r="69" spans="1:12">
      <c r="A69" s="137" t="str">
        <f ca="1">IF(LEFT(OFFSET(AGR!$A$51,L69,0),2)="\I","*","")</f>
        <v>*</v>
      </c>
      <c r="B69" s="212" t="str">
        <f t="shared" ca="1" si="6"/>
        <v/>
      </c>
      <c r="C69" s="212" t="str">
        <f ca="1">IF($A69="*","",OFFSET(AGR!$B$51,L69,0))</f>
        <v/>
      </c>
      <c r="D69" s="212" t="str">
        <f ca="1">IF($A69="*","",IF(LEFT($B69,3)="TOP",OFFSET(AGR!$B$51,$L69,SUMIF($B$9:$B$12,$B69,$M$9:$M$12)),"-"))</f>
        <v/>
      </c>
      <c r="E69" s="212" t="str">
        <f ca="1">IF($A69="*","",IF($B69="PRC_ACTUNT",OFFSET(AGR!$B$51,$L69,SUMIF($B$9:$B$12,$B69,$M$9:$M$12)),"-"))</f>
        <v/>
      </c>
      <c r="F69" s="212" t="str">
        <f t="shared" ca="1" si="5"/>
        <v/>
      </c>
      <c r="G69" s="212" t="str">
        <f t="shared" ca="1" si="5"/>
        <v/>
      </c>
      <c r="H69" s="212" t="str">
        <f t="shared" ca="1" si="5"/>
        <v/>
      </c>
      <c r="I69" s="212" t="str">
        <f t="shared" ca="1" si="7"/>
        <v/>
      </c>
      <c r="K69" s="137">
        <f>IF(L68=AGR!$AD$74,K68+1,K68)</f>
        <v>3</v>
      </c>
      <c r="L69" s="137">
        <f t="shared" si="4"/>
        <v>10</v>
      </c>
    </row>
    <row r="70" spans="1:12">
      <c r="A70" s="137" t="str">
        <f ca="1">IF(LEFT(OFFSET(AGR!$A$51,L70,0),2)="\I","*","")</f>
        <v/>
      </c>
      <c r="B70" s="212" t="str">
        <f t="shared" ca="1" si="6"/>
        <v>TOP-OUT</v>
      </c>
      <c r="C70" s="212" t="str">
        <f ca="1">IF($A70="*","",OFFSET(AGR!$B$51,L70,0))</f>
        <v>ATODS-E</v>
      </c>
      <c r="D70" s="212" t="str">
        <f ca="1">IF($A70="*","",IF(LEFT($B70,3)="TOP",OFFSET(AGR!$B$51,$L70,SUMIF($B$9:$B$12,$B70,$M$9:$M$12)),"-"))</f>
        <v>AT</v>
      </c>
      <c r="E70" s="212" t="str">
        <f ca="1">IF($A70="*","",IF($B70="PRC_ACTUNT",OFFSET(AGR!$B$51,$L70,SUMIF($B$9:$B$12,$B70,$M$9:$M$12)),"-"))</f>
        <v>-</v>
      </c>
      <c r="F70" s="212" t="str">
        <f t="shared" ca="1" si="5"/>
        <v>-</v>
      </c>
      <c r="G70" s="212" t="str">
        <f t="shared" ca="1" si="5"/>
        <v>-</v>
      </c>
      <c r="H70" s="212" t="str">
        <f t="shared" ca="1" si="5"/>
        <v>-</v>
      </c>
      <c r="I70" s="212">
        <f t="shared" ca="1" si="7"/>
        <v>1</v>
      </c>
      <c r="K70" s="137">
        <f>IF(L69=AGR!$AD$74,K69+1,K69)</f>
        <v>3</v>
      </c>
      <c r="L70" s="137">
        <f t="shared" si="4"/>
        <v>11</v>
      </c>
    </row>
    <row r="71" spans="1:12">
      <c r="A71" s="137" t="str">
        <f ca="1">IF(LEFT(OFFSET(AGR!$A$51,L71,0),2)="\I","*","")</f>
        <v/>
      </c>
      <c r="B71" s="212" t="str">
        <f t="shared" ca="1" si="6"/>
        <v>TOP-OUT</v>
      </c>
      <c r="C71" s="212" t="str">
        <f ca="1">IF($A71="*","",OFFSET(AGR!$B$51,L71,0))</f>
        <v>ATELC-E</v>
      </c>
      <c r="D71" s="212" t="str">
        <f ca="1">IF($A71="*","",IF(LEFT($B71,3)="TOP",OFFSET(AGR!$B$51,$L71,SUMIF($B$9:$B$12,$B71,$M$9:$M$12)),"-"))</f>
        <v>AT</v>
      </c>
      <c r="E71" s="212" t="str">
        <f ca="1">IF($A71="*","",IF($B71="PRC_ACTUNT",OFFSET(AGR!$B$51,$L71,SUMIF($B$9:$B$12,$B71,$M$9:$M$12)),"-"))</f>
        <v>-</v>
      </c>
      <c r="F71" s="212" t="str">
        <f t="shared" ref="F71:H86" ca="1" si="8">IF($A71="*","","-")</f>
        <v>-</v>
      </c>
      <c r="G71" s="212" t="str">
        <f t="shared" ca="1" si="8"/>
        <v>-</v>
      </c>
      <c r="H71" s="212" t="str">
        <f t="shared" ca="1" si="8"/>
        <v>-</v>
      </c>
      <c r="I71" s="212">
        <f t="shared" ca="1" si="7"/>
        <v>1</v>
      </c>
      <c r="K71" s="137">
        <f>IF(L70=AGR!$AD$74,K70+1,K70)</f>
        <v>3</v>
      </c>
      <c r="L71" s="137">
        <f t="shared" si="4"/>
        <v>12</v>
      </c>
    </row>
    <row r="72" spans="1:12">
      <c r="A72" s="137" t="str">
        <f ca="1">IF(LEFT(OFFSET(AGR!$A$51,L72,0),2)="\I","*","")</f>
        <v/>
      </c>
      <c r="B72" s="212" t="str">
        <f t="shared" ca="1" si="6"/>
        <v>TOP-OUT</v>
      </c>
      <c r="C72" s="212" t="str">
        <f ca="1">IF($A72="*","",OFFSET(AGR!$B$51,L72,0))</f>
        <v>ATOGS-E</v>
      </c>
      <c r="D72" s="212" t="str">
        <f ca="1">IF($A72="*","",IF(LEFT($B72,3)="TOP",OFFSET(AGR!$B$51,$L72,SUMIF($B$9:$B$12,$B72,$M$9:$M$12)),"-"))</f>
        <v>AT</v>
      </c>
      <c r="E72" s="212" t="str">
        <f ca="1">IF($A72="*","",IF($B72="PRC_ACTUNT",OFFSET(AGR!$B$51,$L72,SUMIF($B$9:$B$12,$B72,$M$9:$M$12)),"-"))</f>
        <v>-</v>
      </c>
      <c r="F72" s="212" t="str">
        <f t="shared" ca="1" si="8"/>
        <v>-</v>
      </c>
      <c r="G72" s="212" t="str">
        <f t="shared" ca="1" si="8"/>
        <v>-</v>
      </c>
      <c r="H72" s="212" t="str">
        <f t="shared" ca="1" si="8"/>
        <v>-</v>
      </c>
      <c r="I72" s="212">
        <f t="shared" ca="1" si="7"/>
        <v>1</v>
      </c>
      <c r="K72" s="137">
        <f>IF(L71=AGR!$AD$74,K71+1,K71)</f>
        <v>3</v>
      </c>
      <c r="L72" s="137">
        <f t="shared" si="4"/>
        <v>13</v>
      </c>
    </row>
    <row r="73" spans="1:12">
      <c r="A73" s="137" t="str">
        <f ca="1">IF(LEFT(OFFSET(AGR!$A$51,L73,0),2)="\I","*","")</f>
        <v>*</v>
      </c>
      <c r="B73" s="212" t="str">
        <f t="shared" ca="1" si="6"/>
        <v/>
      </c>
      <c r="C73" s="212" t="str">
        <f ca="1">IF($A73="*","",OFFSET(AGR!$B$51,L73,0))</f>
        <v/>
      </c>
      <c r="D73" s="212" t="str">
        <f ca="1">IF($A73="*","",IF(LEFT($B73,3)="TOP",OFFSET(AGR!$B$51,$L73,SUMIF($B$9:$B$12,$B73,$M$9:$M$12)),"-"))</f>
        <v/>
      </c>
      <c r="E73" s="212" t="str">
        <f ca="1">IF($A73="*","",IF($B73="PRC_ACTUNT",OFFSET(AGR!$B$51,$L73,SUMIF($B$9:$B$12,$B73,$M$9:$M$12)),"-"))</f>
        <v/>
      </c>
      <c r="F73" s="212" t="str">
        <f t="shared" ca="1" si="8"/>
        <v/>
      </c>
      <c r="G73" s="212" t="str">
        <f t="shared" ca="1" si="8"/>
        <v/>
      </c>
      <c r="H73" s="212" t="str">
        <f t="shared" ca="1" si="8"/>
        <v/>
      </c>
      <c r="I73" s="212" t="str">
        <f t="shared" ca="1" si="7"/>
        <v/>
      </c>
      <c r="K73" s="137">
        <f>IF(L72=AGR!$AD$74,K72+1,K72)</f>
        <v>3</v>
      </c>
      <c r="L73" s="137">
        <f t="shared" si="4"/>
        <v>14</v>
      </c>
    </row>
    <row r="74" spans="1:12">
      <c r="A74" s="137" t="str">
        <f ca="1">IF(LEFT(OFFSET(AGR!$A$51,L74,0),2)="\I","*","")</f>
        <v>*</v>
      </c>
      <c r="B74" s="212" t="str">
        <f t="shared" ca="1" si="6"/>
        <v/>
      </c>
      <c r="C74" s="212" t="str">
        <f ca="1">IF($A74="*","",OFFSET(AGR!$B$51,L74,0))</f>
        <v/>
      </c>
      <c r="D74" s="212" t="str">
        <f ca="1">IF($A74="*","",IF(LEFT($B74,3)="TOP",OFFSET(AGR!$B$51,$L74,SUMIF($B$9:$B$12,$B74,$M$9:$M$12)),"-"))</f>
        <v/>
      </c>
      <c r="E74" s="212" t="str">
        <f ca="1">IF($A74="*","",IF($B74="PRC_ACTUNT",OFFSET(AGR!$B$51,$L74,SUMIF($B$9:$B$12,$B74,$M$9:$M$12)),"-"))</f>
        <v/>
      </c>
      <c r="F74" s="212" t="str">
        <f t="shared" ca="1" si="8"/>
        <v/>
      </c>
      <c r="G74" s="212" t="str">
        <f t="shared" ca="1" si="8"/>
        <v/>
      </c>
      <c r="H74" s="212" t="str">
        <f t="shared" ca="1" si="8"/>
        <v/>
      </c>
      <c r="I74" s="212" t="str">
        <f t="shared" ca="1" si="7"/>
        <v/>
      </c>
      <c r="K74" s="137">
        <f>IF(L73=AGR!$AD$74,K73+1,K73)</f>
        <v>3</v>
      </c>
      <c r="L74" s="137">
        <f t="shared" si="4"/>
        <v>15</v>
      </c>
    </row>
    <row r="75" spans="1:12">
      <c r="A75" s="137" t="str">
        <f ca="1">IF(LEFT(OFFSET(AGR!$A$51,L75,0),2)="\I","*","")</f>
        <v/>
      </c>
      <c r="B75" s="212" t="str">
        <f t="shared" ca="1" si="6"/>
        <v>TOP-OUT</v>
      </c>
      <c r="C75" s="212" t="str">
        <f ca="1">IF($A75="*","",OFFSET(AGR!$B$51,L75,0))</f>
        <v>AIODS-E</v>
      </c>
      <c r="D75" s="212" t="str">
        <f ca="1">IF($A75="*","",IF(LEFT($B75,3)="TOP",OFFSET(AGR!$B$51,$L75,SUMIF($B$9:$B$12,$B75,$M$9:$M$12)),"-"))</f>
        <v>AI</v>
      </c>
      <c r="E75" s="212" t="str">
        <f ca="1">IF($A75="*","",IF($B75="PRC_ACTUNT",OFFSET(AGR!$B$51,$L75,SUMIF($B$9:$B$12,$B75,$M$9:$M$12)),"-"))</f>
        <v>-</v>
      </c>
      <c r="F75" s="212" t="str">
        <f t="shared" ca="1" si="8"/>
        <v>-</v>
      </c>
      <c r="G75" s="212" t="str">
        <f t="shared" ca="1" si="8"/>
        <v>-</v>
      </c>
      <c r="H75" s="212" t="str">
        <f t="shared" ca="1" si="8"/>
        <v>-</v>
      </c>
      <c r="I75" s="212">
        <f t="shared" ca="1" si="7"/>
        <v>1</v>
      </c>
      <c r="K75" s="137">
        <f>IF(L74=AGR!$AD$74,K74+1,K74)</f>
        <v>3</v>
      </c>
      <c r="L75" s="137">
        <f t="shared" si="4"/>
        <v>16</v>
      </c>
    </row>
    <row r="76" spans="1:12">
      <c r="A76" s="137" t="str">
        <f ca="1">IF(LEFT(OFFSET(AGR!$A$51,L76,0),2)="\I","*","")</f>
        <v/>
      </c>
      <c r="B76" s="212" t="str">
        <f t="shared" ca="1" si="6"/>
        <v>TOP-OUT</v>
      </c>
      <c r="C76" s="212" t="str">
        <f ca="1">IF($A76="*","",OFFSET(AGR!$B$51,L76,0))</f>
        <v>AIELC-E</v>
      </c>
      <c r="D76" s="212" t="str">
        <f ca="1">IF($A76="*","",IF(LEFT($B76,3)="TOP",OFFSET(AGR!$B$51,$L76,SUMIF($B$9:$B$12,$B76,$M$9:$M$12)),"-"))</f>
        <v>AI</v>
      </c>
      <c r="E76" s="212" t="str">
        <f ca="1">IF($A76="*","",IF($B76="PRC_ACTUNT",OFFSET(AGR!$B$51,$L76,SUMIF($B$9:$B$12,$B76,$M$9:$M$12)),"-"))</f>
        <v>-</v>
      </c>
      <c r="F76" s="212" t="str">
        <f t="shared" ca="1" si="8"/>
        <v>-</v>
      </c>
      <c r="G76" s="212" t="str">
        <f t="shared" ca="1" si="8"/>
        <v>-</v>
      </c>
      <c r="H76" s="212" t="str">
        <f t="shared" ca="1" si="8"/>
        <v>-</v>
      </c>
      <c r="I76" s="212">
        <f t="shared" ca="1" si="7"/>
        <v>1</v>
      </c>
      <c r="K76" s="137">
        <f>IF(L75=AGR!$AD$74,K75+1,K75)</f>
        <v>3</v>
      </c>
      <c r="L76" s="137">
        <f t="shared" si="4"/>
        <v>17</v>
      </c>
    </row>
    <row r="77" spans="1:12">
      <c r="A77" s="137" t="str">
        <f ca="1">IF(LEFT(OFFSET(AGR!$A$51,L77,0),2)="\I","*","")</f>
        <v/>
      </c>
      <c r="B77" s="212" t="str">
        <f t="shared" ca="1" si="6"/>
        <v>TOP-OUT</v>
      </c>
      <c r="C77" s="212" t="str">
        <f ca="1">IF($A77="*","",OFFSET(AGR!$B$51,L77,0))</f>
        <v>AIOGS-E</v>
      </c>
      <c r="D77" s="212" t="str">
        <f ca="1">IF($A77="*","",IF(LEFT($B77,3)="TOP",OFFSET(AGR!$B$51,$L77,SUMIF($B$9:$B$12,$B77,$M$9:$M$12)),"-"))</f>
        <v>AI</v>
      </c>
      <c r="E77" s="212" t="str">
        <f ca="1">IF($A77="*","",IF($B77="PRC_ACTUNT",OFFSET(AGR!$B$51,$L77,SUMIF($B$9:$B$12,$B77,$M$9:$M$12)),"-"))</f>
        <v>-</v>
      </c>
      <c r="F77" s="212" t="str">
        <f t="shared" ca="1" si="8"/>
        <v>-</v>
      </c>
      <c r="G77" s="212" t="str">
        <f t="shared" ca="1" si="8"/>
        <v>-</v>
      </c>
      <c r="H77" s="212" t="str">
        <f t="shared" ca="1" si="8"/>
        <v>-</v>
      </c>
      <c r="I77" s="212">
        <f t="shared" ca="1" si="7"/>
        <v>1</v>
      </c>
      <c r="K77" s="137">
        <f>IF(L76=AGR!$AD$74,K76+1,K76)</f>
        <v>3</v>
      </c>
      <c r="L77" s="137">
        <f t="shared" si="4"/>
        <v>18</v>
      </c>
    </row>
    <row r="78" spans="1:12">
      <c r="A78" s="137" t="str">
        <f ca="1">IF(LEFT(OFFSET(AGR!$A$51,L78,0),2)="\I","*","")</f>
        <v>*</v>
      </c>
      <c r="B78" s="212" t="str">
        <f t="shared" ca="1" si="6"/>
        <v/>
      </c>
      <c r="C78" s="212" t="str">
        <f ca="1">IF($A78="*","",OFFSET(AGR!$B$51,L78,0))</f>
        <v/>
      </c>
      <c r="D78" s="212" t="str">
        <f ca="1">IF($A78="*","",IF(LEFT($B78,3)="TOP",OFFSET(AGR!$B$51,$L78,SUMIF($B$9:$B$12,$B78,$M$9:$M$12)),"-"))</f>
        <v/>
      </c>
      <c r="E78" s="212" t="str">
        <f ca="1">IF($A78="*","",IF($B78="PRC_ACTUNT",OFFSET(AGR!$B$51,$L78,SUMIF($B$9:$B$12,$B78,$M$9:$M$12)),"-"))</f>
        <v/>
      </c>
      <c r="F78" s="212" t="str">
        <f t="shared" ca="1" si="8"/>
        <v/>
      </c>
      <c r="G78" s="212" t="str">
        <f t="shared" ca="1" si="8"/>
        <v/>
      </c>
      <c r="H78" s="212" t="str">
        <f t="shared" ca="1" si="8"/>
        <v/>
      </c>
      <c r="I78" s="212" t="str">
        <f t="shared" ca="1" si="7"/>
        <v/>
      </c>
      <c r="K78" s="137">
        <f>IF(L77=AGR!$AD$74,K77+1,K77)</f>
        <v>3</v>
      </c>
      <c r="L78" s="137">
        <f t="shared" si="4"/>
        <v>19</v>
      </c>
    </row>
    <row r="79" spans="1:12">
      <c r="A79" s="137" t="str">
        <f ca="1">IF(LEFT(OFFSET(AGR!$A$51,L79,0),2)="\I","*","")</f>
        <v>*</v>
      </c>
      <c r="B79" s="212" t="str">
        <f t="shared" ca="1" si="6"/>
        <v/>
      </c>
      <c r="C79" s="212" t="str">
        <f ca="1">IF($A79="*","",OFFSET(AGR!$B$51,L79,0))</f>
        <v/>
      </c>
      <c r="D79" s="212" t="str">
        <f ca="1">IF($A79="*","",IF(LEFT($B79,3)="TOP",OFFSET(AGR!$B$51,$L79,SUMIF($B$9:$B$12,$B79,$M$9:$M$12)),"-"))</f>
        <v/>
      </c>
      <c r="E79" s="212" t="str">
        <f ca="1">IF($A79="*","",IF($B79="PRC_ACTUNT",OFFSET(AGR!$B$51,$L79,SUMIF($B$9:$B$12,$B79,$M$9:$M$12)),"-"))</f>
        <v/>
      </c>
      <c r="F79" s="212" t="str">
        <f t="shared" ca="1" si="8"/>
        <v/>
      </c>
      <c r="G79" s="212" t="str">
        <f t="shared" ca="1" si="8"/>
        <v/>
      </c>
      <c r="H79" s="212" t="str">
        <f t="shared" ca="1" si="8"/>
        <v/>
      </c>
      <c r="I79" s="212" t="str">
        <f t="shared" ca="1" si="7"/>
        <v/>
      </c>
      <c r="K79" s="137">
        <f>IF(L78=AGR!$AD$74,K78+1,K78)</f>
        <v>3</v>
      </c>
      <c r="L79" s="137">
        <f t="shared" si="4"/>
        <v>20</v>
      </c>
    </row>
    <row r="80" spans="1:12">
      <c r="A80" s="137" t="str">
        <f ca="1">IF(LEFT(OFFSET(AGR!$A$51,L80,0),2)="\I","*","")</f>
        <v/>
      </c>
      <c r="B80" s="212" t="str">
        <f t="shared" ca="1" si="6"/>
        <v>TOP-OUT</v>
      </c>
      <c r="C80" s="212" t="str">
        <f ca="1">IF($A80="*","",OFFSET(AGR!$B$51,L80,0))</f>
        <v>AOELC-E</v>
      </c>
      <c r="D80" s="212" t="str">
        <f ca="1">IF($A80="*","",IF(LEFT($B80,3)="TOP",OFFSET(AGR!$B$51,$L80,SUMIF($B$9:$B$12,$B80,$M$9:$M$12)),"-"))</f>
        <v>AO</v>
      </c>
      <c r="E80" s="212" t="str">
        <f ca="1">IF($A80="*","",IF($B80="PRC_ACTUNT",OFFSET(AGR!$B$51,$L80,SUMIF($B$9:$B$12,$B80,$M$9:$M$12)),"-"))</f>
        <v>-</v>
      </c>
      <c r="F80" s="212" t="str">
        <f t="shared" ca="1" si="8"/>
        <v>-</v>
      </c>
      <c r="G80" s="212" t="str">
        <f t="shared" ca="1" si="8"/>
        <v>-</v>
      </c>
      <c r="H80" s="212" t="str">
        <f t="shared" ca="1" si="8"/>
        <v>-</v>
      </c>
      <c r="I80" s="212">
        <f t="shared" ca="1" si="7"/>
        <v>1</v>
      </c>
      <c r="K80" s="137">
        <f>IF(L79=AGR!$AD$74,K79+1,K79)</f>
        <v>3</v>
      </c>
      <c r="L80" s="137">
        <f t="shared" ref="L80:L88" si="9">IF(K80=K79,L79+1,1)</f>
        <v>21</v>
      </c>
    </row>
    <row r="81" spans="1:12">
      <c r="A81" s="137" t="str">
        <f ca="1">IF(LEFT(OFFSET(AGR!$A$51,L81,0),2)="\I","*","")</f>
        <v>*</v>
      </c>
      <c r="B81" s="212" t="str">
        <f t="shared" ca="1" si="6"/>
        <v/>
      </c>
      <c r="C81" s="212" t="str">
        <f ca="1">IF($A81="*","",OFFSET(AGR!$B$51,L81,0))</f>
        <v/>
      </c>
      <c r="D81" s="212" t="str">
        <f ca="1">IF($A81="*","",IF(LEFT($B81,3)="TOP",OFFSET(AGR!$B$51,$L81,SUMIF($B$9:$B$12,$B81,$M$9:$M$12)),"-"))</f>
        <v/>
      </c>
      <c r="E81" s="212" t="str">
        <f ca="1">IF($A81="*","",IF($B81="PRC_ACTUNT",OFFSET(AGR!$B$51,$L81,SUMIF($B$9:$B$12,$B81,$M$9:$M$12)),"-"))</f>
        <v/>
      </c>
      <c r="F81" s="212" t="str">
        <f t="shared" ca="1" si="8"/>
        <v/>
      </c>
      <c r="G81" s="212" t="str">
        <f t="shared" ca="1" si="8"/>
        <v/>
      </c>
      <c r="H81" s="212" t="str">
        <f t="shared" ca="1" si="8"/>
        <v/>
      </c>
      <c r="I81" s="212" t="str">
        <f t="shared" ca="1" si="7"/>
        <v/>
      </c>
      <c r="K81" s="137">
        <f>IF(L80=AGR!$AD$74,K80+1,K80)</f>
        <v>3</v>
      </c>
      <c r="L81" s="137">
        <f t="shared" si="9"/>
        <v>22</v>
      </c>
    </row>
    <row r="82" spans="1:12">
      <c r="A82" s="137" t="str">
        <f ca="1">IF(LEFT(OFFSET(AGR!$A$51,L82,0),2)="\I","*","")</f>
        <v>*</v>
      </c>
      <c r="B82" s="212" t="str">
        <f t="shared" ca="1" si="6"/>
        <v/>
      </c>
      <c r="C82" s="212" t="str">
        <f ca="1">IF($A82="*","",OFFSET(AGR!$B$51,L82,0))</f>
        <v/>
      </c>
      <c r="D82" s="212" t="str">
        <f ca="1">IF($A82="*","",IF(LEFT($B82,3)="TOP",OFFSET(AGR!$B$51,$L82,SUMIF($B$9:$B$12,$B82,$M$9:$M$12)),"-"))</f>
        <v/>
      </c>
      <c r="E82" s="212" t="str">
        <f ca="1">IF($A82="*","",IF($B82="PRC_ACTUNT",OFFSET(AGR!$B$51,$L82,SUMIF($B$9:$B$12,$B82,$M$9:$M$12)),"-"))</f>
        <v/>
      </c>
      <c r="F82" s="212" t="str">
        <f t="shared" ca="1" si="8"/>
        <v/>
      </c>
      <c r="G82" s="212" t="str">
        <f t="shared" ca="1" si="8"/>
        <v/>
      </c>
      <c r="H82" s="212" t="str">
        <f t="shared" ca="1" si="8"/>
        <v/>
      </c>
      <c r="I82" s="212" t="str">
        <f t="shared" ca="1" si="7"/>
        <v/>
      </c>
      <c r="K82" s="137">
        <f>IF(L81=AGR!$AD$74,K81+1,K81)</f>
        <v>3</v>
      </c>
      <c r="L82" s="137">
        <f t="shared" si="9"/>
        <v>23</v>
      </c>
    </row>
    <row r="83" spans="1:12">
      <c r="A83" s="137" t="str">
        <f ca="1">IF(LEFT(OFFSET(AGR!$A$51,L83,0),2)="\I","*","")</f>
        <v/>
      </c>
      <c r="B83" s="212" t="str">
        <f t="shared" ca="1" si="6"/>
        <v>TOP-IN</v>
      </c>
      <c r="C83" s="212" t="str">
        <f ca="1">IF($A83="*","",OFFSET(AGR!$B$51,L83,0))</f>
        <v>AHCOA-E</v>
      </c>
      <c r="D83" s="212" t="str">
        <f ca="1">IF($A83="*","",IF(LEFT($B83,3)="TOP",OFFSET(AGR!$B$51,$L83,SUMIF($B$9:$B$12,$B83,$M$9:$M$12)),"-"))</f>
        <v>AGRCOA</v>
      </c>
      <c r="E83" s="212" t="str">
        <f ca="1">IF($A83="*","",IF($B83="PRC_ACTUNT",OFFSET(AGR!$B$51,$L83,SUMIF($B$9:$B$12,$B83,$M$9:$M$12)),"-"))</f>
        <v>-</v>
      </c>
      <c r="F83" s="212" t="str">
        <f t="shared" ca="1" si="8"/>
        <v>-</v>
      </c>
      <c r="G83" s="212" t="str">
        <f t="shared" ca="1" si="8"/>
        <v>-</v>
      </c>
      <c r="H83" s="212" t="str">
        <f t="shared" ca="1" si="8"/>
        <v>-</v>
      </c>
      <c r="I83" s="212">
        <f t="shared" ca="1" si="7"/>
        <v>1</v>
      </c>
      <c r="K83" s="137">
        <f>IF(L82=AGR!$AD$74,K82+1,K82)</f>
        <v>4</v>
      </c>
      <c r="L83" s="137">
        <f t="shared" si="9"/>
        <v>1</v>
      </c>
    </row>
    <row r="84" spans="1:12">
      <c r="A84" s="137" t="str">
        <f ca="1">IF(LEFT(OFFSET(AGR!$A$51,L84,0),2)="\I","*","")</f>
        <v/>
      </c>
      <c r="B84" s="212" t="str">
        <f t="shared" ca="1" si="6"/>
        <v>TOP-IN</v>
      </c>
      <c r="C84" s="212" t="str">
        <f ca="1">IF($A84="*","",OFFSET(AGR!$B$51,L84,0))</f>
        <v>AHOHF-E</v>
      </c>
      <c r="D84" s="212" t="str">
        <f ca="1">IF($A84="*","",IF(LEFT($B84,3)="TOP",OFFSET(AGR!$B$51,$L84,SUMIF($B$9:$B$12,$B84,$M$9:$M$12)),"-"))</f>
        <v>AGROHF</v>
      </c>
      <c r="E84" s="212" t="str">
        <f ca="1">IF($A84="*","",IF($B84="PRC_ACTUNT",OFFSET(AGR!$B$51,$L84,SUMIF($B$9:$B$12,$B84,$M$9:$M$12)),"-"))</f>
        <v>-</v>
      </c>
      <c r="F84" s="212" t="str">
        <f t="shared" ca="1" si="8"/>
        <v>-</v>
      </c>
      <c r="G84" s="212" t="str">
        <f t="shared" ca="1" si="8"/>
        <v>-</v>
      </c>
      <c r="H84" s="212" t="str">
        <f t="shared" ca="1" si="8"/>
        <v>-</v>
      </c>
      <c r="I84" s="212">
        <f t="shared" ca="1" si="7"/>
        <v>1</v>
      </c>
      <c r="K84" s="137">
        <f>IF(L83=AGR!$AD$74,K83+1,K83)</f>
        <v>4</v>
      </c>
      <c r="L84" s="137">
        <f t="shared" si="9"/>
        <v>2</v>
      </c>
    </row>
    <row r="85" spans="1:12">
      <c r="A85" s="137" t="str">
        <f ca="1">IF(LEFT(OFFSET(AGR!$A$51,L85,0),2)="\I","*","")</f>
        <v/>
      </c>
      <c r="B85" s="212" t="str">
        <f t="shared" ca="1" si="6"/>
        <v>TOP-IN</v>
      </c>
      <c r="C85" s="212" t="str">
        <f ca="1">IF($A85="*","",OFFSET(AGR!$B$51,L85,0))</f>
        <v>AHOKE-E</v>
      </c>
      <c r="D85" s="212" t="str">
        <f ca="1">IF($A85="*","",IF(LEFT($B85,3)="TOP",OFFSET(AGR!$B$51,$L85,SUMIF($B$9:$B$12,$B85,$M$9:$M$12)),"-"))</f>
        <v>AGROKE</v>
      </c>
      <c r="E85" s="212" t="str">
        <f ca="1">IF($A85="*","",IF($B85="PRC_ACTUNT",OFFSET(AGR!$B$51,$L85,SUMIF($B$9:$B$12,$B85,$M$9:$M$12)),"-"))</f>
        <v>-</v>
      </c>
      <c r="F85" s="212" t="str">
        <f t="shared" ca="1" si="8"/>
        <v>-</v>
      </c>
      <c r="G85" s="212" t="str">
        <f t="shared" ca="1" si="8"/>
        <v>-</v>
      </c>
      <c r="H85" s="212" t="str">
        <f t="shared" ca="1" si="8"/>
        <v>-</v>
      </c>
      <c r="I85" s="212">
        <f t="shared" ca="1" si="7"/>
        <v>1</v>
      </c>
      <c r="K85" s="137">
        <f>IF(L84=AGR!$AD$74,K84+1,K84)</f>
        <v>4</v>
      </c>
      <c r="L85" s="137">
        <f t="shared" si="9"/>
        <v>3</v>
      </c>
    </row>
    <row r="86" spans="1:12">
      <c r="A86" s="137" t="str">
        <f ca="1">IF(LEFT(OFFSET(AGR!$A$51,L86,0),2)="\I","*","")</f>
        <v/>
      </c>
      <c r="B86" s="212" t="str">
        <f t="shared" ca="1" si="6"/>
        <v>TOP-IN</v>
      </c>
      <c r="C86" s="212" t="str">
        <f ca="1">IF($A86="*","",OFFSET(AGR!$B$51,L86,0))</f>
        <v>AHOLP-E</v>
      </c>
      <c r="D86" s="212" t="str">
        <f ca="1">IF($A86="*","",IF(LEFT($B86,3)="TOP",OFFSET(AGR!$B$51,$L86,SUMIF($B$9:$B$12,$B86,$M$9:$M$12)),"-"))</f>
        <v>AGROLP</v>
      </c>
      <c r="E86" s="212" t="str">
        <f ca="1">IF($A86="*","",IF($B86="PRC_ACTUNT",OFFSET(AGR!$B$51,$L86,SUMIF($B$9:$B$12,$B86,$M$9:$M$12)),"-"))</f>
        <v>-</v>
      </c>
      <c r="F86" s="212" t="str">
        <f t="shared" ca="1" si="8"/>
        <v>-</v>
      </c>
      <c r="G86" s="212" t="str">
        <f t="shared" ca="1" si="8"/>
        <v>-</v>
      </c>
      <c r="H86" s="212" t="str">
        <f t="shared" ca="1" si="8"/>
        <v>-</v>
      </c>
      <c r="I86" s="212">
        <f t="shared" ca="1" si="7"/>
        <v>1</v>
      </c>
      <c r="K86" s="137">
        <f>IF(L85=AGR!$AD$74,K85+1,K85)</f>
        <v>4</v>
      </c>
      <c r="L86" s="137">
        <f t="shared" si="9"/>
        <v>4</v>
      </c>
    </row>
    <row r="87" spans="1:12">
      <c r="A87" s="137" t="str">
        <f ca="1">IF(LEFT(OFFSET(AGR!$A$51,L87,0),2)="\I","*","")</f>
        <v/>
      </c>
      <c r="B87" s="212" t="str">
        <f t="shared" ca="1" si="6"/>
        <v>TOP-IN</v>
      </c>
      <c r="C87" s="212" t="str">
        <f ca="1">IF($A87="*","",OFFSET(AGR!$B$51,L87,0))</f>
        <v>AHELC-E</v>
      </c>
      <c r="D87" s="212" t="str">
        <f ca="1">IF($A87="*","",IF(LEFT($B87,3)="TOP",OFFSET(AGR!$B$51,$L87,SUMIF($B$9:$B$12,$B87,$M$9:$M$12)),"-"))</f>
        <v>AGRELC</v>
      </c>
      <c r="E87" s="212" t="str">
        <f ca="1">IF($A87="*","",IF($B87="PRC_ACTUNT",OFFSET(AGR!$B$51,$L87,SUMIF($B$9:$B$12,$B87,$M$9:$M$12)),"-"))</f>
        <v>-</v>
      </c>
      <c r="F87" s="212" t="str">
        <f t="shared" ref="F87:H102" ca="1" si="10">IF($A87="*","","-")</f>
        <v>-</v>
      </c>
      <c r="G87" s="212" t="str">
        <f t="shared" ca="1" si="10"/>
        <v>-</v>
      </c>
      <c r="H87" s="212" t="str">
        <f t="shared" ca="1" si="10"/>
        <v>-</v>
      </c>
      <c r="I87" s="212">
        <f t="shared" ca="1" si="7"/>
        <v>1</v>
      </c>
      <c r="K87" s="137">
        <f>IF(L86=AGR!$AD$74,K86+1,K86)</f>
        <v>4</v>
      </c>
      <c r="L87" s="137">
        <f t="shared" si="9"/>
        <v>5</v>
      </c>
    </row>
    <row r="88" spans="1:12">
      <c r="A88" s="137" t="str">
        <f ca="1">IF(LEFT(OFFSET(AGR!$A$51,L88,0),2)="\I","*","")</f>
        <v>*</v>
      </c>
      <c r="B88" s="212" t="str">
        <f t="shared" ca="1" si="6"/>
        <v/>
      </c>
      <c r="C88" s="212" t="str">
        <f ca="1">IF($A88="*","",OFFSET(AGR!$B$51,L88,0))</f>
        <v/>
      </c>
      <c r="D88" s="212" t="str">
        <f ca="1">IF($A88="*","",IF(LEFT($B88,3)="TOP",OFFSET(AGR!$B$51,$L88,SUMIF($B$9:$B$12,$B88,$M$9:$M$12)),"-"))</f>
        <v/>
      </c>
      <c r="E88" s="212" t="str">
        <f ca="1">IF($A88="*","",IF($B88="PRC_ACTUNT",OFFSET(AGR!$B$51,$L88,SUMIF($B$9:$B$12,$B88,$M$9:$M$12)),"-"))</f>
        <v/>
      </c>
      <c r="F88" s="212" t="str">
        <f t="shared" ca="1" si="10"/>
        <v/>
      </c>
      <c r="G88" s="212" t="str">
        <f t="shared" ca="1" si="10"/>
        <v/>
      </c>
      <c r="H88" s="212" t="str">
        <f t="shared" ca="1" si="10"/>
        <v/>
      </c>
      <c r="I88" s="212" t="str">
        <f t="shared" ca="1" si="7"/>
        <v/>
      </c>
      <c r="K88" s="137">
        <f>IF(L87=AGR!$AD$74,K87+1,K87)</f>
        <v>4</v>
      </c>
      <c r="L88" s="137">
        <f t="shared" si="9"/>
        <v>6</v>
      </c>
    </row>
    <row r="89" spans="1:12">
      <c r="A89" s="137" t="str">
        <f ca="1">IF(LEFT(OFFSET(AGR!$A$51,L89,0),2)="\I","*","")</f>
        <v>*</v>
      </c>
      <c r="B89" s="212" t="str">
        <f t="shared" ref="B89:B97" ca="1" si="11">IF(A89="*","",VLOOKUP("*"&amp;K89,$A$9:$B$14,2,FALSE))</f>
        <v/>
      </c>
      <c r="C89" s="212" t="str">
        <f ca="1">IF($A89="*","",OFFSET(AGR!$B$51,L89,0))</f>
        <v/>
      </c>
      <c r="D89" s="212" t="str">
        <f ca="1">IF($A89="*","",IF(LEFT($B89,3)="TOP",OFFSET(AGR!$B$51,$L89,SUMIF($B$9:$B$12,$B89,$M$9:$M$12)),"-"))</f>
        <v/>
      </c>
      <c r="E89" s="212" t="str">
        <f ca="1">IF($A89="*","",IF($B89="PRC_ACTUNT",OFFSET(AGR!$B$51,$L89,SUMIF($B$9:$B$12,$B89,$M$9:$M$12)),"-"))</f>
        <v/>
      </c>
      <c r="F89" s="212" t="str">
        <f t="shared" ca="1" si="10"/>
        <v/>
      </c>
      <c r="G89" s="212" t="str">
        <f t="shared" ca="1" si="10"/>
        <v/>
      </c>
      <c r="H89" s="212" t="str">
        <f t="shared" ca="1" si="10"/>
        <v/>
      </c>
      <c r="I89" s="212" t="str">
        <f t="shared" ref="I89:I97" ca="1" si="12">IF($A89="*","",SUMIF($B$9:$B$12,B89,$I$9:$I$12))</f>
        <v/>
      </c>
      <c r="K89" s="137">
        <f>IF(L88=AGR!$AD$74,K88+1,K88)</f>
        <v>4</v>
      </c>
      <c r="L89" s="137">
        <f t="shared" ref="L89:L97" si="13">IF(K89=K88,L88+1,1)</f>
        <v>7</v>
      </c>
    </row>
    <row r="90" spans="1:12">
      <c r="A90" s="137" t="str">
        <f ca="1">IF(LEFT(OFFSET(AGR!$A$51,L90,0),2)="\I","*","")</f>
        <v/>
      </c>
      <c r="B90" s="212" t="str">
        <f t="shared" ca="1" si="11"/>
        <v>TOP-IN</v>
      </c>
      <c r="C90" s="212" t="str">
        <f ca="1">IF($A90="*","",OFFSET(AGR!$B$51,L90,0))</f>
        <v>APELC-E</v>
      </c>
      <c r="D90" s="212" t="str">
        <f ca="1">IF($A90="*","",IF(LEFT($B90,3)="TOP",OFFSET(AGR!$B$51,$L90,SUMIF($B$9:$B$12,$B90,$M$9:$M$12)),"-"))</f>
        <v>AGRELC</v>
      </c>
      <c r="E90" s="212" t="str">
        <f ca="1">IF($A90="*","",IF($B90="PRC_ACTUNT",OFFSET(AGR!$B$51,$L90,SUMIF($B$9:$B$12,$B90,$M$9:$M$12)),"-"))</f>
        <v>-</v>
      </c>
      <c r="F90" s="212" t="str">
        <f t="shared" ca="1" si="10"/>
        <v>-</v>
      </c>
      <c r="G90" s="212" t="str">
        <f t="shared" ca="1" si="10"/>
        <v>-</v>
      </c>
      <c r="H90" s="212" t="str">
        <f t="shared" ca="1" si="10"/>
        <v>-</v>
      </c>
      <c r="I90" s="212">
        <f t="shared" ca="1" si="12"/>
        <v>1</v>
      </c>
      <c r="K90" s="137">
        <f>IF(L89=AGR!$AD$74,K89+1,K89)</f>
        <v>4</v>
      </c>
      <c r="L90" s="137">
        <f t="shared" si="13"/>
        <v>8</v>
      </c>
    </row>
    <row r="91" spans="1:12">
      <c r="A91" s="137" t="str">
        <f ca="1">IF(LEFT(OFFSET(AGR!$A$51,L91,0),2)="\I","*","")</f>
        <v>*</v>
      </c>
      <c r="B91" s="212" t="str">
        <f t="shared" ca="1" si="11"/>
        <v/>
      </c>
      <c r="C91" s="212" t="str">
        <f ca="1">IF($A91="*","",OFFSET(AGR!$B$51,L91,0))</f>
        <v/>
      </c>
      <c r="D91" s="212" t="str">
        <f ca="1">IF($A91="*","",IF(LEFT($B91,3)="TOP",OFFSET(AGR!$B$51,$L91,SUMIF($B$9:$B$12,$B91,$M$9:$M$12)),"-"))</f>
        <v/>
      </c>
      <c r="E91" s="212" t="str">
        <f ca="1">IF($A91="*","",IF($B91="PRC_ACTUNT",OFFSET(AGR!$B$51,$L91,SUMIF($B$9:$B$12,$B91,$M$9:$M$12)),"-"))</f>
        <v/>
      </c>
      <c r="F91" s="212" t="str">
        <f t="shared" ca="1" si="10"/>
        <v/>
      </c>
      <c r="G91" s="212" t="str">
        <f t="shared" ca="1" si="10"/>
        <v/>
      </c>
      <c r="H91" s="212" t="str">
        <f t="shared" ca="1" si="10"/>
        <v/>
      </c>
      <c r="I91" s="212" t="str">
        <f t="shared" ca="1" si="12"/>
        <v/>
      </c>
      <c r="K91" s="137">
        <f>IF(L90=AGR!$AD$74,K90+1,K90)</f>
        <v>4</v>
      </c>
      <c r="L91" s="137">
        <f t="shared" si="13"/>
        <v>9</v>
      </c>
    </row>
    <row r="92" spans="1:12">
      <c r="A92" s="137" t="str">
        <f ca="1">IF(LEFT(OFFSET(AGR!$A$51,L92,0),2)="\I","*","")</f>
        <v>*</v>
      </c>
      <c r="B92" s="212" t="str">
        <f t="shared" ca="1" si="11"/>
        <v/>
      </c>
      <c r="C92" s="212" t="str">
        <f ca="1">IF($A92="*","",OFFSET(AGR!$B$51,L92,0))</f>
        <v/>
      </c>
      <c r="D92" s="212" t="str">
        <f ca="1">IF($A92="*","",IF(LEFT($B92,3)="TOP",OFFSET(AGR!$B$51,$L92,SUMIF($B$9:$B$12,$B92,$M$9:$M$12)),"-"))</f>
        <v/>
      </c>
      <c r="E92" s="212" t="str">
        <f ca="1">IF($A92="*","",IF($B92="PRC_ACTUNT",OFFSET(AGR!$B$51,$L92,SUMIF($B$9:$B$12,$B92,$M$9:$M$12)),"-"))</f>
        <v/>
      </c>
      <c r="F92" s="212" t="str">
        <f t="shared" ca="1" si="10"/>
        <v/>
      </c>
      <c r="G92" s="212" t="str">
        <f t="shared" ca="1" si="10"/>
        <v/>
      </c>
      <c r="H92" s="212" t="str">
        <f t="shared" ca="1" si="10"/>
        <v/>
      </c>
      <c r="I92" s="212" t="str">
        <f t="shared" ca="1" si="12"/>
        <v/>
      </c>
      <c r="K92" s="137">
        <f>IF(L91=AGR!$AD$74,K91+1,K91)</f>
        <v>4</v>
      </c>
      <c r="L92" s="137">
        <f t="shared" si="13"/>
        <v>10</v>
      </c>
    </row>
    <row r="93" spans="1:12">
      <c r="A93" s="137" t="str">
        <f ca="1">IF(LEFT(OFFSET(AGR!$A$51,L93,0),2)="\I","*","")</f>
        <v/>
      </c>
      <c r="B93" s="212" t="str">
        <f t="shared" ca="1" si="11"/>
        <v>TOP-IN</v>
      </c>
      <c r="C93" s="212" t="str">
        <f ca="1">IF($A93="*","",OFFSET(AGR!$B$51,L93,0))</f>
        <v>ATODS-E</v>
      </c>
      <c r="D93" s="212" t="str">
        <f ca="1">IF($A93="*","",IF(LEFT($B93,3)="TOP",OFFSET(AGR!$B$51,$L93,SUMIF($B$9:$B$12,$B93,$M$9:$M$12)),"-"))</f>
        <v>AGRODS</v>
      </c>
      <c r="E93" s="212" t="str">
        <f ca="1">IF($A93="*","",IF($B93="PRC_ACTUNT",OFFSET(AGR!$B$51,$L93,SUMIF($B$9:$B$12,$B93,$M$9:$M$12)),"-"))</f>
        <v>-</v>
      </c>
      <c r="F93" s="212" t="str">
        <f t="shared" ca="1" si="10"/>
        <v>-</v>
      </c>
      <c r="G93" s="212" t="str">
        <f t="shared" ca="1" si="10"/>
        <v>-</v>
      </c>
      <c r="H93" s="212" t="str">
        <f t="shared" ca="1" si="10"/>
        <v>-</v>
      </c>
      <c r="I93" s="212">
        <f t="shared" ca="1" si="12"/>
        <v>1</v>
      </c>
      <c r="K93" s="137">
        <f>IF(L92=AGR!$AD$74,K92+1,K92)</f>
        <v>4</v>
      </c>
      <c r="L93" s="137">
        <f t="shared" si="13"/>
        <v>11</v>
      </c>
    </row>
    <row r="94" spans="1:12">
      <c r="A94" s="137" t="str">
        <f ca="1">IF(LEFT(OFFSET(AGR!$A$51,L94,0),2)="\I","*","")</f>
        <v/>
      </c>
      <c r="B94" s="212" t="str">
        <f t="shared" ca="1" si="11"/>
        <v>TOP-IN</v>
      </c>
      <c r="C94" s="212" t="str">
        <f ca="1">IF($A94="*","",OFFSET(AGR!$B$51,L94,0))</f>
        <v>ATELC-E</v>
      </c>
      <c r="D94" s="212" t="str">
        <f ca="1">IF($A94="*","",IF(LEFT($B94,3)="TOP",OFFSET(AGR!$B$51,$L94,SUMIF($B$9:$B$12,$B94,$M$9:$M$12)),"-"))</f>
        <v>AGRELC</v>
      </c>
      <c r="E94" s="212" t="str">
        <f ca="1">IF($A94="*","",IF($B94="PRC_ACTUNT",OFFSET(AGR!$B$51,$L94,SUMIF($B$9:$B$12,$B94,$M$9:$M$12)),"-"))</f>
        <v>-</v>
      </c>
      <c r="F94" s="212" t="str">
        <f t="shared" ca="1" si="10"/>
        <v>-</v>
      </c>
      <c r="G94" s="212" t="str">
        <f t="shared" ca="1" si="10"/>
        <v>-</v>
      </c>
      <c r="H94" s="212" t="str">
        <f t="shared" ca="1" si="10"/>
        <v>-</v>
      </c>
      <c r="I94" s="212">
        <f t="shared" ca="1" si="12"/>
        <v>1</v>
      </c>
      <c r="K94" s="137">
        <f>IF(L93=AGR!$AD$74,K93+1,K93)</f>
        <v>4</v>
      </c>
      <c r="L94" s="137">
        <f t="shared" si="13"/>
        <v>12</v>
      </c>
    </row>
    <row r="95" spans="1:12">
      <c r="A95" s="137" t="str">
        <f ca="1">IF(LEFT(OFFSET(AGR!$A$51,L95,0),2)="\I","*","")</f>
        <v/>
      </c>
      <c r="B95" s="212" t="str">
        <f t="shared" ca="1" si="11"/>
        <v>TOP-IN</v>
      </c>
      <c r="C95" s="212" t="str">
        <f ca="1">IF($A95="*","",OFFSET(AGR!$B$51,L95,0))</f>
        <v>ATOGS-E</v>
      </c>
      <c r="D95" s="212" t="str">
        <f ca="1">IF($A95="*","",IF(LEFT($B95,3)="TOP",OFFSET(AGR!$B$51,$L95,SUMIF($B$9:$B$12,$B95,$M$9:$M$12)),"-"))</f>
        <v>AGROGS</v>
      </c>
      <c r="E95" s="212" t="str">
        <f ca="1">IF($A95="*","",IF($B95="PRC_ACTUNT",OFFSET(AGR!$B$51,$L95,SUMIF($B$9:$B$12,$B95,$M$9:$M$12)),"-"))</f>
        <v>-</v>
      </c>
      <c r="F95" s="212" t="str">
        <f t="shared" ca="1" si="10"/>
        <v>-</v>
      </c>
      <c r="G95" s="212" t="str">
        <f t="shared" ca="1" si="10"/>
        <v>-</v>
      </c>
      <c r="H95" s="212" t="str">
        <f t="shared" ca="1" si="10"/>
        <v>-</v>
      </c>
      <c r="I95" s="212">
        <f t="shared" ca="1" si="12"/>
        <v>1</v>
      </c>
      <c r="K95" s="137">
        <f>IF(L94=AGR!$AD$74,K94+1,K94)</f>
        <v>4</v>
      </c>
      <c r="L95" s="137">
        <f t="shared" si="13"/>
        <v>13</v>
      </c>
    </row>
    <row r="96" spans="1:12">
      <c r="A96" s="137" t="str">
        <f ca="1">IF(LEFT(OFFSET(AGR!$A$51,L96,0),2)="\I","*","")</f>
        <v>*</v>
      </c>
      <c r="B96" s="212" t="str">
        <f t="shared" ca="1" si="11"/>
        <v/>
      </c>
      <c r="C96" s="212" t="str">
        <f ca="1">IF($A96="*","",OFFSET(AGR!$B$51,L96,0))</f>
        <v/>
      </c>
      <c r="D96" s="212" t="str">
        <f ca="1">IF($A96="*","",IF(LEFT($B96,3)="TOP",OFFSET(AGR!$B$51,$L96,SUMIF($B$9:$B$12,$B96,$M$9:$M$12)),"-"))</f>
        <v/>
      </c>
      <c r="E96" s="212" t="str">
        <f ca="1">IF($A96="*","",IF($B96="PRC_ACTUNT",OFFSET(AGR!$B$51,$L96,SUMIF($B$9:$B$12,$B96,$M$9:$M$12)),"-"))</f>
        <v/>
      </c>
      <c r="F96" s="212" t="str">
        <f t="shared" ca="1" si="10"/>
        <v/>
      </c>
      <c r="G96" s="212" t="str">
        <f t="shared" ca="1" si="10"/>
        <v/>
      </c>
      <c r="H96" s="212" t="str">
        <f t="shared" ca="1" si="10"/>
        <v/>
      </c>
      <c r="I96" s="212" t="str">
        <f t="shared" ca="1" si="12"/>
        <v/>
      </c>
      <c r="K96" s="137">
        <f>IF(L95=AGR!$AD$74,K95+1,K95)</f>
        <v>4</v>
      </c>
      <c r="L96" s="137">
        <f t="shared" si="13"/>
        <v>14</v>
      </c>
    </row>
    <row r="97" spans="1:12">
      <c r="A97" s="137" t="str">
        <f ca="1">IF(LEFT(OFFSET(AGR!$A$51,L97,0),2)="\I","*","")</f>
        <v>*</v>
      </c>
      <c r="B97" s="212" t="str">
        <f t="shared" ca="1" si="11"/>
        <v/>
      </c>
      <c r="C97" s="212" t="str">
        <f ca="1">IF($A97="*","",OFFSET(AGR!$B$51,L97,0))</f>
        <v/>
      </c>
      <c r="D97" s="212" t="str">
        <f ca="1">IF($A97="*","",IF(LEFT($B97,3)="TOP",OFFSET(AGR!$B$51,$L97,SUMIF($B$9:$B$12,$B97,$M$9:$M$12)),"-"))</f>
        <v/>
      </c>
      <c r="E97" s="212" t="str">
        <f ca="1">IF($A97="*","",IF($B97="PRC_ACTUNT",OFFSET(AGR!$B$51,$L97,SUMIF($B$9:$B$12,$B97,$M$9:$M$12)),"-"))</f>
        <v/>
      </c>
      <c r="F97" s="212" t="str">
        <f t="shared" ca="1" si="10"/>
        <v/>
      </c>
      <c r="G97" s="212" t="str">
        <f t="shared" ca="1" si="10"/>
        <v/>
      </c>
      <c r="H97" s="212" t="str">
        <f t="shared" ca="1" si="10"/>
        <v/>
      </c>
      <c r="I97" s="212" t="str">
        <f t="shared" ca="1" si="12"/>
        <v/>
      </c>
      <c r="K97" s="137">
        <f>IF(L96=AGR!$AD$74,K96+1,K96)</f>
        <v>4</v>
      </c>
      <c r="L97" s="137">
        <f t="shared" si="13"/>
        <v>15</v>
      </c>
    </row>
    <row r="98" spans="1:12">
      <c r="A98" s="137" t="str">
        <f ca="1">IF(LEFT(OFFSET(AGR!$A$51,L98,0),2)="\I","*","")</f>
        <v/>
      </c>
      <c r="B98" s="212" t="str">
        <f t="shared" ref="B98:B105" ca="1" si="14">IF(A98="*","",VLOOKUP("*"&amp;K98,$A$9:$B$14,2,FALSE))</f>
        <v>TOP-IN</v>
      </c>
      <c r="C98" s="212" t="str">
        <f ca="1">IF($A98="*","",OFFSET(AGR!$B$51,L98,0))</f>
        <v>AIODS-E</v>
      </c>
      <c r="D98" s="212" t="str">
        <f ca="1">IF($A98="*","",IF(LEFT($B98,3)="TOP",OFFSET(AGR!$B$51,$L98,SUMIF($B$9:$B$12,$B98,$M$9:$M$12)),"-"))</f>
        <v>AGRODS</v>
      </c>
      <c r="E98" s="212" t="str">
        <f ca="1">IF($A98="*","",IF($B98="PRC_ACTUNT",OFFSET(AGR!$B$51,$L98,SUMIF($B$9:$B$12,$B98,$M$9:$M$12)),"-"))</f>
        <v>-</v>
      </c>
      <c r="F98" s="212" t="str">
        <f t="shared" ca="1" si="10"/>
        <v>-</v>
      </c>
      <c r="G98" s="212" t="str">
        <f t="shared" ca="1" si="10"/>
        <v>-</v>
      </c>
      <c r="H98" s="212" t="str">
        <f t="shared" ca="1" si="10"/>
        <v>-</v>
      </c>
      <c r="I98" s="212">
        <f t="shared" ref="I98:I105" ca="1" si="15">IF($A98="*","",SUMIF($B$9:$B$12,B98,$I$9:$I$12))</f>
        <v>1</v>
      </c>
      <c r="K98" s="137">
        <f>IF(L97=AGR!$AD$74,K97+1,K97)</f>
        <v>4</v>
      </c>
      <c r="L98" s="137">
        <f t="shared" ref="L98:L105" si="16">IF(K98=K97,L97+1,1)</f>
        <v>16</v>
      </c>
    </row>
    <row r="99" spans="1:12">
      <c r="A99" s="137" t="str">
        <f ca="1">IF(LEFT(OFFSET(AGR!$A$51,L99,0),2)="\I","*","")</f>
        <v/>
      </c>
      <c r="B99" s="212" t="str">
        <f t="shared" ca="1" si="14"/>
        <v>TOP-IN</v>
      </c>
      <c r="C99" s="212" t="str">
        <f ca="1">IF($A99="*","",OFFSET(AGR!$B$51,L99,0))</f>
        <v>AIELC-E</v>
      </c>
      <c r="D99" s="212" t="str">
        <f ca="1">IF($A99="*","",IF(LEFT($B99,3)="TOP",OFFSET(AGR!$B$51,$L99,SUMIF($B$9:$B$12,$B99,$M$9:$M$12)),"-"))</f>
        <v>AGRELC</v>
      </c>
      <c r="E99" s="212" t="str">
        <f ca="1">IF($A99="*","",IF($B99="PRC_ACTUNT",OFFSET(AGR!$B$51,$L99,SUMIF($B$9:$B$12,$B99,$M$9:$M$12)),"-"))</f>
        <v>-</v>
      </c>
      <c r="F99" s="212" t="str">
        <f t="shared" ca="1" si="10"/>
        <v>-</v>
      </c>
      <c r="G99" s="212" t="str">
        <f t="shared" ca="1" si="10"/>
        <v>-</v>
      </c>
      <c r="H99" s="212" t="str">
        <f t="shared" ca="1" si="10"/>
        <v>-</v>
      </c>
      <c r="I99" s="212">
        <f t="shared" ca="1" si="15"/>
        <v>1</v>
      </c>
      <c r="K99" s="137">
        <f>IF(L98=AGR!$AD$74,K98+1,K98)</f>
        <v>4</v>
      </c>
      <c r="L99" s="137">
        <f t="shared" si="16"/>
        <v>17</v>
      </c>
    </row>
    <row r="100" spans="1:12">
      <c r="A100" s="137" t="str">
        <f ca="1">IF(LEFT(OFFSET(AGR!$A$51,L100,0),2)="\I","*","")</f>
        <v/>
      </c>
      <c r="B100" s="212" t="str">
        <f t="shared" ca="1" si="14"/>
        <v>TOP-IN</v>
      </c>
      <c r="C100" s="212" t="str">
        <f ca="1">IF($A100="*","",OFFSET(AGR!$B$51,L100,0))</f>
        <v>AIOGS-E</v>
      </c>
      <c r="D100" s="212" t="str">
        <f ca="1">IF($A100="*","",IF(LEFT($B100,3)="TOP",OFFSET(AGR!$B$51,$L100,SUMIF($B$9:$B$12,$B100,$M$9:$M$12)),"-"))</f>
        <v>AGROGS</v>
      </c>
      <c r="E100" s="212" t="str">
        <f ca="1">IF($A100="*","",IF($B100="PRC_ACTUNT",OFFSET(AGR!$B$51,$L100,SUMIF($B$9:$B$12,$B100,$M$9:$M$12)),"-"))</f>
        <v>-</v>
      </c>
      <c r="F100" s="212" t="str">
        <f t="shared" ca="1" si="10"/>
        <v>-</v>
      </c>
      <c r="G100" s="212" t="str">
        <f t="shared" ca="1" si="10"/>
        <v>-</v>
      </c>
      <c r="H100" s="212" t="str">
        <f t="shared" ca="1" si="10"/>
        <v>-</v>
      </c>
      <c r="I100" s="212">
        <f t="shared" ca="1" si="15"/>
        <v>1</v>
      </c>
      <c r="K100" s="137">
        <f>IF(L99=AGR!$AD$74,K99+1,K99)</f>
        <v>4</v>
      </c>
      <c r="L100" s="137">
        <f t="shared" si="16"/>
        <v>18</v>
      </c>
    </row>
    <row r="101" spans="1:12">
      <c r="A101" s="137" t="str">
        <f ca="1">IF(LEFT(OFFSET(AGR!$A$51,L101,0),2)="\I","*","")</f>
        <v>*</v>
      </c>
      <c r="B101" s="212" t="str">
        <f t="shared" ca="1" si="14"/>
        <v/>
      </c>
      <c r="C101" s="212" t="str">
        <f ca="1">IF($A101="*","",OFFSET(AGR!$B$51,L101,0))</f>
        <v/>
      </c>
      <c r="D101" s="212" t="str">
        <f ca="1">IF($A101="*","",IF(LEFT($B101,3)="TOP",OFFSET(AGR!$B$51,$L101,SUMIF($B$9:$B$12,$B101,$M$9:$M$12)),"-"))</f>
        <v/>
      </c>
      <c r="E101" s="212" t="str">
        <f ca="1">IF($A101="*","",IF($B101="PRC_ACTUNT",OFFSET(AGR!$B$51,$L101,SUMIF($B$9:$B$12,$B101,$M$9:$M$12)),"-"))</f>
        <v/>
      </c>
      <c r="F101" s="212" t="str">
        <f t="shared" ca="1" si="10"/>
        <v/>
      </c>
      <c r="G101" s="212" t="str">
        <f t="shared" ca="1" si="10"/>
        <v/>
      </c>
      <c r="H101" s="212" t="str">
        <f t="shared" ca="1" si="10"/>
        <v/>
      </c>
      <c r="I101" s="212" t="str">
        <f t="shared" ca="1" si="15"/>
        <v/>
      </c>
      <c r="K101" s="137">
        <f>IF(L100=AGR!$AD$74,K100+1,K100)</f>
        <v>4</v>
      </c>
      <c r="L101" s="137">
        <f t="shared" si="16"/>
        <v>19</v>
      </c>
    </row>
    <row r="102" spans="1:12">
      <c r="A102" s="137" t="str">
        <f ca="1">IF(LEFT(OFFSET(AGR!$A$51,L102,0),2)="\I","*","")</f>
        <v>*</v>
      </c>
      <c r="B102" s="212" t="str">
        <f t="shared" ca="1" si="14"/>
        <v/>
      </c>
      <c r="C102" s="212" t="str">
        <f ca="1">IF($A102="*","",OFFSET(AGR!$B$51,L102,0))</f>
        <v/>
      </c>
      <c r="D102" s="212" t="str">
        <f ca="1">IF($A102="*","",IF(LEFT($B102,3)="TOP",OFFSET(AGR!$B$51,$L102,SUMIF($B$9:$B$12,$B102,$M$9:$M$12)),"-"))</f>
        <v/>
      </c>
      <c r="E102" s="212" t="str">
        <f ca="1">IF($A102="*","",IF($B102="PRC_ACTUNT",OFFSET(AGR!$B$51,$L102,SUMIF($B$9:$B$12,$B102,$M$9:$M$12)),"-"))</f>
        <v/>
      </c>
      <c r="F102" s="212" t="str">
        <f t="shared" ca="1" si="10"/>
        <v/>
      </c>
      <c r="G102" s="212" t="str">
        <f t="shared" ca="1" si="10"/>
        <v/>
      </c>
      <c r="H102" s="212" t="str">
        <f t="shared" ca="1" si="10"/>
        <v/>
      </c>
      <c r="I102" s="212" t="str">
        <f t="shared" ca="1" si="15"/>
        <v/>
      </c>
      <c r="K102" s="137">
        <f>IF(L101=AGR!$AD$74,K101+1,K101)</f>
        <v>4</v>
      </c>
      <c r="L102" s="137">
        <f t="shared" si="16"/>
        <v>20</v>
      </c>
    </row>
    <row r="103" spans="1:12">
      <c r="A103" s="137" t="str">
        <f ca="1">IF(LEFT(OFFSET(AGR!$A$51,L103,0),2)="\I","*","")</f>
        <v/>
      </c>
      <c r="B103" s="212" t="str">
        <f t="shared" ca="1" si="14"/>
        <v>TOP-IN</v>
      </c>
      <c r="C103" s="212" t="str">
        <f ca="1">IF($A103="*","",OFFSET(AGR!$B$51,L103,0))</f>
        <v>AOELC-E</v>
      </c>
      <c r="D103" s="212" t="str">
        <f ca="1">IF($A103="*","",IF(LEFT($B103,3)="TOP",OFFSET(AGR!$B$51,$L103,SUMIF($B$9:$B$12,$B103,$M$9:$M$12)),"-"))</f>
        <v>AGRELC</v>
      </c>
      <c r="E103" s="212" t="str">
        <f ca="1">IF($A103="*","",IF($B103="PRC_ACTUNT",OFFSET(AGR!$B$51,$L103,SUMIF($B$9:$B$12,$B103,$M$9:$M$12)),"-"))</f>
        <v>-</v>
      </c>
      <c r="F103" s="212" t="str">
        <f t="shared" ref="F103:H105" ca="1" si="17">IF($A103="*","","-")</f>
        <v>-</v>
      </c>
      <c r="G103" s="212" t="str">
        <f t="shared" ca="1" si="17"/>
        <v>-</v>
      </c>
      <c r="H103" s="212" t="str">
        <f t="shared" ca="1" si="17"/>
        <v>-</v>
      </c>
      <c r="I103" s="212">
        <f t="shared" ca="1" si="15"/>
        <v>1</v>
      </c>
      <c r="K103" s="137">
        <f>IF(L102=AGR!$AD$74,K102+1,K102)</f>
        <v>4</v>
      </c>
      <c r="L103" s="137">
        <f t="shared" si="16"/>
        <v>21</v>
      </c>
    </row>
    <row r="104" spans="1:12">
      <c r="A104" s="137" t="str">
        <f ca="1">IF(LEFT(OFFSET(AGR!$A$51,L104,0),2)="\I","*","")</f>
        <v>*</v>
      </c>
      <c r="B104" s="212" t="str">
        <f t="shared" ca="1" si="14"/>
        <v/>
      </c>
      <c r="C104" s="212" t="str">
        <f ca="1">IF($A104="*","",OFFSET(AGR!$B$51,L104,0))</f>
        <v/>
      </c>
      <c r="D104" s="212" t="str">
        <f ca="1">IF($A104="*","",IF(LEFT($B104,3)="TOP",OFFSET(AGR!$B$51,$L104,SUMIF($B$9:$B$12,$B104,$M$9:$M$12)),"-"))</f>
        <v/>
      </c>
      <c r="E104" s="212" t="str">
        <f ca="1">IF($A104="*","",IF($B104="PRC_ACTUNT",OFFSET(AGR!$B$51,$L104,SUMIF($B$9:$B$12,$B104,$M$9:$M$12)),"-"))</f>
        <v/>
      </c>
      <c r="F104" s="212" t="str">
        <f t="shared" ca="1" si="17"/>
        <v/>
      </c>
      <c r="G104" s="212" t="str">
        <f t="shared" ca="1" si="17"/>
        <v/>
      </c>
      <c r="H104" s="212" t="str">
        <f t="shared" ca="1" si="17"/>
        <v/>
      </c>
      <c r="I104" s="212" t="str">
        <f t="shared" ca="1" si="15"/>
        <v/>
      </c>
      <c r="K104" s="137">
        <f>IF(L103=AGR!$AD$74,K103+1,K103)</f>
        <v>4</v>
      </c>
      <c r="L104" s="137">
        <f t="shared" si="16"/>
        <v>22</v>
      </c>
    </row>
    <row r="105" spans="1:12">
      <c r="A105" s="137" t="str">
        <f ca="1">IF(LEFT(OFFSET(AGR!$A$51,L105,0),2)="\I","*","")</f>
        <v>*</v>
      </c>
      <c r="B105" s="212" t="str">
        <f t="shared" ca="1" si="14"/>
        <v/>
      </c>
      <c r="C105" s="212" t="str">
        <f ca="1">IF($A105="*","",OFFSET(AGR!$B$51,L105,0))</f>
        <v/>
      </c>
      <c r="D105" s="212" t="str">
        <f ca="1">IF($A105="*","",IF(LEFT($B105,3)="TOP",OFFSET(AGR!$B$51,$L105,SUMIF($B$9:$B$12,$B105,$M$9:$M$12)),"-"))</f>
        <v/>
      </c>
      <c r="E105" s="212" t="str">
        <f ca="1">IF($A105="*","",IF($B105="PRC_ACTUNT",OFFSET(AGR!$B$51,$L105,SUMIF($B$9:$B$12,$B105,$M$9:$M$12)),"-"))</f>
        <v/>
      </c>
      <c r="F105" s="212" t="str">
        <f t="shared" ca="1" si="17"/>
        <v/>
      </c>
      <c r="G105" s="212" t="str">
        <f t="shared" ca="1" si="17"/>
        <v/>
      </c>
      <c r="H105" s="212" t="str">
        <f t="shared" ca="1" si="17"/>
        <v/>
      </c>
      <c r="I105" s="212" t="str">
        <f t="shared" ca="1" si="15"/>
        <v/>
      </c>
      <c r="K105" s="137">
        <f>IF(L104=AGR!$AD$74,K104+1,K104)</f>
        <v>4</v>
      </c>
      <c r="L105" s="137">
        <f t="shared" si="16"/>
        <v>23</v>
      </c>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3720"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243720" r:id="rId4" name="cmdSpecifyArg6"/>
      </mc:Fallback>
    </mc:AlternateContent>
    <mc:AlternateContent xmlns:mc="http://schemas.openxmlformats.org/markup-compatibility/2006">
      <mc:Choice Requires="x14">
        <control shapeId="243719"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243719" r:id="rId6" name="cmdSpecifyArg5"/>
      </mc:Fallback>
    </mc:AlternateContent>
    <mc:AlternateContent xmlns:mc="http://schemas.openxmlformats.org/markup-compatibility/2006">
      <mc:Choice Requires="x14">
        <control shapeId="243718"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243718" r:id="rId8" name="cmdSpecifyArg4"/>
      </mc:Fallback>
    </mc:AlternateContent>
    <mc:AlternateContent xmlns:mc="http://schemas.openxmlformats.org/markup-compatibility/2006">
      <mc:Choice Requires="x14">
        <control shapeId="243717"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243717" r:id="rId10" name="cmdSpecifyArg3"/>
      </mc:Fallback>
    </mc:AlternateContent>
    <mc:AlternateContent xmlns:mc="http://schemas.openxmlformats.org/markup-compatibility/2006">
      <mc:Choice Requires="x14">
        <control shapeId="243716"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243716" r:id="rId12" name="cmdSpecifyArg2"/>
      </mc:Fallback>
    </mc:AlternateContent>
    <mc:AlternateContent xmlns:mc="http://schemas.openxmlformats.org/markup-compatibility/2006">
      <mc:Choice Requires="x14">
        <control shapeId="243715" r:id="rId14" name="cmdSpecifyArg1">
          <controlPr defaultSize="0" autoLine="0" r:id="rId15">
            <anchor moveWithCells="1">
              <from>
                <xdr:col>2</xdr:col>
                <xdr:colOff>0</xdr:colOff>
                <xdr:row>3</xdr:row>
                <xdr:rowOff>9525</xdr:rowOff>
              </from>
              <to>
                <xdr:col>2</xdr:col>
                <xdr:colOff>619125</xdr:colOff>
                <xdr:row>4</xdr:row>
                <xdr:rowOff>95250</xdr:rowOff>
              </to>
            </anchor>
          </controlPr>
        </control>
      </mc:Choice>
      <mc:Fallback>
        <control shapeId="243715" r:id="rId14" name="cmdSpecifyArg1"/>
      </mc:Fallback>
    </mc:AlternateContent>
    <mc:AlternateContent xmlns:mc="http://schemas.openxmlformats.org/markup-compatibility/2006">
      <mc:Choice Requires="x14">
        <control shapeId="243714"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243714" r:id="rId16" name="cmdSpecifyParameter"/>
      </mc:Fallback>
    </mc:AlternateContent>
    <mc:AlternateContent xmlns:mc="http://schemas.openxmlformats.org/markup-compatibility/2006">
      <mc:Choice Requires="x14">
        <control shapeId="243713"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243713" r:id="rId18" name="cmdCheckTIDDataSheet"/>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H14"/>
  <sheetViews>
    <sheetView workbookViewId="0">
      <pane ySplit="7" topLeftCell="A8" activePane="bottomLeft" state="frozen"/>
      <selection activeCell="B3" sqref="B3"/>
      <selection pane="bottomLeft" activeCell="F53" sqref="F53"/>
    </sheetView>
  </sheetViews>
  <sheetFormatPr defaultColWidth="9.140625" defaultRowHeight="11.25"/>
  <cols>
    <col min="1" max="1" width="12.42578125" style="137" customWidth="1"/>
    <col min="2" max="2" width="9.140625" style="137"/>
    <col min="3" max="3" width="11" style="137" customWidth="1"/>
    <col min="4" max="4" width="27.42578125" style="137" customWidth="1"/>
    <col min="5" max="5" width="10.140625" style="137" customWidth="1"/>
    <col min="6" max="6" width="28.7109375" style="137" customWidth="1"/>
    <col min="7" max="16384" width="9.140625" style="137"/>
  </cols>
  <sheetData>
    <row r="1" spans="1:8">
      <c r="A1" s="136" t="s">
        <v>274</v>
      </c>
      <c r="B1" s="137" t="s">
        <v>275</v>
      </c>
      <c r="H1" s="137" t="s">
        <v>321</v>
      </c>
    </row>
    <row r="2" spans="1:8">
      <c r="A2" s="137" t="s">
        <v>277</v>
      </c>
    </row>
    <row r="3" spans="1:8" ht="18.75" customHeight="1">
      <c r="A3" s="137" t="s">
        <v>277</v>
      </c>
    </row>
    <row r="4" spans="1:8">
      <c r="A4" s="137" t="s">
        <v>277</v>
      </c>
    </row>
    <row r="5" spans="1:8">
      <c r="A5" s="137" t="s">
        <v>277</v>
      </c>
    </row>
    <row r="6" spans="1:8">
      <c r="A6" s="137" t="s">
        <v>277</v>
      </c>
    </row>
    <row r="7" spans="1:8">
      <c r="A7" s="137" t="s">
        <v>277</v>
      </c>
      <c r="B7" s="136" t="s">
        <v>278</v>
      </c>
      <c r="C7" s="204" t="s">
        <v>279</v>
      </c>
      <c r="D7" s="136" t="s">
        <v>280</v>
      </c>
      <c r="E7" s="136" t="s">
        <v>281</v>
      </c>
      <c r="F7" s="136" t="s">
        <v>282</v>
      </c>
      <c r="G7" s="136" t="s">
        <v>283</v>
      </c>
    </row>
    <row r="8" spans="1:8">
      <c r="A8" s="137" t="s">
        <v>277</v>
      </c>
      <c r="B8" s="136" t="s">
        <v>322</v>
      </c>
      <c r="C8" s="204"/>
      <c r="D8" s="136"/>
      <c r="E8" s="136"/>
      <c r="F8" s="136"/>
      <c r="G8" s="136"/>
    </row>
    <row r="9" spans="1:8">
      <c r="B9" s="205" t="s">
        <v>323</v>
      </c>
      <c r="C9" s="137" t="str">
        <f>AGR!B36</f>
        <v>AH</v>
      </c>
      <c r="D9" s="137" t="str">
        <f>AGR!A36</f>
        <v>Agriculture - Heating</v>
      </c>
      <c r="E9" s="205" t="s">
        <v>187</v>
      </c>
      <c r="F9" s="205" t="s">
        <v>324</v>
      </c>
    </row>
    <row r="10" spans="1:8">
      <c r="B10" s="205" t="s">
        <v>323</v>
      </c>
      <c r="C10" s="137" t="str">
        <f>AGR!B37</f>
        <v>AP</v>
      </c>
      <c r="D10" s="137" t="str">
        <f>AGR!A37</f>
        <v>Agriculture - Processing</v>
      </c>
      <c r="E10" s="205" t="s">
        <v>187</v>
      </c>
      <c r="F10" s="205" t="s">
        <v>324</v>
      </c>
    </row>
    <row r="11" spans="1:8">
      <c r="B11" s="205" t="s">
        <v>323</v>
      </c>
      <c r="C11" s="137" t="str">
        <f>AGR!B38</f>
        <v>AT</v>
      </c>
      <c r="D11" s="137" t="str">
        <f>AGR!A38</f>
        <v>Agriculture - Traction</v>
      </c>
      <c r="E11" s="205" t="s">
        <v>187</v>
      </c>
      <c r="F11" s="205" t="s">
        <v>340</v>
      </c>
    </row>
    <row r="12" spans="1:8">
      <c r="B12" s="205" t="s">
        <v>323</v>
      </c>
      <c r="C12" s="137" t="str">
        <f>AGR!B39</f>
        <v>AI</v>
      </c>
      <c r="D12" s="137" t="str">
        <f>AGR!A39</f>
        <v>Agriculture - Irrigation</v>
      </c>
      <c r="E12" s="205" t="s">
        <v>187</v>
      </c>
      <c r="F12" s="205" t="s">
        <v>324</v>
      </c>
    </row>
    <row r="13" spans="1:8">
      <c r="B13" s="205" t="s">
        <v>323</v>
      </c>
      <c r="C13" s="137" t="str">
        <f>AGR!B40</f>
        <v>AO</v>
      </c>
      <c r="D13" s="137" t="str">
        <f>AGR!A40</f>
        <v>Agriculture - Other</v>
      </c>
      <c r="E13" s="205" t="s">
        <v>187</v>
      </c>
      <c r="F13" s="205" t="s">
        <v>324</v>
      </c>
    </row>
    <row r="14" spans="1:8">
      <c r="A14" s="137" t="s">
        <v>277</v>
      </c>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474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244740" r:id="rId4" name="cmdSpecifySets"/>
      </mc:Fallback>
    </mc:AlternateContent>
    <mc:AlternateContent xmlns:mc="http://schemas.openxmlformats.org/markup-compatibility/2006">
      <mc:Choice Requires="x14">
        <control shapeId="24473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244739" r:id="rId6" name="cmdSpecifyUnits"/>
      </mc:Fallback>
    </mc:AlternateContent>
    <mc:AlternateContent xmlns:mc="http://schemas.openxmlformats.org/markup-compatibility/2006">
      <mc:Choice Requires="x14">
        <control shapeId="24473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244738" r:id="rId8" name="cmdSpecifyComponent"/>
      </mc:Fallback>
    </mc:AlternateContent>
    <mc:AlternateContent xmlns:mc="http://schemas.openxmlformats.org/markup-compatibility/2006">
      <mc:Choice Requires="x14">
        <control shapeId="244737" r:id="rId10" name="cmdCheckItemsSheet">
          <controlPr defaultSize="0" autoLine="0" r:id="rId11">
            <anchor moveWithCells="1">
              <from>
                <xdr:col>0</xdr:col>
                <xdr:colOff>9525</xdr:colOff>
                <xdr:row>2</xdr:row>
                <xdr:rowOff>0</xdr:rowOff>
              </from>
              <to>
                <xdr:col>1</xdr:col>
                <xdr:colOff>0</xdr:colOff>
                <xdr:row>3</xdr:row>
                <xdr:rowOff>0</xdr:rowOff>
              </to>
            </anchor>
          </controlPr>
        </control>
      </mc:Choice>
      <mc:Fallback>
        <control shapeId="244737" r:id="rId10" name="cmdCheckItemsSheet"/>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2"/>
  <dimension ref="A1:J17"/>
  <sheetViews>
    <sheetView workbookViewId="0">
      <pane xSplit="9" ySplit="8" topLeftCell="J9"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5.42578125" style="137" customWidth="1"/>
    <col min="11" max="16384" width="9.140625" style="137"/>
  </cols>
  <sheetData>
    <row r="1" spans="1:10">
      <c r="A1" s="136" t="s">
        <v>286</v>
      </c>
      <c r="B1" s="137" t="s">
        <v>275</v>
      </c>
    </row>
    <row r="2" spans="1:10">
      <c r="A2" s="137" t="s">
        <v>277</v>
      </c>
    </row>
    <row r="3" spans="1:10" ht="15" customHeight="1">
      <c r="A3" s="137" t="s">
        <v>277</v>
      </c>
    </row>
    <row r="4" spans="1:10">
      <c r="A4" s="137" t="s">
        <v>277</v>
      </c>
    </row>
    <row r="5" spans="1:10">
      <c r="A5" s="137" t="s">
        <v>277</v>
      </c>
    </row>
    <row r="6" spans="1:10">
      <c r="A6" s="137" t="s">
        <v>277</v>
      </c>
    </row>
    <row r="7" spans="1:10" ht="22.5" customHeight="1">
      <c r="A7" s="137" t="s">
        <v>277</v>
      </c>
      <c r="B7" s="136" t="s">
        <v>290</v>
      </c>
      <c r="C7" s="136" t="s">
        <v>291</v>
      </c>
      <c r="D7" s="136" t="s">
        <v>292</v>
      </c>
      <c r="E7" s="136" t="s">
        <v>293</v>
      </c>
      <c r="F7" s="136" t="s">
        <v>294</v>
      </c>
      <c r="G7" s="136" t="s">
        <v>295</v>
      </c>
      <c r="H7" s="136" t="s">
        <v>296</v>
      </c>
      <c r="I7" s="208" t="s">
        <v>297</v>
      </c>
      <c r="J7" s="137">
        <v>2012</v>
      </c>
    </row>
    <row r="8" spans="1:10">
      <c r="A8" s="137" t="s">
        <v>277</v>
      </c>
      <c r="B8" s="136"/>
      <c r="C8" s="136"/>
      <c r="D8" s="136"/>
      <c r="E8" s="136"/>
      <c r="F8" s="136"/>
      <c r="G8" s="136"/>
      <c r="H8" s="136"/>
      <c r="I8" s="208"/>
    </row>
    <row r="9" spans="1:10">
      <c r="A9" s="137" t="s">
        <v>277</v>
      </c>
      <c r="B9" s="205" t="s">
        <v>325</v>
      </c>
      <c r="C9" s="205" t="s">
        <v>301</v>
      </c>
      <c r="D9" s="205" t="s">
        <v>319</v>
      </c>
      <c r="E9" s="205" t="s">
        <v>301</v>
      </c>
      <c r="F9" s="205" t="s">
        <v>301</v>
      </c>
      <c r="G9" s="205" t="s">
        <v>301</v>
      </c>
      <c r="H9" s="205" t="s">
        <v>301</v>
      </c>
      <c r="I9" s="211">
        <v>0</v>
      </c>
    </row>
    <row r="10" spans="1:10">
      <c r="B10" s="212" t="str">
        <f>B9</f>
        <v>COM_PROJ</v>
      </c>
      <c r="C10" s="212" t="s">
        <v>301</v>
      </c>
      <c r="D10" s="212" t="str">
        <f>AGR!B36</f>
        <v>AH</v>
      </c>
      <c r="E10" s="212" t="s">
        <v>301</v>
      </c>
      <c r="F10" s="212" t="s">
        <v>301</v>
      </c>
      <c r="G10" s="212" t="s">
        <v>301</v>
      </c>
      <c r="H10" s="212" t="s">
        <v>301</v>
      </c>
      <c r="I10" s="213">
        <f>I9</f>
        <v>0</v>
      </c>
      <c r="J10" s="207">
        <f>SUMIF(AGR!$D$51:$D$74,D10,AGR!$P$51:$P$74)</f>
        <v>2.5043970166379772</v>
      </c>
    </row>
    <row r="11" spans="1:10">
      <c r="B11" s="212" t="str">
        <f>B10</f>
        <v>COM_PROJ</v>
      </c>
      <c r="C11" s="212" t="s">
        <v>301</v>
      </c>
      <c r="D11" s="212" t="str">
        <f>AGR!B37</f>
        <v>AP</v>
      </c>
      <c r="E11" s="212" t="s">
        <v>301</v>
      </c>
      <c r="F11" s="212" t="s">
        <v>301</v>
      </c>
      <c r="G11" s="212" t="s">
        <v>301</v>
      </c>
      <c r="H11" s="212" t="s">
        <v>301</v>
      </c>
      <c r="I11" s="213">
        <f>I10</f>
        <v>0</v>
      </c>
      <c r="J11" s="207">
        <f>SUMIF(AGR!$D$51:$D$74,D11,AGR!$P$51:$P$74)</f>
        <v>3.8349683201390801</v>
      </c>
    </row>
    <row r="12" spans="1:10">
      <c r="B12" s="212" t="str">
        <f>B11</f>
        <v>COM_PROJ</v>
      </c>
      <c r="C12" s="212" t="s">
        <v>301</v>
      </c>
      <c r="D12" s="212" t="str">
        <f>AGR!B38</f>
        <v>AT</v>
      </c>
      <c r="E12" s="212" t="s">
        <v>301</v>
      </c>
      <c r="F12" s="212" t="s">
        <v>301</v>
      </c>
      <c r="G12" s="212" t="s">
        <v>301</v>
      </c>
      <c r="H12" s="212" t="s">
        <v>301</v>
      </c>
      <c r="I12" s="213">
        <f>I11</f>
        <v>0</v>
      </c>
      <c r="J12" s="207">
        <f>SUMIF(AGR!$D$51:$D$74,D12,AGR!$P$51:$P$74)</f>
        <v>14.570390350961301</v>
      </c>
    </row>
    <row r="13" spans="1:10">
      <c r="B13" s="212" t="str">
        <f>B12</f>
        <v>COM_PROJ</v>
      </c>
      <c r="C13" s="212" t="s">
        <v>301</v>
      </c>
      <c r="D13" s="212" t="str">
        <f>AGR!B39</f>
        <v>AI</v>
      </c>
      <c r="E13" s="212" t="s">
        <v>301</v>
      </c>
      <c r="F13" s="212" t="s">
        <v>301</v>
      </c>
      <c r="G13" s="212" t="s">
        <v>301</v>
      </c>
      <c r="H13" s="212" t="s">
        <v>301</v>
      </c>
      <c r="I13" s="213">
        <f>I12</f>
        <v>0</v>
      </c>
      <c r="J13" s="207">
        <f>SUMIF(AGR!$D$51:$D$74,D13,AGR!$P$51:$P$74)</f>
        <v>5.0203080915278155</v>
      </c>
    </row>
    <row r="14" spans="1:10">
      <c r="B14" s="212" t="str">
        <f>B13</f>
        <v>COM_PROJ</v>
      </c>
      <c r="C14" s="212" t="s">
        <v>301</v>
      </c>
      <c r="D14" s="212" t="str">
        <f>AGR!B40</f>
        <v>AO</v>
      </c>
      <c r="E14" s="212" t="s">
        <v>301</v>
      </c>
      <c r="F14" s="212" t="s">
        <v>301</v>
      </c>
      <c r="G14" s="212" t="s">
        <v>301</v>
      </c>
      <c r="H14" s="212" t="s">
        <v>301</v>
      </c>
      <c r="I14" s="213">
        <f>I13</f>
        <v>0</v>
      </c>
      <c r="J14" s="207">
        <f>SUMIF(AGR!$D$51:$D$74,D14,AGR!$P$51:$P$74)</f>
        <v>8.4310585921569263</v>
      </c>
    </row>
    <row r="15" spans="1:10">
      <c r="B15" s="212"/>
      <c r="C15" s="212"/>
      <c r="D15" s="212"/>
      <c r="E15" s="212"/>
      <c r="F15" s="212"/>
      <c r="G15" s="212"/>
      <c r="H15" s="212"/>
      <c r="I15" s="212"/>
      <c r="J15" s="207"/>
    </row>
    <row r="16" spans="1:10">
      <c r="B16" s="212"/>
      <c r="C16" s="212"/>
      <c r="D16" s="212"/>
      <c r="E16" s="212"/>
      <c r="F16" s="212"/>
      <c r="G16" s="212"/>
      <c r="H16" s="212"/>
      <c r="I16" s="212"/>
      <c r="J16" s="207"/>
    </row>
    <row r="17" spans="2:10">
      <c r="B17" s="212"/>
      <c r="C17" s="212"/>
      <c r="D17" s="212"/>
      <c r="E17" s="212"/>
      <c r="F17" s="212"/>
      <c r="G17" s="212"/>
      <c r="H17" s="212"/>
      <c r="I17" s="212"/>
      <c r="J17" s="207"/>
    </row>
  </sheetData>
  <pageMargins left="0.75" right="0.75" top="1" bottom="1" header="0.5" footer="0.5"/>
  <headerFooter alignWithMargins="0"/>
  <drawing r:id="rId1"/>
  <legacyDrawing r:id="rId2"/>
  <controls>
    <mc:AlternateContent xmlns:mc="http://schemas.openxmlformats.org/markup-compatibility/2006">
      <mc:Choice Requires="x14">
        <control shapeId="245769"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245769" r:id="rId3" name="cmdSpecifyIEOptcode"/>
      </mc:Fallback>
    </mc:AlternateContent>
    <mc:AlternateContent xmlns:mc="http://schemas.openxmlformats.org/markup-compatibility/2006">
      <mc:Choice Requires="x14">
        <control shapeId="245768"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245768" r:id="rId5" name="cmdSpecifyArg6"/>
      </mc:Fallback>
    </mc:AlternateContent>
    <mc:AlternateContent xmlns:mc="http://schemas.openxmlformats.org/markup-compatibility/2006">
      <mc:Choice Requires="x14">
        <control shapeId="245767"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245767" r:id="rId7" name="cmdSpecifyArg5"/>
      </mc:Fallback>
    </mc:AlternateContent>
    <mc:AlternateContent xmlns:mc="http://schemas.openxmlformats.org/markup-compatibility/2006">
      <mc:Choice Requires="x14">
        <control shapeId="245766"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245766" r:id="rId9" name="cmdSpecifyArg4"/>
      </mc:Fallback>
    </mc:AlternateContent>
    <mc:AlternateContent xmlns:mc="http://schemas.openxmlformats.org/markup-compatibility/2006">
      <mc:Choice Requires="x14">
        <control shapeId="245765"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5765" r:id="rId11" name="cmdSpecifyArg3"/>
      </mc:Fallback>
    </mc:AlternateContent>
    <mc:AlternateContent xmlns:mc="http://schemas.openxmlformats.org/markup-compatibility/2006">
      <mc:Choice Requires="x14">
        <control shapeId="245764"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245764" r:id="rId13" name="cmdSpecifyArg2"/>
      </mc:Fallback>
    </mc:AlternateContent>
    <mc:AlternateContent xmlns:mc="http://schemas.openxmlformats.org/markup-compatibility/2006">
      <mc:Choice Requires="x14">
        <control shapeId="245763"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245763" r:id="rId15" name="cmdSpecifyArg1"/>
      </mc:Fallback>
    </mc:AlternateContent>
    <mc:AlternateContent xmlns:mc="http://schemas.openxmlformats.org/markup-compatibility/2006">
      <mc:Choice Requires="x14">
        <control shapeId="245762"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245762" r:id="rId17" name="cmdSpecifyParameter"/>
      </mc:Fallback>
    </mc:AlternateContent>
    <mc:AlternateContent xmlns:mc="http://schemas.openxmlformats.org/markup-compatibility/2006">
      <mc:Choice Requires="x14">
        <control shapeId="245761"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245761" r:id="rId19" name="cmdCheckTSandTIDDataSheet"/>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tabColor theme="9" tint="-0.249977111117893"/>
  </sheetPr>
  <dimension ref="A1:K245"/>
  <sheetViews>
    <sheetView workbookViewId="0">
      <pane xSplit="9" ySplit="8" topLeftCell="J67" activePane="bottomRight" state="frozen"/>
      <selection activeCell="K16" sqref="K16"/>
      <selection pane="topRight" activeCell="K16" sqref="K16"/>
      <selection pane="bottomLeft" activeCell="K16" sqref="K16"/>
      <selection pane="bottomRight" activeCell="J67" sqref="J67"/>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10.7109375" style="137" customWidth="1"/>
    <col min="11" max="16384" width="9.140625" style="137"/>
  </cols>
  <sheetData>
    <row r="1" spans="1:11">
      <c r="A1" s="136" t="str">
        <f>IF('TS COMFR_10'!A1&lt;&gt;"","","TS DATA")</f>
        <v/>
      </c>
      <c r="B1" s="137" t="s">
        <v>275</v>
      </c>
    </row>
    <row r="2" spans="1:11">
      <c r="A2" s="137" t="s">
        <v>277</v>
      </c>
    </row>
    <row r="3" spans="1:11" ht="15" customHeight="1">
      <c r="A3" s="137" t="s">
        <v>277</v>
      </c>
    </row>
    <row r="4" spans="1:11">
      <c r="A4" s="137" t="s">
        <v>277</v>
      </c>
    </row>
    <row r="5" spans="1:11">
      <c r="A5" s="137" t="s">
        <v>277</v>
      </c>
    </row>
    <row r="6" spans="1:11">
      <c r="A6" s="137" t="s">
        <v>277</v>
      </c>
    </row>
    <row r="7" spans="1:11" ht="22.5" customHeight="1">
      <c r="A7" s="137" t="s">
        <v>277</v>
      </c>
      <c r="B7" s="136" t="s">
        <v>290</v>
      </c>
      <c r="C7" s="136" t="s">
        <v>291</v>
      </c>
      <c r="D7" s="136" t="s">
        <v>292</v>
      </c>
      <c r="E7" s="136" t="s">
        <v>293</v>
      </c>
      <c r="F7" s="136" t="s">
        <v>294</v>
      </c>
      <c r="G7" s="136" t="s">
        <v>295</v>
      </c>
      <c r="H7" s="136" t="s">
        <v>296</v>
      </c>
      <c r="I7" s="208" t="s">
        <v>297</v>
      </c>
      <c r="J7" s="137">
        <v>2012</v>
      </c>
    </row>
    <row r="8" spans="1:11">
      <c r="A8" s="137" t="s">
        <v>277</v>
      </c>
      <c r="B8" s="136"/>
      <c r="C8" s="136"/>
      <c r="D8" s="136"/>
      <c r="E8" s="136"/>
      <c r="F8" s="136"/>
      <c r="G8" s="136"/>
      <c r="H8" s="136"/>
      <c r="I8" s="208"/>
    </row>
    <row r="9" spans="1:11">
      <c r="A9" s="137" t="s">
        <v>277</v>
      </c>
      <c r="B9" s="205" t="s">
        <v>341</v>
      </c>
      <c r="C9" s="205" t="s">
        <v>301</v>
      </c>
      <c r="D9" s="205" t="s">
        <v>319</v>
      </c>
      <c r="E9" s="205" t="s">
        <v>301</v>
      </c>
      <c r="F9" s="205" t="s">
        <v>301</v>
      </c>
      <c r="G9" s="205" t="s">
        <v>342</v>
      </c>
      <c r="H9" s="205" t="s">
        <v>301</v>
      </c>
      <c r="I9" s="211">
        <v>0</v>
      </c>
    </row>
    <row r="10" spans="1:11">
      <c r="B10" s="205" t="s">
        <v>341</v>
      </c>
      <c r="C10" s="212" t="s">
        <v>301</v>
      </c>
      <c r="D10" s="212" t="str">
        <f>'[1]AGR COMFR'!D10</f>
        <v>AH</v>
      </c>
      <c r="E10" s="212" t="s">
        <v>301</v>
      </c>
      <c r="F10" s="212" t="s">
        <v>301</v>
      </c>
      <c r="G10" s="212" t="str">
        <f>'[1]AGR COMFR'!G10</f>
        <v>s1d1b1</v>
      </c>
      <c r="H10" s="212" t="s">
        <v>301</v>
      </c>
      <c r="I10" s="211">
        <v>0</v>
      </c>
      <c r="J10" s="212">
        <f>'[1]AGR COMFR'!J10</f>
        <v>5.4890000000000001E-2</v>
      </c>
      <c r="K10" s="224"/>
    </row>
    <row r="11" spans="1:11">
      <c r="B11" s="205" t="s">
        <v>341</v>
      </c>
      <c r="C11" s="212" t="s">
        <v>301</v>
      </c>
      <c r="D11" s="212" t="str">
        <f>'[1]AGR COMFR'!D11</f>
        <v>AH</v>
      </c>
      <c r="E11" s="212" t="s">
        <v>301</v>
      </c>
      <c r="F11" s="212" t="s">
        <v>301</v>
      </c>
      <c r="G11" s="212" t="str">
        <f>'[1]AGR COMFR'!G11</f>
        <v>s1d1b2</v>
      </c>
      <c r="H11" s="212" t="s">
        <v>301</v>
      </c>
      <c r="I11" s="211">
        <v>0</v>
      </c>
      <c r="J11" s="212">
        <f>'[1]AGR COMFR'!J11</f>
        <v>0.16960000000000011</v>
      </c>
      <c r="K11" s="224"/>
    </row>
    <row r="12" spans="1:11">
      <c r="B12" s="205" t="s">
        <v>341</v>
      </c>
      <c r="C12" s="212" t="s">
        <v>301</v>
      </c>
      <c r="D12" s="212" t="str">
        <f>'[1]AGR COMFR'!D12</f>
        <v>AH</v>
      </c>
      <c r="E12" s="212" t="s">
        <v>301</v>
      </c>
      <c r="F12" s="212" t="s">
        <v>301</v>
      </c>
      <c r="G12" s="212" t="str">
        <f>'[1]AGR COMFR'!G12</f>
        <v>s1d1b3</v>
      </c>
      <c r="H12" s="212" t="s">
        <v>301</v>
      </c>
      <c r="I12" s="211">
        <v>0</v>
      </c>
      <c r="J12" s="212">
        <f>'[1]AGR COMFR'!J12</f>
        <v>2.503E-2</v>
      </c>
      <c r="K12" s="224"/>
    </row>
    <row r="13" spans="1:11">
      <c r="B13" s="205" t="s">
        <v>341</v>
      </c>
      <c r="C13" s="212" t="s">
        <v>301</v>
      </c>
      <c r="D13" s="212" t="str">
        <f>'[1]AGR COMFR'!D13</f>
        <v>AH</v>
      </c>
      <c r="E13" s="212" t="s">
        <v>301</v>
      </c>
      <c r="F13" s="212" t="s">
        <v>301</v>
      </c>
      <c r="G13" s="212" t="str">
        <f>'[1]AGR COMFR'!G13</f>
        <v>s1d2b1</v>
      </c>
      <c r="H13" s="212" t="s">
        <v>301</v>
      </c>
      <c r="I13" s="211">
        <v>0</v>
      </c>
      <c r="J13" s="212">
        <f>'[1]AGR COMFR'!J13</f>
        <v>3.7060000000000003E-2</v>
      </c>
      <c r="K13" s="224"/>
    </row>
    <row r="14" spans="1:11">
      <c r="B14" s="205" t="s">
        <v>341</v>
      </c>
      <c r="C14" s="212" t="s">
        <v>301</v>
      </c>
      <c r="D14" s="212" t="str">
        <f>'[1]AGR COMFR'!D14</f>
        <v>AH</v>
      </c>
      <c r="E14" s="212" t="s">
        <v>301</v>
      </c>
      <c r="F14" s="212" t="s">
        <v>301</v>
      </c>
      <c r="G14" s="212" t="str">
        <f>'[1]AGR COMFR'!G14</f>
        <v>s1d2b2</v>
      </c>
      <c r="H14" s="212" t="s">
        <v>301</v>
      </c>
      <c r="I14" s="211">
        <v>0</v>
      </c>
      <c r="J14" s="212">
        <f>'[1]AGR COMFR'!J14</f>
        <v>5.5059999999999998E-2</v>
      </c>
      <c r="K14" s="225"/>
    </row>
    <row r="15" spans="1:11">
      <c r="B15" s="205" t="s">
        <v>341</v>
      </c>
      <c r="C15" s="212" t="s">
        <v>301</v>
      </c>
      <c r="D15" s="212" t="str">
        <f>'[1]AGR COMFR'!D15</f>
        <v>AH</v>
      </c>
      <c r="E15" s="212" t="s">
        <v>301</v>
      </c>
      <c r="F15" s="212" t="s">
        <v>301</v>
      </c>
      <c r="G15" s="212" t="str">
        <f>'[1]AGR COMFR'!G15</f>
        <v>s1d2b3</v>
      </c>
      <c r="H15" s="212" t="s">
        <v>301</v>
      </c>
      <c r="I15" s="211">
        <v>0</v>
      </c>
      <c r="J15" s="212">
        <f>'[1]AGR COMFR'!J15</f>
        <v>1.4919999999999999E-2</v>
      </c>
      <c r="K15" s="224"/>
    </row>
    <row r="16" spans="1:11">
      <c r="A16" s="137" t="str">
        <f>IF(D16=0,"*","")</f>
        <v/>
      </c>
      <c r="B16" s="205" t="s">
        <v>341</v>
      </c>
      <c r="C16" s="212" t="s">
        <v>301</v>
      </c>
      <c r="D16" s="212" t="str">
        <f>'[1]AGR COMFR'!D16</f>
        <v>AH</v>
      </c>
      <c r="E16" s="212" t="s">
        <v>301</v>
      </c>
      <c r="F16" s="212" t="s">
        <v>301</v>
      </c>
      <c r="G16" s="212" t="str">
        <f>'[1]AGR COMFR'!G16</f>
        <v>s2d1b1</v>
      </c>
      <c r="H16" s="212" t="s">
        <v>301</v>
      </c>
      <c r="I16" s="211">
        <v>0</v>
      </c>
      <c r="J16" s="212">
        <f>'[1]AGR COMFR'!J16</f>
        <v>4.2380000000000001E-2</v>
      </c>
    </row>
    <row r="17" spans="1:10">
      <c r="A17" s="137" t="str">
        <f>IF(D17=0,"*","")</f>
        <v/>
      </c>
      <c r="B17" s="205" t="s">
        <v>341</v>
      </c>
      <c r="C17" s="212" t="s">
        <v>301</v>
      </c>
      <c r="D17" s="212" t="str">
        <f>'[1]AGR COMFR'!D17</f>
        <v>AH</v>
      </c>
      <c r="E17" s="212" t="s">
        <v>301</v>
      </c>
      <c r="F17" s="212" t="s">
        <v>301</v>
      </c>
      <c r="G17" s="212" t="str">
        <f>'[1]AGR COMFR'!G17</f>
        <v>s2d1b2</v>
      </c>
      <c r="H17" s="212" t="s">
        <v>301</v>
      </c>
      <c r="I17" s="211">
        <v>0</v>
      </c>
      <c r="J17" s="212">
        <f>'[1]AGR COMFR'!J17</f>
        <v>5.3069999999999999E-2</v>
      </c>
    </row>
    <row r="18" spans="1:10">
      <c r="A18" s="137" t="str">
        <f t="shared" ref="A18:A49" si="0">IF(D18=0,"*","")</f>
        <v/>
      </c>
      <c r="B18" s="205" t="s">
        <v>341</v>
      </c>
      <c r="C18" s="212" t="s">
        <v>301</v>
      </c>
      <c r="D18" s="212" t="str">
        <f>'[1]AGR COMFR'!D18</f>
        <v>AH</v>
      </c>
      <c r="E18" s="212" t="s">
        <v>301</v>
      </c>
      <c r="F18" s="212" t="s">
        <v>301</v>
      </c>
      <c r="G18" s="212" t="str">
        <f>'[1]AGR COMFR'!G18</f>
        <v>s2d1b3</v>
      </c>
      <c r="H18" s="212" t="s">
        <v>301</v>
      </c>
      <c r="I18" s="211">
        <v>0</v>
      </c>
      <c r="J18" s="212">
        <f>'[1]AGR COMFR'!J18</f>
        <v>9.2329999999999995E-2</v>
      </c>
    </row>
    <row r="19" spans="1:10">
      <c r="A19" s="137" t="str">
        <f t="shared" si="0"/>
        <v/>
      </c>
      <c r="B19" s="205" t="s">
        <v>341</v>
      </c>
      <c r="C19" s="212" t="s">
        <v>301</v>
      </c>
      <c r="D19" s="212" t="str">
        <f>'[1]AGR COMFR'!D19</f>
        <v>AH</v>
      </c>
      <c r="E19" s="212" t="s">
        <v>301</v>
      </c>
      <c r="F19" s="212" t="s">
        <v>301</v>
      </c>
      <c r="G19" s="212" t="str">
        <f>'[1]AGR COMFR'!G19</f>
        <v>s2d1b4</v>
      </c>
      <c r="H19" s="212" t="s">
        <v>301</v>
      </c>
      <c r="I19" s="211">
        <v>0</v>
      </c>
      <c r="J19" s="212">
        <f>'[1]AGR COMFR'!J19</f>
        <v>1.6820000000000002E-2</v>
      </c>
    </row>
    <row r="20" spans="1:10">
      <c r="A20" s="137" t="str">
        <f t="shared" si="0"/>
        <v/>
      </c>
      <c r="B20" s="205" t="s">
        <v>341</v>
      </c>
      <c r="C20" s="212" t="s">
        <v>301</v>
      </c>
      <c r="D20" s="212" t="str">
        <f>'[1]AGR COMFR'!D20</f>
        <v>AH</v>
      </c>
      <c r="E20" s="212" t="s">
        <v>301</v>
      </c>
      <c r="F20" s="212" t="s">
        <v>301</v>
      </c>
      <c r="G20" s="212" t="str">
        <f>'[1]AGR COMFR'!G20</f>
        <v>s2d1b5</v>
      </c>
      <c r="H20" s="212" t="s">
        <v>301</v>
      </c>
      <c r="I20" s="211">
        <v>0</v>
      </c>
      <c r="J20" s="212">
        <f>'[1]AGR COMFR'!J20</f>
        <v>9.3200000000000002E-3</v>
      </c>
    </row>
    <row r="21" spans="1:10">
      <c r="A21" s="137" t="str">
        <f t="shared" si="0"/>
        <v/>
      </c>
      <c r="B21" s="205" t="s">
        <v>341</v>
      </c>
      <c r="C21" s="212" t="s">
        <v>301</v>
      </c>
      <c r="D21" s="212" t="str">
        <f>'[1]AGR COMFR'!D21</f>
        <v>AH</v>
      </c>
      <c r="E21" s="212" t="s">
        <v>301</v>
      </c>
      <c r="F21" s="212" t="s">
        <v>301</v>
      </c>
      <c r="G21" s="212" t="str">
        <f>'[1]AGR COMFR'!G21</f>
        <v>s2d2b1</v>
      </c>
      <c r="H21" s="212" t="s">
        <v>301</v>
      </c>
      <c r="I21" s="211">
        <v>0</v>
      </c>
      <c r="J21" s="212">
        <f>'[1]AGR COMFR'!J21</f>
        <v>3.1859999999999999E-2</v>
      </c>
    </row>
    <row r="22" spans="1:10">
      <c r="A22" s="137" t="str">
        <f t="shared" si="0"/>
        <v/>
      </c>
      <c r="B22" s="205" t="s">
        <v>341</v>
      </c>
      <c r="C22" s="212" t="s">
        <v>301</v>
      </c>
      <c r="D22" s="212" t="str">
        <f>'[1]AGR COMFR'!D22</f>
        <v>AH</v>
      </c>
      <c r="E22" s="212" t="s">
        <v>301</v>
      </c>
      <c r="F22" s="212" t="s">
        <v>301</v>
      </c>
      <c r="G22" s="212" t="str">
        <f>'[1]AGR COMFR'!G22</f>
        <v>s2d2b2</v>
      </c>
      <c r="H22" s="212" t="s">
        <v>301</v>
      </c>
      <c r="I22" s="211">
        <v>0</v>
      </c>
      <c r="J22" s="212">
        <f>'[1]AGR COMFR'!J22</f>
        <v>4.7329999999999997E-2</v>
      </c>
    </row>
    <row r="23" spans="1:10">
      <c r="A23" s="137" t="str">
        <f t="shared" si="0"/>
        <v/>
      </c>
      <c r="B23" s="205" t="s">
        <v>341</v>
      </c>
      <c r="C23" s="212" t="s">
        <v>301</v>
      </c>
      <c r="D23" s="212" t="str">
        <f>'[1]AGR COMFR'!D23</f>
        <v>AH</v>
      </c>
      <c r="E23" s="212" t="s">
        <v>301</v>
      </c>
      <c r="F23" s="212" t="s">
        <v>301</v>
      </c>
      <c r="G23" s="212" t="str">
        <f>'[1]AGR COMFR'!G23</f>
        <v>s2d2b3</v>
      </c>
      <c r="H23" s="212" t="s">
        <v>301</v>
      </c>
      <c r="I23" s="211">
        <v>0</v>
      </c>
      <c r="J23" s="212">
        <f>'[1]AGR COMFR'!J23</f>
        <v>1.2829999999999999E-2</v>
      </c>
    </row>
    <row r="24" spans="1:10">
      <c r="A24" s="137" t="str">
        <f t="shared" si="0"/>
        <v/>
      </c>
      <c r="B24" s="205" t="s">
        <v>341</v>
      </c>
      <c r="C24" s="212" t="s">
        <v>301</v>
      </c>
      <c r="D24" s="212" t="str">
        <f>'[1]AGR COMFR'!D24</f>
        <v>AH</v>
      </c>
      <c r="E24" s="212" t="s">
        <v>301</v>
      </c>
      <c r="F24" s="212" t="s">
        <v>301</v>
      </c>
      <c r="G24" s="212" t="str">
        <f>'[1]AGR COMFR'!G24</f>
        <v>s3d1b1</v>
      </c>
      <c r="H24" s="212" t="s">
        <v>301</v>
      </c>
      <c r="I24" s="211">
        <v>0</v>
      </c>
      <c r="J24" s="212">
        <f>'[1]AGR COMFR'!J24</f>
        <v>6.7519999999999997E-2</v>
      </c>
    </row>
    <row r="25" spans="1:10">
      <c r="A25" s="137" t="str">
        <f t="shared" si="0"/>
        <v/>
      </c>
      <c r="B25" s="205" t="s">
        <v>341</v>
      </c>
      <c r="C25" s="212" t="s">
        <v>301</v>
      </c>
      <c r="D25" s="212" t="str">
        <f>'[1]AGR COMFR'!D25</f>
        <v>AH</v>
      </c>
      <c r="E25" s="212" t="s">
        <v>301</v>
      </c>
      <c r="F25" s="212" t="s">
        <v>301</v>
      </c>
      <c r="G25" s="212" t="str">
        <f>'[1]AGR COMFR'!G25</f>
        <v>s3d1b2</v>
      </c>
      <c r="H25" s="212" t="s">
        <v>301</v>
      </c>
      <c r="I25" s="211">
        <v>0</v>
      </c>
      <c r="J25" s="212">
        <f>'[1]AGR COMFR'!J25</f>
        <v>0.15060999999999999</v>
      </c>
    </row>
    <row r="26" spans="1:10">
      <c r="A26" s="137" t="str">
        <f t="shared" si="0"/>
        <v/>
      </c>
      <c r="B26" s="205" t="s">
        <v>341</v>
      </c>
      <c r="C26" s="212" t="s">
        <v>301</v>
      </c>
      <c r="D26" s="212" t="str">
        <f>'[1]AGR COMFR'!D26</f>
        <v>AH</v>
      </c>
      <c r="E26" s="212" t="s">
        <v>301</v>
      </c>
      <c r="F26" s="212" t="s">
        <v>301</v>
      </c>
      <c r="G26" s="212" t="str">
        <f>'[1]AGR COMFR'!G26</f>
        <v>s3d1b3</v>
      </c>
      <c r="H26" s="212" t="s">
        <v>301</v>
      </c>
      <c r="I26" s="211">
        <v>0</v>
      </c>
      <c r="J26" s="212">
        <f>'[1]AGR COMFR'!J26</f>
        <v>2.4320000000000001E-2</v>
      </c>
    </row>
    <row r="27" spans="1:10">
      <c r="A27" s="137" t="str">
        <f t="shared" si="0"/>
        <v/>
      </c>
      <c r="B27" s="205" t="s">
        <v>341</v>
      </c>
      <c r="C27" s="212" t="s">
        <v>301</v>
      </c>
      <c r="D27" s="212" t="str">
        <f>'[1]AGR COMFR'!D27</f>
        <v>AH</v>
      </c>
      <c r="E27" s="212" t="s">
        <v>301</v>
      </c>
      <c r="F27" s="212" t="s">
        <v>301</v>
      </c>
      <c r="G27" s="212" t="str">
        <f>'[1]AGR COMFR'!G27</f>
        <v>s3d2b1</v>
      </c>
      <c r="H27" s="212" t="s">
        <v>301</v>
      </c>
      <c r="I27" s="211">
        <v>0</v>
      </c>
      <c r="J27" s="212">
        <f>'[1]AGR COMFR'!J27</f>
        <v>3.2910000000000002E-2</v>
      </c>
    </row>
    <row r="28" spans="1:10">
      <c r="A28" s="137" t="str">
        <f t="shared" si="0"/>
        <v/>
      </c>
      <c r="B28" s="205" t="s">
        <v>341</v>
      </c>
      <c r="C28" s="212" t="s">
        <v>301</v>
      </c>
      <c r="D28" s="212" t="str">
        <f>'[1]AGR COMFR'!D28</f>
        <v>AH</v>
      </c>
      <c r="E28" s="212" t="s">
        <v>301</v>
      </c>
      <c r="F28" s="212" t="s">
        <v>301</v>
      </c>
      <c r="G28" s="212" t="str">
        <f>'[1]AGR COMFR'!G28</f>
        <v>s3d2b2</v>
      </c>
      <c r="H28" s="212" t="s">
        <v>301</v>
      </c>
      <c r="I28" s="211">
        <v>0</v>
      </c>
      <c r="J28" s="212">
        <f>'[1]AGR COMFR'!J28</f>
        <v>4.8890000000000003E-2</v>
      </c>
    </row>
    <row r="29" spans="1:10">
      <c r="A29" s="137" t="str">
        <f t="shared" si="0"/>
        <v/>
      </c>
      <c r="B29" s="205" t="s">
        <v>341</v>
      </c>
      <c r="C29" s="212" t="s">
        <v>301</v>
      </c>
      <c r="D29" s="212" t="str">
        <f>'[1]AGR COMFR'!D29</f>
        <v>AH</v>
      </c>
      <c r="E29" s="212" t="s">
        <v>301</v>
      </c>
      <c r="F29" s="212" t="s">
        <v>301</v>
      </c>
      <c r="G29" s="212" t="str">
        <f>'[1]AGR COMFR'!G29</f>
        <v>s3d2b3</v>
      </c>
      <c r="H29" s="212" t="s">
        <v>301</v>
      </c>
      <c r="I29" s="211">
        <v>0</v>
      </c>
      <c r="J29" s="212">
        <f>'[1]AGR COMFR'!J29</f>
        <v>1.325E-2</v>
      </c>
    </row>
    <row r="30" spans="1:10">
      <c r="A30" s="137" t="str">
        <f t="shared" si="0"/>
        <v/>
      </c>
      <c r="B30" s="205" t="s">
        <v>341</v>
      </c>
      <c r="C30" s="212" t="s">
        <v>301</v>
      </c>
      <c r="D30" s="212" t="str">
        <f>'[1]AGR COMFR'!D30</f>
        <v>AP</v>
      </c>
      <c r="E30" s="212" t="s">
        <v>301</v>
      </c>
      <c r="F30" s="212" t="s">
        <v>301</v>
      </c>
      <c r="G30" s="212" t="str">
        <f>'[1]AGR COMFR'!G30</f>
        <v>s1d1b1</v>
      </c>
      <c r="H30" s="212" t="s">
        <v>301</v>
      </c>
      <c r="I30" s="211">
        <v>0</v>
      </c>
      <c r="J30" s="212">
        <f>'[1]AGR COMFR'!J30</f>
        <v>6.4519999999999994E-2</v>
      </c>
    </row>
    <row r="31" spans="1:10">
      <c r="A31" s="137" t="str">
        <f t="shared" si="0"/>
        <v/>
      </c>
      <c r="B31" s="205" t="s">
        <v>341</v>
      </c>
      <c r="C31" s="212" t="s">
        <v>301</v>
      </c>
      <c r="D31" s="212" t="str">
        <f>'[1]AGR COMFR'!D31</f>
        <v>AP</v>
      </c>
      <c r="E31" s="212" t="s">
        <v>301</v>
      </c>
      <c r="F31" s="212" t="s">
        <v>301</v>
      </c>
      <c r="G31" s="212" t="str">
        <f>'[1]AGR COMFR'!G31</f>
        <v>s1d1b2</v>
      </c>
      <c r="H31" s="212" t="s">
        <v>301</v>
      </c>
      <c r="I31" s="211">
        <v>0</v>
      </c>
      <c r="J31" s="212">
        <f>'[1]AGR COMFR'!J31</f>
        <v>0.15222999999999987</v>
      </c>
    </row>
    <row r="32" spans="1:10">
      <c r="A32" s="137" t="str">
        <f t="shared" si="0"/>
        <v/>
      </c>
      <c r="B32" s="205" t="s">
        <v>341</v>
      </c>
      <c r="C32" s="212" t="s">
        <v>301</v>
      </c>
      <c r="D32" s="212" t="str">
        <f>'[1]AGR COMFR'!D32</f>
        <v>AP</v>
      </c>
      <c r="E32" s="212" t="s">
        <v>301</v>
      </c>
      <c r="F32" s="212" t="s">
        <v>301</v>
      </c>
      <c r="G32" s="212" t="str">
        <f>'[1]AGR COMFR'!G32</f>
        <v>s1d1b3</v>
      </c>
      <c r="H32" s="212" t="s">
        <v>301</v>
      </c>
      <c r="I32" s="211">
        <v>0</v>
      </c>
      <c r="J32" s="212">
        <f>'[1]AGR COMFR'!J32</f>
        <v>3.279E-2</v>
      </c>
    </row>
    <row r="33" spans="1:10">
      <c r="A33" s="137" t="str">
        <f t="shared" si="0"/>
        <v/>
      </c>
      <c r="B33" s="205" t="s">
        <v>341</v>
      </c>
      <c r="C33" s="212" t="s">
        <v>301</v>
      </c>
      <c r="D33" s="212" t="str">
        <f>'[1]AGR COMFR'!D33</f>
        <v>AP</v>
      </c>
      <c r="E33" s="212" t="s">
        <v>301</v>
      </c>
      <c r="F33" s="212" t="s">
        <v>301</v>
      </c>
      <c r="G33" s="212" t="str">
        <f>'[1]AGR COMFR'!G33</f>
        <v>s1d2b1</v>
      </c>
      <c r="H33" s="212" t="s">
        <v>301</v>
      </c>
      <c r="I33" s="211">
        <v>0</v>
      </c>
      <c r="J33" s="212">
        <f>'[1]AGR COMFR'!J33</f>
        <v>3.7620000000000001E-2</v>
      </c>
    </row>
    <row r="34" spans="1:10">
      <c r="A34" s="137" t="str">
        <f t="shared" si="0"/>
        <v/>
      </c>
      <c r="B34" s="205" t="s">
        <v>341</v>
      </c>
      <c r="C34" s="212" t="s">
        <v>301</v>
      </c>
      <c r="D34" s="212" t="str">
        <f>'[1]AGR COMFR'!D34</f>
        <v>AP</v>
      </c>
      <c r="E34" s="212" t="s">
        <v>301</v>
      </c>
      <c r="F34" s="212" t="s">
        <v>301</v>
      </c>
      <c r="G34" s="212" t="str">
        <f>'[1]AGR COMFR'!G34</f>
        <v>s1d2b2</v>
      </c>
      <c r="H34" s="212" t="s">
        <v>301</v>
      </c>
      <c r="I34" s="211">
        <v>0</v>
      </c>
      <c r="J34" s="212">
        <f>'[1]AGR COMFR'!J34</f>
        <v>5.321E-2</v>
      </c>
    </row>
    <row r="35" spans="1:10">
      <c r="A35" s="137" t="str">
        <f t="shared" si="0"/>
        <v/>
      </c>
      <c r="B35" s="205" t="s">
        <v>341</v>
      </c>
      <c r="C35" s="212" t="s">
        <v>301</v>
      </c>
      <c r="D35" s="212" t="str">
        <f>'[1]AGR COMFR'!D35</f>
        <v>AP</v>
      </c>
      <c r="E35" s="212" t="s">
        <v>301</v>
      </c>
      <c r="F35" s="212" t="s">
        <v>301</v>
      </c>
      <c r="G35" s="212" t="str">
        <f>'[1]AGR COMFR'!G35</f>
        <v>s1d2b3</v>
      </c>
      <c r="H35" s="212" t="s">
        <v>301</v>
      </c>
      <c r="I35" s="211">
        <v>0</v>
      </c>
      <c r="J35" s="212">
        <f>'[1]AGR COMFR'!J35</f>
        <v>1.6199999999999999E-2</v>
      </c>
    </row>
    <row r="36" spans="1:10">
      <c r="A36" s="137" t="str">
        <f t="shared" si="0"/>
        <v/>
      </c>
      <c r="B36" s="205" t="s">
        <v>341</v>
      </c>
      <c r="C36" s="212" t="s">
        <v>301</v>
      </c>
      <c r="D36" s="212" t="str">
        <f>'[1]AGR COMFR'!D36</f>
        <v>AP</v>
      </c>
      <c r="E36" s="212" t="s">
        <v>301</v>
      </c>
      <c r="F36" s="212" t="s">
        <v>301</v>
      </c>
      <c r="G36" s="212" t="str">
        <f>'[1]AGR COMFR'!G36</f>
        <v>s2d1b1</v>
      </c>
      <c r="H36" s="212" t="s">
        <v>301</v>
      </c>
      <c r="I36" s="211">
        <v>0</v>
      </c>
      <c r="J36" s="212">
        <f>'[1]AGR COMFR'!J36</f>
        <v>5.0790000000000002E-2</v>
      </c>
    </row>
    <row r="37" spans="1:10">
      <c r="A37" s="137" t="str">
        <f t="shared" si="0"/>
        <v/>
      </c>
      <c r="B37" s="205" t="s">
        <v>341</v>
      </c>
      <c r="C37" s="212" t="s">
        <v>301</v>
      </c>
      <c r="D37" s="212" t="str">
        <f>'[1]AGR COMFR'!D37</f>
        <v>AP</v>
      </c>
      <c r="E37" s="212" t="s">
        <v>301</v>
      </c>
      <c r="F37" s="212" t="s">
        <v>301</v>
      </c>
      <c r="G37" s="212" t="str">
        <f>'[1]AGR COMFR'!G37</f>
        <v>s2d1b2</v>
      </c>
      <c r="H37" s="212" t="s">
        <v>301</v>
      </c>
      <c r="I37" s="211">
        <v>0</v>
      </c>
      <c r="J37" s="212">
        <f>'[1]AGR COMFR'!J37</f>
        <v>4.7980000000000002E-2</v>
      </c>
    </row>
    <row r="38" spans="1:10">
      <c r="A38" s="137" t="str">
        <f t="shared" si="0"/>
        <v/>
      </c>
      <c r="B38" s="205" t="s">
        <v>341</v>
      </c>
      <c r="C38" s="212" t="s">
        <v>301</v>
      </c>
      <c r="D38" s="212" t="str">
        <f>'[1]AGR COMFR'!D38</f>
        <v>AP</v>
      </c>
      <c r="E38" s="212" t="s">
        <v>301</v>
      </c>
      <c r="F38" s="212" t="s">
        <v>301</v>
      </c>
      <c r="G38" s="212" t="str">
        <f>'[1]AGR COMFR'!G38</f>
        <v>s2d1b3</v>
      </c>
      <c r="H38" s="212" t="s">
        <v>301</v>
      </c>
      <c r="I38" s="211">
        <v>0</v>
      </c>
      <c r="J38" s="212">
        <f>'[1]AGR COMFR'!J38</f>
        <v>8.3580000000000002E-2</v>
      </c>
    </row>
    <row r="39" spans="1:10">
      <c r="A39" s="137" t="str">
        <f t="shared" si="0"/>
        <v/>
      </c>
      <c r="B39" s="205" t="s">
        <v>341</v>
      </c>
      <c r="C39" s="212" t="s">
        <v>301</v>
      </c>
      <c r="D39" s="212" t="str">
        <f>'[1]AGR COMFR'!D39</f>
        <v>AP</v>
      </c>
      <c r="E39" s="212" t="s">
        <v>301</v>
      </c>
      <c r="F39" s="212" t="s">
        <v>301</v>
      </c>
      <c r="G39" s="212" t="str">
        <f>'[1]AGR COMFR'!G39</f>
        <v>s2d1b4</v>
      </c>
      <c r="H39" s="212" t="s">
        <v>301</v>
      </c>
      <c r="I39" s="211">
        <v>0</v>
      </c>
      <c r="J39" s="212">
        <f>'[1]AGR COMFR'!J39</f>
        <v>1.966E-2</v>
      </c>
    </row>
    <row r="40" spans="1:10">
      <c r="A40" s="137" t="str">
        <f t="shared" si="0"/>
        <v/>
      </c>
      <c r="B40" s="205" t="s">
        <v>341</v>
      </c>
      <c r="C40" s="212" t="s">
        <v>301</v>
      </c>
      <c r="D40" s="212" t="str">
        <f>'[1]AGR COMFR'!D40</f>
        <v>AP</v>
      </c>
      <c r="E40" s="212" t="s">
        <v>301</v>
      </c>
      <c r="F40" s="212" t="s">
        <v>301</v>
      </c>
      <c r="G40" s="212" t="str">
        <f>'[1]AGR COMFR'!G40</f>
        <v>s2d1b5</v>
      </c>
      <c r="H40" s="212" t="s">
        <v>301</v>
      </c>
      <c r="I40" s="211">
        <v>0</v>
      </c>
      <c r="J40" s="212">
        <f>'[1]AGR COMFR'!J40</f>
        <v>1.1900000000000001E-2</v>
      </c>
    </row>
    <row r="41" spans="1:10">
      <c r="A41" s="137" t="str">
        <f t="shared" si="0"/>
        <v/>
      </c>
      <c r="B41" s="205" t="s">
        <v>341</v>
      </c>
      <c r="C41" s="212" t="s">
        <v>301</v>
      </c>
      <c r="D41" s="212" t="str">
        <f>'[1]AGR COMFR'!D41</f>
        <v>AP</v>
      </c>
      <c r="E41" s="212" t="s">
        <v>301</v>
      </c>
      <c r="F41" s="212" t="s">
        <v>301</v>
      </c>
      <c r="G41" s="212" t="str">
        <f>'[1]AGR COMFR'!G41</f>
        <v>s2d2b1</v>
      </c>
      <c r="H41" s="212" t="s">
        <v>301</v>
      </c>
      <c r="I41" s="211">
        <v>0</v>
      </c>
      <c r="J41" s="212">
        <f>'[1]AGR COMFR'!J41</f>
        <v>3.3829999999999999E-2</v>
      </c>
    </row>
    <row r="42" spans="1:10">
      <c r="A42" s="137" t="str">
        <f t="shared" si="0"/>
        <v/>
      </c>
      <c r="B42" s="205" t="s">
        <v>341</v>
      </c>
      <c r="C42" s="212" t="s">
        <v>301</v>
      </c>
      <c r="D42" s="212" t="str">
        <f>'[1]AGR COMFR'!D42</f>
        <v>AP</v>
      </c>
      <c r="E42" s="212" t="s">
        <v>301</v>
      </c>
      <c r="F42" s="212" t="s">
        <v>301</v>
      </c>
      <c r="G42" s="212" t="str">
        <f>'[1]AGR COMFR'!G42</f>
        <v>s2d2b2</v>
      </c>
      <c r="H42" s="212" t="s">
        <v>301</v>
      </c>
      <c r="I42" s="211">
        <v>0</v>
      </c>
      <c r="J42" s="212">
        <f>'[1]AGR COMFR'!J42</f>
        <v>4.4670000000000001E-2</v>
      </c>
    </row>
    <row r="43" spans="1:10">
      <c r="A43" s="137" t="str">
        <f t="shared" si="0"/>
        <v/>
      </c>
      <c r="B43" s="205" t="s">
        <v>341</v>
      </c>
      <c r="C43" s="212" t="s">
        <v>301</v>
      </c>
      <c r="D43" s="212" t="str">
        <f>'[1]AGR COMFR'!D43</f>
        <v>AP</v>
      </c>
      <c r="E43" s="212" t="s">
        <v>301</v>
      </c>
      <c r="F43" s="212" t="s">
        <v>301</v>
      </c>
      <c r="G43" s="212" t="str">
        <f>'[1]AGR COMFR'!G43</f>
        <v>s2d2b3</v>
      </c>
      <c r="H43" s="212" t="s">
        <v>301</v>
      </c>
      <c r="I43" s="211">
        <v>0</v>
      </c>
      <c r="J43" s="212">
        <f>'[1]AGR COMFR'!J43</f>
        <v>1.3520000000000001E-2</v>
      </c>
    </row>
    <row r="44" spans="1:10">
      <c r="A44" s="137" t="str">
        <f t="shared" si="0"/>
        <v/>
      </c>
      <c r="B44" s="205" t="s">
        <v>341</v>
      </c>
      <c r="C44" s="212" t="s">
        <v>301</v>
      </c>
      <c r="D44" s="212" t="str">
        <f>'[1]AGR COMFR'!D44</f>
        <v>AP</v>
      </c>
      <c r="E44" s="212" t="s">
        <v>301</v>
      </c>
      <c r="F44" s="212" t="s">
        <v>301</v>
      </c>
      <c r="G44" s="212" t="str">
        <f>'[1]AGR COMFR'!G44</f>
        <v>s3d1b1</v>
      </c>
      <c r="H44" s="212" t="s">
        <v>301</v>
      </c>
      <c r="I44" s="211">
        <v>0</v>
      </c>
      <c r="J44" s="212">
        <f>'[1]AGR COMFR'!J44</f>
        <v>7.4759999999999993E-2</v>
      </c>
    </row>
    <row r="45" spans="1:10">
      <c r="A45" s="137" t="str">
        <f t="shared" si="0"/>
        <v/>
      </c>
      <c r="B45" s="205" t="s">
        <v>341</v>
      </c>
      <c r="C45" s="212" t="s">
        <v>301</v>
      </c>
      <c r="D45" s="212" t="str">
        <f>'[1]AGR COMFR'!D45</f>
        <v>AP</v>
      </c>
      <c r="E45" s="212" t="s">
        <v>301</v>
      </c>
      <c r="F45" s="212" t="s">
        <v>301</v>
      </c>
      <c r="G45" s="212" t="str">
        <f>'[1]AGR COMFR'!G45</f>
        <v>s3d1b2</v>
      </c>
      <c r="H45" s="212" t="s">
        <v>301</v>
      </c>
      <c r="I45" s="211">
        <v>0</v>
      </c>
      <c r="J45" s="212">
        <f>'[1]AGR COMFR'!J45</f>
        <v>0.13583000000000001</v>
      </c>
    </row>
    <row r="46" spans="1:10">
      <c r="A46" s="137" t="str">
        <f t="shared" si="0"/>
        <v/>
      </c>
      <c r="B46" s="205" t="s">
        <v>341</v>
      </c>
      <c r="C46" s="212" t="s">
        <v>301</v>
      </c>
      <c r="D46" s="212" t="str">
        <f>'[1]AGR COMFR'!D46</f>
        <v>AP</v>
      </c>
      <c r="E46" s="212" t="s">
        <v>301</v>
      </c>
      <c r="F46" s="212" t="s">
        <v>301</v>
      </c>
      <c r="G46" s="212" t="str">
        <f>'[1]AGR COMFR'!G46</f>
        <v>s3d1b3</v>
      </c>
      <c r="H46" s="212" t="s">
        <v>301</v>
      </c>
      <c r="I46" s="211">
        <v>0</v>
      </c>
      <c r="J46" s="212">
        <f>'[1]AGR COMFR'!J46</f>
        <v>3.1859999999999999E-2</v>
      </c>
    </row>
    <row r="47" spans="1:10">
      <c r="A47" s="137" t="str">
        <f t="shared" si="0"/>
        <v/>
      </c>
      <c r="B47" s="205" t="s">
        <v>341</v>
      </c>
      <c r="C47" s="212" t="s">
        <v>301</v>
      </c>
      <c r="D47" s="212" t="str">
        <f>'[1]AGR COMFR'!D47</f>
        <v>AP</v>
      </c>
      <c r="E47" s="212" t="s">
        <v>301</v>
      </c>
      <c r="F47" s="212" t="s">
        <v>301</v>
      </c>
      <c r="G47" s="212" t="str">
        <f>'[1]AGR COMFR'!G47</f>
        <v>s3d2b1</v>
      </c>
      <c r="H47" s="212" t="s">
        <v>301</v>
      </c>
      <c r="I47" s="211">
        <v>0</v>
      </c>
      <c r="J47" s="212">
        <f>'[1]AGR COMFR'!J47</f>
        <v>3.3410000000000002E-2</v>
      </c>
    </row>
    <row r="48" spans="1:10">
      <c r="A48" s="137" t="str">
        <f t="shared" si="0"/>
        <v/>
      </c>
      <c r="B48" s="205" t="s">
        <v>341</v>
      </c>
      <c r="C48" s="212" t="s">
        <v>301</v>
      </c>
      <c r="D48" s="212" t="str">
        <f>'[1]AGR COMFR'!D48</f>
        <v>AP</v>
      </c>
      <c r="E48" s="212" t="s">
        <v>301</v>
      </c>
      <c r="F48" s="212" t="s">
        <v>301</v>
      </c>
      <c r="G48" s="212" t="str">
        <f>'[1]AGR COMFR'!G48</f>
        <v>s3d2b2</v>
      </c>
      <c r="H48" s="212" t="s">
        <v>301</v>
      </c>
      <c r="I48" s="211">
        <v>0</v>
      </c>
      <c r="J48" s="212">
        <f>'[1]AGR COMFR'!J48</f>
        <v>4.725E-2</v>
      </c>
    </row>
    <row r="49" spans="1:10">
      <c r="A49" s="137" t="str">
        <f t="shared" si="0"/>
        <v/>
      </c>
      <c r="B49" s="205" t="s">
        <v>341</v>
      </c>
      <c r="C49" s="212" t="s">
        <v>301</v>
      </c>
      <c r="D49" s="212" t="str">
        <f>'[1]AGR COMFR'!D49</f>
        <v>AP</v>
      </c>
      <c r="E49" s="212" t="s">
        <v>301</v>
      </c>
      <c r="F49" s="212" t="s">
        <v>301</v>
      </c>
      <c r="G49" s="212" t="str">
        <f>'[1]AGR COMFR'!G49</f>
        <v>s3d2b3</v>
      </c>
      <c r="H49" s="212" t="s">
        <v>301</v>
      </c>
      <c r="I49" s="211">
        <v>0</v>
      </c>
      <c r="J49" s="212">
        <f>'[1]AGR COMFR'!J49</f>
        <v>1.439E-2</v>
      </c>
    </row>
    <row r="50" spans="1:10">
      <c r="B50" s="205" t="s">
        <v>341</v>
      </c>
      <c r="C50" s="212" t="s">
        <v>301</v>
      </c>
      <c r="D50" s="212" t="str">
        <f>'[1]AGR COMFR'!D50</f>
        <v>AT</v>
      </c>
      <c r="E50" s="212" t="s">
        <v>301</v>
      </c>
      <c r="F50" s="212" t="s">
        <v>301</v>
      </c>
      <c r="G50" s="212" t="str">
        <f>'[1]AGR COMFR'!G50</f>
        <v>s1d1b1</v>
      </c>
      <c r="H50" s="212" t="s">
        <v>301</v>
      </c>
      <c r="I50" s="211">
        <v>0</v>
      </c>
      <c r="J50" s="212">
        <f>'[1]AGR COMFR'!J50</f>
        <v>5.6610000000000001E-2</v>
      </c>
    </row>
    <row r="51" spans="1:10">
      <c r="B51" s="205" t="s">
        <v>341</v>
      </c>
      <c r="C51" s="212" t="s">
        <v>301</v>
      </c>
      <c r="D51" s="212" t="str">
        <f>'[1]AGR COMFR'!D51</f>
        <v>AT</v>
      </c>
      <c r="E51" s="212" t="s">
        <v>301</v>
      </c>
      <c r="F51" s="212" t="s">
        <v>301</v>
      </c>
      <c r="G51" s="212" t="str">
        <f>'[1]AGR COMFR'!G51</f>
        <v>s1d1b2</v>
      </c>
      <c r="H51" s="212" t="s">
        <v>301</v>
      </c>
      <c r="I51" s="211">
        <v>0</v>
      </c>
      <c r="J51" s="212">
        <f>'[1]AGR COMFR'!J51</f>
        <v>0.1235500000000001</v>
      </c>
    </row>
    <row r="52" spans="1:10">
      <c r="B52" s="205" t="s">
        <v>341</v>
      </c>
      <c r="C52" s="212" t="s">
        <v>301</v>
      </c>
      <c r="D52" s="212" t="str">
        <f>'[1]AGR COMFR'!D52</f>
        <v>AT</v>
      </c>
      <c r="E52" s="212" t="s">
        <v>301</v>
      </c>
      <c r="F52" s="212" t="s">
        <v>301</v>
      </c>
      <c r="G52" s="212" t="str">
        <f>'[1]AGR COMFR'!G52</f>
        <v>s1d1b3</v>
      </c>
      <c r="H52" s="212" t="s">
        <v>301</v>
      </c>
      <c r="I52" s="211">
        <v>0</v>
      </c>
      <c r="J52" s="212">
        <f>'[1]AGR COMFR'!J52</f>
        <v>6.9360000000000005E-2</v>
      </c>
    </row>
    <row r="53" spans="1:10">
      <c r="B53" s="205" t="s">
        <v>341</v>
      </c>
      <c r="C53" s="212" t="s">
        <v>301</v>
      </c>
      <c r="D53" s="212" t="str">
        <f>'[1]AGR COMFR'!D53</f>
        <v>AT</v>
      </c>
      <c r="E53" s="212" t="s">
        <v>301</v>
      </c>
      <c r="F53" s="212" t="s">
        <v>301</v>
      </c>
      <c r="G53" s="212" t="str">
        <f>'[1]AGR COMFR'!G53</f>
        <v>s1d2b1</v>
      </c>
      <c r="H53" s="212" t="s">
        <v>301</v>
      </c>
      <c r="I53" s="211">
        <v>0</v>
      </c>
      <c r="J53" s="212">
        <f>'[1]AGR COMFR'!J53</f>
        <v>2.9499999999999998E-2</v>
      </c>
    </row>
    <row r="54" spans="1:10">
      <c r="B54" s="205" t="s">
        <v>341</v>
      </c>
      <c r="C54" s="212" t="s">
        <v>301</v>
      </c>
      <c r="D54" s="212" t="str">
        <f>'[1]AGR COMFR'!D54</f>
        <v>AT</v>
      </c>
      <c r="E54" s="212" t="s">
        <v>301</v>
      </c>
      <c r="F54" s="212" t="s">
        <v>301</v>
      </c>
      <c r="G54" s="212" t="str">
        <f>'[1]AGR COMFR'!G54</f>
        <v>s1d2b2</v>
      </c>
      <c r="H54" s="212" t="s">
        <v>301</v>
      </c>
      <c r="I54" s="211">
        <v>0</v>
      </c>
      <c r="J54" s="212">
        <f>'[1]AGR COMFR'!J54</f>
        <v>4.9419999999999999E-2</v>
      </c>
    </row>
    <row r="55" spans="1:10">
      <c r="B55" s="205" t="s">
        <v>341</v>
      </c>
      <c r="C55" s="212" t="s">
        <v>301</v>
      </c>
      <c r="D55" s="212" t="str">
        <f>'[1]AGR COMFR'!D55</f>
        <v>AT</v>
      </c>
      <c r="E55" s="212" t="s">
        <v>301</v>
      </c>
      <c r="F55" s="212" t="s">
        <v>301</v>
      </c>
      <c r="G55" s="212" t="str">
        <f>'[1]AGR COMFR'!G55</f>
        <v>s1d2b3</v>
      </c>
      <c r="H55" s="212" t="s">
        <v>301</v>
      </c>
      <c r="I55" s="211">
        <v>0</v>
      </c>
      <c r="J55" s="212">
        <f>'[1]AGR COMFR'!J55</f>
        <v>2.811E-2</v>
      </c>
    </row>
    <row r="56" spans="1:10">
      <c r="B56" s="205" t="s">
        <v>341</v>
      </c>
      <c r="C56" s="212" t="s">
        <v>301</v>
      </c>
      <c r="D56" s="212" t="str">
        <f>'[1]AGR COMFR'!D56</f>
        <v>AT</v>
      </c>
      <c r="E56" s="212" t="s">
        <v>301</v>
      </c>
      <c r="F56" s="212" t="s">
        <v>301</v>
      </c>
      <c r="G56" s="212" t="str">
        <f>'[1]AGR COMFR'!G56</f>
        <v>s2d1b1</v>
      </c>
      <c r="H56" s="212" t="s">
        <v>301</v>
      </c>
      <c r="I56" s="211">
        <v>0</v>
      </c>
      <c r="J56" s="212">
        <f>'[1]AGR COMFR'!J56</f>
        <v>3.7999999999999999E-2</v>
      </c>
    </row>
    <row r="57" spans="1:10">
      <c r="B57" s="205" t="s">
        <v>341</v>
      </c>
      <c r="C57" s="212" t="s">
        <v>301</v>
      </c>
      <c r="D57" s="212" t="str">
        <f>'[1]AGR COMFR'!D57</f>
        <v>AT</v>
      </c>
      <c r="E57" s="212" t="s">
        <v>301</v>
      </c>
      <c r="F57" s="212" t="s">
        <v>301</v>
      </c>
      <c r="G57" s="212" t="str">
        <f>'[1]AGR COMFR'!G57</f>
        <v>s2d1b2</v>
      </c>
      <c r="H57" s="212" t="s">
        <v>301</v>
      </c>
      <c r="I57" s="211">
        <v>0</v>
      </c>
      <c r="J57" s="212">
        <f>'[1]AGR COMFR'!J57</f>
        <v>5.0319999999999997E-2</v>
      </c>
    </row>
    <row r="58" spans="1:10">
      <c r="B58" s="205" t="s">
        <v>341</v>
      </c>
      <c r="C58" s="212" t="s">
        <v>301</v>
      </c>
      <c r="D58" s="212" t="str">
        <f>'[1]AGR COMFR'!D58</f>
        <v>AT</v>
      </c>
      <c r="E58" s="212" t="s">
        <v>301</v>
      </c>
      <c r="F58" s="212" t="s">
        <v>301</v>
      </c>
      <c r="G58" s="212" t="str">
        <f>'[1]AGR COMFR'!G58</f>
        <v>s2d1b3</v>
      </c>
      <c r="H58" s="212" t="s">
        <v>301</v>
      </c>
      <c r="I58" s="211">
        <v>0</v>
      </c>
      <c r="J58" s="212">
        <f>'[1]AGR COMFR'!J58</f>
        <v>5.561E-2</v>
      </c>
    </row>
    <row r="59" spans="1:10">
      <c r="B59" s="205" t="s">
        <v>341</v>
      </c>
      <c r="C59" s="212" t="s">
        <v>301</v>
      </c>
      <c r="D59" s="212" t="str">
        <f>'[1]AGR COMFR'!D59</f>
        <v>AT</v>
      </c>
      <c r="E59" s="212" t="s">
        <v>301</v>
      </c>
      <c r="F59" s="212" t="s">
        <v>301</v>
      </c>
      <c r="G59" s="212" t="str">
        <f>'[1]AGR COMFR'!G59</f>
        <v>s2d1b4</v>
      </c>
      <c r="H59" s="212" t="s">
        <v>301</v>
      </c>
      <c r="I59" s="211">
        <v>0</v>
      </c>
      <c r="J59" s="212">
        <f>'[1]AGR COMFR'!J59</f>
        <v>4.648E-2</v>
      </c>
    </row>
    <row r="60" spans="1:10">
      <c r="B60" s="205" t="s">
        <v>341</v>
      </c>
      <c r="C60" s="212" t="s">
        <v>301</v>
      </c>
      <c r="D60" s="212" t="str">
        <f>'[1]AGR COMFR'!D60</f>
        <v>AT</v>
      </c>
      <c r="E60" s="212" t="s">
        <v>301</v>
      </c>
      <c r="F60" s="212" t="s">
        <v>301</v>
      </c>
      <c r="G60" s="212" t="str">
        <f>'[1]AGR COMFR'!G60</f>
        <v>s2d1b5</v>
      </c>
      <c r="H60" s="212" t="s">
        <v>301</v>
      </c>
      <c r="I60" s="211">
        <v>0</v>
      </c>
      <c r="J60" s="212">
        <f>'[1]AGR COMFR'!J60</f>
        <v>2.3519999999999999E-2</v>
      </c>
    </row>
    <row r="61" spans="1:10">
      <c r="B61" s="205" t="s">
        <v>341</v>
      </c>
      <c r="C61" s="212" t="s">
        <v>301</v>
      </c>
      <c r="D61" s="212" t="str">
        <f>'[1]AGR COMFR'!D61</f>
        <v>AT</v>
      </c>
      <c r="E61" s="212" t="s">
        <v>301</v>
      </c>
      <c r="F61" s="212" t="s">
        <v>301</v>
      </c>
      <c r="G61" s="212" t="str">
        <f>'[1]AGR COMFR'!G61</f>
        <v>s2d2b1</v>
      </c>
      <c r="H61" s="212" t="s">
        <v>301</v>
      </c>
      <c r="I61" s="211">
        <v>0</v>
      </c>
      <c r="J61" s="212">
        <f>'[1]AGR COMFR'!J61</f>
        <v>2.537E-2</v>
      </c>
    </row>
    <row r="62" spans="1:10">
      <c r="B62" s="205" t="s">
        <v>341</v>
      </c>
      <c r="C62" s="212" t="s">
        <v>301</v>
      </c>
      <c r="D62" s="212" t="str">
        <f>'[1]AGR COMFR'!D62</f>
        <v>AT</v>
      </c>
      <c r="E62" s="212" t="s">
        <v>301</v>
      </c>
      <c r="F62" s="212" t="s">
        <v>301</v>
      </c>
      <c r="G62" s="212" t="str">
        <f>'[1]AGR COMFR'!G62</f>
        <v>s2d2b2</v>
      </c>
      <c r="H62" s="212" t="s">
        <v>301</v>
      </c>
      <c r="I62" s="211">
        <v>0</v>
      </c>
      <c r="J62" s="212">
        <f>'[1]AGR COMFR'!J62</f>
        <v>4.249E-2</v>
      </c>
    </row>
    <row r="63" spans="1:10">
      <c r="B63" s="205" t="s">
        <v>341</v>
      </c>
      <c r="C63" s="212" t="s">
        <v>301</v>
      </c>
      <c r="D63" s="212" t="str">
        <f>'[1]AGR COMFR'!D63</f>
        <v>AT</v>
      </c>
      <c r="E63" s="212" t="s">
        <v>301</v>
      </c>
      <c r="F63" s="212" t="s">
        <v>301</v>
      </c>
      <c r="G63" s="212" t="str">
        <f>'[1]AGR COMFR'!G63</f>
        <v>s2d2b3</v>
      </c>
      <c r="H63" s="212" t="s">
        <v>301</v>
      </c>
      <c r="I63" s="211">
        <v>0</v>
      </c>
      <c r="J63" s="212">
        <f>'[1]AGR COMFR'!J63</f>
        <v>2.4160000000000001E-2</v>
      </c>
    </row>
    <row r="64" spans="1:10">
      <c r="B64" s="205" t="s">
        <v>341</v>
      </c>
      <c r="C64" s="212" t="s">
        <v>301</v>
      </c>
      <c r="D64" s="212" t="str">
        <f>'[1]AGR COMFR'!D64</f>
        <v>AT</v>
      </c>
      <c r="E64" s="212" t="s">
        <v>301</v>
      </c>
      <c r="F64" s="212" t="s">
        <v>301</v>
      </c>
      <c r="G64" s="212" t="str">
        <f>'[1]AGR COMFR'!G64</f>
        <v>s3d1b1</v>
      </c>
      <c r="H64" s="212" t="s">
        <v>301</v>
      </c>
      <c r="I64" s="211">
        <v>0</v>
      </c>
      <c r="J64" s="212">
        <f>'[1]AGR COMFR'!J64</f>
        <v>7.0690000000000003E-2</v>
      </c>
    </row>
    <row r="65" spans="2:10">
      <c r="B65" s="205" t="s">
        <v>341</v>
      </c>
      <c r="C65" s="212" t="s">
        <v>301</v>
      </c>
      <c r="D65" s="212" t="str">
        <f>'[1]AGR COMFR'!D65</f>
        <v>AT</v>
      </c>
      <c r="E65" s="212" t="s">
        <v>301</v>
      </c>
      <c r="F65" s="212" t="s">
        <v>301</v>
      </c>
      <c r="G65" s="212" t="str">
        <f>'[1]AGR COMFR'!G65</f>
        <v>s3d1b2</v>
      </c>
      <c r="H65" s="212" t="s">
        <v>301</v>
      </c>
      <c r="I65" s="211">
        <v>0</v>
      </c>
      <c r="J65" s="212">
        <f>'[1]AGR COMFR'!J65</f>
        <v>0.10437</v>
      </c>
    </row>
    <row r="66" spans="2:10">
      <c r="B66" s="205" t="s">
        <v>341</v>
      </c>
      <c r="C66" s="212" t="s">
        <v>301</v>
      </c>
      <c r="D66" s="212" t="str">
        <f>'[1]AGR COMFR'!D66</f>
        <v>AT</v>
      </c>
      <c r="E66" s="212" t="s">
        <v>301</v>
      </c>
      <c r="F66" s="212" t="s">
        <v>301</v>
      </c>
      <c r="G66" s="212" t="str">
        <f>'[1]AGR COMFR'!G66</f>
        <v>s3d1b3</v>
      </c>
      <c r="H66" s="212" t="s">
        <v>301</v>
      </c>
      <c r="I66" s="211">
        <v>0</v>
      </c>
      <c r="J66" s="212">
        <f>'[1]AGR COMFR'!J66</f>
        <v>6.7390000000000005E-2</v>
      </c>
    </row>
    <row r="67" spans="2:10">
      <c r="B67" s="205" t="s">
        <v>341</v>
      </c>
      <c r="C67" s="212" t="s">
        <v>301</v>
      </c>
      <c r="D67" s="212" t="str">
        <f>'[1]AGR COMFR'!D67</f>
        <v>AT</v>
      </c>
      <c r="E67" s="212" t="s">
        <v>301</v>
      </c>
      <c r="F67" s="212" t="s">
        <v>301</v>
      </c>
      <c r="G67" s="212" t="str">
        <f>'[1]AGR COMFR'!G67</f>
        <v>s3d2b1</v>
      </c>
      <c r="H67" s="212" t="s">
        <v>301</v>
      </c>
      <c r="I67" s="211">
        <v>0</v>
      </c>
      <c r="J67" s="212">
        <f>'[1]AGR COMFR'!J67</f>
        <v>2.6200000000000001E-2</v>
      </c>
    </row>
    <row r="68" spans="2:10">
      <c r="B68" s="205" t="s">
        <v>341</v>
      </c>
      <c r="C68" s="212" t="s">
        <v>301</v>
      </c>
      <c r="D68" s="212" t="str">
        <f>'[1]AGR COMFR'!D68</f>
        <v>AT</v>
      </c>
      <c r="E68" s="212" t="s">
        <v>301</v>
      </c>
      <c r="F68" s="212" t="s">
        <v>301</v>
      </c>
      <c r="G68" s="212" t="str">
        <f>'[1]AGR COMFR'!G68</f>
        <v>s3d2b2</v>
      </c>
      <c r="H68" s="212" t="s">
        <v>301</v>
      </c>
      <c r="I68" s="211">
        <v>0</v>
      </c>
      <c r="J68" s="212">
        <f>'[1]AGR COMFR'!J68</f>
        <v>4.3889999999999998E-2</v>
      </c>
    </row>
    <row r="69" spans="2:10">
      <c r="B69" s="205" t="s">
        <v>341</v>
      </c>
      <c r="C69" s="212" t="s">
        <v>301</v>
      </c>
      <c r="D69" s="212" t="str">
        <f>'[1]AGR COMFR'!D69</f>
        <v>AT</v>
      </c>
      <c r="E69" s="212" t="s">
        <v>301</v>
      </c>
      <c r="F69" s="212" t="s">
        <v>301</v>
      </c>
      <c r="G69" s="212" t="str">
        <f>'[1]AGR COMFR'!G69</f>
        <v>s3d2b3</v>
      </c>
      <c r="H69" s="212" t="s">
        <v>301</v>
      </c>
      <c r="I69" s="211">
        <v>0</v>
      </c>
      <c r="J69" s="212">
        <f>'[1]AGR COMFR'!J69</f>
        <v>2.496E-2</v>
      </c>
    </row>
    <row r="70" spans="2:10">
      <c r="B70" s="205" t="s">
        <v>341</v>
      </c>
      <c r="C70" s="212" t="s">
        <v>301</v>
      </c>
      <c r="D70" s="212" t="str">
        <f>'[1]AGR COMFR'!D70</f>
        <v>AI</v>
      </c>
      <c r="E70" s="212" t="s">
        <v>301</v>
      </c>
      <c r="F70" s="212" t="s">
        <v>301</v>
      </c>
      <c r="G70" s="212" t="str">
        <f>'[1]AGR COMFR'!G70</f>
        <v>s1d1b1</v>
      </c>
      <c r="H70" s="212" t="s">
        <v>301</v>
      </c>
      <c r="I70" s="211">
        <v>0</v>
      </c>
      <c r="J70" s="212">
        <f>'[1]AGR COMFR'!J70</f>
        <v>6.1920000000000003E-2</v>
      </c>
    </row>
    <row r="71" spans="2:10">
      <c r="B71" s="205" t="s">
        <v>341</v>
      </c>
      <c r="C71" s="212" t="s">
        <v>301</v>
      </c>
      <c r="D71" s="212" t="str">
        <f>'[1]AGR COMFR'!D71</f>
        <v>AI</v>
      </c>
      <c r="E71" s="212" t="s">
        <v>301</v>
      </c>
      <c r="F71" s="212" t="s">
        <v>301</v>
      </c>
      <c r="G71" s="212" t="str">
        <f>'[1]AGR COMFR'!G71</f>
        <v>s1d1b2</v>
      </c>
      <c r="H71" s="212" t="s">
        <v>301</v>
      </c>
      <c r="I71" s="211">
        <v>0</v>
      </c>
      <c r="J71" s="212">
        <f>'[1]AGR COMFR'!J71</f>
        <v>0.14323999999999973</v>
      </c>
    </row>
    <row r="72" spans="2:10">
      <c r="B72" s="205" t="s">
        <v>341</v>
      </c>
      <c r="C72" s="212" t="s">
        <v>301</v>
      </c>
      <c r="D72" s="212" t="str">
        <f>'[1]AGR COMFR'!D72</f>
        <v>AI</v>
      </c>
      <c r="E72" s="212" t="s">
        <v>301</v>
      </c>
      <c r="F72" s="212" t="s">
        <v>301</v>
      </c>
      <c r="G72" s="212" t="str">
        <f>'[1]AGR COMFR'!G72</f>
        <v>s1d1b3</v>
      </c>
      <c r="H72" s="212" t="s">
        <v>301</v>
      </c>
      <c r="I72" s="211">
        <v>0</v>
      </c>
      <c r="J72" s="212">
        <f>'[1]AGR COMFR'!J72</f>
        <v>4.4359999999999997E-2</v>
      </c>
    </row>
    <row r="73" spans="2:10">
      <c r="B73" s="205" t="s">
        <v>341</v>
      </c>
      <c r="C73" s="212" t="s">
        <v>301</v>
      </c>
      <c r="D73" s="212" t="str">
        <f>'[1]AGR COMFR'!D73</f>
        <v>AI</v>
      </c>
      <c r="E73" s="212" t="s">
        <v>301</v>
      </c>
      <c r="F73" s="212" t="s">
        <v>301</v>
      </c>
      <c r="G73" s="212" t="str">
        <f>'[1]AGR COMFR'!G73</f>
        <v>s1d2b1</v>
      </c>
      <c r="H73" s="212" t="s">
        <v>301</v>
      </c>
      <c r="I73" s="211">
        <v>0</v>
      </c>
      <c r="J73" s="212">
        <f>'[1]AGR COMFR'!J73</f>
        <v>3.0980000000000001E-2</v>
      </c>
    </row>
    <row r="74" spans="2:10">
      <c r="B74" s="205" t="s">
        <v>341</v>
      </c>
      <c r="C74" s="212" t="s">
        <v>301</v>
      </c>
      <c r="D74" s="212" t="str">
        <f>'[1]AGR COMFR'!D74</f>
        <v>AI</v>
      </c>
      <c r="E74" s="212" t="s">
        <v>301</v>
      </c>
      <c r="F74" s="212" t="s">
        <v>301</v>
      </c>
      <c r="G74" s="212" t="str">
        <f>'[1]AGR COMFR'!G74</f>
        <v>s1d2b2</v>
      </c>
      <c r="H74" s="212" t="s">
        <v>301</v>
      </c>
      <c r="I74" s="211">
        <v>0</v>
      </c>
      <c r="J74" s="212">
        <f>'[1]AGR COMFR'!J74</f>
        <v>5.7020000000000001E-2</v>
      </c>
    </row>
    <row r="75" spans="2:10">
      <c r="B75" s="205" t="s">
        <v>341</v>
      </c>
      <c r="C75" s="212" t="s">
        <v>301</v>
      </c>
      <c r="D75" s="212" t="str">
        <f>'[1]AGR COMFR'!D75</f>
        <v>AI</v>
      </c>
      <c r="E75" s="212" t="s">
        <v>301</v>
      </c>
      <c r="F75" s="212" t="s">
        <v>301</v>
      </c>
      <c r="G75" s="212" t="str">
        <f>'[1]AGR COMFR'!G75</f>
        <v>s1d2b3</v>
      </c>
      <c r="H75" s="212" t="s">
        <v>301</v>
      </c>
      <c r="I75" s="211">
        <v>0</v>
      </c>
      <c r="J75" s="212">
        <f>'[1]AGR COMFR'!J75</f>
        <v>1.9029999999999998E-2</v>
      </c>
    </row>
    <row r="76" spans="2:10">
      <c r="B76" s="205" t="s">
        <v>341</v>
      </c>
      <c r="C76" s="212" t="s">
        <v>301</v>
      </c>
      <c r="D76" s="212" t="str">
        <f>'[1]AGR COMFR'!D76</f>
        <v>AI</v>
      </c>
      <c r="E76" s="212" t="s">
        <v>301</v>
      </c>
      <c r="F76" s="212" t="s">
        <v>301</v>
      </c>
      <c r="G76" s="212" t="str">
        <f>'[1]AGR COMFR'!G76</f>
        <v>s2d1b1</v>
      </c>
      <c r="H76" s="212" t="s">
        <v>301</v>
      </c>
      <c r="I76" s="211">
        <v>0</v>
      </c>
      <c r="J76" s="212">
        <f>'[1]AGR COMFR'!J76</f>
        <v>4.4650000000000002E-2</v>
      </c>
    </row>
    <row r="77" spans="2:10">
      <c r="B77" s="205" t="s">
        <v>341</v>
      </c>
      <c r="C77" s="212" t="s">
        <v>301</v>
      </c>
      <c r="D77" s="212" t="str">
        <f>'[1]AGR COMFR'!D77</f>
        <v>AI</v>
      </c>
      <c r="E77" s="212" t="s">
        <v>301</v>
      </c>
      <c r="F77" s="212" t="s">
        <v>301</v>
      </c>
      <c r="G77" s="212" t="str">
        <f>'[1]AGR COMFR'!G77</f>
        <v>s2d1b2</v>
      </c>
      <c r="H77" s="212" t="s">
        <v>301</v>
      </c>
      <c r="I77" s="211">
        <v>0</v>
      </c>
      <c r="J77" s="212">
        <f>'[1]AGR COMFR'!J77</f>
        <v>4.5690000000000001E-2</v>
      </c>
    </row>
    <row r="78" spans="2:10">
      <c r="B78" s="205" t="s">
        <v>341</v>
      </c>
      <c r="C78" s="212" t="s">
        <v>301</v>
      </c>
      <c r="D78" s="212" t="str">
        <f>'[1]AGR COMFR'!D78</f>
        <v>AI</v>
      </c>
      <c r="E78" s="212" t="s">
        <v>301</v>
      </c>
      <c r="F78" s="212" t="s">
        <v>301</v>
      </c>
      <c r="G78" s="212" t="str">
        <f>'[1]AGR COMFR'!G78</f>
        <v>s2d1b3</v>
      </c>
      <c r="H78" s="212" t="s">
        <v>301</v>
      </c>
      <c r="I78" s="211">
        <v>0</v>
      </c>
      <c r="J78" s="212">
        <f>'[1]AGR COMFR'!J78</f>
        <v>7.7109999999999998E-2</v>
      </c>
    </row>
    <row r="79" spans="2:10">
      <c r="B79" s="205" t="s">
        <v>341</v>
      </c>
      <c r="C79" s="212" t="s">
        <v>301</v>
      </c>
      <c r="D79" s="212" t="str">
        <f>'[1]AGR COMFR'!D79</f>
        <v>AI</v>
      </c>
      <c r="E79" s="212" t="s">
        <v>301</v>
      </c>
      <c r="F79" s="212" t="s">
        <v>301</v>
      </c>
      <c r="G79" s="212" t="str">
        <f>'[1]AGR COMFR'!G79</f>
        <v>s2d1b4</v>
      </c>
      <c r="H79" s="212" t="s">
        <v>301</v>
      </c>
      <c r="I79" s="211">
        <v>0</v>
      </c>
      <c r="J79" s="212">
        <f>'[1]AGR COMFR'!J79</f>
        <v>2.895E-2</v>
      </c>
    </row>
    <row r="80" spans="2:10">
      <c r="B80" s="205" t="s">
        <v>341</v>
      </c>
      <c r="C80" s="212" t="s">
        <v>301</v>
      </c>
      <c r="D80" s="212" t="str">
        <f>'[1]AGR COMFR'!D80</f>
        <v>AI</v>
      </c>
      <c r="E80" s="212" t="s">
        <v>301</v>
      </c>
      <c r="F80" s="212" t="s">
        <v>301</v>
      </c>
      <c r="G80" s="212" t="str">
        <f>'[1]AGR COMFR'!G80</f>
        <v>s2d1b5</v>
      </c>
      <c r="H80" s="212" t="s">
        <v>301</v>
      </c>
      <c r="I80" s="211">
        <v>0</v>
      </c>
      <c r="J80" s="212">
        <f>'[1]AGR COMFR'!J80</f>
        <v>1.7520000000000001E-2</v>
      </c>
    </row>
    <row r="81" spans="2:10">
      <c r="B81" s="205" t="s">
        <v>341</v>
      </c>
      <c r="C81" s="212" t="s">
        <v>301</v>
      </c>
      <c r="D81" s="212" t="str">
        <f>'[1]AGR COMFR'!D81</f>
        <v>AI</v>
      </c>
      <c r="E81" s="212" t="s">
        <v>301</v>
      </c>
      <c r="F81" s="212" t="s">
        <v>301</v>
      </c>
      <c r="G81" s="212" t="str">
        <f>'[1]AGR COMFR'!G81</f>
        <v>s2d2b1</v>
      </c>
      <c r="H81" s="212" t="s">
        <v>301</v>
      </c>
      <c r="I81" s="211">
        <v>0</v>
      </c>
      <c r="J81" s="212">
        <f>'[1]AGR COMFR'!J81</f>
        <v>2.6630000000000001E-2</v>
      </c>
    </row>
    <row r="82" spans="2:10">
      <c r="B82" s="205" t="s">
        <v>341</v>
      </c>
      <c r="C82" s="212" t="s">
        <v>301</v>
      </c>
      <c r="D82" s="212" t="str">
        <f>'[1]AGR COMFR'!D82</f>
        <v>AI</v>
      </c>
      <c r="E82" s="212" t="s">
        <v>301</v>
      </c>
      <c r="F82" s="212" t="s">
        <v>301</v>
      </c>
      <c r="G82" s="212" t="str">
        <f>'[1]AGR COMFR'!G82</f>
        <v>s2d2b2</v>
      </c>
      <c r="H82" s="212" t="s">
        <v>301</v>
      </c>
      <c r="I82" s="211">
        <v>0</v>
      </c>
      <c r="J82" s="212">
        <f>'[1]AGR COMFR'!J82</f>
        <v>4.9029999999999997E-2</v>
      </c>
    </row>
    <row r="83" spans="2:10">
      <c r="B83" s="205" t="s">
        <v>341</v>
      </c>
      <c r="C83" s="212" t="s">
        <v>301</v>
      </c>
      <c r="D83" s="212" t="str">
        <f>'[1]AGR COMFR'!D83</f>
        <v>AI</v>
      </c>
      <c r="E83" s="212" t="s">
        <v>301</v>
      </c>
      <c r="F83" s="212" t="s">
        <v>301</v>
      </c>
      <c r="G83" s="212" t="str">
        <f>'[1]AGR COMFR'!G83</f>
        <v>s2d2b3</v>
      </c>
      <c r="H83" s="212" t="s">
        <v>301</v>
      </c>
      <c r="I83" s="211">
        <v>0</v>
      </c>
      <c r="J83" s="212">
        <f>'[1]AGR COMFR'!J83</f>
        <v>1.636E-2</v>
      </c>
    </row>
    <row r="84" spans="2:10">
      <c r="B84" s="205" t="s">
        <v>341</v>
      </c>
      <c r="C84" s="212" t="s">
        <v>301</v>
      </c>
      <c r="D84" s="212" t="str">
        <f>'[1]AGR COMFR'!D84</f>
        <v>AI</v>
      </c>
      <c r="E84" s="212" t="s">
        <v>301</v>
      </c>
      <c r="F84" s="212" t="s">
        <v>301</v>
      </c>
      <c r="G84" s="212" t="str">
        <f>'[1]AGR COMFR'!G84</f>
        <v>s3d1b1</v>
      </c>
      <c r="H84" s="212" t="s">
        <v>301</v>
      </c>
      <c r="I84" s="211">
        <v>0</v>
      </c>
      <c r="J84" s="212">
        <f>'[1]AGR COMFR'!J84</f>
        <v>7.0180000000000006E-2</v>
      </c>
    </row>
    <row r="85" spans="2:10">
      <c r="B85" s="205" t="s">
        <v>341</v>
      </c>
      <c r="C85" s="212" t="s">
        <v>301</v>
      </c>
      <c r="D85" s="212" t="str">
        <f>'[1]AGR COMFR'!D85</f>
        <v>AI</v>
      </c>
      <c r="E85" s="212" t="s">
        <v>301</v>
      </c>
      <c r="F85" s="212" t="s">
        <v>301</v>
      </c>
      <c r="G85" s="212" t="str">
        <f>'[1]AGR COMFR'!G85</f>
        <v>s3d1b2</v>
      </c>
      <c r="H85" s="212" t="s">
        <v>301</v>
      </c>
      <c r="I85" s="211">
        <v>0</v>
      </c>
      <c r="J85" s="212">
        <f>'[1]AGR COMFR'!J85</f>
        <v>0.12917000000000001</v>
      </c>
    </row>
    <row r="86" spans="2:10">
      <c r="B86" s="205" t="s">
        <v>341</v>
      </c>
      <c r="C86" s="212" t="s">
        <v>301</v>
      </c>
      <c r="D86" s="212" t="str">
        <f>'[1]AGR COMFR'!D86</f>
        <v>AI</v>
      </c>
      <c r="E86" s="212" t="s">
        <v>301</v>
      </c>
      <c r="F86" s="212" t="s">
        <v>301</v>
      </c>
      <c r="G86" s="212" t="str">
        <f>'[1]AGR COMFR'!G86</f>
        <v>s3d1b3</v>
      </c>
      <c r="H86" s="212" t="s">
        <v>301</v>
      </c>
      <c r="I86" s="211">
        <v>0</v>
      </c>
      <c r="J86" s="212">
        <f>'[1]AGR COMFR'!J86</f>
        <v>4.3110000000000002E-2</v>
      </c>
    </row>
    <row r="87" spans="2:10">
      <c r="B87" s="205" t="s">
        <v>341</v>
      </c>
      <c r="C87" s="212" t="s">
        <v>301</v>
      </c>
      <c r="D87" s="212" t="str">
        <f>'[1]AGR COMFR'!D87</f>
        <v>AI</v>
      </c>
      <c r="E87" s="212" t="s">
        <v>301</v>
      </c>
      <c r="F87" s="212" t="s">
        <v>301</v>
      </c>
      <c r="G87" s="212" t="str">
        <f>'[1]AGR COMFR'!G87</f>
        <v>s3d2b1</v>
      </c>
      <c r="H87" s="212" t="s">
        <v>301</v>
      </c>
      <c r="I87" s="211">
        <v>0</v>
      </c>
      <c r="J87" s="212">
        <f>'[1]AGR COMFR'!J87</f>
        <v>2.751E-2</v>
      </c>
    </row>
    <row r="88" spans="2:10">
      <c r="B88" s="205" t="s">
        <v>341</v>
      </c>
      <c r="C88" s="212" t="s">
        <v>301</v>
      </c>
      <c r="D88" s="212" t="str">
        <f>'[1]AGR COMFR'!D88</f>
        <v>AI</v>
      </c>
      <c r="E88" s="212" t="s">
        <v>301</v>
      </c>
      <c r="F88" s="212" t="s">
        <v>301</v>
      </c>
      <c r="G88" s="212" t="str">
        <f>'[1]AGR COMFR'!G88</f>
        <v>s3d2b2</v>
      </c>
      <c r="H88" s="212" t="s">
        <v>301</v>
      </c>
      <c r="I88" s="211">
        <v>0</v>
      </c>
      <c r="J88" s="212">
        <f>'[1]AGR COMFR'!J88</f>
        <v>5.0639999999999998E-2</v>
      </c>
    </row>
    <row r="89" spans="2:10">
      <c r="B89" s="205" t="s">
        <v>341</v>
      </c>
      <c r="C89" s="212" t="s">
        <v>301</v>
      </c>
      <c r="D89" s="212" t="str">
        <f>'[1]AGR COMFR'!D89</f>
        <v>AI</v>
      </c>
      <c r="E89" s="212" t="s">
        <v>301</v>
      </c>
      <c r="F89" s="212" t="s">
        <v>301</v>
      </c>
      <c r="G89" s="212" t="str">
        <f>'[1]AGR COMFR'!G89</f>
        <v>s3d2b3</v>
      </c>
      <c r="H89" s="212" t="s">
        <v>301</v>
      </c>
      <c r="I89" s="211">
        <v>0</v>
      </c>
      <c r="J89" s="212">
        <f>'[1]AGR COMFR'!J89</f>
        <v>1.6899999999999998E-2</v>
      </c>
    </row>
    <row r="90" spans="2:10">
      <c r="B90" s="205" t="s">
        <v>341</v>
      </c>
      <c r="C90" s="212" t="s">
        <v>301</v>
      </c>
      <c r="D90" s="212" t="str">
        <f>'[1]AGR COMFR'!D90</f>
        <v>AO</v>
      </c>
      <c r="E90" s="212" t="s">
        <v>301</v>
      </c>
      <c r="F90" s="212" t="s">
        <v>301</v>
      </c>
      <c r="G90" s="212" t="str">
        <f>'[1]AGR COMFR'!G90</f>
        <v>s1d1b1</v>
      </c>
      <c r="H90" s="212" t="s">
        <v>301</v>
      </c>
      <c r="I90" s="211">
        <v>0</v>
      </c>
      <c r="J90" s="212">
        <f>'[1]AGR COMFR'!J90</f>
        <v>7.7240000000000003E-2</v>
      </c>
    </row>
    <row r="91" spans="2:10">
      <c r="B91" s="205" t="s">
        <v>341</v>
      </c>
      <c r="C91" s="212" t="s">
        <v>301</v>
      </c>
      <c r="D91" s="212" t="str">
        <f>'[1]AGR COMFR'!D91</f>
        <v>AO</v>
      </c>
      <c r="E91" s="212" t="s">
        <v>301</v>
      </c>
      <c r="F91" s="212" t="s">
        <v>301</v>
      </c>
      <c r="G91" s="212" t="str">
        <f>'[1]AGR COMFR'!G91</f>
        <v>s1d1b2</v>
      </c>
      <c r="H91" s="212" t="s">
        <v>301</v>
      </c>
      <c r="I91" s="211">
        <v>0</v>
      </c>
      <c r="J91" s="212">
        <f>'[1]AGR COMFR'!J91</f>
        <v>0.13851000000000011</v>
      </c>
    </row>
    <row r="92" spans="2:10">
      <c r="B92" s="205" t="s">
        <v>341</v>
      </c>
      <c r="C92" s="212" t="s">
        <v>301</v>
      </c>
      <c r="D92" s="212" t="str">
        <f>'[1]AGR COMFR'!D92</f>
        <v>AO</v>
      </c>
      <c r="E92" s="212" t="s">
        <v>301</v>
      </c>
      <c r="F92" s="212" t="s">
        <v>301</v>
      </c>
      <c r="G92" s="212" t="str">
        <f>'[1]AGR COMFR'!G92</f>
        <v>s1d1b3</v>
      </c>
      <c r="H92" s="212" t="s">
        <v>301</v>
      </c>
      <c r="I92" s="211">
        <v>0</v>
      </c>
      <c r="J92" s="212">
        <f>'[1]AGR COMFR'!J92</f>
        <v>3.3770000000000001E-2</v>
      </c>
    </row>
    <row r="93" spans="2:10">
      <c r="B93" s="205" t="s">
        <v>341</v>
      </c>
      <c r="C93" s="212" t="s">
        <v>301</v>
      </c>
      <c r="D93" s="212" t="str">
        <f>'[1]AGR COMFR'!D93</f>
        <v>AO</v>
      </c>
      <c r="E93" s="212" t="s">
        <v>301</v>
      </c>
      <c r="F93" s="212" t="s">
        <v>301</v>
      </c>
      <c r="G93" s="212" t="str">
        <f>'[1]AGR COMFR'!G93</f>
        <v>s1d2b1</v>
      </c>
      <c r="H93" s="212" t="s">
        <v>301</v>
      </c>
      <c r="I93" s="211">
        <v>0</v>
      </c>
      <c r="J93" s="212">
        <f>'[1]AGR COMFR'!J93</f>
        <v>4.1419999999999998E-2</v>
      </c>
    </row>
    <row r="94" spans="2:10">
      <c r="B94" s="205" t="s">
        <v>341</v>
      </c>
      <c r="C94" s="212" t="s">
        <v>301</v>
      </c>
      <c r="D94" s="212" t="str">
        <f>'[1]AGR COMFR'!D94</f>
        <v>AO</v>
      </c>
      <c r="E94" s="212" t="s">
        <v>301</v>
      </c>
      <c r="F94" s="212" t="s">
        <v>301</v>
      </c>
      <c r="G94" s="212" t="str">
        <f>'[1]AGR COMFR'!G94</f>
        <v>s1d2b2</v>
      </c>
      <c r="H94" s="212" t="s">
        <v>301</v>
      </c>
      <c r="I94" s="211">
        <v>0</v>
      </c>
      <c r="J94" s="212">
        <f>'[1]AGR COMFR'!J94</f>
        <v>4.9360000000000001E-2</v>
      </c>
    </row>
    <row r="95" spans="2:10">
      <c r="B95" s="205" t="s">
        <v>341</v>
      </c>
      <c r="C95" s="212" t="s">
        <v>301</v>
      </c>
      <c r="D95" s="212" t="str">
        <f>'[1]AGR COMFR'!D95</f>
        <v>AO</v>
      </c>
      <c r="E95" s="212" t="s">
        <v>301</v>
      </c>
      <c r="F95" s="212" t="s">
        <v>301</v>
      </c>
      <c r="G95" s="212" t="str">
        <f>'[1]AGR COMFR'!G95</f>
        <v>s1d2b3</v>
      </c>
      <c r="H95" s="212" t="s">
        <v>301</v>
      </c>
      <c r="I95" s="211">
        <v>0</v>
      </c>
      <c r="J95" s="212">
        <f>'[1]AGR COMFR'!J95</f>
        <v>1.6250000000000001E-2</v>
      </c>
    </row>
    <row r="96" spans="2:10">
      <c r="B96" s="205" t="s">
        <v>341</v>
      </c>
      <c r="C96" s="212" t="s">
        <v>301</v>
      </c>
      <c r="D96" s="212" t="str">
        <f>'[1]AGR COMFR'!D96</f>
        <v>AO</v>
      </c>
      <c r="E96" s="212" t="s">
        <v>301</v>
      </c>
      <c r="F96" s="212" t="s">
        <v>301</v>
      </c>
      <c r="G96" s="212" t="str">
        <f>'[1]AGR COMFR'!G96</f>
        <v>s2d1b1</v>
      </c>
      <c r="H96" s="212" t="s">
        <v>301</v>
      </c>
      <c r="I96" s="211">
        <v>0</v>
      </c>
      <c r="J96" s="212">
        <f>'[1]AGR COMFR'!J96</f>
        <v>5.8340000000000003E-2</v>
      </c>
    </row>
    <row r="97" spans="2:10">
      <c r="B97" s="205" t="s">
        <v>341</v>
      </c>
      <c r="C97" s="212" t="s">
        <v>301</v>
      </c>
      <c r="D97" s="212" t="str">
        <f>'[1]AGR COMFR'!D97</f>
        <v>AO</v>
      </c>
      <c r="E97" s="212" t="s">
        <v>301</v>
      </c>
      <c r="F97" s="212" t="s">
        <v>301</v>
      </c>
      <c r="G97" s="212" t="str">
        <f>'[1]AGR COMFR'!G97</f>
        <v>s2d1b2</v>
      </c>
      <c r="H97" s="212" t="s">
        <v>301</v>
      </c>
      <c r="I97" s="211">
        <v>0</v>
      </c>
      <c r="J97" s="212">
        <f>'[1]AGR COMFR'!J97</f>
        <v>4.3990000000000001E-2</v>
      </c>
    </row>
    <row r="98" spans="2:10">
      <c r="B98" s="205" t="s">
        <v>341</v>
      </c>
      <c r="C98" s="212" t="s">
        <v>301</v>
      </c>
      <c r="D98" s="212" t="str">
        <f>'[1]AGR COMFR'!D98</f>
        <v>AO</v>
      </c>
      <c r="E98" s="212" t="s">
        <v>301</v>
      </c>
      <c r="F98" s="212" t="s">
        <v>301</v>
      </c>
      <c r="G98" s="212" t="str">
        <f>'[1]AGR COMFR'!G98</f>
        <v>s2d1b3</v>
      </c>
      <c r="H98" s="212" t="s">
        <v>301</v>
      </c>
      <c r="I98" s="211">
        <v>0</v>
      </c>
      <c r="J98" s="212">
        <f>'[1]AGR COMFR'!J98</f>
        <v>7.5999999999999998E-2</v>
      </c>
    </row>
    <row r="99" spans="2:10">
      <c r="B99" s="205" t="s">
        <v>341</v>
      </c>
      <c r="C99" s="212" t="s">
        <v>301</v>
      </c>
      <c r="D99" s="212" t="str">
        <f>'[1]AGR COMFR'!D99</f>
        <v>AO</v>
      </c>
      <c r="E99" s="212" t="s">
        <v>301</v>
      </c>
      <c r="F99" s="212" t="s">
        <v>301</v>
      </c>
      <c r="G99" s="212" t="str">
        <f>'[1]AGR COMFR'!G99</f>
        <v>s2d1b4</v>
      </c>
      <c r="H99" s="212" t="s">
        <v>301</v>
      </c>
      <c r="I99" s="211">
        <v>0</v>
      </c>
      <c r="J99" s="212">
        <f>'[1]AGR COMFR'!J99</f>
        <v>2.1649999999999999E-2</v>
      </c>
    </row>
    <row r="100" spans="2:10">
      <c r="B100" s="205" t="s">
        <v>341</v>
      </c>
      <c r="C100" s="212" t="s">
        <v>301</v>
      </c>
      <c r="D100" s="212" t="str">
        <f>'[1]AGR COMFR'!D100</f>
        <v>AO</v>
      </c>
      <c r="E100" s="212" t="s">
        <v>301</v>
      </c>
      <c r="F100" s="212" t="s">
        <v>301</v>
      </c>
      <c r="G100" s="212" t="str">
        <f>'[1]AGR COMFR'!G100</f>
        <v>s2d1b5</v>
      </c>
      <c r="H100" s="212" t="s">
        <v>301</v>
      </c>
      <c r="I100" s="211">
        <v>0</v>
      </c>
      <c r="J100" s="212">
        <f>'[1]AGR COMFR'!J100</f>
        <v>1.3939999999999999E-2</v>
      </c>
    </row>
    <row r="101" spans="2:10">
      <c r="B101" s="205" t="s">
        <v>341</v>
      </c>
      <c r="C101" s="212" t="s">
        <v>301</v>
      </c>
      <c r="D101" s="212" t="str">
        <f>'[1]AGR COMFR'!D101</f>
        <v>AO</v>
      </c>
      <c r="E101" s="212" t="s">
        <v>301</v>
      </c>
      <c r="F101" s="212" t="s">
        <v>301</v>
      </c>
      <c r="G101" s="212" t="str">
        <f>'[1]AGR COMFR'!G101</f>
        <v>s2d2b1</v>
      </c>
      <c r="H101" s="212" t="s">
        <v>301</v>
      </c>
      <c r="I101" s="211">
        <v>0</v>
      </c>
      <c r="J101" s="212">
        <f>'[1]AGR COMFR'!J101</f>
        <v>3.5490000000000001E-2</v>
      </c>
    </row>
    <row r="102" spans="2:10">
      <c r="B102" s="205" t="s">
        <v>341</v>
      </c>
      <c r="C102" s="212" t="s">
        <v>301</v>
      </c>
      <c r="D102" s="212" t="str">
        <f>'[1]AGR COMFR'!D102</f>
        <v>AO</v>
      </c>
      <c r="E102" s="212" t="s">
        <v>301</v>
      </c>
      <c r="F102" s="212" t="s">
        <v>301</v>
      </c>
      <c r="G102" s="212" t="str">
        <f>'[1]AGR COMFR'!G102</f>
        <v>s2d2b2</v>
      </c>
      <c r="H102" s="212" t="s">
        <v>301</v>
      </c>
      <c r="I102" s="211">
        <v>0</v>
      </c>
      <c r="J102" s="212">
        <f>'[1]AGR COMFR'!J102</f>
        <v>4.2590000000000003E-2</v>
      </c>
    </row>
    <row r="103" spans="2:10">
      <c r="B103" s="205" t="s">
        <v>341</v>
      </c>
      <c r="C103" s="212" t="s">
        <v>301</v>
      </c>
      <c r="D103" s="212" t="str">
        <f>'[1]AGR COMFR'!D103</f>
        <v>AO</v>
      </c>
      <c r="E103" s="212" t="s">
        <v>301</v>
      </c>
      <c r="F103" s="212" t="s">
        <v>301</v>
      </c>
      <c r="G103" s="212" t="str">
        <f>'[1]AGR COMFR'!G103</f>
        <v>s2d2b3</v>
      </c>
      <c r="H103" s="212" t="s">
        <v>301</v>
      </c>
      <c r="I103" s="211">
        <v>0</v>
      </c>
      <c r="J103" s="212">
        <f>'[1]AGR COMFR'!J103</f>
        <v>1.3950000000000001E-2</v>
      </c>
    </row>
    <row r="104" spans="2:10">
      <c r="B104" s="205" t="s">
        <v>341</v>
      </c>
      <c r="C104" s="212" t="s">
        <v>301</v>
      </c>
      <c r="D104" s="212" t="str">
        <f>'[1]AGR COMFR'!D104</f>
        <v>AO</v>
      </c>
      <c r="E104" s="212" t="s">
        <v>301</v>
      </c>
      <c r="F104" s="212" t="s">
        <v>301</v>
      </c>
      <c r="G104" s="212" t="str">
        <f>'[1]AGR COMFR'!G104</f>
        <v>s3d1b1</v>
      </c>
      <c r="H104" s="212" t="s">
        <v>301</v>
      </c>
      <c r="I104" s="211">
        <v>0</v>
      </c>
      <c r="J104" s="212">
        <f>'[1]AGR COMFR'!J104</f>
        <v>8.7169999999999997E-2</v>
      </c>
    </row>
    <row r="105" spans="2:10">
      <c r="B105" s="205" t="s">
        <v>341</v>
      </c>
      <c r="C105" s="212" t="s">
        <v>301</v>
      </c>
      <c r="D105" s="212" t="str">
        <f>'[1]AGR COMFR'!D105</f>
        <v>AO</v>
      </c>
      <c r="E105" s="212" t="s">
        <v>301</v>
      </c>
      <c r="F105" s="212" t="s">
        <v>301</v>
      </c>
      <c r="G105" s="212" t="str">
        <f>'[1]AGR COMFR'!G105</f>
        <v>s3d1b2</v>
      </c>
      <c r="H105" s="212" t="s">
        <v>301</v>
      </c>
      <c r="I105" s="211">
        <v>0</v>
      </c>
      <c r="J105" s="212">
        <f>'[1]AGR COMFR'!J105</f>
        <v>0.12247</v>
      </c>
    </row>
    <row r="106" spans="2:10">
      <c r="B106" s="205" t="s">
        <v>341</v>
      </c>
      <c r="C106" s="212" t="s">
        <v>301</v>
      </c>
      <c r="D106" s="212" t="str">
        <f>'[1]AGR COMFR'!D106</f>
        <v>AO</v>
      </c>
      <c r="E106" s="212" t="s">
        <v>301</v>
      </c>
      <c r="F106" s="212" t="s">
        <v>301</v>
      </c>
      <c r="G106" s="212" t="str">
        <f>'[1]AGR COMFR'!G106</f>
        <v>s3d1b3</v>
      </c>
      <c r="H106" s="212" t="s">
        <v>301</v>
      </c>
      <c r="I106" s="211">
        <v>0</v>
      </c>
      <c r="J106" s="212">
        <f>'[1]AGR COMFR'!J106</f>
        <v>3.2809999999999999E-2</v>
      </c>
    </row>
    <row r="107" spans="2:10">
      <c r="B107" s="205" t="s">
        <v>341</v>
      </c>
      <c r="C107" s="212" t="s">
        <v>301</v>
      </c>
      <c r="D107" s="212" t="str">
        <f>'[1]AGR COMFR'!D107</f>
        <v>AO</v>
      </c>
      <c r="E107" s="212" t="s">
        <v>301</v>
      </c>
      <c r="F107" s="212" t="s">
        <v>301</v>
      </c>
      <c r="G107" s="212" t="str">
        <f>'[1]AGR COMFR'!G107</f>
        <v>s3d2b1</v>
      </c>
      <c r="H107" s="212" t="s">
        <v>301</v>
      </c>
      <c r="I107" s="211">
        <v>0</v>
      </c>
      <c r="J107" s="212">
        <f>'[1]AGR COMFR'!J107</f>
        <v>3.678E-2</v>
      </c>
    </row>
    <row r="108" spans="2:10">
      <c r="B108" s="205" t="s">
        <v>341</v>
      </c>
      <c r="C108" s="212" t="s">
        <v>301</v>
      </c>
      <c r="D108" s="212" t="str">
        <f>'[1]AGR COMFR'!D108</f>
        <v>AO</v>
      </c>
      <c r="E108" s="212" t="s">
        <v>301</v>
      </c>
      <c r="F108" s="212" t="s">
        <v>301</v>
      </c>
      <c r="G108" s="212" t="str">
        <f>'[1]AGR COMFR'!G108</f>
        <v>s3d2b2</v>
      </c>
      <c r="H108" s="212" t="s">
        <v>301</v>
      </c>
      <c r="I108" s="211">
        <v>0</v>
      </c>
      <c r="J108" s="212">
        <f>'[1]AGR COMFR'!J108</f>
        <v>4.3839999999999997E-2</v>
      </c>
    </row>
    <row r="109" spans="2:10">
      <c r="B109" s="205" t="s">
        <v>341</v>
      </c>
      <c r="C109" s="212" t="s">
        <v>301</v>
      </c>
      <c r="D109" s="212" t="str">
        <f>'[1]AGR COMFR'!D109</f>
        <v>AO</v>
      </c>
      <c r="E109" s="212" t="s">
        <v>301</v>
      </c>
      <c r="F109" s="212" t="s">
        <v>301</v>
      </c>
      <c r="G109" s="212" t="str">
        <f>'[1]AGR COMFR'!G109</f>
        <v>s3d2b3</v>
      </c>
      <c r="H109" s="212" t="s">
        <v>301</v>
      </c>
      <c r="I109" s="211">
        <v>0</v>
      </c>
      <c r="J109" s="212">
        <f>'[1]AGR COMFR'!J109</f>
        <v>1.443E-2</v>
      </c>
    </row>
    <row r="110" spans="2:10">
      <c r="B110" s="205"/>
      <c r="C110" s="212"/>
      <c r="D110" s="212"/>
      <c r="E110" s="212"/>
      <c r="F110" s="212"/>
      <c r="G110" s="212"/>
      <c r="H110" s="212"/>
      <c r="I110" s="211"/>
      <c r="J110" s="212"/>
    </row>
    <row r="111" spans="2:10">
      <c r="B111" s="205"/>
      <c r="C111" s="212"/>
      <c r="D111" s="212"/>
      <c r="E111" s="212"/>
      <c r="F111" s="212"/>
      <c r="G111" s="212"/>
      <c r="H111" s="212"/>
      <c r="I111" s="211"/>
      <c r="J111" s="212"/>
    </row>
    <row r="112" spans="2:10">
      <c r="B112" s="205"/>
      <c r="C112" s="212"/>
      <c r="D112" s="212"/>
      <c r="E112" s="212"/>
      <c r="F112" s="212"/>
      <c r="G112" s="212"/>
      <c r="H112" s="212"/>
      <c r="I112" s="211"/>
      <c r="J112" s="212"/>
    </row>
    <row r="113" spans="2:10">
      <c r="B113" s="205"/>
      <c r="C113" s="212"/>
      <c r="D113" s="212"/>
      <c r="E113" s="212"/>
      <c r="F113" s="212"/>
      <c r="G113" s="212"/>
      <c r="H113" s="212"/>
      <c r="I113" s="211"/>
      <c r="J113" s="212"/>
    </row>
    <row r="114" spans="2:10">
      <c r="B114" s="205"/>
      <c r="C114" s="212"/>
      <c r="D114" s="212"/>
      <c r="E114" s="212"/>
      <c r="F114" s="212"/>
      <c r="G114" s="212"/>
      <c r="H114" s="212"/>
      <c r="I114" s="211"/>
      <c r="J114" s="212"/>
    </row>
    <row r="115" spans="2:10">
      <c r="B115" s="205"/>
      <c r="C115" s="212"/>
      <c r="D115" s="212"/>
      <c r="E115" s="212"/>
      <c r="F115" s="212"/>
      <c r="G115" s="212"/>
      <c r="H115" s="212"/>
      <c r="I115" s="211"/>
      <c r="J115" s="212"/>
    </row>
    <row r="116" spans="2:10">
      <c r="B116" s="205"/>
      <c r="C116" s="212"/>
      <c r="D116" s="212"/>
      <c r="E116" s="212"/>
      <c r="F116" s="212"/>
      <c r="G116" s="212"/>
      <c r="H116" s="212"/>
      <c r="I116" s="211"/>
      <c r="J116" s="212"/>
    </row>
    <row r="117" spans="2:10">
      <c r="B117" s="205"/>
      <c r="C117" s="212"/>
      <c r="D117" s="212"/>
      <c r="E117" s="212"/>
      <c r="F117" s="212"/>
      <c r="G117" s="212"/>
      <c r="H117" s="212"/>
      <c r="I117" s="211"/>
      <c r="J117" s="212"/>
    </row>
    <row r="118" spans="2:10">
      <c r="B118" s="205"/>
      <c r="C118" s="212"/>
      <c r="D118" s="212"/>
      <c r="E118" s="212"/>
      <c r="F118" s="212"/>
      <c r="G118" s="212"/>
      <c r="H118" s="212"/>
      <c r="I118" s="211"/>
      <c r="J118" s="212"/>
    </row>
    <row r="119" spans="2:10">
      <c r="B119" s="205"/>
      <c r="C119" s="212"/>
      <c r="D119" s="212"/>
      <c r="E119" s="212"/>
      <c r="F119" s="212"/>
      <c r="G119" s="212"/>
      <c r="H119" s="212"/>
      <c r="I119" s="211"/>
      <c r="J119" s="212"/>
    </row>
    <row r="120" spans="2:10">
      <c r="B120" s="205"/>
      <c r="C120" s="212"/>
      <c r="D120" s="212"/>
      <c r="E120" s="212"/>
      <c r="F120" s="212"/>
      <c r="G120" s="212"/>
      <c r="H120" s="212"/>
      <c r="I120" s="211"/>
      <c r="J120" s="212"/>
    </row>
    <row r="121" spans="2:10">
      <c r="B121" s="205"/>
      <c r="C121" s="212"/>
      <c r="D121" s="212"/>
      <c r="E121" s="212"/>
      <c r="F121" s="212"/>
      <c r="G121" s="212"/>
      <c r="H121" s="212"/>
      <c r="I121" s="211"/>
      <c r="J121" s="212"/>
    </row>
    <row r="122" spans="2:10">
      <c r="B122" s="205"/>
      <c r="C122" s="212"/>
      <c r="D122" s="212"/>
      <c r="E122" s="212"/>
      <c r="F122" s="212"/>
      <c r="G122" s="212"/>
      <c r="H122" s="212"/>
      <c r="I122" s="211"/>
      <c r="J122" s="212"/>
    </row>
    <row r="123" spans="2:10">
      <c r="B123" s="205"/>
      <c r="C123" s="212"/>
      <c r="D123" s="212"/>
      <c r="E123" s="212"/>
      <c r="F123" s="212"/>
      <c r="G123" s="212"/>
      <c r="H123" s="212"/>
      <c r="I123" s="211"/>
      <c r="J123" s="212"/>
    </row>
    <row r="124" spans="2:10">
      <c r="B124" s="205"/>
      <c r="C124" s="212"/>
      <c r="D124" s="212"/>
      <c r="E124" s="212"/>
      <c r="F124" s="212"/>
      <c r="G124" s="212"/>
      <c r="H124" s="212"/>
      <c r="I124" s="211"/>
      <c r="J124" s="212"/>
    </row>
    <row r="125" spans="2:10">
      <c r="B125" s="205"/>
      <c r="C125" s="212"/>
      <c r="D125" s="212"/>
      <c r="E125" s="212"/>
      <c r="F125" s="212"/>
      <c r="G125" s="212"/>
      <c r="H125" s="212"/>
      <c r="I125" s="211"/>
      <c r="J125" s="212"/>
    </row>
    <row r="126" spans="2:10">
      <c r="B126" s="205"/>
      <c r="C126" s="212"/>
      <c r="D126" s="212"/>
      <c r="E126" s="212"/>
      <c r="F126" s="212"/>
      <c r="G126" s="212"/>
      <c r="H126" s="212"/>
      <c r="I126" s="211"/>
      <c r="J126" s="212"/>
    </row>
    <row r="127" spans="2:10">
      <c r="B127" s="205"/>
      <c r="C127" s="212"/>
      <c r="D127" s="212"/>
      <c r="E127" s="212"/>
      <c r="F127" s="212"/>
      <c r="G127" s="212"/>
      <c r="H127" s="212"/>
      <c r="I127" s="211"/>
      <c r="J127" s="212"/>
    </row>
    <row r="128" spans="2:10">
      <c r="B128" s="205"/>
      <c r="C128" s="212"/>
      <c r="D128" s="212"/>
      <c r="E128" s="212"/>
      <c r="F128" s="212"/>
      <c r="G128" s="212"/>
      <c r="H128" s="212"/>
      <c r="I128" s="211"/>
      <c r="J128" s="212"/>
    </row>
    <row r="129" spans="2:10">
      <c r="B129" s="205"/>
      <c r="C129" s="212"/>
      <c r="D129" s="212"/>
      <c r="E129" s="212"/>
      <c r="F129" s="212"/>
      <c r="G129" s="212"/>
      <c r="H129" s="212"/>
      <c r="I129" s="211"/>
      <c r="J129" s="212"/>
    </row>
    <row r="130" spans="2:10">
      <c r="B130" s="205"/>
      <c r="C130" s="212"/>
      <c r="D130" s="212"/>
      <c r="E130" s="212"/>
      <c r="F130" s="212"/>
      <c r="G130" s="212"/>
      <c r="H130" s="212"/>
      <c r="I130" s="211"/>
      <c r="J130" s="212"/>
    </row>
    <row r="131" spans="2:10">
      <c r="B131" s="205"/>
      <c r="C131" s="212"/>
      <c r="D131" s="212"/>
      <c r="E131" s="212"/>
      <c r="F131" s="212"/>
      <c r="G131" s="212"/>
      <c r="H131" s="212"/>
      <c r="I131" s="211"/>
      <c r="J131" s="212"/>
    </row>
    <row r="132" spans="2:10">
      <c r="B132" s="205"/>
      <c r="C132" s="212"/>
      <c r="D132" s="212"/>
      <c r="E132" s="212"/>
      <c r="F132" s="212"/>
      <c r="G132" s="212"/>
      <c r="H132" s="212"/>
      <c r="I132" s="211"/>
      <c r="J132" s="212"/>
    </row>
    <row r="133" spans="2:10">
      <c r="B133" s="205"/>
      <c r="C133" s="212"/>
      <c r="D133" s="212"/>
      <c r="E133" s="212"/>
      <c r="F133" s="212"/>
      <c r="G133" s="212"/>
      <c r="H133" s="212"/>
      <c r="I133" s="211"/>
      <c r="J133" s="212"/>
    </row>
    <row r="134" spans="2:10">
      <c r="B134" s="205"/>
      <c r="C134" s="212"/>
      <c r="D134" s="212"/>
      <c r="E134" s="212"/>
      <c r="F134" s="212"/>
      <c r="G134" s="212"/>
      <c r="H134" s="212"/>
      <c r="I134" s="211"/>
      <c r="J134" s="212"/>
    </row>
    <row r="135" spans="2:10">
      <c r="B135" s="205"/>
      <c r="C135" s="212"/>
      <c r="D135" s="212"/>
      <c r="E135" s="212"/>
      <c r="F135" s="212"/>
      <c r="G135" s="212"/>
      <c r="H135" s="212"/>
      <c r="I135" s="211"/>
      <c r="J135" s="212"/>
    </row>
    <row r="136" spans="2:10">
      <c r="B136" s="205"/>
      <c r="C136" s="212"/>
      <c r="D136" s="212"/>
      <c r="E136" s="212"/>
      <c r="F136" s="212"/>
      <c r="G136" s="212"/>
      <c r="H136" s="212"/>
      <c r="I136" s="211"/>
      <c r="J136" s="212"/>
    </row>
    <row r="137" spans="2:10">
      <c r="B137" s="205"/>
      <c r="C137" s="212"/>
      <c r="D137" s="212"/>
      <c r="E137" s="212"/>
      <c r="F137" s="212"/>
      <c r="G137" s="212"/>
      <c r="H137" s="212"/>
      <c r="I137" s="211"/>
      <c r="J137" s="212"/>
    </row>
    <row r="138" spans="2:10">
      <c r="B138" s="205"/>
      <c r="C138" s="212"/>
      <c r="D138" s="212"/>
      <c r="E138" s="212"/>
      <c r="F138" s="212"/>
      <c r="G138" s="212"/>
      <c r="H138" s="212"/>
      <c r="I138" s="211"/>
      <c r="J138" s="212"/>
    </row>
    <row r="139" spans="2:10">
      <c r="B139" s="205"/>
      <c r="C139" s="212"/>
      <c r="D139" s="212"/>
      <c r="E139" s="212"/>
      <c r="F139" s="212"/>
      <c r="G139" s="212"/>
      <c r="H139" s="212"/>
      <c r="I139" s="211"/>
      <c r="J139" s="212"/>
    </row>
    <row r="140" spans="2:10">
      <c r="B140" s="205"/>
      <c r="C140" s="212"/>
      <c r="D140" s="212"/>
      <c r="E140" s="212"/>
      <c r="F140" s="212"/>
      <c r="G140" s="212"/>
      <c r="H140" s="212"/>
      <c r="I140" s="211"/>
      <c r="J140" s="212"/>
    </row>
    <row r="141" spans="2:10">
      <c r="B141" s="205"/>
      <c r="C141" s="212"/>
      <c r="D141" s="212"/>
      <c r="E141" s="212"/>
      <c r="F141" s="212"/>
      <c r="G141" s="212"/>
      <c r="H141" s="212"/>
      <c r="I141" s="211"/>
      <c r="J141" s="212"/>
    </row>
    <row r="142" spans="2:10">
      <c r="B142" s="205"/>
      <c r="C142" s="212"/>
      <c r="D142" s="212"/>
      <c r="E142" s="212"/>
      <c r="F142" s="212"/>
      <c r="G142" s="212"/>
      <c r="H142" s="212"/>
      <c r="I142" s="211"/>
      <c r="J142" s="212"/>
    </row>
    <row r="143" spans="2:10">
      <c r="B143" s="205"/>
      <c r="C143" s="212"/>
      <c r="D143" s="212"/>
      <c r="E143" s="212"/>
      <c r="F143" s="212"/>
      <c r="G143" s="212"/>
      <c r="H143" s="212"/>
      <c r="I143" s="211"/>
      <c r="J143" s="212"/>
    </row>
    <row r="144" spans="2:10">
      <c r="B144" s="205"/>
      <c r="C144" s="212"/>
      <c r="D144" s="212"/>
      <c r="E144" s="212"/>
      <c r="F144" s="212"/>
      <c r="G144" s="212"/>
      <c r="H144" s="212"/>
      <c r="I144" s="211"/>
      <c r="J144" s="212"/>
    </row>
    <row r="145" spans="2:10">
      <c r="B145" s="205"/>
      <c r="C145" s="212"/>
      <c r="D145" s="212"/>
      <c r="E145" s="212"/>
      <c r="F145" s="212"/>
      <c r="G145" s="212"/>
      <c r="H145" s="212"/>
      <c r="I145" s="211"/>
      <c r="J145" s="212"/>
    </row>
    <row r="146" spans="2:10">
      <c r="B146" s="205"/>
      <c r="C146" s="212"/>
      <c r="D146" s="212"/>
      <c r="E146" s="212"/>
      <c r="F146" s="212"/>
      <c r="G146" s="212"/>
      <c r="H146" s="212"/>
      <c r="I146" s="211"/>
      <c r="J146" s="212"/>
    </row>
    <row r="147" spans="2:10">
      <c r="B147" s="205"/>
      <c r="C147" s="212"/>
      <c r="D147" s="212"/>
      <c r="E147" s="212"/>
      <c r="F147" s="212"/>
      <c r="G147" s="212"/>
      <c r="H147" s="212"/>
      <c r="I147" s="211"/>
      <c r="J147" s="212"/>
    </row>
    <row r="148" spans="2:10">
      <c r="B148" s="205"/>
      <c r="C148" s="212"/>
      <c r="D148" s="212"/>
      <c r="E148" s="212"/>
      <c r="F148" s="212"/>
      <c r="G148" s="212"/>
      <c r="H148" s="212"/>
      <c r="I148" s="211"/>
      <c r="J148" s="212"/>
    </row>
    <row r="149" spans="2:10">
      <c r="B149" s="205"/>
      <c r="C149" s="212"/>
      <c r="D149" s="212"/>
      <c r="E149" s="212"/>
      <c r="F149" s="212"/>
      <c r="G149" s="212"/>
      <c r="H149" s="212"/>
      <c r="I149" s="211"/>
      <c r="J149" s="212"/>
    </row>
    <row r="150" spans="2:10">
      <c r="B150" s="205"/>
      <c r="C150" s="212"/>
      <c r="D150" s="212"/>
      <c r="E150" s="212"/>
      <c r="F150" s="212"/>
      <c r="G150" s="212"/>
      <c r="H150" s="212"/>
      <c r="I150" s="211"/>
      <c r="J150" s="212"/>
    </row>
    <row r="151" spans="2:10">
      <c r="B151" s="205"/>
      <c r="C151" s="212"/>
      <c r="D151" s="212"/>
      <c r="E151" s="212"/>
      <c r="F151" s="212"/>
      <c r="G151" s="212"/>
      <c r="H151" s="212"/>
      <c r="I151" s="211"/>
      <c r="J151" s="212"/>
    </row>
    <row r="152" spans="2:10">
      <c r="B152" s="205"/>
      <c r="C152" s="212"/>
      <c r="D152" s="212"/>
      <c r="E152" s="212"/>
      <c r="F152" s="212"/>
      <c r="G152" s="212"/>
      <c r="H152" s="212"/>
      <c r="I152" s="211"/>
      <c r="J152" s="212"/>
    </row>
    <row r="153" spans="2:10">
      <c r="B153" s="205"/>
      <c r="C153" s="212"/>
      <c r="D153" s="212"/>
      <c r="E153" s="212"/>
      <c r="F153" s="212"/>
      <c r="G153" s="212"/>
      <c r="H153" s="212"/>
      <c r="I153" s="211"/>
      <c r="J153" s="212"/>
    </row>
    <row r="154" spans="2:10">
      <c r="B154" s="205"/>
      <c r="C154" s="212"/>
      <c r="D154" s="212"/>
      <c r="E154" s="212"/>
      <c r="F154" s="212"/>
      <c r="G154" s="212"/>
      <c r="H154" s="212"/>
      <c r="I154" s="211"/>
      <c r="J154" s="212"/>
    </row>
    <row r="155" spans="2:10">
      <c r="B155" s="205"/>
      <c r="C155" s="212"/>
      <c r="D155" s="212"/>
      <c r="E155" s="212"/>
      <c r="F155" s="212"/>
      <c r="G155" s="212"/>
      <c r="H155" s="212"/>
      <c r="I155" s="211"/>
      <c r="J155" s="212"/>
    </row>
    <row r="156" spans="2:10">
      <c r="B156" s="205"/>
      <c r="C156" s="212"/>
      <c r="D156" s="212"/>
      <c r="E156" s="212"/>
      <c r="F156" s="212"/>
      <c r="G156" s="212"/>
      <c r="H156" s="212"/>
      <c r="I156" s="211"/>
      <c r="J156" s="212"/>
    </row>
    <row r="157" spans="2:10">
      <c r="B157" s="205"/>
      <c r="C157" s="212"/>
      <c r="D157" s="212"/>
      <c r="E157" s="212"/>
      <c r="F157" s="212"/>
      <c r="G157" s="212"/>
      <c r="H157" s="212"/>
      <c r="I157" s="211"/>
      <c r="J157" s="212"/>
    </row>
    <row r="158" spans="2:10">
      <c r="B158" s="205"/>
      <c r="C158" s="212"/>
      <c r="D158" s="212"/>
      <c r="E158" s="212"/>
      <c r="F158" s="212"/>
      <c r="G158" s="212"/>
      <c r="H158" s="212"/>
      <c r="I158" s="211"/>
      <c r="J158" s="212"/>
    </row>
    <row r="159" spans="2:10">
      <c r="B159" s="205"/>
      <c r="C159" s="212"/>
      <c r="D159" s="212"/>
      <c r="E159" s="212"/>
      <c r="F159" s="212"/>
      <c r="G159" s="212"/>
      <c r="H159" s="212"/>
      <c r="I159" s="211"/>
      <c r="J159" s="212"/>
    </row>
    <row r="160" spans="2:10">
      <c r="B160" s="205"/>
      <c r="C160" s="212"/>
      <c r="D160" s="212"/>
      <c r="E160" s="212"/>
      <c r="F160" s="212"/>
      <c r="G160" s="212"/>
      <c r="H160" s="212"/>
      <c r="I160" s="211"/>
      <c r="J160" s="212"/>
    </row>
    <row r="161" spans="2:10">
      <c r="B161" s="205"/>
      <c r="C161" s="212"/>
      <c r="D161" s="212"/>
      <c r="E161" s="212"/>
      <c r="F161" s="212"/>
      <c r="G161" s="212"/>
      <c r="H161" s="212"/>
      <c r="I161" s="211"/>
      <c r="J161" s="212"/>
    </row>
    <row r="162" spans="2:10">
      <c r="B162" s="205"/>
      <c r="C162" s="212"/>
      <c r="D162" s="212"/>
      <c r="E162" s="212"/>
      <c r="F162" s="212"/>
      <c r="G162" s="212"/>
      <c r="H162" s="212"/>
      <c r="I162" s="211"/>
      <c r="J162" s="212"/>
    </row>
    <row r="163" spans="2:10">
      <c r="B163" s="205"/>
      <c r="C163" s="212"/>
      <c r="D163" s="212"/>
      <c r="E163" s="212"/>
      <c r="F163" s="212"/>
      <c r="G163" s="212"/>
      <c r="H163" s="212"/>
      <c r="I163" s="211"/>
      <c r="J163" s="212"/>
    </row>
    <row r="164" spans="2:10">
      <c r="B164" s="205"/>
      <c r="C164" s="212"/>
      <c r="D164" s="212"/>
      <c r="E164" s="212"/>
      <c r="F164" s="212"/>
      <c r="G164" s="212"/>
      <c r="H164" s="212"/>
      <c r="I164" s="211"/>
      <c r="J164" s="212"/>
    </row>
    <row r="165" spans="2:10">
      <c r="B165" s="205"/>
      <c r="C165" s="212"/>
      <c r="D165" s="212"/>
      <c r="E165" s="212"/>
      <c r="F165" s="212"/>
      <c r="G165" s="212"/>
      <c r="H165" s="212"/>
      <c r="I165" s="211"/>
      <c r="J165" s="212"/>
    </row>
    <row r="166" spans="2:10">
      <c r="B166" s="205"/>
      <c r="C166" s="212"/>
      <c r="D166" s="212"/>
      <c r="E166" s="212"/>
      <c r="F166" s="212"/>
      <c r="G166" s="212"/>
      <c r="H166" s="212"/>
      <c r="I166" s="211"/>
      <c r="J166" s="212"/>
    </row>
    <row r="167" spans="2:10">
      <c r="B167" s="205"/>
      <c r="C167" s="212"/>
      <c r="D167" s="212"/>
      <c r="E167" s="212"/>
      <c r="F167" s="212"/>
      <c r="G167" s="212"/>
      <c r="H167" s="212"/>
      <c r="I167" s="211"/>
      <c r="J167" s="212"/>
    </row>
    <row r="168" spans="2:10">
      <c r="B168" s="205"/>
      <c r="C168" s="212"/>
      <c r="D168" s="212"/>
      <c r="E168" s="212"/>
      <c r="F168" s="212"/>
      <c r="G168" s="212"/>
      <c r="H168" s="212"/>
      <c r="I168" s="211"/>
      <c r="J168" s="212"/>
    </row>
    <row r="169" spans="2:10">
      <c r="B169" s="205"/>
      <c r="C169" s="212"/>
      <c r="D169" s="212"/>
      <c r="E169" s="212"/>
      <c r="F169" s="212"/>
      <c r="G169" s="212"/>
      <c r="H169" s="212"/>
      <c r="I169" s="211"/>
      <c r="J169" s="212"/>
    </row>
    <row r="170" spans="2:10">
      <c r="B170" s="205"/>
      <c r="C170" s="212"/>
      <c r="D170" s="212"/>
      <c r="E170" s="212"/>
      <c r="F170" s="212"/>
      <c r="G170" s="212"/>
      <c r="H170" s="212"/>
      <c r="I170" s="211"/>
      <c r="J170" s="212"/>
    </row>
    <row r="171" spans="2:10">
      <c r="B171" s="205"/>
      <c r="C171" s="212"/>
      <c r="D171" s="212"/>
      <c r="E171" s="212"/>
      <c r="F171" s="212"/>
      <c r="G171" s="212"/>
      <c r="H171" s="212"/>
      <c r="I171" s="211"/>
      <c r="J171" s="212"/>
    </row>
    <row r="172" spans="2:10">
      <c r="B172" s="205"/>
      <c r="C172" s="212"/>
      <c r="D172" s="212"/>
      <c r="E172" s="212"/>
      <c r="F172" s="212"/>
      <c r="G172" s="212"/>
      <c r="H172" s="212"/>
      <c r="I172" s="211"/>
      <c r="J172" s="212"/>
    </row>
    <row r="173" spans="2:10">
      <c r="B173" s="205"/>
      <c r="C173" s="212"/>
      <c r="D173" s="212"/>
      <c r="E173" s="212"/>
      <c r="F173" s="212"/>
      <c r="G173" s="212"/>
      <c r="H173" s="212"/>
      <c r="I173" s="211"/>
      <c r="J173" s="212"/>
    </row>
    <row r="174" spans="2:10">
      <c r="B174" s="205"/>
      <c r="C174" s="212"/>
      <c r="D174" s="212"/>
      <c r="E174" s="212"/>
      <c r="F174" s="212"/>
      <c r="G174" s="212"/>
      <c r="H174" s="212"/>
      <c r="I174" s="211"/>
      <c r="J174" s="212"/>
    </row>
    <row r="175" spans="2:10">
      <c r="B175" s="205"/>
      <c r="C175" s="212"/>
      <c r="D175" s="212"/>
      <c r="E175" s="212"/>
      <c r="F175" s="212"/>
      <c r="G175" s="212"/>
      <c r="H175" s="212"/>
      <c r="I175" s="211"/>
      <c r="J175" s="212"/>
    </row>
    <row r="176" spans="2:10">
      <c r="B176" s="205"/>
      <c r="C176" s="212"/>
      <c r="D176" s="212"/>
      <c r="E176" s="212"/>
      <c r="F176" s="212"/>
      <c r="G176" s="212"/>
      <c r="H176" s="212"/>
      <c r="I176" s="211"/>
      <c r="J176" s="212"/>
    </row>
    <row r="177" spans="2:10">
      <c r="B177" s="205"/>
      <c r="C177" s="212"/>
      <c r="D177" s="212"/>
      <c r="E177" s="212"/>
      <c r="F177" s="212"/>
      <c r="G177" s="212"/>
      <c r="H177" s="212"/>
      <c r="I177" s="211"/>
      <c r="J177" s="212"/>
    </row>
    <row r="178" spans="2:10">
      <c r="B178" s="205"/>
      <c r="C178" s="212"/>
      <c r="D178" s="212"/>
      <c r="E178" s="212"/>
      <c r="F178" s="212"/>
      <c r="G178" s="212"/>
      <c r="H178" s="212"/>
      <c r="I178" s="211"/>
      <c r="J178" s="212"/>
    </row>
    <row r="179" spans="2:10">
      <c r="B179" s="205"/>
      <c r="C179" s="212"/>
      <c r="D179" s="212"/>
      <c r="E179" s="212"/>
      <c r="F179" s="212"/>
      <c r="G179" s="212"/>
      <c r="H179" s="212"/>
      <c r="I179" s="211"/>
      <c r="J179" s="212"/>
    </row>
    <row r="180" spans="2:10">
      <c r="B180" s="205"/>
      <c r="C180" s="212"/>
      <c r="D180" s="212"/>
      <c r="E180" s="212"/>
      <c r="F180" s="212"/>
      <c r="G180" s="212"/>
      <c r="H180" s="212"/>
      <c r="I180" s="211"/>
      <c r="J180" s="212"/>
    </row>
    <row r="181" spans="2:10">
      <c r="B181" s="205"/>
      <c r="C181" s="212"/>
      <c r="D181" s="212"/>
      <c r="E181" s="212"/>
      <c r="F181" s="212"/>
      <c r="G181" s="212"/>
      <c r="H181" s="212"/>
      <c r="I181" s="211"/>
      <c r="J181" s="212"/>
    </row>
    <row r="182" spans="2:10">
      <c r="B182" s="205"/>
      <c r="C182" s="212"/>
      <c r="D182" s="212"/>
      <c r="E182" s="212"/>
      <c r="F182" s="212"/>
      <c r="G182" s="212"/>
      <c r="H182" s="212"/>
      <c r="I182" s="211"/>
      <c r="J182" s="212"/>
    </row>
    <row r="183" spans="2:10">
      <c r="B183" s="205"/>
      <c r="C183" s="212"/>
      <c r="D183" s="212"/>
      <c r="E183" s="212"/>
      <c r="F183" s="212"/>
      <c r="G183" s="212"/>
      <c r="H183" s="212"/>
      <c r="I183" s="211"/>
      <c r="J183" s="212"/>
    </row>
    <row r="184" spans="2:10">
      <c r="B184" s="205"/>
      <c r="C184" s="212"/>
      <c r="D184" s="212"/>
      <c r="E184" s="212"/>
      <c r="F184" s="212"/>
      <c r="G184" s="212"/>
      <c r="H184" s="212"/>
      <c r="I184" s="211"/>
      <c r="J184" s="212"/>
    </row>
    <row r="185" spans="2:10">
      <c r="B185" s="205"/>
      <c r="C185" s="212"/>
      <c r="D185" s="212"/>
      <c r="E185" s="212"/>
      <c r="F185" s="212"/>
      <c r="G185" s="212"/>
      <c r="H185" s="212"/>
      <c r="I185" s="211"/>
      <c r="J185" s="212"/>
    </row>
    <row r="186" spans="2:10">
      <c r="B186" s="205"/>
      <c r="C186" s="212"/>
      <c r="D186" s="212"/>
      <c r="E186" s="212"/>
      <c r="F186" s="212"/>
      <c r="G186" s="212"/>
      <c r="H186" s="212"/>
      <c r="I186" s="211"/>
      <c r="J186" s="212"/>
    </row>
    <row r="187" spans="2:10">
      <c r="B187" s="205"/>
      <c r="C187" s="212"/>
      <c r="D187" s="212"/>
      <c r="E187" s="212"/>
      <c r="F187" s="212"/>
      <c r="G187" s="212"/>
      <c r="H187" s="212"/>
      <c r="I187" s="211"/>
      <c r="J187" s="212"/>
    </row>
    <row r="188" spans="2:10">
      <c r="B188" s="205"/>
      <c r="C188" s="212"/>
      <c r="D188" s="212"/>
      <c r="E188" s="212"/>
      <c r="F188" s="212"/>
      <c r="G188" s="212"/>
      <c r="H188" s="212"/>
      <c r="I188" s="211"/>
      <c r="J188" s="212"/>
    </row>
    <row r="189" spans="2:10">
      <c r="B189" s="205"/>
      <c r="C189" s="212"/>
      <c r="D189" s="212"/>
      <c r="E189" s="212"/>
      <c r="F189" s="212"/>
      <c r="G189" s="212"/>
      <c r="H189" s="212"/>
      <c r="I189" s="211"/>
      <c r="J189" s="212"/>
    </row>
    <row r="190" spans="2:10">
      <c r="B190" s="205"/>
      <c r="C190" s="212"/>
      <c r="D190" s="212"/>
      <c r="E190" s="212"/>
      <c r="F190" s="212"/>
      <c r="G190" s="212"/>
      <c r="H190" s="212"/>
      <c r="I190" s="211"/>
      <c r="J190" s="212"/>
    </row>
    <row r="191" spans="2:10">
      <c r="B191" s="205"/>
      <c r="C191" s="212"/>
      <c r="D191" s="212"/>
      <c r="E191" s="212"/>
      <c r="F191" s="212"/>
      <c r="G191" s="212"/>
      <c r="H191" s="212"/>
      <c r="I191" s="211"/>
      <c r="J191" s="212"/>
    </row>
    <row r="192" spans="2:10">
      <c r="B192" s="205"/>
      <c r="C192" s="212"/>
      <c r="D192" s="212"/>
      <c r="E192" s="212"/>
      <c r="F192" s="212"/>
      <c r="G192" s="212"/>
      <c r="H192" s="212"/>
      <c r="I192" s="211"/>
      <c r="J192" s="212"/>
    </row>
    <row r="193" spans="2:10">
      <c r="B193" s="205"/>
      <c r="C193" s="212"/>
      <c r="D193" s="212"/>
      <c r="E193" s="212"/>
      <c r="F193" s="212"/>
      <c r="G193" s="212"/>
      <c r="H193" s="212"/>
      <c r="I193" s="211"/>
      <c r="J193" s="212"/>
    </row>
    <row r="194" spans="2:10">
      <c r="B194" s="205"/>
      <c r="C194" s="212"/>
      <c r="D194" s="212"/>
      <c r="E194" s="212"/>
      <c r="F194" s="212"/>
      <c r="G194" s="212"/>
      <c r="H194" s="212"/>
      <c r="I194" s="211"/>
      <c r="J194" s="212"/>
    </row>
    <row r="195" spans="2:10">
      <c r="B195" s="205"/>
      <c r="C195" s="212"/>
      <c r="D195" s="212"/>
      <c r="E195" s="212"/>
      <c r="F195" s="212"/>
      <c r="G195" s="212"/>
      <c r="H195" s="212"/>
      <c r="I195" s="211"/>
      <c r="J195" s="212"/>
    </row>
    <row r="196" spans="2:10">
      <c r="B196" s="205"/>
      <c r="C196" s="212"/>
      <c r="D196" s="212"/>
      <c r="E196" s="212"/>
      <c r="F196" s="212"/>
      <c r="G196" s="212"/>
      <c r="H196" s="212"/>
      <c r="I196" s="211"/>
      <c r="J196" s="212"/>
    </row>
    <row r="197" spans="2:10">
      <c r="B197" s="205"/>
      <c r="C197" s="212"/>
      <c r="D197" s="212"/>
      <c r="E197" s="212"/>
      <c r="F197" s="212"/>
      <c r="G197" s="212"/>
      <c r="H197" s="212"/>
      <c r="I197" s="211"/>
      <c r="J197" s="212"/>
    </row>
    <row r="198" spans="2:10">
      <c r="B198" s="205"/>
      <c r="C198" s="212"/>
      <c r="D198" s="212"/>
      <c r="E198" s="212"/>
      <c r="F198" s="212"/>
      <c r="G198" s="212"/>
      <c r="H198" s="212"/>
      <c r="I198" s="211"/>
      <c r="J198" s="212"/>
    </row>
    <row r="199" spans="2:10">
      <c r="B199" s="205"/>
      <c r="C199" s="212"/>
      <c r="D199" s="212"/>
      <c r="E199" s="212"/>
      <c r="F199" s="212"/>
      <c r="G199" s="212"/>
      <c r="H199" s="212"/>
      <c r="I199" s="211"/>
      <c r="J199" s="212"/>
    </row>
    <row r="200" spans="2:10">
      <c r="B200" s="205"/>
      <c r="C200" s="212"/>
      <c r="D200" s="212"/>
      <c r="E200" s="212"/>
      <c r="F200" s="212"/>
      <c r="G200" s="212"/>
      <c r="H200" s="212"/>
      <c r="I200" s="211"/>
      <c r="J200" s="212"/>
    </row>
    <row r="201" spans="2:10">
      <c r="B201" s="205"/>
      <c r="C201" s="212"/>
      <c r="D201" s="212"/>
      <c r="E201" s="212"/>
      <c r="F201" s="212"/>
      <c r="G201" s="212"/>
      <c r="H201" s="212"/>
      <c r="I201" s="211"/>
      <c r="J201" s="212"/>
    </row>
    <row r="202" spans="2:10">
      <c r="B202" s="205"/>
      <c r="C202" s="212"/>
      <c r="D202" s="212"/>
      <c r="E202" s="212"/>
      <c r="F202" s="212"/>
      <c r="G202" s="212"/>
      <c r="H202" s="212"/>
      <c r="I202" s="211"/>
      <c r="J202" s="212"/>
    </row>
    <row r="203" spans="2:10">
      <c r="B203" s="205"/>
      <c r="C203" s="212"/>
      <c r="D203" s="212"/>
      <c r="E203" s="212"/>
      <c r="F203" s="212"/>
      <c r="G203" s="212"/>
      <c r="H203" s="212"/>
      <c r="I203" s="211"/>
      <c r="J203" s="212"/>
    </row>
    <row r="204" spans="2:10">
      <c r="B204" s="205"/>
      <c r="C204" s="212"/>
      <c r="D204" s="212"/>
      <c r="E204" s="212"/>
      <c r="F204" s="212"/>
      <c r="G204" s="212"/>
      <c r="H204" s="212"/>
      <c r="I204" s="211"/>
      <c r="J204" s="212"/>
    </row>
    <row r="205" spans="2:10">
      <c r="B205" s="205"/>
      <c r="C205" s="212"/>
      <c r="D205" s="212"/>
      <c r="E205" s="212"/>
      <c r="F205" s="212"/>
      <c r="G205" s="212"/>
      <c r="H205" s="212"/>
      <c r="I205" s="211"/>
      <c r="J205" s="212"/>
    </row>
    <row r="206" spans="2:10">
      <c r="B206" s="205"/>
      <c r="C206" s="212"/>
      <c r="D206" s="212"/>
      <c r="E206" s="212"/>
      <c r="F206" s="212"/>
      <c r="G206" s="212"/>
      <c r="H206" s="212"/>
      <c r="I206" s="211"/>
      <c r="J206" s="212"/>
    </row>
    <row r="207" spans="2:10">
      <c r="B207" s="205"/>
      <c r="C207" s="212"/>
      <c r="D207" s="212"/>
      <c r="E207" s="212"/>
      <c r="F207" s="212"/>
      <c r="G207" s="212"/>
      <c r="H207" s="212"/>
      <c r="I207" s="211"/>
      <c r="J207" s="212"/>
    </row>
    <row r="208" spans="2:10">
      <c r="B208" s="205"/>
      <c r="C208" s="212"/>
      <c r="D208" s="212"/>
      <c r="E208" s="212"/>
      <c r="F208" s="212"/>
      <c r="G208" s="212"/>
      <c r="H208" s="212"/>
      <c r="I208" s="211"/>
      <c r="J208" s="212"/>
    </row>
    <row r="209" spans="2:10">
      <c r="B209" s="205"/>
      <c r="C209" s="212"/>
      <c r="D209" s="212"/>
      <c r="E209" s="212"/>
      <c r="F209" s="212"/>
      <c r="G209" s="212"/>
      <c r="H209" s="212"/>
      <c r="I209" s="211"/>
      <c r="J209" s="212"/>
    </row>
    <row r="210" spans="2:10">
      <c r="B210" s="205"/>
      <c r="C210" s="212"/>
      <c r="D210" s="212"/>
      <c r="E210" s="212"/>
      <c r="F210" s="212"/>
      <c r="G210" s="212"/>
      <c r="H210" s="212"/>
      <c r="I210" s="211"/>
      <c r="J210" s="212"/>
    </row>
    <row r="211" spans="2:10">
      <c r="B211" s="205"/>
      <c r="C211" s="212"/>
      <c r="D211" s="212"/>
      <c r="E211" s="212"/>
      <c r="F211" s="212"/>
      <c r="G211" s="212"/>
      <c r="H211" s="212"/>
      <c r="I211" s="211"/>
      <c r="J211" s="212"/>
    </row>
    <row r="212" spans="2:10">
      <c r="B212" s="205"/>
      <c r="C212" s="212"/>
      <c r="D212" s="212"/>
      <c r="E212" s="212"/>
      <c r="F212" s="212"/>
      <c r="G212" s="212"/>
      <c r="H212" s="212"/>
      <c r="I212" s="211"/>
      <c r="J212" s="212"/>
    </row>
    <row r="213" spans="2:10">
      <c r="B213" s="205"/>
      <c r="C213" s="212"/>
      <c r="D213" s="212"/>
      <c r="E213" s="212"/>
      <c r="F213" s="212"/>
      <c r="G213" s="212"/>
      <c r="H213" s="212"/>
      <c r="I213" s="211"/>
      <c r="J213" s="212"/>
    </row>
    <row r="214" spans="2:10">
      <c r="B214" s="205"/>
      <c r="C214" s="212"/>
      <c r="D214" s="212"/>
      <c r="E214" s="212"/>
      <c r="F214" s="212"/>
      <c r="G214" s="212"/>
      <c r="H214" s="212"/>
      <c r="I214" s="211"/>
      <c r="J214" s="212"/>
    </row>
    <row r="215" spans="2:10">
      <c r="B215" s="205"/>
      <c r="C215" s="212"/>
      <c r="D215" s="212"/>
      <c r="E215" s="212"/>
      <c r="F215" s="212"/>
      <c r="G215" s="212"/>
      <c r="H215" s="212"/>
      <c r="I215" s="211"/>
      <c r="J215" s="212"/>
    </row>
    <row r="216" spans="2:10">
      <c r="B216" s="205"/>
      <c r="C216" s="212"/>
      <c r="D216" s="212"/>
      <c r="E216" s="212"/>
      <c r="F216" s="212"/>
      <c r="G216" s="212"/>
      <c r="H216" s="212"/>
      <c r="I216" s="211"/>
      <c r="J216" s="212"/>
    </row>
    <row r="217" spans="2:10">
      <c r="B217" s="205"/>
      <c r="C217" s="212"/>
      <c r="D217" s="212"/>
      <c r="E217" s="212"/>
      <c r="F217" s="212"/>
      <c r="G217" s="212"/>
      <c r="H217" s="212"/>
      <c r="I217" s="211"/>
      <c r="J217" s="212"/>
    </row>
    <row r="218" spans="2:10">
      <c r="B218" s="205"/>
      <c r="C218" s="212"/>
      <c r="D218" s="212"/>
      <c r="E218" s="212"/>
      <c r="F218" s="212"/>
      <c r="G218" s="212"/>
      <c r="H218" s="212"/>
      <c r="I218" s="211"/>
      <c r="J218" s="212"/>
    </row>
    <row r="219" spans="2:10">
      <c r="B219" s="205"/>
      <c r="C219" s="212"/>
      <c r="D219" s="212"/>
      <c r="E219" s="212"/>
      <c r="F219" s="212"/>
      <c r="G219" s="212"/>
      <c r="H219" s="212"/>
      <c r="I219" s="211"/>
      <c r="J219" s="212"/>
    </row>
    <row r="220" spans="2:10">
      <c r="B220" s="205"/>
      <c r="C220" s="212"/>
      <c r="D220" s="212"/>
      <c r="E220" s="212"/>
      <c r="F220" s="212"/>
      <c r="G220" s="212"/>
      <c r="H220" s="212"/>
      <c r="I220" s="211"/>
      <c r="J220" s="212"/>
    </row>
    <row r="221" spans="2:10">
      <c r="B221" s="205"/>
      <c r="C221" s="212"/>
      <c r="D221" s="212"/>
      <c r="E221" s="212"/>
      <c r="F221" s="212"/>
      <c r="G221" s="212"/>
      <c r="H221" s="212"/>
      <c r="I221" s="211"/>
      <c r="J221" s="212"/>
    </row>
    <row r="222" spans="2:10">
      <c r="B222" s="205"/>
      <c r="C222" s="212"/>
      <c r="D222" s="212"/>
      <c r="E222" s="212"/>
      <c r="F222" s="212"/>
      <c r="G222" s="212"/>
      <c r="H222" s="212"/>
      <c r="I222" s="211"/>
      <c r="J222" s="212"/>
    </row>
    <row r="223" spans="2:10">
      <c r="B223" s="205"/>
      <c r="C223" s="212"/>
      <c r="D223" s="212"/>
      <c r="E223" s="212"/>
      <c r="F223" s="212"/>
      <c r="G223" s="212"/>
      <c r="H223" s="212"/>
      <c r="I223" s="211"/>
      <c r="J223" s="212"/>
    </row>
    <row r="224" spans="2:10">
      <c r="B224" s="205"/>
      <c r="C224" s="212"/>
      <c r="D224" s="212"/>
      <c r="E224" s="212"/>
      <c r="F224" s="212"/>
      <c r="G224" s="212"/>
      <c r="H224" s="212"/>
      <c r="I224" s="211"/>
      <c r="J224" s="212"/>
    </row>
    <row r="225" spans="2:10">
      <c r="B225" s="205"/>
      <c r="C225" s="212"/>
      <c r="D225" s="212"/>
      <c r="E225" s="212"/>
      <c r="F225" s="212"/>
      <c r="G225" s="212"/>
      <c r="H225" s="212"/>
      <c r="I225" s="211"/>
      <c r="J225" s="212"/>
    </row>
    <row r="226" spans="2:10">
      <c r="B226" s="205"/>
      <c r="C226" s="212"/>
      <c r="D226" s="212"/>
      <c r="E226" s="212"/>
      <c r="F226" s="212"/>
      <c r="G226" s="212"/>
      <c r="H226" s="212"/>
      <c r="I226" s="211"/>
      <c r="J226" s="212"/>
    </row>
    <row r="227" spans="2:10">
      <c r="B227" s="205"/>
      <c r="C227" s="212"/>
      <c r="D227" s="212"/>
      <c r="E227" s="212"/>
      <c r="F227" s="212"/>
      <c r="G227" s="212"/>
      <c r="H227" s="212"/>
      <c r="I227" s="211"/>
      <c r="J227" s="212"/>
    </row>
    <row r="228" spans="2:10">
      <c r="B228" s="205"/>
      <c r="C228" s="212"/>
      <c r="D228" s="212"/>
      <c r="E228" s="212"/>
      <c r="F228" s="212"/>
      <c r="G228" s="212"/>
      <c r="H228" s="212"/>
      <c r="I228" s="211"/>
      <c r="J228" s="212"/>
    </row>
    <row r="229" spans="2:10">
      <c r="B229" s="205"/>
      <c r="C229" s="212"/>
      <c r="D229" s="212"/>
      <c r="E229" s="212"/>
      <c r="F229" s="212"/>
      <c r="G229" s="212"/>
      <c r="H229" s="212"/>
      <c r="I229" s="211"/>
      <c r="J229" s="212"/>
    </row>
    <row r="230" spans="2:10">
      <c r="B230" s="205"/>
      <c r="C230" s="212"/>
      <c r="D230" s="212"/>
      <c r="E230" s="212"/>
      <c r="F230" s="212"/>
      <c r="G230" s="212"/>
      <c r="H230" s="212"/>
      <c r="I230" s="211"/>
      <c r="J230" s="212"/>
    </row>
    <row r="231" spans="2:10">
      <c r="B231" s="205"/>
      <c r="C231" s="212"/>
      <c r="D231" s="212"/>
      <c r="E231" s="212"/>
      <c r="F231" s="212"/>
      <c r="G231" s="212"/>
      <c r="H231" s="212"/>
      <c r="I231" s="211"/>
      <c r="J231" s="212"/>
    </row>
    <row r="232" spans="2:10">
      <c r="B232" s="205"/>
      <c r="C232" s="212"/>
      <c r="D232" s="212"/>
      <c r="E232" s="212"/>
      <c r="F232" s="212"/>
      <c r="G232" s="212"/>
      <c r="H232" s="212"/>
      <c r="I232" s="211"/>
      <c r="J232" s="212"/>
    </row>
    <row r="233" spans="2:10">
      <c r="B233" s="205"/>
      <c r="C233" s="212"/>
      <c r="D233" s="212"/>
      <c r="E233" s="212"/>
      <c r="F233" s="212"/>
      <c r="G233" s="212"/>
      <c r="H233" s="212"/>
      <c r="I233" s="211"/>
      <c r="J233" s="212"/>
    </row>
    <row r="234" spans="2:10">
      <c r="B234" s="205"/>
      <c r="C234" s="212"/>
      <c r="D234" s="212"/>
      <c r="E234" s="212"/>
      <c r="F234" s="212"/>
      <c r="G234" s="212"/>
      <c r="H234" s="212"/>
      <c r="I234" s="211"/>
      <c r="J234" s="212"/>
    </row>
    <row r="235" spans="2:10">
      <c r="B235" s="205"/>
      <c r="C235" s="212"/>
      <c r="D235" s="212"/>
      <c r="E235" s="212"/>
      <c r="F235" s="212"/>
      <c r="G235" s="212"/>
      <c r="H235" s="212"/>
      <c r="I235" s="211"/>
      <c r="J235" s="212"/>
    </row>
    <row r="236" spans="2:10">
      <c r="B236" s="205"/>
      <c r="C236" s="212"/>
      <c r="D236" s="212"/>
      <c r="E236" s="212"/>
      <c r="F236" s="212"/>
      <c r="G236" s="212"/>
      <c r="H236" s="212"/>
      <c r="I236" s="211"/>
      <c r="J236" s="212"/>
    </row>
    <row r="237" spans="2:10">
      <c r="B237" s="205"/>
      <c r="C237" s="212"/>
      <c r="D237" s="212"/>
      <c r="E237" s="212"/>
      <c r="F237" s="212"/>
      <c r="G237" s="212"/>
      <c r="H237" s="212"/>
      <c r="I237" s="211"/>
      <c r="J237" s="212"/>
    </row>
    <row r="238" spans="2:10">
      <c r="B238" s="205"/>
      <c r="C238" s="212"/>
      <c r="D238" s="212"/>
      <c r="E238" s="212"/>
      <c r="F238" s="212"/>
      <c r="G238" s="212"/>
      <c r="H238" s="212"/>
      <c r="I238" s="211"/>
      <c r="J238" s="207"/>
    </row>
    <row r="239" spans="2:10">
      <c r="B239" s="205"/>
      <c r="C239" s="212"/>
      <c r="D239" s="212"/>
      <c r="E239" s="212"/>
      <c r="F239" s="212"/>
      <c r="G239" s="212"/>
      <c r="H239" s="212"/>
      <c r="I239" s="211"/>
      <c r="J239" s="207"/>
    </row>
    <row r="240" spans="2:10">
      <c r="B240" s="205"/>
      <c r="C240" s="212"/>
      <c r="D240" s="212"/>
      <c r="E240" s="212"/>
      <c r="F240" s="212"/>
      <c r="G240" s="212"/>
      <c r="H240" s="212"/>
      <c r="I240" s="211"/>
      <c r="J240" s="207"/>
    </row>
    <row r="241" spans="2:10">
      <c r="B241" s="205"/>
      <c r="C241" s="212"/>
      <c r="D241" s="212"/>
      <c r="E241" s="212"/>
      <c r="F241" s="212"/>
      <c r="G241" s="212"/>
      <c r="H241" s="212"/>
      <c r="I241" s="211"/>
      <c r="J241" s="207"/>
    </row>
    <row r="242" spans="2:10">
      <c r="B242" s="205"/>
      <c r="C242" s="212"/>
      <c r="D242" s="212"/>
      <c r="E242" s="212"/>
      <c r="F242" s="212"/>
      <c r="G242" s="212"/>
      <c r="H242" s="212"/>
      <c r="I242" s="211"/>
      <c r="J242" s="207"/>
    </row>
    <row r="243" spans="2:10">
      <c r="B243" s="205"/>
      <c r="C243" s="212"/>
      <c r="D243" s="212"/>
      <c r="E243" s="212"/>
      <c r="F243" s="212"/>
      <c r="G243" s="212"/>
      <c r="H243" s="212"/>
      <c r="I243" s="211"/>
      <c r="J243" s="207"/>
    </row>
    <row r="244" spans="2:10">
      <c r="B244" s="205"/>
      <c r="C244" s="212"/>
      <c r="D244" s="212"/>
      <c r="E244" s="212"/>
      <c r="F244" s="212"/>
      <c r="G244" s="212"/>
      <c r="H244" s="212"/>
      <c r="I244" s="211"/>
      <c r="J244" s="207"/>
    </row>
    <row r="245" spans="2:10">
      <c r="B245" s="205"/>
      <c r="C245" s="212"/>
      <c r="D245" s="212"/>
      <c r="E245" s="212"/>
      <c r="F245" s="212"/>
      <c r="G245" s="212"/>
      <c r="H245" s="212"/>
      <c r="I245" s="211"/>
      <c r="J245" s="207"/>
    </row>
  </sheetData>
  <pageMargins left="0.75" right="0.75" top="1" bottom="1" header="0.5" footer="0.5"/>
  <headerFooter alignWithMargins="0"/>
  <drawing r:id="rId1"/>
  <legacyDrawing r:id="rId2"/>
  <controls>
    <mc:AlternateContent xmlns:mc="http://schemas.openxmlformats.org/markup-compatibility/2006">
      <mc:Choice Requires="x14">
        <control shapeId="439305"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439305" r:id="rId3" name="cmdSpecifyIEOptcode"/>
      </mc:Fallback>
    </mc:AlternateContent>
    <mc:AlternateContent xmlns:mc="http://schemas.openxmlformats.org/markup-compatibility/2006">
      <mc:Choice Requires="x14">
        <control shapeId="439304"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439304" r:id="rId5" name="cmdSpecifyArg6"/>
      </mc:Fallback>
    </mc:AlternateContent>
    <mc:AlternateContent xmlns:mc="http://schemas.openxmlformats.org/markup-compatibility/2006">
      <mc:Choice Requires="x14">
        <control shapeId="439303"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439303" r:id="rId7" name="cmdSpecifyArg5"/>
      </mc:Fallback>
    </mc:AlternateContent>
    <mc:AlternateContent xmlns:mc="http://schemas.openxmlformats.org/markup-compatibility/2006">
      <mc:Choice Requires="x14">
        <control shapeId="439302"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439302" r:id="rId9" name="cmdSpecifyArg4"/>
      </mc:Fallback>
    </mc:AlternateContent>
    <mc:AlternateContent xmlns:mc="http://schemas.openxmlformats.org/markup-compatibility/2006">
      <mc:Choice Requires="x14">
        <control shapeId="439301"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439301" r:id="rId11" name="cmdSpecifyArg3"/>
      </mc:Fallback>
    </mc:AlternateContent>
    <mc:AlternateContent xmlns:mc="http://schemas.openxmlformats.org/markup-compatibility/2006">
      <mc:Choice Requires="x14">
        <control shapeId="439300"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439300" r:id="rId13" name="cmdSpecifyArg2"/>
      </mc:Fallback>
    </mc:AlternateContent>
    <mc:AlternateContent xmlns:mc="http://schemas.openxmlformats.org/markup-compatibility/2006">
      <mc:Choice Requires="x14">
        <control shapeId="439299"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439299" r:id="rId15" name="cmdSpecifyArg1"/>
      </mc:Fallback>
    </mc:AlternateContent>
    <mc:AlternateContent xmlns:mc="http://schemas.openxmlformats.org/markup-compatibility/2006">
      <mc:Choice Requires="x14">
        <control shapeId="439298"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439298" r:id="rId17" name="cmdSpecifyParameter"/>
      </mc:Fallback>
    </mc:AlternateContent>
    <mc:AlternateContent xmlns:mc="http://schemas.openxmlformats.org/markup-compatibility/2006">
      <mc:Choice Requires="x14">
        <control shapeId="439297"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439297" r:id="rId19" name="cmdCheckTSandTIDDataSheet"/>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9">
    <tabColor theme="9" tint="-0.249977111117893"/>
  </sheetPr>
  <dimension ref="A1:K245"/>
  <sheetViews>
    <sheetView workbookViewId="0">
      <pane xSplit="9" ySplit="8" topLeftCell="J9" activePane="bottomRight" state="frozen"/>
      <selection activeCell="K16" sqref="K16"/>
      <selection pane="topRight" activeCell="K16" sqref="K16"/>
      <selection pane="bottomLeft" activeCell="K16" sqref="K16"/>
      <selection pane="bottomRight" activeCell="J34" sqref="J34"/>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137" customWidth="1"/>
    <col min="10" max="10" width="10.7109375" style="137" customWidth="1"/>
    <col min="11" max="16384" width="9.140625" style="137"/>
  </cols>
  <sheetData>
    <row r="1" spans="1:11">
      <c r="A1" s="136" t="str">
        <f>IF(Index!$B$1,"","TS DATA")</f>
        <v>TS DATA</v>
      </c>
      <c r="B1" s="137" t="s">
        <v>275</v>
      </c>
    </row>
    <row r="2" spans="1:11">
      <c r="A2" s="137" t="s">
        <v>277</v>
      </c>
    </row>
    <row r="3" spans="1:11" ht="15" customHeight="1">
      <c r="A3" s="137" t="s">
        <v>277</v>
      </c>
    </row>
    <row r="4" spans="1:11">
      <c r="A4" s="137" t="s">
        <v>277</v>
      </c>
    </row>
    <row r="5" spans="1:11">
      <c r="A5" s="137" t="s">
        <v>277</v>
      </c>
    </row>
    <row r="6" spans="1:11">
      <c r="A6" s="137" t="s">
        <v>277</v>
      </c>
    </row>
    <row r="7" spans="1:11" ht="22.5" customHeight="1">
      <c r="A7" s="137" t="s">
        <v>277</v>
      </c>
      <c r="B7" s="136" t="s">
        <v>290</v>
      </c>
      <c r="C7" s="136" t="s">
        <v>291</v>
      </c>
      <c r="D7" s="136" t="s">
        <v>292</v>
      </c>
      <c r="E7" s="136" t="s">
        <v>293</v>
      </c>
      <c r="F7" s="136" t="s">
        <v>294</v>
      </c>
      <c r="G7" s="136" t="s">
        <v>295</v>
      </c>
      <c r="H7" s="136" t="s">
        <v>296</v>
      </c>
      <c r="I7" s="208" t="s">
        <v>297</v>
      </c>
      <c r="J7" s="137">
        <v>2012</v>
      </c>
    </row>
    <row r="8" spans="1:11">
      <c r="A8" s="137" t="s">
        <v>277</v>
      </c>
      <c r="B8" s="136"/>
      <c r="C8" s="136"/>
      <c r="D8" s="136"/>
      <c r="E8" s="136"/>
      <c r="F8" s="136"/>
      <c r="G8" s="136"/>
      <c r="H8" s="136"/>
      <c r="I8" s="208"/>
    </row>
    <row r="9" spans="1:11">
      <c r="A9" s="137" t="s">
        <v>277</v>
      </c>
      <c r="B9" s="205" t="s">
        <v>341</v>
      </c>
      <c r="C9" s="205" t="s">
        <v>301</v>
      </c>
      <c r="D9" s="205" t="s">
        <v>319</v>
      </c>
      <c r="E9" s="205" t="s">
        <v>301</v>
      </c>
      <c r="F9" s="205" t="s">
        <v>301</v>
      </c>
      <c r="G9" s="205" t="s">
        <v>342</v>
      </c>
      <c r="H9" s="205" t="s">
        <v>301</v>
      </c>
      <c r="I9" s="211">
        <v>0</v>
      </c>
    </row>
    <row r="10" spans="1:11">
      <c r="A10" s="137" t="str">
        <f>IF(D10&lt;&gt;"",IF(ISTEXT(D10),"","*"))</f>
        <v/>
      </c>
      <c r="B10" s="205" t="s">
        <v>341</v>
      </c>
      <c r="C10" s="212" t="s">
        <v>301</v>
      </c>
      <c r="D10" s="212" t="str">
        <f>'[2]AGR COMFR'!D10</f>
        <v>AH</v>
      </c>
      <c r="E10" s="212" t="s">
        <v>301</v>
      </c>
      <c r="F10" s="212" t="s">
        <v>301</v>
      </c>
      <c r="G10" s="212" t="str">
        <f>'[2]AGR COMFR'!G10</f>
        <v>s1d1b1</v>
      </c>
      <c r="H10" s="212" t="s">
        <v>301</v>
      </c>
      <c r="I10" s="211">
        <v>0</v>
      </c>
      <c r="J10" s="212">
        <f>'[2]AGR COMFR'!J10</f>
        <v>0.26507000000000003</v>
      </c>
      <c r="K10" s="224"/>
    </row>
    <row r="11" spans="1:11">
      <c r="A11" s="137" t="str">
        <f t="shared" ref="A11:A74" si="0">IF(D11&lt;&gt;"",IF(ISTEXT(D11),"","*"))</f>
        <v/>
      </c>
      <c r="B11" s="205" t="s">
        <v>341</v>
      </c>
      <c r="C11" s="212" t="s">
        <v>301</v>
      </c>
      <c r="D11" s="212" t="str">
        <f>'[2]AGR COMFR'!D11</f>
        <v>AH</v>
      </c>
      <c r="E11" s="212" t="s">
        <v>301</v>
      </c>
      <c r="F11" s="212" t="s">
        <v>301</v>
      </c>
      <c r="G11" s="212" t="str">
        <f>'[2]AGR COMFR'!G11</f>
        <v>s1d1b2</v>
      </c>
      <c r="H11" s="212" t="s">
        <v>301</v>
      </c>
      <c r="I11" s="211">
        <v>0</v>
      </c>
      <c r="J11" s="212">
        <f>'[2]AGR COMFR'!J11</f>
        <v>0.32396999999999998</v>
      </c>
      <c r="K11" s="224"/>
    </row>
    <row r="12" spans="1:11">
      <c r="A12" s="137" t="str">
        <f t="shared" si="0"/>
        <v/>
      </c>
      <c r="B12" s="205" t="s">
        <v>341</v>
      </c>
      <c r="C12" s="212" t="s">
        <v>301</v>
      </c>
      <c r="D12" s="212" t="str">
        <f>'[2]AGR COMFR'!D12</f>
        <v>AH</v>
      </c>
      <c r="E12" s="212" t="s">
        <v>301</v>
      </c>
      <c r="F12" s="212" t="s">
        <v>301</v>
      </c>
      <c r="G12" s="212" t="str">
        <f>'[2]AGR COMFR'!G12</f>
        <v>s1d1b3</v>
      </c>
      <c r="H12" s="212" t="s">
        <v>301</v>
      </c>
      <c r="I12" s="211">
        <v>0</v>
      </c>
      <c r="J12" s="212">
        <f>'[2]AGR COMFR'!J12</f>
        <v>0.11781</v>
      </c>
      <c r="K12" s="224"/>
    </row>
    <row r="13" spans="1:11">
      <c r="A13" s="137" t="str">
        <f t="shared" si="0"/>
        <v/>
      </c>
      <c r="B13" s="205" t="s">
        <v>341</v>
      </c>
      <c r="C13" s="212" t="s">
        <v>301</v>
      </c>
      <c r="D13" s="212" t="str">
        <f>'[2]AGR COMFR'!D13</f>
        <v>AH</v>
      </c>
      <c r="E13" s="212" t="s">
        <v>301</v>
      </c>
      <c r="F13" s="212" t="s">
        <v>301</v>
      </c>
      <c r="G13" s="212" t="str">
        <f>'[2]AGR COMFR'!G13</f>
        <v>s2d1b1</v>
      </c>
      <c r="H13" s="212" t="s">
        <v>301</v>
      </c>
      <c r="I13" s="211">
        <v>0</v>
      </c>
      <c r="J13" s="212">
        <f>'[2]AGR COMFR'!J13</f>
        <v>9.7720000000000001E-2</v>
      </c>
      <c r="K13" s="224"/>
    </row>
    <row r="14" spans="1:11">
      <c r="A14" s="137" t="str">
        <f t="shared" si="0"/>
        <v/>
      </c>
      <c r="B14" s="205" t="s">
        <v>341</v>
      </c>
      <c r="C14" s="212" t="s">
        <v>301</v>
      </c>
      <c r="D14" s="212" t="str">
        <f>'[2]AGR COMFR'!D14</f>
        <v>AH</v>
      </c>
      <c r="E14" s="212" t="s">
        <v>301</v>
      </c>
      <c r="F14" s="212" t="s">
        <v>301</v>
      </c>
      <c r="G14" s="212" t="str">
        <f>'[2]AGR COMFR'!G14</f>
        <v>s2d1b2</v>
      </c>
      <c r="H14" s="212" t="s">
        <v>301</v>
      </c>
      <c r="I14" s="211">
        <v>0</v>
      </c>
      <c r="J14" s="212">
        <f>'[2]AGR COMFR'!J14</f>
        <v>4.8860000000000001E-2</v>
      </c>
      <c r="K14" s="225"/>
    </row>
    <row r="15" spans="1:11">
      <c r="A15" s="137" t="str">
        <f t="shared" si="0"/>
        <v/>
      </c>
      <c r="B15" s="205" t="s">
        <v>341</v>
      </c>
      <c r="C15" s="212" t="s">
        <v>301</v>
      </c>
      <c r="D15" s="212" t="str">
        <f>'[2]AGR COMFR'!D15</f>
        <v>AH</v>
      </c>
      <c r="E15" s="212" t="s">
        <v>301</v>
      </c>
      <c r="F15" s="212" t="s">
        <v>301</v>
      </c>
      <c r="G15" s="212" t="str">
        <f>'[2]AGR COMFR'!G15</f>
        <v>s2d1b3</v>
      </c>
      <c r="H15" s="212" t="s">
        <v>301</v>
      </c>
      <c r="I15" s="211">
        <v>0</v>
      </c>
      <c r="J15" s="212">
        <f>'[2]AGR COMFR'!J15</f>
        <v>8.5500000000000007E-2</v>
      </c>
      <c r="K15" s="224"/>
    </row>
    <row r="16" spans="1:11">
      <c r="A16" s="137" t="str">
        <f t="shared" si="0"/>
        <v/>
      </c>
      <c r="B16" s="205" t="s">
        <v>341</v>
      </c>
      <c r="C16" s="212" t="s">
        <v>301</v>
      </c>
      <c r="D16" s="212" t="str">
        <f>'[2]AGR COMFR'!D16</f>
        <v>AH</v>
      </c>
      <c r="E16" s="212" t="s">
        <v>301</v>
      </c>
      <c r="F16" s="212" t="s">
        <v>301</v>
      </c>
      <c r="G16" s="212" t="str">
        <f>'[2]AGR COMFR'!G16</f>
        <v>s2d1b4</v>
      </c>
      <c r="H16" s="212" t="s">
        <v>301</v>
      </c>
      <c r="I16" s="211">
        <v>0</v>
      </c>
      <c r="J16" s="212">
        <f>'[2]AGR COMFR'!J16</f>
        <v>3.6639999999999999E-2</v>
      </c>
    </row>
    <row r="17" spans="1:10">
      <c r="A17" s="137" t="str">
        <f t="shared" si="0"/>
        <v/>
      </c>
      <c r="B17" s="205" t="s">
        <v>341</v>
      </c>
      <c r="C17" s="212" t="s">
        <v>301</v>
      </c>
      <c r="D17" s="212" t="str">
        <f>'[2]AGR COMFR'!D17</f>
        <v>AH</v>
      </c>
      <c r="E17" s="212" t="s">
        <v>301</v>
      </c>
      <c r="F17" s="212" t="s">
        <v>301</v>
      </c>
      <c r="G17" s="212" t="str">
        <f>'[2]AGR COMFR'!G17</f>
        <v>s2d1b5</v>
      </c>
      <c r="H17" s="212" t="s">
        <v>301</v>
      </c>
      <c r="I17" s="211">
        <v>0</v>
      </c>
      <c r="J17" s="212">
        <f>'[2]AGR COMFR'!J17</f>
        <v>2.443E-2</v>
      </c>
    </row>
    <row r="18" spans="1:10">
      <c r="A18" s="137" t="str">
        <f t="shared" si="0"/>
        <v/>
      </c>
      <c r="B18" s="205" t="s">
        <v>341</v>
      </c>
      <c r="C18" s="212" t="s">
        <v>301</v>
      </c>
      <c r="D18" s="212" t="str">
        <f>'[2]AGR COMFR'!D18</f>
        <v>AP</v>
      </c>
      <c r="E18" s="212" t="s">
        <v>301</v>
      </c>
      <c r="F18" s="212" t="s">
        <v>301</v>
      </c>
      <c r="G18" s="212" t="str">
        <f>'[2]AGR COMFR'!G18</f>
        <v>s1d1b1</v>
      </c>
      <c r="H18" s="212" t="s">
        <v>301</v>
      </c>
      <c r="I18" s="211">
        <v>0</v>
      </c>
      <c r="J18" s="212">
        <f>'[2]AGR COMFR'!J18</f>
        <v>0.26507000000000003</v>
      </c>
    </row>
    <row r="19" spans="1:10">
      <c r="A19" s="137" t="str">
        <f t="shared" si="0"/>
        <v/>
      </c>
      <c r="B19" s="205" t="s">
        <v>341</v>
      </c>
      <c r="C19" s="212" t="s">
        <v>301</v>
      </c>
      <c r="D19" s="212" t="str">
        <f>'[2]AGR COMFR'!D19</f>
        <v>AP</v>
      </c>
      <c r="E19" s="212" t="s">
        <v>301</v>
      </c>
      <c r="F19" s="212" t="s">
        <v>301</v>
      </c>
      <c r="G19" s="212" t="str">
        <f>'[2]AGR COMFR'!G19</f>
        <v>s1d1b2</v>
      </c>
      <c r="H19" s="212" t="s">
        <v>301</v>
      </c>
      <c r="I19" s="211">
        <v>0</v>
      </c>
      <c r="J19" s="212">
        <f>'[2]AGR COMFR'!J19</f>
        <v>0.32396999999999998</v>
      </c>
    </row>
    <row r="20" spans="1:10">
      <c r="A20" s="137" t="str">
        <f t="shared" si="0"/>
        <v/>
      </c>
      <c r="B20" s="205" t="s">
        <v>341</v>
      </c>
      <c r="C20" s="212" t="s">
        <v>301</v>
      </c>
      <c r="D20" s="212" t="str">
        <f>'[2]AGR COMFR'!D20</f>
        <v>AP</v>
      </c>
      <c r="E20" s="212" t="s">
        <v>301</v>
      </c>
      <c r="F20" s="212" t="s">
        <v>301</v>
      </c>
      <c r="G20" s="212" t="str">
        <f>'[2]AGR COMFR'!G20</f>
        <v>s1d1b3</v>
      </c>
      <c r="H20" s="212" t="s">
        <v>301</v>
      </c>
      <c r="I20" s="211">
        <v>0</v>
      </c>
      <c r="J20" s="212">
        <f>'[2]AGR COMFR'!J20</f>
        <v>0.11781</v>
      </c>
    </row>
    <row r="21" spans="1:10">
      <c r="A21" s="137" t="str">
        <f t="shared" si="0"/>
        <v/>
      </c>
      <c r="B21" s="205" t="s">
        <v>341</v>
      </c>
      <c r="C21" s="212" t="s">
        <v>301</v>
      </c>
      <c r="D21" s="212" t="str">
        <f>'[2]AGR COMFR'!D21</f>
        <v>AP</v>
      </c>
      <c r="E21" s="212" t="s">
        <v>301</v>
      </c>
      <c r="F21" s="212" t="s">
        <v>301</v>
      </c>
      <c r="G21" s="212" t="str">
        <f>'[2]AGR COMFR'!G21</f>
        <v>s2d1b1</v>
      </c>
      <c r="H21" s="212" t="s">
        <v>301</v>
      </c>
      <c r="I21" s="211">
        <v>0</v>
      </c>
      <c r="J21" s="212">
        <f>'[2]AGR COMFR'!J21</f>
        <v>9.7720000000000001E-2</v>
      </c>
    </row>
    <row r="22" spans="1:10">
      <c r="A22" s="137" t="str">
        <f t="shared" si="0"/>
        <v/>
      </c>
      <c r="B22" s="205" t="s">
        <v>341</v>
      </c>
      <c r="C22" s="212" t="s">
        <v>301</v>
      </c>
      <c r="D22" s="212" t="str">
        <f>'[2]AGR COMFR'!D22</f>
        <v>AP</v>
      </c>
      <c r="E22" s="212" t="s">
        <v>301</v>
      </c>
      <c r="F22" s="212" t="s">
        <v>301</v>
      </c>
      <c r="G22" s="212" t="str">
        <f>'[2]AGR COMFR'!G22</f>
        <v>s2d1b2</v>
      </c>
      <c r="H22" s="212" t="s">
        <v>301</v>
      </c>
      <c r="I22" s="211">
        <v>0</v>
      </c>
      <c r="J22" s="212">
        <f>'[2]AGR COMFR'!J22</f>
        <v>4.8860000000000001E-2</v>
      </c>
    </row>
    <row r="23" spans="1:10">
      <c r="A23" s="137" t="str">
        <f t="shared" si="0"/>
        <v/>
      </c>
      <c r="B23" s="205" t="s">
        <v>341</v>
      </c>
      <c r="C23" s="212" t="s">
        <v>301</v>
      </c>
      <c r="D23" s="212" t="str">
        <f>'[2]AGR COMFR'!D23</f>
        <v>AP</v>
      </c>
      <c r="E23" s="212" t="s">
        <v>301</v>
      </c>
      <c r="F23" s="212" t="s">
        <v>301</v>
      </c>
      <c r="G23" s="212" t="str">
        <f>'[2]AGR COMFR'!G23</f>
        <v>s2d1b3</v>
      </c>
      <c r="H23" s="212" t="s">
        <v>301</v>
      </c>
      <c r="I23" s="211">
        <v>0</v>
      </c>
      <c r="J23" s="212">
        <f>'[2]AGR COMFR'!J23</f>
        <v>8.5500000000000007E-2</v>
      </c>
    </row>
    <row r="24" spans="1:10">
      <c r="A24" s="137" t="str">
        <f t="shared" si="0"/>
        <v/>
      </c>
      <c r="B24" s="205" t="s">
        <v>341</v>
      </c>
      <c r="C24" s="212" t="s">
        <v>301</v>
      </c>
      <c r="D24" s="212" t="str">
        <f>'[2]AGR COMFR'!D24</f>
        <v>AP</v>
      </c>
      <c r="E24" s="212" t="s">
        <v>301</v>
      </c>
      <c r="F24" s="212" t="s">
        <v>301</v>
      </c>
      <c r="G24" s="212" t="str">
        <f>'[2]AGR COMFR'!G24</f>
        <v>s2d1b4</v>
      </c>
      <c r="H24" s="212" t="s">
        <v>301</v>
      </c>
      <c r="I24" s="211">
        <v>0</v>
      </c>
      <c r="J24" s="212">
        <f>'[2]AGR COMFR'!J24</f>
        <v>3.6639999999999999E-2</v>
      </c>
    </row>
    <row r="25" spans="1:10">
      <c r="A25" s="137" t="str">
        <f t="shared" si="0"/>
        <v/>
      </c>
      <c r="B25" s="205" t="s">
        <v>341</v>
      </c>
      <c r="C25" s="212" t="s">
        <v>301</v>
      </c>
      <c r="D25" s="212" t="str">
        <f>'[2]AGR COMFR'!D25</f>
        <v>AP</v>
      </c>
      <c r="E25" s="212" t="s">
        <v>301</v>
      </c>
      <c r="F25" s="212" t="s">
        <v>301</v>
      </c>
      <c r="G25" s="212" t="str">
        <f>'[2]AGR COMFR'!G25</f>
        <v>s2d1b5</v>
      </c>
      <c r="H25" s="212" t="s">
        <v>301</v>
      </c>
      <c r="I25" s="211">
        <v>0</v>
      </c>
      <c r="J25" s="212">
        <f>'[2]AGR COMFR'!J25</f>
        <v>2.443E-2</v>
      </c>
    </row>
    <row r="26" spans="1:10">
      <c r="A26" s="137" t="str">
        <f t="shared" si="0"/>
        <v/>
      </c>
      <c r="B26" s="205" t="s">
        <v>341</v>
      </c>
      <c r="C26" s="212" t="s">
        <v>301</v>
      </c>
      <c r="D26" s="212" t="str">
        <f>'[2]AGR COMFR'!D26</f>
        <v>AT</v>
      </c>
      <c r="E26" s="212" t="s">
        <v>301</v>
      </c>
      <c r="F26" s="212" t="s">
        <v>301</v>
      </c>
      <c r="G26" s="212" t="str">
        <f>'[2]AGR COMFR'!G26</f>
        <v>s1d1b1</v>
      </c>
      <c r="H26" s="212" t="s">
        <v>301</v>
      </c>
      <c r="I26" s="211">
        <v>0</v>
      </c>
      <c r="J26" s="212">
        <f>'[2]AGR COMFR'!J26</f>
        <v>0.26507000000000003</v>
      </c>
    </row>
    <row r="27" spans="1:10">
      <c r="A27" s="137" t="str">
        <f t="shared" si="0"/>
        <v/>
      </c>
      <c r="B27" s="205" t="s">
        <v>341</v>
      </c>
      <c r="C27" s="212" t="s">
        <v>301</v>
      </c>
      <c r="D27" s="212" t="str">
        <f>'[2]AGR COMFR'!D27</f>
        <v>AT</v>
      </c>
      <c r="E27" s="212" t="s">
        <v>301</v>
      </c>
      <c r="F27" s="212" t="s">
        <v>301</v>
      </c>
      <c r="G27" s="212" t="str">
        <f>'[2]AGR COMFR'!G27</f>
        <v>s1d1b2</v>
      </c>
      <c r="H27" s="212" t="s">
        <v>301</v>
      </c>
      <c r="I27" s="211">
        <v>0</v>
      </c>
      <c r="J27" s="212">
        <f>'[2]AGR COMFR'!J27</f>
        <v>0.32396999999999998</v>
      </c>
    </row>
    <row r="28" spans="1:10">
      <c r="A28" s="137" t="str">
        <f t="shared" si="0"/>
        <v/>
      </c>
      <c r="B28" s="205" t="s">
        <v>341</v>
      </c>
      <c r="C28" s="212" t="s">
        <v>301</v>
      </c>
      <c r="D28" s="212" t="str">
        <f>'[2]AGR COMFR'!D28</f>
        <v>AT</v>
      </c>
      <c r="E28" s="212" t="s">
        <v>301</v>
      </c>
      <c r="F28" s="212" t="s">
        <v>301</v>
      </c>
      <c r="G28" s="212" t="str">
        <f>'[2]AGR COMFR'!G28</f>
        <v>s1d1b3</v>
      </c>
      <c r="H28" s="212" t="s">
        <v>301</v>
      </c>
      <c r="I28" s="211">
        <v>0</v>
      </c>
      <c r="J28" s="212">
        <f>'[2]AGR COMFR'!J28</f>
        <v>0.11781</v>
      </c>
    </row>
    <row r="29" spans="1:10">
      <c r="A29" s="137" t="str">
        <f t="shared" si="0"/>
        <v/>
      </c>
      <c r="B29" s="205" t="s">
        <v>341</v>
      </c>
      <c r="C29" s="212" t="s">
        <v>301</v>
      </c>
      <c r="D29" s="212" t="str">
        <f>'[2]AGR COMFR'!D29</f>
        <v>AT</v>
      </c>
      <c r="E29" s="212" t="s">
        <v>301</v>
      </c>
      <c r="F29" s="212" t="s">
        <v>301</v>
      </c>
      <c r="G29" s="212" t="str">
        <f>'[2]AGR COMFR'!G29</f>
        <v>s2d1b1</v>
      </c>
      <c r="H29" s="212" t="s">
        <v>301</v>
      </c>
      <c r="I29" s="211">
        <v>0</v>
      </c>
      <c r="J29" s="212">
        <f>'[2]AGR COMFR'!J29</f>
        <v>9.7720000000000001E-2</v>
      </c>
    </row>
    <row r="30" spans="1:10">
      <c r="A30" s="137" t="str">
        <f t="shared" si="0"/>
        <v/>
      </c>
      <c r="B30" s="205" t="s">
        <v>341</v>
      </c>
      <c r="C30" s="212" t="s">
        <v>301</v>
      </c>
      <c r="D30" s="212" t="str">
        <f>'[2]AGR COMFR'!D30</f>
        <v>AT</v>
      </c>
      <c r="E30" s="212" t="s">
        <v>301</v>
      </c>
      <c r="F30" s="212" t="s">
        <v>301</v>
      </c>
      <c r="G30" s="212" t="str">
        <f>'[2]AGR COMFR'!G30</f>
        <v>s2d1b2</v>
      </c>
      <c r="H30" s="212" t="s">
        <v>301</v>
      </c>
      <c r="I30" s="211">
        <v>0</v>
      </c>
      <c r="J30" s="212">
        <f>'[2]AGR COMFR'!J30</f>
        <v>4.8860000000000001E-2</v>
      </c>
    </row>
    <row r="31" spans="1:10">
      <c r="A31" s="137" t="str">
        <f t="shared" si="0"/>
        <v/>
      </c>
      <c r="B31" s="205" t="s">
        <v>341</v>
      </c>
      <c r="C31" s="212" t="s">
        <v>301</v>
      </c>
      <c r="D31" s="212" t="str">
        <f>'[2]AGR COMFR'!D31</f>
        <v>AT</v>
      </c>
      <c r="E31" s="212" t="s">
        <v>301</v>
      </c>
      <c r="F31" s="212" t="s">
        <v>301</v>
      </c>
      <c r="G31" s="212" t="str">
        <f>'[2]AGR COMFR'!G31</f>
        <v>s2d1b3</v>
      </c>
      <c r="H31" s="212" t="s">
        <v>301</v>
      </c>
      <c r="I31" s="211">
        <v>0</v>
      </c>
      <c r="J31" s="212">
        <f>'[2]AGR COMFR'!J31</f>
        <v>8.5500000000000007E-2</v>
      </c>
    </row>
    <row r="32" spans="1:10">
      <c r="A32" s="137" t="str">
        <f t="shared" si="0"/>
        <v/>
      </c>
      <c r="B32" s="205" t="s">
        <v>341</v>
      </c>
      <c r="C32" s="212" t="s">
        <v>301</v>
      </c>
      <c r="D32" s="212" t="str">
        <f>'[2]AGR COMFR'!D32</f>
        <v>AT</v>
      </c>
      <c r="E32" s="212" t="s">
        <v>301</v>
      </c>
      <c r="F32" s="212" t="s">
        <v>301</v>
      </c>
      <c r="G32" s="212" t="str">
        <f>'[2]AGR COMFR'!G32</f>
        <v>s2d1b4</v>
      </c>
      <c r="H32" s="212" t="s">
        <v>301</v>
      </c>
      <c r="I32" s="211">
        <v>0</v>
      </c>
      <c r="J32" s="212">
        <f>'[2]AGR COMFR'!J32</f>
        <v>3.6639999999999999E-2</v>
      </c>
    </row>
    <row r="33" spans="1:10">
      <c r="A33" s="137" t="str">
        <f t="shared" si="0"/>
        <v/>
      </c>
      <c r="B33" s="205" t="s">
        <v>341</v>
      </c>
      <c r="C33" s="212" t="s">
        <v>301</v>
      </c>
      <c r="D33" s="212" t="str">
        <f>'[2]AGR COMFR'!D33</f>
        <v>AT</v>
      </c>
      <c r="E33" s="212" t="s">
        <v>301</v>
      </c>
      <c r="F33" s="212" t="s">
        <v>301</v>
      </c>
      <c r="G33" s="212" t="str">
        <f>'[2]AGR COMFR'!G33</f>
        <v>s2d1b5</v>
      </c>
      <c r="H33" s="212" t="s">
        <v>301</v>
      </c>
      <c r="I33" s="211">
        <v>0</v>
      </c>
      <c r="J33" s="212">
        <f>'[2]AGR COMFR'!J33</f>
        <v>2.443E-2</v>
      </c>
    </row>
    <row r="34" spans="1:10">
      <c r="A34" s="137" t="str">
        <f t="shared" si="0"/>
        <v/>
      </c>
      <c r="B34" s="205" t="s">
        <v>341</v>
      </c>
      <c r="C34" s="212" t="s">
        <v>301</v>
      </c>
      <c r="D34" s="212" t="str">
        <f>'[2]AGR COMFR'!D34</f>
        <v>AI</v>
      </c>
      <c r="E34" s="212" t="s">
        <v>301</v>
      </c>
      <c r="F34" s="212" t="s">
        <v>301</v>
      </c>
      <c r="G34" s="212" t="str">
        <f>'[2]AGR COMFR'!G34</f>
        <v>s1d1b1</v>
      </c>
      <c r="H34" s="212" t="s">
        <v>301</v>
      </c>
      <c r="I34" s="211">
        <v>0</v>
      </c>
      <c r="J34" s="212">
        <f>'[2]AGR COMFR'!J34</f>
        <v>0.26507000000000003</v>
      </c>
    </row>
    <row r="35" spans="1:10">
      <c r="A35" s="137" t="str">
        <f t="shared" si="0"/>
        <v/>
      </c>
      <c r="B35" s="205" t="s">
        <v>341</v>
      </c>
      <c r="C35" s="212" t="s">
        <v>301</v>
      </c>
      <c r="D35" s="212" t="str">
        <f>'[2]AGR COMFR'!D35</f>
        <v>AI</v>
      </c>
      <c r="E35" s="212" t="s">
        <v>301</v>
      </c>
      <c r="F35" s="212" t="s">
        <v>301</v>
      </c>
      <c r="G35" s="212" t="str">
        <f>'[2]AGR COMFR'!G35</f>
        <v>s1d1b2</v>
      </c>
      <c r="H35" s="212" t="s">
        <v>301</v>
      </c>
      <c r="I35" s="211">
        <v>0</v>
      </c>
      <c r="J35" s="212">
        <f>'[2]AGR COMFR'!J35</f>
        <v>0.32396999999999998</v>
      </c>
    </row>
    <row r="36" spans="1:10">
      <c r="A36" s="137" t="str">
        <f t="shared" si="0"/>
        <v/>
      </c>
      <c r="B36" s="205" t="s">
        <v>341</v>
      </c>
      <c r="C36" s="212" t="s">
        <v>301</v>
      </c>
      <c r="D36" s="212" t="str">
        <f>'[2]AGR COMFR'!D36</f>
        <v>AI</v>
      </c>
      <c r="E36" s="212" t="s">
        <v>301</v>
      </c>
      <c r="F36" s="212" t="s">
        <v>301</v>
      </c>
      <c r="G36" s="212" t="str">
        <f>'[2]AGR COMFR'!G36</f>
        <v>s1d1b3</v>
      </c>
      <c r="H36" s="212" t="s">
        <v>301</v>
      </c>
      <c r="I36" s="211">
        <v>0</v>
      </c>
      <c r="J36" s="212">
        <f>'[2]AGR COMFR'!J36</f>
        <v>0.11781</v>
      </c>
    </row>
    <row r="37" spans="1:10">
      <c r="A37" s="137" t="str">
        <f t="shared" si="0"/>
        <v/>
      </c>
      <c r="B37" s="205" t="s">
        <v>341</v>
      </c>
      <c r="C37" s="212" t="s">
        <v>301</v>
      </c>
      <c r="D37" s="212" t="str">
        <f>'[2]AGR COMFR'!D37</f>
        <v>AI</v>
      </c>
      <c r="E37" s="212" t="s">
        <v>301</v>
      </c>
      <c r="F37" s="212" t="s">
        <v>301</v>
      </c>
      <c r="G37" s="212" t="str">
        <f>'[2]AGR COMFR'!G37</f>
        <v>s2d1b1</v>
      </c>
      <c r="H37" s="212" t="s">
        <v>301</v>
      </c>
      <c r="I37" s="211">
        <v>0</v>
      </c>
      <c r="J37" s="212">
        <f>'[2]AGR COMFR'!J37</f>
        <v>9.7720000000000001E-2</v>
      </c>
    </row>
    <row r="38" spans="1:10">
      <c r="A38" s="137" t="str">
        <f t="shared" si="0"/>
        <v/>
      </c>
      <c r="B38" s="205" t="s">
        <v>341</v>
      </c>
      <c r="C38" s="212" t="s">
        <v>301</v>
      </c>
      <c r="D38" s="212" t="str">
        <f>'[2]AGR COMFR'!D38</f>
        <v>AI</v>
      </c>
      <c r="E38" s="212" t="s">
        <v>301</v>
      </c>
      <c r="F38" s="212" t="s">
        <v>301</v>
      </c>
      <c r="G38" s="212" t="str">
        <f>'[2]AGR COMFR'!G38</f>
        <v>s2d1b2</v>
      </c>
      <c r="H38" s="212" t="s">
        <v>301</v>
      </c>
      <c r="I38" s="211">
        <v>0</v>
      </c>
      <c r="J38" s="212">
        <f>'[2]AGR COMFR'!J38</f>
        <v>4.8860000000000001E-2</v>
      </c>
    </row>
    <row r="39" spans="1:10">
      <c r="A39" s="137" t="str">
        <f t="shared" si="0"/>
        <v/>
      </c>
      <c r="B39" s="205" t="s">
        <v>341</v>
      </c>
      <c r="C39" s="212" t="s">
        <v>301</v>
      </c>
      <c r="D39" s="212" t="str">
        <f>'[2]AGR COMFR'!D39</f>
        <v>AI</v>
      </c>
      <c r="E39" s="212" t="s">
        <v>301</v>
      </c>
      <c r="F39" s="212" t="s">
        <v>301</v>
      </c>
      <c r="G39" s="212" t="str">
        <f>'[2]AGR COMFR'!G39</f>
        <v>s2d1b3</v>
      </c>
      <c r="H39" s="212" t="s">
        <v>301</v>
      </c>
      <c r="I39" s="211">
        <v>0</v>
      </c>
      <c r="J39" s="212">
        <f>'[2]AGR COMFR'!J39</f>
        <v>8.5500000000000007E-2</v>
      </c>
    </row>
    <row r="40" spans="1:10">
      <c r="A40" s="137" t="str">
        <f t="shared" si="0"/>
        <v/>
      </c>
      <c r="B40" s="205" t="s">
        <v>341</v>
      </c>
      <c r="C40" s="212" t="s">
        <v>301</v>
      </c>
      <c r="D40" s="212" t="str">
        <f>'[2]AGR COMFR'!D40</f>
        <v>AI</v>
      </c>
      <c r="E40" s="212" t="s">
        <v>301</v>
      </c>
      <c r="F40" s="212" t="s">
        <v>301</v>
      </c>
      <c r="G40" s="212" t="str">
        <f>'[2]AGR COMFR'!G40</f>
        <v>s2d1b4</v>
      </c>
      <c r="H40" s="212" t="s">
        <v>301</v>
      </c>
      <c r="I40" s="211">
        <v>0</v>
      </c>
      <c r="J40" s="212">
        <f>'[2]AGR COMFR'!J40</f>
        <v>3.6639999999999999E-2</v>
      </c>
    </row>
    <row r="41" spans="1:10">
      <c r="A41" s="137" t="str">
        <f t="shared" si="0"/>
        <v/>
      </c>
      <c r="B41" s="205" t="s">
        <v>341</v>
      </c>
      <c r="C41" s="212" t="s">
        <v>301</v>
      </c>
      <c r="D41" s="212" t="str">
        <f>'[2]AGR COMFR'!D41</f>
        <v>AI</v>
      </c>
      <c r="E41" s="212" t="s">
        <v>301</v>
      </c>
      <c r="F41" s="212" t="s">
        <v>301</v>
      </c>
      <c r="G41" s="212" t="str">
        <f>'[2]AGR COMFR'!G41</f>
        <v>s2d1b5</v>
      </c>
      <c r="H41" s="212" t="s">
        <v>301</v>
      </c>
      <c r="I41" s="211">
        <v>0</v>
      </c>
      <c r="J41" s="212">
        <f>'[2]AGR COMFR'!J41</f>
        <v>2.443E-2</v>
      </c>
    </row>
    <row r="42" spans="1:10">
      <c r="A42" s="137" t="str">
        <f t="shared" si="0"/>
        <v/>
      </c>
      <c r="B42" s="205" t="s">
        <v>341</v>
      </c>
      <c r="C42" s="212" t="s">
        <v>301</v>
      </c>
      <c r="D42" s="212" t="str">
        <f>'[2]AGR COMFR'!D42</f>
        <v>AO</v>
      </c>
      <c r="E42" s="212" t="s">
        <v>301</v>
      </c>
      <c r="F42" s="212" t="s">
        <v>301</v>
      </c>
      <c r="G42" s="212" t="str">
        <f>'[2]AGR COMFR'!G42</f>
        <v>s1d1b1</v>
      </c>
      <c r="H42" s="212" t="s">
        <v>301</v>
      </c>
      <c r="I42" s="211">
        <v>0</v>
      </c>
      <c r="J42" s="212">
        <f>'[2]AGR COMFR'!J42</f>
        <v>0.26507000000000003</v>
      </c>
    </row>
    <row r="43" spans="1:10">
      <c r="A43" s="137" t="str">
        <f t="shared" si="0"/>
        <v/>
      </c>
      <c r="B43" s="205" t="s">
        <v>341</v>
      </c>
      <c r="C43" s="212" t="s">
        <v>301</v>
      </c>
      <c r="D43" s="212" t="str">
        <f>'[2]AGR COMFR'!D43</f>
        <v>AO</v>
      </c>
      <c r="E43" s="212" t="s">
        <v>301</v>
      </c>
      <c r="F43" s="212" t="s">
        <v>301</v>
      </c>
      <c r="G43" s="212" t="str">
        <f>'[2]AGR COMFR'!G43</f>
        <v>s1d1b2</v>
      </c>
      <c r="H43" s="212" t="s">
        <v>301</v>
      </c>
      <c r="I43" s="211">
        <v>0</v>
      </c>
      <c r="J43" s="212">
        <f>'[2]AGR COMFR'!J43</f>
        <v>0.32396999999999998</v>
      </c>
    </row>
    <row r="44" spans="1:10">
      <c r="A44" s="137" t="str">
        <f t="shared" si="0"/>
        <v/>
      </c>
      <c r="B44" s="205" t="s">
        <v>341</v>
      </c>
      <c r="C44" s="212" t="s">
        <v>301</v>
      </c>
      <c r="D44" s="212" t="str">
        <f>'[2]AGR COMFR'!D44</f>
        <v>AO</v>
      </c>
      <c r="E44" s="212" t="s">
        <v>301</v>
      </c>
      <c r="F44" s="212" t="s">
        <v>301</v>
      </c>
      <c r="G44" s="212" t="str">
        <f>'[2]AGR COMFR'!G44</f>
        <v>s1d1b3</v>
      </c>
      <c r="H44" s="212" t="s">
        <v>301</v>
      </c>
      <c r="I44" s="211">
        <v>0</v>
      </c>
      <c r="J44" s="212">
        <f>'[2]AGR COMFR'!J44</f>
        <v>0.11781</v>
      </c>
    </row>
    <row r="45" spans="1:10">
      <c r="A45" s="137" t="str">
        <f t="shared" si="0"/>
        <v/>
      </c>
      <c r="B45" s="205" t="s">
        <v>341</v>
      </c>
      <c r="C45" s="212" t="s">
        <v>301</v>
      </c>
      <c r="D45" s="212" t="str">
        <f>'[2]AGR COMFR'!D45</f>
        <v>AO</v>
      </c>
      <c r="E45" s="212" t="s">
        <v>301</v>
      </c>
      <c r="F45" s="212" t="s">
        <v>301</v>
      </c>
      <c r="G45" s="212" t="str">
        <f>'[2]AGR COMFR'!G45</f>
        <v>s2d1b1</v>
      </c>
      <c r="H45" s="212" t="s">
        <v>301</v>
      </c>
      <c r="I45" s="211">
        <v>0</v>
      </c>
      <c r="J45" s="212">
        <f>'[2]AGR COMFR'!J45</f>
        <v>9.7720000000000001E-2</v>
      </c>
    </row>
    <row r="46" spans="1:10">
      <c r="A46" s="137" t="str">
        <f t="shared" si="0"/>
        <v/>
      </c>
      <c r="B46" s="205" t="s">
        <v>341</v>
      </c>
      <c r="C46" s="212" t="s">
        <v>301</v>
      </c>
      <c r="D46" s="212" t="str">
        <f>'[2]AGR COMFR'!D46</f>
        <v>AO</v>
      </c>
      <c r="E46" s="212" t="s">
        <v>301</v>
      </c>
      <c r="F46" s="212" t="s">
        <v>301</v>
      </c>
      <c r="G46" s="212" t="str">
        <f>'[2]AGR COMFR'!G46</f>
        <v>s2d1b2</v>
      </c>
      <c r="H46" s="212" t="s">
        <v>301</v>
      </c>
      <c r="I46" s="211">
        <v>0</v>
      </c>
      <c r="J46" s="212">
        <f>'[2]AGR COMFR'!J46</f>
        <v>4.8860000000000001E-2</v>
      </c>
    </row>
    <row r="47" spans="1:10">
      <c r="A47" s="137" t="str">
        <f t="shared" si="0"/>
        <v/>
      </c>
      <c r="B47" s="205" t="s">
        <v>341</v>
      </c>
      <c r="C47" s="212" t="s">
        <v>301</v>
      </c>
      <c r="D47" s="212" t="str">
        <f>'[2]AGR COMFR'!D47</f>
        <v>AO</v>
      </c>
      <c r="E47" s="212" t="s">
        <v>301</v>
      </c>
      <c r="F47" s="212" t="s">
        <v>301</v>
      </c>
      <c r="G47" s="212" t="str">
        <f>'[2]AGR COMFR'!G47</f>
        <v>s2d1b3</v>
      </c>
      <c r="H47" s="212" t="s">
        <v>301</v>
      </c>
      <c r="I47" s="211">
        <v>0</v>
      </c>
      <c r="J47" s="212">
        <f>'[2]AGR COMFR'!J47</f>
        <v>8.5500000000000007E-2</v>
      </c>
    </row>
    <row r="48" spans="1:10">
      <c r="A48" s="137" t="str">
        <f t="shared" si="0"/>
        <v/>
      </c>
      <c r="B48" s="205" t="s">
        <v>341</v>
      </c>
      <c r="C48" s="212" t="s">
        <v>301</v>
      </c>
      <c r="D48" s="212" t="str">
        <f>'[2]AGR COMFR'!D48</f>
        <v>AO</v>
      </c>
      <c r="E48" s="212" t="s">
        <v>301</v>
      </c>
      <c r="F48" s="212" t="s">
        <v>301</v>
      </c>
      <c r="G48" s="212" t="str">
        <f>'[2]AGR COMFR'!G48</f>
        <v>s2d1b4</v>
      </c>
      <c r="H48" s="212" t="s">
        <v>301</v>
      </c>
      <c r="I48" s="211">
        <v>0</v>
      </c>
      <c r="J48" s="212">
        <f>'[2]AGR COMFR'!J48</f>
        <v>3.6639999999999999E-2</v>
      </c>
    </row>
    <row r="49" spans="1:10">
      <c r="A49" s="137" t="str">
        <f t="shared" si="0"/>
        <v/>
      </c>
      <c r="B49" s="205" t="s">
        <v>341</v>
      </c>
      <c r="C49" s="212" t="s">
        <v>301</v>
      </c>
      <c r="D49" s="212" t="str">
        <f>'[2]AGR COMFR'!D49</f>
        <v>AO</v>
      </c>
      <c r="E49" s="212" t="s">
        <v>301</v>
      </c>
      <c r="F49" s="212" t="s">
        <v>301</v>
      </c>
      <c r="G49" s="212" t="str">
        <f>'[2]AGR COMFR'!G49</f>
        <v>s2d1b5</v>
      </c>
      <c r="H49" s="212" t="s">
        <v>301</v>
      </c>
      <c r="I49" s="211">
        <v>0</v>
      </c>
      <c r="J49" s="212">
        <f>'[2]AGR COMFR'!J49</f>
        <v>2.443E-2</v>
      </c>
    </row>
    <row r="50" spans="1:10">
      <c r="A50" s="137" t="str">
        <f t="shared" si="0"/>
        <v>*</v>
      </c>
      <c r="B50" s="205" t="s">
        <v>341</v>
      </c>
      <c r="C50" s="212" t="s">
        <v>301</v>
      </c>
      <c r="D50" s="212">
        <f>'[2]AGR COMFR'!D50</f>
        <v>0</v>
      </c>
      <c r="E50" s="212" t="s">
        <v>301</v>
      </c>
      <c r="F50" s="212" t="s">
        <v>301</v>
      </c>
      <c r="G50" s="212">
        <f>'[2]AGR COMFR'!G50</f>
        <v>0</v>
      </c>
      <c r="H50" s="212" t="s">
        <v>301</v>
      </c>
      <c r="I50" s="211">
        <v>0</v>
      </c>
      <c r="J50" s="212">
        <f>'[2]AGR COMFR'!J50</f>
        <v>0</v>
      </c>
    </row>
    <row r="51" spans="1:10">
      <c r="A51" s="137" t="str">
        <f t="shared" si="0"/>
        <v>*</v>
      </c>
      <c r="B51" s="205" t="s">
        <v>341</v>
      </c>
      <c r="C51" s="212" t="s">
        <v>301</v>
      </c>
      <c r="D51" s="212">
        <f>'[2]AGR COMFR'!D51</f>
        <v>0</v>
      </c>
      <c r="E51" s="212" t="s">
        <v>301</v>
      </c>
      <c r="F51" s="212" t="s">
        <v>301</v>
      </c>
      <c r="G51" s="212">
        <f>'[2]AGR COMFR'!G51</f>
        <v>0</v>
      </c>
      <c r="H51" s="212" t="s">
        <v>301</v>
      </c>
      <c r="I51" s="211">
        <v>0</v>
      </c>
      <c r="J51" s="212">
        <f>'[2]AGR COMFR'!J51</f>
        <v>0</v>
      </c>
    </row>
    <row r="52" spans="1:10">
      <c r="A52" s="137" t="str">
        <f t="shared" si="0"/>
        <v>*</v>
      </c>
      <c r="B52" s="205" t="s">
        <v>341</v>
      </c>
      <c r="C52" s="212" t="s">
        <v>301</v>
      </c>
      <c r="D52" s="212">
        <f>'[2]AGR COMFR'!D52</f>
        <v>0</v>
      </c>
      <c r="E52" s="212" t="s">
        <v>301</v>
      </c>
      <c r="F52" s="212" t="s">
        <v>301</v>
      </c>
      <c r="G52" s="212">
        <f>'[2]AGR COMFR'!G52</f>
        <v>0</v>
      </c>
      <c r="H52" s="212" t="s">
        <v>301</v>
      </c>
      <c r="I52" s="211">
        <v>0</v>
      </c>
      <c r="J52" s="212">
        <f>'[2]AGR COMFR'!J52</f>
        <v>0</v>
      </c>
    </row>
    <row r="53" spans="1:10">
      <c r="A53" s="137" t="str">
        <f t="shared" si="0"/>
        <v>*</v>
      </c>
      <c r="B53" s="205" t="s">
        <v>341</v>
      </c>
      <c r="C53" s="212" t="s">
        <v>301</v>
      </c>
      <c r="D53" s="212">
        <f>'[2]AGR COMFR'!D53</f>
        <v>0</v>
      </c>
      <c r="E53" s="212" t="s">
        <v>301</v>
      </c>
      <c r="F53" s="212" t="s">
        <v>301</v>
      </c>
      <c r="G53" s="212">
        <f>'[2]AGR COMFR'!G53</f>
        <v>0</v>
      </c>
      <c r="H53" s="212" t="s">
        <v>301</v>
      </c>
      <c r="I53" s="211">
        <v>0</v>
      </c>
      <c r="J53" s="212">
        <f>'[2]AGR COMFR'!J53</f>
        <v>0</v>
      </c>
    </row>
    <row r="54" spans="1:10">
      <c r="A54" s="137" t="str">
        <f t="shared" si="0"/>
        <v>*</v>
      </c>
      <c r="B54" s="205" t="s">
        <v>341</v>
      </c>
      <c r="C54" s="212" t="s">
        <v>301</v>
      </c>
      <c r="D54" s="212">
        <f>'[2]AGR COMFR'!D54</f>
        <v>0</v>
      </c>
      <c r="E54" s="212" t="s">
        <v>301</v>
      </c>
      <c r="F54" s="212" t="s">
        <v>301</v>
      </c>
      <c r="G54" s="212">
        <f>'[2]AGR COMFR'!G54</f>
        <v>0</v>
      </c>
      <c r="H54" s="212" t="s">
        <v>301</v>
      </c>
      <c r="I54" s="211">
        <v>0</v>
      </c>
      <c r="J54" s="212">
        <f>'[2]AGR COMFR'!J54</f>
        <v>0</v>
      </c>
    </row>
    <row r="55" spans="1:10">
      <c r="A55" s="137" t="str">
        <f t="shared" si="0"/>
        <v>*</v>
      </c>
      <c r="B55" s="205" t="s">
        <v>341</v>
      </c>
      <c r="C55" s="212" t="s">
        <v>301</v>
      </c>
      <c r="D55" s="212">
        <f>'[2]AGR COMFR'!D55</f>
        <v>0</v>
      </c>
      <c r="E55" s="212" t="s">
        <v>301</v>
      </c>
      <c r="F55" s="212" t="s">
        <v>301</v>
      </c>
      <c r="G55" s="212">
        <f>'[2]AGR COMFR'!G55</f>
        <v>0</v>
      </c>
      <c r="H55" s="212" t="s">
        <v>301</v>
      </c>
      <c r="I55" s="211">
        <v>0</v>
      </c>
      <c r="J55" s="212">
        <f>'[2]AGR COMFR'!J55</f>
        <v>0</v>
      </c>
    </row>
    <row r="56" spans="1:10">
      <c r="A56" s="137" t="str">
        <f t="shared" si="0"/>
        <v>*</v>
      </c>
      <c r="B56" s="205" t="s">
        <v>341</v>
      </c>
      <c r="C56" s="212" t="s">
        <v>301</v>
      </c>
      <c r="D56" s="212">
        <f>'[2]AGR COMFR'!D56</f>
        <v>0</v>
      </c>
      <c r="E56" s="212" t="s">
        <v>301</v>
      </c>
      <c r="F56" s="212" t="s">
        <v>301</v>
      </c>
      <c r="G56" s="212">
        <f>'[2]AGR COMFR'!G56</f>
        <v>0</v>
      </c>
      <c r="H56" s="212" t="s">
        <v>301</v>
      </c>
      <c r="I56" s="211">
        <v>0</v>
      </c>
      <c r="J56" s="212">
        <f>'[2]AGR COMFR'!J56</f>
        <v>0</v>
      </c>
    </row>
    <row r="57" spans="1:10">
      <c r="A57" s="137" t="str">
        <f t="shared" si="0"/>
        <v>*</v>
      </c>
      <c r="B57" s="205" t="s">
        <v>341</v>
      </c>
      <c r="C57" s="212" t="s">
        <v>301</v>
      </c>
      <c r="D57" s="212">
        <f>'[2]AGR COMFR'!D57</f>
        <v>0</v>
      </c>
      <c r="E57" s="212" t="s">
        <v>301</v>
      </c>
      <c r="F57" s="212" t="s">
        <v>301</v>
      </c>
      <c r="G57" s="212">
        <f>'[2]AGR COMFR'!G57</f>
        <v>0</v>
      </c>
      <c r="H57" s="212" t="s">
        <v>301</v>
      </c>
      <c r="I57" s="211">
        <v>0</v>
      </c>
      <c r="J57" s="212">
        <f>'[2]AGR COMFR'!J57</f>
        <v>0</v>
      </c>
    </row>
    <row r="58" spans="1:10">
      <c r="A58" s="137" t="str">
        <f t="shared" si="0"/>
        <v>*</v>
      </c>
      <c r="B58" s="205" t="s">
        <v>341</v>
      </c>
      <c r="C58" s="212" t="s">
        <v>301</v>
      </c>
      <c r="D58" s="212">
        <f>'[2]AGR COMFR'!D58</f>
        <v>0</v>
      </c>
      <c r="E58" s="212" t="s">
        <v>301</v>
      </c>
      <c r="F58" s="212" t="s">
        <v>301</v>
      </c>
      <c r="G58" s="212">
        <f>'[2]AGR COMFR'!G58</f>
        <v>0</v>
      </c>
      <c r="H58" s="212" t="s">
        <v>301</v>
      </c>
      <c r="I58" s="211">
        <v>0</v>
      </c>
      <c r="J58" s="212">
        <f>'[2]AGR COMFR'!J58</f>
        <v>0</v>
      </c>
    </row>
    <row r="59" spans="1:10">
      <c r="A59" s="137" t="str">
        <f t="shared" si="0"/>
        <v>*</v>
      </c>
      <c r="B59" s="205" t="s">
        <v>341</v>
      </c>
      <c r="C59" s="212" t="s">
        <v>301</v>
      </c>
      <c r="D59" s="212">
        <f>'[2]AGR COMFR'!D59</f>
        <v>0</v>
      </c>
      <c r="E59" s="212" t="s">
        <v>301</v>
      </c>
      <c r="F59" s="212" t="s">
        <v>301</v>
      </c>
      <c r="G59" s="212">
        <f>'[2]AGR COMFR'!G59</f>
        <v>0</v>
      </c>
      <c r="H59" s="212" t="s">
        <v>301</v>
      </c>
      <c r="I59" s="211">
        <v>0</v>
      </c>
      <c r="J59" s="212">
        <f>'[2]AGR COMFR'!J59</f>
        <v>0</v>
      </c>
    </row>
    <row r="60" spans="1:10">
      <c r="A60" s="137" t="str">
        <f t="shared" si="0"/>
        <v>*</v>
      </c>
      <c r="B60" s="205" t="s">
        <v>341</v>
      </c>
      <c r="C60" s="212" t="s">
        <v>301</v>
      </c>
      <c r="D60" s="212">
        <f>'[2]AGR COMFR'!D60</f>
        <v>0</v>
      </c>
      <c r="E60" s="212" t="s">
        <v>301</v>
      </c>
      <c r="F60" s="212" t="s">
        <v>301</v>
      </c>
      <c r="G60" s="212">
        <f>'[2]AGR COMFR'!G60</f>
        <v>0</v>
      </c>
      <c r="H60" s="212" t="s">
        <v>301</v>
      </c>
      <c r="I60" s="211">
        <v>0</v>
      </c>
      <c r="J60" s="212">
        <f>'[2]AGR COMFR'!J60</f>
        <v>0</v>
      </c>
    </row>
    <row r="61" spans="1:10">
      <c r="A61" s="137" t="str">
        <f t="shared" si="0"/>
        <v>*</v>
      </c>
      <c r="B61" s="205" t="s">
        <v>341</v>
      </c>
      <c r="C61" s="212" t="s">
        <v>301</v>
      </c>
      <c r="D61" s="212">
        <f>'[2]AGR COMFR'!D61</f>
        <v>0</v>
      </c>
      <c r="E61" s="212" t="s">
        <v>301</v>
      </c>
      <c r="F61" s="212" t="s">
        <v>301</v>
      </c>
      <c r="G61" s="212">
        <f>'[2]AGR COMFR'!G61</f>
        <v>0</v>
      </c>
      <c r="H61" s="212" t="s">
        <v>301</v>
      </c>
      <c r="I61" s="211">
        <v>0</v>
      </c>
      <c r="J61" s="212">
        <f>'[2]AGR COMFR'!J61</f>
        <v>0</v>
      </c>
    </row>
    <row r="62" spans="1:10">
      <c r="A62" s="137" t="str">
        <f t="shared" si="0"/>
        <v>*</v>
      </c>
      <c r="B62" s="205" t="s">
        <v>341</v>
      </c>
      <c r="C62" s="212" t="s">
        <v>301</v>
      </c>
      <c r="D62" s="212">
        <f>'[2]AGR COMFR'!D62</f>
        <v>0</v>
      </c>
      <c r="E62" s="212" t="s">
        <v>301</v>
      </c>
      <c r="F62" s="212" t="s">
        <v>301</v>
      </c>
      <c r="G62" s="212">
        <f>'[2]AGR COMFR'!G62</f>
        <v>0</v>
      </c>
      <c r="H62" s="212" t="s">
        <v>301</v>
      </c>
      <c r="I62" s="211">
        <v>0</v>
      </c>
      <c r="J62" s="212">
        <f>'[2]AGR COMFR'!J62</f>
        <v>0</v>
      </c>
    </row>
    <row r="63" spans="1:10">
      <c r="A63" s="137" t="str">
        <f t="shared" si="0"/>
        <v>*</v>
      </c>
      <c r="B63" s="205" t="s">
        <v>341</v>
      </c>
      <c r="C63" s="212" t="s">
        <v>301</v>
      </c>
      <c r="D63" s="212">
        <f>'[2]AGR COMFR'!D63</f>
        <v>0</v>
      </c>
      <c r="E63" s="212" t="s">
        <v>301</v>
      </c>
      <c r="F63" s="212" t="s">
        <v>301</v>
      </c>
      <c r="G63" s="212">
        <f>'[2]AGR COMFR'!G63</f>
        <v>0</v>
      </c>
      <c r="H63" s="212" t="s">
        <v>301</v>
      </c>
      <c r="I63" s="211">
        <v>0</v>
      </c>
      <c r="J63" s="212">
        <f>'[2]AGR COMFR'!J63</f>
        <v>0</v>
      </c>
    </row>
    <row r="64" spans="1:10">
      <c r="A64" s="137" t="str">
        <f t="shared" si="0"/>
        <v>*</v>
      </c>
      <c r="B64" s="205" t="s">
        <v>341</v>
      </c>
      <c r="C64" s="212" t="s">
        <v>301</v>
      </c>
      <c r="D64" s="212">
        <f>'[2]AGR COMFR'!D64</f>
        <v>0</v>
      </c>
      <c r="E64" s="212" t="s">
        <v>301</v>
      </c>
      <c r="F64" s="212" t="s">
        <v>301</v>
      </c>
      <c r="G64" s="212">
        <f>'[2]AGR COMFR'!G64</f>
        <v>0</v>
      </c>
      <c r="H64" s="212" t="s">
        <v>301</v>
      </c>
      <c r="I64" s="211">
        <v>0</v>
      </c>
      <c r="J64" s="212">
        <f>'[2]AGR COMFR'!J64</f>
        <v>0</v>
      </c>
    </row>
    <row r="65" spans="1:10">
      <c r="A65" s="137" t="str">
        <f t="shared" si="0"/>
        <v>*</v>
      </c>
      <c r="B65" s="205" t="s">
        <v>341</v>
      </c>
      <c r="C65" s="212" t="s">
        <v>301</v>
      </c>
      <c r="D65" s="212">
        <f>'[2]AGR COMFR'!D65</f>
        <v>0</v>
      </c>
      <c r="E65" s="212" t="s">
        <v>301</v>
      </c>
      <c r="F65" s="212" t="s">
        <v>301</v>
      </c>
      <c r="G65" s="212">
        <f>'[2]AGR COMFR'!G65</f>
        <v>0</v>
      </c>
      <c r="H65" s="212" t="s">
        <v>301</v>
      </c>
      <c r="I65" s="211">
        <v>0</v>
      </c>
      <c r="J65" s="212">
        <f>'[2]AGR COMFR'!J65</f>
        <v>0</v>
      </c>
    </row>
    <row r="66" spans="1:10">
      <c r="A66" s="137" t="str">
        <f t="shared" si="0"/>
        <v>*</v>
      </c>
      <c r="B66" s="205" t="s">
        <v>341</v>
      </c>
      <c r="C66" s="212" t="s">
        <v>301</v>
      </c>
      <c r="D66" s="212">
        <f>'[2]AGR COMFR'!D66</f>
        <v>0</v>
      </c>
      <c r="E66" s="212" t="s">
        <v>301</v>
      </c>
      <c r="F66" s="212" t="s">
        <v>301</v>
      </c>
      <c r="G66" s="212">
        <f>'[2]AGR COMFR'!G66</f>
        <v>0</v>
      </c>
      <c r="H66" s="212" t="s">
        <v>301</v>
      </c>
      <c r="I66" s="211">
        <v>0</v>
      </c>
      <c r="J66" s="212">
        <f>'[2]AGR COMFR'!J66</f>
        <v>0</v>
      </c>
    </row>
    <row r="67" spans="1:10">
      <c r="A67" s="137" t="str">
        <f t="shared" si="0"/>
        <v>*</v>
      </c>
      <c r="B67" s="205" t="s">
        <v>341</v>
      </c>
      <c r="C67" s="212" t="s">
        <v>301</v>
      </c>
      <c r="D67" s="212">
        <f>'[2]AGR COMFR'!D67</f>
        <v>0</v>
      </c>
      <c r="E67" s="212" t="s">
        <v>301</v>
      </c>
      <c r="F67" s="212" t="s">
        <v>301</v>
      </c>
      <c r="G67" s="212">
        <f>'[2]AGR COMFR'!G67</f>
        <v>0</v>
      </c>
      <c r="H67" s="212" t="s">
        <v>301</v>
      </c>
      <c r="I67" s="211">
        <v>0</v>
      </c>
      <c r="J67" s="212">
        <f>'[2]AGR COMFR'!J67</f>
        <v>0</v>
      </c>
    </row>
    <row r="68" spans="1:10">
      <c r="A68" s="137" t="str">
        <f t="shared" si="0"/>
        <v>*</v>
      </c>
      <c r="B68" s="205" t="s">
        <v>341</v>
      </c>
      <c r="C68" s="212" t="s">
        <v>301</v>
      </c>
      <c r="D68" s="212">
        <f>'[2]AGR COMFR'!D68</f>
        <v>0</v>
      </c>
      <c r="E68" s="212" t="s">
        <v>301</v>
      </c>
      <c r="F68" s="212" t="s">
        <v>301</v>
      </c>
      <c r="G68" s="212">
        <f>'[2]AGR COMFR'!G68</f>
        <v>0</v>
      </c>
      <c r="H68" s="212" t="s">
        <v>301</v>
      </c>
      <c r="I68" s="211">
        <v>0</v>
      </c>
      <c r="J68" s="212">
        <f>'[2]AGR COMFR'!J68</f>
        <v>0</v>
      </c>
    </row>
    <row r="69" spans="1:10">
      <c r="A69" s="137" t="str">
        <f t="shared" si="0"/>
        <v>*</v>
      </c>
      <c r="B69" s="205" t="s">
        <v>341</v>
      </c>
      <c r="C69" s="212" t="s">
        <v>301</v>
      </c>
      <c r="D69" s="212">
        <f>'[2]AGR COMFR'!D69</f>
        <v>0</v>
      </c>
      <c r="E69" s="212" t="s">
        <v>301</v>
      </c>
      <c r="F69" s="212" t="s">
        <v>301</v>
      </c>
      <c r="G69" s="212">
        <f>'[2]AGR COMFR'!G69</f>
        <v>0</v>
      </c>
      <c r="H69" s="212" t="s">
        <v>301</v>
      </c>
      <c r="I69" s="211">
        <v>0</v>
      </c>
      <c r="J69" s="212">
        <f>'[2]AGR COMFR'!J69</f>
        <v>0</v>
      </c>
    </row>
    <row r="70" spans="1:10">
      <c r="A70" s="137" t="str">
        <f t="shared" si="0"/>
        <v>*</v>
      </c>
      <c r="B70" s="205" t="s">
        <v>341</v>
      </c>
      <c r="C70" s="212" t="s">
        <v>301</v>
      </c>
      <c r="D70" s="212">
        <f>'[2]AGR COMFR'!D70</f>
        <v>0</v>
      </c>
      <c r="E70" s="212" t="s">
        <v>301</v>
      </c>
      <c r="F70" s="212" t="s">
        <v>301</v>
      </c>
      <c r="G70" s="212">
        <f>'[2]AGR COMFR'!G70</f>
        <v>0</v>
      </c>
      <c r="H70" s="212" t="s">
        <v>301</v>
      </c>
      <c r="I70" s="211">
        <v>0</v>
      </c>
      <c r="J70" s="212">
        <f>'[2]AGR COMFR'!J70</f>
        <v>0</v>
      </c>
    </row>
    <row r="71" spans="1:10">
      <c r="A71" s="137" t="str">
        <f t="shared" si="0"/>
        <v>*</v>
      </c>
      <c r="B71" s="205" t="s">
        <v>341</v>
      </c>
      <c r="C71" s="212" t="s">
        <v>301</v>
      </c>
      <c r="D71" s="212">
        <f>'[2]AGR COMFR'!D71</f>
        <v>0</v>
      </c>
      <c r="E71" s="212" t="s">
        <v>301</v>
      </c>
      <c r="F71" s="212" t="s">
        <v>301</v>
      </c>
      <c r="G71" s="212">
        <f>'[2]AGR COMFR'!G71</f>
        <v>0</v>
      </c>
      <c r="H71" s="212" t="s">
        <v>301</v>
      </c>
      <c r="I71" s="211">
        <v>0</v>
      </c>
      <c r="J71" s="212">
        <f>'[2]AGR COMFR'!J71</f>
        <v>0</v>
      </c>
    </row>
    <row r="72" spans="1:10">
      <c r="A72" s="137" t="str">
        <f t="shared" si="0"/>
        <v>*</v>
      </c>
      <c r="B72" s="205" t="s">
        <v>341</v>
      </c>
      <c r="C72" s="212" t="s">
        <v>301</v>
      </c>
      <c r="D72" s="212">
        <f>'[2]AGR COMFR'!D72</f>
        <v>0</v>
      </c>
      <c r="E72" s="212" t="s">
        <v>301</v>
      </c>
      <c r="F72" s="212" t="s">
        <v>301</v>
      </c>
      <c r="G72" s="212">
        <f>'[2]AGR COMFR'!G72</f>
        <v>0</v>
      </c>
      <c r="H72" s="212" t="s">
        <v>301</v>
      </c>
      <c r="I72" s="211">
        <v>0</v>
      </c>
      <c r="J72" s="212">
        <f>'[2]AGR COMFR'!J72</f>
        <v>0</v>
      </c>
    </row>
    <row r="73" spans="1:10">
      <c r="A73" s="137" t="str">
        <f t="shared" si="0"/>
        <v>*</v>
      </c>
      <c r="B73" s="205" t="s">
        <v>341</v>
      </c>
      <c r="C73" s="212" t="s">
        <v>301</v>
      </c>
      <c r="D73" s="212">
        <f>'[2]AGR COMFR'!D73</f>
        <v>0</v>
      </c>
      <c r="E73" s="212" t="s">
        <v>301</v>
      </c>
      <c r="F73" s="212" t="s">
        <v>301</v>
      </c>
      <c r="G73" s="212">
        <f>'[2]AGR COMFR'!G73</f>
        <v>0</v>
      </c>
      <c r="H73" s="212" t="s">
        <v>301</v>
      </c>
      <c r="I73" s="211">
        <v>0</v>
      </c>
      <c r="J73" s="212">
        <f>'[2]AGR COMFR'!J73</f>
        <v>0</v>
      </c>
    </row>
    <row r="74" spans="1:10">
      <c r="A74" s="137" t="str">
        <f t="shared" si="0"/>
        <v>*</v>
      </c>
      <c r="B74" s="205" t="s">
        <v>341</v>
      </c>
      <c r="C74" s="212" t="s">
        <v>301</v>
      </c>
      <c r="D74" s="212">
        <f>'[2]AGR COMFR'!D74</f>
        <v>0</v>
      </c>
      <c r="E74" s="212" t="s">
        <v>301</v>
      </c>
      <c r="F74" s="212" t="s">
        <v>301</v>
      </c>
      <c r="G74" s="212">
        <f>'[2]AGR COMFR'!G74</f>
        <v>0</v>
      </c>
      <c r="H74" s="212" t="s">
        <v>301</v>
      </c>
      <c r="I74" s="211">
        <v>0</v>
      </c>
      <c r="J74" s="212">
        <f>'[2]AGR COMFR'!J74</f>
        <v>0</v>
      </c>
    </row>
    <row r="75" spans="1:10">
      <c r="A75" s="137" t="str">
        <f t="shared" ref="A75:A109" si="1">IF(D75&lt;&gt;"",IF(ISTEXT(D75),"","*"))</f>
        <v>*</v>
      </c>
      <c r="B75" s="205" t="s">
        <v>341</v>
      </c>
      <c r="C75" s="212" t="s">
        <v>301</v>
      </c>
      <c r="D75" s="212">
        <f>'[2]AGR COMFR'!D75</f>
        <v>0</v>
      </c>
      <c r="E75" s="212" t="s">
        <v>301</v>
      </c>
      <c r="F75" s="212" t="s">
        <v>301</v>
      </c>
      <c r="G75" s="212">
        <f>'[2]AGR COMFR'!G75</f>
        <v>0</v>
      </c>
      <c r="H75" s="212" t="s">
        <v>301</v>
      </c>
      <c r="I75" s="211">
        <v>0</v>
      </c>
      <c r="J75" s="212">
        <f>'[2]AGR COMFR'!J75</f>
        <v>0</v>
      </c>
    </row>
    <row r="76" spans="1:10">
      <c r="A76" s="137" t="str">
        <f t="shared" si="1"/>
        <v>*</v>
      </c>
      <c r="B76" s="205" t="s">
        <v>341</v>
      </c>
      <c r="C76" s="212" t="s">
        <v>301</v>
      </c>
      <c r="D76" s="212">
        <f>'[2]AGR COMFR'!D76</f>
        <v>0</v>
      </c>
      <c r="E76" s="212" t="s">
        <v>301</v>
      </c>
      <c r="F76" s="212" t="s">
        <v>301</v>
      </c>
      <c r="G76" s="212">
        <f>'[2]AGR COMFR'!G76</f>
        <v>0</v>
      </c>
      <c r="H76" s="212" t="s">
        <v>301</v>
      </c>
      <c r="I76" s="211">
        <v>0</v>
      </c>
      <c r="J76" s="212">
        <f>'[2]AGR COMFR'!J76</f>
        <v>0</v>
      </c>
    </row>
    <row r="77" spans="1:10">
      <c r="A77" s="137" t="str">
        <f t="shared" si="1"/>
        <v>*</v>
      </c>
      <c r="B77" s="205" t="s">
        <v>341</v>
      </c>
      <c r="C77" s="212" t="s">
        <v>301</v>
      </c>
      <c r="D77" s="212">
        <f>'[2]AGR COMFR'!D77</f>
        <v>0</v>
      </c>
      <c r="E77" s="212" t="s">
        <v>301</v>
      </c>
      <c r="F77" s="212" t="s">
        <v>301</v>
      </c>
      <c r="G77" s="212">
        <f>'[2]AGR COMFR'!G77</f>
        <v>0</v>
      </c>
      <c r="H77" s="212" t="s">
        <v>301</v>
      </c>
      <c r="I77" s="211">
        <v>0</v>
      </c>
      <c r="J77" s="212">
        <f>'[2]AGR COMFR'!J77</f>
        <v>0</v>
      </c>
    </row>
    <row r="78" spans="1:10">
      <c r="A78" s="137" t="str">
        <f t="shared" si="1"/>
        <v>*</v>
      </c>
      <c r="B78" s="205" t="s">
        <v>341</v>
      </c>
      <c r="C78" s="212" t="s">
        <v>301</v>
      </c>
      <c r="D78" s="212">
        <f>'[2]AGR COMFR'!D78</f>
        <v>0</v>
      </c>
      <c r="E78" s="212" t="s">
        <v>301</v>
      </c>
      <c r="F78" s="212" t="s">
        <v>301</v>
      </c>
      <c r="G78" s="212">
        <f>'[2]AGR COMFR'!G78</f>
        <v>0</v>
      </c>
      <c r="H78" s="212" t="s">
        <v>301</v>
      </c>
      <c r="I78" s="211">
        <v>0</v>
      </c>
      <c r="J78" s="212">
        <f>'[2]AGR COMFR'!J78</f>
        <v>0</v>
      </c>
    </row>
    <row r="79" spans="1:10">
      <c r="A79" s="137" t="str">
        <f t="shared" si="1"/>
        <v>*</v>
      </c>
      <c r="B79" s="205" t="s">
        <v>341</v>
      </c>
      <c r="C79" s="212" t="s">
        <v>301</v>
      </c>
      <c r="D79" s="212">
        <f>'[2]AGR COMFR'!D79</f>
        <v>0</v>
      </c>
      <c r="E79" s="212" t="s">
        <v>301</v>
      </c>
      <c r="F79" s="212" t="s">
        <v>301</v>
      </c>
      <c r="G79" s="212">
        <f>'[2]AGR COMFR'!G79</f>
        <v>0</v>
      </c>
      <c r="H79" s="212" t="s">
        <v>301</v>
      </c>
      <c r="I79" s="211">
        <v>0</v>
      </c>
      <c r="J79" s="212">
        <f>'[2]AGR COMFR'!J79</f>
        <v>0</v>
      </c>
    </row>
    <row r="80" spans="1:10">
      <c r="A80" s="137" t="str">
        <f t="shared" si="1"/>
        <v>*</v>
      </c>
      <c r="B80" s="205" t="s">
        <v>341</v>
      </c>
      <c r="C80" s="212" t="s">
        <v>301</v>
      </c>
      <c r="D80" s="212">
        <f>'[2]AGR COMFR'!D80</f>
        <v>0</v>
      </c>
      <c r="E80" s="212" t="s">
        <v>301</v>
      </c>
      <c r="F80" s="212" t="s">
        <v>301</v>
      </c>
      <c r="G80" s="212">
        <f>'[2]AGR COMFR'!G80</f>
        <v>0</v>
      </c>
      <c r="H80" s="212" t="s">
        <v>301</v>
      </c>
      <c r="I80" s="211">
        <v>0</v>
      </c>
      <c r="J80" s="212">
        <f>'[2]AGR COMFR'!J80</f>
        <v>0</v>
      </c>
    </row>
    <row r="81" spans="1:10">
      <c r="A81" s="137" t="str">
        <f t="shared" si="1"/>
        <v>*</v>
      </c>
      <c r="B81" s="205" t="s">
        <v>341</v>
      </c>
      <c r="C81" s="212" t="s">
        <v>301</v>
      </c>
      <c r="D81" s="212">
        <f>'[2]AGR COMFR'!D81</f>
        <v>0</v>
      </c>
      <c r="E81" s="212" t="s">
        <v>301</v>
      </c>
      <c r="F81" s="212" t="s">
        <v>301</v>
      </c>
      <c r="G81" s="212">
        <f>'[2]AGR COMFR'!G81</f>
        <v>0</v>
      </c>
      <c r="H81" s="212" t="s">
        <v>301</v>
      </c>
      <c r="I81" s="211">
        <v>0</v>
      </c>
      <c r="J81" s="212">
        <f>'[2]AGR COMFR'!J81</f>
        <v>0</v>
      </c>
    </row>
    <row r="82" spans="1:10">
      <c r="A82" s="137" t="str">
        <f t="shared" si="1"/>
        <v>*</v>
      </c>
      <c r="B82" s="205" t="s">
        <v>341</v>
      </c>
      <c r="C82" s="212" t="s">
        <v>301</v>
      </c>
      <c r="D82" s="212">
        <f>'[2]AGR COMFR'!D82</f>
        <v>0</v>
      </c>
      <c r="E82" s="212" t="s">
        <v>301</v>
      </c>
      <c r="F82" s="212" t="s">
        <v>301</v>
      </c>
      <c r="G82" s="212">
        <f>'[2]AGR COMFR'!G82</f>
        <v>0</v>
      </c>
      <c r="H82" s="212" t="s">
        <v>301</v>
      </c>
      <c r="I82" s="211">
        <v>0</v>
      </c>
      <c r="J82" s="212">
        <f>'[2]AGR COMFR'!J82</f>
        <v>0</v>
      </c>
    </row>
    <row r="83" spans="1:10">
      <c r="A83" s="137" t="str">
        <f t="shared" si="1"/>
        <v>*</v>
      </c>
      <c r="B83" s="205" t="s">
        <v>341</v>
      </c>
      <c r="C83" s="212" t="s">
        <v>301</v>
      </c>
      <c r="D83" s="212">
        <f>'[2]AGR COMFR'!D83</f>
        <v>0</v>
      </c>
      <c r="E83" s="212" t="s">
        <v>301</v>
      </c>
      <c r="F83" s="212" t="s">
        <v>301</v>
      </c>
      <c r="G83" s="212">
        <f>'[2]AGR COMFR'!G83</f>
        <v>0</v>
      </c>
      <c r="H83" s="212" t="s">
        <v>301</v>
      </c>
      <c r="I83" s="211">
        <v>0</v>
      </c>
      <c r="J83" s="212">
        <f>'[2]AGR COMFR'!J83</f>
        <v>0</v>
      </c>
    </row>
    <row r="84" spans="1:10">
      <c r="A84" s="137" t="str">
        <f t="shared" si="1"/>
        <v>*</v>
      </c>
      <c r="B84" s="205" t="s">
        <v>341</v>
      </c>
      <c r="C84" s="212" t="s">
        <v>301</v>
      </c>
      <c r="D84" s="212">
        <f>'[2]AGR COMFR'!D84</f>
        <v>0</v>
      </c>
      <c r="E84" s="212" t="s">
        <v>301</v>
      </c>
      <c r="F84" s="212" t="s">
        <v>301</v>
      </c>
      <c r="G84" s="212">
        <f>'[2]AGR COMFR'!G84</f>
        <v>0</v>
      </c>
      <c r="H84" s="212" t="s">
        <v>301</v>
      </c>
      <c r="I84" s="211">
        <v>0</v>
      </c>
      <c r="J84" s="212">
        <f>'[2]AGR COMFR'!J84</f>
        <v>0</v>
      </c>
    </row>
    <row r="85" spans="1:10">
      <c r="A85" s="137" t="str">
        <f t="shared" si="1"/>
        <v>*</v>
      </c>
      <c r="B85" s="205" t="s">
        <v>341</v>
      </c>
      <c r="C85" s="212" t="s">
        <v>301</v>
      </c>
      <c r="D85" s="212">
        <f>'[2]AGR COMFR'!D85</f>
        <v>0</v>
      </c>
      <c r="E85" s="212" t="s">
        <v>301</v>
      </c>
      <c r="F85" s="212" t="s">
        <v>301</v>
      </c>
      <c r="G85" s="212">
        <f>'[2]AGR COMFR'!G85</f>
        <v>0</v>
      </c>
      <c r="H85" s="212" t="s">
        <v>301</v>
      </c>
      <c r="I85" s="211">
        <v>0</v>
      </c>
      <c r="J85" s="212">
        <f>'[2]AGR COMFR'!J85</f>
        <v>0</v>
      </c>
    </row>
    <row r="86" spans="1:10">
      <c r="A86" s="137" t="str">
        <f t="shared" si="1"/>
        <v>*</v>
      </c>
      <c r="B86" s="205" t="s">
        <v>341</v>
      </c>
      <c r="C86" s="212" t="s">
        <v>301</v>
      </c>
      <c r="D86" s="212">
        <f>'[2]AGR COMFR'!D86</f>
        <v>0</v>
      </c>
      <c r="E86" s="212" t="s">
        <v>301</v>
      </c>
      <c r="F86" s="212" t="s">
        <v>301</v>
      </c>
      <c r="G86" s="212">
        <f>'[2]AGR COMFR'!G86</f>
        <v>0</v>
      </c>
      <c r="H86" s="212" t="s">
        <v>301</v>
      </c>
      <c r="I86" s="211">
        <v>0</v>
      </c>
      <c r="J86" s="212">
        <f>'[2]AGR COMFR'!J86</f>
        <v>0</v>
      </c>
    </row>
    <row r="87" spans="1:10">
      <c r="A87" s="137" t="str">
        <f t="shared" si="1"/>
        <v>*</v>
      </c>
      <c r="B87" s="205" t="s">
        <v>341</v>
      </c>
      <c r="C87" s="212" t="s">
        <v>301</v>
      </c>
      <c r="D87" s="212">
        <f>'[2]AGR COMFR'!D87</f>
        <v>0</v>
      </c>
      <c r="E87" s="212" t="s">
        <v>301</v>
      </c>
      <c r="F87" s="212" t="s">
        <v>301</v>
      </c>
      <c r="G87" s="212">
        <f>'[2]AGR COMFR'!G87</f>
        <v>0</v>
      </c>
      <c r="H87" s="212" t="s">
        <v>301</v>
      </c>
      <c r="I87" s="211">
        <v>0</v>
      </c>
      <c r="J87" s="212">
        <f>'[2]AGR COMFR'!J87</f>
        <v>0</v>
      </c>
    </row>
    <row r="88" spans="1:10">
      <c r="A88" s="137" t="str">
        <f t="shared" si="1"/>
        <v>*</v>
      </c>
      <c r="B88" s="205" t="s">
        <v>341</v>
      </c>
      <c r="C88" s="212" t="s">
        <v>301</v>
      </c>
      <c r="D88" s="212">
        <f>'[2]AGR COMFR'!D88</f>
        <v>0</v>
      </c>
      <c r="E88" s="212" t="s">
        <v>301</v>
      </c>
      <c r="F88" s="212" t="s">
        <v>301</v>
      </c>
      <c r="G88" s="212">
        <f>'[2]AGR COMFR'!G88</f>
        <v>0</v>
      </c>
      <c r="H88" s="212" t="s">
        <v>301</v>
      </c>
      <c r="I88" s="211">
        <v>0</v>
      </c>
      <c r="J88" s="212">
        <f>'[2]AGR COMFR'!J88</f>
        <v>0</v>
      </c>
    </row>
    <row r="89" spans="1:10">
      <c r="A89" s="137" t="str">
        <f t="shared" si="1"/>
        <v>*</v>
      </c>
      <c r="B89" s="205" t="s">
        <v>341</v>
      </c>
      <c r="C89" s="212" t="s">
        <v>301</v>
      </c>
      <c r="D89" s="212">
        <f>'[2]AGR COMFR'!D89</f>
        <v>0</v>
      </c>
      <c r="E89" s="212" t="s">
        <v>301</v>
      </c>
      <c r="F89" s="212" t="s">
        <v>301</v>
      </c>
      <c r="G89" s="212">
        <f>'[2]AGR COMFR'!G89</f>
        <v>0</v>
      </c>
      <c r="H89" s="212" t="s">
        <v>301</v>
      </c>
      <c r="I89" s="211">
        <v>0</v>
      </c>
      <c r="J89" s="212">
        <f>'[2]AGR COMFR'!J89</f>
        <v>0</v>
      </c>
    </row>
    <row r="90" spans="1:10">
      <c r="A90" s="137" t="str">
        <f t="shared" si="1"/>
        <v>*</v>
      </c>
      <c r="B90" s="205" t="s">
        <v>341</v>
      </c>
      <c r="C90" s="212" t="s">
        <v>301</v>
      </c>
      <c r="D90" s="212">
        <f>'[2]AGR COMFR'!D90</f>
        <v>0</v>
      </c>
      <c r="E90" s="212" t="s">
        <v>301</v>
      </c>
      <c r="F90" s="212" t="s">
        <v>301</v>
      </c>
      <c r="G90" s="212">
        <f>'[2]AGR COMFR'!G90</f>
        <v>0</v>
      </c>
      <c r="H90" s="212" t="s">
        <v>301</v>
      </c>
      <c r="I90" s="211">
        <v>0</v>
      </c>
      <c r="J90" s="212">
        <f>'[2]AGR COMFR'!J90</f>
        <v>0</v>
      </c>
    </row>
    <row r="91" spans="1:10">
      <c r="A91" s="137" t="str">
        <f t="shared" si="1"/>
        <v>*</v>
      </c>
      <c r="B91" s="205" t="s">
        <v>341</v>
      </c>
      <c r="C91" s="212" t="s">
        <v>301</v>
      </c>
      <c r="D91" s="212">
        <f>'[2]AGR COMFR'!D91</f>
        <v>0</v>
      </c>
      <c r="E91" s="212" t="s">
        <v>301</v>
      </c>
      <c r="F91" s="212" t="s">
        <v>301</v>
      </c>
      <c r="G91" s="212">
        <f>'[2]AGR COMFR'!G91</f>
        <v>0</v>
      </c>
      <c r="H91" s="212" t="s">
        <v>301</v>
      </c>
      <c r="I91" s="211">
        <v>0</v>
      </c>
      <c r="J91" s="212">
        <f>'[2]AGR COMFR'!J91</f>
        <v>0</v>
      </c>
    </row>
    <row r="92" spans="1:10">
      <c r="A92" s="137" t="str">
        <f t="shared" si="1"/>
        <v>*</v>
      </c>
      <c r="B92" s="205" t="s">
        <v>341</v>
      </c>
      <c r="C92" s="212" t="s">
        <v>301</v>
      </c>
      <c r="D92" s="212">
        <f>'[2]AGR COMFR'!D92</f>
        <v>0</v>
      </c>
      <c r="E92" s="212" t="s">
        <v>301</v>
      </c>
      <c r="F92" s="212" t="s">
        <v>301</v>
      </c>
      <c r="G92" s="212">
        <f>'[2]AGR COMFR'!G92</f>
        <v>0</v>
      </c>
      <c r="H92" s="212" t="s">
        <v>301</v>
      </c>
      <c r="I92" s="211">
        <v>0</v>
      </c>
      <c r="J92" s="212">
        <f>'[2]AGR COMFR'!J92</f>
        <v>0</v>
      </c>
    </row>
    <row r="93" spans="1:10">
      <c r="A93" s="137" t="str">
        <f t="shared" si="1"/>
        <v>*</v>
      </c>
      <c r="B93" s="205" t="s">
        <v>341</v>
      </c>
      <c r="C93" s="212" t="s">
        <v>301</v>
      </c>
      <c r="D93" s="212">
        <f>'[2]AGR COMFR'!D93</f>
        <v>0</v>
      </c>
      <c r="E93" s="212" t="s">
        <v>301</v>
      </c>
      <c r="F93" s="212" t="s">
        <v>301</v>
      </c>
      <c r="G93" s="212">
        <f>'[2]AGR COMFR'!G93</f>
        <v>0</v>
      </c>
      <c r="H93" s="212" t="s">
        <v>301</v>
      </c>
      <c r="I93" s="211">
        <v>0</v>
      </c>
      <c r="J93" s="212">
        <f>'[2]AGR COMFR'!J93</f>
        <v>0</v>
      </c>
    </row>
    <row r="94" spans="1:10">
      <c r="A94" s="137" t="str">
        <f t="shared" si="1"/>
        <v>*</v>
      </c>
      <c r="B94" s="205" t="s">
        <v>341</v>
      </c>
      <c r="C94" s="212" t="s">
        <v>301</v>
      </c>
      <c r="D94" s="212">
        <f>'[2]AGR COMFR'!D94</f>
        <v>0</v>
      </c>
      <c r="E94" s="212" t="s">
        <v>301</v>
      </c>
      <c r="F94" s="212" t="s">
        <v>301</v>
      </c>
      <c r="G94" s="212">
        <f>'[2]AGR COMFR'!G94</f>
        <v>0</v>
      </c>
      <c r="H94" s="212" t="s">
        <v>301</v>
      </c>
      <c r="I94" s="211">
        <v>0</v>
      </c>
      <c r="J94" s="212">
        <f>'[2]AGR COMFR'!J94</f>
        <v>0</v>
      </c>
    </row>
    <row r="95" spans="1:10">
      <c r="A95" s="137" t="str">
        <f t="shared" si="1"/>
        <v>*</v>
      </c>
      <c r="B95" s="205" t="s">
        <v>341</v>
      </c>
      <c r="C95" s="212" t="s">
        <v>301</v>
      </c>
      <c r="D95" s="212">
        <f>'[2]AGR COMFR'!D95</f>
        <v>0</v>
      </c>
      <c r="E95" s="212" t="s">
        <v>301</v>
      </c>
      <c r="F95" s="212" t="s">
        <v>301</v>
      </c>
      <c r="G95" s="212">
        <f>'[2]AGR COMFR'!G95</f>
        <v>0</v>
      </c>
      <c r="H95" s="212" t="s">
        <v>301</v>
      </c>
      <c r="I95" s="211">
        <v>0</v>
      </c>
      <c r="J95" s="212">
        <f>'[2]AGR COMFR'!J95</f>
        <v>0</v>
      </c>
    </row>
    <row r="96" spans="1:10">
      <c r="A96" s="137" t="str">
        <f t="shared" si="1"/>
        <v>*</v>
      </c>
      <c r="B96" s="205" t="s">
        <v>341</v>
      </c>
      <c r="C96" s="212" t="s">
        <v>301</v>
      </c>
      <c r="D96" s="212">
        <f>'[2]AGR COMFR'!D96</f>
        <v>0</v>
      </c>
      <c r="E96" s="212" t="s">
        <v>301</v>
      </c>
      <c r="F96" s="212" t="s">
        <v>301</v>
      </c>
      <c r="G96" s="212">
        <f>'[2]AGR COMFR'!G96</f>
        <v>0</v>
      </c>
      <c r="H96" s="212" t="s">
        <v>301</v>
      </c>
      <c r="I96" s="211">
        <v>0</v>
      </c>
      <c r="J96" s="212">
        <f>'[2]AGR COMFR'!J96</f>
        <v>0</v>
      </c>
    </row>
    <row r="97" spans="1:10">
      <c r="A97" s="137" t="str">
        <f t="shared" si="1"/>
        <v>*</v>
      </c>
      <c r="B97" s="205" t="s">
        <v>341</v>
      </c>
      <c r="C97" s="212" t="s">
        <v>301</v>
      </c>
      <c r="D97" s="212">
        <f>'[2]AGR COMFR'!D97</f>
        <v>0</v>
      </c>
      <c r="E97" s="212" t="s">
        <v>301</v>
      </c>
      <c r="F97" s="212" t="s">
        <v>301</v>
      </c>
      <c r="G97" s="212">
        <f>'[2]AGR COMFR'!G97</f>
        <v>0</v>
      </c>
      <c r="H97" s="212" t="s">
        <v>301</v>
      </c>
      <c r="I97" s="211">
        <v>0</v>
      </c>
      <c r="J97" s="212">
        <f>'[2]AGR COMFR'!J97</f>
        <v>0</v>
      </c>
    </row>
    <row r="98" spans="1:10">
      <c r="A98" s="137" t="str">
        <f t="shared" si="1"/>
        <v>*</v>
      </c>
      <c r="B98" s="205" t="s">
        <v>341</v>
      </c>
      <c r="C98" s="212" t="s">
        <v>301</v>
      </c>
      <c r="D98" s="212">
        <f>'[2]AGR COMFR'!D98</f>
        <v>0</v>
      </c>
      <c r="E98" s="212" t="s">
        <v>301</v>
      </c>
      <c r="F98" s="212" t="s">
        <v>301</v>
      </c>
      <c r="G98" s="212">
        <f>'[2]AGR COMFR'!G98</f>
        <v>0</v>
      </c>
      <c r="H98" s="212" t="s">
        <v>301</v>
      </c>
      <c r="I98" s="211">
        <v>0</v>
      </c>
      <c r="J98" s="212">
        <f>'[2]AGR COMFR'!J98</f>
        <v>0</v>
      </c>
    </row>
    <row r="99" spans="1:10">
      <c r="A99" s="137" t="str">
        <f t="shared" si="1"/>
        <v>*</v>
      </c>
      <c r="B99" s="205" t="s">
        <v>341</v>
      </c>
      <c r="C99" s="212" t="s">
        <v>301</v>
      </c>
      <c r="D99" s="212">
        <f>'[2]AGR COMFR'!D99</f>
        <v>0</v>
      </c>
      <c r="E99" s="212" t="s">
        <v>301</v>
      </c>
      <c r="F99" s="212" t="s">
        <v>301</v>
      </c>
      <c r="G99" s="212">
        <f>'[2]AGR COMFR'!G99</f>
        <v>0</v>
      </c>
      <c r="H99" s="212" t="s">
        <v>301</v>
      </c>
      <c r="I99" s="211">
        <v>0</v>
      </c>
      <c r="J99" s="212">
        <f>'[2]AGR COMFR'!J99</f>
        <v>0</v>
      </c>
    </row>
    <row r="100" spans="1:10">
      <c r="A100" s="137" t="str">
        <f t="shared" si="1"/>
        <v>*</v>
      </c>
      <c r="B100" s="205" t="s">
        <v>341</v>
      </c>
      <c r="C100" s="212" t="s">
        <v>301</v>
      </c>
      <c r="D100" s="212">
        <f>'[2]AGR COMFR'!D100</f>
        <v>0</v>
      </c>
      <c r="E100" s="212" t="s">
        <v>301</v>
      </c>
      <c r="F100" s="212" t="s">
        <v>301</v>
      </c>
      <c r="G100" s="212">
        <f>'[2]AGR COMFR'!G100</f>
        <v>0</v>
      </c>
      <c r="H100" s="212" t="s">
        <v>301</v>
      </c>
      <c r="I100" s="211">
        <v>0</v>
      </c>
      <c r="J100" s="212">
        <f>'[2]AGR COMFR'!J100</f>
        <v>0</v>
      </c>
    </row>
    <row r="101" spans="1:10">
      <c r="A101" s="137" t="str">
        <f t="shared" si="1"/>
        <v>*</v>
      </c>
      <c r="B101" s="205" t="s">
        <v>341</v>
      </c>
      <c r="C101" s="212" t="s">
        <v>301</v>
      </c>
      <c r="D101" s="212">
        <f>'[2]AGR COMFR'!D101</f>
        <v>0</v>
      </c>
      <c r="E101" s="212" t="s">
        <v>301</v>
      </c>
      <c r="F101" s="212" t="s">
        <v>301</v>
      </c>
      <c r="G101" s="212">
        <f>'[2]AGR COMFR'!G101</f>
        <v>0</v>
      </c>
      <c r="H101" s="212" t="s">
        <v>301</v>
      </c>
      <c r="I101" s="211">
        <v>0</v>
      </c>
      <c r="J101" s="212">
        <f>'[2]AGR COMFR'!J101</f>
        <v>0</v>
      </c>
    </row>
    <row r="102" spans="1:10">
      <c r="A102" s="137" t="str">
        <f t="shared" si="1"/>
        <v>*</v>
      </c>
      <c r="B102" s="205" t="s">
        <v>341</v>
      </c>
      <c r="C102" s="212" t="s">
        <v>301</v>
      </c>
      <c r="D102" s="212">
        <f>'[2]AGR COMFR'!D102</f>
        <v>0</v>
      </c>
      <c r="E102" s="212" t="s">
        <v>301</v>
      </c>
      <c r="F102" s="212" t="s">
        <v>301</v>
      </c>
      <c r="G102" s="212">
        <f>'[2]AGR COMFR'!G102</f>
        <v>0</v>
      </c>
      <c r="H102" s="212" t="s">
        <v>301</v>
      </c>
      <c r="I102" s="211">
        <v>0</v>
      </c>
      <c r="J102" s="212">
        <f>'[2]AGR COMFR'!J102</f>
        <v>0</v>
      </c>
    </row>
    <row r="103" spans="1:10">
      <c r="A103" s="137" t="str">
        <f t="shared" si="1"/>
        <v>*</v>
      </c>
      <c r="B103" s="205" t="s">
        <v>341</v>
      </c>
      <c r="C103" s="212" t="s">
        <v>301</v>
      </c>
      <c r="D103" s="212">
        <f>'[2]AGR COMFR'!D103</f>
        <v>0</v>
      </c>
      <c r="E103" s="212" t="s">
        <v>301</v>
      </c>
      <c r="F103" s="212" t="s">
        <v>301</v>
      </c>
      <c r="G103" s="212">
        <f>'[2]AGR COMFR'!G103</f>
        <v>0</v>
      </c>
      <c r="H103" s="212" t="s">
        <v>301</v>
      </c>
      <c r="I103" s="211">
        <v>0</v>
      </c>
      <c r="J103" s="212">
        <f>'[2]AGR COMFR'!J103</f>
        <v>0</v>
      </c>
    </row>
    <row r="104" spans="1:10">
      <c r="A104" s="137" t="str">
        <f t="shared" si="1"/>
        <v>*</v>
      </c>
      <c r="B104" s="205" t="s">
        <v>341</v>
      </c>
      <c r="C104" s="212" t="s">
        <v>301</v>
      </c>
      <c r="D104" s="212">
        <f>'[2]AGR COMFR'!D104</f>
        <v>0</v>
      </c>
      <c r="E104" s="212" t="s">
        <v>301</v>
      </c>
      <c r="F104" s="212" t="s">
        <v>301</v>
      </c>
      <c r="G104" s="212">
        <f>'[2]AGR COMFR'!G104</f>
        <v>0</v>
      </c>
      <c r="H104" s="212" t="s">
        <v>301</v>
      </c>
      <c r="I104" s="211">
        <v>0</v>
      </c>
      <c r="J104" s="212">
        <f>'[2]AGR COMFR'!J104</f>
        <v>0</v>
      </c>
    </row>
    <row r="105" spans="1:10">
      <c r="A105" s="137" t="str">
        <f t="shared" si="1"/>
        <v>*</v>
      </c>
      <c r="B105" s="205" t="s">
        <v>341</v>
      </c>
      <c r="C105" s="212" t="s">
        <v>301</v>
      </c>
      <c r="D105" s="212">
        <f>'[2]AGR COMFR'!D105</f>
        <v>0</v>
      </c>
      <c r="E105" s="212" t="s">
        <v>301</v>
      </c>
      <c r="F105" s="212" t="s">
        <v>301</v>
      </c>
      <c r="G105" s="212">
        <f>'[2]AGR COMFR'!G105</f>
        <v>0</v>
      </c>
      <c r="H105" s="212" t="s">
        <v>301</v>
      </c>
      <c r="I105" s="211">
        <v>0</v>
      </c>
      <c r="J105" s="212">
        <f>'[2]AGR COMFR'!J105</f>
        <v>0</v>
      </c>
    </row>
    <row r="106" spans="1:10">
      <c r="A106" s="137" t="str">
        <f t="shared" si="1"/>
        <v>*</v>
      </c>
      <c r="B106" s="205" t="s">
        <v>341</v>
      </c>
      <c r="C106" s="212" t="s">
        <v>301</v>
      </c>
      <c r="D106" s="212">
        <f>'[2]AGR COMFR'!D106</f>
        <v>0</v>
      </c>
      <c r="E106" s="212" t="s">
        <v>301</v>
      </c>
      <c r="F106" s="212" t="s">
        <v>301</v>
      </c>
      <c r="G106" s="212">
        <f>'[2]AGR COMFR'!G106</f>
        <v>0</v>
      </c>
      <c r="H106" s="212" t="s">
        <v>301</v>
      </c>
      <c r="I106" s="211">
        <v>0</v>
      </c>
      <c r="J106" s="212">
        <f>'[2]AGR COMFR'!J106</f>
        <v>0</v>
      </c>
    </row>
    <row r="107" spans="1:10">
      <c r="A107" s="137" t="str">
        <f t="shared" si="1"/>
        <v>*</v>
      </c>
      <c r="B107" s="205" t="s">
        <v>341</v>
      </c>
      <c r="C107" s="212" t="s">
        <v>301</v>
      </c>
      <c r="D107" s="212">
        <f>'[2]AGR COMFR'!D107</f>
        <v>0</v>
      </c>
      <c r="E107" s="212" t="s">
        <v>301</v>
      </c>
      <c r="F107" s="212" t="s">
        <v>301</v>
      </c>
      <c r="G107" s="212">
        <f>'[2]AGR COMFR'!G107</f>
        <v>0</v>
      </c>
      <c r="H107" s="212" t="s">
        <v>301</v>
      </c>
      <c r="I107" s="211">
        <v>0</v>
      </c>
      <c r="J107" s="212">
        <f>'[2]AGR COMFR'!J107</f>
        <v>0</v>
      </c>
    </row>
    <row r="108" spans="1:10">
      <c r="A108" s="137" t="str">
        <f t="shared" si="1"/>
        <v>*</v>
      </c>
      <c r="B108" s="205" t="s">
        <v>341</v>
      </c>
      <c r="C108" s="212" t="s">
        <v>301</v>
      </c>
      <c r="D108" s="212">
        <f>'[2]AGR COMFR'!D108</f>
        <v>0</v>
      </c>
      <c r="E108" s="212" t="s">
        <v>301</v>
      </c>
      <c r="F108" s="212" t="s">
        <v>301</v>
      </c>
      <c r="G108" s="212">
        <f>'[2]AGR COMFR'!G108</f>
        <v>0</v>
      </c>
      <c r="H108" s="212" t="s">
        <v>301</v>
      </c>
      <c r="I108" s="211">
        <v>0</v>
      </c>
      <c r="J108" s="212">
        <f>'[2]AGR COMFR'!J108</f>
        <v>0</v>
      </c>
    </row>
    <row r="109" spans="1:10">
      <c r="A109" s="137" t="str">
        <f t="shared" si="1"/>
        <v>*</v>
      </c>
      <c r="B109" s="205" t="s">
        <v>341</v>
      </c>
      <c r="C109" s="212" t="s">
        <v>301</v>
      </c>
      <c r="D109" s="212">
        <f>'[2]AGR COMFR'!D109</f>
        <v>0</v>
      </c>
      <c r="E109" s="212" t="s">
        <v>301</v>
      </c>
      <c r="F109" s="212" t="s">
        <v>301</v>
      </c>
      <c r="G109" s="212">
        <f>'[2]AGR COMFR'!G109</f>
        <v>0</v>
      </c>
      <c r="H109" s="212" t="s">
        <v>301</v>
      </c>
      <c r="I109" s="211">
        <v>0</v>
      </c>
      <c r="J109" s="212">
        <f>'[2]AGR COMFR'!J109</f>
        <v>0</v>
      </c>
    </row>
    <row r="110" spans="1:10">
      <c r="B110" s="205"/>
      <c r="C110" s="212"/>
      <c r="D110" s="212"/>
      <c r="E110" s="212"/>
      <c r="F110" s="212"/>
      <c r="G110" s="212"/>
      <c r="H110" s="212"/>
      <c r="I110" s="211"/>
      <c r="J110" s="212"/>
    </row>
    <row r="111" spans="1:10">
      <c r="B111" s="205"/>
      <c r="C111" s="212"/>
      <c r="D111" s="212"/>
      <c r="E111" s="212"/>
      <c r="F111" s="212"/>
      <c r="G111" s="212"/>
      <c r="H111" s="212"/>
      <c r="I111" s="211"/>
      <c r="J111" s="212"/>
    </row>
    <row r="112" spans="1:10">
      <c r="B112" s="205"/>
      <c r="C112" s="212"/>
      <c r="D112" s="212"/>
      <c r="E112" s="212"/>
      <c r="F112" s="212"/>
      <c r="G112" s="212"/>
      <c r="H112" s="212"/>
      <c r="I112" s="211"/>
      <c r="J112" s="212"/>
    </row>
    <row r="113" spans="2:10">
      <c r="B113" s="205"/>
      <c r="C113" s="212"/>
      <c r="D113" s="212"/>
      <c r="E113" s="212"/>
      <c r="F113" s="212"/>
      <c r="G113" s="212"/>
      <c r="H113" s="212"/>
      <c r="I113" s="211"/>
      <c r="J113" s="212"/>
    </row>
    <row r="114" spans="2:10">
      <c r="B114" s="205"/>
      <c r="C114" s="212"/>
      <c r="D114" s="212"/>
      <c r="E114" s="212"/>
      <c r="F114" s="212"/>
      <c r="G114" s="212"/>
      <c r="H114" s="212"/>
      <c r="I114" s="211"/>
      <c r="J114" s="212"/>
    </row>
    <row r="115" spans="2:10">
      <c r="B115" s="205"/>
      <c r="C115" s="212"/>
      <c r="D115" s="212"/>
      <c r="E115" s="212"/>
      <c r="F115" s="212"/>
      <c r="G115" s="212"/>
      <c r="H115" s="212"/>
      <c r="I115" s="211"/>
      <c r="J115" s="212"/>
    </row>
    <row r="116" spans="2:10">
      <c r="B116" s="205"/>
      <c r="C116" s="212"/>
      <c r="D116" s="212"/>
      <c r="E116" s="212"/>
      <c r="F116" s="212"/>
      <c r="G116" s="212"/>
      <c r="H116" s="212"/>
      <c r="I116" s="211"/>
      <c r="J116" s="212"/>
    </row>
    <row r="117" spans="2:10">
      <c r="B117" s="205"/>
      <c r="C117" s="212"/>
      <c r="D117" s="212"/>
      <c r="E117" s="212"/>
      <c r="F117" s="212"/>
      <c r="G117" s="212"/>
      <c r="H117" s="212"/>
      <c r="I117" s="211"/>
      <c r="J117" s="212"/>
    </row>
    <row r="118" spans="2:10">
      <c r="B118" s="205"/>
      <c r="C118" s="212"/>
      <c r="D118" s="212"/>
      <c r="E118" s="212"/>
      <c r="F118" s="212"/>
      <c r="G118" s="212"/>
      <c r="H118" s="212"/>
      <c r="I118" s="211"/>
      <c r="J118" s="212"/>
    </row>
    <row r="119" spans="2:10">
      <c r="B119" s="205"/>
      <c r="C119" s="212"/>
      <c r="D119" s="212"/>
      <c r="E119" s="212"/>
      <c r="F119" s="212"/>
      <c r="G119" s="212"/>
      <c r="H119" s="212"/>
      <c r="I119" s="211"/>
      <c r="J119" s="212"/>
    </row>
    <row r="120" spans="2:10">
      <c r="B120" s="205"/>
      <c r="C120" s="212"/>
      <c r="D120" s="212"/>
      <c r="E120" s="212"/>
      <c r="F120" s="212"/>
      <c r="G120" s="212"/>
      <c r="H120" s="212"/>
      <c r="I120" s="211"/>
      <c r="J120" s="212"/>
    </row>
    <row r="121" spans="2:10">
      <c r="B121" s="205"/>
      <c r="C121" s="212"/>
      <c r="D121" s="212"/>
      <c r="E121" s="212"/>
      <c r="F121" s="212"/>
      <c r="G121" s="212"/>
      <c r="H121" s="212"/>
      <c r="I121" s="211"/>
      <c r="J121" s="212"/>
    </row>
    <row r="122" spans="2:10">
      <c r="B122" s="205"/>
      <c r="C122" s="212"/>
      <c r="D122" s="212"/>
      <c r="E122" s="212"/>
      <c r="F122" s="212"/>
      <c r="G122" s="212"/>
      <c r="H122" s="212"/>
      <c r="I122" s="211"/>
      <c r="J122" s="212"/>
    </row>
    <row r="123" spans="2:10">
      <c r="B123" s="205"/>
      <c r="C123" s="212"/>
      <c r="D123" s="212"/>
      <c r="E123" s="212"/>
      <c r="F123" s="212"/>
      <c r="G123" s="212"/>
      <c r="H123" s="212"/>
      <c r="I123" s="211"/>
      <c r="J123" s="212"/>
    </row>
    <row r="124" spans="2:10">
      <c r="B124" s="205"/>
      <c r="C124" s="212"/>
      <c r="D124" s="212"/>
      <c r="E124" s="212"/>
      <c r="F124" s="212"/>
      <c r="G124" s="212"/>
      <c r="H124" s="212"/>
      <c r="I124" s="211"/>
      <c r="J124" s="212"/>
    </row>
    <row r="125" spans="2:10">
      <c r="B125" s="205"/>
      <c r="C125" s="212"/>
      <c r="D125" s="212"/>
      <c r="E125" s="212"/>
      <c r="F125" s="212"/>
      <c r="G125" s="212"/>
      <c r="H125" s="212"/>
      <c r="I125" s="211"/>
      <c r="J125" s="212"/>
    </row>
    <row r="126" spans="2:10">
      <c r="B126" s="205"/>
      <c r="C126" s="212"/>
      <c r="D126" s="212"/>
      <c r="E126" s="212"/>
      <c r="F126" s="212"/>
      <c r="G126" s="212"/>
      <c r="H126" s="212"/>
      <c r="I126" s="211"/>
      <c r="J126" s="212"/>
    </row>
    <row r="127" spans="2:10">
      <c r="B127" s="205"/>
      <c r="C127" s="212"/>
      <c r="D127" s="212"/>
      <c r="E127" s="212"/>
      <c r="F127" s="212"/>
      <c r="G127" s="212"/>
      <c r="H127" s="212"/>
      <c r="I127" s="211"/>
      <c r="J127" s="212"/>
    </row>
    <row r="128" spans="2:10">
      <c r="B128" s="205"/>
      <c r="C128" s="212"/>
      <c r="D128" s="212"/>
      <c r="E128" s="212"/>
      <c r="F128" s="212"/>
      <c r="G128" s="212"/>
      <c r="H128" s="212"/>
      <c r="I128" s="211"/>
      <c r="J128" s="212"/>
    </row>
    <row r="129" spans="2:10">
      <c r="B129" s="205"/>
      <c r="C129" s="212"/>
      <c r="D129" s="212"/>
      <c r="E129" s="212"/>
      <c r="F129" s="212"/>
      <c r="G129" s="212"/>
      <c r="H129" s="212"/>
      <c r="I129" s="211"/>
      <c r="J129" s="212"/>
    </row>
    <row r="130" spans="2:10">
      <c r="B130" s="205"/>
      <c r="C130" s="212"/>
      <c r="D130" s="212"/>
      <c r="E130" s="212"/>
      <c r="F130" s="212"/>
      <c r="G130" s="212"/>
      <c r="H130" s="212"/>
      <c r="I130" s="211"/>
      <c r="J130" s="212"/>
    </row>
    <row r="131" spans="2:10">
      <c r="B131" s="205"/>
      <c r="C131" s="212"/>
      <c r="D131" s="212"/>
      <c r="E131" s="212"/>
      <c r="F131" s="212"/>
      <c r="G131" s="212"/>
      <c r="H131" s="212"/>
      <c r="I131" s="211"/>
      <c r="J131" s="212"/>
    </row>
    <row r="132" spans="2:10">
      <c r="B132" s="205"/>
      <c r="C132" s="212"/>
      <c r="D132" s="212"/>
      <c r="E132" s="212"/>
      <c r="F132" s="212"/>
      <c r="G132" s="212"/>
      <c r="H132" s="212"/>
      <c r="I132" s="211"/>
      <c r="J132" s="212"/>
    </row>
    <row r="133" spans="2:10">
      <c r="B133" s="205"/>
      <c r="C133" s="212"/>
      <c r="D133" s="212"/>
      <c r="E133" s="212"/>
      <c r="F133" s="212"/>
      <c r="G133" s="212"/>
      <c r="H133" s="212"/>
      <c r="I133" s="211"/>
      <c r="J133" s="212"/>
    </row>
    <row r="134" spans="2:10">
      <c r="B134" s="205"/>
      <c r="C134" s="212"/>
      <c r="D134" s="212"/>
      <c r="E134" s="212"/>
      <c r="F134" s="212"/>
      <c r="G134" s="212"/>
      <c r="H134" s="212"/>
      <c r="I134" s="211"/>
      <c r="J134" s="212"/>
    </row>
    <row r="135" spans="2:10">
      <c r="B135" s="205"/>
      <c r="C135" s="212"/>
      <c r="D135" s="212"/>
      <c r="E135" s="212"/>
      <c r="F135" s="212"/>
      <c r="G135" s="212"/>
      <c r="H135" s="212"/>
      <c r="I135" s="211"/>
      <c r="J135" s="212"/>
    </row>
    <row r="136" spans="2:10">
      <c r="B136" s="205"/>
      <c r="C136" s="212"/>
      <c r="D136" s="212"/>
      <c r="E136" s="212"/>
      <c r="F136" s="212"/>
      <c r="G136" s="212"/>
      <c r="H136" s="212"/>
      <c r="I136" s="211"/>
      <c r="J136" s="212"/>
    </row>
    <row r="137" spans="2:10">
      <c r="B137" s="205"/>
      <c r="C137" s="212"/>
      <c r="D137" s="212"/>
      <c r="E137" s="212"/>
      <c r="F137" s="212"/>
      <c r="G137" s="212"/>
      <c r="H137" s="212"/>
      <c r="I137" s="211"/>
      <c r="J137" s="212"/>
    </row>
    <row r="138" spans="2:10">
      <c r="B138" s="205"/>
      <c r="C138" s="212"/>
      <c r="D138" s="212"/>
      <c r="E138" s="212"/>
      <c r="F138" s="212"/>
      <c r="G138" s="212"/>
      <c r="H138" s="212"/>
      <c r="I138" s="211"/>
      <c r="J138" s="212"/>
    </row>
    <row r="139" spans="2:10">
      <c r="B139" s="205"/>
      <c r="C139" s="212"/>
      <c r="D139" s="212"/>
      <c r="E139" s="212"/>
      <c r="F139" s="212"/>
      <c r="G139" s="212"/>
      <c r="H139" s="212"/>
      <c r="I139" s="211"/>
      <c r="J139" s="212"/>
    </row>
    <row r="140" spans="2:10">
      <c r="B140" s="205"/>
      <c r="C140" s="212"/>
      <c r="D140" s="212"/>
      <c r="E140" s="212"/>
      <c r="F140" s="212"/>
      <c r="G140" s="212"/>
      <c r="H140" s="212"/>
      <c r="I140" s="211"/>
      <c r="J140" s="212"/>
    </row>
    <row r="141" spans="2:10">
      <c r="B141" s="205"/>
      <c r="C141" s="212"/>
      <c r="D141" s="212"/>
      <c r="E141" s="212"/>
      <c r="F141" s="212"/>
      <c r="G141" s="212"/>
      <c r="H141" s="212"/>
      <c r="I141" s="211"/>
      <c r="J141" s="212"/>
    </row>
    <row r="142" spans="2:10">
      <c r="B142" s="205"/>
      <c r="C142" s="212"/>
      <c r="D142" s="212"/>
      <c r="E142" s="212"/>
      <c r="F142" s="212"/>
      <c r="G142" s="212"/>
      <c r="H142" s="212"/>
      <c r="I142" s="211"/>
      <c r="J142" s="212"/>
    </row>
    <row r="143" spans="2:10">
      <c r="B143" s="205"/>
      <c r="C143" s="212"/>
      <c r="D143" s="212"/>
      <c r="E143" s="212"/>
      <c r="F143" s="212"/>
      <c r="G143" s="212"/>
      <c r="H143" s="212"/>
      <c r="I143" s="211"/>
      <c r="J143" s="212"/>
    </row>
    <row r="144" spans="2:10">
      <c r="B144" s="205"/>
      <c r="C144" s="212"/>
      <c r="D144" s="212"/>
      <c r="E144" s="212"/>
      <c r="F144" s="212"/>
      <c r="G144" s="212"/>
      <c r="H144" s="212"/>
      <c r="I144" s="211"/>
      <c r="J144" s="212"/>
    </row>
    <row r="145" spans="2:10">
      <c r="B145" s="205"/>
      <c r="C145" s="212"/>
      <c r="D145" s="212"/>
      <c r="E145" s="212"/>
      <c r="F145" s="212"/>
      <c r="G145" s="212"/>
      <c r="H145" s="212"/>
      <c r="I145" s="211"/>
      <c r="J145" s="212"/>
    </row>
    <row r="146" spans="2:10">
      <c r="B146" s="205"/>
      <c r="C146" s="212"/>
      <c r="D146" s="212"/>
      <c r="E146" s="212"/>
      <c r="F146" s="212"/>
      <c r="G146" s="212"/>
      <c r="H146" s="212"/>
      <c r="I146" s="211"/>
      <c r="J146" s="212"/>
    </row>
    <row r="147" spans="2:10">
      <c r="B147" s="205"/>
      <c r="C147" s="212"/>
      <c r="D147" s="212"/>
      <c r="E147" s="212"/>
      <c r="F147" s="212"/>
      <c r="G147" s="212"/>
      <c r="H147" s="212"/>
      <c r="I147" s="211"/>
      <c r="J147" s="212"/>
    </row>
    <row r="148" spans="2:10">
      <c r="B148" s="205"/>
      <c r="C148" s="212"/>
      <c r="D148" s="212"/>
      <c r="E148" s="212"/>
      <c r="F148" s="212"/>
      <c r="G148" s="212"/>
      <c r="H148" s="212"/>
      <c r="I148" s="211"/>
      <c r="J148" s="212"/>
    </row>
    <row r="149" spans="2:10">
      <c r="B149" s="205"/>
      <c r="C149" s="212"/>
      <c r="D149" s="212"/>
      <c r="E149" s="212"/>
      <c r="F149" s="212"/>
      <c r="G149" s="212"/>
      <c r="H149" s="212"/>
      <c r="I149" s="211"/>
      <c r="J149" s="212"/>
    </row>
    <row r="150" spans="2:10">
      <c r="B150" s="205"/>
      <c r="C150" s="212"/>
      <c r="D150" s="212"/>
      <c r="E150" s="212"/>
      <c r="F150" s="212"/>
      <c r="G150" s="212"/>
      <c r="H150" s="212"/>
      <c r="I150" s="211"/>
      <c r="J150" s="212"/>
    </row>
    <row r="151" spans="2:10">
      <c r="B151" s="205"/>
      <c r="C151" s="212"/>
      <c r="D151" s="212"/>
      <c r="E151" s="212"/>
      <c r="F151" s="212"/>
      <c r="G151" s="212"/>
      <c r="H151" s="212"/>
      <c r="I151" s="211"/>
      <c r="J151" s="212"/>
    </row>
    <row r="152" spans="2:10">
      <c r="B152" s="205"/>
      <c r="C152" s="212"/>
      <c r="D152" s="212"/>
      <c r="E152" s="212"/>
      <c r="F152" s="212"/>
      <c r="G152" s="212"/>
      <c r="H152" s="212"/>
      <c r="I152" s="211"/>
      <c r="J152" s="212"/>
    </row>
    <row r="153" spans="2:10">
      <c r="B153" s="205"/>
      <c r="C153" s="212"/>
      <c r="D153" s="212"/>
      <c r="E153" s="212"/>
      <c r="F153" s="212"/>
      <c r="G153" s="212"/>
      <c r="H153" s="212"/>
      <c r="I153" s="211"/>
      <c r="J153" s="212"/>
    </row>
    <row r="154" spans="2:10">
      <c r="B154" s="205"/>
      <c r="C154" s="212"/>
      <c r="D154" s="212"/>
      <c r="E154" s="212"/>
      <c r="F154" s="212"/>
      <c r="G154" s="212"/>
      <c r="H154" s="212"/>
      <c r="I154" s="211"/>
      <c r="J154" s="212"/>
    </row>
    <row r="155" spans="2:10">
      <c r="B155" s="205"/>
      <c r="C155" s="212"/>
      <c r="D155" s="212"/>
      <c r="E155" s="212"/>
      <c r="F155" s="212"/>
      <c r="G155" s="212"/>
      <c r="H155" s="212"/>
      <c r="I155" s="211"/>
      <c r="J155" s="212"/>
    </row>
    <row r="156" spans="2:10">
      <c r="B156" s="205"/>
      <c r="C156" s="212"/>
      <c r="D156" s="212"/>
      <c r="E156" s="212"/>
      <c r="F156" s="212"/>
      <c r="G156" s="212"/>
      <c r="H156" s="212"/>
      <c r="I156" s="211"/>
      <c r="J156" s="212"/>
    </row>
    <row r="157" spans="2:10">
      <c r="B157" s="205"/>
      <c r="C157" s="212"/>
      <c r="D157" s="212"/>
      <c r="E157" s="212"/>
      <c r="F157" s="212"/>
      <c r="G157" s="212"/>
      <c r="H157" s="212"/>
      <c r="I157" s="211"/>
      <c r="J157" s="212"/>
    </row>
    <row r="158" spans="2:10">
      <c r="B158" s="205"/>
      <c r="C158" s="212"/>
      <c r="D158" s="212"/>
      <c r="E158" s="212"/>
      <c r="F158" s="212"/>
      <c r="G158" s="212"/>
      <c r="H158" s="212"/>
      <c r="I158" s="211"/>
      <c r="J158" s="212"/>
    </row>
    <row r="159" spans="2:10">
      <c r="B159" s="205"/>
      <c r="C159" s="212"/>
      <c r="D159" s="212"/>
      <c r="E159" s="212"/>
      <c r="F159" s="212"/>
      <c r="G159" s="212"/>
      <c r="H159" s="212"/>
      <c r="I159" s="211"/>
      <c r="J159" s="212"/>
    </row>
    <row r="160" spans="2:10">
      <c r="B160" s="205"/>
      <c r="C160" s="212"/>
      <c r="D160" s="212"/>
      <c r="E160" s="212"/>
      <c r="F160" s="212"/>
      <c r="G160" s="212"/>
      <c r="H160" s="212"/>
      <c r="I160" s="211"/>
      <c r="J160" s="212"/>
    </row>
    <row r="161" spans="2:10">
      <c r="B161" s="205"/>
      <c r="C161" s="212"/>
      <c r="D161" s="212"/>
      <c r="E161" s="212"/>
      <c r="F161" s="212"/>
      <c r="G161" s="212"/>
      <c r="H161" s="212"/>
      <c r="I161" s="211"/>
      <c r="J161" s="212"/>
    </row>
    <row r="162" spans="2:10">
      <c r="B162" s="205"/>
      <c r="C162" s="212"/>
      <c r="D162" s="212"/>
      <c r="E162" s="212"/>
      <c r="F162" s="212"/>
      <c r="G162" s="212"/>
      <c r="H162" s="212"/>
      <c r="I162" s="211"/>
      <c r="J162" s="212"/>
    </row>
    <row r="163" spans="2:10">
      <c r="B163" s="205"/>
      <c r="C163" s="212"/>
      <c r="D163" s="212"/>
      <c r="E163" s="212"/>
      <c r="F163" s="212"/>
      <c r="G163" s="212"/>
      <c r="H163" s="212"/>
      <c r="I163" s="211"/>
      <c r="J163" s="212"/>
    </row>
    <row r="164" spans="2:10">
      <c r="B164" s="205"/>
      <c r="C164" s="212"/>
      <c r="D164" s="212"/>
      <c r="E164" s="212"/>
      <c r="F164" s="212"/>
      <c r="G164" s="212"/>
      <c r="H164" s="212"/>
      <c r="I164" s="211"/>
      <c r="J164" s="212"/>
    </row>
    <row r="165" spans="2:10">
      <c r="B165" s="205"/>
      <c r="C165" s="212"/>
      <c r="D165" s="212"/>
      <c r="E165" s="212"/>
      <c r="F165" s="212"/>
      <c r="G165" s="212"/>
      <c r="H165" s="212"/>
      <c r="I165" s="211"/>
      <c r="J165" s="212"/>
    </row>
    <row r="166" spans="2:10">
      <c r="B166" s="205"/>
      <c r="C166" s="212"/>
      <c r="D166" s="212"/>
      <c r="E166" s="212"/>
      <c r="F166" s="212"/>
      <c r="G166" s="212"/>
      <c r="H166" s="212"/>
      <c r="I166" s="211"/>
      <c r="J166" s="212"/>
    </row>
    <row r="167" spans="2:10">
      <c r="B167" s="205"/>
      <c r="C167" s="212"/>
      <c r="D167" s="212"/>
      <c r="E167" s="212"/>
      <c r="F167" s="212"/>
      <c r="G167" s="212"/>
      <c r="H167" s="212"/>
      <c r="I167" s="211"/>
      <c r="J167" s="212"/>
    </row>
    <row r="168" spans="2:10">
      <c r="B168" s="205"/>
      <c r="C168" s="212"/>
      <c r="D168" s="212"/>
      <c r="E168" s="212"/>
      <c r="F168" s="212"/>
      <c r="G168" s="212"/>
      <c r="H168" s="212"/>
      <c r="I168" s="211"/>
      <c r="J168" s="212"/>
    </row>
    <row r="169" spans="2:10">
      <c r="B169" s="205"/>
      <c r="C169" s="212"/>
      <c r="D169" s="212"/>
      <c r="E169" s="212"/>
      <c r="F169" s="212"/>
      <c r="G169" s="212"/>
      <c r="H169" s="212"/>
      <c r="I169" s="211"/>
      <c r="J169" s="212"/>
    </row>
    <row r="170" spans="2:10">
      <c r="B170" s="205"/>
      <c r="C170" s="212"/>
      <c r="D170" s="212"/>
      <c r="E170" s="212"/>
      <c r="F170" s="212"/>
      <c r="G170" s="212"/>
      <c r="H170" s="212"/>
      <c r="I170" s="211"/>
      <c r="J170" s="212"/>
    </row>
    <row r="171" spans="2:10">
      <c r="B171" s="205"/>
      <c r="C171" s="212"/>
      <c r="D171" s="212"/>
      <c r="E171" s="212"/>
      <c r="F171" s="212"/>
      <c r="G171" s="212"/>
      <c r="H171" s="212"/>
      <c r="I171" s="211"/>
      <c r="J171" s="212"/>
    </row>
    <row r="172" spans="2:10">
      <c r="B172" s="205"/>
      <c r="C172" s="212"/>
      <c r="D172" s="212"/>
      <c r="E172" s="212"/>
      <c r="F172" s="212"/>
      <c r="G172" s="212"/>
      <c r="H172" s="212"/>
      <c r="I172" s="211"/>
      <c r="J172" s="212"/>
    </row>
    <row r="173" spans="2:10">
      <c r="B173" s="205"/>
      <c r="C173" s="212"/>
      <c r="D173" s="212"/>
      <c r="E173" s="212"/>
      <c r="F173" s="212"/>
      <c r="G173" s="212"/>
      <c r="H173" s="212"/>
      <c r="I173" s="211"/>
      <c r="J173" s="212"/>
    </row>
    <row r="174" spans="2:10">
      <c r="B174" s="205"/>
      <c r="C174" s="212"/>
      <c r="D174" s="212"/>
      <c r="E174" s="212"/>
      <c r="F174" s="212"/>
      <c r="G174" s="212"/>
      <c r="H174" s="212"/>
      <c r="I174" s="211"/>
      <c r="J174" s="212"/>
    </row>
    <row r="175" spans="2:10">
      <c r="B175" s="205"/>
      <c r="C175" s="212"/>
      <c r="D175" s="212"/>
      <c r="E175" s="212"/>
      <c r="F175" s="212"/>
      <c r="G175" s="212"/>
      <c r="H175" s="212"/>
      <c r="I175" s="211"/>
      <c r="J175" s="212"/>
    </row>
    <row r="176" spans="2:10">
      <c r="B176" s="205"/>
      <c r="C176" s="212"/>
      <c r="D176" s="212"/>
      <c r="E176" s="212"/>
      <c r="F176" s="212"/>
      <c r="G176" s="212"/>
      <c r="H176" s="212"/>
      <c r="I176" s="211"/>
      <c r="J176" s="212"/>
    </row>
    <row r="177" spans="2:10">
      <c r="B177" s="205"/>
      <c r="C177" s="212"/>
      <c r="D177" s="212"/>
      <c r="E177" s="212"/>
      <c r="F177" s="212"/>
      <c r="G177" s="212"/>
      <c r="H177" s="212"/>
      <c r="I177" s="211"/>
      <c r="J177" s="212"/>
    </row>
    <row r="178" spans="2:10">
      <c r="B178" s="205"/>
      <c r="C178" s="212"/>
      <c r="D178" s="212"/>
      <c r="E178" s="212"/>
      <c r="F178" s="212"/>
      <c r="G178" s="212"/>
      <c r="H178" s="212"/>
      <c r="I178" s="211"/>
      <c r="J178" s="212"/>
    </row>
    <row r="179" spans="2:10">
      <c r="B179" s="205"/>
      <c r="C179" s="212"/>
      <c r="D179" s="212"/>
      <c r="E179" s="212"/>
      <c r="F179" s="212"/>
      <c r="G179" s="212"/>
      <c r="H179" s="212"/>
      <c r="I179" s="211"/>
      <c r="J179" s="212"/>
    </row>
    <row r="180" spans="2:10">
      <c r="B180" s="205"/>
      <c r="C180" s="212"/>
      <c r="D180" s="212"/>
      <c r="E180" s="212"/>
      <c r="F180" s="212"/>
      <c r="G180" s="212"/>
      <c r="H180" s="212"/>
      <c r="I180" s="211"/>
      <c r="J180" s="212"/>
    </row>
    <row r="181" spans="2:10">
      <c r="B181" s="205"/>
      <c r="C181" s="212"/>
      <c r="D181" s="212"/>
      <c r="E181" s="212"/>
      <c r="F181" s="212"/>
      <c r="G181" s="212"/>
      <c r="H181" s="212"/>
      <c r="I181" s="211"/>
      <c r="J181" s="212"/>
    </row>
    <row r="182" spans="2:10">
      <c r="B182" s="205"/>
      <c r="C182" s="212"/>
      <c r="D182" s="212"/>
      <c r="E182" s="212"/>
      <c r="F182" s="212"/>
      <c r="G182" s="212"/>
      <c r="H182" s="212"/>
      <c r="I182" s="211"/>
      <c r="J182" s="212"/>
    </row>
    <row r="183" spans="2:10">
      <c r="B183" s="205"/>
      <c r="C183" s="212"/>
      <c r="D183" s="212"/>
      <c r="E183" s="212"/>
      <c r="F183" s="212"/>
      <c r="G183" s="212"/>
      <c r="H183" s="212"/>
      <c r="I183" s="211"/>
      <c r="J183" s="212"/>
    </row>
    <row r="184" spans="2:10">
      <c r="B184" s="205"/>
      <c r="C184" s="212"/>
      <c r="D184" s="212"/>
      <c r="E184" s="212"/>
      <c r="F184" s="212"/>
      <c r="G184" s="212"/>
      <c r="H184" s="212"/>
      <c r="I184" s="211"/>
      <c r="J184" s="212"/>
    </row>
    <row r="185" spans="2:10">
      <c r="B185" s="205"/>
      <c r="C185" s="212"/>
      <c r="D185" s="212"/>
      <c r="E185" s="212"/>
      <c r="F185" s="212"/>
      <c r="G185" s="212"/>
      <c r="H185" s="212"/>
      <c r="I185" s="211"/>
      <c r="J185" s="212"/>
    </row>
    <row r="186" spans="2:10">
      <c r="B186" s="205"/>
      <c r="C186" s="212"/>
      <c r="D186" s="212"/>
      <c r="E186" s="212"/>
      <c r="F186" s="212"/>
      <c r="G186" s="212"/>
      <c r="H186" s="212"/>
      <c r="I186" s="211"/>
      <c r="J186" s="212"/>
    </row>
    <row r="187" spans="2:10">
      <c r="B187" s="205"/>
      <c r="C187" s="212"/>
      <c r="D187" s="212"/>
      <c r="E187" s="212"/>
      <c r="F187" s="212"/>
      <c r="G187" s="212"/>
      <c r="H187" s="212"/>
      <c r="I187" s="211"/>
      <c r="J187" s="212"/>
    </row>
    <row r="188" spans="2:10">
      <c r="B188" s="205"/>
      <c r="C188" s="212"/>
      <c r="D188" s="212"/>
      <c r="E188" s="212"/>
      <c r="F188" s="212"/>
      <c r="G188" s="212"/>
      <c r="H188" s="212"/>
      <c r="I188" s="211"/>
      <c r="J188" s="212"/>
    </row>
    <row r="189" spans="2:10">
      <c r="B189" s="205"/>
      <c r="C189" s="212"/>
      <c r="D189" s="212"/>
      <c r="E189" s="212"/>
      <c r="F189" s="212"/>
      <c r="G189" s="212"/>
      <c r="H189" s="212"/>
      <c r="I189" s="211"/>
      <c r="J189" s="212"/>
    </row>
    <row r="190" spans="2:10">
      <c r="B190" s="205"/>
      <c r="C190" s="212"/>
      <c r="D190" s="212"/>
      <c r="E190" s="212"/>
      <c r="F190" s="212"/>
      <c r="G190" s="212"/>
      <c r="H190" s="212"/>
      <c r="I190" s="211"/>
      <c r="J190" s="212"/>
    </row>
    <row r="191" spans="2:10">
      <c r="B191" s="205"/>
      <c r="C191" s="212"/>
      <c r="D191" s="212"/>
      <c r="E191" s="212"/>
      <c r="F191" s="212"/>
      <c r="G191" s="212"/>
      <c r="H191" s="212"/>
      <c r="I191" s="211"/>
      <c r="J191" s="212"/>
    </row>
    <row r="192" spans="2:10">
      <c r="B192" s="205"/>
      <c r="C192" s="212"/>
      <c r="D192" s="212"/>
      <c r="E192" s="212"/>
      <c r="F192" s="212"/>
      <c r="G192" s="212"/>
      <c r="H192" s="212"/>
      <c r="I192" s="211"/>
      <c r="J192" s="212"/>
    </row>
    <row r="193" spans="2:10">
      <c r="B193" s="205"/>
      <c r="C193" s="212"/>
      <c r="D193" s="212"/>
      <c r="E193" s="212"/>
      <c r="F193" s="212"/>
      <c r="G193" s="212"/>
      <c r="H193" s="212"/>
      <c r="I193" s="211"/>
      <c r="J193" s="212"/>
    </row>
    <row r="194" spans="2:10">
      <c r="B194" s="205"/>
      <c r="C194" s="212"/>
      <c r="D194" s="212"/>
      <c r="E194" s="212"/>
      <c r="F194" s="212"/>
      <c r="G194" s="212"/>
      <c r="H194" s="212"/>
      <c r="I194" s="211"/>
      <c r="J194" s="212"/>
    </row>
    <row r="195" spans="2:10">
      <c r="B195" s="205"/>
      <c r="C195" s="212"/>
      <c r="D195" s="212"/>
      <c r="E195" s="212"/>
      <c r="F195" s="212"/>
      <c r="G195" s="212"/>
      <c r="H195" s="212"/>
      <c r="I195" s="211"/>
      <c r="J195" s="212"/>
    </row>
    <row r="196" spans="2:10">
      <c r="B196" s="205"/>
      <c r="C196" s="212"/>
      <c r="D196" s="212"/>
      <c r="E196" s="212"/>
      <c r="F196" s="212"/>
      <c r="G196" s="212"/>
      <c r="H196" s="212"/>
      <c r="I196" s="211"/>
      <c r="J196" s="212"/>
    </row>
    <row r="197" spans="2:10">
      <c r="B197" s="205"/>
      <c r="C197" s="212"/>
      <c r="D197" s="212"/>
      <c r="E197" s="212"/>
      <c r="F197" s="212"/>
      <c r="G197" s="212"/>
      <c r="H197" s="212"/>
      <c r="I197" s="211"/>
      <c r="J197" s="212"/>
    </row>
    <row r="198" spans="2:10">
      <c r="B198" s="205"/>
      <c r="C198" s="212"/>
      <c r="D198" s="212"/>
      <c r="E198" s="212"/>
      <c r="F198" s="212"/>
      <c r="G198" s="212"/>
      <c r="H198" s="212"/>
      <c r="I198" s="211"/>
      <c r="J198" s="212"/>
    </row>
    <row r="199" spans="2:10">
      <c r="B199" s="205"/>
      <c r="C199" s="212"/>
      <c r="D199" s="212"/>
      <c r="E199" s="212"/>
      <c r="F199" s="212"/>
      <c r="G199" s="212"/>
      <c r="H199" s="212"/>
      <c r="I199" s="211"/>
      <c r="J199" s="212"/>
    </row>
    <row r="200" spans="2:10">
      <c r="B200" s="205"/>
      <c r="C200" s="212"/>
      <c r="D200" s="212"/>
      <c r="E200" s="212"/>
      <c r="F200" s="212"/>
      <c r="G200" s="212"/>
      <c r="H200" s="212"/>
      <c r="I200" s="211"/>
      <c r="J200" s="212"/>
    </row>
    <row r="201" spans="2:10">
      <c r="B201" s="205"/>
      <c r="C201" s="212"/>
      <c r="D201" s="212"/>
      <c r="E201" s="212"/>
      <c r="F201" s="212"/>
      <c r="G201" s="212"/>
      <c r="H201" s="212"/>
      <c r="I201" s="211"/>
      <c r="J201" s="212"/>
    </row>
    <row r="202" spans="2:10">
      <c r="B202" s="205"/>
      <c r="C202" s="212"/>
      <c r="D202" s="212"/>
      <c r="E202" s="212"/>
      <c r="F202" s="212"/>
      <c r="G202" s="212"/>
      <c r="H202" s="212"/>
      <c r="I202" s="211"/>
      <c r="J202" s="212"/>
    </row>
    <row r="203" spans="2:10">
      <c r="B203" s="205"/>
      <c r="C203" s="212"/>
      <c r="D203" s="212"/>
      <c r="E203" s="212"/>
      <c r="F203" s="212"/>
      <c r="G203" s="212"/>
      <c r="H203" s="212"/>
      <c r="I203" s="211"/>
      <c r="J203" s="212"/>
    </row>
    <row r="204" spans="2:10">
      <c r="B204" s="205"/>
      <c r="C204" s="212"/>
      <c r="D204" s="212"/>
      <c r="E204" s="212"/>
      <c r="F204" s="212"/>
      <c r="G204" s="212"/>
      <c r="H204" s="212"/>
      <c r="I204" s="211"/>
      <c r="J204" s="212"/>
    </row>
    <row r="205" spans="2:10">
      <c r="B205" s="205"/>
      <c r="C205" s="212"/>
      <c r="D205" s="212"/>
      <c r="E205" s="212"/>
      <c r="F205" s="212"/>
      <c r="G205" s="212"/>
      <c r="H205" s="212"/>
      <c r="I205" s="211"/>
      <c r="J205" s="212"/>
    </row>
    <row r="206" spans="2:10">
      <c r="B206" s="205"/>
      <c r="C206" s="212"/>
      <c r="D206" s="212"/>
      <c r="E206" s="212"/>
      <c r="F206" s="212"/>
      <c r="G206" s="212"/>
      <c r="H206" s="212"/>
      <c r="I206" s="211"/>
      <c r="J206" s="212"/>
    </row>
    <row r="207" spans="2:10">
      <c r="B207" s="205"/>
      <c r="C207" s="212"/>
      <c r="D207" s="212"/>
      <c r="E207" s="212"/>
      <c r="F207" s="212"/>
      <c r="G207" s="212"/>
      <c r="H207" s="212"/>
      <c r="I207" s="211"/>
      <c r="J207" s="212"/>
    </row>
    <row r="208" spans="2:10">
      <c r="B208" s="205"/>
      <c r="C208" s="212"/>
      <c r="D208" s="212"/>
      <c r="E208" s="212"/>
      <c r="F208" s="212"/>
      <c r="G208" s="212"/>
      <c r="H208" s="212"/>
      <c r="I208" s="211"/>
      <c r="J208" s="212"/>
    </row>
    <row r="209" spans="2:10">
      <c r="B209" s="205"/>
      <c r="C209" s="212"/>
      <c r="D209" s="212"/>
      <c r="E209" s="212"/>
      <c r="F209" s="212"/>
      <c r="G209" s="212"/>
      <c r="H209" s="212"/>
      <c r="I209" s="211"/>
      <c r="J209" s="212"/>
    </row>
    <row r="210" spans="2:10">
      <c r="B210" s="205"/>
      <c r="C210" s="212"/>
      <c r="D210" s="212"/>
      <c r="E210" s="212"/>
      <c r="F210" s="212"/>
      <c r="G210" s="212"/>
      <c r="H210" s="212"/>
      <c r="I210" s="211"/>
      <c r="J210" s="212"/>
    </row>
    <row r="211" spans="2:10">
      <c r="B211" s="205"/>
      <c r="C211" s="212"/>
      <c r="D211" s="212"/>
      <c r="E211" s="212"/>
      <c r="F211" s="212"/>
      <c r="G211" s="212"/>
      <c r="H211" s="212"/>
      <c r="I211" s="211"/>
      <c r="J211" s="212"/>
    </row>
    <row r="212" spans="2:10">
      <c r="B212" s="205"/>
      <c r="C212" s="212"/>
      <c r="D212" s="212"/>
      <c r="E212" s="212"/>
      <c r="F212" s="212"/>
      <c r="G212" s="212"/>
      <c r="H212" s="212"/>
      <c r="I212" s="211"/>
      <c r="J212" s="212"/>
    </row>
    <row r="213" spans="2:10">
      <c r="B213" s="205"/>
      <c r="C213" s="212"/>
      <c r="D213" s="212"/>
      <c r="E213" s="212"/>
      <c r="F213" s="212"/>
      <c r="G213" s="212"/>
      <c r="H213" s="212"/>
      <c r="I213" s="211"/>
      <c r="J213" s="212"/>
    </row>
    <row r="214" spans="2:10">
      <c r="B214" s="205"/>
      <c r="C214" s="212"/>
      <c r="D214" s="212"/>
      <c r="E214" s="212"/>
      <c r="F214" s="212"/>
      <c r="G214" s="212"/>
      <c r="H214" s="212"/>
      <c r="I214" s="211"/>
      <c r="J214" s="212"/>
    </row>
    <row r="215" spans="2:10">
      <c r="B215" s="205"/>
      <c r="C215" s="212"/>
      <c r="D215" s="212"/>
      <c r="E215" s="212"/>
      <c r="F215" s="212"/>
      <c r="G215" s="212"/>
      <c r="H215" s="212"/>
      <c r="I215" s="211"/>
      <c r="J215" s="212"/>
    </row>
    <row r="216" spans="2:10">
      <c r="B216" s="205"/>
      <c r="C216" s="212"/>
      <c r="D216" s="212"/>
      <c r="E216" s="212"/>
      <c r="F216" s="212"/>
      <c r="G216" s="212"/>
      <c r="H216" s="212"/>
      <c r="I216" s="211"/>
      <c r="J216" s="212"/>
    </row>
    <row r="217" spans="2:10">
      <c r="B217" s="205"/>
      <c r="C217" s="212"/>
      <c r="D217" s="212"/>
      <c r="E217" s="212"/>
      <c r="F217" s="212"/>
      <c r="G217" s="212"/>
      <c r="H217" s="212"/>
      <c r="I217" s="211"/>
      <c r="J217" s="212"/>
    </row>
    <row r="218" spans="2:10">
      <c r="B218" s="205"/>
      <c r="C218" s="212"/>
      <c r="D218" s="212"/>
      <c r="E218" s="212"/>
      <c r="F218" s="212"/>
      <c r="G218" s="212"/>
      <c r="H218" s="212"/>
      <c r="I218" s="211"/>
      <c r="J218" s="212"/>
    </row>
    <row r="219" spans="2:10">
      <c r="B219" s="205"/>
      <c r="C219" s="212"/>
      <c r="D219" s="212"/>
      <c r="E219" s="212"/>
      <c r="F219" s="212"/>
      <c r="G219" s="212"/>
      <c r="H219" s="212"/>
      <c r="I219" s="211"/>
      <c r="J219" s="212"/>
    </row>
    <row r="220" spans="2:10">
      <c r="B220" s="205"/>
      <c r="C220" s="212"/>
      <c r="D220" s="212"/>
      <c r="E220" s="212"/>
      <c r="F220" s="212"/>
      <c r="G220" s="212"/>
      <c r="H220" s="212"/>
      <c r="I220" s="211"/>
      <c r="J220" s="212"/>
    </row>
    <row r="221" spans="2:10">
      <c r="B221" s="205"/>
      <c r="C221" s="212"/>
      <c r="D221" s="212"/>
      <c r="E221" s="212"/>
      <c r="F221" s="212"/>
      <c r="G221" s="212"/>
      <c r="H221" s="212"/>
      <c r="I221" s="211"/>
      <c r="J221" s="212"/>
    </row>
    <row r="222" spans="2:10">
      <c r="B222" s="205"/>
      <c r="C222" s="212"/>
      <c r="D222" s="212"/>
      <c r="E222" s="212"/>
      <c r="F222" s="212"/>
      <c r="G222" s="212"/>
      <c r="H222" s="212"/>
      <c r="I222" s="211"/>
      <c r="J222" s="212"/>
    </row>
    <row r="223" spans="2:10">
      <c r="B223" s="205"/>
      <c r="C223" s="212"/>
      <c r="D223" s="212"/>
      <c r="E223" s="212"/>
      <c r="F223" s="212"/>
      <c r="G223" s="212"/>
      <c r="H223" s="212"/>
      <c r="I223" s="211"/>
      <c r="J223" s="212"/>
    </row>
    <row r="224" spans="2:10">
      <c r="B224" s="205"/>
      <c r="C224" s="212"/>
      <c r="D224" s="212"/>
      <c r="E224" s="212"/>
      <c r="F224" s="212"/>
      <c r="G224" s="212"/>
      <c r="H224" s="212"/>
      <c r="I224" s="211"/>
      <c r="J224" s="212"/>
    </row>
    <row r="225" spans="2:10">
      <c r="B225" s="205"/>
      <c r="C225" s="212"/>
      <c r="D225" s="212"/>
      <c r="E225" s="212"/>
      <c r="F225" s="212"/>
      <c r="G225" s="212"/>
      <c r="H225" s="212"/>
      <c r="I225" s="211"/>
      <c r="J225" s="212"/>
    </row>
    <row r="226" spans="2:10">
      <c r="B226" s="205"/>
      <c r="C226" s="212"/>
      <c r="D226" s="212"/>
      <c r="E226" s="212"/>
      <c r="F226" s="212"/>
      <c r="G226" s="212"/>
      <c r="H226" s="212"/>
      <c r="I226" s="211"/>
      <c r="J226" s="212"/>
    </row>
    <row r="227" spans="2:10">
      <c r="B227" s="205"/>
      <c r="C227" s="212"/>
      <c r="D227" s="212"/>
      <c r="E227" s="212"/>
      <c r="F227" s="212"/>
      <c r="G227" s="212"/>
      <c r="H227" s="212"/>
      <c r="I227" s="211"/>
      <c r="J227" s="212"/>
    </row>
    <row r="228" spans="2:10">
      <c r="B228" s="205"/>
      <c r="C228" s="212"/>
      <c r="D228" s="212"/>
      <c r="E228" s="212"/>
      <c r="F228" s="212"/>
      <c r="G228" s="212"/>
      <c r="H228" s="212"/>
      <c r="I228" s="211"/>
      <c r="J228" s="212"/>
    </row>
    <row r="229" spans="2:10">
      <c r="B229" s="205"/>
      <c r="C229" s="212"/>
      <c r="D229" s="212"/>
      <c r="E229" s="212"/>
      <c r="F229" s="212"/>
      <c r="G229" s="212"/>
      <c r="H229" s="212"/>
      <c r="I229" s="211"/>
      <c r="J229" s="212"/>
    </row>
    <row r="230" spans="2:10">
      <c r="B230" s="205"/>
      <c r="C230" s="212"/>
      <c r="D230" s="212"/>
      <c r="E230" s="212"/>
      <c r="F230" s="212"/>
      <c r="G230" s="212"/>
      <c r="H230" s="212"/>
      <c r="I230" s="211"/>
      <c r="J230" s="212"/>
    </row>
    <row r="231" spans="2:10">
      <c r="B231" s="205"/>
      <c r="C231" s="212"/>
      <c r="D231" s="212"/>
      <c r="E231" s="212"/>
      <c r="F231" s="212"/>
      <c r="G231" s="212"/>
      <c r="H231" s="212"/>
      <c r="I231" s="211"/>
      <c r="J231" s="212"/>
    </row>
    <row r="232" spans="2:10">
      <c r="B232" s="205"/>
      <c r="C232" s="212"/>
      <c r="D232" s="212"/>
      <c r="E232" s="212"/>
      <c r="F232" s="212"/>
      <c r="G232" s="212"/>
      <c r="H232" s="212"/>
      <c r="I232" s="211"/>
      <c r="J232" s="212"/>
    </row>
    <row r="233" spans="2:10">
      <c r="B233" s="205"/>
      <c r="C233" s="212"/>
      <c r="D233" s="212"/>
      <c r="E233" s="212"/>
      <c r="F233" s="212"/>
      <c r="G233" s="212"/>
      <c r="H233" s="212"/>
      <c r="I233" s="211"/>
      <c r="J233" s="212"/>
    </row>
    <row r="234" spans="2:10">
      <c r="B234" s="205"/>
      <c r="C234" s="212"/>
      <c r="D234" s="212"/>
      <c r="E234" s="212"/>
      <c r="F234" s="212"/>
      <c r="G234" s="212"/>
      <c r="H234" s="212"/>
      <c r="I234" s="211"/>
      <c r="J234" s="212"/>
    </row>
    <row r="235" spans="2:10">
      <c r="B235" s="205"/>
      <c r="C235" s="212"/>
      <c r="D235" s="212"/>
      <c r="E235" s="212"/>
      <c r="F235" s="212"/>
      <c r="G235" s="212"/>
      <c r="H235" s="212"/>
      <c r="I235" s="211"/>
      <c r="J235" s="212"/>
    </row>
    <row r="236" spans="2:10">
      <c r="B236" s="205"/>
      <c r="C236" s="212"/>
      <c r="D236" s="212"/>
      <c r="E236" s="212"/>
      <c r="F236" s="212"/>
      <c r="G236" s="212"/>
      <c r="H236" s="212"/>
      <c r="I236" s="211"/>
      <c r="J236" s="212"/>
    </row>
    <row r="237" spans="2:10">
      <c r="B237" s="205"/>
      <c r="C237" s="212"/>
      <c r="D237" s="212"/>
      <c r="E237" s="212"/>
      <c r="F237" s="212"/>
      <c r="G237" s="212"/>
      <c r="H237" s="212"/>
      <c r="I237" s="211"/>
      <c r="J237" s="212"/>
    </row>
    <row r="238" spans="2:10">
      <c r="B238" s="205"/>
      <c r="C238" s="212"/>
      <c r="D238" s="212"/>
      <c r="E238" s="212"/>
      <c r="F238" s="212"/>
      <c r="G238" s="212"/>
      <c r="H238" s="212"/>
      <c r="I238" s="211"/>
      <c r="J238" s="207"/>
    </row>
    <row r="239" spans="2:10">
      <c r="B239" s="205"/>
      <c r="C239" s="212"/>
      <c r="D239" s="212"/>
      <c r="E239" s="212"/>
      <c r="F239" s="212"/>
      <c r="G239" s="212"/>
      <c r="H239" s="212"/>
      <c r="I239" s="211"/>
      <c r="J239" s="207"/>
    </row>
    <row r="240" spans="2:10">
      <c r="B240" s="205"/>
      <c r="C240" s="212"/>
      <c r="D240" s="212"/>
      <c r="E240" s="212"/>
      <c r="F240" s="212"/>
      <c r="G240" s="212"/>
      <c r="H240" s="212"/>
      <c r="I240" s="211"/>
      <c r="J240" s="207"/>
    </row>
    <row r="241" spans="2:10">
      <c r="B241" s="205"/>
      <c r="C241" s="212"/>
      <c r="D241" s="212"/>
      <c r="E241" s="212"/>
      <c r="F241" s="212"/>
      <c r="G241" s="212"/>
      <c r="H241" s="212"/>
      <c r="I241" s="211"/>
      <c r="J241" s="207"/>
    </row>
    <row r="242" spans="2:10">
      <c r="B242" s="205"/>
      <c r="C242" s="212"/>
      <c r="D242" s="212"/>
      <c r="E242" s="212"/>
      <c r="F242" s="212"/>
      <c r="G242" s="212"/>
      <c r="H242" s="212"/>
      <c r="I242" s="211"/>
      <c r="J242" s="207"/>
    </row>
    <row r="243" spans="2:10">
      <c r="B243" s="205"/>
      <c r="C243" s="212"/>
      <c r="D243" s="212"/>
      <c r="E243" s="212"/>
      <c r="F243" s="212"/>
      <c r="G243" s="212"/>
      <c r="H243" s="212"/>
      <c r="I243" s="211"/>
      <c r="J243" s="207"/>
    </row>
    <row r="244" spans="2:10">
      <c r="B244" s="205"/>
      <c r="C244" s="212"/>
      <c r="D244" s="212"/>
      <c r="E244" s="212"/>
      <c r="F244" s="212"/>
      <c r="G244" s="212"/>
      <c r="H244" s="212"/>
      <c r="I244" s="211"/>
      <c r="J244" s="207"/>
    </row>
    <row r="245" spans="2:10">
      <c r="B245" s="205"/>
      <c r="C245" s="212"/>
      <c r="D245" s="212"/>
      <c r="E245" s="212"/>
      <c r="F245" s="212"/>
      <c r="G245" s="212"/>
      <c r="H245" s="212"/>
      <c r="I245" s="211"/>
      <c r="J245" s="207"/>
    </row>
  </sheetData>
  <pageMargins left="0.75" right="0.75" top="1" bottom="1" header="0.5" footer="0.5"/>
  <headerFooter alignWithMargins="0"/>
  <drawing r:id="rId1"/>
  <legacyDrawing r:id="rId2"/>
  <controls>
    <mc:AlternateContent xmlns:mc="http://schemas.openxmlformats.org/markup-compatibility/2006">
      <mc:Choice Requires="x14">
        <control shapeId="501761" r:id="rId3" name="cmdCheckTSandTIDDataSheet">
          <controlPr defaultSize="0" autoLine="0" r:id="rId4">
            <anchor moveWithCells="1">
              <from>
                <xdr:col>0</xdr:col>
                <xdr:colOff>0</xdr:colOff>
                <xdr:row>2</xdr:row>
                <xdr:rowOff>0</xdr:rowOff>
              </from>
              <to>
                <xdr:col>1</xdr:col>
                <xdr:colOff>0</xdr:colOff>
                <xdr:row>3</xdr:row>
                <xdr:rowOff>47625</xdr:rowOff>
              </to>
            </anchor>
          </controlPr>
        </control>
      </mc:Choice>
      <mc:Fallback>
        <control shapeId="501761" r:id="rId3" name="cmdCheckTSandTIDDataSheet"/>
      </mc:Fallback>
    </mc:AlternateContent>
    <mc:AlternateContent xmlns:mc="http://schemas.openxmlformats.org/markup-compatibility/2006">
      <mc:Choice Requires="x14">
        <control shapeId="501762"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501762" r:id="rId5" name="cmdSpecifyParameter"/>
      </mc:Fallback>
    </mc:AlternateContent>
    <mc:AlternateContent xmlns:mc="http://schemas.openxmlformats.org/markup-compatibility/2006">
      <mc:Choice Requires="x14">
        <control shapeId="501763"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501763" r:id="rId7" name="cmdSpecifyArg1"/>
      </mc:Fallback>
    </mc:AlternateContent>
    <mc:AlternateContent xmlns:mc="http://schemas.openxmlformats.org/markup-compatibility/2006">
      <mc:Choice Requires="x14">
        <control shapeId="501764" r:id="rId9" name="cmdSpecifyArg2">
          <controlPr defaultSize="0" autoLine="0" r:id="rId10">
            <anchor moveWithCells="1">
              <from>
                <xdr:col>3</xdr:col>
                <xdr:colOff>0</xdr:colOff>
                <xdr:row>3</xdr:row>
                <xdr:rowOff>0</xdr:rowOff>
              </from>
              <to>
                <xdr:col>4</xdr:col>
                <xdr:colOff>9525</xdr:colOff>
                <xdr:row>4</xdr:row>
                <xdr:rowOff>104775</xdr:rowOff>
              </to>
            </anchor>
          </controlPr>
        </control>
      </mc:Choice>
      <mc:Fallback>
        <control shapeId="501764" r:id="rId9" name="cmdSpecifyArg2"/>
      </mc:Fallback>
    </mc:AlternateContent>
    <mc:AlternateContent xmlns:mc="http://schemas.openxmlformats.org/markup-compatibility/2006">
      <mc:Choice Requires="x14">
        <control shapeId="501765"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01765" r:id="rId11" name="cmdSpecifyArg3"/>
      </mc:Fallback>
    </mc:AlternateContent>
    <mc:AlternateContent xmlns:mc="http://schemas.openxmlformats.org/markup-compatibility/2006">
      <mc:Choice Requires="x14">
        <control shapeId="501766" r:id="rId13" name="cmdSpecifyArg4">
          <controlPr defaultSize="0" autoLine="0" r:id="rId14">
            <anchor moveWithCells="1">
              <from>
                <xdr:col>5</xdr:col>
                <xdr:colOff>0</xdr:colOff>
                <xdr:row>3</xdr:row>
                <xdr:rowOff>0</xdr:rowOff>
              </from>
              <to>
                <xdr:col>6</xdr:col>
                <xdr:colOff>9525</xdr:colOff>
                <xdr:row>4</xdr:row>
                <xdr:rowOff>104775</xdr:rowOff>
              </to>
            </anchor>
          </controlPr>
        </control>
      </mc:Choice>
      <mc:Fallback>
        <control shapeId="501766" r:id="rId13" name="cmdSpecifyArg4"/>
      </mc:Fallback>
    </mc:AlternateContent>
    <mc:AlternateContent xmlns:mc="http://schemas.openxmlformats.org/markup-compatibility/2006">
      <mc:Choice Requires="x14">
        <control shapeId="501767" r:id="rId15" name="cmdSpecifyArg5">
          <controlPr defaultSize="0" autoLine="0" r:id="rId16">
            <anchor moveWithCells="1">
              <from>
                <xdr:col>6</xdr:col>
                <xdr:colOff>0</xdr:colOff>
                <xdr:row>3</xdr:row>
                <xdr:rowOff>0</xdr:rowOff>
              </from>
              <to>
                <xdr:col>7</xdr:col>
                <xdr:colOff>9525</xdr:colOff>
                <xdr:row>4</xdr:row>
                <xdr:rowOff>104775</xdr:rowOff>
              </to>
            </anchor>
          </controlPr>
        </control>
      </mc:Choice>
      <mc:Fallback>
        <control shapeId="501767" r:id="rId15" name="cmdSpecifyArg5"/>
      </mc:Fallback>
    </mc:AlternateContent>
    <mc:AlternateContent xmlns:mc="http://schemas.openxmlformats.org/markup-compatibility/2006">
      <mc:Choice Requires="x14">
        <control shapeId="501768" r:id="rId17" name="cmdSpecifyArg6">
          <controlPr defaultSize="0" autoLine="0" r:id="rId18">
            <anchor moveWithCells="1">
              <from>
                <xdr:col>7</xdr:col>
                <xdr:colOff>0</xdr:colOff>
                <xdr:row>3</xdr:row>
                <xdr:rowOff>0</xdr:rowOff>
              </from>
              <to>
                <xdr:col>8</xdr:col>
                <xdr:colOff>9525</xdr:colOff>
                <xdr:row>4</xdr:row>
                <xdr:rowOff>104775</xdr:rowOff>
              </to>
            </anchor>
          </controlPr>
        </control>
      </mc:Choice>
      <mc:Fallback>
        <control shapeId="501768" r:id="rId17" name="cmdSpecifyArg6"/>
      </mc:Fallback>
    </mc:AlternateContent>
    <mc:AlternateContent xmlns:mc="http://schemas.openxmlformats.org/markup-compatibility/2006">
      <mc:Choice Requires="x14">
        <control shapeId="501769"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501769" r:id="rId19" name="cmdSpecifyIEOptcode"/>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dimension ref="A1:AY60"/>
  <sheetViews>
    <sheetView workbookViewId="0">
      <pane xSplit="9" ySplit="8" topLeftCell="J9" activePane="bottomRight" state="frozen"/>
      <selection activeCell="B3" sqref="B3"/>
      <selection pane="topRight" activeCell="B3" sqref="B3"/>
      <selection pane="bottomLeft" activeCell="B3" sqref="B3"/>
      <selection pane="bottomRight" activeCell="Q7" sqref="Q7"/>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48" width="5.42578125" style="137" customWidth="1"/>
    <col min="49" max="16384" width="9.140625" style="137"/>
  </cols>
  <sheetData>
    <row r="1" spans="1:51">
      <c r="A1" s="136"/>
      <c r="B1" s="137" t="s">
        <v>275</v>
      </c>
      <c r="AW1" s="137" t="s">
        <v>277</v>
      </c>
      <c r="AX1" s="137" t="s">
        <v>277</v>
      </c>
      <c r="AY1" s="137" t="s">
        <v>277</v>
      </c>
    </row>
    <row r="2" spans="1:51">
      <c r="A2" s="137" t="s">
        <v>277</v>
      </c>
      <c r="AW2" s="137" t="s">
        <v>287</v>
      </c>
      <c r="AX2" s="137" t="s">
        <v>288</v>
      </c>
      <c r="AY2" s="137" t="s">
        <v>289</v>
      </c>
    </row>
    <row r="3" spans="1:51" ht="15" customHeight="1">
      <c r="A3" s="137" t="s">
        <v>277</v>
      </c>
    </row>
    <row r="4" spans="1:51">
      <c r="A4" s="137" t="s">
        <v>277</v>
      </c>
    </row>
    <row r="5" spans="1:51">
      <c r="A5" s="137" t="s">
        <v>277</v>
      </c>
    </row>
    <row r="6" spans="1:51">
      <c r="A6" s="137" t="s">
        <v>277</v>
      </c>
    </row>
    <row r="7" spans="1:51" ht="22.5" customHeight="1">
      <c r="A7" s="137" t="s">
        <v>277</v>
      </c>
      <c r="B7" s="136" t="s">
        <v>290</v>
      </c>
      <c r="C7" s="136" t="s">
        <v>291</v>
      </c>
      <c r="D7" s="136" t="s">
        <v>292</v>
      </c>
      <c r="E7" s="136" t="s">
        <v>293</v>
      </c>
      <c r="F7" s="136" t="s">
        <v>294</v>
      </c>
      <c r="G7" s="136" t="s">
        <v>295</v>
      </c>
      <c r="H7" s="136" t="s">
        <v>296</v>
      </c>
      <c r="I7" s="208" t="s">
        <v>297</v>
      </c>
      <c r="J7" s="137">
        <v>2006</v>
      </c>
      <c r="K7" s="137">
        <f>J7+1</f>
        <v>2007</v>
      </c>
      <c r="L7" s="137">
        <f t="shared" ref="L7:AH7" si="0">K7+1</f>
        <v>2008</v>
      </c>
      <c r="M7" s="137">
        <f t="shared" si="0"/>
        <v>2009</v>
      </c>
      <c r="N7" s="137">
        <f t="shared" si="0"/>
        <v>2010</v>
      </c>
      <c r="O7" s="137">
        <f t="shared" si="0"/>
        <v>2011</v>
      </c>
      <c r="P7" s="137">
        <f t="shared" si="0"/>
        <v>2012</v>
      </c>
      <c r="Q7" s="137">
        <f t="shared" si="0"/>
        <v>2013</v>
      </c>
      <c r="R7" s="137">
        <f t="shared" si="0"/>
        <v>2014</v>
      </c>
      <c r="S7" s="137">
        <f t="shared" si="0"/>
        <v>2015</v>
      </c>
      <c r="T7" s="137">
        <f t="shared" si="0"/>
        <v>2016</v>
      </c>
      <c r="U7" s="137">
        <f t="shared" si="0"/>
        <v>2017</v>
      </c>
      <c r="V7" s="137">
        <f t="shared" si="0"/>
        <v>2018</v>
      </c>
      <c r="W7" s="137">
        <f t="shared" si="0"/>
        <v>2019</v>
      </c>
      <c r="X7" s="137">
        <f t="shared" si="0"/>
        <v>2020</v>
      </c>
      <c r="Y7" s="137">
        <f t="shared" si="0"/>
        <v>2021</v>
      </c>
      <c r="Z7" s="137">
        <f t="shared" si="0"/>
        <v>2022</v>
      </c>
      <c r="AA7" s="137">
        <f t="shared" si="0"/>
        <v>2023</v>
      </c>
      <c r="AB7" s="137">
        <f>AA7+1</f>
        <v>2024</v>
      </c>
      <c r="AC7" s="137">
        <f t="shared" si="0"/>
        <v>2025</v>
      </c>
      <c r="AD7" s="137">
        <f t="shared" si="0"/>
        <v>2026</v>
      </c>
      <c r="AE7" s="137">
        <f t="shared" si="0"/>
        <v>2027</v>
      </c>
      <c r="AF7" s="137">
        <f t="shared" si="0"/>
        <v>2028</v>
      </c>
      <c r="AG7" s="137">
        <f t="shared" si="0"/>
        <v>2029</v>
      </c>
      <c r="AH7" s="137">
        <f t="shared" si="0"/>
        <v>2030</v>
      </c>
      <c r="AI7" s="137">
        <f t="shared" ref="AI7" si="1">AH7+1</f>
        <v>2031</v>
      </c>
      <c r="AJ7" s="137">
        <f t="shared" ref="AJ7" si="2">AI7+1</f>
        <v>2032</v>
      </c>
      <c r="AK7" s="137">
        <f t="shared" ref="AK7" si="3">AJ7+1</f>
        <v>2033</v>
      </c>
      <c r="AL7" s="137">
        <f t="shared" ref="AL7" si="4">AK7+1</f>
        <v>2034</v>
      </c>
      <c r="AM7" s="137">
        <f t="shared" ref="AM7" si="5">AL7+1</f>
        <v>2035</v>
      </c>
      <c r="AN7" s="137">
        <f t="shared" ref="AN7" si="6">AM7+1</f>
        <v>2036</v>
      </c>
      <c r="AO7" s="137">
        <f t="shared" ref="AO7" si="7">AN7+1</f>
        <v>2037</v>
      </c>
      <c r="AP7" s="137">
        <f t="shared" ref="AP7" si="8">AO7+1</f>
        <v>2038</v>
      </c>
      <c r="AQ7" s="137">
        <f t="shared" ref="AQ7" si="9">AP7+1</f>
        <v>2039</v>
      </c>
      <c r="AR7" s="137">
        <f>AM7+5</f>
        <v>2040</v>
      </c>
      <c r="AS7" s="137">
        <f>AR7+5</f>
        <v>2045</v>
      </c>
      <c r="AT7" s="137">
        <f>AS7+5</f>
        <v>2050</v>
      </c>
      <c r="AU7" s="137">
        <f>AT7+10</f>
        <v>2060</v>
      </c>
      <c r="AV7" s="137">
        <v>2070</v>
      </c>
    </row>
    <row r="8" spans="1:51">
      <c r="A8" s="137" t="s">
        <v>277</v>
      </c>
      <c r="B8" s="136"/>
      <c r="C8" s="136"/>
      <c r="D8" s="136"/>
      <c r="E8" s="136"/>
      <c r="F8" s="136"/>
      <c r="G8" s="136"/>
      <c r="H8" s="136"/>
      <c r="I8" s="208"/>
    </row>
    <row r="9" spans="1:51">
      <c r="A9" s="137" t="s">
        <v>277</v>
      </c>
      <c r="B9" s="209">
        <v>1</v>
      </c>
      <c r="C9" s="209">
        <v>2</v>
      </c>
      <c r="D9" s="209">
        <v>3</v>
      </c>
      <c r="E9" s="209">
        <v>4</v>
      </c>
      <c r="F9" s="209">
        <v>5</v>
      </c>
      <c r="G9" s="209">
        <v>6</v>
      </c>
      <c r="H9" s="209">
        <v>7</v>
      </c>
      <c r="I9" s="210">
        <v>8</v>
      </c>
      <c r="J9" s="137">
        <f>I9+1</f>
        <v>9</v>
      </c>
    </row>
    <row r="10" spans="1:51">
      <c r="A10" s="137" t="s">
        <v>298</v>
      </c>
      <c r="B10" s="205" t="s">
        <v>299</v>
      </c>
      <c r="C10" s="205" t="s">
        <v>300</v>
      </c>
      <c r="D10" s="205" t="s">
        <v>301</v>
      </c>
      <c r="E10" s="205" t="s">
        <v>302</v>
      </c>
      <c r="F10" s="205" t="s">
        <v>301</v>
      </c>
      <c r="G10" s="205" t="s">
        <v>303</v>
      </c>
      <c r="H10" s="205" t="s">
        <v>301</v>
      </c>
      <c r="I10" s="211">
        <v>0</v>
      </c>
      <c r="AY10" s="137">
        <f>AGR!$E$50</f>
        <v>3</v>
      </c>
    </row>
    <row r="11" spans="1:51">
      <c r="A11" s="137" t="s">
        <v>304</v>
      </c>
      <c r="B11" s="205" t="s">
        <v>305</v>
      </c>
      <c r="C11" s="205" t="s">
        <v>300</v>
      </c>
      <c r="D11" s="205" t="s">
        <v>301</v>
      </c>
      <c r="E11" s="205" t="s">
        <v>301</v>
      </c>
      <c r="F11" s="205" t="s">
        <v>301</v>
      </c>
      <c r="G11" s="205" t="s">
        <v>301</v>
      </c>
      <c r="H11" s="205" t="s">
        <v>306</v>
      </c>
      <c r="I11" s="211">
        <v>0</v>
      </c>
      <c r="J11" s="137">
        <v>1</v>
      </c>
      <c r="AY11" s="137">
        <f>AGR!$G$50</f>
        <v>4</v>
      </c>
    </row>
    <row r="12" spans="1:51">
      <c r="A12" s="137" t="s">
        <v>307</v>
      </c>
      <c r="B12" s="205" t="s">
        <v>326</v>
      </c>
      <c r="C12" s="205" t="s">
        <v>300</v>
      </c>
      <c r="D12" s="205" t="s">
        <v>301</v>
      </c>
      <c r="E12" s="205" t="s">
        <v>301</v>
      </c>
      <c r="F12" s="205" t="s">
        <v>301</v>
      </c>
      <c r="G12" s="205" t="s">
        <v>301</v>
      </c>
      <c r="H12" s="205" t="s">
        <v>301</v>
      </c>
      <c r="I12" s="211">
        <v>0</v>
      </c>
      <c r="J12" s="137">
        <v>0.01</v>
      </c>
      <c r="AY12" s="137">
        <v>20</v>
      </c>
    </row>
    <row r="13" spans="1:51">
      <c r="A13" s="137" t="s">
        <v>309</v>
      </c>
      <c r="B13" s="205" t="s">
        <v>310</v>
      </c>
      <c r="C13" s="205" t="s">
        <v>300</v>
      </c>
      <c r="D13" s="205" t="s">
        <v>301</v>
      </c>
      <c r="E13" s="205" t="s">
        <v>301</v>
      </c>
      <c r="F13" s="205" t="s">
        <v>301</v>
      </c>
      <c r="G13" s="205" t="s">
        <v>301</v>
      </c>
      <c r="H13" s="205" t="s">
        <v>301</v>
      </c>
      <c r="I13" s="211">
        <v>0</v>
      </c>
      <c r="J13" s="137">
        <v>100</v>
      </c>
      <c r="AY13" s="137">
        <f>AGR!$I$50</f>
        <v>5</v>
      </c>
    </row>
    <row r="14" spans="1:51">
      <c r="A14" s="137" t="s">
        <v>311</v>
      </c>
      <c r="B14" s="205" t="s">
        <v>312</v>
      </c>
      <c r="C14" s="205" t="s">
        <v>300</v>
      </c>
      <c r="D14" s="205" t="s">
        <v>301</v>
      </c>
      <c r="E14" s="205" t="s">
        <v>301</v>
      </c>
      <c r="F14" s="205" t="s">
        <v>301</v>
      </c>
      <c r="G14" s="205" t="s">
        <v>301</v>
      </c>
      <c r="H14" s="205" t="s">
        <v>301</v>
      </c>
      <c r="I14" s="211">
        <v>0</v>
      </c>
      <c r="AY14" s="137">
        <f>AGR!$J$50</f>
        <v>6</v>
      </c>
    </row>
    <row r="15" spans="1:51">
      <c r="A15" s="137" t="s">
        <v>277</v>
      </c>
      <c r="B15" s="205"/>
      <c r="C15" s="205"/>
      <c r="D15" s="205"/>
      <c r="E15" s="205"/>
      <c r="F15" s="205"/>
      <c r="G15" s="205"/>
      <c r="H15" s="205"/>
      <c r="I15" s="211"/>
    </row>
    <row r="16" spans="1:51">
      <c r="B16" s="212" t="str">
        <f t="shared" ref="B16:B50" si="10">IF(A16="*","",VLOOKUP("*"&amp;AW16,$A$9:$B$14,2,FALSE))</f>
        <v>ACT_EFF</v>
      </c>
      <c r="C16" s="212" t="str">
        <f ca="1">IF($A16="*","","X"&amp;OFFSET(AGR!$B$6,0,AX16))</f>
        <v>XAGRCOA</v>
      </c>
      <c r="D16" s="212" t="str">
        <f t="shared" ref="D16:I31" si="11">IF($A16="*","",VLOOKUP($B16,$B$10:$I$14,D$9,FALSE))</f>
        <v>-</v>
      </c>
      <c r="E16" s="212" t="str">
        <f t="shared" si="11"/>
        <v>ACTGRP</v>
      </c>
      <c r="F16" s="212" t="str">
        <f t="shared" si="11"/>
        <v>-</v>
      </c>
      <c r="G16" s="212" t="str">
        <f t="shared" si="11"/>
        <v>ANNUAL</v>
      </c>
      <c r="H16" s="212" t="str">
        <f t="shared" si="11"/>
        <v>-</v>
      </c>
      <c r="I16" s="213">
        <f t="shared" si="11"/>
        <v>0</v>
      </c>
      <c r="J16" s="212">
        <f ca="1">IF($A16="*","",IF(B16="ACT_EFF",1-SUMIF(AGR!$C$6:$I$6,RIGHT(C16,6),AGR!$C$15:$I$15),IF(B16="PRC_RESID",SUMIF(AGR!$C$6:$I$6,RIGHT(C16,6),AGR!$C$16:$I$16),VLOOKUP($B16,$B$10:$J$14,J$9,FALSE))))</f>
        <v>1</v>
      </c>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212"/>
      <c r="AI16" s="212"/>
      <c r="AJ16" s="212"/>
      <c r="AK16" s="212"/>
      <c r="AL16" s="212"/>
      <c r="AM16" s="212"/>
      <c r="AN16" s="212"/>
      <c r="AO16" s="212"/>
      <c r="AP16" s="212"/>
      <c r="AQ16" s="212"/>
      <c r="AR16" s="212"/>
      <c r="AS16" s="212"/>
      <c r="AT16" s="212"/>
      <c r="AU16" s="212"/>
      <c r="AV16" s="212"/>
      <c r="AW16" s="137">
        <v>1</v>
      </c>
      <c r="AX16" s="137">
        <v>1</v>
      </c>
    </row>
    <row r="17" spans="2:50">
      <c r="B17" s="212" t="str">
        <f t="shared" si="10"/>
        <v>ACT_EFF</v>
      </c>
      <c r="C17" s="212" t="str">
        <f ca="1">IF($A17="*","","X"&amp;OFFSET(AGR!$B$6,0,AX17))</f>
        <v>XAGRODS</v>
      </c>
      <c r="D17" s="212" t="str">
        <f t="shared" si="11"/>
        <v>-</v>
      </c>
      <c r="E17" s="212" t="str">
        <f t="shared" si="11"/>
        <v>ACTGRP</v>
      </c>
      <c r="F17" s="212" t="str">
        <f t="shared" si="11"/>
        <v>-</v>
      </c>
      <c r="G17" s="212" t="str">
        <f t="shared" si="11"/>
        <v>ANNUAL</v>
      </c>
      <c r="H17" s="212" t="str">
        <f t="shared" si="11"/>
        <v>-</v>
      </c>
      <c r="I17" s="213">
        <f t="shared" si="11"/>
        <v>0</v>
      </c>
      <c r="J17" s="212">
        <f ca="1">IF($A17="*","",IF(B17="ACT_EFF",1-SUMIF(AGR!$C$6:$I$6,RIGHT(C17,6),AGR!$C$15:$I$15),IF(B17="PRC_RESID",SUMIF(AGR!$C$6:$I$6,RIGHT(C17,6),AGR!$C$16:$I$16),VLOOKUP($B17,$B$10:$J$14,J$9,FALSE))))</f>
        <v>1</v>
      </c>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212"/>
      <c r="AR17" s="212"/>
      <c r="AS17" s="212"/>
      <c r="AT17" s="212"/>
      <c r="AU17" s="212"/>
      <c r="AV17" s="212"/>
      <c r="AW17" s="137">
        <f>IF(AX16=AGR!$B$4,AW16+1,AW16)</f>
        <v>1</v>
      </c>
      <c r="AX17" s="137">
        <f>IF(AW17=AW16,AX16+1,1)</f>
        <v>2</v>
      </c>
    </row>
    <row r="18" spans="2:50">
      <c r="B18" s="212" t="str">
        <f t="shared" si="10"/>
        <v>ACT_EFF</v>
      </c>
      <c r="C18" s="212" t="str">
        <f ca="1">IF($A18="*","","X"&amp;OFFSET(AGR!$B$6,0,AX18))</f>
        <v>XAGRELC</v>
      </c>
      <c r="D18" s="212" t="str">
        <f t="shared" si="11"/>
        <v>-</v>
      </c>
      <c r="E18" s="212" t="str">
        <f t="shared" si="11"/>
        <v>ACTGRP</v>
      </c>
      <c r="F18" s="212" t="str">
        <f t="shared" si="11"/>
        <v>-</v>
      </c>
      <c r="G18" s="212" t="str">
        <f t="shared" si="11"/>
        <v>ANNUAL</v>
      </c>
      <c r="H18" s="212" t="str">
        <f t="shared" si="11"/>
        <v>-</v>
      </c>
      <c r="I18" s="213">
        <f t="shared" si="11"/>
        <v>0</v>
      </c>
      <c r="J18" s="212">
        <f ca="1">IF($A18="*","",IF(B18="ACT_EFF",1-SUMIF(AGR!$C$6:$I$6,RIGHT(C18,6),AGR!$C$15:$I$15),IF(B18="PRC_RESID",SUMIF(AGR!$C$6:$I$6,RIGHT(C18,6),AGR!$C$16:$I$16),VLOOKUP($B18,$B$10:$J$14,J$9,FALSE))))</f>
        <v>0.9</v>
      </c>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137">
        <f>IF(AX17=AGR!$B$4,AW17+1,AW17)</f>
        <v>1</v>
      </c>
      <c r="AX18" s="137">
        <f t="shared" ref="AX18:AX50" si="12">IF(AW18=AW17,AX17+1,1)</f>
        <v>3</v>
      </c>
    </row>
    <row r="19" spans="2:50">
      <c r="B19" s="212" t="str">
        <f t="shared" si="10"/>
        <v>ACT_EFF</v>
      </c>
      <c r="C19" s="212" t="str">
        <f ca="1">IF($A19="*","","X"&amp;OFFSET(AGR!$B$6,0,AX19))</f>
        <v>XAGROGS</v>
      </c>
      <c r="D19" s="212" t="str">
        <f t="shared" si="11"/>
        <v>-</v>
      </c>
      <c r="E19" s="212" t="str">
        <f t="shared" si="11"/>
        <v>ACTGRP</v>
      </c>
      <c r="F19" s="212" t="str">
        <f t="shared" si="11"/>
        <v>-</v>
      </c>
      <c r="G19" s="212" t="str">
        <f t="shared" si="11"/>
        <v>ANNUAL</v>
      </c>
      <c r="H19" s="212" t="str">
        <f t="shared" si="11"/>
        <v>-</v>
      </c>
      <c r="I19" s="213">
        <f t="shared" si="11"/>
        <v>0</v>
      </c>
      <c r="J19" s="212">
        <f ca="1">IF($A19="*","",IF(B19="ACT_EFF",1-SUMIF(AGR!$C$6:$I$6,RIGHT(C19,6),AGR!$C$15:$I$15),IF(B19="PRC_RESID",SUMIF(AGR!$C$6:$I$6,RIGHT(C19,6),AGR!$C$16:$I$16),VLOOKUP($B19,$B$10:$J$14,J$9,FALSE))))</f>
        <v>1</v>
      </c>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212"/>
      <c r="AR19" s="212"/>
      <c r="AS19" s="212"/>
      <c r="AT19" s="212"/>
      <c r="AU19" s="212"/>
      <c r="AV19" s="212"/>
      <c r="AW19" s="137">
        <f>IF(AX18=AGR!$B$4,AW18+1,AW18)</f>
        <v>1</v>
      </c>
      <c r="AX19" s="137">
        <f t="shared" si="12"/>
        <v>4</v>
      </c>
    </row>
    <row r="20" spans="2:50">
      <c r="B20" s="212" t="str">
        <f t="shared" si="10"/>
        <v>ACT_EFF</v>
      </c>
      <c r="C20" s="212" t="str">
        <f ca="1">IF($A20="*","","X"&amp;OFFSET(AGR!$B$6,0,AX20))</f>
        <v>XAGROHF</v>
      </c>
      <c r="D20" s="212" t="str">
        <f t="shared" si="11"/>
        <v>-</v>
      </c>
      <c r="E20" s="212" t="str">
        <f t="shared" si="11"/>
        <v>ACTGRP</v>
      </c>
      <c r="F20" s="212" t="str">
        <f t="shared" si="11"/>
        <v>-</v>
      </c>
      <c r="G20" s="212" t="str">
        <f t="shared" si="11"/>
        <v>ANNUAL</v>
      </c>
      <c r="H20" s="212" t="str">
        <f t="shared" si="11"/>
        <v>-</v>
      </c>
      <c r="I20" s="213">
        <f t="shared" si="11"/>
        <v>0</v>
      </c>
      <c r="J20" s="212">
        <f ca="1">IF($A20="*","",IF(B20="ACT_EFF",1-SUMIF(AGR!$C$6:$I$6,RIGHT(C20,6),AGR!$C$15:$I$15),IF(B20="PRC_RESID",SUMIF(AGR!$C$6:$I$6,RIGHT(C20,6),AGR!$C$16:$I$16),VLOOKUP($B20,$B$10:$J$14,J$9,FALSE))))</f>
        <v>1</v>
      </c>
      <c r="K20" s="212"/>
      <c r="L20" s="212"/>
      <c r="M20" s="212"/>
      <c r="N20" s="212"/>
      <c r="O20" s="212"/>
      <c r="P20" s="212"/>
      <c r="Q20" s="212"/>
      <c r="R20" s="212"/>
      <c r="S20" s="212"/>
      <c r="T20" s="212"/>
      <c r="U20" s="212"/>
      <c r="V20" s="212"/>
      <c r="W20" s="212"/>
      <c r="X20" s="212"/>
      <c r="Y20" s="212"/>
      <c r="Z20" s="212"/>
      <c r="AA20" s="212"/>
      <c r="AB20" s="212"/>
      <c r="AC20" s="212"/>
      <c r="AD20" s="212"/>
      <c r="AE20" s="212"/>
      <c r="AF20" s="212"/>
      <c r="AG20" s="212"/>
      <c r="AH20" s="212"/>
      <c r="AI20" s="212"/>
      <c r="AJ20" s="212"/>
      <c r="AK20" s="212"/>
      <c r="AL20" s="212"/>
      <c r="AM20" s="212"/>
      <c r="AN20" s="212"/>
      <c r="AO20" s="212"/>
      <c r="AP20" s="212"/>
      <c r="AQ20" s="212"/>
      <c r="AR20" s="212"/>
      <c r="AS20" s="212"/>
      <c r="AT20" s="212"/>
      <c r="AU20" s="212"/>
      <c r="AV20" s="212"/>
      <c r="AW20" s="137">
        <f>IF(AX19=AGR!$B$4,AW19+1,AW19)</f>
        <v>1</v>
      </c>
      <c r="AX20" s="137">
        <f t="shared" si="12"/>
        <v>5</v>
      </c>
    </row>
    <row r="21" spans="2:50">
      <c r="B21" s="212" t="str">
        <f t="shared" si="10"/>
        <v>ACT_EFF</v>
      </c>
      <c r="C21" s="212" t="str">
        <f ca="1">IF($A21="*","","X"&amp;OFFSET(AGR!$B$6,0,AX21))</f>
        <v>XAGROKE</v>
      </c>
      <c r="D21" s="212" t="str">
        <f t="shared" si="11"/>
        <v>-</v>
      </c>
      <c r="E21" s="212" t="str">
        <f t="shared" si="11"/>
        <v>ACTGRP</v>
      </c>
      <c r="F21" s="212" t="str">
        <f t="shared" si="11"/>
        <v>-</v>
      </c>
      <c r="G21" s="212" t="str">
        <f t="shared" si="11"/>
        <v>ANNUAL</v>
      </c>
      <c r="H21" s="212" t="str">
        <f t="shared" si="11"/>
        <v>-</v>
      </c>
      <c r="I21" s="213">
        <f t="shared" si="11"/>
        <v>0</v>
      </c>
      <c r="J21" s="212">
        <f ca="1">IF($A21="*","",IF(B21="ACT_EFF",1-SUMIF(AGR!$C$6:$I$6,RIGHT(C21,6),AGR!$C$15:$I$15),IF(B21="PRC_RESID",SUMIF(AGR!$C$6:$I$6,RIGHT(C21,6),AGR!$C$16:$I$16),VLOOKUP($B21,$B$10:$J$14,J$9,FALSE))))</f>
        <v>1</v>
      </c>
      <c r="K21" s="212"/>
      <c r="L21" s="212"/>
      <c r="M21" s="212"/>
      <c r="N21" s="212"/>
      <c r="O21" s="212"/>
      <c r="P21" s="212"/>
      <c r="Q21" s="212"/>
      <c r="R21" s="212"/>
      <c r="S21" s="212"/>
      <c r="T21" s="212"/>
      <c r="U21" s="212"/>
      <c r="V21" s="212"/>
      <c r="W21" s="212"/>
      <c r="X21" s="212"/>
      <c r="Y21" s="212"/>
      <c r="Z21" s="212"/>
      <c r="AA21" s="212"/>
      <c r="AB21" s="212"/>
      <c r="AC21" s="212"/>
      <c r="AD21" s="212"/>
      <c r="AE21" s="212"/>
      <c r="AF21" s="212"/>
      <c r="AG21" s="212"/>
      <c r="AH21" s="212"/>
      <c r="AI21" s="212"/>
      <c r="AJ21" s="212"/>
      <c r="AK21" s="212"/>
      <c r="AL21" s="212"/>
      <c r="AM21" s="212"/>
      <c r="AN21" s="212"/>
      <c r="AO21" s="212"/>
      <c r="AP21" s="212"/>
      <c r="AQ21" s="212"/>
      <c r="AR21" s="212"/>
      <c r="AS21" s="212"/>
      <c r="AT21" s="212"/>
      <c r="AU21" s="212"/>
      <c r="AV21" s="212"/>
      <c r="AW21" s="137">
        <f>IF(AX20=AGR!$B$4,AW20+1,AW20)</f>
        <v>1</v>
      </c>
      <c r="AX21" s="137">
        <f t="shared" si="12"/>
        <v>6</v>
      </c>
    </row>
    <row r="22" spans="2:50">
      <c r="B22" s="212" t="str">
        <f t="shared" si="10"/>
        <v>ACT_EFF</v>
      </c>
      <c r="C22" s="212" t="str">
        <f ca="1">IF($A22="*","","X"&amp;OFFSET(AGR!$B$6,0,AX22))</f>
        <v>XAGROLP</v>
      </c>
      <c r="D22" s="212" t="str">
        <f t="shared" si="11"/>
        <v>-</v>
      </c>
      <c r="E22" s="212" t="str">
        <f t="shared" si="11"/>
        <v>ACTGRP</v>
      </c>
      <c r="F22" s="212" t="str">
        <f t="shared" si="11"/>
        <v>-</v>
      </c>
      <c r="G22" s="212" t="str">
        <f t="shared" si="11"/>
        <v>ANNUAL</v>
      </c>
      <c r="H22" s="212" t="str">
        <f t="shared" si="11"/>
        <v>-</v>
      </c>
      <c r="I22" s="213">
        <f t="shared" si="11"/>
        <v>0</v>
      </c>
      <c r="J22" s="212">
        <f ca="1">IF($A22="*","",IF(B22="ACT_EFF",1-SUMIF(AGR!$C$6:$I$6,RIGHT(C22,6),AGR!$C$15:$I$15),IF(B22="PRC_RESID",SUMIF(AGR!$C$6:$I$6,RIGHT(C22,6),AGR!$C$16:$I$16),VLOOKUP($B22,$B$10:$J$14,J$9,FALSE))))</f>
        <v>1</v>
      </c>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212"/>
      <c r="AR22" s="212"/>
      <c r="AS22" s="212"/>
      <c r="AT22" s="212"/>
      <c r="AU22" s="212"/>
      <c r="AV22" s="212"/>
      <c r="AW22" s="137">
        <f>IF(AX21=AGR!$B$4,AW21+1,AW21)</f>
        <v>1</v>
      </c>
      <c r="AX22" s="137">
        <f t="shared" si="12"/>
        <v>7</v>
      </c>
    </row>
    <row r="23" spans="2:50">
      <c r="B23" s="212" t="str">
        <f t="shared" si="10"/>
        <v>NCAP_AFA</v>
      </c>
      <c r="C23" s="212" t="str">
        <f ca="1">IF($A23="*","","X"&amp;OFFSET(AGR!$B$6,0,AX23))</f>
        <v>XAGRCOA</v>
      </c>
      <c r="D23" s="212" t="str">
        <f t="shared" si="11"/>
        <v>-</v>
      </c>
      <c r="E23" s="212" t="str">
        <f t="shared" si="11"/>
        <v>-</v>
      </c>
      <c r="F23" s="212" t="str">
        <f t="shared" si="11"/>
        <v>-</v>
      </c>
      <c r="G23" s="212" t="str">
        <f t="shared" si="11"/>
        <v>-</v>
      </c>
      <c r="H23" s="212" t="str">
        <f t="shared" si="11"/>
        <v>UP</v>
      </c>
      <c r="I23" s="213">
        <f t="shared" si="11"/>
        <v>0</v>
      </c>
      <c r="J23" s="212">
        <f>IF($A23="*","",IF(B23="ACT_EFF",1-SUMIF(AGR!$C$6:$I$6,RIGHT(C23,6),AGR!$C$15:$I$15),IF(B23="PRC_RESID",SUMIF(AGR!$C$6:$I$6,RIGHT(C23,6),AGR!$C$16:$I$16),VLOOKUP($B23,$B$10:$J$14,J$9,FALSE))))</f>
        <v>1</v>
      </c>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212"/>
      <c r="AR23" s="212"/>
      <c r="AS23" s="212"/>
      <c r="AT23" s="212"/>
      <c r="AU23" s="212"/>
      <c r="AV23" s="212"/>
      <c r="AW23" s="137">
        <f>IF(AX22=AGR!$B$4,AW22+1,AW22)</f>
        <v>2</v>
      </c>
      <c r="AX23" s="137">
        <f t="shared" si="12"/>
        <v>1</v>
      </c>
    </row>
    <row r="24" spans="2:50">
      <c r="B24" s="212" t="str">
        <f t="shared" si="10"/>
        <v>NCAP_AFA</v>
      </c>
      <c r="C24" s="212" t="str">
        <f ca="1">IF($A24="*","","X"&amp;OFFSET(AGR!$B$6,0,AX24))</f>
        <v>XAGRODS</v>
      </c>
      <c r="D24" s="212" t="str">
        <f t="shared" si="11"/>
        <v>-</v>
      </c>
      <c r="E24" s="212" t="str">
        <f t="shared" si="11"/>
        <v>-</v>
      </c>
      <c r="F24" s="212" t="str">
        <f t="shared" si="11"/>
        <v>-</v>
      </c>
      <c r="G24" s="212" t="str">
        <f t="shared" si="11"/>
        <v>-</v>
      </c>
      <c r="H24" s="212" t="str">
        <f t="shared" si="11"/>
        <v>UP</v>
      </c>
      <c r="I24" s="213">
        <f t="shared" si="11"/>
        <v>0</v>
      </c>
      <c r="J24" s="212">
        <f>IF($A24="*","",IF(B24="ACT_EFF",1-SUMIF(AGR!$C$6:$I$6,RIGHT(C24,6),AGR!$C$15:$I$15),IF(B24="PRC_RESID",SUMIF(AGR!$C$6:$I$6,RIGHT(C24,6),AGR!$C$16:$I$16),VLOOKUP($B24,$B$10:$J$14,J$9,FALSE))))</f>
        <v>1</v>
      </c>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212"/>
      <c r="AI24" s="212"/>
      <c r="AJ24" s="212"/>
      <c r="AK24" s="212"/>
      <c r="AL24" s="212"/>
      <c r="AM24" s="212"/>
      <c r="AN24" s="212"/>
      <c r="AO24" s="212"/>
      <c r="AP24" s="212"/>
      <c r="AQ24" s="212"/>
      <c r="AR24" s="212"/>
      <c r="AS24" s="212"/>
      <c r="AT24" s="212"/>
      <c r="AU24" s="212"/>
      <c r="AV24" s="212"/>
      <c r="AW24" s="137">
        <f>IF(AX23=AGR!$B$4,AW23+1,AW23)</f>
        <v>2</v>
      </c>
      <c r="AX24" s="137">
        <f t="shared" si="12"/>
        <v>2</v>
      </c>
    </row>
    <row r="25" spans="2:50">
      <c r="B25" s="212" t="str">
        <f t="shared" si="10"/>
        <v>NCAP_AFA</v>
      </c>
      <c r="C25" s="212" t="str">
        <f ca="1">IF($A25="*","","X"&amp;OFFSET(AGR!$B$6,0,AX25))</f>
        <v>XAGRELC</v>
      </c>
      <c r="D25" s="212" t="str">
        <f t="shared" si="11"/>
        <v>-</v>
      </c>
      <c r="E25" s="212" t="str">
        <f t="shared" si="11"/>
        <v>-</v>
      </c>
      <c r="F25" s="212" t="str">
        <f t="shared" si="11"/>
        <v>-</v>
      </c>
      <c r="G25" s="212" t="str">
        <f t="shared" si="11"/>
        <v>-</v>
      </c>
      <c r="H25" s="212" t="str">
        <f t="shared" si="11"/>
        <v>UP</v>
      </c>
      <c r="I25" s="213">
        <f t="shared" si="11"/>
        <v>0</v>
      </c>
      <c r="J25" s="212">
        <f>IF($A25="*","",IF(B25="ACT_EFF",1-SUMIF(AGR!$C$6:$I$6,RIGHT(C25,6),AGR!$C$15:$I$15),IF(B25="PRC_RESID",SUMIF(AGR!$C$6:$I$6,RIGHT(C25,6),AGR!$C$16:$I$16),VLOOKUP($B25,$B$10:$J$14,J$9,FALSE))))</f>
        <v>1</v>
      </c>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c r="AT25" s="212"/>
      <c r="AU25" s="212"/>
      <c r="AV25" s="212"/>
      <c r="AW25" s="137">
        <f>IF(AX24=AGR!$B$4,AW24+1,AW24)</f>
        <v>2</v>
      </c>
      <c r="AX25" s="137">
        <f t="shared" si="12"/>
        <v>3</v>
      </c>
    </row>
    <row r="26" spans="2:50">
      <c r="B26" s="212" t="str">
        <f t="shared" si="10"/>
        <v>NCAP_AFA</v>
      </c>
      <c r="C26" s="212" t="str">
        <f ca="1">IF($A26="*","","X"&amp;OFFSET(AGR!$B$6,0,AX26))</f>
        <v>XAGROGS</v>
      </c>
      <c r="D26" s="212" t="str">
        <f t="shared" si="11"/>
        <v>-</v>
      </c>
      <c r="E26" s="212" t="str">
        <f t="shared" si="11"/>
        <v>-</v>
      </c>
      <c r="F26" s="212" t="str">
        <f t="shared" si="11"/>
        <v>-</v>
      </c>
      <c r="G26" s="212" t="str">
        <f t="shared" si="11"/>
        <v>-</v>
      </c>
      <c r="H26" s="212" t="str">
        <f t="shared" si="11"/>
        <v>UP</v>
      </c>
      <c r="I26" s="213">
        <f t="shared" si="11"/>
        <v>0</v>
      </c>
      <c r="J26" s="212">
        <f>IF($A26="*","",IF(B26="ACT_EFF",1-SUMIF(AGR!$C$6:$I$6,RIGHT(C26,6),AGR!$C$15:$I$15),IF(B26="PRC_RESID",SUMIF(AGR!$C$6:$I$6,RIGHT(C26,6),AGR!$C$16:$I$16),VLOOKUP($B26,$B$10:$J$14,J$9,FALSE))))</f>
        <v>1</v>
      </c>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12"/>
      <c r="AR26" s="212"/>
      <c r="AS26" s="212"/>
      <c r="AT26" s="212"/>
      <c r="AU26" s="212"/>
      <c r="AV26" s="212"/>
      <c r="AW26" s="137">
        <f>IF(AX25=AGR!$B$4,AW25+1,AW25)</f>
        <v>2</v>
      </c>
      <c r="AX26" s="137">
        <f t="shared" si="12"/>
        <v>4</v>
      </c>
    </row>
    <row r="27" spans="2:50">
      <c r="B27" s="212" t="str">
        <f t="shared" si="10"/>
        <v>NCAP_AFA</v>
      </c>
      <c r="C27" s="212" t="str">
        <f ca="1">IF($A27="*","","X"&amp;OFFSET(AGR!$B$6,0,AX27))</f>
        <v>XAGROHF</v>
      </c>
      <c r="D27" s="212" t="str">
        <f t="shared" si="11"/>
        <v>-</v>
      </c>
      <c r="E27" s="212" t="str">
        <f t="shared" si="11"/>
        <v>-</v>
      </c>
      <c r="F27" s="212" t="str">
        <f t="shared" si="11"/>
        <v>-</v>
      </c>
      <c r="G27" s="212" t="str">
        <f t="shared" si="11"/>
        <v>-</v>
      </c>
      <c r="H27" s="212" t="str">
        <f t="shared" si="11"/>
        <v>UP</v>
      </c>
      <c r="I27" s="213">
        <f t="shared" si="11"/>
        <v>0</v>
      </c>
      <c r="J27" s="212">
        <f>IF($A27="*","",IF(B27="ACT_EFF",1-SUMIF(AGR!$C$6:$I$6,RIGHT(C27,6),AGR!$C$15:$I$15),IF(B27="PRC_RESID",SUMIF(AGR!$C$6:$I$6,RIGHT(C27,6),AGR!$C$16:$I$16),VLOOKUP($B27,$B$10:$J$14,J$9,FALSE))))</f>
        <v>1</v>
      </c>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212"/>
      <c r="AR27" s="212"/>
      <c r="AS27" s="212"/>
      <c r="AT27" s="212"/>
      <c r="AU27" s="212"/>
      <c r="AV27" s="212"/>
      <c r="AW27" s="137">
        <f>IF(AX26=AGR!$B$4,AW26+1,AW26)</f>
        <v>2</v>
      </c>
      <c r="AX27" s="137">
        <f t="shared" si="12"/>
        <v>5</v>
      </c>
    </row>
    <row r="28" spans="2:50">
      <c r="B28" s="212" t="str">
        <f t="shared" si="10"/>
        <v>NCAP_AFA</v>
      </c>
      <c r="C28" s="212" t="str">
        <f ca="1">IF($A28="*","","X"&amp;OFFSET(AGR!$B$6,0,AX28))</f>
        <v>XAGROKE</v>
      </c>
      <c r="D28" s="212" t="str">
        <f t="shared" si="11"/>
        <v>-</v>
      </c>
      <c r="E28" s="212" t="str">
        <f t="shared" si="11"/>
        <v>-</v>
      </c>
      <c r="F28" s="212" t="str">
        <f t="shared" si="11"/>
        <v>-</v>
      </c>
      <c r="G28" s="212" t="str">
        <f t="shared" si="11"/>
        <v>-</v>
      </c>
      <c r="H28" s="212" t="str">
        <f t="shared" si="11"/>
        <v>UP</v>
      </c>
      <c r="I28" s="213">
        <f t="shared" si="11"/>
        <v>0</v>
      </c>
      <c r="J28" s="212">
        <f>IF($A28="*","",IF(B28="ACT_EFF",1-SUMIF(AGR!$C$6:$I$6,RIGHT(C28,6),AGR!$C$15:$I$15),IF(B28="PRC_RESID",SUMIF(AGR!$C$6:$I$6,RIGHT(C28,6),AGR!$C$16:$I$16),VLOOKUP($B28,$B$10:$J$14,J$9,FALSE))))</f>
        <v>1</v>
      </c>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212"/>
      <c r="AR28" s="212"/>
      <c r="AS28" s="212"/>
      <c r="AT28" s="212"/>
      <c r="AU28" s="212"/>
      <c r="AV28" s="212"/>
      <c r="AW28" s="137">
        <f>IF(AX27=AGR!$B$4,AW27+1,AW27)</f>
        <v>2</v>
      </c>
      <c r="AX28" s="137">
        <f t="shared" si="12"/>
        <v>6</v>
      </c>
    </row>
    <row r="29" spans="2:50">
      <c r="B29" s="212" t="str">
        <f t="shared" si="10"/>
        <v>NCAP_AFA</v>
      </c>
      <c r="C29" s="212" t="str">
        <f ca="1">IF($A29="*","","X"&amp;OFFSET(AGR!$B$6,0,AX29))</f>
        <v>XAGROLP</v>
      </c>
      <c r="D29" s="212" t="str">
        <f t="shared" si="11"/>
        <v>-</v>
      </c>
      <c r="E29" s="212" t="str">
        <f t="shared" si="11"/>
        <v>-</v>
      </c>
      <c r="F29" s="212" t="str">
        <f t="shared" si="11"/>
        <v>-</v>
      </c>
      <c r="G29" s="212" t="str">
        <f t="shared" si="11"/>
        <v>-</v>
      </c>
      <c r="H29" s="212" t="str">
        <f t="shared" si="11"/>
        <v>UP</v>
      </c>
      <c r="I29" s="213">
        <f t="shared" si="11"/>
        <v>0</v>
      </c>
      <c r="J29" s="212">
        <f>IF($A29="*","",IF(B29="ACT_EFF",1-SUMIF(AGR!$C$6:$I$6,RIGHT(C29,6),AGR!$C$15:$I$15),IF(B29="PRC_RESID",SUMIF(AGR!$C$6:$I$6,RIGHT(C29,6),AGR!$C$16:$I$16),VLOOKUP($B29,$B$10:$J$14,J$9,FALSE))))</f>
        <v>1</v>
      </c>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12"/>
      <c r="AR29" s="212"/>
      <c r="AS29" s="212"/>
      <c r="AT29" s="212"/>
      <c r="AU29" s="212"/>
      <c r="AV29" s="212"/>
      <c r="AW29" s="137">
        <f>IF(AX28=AGR!$B$4,AW28+1,AW28)</f>
        <v>2</v>
      </c>
      <c r="AX29" s="137">
        <f t="shared" si="12"/>
        <v>7</v>
      </c>
    </row>
    <row r="30" spans="2:50">
      <c r="B30" s="212" t="str">
        <f t="shared" si="10"/>
        <v>NCAP_COST</v>
      </c>
      <c r="C30" s="212" t="str">
        <f ca="1">IF($A30="*","","X"&amp;OFFSET(AGR!$B$6,0,AX30))</f>
        <v>XAGRCOA</v>
      </c>
      <c r="D30" s="212" t="str">
        <f t="shared" si="11"/>
        <v>-</v>
      </c>
      <c r="E30" s="212" t="str">
        <f t="shared" si="11"/>
        <v>-</v>
      </c>
      <c r="F30" s="212" t="str">
        <f t="shared" si="11"/>
        <v>-</v>
      </c>
      <c r="G30" s="212" t="str">
        <f t="shared" si="11"/>
        <v>-</v>
      </c>
      <c r="H30" s="212" t="str">
        <f t="shared" si="11"/>
        <v>-</v>
      </c>
      <c r="I30" s="213">
        <f t="shared" si="11"/>
        <v>0</v>
      </c>
      <c r="J30" s="212">
        <f>IF($A30="*","",IF(B30="ACT_EFF",1-SUMIF(AGR!$C$6:$I$6,RIGHT(C30,6),AGR!$C$15:$I$15),IF(B30="PRC_RESID",SUMIF(AGR!$C$6:$I$6,RIGHT(C30,6),AGR!$C$16:$I$16),VLOOKUP($B30,$B$10:$J$14,J$9,FALSE))))</f>
        <v>0.01</v>
      </c>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137">
        <f>IF(AX29=AGR!$B$4,AW29+1,AW29)</f>
        <v>3</v>
      </c>
      <c r="AX30" s="137">
        <f t="shared" si="12"/>
        <v>1</v>
      </c>
    </row>
    <row r="31" spans="2:50">
      <c r="B31" s="212" t="str">
        <f t="shared" si="10"/>
        <v>NCAP_COST</v>
      </c>
      <c r="C31" s="212" t="str">
        <f ca="1">IF($A31="*","","X"&amp;OFFSET(AGR!$B$6,0,AX31))</f>
        <v>XAGRODS</v>
      </c>
      <c r="D31" s="212" t="str">
        <f t="shared" si="11"/>
        <v>-</v>
      </c>
      <c r="E31" s="212" t="str">
        <f t="shared" si="11"/>
        <v>-</v>
      </c>
      <c r="F31" s="212" t="str">
        <f t="shared" si="11"/>
        <v>-</v>
      </c>
      <c r="G31" s="212" t="str">
        <f t="shared" si="11"/>
        <v>-</v>
      </c>
      <c r="H31" s="212" t="str">
        <f t="shared" si="11"/>
        <v>-</v>
      </c>
      <c r="I31" s="213">
        <f t="shared" si="11"/>
        <v>0</v>
      </c>
      <c r="J31" s="212">
        <f>IF($A31="*","",IF(B31="ACT_EFF",1-SUMIF(AGR!$C$6:$I$6,RIGHT(C31,6),AGR!$C$15:$I$15),IF(B31="PRC_RESID",SUMIF(AGR!$C$6:$I$6,RIGHT(C31,6),AGR!$C$16:$I$16),VLOOKUP($B31,$B$10:$J$14,J$9,FALSE))))</f>
        <v>0.01</v>
      </c>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137">
        <f>IF(AX30=AGR!$B$4,AW30+1,AW30)</f>
        <v>3</v>
      </c>
      <c r="AX31" s="137">
        <f t="shared" si="12"/>
        <v>2</v>
      </c>
    </row>
    <row r="32" spans="2:50">
      <c r="B32" s="212" t="str">
        <f t="shared" si="10"/>
        <v>NCAP_COST</v>
      </c>
      <c r="C32" s="212" t="str">
        <f ca="1">IF($A32="*","","X"&amp;OFFSET(AGR!$B$6,0,AX32))</f>
        <v>XAGRELC</v>
      </c>
      <c r="D32" s="212" t="str">
        <f t="shared" ref="D32:I50" si="13">IF($A32="*","",VLOOKUP($B32,$B$10:$I$14,D$9,FALSE))</f>
        <v>-</v>
      </c>
      <c r="E32" s="212" t="str">
        <f t="shared" si="13"/>
        <v>-</v>
      </c>
      <c r="F32" s="212" t="str">
        <f t="shared" si="13"/>
        <v>-</v>
      </c>
      <c r="G32" s="212" t="str">
        <f t="shared" si="13"/>
        <v>-</v>
      </c>
      <c r="H32" s="212" t="str">
        <f t="shared" si="13"/>
        <v>-</v>
      </c>
      <c r="I32" s="213">
        <f t="shared" si="13"/>
        <v>0</v>
      </c>
      <c r="J32" s="212">
        <f>IF($A32="*","",IF(B32="ACT_EFF",1-SUMIF(AGR!$C$6:$I$6,RIGHT(C32,6),AGR!$C$15:$I$15),IF(B32="PRC_RESID",SUMIF(AGR!$C$6:$I$6,RIGHT(C32,6),AGR!$C$16:$I$16),VLOOKUP($B32,$B$10:$J$14,J$9,FALSE))))</f>
        <v>0.01</v>
      </c>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212"/>
      <c r="AR32" s="212"/>
      <c r="AS32" s="212"/>
      <c r="AT32" s="212"/>
      <c r="AU32" s="212"/>
      <c r="AV32" s="212"/>
      <c r="AW32" s="137">
        <f>IF(AX31=AGR!$B$4,AW31+1,AW31)</f>
        <v>3</v>
      </c>
      <c r="AX32" s="137">
        <f t="shared" si="12"/>
        <v>3</v>
      </c>
    </row>
    <row r="33" spans="2:50">
      <c r="B33" s="212" t="str">
        <f t="shared" si="10"/>
        <v>NCAP_COST</v>
      </c>
      <c r="C33" s="212" t="str">
        <f ca="1">IF($A33="*","","X"&amp;OFFSET(AGR!$B$6,0,AX33))</f>
        <v>XAGROGS</v>
      </c>
      <c r="D33" s="212" t="str">
        <f t="shared" si="13"/>
        <v>-</v>
      </c>
      <c r="E33" s="212" t="str">
        <f t="shared" si="13"/>
        <v>-</v>
      </c>
      <c r="F33" s="212" t="str">
        <f t="shared" si="13"/>
        <v>-</v>
      </c>
      <c r="G33" s="212" t="str">
        <f t="shared" si="13"/>
        <v>-</v>
      </c>
      <c r="H33" s="212" t="str">
        <f t="shared" si="13"/>
        <v>-</v>
      </c>
      <c r="I33" s="213">
        <f t="shared" si="13"/>
        <v>0</v>
      </c>
      <c r="J33" s="212">
        <f>IF($A33="*","",IF(B33="ACT_EFF",1-SUMIF(AGR!$C$6:$I$6,RIGHT(C33,6),AGR!$C$15:$I$15),IF(B33="PRC_RESID",SUMIF(AGR!$C$6:$I$6,RIGHT(C33,6),AGR!$C$16:$I$16),VLOOKUP($B33,$B$10:$J$14,J$9,FALSE))))</f>
        <v>0.01</v>
      </c>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c r="AT33" s="212"/>
      <c r="AU33" s="212"/>
      <c r="AV33" s="212"/>
      <c r="AW33" s="137">
        <f>IF(AX32=AGR!$B$4,AW32+1,AW32)</f>
        <v>3</v>
      </c>
      <c r="AX33" s="137">
        <f t="shared" si="12"/>
        <v>4</v>
      </c>
    </row>
    <row r="34" spans="2:50">
      <c r="B34" s="212" t="str">
        <f t="shared" si="10"/>
        <v>NCAP_COST</v>
      </c>
      <c r="C34" s="212" t="str">
        <f ca="1">IF($A34="*","","X"&amp;OFFSET(AGR!$B$6,0,AX34))</f>
        <v>XAGROHF</v>
      </c>
      <c r="D34" s="212" t="str">
        <f t="shared" si="13"/>
        <v>-</v>
      </c>
      <c r="E34" s="212" t="str">
        <f t="shared" si="13"/>
        <v>-</v>
      </c>
      <c r="F34" s="212" t="str">
        <f t="shared" si="13"/>
        <v>-</v>
      </c>
      <c r="G34" s="212" t="str">
        <f t="shared" si="13"/>
        <v>-</v>
      </c>
      <c r="H34" s="212" t="str">
        <f t="shared" si="13"/>
        <v>-</v>
      </c>
      <c r="I34" s="213">
        <f t="shared" si="13"/>
        <v>0</v>
      </c>
      <c r="J34" s="212">
        <f>IF($A34="*","",IF(B34="ACT_EFF",1-SUMIF(AGR!$C$6:$I$6,RIGHT(C34,6),AGR!$C$15:$I$15),IF(B34="PRC_RESID",SUMIF(AGR!$C$6:$I$6,RIGHT(C34,6),AGR!$C$16:$I$16),VLOOKUP($B34,$B$10:$J$14,J$9,FALSE))))</f>
        <v>0.01</v>
      </c>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212"/>
      <c r="AR34" s="212"/>
      <c r="AS34" s="212"/>
      <c r="AT34" s="212"/>
      <c r="AU34" s="212"/>
      <c r="AV34" s="212"/>
      <c r="AW34" s="137">
        <f>IF(AX33=AGR!$B$4,AW33+1,AW33)</f>
        <v>3</v>
      </c>
      <c r="AX34" s="137">
        <f t="shared" si="12"/>
        <v>5</v>
      </c>
    </row>
    <row r="35" spans="2:50">
      <c r="B35" s="212" t="str">
        <f t="shared" si="10"/>
        <v>NCAP_COST</v>
      </c>
      <c r="C35" s="212" t="str">
        <f ca="1">IF($A35="*","","X"&amp;OFFSET(AGR!$B$6,0,AX35))</f>
        <v>XAGROKE</v>
      </c>
      <c r="D35" s="212" t="str">
        <f t="shared" si="13"/>
        <v>-</v>
      </c>
      <c r="E35" s="212" t="str">
        <f t="shared" si="13"/>
        <v>-</v>
      </c>
      <c r="F35" s="212" t="str">
        <f t="shared" si="13"/>
        <v>-</v>
      </c>
      <c r="G35" s="212" t="str">
        <f t="shared" si="13"/>
        <v>-</v>
      </c>
      <c r="H35" s="212" t="str">
        <f t="shared" si="13"/>
        <v>-</v>
      </c>
      <c r="I35" s="213">
        <f t="shared" si="13"/>
        <v>0</v>
      </c>
      <c r="J35" s="212">
        <f>IF($A35="*","",IF(B35="ACT_EFF",1-SUMIF(AGR!$C$6:$I$6,RIGHT(C35,6),AGR!$C$15:$I$15),IF(B35="PRC_RESID",SUMIF(AGR!$C$6:$I$6,RIGHT(C35,6),AGR!$C$16:$I$16),VLOOKUP($B35,$B$10:$J$14,J$9,FALSE))))</f>
        <v>0.01</v>
      </c>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c r="AT35" s="212"/>
      <c r="AU35" s="212"/>
      <c r="AV35" s="212"/>
      <c r="AW35" s="137">
        <f>IF(AX34=AGR!$B$4,AW34+1,AW34)</f>
        <v>3</v>
      </c>
      <c r="AX35" s="137">
        <f t="shared" si="12"/>
        <v>6</v>
      </c>
    </row>
    <row r="36" spans="2:50">
      <c r="B36" s="212" t="str">
        <f t="shared" si="10"/>
        <v>NCAP_COST</v>
      </c>
      <c r="C36" s="212" t="str">
        <f ca="1">IF($A36="*","","X"&amp;OFFSET(AGR!$B$6,0,AX36))</f>
        <v>XAGROLP</v>
      </c>
      <c r="D36" s="212" t="str">
        <f t="shared" si="13"/>
        <v>-</v>
      </c>
      <c r="E36" s="212" t="str">
        <f t="shared" si="13"/>
        <v>-</v>
      </c>
      <c r="F36" s="212" t="str">
        <f t="shared" si="13"/>
        <v>-</v>
      </c>
      <c r="G36" s="212" t="str">
        <f t="shared" si="13"/>
        <v>-</v>
      </c>
      <c r="H36" s="212" t="str">
        <f t="shared" si="13"/>
        <v>-</v>
      </c>
      <c r="I36" s="213">
        <f t="shared" si="13"/>
        <v>0</v>
      </c>
      <c r="J36" s="212">
        <f>IF($A36="*","",IF(B36="ACT_EFF",1-SUMIF(AGR!$C$6:$I$6,RIGHT(C36,6),AGR!$C$15:$I$15),IF(B36="PRC_RESID",SUMIF(AGR!$C$6:$I$6,RIGHT(C36,6),AGR!$C$16:$I$16),VLOOKUP($B36,$B$10:$J$14,J$9,FALSE))))</f>
        <v>0.01</v>
      </c>
      <c r="K36" s="212"/>
      <c r="L36" s="212"/>
      <c r="M36" s="212"/>
      <c r="N36" s="212"/>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212"/>
      <c r="AR36" s="212"/>
      <c r="AS36" s="212"/>
      <c r="AT36" s="212"/>
      <c r="AU36" s="212"/>
      <c r="AV36" s="212"/>
      <c r="AW36" s="137">
        <f>IF(AX35=AGR!$B$4,AW35+1,AW35)</f>
        <v>3</v>
      </c>
      <c r="AX36" s="137">
        <f t="shared" si="12"/>
        <v>7</v>
      </c>
    </row>
    <row r="37" spans="2:50">
      <c r="B37" s="212" t="str">
        <f t="shared" si="10"/>
        <v>NCAP_TLIFE</v>
      </c>
      <c r="C37" s="212" t="str">
        <f ca="1">IF($A37="*","","X"&amp;OFFSET(AGR!$B$6,0,AX37))</f>
        <v>XAGRCOA</v>
      </c>
      <c r="D37" s="212" t="str">
        <f t="shared" si="13"/>
        <v>-</v>
      </c>
      <c r="E37" s="212" t="str">
        <f t="shared" si="13"/>
        <v>-</v>
      </c>
      <c r="F37" s="212" t="str">
        <f t="shared" si="13"/>
        <v>-</v>
      </c>
      <c r="G37" s="212" t="str">
        <f t="shared" si="13"/>
        <v>-</v>
      </c>
      <c r="H37" s="212" t="str">
        <f t="shared" si="13"/>
        <v>-</v>
      </c>
      <c r="I37" s="213">
        <f t="shared" si="13"/>
        <v>0</v>
      </c>
      <c r="J37" s="212">
        <f>IF($A37="*","",IF(B37="ACT_EFF",1-SUMIF(AGR!$C$6:$I$6,RIGHT(C37,6),AGR!$C$15:$I$15),IF(B37="PRC_RESID",SUMIF(AGR!$C$6:$I$6,RIGHT(C37,6),AGR!$C$16:$I$16),VLOOKUP($B37,$B$10:$J$14,J$9,FALSE))))</f>
        <v>100</v>
      </c>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212"/>
      <c r="AR37" s="212"/>
      <c r="AS37" s="212"/>
      <c r="AT37" s="212"/>
      <c r="AU37" s="212"/>
      <c r="AV37" s="212"/>
      <c r="AW37" s="137">
        <f>IF(AX36=AGR!$B$4,AW36+1,AW36)</f>
        <v>4</v>
      </c>
      <c r="AX37" s="137">
        <f t="shared" si="12"/>
        <v>1</v>
      </c>
    </row>
    <row r="38" spans="2:50">
      <c r="B38" s="212" t="str">
        <f t="shared" si="10"/>
        <v>NCAP_TLIFE</v>
      </c>
      <c r="C38" s="212" t="str">
        <f ca="1">IF($A38="*","","X"&amp;OFFSET(AGR!$B$6,0,AX38))</f>
        <v>XAGRODS</v>
      </c>
      <c r="D38" s="212" t="str">
        <f t="shared" si="13"/>
        <v>-</v>
      </c>
      <c r="E38" s="212" t="str">
        <f t="shared" si="13"/>
        <v>-</v>
      </c>
      <c r="F38" s="212" t="str">
        <f t="shared" si="13"/>
        <v>-</v>
      </c>
      <c r="G38" s="212" t="str">
        <f t="shared" si="13"/>
        <v>-</v>
      </c>
      <c r="H38" s="212" t="str">
        <f t="shared" si="13"/>
        <v>-</v>
      </c>
      <c r="I38" s="213">
        <f t="shared" si="13"/>
        <v>0</v>
      </c>
      <c r="J38" s="212">
        <f>IF($A38="*","",IF(B38="ACT_EFF",1-SUMIF(AGR!$C$6:$I$6,RIGHT(C38,6),AGR!$C$15:$I$15),IF(B38="PRC_RESID",SUMIF(AGR!$C$6:$I$6,RIGHT(C38,6),AGR!$C$16:$I$16),VLOOKUP($B38,$B$10:$J$14,J$9,FALSE))))</f>
        <v>100</v>
      </c>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c r="AT38" s="212"/>
      <c r="AU38" s="212"/>
      <c r="AV38" s="212"/>
      <c r="AW38" s="137">
        <f>IF(AX37=AGR!$B$4,AW37+1,AW37)</f>
        <v>4</v>
      </c>
      <c r="AX38" s="137">
        <f t="shared" si="12"/>
        <v>2</v>
      </c>
    </row>
    <row r="39" spans="2:50">
      <c r="B39" s="212" t="str">
        <f t="shared" si="10"/>
        <v>NCAP_TLIFE</v>
      </c>
      <c r="C39" s="212" t="str">
        <f ca="1">IF($A39="*","","X"&amp;OFFSET(AGR!$B$6,0,AX39))</f>
        <v>XAGRELC</v>
      </c>
      <c r="D39" s="212" t="str">
        <f t="shared" si="13"/>
        <v>-</v>
      </c>
      <c r="E39" s="212" t="str">
        <f t="shared" si="13"/>
        <v>-</v>
      </c>
      <c r="F39" s="212" t="str">
        <f t="shared" si="13"/>
        <v>-</v>
      </c>
      <c r="G39" s="212" t="str">
        <f t="shared" si="13"/>
        <v>-</v>
      </c>
      <c r="H39" s="212" t="str">
        <f t="shared" si="13"/>
        <v>-</v>
      </c>
      <c r="I39" s="213">
        <f t="shared" si="13"/>
        <v>0</v>
      </c>
      <c r="J39" s="212">
        <f>IF($A39="*","",IF(B39="ACT_EFF",1-SUMIF(AGR!$C$6:$I$6,RIGHT(C39,6),AGR!$C$15:$I$15),IF(B39="PRC_RESID",SUMIF(AGR!$C$6:$I$6,RIGHT(C39,6),AGR!$C$16:$I$16),VLOOKUP($B39,$B$10:$J$14,J$9,FALSE))))</f>
        <v>100</v>
      </c>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c r="AT39" s="212"/>
      <c r="AU39" s="212"/>
      <c r="AV39" s="212"/>
      <c r="AW39" s="137">
        <f>IF(AX38=AGR!$B$4,AW38+1,AW38)</f>
        <v>4</v>
      </c>
      <c r="AX39" s="137">
        <f t="shared" si="12"/>
        <v>3</v>
      </c>
    </row>
    <row r="40" spans="2:50">
      <c r="B40" s="212" t="str">
        <f t="shared" si="10"/>
        <v>NCAP_TLIFE</v>
      </c>
      <c r="C40" s="212" t="str">
        <f ca="1">IF($A40="*","","X"&amp;OFFSET(AGR!$B$6,0,AX40))</f>
        <v>XAGROGS</v>
      </c>
      <c r="D40" s="212" t="str">
        <f t="shared" si="13"/>
        <v>-</v>
      </c>
      <c r="E40" s="212" t="str">
        <f t="shared" si="13"/>
        <v>-</v>
      </c>
      <c r="F40" s="212" t="str">
        <f t="shared" si="13"/>
        <v>-</v>
      </c>
      <c r="G40" s="212" t="str">
        <f t="shared" si="13"/>
        <v>-</v>
      </c>
      <c r="H40" s="212" t="str">
        <f t="shared" si="13"/>
        <v>-</v>
      </c>
      <c r="I40" s="213">
        <f t="shared" si="13"/>
        <v>0</v>
      </c>
      <c r="J40" s="212">
        <f>IF($A40="*","",IF(B40="ACT_EFF",1-SUMIF(AGR!$C$6:$I$6,RIGHT(C40,6),AGR!$C$15:$I$15),IF(B40="PRC_RESID",SUMIF(AGR!$C$6:$I$6,RIGHT(C40,6),AGR!$C$16:$I$16),VLOOKUP($B40,$B$10:$J$14,J$9,FALSE))))</f>
        <v>100</v>
      </c>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212"/>
      <c r="AR40" s="212"/>
      <c r="AS40" s="212"/>
      <c r="AT40" s="212"/>
      <c r="AU40" s="212"/>
      <c r="AV40" s="212"/>
      <c r="AW40" s="137">
        <f>IF(AX39=AGR!$B$4,AW39+1,AW39)</f>
        <v>4</v>
      </c>
      <c r="AX40" s="137">
        <f t="shared" si="12"/>
        <v>4</v>
      </c>
    </row>
    <row r="41" spans="2:50">
      <c r="B41" s="212" t="str">
        <f t="shared" si="10"/>
        <v>NCAP_TLIFE</v>
      </c>
      <c r="C41" s="212" t="str">
        <f ca="1">IF($A41="*","","X"&amp;OFFSET(AGR!$B$6,0,AX41))</f>
        <v>XAGROHF</v>
      </c>
      <c r="D41" s="212" t="str">
        <f t="shared" si="13"/>
        <v>-</v>
      </c>
      <c r="E41" s="212" t="str">
        <f t="shared" si="13"/>
        <v>-</v>
      </c>
      <c r="F41" s="212" t="str">
        <f t="shared" si="13"/>
        <v>-</v>
      </c>
      <c r="G41" s="212" t="str">
        <f t="shared" si="13"/>
        <v>-</v>
      </c>
      <c r="H41" s="212" t="str">
        <f t="shared" si="13"/>
        <v>-</v>
      </c>
      <c r="I41" s="213">
        <f t="shared" si="13"/>
        <v>0</v>
      </c>
      <c r="J41" s="212">
        <f>IF($A41="*","",IF(B41="ACT_EFF",1-SUMIF(AGR!$C$6:$I$6,RIGHT(C41,6),AGR!$C$15:$I$15),IF(B41="PRC_RESID",SUMIF(AGR!$C$6:$I$6,RIGHT(C41,6),AGR!$C$16:$I$16),VLOOKUP($B41,$B$10:$J$14,J$9,FALSE))))</f>
        <v>100</v>
      </c>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212"/>
      <c r="AR41" s="212"/>
      <c r="AS41" s="212"/>
      <c r="AT41" s="212"/>
      <c r="AU41" s="212"/>
      <c r="AV41" s="212"/>
      <c r="AW41" s="137">
        <f>IF(AX40=AGR!$B$4,AW40+1,AW40)</f>
        <v>4</v>
      </c>
      <c r="AX41" s="137">
        <f t="shared" si="12"/>
        <v>5</v>
      </c>
    </row>
    <row r="42" spans="2:50">
      <c r="B42" s="212" t="str">
        <f t="shared" si="10"/>
        <v>NCAP_TLIFE</v>
      </c>
      <c r="C42" s="212" t="str">
        <f ca="1">IF($A42="*","","X"&amp;OFFSET(AGR!$B$6,0,AX42))</f>
        <v>XAGROKE</v>
      </c>
      <c r="D42" s="212" t="str">
        <f t="shared" si="13"/>
        <v>-</v>
      </c>
      <c r="E42" s="212" t="str">
        <f t="shared" si="13"/>
        <v>-</v>
      </c>
      <c r="F42" s="212" t="str">
        <f t="shared" si="13"/>
        <v>-</v>
      </c>
      <c r="G42" s="212" t="str">
        <f t="shared" si="13"/>
        <v>-</v>
      </c>
      <c r="H42" s="212" t="str">
        <f t="shared" si="13"/>
        <v>-</v>
      </c>
      <c r="I42" s="213">
        <f t="shared" si="13"/>
        <v>0</v>
      </c>
      <c r="J42" s="212">
        <f>IF($A42="*","",IF(B42="ACT_EFF",1-SUMIF(AGR!$C$6:$I$6,RIGHT(C42,6),AGR!$C$15:$I$15),IF(B42="PRC_RESID",SUMIF(AGR!$C$6:$I$6,RIGHT(C42,6),AGR!$C$16:$I$16),VLOOKUP($B42,$B$10:$J$14,J$9,FALSE))))</f>
        <v>100</v>
      </c>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c r="AT42" s="212"/>
      <c r="AU42" s="212"/>
      <c r="AV42" s="212"/>
      <c r="AW42" s="137">
        <f>IF(AX41=AGR!$B$4,AW41+1,AW41)</f>
        <v>4</v>
      </c>
      <c r="AX42" s="137">
        <f t="shared" si="12"/>
        <v>6</v>
      </c>
    </row>
    <row r="43" spans="2:50">
      <c r="B43" s="212" t="str">
        <f t="shared" si="10"/>
        <v>NCAP_TLIFE</v>
      </c>
      <c r="C43" s="212" t="str">
        <f ca="1">IF($A43="*","","X"&amp;OFFSET(AGR!$B$6,0,AX43))</f>
        <v>XAGROLP</v>
      </c>
      <c r="D43" s="212" t="str">
        <f t="shared" si="13"/>
        <v>-</v>
      </c>
      <c r="E43" s="212" t="str">
        <f t="shared" si="13"/>
        <v>-</v>
      </c>
      <c r="F43" s="212" t="str">
        <f t="shared" si="13"/>
        <v>-</v>
      </c>
      <c r="G43" s="212" t="str">
        <f t="shared" si="13"/>
        <v>-</v>
      </c>
      <c r="H43" s="212" t="str">
        <f t="shared" si="13"/>
        <v>-</v>
      </c>
      <c r="I43" s="213">
        <f t="shared" si="13"/>
        <v>0</v>
      </c>
      <c r="J43" s="212">
        <f>IF($A43="*","",IF(B43="ACT_EFF",1-SUMIF(AGR!$C$6:$I$6,RIGHT(C43,6),AGR!$C$15:$I$15),IF(B43="PRC_RESID",SUMIF(AGR!$C$6:$I$6,RIGHT(C43,6),AGR!$C$16:$I$16),VLOOKUP($B43,$B$10:$J$14,J$9,FALSE))))</f>
        <v>100</v>
      </c>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c r="AT43" s="212"/>
      <c r="AU43" s="212"/>
      <c r="AV43" s="212"/>
      <c r="AW43" s="137">
        <f>IF(AX42=AGR!$B$4,AW42+1,AW42)</f>
        <v>4</v>
      </c>
      <c r="AX43" s="137">
        <f t="shared" si="12"/>
        <v>7</v>
      </c>
    </row>
    <row r="44" spans="2:50">
      <c r="B44" s="212" t="str">
        <f t="shared" si="10"/>
        <v>PRC_RESID</v>
      </c>
      <c r="C44" s="212" t="str">
        <f ca="1">IF($A44="*","","X"&amp;OFFSET(AGR!$B$6,0,AX44))</f>
        <v>XAGRCOA</v>
      </c>
      <c r="D44" s="212" t="str">
        <f t="shared" si="13"/>
        <v>-</v>
      </c>
      <c r="E44" s="212" t="str">
        <f t="shared" si="13"/>
        <v>-</v>
      </c>
      <c r="F44" s="212" t="str">
        <f t="shared" si="13"/>
        <v>-</v>
      </c>
      <c r="G44" s="212" t="str">
        <f t="shared" si="13"/>
        <v>-</v>
      </c>
      <c r="H44" s="212" t="str">
        <f t="shared" si="13"/>
        <v>-</v>
      </c>
      <c r="I44" s="213">
        <f t="shared" si="13"/>
        <v>0</v>
      </c>
      <c r="J44" s="212">
        <f ca="1">IF($A44="*","",IF(B44="ACT_EFF",1-SUMIF(AGR!$C$6:$I$6,RIGHT(C44,6),AGR!$C$15:$I$15),IF(B44="PRC_RESID",SUMIF(AGR!$C$6:$I$6,RIGHT(C44,6),AGR!$C$16:$I$16),VLOOKUP($B44,$B$10:$J$14,J$9,FALSE))))</f>
        <v>1.4596408160004648</v>
      </c>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212"/>
      <c r="AR44" s="212"/>
      <c r="AS44" s="212"/>
      <c r="AT44" s="212"/>
      <c r="AU44" s="212"/>
      <c r="AV44" s="212"/>
      <c r="AW44" s="137">
        <f>IF(AX43=AGR!$B$4,AW43+1,AW43)</f>
        <v>5</v>
      </c>
      <c r="AX44" s="137">
        <f t="shared" si="12"/>
        <v>1</v>
      </c>
    </row>
    <row r="45" spans="2:50">
      <c r="B45" s="212" t="str">
        <f t="shared" si="10"/>
        <v>PRC_RESID</v>
      </c>
      <c r="C45" s="212" t="str">
        <f ca="1">IF($A45="*","","X"&amp;OFFSET(AGR!$B$6,0,AX45))</f>
        <v>XAGRODS</v>
      </c>
      <c r="D45" s="212" t="str">
        <f t="shared" si="13"/>
        <v>-</v>
      </c>
      <c r="E45" s="212" t="str">
        <f t="shared" si="13"/>
        <v>-</v>
      </c>
      <c r="F45" s="212" t="str">
        <f t="shared" si="13"/>
        <v>-</v>
      </c>
      <c r="G45" s="212" t="str">
        <f t="shared" si="13"/>
        <v>-</v>
      </c>
      <c r="H45" s="212" t="str">
        <f t="shared" si="13"/>
        <v>-</v>
      </c>
      <c r="I45" s="213">
        <f t="shared" si="13"/>
        <v>0</v>
      </c>
      <c r="J45" s="212">
        <f ca="1">IF($A45="*","",IF(B45="ACT_EFF",1-SUMIF(AGR!$C$6:$I$6,RIGHT(C45,6),AGR!$C$15:$I$15),IF(B45="PRC_RESID",SUMIF(AGR!$C$6:$I$6,RIGHT(C45,6),AGR!$C$16:$I$16),VLOOKUP($B45,$B$10:$J$14,J$9,FALSE))))</f>
        <v>54.980709679137284</v>
      </c>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212"/>
      <c r="AR45" s="212"/>
      <c r="AS45" s="212"/>
      <c r="AT45" s="212"/>
      <c r="AU45" s="212"/>
      <c r="AV45" s="212"/>
      <c r="AW45" s="137">
        <f>IF(AX44=AGR!$B$4,AW44+1,AW44)</f>
        <v>5</v>
      </c>
      <c r="AX45" s="137">
        <f t="shared" si="12"/>
        <v>2</v>
      </c>
    </row>
    <row r="46" spans="2:50">
      <c r="B46" s="212" t="str">
        <f t="shared" si="10"/>
        <v>PRC_RESID</v>
      </c>
      <c r="C46" s="212" t="str">
        <f ca="1">IF($A46="*","","X"&amp;OFFSET(AGR!$B$6,0,AX46))</f>
        <v>XAGRELC</v>
      </c>
      <c r="D46" s="212" t="str">
        <f t="shared" si="13"/>
        <v>-</v>
      </c>
      <c r="E46" s="212" t="str">
        <f t="shared" si="13"/>
        <v>-</v>
      </c>
      <c r="F46" s="212" t="str">
        <f t="shared" si="13"/>
        <v>-</v>
      </c>
      <c r="G46" s="212" t="str">
        <f t="shared" si="13"/>
        <v>-</v>
      </c>
      <c r="H46" s="212" t="str">
        <f t="shared" si="13"/>
        <v>-</v>
      </c>
      <c r="I46" s="213">
        <f t="shared" si="13"/>
        <v>0</v>
      </c>
      <c r="J46" s="212">
        <f ca="1">IF($A46="*","",IF(B46="ACT_EFF",1-SUMIF(AGR!$C$6:$I$6,RIGHT(C46,6),AGR!$C$15:$I$15),IF(B46="PRC_RESID",SUMIF(AGR!$C$6:$I$6,RIGHT(C46,6),AGR!$C$16:$I$16),VLOOKUP($B46,$B$10:$J$14,J$9,FALSE))))</f>
        <v>19.277320482076334</v>
      </c>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212"/>
      <c r="AR46" s="212"/>
      <c r="AS46" s="212"/>
      <c r="AT46" s="212"/>
      <c r="AU46" s="212"/>
      <c r="AV46" s="212"/>
      <c r="AW46" s="137">
        <f>IF(AX45=AGR!$B$4,AW45+1,AW45)</f>
        <v>5</v>
      </c>
      <c r="AX46" s="137">
        <f t="shared" si="12"/>
        <v>3</v>
      </c>
    </row>
    <row r="47" spans="2:50">
      <c r="B47" s="212" t="str">
        <f t="shared" si="10"/>
        <v>PRC_RESID</v>
      </c>
      <c r="C47" s="212" t="str">
        <f ca="1">IF($A47="*","","X"&amp;OFFSET(AGR!$B$6,0,AX47))</f>
        <v>XAGROGS</v>
      </c>
      <c r="D47" s="212" t="str">
        <f t="shared" si="13"/>
        <v>-</v>
      </c>
      <c r="E47" s="212" t="str">
        <f t="shared" si="13"/>
        <v>-</v>
      </c>
      <c r="F47" s="212" t="str">
        <f t="shared" si="13"/>
        <v>-</v>
      </c>
      <c r="G47" s="212" t="str">
        <f t="shared" si="13"/>
        <v>-</v>
      </c>
      <c r="H47" s="212" t="str">
        <f t="shared" si="13"/>
        <v>-</v>
      </c>
      <c r="I47" s="213">
        <f t="shared" si="13"/>
        <v>0</v>
      </c>
      <c r="J47" s="212">
        <f ca="1">IF($A47="*","",IF(B47="ACT_EFF",1-SUMIF(AGR!$C$6:$I$6,RIGHT(C47,6),AGR!$C$15:$I$15),IF(B47="PRC_RESID",SUMIF(AGR!$C$6:$I$6,RIGHT(C47,6),AGR!$C$16:$I$16),VLOOKUP($B47,$B$10:$J$14,J$9,FALSE))))</f>
        <v>0</v>
      </c>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212"/>
      <c r="AR47" s="212"/>
      <c r="AS47" s="212"/>
      <c r="AT47" s="212"/>
      <c r="AU47" s="212"/>
      <c r="AV47" s="212"/>
      <c r="AW47" s="137">
        <f>IF(AX46=AGR!$B$4,AW46+1,AW46)</f>
        <v>5</v>
      </c>
      <c r="AX47" s="137">
        <f t="shared" si="12"/>
        <v>4</v>
      </c>
    </row>
    <row r="48" spans="2:50">
      <c r="B48" s="212" t="str">
        <f t="shared" si="10"/>
        <v>PRC_RESID</v>
      </c>
      <c r="C48" s="212" t="str">
        <f ca="1">IF($A48="*","","X"&amp;OFFSET(AGR!$B$6,0,AX48))</f>
        <v>XAGROHF</v>
      </c>
      <c r="D48" s="212" t="str">
        <f t="shared" si="13"/>
        <v>-</v>
      </c>
      <c r="E48" s="212" t="str">
        <f t="shared" si="13"/>
        <v>-</v>
      </c>
      <c r="F48" s="212" t="str">
        <f t="shared" si="13"/>
        <v>-</v>
      </c>
      <c r="G48" s="212" t="str">
        <f t="shared" si="13"/>
        <v>-</v>
      </c>
      <c r="H48" s="212" t="str">
        <f t="shared" si="13"/>
        <v>-</v>
      </c>
      <c r="I48" s="213">
        <f t="shared" si="13"/>
        <v>0</v>
      </c>
      <c r="J48" s="212">
        <f ca="1">IF($A48="*","",IF(B48="ACT_EFF",1-SUMIF(AGR!$C$6:$I$6,RIGHT(C48,6),AGR!$C$15:$I$15),IF(B48="PRC_RESID",SUMIF(AGR!$C$6:$I$6,RIGHT(C48,6),AGR!$C$16:$I$16),VLOOKUP($B48,$B$10:$J$14,J$9,FALSE))))</f>
        <v>0</v>
      </c>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212"/>
      <c r="AR48" s="212"/>
      <c r="AS48" s="212"/>
      <c r="AT48" s="212"/>
      <c r="AU48" s="212"/>
      <c r="AV48" s="212"/>
      <c r="AW48" s="137">
        <f>IF(AX47=AGR!$B$4,AW47+1,AW47)</f>
        <v>5</v>
      </c>
      <c r="AX48" s="137">
        <f t="shared" si="12"/>
        <v>5</v>
      </c>
    </row>
    <row r="49" spans="2:50">
      <c r="B49" s="212" t="str">
        <f t="shared" si="10"/>
        <v>PRC_RESID</v>
      </c>
      <c r="C49" s="212" t="str">
        <f ca="1">IF($A49="*","","X"&amp;OFFSET(AGR!$B$6,0,AX49))</f>
        <v>XAGROKE</v>
      </c>
      <c r="D49" s="212" t="str">
        <f t="shared" si="13"/>
        <v>-</v>
      </c>
      <c r="E49" s="212" t="str">
        <f t="shared" si="13"/>
        <v>-</v>
      </c>
      <c r="F49" s="212" t="str">
        <f t="shared" si="13"/>
        <v>-</v>
      </c>
      <c r="G49" s="212" t="str">
        <f t="shared" si="13"/>
        <v>-</v>
      </c>
      <c r="H49" s="212" t="str">
        <f t="shared" si="13"/>
        <v>-</v>
      </c>
      <c r="I49" s="213">
        <f t="shared" si="13"/>
        <v>0</v>
      </c>
      <c r="J49" s="212">
        <f ca="1">IF($A49="*","",IF(B49="ACT_EFF",1-SUMIF(AGR!$C$6:$I$6,RIGHT(C49,6),AGR!$C$15:$I$15),IF(B49="PRC_RESID",SUMIF(AGR!$C$6:$I$6,RIGHT(C49,6),AGR!$C$16:$I$16),VLOOKUP($B49,$B$10:$J$14,J$9,FALSE))))</f>
        <v>5.1342074679088814</v>
      </c>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212"/>
      <c r="AR49" s="212"/>
      <c r="AS49" s="212"/>
      <c r="AT49" s="212"/>
      <c r="AU49" s="212"/>
      <c r="AV49" s="212"/>
      <c r="AW49" s="137">
        <f>IF(AX48=AGR!$B$4,AW48+1,AW48)</f>
        <v>5</v>
      </c>
      <c r="AX49" s="137">
        <f t="shared" si="12"/>
        <v>6</v>
      </c>
    </row>
    <row r="50" spans="2:50">
      <c r="B50" s="212" t="str">
        <f t="shared" si="10"/>
        <v>PRC_RESID</v>
      </c>
      <c r="C50" s="212" t="str">
        <f ca="1">IF($A50="*","","X"&amp;OFFSET(AGR!$B$6,0,AX50))</f>
        <v>XAGROLP</v>
      </c>
      <c r="D50" s="212" t="str">
        <f t="shared" si="13"/>
        <v>-</v>
      </c>
      <c r="E50" s="212" t="str">
        <f t="shared" si="13"/>
        <v>-</v>
      </c>
      <c r="F50" s="212" t="str">
        <f t="shared" si="13"/>
        <v>-</v>
      </c>
      <c r="G50" s="212" t="str">
        <f t="shared" si="13"/>
        <v>-</v>
      </c>
      <c r="H50" s="212" t="str">
        <f t="shared" si="13"/>
        <v>-</v>
      </c>
      <c r="I50" s="213">
        <f t="shared" si="13"/>
        <v>0</v>
      </c>
      <c r="J50" s="212">
        <f ca="1">IF($A50="*","",IF(B50="ACT_EFF",1-SUMIF(AGR!$C$6:$I$6,RIGHT(C50,6),AGR!$C$15:$I$15),IF(B50="PRC_RESID",SUMIF(AGR!$C$6:$I$6,RIGHT(C50,6),AGR!$C$16:$I$16),VLOOKUP($B50,$B$10:$J$14,J$9,FALSE))))</f>
        <v>0</v>
      </c>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c r="AT50" s="212"/>
      <c r="AU50" s="212"/>
      <c r="AV50" s="212"/>
      <c r="AW50" s="137">
        <f>IF(AX49=AGR!$B$4,AW49+1,AW49)</f>
        <v>5</v>
      </c>
      <c r="AX50" s="137">
        <f t="shared" si="12"/>
        <v>7</v>
      </c>
    </row>
    <row r="51" spans="2:50">
      <c r="B51" s="212"/>
      <c r="C51" s="212"/>
      <c r="D51" s="212"/>
      <c r="E51" s="212"/>
      <c r="F51" s="212"/>
      <c r="G51" s="212"/>
      <c r="H51" s="212"/>
      <c r="I51" s="213"/>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c r="AT51" s="212"/>
      <c r="AU51" s="212"/>
      <c r="AV51" s="212"/>
    </row>
    <row r="52" spans="2:50">
      <c r="B52" s="212"/>
      <c r="C52" s="212"/>
      <c r="D52" s="212"/>
      <c r="E52" s="212"/>
      <c r="F52" s="212"/>
      <c r="G52" s="212"/>
      <c r="H52" s="212"/>
      <c r="I52" s="213"/>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c r="AT52" s="212"/>
      <c r="AU52" s="212"/>
      <c r="AV52" s="212"/>
    </row>
    <row r="53" spans="2:50">
      <c r="B53" s="212"/>
      <c r="C53" s="212"/>
      <c r="D53" s="212"/>
      <c r="E53" s="212"/>
      <c r="F53" s="212"/>
      <c r="G53" s="212"/>
      <c r="H53" s="212"/>
      <c r="I53" s="213"/>
      <c r="J53" s="207"/>
      <c r="K53" s="212"/>
      <c r="L53" s="212"/>
      <c r="M53" s="212"/>
      <c r="N53" s="212"/>
      <c r="O53" s="212"/>
      <c r="P53" s="212"/>
      <c r="Q53" s="212"/>
      <c r="R53" s="212"/>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c r="AT53" s="212"/>
      <c r="AU53" s="212"/>
      <c r="AV53" s="212"/>
    </row>
    <row r="54" spans="2:50">
      <c r="B54" s="212"/>
      <c r="C54" s="212"/>
      <c r="D54" s="212"/>
      <c r="E54" s="212"/>
      <c r="F54" s="212"/>
      <c r="G54" s="212"/>
      <c r="H54" s="212"/>
      <c r="I54" s="213"/>
      <c r="J54" s="207"/>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row>
    <row r="55" spans="2:50">
      <c r="B55" s="212"/>
      <c r="C55" s="212"/>
      <c r="D55" s="212"/>
      <c r="E55" s="212"/>
      <c r="F55" s="212"/>
      <c r="G55" s="212"/>
      <c r="H55" s="212"/>
      <c r="I55" s="213"/>
      <c r="J55" s="207"/>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row>
    <row r="56" spans="2:50">
      <c r="B56" s="212"/>
      <c r="C56" s="212"/>
      <c r="D56" s="212"/>
      <c r="E56" s="212"/>
      <c r="F56" s="212"/>
      <c r="G56" s="212"/>
      <c r="H56" s="212"/>
      <c r="I56" s="213"/>
      <c r="J56" s="207"/>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row>
    <row r="57" spans="2:50">
      <c r="B57" s="212"/>
      <c r="C57" s="212"/>
      <c r="D57" s="212"/>
      <c r="E57" s="212"/>
      <c r="F57" s="212"/>
      <c r="G57" s="212"/>
      <c r="H57" s="212"/>
      <c r="I57" s="213"/>
      <c r="J57" s="207"/>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row>
    <row r="58" spans="2:50">
      <c r="B58" s="212"/>
      <c r="C58" s="212"/>
      <c r="D58" s="212"/>
      <c r="E58" s="212"/>
      <c r="F58" s="212"/>
      <c r="G58" s="212"/>
      <c r="H58" s="212"/>
      <c r="I58" s="213"/>
      <c r="J58" s="207"/>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row>
    <row r="59" spans="2:50">
      <c r="B59" s="212"/>
      <c r="C59" s="212"/>
      <c r="D59" s="212"/>
      <c r="E59" s="212"/>
      <c r="F59" s="212"/>
      <c r="G59" s="212"/>
      <c r="H59" s="212"/>
      <c r="I59" s="213"/>
      <c r="J59" s="207"/>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row>
    <row r="60" spans="2:50">
      <c r="B60" s="212"/>
      <c r="C60" s="212"/>
      <c r="D60" s="212"/>
      <c r="E60" s="212"/>
      <c r="F60" s="212"/>
      <c r="G60" s="212"/>
      <c r="H60" s="212"/>
      <c r="I60" s="213"/>
      <c r="J60" s="207"/>
      <c r="K60" s="212"/>
      <c r="L60" s="212"/>
      <c r="M60" s="212"/>
      <c r="N60" s="212"/>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row>
  </sheetData>
  <pageMargins left="0.75" right="0.75" top="1" bottom="1" header="0.5" footer="0.5"/>
  <headerFooter alignWithMargins="0"/>
  <drawing r:id="rId1"/>
  <legacyDrawing r:id="rId2"/>
  <controls>
    <mc:AlternateContent xmlns:mc="http://schemas.openxmlformats.org/markup-compatibility/2006">
      <mc:Choice Requires="x14">
        <control shapeId="246793"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246793" r:id="rId3" name="cmdSpecifyIEOptcode"/>
      </mc:Fallback>
    </mc:AlternateContent>
    <mc:AlternateContent xmlns:mc="http://schemas.openxmlformats.org/markup-compatibility/2006">
      <mc:Choice Requires="x14">
        <control shapeId="246792"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246792" r:id="rId5" name="cmdSpecifyArg6"/>
      </mc:Fallback>
    </mc:AlternateContent>
    <mc:AlternateContent xmlns:mc="http://schemas.openxmlformats.org/markup-compatibility/2006">
      <mc:Choice Requires="x14">
        <control shapeId="246791"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246791" r:id="rId7" name="cmdSpecifyArg5"/>
      </mc:Fallback>
    </mc:AlternateContent>
    <mc:AlternateContent xmlns:mc="http://schemas.openxmlformats.org/markup-compatibility/2006">
      <mc:Choice Requires="x14">
        <control shapeId="246790"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246790" r:id="rId9" name="cmdSpecifyArg4"/>
      </mc:Fallback>
    </mc:AlternateContent>
    <mc:AlternateContent xmlns:mc="http://schemas.openxmlformats.org/markup-compatibility/2006">
      <mc:Choice Requires="x14">
        <control shapeId="246789"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6789" r:id="rId11" name="cmdSpecifyArg3"/>
      </mc:Fallback>
    </mc:AlternateContent>
    <mc:AlternateContent xmlns:mc="http://schemas.openxmlformats.org/markup-compatibility/2006">
      <mc:Choice Requires="x14">
        <control shapeId="246788"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246788" r:id="rId13" name="cmdSpecifyArg2"/>
      </mc:Fallback>
    </mc:AlternateContent>
    <mc:AlternateContent xmlns:mc="http://schemas.openxmlformats.org/markup-compatibility/2006">
      <mc:Choice Requires="x14">
        <control shapeId="246787"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246787" r:id="rId15" name="cmdSpecifyArg1"/>
      </mc:Fallback>
    </mc:AlternateContent>
    <mc:AlternateContent xmlns:mc="http://schemas.openxmlformats.org/markup-compatibility/2006">
      <mc:Choice Requires="x14">
        <control shapeId="246786"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246786" r:id="rId17" name="cmdSpecifyParameter"/>
      </mc:Fallback>
    </mc:AlternateContent>
    <mc:AlternateContent xmlns:mc="http://schemas.openxmlformats.org/markup-compatibility/2006">
      <mc:Choice Requires="x14">
        <control shapeId="246785"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246785" r:id="rId19" name="cmdCheckTSandTIDDataSheet"/>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dimension ref="A1:L49"/>
  <sheetViews>
    <sheetView workbookViewId="0">
      <pane ySplit="7" topLeftCell="A8" activePane="bottomLeft" state="frozen"/>
      <selection activeCell="B3" sqref="B3"/>
      <selection pane="bottomLeft"/>
    </sheetView>
  </sheetViews>
  <sheetFormatPr defaultColWidth="9.140625" defaultRowHeight="11.25"/>
  <cols>
    <col min="1" max="1" width="15.42578125" style="137" customWidth="1"/>
    <col min="2" max="2" width="12" style="137" customWidth="1"/>
    <col min="3" max="3" width="13.7109375" style="137" customWidth="1"/>
    <col min="4" max="16384" width="9.140625" style="137"/>
  </cols>
  <sheetData>
    <row r="1" spans="1:12">
      <c r="A1" s="136"/>
      <c r="B1" s="137" t="s">
        <v>275</v>
      </c>
      <c r="K1" s="137" t="s">
        <v>277</v>
      </c>
      <c r="L1" s="137" t="s">
        <v>277</v>
      </c>
    </row>
    <row r="2" spans="1:12">
      <c r="A2" s="137" t="s">
        <v>277</v>
      </c>
      <c r="K2" s="137" t="s">
        <v>287</v>
      </c>
      <c r="L2" s="137" t="s">
        <v>288</v>
      </c>
    </row>
    <row r="3" spans="1:12" ht="15.75" customHeight="1">
      <c r="A3" s="137" t="s">
        <v>277</v>
      </c>
    </row>
    <row r="4" spans="1:12" ht="12.75" customHeight="1">
      <c r="A4" s="137" t="s">
        <v>277</v>
      </c>
    </row>
    <row r="5" spans="1:12">
      <c r="A5" s="137" t="s">
        <v>277</v>
      </c>
    </row>
    <row r="6" spans="1:12">
      <c r="A6" s="137" t="s">
        <v>277</v>
      </c>
    </row>
    <row r="7" spans="1:12">
      <c r="A7" s="137" t="s">
        <v>277</v>
      </c>
      <c r="B7" s="136" t="s">
        <v>290</v>
      </c>
      <c r="C7" s="136" t="s">
        <v>291</v>
      </c>
      <c r="D7" s="136" t="s">
        <v>292</v>
      </c>
      <c r="E7" s="136" t="s">
        <v>293</v>
      </c>
      <c r="F7" s="136" t="s">
        <v>294</v>
      </c>
      <c r="G7" s="136" t="s">
        <v>295</v>
      </c>
      <c r="H7" s="136" t="s">
        <v>296</v>
      </c>
      <c r="I7" s="136" t="s">
        <v>314</v>
      </c>
      <c r="J7" s="136"/>
    </row>
    <row r="8" spans="1:12">
      <c r="A8" s="137" t="s">
        <v>277</v>
      </c>
    </row>
    <row r="9" spans="1:12">
      <c r="A9" s="137" t="s">
        <v>298</v>
      </c>
      <c r="B9" s="205" t="s">
        <v>315</v>
      </c>
      <c r="C9" s="205" t="s">
        <v>300</v>
      </c>
      <c r="D9" s="205" t="s">
        <v>301</v>
      </c>
      <c r="E9" s="205" t="s">
        <v>316</v>
      </c>
      <c r="F9" s="205" t="s">
        <v>301</v>
      </c>
      <c r="G9" s="205" t="s">
        <v>301</v>
      </c>
      <c r="H9" s="205" t="s">
        <v>301</v>
      </c>
      <c r="I9" s="212">
        <v>1</v>
      </c>
      <c r="J9" s="212"/>
    </row>
    <row r="10" spans="1:12">
      <c r="A10" s="137" t="s">
        <v>304</v>
      </c>
      <c r="B10" s="205" t="s">
        <v>317</v>
      </c>
      <c r="C10" s="205" t="s">
        <v>300</v>
      </c>
      <c r="D10" s="205" t="s">
        <v>301</v>
      </c>
      <c r="E10" s="205" t="s">
        <v>301</v>
      </c>
      <c r="F10" s="205" t="s">
        <v>301</v>
      </c>
      <c r="G10" s="205" t="s">
        <v>301</v>
      </c>
      <c r="H10" s="205" t="s">
        <v>301</v>
      </c>
      <c r="I10" s="212">
        <v>1</v>
      </c>
      <c r="J10" s="212"/>
    </row>
    <row r="11" spans="1:12">
      <c r="A11" s="137" t="s">
        <v>307</v>
      </c>
      <c r="B11" s="205" t="s">
        <v>318</v>
      </c>
      <c r="C11" s="205" t="s">
        <v>300</v>
      </c>
      <c r="D11" s="205" t="s">
        <v>319</v>
      </c>
      <c r="E11" s="205" t="s">
        <v>301</v>
      </c>
      <c r="F11" s="205" t="s">
        <v>301</v>
      </c>
      <c r="G11" s="205" t="s">
        <v>301</v>
      </c>
      <c r="H11" s="205" t="s">
        <v>301</v>
      </c>
      <c r="I11" s="212">
        <v>1</v>
      </c>
      <c r="J11" s="212"/>
    </row>
    <row r="12" spans="1:12">
      <c r="A12" s="137" t="s">
        <v>309</v>
      </c>
      <c r="B12" s="205" t="s">
        <v>320</v>
      </c>
      <c r="C12" s="205" t="s">
        <v>300</v>
      </c>
      <c r="D12" s="205" t="s">
        <v>319</v>
      </c>
      <c r="E12" s="205" t="s">
        <v>301</v>
      </c>
      <c r="F12" s="205" t="s">
        <v>301</v>
      </c>
      <c r="G12" s="205" t="s">
        <v>301</v>
      </c>
      <c r="H12" s="205" t="s">
        <v>301</v>
      </c>
      <c r="I12" s="212">
        <v>1</v>
      </c>
      <c r="J12" s="212"/>
    </row>
    <row r="13" spans="1:12">
      <c r="A13" s="137" t="s">
        <v>277</v>
      </c>
    </row>
    <row r="14" spans="1:12">
      <c r="B14" s="212" t="str">
        <f>IF(A14="*","",VLOOKUP("*"&amp;K14,$A$9:$B$14,2,FALSE))</f>
        <v>PRC_ACTUNT</v>
      </c>
      <c r="C14" s="212" t="str">
        <f ca="1">IF($A14="*","","X"&amp;OFFSET(AGR!$B$6,0,L14))</f>
        <v>XAGRCOA</v>
      </c>
      <c r="D14" s="212" t="str">
        <f>IF($A14="*","",IF($B14="TOP-OUT",RIGHT(C14,6),IF($B14="TOP-IN",RIGHT(C14,3),"-")))</f>
        <v>-</v>
      </c>
      <c r="E14" s="212" t="str">
        <f ca="1">IF($A14="*","",IF($B14="PRC_ACTUNT",RIGHT(C14,6),"-"))</f>
        <v>AGRCOA</v>
      </c>
      <c r="F14" s="212" t="str">
        <f>IF($A14="*","","-")</f>
        <v>-</v>
      </c>
      <c r="G14" s="212" t="str">
        <f t="shared" ref="G14:H29" si="0">IF($A14="*","","-")</f>
        <v>-</v>
      </c>
      <c r="H14" s="212" t="str">
        <f t="shared" si="0"/>
        <v>-</v>
      </c>
      <c r="I14" s="212">
        <f>IF($A14="*","",SUMIF($B$9:$B$12,B14,$I$9:$I$12))</f>
        <v>1</v>
      </c>
      <c r="J14" s="212"/>
      <c r="K14" s="207">
        <v>1</v>
      </c>
      <c r="L14" s="137">
        <v>1</v>
      </c>
    </row>
    <row r="15" spans="1:12">
      <c r="B15" s="212" t="str">
        <f t="shared" ref="B15:B41" si="1">IF(A15="*","",VLOOKUP("*"&amp;K15,$A$9:$B$14,2,FALSE))</f>
        <v>PRC_ACTUNT</v>
      </c>
      <c r="C15" s="212" t="str">
        <f ca="1">IF($A15="*","","X"&amp;OFFSET(AGR!$B$6,0,L15))</f>
        <v>XAGRODS</v>
      </c>
      <c r="D15" s="212" t="str">
        <f t="shared" ref="D15:D41" si="2">IF($A15="*","",IF($B15="TOP-OUT",RIGHT(C15,6),IF($B15="TOP-IN",RIGHT(C15,3),"-")))</f>
        <v>-</v>
      </c>
      <c r="E15" s="212" t="str">
        <f t="shared" ref="E15:E41" ca="1" si="3">IF($A15="*","",IF($B15="PRC_ACTUNT",RIGHT(C15,6),"-"))</f>
        <v>AGRODS</v>
      </c>
      <c r="F15" s="212" t="str">
        <f t="shared" ref="F15:H41" si="4">IF($A15="*","","-")</f>
        <v>-</v>
      </c>
      <c r="G15" s="212" t="str">
        <f t="shared" si="0"/>
        <v>-</v>
      </c>
      <c r="H15" s="212" t="str">
        <f t="shared" si="0"/>
        <v>-</v>
      </c>
      <c r="I15" s="212">
        <f t="shared" ref="I15:I41" si="5">IF($A15="*","",SUMIF($B$9:$B$12,B15,$I$9:$I$12))</f>
        <v>1</v>
      </c>
      <c r="J15" s="212"/>
      <c r="K15" s="137">
        <f>IF(L14=AGR!$B$4,K14+1,K14)</f>
        <v>1</v>
      </c>
      <c r="L15" s="137">
        <f t="shared" ref="L15:L41" si="6">IF(K15=K14,L14+1,1)</f>
        <v>2</v>
      </c>
    </row>
    <row r="16" spans="1:12">
      <c r="B16" s="212" t="str">
        <f t="shared" si="1"/>
        <v>PRC_ACTUNT</v>
      </c>
      <c r="C16" s="212" t="str">
        <f ca="1">IF($A16="*","","X"&amp;OFFSET(AGR!$B$6,0,L16))</f>
        <v>XAGRELC</v>
      </c>
      <c r="D16" s="212" t="str">
        <f t="shared" si="2"/>
        <v>-</v>
      </c>
      <c r="E16" s="212" t="str">
        <f t="shared" ca="1" si="3"/>
        <v>AGRELC</v>
      </c>
      <c r="F16" s="212" t="str">
        <f t="shared" si="4"/>
        <v>-</v>
      </c>
      <c r="G16" s="212" t="str">
        <f t="shared" si="0"/>
        <v>-</v>
      </c>
      <c r="H16" s="212" t="str">
        <f t="shared" si="0"/>
        <v>-</v>
      </c>
      <c r="I16" s="212">
        <f t="shared" si="5"/>
        <v>1</v>
      </c>
      <c r="J16" s="212"/>
      <c r="K16" s="137">
        <f>IF(L15=AGR!$B$4,K15+1,K15)</f>
        <v>1</v>
      </c>
      <c r="L16" s="137">
        <f t="shared" si="6"/>
        <v>3</v>
      </c>
    </row>
    <row r="17" spans="2:12">
      <c r="B17" s="212" t="str">
        <f t="shared" si="1"/>
        <v>PRC_ACTUNT</v>
      </c>
      <c r="C17" s="212" t="str">
        <f ca="1">IF($A17="*","","X"&amp;OFFSET(AGR!$B$6,0,L17))</f>
        <v>XAGROGS</v>
      </c>
      <c r="D17" s="212" t="str">
        <f t="shared" si="2"/>
        <v>-</v>
      </c>
      <c r="E17" s="212" t="str">
        <f t="shared" ca="1" si="3"/>
        <v>AGROGS</v>
      </c>
      <c r="F17" s="212" t="str">
        <f t="shared" si="4"/>
        <v>-</v>
      </c>
      <c r="G17" s="212" t="str">
        <f t="shared" si="0"/>
        <v>-</v>
      </c>
      <c r="H17" s="212" t="str">
        <f t="shared" si="0"/>
        <v>-</v>
      </c>
      <c r="I17" s="212">
        <f t="shared" si="5"/>
        <v>1</v>
      </c>
      <c r="J17" s="212"/>
      <c r="K17" s="137">
        <f>IF(L16=AGR!$B$4,K16+1,K16)</f>
        <v>1</v>
      </c>
      <c r="L17" s="137">
        <f t="shared" si="6"/>
        <v>4</v>
      </c>
    </row>
    <row r="18" spans="2:12">
      <c r="B18" s="212" t="str">
        <f t="shared" si="1"/>
        <v>PRC_ACTUNT</v>
      </c>
      <c r="C18" s="212" t="str">
        <f ca="1">IF($A18="*","","X"&amp;OFFSET(AGR!$B$6,0,L18))</f>
        <v>XAGROHF</v>
      </c>
      <c r="D18" s="212" t="str">
        <f t="shared" si="2"/>
        <v>-</v>
      </c>
      <c r="E18" s="212" t="str">
        <f t="shared" ca="1" si="3"/>
        <v>AGROHF</v>
      </c>
      <c r="F18" s="212" t="str">
        <f t="shared" si="4"/>
        <v>-</v>
      </c>
      <c r="G18" s="212" t="str">
        <f t="shared" si="0"/>
        <v>-</v>
      </c>
      <c r="H18" s="212" t="str">
        <f t="shared" si="0"/>
        <v>-</v>
      </c>
      <c r="I18" s="212">
        <f t="shared" si="5"/>
        <v>1</v>
      </c>
      <c r="J18" s="212"/>
      <c r="K18" s="137">
        <f>IF(L17=AGR!$B$4,K17+1,K17)</f>
        <v>1</v>
      </c>
      <c r="L18" s="137">
        <f t="shared" si="6"/>
        <v>5</v>
      </c>
    </row>
    <row r="19" spans="2:12">
      <c r="B19" s="212" t="str">
        <f t="shared" si="1"/>
        <v>PRC_ACTUNT</v>
      </c>
      <c r="C19" s="212" t="str">
        <f ca="1">IF($A19="*","","X"&amp;OFFSET(AGR!$B$6,0,L19))</f>
        <v>XAGROKE</v>
      </c>
      <c r="D19" s="212" t="str">
        <f t="shared" si="2"/>
        <v>-</v>
      </c>
      <c r="E19" s="212" t="str">
        <f t="shared" ca="1" si="3"/>
        <v>AGROKE</v>
      </c>
      <c r="F19" s="212" t="str">
        <f t="shared" si="4"/>
        <v>-</v>
      </c>
      <c r="G19" s="212" t="str">
        <f t="shared" si="0"/>
        <v>-</v>
      </c>
      <c r="H19" s="212" t="str">
        <f t="shared" si="0"/>
        <v>-</v>
      </c>
      <c r="I19" s="212">
        <f t="shared" si="5"/>
        <v>1</v>
      </c>
      <c r="J19" s="212"/>
      <c r="K19" s="137">
        <f>IF(L18=AGR!$B$4,K18+1,K18)</f>
        <v>1</v>
      </c>
      <c r="L19" s="137">
        <f t="shared" si="6"/>
        <v>6</v>
      </c>
    </row>
    <row r="20" spans="2:12">
      <c r="B20" s="212" t="str">
        <f t="shared" si="1"/>
        <v>PRC_ACTUNT</v>
      </c>
      <c r="C20" s="212" t="str">
        <f ca="1">IF($A20="*","","X"&amp;OFFSET(AGR!$B$6,0,L20))</f>
        <v>XAGROLP</v>
      </c>
      <c r="D20" s="212" t="str">
        <f t="shared" si="2"/>
        <v>-</v>
      </c>
      <c r="E20" s="212" t="str">
        <f t="shared" ca="1" si="3"/>
        <v>AGROLP</v>
      </c>
      <c r="F20" s="212" t="str">
        <f t="shared" si="4"/>
        <v>-</v>
      </c>
      <c r="G20" s="212" t="str">
        <f t="shared" si="0"/>
        <v>-</v>
      </c>
      <c r="H20" s="212" t="str">
        <f t="shared" si="0"/>
        <v>-</v>
      </c>
      <c r="I20" s="212">
        <f t="shared" si="5"/>
        <v>1</v>
      </c>
      <c r="J20" s="212"/>
      <c r="K20" s="137">
        <f>IF(L19=AGR!$B$4,K19+1,K19)</f>
        <v>1</v>
      </c>
      <c r="L20" s="137">
        <f t="shared" si="6"/>
        <v>7</v>
      </c>
    </row>
    <row r="21" spans="2:12">
      <c r="B21" s="212" t="str">
        <f t="shared" si="1"/>
        <v>PRC_CAPACT</v>
      </c>
      <c r="C21" s="212" t="str">
        <f ca="1">IF($A21="*","","X"&amp;OFFSET(AGR!$B$6,0,L21))</f>
        <v>XAGRCOA</v>
      </c>
      <c r="D21" s="212" t="str">
        <f t="shared" si="2"/>
        <v>-</v>
      </c>
      <c r="E21" s="212" t="str">
        <f t="shared" si="3"/>
        <v>-</v>
      </c>
      <c r="F21" s="212" t="str">
        <f t="shared" si="4"/>
        <v>-</v>
      </c>
      <c r="G21" s="212" t="str">
        <f t="shared" si="0"/>
        <v>-</v>
      </c>
      <c r="H21" s="212" t="str">
        <f t="shared" si="0"/>
        <v>-</v>
      </c>
      <c r="I21" s="212">
        <f t="shared" si="5"/>
        <v>1</v>
      </c>
      <c r="J21" s="212"/>
      <c r="K21" s="137">
        <f>IF(L20=AGR!$B$4,K20+1,K20)</f>
        <v>2</v>
      </c>
      <c r="L21" s="137">
        <f t="shared" si="6"/>
        <v>1</v>
      </c>
    </row>
    <row r="22" spans="2:12">
      <c r="B22" s="212" t="str">
        <f t="shared" si="1"/>
        <v>PRC_CAPACT</v>
      </c>
      <c r="C22" s="212" t="str">
        <f ca="1">IF($A22="*","","X"&amp;OFFSET(AGR!$B$6,0,L22))</f>
        <v>XAGRODS</v>
      </c>
      <c r="D22" s="212" t="str">
        <f t="shared" si="2"/>
        <v>-</v>
      </c>
      <c r="E22" s="212" t="str">
        <f t="shared" si="3"/>
        <v>-</v>
      </c>
      <c r="F22" s="212" t="str">
        <f t="shared" si="4"/>
        <v>-</v>
      </c>
      <c r="G22" s="212" t="str">
        <f t="shared" si="0"/>
        <v>-</v>
      </c>
      <c r="H22" s="212" t="str">
        <f t="shared" si="0"/>
        <v>-</v>
      </c>
      <c r="I22" s="212">
        <f t="shared" si="5"/>
        <v>1</v>
      </c>
      <c r="J22" s="212"/>
      <c r="K22" s="137">
        <f>IF(L21=AGR!$B$4,K21+1,K21)</f>
        <v>2</v>
      </c>
      <c r="L22" s="137">
        <f t="shared" si="6"/>
        <v>2</v>
      </c>
    </row>
    <row r="23" spans="2:12">
      <c r="B23" s="212" t="str">
        <f t="shared" si="1"/>
        <v>PRC_CAPACT</v>
      </c>
      <c r="C23" s="212" t="str">
        <f ca="1">IF($A23="*","","X"&amp;OFFSET(AGR!$B$6,0,L23))</f>
        <v>XAGRELC</v>
      </c>
      <c r="D23" s="212" t="str">
        <f t="shared" si="2"/>
        <v>-</v>
      </c>
      <c r="E23" s="212" t="str">
        <f t="shared" si="3"/>
        <v>-</v>
      </c>
      <c r="F23" s="212" t="str">
        <f t="shared" si="4"/>
        <v>-</v>
      </c>
      <c r="G23" s="212" t="str">
        <f t="shared" si="0"/>
        <v>-</v>
      </c>
      <c r="H23" s="212" t="str">
        <f t="shared" si="0"/>
        <v>-</v>
      </c>
      <c r="I23" s="212">
        <f t="shared" si="5"/>
        <v>1</v>
      </c>
      <c r="J23" s="212"/>
      <c r="K23" s="137">
        <f>IF(L22=AGR!$B$4,K22+1,K22)</f>
        <v>2</v>
      </c>
      <c r="L23" s="137">
        <f t="shared" si="6"/>
        <v>3</v>
      </c>
    </row>
    <row r="24" spans="2:12">
      <c r="B24" s="212" t="str">
        <f t="shared" si="1"/>
        <v>PRC_CAPACT</v>
      </c>
      <c r="C24" s="212" t="str">
        <f ca="1">IF($A24="*","","X"&amp;OFFSET(AGR!$B$6,0,L24))</f>
        <v>XAGROGS</v>
      </c>
      <c r="D24" s="212" t="str">
        <f t="shared" si="2"/>
        <v>-</v>
      </c>
      <c r="E24" s="212" t="str">
        <f t="shared" si="3"/>
        <v>-</v>
      </c>
      <c r="F24" s="212" t="str">
        <f t="shared" si="4"/>
        <v>-</v>
      </c>
      <c r="G24" s="212" t="str">
        <f t="shared" si="0"/>
        <v>-</v>
      </c>
      <c r="H24" s="212" t="str">
        <f t="shared" si="0"/>
        <v>-</v>
      </c>
      <c r="I24" s="212">
        <f t="shared" si="5"/>
        <v>1</v>
      </c>
      <c r="J24" s="212"/>
      <c r="K24" s="137">
        <f>IF(L23=AGR!$B$4,K23+1,K23)</f>
        <v>2</v>
      </c>
      <c r="L24" s="137">
        <f t="shared" si="6"/>
        <v>4</v>
      </c>
    </row>
    <row r="25" spans="2:12">
      <c r="B25" s="212" t="str">
        <f t="shared" si="1"/>
        <v>PRC_CAPACT</v>
      </c>
      <c r="C25" s="212" t="str">
        <f ca="1">IF($A25="*","","X"&amp;OFFSET(AGR!$B$6,0,L25))</f>
        <v>XAGROHF</v>
      </c>
      <c r="D25" s="212" t="str">
        <f t="shared" si="2"/>
        <v>-</v>
      </c>
      <c r="E25" s="212" t="str">
        <f t="shared" si="3"/>
        <v>-</v>
      </c>
      <c r="F25" s="212" t="str">
        <f t="shared" si="4"/>
        <v>-</v>
      </c>
      <c r="G25" s="212" t="str">
        <f t="shared" si="0"/>
        <v>-</v>
      </c>
      <c r="H25" s="212" t="str">
        <f t="shared" si="0"/>
        <v>-</v>
      </c>
      <c r="I25" s="212">
        <f t="shared" si="5"/>
        <v>1</v>
      </c>
      <c r="J25" s="212"/>
      <c r="K25" s="137">
        <f>IF(L24=AGR!$B$4,K24+1,K24)</f>
        <v>2</v>
      </c>
      <c r="L25" s="137">
        <f t="shared" si="6"/>
        <v>5</v>
      </c>
    </row>
    <row r="26" spans="2:12">
      <c r="B26" s="212" t="str">
        <f t="shared" si="1"/>
        <v>PRC_CAPACT</v>
      </c>
      <c r="C26" s="212" t="str">
        <f ca="1">IF($A26="*","","X"&amp;OFFSET(AGR!$B$6,0,L26))</f>
        <v>XAGROKE</v>
      </c>
      <c r="D26" s="212" t="str">
        <f t="shared" si="2"/>
        <v>-</v>
      </c>
      <c r="E26" s="212" t="str">
        <f t="shared" si="3"/>
        <v>-</v>
      </c>
      <c r="F26" s="212" t="str">
        <f t="shared" si="4"/>
        <v>-</v>
      </c>
      <c r="G26" s="212" t="str">
        <f t="shared" si="0"/>
        <v>-</v>
      </c>
      <c r="H26" s="212" t="str">
        <f t="shared" si="0"/>
        <v>-</v>
      </c>
      <c r="I26" s="212">
        <f t="shared" si="5"/>
        <v>1</v>
      </c>
      <c r="J26" s="212"/>
      <c r="K26" s="137">
        <f>IF(L25=AGR!$B$4,K25+1,K25)</f>
        <v>2</v>
      </c>
      <c r="L26" s="137">
        <f t="shared" si="6"/>
        <v>6</v>
      </c>
    </row>
    <row r="27" spans="2:12">
      <c r="B27" s="212" t="str">
        <f t="shared" si="1"/>
        <v>PRC_CAPACT</v>
      </c>
      <c r="C27" s="212" t="str">
        <f ca="1">IF($A27="*","","X"&amp;OFFSET(AGR!$B$6,0,L27))</f>
        <v>XAGROLP</v>
      </c>
      <c r="D27" s="212" t="str">
        <f t="shared" si="2"/>
        <v>-</v>
      </c>
      <c r="E27" s="212" t="str">
        <f t="shared" si="3"/>
        <v>-</v>
      </c>
      <c r="F27" s="212" t="str">
        <f t="shared" si="4"/>
        <v>-</v>
      </c>
      <c r="G27" s="212" t="str">
        <f t="shared" si="0"/>
        <v>-</v>
      </c>
      <c r="H27" s="212" t="str">
        <f t="shared" si="0"/>
        <v>-</v>
      </c>
      <c r="I27" s="212">
        <f t="shared" si="5"/>
        <v>1</v>
      </c>
      <c r="J27" s="212"/>
      <c r="K27" s="137">
        <f>IF(L26=AGR!$B$4,K26+1,K26)</f>
        <v>2</v>
      </c>
      <c r="L27" s="137">
        <f t="shared" si="6"/>
        <v>7</v>
      </c>
    </row>
    <row r="28" spans="2:12">
      <c r="B28" s="212" t="str">
        <f t="shared" si="1"/>
        <v>TOP-OUT</v>
      </c>
      <c r="C28" s="212" t="str">
        <f ca="1">IF($A28="*","","X"&amp;OFFSET(AGR!$B$6,0,L28))</f>
        <v>XAGRCOA</v>
      </c>
      <c r="D28" s="212" t="str">
        <f t="shared" ca="1" si="2"/>
        <v>AGRCOA</v>
      </c>
      <c r="E28" s="212" t="str">
        <f t="shared" si="3"/>
        <v>-</v>
      </c>
      <c r="F28" s="212" t="str">
        <f t="shared" si="4"/>
        <v>-</v>
      </c>
      <c r="G28" s="212" t="str">
        <f t="shared" si="0"/>
        <v>-</v>
      </c>
      <c r="H28" s="212" t="str">
        <f t="shared" si="0"/>
        <v>-</v>
      </c>
      <c r="I28" s="212">
        <f t="shared" si="5"/>
        <v>1</v>
      </c>
      <c r="J28" s="212"/>
      <c r="K28" s="137">
        <f>IF(L27=AGR!$B$4,K27+1,K27)</f>
        <v>3</v>
      </c>
      <c r="L28" s="137">
        <f t="shared" si="6"/>
        <v>1</v>
      </c>
    </row>
    <row r="29" spans="2:12">
      <c r="B29" s="212" t="str">
        <f t="shared" si="1"/>
        <v>TOP-OUT</v>
      </c>
      <c r="C29" s="212" t="str">
        <f ca="1">IF($A29="*","","X"&amp;OFFSET(AGR!$B$6,0,L29))</f>
        <v>XAGRODS</v>
      </c>
      <c r="D29" s="212" t="str">
        <f t="shared" ca="1" si="2"/>
        <v>AGRODS</v>
      </c>
      <c r="E29" s="212" t="str">
        <f t="shared" si="3"/>
        <v>-</v>
      </c>
      <c r="F29" s="212" t="str">
        <f t="shared" si="4"/>
        <v>-</v>
      </c>
      <c r="G29" s="212" t="str">
        <f t="shared" si="0"/>
        <v>-</v>
      </c>
      <c r="H29" s="212" t="str">
        <f t="shared" si="0"/>
        <v>-</v>
      </c>
      <c r="I29" s="212">
        <f t="shared" si="5"/>
        <v>1</v>
      </c>
      <c r="J29" s="212"/>
      <c r="K29" s="137">
        <f>IF(L28=AGR!$B$4,K28+1,K28)</f>
        <v>3</v>
      </c>
      <c r="L29" s="137">
        <f t="shared" si="6"/>
        <v>2</v>
      </c>
    </row>
    <row r="30" spans="2:12">
      <c r="B30" s="212" t="str">
        <f t="shared" si="1"/>
        <v>TOP-OUT</v>
      </c>
      <c r="C30" s="212" t="str">
        <f ca="1">IF($A30="*","","X"&amp;OFFSET(AGR!$B$6,0,L30))</f>
        <v>XAGRELC</v>
      </c>
      <c r="D30" s="212" t="str">
        <f t="shared" ca="1" si="2"/>
        <v>AGRELC</v>
      </c>
      <c r="E30" s="212" t="str">
        <f t="shared" si="3"/>
        <v>-</v>
      </c>
      <c r="F30" s="212" t="str">
        <f t="shared" si="4"/>
        <v>-</v>
      </c>
      <c r="G30" s="212" t="str">
        <f t="shared" si="4"/>
        <v>-</v>
      </c>
      <c r="H30" s="212" t="str">
        <f t="shared" si="4"/>
        <v>-</v>
      </c>
      <c r="I30" s="212">
        <f t="shared" si="5"/>
        <v>1</v>
      </c>
      <c r="J30" s="212"/>
      <c r="K30" s="137">
        <f>IF(L29=AGR!$B$4,K29+1,K29)</f>
        <v>3</v>
      </c>
      <c r="L30" s="137">
        <f t="shared" si="6"/>
        <v>3</v>
      </c>
    </row>
    <row r="31" spans="2:12">
      <c r="B31" s="212" t="str">
        <f t="shared" si="1"/>
        <v>TOP-OUT</v>
      </c>
      <c r="C31" s="212" t="str">
        <f ca="1">IF($A31="*","","X"&amp;OFFSET(AGR!$B$6,0,L31))</f>
        <v>XAGROGS</v>
      </c>
      <c r="D31" s="212" t="str">
        <f t="shared" ca="1" si="2"/>
        <v>AGROGS</v>
      </c>
      <c r="E31" s="212" t="str">
        <f t="shared" si="3"/>
        <v>-</v>
      </c>
      <c r="F31" s="212" t="str">
        <f t="shared" si="4"/>
        <v>-</v>
      </c>
      <c r="G31" s="212" t="str">
        <f t="shared" si="4"/>
        <v>-</v>
      </c>
      <c r="H31" s="212" t="str">
        <f t="shared" si="4"/>
        <v>-</v>
      </c>
      <c r="I31" s="212">
        <f t="shared" si="5"/>
        <v>1</v>
      </c>
      <c r="J31" s="212"/>
      <c r="K31" s="137">
        <f>IF(L30=AGR!$B$4,K30+1,K30)</f>
        <v>3</v>
      </c>
      <c r="L31" s="137">
        <f t="shared" si="6"/>
        <v>4</v>
      </c>
    </row>
    <row r="32" spans="2:12">
      <c r="B32" s="212" t="str">
        <f t="shared" si="1"/>
        <v>TOP-OUT</v>
      </c>
      <c r="C32" s="212" t="str">
        <f ca="1">IF($A32="*","","X"&amp;OFFSET(AGR!$B$6,0,L32))</f>
        <v>XAGROHF</v>
      </c>
      <c r="D32" s="212" t="str">
        <f t="shared" ca="1" si="2"/>
        <v>AGROHF</v>
      </c>
      <c r="E32" s="212" t="str">
        <f t="shared" si="3"/>
        <v>-</v>
      </c>
      <c r="F32" s="212" t="str">
        <f t="shared" si="4"/>
        <v>-</v>
      </c>
      <c r="G32" s="212" t="str">
        <f t="shared" si="4"/>
        <v>-</v>
      </c>
      <c r="H32" s="212" t="str">
        <f t="shared" si="4"/>
        <v>-</v>
      </c>
      <c r="I32" s="212">
        <f t="shared" si="5"/>
        <v>1</v>
      </c>
      <c r="J32" s="212"/>
      <c r="K32" s="137">
        <f>IF(L31=AGR!$B$4,K31+1,K31)</f>
        <v>3</v>
      </c>
      <c r="L32" s="137">
        <f t="shared" si="6"/>
        <v>5</v>
      </c>
    </row>
    <row r="33" spans="2:12">
      <c r="B33" s="212" t="str">
        <f t="shared" si="1"/>
        <v>TOP-OUT</v>
      </c>
      <c r="C33" s="212" t="str">
        <f ca="1">IF($A33="*","","X"&amp;OFFSET(AGR!$B$6,0,L33))</f>
        <v>XAGROKE</v>
      </c>
      <c r="D33" s="212" t="str">
        <f t="shared" ca="1" si="2"/>
        <v>AGROKE</v>
      </c>
      <c r="E33" s="212" t="str">
        <f t="shared" si="3"/>
        <v>-</v>
      </c>
      <c r="F33" s="212" t="str">
        <f t="shared" si="4"/>
        <v>-</v>
      </c>
      <c r="G33" s="212" t="str">
        <f t="shared" si="4"/>
        <v>-</v>
      </c>
      <c r="H33" s="212" t="str">
        <f t="shared" si="4"/>
        <v>-</v>
      </c>
      <c r="I33" s="212">
        <f t="shared" si="5"/>
        <v>1</v>
      </c>
      <c r="J33" s="212"/>
      <c r="K33" s="137">
        <f>IF(L32=AGR!$B$4,K32+1,K32)</f>
        <v>3</v>
      </c>
      <c r="L33" s="137">
        <f t="shared" si="6"/>
        <v>6</v>
      </c>
    </row>
    <row r="34" spans="2:12">
      <c r="B34" s="212" t="str">
        <f t="shared" si="1"/>
        <v>TOP-OUT</v>
      </c>
      <c r="C34" s="212" t="str">
        <f ca="1">IF($A34="*","","X"&amp;OFFSET(AGR!$B$6,0,L34))</f>
        <v>XAGROLP</v>
      </c>
      <c r="D34" s="212" t="str">
        <f t="shared" ca="1" si="2"/>
        <v>AGROLP</v>
      </c>
      <c r="E34" s="212" t="str">
        <f t="shared" si="3"/>
        <v>-</v>
      </c>
      <c r="F34" s="212" t="str">
        <f t="shared" si="4"/>
        <v>-</v>
      </c>
      <c r="G34" s="212" t="str">
        <f t="shared" si="4"/>
        <v>-</v>
      </c>
      <c r="H34" s="212" t="str">
        <f t="shared" si="4"/>
        <v>-</v>
      </c>
      <c r="I34" s="212">
        <f t="shared" si="5"/>
        <v>1</v>
      </c>
      <c r="J34" s="212"/>
      <c r="K34" s="137">
        <f>IF(L33=AGR!$B$4,K33+1,K33)</f>
        <v>3</v>
      </c>
      <c r="L34" s="137">
        <f t="shared" si="6"/>
        <v>7</v>
      </c>
    </row>
    <row r="35" spans="2:12">
      <c r="B35" s="212" t="str">
        <f t="shared" si="1"/>
        <v>TOP-IN</v>
      </c>
      <c r="C35" s="212" t="str">
        <f ca="1">IF($A35="*","","X"&amp;OFFSET(AGR!$B$6,0,L35))</f>
        <v>XAGRCOA</v>
      </c>
      <c r="D35" s="212" t="str">
        <f t="shared" ca="1" si="2"/>
        <v>COA</v>
      </c>
      <c r="E35" s="212" t="str">
        <f t="shared" si="3"/>
        <v>-</v>
      </c>
      <c r="F35" s="212" t="str">
        <f t="shared" si="4"/>
        <v>-</v>
      </c>
      <c r="G35" s="212" t="str">
        <f t="shared" si="4"/>
        <v>-</v>
      </c>
      <c r="H35" s="212" t="str">
        <f t="shared" si="4"/>
        <v>-</v>
      </c>
      <c r="I35" s="212">
        <f t="shared" si="5"/>
        <v>1</v>
      </c>
      <c r="J35" s="212"/>
      <c r="K35" s="137">
        <f>IF(L34=AGR!$B$4,K34+1,K34)</f>
        <v>4</v>
      </c>
      <c r="L35" s="137">
        <f t="shared" si="6"/>
        <v>1</v>
      </c>
    </row>
    <row r="36" spans="2:12">
      <c r="B36" s="212" t="str">
        <f t="shared" si="1"/>
        <v>TOP-IN</v>
      </c>
      <c r="C36" s="212" t="str">
        <f ca="1">IF($A36="*","","X"&amp;OFFSET(AGR!$B$6,0,L36))</f>
        <v>XAGRODS</v>
      </c>
      <c r="D36" s="212" t="str">
        <f t="shared" ca="1" si="2"/>
        <v>ODS</v>
      </c>
      <c r="E36" s="212" t="str">
        <f t="shared" si="3"/>
        <v>-</v>
      </c>
      <c r="F36" s="212" t="str">
        <f t="shared" si="4"/>
        <v>-</v>
      </c>
      <c r="G36" s="212" t="str">
        <f t="shared" si="4"/>
        <v>-</v>
      </c>
      <c r="H36" s="212" t="str">
        <f t="shared" si="4"/>
        <v>-</v>
      </c>
      <c r="I36" s="212">
        <f t="shared" si="5"/>
        <v>1</v>
      </c>
      <c r="J36" s="212"/>
      <c r="K36" s="137">
        <f>IF(L35=AGR!$B$4,K35+1,K35)</f>
        <v>4</v>
      </c>
      <c r="L36" s="137">
        <f t="shared" si="6"/>
        <v>2</v>
      </c>
    </row>
    <row r="37" spans="2:12">
      <c r="B37" s="212" t="str">
        <f t="shared" si="1"/>
        <v>TOP-IN</v>
      </c>
      <c r="C37" s="212" t="str">
        <f ca="1">IF($A37="*","","X"&amp;OFFSET(AGR!$B$6,0,L37))</f>
        <v>XAGRELC</v>
      </c>
      <c r="D37" s="212" t="str">
        <f t="shared" ca="1" si="2"/>
        <v>ELC</v>
      </c>
      <c r="E37" s="212" t="str">
        <f t="shared" si="3"/>
        <v>-</v>
      </c>
      <c r="F37" s="212" t="str">
        <f t="shared" si="4"/>
        <v>-</v>
      </c>
      <c r="G37" s="212" t="str">
        <f t="shared" si="4"/>
        <v>-</v>
      </c>
      <c r="H37" s="212" t="str">
        <f t="shared" si="4"/>
        <v>-</v>
      </c>
      <c r="I37" s="212">
        <f t="shared" si="5"/>
        <v>1</v>
      </c>
      <c r="J37" s="212"/>
      <c r="K37" s="137">
        <f>IF(L36=AGR!$B$4,K36+1,K36)</f>
        <v>4</v>
      </c>
      <c r="L37" s="137">
        <f t="shared" si="6"/>
        <v>3</v>
      </c>
    </row>
    <row r="38" spans="2:12">
      <c r="B38" s="212" t="str">
        <f t="shared" si="1"/>
        <v>TOP-IN</v>
      </c>
      <c r="C38" s="212" t="str">
        <f ca="1">IF($A38="*","","X"&amp;OFFSET(AGR!$B$6,0,L38))</f>
        <v>XAGROGS</v>
      </c>
      <c r="D38" s="212" t="str">
        <f t="shared" ca="1" si="2"/>
        <v>OGS</v>
      </c>
      <c r="E38" s="212" t="str">
        <f t="shared" si="3"/>
        <v>-</v>
      </c>
      <c r="F38" s="212" t="str">
        <f t="shared" si="4"/>
        <v>-</v>
      </c>
      <c r="G38" s="212" t="str">
        <f t="shared" si="4"/>
        <v>-</v>
      </c>
      <c r="H38" s="212" t="str">
        <f t="shared" si="4"/>
        <v>-</v>
      </c>
      <c r="I38" s="212">
        <f t="shared" si="5"/>
        <v>1</v>
      </c>
      <c r="J38" s="212"/>
      <c r="K38" s="137">
        <f>IF(L37=AGR!$B$4,K37+1,K37)</f>
        <v>4</v>
      </c>
      <c r="L38" s="137">
        <f t="shared" si="6"/>
        <v>4</v>
      </c>
    </row>
    <row r="39" spans="2:12">
      <c r="B39" s="212" t="str">
        <f t="shared" si="1"/>
        <v>TOP-IN</v>
      </c>
      <c r="C39" s="212" t="str">
        <f ca="1">IF($A39="*","","X"&amp;OFFSET(AGR!$B$6,0,L39))</f>
        <v>XAGROHF</v>
      </c>
      <c r="D39" s="212" t="str">
        <f t="shared" ca="1" si="2"/>
        <v>OHF</v>
      </c>
      <c r="E39" s="212" t="str">
        <f t="shared" si="3"/>
        <v>-</v>
      </c>
      <c r="F39" s="212" t="str">
        <f t="shared" si="4"/>
        <v>-</v>
      </c>
      <c r="G39" s="212" t="str">
        <f t="shared" si="4"/>
        <v>-</v>
      </c>
      <c r="H39" s="212" t="str">
        <f t="shared" si="4"/>
        <v>-</v>
      </c>
      <c r="I39" s="212">
        <f t="shared" si="5"/>
        <v>1</v>
      </c>
      <c r="J39" s="212"/>
      <c r="K39" s="137">
        <f>IF(L38=AGR!$B$4,K38+1,K38)</f>
        <v>4</v>
      </c>
      <c r="L39" s="137">
        <f t="shared" si="6"/>
        <v>5</v>
      </c>
    </row>
    <row r="40" spans="2:12">
      <c r="B40" s="212" t="str">
        <f t="shared" si="1"/>
        <v>TOP-IN</v>
      </c>
      <c r="C40" s="212" t="str">
        <f ca="1">IF($A40="*","","X"&amp;OFFSET(AGR!$B$6,0,L40))</f>
        <v>XAGROKE</v>
      </c>
      <c r="D40" s="212" t="str">
        <f t="shared" ca="1" si="2"/>
        <v>OKE</v>
      </c>
      <c r="E40" s="212" t="str">
        <f t="shared" si="3"/>
        <v>-</v>
      </c>
      <c r="F40" s="212" t="str">
        <f t="shared" si="4"/>
        <v>-</v>
      </c>
      <c r="G40" s="212" t="str">
        <f t="shared" si="4"/>
        <v>-</v>
      </c>
      <c r="H40" s="212" t="str">
        <f t="shared" si="4"/>
        <v>-</v>
      </c>
      <c r="I40" s="212">
        <f t="shared" si="5"/>
        <v>1</v>
      </c>
      <c r="J40" s="212"/>
      <c r="K40" s="137">
        <f>IF(L39=AGR!$B$4,K39+1,K39)</f>
        <v>4</v>
      </c>
      <c r="L40" s="137">
        <f t="shared" si="6"/>
        <v>6</v>
      </c>
    </row>
    <row r="41" spans="2:12">
      <c r="B41" s="212" t="str">
        <f t="shared" si="1"/>
        <v>TOP-IN</v>
      </c>
      <c r="C41" s="212" t="str">
        <f ca="1">IF($A41="*","","X"&amp;OFFSET(AGR!$B$6,0,L41))</f>
        <v>XAGROLP</v>
      </c>
      <c r="D41" s="212" t="str">
        <f t="shared" ca="1" si="2"/>
        <v>OLP</v>
      </c>
      <c r="E41" s="212" t="str">
        <f t="shared" si="3"/>
        <v>-</v>
      </c>
      <c r="F41" s="212" t="str">
        <f t="shared" si="4"/>
        <v>-</v>
      </c>
      <c r="G41" s="212" t="str">
        <f t="shared" si="4"/>
        <v>-</v>
      </c>
      <c r="H41" s="212" t="str">
        <f t="shared" si="4"/>
        <v>-</v>
      </c>
      <c r="I41" s="212">
        <f t="shared" si="5"/>
        <v>1</v>
      </c>
      <c r="J41" s="212"/>
      <c r="K41" s="137">
        <f>IF(L40=AGR!$B$4,K40+1,K40)</f>
        <v>4</v>
      </c>
      <c r="L41" s="137">
        <f t="shared" si="6"/>
        <v>7</v>
      </c>
    </row>
    <row r="42" spans="2:12">
      <c r="B42" s="212"/>
      <c r="C42" s="212"/>
      <c r="D42" s="212"/>
      <c r="E42" s="212"/>
      <c r="F42" s="212"/>
      <c r="G42" s="212"/>
      <c r="H42" s="212"/>
      <c r="I42" s="212"/>
      <c r="J42" s="212"/>
    </row>
    <row r="43" spans="2:12">
      <c r="B43" s="212"/>
      <c r="C43" s="212"/>
      <c r="D43" s="212"/>
      <c r="E43" s="212"/>
      <c r="F43" s="212"/>
      <c r="G43" s="212"/>
      <c r="H43" s="212"/>
      <c r="I43" s="212"/>
      <c r="J43" s="212"/>
    </row>
    <row r="44" spans="2:12">
      <c r="B44" s="212"/>
      <c r="C44" s="212"/>
      <c r="D44" s="212"/>
      <c r="E44" s="212"/>
      <c r="F44" s="212"/>
      <c r="G44" s="212"/>
      <c r="H44" s="212"/>
      <c r="I44" s="212"/>
      <c r="J44" s="212"/>
    </row>
    <row r="45" spans="2:12">
      <c r="B45" s="212"/>
      <c r="C45" s="212"/>
      <c r="D45" s="212"/>
      <c r="E45" s="212"/>
      <c r="F45" s="212"/>
      <c r="G45" s="212"/>
      <c r="H45" s="212"/>
      <c r="I45" s="212"/>
      <c r="J45" s="212"/>
    </row>
    <row r="46" spans="2:12">
      <c r="B46" s="212"/>
      <c r="C46" s="212"/>
      <c r="D46" s="212"/>
      <c r="E46" s="212"/>
      <c r="F46" s="212"/>
      <c r="G46" s="212"/>
      <c r="H46" s="212"/>
      <c r="I46" s="212"/>
      <c r="J46" s="212"/>
    </row>
    <row r="47" spans="2:12">
      <c r="B47" s="212"/>
      <c r="C47" s="212"/>
      <c r="D47" s="212"/>
      <c r="E47" s="212"/>
      <c r="F47" s="212"/>
      <c r="G47" s="212"/>
      <c r="H47" s="212"/>
      <c r="I47" s="212"/>
      <c r="J47" s="212"/>
    </row>
    <row r="48" spans="2:12">
      <c r="B48" s="212"/>
      <c r="C48" s="212"/>
      <c r="D48" s="212"/>
      <c r="E48" s="212"/>
      <c r="F48" s="212"/>
      <c r="G48" s="212"/>
      <c r="H48" s="212"/>
      <c r="I48" s="212"/>
      <c r="J48" s="212"/>
    </row>
    <row r="49" spans="2:10">
      <c r="B49" s="212"/>
      <c r="C49" s="212"/>
      <c r="D49" s="212"/>
      <c r="E49" s="212"/>
      <c r="F49" s="212"/>
      <c r="G49" s="212"/>
      <c r="H49" s="212"/>
      <c r="I49" s="212"/>
      <c r="J49" s="212"/>
    </row>
  </sheetData>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24781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247816" r:id="rId4" name="cmdSpecifyArg6"/>
      </mc:Fallback>
    </mc:AlternateContent>
    <mc:AlternateContent xmlns:mc="http://schemas.openxmlformats.org/markup-compatibility/2006">
      <mc:Choice Requires="x14">
        <control shapeId="24781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247815" r:id="rId6" name="cmdSpecifyArg5"/>
      </mc:Fallback>
    </mc:AlternateContent>
    <mc:AlternateContent xmlns:mc="http://schemas.openxmlformats.org/markup-compatibility/2006">
      <mc:Choice Requires="x14">
        <control shapeId="24781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247814" r:id="rId8" name="cmdSpecifyArg4"/>
      </mc:Fallback>
    </mc:AlternateContent>
    <mc:AlternateContent xmlns:mc="http://schemas.openxmlformats.org/markup-compatibility/2006">
      <mc:Choice Requires="x14">
        <control shapeId="24781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247813" r:id="rId10" name="cmdSpecifyArg3"/>
      </mc:Fallback>
    </mc:AlternateContent>
    <mc:AlternateContent xmlns:mc="http://schemas.openxmlformats.org/markup-compatibility/2006">
      <mc:Choice Requires="x14">
        <control shapeId="24781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247812" r:id="rId12" name="cmdSpecifyArg2"/>
      </mc:Fallback>
    </mc:AlternateContent>
    <mc:AlternateContent xmlns:mc="http://schemas.openxmlformats.org/markup-compatibility/2006">
      <mc:Choice Requires="x14">
        <control shapeId="247811" r:id="rId14" name="cmdSpecifyArg1">
          <controlPr defaultSize="0" autoLine="0" r:id="rId15">
            <anchor moveWithCells="1">
              <from>
                <xdr:col>2</xdr:col>
                <xdr:colOff>0</xdr:colOff>
                <xdr:row>3</xdr:row>
                <xdr:rowOff>9525</xdr:rowOff>
              </from>
              <to>
                <xdr:col>2</xdr:col>
                <xdr:colOff>619125</xdr:colOff>
                <xdr:row>4</xdr:row>
                <xdr:rowOff>95250</xdr:rowOff>
              </to>
            </anchor>
          </controlPr>
        </control>
      </mc:Choice>
      <mc:Fallback>
        <control shapeId="247811" r:id="rId14" name="cmdSpecifyArg1"/>
      </mc:Fallback>
    </mc:AlternateContent>
    <mc:AlternateContent xmlns:mc="http://schemas.openxmlformats.org/markup-compatibility/2006">
      <mc:Choice Requires="x14">
        <control shapeId="24781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247810" r:id="rId16" name="cmdSpecifyParameter"/>
      </mc:Fallback>
    </mc:AlternateContent>
    <mc:AlternateContent xmlns:mc="http://schemas.openxmlformats.org/markup-compatibility/2006">
      <mc:Choice Requires="x14">
        <control shapeId="24780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247809" r:id="rId18" name="cmdCheckTIDDataSheet"/>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dimension ref="A1:AS53"/>
  <sheetViews>
    <sheetView workbookViewId="0">
      <pane xSplit="9" ySplit="8" topLeftCell="J15"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42" width="5.42578125" style="137" customWidth="1"/>
    <col min="43" max="16384" width="9.140625" style="137"/>
  </cols>
  <sheetData>
    <row r="1" spans="1:45">
      <c r="A1" s="136"/>
      <c r="B1" s="137" t="s">
        <v>275</v>
      </c>
      <c r="AQ1" s="137" t="s">
        <v>277</v>
      </c>
      <c r="AR1" s="137" t="s">
        <v>277</v>
      </c>
      <c r="AS1" s="137" t="s">
        <v>277</v>
      </c>
    </row>
    <row r="2" spans="1:45">
      <c r="A2" s="137" t="s">
        <v>277</v>
      </c>
      <c r="AQ2" s="137" t="s">
        <v>287</v>
      </c>
      <c r="AR2" s="137" t="s">
        <v>288</v>
      </c>
      <c r="AS2" s="137" t="s">
        <v>289</v>
      </c>
    </row>
    <row r="3" spans="1:45" ht="15" customHeight="1">
      <c r="A3" s="137" t="s">
        <v>277</v>
      </c>
    </row>
    <row r="4" spans="1:45">
      <c r="A4" s="137" t="s">
        <v>277</v>
      </c>
    </row>
    <row r="5" spans="1:45">
      <c r="A5" s="137" t="s">
        <v>277</v>
      </c>
    </row>
    <row r="6" spans="1:45">
      <c r="A6" s="137" t="s">
        <v>277</v>
      </c>
    </row>
    <row r="7" spans="1:45" ht="22.5" customHeight="1">
      <c r="A7" s="137" t="s">
        <v>277</v>
      </c>
      <c r="B7" s="136" t="s">
        <v>290</v>
      </c>
      <c r="C7" s="136" t="s">
        <v>291</v>
      </c>
      <c r="D7" s="136" t="s">
        <v>292</v>
      </c>
      <c r="E7" s="136" t="s">
        <v>293</v>
      </c>
      <c r="F7" s="136" t="s">
        <v>294</v>
      </c>
      <c r="G7" s="136" t="s">
        <v>295</v>
      </c>
      <c r="H7" s="136" t="s">
        <v>296</v>
      </c>
      <c r="I7" s="208" t="s">
        <v>297</v>
      </c>
      <c r="J7" s="137">
        <v>2012</v>
      </c>
    </row>
    <row r="8" spans="1:45">
      <c r="A8" s="137" t="s">
        <v>277</v>
      </c>
      <c r="B8" s="136"/>
      <c r="C8" s="136"/>
      <c r="D8" s="136"/>
      <c r="E8" s="136"/>
      <c r="F8" s="136"/>
      <c r="G8" s="136"/>
      <c r="H8" s="136"/>
      <c r="I8" s="208"/>
    </row>
    <row r="9" spans="1:45">
      <c r="A9" s="137" t="s">
        <v>277</v>
      </c>
      <c r="B9" s="209">
        <v>1</v>
      </c>
      <c r="C9" s="209">
        <v>2</v>
      </c>
      <c r="D9" s="209">
        <v>3</v>
      </c>
      <c r="E9" s="209">
        <v>4</v>
      </c>
      <c r="F9" s="209">
        <v>5</v>
      </c>
      <c r="G9" s="209">
        <v>6</v>
      </c>
      <c r="H9" s="209">
        <v>7</v>
      </c>
      <c r="I9" s="210">
        <v>8</v>
      </c>
      <c r="J9" s="137">
        <f>I9+1</f>
        <v>9</v>
      </c>
    </row>
    <row r="10" spans="1:45">
      <c r="A10" s="137" t="s">
        <v>298</v>
      </c>
      <c r="B10" s="205" t="s">
        <v>327</v>
      </c>
      <c r="C10" s="205" t="s">
        <v>300</v>
      </c>
      <c r="D10" s="205" t="str">
        <f>AGR!B$6&amp;AGR!B9</f>
        <v>AGRCO2</v>
      </c>
      <c r="E10" s="205" t="s">
        <v>316</v>
      </c>
      <c r="F10" s="205" t="s">
        <v>301</v>
      </c>
      <c r="G10" s="205" t="s">
        <v>303</v>
      </c>
      <c r="H10" s="205" t="s">
        <v>301</v>
      </c>
      <c r="I10" s="211">
        <v>0</v>
      </c>
    </row>
    <row r="11" spans="1:45">
      <c r="A11" s="137" t="s">
        <v>304</v>
      </c>
      <c r="B11" s="205" t="s">
        <v>327</v>
      </c>
      <c r="C11" s="205" t="s">
        <v>300</v>
      </c>
      <c r="D11" s="205" t="str">
        <f>AGR!B$6&amp;AGR!B10</f>
        <v>AGRCH4</v>
      </c>
      <c r="E11" s="205" t="s">
        <v>316</v>
      </c>
      <c r="F11" s="205" t="s">
        <v>301</v>
      </c>
      <c r="G11" s="205" t="s">
        <v>303</v>
      </c>
      <c r="H11" s="205" t="s">
        <v>301</v>
      </c>
      <c r="I11" s="211">
        <v>0</v>
      </c>
    </row>
    <row r="12" spans="1:45">
      <c r="A12" s="137" t="s">
        <v>307</v>
      </c>
      <c r="B12" s="205" t="s">
        <v>327</v>
      </c>
      <c r="C12" s="205" t="s">
        <v>300</v>
      </c>
      <c r="D12" s="205" t="str">
        <f>AGR!B$6&amp;AGR!B11</f>
        <v>AGRN2O</v>
      </c>
      <c r="E12" s="205" t="s">
        <v>316</v>
      </c>
      <c r="F12" s="205" t="s">
        <v>301</v>
      </c>
      <c r="G12" s="205" t="s">
        <v>303</v>
      </c>
      <c r="H12" s="205" t="s">
        <v>301</v>
      </c>
      <c r="I12" s="211">
        <v>0</v>
      </c>
    </row>
    <row r="13" spans="1:45">
      <c r="A13" s="137" t="s">
        <v>309</v>
      </c>
      <c r="B13" s="205" t="s">
        <v>327</v>
      </c>
      <c r="C13" s="205" t="s">
        <v>300</v>
      </c>
      <c r="D13" s="205" t="str">
        <f>AGR!B$6&amp;AGR!B12</f>
        <v>AGRSOX</v>
      </c>
      <c r="E13" s="205" t="s">
        <v>316</v>
      </c>
      <c r="F13" s="205" t="s">
        <v>301</v>
      </c>
      <c r="G13" s="205" t="s">
        <v>303</v>
      </c>
      <c r="H13" s="205" t="s">
        <v>301</v>
      </c>
      <c r="I13" s="211">
        <v>0</v>
      </c>
    </row>
    <row r="14" spans="1:45">
      <c r="A14" s="137" t="s">
        <v>311</v>
      </c>
      <c r="B14" s="205" t="s">
        <v>327</v>
      </c>
      <c r="C14" s="205" t="s">
        <v>300</v>
      </c>
      <c r="D14" s="221" t="str">
        <f>AGR!B$6&amp;AGR!B13</f>
        <v>AGRNOX</v>
      </c>
      <c r="E14" s="205" t="s">
        <v>316</v>
      </c>
      <c r="F14" s="205" t="s">
        <v>301</v>
      </c>
      <c r="G14" s="205" t="s">
        <v>303</v>
      </c>
      <c r="H14" s="205" t="s">
        <v>301</v>
      </c>
      <c r="I14" s="211">
        <v>0</v>
      </c>
    </row>
    <row r="15" spans="1:45">
      <c r="A15" s="137" t="s">
        <v>277</v>
      </c>
      <c r="B15" s="205"/>
      <c r="C15" s="205"/>
      <c r="D15" s="205"/>
      <c r="E15" s="205"/>
      <c r="F15" s="205"/>
      <c r="G15" s="205"/>
      <c r="H15" s="205"/>
      <c r="I15" s="211"/>
    </row>
    <row r="16" spans="1:45">
      <c r="A16" s="137" t="str">
        <f ca="1">IF(J16=0,"*","")</f>
        <v/>
      </c>
      <c r="B16" s="212" t="str">
        <f ca="1">IF(A16="*","",VLOOKUP("*"&amp;AQ16,$A$10:$B$48,2,FALSE))</f>
        <v>FLO_EMIS</v>
      </c>
      <c r="C16" s="212" t="str">
        <f ca="1">IF($A16="*","","X"&amp;OFFSET(AGR!$B$6,0,AR16))</f>
        <v>XAGRCOA</v>
      </c>
      <c r="D16" s="212" t="str">
        <f ca="1">IF(A16="*","",VLOOKUP("*"&amp;AQ16,$A$10:$D$14,4,FALSE))</f>
        <v>AGRCO2</v>
      </c>
      <c r="E16" s="212" t="str">
        <f ca="1">IF(A16="*","",RIGHT(C16,6))</f>
        <v>AGRCOA</v>
      </c>
      <c r="F16" s="212" t="str">
        <f ca="1">IF($A16="*","","-")</f>
        <v>-</v>
      </c>
      <c r="G16" s="212" t="str">
        <f ca="1">IF(A16="*","","ANNUAL")</f>
        <v>ANNUAL</v>
      </c>
      <c r="H16" s="212" t="str">
        <f ca="1">IF($A16="*","","-")</f>
        <v>-</v>
      </c>
      <c r="I16" s="213" t="str">
        <f ca="1">IF($A16="*","","0")</f>
        <v>0</v>
      </c>
      <c r="J16" s="212">
        <f ca="1">OFFSET(AGR!$B$8,AQ16,AR16)</f>
        <v>94.1</v>
      </c>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212"/>
      <c r="AI16" s="212"/>
      <c r="AJ16" s="212"/>
      <c r="AK16" s="212"/>
      <c r="AL16" s="212"/>
      <c r="AM16" s="212"/>
      <c r="AN16" s="212"/>
      <c r="AO16" s="212"/>
      <c r="AP16" s="212"/>
      <c r="AQ16" s="137">
        <v>1</v>
      </c>
      <c r="AR16" s="137">
        <v>1</v>
      </c>
    </row>
    <row r="17" spans="1:44">
      <c r="A17" s="137" t="str">
        <f t="shared" ref="A17:A51" ca="1" si="0">IF(J17=0,"*","")</f>
        <v/>
      </c>
      <c r="B17" s="212" t="str">
        <f ca="1">IF(A17="*","",VLOOKUP("*"&amp;AQ17,$A$10:$B$48,2,FALSE))</f>
        <v>FLO_EMIS</v>
      </c>
      <c r="C17" s="212" t="str">
        <f ca="1">IF($A17="*","","X"&amp;OFFSET(AGR!$B$6,0,AR17))</f>
        <v>XAGRODS</v>
      </c>
      <c r="D17" s="212" t="str">
        <f t="shared" ref="D17:D48" ca="1" si="1">IF(A17="*","",VLOOKUP("*"&amp;AQ17,$A$10:$D$14,4,FALSE))</f>
        <v>AGRCO2</v>
      </c>
      <c r="E17" s="212" t="str">
        <f ca="1">IF(A17="*","",RIGHT(C17,6))</f>
        <v>AGRODS</v>
      </c>
      <c r="F17" s="212" t="str">
        <f t="shared" ref="F17:F50" ca="1" si="2">IF($A17="*","","-")</f>
        <v>-</v>
      </c>
      <c r="G17" s="212" t="str">
        <f ca="1">IF(A17="*","","ANNUAL")</f>
        <v>ANNUAL</v>
      </c>
      <c r="H17" s="212" t="str">
        <f t="shared" ref="H17:H50" ca="1" si="3">IF($A17="*","","-")</f>
        <v>-</v>
      </c>
      <c r="I17" s="213" t="str">
        <f t="shared" ref="I17:I50" ca="1" si="4">IF($A17="*","","0")</f>
        <v>0</v>
      </c>
      <c r="J17" s="212">
        <f ca="1">OFFSET(AGR!$B$8,AQ17,AR17)</f>
        <v>74.099999999999994</v>
      </c>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137">
        <f>IF(AR16=AGR!$B$4,AQ16+1,AQ16)</f>
        <v>1</v>
      </c>
      <c r="AR17" s="137">
        <f>IF(AQ17=AQ16,AR16+1,1)</f>
        <v>2</v>
      </c>
    </row>
    <row r="18" spans="1:44">
      <c r="A18" s="137" t="str">
        <f t="shared" ca="1" si="0"/>
        <v>*</v>
      </c>
      <c r="B18" s="212" t="str">
        <f t="shared" ref="B18:B50" ca="1" si="5">IF(A18="*","",VLOOKUP("*"&amp;AQ18,$A$10:$B$48,2,FALSE))</f>
        <v/>
      </c>
      <c r="C18" s="212" t="str">
        <f ca="1">IF($A18="*","","X"&amp;OFFSET(AGR!$B$6,0,AR18))</f>
        <v/>
      </c>
      <c r="D18" s="212" t="str">
        <f t="shared" ca="1" si="1"/>
        <v/>
      </c>
      <c r="E18" s="212" t="str">
        <f t="shared" ref="E18:E50" ca="1" si="6">IF(A18="*","",RIGHT(C18,6))</f>
        <v/>
      </c>
      <c r="F18" s="212" t="str">
        <f t="shared" ca="1" si="2"/>
        <v/>
      </c>
      <c r="G18" s="212" t="str">
        <f t="shared" ref="G18:G50" ca="1" si="7">IF(A18="*","","ANNUAL")</f>
        <v/>
      </c>
      <c r="H18" s="212" t="str">
        <f t="shared" ca="1" si="3"/>
        <v/>
      </c>
      <c r="I18" s="213" t="str">
        <f t="shared" ca="1" si="4"/>
        <v/>
      </c>
      <c r="J18" s="212">
        <f ca="1">OFFSET(AGR!$B$8,AQ18,AR18)</f>
        <v>0</v>
      </c>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137">
        <f>IF(AR17=AGR!$B$4,AQ17+1,AQ17)</f>
        <v>1</v>
      </c>
      <c r="AR18" s="137">
        <f t="shared" ref="AR18:AR50" si="8">IF(AQ18=AQ17,AR17+1,1)</f>
        <v>3</v>
      </c>
    </row>
    <row r="19" spans="1:44">
      <c r="A19" s="137" t="str">
        <f t="shared" ca="1" si="0"/>
        <v/>
      </c>
      <c r="B19" s="212" t="str">
        <f t="shared" ca="1" si="5"/>
        <v>FLO_EMIS</v>
      </c>
      <c r="C19" s="212" t="str">
        <f ca="1">IF($A19="*","","X"&amp;OFFSET(AGR!$B$6,0,AR19))</f>
        <v>XAGROGS</v>
      </c>
      <c r="D19" s="212" t="str">
        <f t="shared" ca="1" si="1"/>
        <v>AGRCO2</v>
      </c>
      <c r="E19" s="212" t="str">
        <f t="shared" ca="1" si="6"/>
        <v>AGROGS</v>
      </c>
      <c r="F19" s="212" t="str">
        <f t="shared" ca="1" si="2"/>
        <v>-</v>
      </c>
      <c r="G19" s="212" t="str">
        <f t="shared" ca="1" si="7"/>
        <v>ANNUAL</v>
      </c>
      <c r="H19" s="212" t="str">
        <f t="shared" ca="1" si="3"/>
        <v>-</v>
      </c>
      <c r="I19" s="213" t="str">
        <f t="shared" ca="1" si="4"/>
        <v>0</v>
      </c>
      <c r="J19" s="212">
        <f ca="1">OFFSET(AGR!$B$8,AQ19,AR19)</f>
        <v>69.3</v>
      </c>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137">
        <f>IF(AR18=AGR!$B$4,AQ18+1,AQ18)</f>
        <v>1</v>
      </c>
      <c r="AR19" s="137">
        <f t="shared" si="8"/>
        <v>4</v>
      </c>
    </row>
    <row r="20" spans="1:44">
      <c r="A20" s="137" t="str">
        <f t="shared" ca="1" si="0"/>
        <v/>
      </c>
      <c r="B20" s="212" t="str">
        <f t="shared" ca="1" si="5"/>
        <v>FLO_EMIS</v>
      </c>
      <c r="C20" s="212" t="str">
        <f ca="1">IF($A20="*","","X"&amp;OFFSET(AGR!$B$6,0,AR20))</f>
        <v>XAGROHF</v>
      </c>
      <c r="D20" s="212" t="str">
        <f t="shared" ca="1" si="1"/>
        <v>AGRCO2</v>
      </c>
      <c r="E20" s="212" t="str">
        <f t="shared" ca="1" si="6"/>
        <v>AGROHF</v>
      </c>
      <c r="F20" s="212" t="str">
        <f t="shared" ca="1" si="2"/>
        <v>-</v>
      </c>
      <c r="G20" s="212" t="str">
        <f t="shared" ca="1" si="7"/>
        <v>ANNUAL</v>
      </c>
      <c r="H20" s="212" t="str">
        <f t="shared" ca="1" si="3"/>
        <v>-</v>
      </c>
      <c r="I20" s="213" t="str">
        <f t="shared" ca="1" si="4"/>
        <v>0</v>
      </c>
      <c r="J20" s="212">
        <f ca="1">OFFSET(AGR!$B$8,AQ20,AR20)</f>
        <v>77.400000000000006</v>
      </c>
      <c r="K20" s="212"/>
      <c r="L20" s="212"/>
      <c r="M20" s="212"/>
      <c r="N20" s="212"/>
      <c r="O20" s="212"/>
      <c r="P20" s="212"/>
      <c r="Q20" s="212"/>
      <c r="R20" s="212"/>
      <c r="S20" s="212"/>
      <c r="T20" s="212"/>
      <c r="U20" s="212"/>
      <c r="V20" s="212"/>
      <c r="W20" s="212"/>
      <c r="X20" s="212"/>
      <c r="Y20" s="212"/>
      <c r="Z20" s="212"/>
      <c r="AA20" s="212"/>
      <c r="AB20" s="212"/>
      <c r="AC20" s="212"/>
      <c r="AD20" s="212"/>
      <c r="AE20" s="212"/>
      <c r="AF20" s="212"/>
      <c r="AG20" s="212"/>
      <c r="AH20" s="212"/>
      <c r="AI20" s="212"/>
      <c r="AJ20" s="212"/>
      <c r="AK20" s="212"/>
      <c r="AL20" s="212"/>
      <c r="AM20" s="212"/>
      <c r="AN20" s="212"/>
      <c r="AO20" s="212"/>
      <c r="AP20" s="212"/>
      <c r="AQ20" s="137">
        <f>IF(AR19=AGR!$B$4,AQ19+1,AQ19)</f>
        <v>1</v>
      </c>
      <c r="AR20" s="137">
        <f t="shared" si="8"/>
        <v>5</v>
      </c>
    </row>
    <row r="21" spans="1:44">
      <c r="A21" s="137" t="str">
        <f t="shared" ca="1" si="0"/>
        <v/>
      </c>
      <c r="B21" s="212" t="str">
        <f t="shared" ca="1" si="5"/>
        <v>FLO_EMIS</v>
      </c>
      <c r="C21" s="212" t="str">
        <f ca="1">IF($A21="*","","X"&amp;OFFSET(AGR!$B$6,0,AR21))</f>
        <v>XAGROKE</v>
      </c>
      <c r="D21" s="212" t="str">
        <f t="shared" ca="1" si="1"/>
        <v>AGRCO2</v>
      </c>
      <c r="E21" s="212" t="str">
        <f t="shared" ca="1" si="6"/>
        <v>AGROKE</v>
      </c>
      <c r="F21" s="212" t="str">
        <f t="shared" ca="1" si="2"/>
        <v>-</v>
      </c>
      <c r="G21" s="212" t="str">
        <f t="shared" ca="1" si="7"/>
        <v>ANNUAL</v>
      </c>
      <c r="H21" s="212" t="str">
        <f t="shared" ca="1" si="3"/>
        <v>-</v>
      </c>
      <c r="I21" s="213" t="str">
        <f t="shared" ca="1" si="4"/>
        <v>0</v>
      </c>
      <c r="J21" s="212">
        <f ca="1">OFFSET(AGR!$B$8,AQ21,AR21)</f>
        <v>71.900000000000006</v>
      </c>
      <c r="K21" s="212"/>
      <c r="L21" s="212"/>
      <c r="M21" s="212"/>
      <c r="N21" s="212"/>
      <c r="O21" s="212"/>
      <c r="P21" s="212"/>
      <c r="Q21" s="212"/>
      <c r="R21" s="212"/>
      <c r="S21" s="212"/>
      <c r="T21" s="212"/>
      <c r="U21" s="212"/>
      <c r="V21" s="212"/>
      <c r="W21" s="212"/>
      <c r="X21" s="212"/>
      <c r="Y21" s="212"/>
      <c r="Z21" s="212"/>
      <c r="AA21" s="212"/>
      <c r="AB21" s="212"/>
      <c r="AC21" s="212"/>
      <c r="AD21" s="212"/>
      <c r="AE21" s="212"/>
      <c r="AF21" s="212"/>
      <c r="AG21" s="212"/>
      <c r="AH21" s="212"/>
      <c r="AI21" s="212"/>
      <c r="AJ21" s="212"/>
      <c r="AK21" s="212"/>
      <c r="AL21" s="212"/>
      <c r="AM21" s="212"/>
      <c r="AN21" s="212"/>
      <c r="AO21" s="212"/>
      <c r="AP21" s="212"/>
      <c r="AQ21" s="137">
        <f>IF(AR20=AGR!$B$4,AQ20+1,AQ20)</f>
        <v>1</v>
      </c>
      <c r="AR21" s="137">
        <f t="shared" si="8"/>
        <v>6</v>
      </c>
    </row>
    <row r="22" spans="1:44">
      <c r="A22" s="137" t="str">
        <f t="shared" ca="1" si="0"/>
        <v/>
      </c>
      <c r="B22" s="212" t="str">
        <f t="shared" ca="1" si="5"/>
        <v>FLO_EMIS</v>
      </c>
      <c r="C22" s="212" t="str">
        <f ca="1">IF($A22="*","","X"&amp;OFFSET(AGR!$B$6,0,AR22))</f>
        <v>XAGROLP</v>
      </c>
      <c r="D22" s="212" t="str">
        <f t="shared" ca="1" si="1"/>
        <v>AGRCO2</v>
      </c>
      <c r="E22" s="212" t="str">
        <f t="shared" ca="1" si="6"/>
        <v>AGROLP</v>
      </c>
      <c r="F22" s="212" t="str">
        <f t="shared" ca="1" si="2"/>
        <v>-</v>
      </c>
      <c r="G22" s="212" t="str">
        <f t="shared" ca="1" si="7"/>
        <v>ANNUAL</v>
      </c>
      <c r="H22" s="212" t="str">
        <f t="shared" ca="1" si="3"/>
        <v>-</v>
      </c>
      <c r="I22" s="213" t="str">
        <f t="shared" ca="1" si="4"/>
        <v>0</v>
      </c>
      <c r="J22" s="212">
        <f ca="1">OFFSET(AGR!$B$8,AQ22,AR22)</f>
        <v>63.1</v>
      </c>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137">
        <f>IF(AR21=AGR!$B$4,AQ21+1,AQ21)</f>
        <v>1</v>
      </c>
      <c r="AR22" s="137">
        <f t="shared" si="8"/>
        <v>7</v>
      </c>
    </row>
    <row r="23" spans="1:44">
      <c r="A23" s="137" t="str">
        <f t="shared" ca="1" si="0"/>
        <v/>
      </c>
      <c r="B23" s="212" t="str">
        <f t="shared" ca="1" si="5"/>
        <v>FLO_EMIS</v>
      </c>
      <c r="C23" s="212" t="str">
        <f ca="1">IF($A23="*","","X"&amp;OFFSET(AGR!$B$6,0,AR23))</f>
        <v>XAGRCOA</v>
      </c>
      <c r="D23" s="212" t="str">
        <f t="shared" ca="1" si="1"/>
        <v>AGRCH4</v>
      </c>
      <c r="E23" s="212" t="str">
        <f t="shared" ca="1" si="6"/>
        <v>AGRCOA</v>
      </c>
      <c r="F23" s="212" t="str">
        <f t="shared" ca="1" si="2"/>
        <v>-</v>
      </c>
      <c r="G23" s="212" t="str">
        <f t="shared" ca="1" si="7"/>
        <v>ANNUAL</v>
      </c>
      <c r="H23" s="212" t="str">
        <f t="shared" ca="1" si="3"/>
        <v>-</v>
      </c>
      <c r="I23" s="213" t="str">
        <f t="shared" ca="1" si="4"/>
        <v>0</v>
      </c>
      <c r="J23" s="212">
        <f ca="1">OFFSET(AGR!$B$8,AQ23,AR23)</f>
        <v>1E-3</v>
      </c>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137">
        <f>IF(AR22=AGR!$B$4,AQ22+1,AQ22)</f>
        <v>2</v>
      </c>
      <c r="AR23" s="137">
        <f t="shared" si="8"/>
        <v>1</v>
      </c>
    </row>
    <row r="24" spans="1:44">
      <c r="A24" s="137" t="str">
        <f t="shared" ca="1" si="0"/>
        <v/>
      </c>
      <c r="B24" s="212" t="str">
        <f t="shared" ca="1" si="5"/>
        <v>FLO_EMIS</v>
      </c>
      <c r="C24" s="212" t="str">
        <f ca="1">IF($A24="*","","X"&amp;OFFSET(AGR!$B$6,0,AR24))</f>
        <v>XAGRODS</v>
      </c>
      <c r="D24" s="212" t="str">
        <f t="shared" ca="1" si="1"/>
        <v>AGRCH4</v>
      </c>
      <c r="E24" s="212" t="str">
        <f t="shared" ca="1" si="6"/>
        <v>AGRODS</v>
      </c>
      <c r="F24" s="212" t="str">
        <f t="shared" ca="1" si="2"/>
        <v>-</v>
      </c>
      <c r="G24" s="212" t="str">
        <f t="shared" ca="1" si="7"/>
        <v>ANNUAL</v>
      </c>
      <c r="H24" s="212" t="str">
        <f t="shared" ca="1" si="3"/>
        <v>-</v>
      </c>
      <c r="I24" s="213" t="str">
        <f t="shared" ca="1" si="4"/>
        <v>0</v>
      </c>
      <c r="J24" s="212">
        <f ca="1">OFFSET(AGR!$B$8,AQ24,AR24)</f>
        <v>3.0000000000000001E-3</v>
      </c>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212"/>
      <c r="AI24" s="212"/>
      <c r="AJ24" s="212"/>
      <c r="AK24" s="212"/>
      <c r="AL24" s="212"/>
      <c r="AM24" s="212"/>
      <c r="AN24" s="212"/>
      <c r="AO24" s="212"/>
      <c r="AP24" s="212"/>
      <c r="AQ24" s="137">
        <f>IF(AR23=AGR!$B$4,AQ23+1,AQ23)</f>
        <v>2</v>
      </c>
      <c r="AR24" s="137">
        <f t="shared" si="8"/>
        <v>2</v>
      </c>
    </row>
    <row r="25" spans="1:44">
      <c r="A25" s="137" t="str">
        <f t="shared" ca="1" si="0"/>
        <v>*</v>
      </c>
      <c r="B25" s="212" t="str">
        <f t="shared" ca="1" si="5"/>
        <v/>
      </c>
      <c r="C25" s="212" t="str">
        <f ca="1">IF($A25="*","","X"&amp;OFFSET(AGR!$B$6,0,AR25))</f>
        <v/>
      </c>
      <c r="D25" s="212" t="str">
        <f t="shared" ca="1" si="1"/>
        <v/>
      </c>
      <c r="E25" s="212" t="str">
        <f t="shared" ca="1" si="6"/>
        <v/>
      </c>
      <c r="F25" s="212" t="str">
        <f t="shared" ca="1" si="2"/>
        <v/>
      </c>
      <c r="G25" s="212" t="str">
        <f t="shared" ca="1" si="7"/>
        <v/>
      </c>
      <c r="H25" s="212" t="str">
        <f t="shared" ca="1" si="3"/>
        <v/>
      </c>
      <c r="I25" s="213" t="str">
        <f t="shared" ca="1" si="4"/>
        <v/>
      </c>
      <c r="J25" s="212">
        <f ca="1">OFFSET(AGR!$B$8,AQ25,AR25)</f>
        <v>0</v>
      </c>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137">
        <f>IF(AR24=AGR!$B$4,AQ24+1,AQ24)</f>
        <v>2</v>
      </c>
      <c r="AR25" s="137">
        <f t="shared" si="8"/>
        <v>3</v>
      </c>
    </row>
    <row r="26" spans="1:44">
      <c r="A26" s="137" t="str">
        <f t="shared" ca="1" si="0"/>
        <v/>
      </c>
      <c r="B26" s="212" t="str">
        <f t="shared" ca="1" si="5"/>
        <v>FLO_EMIS</v>
      </c>
      <c r="C26" s="212" t="str">
        <f ca="1">IF($A26="*","","X"&amp;OFFSET(AGR!$B$6,0,AR26))</f>
        <v>XAGROGS</v>
      </c>
      <c r="D26" s="212" t="str">
        <f t="shared" ca="1" si="1"/>
        <v>AGRCH4</v>
      </c>
      <c r="E26" s="212" t="str">
        <f t="shared" ca="1" si="6"/>
        <v>AGROGS</v>
      </c>
      <c r="F26" s="212" t="str">
        <f t="shared" ca="1" si="2"/>
        <v>-</v>
      </c>
      <c r="G26" s="212" t="str">
        <f t="shared" ca="1" si="7"/>
        <v>ANNUAL</v>
      </c>
      <c r="H26" s="212" t="str">
        <f t="shared" ca="1" si="3"/>
        <v>-</v>
      </c>
      <c r="I26" s="213" t="str">
        <f t="shared" ca="1" si="4"/>
        <v>0</v>
      </c>
      <c r="J26" s="212">
        <f ca="1">OFFSET(AGR!$B$8,AQ26,AR26)</f>
        <v>3.0000000000000001E-3</v>
      </c>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137">
        <f>IF(AR25=AGR!$B$4,AQ25+1,AQ25)</f>
        <v>2</v>
      </c>
      <c r="AR26" s="137">
        <f t="shared" si="8"/>
        <v>4</v>
      </c>
    </row>
    <row r="27" spans="1:44">
      <c r="A27" s="137" t="str">
        <f t="shared" ca="1" si="0"/>
        <v/>
      </c>
      <c r="B27" s="212" t="str">
        <f t="shared" ca="1" si="5"/>
        <v>FLO_EMIS</v>
      </c>
      <c r="C27" s="212" t="str">
        <f ca="1">IF($A27="*","","X"&amp;OFFSET(AGR!$B$6,0,AR27))</f>
        <v>XAGROHF</v>
      </c>
      <c r="D27" s="212" t="str">
        <f t="shared" ca="1" si="1"/>
        <v>AGRCH4</v>
      </c>
      <c r="E27" s="212" t="str">
        <f t="shared" ca="1" si="6"/>
        <v>AGROHF</v>
      </c>
      <c r="F27" s="212" t="str">
        <f t="shared" ca="1" si="2"/>
        <v>-</v>
      </c>
      <c r="G27" s="212" t="str">
        <f t="shared" ca="1" si="7"/>
        <v>ANNUAL</v>
      </c>
      <c r="H27" s="212" t="str">
        <f t="shared" ca="1" si="3"/>
        <v>-</v>
      </c>
      <c r="I27" s="213" t="str">
        <f t="shared" ca="1" si="4"/>
        <v>0</v>
      </c>
      <c r="J27" s="212">
        <f ca="1">OFFSET(AGR!$B$8,AQ27,AR27)</f>
        <v>3.0000000000000001E-3</v>
      </c>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137">
        <f>IF(AR26=AGR!$B$4,AQ26+1,AQ26)</f>
        <v>2</v>
      </c>
      <c r="AR27" s="137">
        <f t="shared" si="8"/>
        <v>5</v>
      </c>
    </row>
    <row r="28" spans="1:44">
      <c r="A28" s="137" t="str">
        <f t="shared" ca="1" si="0"/>
        <v/>
      </c>
      <c r="B28" s="212" t="str">
        <f t="shared" ca="1" si="5"/>
        <v>FLO_EMIS</v>
      </c>
      <c r="C28" s="212" t="str">
        <f ca="1">IF($A28="*","","X"&amp;OFFSET(AGR!$B$6,0,AR28))</f>
        <v>XAGROKE</v>
      </c>
      <c r="D28" s="212" t="str">
        <f t="shared" ca="1" si="1"/>
        <v>AGRCH4</v>
      </c>
      <c r="E28" s="212" t="str">
        <f t="shared" ca="1" si="6"/>
        <v>AGROKE</v>
      </c>
      <c r="F28" s="212" t="str">
        <f t="shared" ca="1" si="2"/>
        <v>-</v>
      </c>
      <c r="G28" s="212" t="str">
        <f t="shared" ca="1" si="7"/>
        <v>ANNUAL</v>
      </c>
      <c r="H28" s="212" t="str">
        <f t="shared" ca="1" si="3"/>
        <v>-</v>
      </c>
      <c r="I28" s="213" t="str">
        <f t="shared" ca="1" si="4"/>
        <v>0</v>
      </c>
      <c r="J28" s="212">
        <f ca="1">OFFSET(AGR!$B$8,AQ28,AR28)</f>
        <v>3.0000000000000001E-3</v>
      </c>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137">
        <f>IF(AR27=AGR!$B$4,AQ27+1,AQ27)</f>
        <v>2</v>
      </c>
      <c r="AR28" s="137">
        <f t="shared" si="8"/>
        <v>6</v>
      </c>
    </row>
    <row r="29" spans="1:44">
      <c r="A29" s="137" t="str">
        <f t="shared" ca="1" si="0"/>
        <v/>
      </c>
      <c r="B29" s="212" t="str">
        <f t="shared" ca="1" si="5"/>
        <v>FLO_EMIS</v>
      </c>
      <c r="C29" s="212" t="str">
        <f ca="1">IF($A29="*","","X"&amp;OFFSET(AGR!$B$6,0,AR29))</f>
        <v>XAGROLP</v>
      </c>
      <c r="D29" s="212" t="str">
        <f t="shared" ca="1" si="1"/>
        <v>AGRCH4</v>
      </c>
      <c r="E29" s="212" t="str">
        <f t="shared" ca="1" si="6"/>
        <v>AGROLP</v>
      </c>
      <c r="F29" s="212" t="str">
        <f t="shared" ca="1" si="2"/>
        <v>-</v>
      </c>
      <c r="G29" s="212" t="str">
        <f t="shared" ca="1" si="7"/>
        <v>ANNUAL</v>
      </c>
      <c r="H29" s="212" t="str">
        <f t="shared" ca="1" si="3"/>
        <v>-</v>
      </c>
      <c r="I29" s="213" t="str">
        <f t="shared" ca="1" si="4"/>
        <v>0</v>
      </c>
      <c r="J29" s="212">
        <f ca="1">OFFSET(AGR!$B$8,AQ29,AR29)</f>
        <v>1E-3</v>
      </c>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137">
        <f>IF(AR28=AGR!$B$4,AQ28+1,AQ28)</f>
        <v>2</v>
      </c>
      <c r="AR29" s="137">
        <f t="shared" si="8"/>
        <v>7</v>
      </c>
    </row>
    <row r="30" spans="1:44">
      <c r="A30" s="137" t="str">
        <f t="shared" ca="1" si="0"/>
        <v/>
      </c>
      <c r="B30" s="212" t="str">
        <f t="shared" ca="1" si="5"/>
        <v>FLO_EMIS</v>
      </c>
      <c r="C30" s="212" t="str">
        <f ca="1">IF($A30="*","","X"&amp;OFFSET(AGR!$B$6,0,AR30))</f>
        <v>XAGRCOA</v>
      </c>
      <c r="D30" s="212" t="str">
        <f t="shared" ca="1" si="1"/>
        <v>AGRN2O</v>
      </c>
      <c r="E30" s="212" t="str">
        <f t="shared" ca="1" si="6"/>
        <v>AGRCOA</v>
      </c>
      <c r="F30" s="212" t="str">
        <f t="shared" ca="1" si="2"/>
        <v>-</v>
      </c>
      <c r="G30" s="212" t="str">
        <f t="shared" ca="1" si="7"/>
        <v>ANNUAL</v>
      </c>
      <c r="H30" s="212" t="str">
        <f t="shared" ca="1" si="3"/>
        <v>-</v>
      </c>
      <c r="I30" s="213" t="str">
        <f t="shared" ca="1" si="4"/>
        <v>0</v>
      </c>
      <c r="J30" s="212">
        <f ca="1">OFFSET(AGR!$B$8,AQ30,AR30)</f>
        <v>1.4999999999999999E-2</v>
      </c>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137">
        <f>IF(AR29=AGR!$B$4,AQ29+1,AQ29)</f>
        <v>3</v>
      </c>
      <c r="AR30" s="137">
        <f t="shared" si="8"/>
        <v>1</v>
      </c>
    </row>
    <row r="31" spans="1:44">
      <c r="A31" s="137" t="str">
        <f t="shared" ca="1" si="0"/>
        <v/>
      </c>
      <c r="B31" s="212" t="str">
        <f t="shared" ca="1" si="5"/>
        <v>FLO_EMIS</v>
      </c>
      <c r="C31" s="212" t="str">
        <f ca="1">IF($A31="*","","X"&amp;OFFSET(AGR!$B$6,0,AR31))</f>
        <v>XAGRODS</v>
      </c>
      <c r="D31" s="212" t="str">
        <f t="shared" ca="1" si="1"/>
        <v>AGRN2O</v>
      </c>
      <c r="E31" s="212" t="str">
        <f t="shared" ca="1" si="6"/>
        <v>AGRODS</v>
      </c>
      <c r="F31" s="212" t="str">
        <f t="shared" ca="1" si="2"/>
        <v>-</v>
      </c>
      <c r="G31" s="212" t="str">
        <f t="shared" ca="1" si="7"/>
        <v>ANNUAL</v>
      </c>
      <c r="H31" s="212" t="str">
        <f t="shared" ca="1" si="3"/>
        <v>-</v>
      </c>
      <c r="I31" s="213" t="str">
        <f t="shared" ca="1" si="4"/>
        <v>0</v>
      </c>
      <c r="J31" s="212">
        <f ca="1">OFFSET(AGR!$B$8,AQ31,AR31)</f>
        <v>5.9999999999999995E-4</v>
      </c>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137">
        <f>IF(AR30=AGR!$B$4,AQ30+1,AQ30)</f>
        <v>3</v>
      </c>
      <c r="AR31" s="137">
        <f t="shared" si="8"/>
        <v>2</v>
      </c>
    </row>
    <row r="32" spans="1:44">
      <c r="A32" s="137" t="str">
        <f t="shared" ca="1" si="0"/>
        <v>*</v>
      </c>
      <c r="B32" s="212" t="str">
        <f t="shared" ca="1" si="5"/>
        <v/>
      </c>
      <c r="C32" s="212" t="str">
        <f ca="1">IF($A32="*","","X"&amp;OFFSET(AGR!$B$6,0,AR32))</f>
        <v/>
      </c>
      <c r="D32" s="212" t="str">
        <f t="shared" ca="1" si="1"/>
        <v/>
      </c>
      <c r="E32" s="212" t="str">
        <f t="shared" ca="1" si="6"/>
        <v/>
      </c>
      <c r="F32" s="212" t="str">
        <f t="shared" ca="1" si="2"/>
        <v/>
      </c>
      <c r="G32" s="212" t="str">
        <f t="shared" ca="1" si="7"/>
        <v/>
      </c>
      <c r="H32" s="212" t="str">
        <f t="shared" ca="1" si="3"/>
        <v/>
      </c>
      <c r="I32" s="213" t="str">
        <f t="shared" ca="1" si="4"/>
        <v/>
      </c>
      <c r="J32" s="212">
        <f ca="1">OFFSET(AGR!$B$8,AQ32,AR32)</f>
        <v>0</v>
      </c>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137">
        <f>IF(AR31=AGR!$B$4,AQ31+1,AQ31)</f>
        <v>3</v>
      </c>
      <c r="AR32" s="137">
        <f t="shared" si="8"/>
        <v>3</v>
      </c>
    </row>
    <row r="33" spans="1:44">
      <c r="A33" s="137" t="str">
        <f t="shared" ca="1" si="0"/>
        <v/>
      </c>
      <c r="B33" s="212" t="str">
        <f t="shared" ca="1" si="5"/>
        <v>FLO_EMIS</v>
      </c>
      <c r="C33" s="212" t="str">
        <f ca="1">IF($A33="*","","X"&amp;OFFSET(AGR!$B$6,0,AR33))</f>
        <v>XAGROGS</v>
      </c>
      <c r="D33" s="212" t="str">
        <f t="shared" ca="1" si="1"/>
        <v>AGRN2O</v>
      </c>
      <c r="E33" s="212" t="str">
        <f t="shared" ca="1" si="6"/>
        <v>AGROGS</v>
      </c>
      <c r="F33" s="212" t="str">
        <f t="shared" ca="1" si="2"/>
        <v>-</v>
      </c>
      <c r="G33" s="212" t="str">
        <f t="shared" ca="1" si="7"/>
        <v>ANNUAL</v>
      </c>
      <c r="H33" s="212" t="str">
        <f t="shared" ca="1" si="3"/>
        <v>-</v>
      </c>
      <c r="I33" s="213" t="str">
        <f t="shared" ca="1" si="4"/>
        <v>0</v>
      </c>
      <c r="J33" s="212">
        <f ca="1">OFFSET(AGR!$B$8,AQ33,AR33)</f>
        <v>5.9999999999999995E-4</v>
      </c>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137">
        <f>IF(AR32=AGR!$B$4,AQ32+1,AQ32)</f>
        <v>3</v>
      </c>
      <c r="AR33" s="137">
        <f t="shared" si="8"/>
        <v>4</v>
      </c>
    </row>
    <row r="34" spans="1:44">
      <c r="A34" s="137" t="str">
        <f t="shared" ca="1" si="0"/>
        <v/>
      </c>
      <c r="B34" s="212" t="str">
        <f t="shared" ca="1" si="5"/>
        <v>FLO_EMIS</v>
      </c>
      <c r="C34" s="212" t="str">
        <f ca="1">IF($A34="*","","X"&amp;OFFSET(AGR!$B$6,0,AR34))</f>
        <v>XAGROHF</v>
      </c>
      <c r="D34" s="212" t="str">
        <f t="shared" ca="1" si="1"/>
        <v>AGRN2O</v>
      </c>
      <c r="E34" s="212" t="str">
        <f t="shared" ca="1" si="6"/>
        <v>AGROHF</v>
      </c>
      <c r="F34" s="212" t="str">
        <f t="shared" ca="1" si="2"/>
        <v>-</v>
      </c>
      <c r="G34" s="212" t="str">
        <f t="shared" ca="1" si="7"/>
        <v>ANNUAL</v>
      </c>
      <c r="H34" s="212" t="str">
        <f t="shared" ca="1" si="3"/>
        <v>-</v>
      </c>
      <c r="I34" s="213" t="str">
        <f t="shared" ca="1" si="4"/>
        <v>0</v>
      </c>
      <c r="J34" s="212">
        <f ca="1">OFFSET(AGR!$B$8,AQ34,AR34)</f>
        <v>5.9999999999999995E-4</v>
      </c>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137">
        <f>IF(AR33=AGR!$B$4,AQ33+1,AQ33)</f>
        <v>3</v>
      </c>
      <c r="AR34" s="137">
        <f t="shared" si="8"/>
        <v>5</v>
      </c>
    </row>
    <row r="35" spans="1:44">
      <c r="A35" s="137" t="str">
        <f t="shared" ca="1" si="0"/>
        <v/>
      </c>
      <c r="B35" s="212" t="str">
        <f t="shared" ca="1" si="5"/>
        <v>FLO_EMIS</v>
      </c>
      <c r="C35" s="212" t="str">
        <f ca="1">IF($A35="*","","X"&amp;OFFSET(AGR!$B$6,0,AR35))</f>
        <v>XAGROKE</v>
      </c>
      <c r="D35" s="212" t="str">
        <f t="shared" ca="1" si="1"/>
        <v>AGRN2O</v>
      </c>
      <c r="E35" s="212" t="str">
        <f t="shared" ca="1" si="6"/>
        <v>AGROKE</v>
      </c>
      <c r="F35" s="212" t="str">
        <f t="shared" ca="1" si="2"/>
        <v>-</v>
      </c>
      <c r="G35" s="212" t="str">
        <f t="shared" ca="1" si="7"/>
        <v>ANNUAL</v>
      </c>
      <c r="H35" s="212" t="str">
        <f t="shared" ca="1" si="3"/>
        <v>-</v>
      </c>
      <c r="I35" s="213" t="str">
        <f t="shared" ca="1" si="4"/>
        <v>0</v>
      </c>
      <c r="J35" s="212">
        <f ca="1">OFFSET(AGR!$B$8,AQ35,AR35)</f>
        <v>5.9999999999999995E-4</v>
      </c>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137">
        <f>IF(AR34=AGR!$B$4,AQ34+1,AQ34)</f>
        <v>3</v>
      </c>
      <c r="AR35" s="137">
        <f t="shared" si="8"/>
        <v>6</v>
      </c>
    </row>
    <row r="36" spans="1:44">
      <c r="A36" s="137" t="str">
        <f t="shared" ca="1" si="0"/>
        <v/>
      </c>
      <c r="B36" s="212" t="str">
        <f t="shared" ca="1" si="5"/>
        <v>FLO_EMIS</v>
      </c>
      <c r="C36" s="212" t="str">
        <f ca="1">IF($A36="*","","X"&amp;OFFSET(AGR!$B$6,0,AR36))</f>
        <v>XAGROLP</v>
      </c>
      <c r="D36" s="212" t="str">
        <f t="shared" ca="1" si="1"/>
        <v>AGRN2O</v>
      </c>
      <c r="E36" s="212" t="str">
        <f t="shared" ca="1" si="6"/>
        <v>AGROLP</v>
      </c>
      <c r="F36" s="212" t="str">
        <f t="shared" ca="1" si="2"/>
        <v>-</v>
      </c>
      <c r="G36" s="212" t="str">
        <f t="shared" ca="1" si="7"/>
        <v>ANNUAL</v>
      </c>
      <c r="H36" s="212" t="str">
        <f t="shared" ca="1" si="3"/>
        <v>-</v>
      </c>
      <c r="I36" s="213" t="str">
        <f t="shared" ca="1" si="4"/>
        <v>0</v>
      </c>
      <c r="J36" s="212">
        <f ca="1">OFFSET(AGR!$B$8,AQ36,AR36)</f>
        <v>1E-4</v>
      </c>
      <c r="K36" s="212"/>
      <c r="L36" s="212"/>
      <c r="M36" s="212"/>
      <c r="N36" s="212"/>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137">
        <f>IF(AR35=AGR!$B$4,AQ35+1,AQ35)</f>
        <v>3</v>
      </c>
      <c r="AR36" s="137">
        <f t="shared" si="8"/>
        <v>7</v>
      </c>
    </row>
    <row r="37" spans="1:44">
      <c r="A37" s="137" t="str">
        <f t="shared" ca="1" si="0"/>
        <v/>
      </c>
      <c r="B37" s="212" t="str">
        <f t="shared" ca="1" si="5"/>
        <v>FLO_EMIS</v>
      </c>
      <c r="C37" s="212" t="str">
        <f ca="1">IF($A37="*","","X"&amp;OFFSET(AGR!$B$6,0,AR37))</f>
        <v>XAGRCOA</v>
      </c>
      <c r="D37" s="212" t="str">
        <f t="shared" ca="1" si="1"/>
        <v>AGRSOX</v>
      </c>
      <c r="E37" s="212" t="str">
        <f t="shared" ca="1" si="6"/>
        <v>AGRCOA</v>
      </c>
      <c r="F37" s="212" t="str">
        <f t="shared" ca="1" si="2"/>
        <v>-</v>
      </c>
      <c r="G37" s="212" t="str">
        <f t="shared" ca="1" si="7"/>
        <v>ANNUAL</v>
      </c>
      <c r="H37" s="212" t="str">
        <f t="shared" ca="1" si="3"/>
        <v>-</v>
      </c>
      <c r="I37" s="213" t="str">
        <f t="shared" ca="1" si="4"/>
        <v>0</v>
      </c>
      <c r="J37" s="212">
        <f ca="1">OFFSET(AGR!$B$8,AQ37,AR37)</f>
        <v>0.45440000000000003</v>
      </c>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137">
        <f>IF(AR36=AGR!$B$4,AQ36+1,AQ36)</f>
        <v>4</v>
      </c>
      <c r="AR37" s="137">
        <f t="shared" si="8"/>
        <v>1</v>
      </c>
    </row>
    <row r="38" spans="1:44">
      <c r="A38" s="137" t="str">
        <f t="shared" ca="1" si="0"/>
        <v/>
      </c>
      <c r="B38" s="212" t="str">
        <f t="shared" ca="1" si="5"/>
        <v>FLO_EMIS</v>
      </c>
      <c r="C38" s="212" t="str">
        <f ca="1">IF($A38="*","","X"&amp;OFFSET(AGR!$B$6,0,AR38))</f>
        <v>XAGRODS</v>
      </c>
      <c r="D38" s="212" t="str">
        <f t="shared" ca="1" si="1"/>
        <v>AGRSOX</v>
      </c>
      <c r="E38" s="212" t="str">
        <f t="shared" ca="1" si="6"/>
        <v>AGRODS</v>
      </c>
      <c r="F38" s="212" t="str">
        <f t="shared" ca="1" si="2"/>
        <v>-</v>
      </c>
      <c r="G38" s="212" t="str">
        <f t="shared" ca="1" si="7"/>
        <v>ANNUAL</v>
      </c>
      <c r="H38" s="212" t="str">
        <f t="shared" ca="1" si="3"/>
        <v>-</v>
      </c>
      <c r="I38" s="213" t="str">
        <f t="shared" ca="1" si="4"/>
        <v>0</v>
      </c>
      <c r="J38" s="212">
        <f ca="1">OFFSET(AGR!$B$8,AQ38,AR38)</f>
        <v>0.25290000000000001</v>
      </c>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137">
        <f>IF(AR37=AGR!$B$4,AQ37+1,AQ37)</f>
        <v>4</v>
      </c>
      <c r="AR38" s="137">
        <f t="shared" si="8"/>
        <v>2</v>
      </c>
    </row>
    <row r="39" spans="1:44">
      <c r="A39" s="137" t="str">
        <f t="shared" ca="1" si="0"/>
        <v>*</v>
      </c>
      <c r="B39" s="212" t="str">
        <f t="shared" ca="1" si="5"/>
        <v/>
      </c>
      <c r="C39" s="212" t="str">
        <f ca="1">IF($A39="*","","X"&amp;OFFSET(AGR!$B$6,0,AR39))</f>
        <v/>
      </c>
      <c r="D39" s="212" t="str">
        <f t="shared" ca="1" si="1"/>
        <v/>
      </c>
      <c r="E39" s="212" t="str">
        <f t="shared" ca="1" si="6"/>
        <v/>
      </c>
      <c r="F39" s="212" t="str">
        <f t="shared" ca="1" si="2"/>
        <v/>
      </c>
      <c r="G39" s="212" t="str">
        <f t="shared" ca="1" si="7"/>
        <v/>
      </c>
      <c r="H39" s="212" t="str">
        <f t="shared" ca="1" si="3"/>
        <v/>
      </c>
      <c r="I39" s="213" t="str">
        <f t="shared" ca="1" si="4"/>
        <v/>
      </c>
      <c r="J39" s="212">
        <f ca="1">OFFSET(AGR!$B$8,AQ39,AR39)</f>
        <v>0</v>
      </c>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137">
        <f>IF(AR38=AGR!$B$4,AQ38+1,AQ38)</f>
        <v>4</v>
      </c>
      <c r="AR39" s="137">
        <f t="shared" si="8"/>
        <v>3</v>
      </c>
    </row>
    <row r="40" spans="1:44">
      <c r="A40" s="137" t="str">
        <f t="shared" ca="1" si="0"/>
        <v/>
      </c>
      <c r="B40" s="212" t="str">
        <f t="shared" ca="1" si="5"/>
        <v>FLO_EMIS</v>
      </c>
      <c r="C40" s="212" t="str">
        <f ca="1">IF($A40="*","","X"&amp;OFFSET(AGR!$B$6,0,AR40))</f>
        <v>XAGROGS</v>
      </c>
      <c r="D40" s="212" t="str">
        <f t="shared" ca="1" si="1"/>
        <v>AGRSOX</v>
      </c>
      <c r="E40" s="212" t="str">
        <f t="shared" ca="1" si="6"/>
        <v>AGROGS</v>
      </c>
      <c r="F40" s="212" t="str">
        <f t="shared" ca="1" si="2"/>
        <v>-</v>
      </c>
      <c r="G40" s="212" t="str">
        <f t="shared" ca="1" si="7"/>
        <v>ANNUAL</v>
      </c>
      <c r="H40" s="212" t="str">
        <f t="shared" ca="1" si="3"/>
        <v>-</v>
      </c>
      <c r="I40" s="213" t="str">
        <f t="shared" ca="1" si="4"/>
        <v>0</v>
      </c>
      <c r="J40" s="212">
        <f ca="1">OFFSET(AGR!$B$8,AQ40,AR40)</f>
        <v>4.6699999999999998E-2</v>
      </c>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137">
        <f>IF(AR39=AGR!$B$4,AQ39+1,AQ39)</f>
        <v>4</v>
      </c>
      <c r="AR40" s="137">
        <f t="shared" si="8"/>
        <v>4</v>
      </c>
    </row>
    <row r="41" spans="1:44">
      <c r="A41" s="137" t="str">
        <f t="shared" ca="1" si="0"/>
        <v/>
      </c>
      <c r="B41" s="212" t="str">
        <f t="shared" ca="1" si="5"/>
        <v>FLO_EMIS</v>
      </c>
      <c r="C41" s="212" t="str">
        <f ca="1">IF($A41="*","","X"&amp;OFFSET(AGR!$B$6,0,AR41))</f>
        <v>XAGROHF</v>
      </c>
      <c r="D41" s="212" t="str">
        <f t="shared" ca="1" si="1"/>
        <v>AGRSOX</v>
      </c>
      <c r="E41" s="212" t="str">
        <f t="shared" ca="1" si="6"/>
        <v>AGROHF</v>
      </c>
      <c r="F41" s="212" t="str">
        <f t="shared" ca="1" si="2"/>
        <v>-</v>
      </c>
      <c r="G41" s="212" t="str">
        <f t="shared" ca="1" si="7"/>
        <v>ANNUAL</v>
      </c>
      <c r="H41" s="212" t="str">
        <f t="shared" ca="1" si="3"/>
        <v>-</v>
      </c>
      <c r="I41" s="213" t="str">
        <f t="shared" ca="1" si="4"/>
        <v>0</v>
      </c>
      <c r="J41" s="212">
        <f ca="1">OFFSET(AGR!$B$8,AQ41,AR41)</f>
        <v>1.5290999999999999</v>
      </c>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137">
        <f>IF(AR40=AGR!$B$4,AQ40+1,AQ40)</f>
        <v>4</v>
      </c>
      <c r="AR41" s="137">
        <f t="shared" si="8"/>
        <v>5</v>
      </c>
    </row>
    <row r="42" spans="1:44">
      <c r="A42" s="137" t="str">
        <f t="shared" ca="1" si="0"/>
        <v>*</v>
      </c>
      <c r="B42" s="212" t="str">
        <f t="shared" ca="1" si="5"/>
        <v/>
      </c>
      <c r="C42" s="212" t="str">
        <f ca="1">IF($A42="*","","X"&amp;OFFSET(AGR!$B$6,0,AR42))</f>
        <v/>
      </c>
      <c r="D42" s="212" t="str">
        <f t="shared" ca="1" si="1"/>
        <v/>
      </c>
      <c r="E42" s="212" t="str">
        <f t="shared" ca="1" si="6"/>
        <v/>
      </c>
      <c r="F42" s="212" t="str">
        <f t="shared" ca="1" si="2"/>
        <v/>
      </c>
      <c r="G42" s="212" t="str">
        <f t="shared" ca="1" si="7"/>
        <v/>
      </c>
      <c r="H42" s="212" t="str">
        <f t="shared" ca="1" si="3"/>
        <v/>
      </c>
      <c r="I42" s="213" t="str">
        <f t="shared" ca="1" si="4"/>
        <v/>
      </c>
      <c r="J42" s="212">
        <f ca="1">OFFSET(AGR!$B$8,AQ42,AR42)</f>
        <v>0</v>
      </c>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137">
        <f>IF(AR41=AGR!$B$4,AQ41+1,AQ41)</f>
        <v>4</v>
      </c>
      <c r="AR42" s="137">
        <f t="shared" si="8"/>
        <v>6</v>
      </c>
    </row>
    <row r="43" spans="1:44">
      <c r="A43" s="137" t="str">
        <f t="shared" ca="1" si="0"/>
        <v>*</v>
      </c>
      <c r="B43" s="212" t="str">
        <f t="shared" ca="1" si="5"/>
        <v/>
      </c>
      <c r="C43" s="212" t="str">
        <f ca="1">IF($A43="*","","X"&amp;OFFSET(AGR!$B$6,0,AR43))</f>
        <v/>
      </c>
      <c r="D43" s="212" t="str">
        <f t="shared" ca="1" si="1"/>
        <v/>
      </c>
      <c r="E43" s="212" t="str">
        <f t="shared" ca="1" si="6"/>
        <v/>
      </c>
      <c r="F43" s="212" t="str">
        <f t="shared" ca="1" si="2"/>
        <v/>
      </c>
      <c r="G43" s="212" t="str">
        <f t="shared" ca="1" si="7"/>
        <v/>
      </c>
      <c r="H43" s="212" t="str">
        <f t="shared" ca="1" si="3"/>
        <v/>
      </c>
      <c r="I43" s="213" t="str">
        <f t="shared" ca="1" si="4"/>
        <v/>
      </c>
      <c r="J43" s="212">
        <f ca="1">OFFSET(AGR!$B$8,AQ43,AR43)</f>
        <v>0</v>
      </c>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137">
        <f>IF(AR42=AGR!$B$4,AQ42+1,AQ42)</f>
        <v>4</v>
      </c>
      <c r="AR43" s="137">
        <f t="shared" si="8"/>
        <v>7</v>
      </c>
    </row>
    <row r="44" spans="1:44">
      <c r="A44" s="137" t="str">
        <f t="shared" ca="1" si="0"/>
        <v/>
      </c>
      <c r="B44" s="212" t="str">
        <f t="shared" ca="1" si="5"/>
        <v>FLO_EMIS</v>
      </c>
      <c r="C44" s="212" t="str">
        <f ca="1">IF($A44="*","","X"&amp;OFFSET(AGR!$B$6,0,AR44))</f>
        <v>XAGRCOA</v>
      </c>
      <c r="D44" s="212" t="str">
        <f t="shared" ca="1" si="1"/>
        <v>AGRNOX</v>
      </c>
      <c r="E44" s="212" t="str">
        <f t="shared" ca="1" si="6"/>
        <v>AGRCOA</v>
      </c>
      <c r="F44" s="212" t="str">
        <f t="shared" ca="1" si="2"/>
        <v>-</v>
      </c>
      <c r="G44" s="212" t="str">
        <f t="shared" ca="1" si="7"/>
        <v>ANNUAL</v>
      </c>
      <c r="H44" s="212" t="str">
        <f t="shared" ca="1" si="3"/>
        <v>-</v>
      </c>
      <c r="I44" s="213" t="str">
        <f t="shared" ca="1" si="4"/>
        <v>0</v>
      </c>
      <c r="J44" s="212">
        <f ca="1">OFFSET(AGR!$B$8,AQ44,AR44)</f>
        <v>0.1</v>
      </c>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137">
        <f>IF(AR43=AGR!$B$4,AQ43+1,AQ43)</f>
        <v>5</v>
      </c>
      <c r="AR44" s="137">
        <f t="shared" si="8"/>
        <v>1</v>
      </c>
    </row>
    <row r="45" spans="1:44">
      <c r="A45" s="137" t="str">
        <f t="shared" ca="1" si="0"/>
        <v/>
      </c>
      <c r="B45" s="212" t="str">
        <f t="shared" ca="1" si="5"/>
        <v>FLO_EMIS</v>
      </c>
      <c r="C45" s="212" t="str">
        <f ca="1">IF($A45="*","","X"&amp;OFFSET(AGR!$B$6,0,AR45))</f>
        <v>XAGRODS</v>
      </c>
      <c r="D45" s="212" t="str">
        <f t="shared" ca="1" si="1"/>
        <v>AGRNOX</v>
      </c>
      <c r="E45" s="212" t="str">
        <f t="shared" ca="1" si="6"/>
        <v>AGRODS</v>
      </c>
      <c r="F45" s="212" t="str">
        <f t="shared" ca="1" si="2"/>
        <v>-</v>
      </c>
      <c r="G45" s="212" t="str">
        <f t="shared" ca="1" si="7"/>
        <v>ANNUAL</v>
      </c>
      <c r="H45" s="212" t="str">
        <f t="shared" ca="1" si="3"/>
        <v>-</v>
      </c>
      <c r="I45" s="213" t="str">
        <f t="shared" ca="1" si="4"/>
        <v>0</v>
      </c>
      <c r="J45" s="212">
        <f ca="1">OFFSET(AGR!$B$8,AQ45,AR45)</f>
        <v>0.1</v>
      </c>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137">
        <f>IF(AR44=AGR!$B$4,AQ44+1,AQ44)</f>
        <v>5</v>
      </c>
      <c r="AR45" s="137">
        <f t="shared" si="8"/>
        <v>2</v>
      </c>
    </row>
    <row r="46" spans="1:44">
      <c r="A46" s="137" t="str">
        <f t="shared" ca="1" si="0"/>
        <v>*</v>
      </c>
      <c r="B46" s="212" t="str">
        <f ca="1">IF(A46="*","",VLOOKUP("*"&amp;AQ46,$A$10:$B$48,2,FALSE))</f>
        <v/>
      </c>
      <c r="C46" s="212" t="str">
        <f ca="1">IF($A46="*","","X"&amp;OFFSET(AGR!$B$6,0,AR46))</f>
        <v/>
      </c>
      <c r="D46" s="212" t="str">
        <f t="shared" ca="1" si="1"/>
        <v/>
      </c>
      <c r="E46" s="212" t="str">
        <f ca="1">IF(A46="*","",RIGHT(C46,6))</f>
        <v/>
      </c>
      <c r="F46" s="212" t="str">
        <f t="shared" ca="1" si="2"/>
        <v/>
      </c>
      <c r="G46" s="212" t="str">
        <f ca="1">IF(A46="*","","ANNUAL")</f>
        <v/>
      </c>
      <c r="H46" s="212" t="str">
        <f t="shared" ca="1" si="3"/>
        <v/>
      </c>
      <c r="I46" s="213" t="str">
        <f t="shared" ca="1" si="4"/>
        <v/>
      </c>
      <c r="J46" s="212">
        <f ca="1">OFFSET(AGR!$B$8,AQ46,AR46)</f>
        <v>0</v>
      </c>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137">
        <f>IF(AR45=AGR!$B$4,AQ45+1,AQ45)</f>
        <v>5</v>
      </c>
      <c r="AR46" s="137">
        <f t="shared" si="8"/>
        <v>3</v>
      </c>
    </row>
    <row r="47" spans="1:44">
      <c r="A47" s="137" t="str">
        <f t="shared" ca="1" si="0"/>
        <v/>
      </c>
      <c r="B47" s="212" t="str">
        <f ca="1">IF(A47="*","",VLOOKUP("*"&amp;AQ47,$A$10:$B$48,2,FALSE))</f>
        <v>FLO_EMIS</v>
      </c>
      <c r="C47" s="212" t="str">
        <f ca="1">IF($A47="*","","X"&amp;OFFSET(AGR!$B$6,0,AR47))</f>
        <v>XAGROGS</v>
      </c>
      <c r="D47" s="212" t="str">
        <f t="shared" ca="1" si="1"/>
        <v>AGRNOX</v>
      </c>
      <c r="E47" s="212" t="str">
        <f ca="1">IF(A47="*","",RIGHT(C47,6))</f>
        <v>AGROGS</v>
      </c>
      <c r="F47" s="212" t="str">
        <f t="shared" ca="1" si="2"/>
        <v>-</v>
      </c>
      <c r="G47" s="212" t="str">
        <f ca="1">IF(A47="*","","ANNUAL")</f>
        <v>ANNUAL</v>
      </c>
      <c r="H47" s="212" t="str">
        <f t="shared" ca="1" si="3"/>
        <v>-</v>
      </c>
      <c r="I47" s="213" t="str">
        <f t="shared" ca="1" si="4"/>
        <v>0</v>
      </c>
      <c r="J47" s="212">
        <f ca="1">OFFSET(AGR!$B$8,AQ47,AR47)</f>
        <v>0.1</v>
      </c>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137">
        <f>IF(AR46=AGR!$B$4,AQ46+1,AQ46)</f>
        <v>5</v>
      </c>
      <c r="AR47" s="137">
        <f t="shared" si="8"/>
        <v>4</v>
      </c>
    </row>
    <row r="48" spans="1:44">
      <c r="A48" s="137" t="str">
        <f t="shared" ca="1" si="0"/>
        <v/>
      </c>
      <c r="B48" s="212" t="str">
        <f t="shared" ca="1" si="5"/>
        <v>FLO_EMIS</v>
      </c>
      <c r="C48" s="212" t="str">
        <f ca="1">IF($A48="*","","X"&amp;OFFSET(AGR!$B$6,0,AR48))</f>
        <v>XAGROHF</v>
      </c>
      <c r="D48" s="212" t="str">
        <f t="shared" ca="1" si="1"/>
        <v>AGRNOX</v>
      </c>
      <c r="E48" s="212" t="str">
        <f t="shared" ca="1" si="6"/>
        <v>AGROHF</v>
      </c>
      <c r="F48" s="212" t="str">
        <f t="shared" ca="1" si="2"/>
        <v>-</v>
      </c>
      <c r="G48" s="212" t="str">
        <f t="shared" ca="1" si="7"/>
        <v>ANNUAL</v>
      </c>
      <c r="H48" s="212" t="str">
        <f t="shared" ca="1" si="3"/>
        <v>-</v>
      </c>
      <c r="I48" s="213" t="str">
        <f t="shared" ca="1" si="4"/>
        <v>0</v>
      </c>
      <c r="J48" s="212">
        <f ca="1">OFFSET(AGR!$B$8,AQ48,AR48)</f>
        <v>0.1</v>
      </c>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137">
        <f>IF(AR47=AGR!$B$4,AQ47+1,AQ47)</f>
        <v>5</v>
      </c>
      <c r="AR48" s="137">
        <f t="shared" si="8"/>
        <v>5</v>
      </c>
    </row>
    <row r="49" spans="1:44">
      <c r="A49" s="137" t="str">
        <f t="shared" ca="1" si="0"/>
        <v>*</v>
      </c>
      <c r="B49" s="212" t="str">
        <f t="shared" ca="1" si="5"/>
        <v/>
      </c>
      <c r="C49" s="212" t="str">
        <f ca="1">IF($A49="*","","X"&amp;OFFSET(AGR!$B$6,0,AR49))</f>
        <v/>
      </c>
      <c r="D49" s="212" t="str">
        <f ca="1">IF(A49="*","",VLOOKUP("*"&amp;AQ49,$A$10:$D$14,4,FALSE))</f>
        <v/>
      </c>
      <c r="E49" s="212" t="str">
        <f t="shared" ca="1" si="6"/>
        <v/>
      </c>
      <c r="F49" s="212" t="str">
        <f t="shared" ca="1" si="2"/>
        <v/>
      </c>
      <c r="G49" s="212" t="str">
        <f t="shared" ca="1" si="7"/>
        <v/>
      </c>
      <c r="H49" s="212" t="str">
        <f t="shared" ca="1" si="3"/>
        <v/>
      </c>
      <c r="I49" s="213" t="str">
        <f t="shared" ca="1" si="4"/>
        <v/>
      </c>
      <c r="J49" s="212">
        <f ca="1">OFFSET(AGR!$B$8,AQ49,AR49)</f>
        <v>0</v>
      </c>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137">
        <f>IF(AR48=AGR!$B$4,AQ48+1,AQ48)</f>
        <v>5</v>
      </c>
      <c r="AR49" s="137">
        <f t="shared" si="8"/>
        <v>6</v>
      </c>
    </row>
    <row r="50" spans="1:44">
      <c r="A50" s="137" t="str">
        <f t="shared" ca="1" si="0"/>
        <v>*</v>
      </c>
      <c r="B50" s="212" t="str">
        <f t="shared" ca="1" si="5"/>
        <v/>
      </c>
      <c r="C50" s="212" t="str">
        <f ca="1">IF($A50="*","","X"&amp;OFFSET(AGR!$B$6,0,AR50))</f>
        <v/>
      </c>
      <c r="D50" s="212" t="str">
        <f ca="1">IF(A50="*","",VLOOKUP("*"&amp;AQ50,$A$10:$D$14,4,FALSE))</f>
        <v/>
      </c>
      <c r="E50" s="212" t="str">
        <f t="shared" ca="1" si="6"/>
        <v/>
      </c>
      <c r="F50" s="212" t="str">
        <f t="shared" ca="1" si="2"/>
        <v/>
      </c>
      <c r="G50" s="212" t="str">
        <f t="shared" ca="1" si="7"/>
        <v/>
      </c>
      <c r="H50" s="212" t="str">
        <f t="shared" ca="1" si="3"/>
        <v/>
      </c>
      <c r="I50" s="213" t="str">
        <f t="shared" ca="1" si="4"/>
        <v/>
      </c>
      <c r="J50" s="212">
        <f ca="1">OFFSET(AGR!$B$8,AQ50,AR50)</f>
        <v>0</v>
      </c>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137">
        <f>IF(AR49=AGR!$B$4,AQ49+1,AQ49)</f>
        <v>5</v>
      </c>
      <c r="AR50" s="137">
        <f t="shared" si="8"/>
        <v>7</v>
      </c>
    </row>
    <row r="51" spans="1:44">
      <c r="A51" s="137" t="str">
        <f t="shared" si="0"/>
        <v>*</v>
      </c>
      <c r="B51" s="212"/>
      <c r="C51" s="212"/>
      <c r="D51" s="212"/>
      <c r="E51" s="212"/>
      <c r="F51" s="212"/>
      <c r="G51" s="212"/>
      <c r="H51" s="212"/>
      <c r="I51" s="213"/>
      <c r="J51" s="212"/>
      <c r="K51" s="207"/>
      <c r="L51" s="207"/>
      <c r="M51" s="207"/>
      <c r="N51" s="207"/>
      <c r="O51" s="207"/>
      <c r="P51" s="207"/>
      <c r="Q51" s="207"/>
      <c r="R51" s="207"/>
      <c r="S51" s="207"/>
      <c r="T51" s="207"/>
      <c r="U51" s="207"/>
      <c r="V51" s="207"/>
      <c r="W51" s="207"/>
      <c r="X51" s="207"/>
      <c r="Y51" s="207"/>
      <c r="Z51" s="207"/>
      <c r="AA51" s="207"/>
      <c r="AB51" s="207"/>
      <c r="AC51" s="207"/>
      <c r="AD51" s="207"/>
      <c r="AE51" s="207"/>
      <c r="AF51" s="207"/>
      <c r="AG51" s="207"/>
      <c r="AH51" s="207"/>
      <c r="AI51" s="207"/>
      <c r="AJ51" s="207"/>
      <c r="AK51" s="207"/>
      <c r="AL51" s="207"/>
      <c r="AM51" s="207"/>
      <c r="AN51" s="207"/>
      <c r="AO51" s="207"/>
      <c r="AP51" s="207"/>
    </row>
    <row r="52" spans="1:44">
      <c r="B52" s="212"/>
      <c r="C52" s="212"/>
      <c r="D52" s="212"/>
      <c r="E52" s="212"/>
      <c r="F52" s="212"/>
      <c r="G52" s="212"/>
      <c r="H52" s="212"/>
      <c r="I52" s="213"/>
      <c r="J52" s="212"/>
      <c r="K52" s="207"/>
      <c r="L52" s="207"/>
      <c r="M52" s="207"/>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207"/>
      <c r="AL52" s="207"/>
      <c r="AM52" s="207"/>
      <c r="AN52" s="207"/>
      <c r="AO52" s="207"/>
      <c r="AP52" s="207"/>
    </row>
    <row r="53" spans="1:44">
      <c r="B53" s="212"/>
      <c r="C53" s="212"/>
      <c r="D53" s="212"/>
      <c r="E53" s="212"/>
      <c r="F53" s="212"/>
      <c r="G53" s="212"/>
      <c r="H53" s="212"/>
      <c r="I53" s="213"/>
      <c r="J53" s="207"/>
      <c r="K53" s="207"/>
      <c r="L53" s="207"/>
      <c r="M53" s="207"/>
      <c r="N53" s="207"/>
      <c r="O53" s="207"/>
      <c r="P53" s="207"/>
      <c r="Q53" s="207"/>
      <c r="R53" s="207"/>
      <c r="S53" s="207"/>
      <c r="T53" s="207"/>
      <c r="U53" s="207"/>
      <c r="V53" s="207"/>
      <c r="W53" s="207"/>
      <c r="X53" s="207"/>
      <c r="Y53" s="207"/>
      <c r="Z53" s="207"/>
      <c r="AA53" s="207"/>
      <c r="AB53" s="207"/>
      <c r="AC53" s="207"/>
      <c r="AD53" s="207"/>
      <c r="AE53" s="207"/>
      <c r="AF53" s="207"/>
      <c r="AG53" s="207"/>
      <c r="AH53" s="207"/>
      <c r="AI53" s="207"/>
      <c r="AJ53" s="207"/>
      <c r="AK53" s="207"/>
      <c r="AL53" s="207"/>
      <c r="AM53" s="207"/>
      <c r="AN53" s="207"/>
      <c r="AO53" s="207"/>
      <c r="AP53" s="207"/>
    </row>
  </sheetData>
  <pageMargins left="0.75" right="0.75" top="1" bottom="1" header="0.5" footer="0.5"/>
  <headerFooter alignWithMargins="0"/>
  <drawing r:id="rId1"/>
  <legacyDrawing r:id="rId2"/>
  <controls>
    <mc:AlternateContent xmlns:mc="http://schemas.openxmlformats.org/markup-compatibility/2006">
      <mc:Choice Requires="x14">
        <control shapeId="248841"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248841" r:id="rId3" name="cmdSpecifyIEOptcode"/>
      </mc:Fallback>
    </mc:AlternateContent>
    <mc:AlternateContent xmlns:mc="http://schemas.openxmlformats.org/markup-compatibility/2006">
      <mc:Choice Requires="x14">
        <control shapeId="24884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248840" r:id="rId5" name="cmdSpecifyArg6"/>
      </mc:Fallback>
    </mc:AlternateContent>
    <mc:AlternateContent xmlns:mc="http://schemas.openxmlformats.org/markup-compatibility/2006">
      <mc:Choice Requires="x14">
        <control shapeId="24883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248839" r:id="rId7" name="cmdSpecifyArg5"/>
      </mc:Fallback>
    </mc:AlternateContent>
    <mc:AlternateContent xmlns:mc="http://schemas.openxmlformats.org/markup-compatibility/2006">
      <mc:Choice Requires="x14">
        <control shapeId="24883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248838" r:id="rId9" name="cmdSpecifyArg4"/>
      </mc:Fallback>
    </mc:AlternateContent>
    <mc:AlternateContent xmlns:mc="http://schemas.openxmlformats.org/markup-compatibility/2006">
      <mc:Choice Requires="x14">
        <control shapeId="24883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8837" r:id="rId11" name="cmdSpecifyArg3"/>
      </mc:Fallback>
    </mc:AlternateContent>
    <mc:AlternateContent xmlns:mc="http://schemas.openxmlformats.org/markup-compatibility/2006">
      <mc:Choice Requires="x14">
        <control shapeId="248836"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248836" r:id="rId13" name="cmdSpecifyArg2"/>
      </mc:Fallback>
    </mc:AlternateContent>
    <mc:AlternateContent xmlns:mc="http://schemas.openxmlformats.org/markup-compatibility/2006">
      <mc:Choice Requires="x14">
        <control shapeId="248835"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248835" r:id="rId15" name="cmdSpecifyArg1"/>
      </mc:Fallback>
    </mc:AlternateContent>
    <mc:AlternateContent xmlns:mc="http://schemas.openxmlformats.org/markup-compatibility/2006">
      <mc:Choice Requires="x14">
        <control shapeId="24883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248834" r:id="rId17" name="cmdSpecifyParameter"/>
      </mc:Fallback>
    </mc:AlternateContent>
    <mc:AlternateContent xmlns:mc="http://schemas.openxmlformats.org/markup-compatibility/2006">
      <mc:Choice Requires="x14">
        <control shapeId="248833"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248833" r:id="rId19" name="cmdCheckTSandTIDDataSheet"/>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dimension ref="A1:M52"/>
  <sheetViews>
    <sheetView workbookViewId="0">
      <pane xSplit="8" ySplit="8" topLeftCell="I18" activePane="bottomRight" state="frozen"/>
      <selection activeCell="B3" sqref="B3"/>
      <selection pane="topRight" activeCell="B3" sqref="B3"/>
      <selection pane="bottomLeft" activeCell="B3" sqref="B3"/>
      <selection pane="bottomRight" activeCell="J8" sqref="J8"/>
    </sheetView>
  </sheetViews>
  <sheetFormatPr defaultColWidth="9.140625" defaultRowHeight="11.25"/>
  <cols>
    <col min="1" max="1" width="12.140625" style="137" customWidth="1"/>
    <col min="2" max="2" width="12" style="137" customWidth="1"/>
    <col min="3" max="3" width="11.140625" style="137" customWidth="1"/>
    <col min="4" max="8" width="9.140625" style="137"/>
    <col min="9" max="9" width="7.42578125" style="209" customWidth="1"/>
    <col min="10" max="10" width="8" style="137" customWidth="1"/>
    <col min="11" max="16384" width="9.140625" style="137"/>
  </cols>
  <sheetData>
    <row r="1" spans="1:13">
      <c r="A1" s="136"/>
      <c r="B1" s="137" t="s">
        <v>275</v>
      </c>
      <c r="J1" s="137" t="s">
        <v>277</v>
      </c>
      <c r="K1" s="137" t="s">
        <v>277</v>
      </c>
      <c r="L1" s="137" t="s">
        <v>277</v>
      </c>
      <c r="M1" s="137" t="s">
        <v>277</v>
      </c>
    </row>
    <row r="2" spans="1:13">
      <c r="A2" s="137" t="s">
        <v>277</v>
      </c>
      <c r="J2" s="137" t="s">
        <v>328</v>
      </c>
      <c r="K2" s="137" t="s">
        <v>287</v>
      </c>
      <c r="L2" s="137" t="s">
        <v>288</v>
      </c>
      <c r="M2" s="137" t="s">
        <v>289</v>
      </c>
    </row>
    <row r="3" spans="1:13" ht="15" customHeight="1">
      <c r="A3" s="137" t="s">
        <v>277</v>
      </c>
    </row>
    <row r="4" spans="1:13">
      <c r="A4" s="137" t="s">
        <v>277</v>
      </c>
    </row>
    <row r="5" spans="1:13">
      <c r="A5" s="137" t="s">
        <v>277</v>
      </c>
    </row>
    <row r="6" spans="1:13">
      <c r="A6" s="137" t="s">
        <v>277</v>
      </c>
    </row>
    <row r="7" spans="1:13">
      <c r="A7" s="137" t="s">
        <v>277</v>
      </c>
      <c r="B7" s="136" t="s">
        <v>290</v>
      </c>
      <c r="C7" s="136" t="s">
        <v>291</v>
      </c>
      <c r="D7" s="136" t="s">
        <v>292</v>
      </c>
      <c r="E7" s="136" t="s">
        <v>293</v>
      </c>
      <c r="F7" s="136" t="s">
        <v>294</v>
      </c>
      <c r="G7" s="136" t="s">
        <v>295</v>
      </c>
      <c r="H7" s="136" t="s">
        <v>296</v>
      </c>
      <c r="I7" s="208" t="s">
        <v>314</v>
      </c>
      <c r="J7" s="137">
        <v>2012</v>
      </c>
    </row>
    <row r="8" spans="1:13">
      <c r="A8" s="137" t="s">
        <v>277</v>
      </c>
      <c r="B8" s="136"/>
      <c r="C8" s="136"/>
      <c r="D8" s="136"/>
      <c r="E8" s="136"/>
      <c r="F8" s="136"/>
      <c r="G8" s="136"/>
      <c r="H8" s="136"/>
      <c r="I8" s="208"/>
    </row>
    <row r="9" spans="1:13">
      <c r="A9" s="137" t="s">
        <v>277</v>
      </c>
      <c r="B9" s="209">
        <v>1</v>
      </c>
      <c r="C9" s="209">
        <v>2</v>
      </c>
      <c r="D9" s="209">
        <v>3</v>
      </c>
      <c r="E9" s="209">
        <v>4</v>
      </c>
      <c r="F9" s="209">
        <v>5</v>
      </c>
      <c r="G9" s="209">
        <v>6</v>
      </c>
      <c r="H9" s="209">
        <v>7</v>
      </c>
      <c r="I9" s="210"/>
    </row>
    <row r="10" spans="1:13">
      <c r="A10" s="137" t="s">
        <v>298</v>
      </c>
      <c r="B10" s="205" t="s">
        <v>318</v>
      </c>
      <c r="C10" s="205" t="s">
        <v>300</v>
      </c>
      <c r="D10" s="205" t="str">
        <f>AGR!B$6&amp;AGR!B9</f>
        <v>AGRCO2</v>
      </c>
      <c r="E10" s="205" t="s">
        <v>301</v>
      </c>
      <c r="F10" s="205" t="s">
        <v>301</v>
      </c>
      <c r="G10" s="205" t="s">
        <v>301</v>
      </c>
      <c r="H10" s="205" t="s">
        <v>301</v>
      </c>
      <c r="I10" s="211"/>
    </row>
    <row r="11" spans="1:13">
      <c r="A11" s="137" t="s">
        <v>304</v>
      </c>
      <c r="B11" s="205" t="s">
        <v>318</v>
      </c>
      <c r="C11" s="205" t="s">
        <v>300</v>
      </c>
      <c r="D11" s="205" t="str">
        <f>AGR!B$6&amp;AGR!B10</f>
        <v>AGRCH4</v>
      </c>
      <c r="E11" s="205" t="s">
        <v>301</v>
      </c>
      <c r="F11" s="205" t="s">
        <v>301</v>
      </c>
      <c r="G11" s="205" t="s">
        <v>301</v>
      </c>
      <c r="H11" s="205" t="s">
        <v>301</v>
      </c>
      <c r="I11" s="211"/>
    </row>
    <row r="12" spans="1:13">
      <c r="A12" s="137" t="s">
        <v>307</v>
      </c>
      <c r="B12" s="205" t="s">
        <v>318</v>
      </c>
      <c r="C12" s="205" t="s">
        <v>300</v>
      </c>
      <c r="D12" s="205" t="str">
        <f>AGR!B$6&amp;AGR!B12</f>
        <v>AGRSOX</v>
      </c>
      <c r="E12" s="205" t="s">
        <v>301</v>
      </c>
      <c r="F12" s="205" t="s">
        <v>301</v>
      </c>
      <c r="G12" s="205" t="s">
        <v>301</v>
      </c>
      <c r="H12" s="205" t="s">
        <v>301</v>
      </c>
      <c r="I12" s="211"/>
    </row>
    <row r="13" spans="1:13">
      <c r="A13" s="137" t="s">
        <v>309</v>
      </c>
      <c r="B13" s="205" t="s">
        <v>318</v>
      </c>
      <c r="C13" s="205" t="s">
        <v>300</v>
      </c>
      <c r="D13" s="205" t="str">
        <f>AGR!B$6&amp;AGR!B13</f>
        <v>AGRNOX</v>
      </c>
      <c r="E13" s="205" t="s">
        <v>301</v>
      </c>
      <c r="F13" s="205" t="s">
        <v>301</v>
      </c>
      <c r="G13" s="205" t="s">
        <v>301</v>
      </c>
      <c r="H13" s="205" t="s">
        <v>301</v>
      </c>
      <c r="I13" s="211"/>
    </row>
    <row r="14" spans="1:13">
      <c r="A14" s="137" t="s">
        <v>277</v>
      </c>
      <c r="B14" s="205"/>
      <c r="C14" s="205"/>
      <c r="D14" s="205"/>
      <c r="E14" s="205"/>
      <c r="F14" s="205"/>
      <c r="G14" s="205"/>
      <c r="H14" s="205"/>
      <c r="I14" s="211"/>
    </row>
    <row r="15" spans="1:13">
      <c r="A15" s="137" t="str">
        <f ca="1">IF(J15=0,"*","")</f>
        <v/>
      </c>
      <c r="B15" s="212" t="str">
        <f t="shared" ref="B15:B43" ca="1" si="0">IF(A15="*","",VLOOKUP("*"&amp;K15,$A$10:$B$43,2,FALSE))</f>
        <v>TOP-OUT</v>
      </c>
      <c r="C15" s="212" t="str">
        <f ca="1">IF($A15="*","","X"&amp;OFFSET(AGR!$B$6,0,L15))</f>
        <v>XAGRCOA</v>
      </c>
      <c r="D15" s="212" t="str">
        <f t="shared" ref="D15:D42" ca="1" si="1">IF(A15="*","",VLOOKUP("*"&amp;K15,$A$10:$D$13,4,FALSE))</f>
        <v>AGRCO2</v>
      </c>
      <c r="E15" s="212" t="str">
        <f ca="1">IF($A15="*","","-")</f>
        <v>-</v>
      </c>
      <c r="F15" s="212" t="str">
        <f t="shared" ref="F15:H30" ca="1" si="2">IF($A15="*","","-")</f>
        <v>-</v>
      </c>
      <c r="G15" s="212" t="str">
        <f t="shared" ca="1" si="2"/>
        <v>-</v>
      </c>
      <c r="H15" s="212" t="str">
        <f t="shared" ca="1" si="2"/>
        <v>-</v>
      </c>
      <c r="I15" s="213" t="str">
        <f ca="1">IF($A15="*","","1")</f>
        <v>1</v>
      </c>
      <c r="J15" s="212">
        <f ca="1">OFFSET(AGR!$B$8,K15,L15)</f>
        <v>94.1</v>
      </c>
      <c r="K15" s="137">
        <v>1</v>
      </c>
      <c r="L15" s="137">
        <v>1</v>
      </c>
    </row>
    <row r="16" spans="1:13">
      <c r="A16" s="137" t="str">
        <f t="shared" ref="A16:A43" ca="1" si="3">IF(J16=0,"*","")</f>
        <v/>
      </c>
      <c r="B16" s="212" t="str">
        <f t="shared" ca="1" si="0"/>
        <v>TOP-OUT</v>
      </c>
      <c r="C16" s="212" t="str">
        <f ca="1">IF($A16="*","","X"&amp;OFFSET(AGR!$B$6,0,L16))</f>
        <v>XAGRODS</v>
      </c>
      <c r="D16" s="212" t="str">
        <f t="shared" ca="1" si="1"/>
        <v>AGRCO2</v>
      </c>
      <c r="E16" s="212" t="str">
        <f t="shared" ref="E16:H43" ca="1" si="4">IF($A16="*","","-")</f>
        <v>-</v>
      </c>
      <c r="F16" s="212" t="str">
        <f t="shared" ca="1" si="2"/>
        <v>-</v>
      </c>
      <c r="G16" s="212" t="str">
        <f t="shared" ca="1" si="2"/>
        <v>-</v>
      </c>
      <c r="H16" s="212" t="str">
        <f t="shared" ca="1" si="2"/>
        <v>-</v>
      </c>
      <c r="I16" s="213" t="str">
        <f t="shared" ref="I16:I43" ca="1" si="5">IF($A16="*","","1")</f>
        <v>1</v>
      </c>
      <c r="J16" s="212">
        <f ca="1">OFFSET(AGR!$B$8,K16,L16)</f>
        <v>74.099999999999994</v>
      </c>
      <c r="K16" s="137">
        <f>IF(L15=AGR!$B$4,K15+1,K15)</f>
        <v>1</v>
      </c>
      <c r="L16" s="137">
        <f>IF(K16=K15,L15+1,1)</f>
        <v>2</v>
      </c>
    </row>
    <row r="17" spans="1:12">
      <c r="A17" s="137" t="str">
        <f t="shared" ca="1" si="3"/>
        <v>*</v>
      </c>
      <c r="B17" s="212" t="str">
        <f t="shared" ca="1" si="0"/>
        <v/>
      </c>
      <c r="C17" s="212" t="str">
        <f ca="1">IF($A17="*","","X"&amp;OFFSET(AGR!$B$6,0,L17))</f>
        <v/>
      </c>
      <c r="D17" s="212" t="str">
        <f t="shared" ca="1" si="1"/>
        <v/>
      </c>
      <c r="E17" s="212" t="str">
        <f t="shared" ca="1" si="4"/>
        <v/>
      </c>
      <c r="F17" s="212" t="str">
        <f t="shared" ca="1" si="2"/>
        <v/>
      </c>
      <c r="G17" s="212" t="str">
        <f t="shared" ca="1" si="2"/>
        <v/>
      </c>
      <c r="H17" s="212" t="str">
        <f t="shared" ca="1" si="2"/>
        <v/>
      </c>
      <c r="I17" s="213" t="str">
        <f t="shared" ca="1" si="5"/>
        <v/>
      </c>
      <c r="J17" s="212">
        <f ca="1">OFFSET(AGR!$B$8,K17,L17)</f>
        <v>0</v>
      </c>
      <c r="K17" s="137">
        <f>IF(L16=AGR!$B$4,K16+1,K16)</f>
        <v>1</v>
      </c>
      <c r="L17" s="137">
        <f t="shared" ref="L17:L42" si="6">IF(K17=K16,L16+1,1)</f>
        <v>3</v>
      </c>
    </row>
    <row r="18" spans="1:12">
      <c r="A18" s="137" t="str">
        <f t="shared" ca="1" si="3"/>
        <v/>
      </c>
      <c r="B18" s="212" t="str">
        <f t="shared" ca="1" si="0"/>
        <v>TOP-OUT</v>
      </c>
      <c r="C18" s="212" t="str">
        <f ca="1">IF($A18="*","","X"&amp;OFFSET(AGR!$B$6,0,L18))</f>
        <v>XAGROGS</v>
      </c>
      <c r="D18" s="212" t="str">
        <f t="shared" ca="1" si="1"/>
        <v>AGRCO2</v>
      </c>
      <c r="E18" s="212" t="str">
        <f t="shared" ca="1" si="4"/>
        <v>-</v>
      </c>
      <c r="F18" s="212" t="str">
        <f t="shared" ca="1" si="2"/>
        <v>-</v>
      </c>
      <c r="G18" s="212" t="str">
        <f t="shared" ca="1" si="2"/>
        <v>-</v>
      </c>
      <c r="H18" s="212" t="str">
        <f t="shared" ca="1" si="2"/>
        <v>-</v>
      </c>
      <c r="I18" s="213" t="str">
        <f t="shared" ca="1" si="5"/>
        <v>1</v>
      </c>
      <c r="J18" s="212">
        <f ca="1">OFFSET(AGR!$B$8,K18,L18)</f>
        <v>69.3</v>
      </c>
      <c r="K18" s="137">
        <f>IF(L17=AGR!$B$4,K17+1,K17)</f>
        <v>1</v>
      </c>
      <c r="L18" s="137">
        <f t="shared" si="6"/>
        <v>4</v>
      </c>
    </row>
    <row r="19" spans="1:12">
      <c r="A19" s="137" t="str">
        <f t="shared" ca="1" si="3"/>
        <v/>
      </c>
      <c r="B19" s="212" t="str">
        <f t="shared" ca="1" si="0"/>
        <v>TOP-OUT</v>
      </c>
      <c r="C19" s="212" t="str">
        <f ca="1">IF($A19="*","","X"&amp;OFFSET(AGR!$B$6,0,L19))</f>
        <v>XAGROHF</v>
      </c>
      <c r="D19" s="212" t="str">
        <f t="shared" ca="1" si="1"/>
        <v>AGRCO2</v>
      </c>
      <c r="E19" s="212" t="str">
        <f t="shared" ca="1" si="4"/>
        <v>-</v>
      </c>
      <c r="F19" s="212" t="str">
        <f t="shared" ca="1" si="2"/>
        <v>-</v>
      </c>
      <c r="G19" s="212" t="str">
        <f t="shared" ca="1" si="2"/>
        <v>-</v>
      </c>
      <c r="H19" s="212" t="str">
        <f t="shared" ca="1" si="2"/>
        <v>-</v>
      </c>
      <c r="I19" s="213" t="str">
        <f t="shared" ca="1" si="5"/>
        <v>1</v>
      </c>
      <c r="J19" s="212">
        <f ca="1">OFFSET(AGR!$B$8,K19,L19)</f>
        <v>77.400000000000006</v>
      </c>
      <c r="K19" s="137">
        <f>IF(L18=AGR!$B$4,K18+1,K18)</f>
        <v>1</v>
      </c>
      <c r="L19" s="137">
        <f t="shared" si="6"/>
        <v>5</v>
      </c>
    </row>
    <row r="20" spans="1:12">
      <c r="A20" s="137" t="str">
        <f t="shared" ca="1" si="3"/>
        <v/>
      </c>
      <c r="B20" s="212" t="str">
        <f t="shared" ca="1" si="0"/>
        <v>TOP-OUT</v>
      </c>
      <c r="C20" s="212" t="str">
        <f ca="1">IF($A20="*","","X"&amp;OFFSET(AGR!$B$6,0,L20))</f>
        <v>XAGROKE</v>
      </c>
      <c r="D20" s="212" t="str">
        <f t="shared" ca="1" si="1"/>
        <v>AGRCO2</v>
      </c>
      <c r="E20" s="212" t="str">
        <f t="shared" ca="1" si="4"/>
        <v>-</v>
      </c>
      <c r="F20" s="212" t="str">
        <f t="shared" ca="1" si="2"/>
        <v>-</v>
      </c>
      <c r="G20" s="212" t="str">
        <f t="shared" ca="1" si="2"/>
        <v>-</v>
      </c>
      <c r="H20" s="212" t="str">
        <f t="shared" ca="1" si="2"/>
        <v>-</v>
      </c>
      <c r="I20" s="213" t="str">
        <f t="shared" ca="1" si="5"/>
        <v>1</v>
      </c>
      <c r="J20" s="212">
        <f ca="1">OFFSET(AGR!$B$8,K20,L20)</f>
        <v>71.900000000000006</v>
      </c>
      <c r="K20" s="137">
        <f>IF(L19=AGR!$B$4,K19+1,K19)</f>
        <v>1</v>
      </c>
      <c r="L20" s="137">
        <f t="shared" si="6"/>
        <v>6</v>
      </c>
    </row>
    <row r="21" spans="1:12">
      <c r="A21" s="137" t="str">
        <f t="shared" ca="1" si="3"/>
        <v/>
      </c>
      <c r="B21" s="212" t="str">
        <f t="shared" ca="1" si="0"/>
        <v>TOP-OUT</v>
      </c>
      <c r="C21" s="212" t="str">
        <f ca="1">IF($A21="*","","X"&amp;OFFSET(AGR!$B$6,0,L21))</f>
        <v>XAGROLP</v>
      </c>
      <c r="D21" s="212" t="str">
        <f t="shared" ca="1" si="1"/>
        <v>AGRCO2</v>
      </c>
      <c r="E21" s="212" t="str">
        <f t="shared" ca="1" si="4"/>
        <v>-</v>
      </c>
      <c r="F21" s="212" t="str">
        <f t="shared" ca="1" si="2"/>
        <v>-</v>
      </c>
      <c r="G21" s="212" t="str">
        <f t="shared" ca="1" si="2"/>
        <v>-</v>
      </c>
      <c r="H21" s="212" t="str">
        <f t="shared" ca="1" si="2"/>
        <v>-</v>
      </c>
      <c r="I21" s="213" t="str">
        <f t="shared" ca="1" si="5"/>
        <v>1</v>
      </c>
      <c r="J21" s="212">
        <f ca="1">OFFSET(AGR!$B$8,K21,L21)</f>
        <v>63.1</v>
      </c>
      <c r="K21" s="137">
        <f>IF(L20=AGR!$B$4,K20+1,K20)</f>
        <v>1</v>
      </c>
      <c r="L21" s="137">
        <f t="shared" si="6"/>
        <v>7</v>
      </c>
    </row>
    <row r="22" spans="1:12">
      <c r="A22" s="137" t="str">
        <f t="shared" ca="1" si="3"/>
        <v/>
      </c>
      <c r="B22" s="212" t="str">
        <f t="shared" ca="1" si="0"/>
        <v>TOP-OUT</v>
      </c>
      <c r="C22" s="212" t="str">
        <f ca="1">IF($A22="*","","X"&amp;OFFSET(AGR!$B$6,0,L22))</f>
        <v>XAGRCOA</v>
      </c>
      <c r="D22" s="212" t="str">
        <f t="shared" ca="1" si="1"/>
        <v>AGRCH4</v>
      </c>
      <c r="E22" s="212" t="str">
        <f t="shared" ca="1" si="4"/>
        <v>-</v>
      </c>
      <c r="F22" s="212" t="str">
        <f t="shared" ca="1" si="2"/>
        <v>-</v>
      </c>
      <c r="G22" s="212" t="str">
        <f t="shared" ca="1" si="2"/>
        <v>-</v>
      </c>
      <c r="H22" s="212" t="str">
        <f t="shared" ca="1" si="2"/>
        <v>-</v>
      </c>
      <c r="I22" s="213" t="str">
        <f t="shared" ca="1" si="5"/>
        <v>1</v>
      </c>
      <c r="J22" s="212">
        <f ca="1">OFFSET(AGR!$B$8,K22,L22)</f>
        <v>1E-3</v>
      </c>
      <c r="K22" s="137">
        <f>IF(L21=AGR!$B$4,K21+1,K21)</f>
        <v>2</v>
      </c>
      <c r="L22" s="137">
        <f t="shared" si="6"/>
        <v>1</v>
      </c>
    </row>
    <row r="23" spans="1:12">
      <c r="A23" s="137" t="str">
        <f t="shared" ca="1" si="3"/>
        <v/>
      </c>
      <c r="B23" s="212" t="str">
        <f t="shared" ca="1" si="0"/>
        <v>TOP-OUT</v>
      </c>
      <c r="C23" s="212" t="str">
        <f ca="1">IF($A23="*","","X"&amp;OFFSET(AGR!$B$6,0,L23))</f>
        <v>XAGRODS</v>
      </c>
      <c r="D23" s="212" t="str">
        <f t="shared" ca="1" si="1"/>
        <v>AGRCH4</v>
      </c>
      <c r="E23" s="212" t="str">
        <f t="shared" ca="1" si="4"/>
        <v>-</v>
      </c>
      <c r="F23" s="212" t="str">
        <f t="shared" ca="1" si="2"/>
        <v>-</v>
      </c>
      <c r="G23" s="212" t="str">
        <f t="shared" ca="1" si="2"/>
        <v>-</v>
      </c>
      <c r="H23" s="212" t="str">
        <f t="shared" ca="1" si="2"/>
        <v>-</v>
      </c>
      <c r="I23" s="213" t="str">
        <f t="shared" ca="1" si="5"/>
        <v>1</v>
      </c>
      <c r="J23" s="212">
        <f ca="1">OFFSET(AGR!$B$8,K23,L23)</f>
        <v>3.0000000000000001E-3</v>
      </c>
      <c r="K23" s="137">
        <f>IF(L22=AGR!$B$4,K22+1,K22)</f>
        <v>2</v>
      </c>
      <c r="L23" s="137">
        <f t="shared" si="6"/>
        <v>2</v>
      </c>
    </row>
    <row r="24" spans="1:12">
      <c r="A24" s="137" t="str">
        <f t="shared" ca="1" si="3"/>
        <v>*</v>
      </c>
      <c r="B24" s="212" t="str">
        <f t="shared" ca="1" si="0"/>
        <v/>
      </c>
      <c r="C24" s="212" t="str">
        <f ca="1">IF($A24="*","","X"&amp;OFFSET(AGR!$B$6,0,L24))</f>
        <v/>
      </c>
      <c r="D24" s="212" t="str">
        <f t="shared" ca="1" si="1"/>
        <v/>
      </c>
      <c r="E24" s="212" t="str">
        <f t="shared" ca="1" si="4"/>
        <v/>
      </c>
      <c r="F24" s="212" t="str">
        <f t="shared" ca="1" si="2"/>
        <v/>
      </c>
      <c r="G24" s="212" t="str">
        <f t="shared" ca="1" si="2"/>
        <v/>
      </c>
      <c r="H24" s="212" t="str">
        <f t="shared" ca="1" si="2"/>
        <v/>
      </c>
      <c r="I24" s="213" t="str">
        <f t="shared" ca="1" si="5"/>
        <v/>
      </c>
      <c r="J24" s="212">
        <f ca="1">OFFSET(AGR!$B$8,K24,L24)</f>
        <v>0</v>
      </c>
      <c r="K24" s="137">
        <f>IF(L23=AGR!$B$4,K23+1,K23)</f>
        <v>2</v>
      </c>
      <c r="L24" s="137">
        <f t="shared" si="6"/>
        <v>3</v>
      </c>
    </row>
    <row r="25" spans="1:12">
      <c r="A25" s="137" t="str">
        <f t="shared" ca="1" si="3"/>
        <v/>
      </c>
      <c r="B25" s="212" t="str">
        <f t="shared" ca="1" si="0"/>
        <v>TOP-OUT</v>
      </c>
      <c r="C25" s="212" t="str">
        <f ca="1">IF($A25="*","","X"&amp;OFFSET(AGR!$B$6,0,L25))</f>
        <v>XAGROGS</v>
      </c>
      <c r="D25" s="212" t="str">
        <f t="shared" ca="1" si="1"/>
        <v>AGRCH4</v>
      </c>
      <c r="E25" s="212" t="str">
        <f t="shared" ca="1" si="4"/>
        <v>-</v>
      </c>
      <c r="F25" s="212" t="str">
        <f t="shared" ca="1" si="2"/>
        <v>-</v>
      </c>
      <c r="G25" s="212" t="str">
        <f t="shared" ca="1" si="2"/>
        <v>-</v>
      </c>
      <c r="H25" s="212" t="str">
        <f t="shared" ca="1" si="2"/>
        <v>-</v>
      </c>
      <c r="I25" s="213" t="str">
        <f t="shared" ca="1" si="5"/>
        <v>1</v>
      </c>
      <c r="J25" s="212">
        <f ca="1">OFFSET(AGR!$B$8,K25,L25)</f>
        <v>3.0000000000000001E-3</v>
      </c>
      <c r="K25" s="137">
        <f>IF(L24=AGR!$B$4,K24+1,K24)</f>
        <v>2</v>
      </c>
      <c r="L25" s="137">
        <f t="shared" si="6"/>
        <v>4</v>
      </c>
    </row>
    <row r="26" spans="1:12">
      <c r="A26" s="137" t="str">
        <f t="shared" ca="1" si="3"/>
        <v/>
      </c>
      <c r="B26" s="212" t="str">
        <f t="shared" ca="1" si="0"/>
        <v>TOP-OUT</v>
      </c>
      <c r="C26" s="212" t="str">
        <f ca="1">IF($A26="*","","X"&amp;OFFSET(AGR!$B$6,0,L26))</f>
        <v>XAGROHF</v>
      </c>
      <c r="D26" s="212" t="str">
        <f t="shared" ca="1" si="1"/>
        <v>AGRCH4</v>
      </c>
      <c r="E26" s="212" t="str">
        <f t="shared" ca="1" si="4"/>
        <v>-</v>
      </c>
      <c r="F26" s="212" t="str">
        <f t="shared" ca="1" si="2"/>
        <v>-</v>
      </c>
      <c r="G26" s="212" t="str">
        <f t="shared" ca="1" si="2"/>
        <v>-</v>
      </c>
      <c r="H26" s="212" t="str">
        <f t="shared" ca="1" si="2"/>
        <v>-</v>
      </c>
      <c r="I26" s="213" t="str">
        <f t="shared" ca="1" si="5"/>
        <v>1</v>
      </c>
      <c r="J26" s="212">
        <f ca="1">OFFSET(AGR!$B$8,K26,L26)</f>
        <v>3.0000000000000001E-3</v>
      </c>
      <c r="K26" s="137">
        <f>IF(L25=AGR!$B$4,K25+1,K25)</f>
        <v>2</v>
      </c>
      <c r="L26" s="137">
        <f t="shared" si="6"/>
        <v>5</v>
      </c>
    </row>
    <row r="27" spans="1:12">
      <c r="A27" s="137" t="str">
        <f t="shared" ca="1" si="3"/>
        <v/>
      </c>
      <c r="B27" s="212" t="str">
        <f t="shared" ca="1" si="0"/>
        <v>TOP-OUT</v>
      </c>
      <c r="C27" s="212" t="str">
        <f ca="1">IF($A27="*","","X"&amp;OFFSET(AGR!$B$6,0,L27))</f>
        <v>XAGROKE</v>
      </c>
      <c r="D27" s="212" t="str">
        <f t="shared" ca="1" si="1"/>
        <v>AGRCH4</v>
      </c>
      <c r="E27" s="212" t="str">
        <f t="shared" ca="1" si="4"/>
        <v>-</v>
      </c>
      <c r="F27" s="212" t="str">
        <f t="shared" ca="1" si="2"/>
        <v>-</v>
      </c>
      <c r="G27" s="212" t="str">
        <f t="shared" ca="1" si="2"/>
        <v>-</v>
      </c>
      <c r="H27" s="212" t="str">
        <f t="shared" ca="1" si="2"/>
        <v>-</v>
      </c>
      <c r="I27" s="213" t="str">
        <f t="shared" ca="1" si="5"/>
        <v>1</v>
      </c>
      <c r="J27" s="212">
        <f ca="1">OFFSET(AGR!$B$8,K27,L27)</f>
        <v>3.0000000000000001E-3</v>
      </c>
      <c r="K27" s="137">
        <f>IF(L26=AGR!$B$4,K26+1,K26)</f>
        <v>2</v>
      </c>
      <c r="L27" s="137">
        <f t="shared" si="6"/>
        <v>6</v>
      </c>
    </row>
    <row r="28" spans="1:12">
      <c r="A28" s="137" t="str">
        <f t="shared" ca="1" si="3"/>
        <v/>
      </c>
      <c r="B28" s="212" t="str">
        <f t="shared" ca="1" si="0"/>
        <v>TOP-OUT</v>
      </c>
      <c r="C28" s="212" t="str">
        <f ca="1">IF($A28="*","","X"&amp;OFFSET(AGR!$B$6,0,L28))</f>
        <v>XAGROLP</v>
      </c>
      <c r="D28" s="212" t="str">
        <f t="shared" ca="1" si="1"/>
        <v>AGRCH4</v>
      </c>
      <c r="E28" s="212" t="str">
        <f t="shared" ca="1" si="4"/>
        <v>-</v>
      </c>
      <c r="F28" s="212" t="str">
        <f t="shared" ca="1" si="2"/>
        <v>-</v>
      </c>
      <c r="G28" s="212" t="str">
        <f t="shared" ca="1" si="2"/>
        <v>-</v>
      </c>
      <c r="H28" s="212" t="str">
        <f t="shared" ca="1" si="2"/>
        <v>-</v>
      </c>
      <c r="I28" s="213" t="str">
        <f t="shared" ca="1" si="5"/>
        <v>1</v>
      </c>
      <c r="J28" s="212">
        <f ca="1">OFFSET(AGR!$B$8,K28,L28)</f>
        <v>1E-3</v>
      </c>
      <c r="K28" s="137">
        <f>IF(L27=AGR!$B$4,K27+1,K27)</f>
        <v>2</v>
      </c>
      <c r="L28" s="137">
        <f t="shared" si="6"/>
        <v>7</v>
      </c>
    </row>
    <row r="29" spans="1:12">
      <c r="A29" s="137" t="str">
        <f t="shared" ca="1" si="3"/>
        <v/>
      </c>
      <c r="B29" s="212" t="str">
        <f t="shared" ca="1" si="0"/>
        <v>TOP-OUT</v>
      </c>
      <c r="C29" s="212" t="str">
        <f ca="1">IF($A29="*","","X"&amp;OFFSET(AGR!$B$6,0,L29))</f>
        <v>XAGRCOA</v>
      </c>
      <c r="D29" s="212" t="str">
        <f t="shared" ca="1" si="1"/>
        <v>AGRSOX</v>
      </c>
      <c r="E29" s="212" t="str">
        <f t="shared" ca="1" si="4"/>
        <v>-</v>
      </c>
      <c r="F29" s="212" t="str">
        <f t="shared" ca="1" si="2"/>
        <v>-</v>
      </c>
      <c r="G29" s="212" t="str">
        <f t="shared" ca="1" si="2"/>
        <v>-</v>
      </c>
      <c r="H29" s="212" t="str">
        <f t="shared" ca="1" si="2"/>
        <v>-</v>
      </c>
      <c r="I29" s="213" t="str">
        <f t="shared" ca="1" si="5"/>
        <v>1</v>
      </c>
      <c r="J29" s="212">
        <f ca="1">OFFSET(AGR!$B$8,K29,L29)</f>
        <v>1.4999999999999999E-2</v>
      </c>
      <c r="K29" s="137">
        <f>IF(L28=AGR!$B$4,K28+1,K28)</f>
        <v>3</v>
      </c>
      <c r="L29" s="137">
        <f t="shared" si="6"/>
        <v>1</v>
      </c>
    </row>
    <row r="30" spans="1:12">
      <c r="A30" s="137" t="str">
        <f t="shared" ca="1" si="3"/>
        <v/>
      </c>
      <c r="B30" s="212" t="str">
        <f t="shared" ca="1" si="0"/>
        <v>TOP-OUT</v>
      </c>
      <c r="C30" s="212" t="str">
        <f ca="1">IF($A30="*","","X"&amp;OFFSET(AGR!$B$6,0,L30))</f>
        <v>XAGRODS</v>
      </c>
      <c r="D30" s="212" t="str">
        <f t="shared" ca="1" si="1"/>
        <v>AGRSOX</v>
      </c>
      <c r="E30" s="212" t="str">
        <f t="shared" ca="1" si="4"/>
        <v>-</v>
      </c>
      <c r="F30" s="212" t="str">
        <f t="shared" ca="1" si="2"/>
        <v>-</v>
      </c>
      <c r="G30" s="212" t="str">
        <f t="shared" ca="1" si="2"/>
        <v>-</v>
      </c>
      <c r="H30" s="212" t="str">
        <f t="shared" ca="1" si="2"/>
        <v>-</v>
      </c>
      <c r="I30" s="213" t="str">
        <f t="shared" ca="1" si="5"/>
        <v>1</v>
      </c>
      <c r="J30" s="212">
        <f ca="1">OFFSET(AGR!$B$8,K30,L30)</f>
        <v>5.9999999999999995E-4</v>
      </c>
      <c r="K30" s="137">
        <f>IF(L29=AGR!$B$4,K29+1,K29)</f>
        <v>3</v>
      </c>
      <c r="L30" s="137">
        <f t="shared" si="6"/>
        <v>2</v>
      </c>
    </row>
    <row r="31" spans="1:12">
      <c r="A31" s="137" t="str">
        <f t="shared" ca="1" si="3"/>
        <v>*</v>
      </c>
      <c r="B31" s="212" t="str">
        <f t="shared" ca="1" si="0"/>
        <v/>
      </c>
      <c r="C31" s="212" t="str">
        <f ca="1">IF($A31="*","","X"&amp;OFFSET(AGR!$B$6,0,L31))</f>
        <v/>
      </c>
      <c r="D31" s="212" t="str">
        <f t="shared" ca="1" si="1"/>
        <v/>
      </c>
      <c r="E31" s="212" t="str">
        <f t="shared" ca="1" si="4"/>
        <v/>
      </c>
      <c r="F31" s="212" t="str">
        <f t="shared" ca="1" si="4"/>
        <v/>
      </c>
      <c r="G31" s="212" t="str">
        <f t="shared" ca="1" si="4"/>
        <v/>
      </c>
      <c r="H31" s="212" t="str">
        <f t="shared" ca="1" si="4"/>
        <v/>
      </c>
      <c r="I31" s="213" t="str">
        <f t="shared" ca="1" si="5"/>
        <v/>
      </c>
      <c r="J31" s="212">
        <f ca="1">OFFSET(AGR!$B$8,K31,L31)</f>
        <v>0</v>
      </c>
      <c r="K31" s="137">
        <f>IF(L30=AGR!$B$4,K30+1,K30)</f>
        <v>3</v>
      </c>
      <c r="L31" s="137">
        <f t="shared" si="6"/>
        <v>3</v>
      </c>
    </row>
    <row r="32" spans="1:12">
      <c r="A32" s="137" t="str">
        <f t="shared" ca="1" si="3"/>
        <v/>
      </c>
      <c r="B32" s="212" t="str">
        <f t="shared" ca="1" si="0"/>
        <v>TOP-OUT</v>
      </c>
      <c r="C32" s="212" t="str">
        <f ca="1">IF($A32="*","","X"&amp;OFFSET(AGR!$B$6,0,L32))</f>
        <v>XAGROGS</v>
      </c>
      <c r="D32" s="212" t="str">
        <f t="shared" ca="1" si="1"/>
        <v>AGRSOX</v>
      </c>
      <c r="E32" s="212" t="str">
        <f t="shared" ca="1" si="4"/>
        <v>-</v>
      </c>
      <c r="F32" s="212" t="str">
        <f t="shared" ca="1" si="4"/>
        <v>-</v>
      </c>
      <c r="G32" s="212" t="str">
        <f t="shared" ca="1" si="4"/>
        <v>-</v>
      </c>
      <c r="H32" s="212" t="str">
        <f t="shared" ca="1" si="4"/>
        <v>-</v>
      </c>
      <c r="I32" s="213" t="str">
        <f t="shared" ca="1" si="5"/>
        <v>1</v>
      </c>
      <c r="J32" s="212">
        <f ca="1">OFFSET(AGR!$B$8,K32,L32)</f>
        <v>5.9999999999999995E-4</v>
      </c>
      <c r="K32" s="137">
        <f>IF(L31=AGR!$B$4,K31+1,K31)</f>
        <v>3</v>
      </c>
      <c r="L32" s="137">
        <f t="shared" si="6"/>
        <v>4</v>
      </c>
    </row>
    <row r="33" spans="1:12">
      <c r="A33" s="137" t="str">
        <f t="shared" ca="1" si="3"/>
        <v/>
      </c>
      <c r="B33" s="212" t="str">
        <f t="shared" ca="1" si="0"/>
        <v>TOP-OUT</v>
      </c>
      <c r="C33" s="212" t="str">
        <f ca="1">IF($A33="*","","X"&amp;OFFSET(AGR!$B$6,0,L33))</f>
        <v>XAGROHF</v>
      </c>
      <c r="D33" s="212" t="str">
        <f t="shared" ca="1" si="1"/>
        <v>AGRSOX</v>
      </c>
      <c r="E33" s="212" t="str">
        <f t="shared" ca="1" si="4"/>
        <v>-</v>
      </c>
      <c r="F33" s="212" t="str">
        <f t="shared" ca="1" si="4"/>
        <v>-</v>
      </c>
      <c r="G33" s="212" t="str">
        <f t="shared" ca="1" si="4"/>
        <v>-</v>
      </c>
      <c r="H33" s="212" t="str">
        <f t="shared" ca="1" si="4"/>
        <v>-</v>
      </c>
      <c r="I33" s="213" t="str">
        <f t="shared" ca="1" si="5"/>
        <v>1</v>
      </c>
      <c r="J33" s="212">
        <f ca="1">OFFSET(AGR!$B$8,K33,L33)</f>
        <v>5.9999999999999995E-4</v>
      </c>
      <c r="K33" s="137">
        <f>IF(L32=AGR!$B$4,K32+1,K32)</f>
        <v>3</v>
      </c>
      <c r="L33" s="137">
        <f t="shared" si="6"/>
        <v>5</v>
      </c>
    </row>
    <row r="34" spans="1:12">
      <c r="A34" s="137" t="str">
        <f t="shared" ca="1" si="3"/>
        <v/>
      </c>
      <c r="B34" s="212" t="str">
        <f t="shared" ca="1" si="0"/>
        <v>TOP-OUT</v>
      </c>
      <c r="C34" s="212" t="str">
        <f ca="1">IF($A34="*","","X"&amp;OFFSET(AGR!$B$6,0,L34))</f>
        <v>XAGROKE</v>
      </c>
      <c r="D34" s="212" t="str">
        <f t="shared" ca="1" si="1"/>
        <v>AGRSOX</v>
      </c>
      <c r="E34" s="212" t="str">
        <f t="shared" ca="1" si="4"/>
        <v>-</v>
      </c>
      <c r="F34" s="212" t="str">
        <f t="shared" ca="1" si="4"/>
        <v>-</v>
      </c>
      <c r="G34" s="212" t="str">
        <f t="shared" ca="1" si="4"/>
        <v>-</v>
      </c>
      <c r="H34" s="212" t="str">
        <f t="shared" ca="1" si="4"/>
        <v>-</v>
      </c>
      <c r="I34" s="213" t="str">
        <f t="shared" ca="1" si="5"/>
        <v>1</v>
      </c>
      <c r="J34" s="212">
        <f ca="1">OFFSET(AGR!$B$8,K34,L34)</f>
        <v>5.9999999999999995E-4</v>
      </c>
      <c r="K34" s="137">
        <f>IF(L33=AGR!$B$4,K33+1,K33)</f>
        <v>3</v>
      </c>
      <c r="L34" s="137">
        <f t="shared" si="6"/>
        <v>6</v>
      </c>
    </row>
    <row r="35" spans="1:12">
      <c r="A35" s="137" t="str">
        <f t="shared" ca="1" si="3"/>
        <v/>
      </c>
      <c r="B35" s="212" t="str">
        <f t="shared" ca="1" si="0"/>
        <v>TOP-OUT</v>
      </c>
      <c r="C35" s="212" t="str">
        <f ca="1">IF($A35="*","","X"&amp;OFFSET(AGR!$B$6,0,L35))</f>
        <v>XAGROLP</v>
      </c>
      <c r="D35" s="212" t="str">
        <f t="shared" ca="1" si="1"/>
        <v>AGRSOX</v>
      </c>
      <c r="E35" s="212" t="str">
        <f t="shared" ca="1" si="4"/>
        <v>-</v>
      </c>
      <c r="F35" s="212" t="str">
        <f t="shared" ca="1" si="4"/>
        <v>-</v>
      </c>
      <c r="G35" s="212" t="str">
        <f t="shared" ca="1" si="4"/>
        <v>-</v>
      </c>
      <c r="H35" s="212" t="str">
        <f t="shared" ca="1" si="4"/>
        <v>-</v>
      </c>
      <c r="I35" s="213" t="str">
        <f t="shared" ca="1" si="5"/>
        <v>1</v>
      </c>
      <c r="J35" s="212">
        <f ca="1">OFFSET(AGR!$B$8,K35,L35)</f>
        <v>1E-4</v>
      </c>
      <c r="K35" s="137">
        <f>IF(L34=AGR!$B$4,K34+1,K34)</f>
        <v>3</v>
      </c>
      <c r="L35" s="137">
        <f t="shared" si="6"/>
        <v>7</v>
      </c>
    </row>
    <row r="36" spans="1:12">
      <c r="A36" s="137" t="str">
        <f t="shared" ca="1" si="3"/>
        <v/>
      </c>
      <c r="B36" s="212" t="str">
        <f t="shared" ca="1" si="0"/>
        <v>TOP-OUT</v>
      </c>
      <c r="C36" s="212" t="str">
        <f ca="1">IF($A36="*","","X"&amp;OFFSET(AGR!$B$6,0,L36))</f>
        <v>XAGRCOA</v>
      </c>
      <c r="D36" s="212" t="str">
        <f t="shared" ca="1" si="1"/>
        <v>AGRNOX</v>
      </c>
      <c r="E36" s="212" t="str">
        <f t="shared" ca="1" si="4"/>
        <v>-</v>
      </c>
      <c r="F36" s="212" t="str">
        <f t="shared" ca="1" si="4"/>
        <v>-</v>
      </c>
      <c r="G36" s="212" t="str">
        <f t="shared" ca="1" si="4"/>
        <v>-</v>
      </c>
      <c r="H36" s="212" t="str">
        <f t="shared" ca="1" si="4"/>
        <v>-</v>
      </c>
      <c r="I36" s="213" t="str">
        <f t="shared" ca="1" si="5"/>
        <v>1</v>
      </c>
      <c r="J36" s="212">
        <f ca="1">OFFSET(AGR!$B$8,K36,L36)</f>
        <v>0.45440000000000003</v>
      </c>
      <c r="K36" s="137">
        <f>IF(L35=AGR!$B$4,K35+1,K35)</f>
        <v>4</v>
      </c>
      <c r="L36" s="137">
        <f t="shared" si="6"/>
        <v>1</v>
      </c>
    </row>
    <row r="37" spans="1:12">
      <c r="A37" s="137" t="str">
        <f t="shared" ca="1" si="3"/>
        <v/>
      </c>
      <c r="B37" s="212" t="str">
        <f t="shared" ca="1" si="0"/>
        <v>TOP-OUT</v>
      </c>
      <c r="C37" s="212" t="str">
        <f ca="1">IF($A37="*","","X"&amp;OFFSET(AGR!$B$6,0,L37))</f>
        <v>XAGRODS</v>
      </c>
      <c r="D37" s="212" t="str">
        <f t="shared" ca="1" si="1"/>
        <v>AGRNOX</v>
      </c>
      <c r="E37" s="212" t="str">
        <f t="shared" ca="1" si="4"/>
        <v>-</v>
      </c>
      <c r="F37" s="212" t="str">
        <f t="shared" ca="1" si="4"/>
        <v>-</v>
      </c>
      <c r="G37" s="212" t="str">
        <f t="shared" ca="1" si="4"/>
        <v>-</v>
      </c>
      <c r="H37" s="212" t="str">
        <f t="shared" ca="1" si="4"/>
        <v>-</v>
      </c>
      <c r="I37" s="213" t="str">
        <f t="shared" ca="1" si="5"/>
        <v>1</v>
      </c>
      <c r="J37" s="212">
        <f ca="1">OFFSET(AGR!$B$8,K37,L37)</f>
        <v>0.25290000000000001</v>
      </c>
      <c r="K37" s="137">
        <f>IF(L36=AGR!$B$4,K36+1,K36)</f>
        <v>4</v>
      </c>
      <c r="L37" s="137">
        <f t="shared" si="6"/>
        <v>2</v>
      </c>
    </row>
    <row r="38" spans="1:12">
      <c r="A38" s="137" t="str">
        <f t="shared" ca="1" si="3"/>
        <v>*</v>
      </c>
      <c r="B38" s="212" t="str">
        <f t="shared" ca="1" si="0"/>
        <v/>
      </c>
      <c r="C38" s="212" t="str">
        <f ca="1">IF($A38="*","","X"&amp;OFFSET(AGR!$B$6,0,L38))</f>
        <v/>
      </c>
      <c r="D38" s="212" t="str">
        <f t="shared" ca="1" si="1"/>
        <v/>
      </c>
      <c r="E38" s="212" t="str">
        <f t="shared" ca="1" si="4"/>
        <v/>
      </c>
      <c r="F38" s="212" t="str">
        <f t="shared" ca="1" si="4"/>
        <v/>
      </c>
      <c r="G38" s="212" t="str">
        <f t="shared" ca="1" si="4"/>
        <v/>
      </c>
      <c r="H38" s="212" t="str">
        <f t="shared" ca="1" si="4"/>
        <v/>
      </c>
      <c r="I38" s="213" t="str">
        <f t="shared" ca="1" si="5"/>
        <v/>
      </c>
      <c r="J38" s="212">
        <f ca="1">OFFSET(AGR!$B$8,K38,L38)</f>
        <v>0</v>
      </c>
      <c r="K38" s="137">
        <f>IF(L37=AGR!$B$4,K37+1,K37)</f>
        <v>4</v>
      </c>
      <c r="L38" s="137">
        <f t="shared" si="6"/>
        <v>3</v>
      </c>
    </row>
    <row r="39" spans="1:12">
      <c r="A39" s="137" t="str">
        <f t="shared" ca="1" si="3"/>
        <v/>
      </c>
      <c r="B39" s="212" t="str">
        <f t="shared" ca="1" si="0"/>
        <v>TOP-OUT</v>
      </c>
      <c r="C39" s="212" t="str">
        <f ca="1">IF($A39="*","","X"&amp;OFFSET(AGR!$B$6,0,L39))</f>
        <v>XAGROGS</v>
      </c>
      <c r="D39" s="212" t="str">
        <f t="shared" ca="1" si="1"/>
        <v>AGRNOX</v>
      </c>
      <c r="E39" s="212" t="str">
        <f t="shared" ca="1" si="4"/>
        <v>-</v>
      </c>
      <c r="F39" s="212" t="str">
        <f t="shared" ca="1" si="4"/>
        <v>-</v>
      </c>
      <c r="G39" s="212" t="str">
        <f t="shared" ca="1" si="4"/>
        <v>-</v>
      </c>
      <c r="H39" s="212" t="str">
        <f t="shared" ca="1" si="4"/>
        <v>-</v>
      </c>
      <c r="I39" s="213" t="str">
        <f t="shared" ca="1" si="5"/>
        <v>1</v>
      </c>
      <c r="J39" s="212">
        <f ca="1">OFFSET(AGR!$B$8,K39,L39)</f>
        <v>4.6699999999999998E-2</v>
      </c>
      <c r="K39" s="137">
        <f>IF(L38=AGR!$B$4,K38+1,K38)</f>
        <v>4</v>
      </c>
      <c r="L39" s="137">
        <f t="shared" si="6"/>
        <v>4</v>
      </c>
    </row>
    <row r="40" spans="1:12">
      <c r="A40" s="137" t="str">
        <f t="shared" ca="1" si="3"/>
        <v/>
      </c>
      <c r="B40" s="212" t="str">
        <f t="shared" ca="1" si="0"/>
        <v>TOP-OUT</v>
      </c>
      <c r="C40" s="212" t="str">
        <f ca="1">IF($A40="*","","X"&amp;OFFSET(AGR!$B$6,0,L40))</f>
        <v>XAGROHF</v>
      </c>
      <c r="D40" s="212" t="str">
        <f t="shared" ca="1" si="1"/>
        <v>AGRNOX</v>
      </c>
      <c r="E40" s="212" t="str">
        <f t="shared" ca="1" si="4"/>
        <v>-</v>
      </c>
      <c r="F40" s="212" t="str">
        <f t="shared" ca="1" si="4"/>
        <v>-</v>
      </c>
      <c r="G40" s="212" t="str">
        <f t="shared" ca="1" si="4"/>
        <v>-</v>
      </c>
      <c r="H40" s="212" t="str">
        <f t="shared" ca="1" si="4"/>
        <v>-</v>
      </c>
      <c r="I40" s="213" t="str">
        <f t="shared" ca="1" si="5"/>
        <v>1</v>
      </c>
      <c r="J40" s="212">
        <f ca="1">OFFSET(AGR!$B$8,K40,L40)</f>
        <v>1.5290999999999999</v>
      </c>
      <c r="K40" s="137">
        <f>IF(L39=AGR!$B$4,K39+1,K39)</f>
        <v>4</v>
      </c>
      <c r="L40" s="137">
        <f t="shared" si="6"/>
        <v>5</v>
      </c>
    </row>
    <row r="41" spans="1:12">
      <c r="A41" s="137" t="str">
        <f t="shared" ca="1" si="3"/>
        <v>*</v>
      </c>
      <c r="B41" s="212" t="str">
        <f t="shared" ca="1" si="0"/>
        <v/>
      </c>
      <c r="C41" s="212" t="str">
        <f ca="1">IF($A41="*","","X"&amp;OFFSET(AGR!$B$6,0,L41))</f>
        <v/>
      </c>
      <c r="D41" s="212" t="str">
        <f t="shared" ca="1" si="1"/>
        <v/>
      </c>
      <c r="E41" s="212" t="str">
        <f t="shared" ca="1" si="4"/>
        <v/>
      </c>
      <c r="F41" s="212" t="str">
        <f t="shared" ca="1" si="4"/>
        <v/>
      </c>
      <c r="G41" s="212" t="str">
        <f t="shared" ca="1" si="4"/>
        <v/>
      </c>
      <c r="H41" s="212" t="str">
        <f t="shared" ca="1" si="4"/>
        <v/>
      </c>
      <c r="I41" s="213" t="str">
        <f t="shared" ca="1" si="5"/>
        <v/>
      </c>
      <c r="J41" s="212">
        <f ca="1">OFFSET(AGR!$B$8,K41,L41)</f>
        <v>0</v>
      </c>
      <c r="K41" s="137">
        <f>IF(L40=AGR!$B$4,K40+1,K40)</f>
        <v>4</v>
      </c>
      <c r="L41" s="137">
        <f t="shared" si="6"/>
        <v>6</v>
      </c>
    </row>
    <row r="42" spans="1:12">
      <c r="A42" s="137" t="str">
        <f t="shared" ca="1" si="3"/>
        <v>*</v>
      </c>
      <c r="B42" s="212" t="str">
        <f t="shared" ca="1" si="0"/>
        <v/>
      </c>
      <c r="C42" s="212" t="str">
        <f ca="1">IF($A42="*","","X"&amp;OFFSET(AGR!$B$6,0,L42))</f>
        <v/>
      </c>
      <c r="D42" s="212" t="str">
        <f t="shared" ca="1" si="1"/>
        <v/>
      </c>
      <c r="E42" s="212" t="str">
        <f t="shared" ca="1" si="4"/>
        <v/>
      </c>
      <c r="F42" s="212" t="str">
        <f t="shared" ca="1" si="4"/>
        <v/>
      </c>
      <c r="G42" s="212" t="str">
        <f t="shared" ca="1" si="4"/>
        <v/>
      </c>
      <c r="H42" s="212" t="str">
        <f t="shared" ca="1" si="4"/>
        <v/>
      </c>
      <c r="I42" s="213" t="str">
        <f t="shared" ca="1" si="5"/>
        <v/>
      </c>
      <c r="J42" s="212">
        <f ca="1">OFFSET(AGR!$B$8,K42,L42)</f>
        <v>0</v>
      </c>
      <c r="K42" s="137">
        <f>IF(L41=AGR!$B$4,K41+1,K41)</f>
        <v>4</v>
      </c>
      <c r="L42" s="137">
        <f t="shared" si="6"/>
        <v>7</v>
      </c>
    </row>
    <row r="43" spans="1:12">
      <c r="A43" s="137" t="str">
        <f t="shared" si="3"/>
        <v>*</v>
      </c>
      <c r="B43" s="212" t="str">
        <f t="shared" si="0"/>
        <v/>
      </c>
      <c r="C43" s="212" t="str">
        <f ca="1">IF($A43="*","","X"&amp;OFFSET(AGR!$B$6,0,L43))</f>
        <v/>
      </c>
      <c r="D43" s="212" t="str">
        <f>IF(A43="*","",VLOOKUP("*"&amp;K43,$A$10:$D$13,4,FALSE))</f>
        <v/>
      </c>
      <c r="E43" s="212" t="str">
        <f t="shared" si="4"/>
        <v/>
      </c>
      <c r="F43" s="212" t="str">
        <f t="shared" si="4"/>
        <v/>
      </c>
      <c r="G43" s="212" t="str">
        <f t="shared" si="4"/>
        <v/>
      </c>
      <c r="H43" s="212" t="str">
        <f t="shared" si="4"/>
        <v/>
      </c>
      <c r="I43" s="213" t="str">
        <f t="shared" si="5"/>
        <v/>
      </c>
      <c r="J43" s="212"/>
    </row>
    <row r="44" spans="1:12">
      <c r="B44" s="212"/>
      <c r="C44" s="212"/>
      <c r="D44" s="212"/>
      <c r="E44" s="212"/>
      <c r="F44" s="212"/>
      <c r="G44" s="212"/>
      <c r="H44" s="212"/>
      <c r="I44" s="213"/>
      <c r="J44" s="212"/>
    </row>
    <row r="45" spans="1:12">
      <c r="B45" s="212"/>
      <c r="C45" s="212"/>
      <c r="D45" s="212"/>
      <c r="E45" s="212"/>
      <c r="F45" s="212"/>
      <c r="G45" s="212"/>
      <c r="H45" s="212"/>
      <c r="I45" s="213"/>
      <c r="J45" s="207"/>
    </row>
    <row r="46" spans="1:12">
      <c r="B46" s="212"/>
      <c r="C46" s="212"/>
      <c r="D46" s="212"/>
      <c r="E46" s="212"/>
      <c r="F46" s="212"/>
      <c r="G46" s="212"/>
      <c r="H46" s="212"/>
      <c r="I46" s="213"/>
      <c r="J46" s="207"/>
    </row>
    <row r="47" spans="1:12">
      <c r="B47" s="212"/>
      <c r="C47" s="212"/>
      <c r="D47" s="212"/>
      <c r="E47" s="212"/>
      <c r="F47" s="212"/>
      <c r="G47" s="212"/>
      <c r="H47" s="212"/>
      <c r="I47" s="213"/>
      <c r="J47" s="207"/>
    </row>
    <row r="48" spans="1:12">
      <c r="B48" s="212"/>
      <c r="C48" s="212"/>
      <c r="D48" s="212"/>
      <c r="E48" s="212"/>
      <c r="F48" s="212"/>
      <c r="G48" s="212"/>
      <c r="H48" s="212"/>
      <c r="I48" s="213"/>
      <c r="J48" s="207"/>
    </row>
    <row r="49" spans="2:10">
      <c r="B49" s="212"/>
      <c r="C49" s="212"/>
      <c r="D49" s="212"/>
      <c r="E49" s="212"/>
      <c r="F49" s="212"/>
      <c r="G49" s="212"/>
      <c r="H49" s="212"/>
      <c r="I49" s="213"/>
      <c r="J49" s="207"/>
    </row>
    <row r="50" spans="2:10">
      <c r="B50" s="212"/>
      <c r="C50" s="212"/>
      <c r="D50" s="212"/>
      <c r="E50" s="212"/>
      <c r="F50" s="212"/>
      <c r="G50" s="212"/>
      <c r="H50" s="212"/>
      <c r="I50" s="213"/>
      <c r="J50" s="207"/>
    </row>
    <row r="51" spans="2:10">
      <c r="B51" s="212"/>
      <c r="C51" s="212"/>
      <c r="D51" s="212"/>
      <c r="E51" s="212"/>
      <c r="F51" s="212"/>
      <c r="G51" s="212"/>
      <c r="H51" s="212"/>
      <c r="I51" s="213"/>
      <c r="J51" s="207"/>
    </row>
    <row r="52" spans="2:10">
      <c r="B52" s="212"/>
      <c r="C52" s="212"/>
      <c r="D52" s="212"/>
      <c r="E52" s="212"/>
      <c r="F52" s="212"/>
      <c r="G52" s="212"/>
      <c r="H52" s="212"/>
      <c r="I52" s="213"/>
      <c r="J52" s="207"/>
    </row>
  </sheetData>
  <pageMargins left="0.75" right="0.75" top="1" bottom="1" header="0.5" footer="0.5"/>
  <headerFooter alignWithMargins="0"/>
  <drawing r:id="rId1"/>
  <legacyDrawing r:id="rId2"/>
  <controls>
    <mc:AlternateContent xmlns:mc="http://schemas.openxmlformats.org/markup-compatibility/2006">
      <mc:Choice Requires="x14">
        <control shapeId="249865" r:id="rId3" name="cmdSpecifyIEOptcode">
          <controlPr defaultSize="0" autoLine="0" autoPict="0" r:id="rId4">
            <anchor moveWithCells="1">
              <from>
                <xdr:col>8</xdr:col>
                <xdr:colOff>0</xdr:colOff>
                <xdr:row>3</xdr:row>
                <xdr:rowOff>0</xdr:rowOff>
              </from>
              <to>
                <xdr:col>8</xdr:col>
                <xdr:colOff>438150</xdr:colOff>
                <xdr:row>4</xdr:row>
                <xdr:rowOff>95250</xdr:rowOff>
              </to>
            </anchor>
          </controlPr>
        </control>
      </mc:Choice>
      <mc:Fallback>
        <control shapeId="249865" r:id="rId3" name="cmdSpecifyIEOptcode"/>
      </mc:Fallback>
    </mc:AlternateContent>
    <mc:AlternateContent xmlns:mc="http://schemas.openxmlformats.org/markup-compatibility/2006">
      <mc:Choice Requires="x14">
        <control shapeId="249864"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249864" r:id="rId5" name="cmdSpecifyArg6"/>
      </mc:Fallback>
    </mc:AlternateContent>
    <mc:AlternateContent xmlns:mc="http://schemas.openxmlformats.org/markup-compatibility/2006">
      <mc:Choice Requires="x14">
        <control shapeId="249863"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249863" r:id="rId7" name="cmdSpecifyArg5"/>
      </mc:Fallback>
    </mc:AlternateContent>
    <mc:AlternateContent xmlns:mc="http://schemas.openxmlformats.org/markup-compatibility/2006">
      <mc:Choice Requires="x14">
        <control shapeId="249862"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249862" r:id="rId9" name="cmdSpecifyArg4"/>
      </mc:Fallback>
    </mc:AlternateContent>
    <mc:AlternateContent xmlns:mc="http://schemas.openxmlformats.org/markup-compatibility/2006">
      <mc:Choice Requires="x14">
        <control shapeId="249861"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249861" r:id="rId11" name="cmdSpecifyArg3"/>
      </mc:Fallback>
    </mc:AlternateContent>
    <mc:AlternateContent xmlns:mc="http://schemas.openxmlformats.org/markup-compatibility/2006">
      <mc:Choice Requires="x14">
        <control shapeId="249860" r:id="rId13" name="cmdSpecifyArg2">
          <controlPr defaultSize="0" autoLine="0" r:id="rId14">
            <anchor moveWithCells="1">
              <from>
                <xdr:col>3</xdr:col>
                <xdr:colOff>0</xdr:colOff>
                <xdr:row>3</xdr:row>
                <xdr:rowOff>0</xdr:rowOff>
              </from>
              <to>
                <xdr:col>4</xdr:col>
                <xdr:colOff>9525</xdr:colOff>
                <xdr:row>4</xdr:row>
                <xdr:rowOff>104775</xdr:rowOff>
              </to>
            </anchor>
          </controlPr>
        </control>
      </mc:Choice>
      <mc:Fallback>
        <control shapeId="249860" r:id="rId13" name="cmdSpecifyArg2"/>
      </mc:Fallback>
    </mc:AlternateContent>
    <mc:AlternateContent xmlns:mc="http://schemas.openxmlformats.org/markup-compatibility/2006">
      <mc:Choice Requires="x14">
        <control shapeId="249859"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249859" r:id="rId15" name="cmdSpecifyArg1"/>
      </mc:Fallback>
    </mc:AlternateContent>
    <mc:AlternateContent xmlns:mc="http://schemas.openxmlformats.org/markup-compatibility/2006">
      <mc:Choice Requires="x14">
        <control shapeId="249858"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249858" r:id="rId17" name="cmdSpecifyParameter"/>
      </mc:Fallback>
    </mc:AlternateContent>
    <mc:AlternateContent xmlns:mc="http://schemas.openxmlformats.org/markup-compatibility/2006">
      <mc:Choice Requires="x14">
        <control shapeId="249857"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249857" r:id="rId19" name="cmdCheckTSandTIDDataSheet"/>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D1:F17"/>
  <sheetViews>
    <sheetView workbookViewId="0">
      <selection activeCell="O40" sqref="O40"/>
    </sheetView>
  </sheetViews>
  <sheetFormatPr defaultColWidth="9.140625" defaultRowHeight="12.75"/>
  <cols>
    <col min="1" max="3" width="9.140625" style="145"/>
    <col min="4" max="4" width="12.5703125" style="145" customWidth="1"/>
    <col min="5" max="16384" width="9.140625" style="145"/>
  </cols>
  <sheetData>
    <row r="1" spans="4:6">
      <c r="E1" s="153" t="s">
        <v>329</v>
      </c>
      <c r="F1" s="214">
        <v>1E-8</v>
      </c>
    </row>
    <row r="3" spans="4:6">
      <c r="D3" s="153" t="s">
        <v>123</v>
      </c>
      <c r="E3" s="153" t="s">
        <v>330</v>
      </c>
      <c r="F3" s="153" t="s">
        <v>123</v>
      </c>
    </row>
    <row r="4" spans="4:6">
      <c r="D4" s="153" t="s">
        <v>134</v>
      </c>
      <c r="E4" s="145" t="s">
        <v>331</v>
      </c>
      <c r="F4" s="153" t="s">
        <v>134</v>
      </c>
    </row>
    <row r="5" spans="4:6">
      <c r="D5" s="153" t="s">
        <v>357</v>
      </c>
      <c r="E5" s="153" t="s">
        <v>358</v>
      </c>
      <c r="F5" s="153" t="s">
        <v>357</v>
      </c>
    </row>
    <row r="6" spans="4:6">
      <c r="D6" s="153" t="s">
        <v>359</v>
      </c>
      <c r="E6" s="153" t="s">
        <v>360</v>
      </c>
      <c r="F6" s="153" t="s">
        <v>359</v>
      </c>
    </row>
    <row r="7" spans="4:6">
      <c r="D7" s="145" t="s">
        <v>361</v>
      </c>
      <c r="E7" s="145" t="s">
        <v>362</v>
      </c>
      <c r="F7" s="145" t="s">
        <v>361</v>
      </c>
    </row>
    <row r="8" spans="4:6">
      <c r="D8" s="145" t="s">
        <v>363</v>
      </c>
      <c r="E8" s="145" t="s">
        <v>364</v>
      </c>
      <c r="F8" s="145" t="s">
        <v>363</v>
      </c>
    </row>
    <row r="9" spans="4:6">
      <c r="D9" s="153" t="s">
        <v>365</v>
      </c>
      <c r="E9" s="153" t="s">
        <v>366</v>
      </c>
      <c r="F9" s="153" t="s">
        <v>365</v>
      </c>
    </row>
    <row r="10" spans="4:6">
      <c r="D10" s="153"/>
      <c r="E10" s="153"/>
      <c r="F10" s="153"/>
    </row>
    <row r="12" spans="4:6">
      <c r="D12" s="153"/>
      <c r="E12" s="153"/>
      <c r="F12" s="153"/>
    </row>
    <row r="15" spans="4:6">
      <c r="D15" s="153"/>
      <c r="E15" s="153"/>
      <c r="F15" s="153"/>
    </row>
    <row r="16" spans="4:6">
      <c r="D16" s="153"/>
      <c r="E16" s="153"/>
      <c r="F16" s="153"/>
    </row>
    <row r="17" spans="4:6">
      <c r="D17" s="153"/>
      <c r="E17" s="153"/>
      <c r="F17" s="1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3:F43"/>
  <sheetViews>
    <sheetView workbookViewId="0">
      <selection activeCell="E7" sqref="E7"/>
    </sheetView>
  </sheetViews>
  <sheetFormatPr defaultRowHeight="12.75"/>
  <sheetData>
    <row r="3" spans="1:6">
      <c r="B3" t="str">
        <f>'[1]Load Calibration'!BL3</f>
        <v>AH</v>
      </c>
      <c r="C3" t="str">
        <f>'[1]Load Calibration'!BM3</f>
        <v>AP</v>
      </c>
      <c r="D3" t="str">
        <f>'[1]Load Calibration'!BN3</f>
        <v>AT</v>
      </c>
      <c r="E3" t="str">
        <f>'[1]Load Calibration'!BO3</f>
        <v>AI</v>
      </c>
      <c r="F3" t="str">
        <f>'[1]Load Calibration'!BP3</f>
        <v>AO</v>
      </c>
    </row>
    <row r="4" spans="1:6">
      <c r="B4" s="95">
        <f>IF('TS COMFR_10'!$A$1&lt;&gt;"",AFA!B7,AFA!B6)</f>
        <v>0.55130000000000001</v>
      </c>
      <c r="C4" s="95">
        <f>IF('TS COMFR_10'!$A$1&lt;&gt;"",AFA!C7,AFA!C6)</f>
        <v>0.74760000000000004</v>
      </c>
      <c r="D4" s="95">
        <f>IF('TS COMFR_10'!$A$1&lt;&gt;"",AFA!D7,AFA!D6)</f>
        <v>0.77659999999999996</v>
      </c>
      <c r="E4" s="95">
        <f>IF('TS COMFR_10'!$A$1&lt;&gt;"",AFA!E7,AFA!E6)</f>
        <v>0.80869999999999997</v>
      </c>
      <c r="F4" s="95">
        <f>IF('TS COMFR_10'!$A$1&lt;&gt;"",AFA!F7,AFA!F6)</f>
        <v>1</v>
      </c>
    </row>
    <row r="5" spans="1:6">
      <c r="B5" s="95"/>
      <c r="C5" s="95"/>
      <c r="D5" s="95"/>
      <c r="E5" s="95"/>
      <c r="F5" s="95"/>
    </row>
    <row r="6" spans="1:6">
      <c r="A6" s="100" t="s">
        <v>381</v>
      </c>
      <c r="B6" s="266">
        <f>'[1]Load Calibration'!BL156</f>
        <v>0.62809999999999999</v>
      </c>
      <c r="C6" s="266">
        <f>'[1]Load Calibration'!BM156</f>
        <v>0.69469999999999998</v>
      </c>
      <c r="D6" s="266">
        <f>'[1]Load Calibration'!BN156</f>
        <v>0.53790000000000004</v>
      </c>
      <c r="E6" s="266">
        <f>'[1]Load Calibration'!BO156</f>
        <v>0.72960000000000003</v>
      </c>
      <c r="F6" s="266">
        <f>'[1]Load Calibration'!BP156</f>
        <v>0.75770000000000004</v>
      </c>
    </row>
    <row r="7" spans="1:6">
      <c r="A7" s="100" t="s">
        <v>382</v>
      </c>
      <c r="B7" s="95">
        <f>[2]AFA!AM5</f>
        <v>0.55130000000000001</v>
      </c>
      <c r="C7" s="95">
        <f>[2]AFA!AN5</f>
        <v>0.74760000000000004</v>
      </c>
      <c r="D7" s="95">
        <f>[2]AFA!AO5</f>
        <v>0.77659999999999996</v>
      </c>
      <c r="E7" s="95">
        <f>[2]AFA!AP5</f>
        <v>0.80869999999999997</v>
      </c>
      <c r="F7" s="95">
        <f>[2]AFA!AQ5</f>
        <v>1</v>
      </c>
    </row>
    <row r="8" spans="1:6">
      <c r="B8" s="95"/>
      <c r="C8" s="95"/>
      <c r="D8" s="95"/>
      <c r="E8" s="95"/>
      <c r="F8" s="95"/>
    </row>
    <row r="9" spans="1:6">
      <c r="B9" s="95"/>
      <c r="C9" s="95"/>
      <c r="D9" s="95"/>
      <c r="E9" s="95"/>
      <c r="F9" s="95"/>
    </row>
    <row r="10" spans="1:6">
      <c r="B10" s="95"/>
      <c r="C10" s="95"/>
      <c r="D10" s="95"/>
      <c r="E10" s="95"/>
      <c r="F10" s="95"/>
    </row>
    <row r="11" spans="1:6">
      <c r="B11" s="95"/>
      <c r="C11" s="95"/>
      <c r="D11" s="95"/>
      <c r="E11" s="95"/>
      <c r="F11" s="95"/>
    </row>
    <row r="12" spans="1:6">
      <c r="B12" s="95"/>
      <c r="C12" s="95"/>
      <c r="D12" s="95"/>
      <c r="E12" s="95"/>
      <c r="F12" s="95"/>
    </row>
    <row r="13" spans="1:6">
      <c r="B13" s="95"/>
      <c r="C13" s="95"/>
      <c r="D13" s="95"/>
      <c r="E13" s="95"/>
      <c r="F13" s="95"/>
    </row>
    <row r="14" spans="1:6">
      <c r="B14" s="95"/>
      <c r="C14" s="95"/>
      <c r="D14" s="95"/>
      <c r="E14" s="95"/>
      <c r="F14" s="95"/>
    </row>
    <row r="15" spans="1:6">
      <c r="B15" s="95"/>
      <c r="C15" s="95"/>
      <c r="D15" s="95"/>
      <c r="E15" s="95"/>
      <c r="F15" s="95"/>
    </row>
    <row r="16" spans="1:6">
      <c r="B16" s="95"/>
      <c r="C16" s="95"/>
      <c r="D16" s="95"/>
      <c r="E16" s="95"/>
      <c r="F16" s="95"/>
    </row>
    <row r="17" spans="2:6">
      <c r="B17" s="95"/>
      <c r="C17" s="95"/>
      <c r="D17" s="95"/>
      <c r="E17" s="95"/>
      <c r="F17" s="95"/>
    </row>
    <row r="18" spans="2:6">
      <c r="B18" s="95"/>
      <c r="C18" s="95"/>
      <c r="D18" s="95"/>
      <c r="E18" s="95"/>
      <c r="F18" s="95"/>
    </row>
    <row r="19" spans="2:6">
      <c r="B19" s="95"/>
      <c r="C19" s="95"/>
      <c r="D19" s="95"/>
      <c r="E19" s="95"/>
      <c r="F19" s="95"/>
    </row>
    <row r="20" spans="2:6">
      <c r="B20" s="95"/>
      <c r="C20" s="95"/>
      <c r="D20" s="95"/>
      <c r="E20" s="95"/>
      <c r="F20" s="95"/>
    </row>
    <row r="21" spans="2:6">
      <c r="B21" s="95"/>
      <c r="C21" s="95"/>
      <c r="D21" s="95"/>
      <c r="E21" s="95"/>
      <c r="F21" s="95"/>
    </row>
    <row r="22" spans="2:6">
      <c r="B22" s="95"/>
      <c r="C22" s="95"/>
      <c r="D22" s="95"/>
      <c r="E22" s="95"/>
      <c r="F22" s="95"/>
    </row>
    <row r="23" spans="2:6">
      <c r="B23" s="95"/>
      <c r="C23" s="95"/>
      <c r="D23" s="95"/>
      <c r="E23" s="95"/>
      <c r="F23" s="95"/>
    </row>
    <row r="24" spans="2:6">
      <c r="B24" s="95"/>
      <c r="C24" s="95"/>
      <c r="D24" s="95"/>
      <c r="E24" s="95"/>
      <c r="F24" s="95"/>
    </row>
    <row r="25" spans="2:6">
      <c r="B25" s="95"/>
      <c r="C25" s="95"/>
      <c r="D25" s="95"/>
      <c r="E25" s="95"/>
      <c r="F25" s="95"/>
    </row>
    <row r="26" spans="2:6">
      <c r="B26" s="95"/>
      <c r="C26" s="95"/>
      <c r="D26" s="95"/>
      <c r="E26" s="95"/>
      <c r="F26" s="95"/>
    </row>
    <row r="27" spans="2:6">
      <c r="B27" s="95"/>
      <c r="C27" s="95"/>
      <c r="D27" s="95"/>
      <c r="E27" s="95"/>
      <c r="F27" s="95"/>
    </row>
    <row r="28" spans="2:6">
      <c r="B28" s="95"/>
      <c r="C28" s="95"/>
      <c r="D28" s="95"/>
      <c r="E28" s="95"/>
      <c r="F28" s="95"/>
    </row>
    <row r="29" spans="2:6">
      <c r="B29" s="95"/>
      <c r="C29" s="95"/>
      <c r="D29" s="95"/>
      <c r="E29" s="95"/>
      <c r="F29" s="95"/>
    </row>
    <row r="30" spans="2:6">
      <c r="B30" s="95"/>
      <c r="C30" s="95"/>
      <c r="D30" s="95"/>
      <c r="E30" s="95"/>
      <c r="F30" s="95"/>
    </row>
    <row r="31" spans="2:6">
      <c r="B31" s="95"/>
      <c r="C31" s="95"/>
      <c r="D31" s="95"/>
      <c r="E31" s="95"/>
      <c r="F31" s="95"/>
    </row>
    <row r="32" spans="2:6">
      <c r="B32" s="95"/>
      <c r="C32" s="95"/>
      <c r="D32" s="95"/>
      <c r="E32" s="95"/>
      <c r="F32" s="95"/>
    </row>
    <row r="33" spans="2:6">
      <c r="B33" s="95"/>
      <c r="C33" s="95"/>
      <c r="D33" s="95"/>
      <c r="E33" s="95"/>
      <c r="F33" s="95"/>
    </row>
    <row r="34" spans="2:6">
      <c r="B34" s="95"/>
      <c r="C34" s="95"/>
      <c r="D34" s="95"/>
      <c r="E34" s="95"/>
      <c r="F34" s="95"/>
    </row>
    <row r="35" spans="2:6">
      <c r="B35" s="95"/>
      <c r="C35" s="95"/>
      <c r="D35" s="95"/>
      <c r="E35" s="95"/>
      <c r="F35" s="95"/>
    </row>
    <row r="36" spans="2:6">
      <c r="B36" s="95"/>
      <c r="C36" s="95"/>
      <c r="D36" s="95"/>
      <c r="E36" s="95"/>
      <c r="F36" s="95"/>
    </row>
    <row r="37" spans="2:6">
      <c r="B37" s="95"/>
      <c r="C37" s="95"/>
      <c r="D37" s="95"/>
      <c r="E37" s="95"/>
      <c r="F37" s="95"/>
    </row>
    <row r="38" spans="2:6">
      <c r="B38" s="95"/>
      <c r="C38" s="95"/>
      <c r="D38" s="95"/>
      <c r="E38" s="95"/>
      <c r="F38" s="95"/>
    </row>
    <row r="39" spans="2:6">
      <c r="B39" s="95"/>
      <c r="C39" s="95"/>
      <c r="D39" s="95"/>
      <c r="E39" s="95"/>
      <c r="F39" s="95"/>
    </row>
    <row r="40" spans="2:6">
      <c r="B40" s="95"/>
      <c r="C40" s="95"/>
      <c r="D40" s="95"/>
      <c r="E40" s="95"/>
      <c r="F40" s="95"/>
    </row>
    <row r="41" spans="2:6">
      <c r="B41" s="95"/>
      <c r="C41" s="95"/>
      <c r="D41" s="95"/>
      <c r="E41" s="95"/>
      <c r="F41" s="95"/>
    </row>
    <row r="42" spans="2:6">
      <c r="B42" s="95"/>
      <c r="C42" s="95"/>
      <c r="D42" s="95"/>
      <c r="E42" s="95"/>
      <c r="F42" s="95"/>
    </row>
    <row r="43" spans="2:6" s="222" customFormat="1">
      <c r="B43" s="223"/>
      <c r="C43" s="223"/>
      <c r="D43" s="223"/>
      <c r="E43" s="223"/>
      <c r="F43" s="2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vt:i4>
      </vt:variant>
    </vt:vector>
  </HeadingPairs>
  <TitlesOfParts>
    <vt:vector size="35" baseType="lpstr">
      <vt:lpstr>Change Log</vt:lpstr>
      <vt:lpstr>Index</vt:lpstr>
      <vt:lpstr>AGRIC RES</vt:lpstr>
      <vt:lpstr>Sources</vt:lpstr>
      <vt:lpstr>Appendix 1</vt:lpstr>
      <vt:lpstr>Appendix 2</vt:lpstr>
      <vt:lpstr>Appendix 3</vt:lpstr>
      <vt:lpstr>Appendix 4</vt:lpstr>
      <vt:lpstr>Appendix 5</vt:lpstr>
      <vt:lpstr>Appendix 6</vt:lpstr>
      <vt:lpstr>Appendix 7</vt:lpstr>
      <vt:lpstr>REGIONS</vt:lpstr>
      <vt:lpstr>Final Demand</vt:lpstr>
      <vt:lpstr>Sheet1</vt:lpstr>
      <vt:lpstr>AGR</vt:lpstr>
      <vt:lpstr>ITEMS_Tech</vt:lpstr>
      <vt:lpstr>TS DTech</vt:lpstr>
      <vt:lpstr>TS DMARK</vt:lpstr>
      <vt:lpstr>TID DTech</vt:lpstr>
      <vt:lpstr>ITEMS_Comm</vt:lpstr>
      <vt:lpstr>TS BYDem</vt:lpstr>
      <vt:lpstr>TS COMFR</vt:lpstr>
      <vt:lpstr>TS COMFR_10</vt:lpstr>
      <vt:lpstr>TS FTech</vt:lpstr>
      <vt:lpstr>TID FTech</vt:lpstr>
      <vt:lpstr>TS Emiss</vt:lpstr>
      <vt:lpstr>TID Emiss</vt:lpstr>
      <vt:lpstr>NameConv</vt:lpstr>
      <vt:lpstr>AFA</vt:lpstr>
      <vt:lpstr>agrPAMS</vt:lpstr>
      <vt:lpstr>ComTechs</vt:lpstr>
      <vt:lpstr>eps</vt:lpstr>
      <vt:lpstr>FuelNames</vt:lpstr>
      <vt:lpstr>'Change Log'!Print_Area</vt:lpstr>
      <vt:lpstr>Sources!Print_Area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cp:lastModifiedBy>Bruno</cp:lastModifiedBy>
  <dcterms:created xsi:type="dcterms:W3CDTF">2011-01-19T05:36:15Z</dcterms:created>
  <dcterms:modified xsi:type="dcterms:W3CDTF">2020-07-31T04:29:35Z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189813554286956</vt:r8>
  </property>
</Properties>
</file>