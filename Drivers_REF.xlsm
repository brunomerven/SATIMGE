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8_{4321CED3-264E-48B0-AF44-7E07C985C764}" xr6:coauthVersionLast="45" xr6:coauthVersionMax="45" xr10:uidLastSave="{00000000-0000-0000-0000-000000000000}"/>
  <bookViews>
    <workbookView xWindow="-3630" yWindow="-18225" windowWidth="17085" windowHeight="143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Households_CGE" sheetId="4" r:id="rId5"/>
    <sheet name="GDP_Simple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7" i="6" l="1"/>
  <c r="AN6" i="6" s="1"/>
  <c r="AM7" i="6"/>
  <c r="AL7" i="6"/>
  <c r="AK7" i="6"/>
  <c r="AJ7" i="6"/>
  <c r="AI7" i="6"/>
  <c r="AJ6" i="6" s="1"/>
  <c r="AH7" i="6"/>
  <c r="AG7" i="6"/>
  <c r="AF7" i="6"/>
  <c r="AE7" i="6"/>
  <c r="AD7" i="6"/>
  <c r="AD6" i="6" s="1"/>
  <c r="AC7" i="6"/>
  <c r="AC6" i="6" s="1"/>
  <c r="AB7" i="6"/>
  <c r="AB6" i="6" s="1"/>
  <c r="AA7" i="6"/>
  <c r="Z7" i="6"/>
  <c r="Y7" i="6"/>
  <c r="X7" i="6"/>
  <c r="W7" i="6"/>
  <c r="X6" i="6" s="1"/>
  <c r="V7" i="6"/>
  <c r="U7" i="6"/>
  <c r="T7" i="6"/>
  <c r="S7" i="6"/>
  <c r="R7" i="6"/>
  <c r="R6" i="6" s="1"/>
  <c r="Q7" i="6"/>
  <c r="Q6" i="6" s="1"/>
  <c r="P7" i="6"/>
  <c r="P6" i="6" s="1"/>
  <c r="O7" i="6"/>
  <c r="N7" i="6"/>
  <c r="M7" i="6"/>
  <c r="L7" i="6"/>
  <c r="K7" i="6"/>
  <c r="L6" i="6" s="1"/>
  <c r="J7" i="6"/>
  <c r="I7" i="6"/>
  <c r="H7" i="6"/>
  <c r="G7" i="6"/>
  <c r="F7" i="6"/>
  <c r="F6" i="6" s="1"/>
  <c r="E7" i="6"/>
  <c r="E6" i="6" s="1"/>
  <c r="D7" i="6"/>
  <c r="D6" i="6" s="1"/>
  <c r="C7" i="6"/>
  <c r="B7" i="6"/>
  <c r="AM6" i="6"/>
  <c r="AL6" i="6"/>
  <c r="AK6" i="6"/>
  <c r="AI6" i="6"/>
  <c r="AH6" i="6"/>
  <c r="AG6" i="6"/>
  <c r="AF6" i="6"/>
  <c r="AE6" i="6"/>
  <c r="AA6" i="6"/>
  <c r="Z6" i="6"/>
  <c r="Y6" i="6"/>
  <c r="W6" i="6"/>
  <c r="V6" i="6"/>
  <c r="U6" i="6"/>
  <c r="T6" i="6"/>
  <c r="S6" i="6"/>
  <c r="O6" i="6"/>
  <c r="N6" i="6"/>
  <c r="M6" i="6"/>
  <c r="K6" i="6"/>
  <c r="J6" i="6"/>
  <c r="I6" i="6"/>
  <c r="H6" i="6"/>
  <c r="G6" i="6"/>
  <c r="C6" i="6"/>
  <c r="C11" i="1" l="1"/>
  <c r="C10" i="1"/>
  <c r="C9" i="1"/>
  <c r="C8" i="1"/>
  <c r="H30" i="6" l="1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G30" i="6"/>
  <c r="B32" i="6"/>
  <c r="C32" i="6"/>
  <c r="D32" i="6"/>
  <c r="E32" i="6"/>
  <c r="F32" i="6"/>
  <c r="A32" i="6"/>
  <c r="G38" i="6"/>
  <c r="C38" i="6"/>
  <c r="D38" i="6"/>
  <c r="E38" i="6"/>
  <c r="F38" i="6"/>
  <c r="B38" i="6"/>
  <c r="B36" i="6"/>
  <c r="C36" i="6" s="1"/>
  <c r="D36" i="6" s="1"/>
  <c r="E36" i="6" s="1"/>
  <c r="F36" i="6" s="1"/>
  <c r="I38" i="6"/>
  <c r="J38" i="6"/>
  <c r="K38" i="6"/>
  <c r="L38" i="6"/>
  <c r="M38" i="6"/>
  <c r="N38" i="6"/>
  <c r="O38" i="6"/>
  <c r="P38" i="6"/>
  <c r="Q38" i="6"/>
  <c r="H38" i="6"/>
  <c r="C7" i="1"/>
  <c r="G32" i="6" l="1"/>
  <c r="H32" i="6" s="1"/>
  <c r="I32" i="6" s="1"/>
  <c r="J32" i="6" s="1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C89" i="2" l="1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B89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B96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Z97" i="2" s="1"/>
  <c r="A4" i="2"/>
  <c r="E97" i="2" l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C16" i="6"/>
  <c r="O16" i="6"/>
  <c r="AA16" i="6"/>
  <c r="AM16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D16" i="6"/>
  <c r="P16" i="6"/>
  <c r="AB16" i="6"/>
  <c r="AN16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E16" i="6"/>
  <c r="Q16" i="6"/>
  <c r="AC16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F16" i="6"/>
  <c r="R16" i="6"/>
  <c r="AD16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G16" i="6"/>
  <c r="S16" i="6"/>
  <c r="AE16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H16" i="6"/>
  <c r="T16" i="6"/>
  <c r="AF16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B16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I16" i="6"/>
  <c r="U16" i="6"/>
  <c r="AG16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J16" i="6"/>
  <c r="V16" i="6"/>
  <c r="AH16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K16" i="6"/>
  <c r="W16" i="6"/>
  <c r="AI16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L16" i="6"/>
  <c r="X16" i="6"/>
  <c r="AJ16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M16" i="6"/>
  <c r="Y16" i="6"/>
  <c r="AK16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N16" i="6"/>
  <c r="Z16" i="6"/>
  <c r="AL16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Q97" i="2"/>
  <c r="M97" i="2"/>
  <c r="AG99" i="2"/>
  <c r="U99" i="2"/>
  <c r="I99" i="2"/>
  <c r="B97" i="2"/>
  <c r="AC97" i="2"/>
  <c r="AJ97" i="2"/>
  <c r="X97" i="2"/>
  <c r="L97" i="2"/>
  <c r="AI97" i="2"/>
  <c r="W97" i="2"/>
  <c r="K97" i="2"/>
  <c r="AG97" i="2"/>
  <c r="U97" i="2"/>
  <c r="I97" i="2"/>
  <c r="J97" i="2"/>
  <c r="AF97" i="2"/>
  <c r="T97" i="2"/>
  <c r="H97" i="2"/>
  <c r="V97" i="2"/>
  <c r="AE97" i="2"/>
  <c r="S97" i="2"/>
  <c r="G97" i="2"/>
  <c r="AH97" i="2"/>
  <c r="AD97" i="2"/>
  <c r="R97" i="2"/>
  <c r="F97" i="2"/>
  <c r="D97" i="2"/>
  <c r="E98" i="2" s="1"/>
  <c r="AN97" i="2"/>
  <c r="AB97" i="2"/>
  <c r="AC98" i="2" s="1"/>
  <c r="P97" i="2"/>
  <c r="AM97" i="2"/>
  <c r="AA97" i="2"/>
  <c r="AA98" i="2" s="1"/>
  <c r="O97" i="2"/>
  <c r="C97" i="2"/>
  <c r="N97" i="2"/>
  <c r="AL97" i="2"/>
  <c r="AK97" i="2"/>
  <c r="Y97" i="2"/>
  <c r="Z98" i="2" s="1"/>
  <c r="AM99" i="2"/>
  <c r="O99" i="2"/>
  <c r="AF99" i="2"/>
  <c r="T99" i="2"/>
  <c r="H99" i="2"/>
  <c r="AK99" i="2"/>
  <c r="Y99" i="2"/>
  <c r="M99" i="2"/>
  <c r="AC99" i="2"/>
  <c r="Q99" i="2"/>
  <c r="E99" i="2"/>
  <c r="N99" i="2"/>
  <c r="AN99" i="2"/>
  <c r="AB99" i="2"/>
  <c r="AA99" i="2"/>
  <c r="AI99" i="2"/>
  <c r="W99" i="2"/>
  <c r="K99" i="2"/>
  <c r="AE99" i="2"/>
  <c r="S99" i="2"/>
  <c r="G99" i="2"/>
  <c r="P99" i="2"/>
  <c r="D99" i="2"/>
  <c r="AL99" i="2"/>
  <c r="Z99" i="2"/>
  <c r="C99" i="2"/>
  <c r="AH99" i="2"/>
  <c r="V99" i="2"/>
  <c r="J99" i="2"/>
  <c r="AJ99" i="2"/>
  <c r="L99" i="2"/>
  <c r="X99" i="2"/>
  <c r="AD99" i="2"/>
  <c r="R99" i="2"/>
  <c r="F99" i="2"/>
  <c r="C98" i="2" l="1"/>
  <c r="AK98" i="2"/>
  <c r="R98" i="2"/>
  <c r="N98" i="2"/>
  <c r="AI98" i="2"/>
  <c r="Q98" i="2"/>
  <c r="AD98" i="2"/>
  <c r="AG98" i="2"/>
  <c r="AH98" i="2"/>
  <c r="J98" i="2"/>
  <c r="G98" i="2"/>
  <c r="AL98" i="2"/>
  <c r="O98" i="2"/>
  <c r="S98" i="2"/>
  <c r="V98" i="2"/>
  <c r="X98" i="2"/>
  <c r="H98" i="2"/>
  <c r="U98" i="2"/>
  <c r="Y98" i="2"/>
  <c r="I98" i="2"/>
  <c r="AF98" i="2"/>
  <c r="L98" i="2"/>
  <c r="AM98" i="2"/>
  <c r="P98" i="2"/>
  <c r="AE98" i="2"/>
  <c r="AN98" i="2"/>
  <c r="M98" i="2"/>
  <c r="AB98" i="2"/>
  <c r="W98" i="2"/>
  <c r="F98" i="2"/>
  <c r="T98" i="2"/>
  <c r="D98" i="2"/>
  <c r="K98" i="2"/>
  <c r="AJ98" i="2"/>
</calcChain>
</file>

<file path=xl/sharedStrings.xml><?xml version="1.0" encoding="utf-8"?>
<sst xmlns="http://schemas.openxmlformats.org/spreadsheetml/2006/main" count="582" uniqueCount="123">
  <si>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</si>
  <si>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</si>
  <si>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</si>
  <si>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</si>
  <si>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</si>
  <si>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</si>
  <si>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</si>
  <si>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</si>
  <si>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</si>
  <si>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</si>
  <si>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</si>
  <si>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</si>
  <si>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</si>
  <si>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</si>
  <si>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</si>
  <si>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</si>
  <si>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</si>
  <si>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</si>
  <si>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</si>
  <si>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</si>
  <si>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</si>
  <si>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</si>
  <si>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</si>
  <si>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</si>
  <si>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</si>
  <si>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</si>
  <si>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</si>
  <si>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</si>
  <si>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</si>
  <si>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</si>
  <si>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</si>
  <si>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</si>
  <si>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</si>
  <si>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</si>
  <si>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</si>
  <si>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</si>
  <si>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</si>
  <si>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</si>
  <si>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</si>
  <si>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GVA</t>
  </si>
  <si>
    <t>QA</t>
  </si>
  <si>
    <t>QA_FS(FS)</t>
  </si>
  <si>
    <t>GVA_FS(FS)</t>
  </si>
  <si>
    <t>QA(growth)</t>
  </si>
  <si>
    <t>GVA(growth)</t>
  </si>
  <si>
    <t>GVA total</t>
  </si>
  <si>
    <t>Use CGE or Simple</t>
  </si>
  <si>
    <t>Overal GDP Growth</t>
  </si>
  <si>
    <t>2025-2030</t>
  </si>
  <si>
    <t>2030-2040</t>
  </si>
  <si>
    <t>2040-2050</t>
  </si>
  <si>
    <t>Commerce Share of GDP</t>
  </si>
  <si>
    <t>Agriculture</t>
  </si>
  <si>
    <t>Coal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</si>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</sst>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GDP_CGE!$A$94</c:f>
          <c:strCache>
            <c:ptCount val="1"/>
            <c:pt idx="0">
              <c:v>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GDP_CGE!$A$98</c:f>
              <c:strCache>
                <c:ptCount val="1"/>
                <c:pt idx="0">
                  <c:v>QA(growth)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GDP_CGE!$B$98:$AN$98</c:f>
              <c:numCache>
                <c:formatCode>0.0%</c:formatCode>
                <c:ptCount val="39"/>
                <c:pt idx="1">
                  <c:v>4.2251503867086759E-2</c:v>
                </c:pt>
                <c:pt idx="2">
                  <c:v>3.7652878933626566E-2</c:v>
                </c:pt>
                <c:pt idx="3">
                  <c:v>-1.5229770891272754E-2</c:v>
                </c:pt>
                <c:pt idx="4">
                  <c:v>-1.0892953200645539E-2</c:v>
                </c:pt>
                <c:pt idx="5">
                  <c:v>3.3310673011556879E-2</c:v>
                </c:pt>
                <c:pt idx="6">
                  <c:v>-1.6052631578947318E-2</c:v>
                </c:pt>
                <c:pt idx="7">
                  <c:v>-1.6715699384862281E-2</c:v>
                </c:pt>
                <c:pt idx="8">
                  <c:v>-3.4951720386237062E-2</c:v>
                </c:pt>
                <c:pt idx="9">
                  <c:v>2.8184892897406888E-2</c:v>
                </c:pt>
                <c:pt idx="10">
                  <c:v>2.7960526315789602E-2</c:v>
                </c:pt>
                <c:pt idx="11">
                  <c:v>2.0266666666666655E-2</c:v>
                </c:pt>
                <c:pt idx="12">
                  <c:v>1.8034500784108953E-2</c:v>
                </c:pt>
                <c:pt idx="13">
                  <c:v>1.5789473684210353E-2</c:v>
                </c:pt>
                <c:pt idx="14">
                  <c:v>2.5527612789081333E-2</c:v>
                </c:pt>
                <c:pt idx="15">
                  <c:v>2.3536660505237172E-2</c:v>
                </c:pt>
                <c:pt idx="16">
                  <c:v>2.3356609679749507E-2</c:v>
                </c:pt>
                <c:pt idx="17">
                  <c:v>2.1058823529411796E-2</c:v>
                </c:pt>
                <c:pt idx="18">
                  <c:v>2.0970157852286953E-2</c:v>
                </c:pt>
                <c:pt idx="19">
                  <c:v>2.1555129217921243E-2</c:v>
                </c:pt>
                <c:pt idx="20">
                  <c:v>1.878038002651361E-2</c:v>
                </c:pt>
                <c:pt idx="21">
                  <c:v>1.9301669919757014E-2</c:v>
                </c:pt>
                <c:pt idx="22">
                  <c:v>1.9468085106382871E-2</c:v>
                </c:pt>
                <c:pt idx="23">
                  <c:v>1.9409370760722133E-2</c:v>
                </c:pt>
                <c:pt idx="24">
                  <c:v>2.0780018425632152E-2</c:v>
                </c:pt>
                <c:pt idx="25">
                  <c:v>2.1359807460890501E-2</c:v>
                </c:pt>
                <c:pt idx="26">
                  <c:v>2.130584192439855E-2</c:v>
                </c:pt>
                <c:pt idx="27">
                  <c:v>2.1534320323014944E-2</c:v>
                </c:pt>
                <c:pt idx="28">
                  <c:v>2.2021456804065309E-2</c:v>
                </c:pt>
                <c:pt idx="29">
                  <c:v>2.0718232044198981E-2</c:v>
                </c:pt>
                <c:pt idx="30">
                  <c:v>2.0658547586829057E-2</c:v>
                </c:pt>
                <c:pt idx="31">
                  <c:v>2.0505568322432222E-2</c:v>
                </c:pt>
                <c:pt idx="32">
                  <c:v>2.1739130434782705E-2</c:v>
                </c:pt>
                <c:pt idx="33">
                  <c:v>2.3141476646605152E-2</c:v>
                </c:pt>
                <c:pt idx="34">
                  <c:v>2.3695111847555905E-2</c:v>
                </c:pt>
                <c:pt idx="35">
                  <c:v>2.4765296212366561E-2</c:v>
                </c:pt>
                <c:pt idx="36">
                  <c:v>2.3692939504027732E-2</c:v>
                </c:pt>
                <c:pt idx="37">
                  <c:v>2.4918993982409932E-2</c:v>
                </c:pt>
                <c:pt idx="38">
                  <c:v>2.5592773805043434E-2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F8-41DF-B6EB-CA5934105C87}"/>
            </c:ext>
          </c:extLst>
        </c:ser>
        <c:ser>
          <c:idx val="3"/>
          <c:order val="1"/>
          <c:tx>
            <c:strRef>
              <c:f>GDP_CGE!$A$99</c:f>
              <c:strCache>
                <c:ptCount val="1"/>
                <c:pt idx="0">
                  <c:v>GVA(growth)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GDP_CGE!$B$99:$AN$99</c:f>
              <c:numCache>
                <c:formatCode>0.0%</c:formatCode>
                <c:ptCount val="39"/>
                <c:pt idx="1">
                  <c:v>4.4444444444444509E-2</c:v>
                </c:pt>
                <c:pt idx="2">
                  <c:v>3.7234042553191404E-2</c:v>
                </c:pt>
                <c:pt idx="3">
                  <c:v>-1.538461538461533E-2</c:v>
                </c:pt>
                <c:pt idx="4">
                  <c:v>-1.041666666666663E-2</c:v>
                </c:pt>
                <c:pt idx="5">
                  <c:v>3.1578947368421151E-2</c:v>
                </c:pt>
                <c:pt idx="6">
                  <c:v>-1.5306122448979553E-2</c:v>
                </c:pt>
                <c:pt idx="7">
                  <c:v>-1.5544041450777257E-2</c:v>
                </c:pt>
                <c:pt idx="8">
                  <c:v>-3.6842105263157898E-2</c:v>
                </c:pt>
                <c:pt idx="9">
                  <c:v>2.732240437158473E-2</c:v>
                </c:pt>
                <c:pt idx="10">
                  <c:v>3.1914893617021267E-2</c:v>
                </c:pt>
                <c:pt idx="11">
                  <c:v>2.0618556701030855E-2</c:v>
                </c:pt>
                <c:pt idx="12">
                  <c:v>1.5151515151515138E-2</c:v>
                </c:pt>
                <c:pt idx="13">
                  <c:v>1.4925373134328401E-2</c:v>
                </c:pt>
                <c:pt idx="14">
                  <c:v>2.450980392156854E-2</c:v>
                </c:pt>
                <c:pt idx="15">
                  <c:v>2.3923444976076569E-2</c:v>
                </c:pt>
                <c:pt idx="16">
                  <c:v>2.3364485981308469E-2</c:v>
                </c:pt>
                <c:pt idx="17">
                  <c:v>2.2831050228310446E-2</c:v>
                </c:pt>
                <c:pt idx="18">
                  <c:v>2.2321428571428603E-2</c:v>
                </c:pt>
                <c:pt idx="19">
                  <c:v>2.1834061135371119E-2</c:v>
                </c:pt>
                <c:pt idx="20">
                  <c:v>1.7094017094017033E-2</c:v>
                </c:pt>
                <c:pt idx="21">
                  <c:v>2.1008403361344463E-2</c:v>
                </c:pt>
                <c:pt idx="22">
                  <c:v>1.6460905349794164E-2</c:v>
                </c:pt>
                <c:pt idx="23">
                  <c:v>2.0242914979757165E-2</c:v>
                </c:pt>
                <c:pt idx="24">
                  <c:v>1.9841269841269771E-2</c:v>
                </c:pt>
                <c:pt idx="25">
                  <c:v>2.3346303501945442E-2</c:v>
                </c:pt>
                <c:pt idx="26">
                  <c:v>1.9011406844106515E-2</c:v>
                </c:pt>
                <c:pt idx="27">
                  <c:v>2.2388059701492491E-2</c:v>
                </c:pt>
                <c:pt idx="28">
                  <c:v>2.1897810218978186E-2</c:v>
                </c:pt>
                <c:pt idx="29">
                  <c:v>2.1428571428571352E-2</c:v>
                </c:pt>
                <c:pt idx="30">
                  <c:v>2.0979020979021046E-2</c:v>
                </c:pt>
                <c:pt idx="31">
                  <c:v>2.0547945205479534E-2</c:v>
                </c:pt>
                <c:pt idx="32">
                  <c:v>2.0134228187919545E-2</c:v>
                </c:pt>
                <c:pt idx="33">
                  <c:v>2.3026315789473673E-2</c:v>
                </c:pt>
                <c:pt idx="34">
                  <c:v>2.5723472668810254E-2</c:v>
                </c:pt>
                <c:pt idx="35">
                  <c:v>2.1943573667711602E-2</c:v>
                </c:pt>
                <c:pt idx="36">
                  <c:v>2.4539877300613577E-2</c:v>
                </c:pt>
                <c:pt idx="37">
                  <c:v>2.39520958083832E-2</c:v>
                </c:pt>
                <c:pt idx="38">
                  <c:v>2.6315789473684292E-2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8-41DF-B6EB-CA5934105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71920"/>
        <c:axId val="556240800"/>
      </c:lineChart>
      <c:catAx>
        <c:axId val="93067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40800"/>
        <c:crosses val="autoZero"/>
        <c:auto val="1"/>
        <c:lblAlgn val="ctr"/>
        <c:lblOffset val="100"/>
        <c:noMultiLvlLbl val="0"/>
      </c:catAx>
      <c:valAx>
        <c:axId val="5562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7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99</xdr:row>
      <xdr:rowOff>123825</xdr:rowOff>
    </xdr:from>
    <xdr:to>
      <xdr:col>8</xdr:col>
      <xdr:colOff>442912</xdr:colOff>
      <xdr:row>114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0E8159-0B1B-4514-BB4D-3900A9218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dimension ref="A3:AP68"/>
  <sheetViews>
    <sheetView tabSelected="1" topLeftCell="A21" workbookViewId="0">
      <selection activeCell="F43" sqref="F43:F45"/>
    </sheetView>
  </sheetViews>
  <sheetFormatPr defaultRowHeight="15" x14ac:dyDescent="0.25"/>
  <sheetData>
    <row r="3" spans="1:40" x14ac:dyDescent="0.25">
      <c r="A3" t="s">
        <v>46</v>
      </c>
      <c r="C3" s="2" t="s">
        <v>55</v>
      </c>
    </row>
    <row r="4" spans="1:40" x14ac:dyDescent="0.25">
      <c r="A4" t="s">
        <v>55</v>
      </c>
    </row>
    <row r="5" spans="1:40" x14ac:dyDescent="0.25">
      <c r="A5" t="s">
        <v>56</v>
      </c>
    </row>
    <row r="6" spans="1:40" x14ac:dyDescent="0.25">
      <c r="C6" s="1">
        <f>C7/B7-1</f>
        <v>2.477553756937767E-2</v>
      </c>
      <c r="D6" s="1">
        <f t="shared" ref="D6:AN6" si="0">D7/C7-1</f>
        <v>1.878075183710104E-2</v>
      </c>
      <c r="E6" s="1">
        <f t="shared" si="0"/>
        <v>1.2740982998781902E-2</v>
      </c>
      <c r="F6" s="1">
        <f t="shared" si="0"/>
        <v>7.9981696056479201E-3</v>
      </c>
      <c r="G6" s="1">
        <f t="shared" si="0"/>
        <v>1.187449739292834E-2</v>
      </c>
      <c r="H6" s="1">
        <f t="shared" si="0"/>
        <v>1.0158498208643563E-2</v>
      </c>
      <c r="I6" s="1">
        <f t="shared" si="0"/>
        <v>8.581199401060946E-3</v>
      </c>
      <c r="J6" s="1">
        <f t="shared" si="0"/>
        <v>-7.2459574307471297E-2</v>
      </c>
      <c r="K6" s="1">
        <f t="shared" si="0"/>
        <v>2.2197957218236253E-2</v>
      </c>
      <c r="L6" s="1">
        <f t="shared" si="0"/>
        <v>2.0840106423211324E-2</v>
      </c>
      <c r="M6" s="1">
        <f t="shared" si="0"/>
        <v>2.0606395424411783E-2</v>
      </c>
      <c r="N6" s="1">
        <f t="shared" si="0"/>
        <v>1.9473923855556352E-2</v>
      </c>
      <c r="O6" s="1">
        <f t="shared" si="0"/>
        <v>1.9917108349444712E-2</v>
      </c>
      <c r="P6" s="1">
        <f t="shared" si="0"/>
        <v>2.3193713750252476E-2</v>
      </c>
      <c r="Q6" s="1">
        <f t="shared" si="0"/>
        <v>2.2446487573624108E-2</v>
      </c>
      <c r="R6" s="1">
        <f t="shared" si="0"/>
        <v>2.3007481822333142E-2</v>
      </c>
      <c r="S6" s="1">
        <f t="shared" si="0"/>
        <v>2.3233988005310513E-2</v>
      </c>
      <c r="T6" s="1">
        <f t="shared" si="0"/>
        <v>2.3500592827900846E-2</v>
      </c>
      <c r="U6" s="1">
        <f t="shared" si="0"/>
        <v>2.7570134312536299E-2</v>
      </c>
      <c r="V6" s="1">
        <f t="shared" si="0"/>
        <v>2.5570123077986784E-2</v>
      </c>
      <c r="W6" s="1">
        <f t="shared" si="0"/>
        <v>2.7691071243388876E-2</v>
      </c>
      <c r="X6" s="1">
        <f t="shared" si="0"/>
        <v>2.8811733572821296E-2</v>
      </c>
      <c r="Y6" s="1">
        <f t="shared" si="0"/>
        <v>2.9932176292598145E-2</v>
      </c>
      <c r="Z6" s="1">
        <f t="shared" si="0"/>
        <v>2.9921743498663389E-2</v>
      </c>
      <c r="AA6" s="1">
        <f t="shared" si="0"/>
        <v>3.0289160581326691E-2</v>
      </c>
      <c r="AB6" s="1">
        <f t="shared" si="0"/>
        <v>2.9847431007403502E-2</v>
      </c>
      <c r="AC6" s="1">
        <f t="shared" si="0"/>
        <v>3.0174094722692724E-2</v>
      </c>
      <c r="AD6" s="1">
        <f t="shared" si="0"/>
        <v>3.1083656019947004E-2</v>
      </c>
      <c r="AE6" s="1">
        <f t="shared" si="0"/>
        <v>3.1387485616889199E-2</v>
      </c>
      <c r="AF6" s="1">
        <f t="shared" si="0"/>
        <v>3.1730880136182638E-2</v>
      </c>
      <c r="AG6" s="1">
        <f t="shared" si="0"/>
        <v>3.1936547098166956E-2</v>
      </c>
      <c r="AH6" s="1">
        <f t="shared" si="0"/>
        <v>3.2259390076936123E-2</v>
      </c>
      <c r="AI6" s="1">
        <f t="shared" si="0"/>
        <v>3.3190988871799831E-2</v>
      </c>
      <c r="AJ6" s="1">
        <f t="shared" si="0"/>
        <v>3.3713197885087753E-2</v>
      </c>
      <c r="AK6" s="1">
        <f t="shared" si="0"/>
        <v>3.4170672079126607E-2</v>
      </c>
      <c r="AL6" s="1">
        <f t="shared" si="0"/>
        <v>3.3421688957622209E-2</v>
      </c>
      <c r="AM6" s="1">
        <f t="shared" si="0"/>
        <v>3.3935572031648098E-2</v>
      </c>
      <c r="AN6" s="1">
        <f t="shared" si="0"/>
        <v>3.4486829597375257E-2</v>
      </c>
    </row>
    <row r="7" spans="1:40" x14ac:dyDescent="0.25">
      <c r="B7">
        <f>SUM(B10:B27)</f>
        <v>2893.58</v>
      </c>
      <c r="C7">
        <f t="shared" ref="C7:AN7" si="1">SUM(C10:C27)</f>
        <v>2965.2699999999995</v>
      </c>
      <c r="D7">
        <f t="shared" si="1"/>
        <v>3020.96</v>
      </c>
      <c r="E7">
        <f t="shared" si="1"/>
        <v>3059.4500000000003</v>
      </c>
      <c r="F7">
        <f t="shared" si="1"/>
        <v>3083.92</v>
      </c>
      <c r="G7">
        <f t="shared" si="1"/>
        <v>3120.5399999999995</v>
      </c>
      <c r="H7">
        <f t="shared" si="1"/>
        <v>3152.24</v>
      </c>
      <c r="I7">
        <f t="shared" si="1"/>
        <v>3179.29</v>
      </c>
      <c r="J7">
        <f t="shared" si="1"/>
        <v>2948.9199999999996</v>
      </c>
      <c r="K7">
        <f t="shared" si="1"/>
        <v>3014.3800000000006</v>
      </c>
      <c r="L7">
        <f t="shared" si="1"/>
        <v>3077.2000000000003</v>
      </c>
      <c r="M7">
        <f t="shared" si="1"/>
        <v>3140.61</v>
      </c>
      <c r="N7">
        <f t="shared" si="1"/>
        <v>3201.7699999999991</v>
      </c>
      <c r="O7">
        <f t="shared" si="1"/>
        <v>3265.5400000000009</v>
      </c>
      <c r="P7">
        <f t="shared" si="1"/>
        <v>3341.2800000000007</v>
      </c>
      <c r="Q7">
        <f t="shared" si="1"/>
        <v>3416.2799999999997</v>
      </c>
      <c r="R7">
        <f t="shared" si="1"/>
        <v>3494.88</v>
      </c>
      <c r="S7">
        <f t="shared" si="1"/>
        <v>3576.08</v>
      </c>
      <c r="T7">
        <f t="shared" si="1"/>
        <v>3660.1199999999994</v>
      </c>
      <c r="U7">
        <f t="shared" si="1"/>
        <v>3761.0299999999997</v>
      </c>
      <c r="V7">
        <f t="shared" si="1"/>
        <v>3857.2000000000003</v>
      </c>
      <c r="W7">
        <f t="shared" si="1"/>
        <v>3964.01</v>
      </c>
      <c r="X7">
        <f t="shared" si="1"/>
        <v>4078.2199999999993</v>
      </c>
      <c r="Y7">
        <f t="shared" si="1"/>
        <v>4200.2899999999991</v>
      </c>
      <c r="Z7">
        <f t="shared" si="1"/>
        <v>4325.97</v>
      </c>
      <c r="AA7">
        <f t="shared" si="1"/>
        <v>4457.0000000000018</v>
      </c>
      <c r="AB7">
        <f t="shared" si="1"/>
        <v>4590.03</v>
      </c>
      <c r="AC7">
        <f t="shared" si="1"/>
        <v>4728.5300000000007</v>
      </c>
      <c r="AD7">
        <f t="shared" si="1"/>
        <v>4875.51</v>
      </c>
      <c r="AE7">
        <f t="shared" si="1"/>
        <v>5028.54</v>
      </c>
      <c r="AF7">
        <f t="shared" si="1"/>
        <v>5188.0999999999995</v>
      </c>
      <c r="AG7">
        <f t="shared" si="1"/>
        <v>5353.79</v>
      </c>
      <c r="AH7">
        <f t="shared" si="1"/>
        <v>5526.5</v>
      </c>
      <c r="AI7">
        <f t="shared" si="1"/>
        <v>5709.9300000000012</v>
      </c>
      <c r="AJ7">
        <f t="shared" si="1"/>
        <v>5902.43</v>
      </c>
      <c r="AK7">
        <f t="shared" si="1"/>
        <v>6104.12</v>
      </c>
      <c r="AL7">
        <f t="shared" si="1"/>
        <v>6308.13</v>
      </c>
      <c r="AM7">
        <f t="shared" si="1"/>
        <v>6522.2000000000007</v>
      </c>
      <c r="AN7">
        <f t="shared" si="1"/>
        <v>6747.130000000001</v>
      </c>
    </row>
    <row r="8" spans="1:40" ht="18" thickBot="1" x14ac:dyDescent="0.35">
      <c r="A8" s="4" t="s">
        <v>54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69.819999999999993</v>
      </c>
      <c r="C10">
        <f>IF($C$3="CGE",INDEX(GDP_CGE!$A$3:$AN$21,MATCH($A10,GDP_CGE!$A$3:$A$21,0),MATCH(C$9,GDP_CGE!$A$3:$AN$3,0)),GDP_Simple!C8)</f>
        <v>72.77</v>
      </c>
      <c r="D10">
        <f>IF($C$3="CGE",INDEX(GDP_CGE!$A$3:$AN$21,MATCH($A10,GDP_CGE!$A$3:$A$21,0),MATCH(D$9,GDP_CGE!$A$3:$AN$3,0)),GDP_Simple!D8)</f>
        <v>75.510000000000005</v>
      </c>
      <c r="E10">
        <f>IF($C$3="CGE",INDEX(GDP_CGE!$A$3:$AN$21,MATCH($A10,GDP_CGE!$A$3:$A$21,0),MATCH(E$9,GDP_CGE!$A$3:$AN$3,0)),GDP_Simple!E8)</f>
        <v>74.36</v>
      </c>
      <c r="F10">
        <f>IF($C$3="CGE",INDEX(GDP_CGE!$A$3:$AN$21,MATCH($A10,GDP_CGE!$A$3:$A$21,0),MATCH(F$9,GDP_CGE!$A$3:$AN$3,0)),GDP_Simple!F8)</f>
        <v>73.55</v>
      </c>
      <c r="G10">
        <f>IF($C$3="CGE",INDEX(GDP_CGE!$A$3:$AN$21,MATCH($A10,GDP_CGE!$A$3:$A$21,0),MATCH(G$9,GDP_CGE!$A$3:$AN$3,0)),GDP_Simple!G8)</f>
        <v>76</v>
      </c>
      <c r="H10">
        <f>IF($C$3="CGE",INDEX(GDP_CGE!$A$3:$AN$21,MATCH($A10,GDP_CGE!$A$3:$A$21,0),MATCH(H$9,GDP_CGE!$A$3:$AN$3,0)),GDP_Simple!H8)</f>
        <v>74.78</v>
      </c>
      <c r="I10">
        <f>IF($C$3="CGE",INDEX(GDP_CGE!$A$3:$AN$21,MATCH($A10,GDP_CGE!$A$3:$A$21,0),MATCH(I$9,GDP_CGE!$A$3:$AN$3,0)),GDP_Simple!I8)</f>
        <v>73.53</v>
      </c>
      <c r="J10">
        <f>IF($C$3="CGE",INDEX(GDP_CGE!$A$3:$AN$21,MATCH($A10,GDP_CGE!$A$3:$A$21,0),MATCH(J$9,GDP_CGE!$A$3:$AN$3,0)),GDP_Simple!J8)</f>
        <v>70.959999999999994</v>
      </c>
      <c r="K10">
        <f>IF($C$3="CGE",INDEX(GDP_CGE!$A$3:$AN$21,MATCH($A10,GDP_CGE!$A$3:$A$21,0),MATCH(K$9,GDP_CGE!$A$3:$AN$3,0)),GDP_Simple!K8)</f>
        <v>72.959999999999994</v>
      </c>
      <c r="L10">
        <f>IF($C$3="CGE",INDEX(GDP_CGE!$A$3:$AN$21,MATCH($A10,GDP_CGE!$A$3:$A$21,0),MATCH(L$9,GDP_CGE!$A$3:$AN$3,0)),GDP_Simple!L8)</f>
        <v>75</v>
      </c>
      <c r="M10">
        <f>IF($C$3="CGE",INDEX(GDP_CGE!$A$3:$AN$21,MATCH($A10,GDP_CGE!$A$3:$A$21,0),MATCH(M$9,GDP_CGE!$A$3:$AN$3,0)),GDP_Simple!M8)</f>
        <v>76.52</v>
      </c>
      <c r="N10">
        <f>IF($C$3="CGE",INDEX(GDP_CGE!$A$3:$AN$21,MATCH($A10,GDP_CGE!$A$3:$A$21,0),MATCH(N$9,GDP_CGE!$A$3:$AN$3,0)),GDP_Simple!N8)</f>
        <v>77.900000000000006</v>
      </c>
      <c r="O10">
        <f>IF($C$3="CGE",INDEX(GDP_CGE!$A$3:$AN$21,MATCH($A10,GDP_CGE!$A$3:$A$21,0),MATCH(O$9,GDP_CGE!$A$3:$AN$3,0)),GDP_Simple!O8)</f>
        <v>79.13</v>
      </c>
      <c r="P10">
        <f>IF($C$3="CGE",INDEX(GDP_CGE!$A$3:$AN$21,MATCH($A10,GDP_CGE!$A$3:$A$21,0),MATCH(P$9,GDP_CGE!$A$3:$AN$3,0)),GDP_Simple!P8)</f>
        <v>81.150000000000006</v>
      </c>
      <c r="Q10">
        <f>IF($C$3="CGE",INDEX(GDP_CGE!$A$3:$AN$21,MATCH($A10,GDP_CGE!$A$3:$A$21,0),MATCH(Q$9,GDP_CGE!$A$3:$AN$3,0)),GDP_Simple!Q8)</f>
        <v>83.06</v>
      </c>
      <c r="R10">
        <f>IF($C$3="CGE",INDEX(GDP_CGE!$A$3:$AN$21,MATCH($A10,GDP_CGE!$A$3:$A$21,0),MATCH(R$9,GDP_CGE!$A$3:$AN$3,0)),GDP_Simple!R8)</f>
        <v>85</v>
      </c>
      <c r="S10">
        <f>IF($C$3="CGE",INDEX(GDP_CGE!$A$3:$AN$21,MATCH($A10,GDP_CGE!$A$3:$A$21,0),MATCH(S$9,GDP_CGE!$A$3:$AN$3,0)),GDP_Simple!S8)</f>
        <v>86.79</v>
      </c>
      <c r="T10">
        <f>IF($C$3="CGE",INDEX(GDP_CGE!$A$3:$AN$21,MATCH($A10,GDP_CGE!$A$3:$A$21,0),MATCH(T$9,GDP_CGE!$A$3:$AN$3,0)),GDP_Simple!T8)</f>
        <v>88.61</v>
      </c>
      <c r="U10">
        <f>IF($C$3="CGE",INDEX(GDP_CGE!$A$3:$AN$21,MATCH($A10,GDP_CGE!$A$3:$A$21,0),MATCH(U$9,GDP_CGE!$A$3:$AN$3,0)),GDP_Simple!U8)</f>
        <v>90.52</v>
      </c>
      <c r="V10">
        <f>IF($C$3="CGE",INDEX(GDP_CGE!$A$3:$AN$21,MATCH($A10,GDP_CGE!$A$3:$A$21,0),MATCH(V$9,GDP_CGE!$A$3:$AN$3,0)),GDP_Simple!V8)</f>
        <v>92.22</v>
      </c>
      <c r="W10">
        <f>IF($C$3="CGE",INDEX(GDP_CGE!$A$3:$AN$21,MATCH($A10,GDP_CGE!$A$3:$A$21,0),MATCH(W$9,GDP_CGE!$A$3:$AN$3,0)),GDP_Simple!W8)</f>
        <v>94</v>
      </c>
      <c r="X10">
        <f>IF($C$3="CGE",INDEX(GDP_CGE!$A$3:$AN$21,MATCH($A10,GDP_CGE!$A$3:$A$21,0),MATCH(X$9,GDP_CGE!$A$3:$AN$3,0)),GDP_Simple!X8)</f>
        <v>95.83</v>
      </c>
      <c r="Y10">
        <f>IF($C$3="CGE",INDEX(GDP_CGE!$A$3:$AN$21,MATCH($A10,GDP_CGE!$A$3:$A$21,0),MATCH(Y$9,GDP_CGE!$A$3:$AN$3,0)),GDP_Simple!Y8)</f>
        <v>97.69</v>
      </c>
      <c r="Z10">
        <f>IF($C$3="CGE",INDEX(GDP_CGE!$A$3:$AN$21,MATCH($A10,GDP_CGE!$A$3:$A$21,0),MATCH(Z$9,GDP_CGE!$A$3:$AN$3,0)),GDP_Simple!Z8)</f>
        <v>99.72</v>
      </c>
      <c r="AA10">
        <f>IF($C$3="CGE",INDEX(GDP_CGE!$A$3:$AN$21,MATCH($A10,GDP_CGE!$A$3:$A$21,0),MATCH(AA$9,GDP_CGE!$A$3:$AN$3,0)),GDP_Simple!AA8)</f>
        <v>101.85</v>
      </c>
      <c r="AB10">
        <f>IF($C$3="CGE",INDEX(GDP_CGE!$A$3:$AN$21,MATCH($A10,GDP_CGE!$A$3:$A$21,0),MATCH(AB$9,GDP_CGE!$A$3:$AN$3,0)),GDP_Simple!AB8)</f>
        <v>104.02</v>
      </c>
      <c r="AC10">
        <f>IF($C$3="CGE",INDEX(GDP_CGE!$A$3:$AN$21,MATCH($A10,GDP_CGE!$A$3:$A$21,0),MATCH(AC$9,GDP_CGE!$A$3:$AN$3,0)),GDP_Simple!AC8)</f>
        <v>106.26</v>
      </c>
      <c r="AD10">
        <f>IF($C$3="CGE",INDEX(GDP_CGE!$A$3:$AN$21,MATCH($A10,GDP_CGE!$A$3:$A$21,0),MATCH(AD$9,GDP_CGE!$A$3:$AN$3,0)),GDP_Simple!AD8)</f>
        <v>108.6</v>
      </c>
      <c r="AE10">
        <f>IF($C$3="CGE",INDEX(GDP_CGE!$A$3:$AN$21,MATCH($A10,GDP_CGE!$A$3:$A$21,0),MATCH(AE$9,GDP_CGE!$A$3:$AN$3,0)),GDP_Simple!AE8)</f>
        <v>110.85</v>
      </c>
      <c r="AF10">
        <f>IF($C$3="CGE",INDEX(GDP_CGE!$A$3:$AN$21,MATCH($A10,GDP_CGE!$A$3:$A$21,0),MATCH(AF$9,GDP_CGE!$A$3:$AN$3,0)),GDP_Simple!AF8)</f>
        <v>113.14</v>
      </c>
      <c r="AG10">
        <f>IF($C$3="CGE",INDEX(GDP_CGE!$A$3:$AN$21,MATCH($A10,GDP_CGE!$A$3:$A$21,0),MATCH(AG$9,GDP_CGE!$A$3:$AN$3,0)),GDP_Simple!AG8)</f>
        <v>115.46</v>
      </c>
      <c r="AH10">
        <f>IF($C$3="CGE",INDEX(GDP_CGE!$A$3:$AN$21,MATCH($A10,GDP_CGE!$A$3:$A$21,0),MATCH(AH$9,GDP_CGE!$A$3:$AN$3,0)),GDP_Simple!AH8)</f>
        <v>117.97</v>
      </c>
      <c r="AI10">
        <f>IF($C$3="CGE",INDEX(GDP_CGE!$A$3:$AN$21,MATCH($A10,GDP_CGE!$A$3:$A$21,0),MATCH(AI$9,GDP_CGE!$A$3:$AN$3,0)),GDP_Simple!AI8)</f>
        <v>120.7</v>
      </c>
      <c r="AJ10">
        <f>IF($C$3="CGE",INDEX(GDP_CGE!$A$3:$AN$21,MATCH($A10,GDP_CGE!$A$3:$A$21,0),MATCH(AJ$9,GDP_CGE!$A$3:$AN$3,0)),GDP_Simple!AJ8)</f>
        <v>123.56</v>
      </c>
      <c r="AK10">
        <f>IF($C$3="CGE",INDEX(GDP_CGE!$A$3:$AN$21,MATCH($A10,GDP_CGE!$A$3:$A$21,0),MATCH(AK$9,GDP_CGE!$A$3:$AN$3,0)),GDP_Simple!AK8)</f>
        <v>126.62</v>
      </c>
      <c r="AL10">
        <f>IF($C$3="CGE",INDEX(GDP_CGE!$A$3:$AN$21,MATCH($A10,GDP_CGE!$A$3:$A$21,0),MATCH(AL$9,GDP_CGE!$A$3:$AN$3,0)),GDP_Simple!AL8)</f>
        <v>129.62</v>
      </c>
      <c r="AM10">
        <f>IF($C$3="CGE",INDEX(GDP_CGE!$A$3:$AN$21,MATCH($A10,GDP_CGE!$A$3:$A$21,0),MATCH(AM$9,GDP_CGE!$A$3:$AN$3,0)),GDP_Simple!AM8)</f>
        <v>132.85</v>
      </c>
      <c r="AN10">
        <f>IF($C$3="CGE",INDEX(GDP_CGE!$A$3:$AN$21,MATCH($A10,GDP_CGE!$A$3:$A$21,0),MATCH(AN$9,GDP_CGE!$A$3:$AN$3,0)),GDP_Simple!AN8)</f>
        <v>136.25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</v>
      </c>
      <c r="C11">
        <f>IF($C$3="CGE",INDEX(GDP_CGE!$A$3:$AN$21,MATCH($A11,GDP_CGE!$A$3:$A$21,0),MATCH(C$9,GDP_CGE!$A$3:$AN$3,0)),GDP_Simple!C9)</f>
        <v>65.98</v>
      </c>
      <c r="D11">
        <f>IF($C$3="CGE",INDEX(GDP_CGE!$A$3:$AN$21,MATCH($A11,GDP_CGE!$A$3:$A$21,0),MATCH(D$9,GDP_CGE!$A$3:$AN$3,0)),GDP_Simple!D9)</f>
        <v>65.72</v>
      </c>
      <c r="E11">
        <f>IF($C$3="CGE",INDEX(GDP_CGE!$A$3:$AN$21,MATCH($A11,GDP_CGE!$A$3:$A$21,0),MATCH(E$9,GDP_CGE!$A$3:$AN$3,0)),GDP_Simple!E9)</f>
        <v>65.459999999999994</v>
      </c>
      <c r="F11">
        <f>IF($C$3="CGE",INDEX(GDP_CGE!$A$3:$AN$21,MATCH($A11,GDP_CGE!$A$3:$A$21,0),MATCH(F$9,GDP_CGE!$A$3:$AN$3,0)),GDP_Simple!F9)</f>
        <v>64.28</v>
      </c>
      <c r="G11">
        <f>IF($C$3="CGE",INDEX(GDP_CGE!$A$3:$AN$21,MATCH($A11,GDP_CGE!$A$3:$A$21,0),MATCH(G$9,GDP_CGE!$A$3:$AN$3,0)),GDP_Simple!G9)</f>
        <v>63.85</v>
      </c>
      <c r="H11">
        <f>IF($C$3="CGE",INDEX(GDP_CGE!$A$3:$AN$21,MATCH($A11,GDP_CGE!$A$3:$A$21,0),MATCH(H$9,GDP_CGE!$A$3:$AN$3,0)),GDP_Simple!H9)</f>
        <v>63.13</v>
      </c>
      <c r="I11">
        <f>IF($C$3="CGE",INDEX(GDP_CGE!$A$3:$AN$21,MATCH($A11,GDP_CGE!$A$3:$A$21,0),MATCH(I$9,GDP_CGE!$A$3:$AN$3,0)),GDP_Simple!I9)</f>
        <v>62.24</v>
      </c>
      <c r="J11">
        <f>IF($C$3="CGE",INDEX(GDP_CGE!$A$3:$AN$21,MATCH($A11,GDP_CGE!$A$3:$A$21,0),MATCH(J$9,GDP_CGE!$A$3:$AN$3,0)),GDP_Simple!J9)</f>
        <v>61.58</v>
      </c>
      <c r="K11">
        <f>IF($C$3="CGE",INDEX(GDP_CGE!$A$3:$AN$21,MATCH($A11,GDP_CGE!$A$3:$A$21,0),MATCH(K$9,GDP_CGE!$A$3:$AN$3,0)),GDP_Simple!K9)</f>
        <v>60.37</v>
      </c>
      <c r="L11">
        <f>IF($C$3="CGE",INDEX(GDP_CGE!$A$3:$AN$21,MATCH($A11,GDP_CGE!$A$3:$A$21,0),MATCH(L$9,GDP_CGE!$A$3:$AN$3,0)),GDP_Simple!L9)</f>
        <v>60.1</v>
      </c>
      <c r="M11">
        <f>IF($C$3="CGE",INDEX(GDP_CGE!$A$3:$AN$21,MATCH($A11,GDP_CGE!$A$3:$A$21,0),MATCH(M$9,GDP_CGE!$A$3:$AN$3,0)),GDP_Simple!M9)</f>
        <v>59.84</v>
      </c>
      <c r="N11">
        <f>IF($C$3="CGE",INDEX(GDP_CGE!$A$3:$AN$21,MATCH($A11,GDP_CGE!$A$3:$A$21,0),MATCH(N$9,GDP_CGE!$A$3:$AN$3,0)),GDP_Simple!N9)</f>
        <v>59.34</v>
      </c>
      <c r="O11">
        <f>IF($C$3="CGE",INDEX(GDP_CGE!$A$3:$AN$21,MATCH($A11,GDP_CGE!$A$3:$A$21,0),MATCH(O$9,GDP_CGE!$A$3:$AN$3,0)),GDP_Simple!O9)</f>
        <v>58.75</v>
      </c>
      <c r="P11">
        <f>IF($C$3="CGE",INDEX(GDP_CGE!$A$3:$AN$21,MATCH($A11,GDP_CGE!$A$3:$A$21,0),MATCH(P$9,GDP_CGE!$A$3:$AN$3,0)),GDP_Simple!P9)</f>
        <v>56.4</v>
      </c>
      <c r="Q11">
        <f>IF($C$3="CGE",INDEX(GDP_CGE!$A$3:$AN$21,MATCH($A11,GDP_CGE!$A$3:$A$21,0),MATCH(Q$9,GDP_CGE!$A$3:$AN$3,0)),GDP_Simple!Q9)</f>
        <v>53.36</v>
      </c>
      <c r="R11">
        <f>IF($C$3="CGE",INDEX(GDP_CGE!$A$3:$AN$21,MATCH($A11,GDP_CGE!$A$3:$A$21,0),MATCH(R$9,GDP_CGE!$A$3:$AN$3,0)),GDP_Simple!R9)</f>
        <v>50.36</v>
      </c>
      <c r="S11">
        <f>IF($C$3="CGE",INDEX(GDP_CGE!$A$3:$AN$21,MATCH($A11,GDP_CGE!$A$3:$A$21,0),MATCH(S$9,GDP_CGE!$A$3:$AN$3,0)),GDP_Simple!S9)</f>
        <v>46.96</v>
      </c>
      <c r="T11">
        <f>IF($C$3="CGE",INDEX(GDP_CGE!$A$3:$AN$21,MATCH($A11,GDP_CGE!$A$3:$A$21,0),MATCH(T$9,GDP_CGE!$A$3:$AN$3,0)),GDP_Simple!T9)</f>
        <v>43.51</v>
      </c>
      <c r="U11">
        <f>IF($C$3="CGE",INDEX(GDP_CGE!$A$3:$AN$21,MATCH($A11,GDP_CGE!$A$3:$A$21,0),MATCH(U$9,GDP_CGE!$A$3:$AN$3,0)),GDP_Simple!U9)</f>
        <v>43.76</v>
      </c>
      <c r="V11">
        <f>IF($C$3="CGE",INDEX(GDP_CGE!$A$3:$AN$21,MATCH($A11,GDP_CGE!$A$3:$A$21,0),MATCH(V$9,GDP_CGE!$A$3:$AN$3,0)),GDP_Simple!V9)</f>
        <v>42.68</v>
      </c>
      <c r="W11">
        <f>IF($C$3="CGE",INDEX(GDP_CGE!$A$3:$AN$21,MATCH($A11,GDP_CGE!$A$3:$A$21,0),MATCH(W$9,GDP_CGE!$A$3:$AN$3,0)),GDP_Simple!W9)</f>
        <v>42.31</v>
      </c>
      <c r="X11">
        <f>IF($C$3="CGE",INDEX(GDP_CGE!$A$3:$AN$21,MATCH($A11,GDP_CGE!$A$3:$A$21,0),MATCH(X$9,GDP_CGE!$A$3:$AN$3,0)),GDP_Simple!X9)</f>
        <v>41.94</v>
      </c>
      <c r="Y11">
        <f>IF($C$3="CGE",INDEX(GDP_CGE!$A$3:$AN$21,MATCH($A11,GDP_CGE!$A$3:$A$21,0),MATCH(Y$9,GDP_CGE!$A$3:$AN$3,0)),GDP_Simple!Y9)</f>
        <v>41.15</v>
      </c>
      <c r="Z11">
        <f>IF($C$3="CGE",INDEX(GDP_CGE!$A$3:$AN$21,MATCH($A11,GDP_CGE!$A$3:$A$21,0),MATCH(Z$9,GDP_CGE!$A$3:$AN$3,0)),GDP_Simple!Z9)</f>
        <v>39.86</v>
      </c>
      <c r="AA11">
        <f>IF($C$3="CGE",INDEX(GDP_CGE!$A$3:$AN$21,MATCH($A11,GDP_CGE!$A$3:$A$21,0),MATCH(AA$9,GDP_CGE!$A$3:$AN$3,0)),GDP_Simple!AA9)</f>
        <v>38.57</v>
      </c>
      <c r="AB11">
        <f>IF($C$3="CGE",INDEX(GDP_CGE!$A$3:$AN$21,MATCH($A11,GDP_CGE!$A$3:$A$21,0),MATCH(AB$9,GDP_CGE!$A$3:$AN$3,0)),GDP_Simple!AB9)</f>
        <v>37.28</v>
      </c>
      <c r="AC11">
        <f>IF($C$3="CGE",INDEX(GDP_CGE!$A$3:$AN$21,MATCH($A11,GDP_CGE!$A$3:$A$21,0),MATCH(AC$9,GDP_CGE!$A$3:$AN$3,0)),GDP_Simple!AC9)</f>
        <v>36</v>
      </c>
      <c r="AD11">
        <f>IF($C$3="CGE",INDEX(GDP_CGE!$A$3:$AN$21,MATCH($A11,GDP_CGE!$A$3:$A$21,0),MATCH(AD$9,GDP_CGE!$A$3:$AN$3,0)),GDP_Simple!AD9)</f>
        <v>34.71</v>
      </c>
      <c r="AE11">
        <f>IF($C$3="CGE",INDEX(GDP_CGE!$A$3:$AN$21,MATCH($A11,GDP_CGE!$A$3:$A$21,0),MATCH(AE$9,GDP_CGE!$A$3:$AN$3,0)),GDP_Simple!AE9)</f>
        <v>34.86</v>
      </c>
      <c r="AF11">
        <f>IF($C$3="CGE",INDEX(GDP_CGE!$A$3:$AN$21,MATCH($A11,GDP_CGE!$A$3:$A$21,0),MATCH(AF$9,GDP_CGE!$A$3:$AN$3,0)),GDP_Simple!AF9)</f>
        <v>35.01</v>
      </c>
      <c r="AG11">
        <f>IF($C$3="CGE",INDEX(GDP_CGE!$A$3:$AN$21,MATCH($A11,GDP_CGE!$A$3:$A$21,0),MATCH(AG$9,GDP_CGE!$A$3:$AN$3,0)),GDP_Simple!AG9)</f>
        <v>35.15</v>
      </c>
      <c r="AH11">
        <f>IF($C$3="CGE",INDEX(GDP_CGE!$A$3:$AN$21,MATCH($A11,GDP_CGE!$A$3:$A$21,0),MATCH(AH$9,GDP_CGE!$A$3:$AN$3,0)),GDP_Simple!AH9)</f>
        <v>35.299999999999997</v>
      </c>
      <c r="AI11">
        <f>IF($C$3="CGE",INDEX(GDP_CGE!$A$3:$AN$21,MATCH($A11,GDP_CGE!$A$3:$A$21,0),MATCH(AI$9,GDP_CGE!$A$3:$AN$3,0)),GDP_Simple!AI9)</f>
        <v>35.450000000000003</v>
      </c>
      <c r="AJ11">
        <f>IF($C$3="CGE",INDEX(GDP_CGE!$A$3:$AN$21,MATCH($A11,GDP_CGE!$A$3:$A$21,0),MATCH(AJ$9,GDP_CGE!$A$3:$AN$3,0)),GDP_Simple!AJ9)</f>
        <v>35.75</v>
      </c>
      <c r="AK11">
        <f>IF($C$3="CGE",INDEX(GDP_CGE!$A$3:$AN$21,MATCH($A11,GDP_CGE!$A$3:$A$21,0),MATCH(AK$9,GDP_CGE!$A$3:$AN$3,0)),GDP_Simple!AK9)</f>
        <v>36.04</v>
      </c>
      <c r="AL11">
        <f>IF($C$3="CGE",INDEX(GDP_CGE!$A$3:$AN$21,MATCH($A11,GDP_CGE!$A$3:$A$21,0),MATCH(AL$9,GDP_CGE!$A$3:$AN$3,0)),GDP_Simple!AL9)</f>
        <v>36.340000000000003</v>
      </c>
      <c r="AM11">
        <f>IF($C$3="CGE",INDEX(GDP_CGE!$A$3:$AN$21,MATCH($A11,GDP_CGE!$A$3:$A$21,0),MATCH(AM$9,GDP_CGE!$A$3:$AN$3,0)),GDP_Simple!AM9)</f>
        <v>36.64</v>
      </c>
      <c r="AN11">
        <f>IF($C$3="CGE",INDEX(GDP_CGE!$A$3:$AN$21,MATCH($A11,GDP_CGE!$A$3:$A$21,0),MATCH(AN$9,GDP_CGE!$A$3:$AN$3,0)),GDP_Simple!AN9)</f>
        <v>36.93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1833.85</v>
      </c>
      <c r="C12">
        <f>IF($C$3="CGE",INDEX(GDP_CGE!$A$3:$AN$21,MATCH($A12,GDP_CGE!$A$3:$A$21,0),MATCH(C$9,GDP_CGE!$A$3:$AN$3,0)),GDP_Simple!C10)</f>
        <v>1884.55</v>
      </c>
      <c r="D12">
        <f>IF($C$3="CGE",INDEX(GDP_CGE!$A$3:$AN$21,MATCH($A12,GDP_CGE!$A$3:$A$21,0),MATCH(D$9,GDP_CGE!$A$3:$AN$3,0)),GDP_Simple!D10)</f>
        <v>1927.88</v>
      </c>
      <c r="E12">
        <f>IF($C$3="CGE",INDEX(GDP_CGE!$A$3:$AN$21,MATCH($A12,GDP_CGE!$A$3:$A$21,0),MATCH(E$9,GDP_CGE!$A$3:$AN$3,0)),GDP_Simple!E10)</f>
        <v>1957.41</v>
      </c>
      <c r="F12">
        <f>IF($C$3="CGE",INDEX(GDP_CGE!$A$3:$AN$21,MATCH($A12,GDP_CGE!$A$3:$A$21,0),MATCH(F$9,GDP_CGE!$A$3:$AN$3,0)),GDP_Simple!F10)</f>
        <v>1982.72</v>
      </c>
      <c r="G12">
        <f>IF($C$3="CGE",INDEX(GDP_CGE!$A$3:$AN$21,MATCH($A12,GDP_CGE!$A$3:$A$21,0),MATCH(G$9,GDP_CGE!$A$3:$AN$3,0)),GDP_Simple!G10)</f>
        <v>2007.4</v>
      </c>
      <c r="H12">
        <f>IF($C$3="CGE",INDEX(GDP_CGE!$A$3:$AN$21,MATCH($A12,GDP_CGE!$A$3:$A$21,0),MATCH(H$9,GDP_CGE!$A$3:$AN$3,0)),GDP_Simple!H10)</f>
        <v>2036.6</v>
      </c>
      <c r="I12">
        <f>IF($C$3="CGE",INDEX(GDP_CGE!$A$3:$AN$21,MATCH($A12,GDP_CGE!$A$3:$A$21,0),MATCH(I$9,GDP_CGE!$A$3:$AN$3,0)),GDP_Simple!I10)</f>
        <v>2071.14</v>
      </c>
      <c r="J12">
        <f>IF($C$3="CGE",INDEX(GDP_CGE!$A$3:$AN$21,MATCH($A12,GDP_CGE!$A$3:$A$21,0),MATCH(J$9,GDP_CGE!$A$3:$AN$3,0)),GDP_Simple!J10)</f>
        <v>1915.6</v>
      </c>
      <c r="K12">
        <f>IF($C$3="CGE",INDEX(GDP_CGE!$A$3:$AN$21,MATCH($A12,GDP_CGE!$A$3:$A$21,0),MATCH(K$9,GDP_CGE!$A$3:$AN$3,0)),GDP_Simple!K10)</f>
        <v>1960.19</v>
      </c>
      <c r="L12">
        <f>IF($C$3="CGE",INDEX(GDP_CGE!$A$3:$AN$21,MATCH($A12,GDP_CGE!$A$3:$A$21,0),MATCH(L$9,GDP_CGE!$A$3:$AN$3,0)),GDP_Simple!L10)</f>
        <v>2004.23</v>
      </c>
      <c r="M12">
        <f>IF($C$3="CGE",INDEX(GDP_CGE!$A$3:$AN$21,MATCH($A12,GDP_CGE!$A$3:$A$21,0),MATCH(M$9,GDP_CGE!$A$3:$AN$3,0)),GDP_Simple!M10)</f>
        <v>2048.11</v>
      </c>
      <c r="N12">
        <f>IF($C$3="CGE",INDEX(GDP_CGE!$A$3:$AN$21,MATCH($A12,GDP_CGE!$A$3:$A$21,0),MATCH(N$9,GDP_CGE!$A$3:$AN$3,0)),GDP_Simple!N10)</f>
        <v>2091.16</v>
      </c>
      <c r="O12">
        <f>IF($C$3="CGE",INDEX(GDP_CGE!$A$3:$AN$21,MATCH($A12,GDP_CGE!$A$3:$A$21,0),MATCH(O$9,GDP_CGE!$A$3:$AN$3,0)),GDP_Simple!O10)</f>
        <v>2135.91</v>
      </c>
      <c r="P12">
        <f>IF($C$3="CGE",INDEX(GDP_CGE!$A$3:$AN$21,MATCH($A12,GDP_CGE!$A$3:$A$21,0),MATCH(P$9,GDP_CGE!$A$3:$AN$3,0)),GDP_Simple!P10)</f>
        <v>2188.48</v>
      </c>
      <c r="Q12">
        <f>IF($C$3="CGE",INDEX(GDP_CGE!$A$3:$AN$21,MATCH($A12,GDP_CGE!$A$3:$A$21,0),MATCH(Q$9,GDP_CGE!$A$3:$AN$3,0)),GDP_Simple!Q10)</f>
        <v>2240.58</v>
      </c>
      <c r="R12">
        <f>IF($C$3="CGE",INDEX(GDP_CGE!$A$3:$AN$21,MATCH($A12,GDP_CGE!$A$3:$A$21,0),MATCH(R$9,GDP_CGE!$A$3:$AN$3,0)),GDP_Simple!R10)</f>
        <v>2295.15</v>
      </c>
      <c r="S12">
        <f>IF($C$3="CGE",INDEX(GDP_CGE!$A$3:$AN$21,MATCH($A12,GDP_CGE!$A$3:$A$21,0),MATCH(S$9,GDP_CGE!$A$3:$AN$3,0)),GDP_Simple!S10)</f>
        <v>2351.59</v>
      </c>
      <c r="T12">
        <f>IF($C$3="CGE",INDEX(GDP_CGE!$A$3:$AN$21,MATCH($A12,GDP_CGE!$A$3:$A$21,0),MATCH(T$9,GDP_CGE!$A$3:$AN$3,0)),GDP_Simple!T10)</f>
        <v>2409.79</v>
      </c>
      <c r="U12">
        <f>IF($C$3="CGE",INDEX(GDP_CGE!$A$3:$AN$21,MATCH($A12,GDP_CGE!$A$3:$A$21,0),MATCH(U$9,GDP_CGE!$A$3:$AN$3,0)),GDP_Simple!U10)</f>
        <v>2477.56</v>
      </c>
      <c r="V12">
        <f>IF($C$3="CGE",INDEX(GDP_CGE!$A$3:$AN$21,MATCH($A12,GDP_CGE!$A$3:$A$21,0),MATCH(V$9,GDP_CGE!$A$3:$AN$3,0)),GDP_Simple!V10)</f>
        <v>2544.31</v>
      </c>
      <c r="W12">
        <f>IF($C$3="CGE",INDEX(GDP_CGE!$A$3:$AN$21,MATCH($A12,GDP_CGE!$A$3:$A$21,0),MATCH(W$9,GDP_CGE!$A$3:$AN$3,0)),GDP_Simple!W10)</f>
        <v>2617.34</v>
      </c>
      <c r="X12">
        <f>IF($C$3="CGE",INDEX(GDP_CGE!$A$3:$AN$21,MATCH($A12,GDP_CGE!$A$3:$A$21,0),MATCH(X$9,GDP_CGE!$A$3:$AN$3,0)),GDP_Simple!X10)</f>
        <v>2695.68</v>
      </c>
      <c r="Y12">
        <f>IF($C$3="CGE",INDEX(GDP_CGE!$A$3:$AN$21,MATCH($A12,GDP_CGE!$A$3:$A$21,0),MATCH(Y$9,GDP_CGE!$A$3:$AN$3,0)),GDP_Simple!Y10)</f>
        <v>2779.08</v>
      </c>
      <c r="Z12">
        <f>IF($C$3="CGE",INDEX(GDP_CGE!$A$3:$AN$21,MATCH($A12,GDP_CGE!$A$3:$A$21,0),MATCH(Z$9,GDP_CGE!$A$3:$AN$3,0)),GDP_Simple!Z10)</f>
        <v>2866.42</v>
      </c>
      <c r="AA12">
        <f>IF($C$3="CGE",INDEX(GDP_CGE!$A$3:$AN$21,MATCH($A12,GDP_CGE!$A$3:$A$21,0),MATCH(AA$9,GDP_CGE!$A$3:$AN$3,0)),GDP_Simple!AA10)</f>
        <v>2957.38</v>
      </c>
      <c r="AB12">
        <f>IF($C$3="CGE",INDEX(GDP_CGE!$A$3:$AN$21,MATCH($A12,GDP_CGE!$A$3:$A$21,0),MATCH(AB$9,GDP_CGE!$A$3:$AN$3,0)),GDP_Simple!AB10)</f>
        <v>3050.01</v>
      </c>
      <c r="AC12">
        <f>IF($C$3="CGE",INDEX(GDP_CGE!$A$3:$AN$21,MATCH($A12,GDP_CGE!$A$3:$A$21,0),MATCH(AC$9,GDP_CGE!$A$3:$AN$3,0)),GDP_Simple!AC10)</f>
        <v>3146.53</v>
      </c>
      <c r="AD12">
        <f>IF($C$3="CGE",INDEX(GDP_CGE!$A$3:$AN$21,MATCH($A12,GDP_CGE!$A$3:$A$21,0),MATCH(AD$9,GDP_CGE!$A$3:$AN$3,0)),GDP_Simple!AD10)</f>
        <v>3249.04</v>
      </c>
      <c r="AE12">
        <f>IF($C$3="CGE",INDEX(GDP_CGE!$A$3:$AN$21,MATCH($A12,GDP_CGE!$A$3:$A$21,0),MATCH(AE$9,GDP_CGE!$A$3:$AN$3,0)),GDP_Simple!AE10)</f>
        <v>3355.38</v>
      </c>
      <c r="AF12">
        <f>IF($C$3="CGE",INDEX(GDP_CGE!$A$3:$AN$21,MATCH($A12,GDP_CGE!$A$3:$A$21,0),MATCH(AF$9,GDP_CGE!$A$3:$AN$3,0)),GDP_Simple!AF10)</f>
        <v>3466.6</v>
      </c>
      <c r="AG12">
        <f>IF($C$3="CGE",INDEX(GDP_CGE!$A$3:$AN$21,MATCH($A12,GDP_CGE!$A$3:$A$21,0),MATCH(AG$9,GDP_CGE!$A$3:$AN$3,0)),GDP_Simple!AG10)</f>
        <v>3582.52</v>
      </c>
      <c r="AH12">
        <f>IF($C$3="CGE",INDEX(GDP_CGE!$A$3:$AN$21,MATCH($A12,GDP_CGE!$A$3:$A$21,0),MATCH(AH$9,GDP_CGE!$A$3:$AN$3,0)),GDP_Simple!AH10)</f>
        <v>3703.15</v>
      </c>
      <c r="AI12">
        <f>IF($C$3="CGE",INDEX(GDP_CGE!$A$3:$AN$21,MATCH($A12,GDP_CGE!$A$3:$A$21,0),MATCH(AI$9,GDP_CGE!$A$3:$AN$3,0)),GDP_Simple!AI10)</f>
        <v>3831.42</v>
      </c>
      <c r="AJ12">
        <f>IF($C$3="CGE",INDEX(GDP_CGE!$A$3:$AN$21,MATCH($A12,GDP_CGE!$A$3:$A$21,0),MATCH(AJ$9,GDP_CGE!$A$3:$AN$3,0)),GDP_Simple!AJ10)</f>
        <v>3966.01</v>
      </c>
      <c r="AK12">
        <f>IF($C$3="CGE",INDEX(GDP_CGE!$A$3:$AN$21,MATCH($A12,GDP_CGE!$A$3:$A$21,0),MATCH(AK$9,GDP_CGE!$A$3:$AN$3,0)),GDP_Simple!AK10)</f>
        <v>4107.3999999999996</v>
      </c>
      <c r="AL12">
        <f>IF($C$3="CGE",INDEX(GDP_CGE!$A$3:$AN$21,MATCH($A12,GDP_CGE!$A$3:$A$21,0),MATCH(AL$9,GDP_CGE!$A$3:$AN$3,0)),GDP_Simple!AL10)</f>
        <v>4251</v>
      </c>
      <c r="AM12">
        <f>IF($C$3="CGE",INDEX(GDP_CGE!$A$3:$AN$21,MATCH($A12,GDP_CGE!$A$3:$A$21,0),MATCH(AM$9,GDP_CGE!$A$3:$AN$3,0)),GDP_Simple!AM10)</f>
        <v>4401.6400000000003</v>
      </c>
      <c r="AN12">
        <f>IF($C$3="CGE",INDEX(GDP_CGE!$A$3:$AN$21,MATCH($A12,GDP_CGE!$A$3:$A$21,0),MATCH(AN$9,GDP_CGE!$A$3:$AN$3,0)),GDP_Simple!AN10)</f>
        <v>4560.04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</v>
      </c>
      <c r="C13">
        <f>IF($C$3="CGE",INDEX(GDP_CGE!$A$3:$AN$21,MATCH($A13,GDP_CGE!$A$3:$A$21,0),MATCH(C$9,GDP_CGE!$A$3:$AN$3,0)),GDP_Simple!C11)</f>
        <v>54.31</v>
      </c>
      <c r="D13">
        <f>IF($C$3="CGE",INDEX(GDP_CGE!$A$3:$AN$21,MATCH($A13,GDP_CGE!$A$3:$A$21,0),MATCH(D$9,GDP_CGE!$A$3:$AN$3,0)),GDP_Simple!D11)</f>
        <v>55.26</v>
      </c>
      <c r="E13">
        <f>IF($C$3="CGE",INDEX(GDP_CGE!$A$3:$AN$21,MATCH($A13,GDP_CGE!$A$3:$A$21,0),MATCH(E$9,GDP_CGE!$A$3:$AN$3,0)),GDP_Simple!E11)</f>
        <v>55.73</v>
      </c>
      <c r="F13">
        <f>IF($C$3="CGE",INDEX(GDP_CGE!$A$3:$AN$21,MATCH($A13,GDP_CGE!$A$3:$A$21,0),MATCH(F$9,GDP_CGE!$A$3:$AN$3,0)),GDP_Simple!F11)</f>
        <v>56.3</v>
      </c>
      <c r="G13">
        <f>IF($C$3="CGE",INDEX(GDP_CGE!$A$3:$AN$21,MATCH($A13,GDP_CGE!$A$3:$A$21,0),MATCH(G$9,GDP_CGE!$A$3:$AN$3,0)),GDP_Simple!G11)</f>
        <v>56.6</v>
      </c>
      <c r="H13">
        <f>IF($C$3="CGE",INDEX(GDP_CGE!$A$3:$AN$21,MATCH($A13,GDP_CGE!$A$3:$A$21,0),MATCH(H$9,GDP_CGE!$A$3:$AN$3,0)),GDP_Simple!H11)</f>
        <v>57.09</v>
      </c>
      <c r="I13">
        <f>IF($C$3="CGE",INDEX(GDP_CGE!$A$3:$AN$21,MATCH($A13,GDP_CGE!$A$3:$A$21,0),MATCH(I$9,GDP_CGE!$A$3:$AN$3,0)),GDP_Simple!I11)</f>
        <v>56.96</v>
      </c>
      <c r="J13">
        <f>IF($C$3="CGE",INDEX(GDP_CGE!$A$3:$AN$21,MATCH($A13,GDP_CGE!$A$3:$A$21,0),MATCH(J$9,GDP_CGE!$A$3:$AN$3,0)),GDP_Simple!J11)</f>
        <v>52.37</v>
      </c>
      <c r="K13">
        <f>IF($C$3="CGE",INDEX(GDP_CGE!$A$3:$AN$21,MATCH($A13,GDP_CGE!$A$3:$A$21,0),MATCH(K$9,GDP_CGE!$A$3:$AN$3,0)),GDP_Simple!K11)</f>
        <v>53.76</v>
      </c>
      <c r="L13">
        <f>IF($C$3="CGE",INDEX(GDP_CGE!$A$3:$AN$21,MATCH($A13,GDP_CGE!$A$3:$A$21,0),MATCH(L$9,GDP_CGE!$A$3:$AN$3,0)),GDP_Simple!L11)</f>
        <v>55.02</v>
      </c>
      <c r="M13">
        <f>IF($C$3="CGE",INDEX(GDP_CGE!$A$3:$AN$21,MATCH($A13,GDP_CGE!$A$3:$A$21,0),MATCH(M$9,GDP_CGE!$A$3:$AN$3,0)),GDP_Simple!M11)</f>
        <v>56.21</v>
      </c>
      <c r="N13">
        <f>IF($C$3="CGE",INDEX(GDP_CGE!$A$3:$AN$21,MATCH($A13,GDP_CGE!$A$3:$A$21,0),MATCH(N$9,GDP_CGE!$A$3:$AN$3,0)),GDP_Simple!N11)</f>
        <v>57.35</v>
      </c>
      <c r="O13">
        <f>IF($C$3="CGE",INDEX(GDP_CGE!$A$3:$AN$21,MATCH($A13,GDP_CGE!$A$3:$A$21,0),MATCH(O$9,GDP_CGE!$A$3:$AN$3,0)),GDP_Simple!O11)</f>
        <v>58.59</v>
      </c>
      <c r="P13">
        <f>IF($C$3="CGE",INDEX(GDP_CGE!$A$3:$AN$21,MATCH($A13,GDP_CGE!$A$3:$A$21,0),MATCH(P$9,GDP_CGE!$A$3:$AN$3,0)),GDP_Simple!P11)</f>
        <v>60.17</v>
      </c>
      <c r="Q13">
        <f>IF($C$3="CGE",INDEX(GDP_CGE!$A$3:$AN$21,MATCH($A13,GDP_CGE!$A$3:$A$21,0),MATCH(Q$9,GDP_CGE!$A$3:$AN$3,0)),GDP_Simple!Q11)</f>
        <v>61.72</v>
      </c>
      <c r="R13">
        <f>IF($C$3="CGE",INDEX(GDP_CGE!$A$3:$AN$21,MATCH($A13,GDP_CGE!$A$3:$A$21,0),MATCH(R$9,GDP_CGE!$A$3:$AN$3,0)),GDP_Simple!R11)</f>
        <v>63.31</v>
      </c>
      <c r="S13">
        <f>IF($C$3="CGE",INDEX(GDP_CGE!$A$3:$AN$21,MATCH($A13,GDP_CGE!$A$3:$A$21,0),MATCH(S$9,GDP_CGE!$A$3:$AN$3,0)),GDP_Simple!S11)</f>
        <v>65.09</v>
      </c>
      <c r="T13">
        <f>IF($C$3="CGE",INDEX(GDP_CGE!$A$3:$AN$21,MATCH($A13,GDP_CGE!$A$3:$A$21,0),MATCH(T$9,GDP_CGE!$A$3:$AN$3,0)),GDP_Simple!T11)</f>
        <v>66.930000000000007</v>
      </c>
      <c r="U13">
        <f>IF($C$3="CGE",INDEX(GDP_CGE!$A$3:$AN$21,MATCH($A13,GDP_CGE!$A$3:$A$21,0),MATCH(U$9,GDP_CGE!$A$3:$AN$3,0)),GDP_Simple!U11)</f>
        <v>68.83</v>
      </c>
      <c r="V13">
        <f>IF($C$3="CGE",INDEX(GDP_CGE!$A$3:$AN$21,MATCH($A13,GDP_CGE!$A$3:$A$21,0),MATCH(V$9,GDP_CGE!$A$3:$AN$3,0)),GDP_Simple!V11)</f>
        <v>70.67</v>
      </c>
      <c r="W13">
        <f>IF($C$3="CGE",INDEX(GDP_CGE!$A$3:$AN$21,MATCH($A13,GDP_CGE!$A$3:$A$21,0),MATCH(W$9,GDP_CGE!$A$3:$AN$3,0)),GDP_Simple!W11)</f>
        <v>72.69</v>
      </c>
      <c r="X13">
        <f>IF($C$3="CGE",INDEX(GDP_CGE!$A$3:$AN$21,MATCH($A13,GDP_CGE!$A$3:$A$21,0),MATCH(X$9,GDP_CGE!$A$3:$AN$3,0)),GDP_Simple!X11)</f>
        <v>74.849999999999994</v>
      </c>
      <c r="Y13">
        <f>IF($C$3="CGE",INDEX(GDP_CGE!$A$3:$AN$21,MATCH($A13,GDP_CGE!$A$3:$A$21,0),MATCH(Y$9,GDP_CGE!$A$3:$AN$3,0)),GDP_Simple!Y11)</f>
        <v>77.23</v>
      </c>
      <c r="Z13">
        <f>IF($C$3="CGE",INDEX(GDP_CGE!$A$3:$AN$21,MATCH($A13,GDP_CGE!$A$3:$A$21,0),MATCH(Z$9,GDP_CGE!$A$3:$AN$3,0)),GDP_Simple!Z11)</f>
        <v>79.680000000000007</v>
      </c>
      <c r="AA13">
        <f>IF($C$3="CGE",INDEX(GDP_CGE!$A$3:$AN$21,MATCH($A13,GDP_CGE!$A$3:$A$21,0),MATCH(AA$9,GDP_CGE!$A$3:$AN$3,0)),GDP_Simple!AA11)</f>
        <v>82.2</v>
      </c>
      <c r="AB13">
        <f>IF($C$3="CGE",INDEX(GDP_CGE!$A$3:$AN$21,MATCH($A13,GDP_CGE!$A$3:$A$21,0),MATCH(AB$9,GDP_CGE!$A$3:$AN$3,0)),GDP_Simple!AB11)</f>
        <v>84.75</v>
      </c>
      <c r="AC13">
        <f>IF($C$3="CGE",INDEX(GDP_CGE!$A$3:$AN$21,MATCH($A13,GDP_CGE!$A$3:$A$21,0),MATCH(AC$9,GDP_CGE!$A$3:$AN$3,0)),GDP_Simple!AC11)</f>
        <v>87.38</v>
      </c>
      <c r="AD13">
        <f>IF($C$3="CGE",INDEX(GDP_CGE!$A$3:$AN$21,MATCH($A13,GDP_CGE!$A$3:$A$21,0),MATCH(AD$9,GDP_CGE!$A$3:$AN$3,0)),GDP_Simple!AD11)</f>
        <v>90.15</v>
      </c>
      <c r="AE13">
        <f>IF($C$3="CGE",INDEX(GDP_CGE!$A$3:$AN$21,MATCH($A13,GDP_CGE!$A$3:$A$21,0),MATCH(AE$9,GDP_CGE!$A$3:$AN$3,0)),GDP_Simple!AE11)</f>
        <v>92.83</v>
      </c>
      <c r="AF13">
        <f>IF($C$3="CGE",INDEX(GDP_CGE!$A$3:$AN$21,MATCH($A13,GDP_CGE!$A$3:$A$21,0),MATCH(AF$9,GDP_CGE!$A$3:$AN$3,0)),GDP_Simple!AF11)</f>
        <v>95.65</v>
      </c>
      <c r="AG13">
        <f>IF($C$3="CGE",INDEX(GDP_CGE!$A$3:$AN$21,MATCH($A13,GDP_CGE!$A$3:$A$21,0),MATCH(AG$9,GDP_CGE!$A$3:$AN$3,0)),GDP_Simple!AG11)</f>
        <v>98.6</v>
      </c>
      <c r="AH13">
        <f>IF($C$3="CGE",INDEX(GDP_CGE!$A$3:$AN$21,MATCH($A13,GDP_CGE!$A$3:$A$21,0),MATCH(AH$9,GDP_CGE!$A$3:$AN$3,0)),GDP_Simple!AH11)</f>
        <v>101.7</v>
      </c>
      <c r="AI13">
        <f>IF($C$3="CGE",INDEX(GDP_CGE!$A$3:$AN$21,MATCH($A13,GDP_CGE!$A$3:$A$21,0),MATCH(AI$9,GDP_CGE!$A$3:$AN$3,0)),GDP_Simple!AI11)</f>
        <v>105</v>
      </c>
      <c r="AJ13">
        <f>IF($C$3="CGE",INDEX(GDP_CGE!$A$3:$AN$21,MATCH($A13,GDP_CGE!$A$3:$A$21,0),MATCH(AJ$9,GDP_CGE!$A$3:$AN$3,0)),GDP_Simple!AJ11)</f>
        <v>108.37</v>
      </c>
      <c r="AK13">
        <f>IF($C$3="CGE",INDEX(GDP_CGE!$A$3:$AN$21,MATCH($A13,GDP_CGE!$A$3:$A$21,0),MATCH(AK$9,GDP_CGE!$A$3:$AN$3,0)),GDP_Simple!AK11)</f>
        <v>111.9</v>
      </c>
      <c r="AL13">
        <f>IF($C$3="CGE",INDEX(GDP_CGE!$A$3:$AN$21,MATCH($A13,GDP_CGE!$A$3:$A$21,0),MATCH(AL$9,GDP_CGE!$A$3:$AN$3,0)),GDP_Simple!AL11)</f>
        <v>115.47</v>
      </c>
      <c r="AM13">
        <f>IF($C$3="CGE",INDEX(GDP_CGE!$A$3:$AN$21,MATCH($A13,GDP_CGE!$A$3:$A$21,0),MATCH(AM$9,GDP_CGE!$A$3:$AN$3,0)),GDP_Simple!AM11)</f>
        <v>119.23</v>
      </c>
      <c r="AN13">
        <f>IF($C$3="CGE",INDEX(GDP_CGE!$A$3:$AN$21,MATCH($A13,GDP_CGE!$A$3:$A$21,0),MATCH(AN$9,GDP_CGE!$A$3:$AN$3,0)),GDP_Simple!AN11)</f>
        <v>123.19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</v>
      </c>
      <c r="C14">
        <f>IF($C$3="CGE",INDEX(GDP_CGE!$A$3:$AN$21,MATCH($A14,GDP_CGE!$A$3:$A$21,0),MATCH(C$9,GDP_CGE!$A$3:$AN$3,0)),GDP_Simple!C12)</f>
        <v>83.73</v>
      </c>
      <c r="D14">
        <f>IF($C$3="CGE",INDEX(GDP_CGE!$A$3:$AN$21,MATCH($A14,GDP_CGE!$A$3:$A$21,0),MATCH(D$9,GDP_CGE!$A$3:$AN$3,0)),GDP_Simple!D12)</f>
        <v>83.25</v>
      </c>
      <c r="E14">
        <f>IF($C$3="CGE",INDEX(GDP_CGE!$A$3:$AN$21,MATCH($A14,GDP_CGE!$A$3:$A$21,0),MATCH(E$9,GDP_CGE!$A$3:$AN$3,0)),GDP_Simple!E12)</f>
        <v>82.69</v>
      </c>
      <c r="F14">
        <f>IF($C$3="CGE",INDEX(GDP_CGE!$A$3:$AN$21,MATCH($A14,GDP_CGE!$A$3:$A$21,0),MATCH(F$9,GDP_CGE!$A$3:$AN$3,0)),GDP_Simple!F12)</f>
        <v>81.209999999999994</v>
      </c>
      <c r="G14">
        <f>IF($C$3="CGE",INDEX(GDP_CGE!$A$3:$AN$21,MATCH($A14,GDP_CGE!$A$3:$A$21,0),MATCH(G$9,GDP_CGE!$A$3:$AN$3,0)),GDP_Simple!G12)</f>
        <v>80.83</v>
      </c>
      <c r="H14">
        <f>IF($C$3="CGE",INDEX(GDP_CGE!$A$3:$AN$21,MATCH($A14,GDP_CGE!$A$3:$A$21,0),MATCH(H$9,GDP_CGE!$A$3:$AN$3,0)),GDP_Simple!H12)</f>
        <v>80.180000000000007</v>
      </c>
      <c r="I14">
        <f>IF($C$3="CGE",INDEX(GDP_CGE!$A$3:$AN$21,MATCH($A14,GDP_CGE!$A$3:$A$21,0),MATCH(I$9,GDP_CGE!$A$3:$AN$3,0)),GDP_Simple!I12)</f>
        <v>78.209999999999994</v>
      </c>
      <c r="J14">
        <f>IF($C$3="CGE",INDEX(GDP_CGE!$A$3:$AN$21,MATCH($A14,GDP_CGE!$A$3:$A$21,0),MATCH(J$9,GDP_CGE!$A$3:$AN$3,0)),GDP_Simple!J12)</f>
        <v>76.040000000000006</v>
      </c>
      <c r="K14">
        <f>IF($C$3="CGE",INDEX(GDP_CGE!$A$3:$AN$21,MATCH($A14,GDP_CGE!$A$3:$A$21,0),MATCH(K$9,GDP_CGE!$A$3:$AN$3,0)),GDP_Simple!K12)</f>
        <v>77.260000000000005</v>
      </c>
      <c r="L14">
        <f>IF($C$3="CGE",INDEX(GDP_CGE!$A$3:$AN$21,MATCH($A14,GDP_CGE!$A$3:$A$21,0),MATCH(L$9,GDP_CGE!$A$3:$AN$3,0)),GDP_Simple!L12)</f>
        <v>76.540000000000006</v>
      </c>
      <c r="M14">
        <f>IF($C$3="CGE",INDEX(GDP_CGE!$A$3:$AN$21,MATCH($A14,GDP_CGE!$A$3:$A$21,0),MATCH(M$9,GDP_CGE!$A$3:$AN$3,0)),GDP_Simple!M12)</f>
        <v>77.84</v>
      </c>
      <c r="N14">
        <f>IF($C$3="CGE",INDEX(GDP_CGE!$A$3:$AN$21,MATCH($A14,GDP_CGE!$A$3:$A$21,0),MATCH(N$9,GDP_CGE!$A$3:$AN$3,0)),GDP_Simple!N12)</f>
        <v>78.83</v>
      </c>
      <c r="O14">
        <f>IF($C$3="CGE",INDEX(GDP_CGE!$A$3:$AN$21,MATCH($A14,GDP_CGE!$A$3:$A$21,0),MATCH(O$9,GDP_CGE!$A$3:$AN$3,0)),GDP_Simple!O12)</f>
        <v>79.89</v>
      </c>
      <c r="P14">
        <f>IF($C$3="CGE",INDEX(GDP_CGE!$A$3:$AN$21,MATCH($A14,GDP_CGE!$A$3:$A$21,0),MATCH(P$9,GDP_CGE!$A$3:$AN$3,0)),GDP_Simple!P12)</f>
        <v>81.33</v>
      </c>
      <c r="Q14">
        <f>IF($C$3="CGE",INDEX(GDP_CGE!$A$3:$AN$21,MATCH($A14,GDP_CGE!$A$3:$A$21,0),MATCH(Q$9,GDP_CGE!$A$3:$AN$3,0)),GDP_Simple!Q12)</f>
        <v>83.16</v>
      </c>
      <c r="R14">
        <f>IF($C$3="CGE",INDEX(GDP_CGE!$A$3:$AN$21,MATCH($A14,GDP_CGE!$A$3:$A$21,0),MATCH(R$9,GDP_CGE!$A$3:$AN$3,0)),GDP_Simple!R12)</f>
        <v>84.74</v>
      </c>
      <c r="S14">
        <f>IF($C$3="CGE",INDEX(GDP_CGE!$A$3:$AN$21,MATCH($A14,GDP_CGE!$A$3:$A$21,0),MATCH(S$9,GDP_CGE!$A$3:$AN$3,0)),GDP_Simple!S12)</f>
        <v>87.09</v>
      </c>
      <c r="T14">
        <f>IF($C$3="CGE",INDEX(GDP_CGE!$A$3:$AN$21,MATCH($A14,GDP_CGE!$A$3:$A$21,0),MATCH(T$9,GDP_CGE!$A$3:$AN$3,0)),GDP_Simple!T12)</f>
        <v>89.18</v>
      </c>
      <c r="U14">
        <f>IF($C$3="CGE",INDEX(GDP_CGE!$A$3:$AN$21,MATCH($A14,GDP_CGE!$A$3:$A$21,0),MATCH(U$9,GDP_CGE!$A$3:$AN$3,0)),GDP_Simple!U12)</f>
        <v>91.58</v>
      </c>
      <c r="V14">
        <f>IF($C$3="CGE",INDEX(GDP_CGE!$A$3:$AN$21,MATCH($A14,GDP_CGE!$A$3:$A$21,0),MATCH(V$9,GDP_CGE!$A$3:$AN$3,0)),GDP_Simple!V12)</f>
        <v>93.3</v>
      </c>
      <c r="W14">
        <f>IF($C$3="CGE",INDEX(GDP_CGE!$A$3:$AN$21,MATCH($A14,GDP_CGE!$A$3:$A$21,0),MATCH(W$9,GDP_CGE!$A$3:$AN$3,0)),GDP_Simple!W12)</f>
        <v>95.88</v>
      </c>
      <c r="X14">
        <f>IF($C$3="CGE",INDEX(GDP_CGE!$A$3:$AN$21,MATCH($A14,GDP_CGE!$A$3:$A$21,0),MATCH(X$9,GDP_CGE!$A$3:$AN$3,0)),GDP_Simple!X12)</f>
        <v>98.58</v>
      </c>
      <c r="Y14">
        <f>IF($C$3="CGE",INDEX(GDP_CGE!$A$3:$AN$21,MATCH($A14,GDP_CGE!$A$3:$A$21,0),MATCH(Y$9,GDP_CGE!$A$3:$AN$3,0)),GDP_Simple!Y12)</f>
        <v>102.12</v>
      </c>
      <c r="Z14">
        <f>IF($C$3="CGE",INDEX(GDP_CGE!$A$3:$AN$21,MATCH($A14,GDP_CGE!$A$3:$A$21,0),MATCH(Z$9,GDP_CGE!$A$3:$AN$3,0)),GDP_Simple!Z12)</f>
        <v>104.15</v>
      </c>
      <c r="AA14">
        <f>IF($C$3="CGE",INDEX(GDP_CGE!$A$3:$AN$21,MATCH($A14,GDP_CGE!$A$3:$A$21,0),MATCH(AA$9,GDP_CGE!$A$3:$AN$3,0)),GDP_Simple!AA12)</f>
        <v>106.44</v>
      </c>
      <c r="AB14">
        <f>IF($C$3="CGE",INDEX(GDP_CGE!$A$3:$AN$21,MATCH($A14,GDP_CGE!$A$3:$A$21,0),MATCH(AB$9,GDP_CGE!$A$3:$AN$3,0)),GDP_Simple!AB12)</f>
        <v>108.7</v>
      </c>
      <c r="AC14">
        <f>IF($C$3="CGE",INDEX(GDP_CGE!$A$3:$AN$21,MATCH($A14,GDP_CGE!$A$3:$A$21,0),MATCH(AC$9,GDP_CGE!$A$3:$AN$3,0)),GDP_Simple!AC12)</f>
        <v>110.96</v>
      </c>
      <c r="AD14">
        <f>IF($C$3="CGE",INDEX(GDP_CGE!$A$3:$AN$21,MATCH($A14,GDP_CGE!$A$3:$A$21,0),MATCH(AD$9,GDP_CGE!$A$3:$AN$3,0)),GDP_Simple!AD12)</f>
        <v>113.25</v>
      </c>
      <c r="AE14">
        <f>IF($C$3="CGE",INDEX(GDP_CGE!$A$3:$AN$21,MATCH($A14,GDP_CGE!$A$3:$A$21,0),MATCH(AE$9,GDP_CGE!$A$3:$AN$3,0)),GDP_Simple!AE12)</f>
        <v>116.13</v>
      </c>
      <c r="AF14">
        <f>IF($C$3="CGE",INDEX(GDP_CGE!$A$3:$AN$21,MATCH($A14,GDP_CGE!$A$3:$A$21,0),MATCH(AF$9,GDP_CGE!$A$3:$AN$3,0)),GDP_Simple!AF12)</f>
        <v>119.11</v>
      </c>
      <c r="AG14">
        <f>IF($C$3="CGE",INDEX(GDP_CGE!$A$3:$AN$21,MATCH($A14,GDP_CGE!$A$3:$A$21,0),MATCH(AG$9,GDP_CGE!$A$3:$AN$3,0)),GDP_Simple!AG12)</f>
        <v>122.09</v>
      </c>
      <c r="AH14">
        <f>IF($C$3="CGE",INDEX(GDP_CGE!$A$3:$AN$21,MATCH($A14,GDP_CGE!$A$3:$A$21,0),MATCH(AH$9,GDP_CGE!$A$3:$AN$3,0)),GDP_Simple!AH12)</f>
        <v>125.09</v>
      </c>
      <c r="AI14">
        <f>IF($C$3="CGE",INDEX(GDP_CGE!$A$3:$AN$21,MATCH($A14,GDP_CGE!$A$3:$A$21,0),MATCH(AI$9,GDP_CGE!$A$3:$AN$3,0)),GDP_Simple!AI12)</f>
        <v>128.13</v>
      </c>
      <c r="AJ14">
        <f>IF($C$3="CGE",INDEX(GDP_CGE!$A$3:$AN$21,MATCH($A14,GDP_CGE!$A$3:$A$21,0),MATCH(AJ$9,GDP_CGE!$A$3:$AN$3,0)),GDP_Simple!AJ12)</f>
        <v>131.97</v>
      </c>
      <c r="AK14">
        <f>IF($C$3="CGE",INDEX(GDP_CGE!$A$3:$AN$21,MATCH($A14,GDP_CGE!$A$3:$A$21,0),MATCH(AK$9,GDP_CGE!$A$3:$AN$3,0)),GDP_Simple!AK12)</f>
        <v>135.72</v>
      </c>
      <c r="AL14">
        <f>IF($C$3="CGE",INDEX(GDP_CGE!$A$3:$AN$21,MATCH($A14,GDP_CGE!$A$3:$A$21,0),MATCH(AL$9,GDP_CGE!$A$3:$AN$3,0)),GDP_Simple!AL12)</f>
        <v>139.46</v>
      </c>
      <c r="AM14">
        <f>IF($C$3="CGE",INDEX(GDP_CGE!$A$3:$AN$21,MATCH($A14,GDP_CGE!$A$3:$A$21,0),MATCH(AM$9,GDP_CGE!$A$3:$AN$3,0)),GDP_Simple!AM12)</f>
        <v>143.13999999999999</v>
      </c>
      <c r="AN14">
        <f>IF($C$3="CGE",INDEX(GDP_CGE!$A$3:$AN$21,MATCH($A14,GDP_CGE!$A$3:$A$21,0),MATCH(AN$9,GDP_CGE!$A$3:$AN$3,0)),GDP_Simple!AN12)</f>
        <v>146.85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93.1</v>
      </c>
      <c r="C15">
        <f>IF($C$3="CGE",INDEX(GDP_CGE!$A$3:$AN$21,MATCH($A15,GDP_CGE!$A$3:$A$21,0),MATCH(C$9,GDP_CGE!$A$3:$AN$3,0)),GDP_Simple!C13)</f>
        <v>94.81</v>
      </c>
      <c r="D15">
        <f>IF($C$3="CGE",INDEX(GDP_CGE!$A$3:$AN$21,MATCH($A15,GDP_CGE!$A$3:$A$21,0),MATCH(D$9,GDP_CGE!$A$3:$AN$3,0)),GDP_Simple!D13)</f>
        <v>96.04</v>
      </c>
      <c r="E15">
        <f>IF($C$3="CGE",INDEX(GDP_CGE!$A$3:$AN$21,MATCH($A15,GDP_CGE!$A$3:$A$21,0),MATCH(E$9,GDP_CGE!$A$3:$AN$3,0)),GDP_Simple!E13)</f>
        <v>96.13</v>
      </c>
      <c r="F15">
        <f>IF($C$3="CGE",INDEX(GDP_CGE!$A$3:$AN$21,MATCH($A15,GDP_CGE!$A$3:$A$21,0),MATCH(F$9,GDP_CGE!$A$3:$AN$3,0)),GDP_Simple!F13)</f>
        <v>97.44</v>
      </c>
      <c r="G15">
        <f>IF($C$3="CGE",INDEX(GDP_CGE!$A$3:$AN$21,MATCH($A15,GDP_CGE!$A$3:$A$21,0),MATCH(G$9,GDP_CGE!$A$3:$AN$3,0)),GDP_Simple!G13)</f>
        <v>97.81</v>
      </c>
      <c r="H15">
        <f>IF($C$3="CGE",INDEX(GDP_CGE!$A$3:$AN$21,MATCH($A15,GDP_CGE!$A$3:$A$21,0),MATCH(H$9,GDP_CGE!$A$3:$AN$3,0)),GDP_Simple!H13)</f>
        <v>98.48</v>
      </c>
      <c r="I15">
        <f>IF($C$3="CGE",INDEX(GDP_CGE!$A$3:$AN$21,MATCH($A15,GDP_CGE!$A$3:$A$21,0),MATCH(I$9,GDP_CGE!$A$3:$AN$3,0)),GDP_Simple!I13)</f>
        <v>97.71</v>
      </c>
      <c r="J15">
        <f>IF($C$3="CGE",INDEX(GDP_CGE!$A$3:$AN$21,MATCH($A15,GDP_CGE!$A$3:$A$21,0),MATCH(J$9,GDP_CGE!$A$3:$AN$3,0)),GDP_Simple!J13)</f>
        <v>92.79</v>
      </c>
      <c r="K15">
        <f>IF($C$3="CGE",INDEX(GDP_CGE!$A$3:$AN$21,MATCH($A15,GDP_CGE!$A$3:$A$21,0),MATCH(K$9,GDP_CGE!$A$3:$AN$3,0)),GDP_Simple!K13)</f>
        <v>95.58</v>
      </c>
      <c r="L15">
        <f>IF($C$3="CGE",INDEX(GDP_CGE!$A$3:$AN$21,MATCH($A15,GDP_CGE!$A$3:$A$21,0),MATCH(L$9,GDP_CGE!$A$3:$AN$3,0)),GDP_Simple!L13)</f>
        <v>98.13</v>
      </c>
      <c r="M15">
        <f>IF($C$3="CGE",INDEX(GDP_CGE!$A$3:$AN$21,MATCH($A15,GDP_CGE!$A$3:$A$21,0),MATCH(M$9,GDP_CGE!$A$3:$AN$3,0)),GDP_Simple!M13)</f>
        <v>100.22</v>
      </c>
      <c r="N15">
        <f>IF($C$3="CGE",INDEX(GDP_CGE!$A$3:$AN$21,MATCH($A15,GDP_CGE!$A$3:$A$21,0),MATCH(N$9,GDP_CGE!$A$3:$AN$3,0)),GDP_Simple!N13)</f>
        <v>102.18</v>
      </c>
      <c r="O15">
        <f>IF($C$3="CGE",INDEX(GDP_CGE!$A$3:$AN$21,MATCH($A15,GDP_CGE!$A$3:$A$21,0),MATCH(O$9,GDP_CGE!$A$3:$AN$3,0)),GDP_Simple!O13)</f>
        <v>104.28</v>
      </c>
      <c r="P15">
        <f>IF($C$3="CGE",INDEX(GDP_CGE!$A$3:$AN$21,MATCH($A15,GDP_CGE!$A$3:$A$21,0),MATCH(P$9,GDP_CGE!$A$3:$AN$3,0)),GDP_Simple!P13)</f>
        <v>107.16</v>
      </c>
      <c r="Q15">
        <f>IF($C$3="CGE",INDEX(GDP_CGE!$A$3:$AN$21,MATCH($A15,GDP_CGE!$A$3:$A$21,0),MATCH(Q$9,GDP_CGE!$A$3:$AN$3,0)),GDP_Simple!Q13)</f>
        <v>109.9</v>
      </c>
      <c r="R15">
        <f>IF($C$3="CGE",INDEX(GDP_CGE!$A$3:$AN$21,MATCH($A15,GDP_CGE!$A$3:$A$21,0),MATCH(R$9,GDP_CGE!$A$3:$AN$3,0)),GDP_Simple!R13)</f>
        <v>112.65</v>
      </c>
      <c r="S15">
        <f>IF($C$3="CGE",INDEX(GDP_CGE!$A$3:$AN$21,MATCH($A15,GDP_CGE!$A$3:$A$21,0),MATCH(S$9,GDP_CGE!$A$3:$AN$3,0)),GDP_Simple!S13)</f>
        <v>115.22</v>
      </c>
      <c r="T15">
        <f>IF($C$3="CGE",INDEX(GDP_CGE!$A$3:$AN$21,MATCH($A15,GDP_CGE!$A$3:$A$21,0),MATCH(T$9,GDP_CGE!$A$3:$AN$3,0)),GDP_Simple!T13)</f>
        <v>117.84</v>
      </c>
      <c r="U15">
        <f>IF($C$3="CGE",INDEX(GDP_CGE!$A$3:$AN$21,MATCH($A15,GDP_CGE!$A$3:$A$21,0),MATCH(U$9,GDP_CGE!$A$3:$AN$3,0)),GDP_Simple!U13)</f>
        <v>120.44</v>
      </c>
      <c r="V15">
        <f>IF($C$3="CGE",INDEX(GDP_CGE!$A$3:$AN$21,MATCH($A15,GDP_CGE!$A$3:$A$21,0),MATCH(V$9,GDP_CGE!$A$3:$AN$3,0)),GDP_Simple!V13)</f>
        <v>122.85</v>
      </c>
      <c r="W15">
        <f>IF($C$3="CGE",INDEX(GDP_CGE!$A$3:$AN$21,MATCH($A15,GDP_CGE!$A$3:$A$21,0),MATCH(W$9,GDP_CGE!$A$3:$AN$3,0)),GDP_Simple!W13)</f>
        <v>125.47</v>
      </c>
      <c r="X15">
        <f>IF($C$3="CGE",INDEX(GDP_CGE!$A$3:$AN$21,MATCH($A15,GDP_CGE!$A$3:$A$21,0),MATCH(X$9,GDP_CGE!$A$3:$AN$3,0)),GDP_Simple!X13)</f>
        <v>128.21</v>
      </c>
      <c r="Y15">
        <f>IF($C$3="CGE",INDEX(GDP_CGE!$A$3:$AN$21,MATCH($A15,GDP_CGE!$A$3:$A$21,0),MATCH(Y$9,GDP_CGE!$A$3:$AN$3,0)),GDP_Simple!Y13)</f>
        <v>131.01</v>
      </c>
      <c r="Z15">
        <f>IF($C$3="CGE",INDEX(GDP_CGE!$A$3:$AN$21,MATCH($A15,GDP_CGE!$A$3:$A$21,0),MATCH(Z$9,GDP_CGE!$A$3:$AN$3,0)),GDP_Simple!Z13)</f>
        <v>134.12</v>
      </c>
      <c r="AA15">
        <f>IF($C$3="CGE",INDEX(GDP_CGE!$A$3:$AN$21,MATCH($A15,GDP_CGE!$A$3:$A$21,0),MATCH(AA$9,GDP_CGE!$A$3:$AN$3,0)),GDP_Simple!AA13)</f>
        <v>137.33000000000001</v>
      </c>
      <c r="AB15">
        <f>IF($C$3="CGE",INDEX(GDP_CGE!$A$3:$AN$21,MATCH($A15,GDP_CGE!$A$3:$A$21,0),MATCH(AB$9,GDP_CGE!$A$3:$AN$3,0)),GDP_Simple!AB13)</f>
        <v>140.49</v>
      </c>
      <c r="AC15">
        <f>IF($C$3="CGE",INDEX(GDP_CGE!$A$3:$AN$21,MATCH($A15,GDP_CGE!$A$3:$A$21,0),MATCH(AC$9,GDP_CGE!$A$3:$AN$3,0)),GDP_Simple!AC13)</f>
        <v>143.72</v>
      </c>
      <c r="AD15">
        <f>IF($C$3="CGE",INDEX(GDP_CGE!$A$3:$AN$21,MATCH($A15,GDP_CGE!$A$3:$A$21,0),MATCH(AD$9,GDP_CGE!$A$3:$AN$3,0)),GDP_Simple!AD13)</f>
        <v>147.09</v>
      </c>
      <c r="AE15">
        <f>IF($C$3="CGE",INDEX(GDP_CGE!$A$3:$AN$21,MATCH($A15,GDP_CGE!$A$3:$A$21,0),MATCH(AE$9,GDP_CGE!$A$3:$AN$3,0)),GDP_Simple!AE13)</f>
        <v>150.19</v>
      </c>
      <c r="AF15">
        <f>IF($C$3="CGE",INDEX(GDP_CGE!$A$3:$AN$21,MATCH($A15,GDP_CGE!$A$3:$A$21,0),MATCH(AF$9,GDP_CGE!$A$3:$AN$3,0)),GDP_Simple!AF13)</f>
        <v>153.37</v>
      </c>
      <c r="AG15">
        <f>IF($C$3="CGE",INDEX(GDP_CGE!$A$3:$AN$21,MATCH($A15,GDP_CGE!$A$3:$A$21,0),MATCH(AG$9,GDP_CGE!$A$3:$AN$3,0)),GDP_Simple!AG13)</f>
        <v>156.65</v>
      </c>
      <c r="AH15">
        <f>IF($C$3="CGE",INDEX(GDP_CGE!$A$3:$AN$21,MATCH($A15,GDP_CGE!$A$3:$A$21,0),MATCH(AH$9,GDP_CGE!$A$3:$AN$3,0)),GDP_Simple!AH13)</f>
        <v>160.22</v>
      </c>
      <c r="AI15">
        <f>IF($C$3="CGE",INDEX(GDP_CGE!$A$3:$AN$21,MATCH($A15,GDP_CGE!$A$3:$A$21,0),MATCH(AI$9,GDP_CGE!$A$3:$AN$3,0)),GDP_Simple!AI13)</f>
        <v>164.01</v>
      </c>
      <c r="AJ15">
        <f>IF($C$3="CGE",INDEX(GDP_CGE!$A$3:$AN$21,MATCH($A15,GDP_CGE!$A$3:$A$21,0),MATCH(AJ$9,GDP_CGE!$A$3:$AN$3,0)),GDP_Simple!AJ13)</f>
        <v>167.91</v>
      </c>
      <c r="AK15">
        <f>IF($C$3="CGE",INDEX(GDP_CGE!$A$3:$AN$21,MATCH($A15,GDP_CGE!$A$3:$A$21,0),MATCH(AK$9,GDP_CGE!$A$3:$AN$3,0)),GDP_Simple!AK13)</f>
        <v>171.93</v>
      </c>
      <c r="AL15">
        <f>IF($C$3="CGE",INDEX(GDP_CGE!$A$3:$AN$21,MATCH($A15,GDP_CGE!$A$3:$A$21,0),MATCH(AL$9,GDP_CGE!$A$3:$AN$3,0)),GDP_Simple!AL13)</f>
        <v>175.86</v>
      </c>
      <c r="AM15">
        <f>IF($C$3="CGE",INDEX(GDP_CGE!$A$3:$AN$21,MATCH($A15,GDP_CGE!$A$3:$A$21,0),MATCH(AM$9,GDP_CGE!$A$3:$AN$3,0)),GDP_Simple!AM13)</f>
        <v>180.05</v>
      </c>
      <c r="AN15">
        <f>IF($C$3="CGE",INDEX(GDP_CGE!$A$3:$AN$21,MATCH($A15,GDP_CGE!$A$3:$A$21,0),MATCH(AN$9,GDP_CGE!$A$3:$AN$3,0)),GDP_Simple!AN13)</f>
        <v>184.39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0</v>
      </c>
      <c r="C16">
        <f>IF($C$3="CGE",INDEX(GDP_CGE!$A$3:$AN$21,MATCH($A16,GDP_CGE!$A$3:$A$21,0),MATCH(C$9,GDP_CGE!$A$3:$AN$3,0)),GDP_Simple!C14)</f>
        <v>0</v>
      </c>
      <c r="D16">
        <f>IF($C$3="CGE",INDEX(GDP_CGE!$A$3:$AN$21,MATCH($A16,GDP_CGE!$A$3:$A$21,0),MATCH(D$9,GDP_CGE!$A$3:$AN$3,0)),GDP_Simple!D14)</f>
        <v>0</v>
      </c>
      <c r="E16">
        <f>IF($C$3="CGE",INDEX(GDP_CGE!$A$3:$AN$21,MATCH($A16,GDP_CGE!$A$3:$A$21,0),MATCH(E$9,GDP_CGE!$A$3:$AN$3,0)),GDP_Simple!E14)</f>
        <v>0</v>
      </c>
      <c r="F16">
        <f>IF($C$3="CGE",INDEX(GDP_CGE!$A$3:$AN$21,MATCH($A16,GDP_CGE!$A$3:$A$21,0),MATCH(F$9,GDP_CGE!$A$3:$AN$3,0)),GDP_Simple!F14)</f>
        <v>0</v>
      </c>
      <c r="G16">
        <f>IF($C$3="CGE",INDEX(GDP_CGE!$A$3:$AN$21,MATCH($A16,GDP_CGE!$A$3:$A$21,0),MATCH(G$9,GDP_CGE!$A$3:$AN$3,0)),GDP_Simple!G14)</f>
        <v>0</v>
      </c>
      <c r="H16">
        <f>IF($C$3="CGE",INDEX(GDP_CGE!$A$3:$AN$21,MATCH($A16,GDP_CGE!$A$3:$A$21,0),MATCH(H$9,GDP_CGE!$A$3:$AN$3,0)),GDP_Simple!H14)</f>
        <v>0</v>
      </c>
      <c r="I16">
        <f>IF($C$3="CGE",INDEX(GDP_CGE!$A$3:$AN$21,MATCH($A16,GDP_CGE!$A$3:$A$21,0),MATCH(I$9,GDP_CGE!$A$3:$AN$3,0)),GDP_Simple!I14)</f>
        <v>0</v>
      </c>
      <c r="J16">
        <f>IF($C$3="CGE",INDEX(GDP_CGE!$A$3:$AN$21,MATCH($A16,GDP_CGE!$A$3:$A$21,0),MATCH(J$9,GDP_CGE!$A$3:$AN$3,0)),GDP_Simple!J14)</f>
        <v>0</v>
      </c>
      <c r="K16">
        <f>IF($C$3="CGE",INDEX(GDP_CGE!$A$3:$AN$21,MATCH($A16,GDP_CGE!$A$3:$A$21,0),MATCH(K$9,GDP_CGE!$A$3:$AN$3,0)),GDP_Simple!K14)</f>
        <v>0</v>
      </c>
      <c r="L16">
        <f>IF($C$3="CGE",INDEX(GDP_CGE!$A$3:$AN$21,MATCH($A16,GDP_CGE!$A$3:$A$21,0),MATCH(L$9,GDP_CGE!$A$3:$AN$3,0)),GDP_Simple!L14)</f>
        <v>0</v>
      </c>
      <c r="M16">
        <f>IF($C$3="CGE",INDEX(GDP_CGE!$A$3:$AN$21,MATCH($A16,GDP_CGE!$A$3:$A$21,0),MATCH(M$9,GDP_CGE!$A$3:$AN$3,0)),GDP_Simple!M14)</f>
        <v>0</v>
      </c>
      <c r="N16">
        <f>IF($C$3="CGE",INDEX(GDP_CGE!$A$3:$AN$21,MATCH($A16,GDP_CGE!$A$3:$A$21,0),MATCH(N$9,GDP_CGE!$A$3:$AN$3,0)),GDP_Simple!N14)</f>
        <v>0</v>
      </c>
      <c r="O16">
        <f>IF($C$3="CGE",INDEX(GDP_CGE!$A$3:$AN$21,MATCH($A16,GDP_CGE!$A$3:$A$21,0),MATCH(O$9,GDP_CGE!$A$3:$AN$3,0)),GDP_Simple!O14)</f>
        <v>0</v>
      </c>
      <c r="P16">
        <f>IF($C$3="CGE",INDEX(GDP_CGE!$A$3:$AN$21,MATCH($A16,GDP_CGE!$A$3:$A$21,0),MATCH(P$9,GDP_CGE!$A$3:$AN$3,0)),GDP_Simple!P14)</f>
        <v>0</v>
      </c>
      <c r="Q16">
        <f>IF($C$3="CGE",INDEX(GDP_CGE!$A$3:$AN$21,MATCH($A16,GDP_CGE!$A$3:$A$21,0),MATCH(Q$9,GDP_CGE!$A$3:$AN$3,0)),GDP_Simple!Q14)</f>
        <v>0</v>
      </c>
      <c r="R16">
        <f>IF($C$3="CGE",INDEX(GDP_CGE!$A$3:$AN$21,MATCH($A16,GDP_CGE!$A$3:$A$21,0),MATCH(R$9,GDP_CGE!$A$3:$AN$3,0)),GDP_Simple!R14)</f>
        <v>0</v>
      </c>
      <c r="S16">
        <f>IF($C$3="CGE",INDEX(GDP_CGE!$A$3:$AN$21,MATCH($A16,GDP_CGE!$A$3:$A$21,0),MATCH(S$9,GDP_CGE!$A$3:$AN$3,0)),GDP_Simple!S14)</f>
        <v>0.63</v>
      </c>
      <c r="T16">
        <f>IF($C$3="CGE",INDEX(GDP_CGE!$A$3:$AN$21,MATCH($A16,GDP_CGE!$A$3:$A$21,0),MATCH(T$9,GDP_CGE!$A$3:$AN$3,0)),GDP_Simple!T14)</f>
        <v>1.1000000000000001</v>
      </c>
      <c r="U16">
        <f>IF($C$3="CGE",INDEX(GDP_CGE!$A$3:$AN$21,MATCH($A16,GDP_CGE!$A$3:$A$21,0),MATCH(U$9,GDP_CGE!$A$3:$AN$3,0)),GDP_Simple!U14)</f>
        <v>1.62</v>
      </c>
      <c r="V16">
        <f>IF($C$3="CGE",INDEX(GDP_CGE!$A$3:$AN$21,MATCH($A16,GDP_CGE!$A$3:$A$21,0),MATCH(V$9,GDP_CGE!$A$3:$AN$3,0)),GDP_Simple!V14)</f>
        <v>2.14</v>
      </c>
      <c r="W16">
        <f>IF($C$3="CGE",INDEX(GDP_CGE!$A$3:$AN$21,MATCH($A16,GDP_CGE!$A$3:$A$21,0),MATCH(W$9,GDP_CGE!$A$3:$AN$3,0)),GDP_Simple!W14)</f>
        <v>2.65</v>
      </c>
      <c r="X16">
        <f>IF($C$3="CGE",INDEX(GDP_CGE!$A$3:$AN$21,MATCH($A16,GDP_CGE!$A$3:$A$21,0),MATCH(X$9,GDP_CGE!$A$3:$AN$3,0)),GDP_Simple!X14)</f>
        <v>3.15</v>
      </c>
      <c r="Y16">
        <f>IF($C$3="CGE",INDEX(GDP_CGE!$A$3:$AN$21,MATCH($A16,GDP_CGE!$A$3:$A$21,0),MATCH(Y$9,GDP_CGE!$A$3:$AN$3,0)),GDP_Simple!Y14)</f>
        <v>3.95</v>
      </c>
      <c r="Z16">
        <f>IF($C$3="CGE",INDEX(GDP_CGE!$A$3:$AN$21,MATCH($A16,GDP_CGE!$A$3:$A$21,0),MATCH(Z$9,GDP_CGE!$A$3:$AN$3,0)),GDP_Simple!Z14)</f>
        <v>4.43</v>
      </c>
      <c r="AA16">
        <f>IF($C$3="CGE",INDEX(GDP_CGE!$A$3:$AN$21,MATCH($A16,GDP_CGE!$A$3:$A$21,0),MATCH(AA$9,GDP_CGE!$A$3:$AN$3,0)),GDP_Simple!AA14)</f>
        <v>4.9000000000000004</v>
      </c>
      <c r="AB16">
        <f>IF($C$3="CGE",INDEX(GDP_CGE!$A$3:$AN$21,MATCH($A16,GDP_CGE!$A$3:$A$21,0),MATCH(AB$9,GDP_CGE!$A$3:$AN$3,0)),GDP_Simple!AB14)</f>
        <v>5.38</v>
      </c>
      <c r="AC16">
        <f>IF($C$3="CGE",INDEX(GDP_CGE!$A$3:$AN$21,MATCH($A16,GDP_CGE!$A$3:$A$21,0),MATCH(AC$9,GDP_CGE!$A$3:$AN$3,0)),GDP_Simple!AC14)</f>
        <v>5.86</v>
      </c>
      <c r="AD16">
        <f>IF($C$3="CGE",INDEX(GDP_CGE!$A$3:$AN$21,MATCH($A16,GDP_CGE!$A$3:$A$21,0),MATCH(AD$9,GDP_CGE!$A$3:$AN$3,0)),GDP_Simple!AD14)</f>
        <v>6.34</v>
      </c>
      <c r="AE16">
        <f>IF($C$3="CGE",INDEX(GDP_CGE!$A$3:$AN$21,MATCH($A16,GDP_CGE!$A$3:$A$21,0),MATCH(AE$9,GDP_CGE!$A$3:$AN$3,0)),GDP_Simple!AE14)</f>
        <v>6.79</v>
      </c>
      <c r="AF16">
        <f>IF($C$3="CGE",INDEX(GDP_CGE!$A$3:$AN$21,MATCH($A16,GDP_CGE!$A$3:$A$21,0),MATCH(AF$9,GDP_CGE!$A$3:$AN$3,0)),GDP_Simple!AF14)</f>
        <v>7.25</v>
      </c>
      <c r="AG16">
        <f>IF($C$3="CGE",INDEX(GDP_CGE!$A$3:$AN$21,MATCH($A16,GDP_CGE!$A$3:$A$21,0),MATCH(AG$9,GDP_CGE!$A$3:$AN$3,0)),GDP_Simple!AG14)</f>
        <v>7.7</v>
      </c>
      <c r="AH16">
        <f>IF($C$3="CGE",INDEX(GDP_CGE!$A$3:$AN$21,MATCH($A16,GDP_CGE!$A$3:$A$21,0),MATCH(AH$9,GDP_CGE!$A$3:$AN$3,0)),GDP_Simple!AH14)</f>
        <v>8.15</v>
      </c>
      <c r="AI16">
        <f>IF($C$3="CGE",INDEX(GDP_CGE!$A$3:$AN$21,MATCH($A16,GDP_CGE!$A$3:$A$21,0),MATCH(AI$9,GDP_CGE!$A$3:$AN$3,0)),GDP_Simple!AI14)</f>
        <v>8.6</v>
      </c>
      <c r="AJ16">
        <f>IF($C$3="CGE",INDEX(GDP_CGE!$A$3:$AN$21,MATCH($A16,GDP_CGE!$A$3:$A$21,0),MATCH(AJ$9,GDP_CGE!$A$3:$AN$3,0)),GDP_Simple!AJ14)</f>
        <v>8.86</v>
      </c>
      <c r="AK16">
        <f>IF($C$3="CGE",INDEX(GDP_CGE!$A$3:$AN$21,MATCH($A16,GDP_CGE!$A$3:$A$21,0),MATCH(AK$9,GDP_CGE!$A$3:$AN$3,0)),GDP_Simple!AK14)</f>
        <v>9.1199999999999992</v>
      </c>
      <c r="AL16">
        <f>IF($C$3="CGE",INDEX(GDP_CGE!$A$3:$AN$21,MATCH($A16,GDP_CGE!$A$3:$A$21,0),MATCH(AL$9,GDP_CGE!$A$3:$AN$3,0)),GDP_Simple!AL14)</f>
        <v>9.3800000000000008</v>
      </c>
      <c r="AM16">
        <f>IF($C$3="CGE",INDEX(GDP_CGE!$A$3:$AN$21,MATCH($A16,GDP_CGE!$A$3:$A$21,0),MATCH(AM$9,GDP_CGE!$A$3:$AN$3,0)),GDP_Simple!AM14)</f>
        <v>9.64</v>
      </c>
      <c r="AN16">
        <f>IF($C$3="CGE",INDEX(GDP_CGE!$A$3:$AN$21,MATCH($A16,GDP_CGE!$A$3:$A$21,0),MATCH(AN$9,GDP_CGE!$A$3:$AN$3,0)),GDP_Simple!AN14)</f>
        <v>9.9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13.35</v>
      </c>
      <c r="C17">
        <f>IF($C$3="CGE",INDEX(GDP_CGE!$A$3:$AN$21,MATCH($A17,GDP_CGE!$A$3:$A$21,0),MATCH(C$9,GDP_CGE!$A$3:$AN$3,0)),GDP_Simple!C15)</f>
        <v>13.74</v>
      </c>
      <c r="D17">
        <f>IF($C$3="CGE",INDEX(GDP_CGE!$A$3:$AN$21,MATCH($A17,GDP_CGE!$A$3:$A$21,0),MATCH(D$9,GDP_CGE!$A$3:$AN$3,0)),GDP_Simple!D15)</f>
        <v>13.91</v>
      </c>
      <c r="E17">
        <f>IF($C$3="CGE",INDEX(GDP_CGE!$A$3:$AN$21,MATCH($A17,GDP_CGE!$A$3:$A$21,0),MATCH(E$9,GDP_CGE!$A$3:$AN$3,0)),GDP_Simple!E15)</f>
        <v>14.13</v>
      </c>
      <c r="F17">
        <f>IF($C$3="CGE",INDEX(GDP_CGE!$A$3:$AN$21,MATCH($A17,GDP_CGE!$A$3:$A$21,0),MATCH(F$9,GDP_CGE!$A$3:$AN$3,0)),GDP_Simple!F15)</f>
        <v>14.15</v>
      </c>
      <c r="G17">
        <f>IF($C$3="CGE",INDEX(GDP_CGE!$A$3:$AN$21,MATCH($A17,GDP_CGE!$A$3:$A$21,0),MATCH(G$9,GDP_CGE!$A$3:$AN$3,0)),GDP_Simple!G15)</f>
        <v>14.18</v>
      </c>
      <c r="H17">
        <f>IF($C$3="CGE",INDEX(GDP_CGE!$A$3:$AN$21,MATCH($A17,GDP_CGE!$A$3:$A$21,0),MATCH(H$9,GDP_CGE!$A$3:$AN$3,0)),GDP_Simple!H15)</f>
        <v>14.21</v>
      </c>
      <c r="I17">
        <f>IF($C$3="CGE",INDEX(GDP_CGE!$A$3:$AN$21,MATCH($A17,GDP_CGE!$A$3:$A$21,0),MATCH(I$9,GDP_CGE!$A$3:$AN$3,0)),GDP_Simple!I15)</f>
        <v>14.08</v>
      </c>
      <c r="J17">
        <f>IF($C$3="CGE",INDEX(GDP_CGE!$A$3:$AN$21,MATCH($A17,GDP_CGE!$A$3:$A$21,0),MATCH(J$9,GDP_CGE!$A$3:$AN$3,0)),GDP_Simple!J15)</f>
        <v>12.26</v>
      </c>
      <c r="K17">
        <f>IF($C$3="CGE",INDEX(GDP_CGE!$A$3:$AN$21,MATCH($A17,GDP_CGE!$A$3:$A$21,0),MATCH(K$9,GDP_CGE!$A$3:$AN$3,0)),GDP_Simple!K15)</f>
        <v>12.65</v>
      </c>
      <c r="L17">
        <f>IF($C$3="CGE",INDEX(GDP_CGE!$A$3:$AN$21,MATCH($A17,GDP_CGE!$A$3:$A$21,0),MATCH(L$9,GDP_CGE!$A$3:$AN$3,0)),GDP_Simple!L15)</f>
        <v>12.9</v>
      </c>
      <c r="M17">
        <f>IF($C$3="CGE",INDEX(GDP_CGE!$A$3:$AN$21,MATCH($A17,GDP_CGE!$A$3:$A$21,0),MATCH(M$9,GDP_CGE!$A$3:$AN$3,0)),GDP_Simple!M15)</f>
        <v>13.13</v>
      </c>
      <c r="N17">
        <f>IF($C$3="CGE",INDEX(GDP_CGE!$A$3:$AN$21,MATCH($A17,GDP_CGE!$A$3:$A$21,0),MATCH(N$9,GDP_CGE!$A$3:$AN$3,0)),GDP_Simple!N15)</f>
        <v>13.34</v>
      </c>
      <c r="O17">
        <f>IF($C$3="CGE",INDEX(GDP_CGE!$A$3:$AN$21,MATCH($A17,GDP_CGE!$A$3:$A$21,0),MATCH(O$9,GDP_CGE!$A$3:$AN$3,0)),GDP_Simple!O15)</f>
        <v>13.63</v>
      </c>
      <c r="P17">
        <f>IF($C$3="CGE",INDEX(GDP_CGE!$A$3:$AN$21,MATCH($A17,GDP_CGE!$A$3:$A$21,0),MATCH(P$9,GDP_CGE!$A$3:$AN$3,0)),GDP_Simple!P15)</f>
        <v>14.12</v>
      </c>
      <c r="Q17">
        <f>IF($C$3="CGE",INDEX(GDP_CGE!$A$3:$AN$21,MATCH($A17,GDP_CGE!$A$3:$A$21,0),MATCH(Q$9,GDP_CGE!$A$3:$AN$3,0)),GDP_Simple!Q15)</f>
        <v>14.6</v>
      </c>
      <c r="R17">
        <f>IF($C$3="CGE",INDEX(GDP_CGE!$A$3:$AN$21,MATCH($A17,GDP_CGE!$A$3:$A$21,0),MATCH(R$9,GDP_CGE!$A$3:$AN$3,0)),GDP_Simple!R15)</f>
        <v>15.08</v>
      </c>
      <c r="S17">
        <f>IF($C$3="CGE",INDEX(GDP_CGE!$A$3:$AN$21,MATCH($A17,GDP_CGE!$A$3:$A$21,0),MATCH(S$9,GDP_CGE!$A$3:$AN$3,0)),GDP_Simple!S15)</f>
        <v>15.43</v>
      </c>
      <c r="T17">
        <f>IF($C$3="CGE",INDEX(GDP_CGE!$A$3:$AN$21,MATCH($A17,GDP_CGE!$A$3:$A$21,0),MATCH(T$9,GDP_CGE!$A$3:$AN$3,0)),GDP_Simple!T15)</f>
        <v>15.88</v>
      </c>
      <c r="U17">
        <f>IF($C$3="CGE",INDEX(GDP_CGE!$A$3:$AN$21,MATCH($A17,GDP_CGE!$A$3:$A$21,0),MATCH(U$9,GDP_CGE!$A$3:$AN$3,0)),GDP_Simple!U15)</f>
        <v>16.239999999999998</v>
      </c>
      <c r="V17">
        <f>IF($C$3="CGE",INDEX(GDP_CGE!$A$3:$AN$21,MATCH($A17,GDP_CGE!$A$3:$A$21,0),MATCH(V$9,GDP_CGE!$A$3:$AN$3,0)),GDP_Simple!V15)</f>
        <v>16.559999999999999</v>
      </c>
      <c r="W17">
        <f>IF($C$3="CGE",INDEX(GDP_CGE!$A$3:$AN$21,MATCH($A17,GDP_CGE!$A$3:$A$21,0),MATCH(W$9,GDP_CGE!$A$3:$AN$3,0)),GDP_Simple!W15)</f>
        <v>16.93</v>
      </c>
      <c r="X17">
        <f>IF($C$3="CGE",INDEX(GDP_CGE!$A$3:$AN$21,MATCH($A17,GDP_CGE!$A$3:$A$21,0),MATCH(X$9,GDP_CGE!$A$3:$AN$3,0)),GDP_Simple!X15)</f>
        <v>17.34</v>
      </c>
      <c r="Y17">
        <f>IF($C$3="CGE",INDEX(GDP_CGE!$A$3:$AN$21,MATCH($A17,GDP_CGE!$A$3:$A$21,0),MATCH(Y$9,GDP_CGE!$A$3:$AN$3,0)),GDP_Simple!Y15)</f>
        <v>17.73</v>
      </c>
      <c r="Z17">
        <f>IF($C$3="CGE",INDEX(GDP_CGE!$A$3:$AN$21,MATCH($A17,GDP_CGE!$A$3:$A$21,0),MATCH(Z$9,GDP_CGE!$A$3:$AN$3,0)),GDP_Simple!Z15)</f>
        <v>18.190000000000001</v>
      </c>
      <c r="AA17">
        <f>IF($C$3="CGE",INDEX(GDP_CGE!$A$3:$AN$21,MATCH($A17,GDP_CGE!$A$3:$A$21,0),MATCH(AA$9,GDP_CGE!$A$3:$AN$3,0)),GDP_Simple!AA15)</f>
        <v>18.670000000000002</v>
      </c>
      <c r="AB17">
        <f>IF($C$3="CGE",INDEX(GDP_CGE!$A$3:$AN$21,MATCH($A17,GDP_CGE!$A$3:$A$21,0),MATCH(AB$9,GDP_CGE!$A$3:$AN$3,0)),GDP_Simple!AB15)</f>
        <v>19.14</v>
      </c>
      <c r="AC17">
        <f>IF($C$3="CGE",INDEX(GDP_CGE!$A$3:$AN$21,MATCH($A17,GDP_CGE!$A$3:$A$21,0),MATCH(AC$9,GDP_CGE!$A$3:$AN$3,0)),GDP_Simple!AC15)</f>
        <v>19.63</v>
      </c>
      <c r="AD17">
        <f>IF($C$3="CGE",INDEX(GDP_CGE!$A$3:$AN$21,MATCH($A17,GDP_CGE!$A$3:$A$21,0),MATCH(AD$9,GDP_CGE!$A$3:$AN$3,0)),GDP_Simple!AD15)</f>
        <v>20.14</v>
      </c>
      <c r="AE17">
        <f>IF($C$3="CGE",INDEX(GDP_CGE!$A$3:$AN$21,MATCH($A17,GDP_CGE!$A$3:$A$21,0),MATCH(AE$9,GDP_CGE!$A$3:$AN$3,0)),GDP_Simple!AE15)</f>
        <v>20.57</v>
      </c>
      <c r="AF17">
        <f>IF($C$3="CGE",INDEX(GDP_CGE!$A$3:$AN$21,MATCH($A17,GDP_CGE!$A$3:$A$21,0),MATCH(AF$9,GDP_CGE!$A$3:$AN$3,0)),GDP_Simple!AF15)</f>
        <v>21.03</v>
      </c>
      <c r="AG17">
        <f>IF($C$3="CGE",INDEX(GDP_CGE!$A$3:$AN$21,MATCH($A17,GDP_CGE!$A$3:$A$21,0),MATCH(AG$9,GDP_CGE!$A$3:$AN$3,0)),GDP_Simple!AG15)</f>
        <v>21.51</v>
      </c>
      <c r="AH17">
        <f>IF($C$3="CGE",INDEX(GDP_CGE!$A$3:$AN$21,MATCH($A17,GDP_CGE!$A$3:$A$21,0),MATCH(AH$9,GDP_CGE!$A$3:$AN$3,0)),GDP_Simple!AH15)</f>
        <v>22.03</v>
      </c>
      <c r="AI17">
        <f>IF($C$3="CGE",INDEX(GDP_CGE!$A$3:$AN$21,MATCH($A17,GDP_CGE!$A$3:$A$21,0),MATCH(AI$9,GDP_CGE!$A$3:$AN$3,0)),GDP_Simple!AI15)</f>
        <v>22.59</v>
      </c>
      <c r="AJ17">
        <f>IF($C$3="CGE",INDEX(GDP_CGE!$A$3:$AN$21,MATCH($A17,GDP_CGE!$A$3:$A$21,0),MATCH(AJ$9,GDP_CGE!$A$3:$AN$3,0)),GDP_Simple!AJ15)</f>
        <v>23.19</v>
      </c>
      <c r="AK17">
        <f>IF($C$3="CGE",INDEX(GDP_CGE!$A$3:$AN$21,MATCH($A17,GDP_CGE!$A$3:$A$21,0),MATCH(AK$9,GDP_CGE!$A$3:$AN$3,0)),GDP_Simple!AK15)</f>
        <v>23.82</v>
      </c>
      <c r="AL17">
        <f>IF($C$3="CGE",INDEX(GDP_CGE!$A$3:$AN$21,MATCH($A17,GDP_CGE!$A$3:$A$21,0),MATCH(AL$9,GDP_CGE!$A$3:$AN$3,0)),GDP_Simple!AL15)</f>
        <v>24.47</v>
      </c>
      <c r="AM17">
        <f>IF($C$3="CGE",INDEX(GDP_CGE!$A$3:$AN$21,MATCH($A17,GDP_CGE!$A$3:$A$21,0),MATCH(AM$9,GDP_CGE!$A$3:$AN$3,0)),GDP_Simple!AM15)</f>
        <v>25.16</v>
      </c>
      <c r="AN17">
        <f>IF($C$3="CGE",INDEX(GDP_CGE!$A$3:$AN$21,MATCH($A17,GDP_CGE!$A$3:$A$21,0),MATCH(AN$9,GDP_CGE!$A$3:$AN$3,0)),GDP_Simple!AN15)</f>
        <v>25.89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205.45</v>
      </c>
      <c r="C18">
        <f>IF($C$3="CGE",INDEX(GDP_CGE!$A$3:$AN$21,MATCH($A18,GDP_CGE!$A$3:$A$21,0),MATCH(C$9,GDP_CGE!$A$3:$AN$3,0)),GDP_Simple!C16)</f>
        <v>210.29</v>
      </c>
      <c r="D18">
        <f>IF($C$3="CGE",INDEX(GDP_CGE!$A$3:$AN$21,MATCH($A18,GDP_CGE!$A$3:$A$21,0),MATCH(D$9,GDP_CGE!$A$3:$AN$3,0)),GDP_Simple!D16)</f>
        <v>210.09</v>
      </c>
      <c r="E18">
        <f>IF($C$3="CGE",INDEX(GDP_CGE!$A$3:$AN$21,MATCH($A18,GDP_CGE!$A$3:$A$21,0),MATCH(E$9,GDP_CGE!$A$3:$AN$3,0)),GDP_Simple!E16)</f>
        <v>214.84</v>
      </c>
      <c r="F18">
        <f>IF($C$3="CGE",INDEX(GDP_CGE!$A$3:$AN$21,MATCH($A18,GDP_CGE!$A$3:$A$21,0),MATCH(F$9,GDP_CGE!$A$3:$AN$3,0)),GDP_Simple!F16)</f>
        <v>210.99</v>
      </c>
      <c r="G18">
        <f>IF($C$3="CGE",INDEX(GDP_CGE!$A$3:$AN$21,MATCH($A18,GDP_CGE!$A$3:$A$21,0),MATCH(G$9,GDP_CGE!$A$3:$AN$3,0)),GDP_Simple!G16)</f>
        <v>215.85</v>
      </c>
      <c r="H18">
        <f>IF($C$3="CGE",INDEX(GDP_CGE!$A$3:$AN$21,MATCH($A18,GDP_CGE!$A$3:$A$21,0),MATCH(H$9,GDP_CGE!$A$3:$AN$3,0)),GDP_Simple!H16)</f>
        <v>213.65</v>
      </c>
      <c r="I18">
        <f>IF($C$3="CGE",INDEX(GDP_CGE!$A$3:$AN$21,MATCH($A18,GDP_CGE!$A$3:$A$21,0),MATCH(I$9,GDP_CGE!$A$3:$AN$3,0)),GDP_Simple!I16)</f>
        <v>210.07</v>
      </c>
      <c r="J18">
        <f>IF($C$3="CGE",INDEX(GDP_CGE!$A$3:$AN$21,MATCH($A18,GDP_CGE!$A$3:$A$21,0),MATCH(J$9,GDP_CGE!$A$3:$AN$3,0)),GDP_Simple!J16)</f>
        <v>193.07</v>
      </c>
      <c r="K18">
        <f>IF($C$3="CGE",INDEX(GDP_CGE!$A$3:$AN$21,MATCH($A18,GDP_CGE!$A$3:$A$21,0),MATCH(K$9,GDP_CGE!$A$3:$AN$3,0)),GDP_Simple!K16)</f>
        <v>196.38</v>
      </c>
      <c r="L18">
        <f>IF($C$3="CGE",INDEX(GDP_CGE!$A$3:$AN$21,MATCH($A18,GDP_CGE!$A$3:$A$21,0),MATCH(L$9,GDP_CGE!$A$3:$AN$3,0)),GDP_Simple!L16)</f>
        <v>199.05</v>
      </c>
      <c r="M18">
        <f>IF($C$3="CGE",INDEX(GDP_CGE!$A$3:$AN$21,MATCH($A18,GDP_CGE!$A$3:$A$21,0),MATCH(M$9,GDP_CGE!$A$3:$AN$3,0)),GDP_Simple!M16)</f>
        <v>201.54</v>
      </c>
      <c r="N18">
        <f>IF($C$3="CGE",INDEX(GDP_CGE!$A$3:$AN$21,MATCH($A18,GDP_CGE!$A$3:$A$21,0),MATCH(N$9,GDP_CGE!$A$3:$AN$3,0)),GDP_Simple!N16)</f>
        <v>203.91</v>
      </c>
      <c r="O18">
        <f>IF($C$3="CGE",INDEX(GDP_CGE!$A$3:$AN$21,MATCH($A18,GDP_CGE!$A$3:$A$21,0),MATCH(O$9,GDP_CGE!$A$3:$AN$3,0)),GDP_Simple!O16)</f>
        <v>207.14</v>
      </c>
      <c r="P18">
        <f>IF($C$3="CGE",INDEX(GDP_CGE!$A$3:$AN$21,MATCH($A18,GDP_CGE!$A$3:$A$21,0),MATCH(P$9,GDP_CGE!$A$3:$AN$3,0)),GDP_Simple!P16)</f>
        <v>212.19</v>
      </c>
      <c r="Q18">
        <f>IF($C$3="CGE",INDEX(GDP_CGE!$A$3:$AN$21,MATCH($A18,GDP_CGE!$A$3:$A$21,0),MATCH(Q$9,GDP_CGE!$A$3:$AN$3,0)),GDP_Simple!Q16)</f>
        <v>217.65</v>
      </c>
      <c r="R18">
        <f>IF($C$3="CGE",INDEX(GDP_CGE!$A$3:$AN$21,MATCH($A18,GDP_CGE!$A$3:$A$21,0),MATCH(R$9,GDP_CGE!$A$3:$AN$3,0)),GDP_Simple!R16)</f>
        <v>223.52</v>
      </c>
      <c r="S18">
        <f>IF($C$3="CGE",INDEX(GDP_CGE!$A$3:$AN$21,MATCH($A18,GDP_CGE!$A$3:$A$21,0),MATCH(S$9,GDP_CGE!$A$3:$AN$3,0)),GDP_Simple!S16)</f>
        <v>228.69</v>
      </c>
      <c r="T18">
        <f>IF($C$3="CGE",INDEX(GDP_CGE!$A$3:$AN$21,MATCH($A18,GDP_CGE!$A$3:$A$21,0),MATCH(T$9,GDP_CGE!$A$3:$AN$3,0)),GDP_Simple!T16)</f>
        <v>234.66</v>
      </c>
      <c r="U18">
        <f>IF($C$3="CGE",INDEX(GDP_CGE!$A$3:$AN$21,MATCH($A18,GDP_CGE!$A$3:$A$21,0),MATCH(U$9,GDP_CGE!$A$3:$AN$3,0)),GDP_Simple!U16)</f>
        <v>240.3</v>
      </c>
      <c r="V18">
        <f>IF($C$3="CGE",INDEX(GDP_CGE!$A$3:$AN$21,MATCH($A18,GDP_CGE!$A$3:$A$21,0),MATCH(V$9,GDP_CGE!$A$3:$AN$3,0)),GDP_Simple!V16)</f>
        <v>245.53</v>
      </c>
      <c r="W18">
        <f>IF($C$3="CGE",INDEX(GDP_CGE!$A$3:$AN$21,MATCH($A18,GDP_CGE!$A$3:$A$21,0),MATCH(W$9,GDP_CGE!$A$3:$AN$3,0)),GDP_Simple!W16)</f>
        <v>251.1</v>
      </c>
      <c r="X18">
        <f>IF($C$3="CGE",INDEX(GDP_CGE!$A$3:$AN$21,MATCH($A18,GDP_CGE!$A$3:$A$21,0),MATCH(X$9,GDP_CGE!$A$3:$AN$3,0)),GDP_Simple!X16)</f>
        <v>256.91000000000003</v>
      </c>
      <c r="Y18">
        <f>IF($C$3="CGE",INDEX(GDP_CGE!$A$3:$AN$21,MATCH($A18,GDP_CGE!$A$3:$A$21,0),MATCH(Y$9,GDP_CGE!$A$3:$AN$3,0)),GDP_Simple!Y16)</f>
        <v>262.83</v>
      </c>
      <c r="Z18">
        <f>IF($C$3="CGE",INDEX(GDP_CGE!$A$3:$AN$21,MATCH($A18,GDP_CGE!$A$3:$A$21,0),MATCH(Z$9,GDP_CGE!$A$3:$AN$3,0)),GDP_Simple!Z16)</f>
        <v>269.37</v>
      </c>
      <c r="AA18">
        <f>IF($C$3="CGE",INDEX(GDP_CGE!$A$3:$AN$21,MATCH($A18,GDP_CGE!$A$3:$A$21,0),MATCH(AA$9,GDP_CGE!$A$3:$AN$3,0)),GDP_Simple!AA16)</f>
        <v>276.17</v>
      </c>
      <c r="AB18">
        <f>IF($C$3="CGE",INDEX(GDP_CGE!$A$3:$AN$21,MATCH($A18,GDP_CGE!$A$3:$A$21,0),MATCH(AB$9,GDP_CGE!$A$3:$AN$3,0)),GDP_Simple!AB16)</f>
        <v>282.98</v>
      </c>
      <c r="AC18">
        <f>IF($C$3="CGE",INDEX(GDP_CGE!$A$3:$AN$21,MATCH($A18,GDP_CGE!$A$3:$A$21,0),MATCH(AC$9,GDP_CGE!$A$3:$AN$3,0)),GDP_Simple!AC16)</f>
        <v>290.05</v>
      </c>
      <c r="AD18">
        <f>IF($C$3="CGE",INDEX(GDP_CGE!$A$3:$AN$21,MATCH($A18,GDP_CGE!$A$3:$A$21,0),MATCH(AD$9,GDP_CGE!$A$3:$AN$3,0)),GDP_Simple!AD16)</f>
        <v>297.62</v>
      </c>
      <c r="AE18">
        <f>IF($C$3="CGE",INDEX(GDP_CGE!$A$3:$AN$21,MATCH($A18,GDP_CGE!$A$3:$A$21,0),MATCH(AE$9,GDP_CGE!$A$3:$AN$3,0)),GDP_Simple!AE16)</f>
        <v>304.49</v>
      </c>
      <c r="AF18">
        <f>IF($C$3="CGE",INDEX(GDP_CGE!$A$3:$AN$21,MATCH($A18,GDP_CGE!$A$3:$A$21,0),MATCH(AF$9,GDP_CGE!$A$3:$AN$3,0)),GDP_Simple!AF16)</f>
        <v>311.5</v>
      </c>
      <c r="AG18">
        <f>IF($C$3="CGE",INDEX(GDP_CGE!$A$3:$AN$21,MATCH($A18,GDP_CGE!$A$3:$A$21,0),MATCH(AG$9,GDP_CGE!$A$3:$AN$3,0)),GDP_Simple!AG16)</f>
        <v>318.7</v>
      </c>
      <c r="AH18">
        <f>IF($C$3="CGE",INDEX(GDP_CGE!$A$3:$AN$21,MATCH($A18,GDP_CGE!$A$3:$A$21,0),MATCH(AH$9,GDP_CGE!$A$3:$AN$3,0)),GDP_Simple!AH16)</f>
        <v>326.24</v>
      </c>
      <c r="AI18">
        <f>IF($C$3="CGE",INDEX(GDP_CGE!$A$3:$AN$21,MATCH($A18,GDP_CGE!$A$3:$A$21,0),MATCH(AI$9,GDP_CGE!$A$3:$AN$3,0)),GDP_Simple!AI16)</f>
        <v>334.31</v>
      </c>
      <c r="AJ18">
        <f>IF($C$3="CGE",INDEX(GDP_CGE!$A$3:$AN$21,MATCH($A18,GDP_CGE!$A$3:$A$21,0),MATCH(AJ$9,GDP_CGE!$A$3:$AN$3,0)),GDP_Simple!AJ16)</f>
        <v>342.67</v>
      </c>
      <c r="AK18">
        <f>IF($C$3="CGE",INDEX(GDP_CGE!$A$3:$AN$21,MATCH($A18,GDP_CGE!$A$3:$A$21,0),MATCH(AK$9,GDP_CGE!$A$3:$AN$3,0)),GDP_Simple!AK16)</f>
        <v>351.49</v>
      </c>
      <c r="AL18">
        <f>IF($C$3="CGE",INDEX(GDP_CGE!$A$3:$AN$21,MATCH($A18,GDP_CGE!$A$3:$A$21,0),MATCH(AL$9,GDP_CGE!$A$3:$AN$3,0)),GDP_Simple!AL16)</f>
        <v>360.41</v>
      </c>
      <c r="AM18">
        <f>IF($C$3="CGE",INDEX(GDP_CGE!$A$3:$AN$21,MATCH($A18,GDP_CGE!$A$3:$A$21,0),MATCH(AM$9,GDP_CGE!$A$3:$AN$3,0)),GDP_Simple!AM16)</f>
        <v>369.89</v>
      </c>
      <c r="AN18">
        <f>IF($C$3="CGE",INDEX(GDP_CGE!$A$3:$AN$21,MATCH($A18,GDP_CGE!$A$3:$A$21,0),MATCH(AN$9,GDP_CGE!$A$3:$AN$3,0)),GDP_Simple!AN16)</f>
        <v>380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</v>
      </c>
      <c r="C19">
        <f>IF($C$3="CGE",INDEX(GDP_CGE!$A$3:$AN$21,MATCH($A19,GDP_CGE!$A$3:$A$21,0),MATCH(C$9,GDP_CGE!$A$3:$AN$3,0)),GDP_Simple!C17)</f>
        <v>8.43</v>
      </c>
      <c r="D19">
        <f>IF($C$3="CGE",INDEX(GDP_CGE!$A$3:$AN$21,MATCH($A19,GDP_CGE!$A$3:$A$21,0),MATCH(D$9,GDP_CGE!$A$3:$AN$3,0)),GDP_Simple!D17)</f>
        <v>7.26</v>
      </c>
      <c r="E19">
        <f>IF($C$3="CGE",INDEX(GDP_CGE!$A$3:$AN$21,MATCH($A19,GDP_CGE!$A$3:$A$21,0),MATCH(E$9,GDP_CGE!$A$3:$AN$3,0)),GDP_Simple!E17)</f>
        <v>6.85</v>
      </c>
      <c r="F19">
        <f>IF($C$3="CGE",INDEX(GDP_CGE!$A$3:$AN$21,MATCH($A19,GDP_CGE!$A$3:$A$21,0),MATCH(F$9,GDP_CGE!$A$3:$AN$3,0)),GDP_Simple!F17)</f>
        <v>6.43</v>
      </c>
      <c r="G19">
        <f>IF($C$3="CGE",INDEX(GDP_CGE!$A$3:$AN$21,MATCH($A19,GDP_CGE!$A$3:$A$21,0),MATCH(G$9,GDP_CGE!$A$3:$AN$3,0)),GDP_Simple!G17)</f>
        <v>5.96</v>
      </c>
      <c r="H19">
        <f>IF($C$3="CGE",INDEX(GDP_CGE!$A$3:$AN$21,MATCH($A19,GDP_CGE!$A$3:$A$21,0),MATCH(H$9,GDP_CGE!$A$3:$AN$3,0)),GDP_Simple!H17)</f>
        <v>5.84</v>
      </c>
      <c r="I19">
        <f>IF($C$3="CGE",INDEX(GDP_CGE!$A$3:$AN$21,MATCH($A19,GDP_CGE!$A$3:$A$21,0),MATCH(I$9,GDP_CGE!$A$3:$AN$3,0)),GDP_Simple!I17)</f>
        <v>5.52</v>
      </c>
      <c r="J19">
        <f>IF($C$3="CGE",INDEX(GDP_CGE!$A$3:$AN$21,MATCH($A19,GDP_CGE!$A$3:$A$21,0),MATCH(J$9,GDP_CGE!$A$3:$AN$3,0)),GDP_Simple!J17)</f>
        <v>4.53</v>
      </c>
      <c r="K19">
        <f>IF($C$3="CGE",INDEX(GDP_CGE!$A$3:$AN$21,MATCH($A19,GDP_CGE!$A$3:$A$21,0),MATCH(K$9,GDP_CGE!$A$3:$AN$3,0)),GDP_Simple!K17)</f>
        <v>4.6900000000000004</v>
      </c>
      <c r="L19">
        <f>IF($C$3="CGE",INDEX(GDP_CGE!$A$3:$AN$21,MATCH($A19,GDP_CGE!$A$3:$A$21,0),MATCH(L$9,GDP_CGE!$A$3:$AN$3,0)),GDP_Simple!L17)</f>
        <v>4.71</v>
      </c>
      <c r="M19">
        <f>IF($C$3="CGE",INDEX(GDP_CGE!$A$3:$AN$21,MATCH($A19,GDP_CGE!$A$3:$A$21,0),MATCH(M$9,GDP_CGE!$A$3:$AN$3,0)),GDP_Simple!M17)</f>
        <v>4.74</v>
      </c>
      <c r="N19">
        <f>IF($C$3="CGE",INDEX(GDP_CGE!$A$3:$AN$21,MATCH($A19,GDP_CGE!$A$3:$A$21,0),MATCH(N$9,GDP_CGE!$A$3:$AN$3,0)),GDP_Simple!N17)</f>
        <v>4.7699999999999996</v>
      </c>
      <c r="O19">
        <f>IF($C$3="CGE",INDEX(GDP_CGE!$A$3:$AN$21,MATCH($A19,GDP_CGE!$A$3:$A$21,0),MATCH(O$9,GDP_CGE!$A$3:$AN$3,0)),GDP_Simple!O17)</f>
        <v>4.84</v>
      </c>
      <c r="P19">
        <f>IF($C$3="CGE",INDEX(GDP_CGE!$A$3:$AN$21,MATCH($A19,GDP_CGE!$A$3:$A$21,0),MATCH(P$9,GDP_CGE!$A$3:$AN$3,0)),GDP_Simple!P17)</f>
        <v>5.01</v>
      </c>
      <c r="Q19">
        <f>IF($C$3="CGE",INDEX(GDP_CGE!$A$3:$AN$21,MATCH($A19,GDP_CGE!$A$3:$A$21,0),MATCH(Q$9,GDP_CGE!$A$3:$AN$3,0)),GDP_Simple!Q17)</f>
        <v>5.21</v>
      </c>
      <c r="R19">
        <f>IF($C$3="CGE",INDEX(GDP_CGE!$A$3:$AN$21,MATCH($A19,GDP_CGE!$A$3:$A$21,0),MATCH(R$9,GDP_CGE!$A$3:$AN$3,0)),GDP_Simple!R17)</f>
        <v>5.45</v>
      </c>
      <c r="S19">
        <f>IF($C$3="CGE",INDEX(GDP_CGE!$A$3:$AN$21,MATCH($A19,GDP_CGE!$A$3:$A$21,0),MATCH(S$9,GDP_CGE!$A$3:$AN$3,0)),GDP_Simple!S17)</f>
        <v>5.64</v>
      </c>
      <c r="T19">
        <f>IF($C$3="CGE",INDEX(GDP_CGE!$A$3:$AN$21,MATCH($A19,GDP_CGE!$A$3:$A$21,0),MATCH(T$9,GDP_CGE!$A$3:$AN$3,0)),GDP_Simple!T17)</f>
        <v>5.88</v>
      </c>
      <c r="U19">
        <f>IF($C$3="CGE",INDEX(GDP_CGE!$A$3:$AN$21,MATCH($A19,GDP_CGE!$A$3:$A$21,0),MATCH(U$9,GDP_CGE!$A$3:$AN$3,0)),GDP_Simple!U17)</f>
        <v>6.08</v>
      </c>
      <c r="V19">
        <f>IF($C$3="CGE",INDEX(GDP_CGE!$A$3:$AN$21,MATCH($A19,GDP_CGE!$A$3:$A$21,0),MATCH(V$9,GDP_CGE!$A$3:$AN$3,0)),GDP_Simple!V17)</f>
        <v>6.21</v>
      </c>
      <c r="W19">
        <f>IF($C$3="CGE",INDEX(GDP_CGE!$A$3:$AN$21,MATCH($A19,GDP_CGE!$A$3:$A$21,0),MATCH(W$9,GDP_CGE!$A$3:$AN$3,0)),GDP_Simple!W17)</f>
        <v>6.36</v>
      </c>
      <c r="X19">
        <f>IF($C$3="CGE",INDEX(GDP_CGE!$A$3:$AN$21,MATCH($A19,GDP_CGE!$A$3:$A$21,0),MATCH(X$9,GDP_CGE!$A$3:$AN$3,0)),GDP_Simple!X17)</f>
        <v>6.52</v>
      </c>
      <c r="Y19">
        <f>IF($C$3="CGE",INDEX(GDP_CGE!$A$3:$AN$21,MATCH($A19,GDP_CGE!$A$3:$A$21,0),MATCH(Y$9,GDP_CGE!$A$3:$AN$3,0)),GDP_Simple!Y17)</f>
        <v>6.66</v>
      </c>
      <c r="Z19">
        <f>IF($C$3="CGE",INDEX(GDP_CGE!$A$3:$AN$21,MATCH($A19,GDP_CGE!$A$3:$A$21,0),MATCH(Z$9,GDP_CGE!$A$3:$AN$3,0)),GDP_Simple!Z17)</f>
        <v>6.83</v>
      </c>
      <c r="AA19">
        <f>IF($C$3="CGE",INDEX(GDP_CGE!$A$3:$AN$21,MATCH($A19,GDP_CGE!$A$3:$A$21,0),MATCH(AA$9,GDP_CGE!$A$3:$AN$3,0)),GDP_Simple!AA17)</f>
        <v>7</v>
      </c>
      <c r="AB19">
        <f>IF($C$3="CGE",INDEX(GDP_CGE!$A$3:$AN$21,MATCH($A19,GDP_CGE!$A$3:$A$21,0),MATCH(AB$9,GDP_CGE!$A$3:$AN$3,0)),GDP_Simple!AB17)</f>
        <v>7.17</v>
      </c>
      <c r="AC19">
        <f>IF($C$3="CGE",INDEX(GDP_CGE!$A$3:$AN$21,MATCH($A19,GDP_CGE!$A$3:$A$21,0),MATCH(AC$9,GDP_CGE!$A$3:$AN$3,0)),GDP_Simple!AC17)</f>
        <v>7.34</v>
      </c>
      <c r="AD19">
        <f>IF($C$3="CGE",INDEX(GDP_CGE!$A$3:$AN$21,MATCH($A19,GDP_CGE!$A$3:$A$21,0),MATCH(AD$9,GDP_CGE!$A$3:$AN$3,0)),GDP_Simple!AD17)</f>
        <v>7.52</v>
      </c>
      <c r="AE19">
        <f>IF($C$3="CGE",INDEX(GDP_CGE!$A$3:$AN$21,MATCH($A19,GDP_CGE!$A$3:$A$21,0),MATCH(AE$9,GDP_CGE!$A$3:$AN$3,0)),GDP_Simple!AE17)</f>
        <v>7.63</v>
      </c>
      <c r="AF19">
        <f>IF($C$3="CGE",INDEX(GDP_CGE!$A$3:$AN$21,MATCH($A19,GDP_CGE!$A$3:$A$21,0),MATCH(AF$9,GDP_CGE!$A$3:$AN$3,0)),GDP_Simple!AF17)</f>
        <v>7.74</v>
      </c>
      <c r="AG19">
        <f>IF($C$3="CGE",INDEX(GDP_CGE!$A$3:$AN$21,MATCH($A19,GDP_CGE!$A$3:$A$21,0),MATCH(AG$9,GDP_CGE!$A$3:$AN$3,0)),GDP_Simple!AG17)</f>
        <v>7.85</v>
      </c>
      <c r="AH19">
        <f>IF($C$3="CGE",INDEX(GDP_CGE!$A$3:$AN$21,MATCH($A19,GDP_CGE!$A$3:$A$21,0),MATCH(AH$9,GDP_CGE!$A$3:$AN$3,0)),GDP_Simple!AH17)</f>
        <v>7.96</v>
      </c>
      <c r="AI19">
        <f>IF($C$3="CGE",INDEX(GDP_CGE!$A$3:$AN$21,MATCH($A19,GDP_CGE!$A$3:$A$21,0),MATCH(AI$9,GDP_CGE!$A$3:$AN$3,0)),GDP_Simple!AI17)</f>
        <v>8.08</v>
      </c>
      <c r="AJ19">
        <f>IF($C$3="CGE",INDEX(GDP_CGE!$A$3:$AN$21,MATCH($A19,GDP_CGE!$A$3:$A$21,0),MATCH(AJ$9,GDP_CGE!$A$3:$AN$3,0)),GDP_Simple!AJ17)</f>
        <v>8.2100000000000009</v>
      </c>
      <c r="AK19">
        <f>IF($C$3="CGE",INDEX(GDP_CGE!$A$3:$AN$21,MATCH($A19,GDP_CGE!$A$3:$A$21,0),MATCH(AK$9,GDP_CGE!$A$3:$AN$3,0)),GDP_Simple!AK17)</f>
        <v>8.35</v>
      </c>
      <c r="AL19">
        <f>IF($C$3="CGE",INDEX(GDP_CGE!$A$3:$AN$21,MATCH($A19,GDP_CGE!$A$3:$A$21,0),MATCH(AL$9,GDP_CGE!$A$3:$AN$3,0)),GDP_Simple!AL17)</f>
        <v>8.49</v>
      </c>
      <c r="AM19">
        <f>IF($C$3="CGE",INDEX(GDP_CGE!$A$3:$AN$21,MATCH($A19,GDP_CGE!$A$3:$A$21,0),MATCH(AM$9,GDP_CGE!$A$3:$AN$3,0)),GDP_Simple!AM17)</f>
        <v>8.65</v>
      </c>
      <c r="AN19">
        <f>IF($C$3="CGE",INDEX(GDP_CGE!$A$3:$AN$21,MATCH($A19,GDP_CGE!$A$3:$A$21,0),MATCH(AN$9,GDP_CGE!$A$3:$AN$3,0)),GDP_Simple!AN17)</f>
        <v>8.82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</v>
      </c>
      <c r="C20">
        <f>IF($C$3="CGE",INDEX(GDP_CGE!$A$3:$AN$21,MATCH($A20,GDP_CGE!$A$3:$A$21,0),MATCH(C$9,GDP_CGE!$A$3:$AN$3,0)),GDP_Simple!C18)</f>
        <v>14.52</v>
      </c>
      <c r="D20">
        <f>IF($C$3="CGE",INDEX(GDP_CGE!$A$3:$AN$21,MATCH($A20,GDP_CGE!$A$3:$A$21,0),MATCH(D$9,GDP_CGE!$A$3:$AN$3,0)),GDP_Simple!D18)</f>
        <v>14.79</v>
      </c>
      <c r="E20">
        <f>IF($C$3="CGE",INDEX(GDP_CGE!$A$3:$AN$21,MATCH($A20,GDP_CGE!$A$3:$A$21,0),MATCH(E$9,GDP_CGE!$A$3:$AN$3,0)),GDP_Simple!E18)</f>
        <v>15.03</v>
      </c>
      <c r="F20">
        <f>IF($C$3="CGE",INDEX(GDP_CGE!$A$3:$AN$21,MATCH($A20,GDP_CGE!$A$3:$A$21,0),MATCH(F$9,GDP_CGE!$A$3:$AN$3,0)),GDP_Simple!F18)</f>
        <v>15.21</v>
      </c>
      <c r="G20">
        <f>IF($C$3="CGE",INDEX(GDP_CGE!$A$3:$AN$21,MATCH($A20,GDP_CGE!$A$3:$A$21,0),MATCH(G$9,GDP_CGE!$A$3:$AN$3,0)),GDP_Simple!G18)</f>
        <v>15.35</v>
      </c>
      <c r="H20">
        <f>IF($C$3="CGE",INDEX(GDP_CGE!$A$3:$AN$21,MATCH($A20,GDP_CGE!$A$3:$A$21,0),MATCH(H$9,GDP_CGE!$A$3:$AN$3,0)),GDP_Simple!H18)</f>
        <v>15.51</v>
      </c>
      <c r="I20">
        <f>IF($C$3="CGE",INDEX(GDP_CGE!$A$3:$AN$21,MATCH($A20,GDP_CGE!$A$3:$A$21,0),MATCH(I$9,GDP_CGE!$A$3:$AN$3,0)),GDP_Simple!I18)</f>
        <v>15.54</v>
      </c>
      <c r="J20">
        <f>IF($C$3="CGE",INDEX(GDP_CGE!$A$3:$AN$21,MATCH($A20,GDP_CGE!$A$3:$A$21,0),MATCH(J$9,GDP_CGE!$A$3:$AN$3,0)),GDP_Simple!J18)</f>
        <v>14.21</v>
      </c>
      <c r="K20">
        <f>IF($C$3="CGE",INDEX(GDP_CGE!$A$3:$AN$21,MATCH($A20,GDP_CGE!$A$3:$A$21,0),MATCH(K$9,GDP_CGE!$A$3:$AN$3,0)),GDP_Simple!K18)</f>
        <v>14.6</v>
      </c>
      <c r="L20">
        <f>IF($C$3="CGE",INDEX(GDP_CGE!$A$3:$AN$21,MATCH($A20,GDP_CGE!$A$3:$A$21,0),MATCH(L$9,GDP_CGE!$A$3:$AN$3,0)),GDP_Simple!L18)</f>
        <v>14.95</v>
      </c>
      <c r="M20">
        <f>IF($C$3="CGE",INDEX(GDP_CGE!$A$3:$AN$21,MATCH($A20,GDP_CGE!$A$3:$A$21,0),MATCH(M$9,GDP_CGE!$A$3:$AN$3,0)),GDP_Simple!M18)</f>
        <v>15.3</v>
      </c>
      <c r="N20">
        <f>IF($C$3="CGE",INDEX(GDP_CGE!$A$3:$AN$21,MATCH($A20,GDP_CGE!$A$3:$A$21,0),MATCH(N$9,GDP_CGE!$A$3:$AN$3,0)),GDP_Simple!N18)</f>
        <v>15.64</v>
      </c>
      <c r="O20">
        <f>IF($C$3="CGE",INDEX(GDP_CGE!$A$3:$AN$21,MATCH($A20,GDP_CGE!$A$3:$A$21,0),MATCH(O$9,GDP_CGE!$A$3:$AN$3,0)),GDP_Simple!O18)</f>
        <v>16</v>
      </c>
      <c r="P20">
        <f>IF($C$3="CGE",INDEX(GDP_CGE!$A$3:$AN$21,MATCH($A20,GDP_CGE!$A$3:$A$21,0),MATCH(P$9,GDP_CGE!$A$3:$AN$3,0)),GDP_Simple!P18)</f>
        <v>16.440000000000001</v>
      </c>
      <c r="Q20">
        <f>IF($C$3="CGE",INDEX(GDP_CGE!$A$3:$AN$21,MATCH($A20,GDP_CGE!$A$3:$A$21,0),MATCH(Q$9,GDP_CGE!$A$3:$AN$3,0)),GDP_Simple!Q18)</f>
        <v>16.88</v>
      </c>
      <c r="R20">
        <f>IF($C$3="CGE",INDEX(GDP_CGE!$A$3:$AN$21,MATCH($A20,GDP_CGE!$A$3:$A$21,0),MATCH(R$9,GDP_CGE!$A$3:$AN$3,0)),GDP_Simple!R18)</f>
        <v>17.34</v>
      </c>
      <c r="S20">
        <f>IF($C$3="CGE",INDEX(GDP_CGE!$A$3:$AN$21,MATCH($A20,GDP_CGE!$A$3:$A$21,0),MATCH(S$9,GDP_CGE!$A$3:$AN$3,0)),GDP_Simple!S18)</f>
        <v>17.8</v>
      </c>
      <c r="T20">
        <f>IF($C$3="CGE",INDEX(GDP_CGE!$A$3:$AN$21,MATCH($A20,GDP_CGE!$A$3:$A$21,0),MATCH(T$9,GDP_CGE!$A$3:$AN$3,0)),GDP_Simple!T18)</f>
        <v>18.27</v>
      </c>
      <c r="U20">
        <f>IF($C$3="CGE",INDEX(GDP_CGE!$A$3:$AN$21,MATCH($A20,GDP_CGE!$A$3:$A$21,0),MATCH(U$9,GDP_CGE!$A$3:$AN$3,0)),GDP_Simple!U18)</f>
        <v>18.809999999999999</v>
      </c>
      <c r="V20">
        <f>IF($C$3="CGE",INDEX(GDP_CGE!$A$3:$AN$21,MATCH($A20,GDP_CGE!$A$3:$A$21,0),MATCH(V$9,GDP_CGE!$A$3:$AN$3,0)),GDP_Simple!V18)</f>
        <v>19.32</v>
      </c>
      <c r="W20">
        <f>IF($C$3="CGE",INDEX(GDP_CGE!$A$3:$AN$21,MATCH($A20,GDP_CGE!$A$3:$A$21,0),MATCH(W$9,GDP_CGE!$A$3:$AN$3,0)),GDP_Simple!W18)</f>
        <v>19.88</v>
      </c>
      <c r="X20">
        <f>IF($C$3="CGE",INDEX(GDP_CGE!$A$3:$AN$21,MATCH($A20,GDP_CGE!$A$3:$A$21,0),MATCH(X$9,GDP_CGE!$A$3:$AN$3,0)),GDP_Simple!X18)</f>
        <v>20.49</v>
      </c>
      <c r="Y20">
        <f>IF($C$3="CGE",INDEX(GDP_CGE!$A$3:$AN$21,MATCH($A20,GDP_CGE!$A$3:$A$21,0),MATCH(Y$9,GDP_CGE!$A$3:$AN$3,0)),GDP_Simple!Y18)</f>
        <v>21.14</v>
      </c>
      <c r="Z20">
        <f>IF($C$3="CGE",INDEX(GDP_CGE!$A$3:$AN$21,MATCH($A20,GDP_CGE!$A$3:$A$21,0),MATCH(Z$9,GDP_CGE!$A$3:$AN$3,0)),GDP_Simple!Z18)</f>
        <v>21.81</v>
      </c>
      <c r="AA20">
        <f>IF($C$3="CGE",INDEX(GDP_CGE!$A$3:$AN$21,MATCH($A20,GDP_CGE!$A$3:$A$21,0),MATCH(AA$9,GDP_CGE!$A$3:$AN$3,0)),GDP_Simple!AA18)</f>
        <v>22.5</v>
      </c>
      <c r="AB20">
        <f>IF($C$3="CGE",INDEX(GDP_CGE!$A$3:$AN$21,MATCH($A20,GDP_CGE!$A$3:$A$21,0),MATCH(AB$9,GDP_CGE!$A$3:$AN$3,0)),GDP_Simple!AB18)</f>
        <v>23.19</v>
      </c>
      <c r="AC20">
        <f>IF($C$3="CGE",INDEX(GDP_CGE!$A$3:$AN$21,MATCH($A20,GDP_CGE!$A$3:$A$21,0),MATCH(AC$9,GDP_CGE!$A$3:$AN$3,0)),GDP_Simple!AC18)</f>
        <v>23.92</v>
      </c>
      <c r="AD20">
        <f>IF($C$3="CGE",INDEX(GDP_CGE!$A$3:$AN$21,MATCH($A20,GDP_CGE!$A$3:$A$21,0),MATCH(AD$9,GDP_CGE!$A$3:$AN$3,0)),GDP_Simple!AD18)</f>
        <v>24.68</v>
      </c>
      <c r="AE20">
        <f>IF($C$3="CGE",INDEX(GDP_CGE!$A$3:$AN$21,MATCH($A20,GDP_CGE!$A$3:$A$21,0),MATCH(AE$9,GDP_CGE!$A$3:$AN$3,0)),GDP_Simple!AE18)</f>
        <v>25.46</v>
      </c>
      <c r="AF20">
        <f>IF($C$3="CGE",INDEX(GDP_CGE!$A$3:$AN$21,MATCH($A20,GDP_CGE!$A$3:$A$21,0),MATCH(AF$9,GDP_CGE!$A$3:$AN$3,0)),GDP_Simple!AF18)</f>
        <v>26.29</v>
      </c>
      <c r="AG20">
        <f>IF($C$3="CGE",INDEX(GDP_CGE!$A$3:$AN$21,MATCH($A20,GDP_CGE!$A$3:$A$21,0),MATCH(AG$9,GDP_CGE!$A$3:$AN$3,0)),GDP_Simple!AG18)</f>
        <v>27.15</v>
      </c>
      <c r="AH20">
        <f>IF($C$3="CGE",INDEX(GDP_CGE!$A$3:$AN$21,MATCH($A20,GDP_CGE!$A$3:$A$21,0),MATCH(AH$9,GDP_CGE!$A$3:$AN$3,0)),GDP_Simple!AH18)</f>
        <v>28.04</v>
      </c>
      <c r="AI20">
        <f>IF($C$3="CGE",INDEX(GDP_CGE!$A$3:$AN$21,MATCH($A20,GDP_CGE!$A$3:$A$21,0),MATCH(AI$9,GDP_CGE!$A$3:$AN$3,0)),GDP_Simple!AI18)</f>
        <v>28.99</v>
      </c>
      <c r="AJ20">
        <f>IF($C$3="CGE",INDEX(GDP_CGE!$A$3:$AN$21,MATCH($A20,GDP_CGE!$A$3:$A$21,0),MATCH(AJ$9,GDP_CGE!$A$3:$AN$3,0)),GDP_Simple!AJ18)</f>
        <v>30</v>
      </c>
      <c r="AK20">
        <f>IF($C$3="CGE",INDEX(GDP_CGE!$A$3:$AN$21,MATCH($A20,GDP_CGE!$A$3:$A$21,0),MATCH(AK$9,GDP_CGE!$A$3:$AN$3,0)),GDP_Simple!AK18)</f>
        <v>31.06</v>
      </c>
      <c r="AL20">
        <f>IF($C$3="CGE",INDEX(GDP_CGE!$A$3:$AN$21,MATCH($A20,GDP_CGE!$A$3:$A$21,0),MATCH(AL$9,GDP_CGE!$A$3:$AN$3,0)),GDP_Simple!AL18)</f>
        <v>32.130000000000003</v>
      </c>
      <c r="AM20">
        <f>IF($C$3="CGE",INDEX(GDP_CGE!$A$3:$AN$21,MATCH($A20,GDP_CGE!$A$3:$A$21,0),MATCH(AM$9,GDP_CGE!$A$3:$AN$3,0)),GDP_Simple!AM18)</f>
        <v>33.26</v>
      </c>
      <c r="AN20">
        <f>IF($C$3="CGE",INDEX(GDP_CGE!$A$3:$AN$21,MATCH($A20,GDP_CGE!$A$3:$A$21,0),MATCH(AN$9,GDP_CGE!$A$3:$AN$3,0)),GDP_Simple!AN18)</f>
        <v>34.44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235.5</v>
      </c>
      <c r="C21">
        <f>IF($C$3="CGE",INDEX(GDP_CGE!$A$3:$AN$21,MATCH($A21,GDP_CGE!$A$3:$A$21,0),MATCH(C$9,GDP_CGE!$A$3:$AN$3,0)),GDP_Simple!C19)</f>
        <v>241.63</v>
      </c>
      <c r="D21">
        <f>IF($C$3="CGE",INDEX(GDP_CGE!$A$3:$AN$21,MATCH($A21,GDP_CGE!$A$3:$A$21,0),MATCH(D$9,GDP_CGE!$A$3:$AN$3,0)),GDP_Simple!D19)</f>
        <v>245.65</v>
      </c>
      <c r="E21">
        <f>IF($C$3="CGE",INDEX(GDP_CGE!$A$3:$AN$21,MATCH($A21,GDP_CGE!$A$3:$A$21,0),MATCH(E$9,GDP_CGE!$A$3:$AN$3,0)),GDP_Simple!E19)</f>
        <v>248.47</v>
      </c>
      <c r="F21">
        <f>IF($C$3="CGE",INDEX(GDP_CGE!$A$3:$AN$21,MATCH($A21,GDP_CGE!$A$3:$A$21,0),MATCH(F$9,GDP_CGE!$A$3:$AN$3,0)),GDP_Simple!F19)</f>
        <v>251.07</v>
      </c>
      <c r="G21">
        <f>IF($C$3="CGE",INDEX(GDP_CGE!$A$3:$AN$21,MATCH($A21,GDP_CGE!$A$3:$A$21,0),MATCH(G$9,GDP_CGE!$A$3:$AN$3,0)),GDP_Simple!G19)</f>
        <v>252.54</v>
      </c>
      <c r="H21">
        <f>IF($C$3="CGE",INDEX(GDP_CGE!$A$3:$AN$21,MATCH($A21,GDP_CGE!$A$3:$A$21,0),MATCH(H$9,GDP_CGE!$A$3:$AN$3,0)),GDP_Simple!H19)</f>
        <v>254.74</v>
      </c>
      <c r="I21">
        <f>IF($C$3="CGE",INDEX(GDP_CGE!$A$3:$AN$21,MATCH($A21,GDP_CGE!$A$3:$A$21,0),MATCH(I$9,GDP_CGE!$A$3:$AN$3,0)),GDP_Simple!I19)</f>
        <v>254.67</v>
      </c>
      <c r="J21">
        <f>IF($C$3="CGE",INDEX(GDP_CGE!$A$3:$AN$21,MATCH($A21,GDP_CGE!$A$3:$A$21,0),MATCH(J$9,GDP_CGE!$A$3:$AN$3,0)),GDP_Simple!J19)</f>
        <v>230.24</v>
      </c>
      <c r="K21">
        <f>IF($C$3="CGE",INDEX(GDP_CGE!$A$3:$AN$21,MATCH($A21,GDP_CGE!$A$3:$A$21,0),MATCH(K$9,GDP_CGE!$A$3:$AN$3,0)),GDP_Simple!K19)</f>
        <v>236.69</v>
      </c>
      <c r="L21">
        <f>IF($C$3="CGE",INDEX(GDP_CGE!$A$3:$AN$21,MATCH($A21,GDP_CGE!$A$3:$A$21,0),MATCH(L$9,GDP_CGE!$A$3:$AN$3,0)),GDP_Simple!L19)</f>
        <v>242.59</v>
      </c>
      <c r="M21">
        <f>IF($C$3="CGE",INDEX(GDP_CGE!$A$3:$AN$21,MATCH($A21,GDP_CGE!$A$3:$A$21,0),MATCH(M$9,GDP_CGE!$A$3:$AN$3,0)),GDP_Simple!M19)</f>
        <v>248.33</v>
      </c>
      <c r="N21">
        <f>IF($C$3="CGE",INDEX(GDP_CGE!$A$3:$AN$21,MATCH($A21,GDP_CGE!$A$3:$A$21,0),MATCH(N$9,GDP_CGE!$A$3:$AN$3,0)),GDP_Simple!N19)</f>
        <v>253.83</v>
      </c>
      <c r="O21">
        <f>IF($C$3="CGE",INDEX(GDP_CGE!$A$3:$AN$21,MATCH($A21,GDP_CGE!$A$3:$A$21,0),MATCH(O$9,GDP_CGE!$A$3:$AN$3,0)),GDP_Simple!O19)</f>
        <v>259.61</v>
      </c>
      <c r="P21">
        <f>IF($C$3="CGE",INDEX(GDP_CGE!$A$3:$AN$21,MATCH($A21,GDP_CGE!$A$3:$A$21,0),MATCH(P$9,GDP_CGE!$A$3:$AN$3,0)),GDP_Simple!P19)</f>
        <v>266.92</v>
      </c>
      <c r="Q21">
        <f>IF($C$3="CGE",INDEX(GDP_CGE!$A$3:$AN$21,MATCH($A21,GDP_CGE!$A$3:$A$21,0),MATCH(Q$9,GDP_CGE!$A$3:$AN$3,0)),GDP_Simple!Q19)</f>
        <v>274.13</v>
      </c>
      <c r="R21">
        <f>IF($C$3="CGE",INDEX(GDP_CGE!$A$3:$AN$21,MATCH($A21,GDP_CGE!$A$3:$A$21,0),MATCH(R$9,GDP_CGE!$A$3:$AN$3,0)),GDP_Simple!R19)</f>
        <v>281.63</v>
      </c>
      <c r="S21">
        <f>IF($C$3="CGE",INDEX(GDP_CGE!$A$3:$AN$21,MATCH($A21,GDP_CGE!$A$3:$A$21,0),MATCH(S$9,GDP_CGE!$A$3:$AN$3,0)),GDP_Simple!S19)</f>
        <v>289.23</v>
      </c>
      <c r="T21">
        <f>IF($C$3="CGE",INDEX(GDP_CGE!$A$3:$AN$21,MATCH($A21,GDP_CGE!$A$3:$A$21,0),MATCH(T$9,GDP_CGE!$A$3:$AN$3,0)),GDP_Simple!T19)</f>
        <v>297.02</v>
      </c>
      <c r="U21">
        <f>IF($C$3="CGE",INDEX(GDP_CGE!$A$3:$AN$21,MATCH($A21,GDP_CGE!$A$3:$A$21,0),MATCH(U$9,GDP_CGE!$A$3:$AN$3,0)),GDP_Simple!U19)</f>
        <v>305.64</v>
      </c>
      <c r="V21">
        <f>IF($C$3="CGE",INDEX(GDP_CGE!$A$3:$AN$21,MATCH($A21,GDP_CGE!$A$3:$A$21,0),MATCH(V$9,GDP_CGE!$A$3:$AN$3,0)),GDP_Simple!V19)</f>
        <v>313.91000000000003</v>
      </c>
      <c r="W21">
        <f>IF($C$3="CGE",INDEX(GDP_CGE!$A$3:$AN$21,MATCH($A21,GDP_CGE!$A$3:$A$21,0),MATCH(W$9,GDP_CGE!$A$3:$AN$3,0)),GDP_Simple!W19)</f>
        <v>323.06</v>
      </c>
      <c r="X21">
        <f>IF($C$3="CGE",INDEX(GDP_CGE!$A$3:$AN$21,MATCH($A21,GDP_CGE!$A$3:$A$21,0),MATCH(X$9,GDP_CGE!$A$3:$AN$3,0)),GDP_Simple!X19)</f>
        <v>332.87</v>
      </c>
      <c r="Y21">
        <f>IF($C$3="CGE",INDEX(GDP_CGE!$A$3:$AN$21,MATCH($A21,GDP_CGE!$A$3:$A$21,0),MATCH(Y$9,GDP_CGE!$A$3:$AN$3,0)),GDP_Simple!Y19)</f>
        <v>343.27</v>
      </c>
      <c r="Z21">
        <f>IF($C$3="CGE",INDEX(GDP_CGE!$A$3:$AN$21,MATCH($A21,GDP_CGE!$A$3:$A$21,0),MATCH(Z$9,GDP_CGE!$A$3:$AN$3,0)),GDP_Simple!Z19)</f>
        <v>354.09</v>
      </c>
      <c r="AA21">
        <f>IF($C$3="CGE",INDEX(GDP_CGE!$A$3:$AN$21,MATCH($A21,GDP_CGE!$A$3:$A$21,0),MATCH(AA$9,GDP_CGE!$A$3:$AN$3,0)),GDP_Simple!AA19)</f>
        <v>365.3</v>
      </c>
      <c r="AB21">
        <f>IF($C$3="CGE",INDEX(GDP_CGE!$A$3:$AN$21,MATCH($A21,GDP_CGE!$A$3:$A$21,0),MATCH(AB$9,GDP_CGE!$A$3:$AN$3,0)),GDP_Simple!AB19)</f>
        <v>376.62</v>
      </c>
      <c r="AC21">
        <f>IF($C$3="CGE",INDEX(GDP_CGE!$A$3:$AN$21,MATCH($A21,GDP_CGE!$A$3:$A$21,0),MATCH(AC$9,GDP_CGE!$A$3:$AN$3,0)),GDP_Simple!AC19)</f>
        <v>388.36</v>
      </c>
      <c r="AD21">
        <f>IF($C$3="CGE",INDEX(GDP_CGE!$A$3:$AN$21,MATCH($A21,GDP_CGE!$A$3:$A$21,0),MATCH(AD$9,GDP_CGE!$A$3:$AN$3,0)),GDP_Simple!AD19)</f>
        <v>400.79</v>
      </c>
      <c r="AE21">
        <f>IF($C$3="CGE",INDEX(GDP_CGE!$A$3:$AN$21,MATCH($A21,GDP_CGE!$A$3:$A$21,0),MATCH(AE$9,GDP_CGE!$A$3:$AN$3,0)),GDP_Simple!AE19)</f>
        <v>413.32</v>
      </c>
      <c r="AF21">
        <f>IF($C$3="CGE",INDEX(GDP_CGE!$A$3:$AN$21,MATCH($A21,GDP_CGE!$A$3:$A$21,0),MATCH(AF$9,GDP_CGE!$A$3:$AN$3,0)),GDP_Simple!AF19)</f>
        <v>426.43</v>
      </c>
      <c r="AG21">
        <f>IF($C$3="CGE",INDEX(GDP_CGE!$A$3:$AN$21,MATCH($A21,GDP_CGE!$A$3:$A$21,0),MATCH(AG$9,GDP_CGE!$A$3:$AN$3,0)),GDP_Simple!AG19)</f>
        <v>440.09</v>
      </c>
      <c r="AH21">
        <f>IF($C$3="CGE",INDEX(GDP_CGE!$A$3:$AN$21,MATCH($A21,GDP_CGE!$A$3:$A$21,0),MATCH(AH$9,GDP_CGE!$A$3:$AN$3,0)),GDP_Simple!AH19)</f>
        <v>454.44</v>
      </c>
      <c r="AI21">
        <f>IF($C$3="CGE",INDEX(GDP_CGE!$A$3:$AN$21,MATCH($A21,GDP_CGE!$A$3:$A$21,0),MATCH(AI$9,GDP_CGE!$A$3:$AN$3,0)),GDP_Simple!AI19)</f>
        <v>469.74</v>
      </c>
      <c r="AJ21">
        <f>IF($C$3="CGE",INDEX(GDP_CGE!$A$3:$AN$21,MATCH($A21,GDP_CGE!$A$3:$A$21,0),MATCH(AJ$9,GDP_CGE!$A$3:$AN$3,0)),GDP_Simple!AJ19)</f>
        <v>485.82</v>
      </c>
      <c r="AK21">
        <f>IF($C$3="CGE",INDEX(GDP_CGE!$A$3:$AN$21,MATCH($A21,GDP_CGE!$A$3:$A$21,0),MATCH(AK$9,GDP_CGE!$A$3:$AN$3,0)),GDP_Simple!AK19)</f>
        <v>502.71</v>
      </c>
      <c r="AL21">
        <f>IF($C$3="CGE",INDEX(GDP_CGE!$A$3:$AN$21,MATCH($A21,GDP_CGE!$A$3:$A$21,0),MATCH(AL$9,GDP_CGE!$A$3:$AN$3,0)),GDP_Simple!AL19)</f>
        <v>519.79999999999995</v>
      </c>
      <c r="AM21">
        <f>IF($C$3="CGE",INDEX(GDP_CGE!$A$3:$AN$21,MATCH($A21,GDP_CGE!$A$3:$A$21,0),MATCH(AM$9,GDP_CGE!$A$3:$AN$3,0)),GDP_Simple!AM19)</f>
        <v>537.78</v>
      </c>
      <c r="AN21">
        <f>IF($C$3="CGE",INDEX(GDP_CGE!$A$3:$AN$21,MATCH($A21,GDP_CGE!$A$3:$A$21,0),MATCH(AN$9,GDP_CGE!$A$3:$AN$3,0)),GDP_Simple!AN19)</f>
        <v>556.72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27.52</v>
      </c>
      <c r="C22">
        <f>IF($C$3="CGE",INDEX(GDP_CGE!$A$3:$AN$21,MATCH($A22,GDP_CGE!$A$3:$A$21,0),MATCH(C$9,GDP_CGE!$A$3:$AN$3,0)),GDP_Simple!C20)</f>
        <v>27.49</v>
      </c>
      <c r="D22">
        <f>IF($C$3="CGE",INDEX(GDP_CGE!$A$3:$AN$21,MATCH($A22,GDP_CGE!$A$3:$A$21,0),MATCH(D$9,GDP_CGE!$A$3:$AN$3,0)),GDP_Simple!D20)</f>
        <v>27.45</v>
      </c>
      <c r="E22">
        <f>IF($C$3="CGE",INDEX(GDP_CGE!$A$3:$AN$21,MATCH($A22,GDP_CGE!$A$3:$A$21,0),MATCH(E$9,GDP_CGE!$A$3:$AN$3,0)),GDP_Simple!E20)</f>
        <v>27.42</v>
      </c>
      <c r="F22">
        <f>IF($C$3="CGE",INDEX(GDP_CGE!$A$3:$AN$21,MATCH($A22,GDP_CGE!$A$3:$A$21,0),MATCH(F$9,GDP_CGE!$A$3:$AN$3,0)),GDP_Simple!F20)</f>
        <v>27.39</v>
      </c>
      <c r="G22">
        <f>IF($C$3="CGE",INDEX(GDP_CGE!$A$3:$AN$21,MATCH($A22,GDP_CGE!$A$3:$A$21,0),MATCH(G$9,GDP_CGE!$A$3:$AN$3,0)),GDP_Simple!G20)</f>
        <v>27.36</v>
      </c>
      <c r="H22">
        <f>IF($C$3="CGE",INDEX(GDP_CGE!$A$3:$AN$21,MATCH($A22,GDP_CGE!$A$3:$A$21,0),MATCH(H$9,GDP_CGE!$A$3:$AN$3,0)),GDP_Simple!H20)</f>
        <v>27.33</v>
      </c>
      <c r="I22">
        <f>IF($C$3="CGE",INDEX(GDP_CGE!$A$3:$AN$21,MATCH($A22,GDP_CGE!$A$3:$A$21,0),MATCH(I$9,GDP_CGE!$A$3:$AN$3,0)),GDP_Simple!I20)</f>
        <v>27.24</v>
      </c>
      <c r="J22">
        <f>IF($C$3="CGE",INDEX(GDP_CGE!$A$3:$AN$21,MATCH($A22,GDP_CGE!$A$3:$A$21,0),MATCH(J$9,GDP_CGE!$A$3:$AN$3,0)),GDP_Simple!J20)</f>
        <v>27.16</v>
      </c>
      <c r="K22">
        <f>IF($C$3="CGE",INDEX(GDP_CGE!$A$3:$AN$21,MATCH($A22,GDP_CGE!$A$3:$A$21,0),MATCH(K$9,GDP_CGE!$A$3:$AN$3,0)),GDP_Simple!K20)</f>
        <v>26.07</v>
      </c>
      <c r="L22">
        <f>IF($C$3="CGE",INDEX(GDP_CGE!$A$3:$AN$21,MATCH($A22,GDP_CGE!$A$3:$A$21,0),MATCH(L$9,GDP_CGE!$A$3:$AN$3,0)),GDP_Simple!L20)</f>
        <v>25.79</v>
      </c>
      <c r="M22">
        <f>IF($C$3="CGE",INDEX(GDP_CGE!$A$3:$AN$21,MATCH($A22,GDP_CGE!$A$3:$A$21,0),MATCH(M$9,GDP_CGE!$A$3:$AN$3,0)),GDP_Simple!M20)</f>
        <v>25.7</v>
      </c>
      <c r="N22">
        <f>IF($C$3="CGE",INDEX(GDP_CGE!$A$3:$AN$21,MATCH($A22,GDP_CGE!$A$3:$A$21,0),MATCH(N$9,GDP_CGE!$A$3:$AN$3,0)),GDP_Simple!N20)</f>
        <v>25.62</v>
      </c>
      <c r="O22">
        <f>IF($C$3="CGE",INDEX(GDP_CGE!$A$3:$AN$21,MATCH($A22,GDP_CGE!$A$3:$A$21,0),MATCH(O$9,GDP_CGE!$A$3:$AN$3,0)),GDP_Simple!O20)</f>
        <v>24.83</v>
      </c>
      <c r="P22">
        <f>IF($C$3="CGE",INDEX(GDP_CGE!$A$3:$AN$21,MATCH($A22,GDP_CGE!$A$3:$A$21,0),MATCH(P$9,GDP_CGE!$A$3:$AN$3,0)),GDP_Simple!P20)</f>
        <v>22.54</v>
      </c>
      <c r="Q22">
        <f>IF($C$3="CGE",INDEX(GDP_CGE!$A$3:$AN$21,MATCH($A22,GDP_CGE!$A$3:$A$21,0),MATCH(Q$9,GDP_CGE!$A$3:$AN$3,0)),GDP_Simple!Q20)</f>
        <v>20.239999999999998</v>
      </c>
      <c r="R22">
        <f>IF($C$3="CGE",INDEX(GDP_CGE!$A$3:$AN$21,MATCH($A22,GDP_CGE!$A$3:$A$21,0),MATCH(R$9,GDP_CGE!$A$3:$AN$3,0)),GDP_Simple!R20)</f>
        <v>17.95</v>
      </c>
      <c r="S22">
        <f>IF($C$3="CGE",INDEX(GDP_CGE!$A$3:$AN$21,MATCH($A22,GDP_CGE!$A$3:$A$21,0),MATCH(S$9,GDP_CGE!$A$3:$AN$3,0)),GDP_Simple!S20)</f>
        <v>15.66</v>
      </c>
      <c r="T22">
        <f>IF($C$3="CGE",INDEX(GDP_CGE!$A$3:$AN$21,MATCH($A22,GDP_CGE!$A$3:$A$21,0),MATCH(T$9,GDP_CGE!$A$3:$AN$3,0)),GDP_Simple!T20)</f>
        <v>13.37</v>
      </c>
      <c r="U22">
        <f>IF($C$3="CGE",INDEX(GDP_CGE!$A$3:$AN$21,MATCH($A22,GDP_CGE!$A$3:$A$21,0),MATCH(U$9,GDP_CGE!$A$3:$AN$3,0)),GDP_Simple!U20)</f>
        <v>12.37</v>
      </c>
      <c r="V22">
        <f>IF($C$3="CGE",INDEX(GDP_CGE!$A$3:$AN$21,MATCH($A22,GDP_CGE!$A$3:$A$21,0),MATCH(V$9,GDP_CGE!$A$3:$AN$3,0)),GDP_Simple!V20)</f>
        <v>11.37</v>
      </c>
      <c r="W22">
        <f>IF($C$3="CGE",INDEX(GDP_CGE!$A$3:$AN$21,MATCH($A22,GDP_CGE!$A$3:$A$21,0),MATCH(W$9,GDP_CGE!$A$3:$AN$3,0)),GDP_Simple!W20)</f>
        <v>10.37</v>
      </c>
      <c r="X22">
        <f>IF($C$3="CGE",INDEX(GDP_CGE!$A$3:$AN$21,MATCH($A22,GDP_CGE!$A$3:$A$21,0),MATCH(X$9,GDP_CGE!$A$3:$AN$3,0)),GDP_Simple!X20)</f>
        <v>9.3699999999999992</v>
      </c>
      <c r="Y22">
        <f>IF($C$3="CGE",INDEX(GDP_CGE!$A$3:$AN$21,MATCH($A22,GDP_CGE!$A$3:$A$21,0),MATCH(Y$9,GDP_CGE!$A$3:$AN$3,0)),GDP_Simple!Y20)</f>
        <v>8.41</v>
      </c>
      <c r="Z22">
        <f>IF($C$3="CGE",INDEX(GDP_CGE!$A$3:$AN$21,MATCH($A22,GDP_CGE!$A$3:$A$21,0),MATCH(Z$9,GDP_CGE!$A$3:$AN$3,0)),GDP_Simple!Z20)</f>
        <v>7.24</v>
      </c>
      <c r="AA22">
        <f>IF($C$3="CGE",INDEX(GDP_CGE!$A$3:$AN$21,MATCH($A22,GDP_CGE!$A$3:$A$21,0),MATCH(AA$9,GDP_CGE!$A$3:$AN$3,0)),GDP_Simple!AA20)</f>
        <v>6.06</v>
      </c>
      <c r="AB22">
        <f>IF($C$3="CGE",INDEX(GDP_CGE!$A$3:$AN$21,MATCH($A22,GDP_CGE!$A$3:$A$21,0),MATCH(AB$9,GDP_CGE!$A$3:$AN$3,0)),GDP_Simple!AB20)</f>
        <v>4.88</v>
      </c>
      <c r="AC22">
        <f>IF($C$3="CGE",INDEX(GDP_CGE!$A$3:$AN$21,MATCH($A22,GDP_CGE!$A$3:$A$21,0),MATCH(AC$9,GDP_CGE!$A$3:$AN$3,0)),GDP_Simple!AC20)</f>
        <v>3.7</v>
      </c>
      <c r="AD22">
        <f>IF($C$3="CGE",INDEX(GDP_CGE!$A$3:$AN$21,MATCH($A22,GDP_CGE!$A$3:$A$21,0),MATCH(AD$9,GDP_CGE!$A$3:$AN$3,0)),GDP_Simple!AD20)</f>
        <v>2.52</v>
      </c>
      <c r="AE22">
        <f>IF($C$3="CGE",INDEX(GDP_CGE!$A$3:$AN$21,MATCH($A22,GDP_CGE!$A$3:$A$21,0),MATCH(AE$9,GDP_CGE!$A$3:$AN$3,0)),GDP_Simple!AE20)</f>
        <v>2.52</v>
      </c>
      <c r="AF22">
        <f>IF($C$3="CGE",INDEX(GDP_CGE!$A$3:$AN$21,MATCH($A22,GDP_CGE!$A$3:$A$21,0),MATCH(AF$9,GDP_CGE!$A$3:$AN$3,0)),GDP_Simple!AF20)</f>
        <v>2.52</v>
      </c>
      <c r="AG22">
        <f>IF($C$3="CGE",INDEX(GDP_CGE!$A$3:$AN$21,MATCH($A22,GDP_CGE!$A$3:$A$21,0),MATCH(AG$9,GDP_CGE!$A$3:$AN$3,0)),GDP_Simple!AG20)</f>
        <v>2.52</v>
      </c>
      <c r="AH22">
        <f>IF($C$3="CGE",INDEX(GDP_CGE!$A$3:$AN$21,MATCH($A22,GDP_CGE!$A$3:$A$21,0),MATCH(AH$9,GDP_CGE!$A$3:$AN$3,0)),GDP_Simple!AH20)</f>
        <v>2.52</v>
      </c>
      <c r="AI22">
        <f>IF($C$3="CGE",INDEX(GDP_CGE!$A$3:$AN$21,MATCH($A22,GDP_CGE!$A$3:$A$21,0),MATCH(AI$9,GDP_CGE!$A$3:$AN$3,0)),GDP_Simple!AI20)</f>
        <v>2.52</v>
      </c>
      <c r="AJ22">
        <f>IF($C$3="CGE",INDEX(GDP_CGE!$A$3:$AN$21,MATCH($A22,GDP_CGE!$A$3:$A$21,0),MATCH(AJ$9,GDP_CGE!$A$3:$AN$3,0)),GDP_Simple!AJ20)</f>
        <v>2.52</v>
      </c>
      <c r="AK22">
        <f>IF($C$3="CGE",INDEX(GDP_CGE!$A$3:$AN$21,MATCH($A22,GDP_CGE!$A$3:$A$21,0),MATCH(AK$9,GDP_CGE!$A$3:$AN$3,0)),GDP_Simple!AK20)</f>
        <v>2.52</v>
      </c>
      <c r="AL22">
        <f>IF($C$3="CGE",INDEX(GDP_CGE!$A$3:$AN$21,MATCH($A22,GDP_CGE!$A$3:$A$21,0),MATCH(AL$9,GDP_CGE!$A$3:$AN$3,0)),GDP_Simple!AL20)</f>
        <v>2.52</v>
      </c>
      <c r="AM22">
        <f>IF($C$3="CGE",INDEX(GDP_CGE!$A$3:$AN$21,MATCH($A22,GDP_CGE!$A$3:$A$21,0),MATCH(AM$9,GDP_CGE!$A$3:$AN$3,0)),GDP_Simple!AM20)</f>
        <v>2.52</v>
      </c>
      <c r="AN22">
        <f>IF($C$3="CGE",INDEX(GDP_CGE!$A$3:$AN$21,MATCH($A22,GDP_CGE!$A$3:$A$21,0),MATCH(AN$9,GDP_CGE!$A$3:$AN$3,0)),GDP_Simple!AN20)</f>
        <v>2.52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</v>
      </c>
      <c r="C23">
        <f>IF($C$3="CGE",INDEX(GDP_CGE!$A$3:$AN$21,MATCH($A23,GDP_CGE!$A$3:$A$21,0),MATCH(C$9,GDP_CGE!$A$3:$AN$3,0)),GDP_Simple!C21)</f>
        <v>18.190000000000001</v>
      </c>
      <c r="D23">
        <f>IF($C$3="CGE",INDEX(GDP_CGE!$A$3:$AN$21,MATCH($A23,GDP_CGE!$A$3:$A$21,0),MATCH(D$9,GDP_CGE!$A$3:$AN$3,0)),GDP_Simple!D21)</f>
        <v>18.54</v>
      </c>
      <c r="E23">
        <f>IF($C$3="CGE",INDEX(GDP_CGE!$A$3:$AN$21,MATCH($A23,GDP_CGE!$A$3:$A$21,0),MATCH(E$9,GDP_CGE!$A$3:$AN$3,0)),GDP_Simple!E21)</f>
        <v>18.73</v>
      </c>
      <c r="F23">
        <f>IF($C$3="CGE",INDEX(GDP_CGE!$A$3:$AN$21,MATCH($A23,GDP_CGE!$A$3:$A$21,0),MATCH(F$9,GDP_CGE!$A$3:$AN$3,0)),GDP_Simple!F21)</f>
        <v>19.13</v>
      </c>
      <c r="G23">
        <f>IF($C$3="CGE",INDEX(GDP_CGE!$A$3:$AN$21,MATCH($A23,GDP_CGE!$A$3:$A$21,0),MATCH(G$9,GDP_CGE!$A$3:$AN$3,0)),GDP_Simple!G21)</f>
        <v>19.23</v>
      </c>
      <c r="H23">
        <f>IF($C$3="CGE",INDEX(GDP_CGE!$A$3:$AN$21,MATCH($A23,GDP_CGE!$A$3:$A$21,0),MATCH(H$9,GDP_CGE!$A$3:$AN$3,0)),GDP_Simple!H21)</f>
        <v>19.5</v>
      </c>
      <c r="I23">
        <f>IF($C$3="CGE",INDEX(GDP_CGE!$A$3:$AN$21,MATCH($A23,GDP_CGE!$A$3:$A$21,0),MATCH(I$9,GDP_CGE!$A$3:$AN$3,0)),GDP_Simple!I21)</f>
        <v>19.52</v>
      </c>
      <c r="J23">
        <f>IF($C$3="CGE",INDEX(GDP_CGE!$A$3:$AN$21,MATCH($A23,GDP_CGE!$A$3:$A$21,0),MATCH(J$9,GDP_CGE!$A$3:$AN$3,0)),GDP_Simple!J21)</f>
        <v>18.16</v>
      </c>
      <c r="K23">
        <f>IF($C$3="CGE",INDEX(GDP_CGE!$A$3:$AN$21,MATCH($A23,GDP_CGE!$A$3:$A$21,0),MATCH(K$9,GDP_CGE!$A$3:$AN$3,0)),GDP_Simple!K21)</f>
        <v>18.68</v>
      </c>
      <c r="L23">
        <f>IF($C$3="CGE",INDEX(GDP_CGE!$A$3:$AN$21,MATCH($A23,GDP_CGE!$A$3:$A$21,0),MATCH(L$9,GDP_CGE!$A$3:$AN$3,0)),GDP_Simple!L21)</f>
        <v>19.149999999999999</v>
      </c>
      <c r="M23">
        <f>IF($C$3="CGE",INDEX(GDP_CGE!$A$3:$AN$21,MATCH($A23,GDP_CGE!$A$3:$A$21,0),MATCH(M$9,GDP_CGE!$A$3:$AN$3,0)),GDP_Simple!M21)</f>
        <v>19.61</v>
      </c>
      <c r="N23">
        <f>IF($C$3="CGE",INDEX(GDP_CGE!$A$3:$AN$21,MATCH($A23,GDP_CGE!$A$3:$A$21,0),MATCH(N$9,GDP_CGE!$A$3:$AN$3,0)),GDP_Simple!N21)</f>
        <v>20.04</v>
      </c>
      <c r="O23">
        <f>IF($C$3="CGE",INDEX(GDP_CGE!$A$3:$AN$21,MATCH($A23,GDP_CGE!$A$3:$A$21,0),MATCH(O$9,GDP_CGE!$A$3:$AN$3,0)),GDP_Simple!O21)</f>
        <v>20.51</v>
      </c>
      <c r="P23">
        <f>IF($C$3="CGE",INDEX(GDP_CGE!$A$3:$AN$21,MATCH($A23,GDP_CGE!$A$3:$A$21,0),MATCH(P$9,GDP_CGE!$A$3:$AN$3,0)),GDP_Simple!P21)</f>
        <v>21.11</v>
      </c>
      <c r="Q23">
        <f>IF($C$3="CGE",INDEX(GDP_CGE!$A$3:$AN$21,MATCH($A23,GDP_CGE!$A$3:$A$21,0),MATCH(Q$9,GDP_CGE!$A$3:$AN$3,0)),GDP_Simple!Q21)</f>
        <v>21.69</v>
      </c>
      <c r="R23">
        <f>IF($C$3="CGE",INDEX(GDP_CGE!$A$3:$AN$21,MATCH($A23,GDP_CGE!$A$3:$A$21,0),MATCH(R$9,GDP_CGE!$A$3:$AN$3,0)),GDP_Simple!R21)</f>
        <v>22.28</v>
      </c>
      <c r="S23">
        <f>IF($C$3="CGE",INDEX(GDP_CGE!$A$3:$AN$21,MATCH($A23,GDP_CGE!$A$3:$A$21,0),MATCH(S$9,GDP_CGE!$A$3:$AN$3,0)),GDP_Simple!S21)</f>
        <v>22.83</v>
      </c>
      <c r="T23">
        <f>IF($C$3="CGE",INDEX(GDP_CGE!$A$3:$AN$21,MATCH($A23,GDP_CGE!$A$3:$A$21,0),MATCH(T$9,GDP_CGE!$A$3:$AN$3,0)),GDP_Simple!T21)</f>
        <v>23.42</v>
      </c>
      <c r="U23">
        <f>IF($C$3="CGE",INDEX(GDP_CGE!$A$3:$AN$21,MATCH($A23,GDP_CGE!$A$3:$A$21,0),MATCH(U$9,GDP_CGE!$A$3:$AN$3,0)),GDP_Simple!U21)</f>
        <v>24.02</v>
      </c>
      <c r="V23">
        <f>IF($C$3="CGE",INDEX(GDP_CGE!$A$3:$AN$21,MATCH($A23,GDP_CGE!$A$3:$A$21,0),MATCH(V$9,GDP_CGE!$A$3:$AN$3,0)),GDP_Simple!V21)</f>
        <v>24.61</v>
      </c>
      <c r="W23">
        <f>IF($C$3="CGE",INDEX(GDP_CGE!$A$3:$AN$21,MATCH($A23,GDP_CGE!$A$3:$A$21,0),MATCH(W$9,GDP_CGE!$A$3:$AN$3,0)),GDP_Simple!W21)</f>
        <v>25.26</v>
      </c>
      <c r="X23">
        <f>IF($C$3="CGE",INDEX(GDP_CGE!$A$3:$AN$21,MATCH($A23,GDP_CGE!$A$3:$A$21,0),MATCH(X$9,GDP_CGE!$A$3:$AN$3,0)),GDP_Simple!X21)</f>
        <v>25.94</v>
      </c>
      <c r="Y23">
        <f>IF($C$3="CGE",INDEX(GDP_CGE!$A$3:$AN$21,MATCH($A23,GDP_CGE!$A$3:$A$21,0),MATCH(Y$9,GDP_CGE!$A$3:$AN$3,0)),GDP_Simple!Y21)</f>
        <v>26.65</v>
      </c>
      <c r="Z23">
        <f>IF($C$3="CGE",INDEX(GDP_CGE!$A$3:$AN$21,MATCH($A23,GDP_CGE!$A$3:$A$21,0),MATCH(Z$9,GDP_CGE!$A$3:$AN$3,0)),GDP_Simple!Z21)</f>
        <v>27.42</v>
      </c>
      <c r="AA23">
        <f>IF($C$3="CGE",INDEX(GDP_CGE!$A$3:$AN$21,MATCH($A23,GDP_CGE!$A$3:$A$21,0),MATCH(AA$9,GDP_CGE!$A$3:$AN$3,0)),GDP_Simple!AA21)</f>
        <v>28.22</v>
      </c>
      <c r="AB23">
        <f>IF($C$3="CGE",INDEX(GDP_CGE!$A$3:$AN$21,MATCH($A23,GDP_CGE!$A$3:$A$21,0),MATCH(AB$9,GDP_CGE!$A$3:$AN$3,0)),GDP_Simple!AB21)</f>
        <v>29.03</v>
      </c>
      <c r="AC23">
        <f>IF($C$3="CGE",INDEX(GDP_CGE!$A$3:$AN$21,MATCH($A23,GDP_CGE!$A$3:$A$21,0),MATCH(AC$9,GDP_CGE!$A$3:$AN$3,0)),GDP_Simple!AC21)</f>
        <v>29.88</v>
      </c>
      <c r="AD23">
        <f>IF($C$3="CGE",INDEX(GDP_CGE!$A$3:$AN$21,MATCH($A23,GDP_CGE!$A$3:$A$21,0),MATCH(AD$9,GDP_CGE!$A$3:$AN$3,0)),GDP_Simple!AD21)</f>
        <v>30.78</v>
      </c>
      <c r="AE23">
        <f>IF($C$3="CGE",INDEX(GDP_CGE!$A$3:$AN$21,MATCH($A23,GDP_CGE!$A$3:$A$21,0),MATCH(AE$9,GDP_CGE!$A$3:$AN$3,0)),GDP_Simple!AE21)</f>
        <v>31.65</v>
      </c>
      <c r="AF23">
        <f>IF($C$3="CGE",INDEX(GDP_CGE!$A$3:$AN$21,MATCH($A23,GDP_CGE!$A$3:$A$21,0),MATCH(AF$9,GDP_CGE!$A$3:$AN$3,0)),GDP_Simple!AF21)</f>
        <v>32.57</v>
      </c>
      <c r="AG23">
        <f>IF($C$3="CGE",INDEX(GDP_CGE!$A$3:$AN$21,MATCH($A23,GDP_CGE!$A$3:$A$21,0),MATCH(AG$9,GDP_CGE!$A$3:$AN$3,0)),GDP_Simple!AG21)</f>
        <v>33.53</v>
      </c>
      <c r="AH23">
        <f>IF($C$3="CGE",INDEX(GDP_CGE!$A$3:$AN$21,MATCH($A23,GDP_CGE!$A$3:$A$21,0),MATCH(AH$9,GDP_CGE!$A$3:$AN$3,0)),GDP_Simple!AH21)</f>
        <v>34.54</v>
      </c>
      <c r="AI23">
        <f>IF($C$3="CGE",INDEX(GDP_CGE!$A$3:$AN$21,MATCH($A23,GDP_CGE!$A$3:$A$21,0),MATCH(AI$9,GDP_CGE!$A$3:$AN$3,0)),GDP_Simple!AI21)</f>
        <v>35.619999999999997</v>
      </c>
      <c r="AJ23">
        <f>IF($C$3="CGE",INDEX(GDP_CGE!$A$3:$AN$21,MATCH($A23,GDP_CGE!$A$3:$A$21,0),MATCH(AJ$9,GDP_CGE!$A$3:$AN$3,0)),GDP_Simple!AJ21)</f>
        <v>36.75</v>
      </c>
      <c r="AK23">
        <f>IF($C$3="CGE",INDEX(GDP_CGE!$A$3:$AN$21,MATCH($A23,GDP_CGE!$A$3:$A$21,0),MATCH(AK$9,GDP_CGE!$A$3:$AN$3,0)),GDP_Simple!AK21)</f>
        <v>37.93</v>
      </c>
      <c r="AL23">
        <f>IF($C$3="CGE",INDEX(GDP_CGE!$A$3:$AN$21,MATCH($A23,GDP_CGE!$A$3:$A$21,0),MATCH(AL$9,GDP_CGE!$A$3:$AN$3,0)),GDP_Simple!AL21)</f>
        <v>39.130000000000003</v>
      </c>
      <c r="AM23">
        <f>IF($C$3="CGE",INDEX(GDP_CGE!$A$3:$AN$21,MATCH($A23,GDP_CGE!$A$3:$A$21,0),MATCH(AM$9,GDP_CGE!$A$3:$AN$3,0)),GDP_Simple!AM21)</f>
        <v>40.380000000000003</v>
      </c>
      <c r="AN23">
        <f>IF($C$3="CGE",INDEX(GDP_CGE!$A$3:$AN$21,MATCH($A23,GDP_CGE!$A$3:$A$21,0),MATCH(AN$9,GDP_CGE!$A$3:$AN$3,0)),GDP_Simple!AN21)</f>
        <v>41.7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</v>
      </c>
      <c r="C24">
        <f>IF($C$3="CGE",INDEX(GDP_CGE!$A$3:$AN$21,MATCH($A24,GDP_CGE!$A$3:$A$21,0),MATCH(C$9,GDP_CGE!$A$3:$AN$3,0)),GDP_Simple!C22)</f>
        <v>11.57</v>
      </c>
      <c r="D24">
        <f>IF($C$3="CGE",INDEX(GDP_CGE!$A$3:$AN$21,MATCH($A24,GDP_CGE!$A$3:$A$21,0),MATCH(D$9,GDP_CGE!$A$3:$AN$3,0)),GDP_Simple!D22)</f>
        <v>11.91</v>
      </c>
      <c r="E24">
        <f>IF($C$3="CGE",INDEX(GDP_CGE!$A$3:$AN$21,MATCH($A24,GDP_CGE!$A$3:$A$21,0),MATCH(E$9,GDP_CGE!$A$3:$AN$3,0)),GDP_Simple!E22)</f>
        <v>12.12</v>
      </c>
      <c r="F24">
        <f>IF($C$3="CGE",INDEX(GDP_CGE!$A$3:$AN$21,MATCH($A24,GDP_CGE!$A$3:$A$21,0),MATCH(F$9,GDP_CGE!$A$3:$AN$3,0)),GDP_Simple!F22)</f>
        <v>12.2</v>
      </c>
      <c r="G24">
        <f>IF($C$3="CGE",INDEX(GDP_CGE!$A$3:$AN$21,MATCH($A24,GDP_CGE!$A$3:$A$21,0),MATCH(G$9,GDP_CGE!$A$3:$AN$3,0)),GDP_Simple!G22)</f>
        <v>12.36</v>
      </c>
      <c r="H24">
        <f>IF($C$3="CGE",INDEX(GDP_CGE!$A$3:$AN$21,MATCH($A24,GDP_CGE!$A$3:$A$21,0),MATCH(H$9,GDP_CGE!$A$3:$AN$3,0)),GDP_Simple!H22)</f>
        <v>12.64</v>
      </c>
      <c r="I24">
        <f>IF($C$3="CGE",INDEX(GDP_CGE!$A$3:$AN$21,MATCH($A24,GDP_CGE!$A$3:$A$21,0),MATCH(I$9,GDP_CGE!$A$3:$AN$3,0)),GDP_Simple!I22)</f>
        <v>12.79</v>
      </c>
      <c r="J24">
        <f>IF($C$3="CGE",INDEX(GDP_CGE!$A$3:$AN$21,MATCH($A24,GDP_CGE!$A$3:$A$21,0),MATCH(J$9,GDP_CGE!$A$3:$AN$3,0)),GDP_Simple!J22)</f>
        <v>12</v>
      </c>
      <c r="K24">
        <f>IF($C$3="CGE",INDEX(GDP_CGE!$A$3:$AN$21,MATCH($A24,GDP_CGE!$A$3:$A$21,0),MATCH(K$9,GDP_CGE!$A$3:$AN$3,0)),GDP_Simple!K22)</f>
        <v>12.34</v>
      </c>
      <c r="L24">
        <f>IF($C$3="CGE",INDEX(GDP_CGE!$A$3:$AN$21,MATCH($A24,GDP_CGE!$A$3:$A$21,0),MATCH(L$9,GDP_CGE!$A$3:$AN$3,0)),GDP_Simple!L22)</f>
        <v>12.61</v>
      </c>
      <c r="M24">
        <f>IF($C$3="CGE",INDEX(GDP_CGE!$A$3:$AN$21,MATCH($A24,GDP_CGE!$A$3:$A$21,0),MATCH(M$9,GDP_CGE!$A$3:$AN$3,0)),GDP_Simple!M22)</f>
        <v>12.86</v>
      </c>
      <c r="N24">
        <f>IF($C$3="CGE",INDEX(GDP_CGE!$A$3:$AN$21,MATCH($A24,GDP_CGE!$A$3:$A$21,0),MATCH(N$9,GDP_CGE!$A$3:$AN$3,0)),GDP_Simple!N22)</f>
        <v>13.09</v>
      </c>
      <c r="O24">
        <f>IF($C$3="CGE",INDEX(GDP_CGE!$A$3:$AN$21,MATCH($A24,GDP_CGE!$A$3:$A$21,0),MATCH(O$9,GDP_CGE!$A$3:$AN$3,0)),GDP_Simple!O22)</f>
        <v>13.32</v>
      </c>
      <c r="P24">
        <f>IF($C$3="CGE",INDEX(GDP_CGE!$A$3:$AN$21,MATCH($A24,GDP_CGE!$A$3:$A$21,0),MATCH(P$9,GDP_CGE!$A$3:$AN$3,0)),GDP_Simple!P22)</f>
        <v>13.6</v>
      </c>
      <c r="Q24">
        <f>IF($C$3="CGE",INDEX(GDP_CGE!$A$3:$AN$21,MATCH($A24,GDP_CGE!$A$3:$A$21,0),MATCH(Q$9,GDP_CGE!$A$3:$AN$3,0)),GDP_Simple!Q22)</f>
        <v>13.87</v>
      </c>
      <c r="R24">
        <f>IF($C$3="CGE",INDEX(GDP_CGE!$A$3:$AN$21,MATCH($A24,GDP_CGE!$A$3:$A$21,0),MATCH(R$9,GDP_CGE!$A$3:$AN$3,0)),GDP_Simple!R22)</f>
        <v>14.15</v>
      </c>
      <c r="S24">
        <f>IF($C$3="CGE",INDEX(GDP_CGE!$A$3:$AN$21,MATCH($A24,GDP_CGE!$A$3:$A$21,0),MATCH(S$9,GDP_CGE!$A$3:$AN$3,0)),GDP_Simple!S22)</f>
        <v>14.45</v>
      </c>
      <c r="T24">
        <f>IF($C$3="CGE",INDEX(GDP_CGE!$A$3:$AN$21,MATCH($A24,GDP_CGE!$A$3:$A$21,0),MATCH(T$9,GDP_CGE!$A$3:$AN$3,0)),GDP_Simple!T22)</f>
        <v>14.74</v>
      </c>
      <c r="U24">
        <f>IF($C$3="CGE",INDEX(GDP_CGE!$A$3:$AN$21,MATCH($A24,GDP_CGE!$A$3:$A$21,0),MATCH(U$9,GDP_CGE!$A$3:$AN$3,0)),GDP_Simple!U22)</f>
        <v>15.11</v>
      </c>
      <c r="V24">
        <f>IF($C$3="CGE",INDEX(GDP_CGE!$A$3:$AN$21,MATCH($A24,GDP_CGE!$A$3:$A$21,0),MATCH(V$9,GDP_CGE!$A$3:$AN$3,0)),GDP_Simple!V22)</f>
        <v>15.46</v>
      </c>
      <c r="W24">
        <f>IF($C$3="CGE",INDEX(GDP_CGE!$A$3:$AN$21,MATCH($A24,GDP_CGE!$A$3:$A$21,0),MATCH(W$9,GDP_CGE!$A$3:$AN$3,0)),GDP_Simple!W22)</f>
        <v>15.83</v>
      </c>
      <c r="X24">
        <f>IF($C$3="CGE",INDEX(GDP_CGE!$A$3:$AN$21,MATCH($A24,GDP_CGE!$A$3:$A$21,0),MATCH(X$9,GDP_CGE!$A$3:$AN$3,0)),GDP_Simple!X22)</f>
        <v>16.22</v>
      </c>
      <c r="Y24">
        <f>IF($C$3="CGE",INDEX(GDP_CGE!$A$3:$AN$21,MATCH($A24,GDP_CGE!$A$3:$A$21,0),MATCH(Y$9,GDP_CGE!$A$3:$AN$3,0)),GDP_Simple!Y22)</f>
        <v>16.63</v>
      </c>
      <c r="Z24">
        <f>IF($C$3="CGE",INDEX(GDP_CGE!$A$3:$AN$21,MATCH($A24,GDP_CGE!$A$3:$A$21,0),MATCH(Z$9,GDP_CGE!$A$3:$AN$3,0)),GDP_Simple!Z22)</f>
        <v>17.04</v>
      </c>
      <c r="AA24">
        <f>IF($C$3="CGE",INDEX(GDP_CGE!$A$3:$AN$21,MATCH($A24,GDP_CGE!$A$3:$A$21,0),MATCH(AA$9,GDP_CGE!$A$3:$AN$3,0)),GDP_Simple!AA22)</f>
        <v>17.47</v>
      </c>
      <c r="AB24">
        <f>IF($C$3="CGE",INDEX(GDP_CGE!$A$3:$AN$21,MATCH($A24,GDP_CGE!$A$3:$A$21,0),MATCH(AB$9,GDP_CGE!$A$3:$AN$3,0)),GDP_Simple!AB22)</f>
        <v>17.89</v>
      </c>
      <c r="AC24">
        <f>IF($C$3="CGE",INDEX(GDP_CGE!$A$3:$AN$21,MATCH($A24,GDP_CGE!$A$3:$A$21,0),MATCH(AC$9,GDP_CGE!$A$3:$AN$3,0)),GDP_Simple!AC22)</f>
        <v>18.329999999999998</v>
      </c>
      <c r="AD24">
        <f>IF($C$3="CGE",INDEX(GDP_CGE!$A$3:$AN$21,MATCH($A24,GDP_CGE!$A$3:$A$21,0),MATCH(AD$9,GDP_CGE!$A$3:$AN$3,0)),GDP_Simple!AD22)</f>
        <v>18.8</v>
      </c>
      <c r="AE24">
        <f>IF($C$3="CGE",INDEX(GDP_CGE!$A$3:$AN$21,MATCH($A24,GDP_CGE!$A$3:$A$21,0),MATCH(AE$9,GDP_CGE!$A$3:$AN$3,0)),GDP_Simple!AE22)</f>
        <v>19.29</v>
      </c>
      <c r="AF24">
        <f>IF($C$3="CGE",INDEX(GDP_CGE!$A$3:$AN$21,MATCH($A24,GDP_CGE!$A$3:$A$21,0),MATCH(AF$9,GDP_CGE!$A$3:$AN$3,0)),GDP_Simple!AF22)</f>
        <v>19.79</v>
      </c>
      <c r="AG24">
        <f>IF($C$3="CGE",INDEX(GDP_CGE!$A$3:$AN$21,MATCH($A24,GDP_CGE!$A$3:$A$21,0),MATCH(AG$9,GDP_CGE!$A$3:$AN$3,0)),GDP_Simple!AG22)</f>
        <v>20.29</v>
      </c>
      <c r="AH24">
        <f>IF($C$3="CGE",INDEX(GDP_CGE!$A$3:$AN$21,MATCH($A24,GDP_CGE!$A$3:$A$21,0),MATCH(AH$9,GDP_CGE!$A$3:$AN$3,0)),GDP_Simple!AH22)</f>
        <v>20.8</v>
      </c>
      <c r="AI24">
        <f>IF($C$3="CGE",INDEX(GDP_CGE!$A$3:$AN$21,MATCH($A24,GDP_CGE!$A$3:$A$21,0),MATCH(AI$9,GDP_CGE!$A$3:$AN$3,0)),GDP_Simple!AI22)</f>
        <v>21.32</v>
      </c>
      <c r="AJ24">
        <f>IF($C$3="CGE",INDEX(GDP_CGE!$A$3:$AN$21,MATCH($A24,GDP_CGE!$A$3:$A$21,0),MATCH(AJ$9,GDP_CGE!$A$3:$AN$3,0)),GDP_Simple!AJ22)</f>
        <v>21.84</v>
      </c>
      <c r="AK24">
        <f>IF($C$3="CGE",INDEX(GDP_CGE!$A$3:$AN$21,MATCH($A24,GDP_CGE!$A$3:$A$21,0),MATCH(AK$9,GDP_CGE!$A$3:$AN$3,0)),GDP_Simple!AK22)</f>
        <v>22.38</v>
      </c>
      <c r="AL24">
        <f>IF($C$3="CGE",INDEX(GDP_CGE!$A$3:$AN$21,MATCH($A24,GDP_CGE!$A$3:$A$21,0),MATCH(AL$9,GDP_CGE!$A$3:$AN$3,0)),GDP_Simple!AL22)</f>
        <v>22.91</v>
      </c>
      <c r="AM24">
        <f>IF($C$3="CGE",INDEX(GDP_CGE!$A$3:$AN$21,MATCH($A24,GDP_CGE!$A$3:$A$21,0),MATCH(AM$9,GDP_CGE!$A$3:$AN$3,0)),GDP_Simple!AM22)</f>
        <v>23.46</v>
      </c>
      <c r="AN24">
        <f>IF($C$3="CGE",INDEX(GDP_CGE!$A$3:$AN$21,MATCH($A24,GDP_CGE!$A$3:$A$21,0),MATCH(AN$9,GDP_CGE!$A$3:$AN$3,0)),GDP_Simple!AN22)</f>
        <v>24.05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135.96</v>
      </c>
      <c r="C25">
        <f>IF($C$3="CGE",INDEX(GDP_CGE!$A$3:$AN$21,MATCH($A25,GDP_CGE!$A$3:$A$21,0),MATCH(C$9,GDP_CGE!$A$3:$AN$3,0)),GDP_Simple!C23)</f>
        <v>139.72999999999999</v>
      </c>
      <c r="D25">
        <f>IF($C$3="CGE",INDEX(GDP_CGE!$A$3:$AN$21,MATCH($A25,GDP_CGE!$A$3:$A$21,0),MATCH(D$9,GDP_CGE!$A$3:$AN$3,0)),GDP_Simple!D23)</f>
        <v>142.69999999999999</v>
      </c>
      <c r="E25">
        <f>IF($C$3="CGE",INDEX(GDP_CGE!$A$3:$AN$21,MATCH($A25,GDP_CGE!$A$3:$A$21,0),MATCH(E$9,GDP_CGE!$A$3:$AN$3,0)),GDP_Simple!E23)</f>
        <v>144.16</v>
      </c>
      <c r="F25">
        <f>IF($C$3="CGE",INDEX(GDP_CGE!$A$3:$AN$21,MATCH($A25,GDP_CGE!$A$3:$A$21,0),MATCH(F$9,GDP_CGE!$A$3:$AN$3,0)),GDP_Simple!F23)</f>
        <v>145.31</v>
      </c>
      <c r="G25">
        <f>IF($C$3="CGE",INDEX(GDP_CGE!$A$3:$AN$21,MATCH($A25,GDP_CGE!$A$3:$A$21,0),MATCH(G$9,GDP_CGE!$A$3:$AN$3,0)),GDP_Simple!G23)</f>
        <v>147.16</v>
      </c>
      <c r="H25">
        <f>IF($C$3="CGE",INDEX(GDP_CGE!$A$3:$AN$21,MATCH($A25,GDP_CGE!$A$3:$A$21,0),MATCH(H$9,GDP_CGE!$A$3:$AN$3,0)),GDP_Simple!H23)</f>
        <v>148.75</v>
      </c>
      <c r="I25">
        <f>IF($C$3="CGE",INDEX(GDP_CGE!$A$3:$AN$21,MATCH($A25,GDP_CGE!$A$3:$A$21,0),MATCH(I$9,GDP_CGE!$A$3:$AN$3,0)),GDP_Simple!I23)</f>
        <v>149.16999999999999</v>
      </c>
      <c r="J25">
        <f>IF($C$3="CGE",INDEX(GDP_CGE!$A$3:$AN$21,MATCH($A25,GDP_CGE!$A$3:$A$21,0),MATCH(J$9,GDP_CGE!$A$3:$AN$3,0)),GDP_Simple!J23)</f>
        <v>138.22</v>
      </c>
      <c r="K25">
        <f>IF($C$3="CGE",INDEX(GDP_CGE!$A$3:$AN$21,MATCH($A25,GDP_CGE!$A$3:$A$21,0),MATCH(K$9,GDP_CGE!$A$3:$AN$3,0)),GDP_Simple!K23)</f>
        <v>141.11000000000001</v>
      </c>
      <c r="L25">
        <f>IF($C$3="CGE",INDEX(GDP_CGE!$A$3:$AN$21,MATCH($A25,GDP_CGE!$A$3:$A$21,0),MATCH(L$9,GDP_CGE!$A$3:$AN$3,0)),GDP_Simple!L23)</f>
        <v>144.02000000000001</v>
      </c>
      <c r="M25">
        <f>IF($C$3="CGE",INDEX(GDP_CGE!$A$3:$AN$21,MATCH($A25,GDP_CGE!$A$3:$A$21,0),MATCH(M$9,GDP_CGE!$A$3:$AN$3,0)),GDP_Simple!M23)</f>
        <v>146.85</v>
      </c>
      <c r="N25">
        <f>IF($C$3="CGE",INDEX(GDP_CGE!$A$3:$AN$21,MATCH($A25,GDP_CGE!$A$3:$A$21,0),MATCH(N$9,GDP_CGE!$A$3:$AN$3,0)),GDP_Simple!N23)</f>
        <v>149.56</v>
      </c>
      <c r="O25">
        <f>IF($C$3="CGE",INDEX(GDP_CGE!$A$3:$AN$21,MATCH($A25,GDP_CGE!$A$3:$A$21,0),MATCH(O$9,GDP_CGE!$A$3:$AN$3,0)),GDP_Simple!O23)</f>
        <v>152.32</v>
      </c>
      <c r="P25">
        <f>IF($C$3="CGE",INDEX(GDP_CGE!$A$3:$AN$21,MATCH($A25,GDP_CGE!$A$3:$A$21,0),MATCH(P$9,GDP_CGE!$A$3:$AN$3,0)),GDP_Simple!P23)</f>
        <v>155.71</v>
      </c>
      <c r="Q25">
        <f>IF($C$3="CGE",INDEX(GDP_CGE!$A$3:$AN$21,MATCH($A25,GDP_CGE!$A$3:$A$21,0),MATCH(Q$9,GDP_CGE!$A$3:$AN$3,0)),GDP_Simple!Q23)</f>
        <v>158.9</v>
      </c>
      <c r="R25">
        <f>IF($C$3="CGE",INDEX(GDP_CGE!$A$3:$AN$21,MATCH($A25,GDP_CGE!$A$3:$A$21,0),MATCH(R$9,GDP_CGE!$A$3:$AN$3,0)),GDP_Simple!R23)</f>
        <v>162.26</v>
      </c>
      <c r="S25">
        <f>IF($C$3="CGE",INDEX(GDP_CGE!$A$3:$AN$21,MATCH($A25,GDP_CGE!$A$3:$A$21,0),MATCH(S$9,GDP_CGE!$A$3:$AN$3,0)),GDP_Simple!S23)</f>
        <v>165.94</v>
      </c>
      <c r="T25">
        <f>IF($C$3="CGE",INDEX(GDP_CGE!$A$3:$AN$21,MATCH($A25,GDP_CGE!$A$3:$A$21,0),MATCH(T$9,GDP_CGE!$A$3:$AN$3,0)),GDP_Simple!T23)</f>
        <v>169.63</v>
      </c>
      <c r="U25">
        <f>IF($C$3="CGE",INDEX(GDP_CGE!$A$3:$AN$21,MATCH($A25,GDP_CGE!$A$3:$A$21,0),MATCH(U$9,GDP_CGE!$A$3:$AN$3,0)),GDP_Simple!U23)</f>
        <v>174.19</v>
      </c>
      <c r="V25">
        <f>IF($C$3="CGE",INDEX(GDP_CGE!$A$3:$AN$21,MATCH($A25,GDP_CGE!$A$3:$A$21,0),MATCH(V$9,GDP_CGE!$A$3:$AN$3,0)),GDP_Simple!V23)</f>
        <v>178.43</v>
      </c>
      <c r="W25">
        <f>IF($C$3="CGE",INDEX(GDP_CGE!$A$3:$AN$21,MATCH($A25,GDP_CGE!$A$3:$A$21,0),MATCH(W$9,GDP_CGE!$A$3:$AN$3,0)),GDP_Simple!W23)</f>
        <v>183.19</v>
      </c>
      <c r="X25">
        <f>IF($C$3="CGE",INDEX(GDP_CGE!$A$3:$AN$21,MATCH($A25,GDP_CGE!$A$3:$A$21,0),MATCH(X$9,GDP_CGE!$A$3:$AN$3,0)),GDP_Simple!X23)</f>
        <v>188.3</v>
      </c>
      <c r="Y25">
        <f>IF($C$3="CGE",INDEX(GDP_CGE!$A$3:$AN$21,MATCH($A25,GDP_CGE!$A$3:$A$21,0),MATCH(Y$9,GDP_CGE!$A$3:$AN$3,0)),GDP_Simple!Y23)</f>
        <v>193.91</v>
      </c>
      <c r="Z25">
        <f>IF($C$3="CGE",INDEX(GDP_CGE!$A$3:$AN$21,MATCH($A25,GDP_CGE!$A$3:$A$21,0),MATCH(Z$9,GDP_CGE!$A$3:$AN$3,0)),GDP_Simple!Z23)</f>
        <v>199.62</v>
      </c>
      <c r="AA25">
        <f>IF($C$3="CGE",INDEX(GDP_CGE!$A$3:$AN$21,MATCH($A25,GDP_CGE!$A$3:$A$21,0),MATCH(AA$9,GDP_CGE!$A$3:$AN$3,0)),GDP_Simple!AA23)</f>
        <v>205.55</v>
      </c>
      <c r="AB25">
        <f>IF($C$3="CGE",INDEX(GDP_CGE!$A$3:$AN$21,MATCH($A25,GDP_CGE!$A$3:$A$21,0),MATCH(AB$9,GDP_CGE!$A$3:$AN$3,0)),GDP_Simple!AB23)</f>
        <v>211.53</v>
      </c>
      <c r="AC25">
        <f>IF($C$3="CGE",INDEX(GDP_CGE!$A$3:$AN$21,MATCH($A25,GDP_CGE!$A$3:$A$21,0),MATCH(AC$9,GDP_CGE!$A$3:$AN$3,0)),GDP_Simple!AC23)</f>
        <v>217.76</v>
      </c>
      <c r="AD25">
        <f>IF($C$3="CGE",INDEX(GDP_CGE!$A$3:$AN$21,MATCH($A25,GDP_CGE!$A$3:$A$21,0),MATCH(AD$9,GDP_CGE!$A$3:$AN$3,0)),GDP_Simple!AD23)</f>
        <v>224.36</v>
      </c>
      <c r="AE25">
        <f>IF($C$3="CGE",INDEX(GDP_CGE!$A$3:$AN$21,MATCH($A25,GDP_CGE!$A$3:$A$21,0),MATCH(AE$9,GDP_CGE!$A$3:$AN$3,0)),GDP_Simple!AE23)</f>
        <v>231.21</v>
      </c>
      <c r="AF25">
        <f>IF($C$3="CGE",INDEX(GDP_CGE!$A$3:$AN$21,MATCH($A25,GDP_CGE!$A$3:$A$21,0),MATCH(AF$9,GDP_CGE!$A$3:$AN$3,0)),GDP_Simple!AF23)</f>
        <v>238.37</v>
      </c>
      <c r="AG25">
        <f>IF($C$3="CGE",INDEX(GDP_CGE!$A$3:$AN$21,MATCH($A25,GDP_CGE!$A$3:$A$21,0),MATCH(AG$9,GDP_CGE!$A$3:$AN$3,0)),GDP_Simple!AG23)</f>
        <v>245.82</v>
      </c>
      <c r="AH25">
        <f>IF($C$3="CGE",INDEX(GDP_CGE!$A$3:$AN$21,MATCH($A25,GDP_CGE!$A$3:$A$21,0),MATCH(AH$9,GDP_CGE!$A$3:$AN$3,0)),GDP_Simple!AH23)</f>
        <v>253.64</v>
      </c>
      <c r="AI25">
        <f>IF($C$3="CGE",INDEX(GDP_CGE!$A$3:$AN$21,MATCH($A25,GDP_CGE!$A$3:$A$21,0),MATCH(AI$9,GDP_CGE!$A$3:$AN$3,0)),GDP_Simple!AI23)</f>
        <v>261.98</v>
      </c>
      <c r="AJ25">
        <f>IF($C$3="CGE",INDEX(GDP_CGE!$A$3:$AN$21,MATCH($A25,GDP_CGE!$A$3:$A$21,0),MATCH(AJ$9,GDP_CGE!$A$3:$AN$3,0)),GDP_Simple!AJ23)</f>
        <v>270.7</v>
      </c>
      <c r="AK25">
        <f>IF($C$3="CGE",INDEX(GDP_CGE!$A$3:$AN$21,MATCH($A25,GDP_CGE!$A$3:$A$21,0),MATCH(AK$9,GDP_CGE!$A$3:$AN$3,0)),GDP_Simple!AK23)</f>
        <v>279.86</v>
      </c>
      <c r="AL25">
        <f>IF($C$3="CGE",INDEX(GDP_CGE!$A$3:$AN$21,MATCH($A25,GDP_CGE!$A$3:$A$21,0),MATCH(AL$9,GDP_CGE!$A$3:$AN$3,0)),GDP_Simple!AL23)</f>
        <v>289.08</v>
      </c>
      <c r="AM25">
        <f>IF($C$3="CGE",INDEX(GDP_CGE!$A$3:$AN$21,MATCH($A25,GDP_CGE!$A$3:$A$21,0),MATCH(AM$9,GDP_CGE!$A$3:$AN$3,0)),GDP_Simple!AM23)</f>
        <v>298.81</v>
      </c>
      <c r="AN25">
        <f>IF($C$3="CGE",INDEX(GDP_CGE!$A$3:$AN$21,MATCH($A25,GDP_CGE!$A$3:$A$21,0),MATCH(AN$9,GDP_CGE!$A$3:$AN$3,0)),GDP_Simple!AN23)</f>
        <v>309.06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</v>
      </c>
      <c r="C26">
        <f>IF($C$3="CGE",INDEX(GDP_CGE!$A$3:$AN$21,MATCH($A26,GDP_CGE!$A$3:$A$21,0),MATCH(C$9,GDP_CGE!$A$3:$AN$3,0)),GDP_Simple!C24)</f>
        <v>22.37</v>
      </c>
      <c r="D26">
        <f>IF($C$3="CGE",INDEX(GDP_CGE!$A$3:$AN$21,MATCH($A26,GDP_CGE!$A$3:$A$21,0),MATCH(D$9,GDP_CGE!$A$3:$AN$3,0)),GDP_Simple!D24)</f>
        <v>23.86</v>
      </c>
      <c r="E26">
        <f>IF($C$3="CGE",INDEX(GDP_CGE!$A$3:$AN$21,MATCH($A26,GDP_CGE!$A$3:$A$21,0),MATCH(E$9,GDP_CGE!$A$3:$AN$3,0)),GDP_Simple!E24)</f>
        <v>24.79</v>
      </c>
      <c r="F26">
        <f>IF($C$3="CGE",INDEX(GDP_CGE!$A$3:$AN$21,MATCH($A26,GDP_CGE!$A$3:$A$21,0),MATCH(F$9,GDP_CGE!$A$3:$AN$3,0)),GDP_Simple!F24)</f>
        <v>25.39</v>
      </c>
      <c r="G26">
        <f>IF($C$3="CGE",INDEX(GDP_CGE!$A$3:$AN$21,MATCH($A26,GDP_CGE!$A$3:$A$21,0),MATCH(G$9,GDP_CGE!$A$3:$AN$3,0)),GDP_Simple!G24)</f>
        <v>26.91</v>
      </c>
      <c r="H26">
        <f>IF($C$3="CGE",INDEX(GDP_CGE!$A$3:$AN$21,MATCH($A26,GDP_CGE!$A$3:$A$21,0),MATCH(H$9,GDP_CGE!$A$3:$AN$3,0)),GDP_Simple!H24)</f>
        <v>28.69</v>
      </c>
      <c r="I26">
        <f>IF($C$3="CGE",INDEX(GDP_CGE!$A$3:$AN$21,MATCH($A26,GDP_CGE!$A$3:$A$21,0),MATCH(I$9,GDP_CGE!$A$3:$AN$3,0)),GDP_Simple!I24)</f>
        <v>29.81</v>
      </c>
      <c r="J26">
        <f>IF($C$3="CGE",INDEX(GDP_CGE!$A$3:$AN$21,MATCH($A26,GDP_CGE!$A$3:$A$21,0),MATCH(J$9,GDP_CGE!$A$3:$AN$3,0)),GDP_Simple!J24)</f>
        <v>28.74</v>
      </c>
      <c r="K26">
        <f>IF($C$3="CGE",INDEX(GDP_CGE!$A$3:$AN$21,MATCH($A26,GDP_CGE!$A$3:$A$21,0),MATCH(K$9,GDP_CGE!$A$3:$AN$3,0)),GDP_Simple!K24)</f>
        <v>30.06</v>
      </c>
      <c r="L26">
        <f>IF($C$3="CGE",INDEX(GDP_CGE!$A$3:$AN$21,MATCH($A26,GDP_CGE!$A$3:$A$21,0),MATCH(L$9,GDP_CGE!$A$3:$AN$3,0)),GDP_Simple!L24)</f>
        <v>31.41</v>
      </c>
      <c r="M26">
        <f>IF($C$3="CGE",INDEX(GDP_CGE!$A$3:$AN$21,MATCH($A26,GDP_CGE!$A$3:$A$21,0),MATCH(M$9,GDP_CGE!$A$3:$AN$3,0)),GDP_Simple!M24)</f>
        <v>32.79</v>
      </c>
      <c r="N26">
        <f>IF($C$3="CGE",INDEX(GDP_CGE!$A$3:$AN$21,MATCH($A26,GDP_CGE!$A$3:$A$21,0),MATCH(N$9,GDP_CGE!$A$3:$AN$3,0)),GDP_Simple!N24)</f>
        <v>34.18</v>
      </c>
      <c r="O26">
        <f>IF($C$3="CGE",INDEX(GDP_CGE!$A$3:$AN$21,MATCH($A26,GDP_CGE!$A$3:$A$21,0),MATCH(O$9,GDP_CGE!$A$3:$AN$3,0)),GDP_Simple!O24)</f>
        <v>35.74</v>
      </c>
      <c r="P26">
        <f>IF($C$3="CGE",INDEX(GDP_CGE!$A$3:$AN$21,MATCH($A26,GDP_CGE!$A$3:$A$21,0),MATCH(P$9,GDP_CGE!$A$3:$AN$3,0)),GDP_Simple!P24)</f>
        <v>37.880000000000003</v>
      </c>
      <c r="Q26">
        <f>IF($C$3="CGE",INDEX(GDP_CGE!$A$3:$AN$21,MATCH($A26,GDP_CGE!$A$3:$A$21,0),MATCH(Q$9,GDP_CGE!$A$3:$AN$3,0)),GDP_Simple!Q24)</f>
        <v>40.24</v>
      </c>
      <c r="R26">
        <f>IF($C$3="CGE",INDEX(GDP_CGE!$A$3:$AN$21,MATCH($A26,GDP_CGE!$A$3:$A$21,0),MATCH(R$9,GDP_CGE!$A$3:$AN$3,0)),GDP_Simple!R24)</f>
        <v>42.9</v>
      </c>
      <c r="S26">
        <f>IF($C$3="CGE",INDEX(GDP_CGE!$A$3:$AN$21,MATCH($A26,GDP_CGE!$A$3:$A$21,0),MATCH(S$9,GDP_CGE!$A$3:$AN$3,0)),GDP_Simple!S24)</f>
        <v>45.9</v>
      </c>
      <c r="T26">
        <f>IF($C$3="CGE",INDEX(GDP_CGE!$A$3:$AN$21,MATCH($A26,GDP_CGE!$A$3:$A$21,0),MATCH(T$9,GDP_CGE!$A$3:$AN$3,0)),GDP_Simple!T24)</f>
        <v>49.13</v>
      </c>
      <c r="U26">
        <f>IF($C$3="CGE",INDEX(GDP_CGE!$A$3:$AN$21,MATCH($A26,GDP_CGE!$A$3:$A$21,0),MATCH(U$9,GDP_CGE!$A$3:$AN$3,0)),GDP_Simple!U24)</f>
        <v>52.76</v>
      </c>
      <c r="V26">
        <f>IF($C$3="CGE",INDEX(GDP_CGE!$A$3:$AN$21,MATCH($A26,GDP_CGE!$A$3:$A$21,0),MATCH(V$9,GDP_CGE!$A$3:$AN$3,0)),GDP_Simple!V24)</f>
        <v>56.4</v>
      </c>
      <c r="W26">
        <f>IF($C$3="CGE",INDEX(GDP_CGE!$A$3:$AN$21,MATCH($A26,GDP_CGE!$A$3:$A$21,0),MATCH(W$9,GDP_CGE!$A$3:$AN$3,0)),GDP_Simple!W24)</f>
        <v>60.42</v>
      </c>
      <c r="X26">
        <f>IF($C$3="CGE",INDEX(GDP_CGE!$A$3:$AN$21,MATCH($A26,GDP_CGE!$A$3:$A$21,0),MATCH(X$9,GDP_CGE!$A$3:$AN$3,0)),GDP_Simple!X24)</f>
        <v>64.709999999999994</v>
      </c>
      <c r="Y26">
        <f>IF($C$3="CGE",INDEX(GDP_CGE!$A$3:$AN$21,MATCH($A26,GDP_CGE!$A$3:$A$21,0),MATCH(Y$9,GDP_CGE!$A$3:$AN$3,0)),GDP_Simple!Y24)</f>
        <v>69.47</v>
      </c>
      <c r="Z26">
        <f>IF($C$3="CGE",INDEX(GDP_CGE!$A$3:$AN$21,MATCH($A26,GDP_CGE!$A$3:$A$21,0),MATCH(Z$9,GDP_CGE!$A$3:$AN$3,0)),GDP_Simple!Z24)</f>
        <v>74.56</v>
      </c>
      <c r="AA26">
        <f>IF($C$3="CGE",INDEX(GDP_CGE!$A$3:$AN$21,MATCH($A26,GDP_CGE!$A$3:$A$21,0),MATCH(AA$9,GDP_CGE!$A$3:$AN$3,0)),GDP_Simple!AA24)</f>
        <v>79.92</v>
      </c>
      <c r="AB26">
        <f>IF($C$3="CGE",INDEX(GDP_CGE!$A$3:$AN$21,MATCH($A26,GDP_CGE!$A$3:$A$21,0),MATCH(AB$9,GDP_CGE!$A$3:$AN$3,0)),GDP_Simple!AB24)</f>
        <v>85.44</v>
      </c>
      <c r="AC26">
        <f>IF($C$3="CGE",INDEX(GDP_CGE!$A$3:$AN$21,MATCH($A26,GDP_CGE!$A$3:$A$21,0),MATCH(AC$9,GDP_CGE!$A$3:$AN$3,0)),GDP_Simple!AC24)</f>
        <v>91.27</v>
      </c>
      <c r="AD26">
        <f>IF($C$3="CGE",INDEX(GDP_CGE!$A$3:$AN$21,MATCH($A26,GDP_CGE!$A$3:$A$21,0),MATCH(AD$9,GDP_CGE!$A$3:$AN$3,0)),GDP_Simple!AD24)</f>
        <v>97.47</v>
      </c>
      <c r="AE26">
        <f>IF($C$3="CGE",INDEX(GDP_CGE!$A$3:$AN$21,MATCH($A26,GDP_CGE!$A$3:$A$21,0),MATCH(AE$9,GDP_CGE!$A$3:$AN$3,0)),GDP_Simple!AE24)</f>
        <v>103.66</v>
      </c>
      <c r="AF26">
        <f>IF($C$3="CGE",INDEX(GDP_CGE!$A$3:$AN$21,MATCH($A26,GDP_CGE!$A$3:$A$21,0),MATCH(AF$9,GDP_CGE!$A$3:$AN$3,0)),GDP_Simple!AF24)</f>
        <v>109.94</v>
      </c>
      <c r="AG26">
        <f>IF($C$3="CGE",INDEX(GDP_CGE!$A$3:$AN$21,MATCH($A26,GDP_CGE!$A$3:$A$21,0),MATCH(AG$9,GDP_CGE!$A$3:$AN$3,0)),GDP_Simple!AG24)</f>
        <v>116.29</v>
      </c>
      <c r="AH26">
        <f>IF($C$3="CGE",INDEX(GDP_CGE!$A$3:$AN$21,MATCH($A26,GDP_CGE!$A$3:$A$21,0),MATCH(AH$9,GDP_CGE!$A$3:$AN$3,0)),GDP_Simple!AH24)</f>
        <v>122.76</v>
      </c>
      <c r="AI26">
        <f>IF($C$3="CGE",INDEX(GDP_CGE!$A$3:$AN$21,MATCH($A26,GDP_CGE!$A$3:$A$21,0),MATCH(AI$9,GDP_CGE!$A$3:$AN$3,0)),GDP_Simple!AI24)</f>
        <v>129.41999999999999</v>
      </c>
      <c r="AJ26">
        <f>IF($C$3="CGE",INDEX(GDP_CGE!$A$3:$AN$21,MATCH($A26,GDP_CGE!$A$3:$A$21,0),MATCH(AJ$9,GDP_CGE!$A$3:$AN$3,0)),GDP_Simple!AJ24)</f>
        <v>136.13999999999999</v>
      </c>
      <c r="AK26">
        <f>IF($C$3="CGE",INDEX(GDP_CGE!$A$3:$AN$21,MATCH($A26,GDP_CGE!$A$3:$A$21,0),MATCH(AK$9,GDP_CGE!$A$3:$AN$3,0)),GDP_Simple!AK24)</f>
        <v>142.99</v>
      </c>
      <c r="AL26">
        <f>IF($C$3="CGE",INDEX(GDP_CGE!$A$3:$AN$21,MATCH($A26,GDP_CGE!$A$3:$A$21,0),MATCH(AL$9,GDP_CGE!$A$3:$AN$3,0)),GDP_Simple!AL24)</f>
        <v>149.66</v>
      </c>
      <c r="AM26">
        <f>IF($C$3="CGE",INDEX(GDP_CGE!$A$3:$AN$21,MATCH($A26,GDP_CGE!$A$3:$A$21,0),MATCH(AM$9,GDP_CGE!$A$3:$AN$3,0)),GDP_Simple!AM24)</f>
        <v>156.57</v>
      </c>
      <c r="AN26">
        <f>IF($C$3="CGE",INDEX(GDP_CGE!$A$3:$AN$21,MATCH($A26,GDP_CGE!$A$3:$A$21,0),MATCH(AN$9,GDP_CGE!$A$3:$AN$3,0)),GDP_Simple!AN24)</f>
        <v>163.72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1.1399999999999999</v>
      </c>
      <c r="C27">
        <f>IF($C$3="CGE",INDEX(GDP_CGE!$A$3:$AN$21,MATCH($A27,GDP_CGE!$A$3:$A$21,0),MATCH(C$9,GDP_CGE!$A$3:$AN$3,0)),GDP_Simple!C25)</f>
        <v>1.1599999999999999</v>
      </c>
      <c r="D27">
        <f>IF($C$3="CGE",INDEX(GDP_CGE!$A$3:$AN$21,MATCH($A27,GDP_CGE!$A$3:$A$21,0),MATCH(D$9,GDP_CGE!$A$3:$AN$3,0)),GDP_Simple!D25)</f>
        <v>1.1399999999999999</v>
      </c>
      <c r="E27">
        <f>IF($C$3="CGE",INDEX(GDP_CGE!$A$3:$AN$21,MATCH($A27,GDP_CGE!$A$3:$A$21,0),MATCH(E$9,GDP_CGE!$A$3:$AN$3,0)),GDP_Simple!E25)</f>
        <v>1.1299999999999999</v>
      </c>
      <c r="F27">
        <f>IF($C$3="CGE",INDEX(GDP_CGE!$A$3:$AN$21,MATCH($A27,GDP_CGE!$A$3:$A$21,0),MATCH(F$9,GDP_CGE!$A$3:$AN$3,0)),GDP_Simple!F25)</f>
        <v>1.1499999999999999</v>
      </c>
      <c r="G27">
        <f>IF($C$3="CGE",INDEX(GDP_CGE!$A$3:$AN$21,MATCH($A27,GDP_CGE!$A$3:$A$21,0),MATCH(G$9,GDP_CGE!$A$3:$AN$3,0)),GDP_Simple!G25)</f>
        <v>1.1499999999999999</v>
      </c>
      <c r="H27">
        <f>IF($C$3="CGE",INDEX(GDP_CGE!$A$3:$AN$21,MATCH($A27,GDP_CGE!$A$3:$A$21,0),MATCH(H$9,GDP_CGE!$A$3:$AN$3,0)),GDP_Simple!H25)</f>
        <v>1.1200000000000001</v>
      </c>
      <c r="I27">
        <f>IF($C$3="CGE",INDEX(GDP_CGE!$A$3:$AN$21,MATCH($A27,GDP_CGE!$A$3:$A$21,0),MATCH(I$9,GDP_CGE!$A$3:$AN$3,0)),GDP_Simple!I25)</f>
        <v>1.0900000000000001</v>
      </c>
      <c r="J27">
        <f>IF($C$3="CGE",INDEX(GDP_CGE!$A$3:$AN$21,MATCH($A27,GDP_CGE!$A$3:$A$21,0),MATCH(J$9,GDP_CGE!$A$3:$AN$3,0)),GDP_Simple!J25)</f>
        <v>0.99</v>
      </c>
      <c r="K27">
        <f>IF($C$3="CGE",INDEX(GDP_CGE!$A$3:$AN$21,MATCH($A27,GDP_CGE!$A$3:$A$21,0),MATCH(K$9,GDP_CGE!$A$3:$AN$3,0)),GDP_Simple!K25)</f>
        <v>0.99</v>
      </c>
      <c r="L27">
        <f>IF($C$3="CGE",INDEX(GDP_CGE!$A$3:$AN$21,MATCH($A27,GDP_CGE!$A$3:$A$21,0),MATCH(L$9,GDP_CGE!$A$3:$AN$3,0)),GDP_Simple!L25)</f>
        <v>1</v>
      </c>
      <c r="M27">
        <f>IF($C$3="CGE",INDEX(GDP_CGE!$A$3:$AN$21,MATCH($A27,GDP_CGE!$A$3:$A$21,0),MATCH(M$9,GDP_CGE!$A$3:$AN$3,0)),GDP_Simple!M25)</f>
        <v>1.02</v>
      </c>
      <c r="N27">
        <f>IF($C$3="CGE",INDEX(GDP_CGE!$A$3:$AN$21,MATCH($A27,GDP_CGE!$A$3:$A$21,0),MATCH(N$9,GDP_CGE!$A$3:$AN$3,0)),GDP_Simple!N25)</f>
        <v>1.03</v>
      </c>
      <c r="O27">
        <f>IF($C$3="CGE",INDEX(GDP_CGE!$A$3:$AN$21,MATCH($A27,GDP_CGE!$A$3:$A$21,0),MATCH(O$9,GDP_CGE!$A$3:$AN$3,0)),GDP_Simple!O25)</f>
        <v>1.05</v>
      </c>
      <c r="P27">
        <f>IF($C$3="CGE",INDEX(GDP_CGE!$A$3:$AN$21,MATCH($A27,GDP_CGE!$A$3:$A$21,0),MATCH(P$9,GDP_CGE!$A$3:$AN$3,0)),GDP_Simple!P25)</f>
        <v>1.07</v>
      </c>
      <c r="Q27">
        <f>IF($C$3="CGE",INDEX(GDP_CGE!$A$3:$AN$21,MATCH($A27,GDP_CGE!$A$3:$A$21,0),MATCH(Q$9,GDP_CGE!$A$3:$AN$3,0)),GDP_Simple!Q25)</f>
        <v>1.0900000000000001</v>
      </c>
      <c r="R27">
        <f>IF($C$3="CGE",INDEX(GDP_CGE!$A$3:$AN$21,MATCH($A27,GDP_CGE!$A$3:$A$21,0),MATCH(R$9,GDP_CGE!$A$3:$AN$3,0)),GDP_Simple!R25)</f>
        <v>1.1100000000000001</v>
      </c>
      <c r="S27">
        <f>IF($C$3="CGE",INDEX(GDP_CGE!$A$3:$AN$21,MATCH($A27,GDP_CGE!$A$3:$A$21,0),MATCH(S$9,GDP_CGE!$A$3:$AN$3,0)),GDP_Simple!S25)</f>
        <v>1.1399999999999999</v>
      </c>
      <c r="T27">
        <f>IF($C$3="CGE",INDEX(GDP_CGE!$A$3:$AN$21,MATCH($A27,GDP_CGE!$A$3:$A$21,0),MATCH(T$9,GDP_CGE!$A$3:$AN$3,0)),GDP_Simple!T25)</f>
        <v>1.1599999999999999</v>
      </c>
      <c r="U27">
        <f>IF($C$3="CGE",INDEX(GDP_CGE!$A$3:$AN$21,MATCH($A27,GDP_CGE!$A$3:$A$21,0),MATCH(U$9,GDP_CGE!$A$3:$AN$3,0)),GDP_Simple!U25)</f>
        <v>1.2</v>
      </c>
      <c r="V27">
        <f>IF($C$3="CGE",INDEX(GDP_CGE!$A$3:$AN$21,MATCH($A27,GDP_CGE!$A$3:$A$21,0),MATCH(V$9,GDP_CGE!$A$3:$AN$3,0)),GDP_Simple!V25)</f>
        <v>1.23</v>
      </c>
      <c r="W27">
        <f>IF($C$3="CGE",INDEX(GDP_CGE!$A$3:$AN$21,MATCH($A27,GDP_CGE!$A$3:$A$21,0),MATCH(W$9,GDP_CGE!$A$3:$AN$3,0)),GDP_Simple!W25)</f>
        <v>1.27</v>
      </c>
      <c r="X27">
        <f>IF($C$3="CGE",INDEX(GDP_CGE!$A$3:$AN$21,MATCH($A27,GDP_CGE!$A$3:$A$21,0),MATCH(X$9,GDP_CGE!$A$3:$AN$3,0)),GDP_Simple!X25)</f>
        <v>1.31</v>
      </c>
      <c r="Y27">
        <f>IF($C$3="CGE",INDEX(GDP_CGE!$A$3:$AN$21,MATCH($A27,GDP_CGE!$A$3:$A$21,0),MATCH(Y$9,GDP_CGE!$A$3:$AN$3,0)),GDP_Simple!Y25)</f>
        <v>1.36</v>
      </c>
      <c r="Z27">
        <f>IF($C$3="CGE",INDEX(GDP_CGE!$A$3:$AN$21,MATCH($A27,GDP_CGE!$A$3:$A$21,0),MATCH(Z$9,GDP_CGE!$A$3:$AN$3,0)),GDP_Simple!Z25)</f>
        <v>1.42</v>
      </c>
      <c r="AA27">
        <f>IF($C$3="CGE",INDEX(GDP_CGE!$A$3:$AN$21,MATCH($A27,GDP_CGE!$A$3:$A$21,0),MATCH(AA$9,GDP_CGE!$A$3:$AN$3,0)),GDP_Simple!AA25)</f>
        <v>1.47</v>
      </c>
      <c r="AB27">
        <f>IF($C$3="CGE",INDEX(GDP_CGE!$A$3:$AN$21,MATCH($A27,GDP_CGE!$A$3:$A$21,0),MATCH(AB$9,GDP_CGE!$A$3:$AN$3,0)),GDP_Simple!AB25)</f>
        <v>1.53</v>
      </c>
      <c r="AC27">
        <f>IF($C$3="CGE",INDEX(GDP_CGE!$A$3:$AN$21,MATCH($A27,GDP_CGE!$A$3:$A$21,0),MATCH(AC$9,GDP_CGE!$A$3:$AN$3,0)),GDP_Simple!AC25)</f>
        <v>1.58</v>
      </c>
      <c r="AD27">
        <f>IF($C$3="CGE",INDEX(GDP_CGE!$A$3:$AN$21,MATCH($A27,GDP_CGE!$A$3:$A$21,0),MATCH(AD$9,GDP_CGE!$A$3:$AN$3,0)),GDP_Simple!AD25)</f>
        <v>1.65</v>
      </c>
      <c r="AE27">
        <f>IF($C$3="CGE",INDEX(GDP_CGE!$A$3:$AN$21,MATCH($A27,GDP_CGE!$A$3:$A$21,0),MATCH(AE$9,GDP_CGE!$A$3:$AN$3,0)),GDP_Simple!AE25)</f>
        <v>1.71</v>
      </c>
      <c r="AF27">
        <f>IF($C$3="CGE",INDEX(GDP_CGE!$A$3:$AN$21,MATCH($A27,GDP_CGE!$A$3:$A$21,0),MATCH(AF$9,GDP_CGE!$A$3:$AN$3,0)),GDP_Simple!AF25)</f>
        <v>1.79</v>
      </c>
      <c r="AG27">
        <f>IF($C$3="CGE",INDEX(GDP_CGE!$A$3:$AN$21,MATCH($A27,GDP_CGE!$A$3:$A$21,0),MATCH(AG$9,GDP_CGE!$A$3:$AN$3,0)),GDP_Simple!AG25)</f>
        <v>1.87</v>
      </c>
      <c r="AH27">
        <f>IF($C$3="CGE",INDEX(GDP_CGE!$A$3:$AN$21,MATCH($A27,GDP_CGE!$A$3:$A$21,0),MATCH(AH$9,GDP_CGE!$A$3:$AN$3,0)),GDP_Simple!AH25)</f>
        <v>1.95</v>
      </c>
      <c r="AI27">
        <f>IF($C$3="CGE",INDEX(GDP_CGE!$A$3:$AN$21,MATCH($A27,GDP_CGE!$A$3:$A$21,0),MATCH(AI$9,GDP_CGE!$A$3:$AN$3,0)),GDP_Simple!AI25)</f>
        <v>2.0499999999999998</v>
      </c>
      <c r="AJ27">
        <f>IF($C$3="CGE",INDEX(GDP_CGE!$A$3:$AN$21,MATCH($A27,GDP_CGE!$A$3:$A$21,0),MATCH(AJ$9,GDP_CGE!$A$3:$AN$3,0)),GDP_Simple!AJ25)</f>
        <v>2.16</v>
      </c>
      <c r="AK27">
        <f>IF($C$3="CGE",INDEX(GDP_CGE!$A$3:$AN$21,MATCH($A27,GDP_CGE!$A$3:$A$21,0),MATCH(AK$9,GDP_CGE!$A$3:$AN$3,0)),GDP_Simple!AK25)</f>
        <v>2.2799999999999998</v>
      </c>
      <c r="AL27">
        <f>IF($C$3="CGE",INDEX(GDP_CGE!$A$3:$AN$21,MATCH($A27,GDP_CGE!$A$3:$A$21,0),MATCH(AL$9,GDP_CGE!$A$3:$AN$3,0)),GDP_Simple!AL25)</f>
        <v>2.4</v>
      </c>
      <c r="AM27">
        <f>IF($C$3="CGE",INDEX(GDP_CGE!$A$3:$AN$21,MATCH($A27,GDP_CGE!$A$3:$A$21,0),MATCH(AM$9,GDP_CGE!$A$3:$AN$3,0)),GDP_Simple!AM25)</f>
        <v>2.5299999999999998</v>
      </c>
      <c r="AN27">
        <f>IF($C$3="CGE",INDEX(GDP_CGE!$A$3:$AN$21,MATCH($A27,GDP_CGE!$A$3:$A$21,0),MATCH(AN$9,GDP_CGE!$A$3:$AN$3,0)),GDP_Simple!AN25)</f>
        <v>2.66</v>
      </c>
    </row>
    <row r="30" spans="1:40" ht="18" thickBot="1" x14ac:dyDescent="0.35">
      <c r="A30" s="4" t="s">
        <v>59</v>
      </c>
      <c r="B30" s="4"/>
      <c r="C30" s="4"/>
      <c r="F30" t="s">
        <v>65</v>
      </c>
      <c r="G30">
        <f t="shared" ref="G30:AM30" si="2">ROUNDUP((G31-2000)/5,0)*5+2000</f>
        <v>2020</v>
      </c>
      <c r="H30">
        <f t="shared" si="2"/>
        <v>2020</v>
      </c>
      <c r="I30">
        <f t="shared" si="2"/>
        <v>2020</v>
      </c>
      <c r="J30">
        <f t="shared" si="2"/>
        <v>2025</v>
      </c>
      <c r="K30">
        <f t="shared" si="2"/>
        <v>2025</v>
      </c>
      <c r="L30">
        <f t="shared" si="2"/>
        <v>2025</v>
      </c>
      <c r="M30">
        <f t="shared" si="2"/>
        <v>2025</v>
      </c>
      <c r="N30">
        <f t="shared" si="2"/>
        <v>2025</v>
      </c>
      <c r="O30">
        <f t="shared" si="2"/>
        <v>2030</v>
      </c>
      <c r="P30">
        <f t="shared" si="2"/>
        <v>2030</v>
      </c>
      <c r="Q30">
        <f t="shared" si="2"/>
        <v>2030</v>
      </c>
      <c r="R30">
        <f t="shared" si="2"/>
        <v>2030</v>
      </c>
      <c r="S30">
        <f t="shared" si="2"/>
        <v>2030</v>
      </c>
      <c r="T30">
        <f t="shared" si="2"/>
        <v>2035</v>
      </c>
      <c r="U30">
        <f t="shared" si="2"/>
        <v>2035</v>
      </c>
      <c r="V30">
        <f t="shared" si="2"/>
        <v>2035</v>
      </c>
      <c r="W30">
        <f t="shared" si="2"/>
        <v>2035</v>
      </c>
      <c r="X30">
        <f t="shared" si="2"/>
        <v>2035</v>
      </c>
      <c r="Y30">
        <f t="shared" si="2"/>
        <v>2040</v>
      </c>
      <c r="Z30">
        <f t="shared" si="2"/>
        <v>2040</v>
      </c>
      <c r="AA30">
        <f t="shared" si="2"/>
        <v>2040</v>
      </c>
      <c r="AB30">
        <f t="shared" si="2"/>
        <v>2040</v>
      </c>
      <c r="AC30">
        <f t="shared" si="2"/>
        <v>2040</v>
      </c>
      <c r="AD30">
        <f t="shared" si="2"/>
        <v>2045</v>
      </c>
      <c r="AE30">
        <f t="shared" si="2"/>
        <v>2045</v>
      </c>
      <c r="AF30">
        <f t="shared" si="2"/>
        <v>2045</v>
      </c>
      <c r="AG30">
        <f t="shared" si="2"/>
        <v>2045</v>
      </c>
      <c r="AH30">
        <f t="shared" si="2"/>
        <v>2045</v>
      </c>
      <c r="AI30">
        <f t="shared" si="2"/>
        <v>2050</v>
      </c>
      <c r="AJ30">
        <f t="shared" si="2"/>
        <v>2050</v>
      </c>
      <c r="AK30">
        <f t="shared" si="2"/>
        <v>2050</v>
      </c>
      <c r="AL30">
        <f t="shared" si="2"/>
        <v>2050</v>
      </c>
      <c r="AM30">
        <f t="shared" si="2"/>
        <v>2050</v>
      </c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A37</f>
        <v>52325.432882070083</v>
      </c>
      <c r="B32" s="9">
        <f t="shared" ref="B32:F32" si="3">B37</f>
        <v>53104.386458423345</v>
      </c>
      <c r="C32" s="9">
        <f t="shared" si="3"/>
        <v>53912.365691429273</v>
      </c>
      <c r="D32" s="9">
        <f t="shared" si="3"/>
        <v>54750.491457321114</v>
      </c>
      <c r="E32" s="9">
        <f t="shared" si="3"/>
        <v>55619.940469824825</v>
      </c>
      <c r="F32" s="9">
        <f t="shared" si="3"/>
        <v>56521.948041648095</v>
      </c>
      <c r="G32" s="9">
        <f t="shared" ref="G32:AM32" si="4">F32*(1+INDEX($G$38:$Q$38,1,MATCH(G30,$G$36:$Q$36,0)))</f>
        <v>57436.000617299658</v>
      </c>
      <c r="H32" s="9">
        <f t="shared" si="4"/>
        <v>58364.834921819442</v>
      </c>
      <c r="I32" s="9">
        <f t="shared" si="4"/>
        <v>59308.69</v>
      </c>
      <c r="J32" s="9">
        <f t="shared" si="4"/>
        <v>59991.580449204266</v>
      </c>
      <c r="K32" s="9">
        <f t="shared" si="4"/>
        <v>60682.333816399376</v>
      </c>
      <c r="L32" s="9">
        <f t="shared" si="4"/>
        <v>61381.040636574369</v>
      </c>
      <c r="M32" s="9">
        <f t="shared" si="4"/>
        <v>62087.792487153696</v>
      </c>
      <c r="N32" s="9">
        <f t="shared" si="4"/>
        <v>62802.682000000023</v>
      </c>
      <c r="O32" s="9">
        <f t="shared" si="4"/>
        <v>63421.065342005146</v>
      </c>
      <c r="P32" s="9">
        <f t="shared" si="4"/>
        <v>64045.537563425794</v>
      </c>
      <c r="Q32" s="9">
        <f t="shared" si="4"/>
        <v>64676.158618096451</v>
      </c>
      <c r="R32" s="9">
        <f t="shared" si="4"/>
        <v>65312.989050183925</v>
      </c>
      <c r="S32" s="9">
        <f t="shared" si="4"/>
        <v>65956.09</v>
      </c>
      <c r="T32" s="9">
        <f t="shared" si="4"/>
        <v>66518.97719068767</v>
      </c>
      <c r="U32" s="9">
        <f t="shared" si="4"/>
        <v>67086.668213583107</v>
      </c>
      <c r="V32" s="9">
        <f t="shared" si="4"/>
        <v>67659.20406589545</v>
      </c>
      <c r="W32" s="9">
        <f t="shared" si="4"/>
        <v>68236.62609471516</v>
      </c>
      <c r="X32" s="9">
        <f t="shared" si="4"/>
        <v>68818.97600000001</v>
      </c>
      <c r="Y32" s="9">
        <f t="shared" si="4"/>
        <v>69322.810489383541</v>
      </c>
      <c r="Z32" s="9">
        <f t="shared" si="4"/>
        <v>69830.333629884059</v>
      </c>
      <c r="AA32" s="9">
        <f t="shared" si="4"/>
        <v>70341.572426693441</v>
      </c>
      <c r="AB32" s="9">
        <f t="shared" si="4"/>
        <v>70856.554082712813</v>
      </c>
      <c r="AC32" s="9">
        <f t="shared" si="4"/>
        <v>71375.305999999997</v>
      </c>
      <c r="AD32" s="9">
        <f t="shared" si="4"/>
        <v>71818.612994947311</v>
      </c>
      <c r="AE32" s="9">
        <f t="shared" si="4"/>
        <v>72264.673338395412</v>
      </c>
      <c r="AF32" s="9">
        <f t="shared" si="4"/>
        <v>72713.504131197798</v>
      </c>
      <c r="AG32" s="9">
        <f t="shared" si="4"/>
        <v>73165.122580420139</v>
      </c>
      <c r="AH32" s="9">
        <f t="shared" si="4"/>
        <v>73619.545999999973</v>
      </c>
      <c r="AI32" s="9">
        <f t="shared" si="4"/>
        <v>73995.362001779533</v>
      </c>
      <c r="AJ32" s="9">
        <f t="shared" si="4"/>
        <v>74373.096484110356</v>
      </c>
      <c r="AK32" s="9">
        <f t="shared" si="4"/>
        <v>74752.759240528656</v>
      </c>
      <c r="AL32" s="9">
        <f t="shared" si="4"/>
        <v>75134.360114565105</v>
      </c>
      <c r="AM32" s="9">
        <f t="shared" si="4"/>
        <v>75517.908999999985</v>
      </c>
    </row>
    <row r="35" spans="1:40" x14ac:dyDescent="0.25">
      <c r="A35" t="s">
        <v>63</v>
      </c>
      <c r="G35" t="s">
        <v>64</v>
      </c>
      <c r="K35" t="s">
        <v>60</v>
      </c>
      <c r="L35" s="5" t="s">
        <v>61</v>
      </c>
      <c r="S35" t="s">
        <v>62</v>
      </c>
    </row>
    <row r="36" spans="1:40" x14ac:dyDescent="0.25">
      <c r="A36" s="8">
        <v>2012</v>
      </c>
      <c r="B36" s="8">
        <f>A36+1</f>
        <v>2013</v>
      </c>
      <c r="C36" s="8">
        <f t="shared" ref="C36:F36" si="5">B36+1</f>
        <v>2014</v>
      </c>
      <c r="D36" s="8">
        <f t="shared" si="5"/>
        <v>2015</v>
      </c>
      <c r="E36" s="8">
        <f t="shared" si="5"/>
        <v>2016</v>
      </c>
      <c r="F36" s="8">
        <f t="shared" si="5"/>
        <v>2017</v>
      </c>
      <c r="G36" s="7">
        <v>2020</v>
      </c>
      <c r="H36" s="7">
        <v>2025</v>
      </c>
      <c r="I36" s="7">
        <v>2030</v>
      </c>
      <c r="J36" s="7">
        <v>2035</v>
      </c>
      <c r="K36" s="7">
        <v>2040</v>
      </c>
      <c r="L36" s="7">
        <v>2045</v>
      </c>
      <c r="M36" s="7">
        <v>2050</v>
      </c>
      <c r="N36" s="7">
        <v>2055</v>
      </c>
      <c r="O36" s="7">
        <v>2060</v>
      </c>
      <c r="P36" s="7">
        <v>2065</v>
      </c>
      <c r="Q36" s="7">
        <v>2070</v>
      </c>
    </row>
    <row r="37" spans="1:40" x14ac:dyDescent="0.25">
      <c r="A37" s="11">
        <v>52325.432882070083</v>
      </c>
      <c r="B37" s="11">
        <v>53104.386458423345</v>
      </c>
      <c r="C37" s="11">
        <v>53912.365691429273</v>
      </c>
      <c r="D37" s="11">
        <v>54750.491457321114</v>
      </c>
      <c r="E37" s="11">
        <v>55619.940469824825</v>
      </c>
      <c r="F37" s="11">
        <v>56521.948041648095</v>
      </c>
      <c r="G37" s="10">
        <v>59308.69</v>
      </c>
      <c r="H37" s="10">
        <v>62802.682000000001</v>
      </c>
      <c r="I37" s="10">
        <v>65956.09</v>
      </c>
      <c r="J37" s="10">
        <v>68818.975999999995</v>
      </c>
      <c r="K37" s="10">
        <v>71375.305999999997</v>
      </c>
      <c r="L37" s="10">
        <v>73619.546000000002</v>
      </c>
      <c r="M37" s="10">
        <v>75517.909</v>
      </c>
      <c r="N37" s="10">
        <v>77034.739000000001</v>
      </c>
      <c r="O37" s="10">
        <v>78172.047999999995</v>
      </c>
      <c r="P37" s="10">
        <v>78973.285999999993</v>
      </c>
      <c r="Q37" s="10">
        <v>79498.839000000007</v>
      </c>
    </row>
    <row r="38" spans="1:40" x14ac:dyDescent="0.25">
      <c r="B38" s="6">
        <f>B37/A37-1</f>
        <v>1.4886710600347186E-2</v>
      </c>
      <c r="C38" s="6">
        <f t="shared" ref="C38:F38" si="6">C37/B37-1</f>
        <v>1.5214924545611908E-2</v>
      </c>
      <c r="D38" s="6">
        <f t="shared" si="6"/>
        <v>1.5546076584524338E-2</v>
      </c>
      <c r="E38" s="6">
        <f t="shared" si="6"/>
        <v>1.5880204713440094E-2</v>
      </c>
      <c r="F38" s="6">
        <f t="shared" si="6"/>
        <v>1.6217341554197295E-2</v>
      </c>
      <c r="G38" s="6">
        <f>(G37/F37)^(1/3)-1</f>
        <v>1.6171639643029367E-2</v>
      </c>
      <c r="H38" s="6">
        <f>(H37/G37)^(1/5)-1</f>
        <v>1.1514171855832034E-2</v>
      </c>
      <c r="I38" s="6">
        <f t="shared" ref="I38:Q38" si="7">(I37/H37)^(1/5)-1</f>
        <v>9.8464479909492475E-3</v>
      </c>
      <c r="J38" s="6">
        <f t="shared" si="7"/>
        <v>8.5342716751048986E-3</v>
      </c>
      <c r="K38" s="6">
        <f t="shared" si="7"/>
        <v>7.3211564406818752E-3</v>
      </c>
      <c r="L38" s="6">
        <f t="shared" si="7"/>
        <v>6.210929518779329E-3</v>
      </c>
      <c r="M38" s="6">
        <f t="shared" si="7"/>
        <v>5.1048399806699063E-3</v>
      </c>
      <c r="N38" s="6">
        <f t="shared" si="7"/>
        <v>3.9852485744564792E-3</v>
      </c>
      <c r="O38" s="6">
        <f t="shared" si="7"/>
        <v>2.9354330188284816E-3</v>
      </c>
      <c r="P38" s="6">
        <f t="shared" si="7"/>
        <v>2.0415816324019787E-3</v>
      </c>
      <c r="Q38" s="6">
        <f t="shared" si="7"/>
        <v>1.3274351427250419E-3</v>
      </c>
    </row>
    <row r="41" spans="1:40" ht="18" thickBot="1" x14ac:dyDescent="0.35">
      <c r="A41" s="4" t="s">
        <v>119</v>
      </c>
      <c r="B41" s="4"/>
      <c r="C41" s="4"/>
      <c r="D41" s="4"/>
      <c r="E41" s="4"/>
      <c r="F41" s="4"/>
      <c r="G41" s="4"/>
      <c r="H41" s="4"/>
    </row>
    <row r="42" spans="1:40" ht="15.75" thickTop="1" x14ac:dyDescent="0.25">
      <c r="B42" s="3">
        <v>2012</v>
      </c>
      <c r="C42" s="3">
        <v>2013</v>
      </c>
      <c r="D42" s="3">
        <v>2014</v>
      </c>
      <c r="E42" s="3">
        <v>2015</v>
      </c>
      <c r="F42" s="3">
        <v>2016</v>
      </c>
      <c r="G42" s="3">
        <v>2017</v>
      </c>
      <c r="H42" s="3">
        <v>2018</v>
      </c>
      <c r="I42" s="3">
        <v>2019</v>
      </c>
      <c r="J42" s="3">
        <v>2020</v>
      </c>
      <c r="K42" s="3">
        <v>2021</v>
      </c>
      <c r="L42" s="3">
        <v>2022</v>
      </c>
      <c r="M42" s="3">
        <v>2023</v>
      </c>
      <c r="N42" s="3">
        <v>2024</v>
      </c>
      <c r="O42" s="3">
        <v>2025</v>
      </c>
      <c r="P42" s="3">
        <v>2026</v>
      </c>
      <c r="Q42" s="3">
        <v>2027</v>
      </c>
      <c r="R42" s="3">
        <v>2028</v>
      </c>
      <c r="S42" s="3">
        <v>2029</v>
      </c>
      <c r="T42" s="3">
        <v>2030</v>
      </c>
      <c r="U42" s="3">
        <v>2031</v>
      </c>
      <c r="V42" s="3">
        <v>2032</v>
      </c>
      <c r="W42" s="3">
        <v>2033</v>
      </c>
      <c r="X42" s="3">
        <v>2034</v>
      </c>
      <c r="Y42" s="3">
        <v>2035</v>
      </c>
      <c r="Z42" s="3">
        <v>2036</v>
      </c>
      <c r="AA42" s="3">
        <v>2037</v>
      </c>
      <c r="AB42" s="3">
        <v>2038</v>
      </c>
      <c r="AC42">
        <v>2039</v>
      </c>
      <c r="AD42">
        <v>2040</v>
      </c>
      <c r="AE42">
        <v>2041</v>
      </c>
      <c r="AF42">
        <v>2042</v>
      </c>
      <c r="AG42">
        <v>2043</v>
      </c>
      <c r="AH42">
        <v>2044</v>
      </c>
      <c r="AI42">
        <v>2045</v>
      </c>
      <c r="AJ42">
        <v>2046</v>
      </c>
      <c r="AK42">
        <v>2047</v>
      </c>
      <c r="AL42">
        <v>2048</v>
      </c>
      <c r="AM42">
        <v>2049</v>
      </c>
      <c r="AN42">
        <v>2050</v>
      </c>
    </row>
    <row r="43" spans="1:40" x14ac:dyDescent="0.25">
      <c r="A43" s="3" t="s">
        <v>66</v>
      </c>
      <c r="B43" s="12">
        <v>0.50003199863472492</v>
      </c>
      <c r="C43" s="12">
        <v>0.49674335943460585</v>
      </c>
      <c r="D43" s="12">
        <v>0.48822868689454441</v>
      </c>
      <c r="E43" s="12">
        <v>0.48147500627885365</v>
      </c>
      <c r="F43" s="12">
        <v>0.47737656478533347</v>
      </c>
      <c r="G43" s="12">
        <v>0.47023794558911891</v>
      </c>
      <c r="H43" s="12">
        <v>0.46353394236211087</v>
      </c>
      <c r="I43" s="12">
        <v>0.46108769196199162</v>
      </c>
      <c r="J43" s="12">
        <v>0.47398769619141334</v>
      </c>
      <c r="K43" s="12">
        <v>0.48802294893321585</v>
      </c>
      <c r="L43" s="12">
        <v>0.48160744524963783</v>
      </c>
      <c r="M43" s="12">
        <v>0.47529731801684205</v>
      </c>
      <c r="N43" s="12">
        <v>0.4689535605229086</v>
      </c>
      <c r="O43" s="12">
        <v>0.46306118439391969</v>
      </c>
      <c r="P43" s="12">
        <v>0.4555068405538002</v>
      </c>
      <c r="Q43" s="12">
        <v>0.44739940977174142</v>
      </c>
      <c r="R43" s="12">
        <v>0.43930961502928784</v>
      </c>
      <c r="S43" s="12">
        <v>0.43052643049427919</v>
      </c>
      <c r="T43" s="12">
        <v>0.42216842844292707</v>
      </c>
      <c r="U43" s="12">
        <v>0.4135496006513194</v>
      </c>
      <c r="V43" s="12">
        <v>0.40521721442606407</v>
      </c>
      <c r="W43" s="12">
        <v>0.39683874390439688</v>
      </c>
      <c r="X43" s="12">
        <v>0.38789767317654972</v>
      </c>
      <c r="Y43" s="12">
        <v>0.37860953755372506</v>
      </c>
      <c r="Z43" s="12">
        <v>0.3694539819598327</v>
      </c>
      <c r="AA43" s="12">
        <v>0.36068644391934845</v>
      </c>
      <c r="AB43" s="12">
        <v>0.35227821304680329</v>
      </c>
      <c r="AC43" s="12">
        <v>0.34415250138874304</v>
      </c>
      <c r="AD43" s="12">
        <v>0.33605734555939903</v>
      </c>
      <c r="AE43" s="12">
        <v>0.32771224641837343</v>
      </c>
      <c r="AF43" s="12">
        <v>0.3195955838917251</v>
      </c>
      <c r="AG43" s="12">
        <v>0.31161667472449101</v>
      </c>
      <c r="AH43" s="12">
        <v>0.30376621559511952</v>
      </c>
      <c r="AI43" s="12">
        <v>0.29595650938485324</v>
      </c>
      <c r="AJ43" s="12">
        <v>0.28826782153236025</v>
      </c>
      <c r="AK43" s="12">
        <v>0.28068634430159989</v>
      </c>
      <c r="AL43" s="12">
        <v>0.27343643787439709</v>
      </c>
      <c r="AM43" s="12">
        <v>0.2664185400721153</v>
      </c>
      <c r="AN43" s="12">
        <v>0.25945257650105208</v>
      </c>
    </row>
    <row r="44" spans="1:40" x14ac:dyDescent="0.25">
      <c r="A44" s="3" t="s">
        <v>67</v>
      </c>
      <c r="B44" s="12">
        <v>0.30001919918083497</v>
      </c>
      <c r="C44" s="12">
        <v>0.29644362454654938</v>
      </c>
      <c r="D44" s="12">
        <v>0.29989890368726985</v>
      </c>
      <c r="E44" s="12">
        <v>0.30319595185227072</v>
      </c>
      <c r="F44" s="12">
        <v>0.30522800836475233</v>
      </c>
      <c r="G44" s="12">
        <v>0.30605482173653453</v>
      </c>
      <c r="H44" s="12">
        <v>0.30932373575545163</v>
      </c>
      <c r="I44" s="12">
        <v>0.31228368417755731</v>
      </c>
      <c r="J44" s="12">
        <v>0.32375163521226069</v>
      </c>
      <c r="K44" s="12">
        <v>0.30681637697278535</v>
      </c>
      <c r="L44" s="12">
        <v>0.30899051207902728</v>
      </c>
      <c r="M44" s="12">
        <v>0.31073061540438202</v>
      </c>
      <c r="N44" s="12">
        <v>0.31288111144304859</v>
      </c>
      <c r="O44" s="12">
        <v>0.31491255593475925</v>
      </c>
      <c r="P44" s="12">
        <v>0.31628939074725432</v>
      </c>
      <c r="Q44" s="12">
        <v>0.31847593645969752</v>
      </c>
      <c r="R44" s="12">
        <v>0.32044792827503243</v>
      </c>
      <c r="S44" s="12">
        <v>0.32217124766279381</v>
      </c>
      <c r="T44" s="12">
        <v>0.32472047549482769</v>
      </c>
      <c r="U44" s="12">
        <v>0.32634303861147274</v>
      </c>
      <c r="V44" s="12">
        <v>0.32889986401097365</v>
      </c>
      <c r="W44" s="12">
        <v>0.33081335717795152</v>
      </c>
      <c r="X44" s="12">
        <v>0.33290577410474198</v>
      </c>
      <c r="Y44" s="12">
        <v>0.3350106446536113</v>
      </c>
      <c r="Z44" s="12">
        <v>0.33736398356282593</v>
      </c>
      <c r="AA44" s="12">
        <v>0.33948242167787424</v>
      </c>
      <c r="AB44" s="12">
        <v>0.34168685597597181</v>
      </c>
      <c r="AC44" s="12">
        <v>0.34372210155141747</v>
      </c>
      <c r="AD44" s="12">
        <v>0.34569570470434441</v>
      </c>
      <c r="AE44" s="12">
        <v>0.3473542306386222</v>
      </c>
      <c r="AF44" s="12">
        <v>0.34891157351144181</v>
      </c>
      <c r="AG44" s="12">
        <v>0.35047596741434678</v>
      </c>
      <c r="AH44" s="12">
        <v>0.3520351033371365</v>
      </c>
      <c r="AI44" s="12">
        <v>0.35353162196051169</v>
      </c>
      <c r="AJ44" s="12">
        <v>0.35519503153173082</v>
      </c>
      <c r="AK44" s="12">
        <v>0.35685939070599704</v>
      </c>
      <c r="AL44" s="12">
        <v>0.35861453802253224</v>
      </c>
      <c r="AM44" s="12">
        <v>0.36021589852188485</v>
      </c>
      <c r="AN44" s="12">
        <v>0.36180135191051532</v>
      </c>
    </row>
    <row r="45" spans="1:40" x14ac:dyDescent="0.25">
      <c r="A45" s="3" t="s">
        <v>68</v>
      </c>
      <c r="B45" s="12">
        <v>0.19994880218444011</v>
      </c>
      <c r="C45" s="12">
        <v>0.20681301601884478</v>
      </c>
      <c r="D45" s="12">
        <v>0.21187240941818569</v>
      </c>
      <c r="E45" s="12">
        <v>0.21532904186887569</v>
      </c>
      <c r="F45" s="12">
        <v>0.21739542684991425</v>
      </c>
      <c r="G45" s="12">
        <v>0.22370723267434656</v>
      </c>
      <c r="H45" s="12">
        <v>0.22714232188243744</v>
      </c>
      <c r="I45" s="12">
        <v>0.22662862386045102</v>
      </c>
      <c r="J45" s="12">
        <v>0.20226066859632597</v>
      </c>
      <c r="K45" s="12">
        <v>0.20516067409399874</v>
      </c>
      <c r="L45" s="12">
        <v>0.20940204267133489</v>
      </c>
      <c r="M45" s="12">
        <v>0.21397206657877588</v>
      </c>
      <c r="N45" s="12">
        <v>0.21816532803404287</v>
      </c>
      <c r="O45" s="12">
        <v>0.22202625967132111</v>
      </c>
      <c r="P45" s="12">
        <v>0.22820376869894543</v>
      </c>
      <c r="Q45" s="12">
        <v>0.23412465376856106</v>
      </c>
      <c r="R45" s="12">
        <v>0.24024245669567973</v>
      </c>
      <c r="S45" s="12">
        <v>0.247302321842927</v>
      </c>
      <c r="T45" s="12">
        <v>0.2531110960622453</v>
      </c>
      <c r="U45" s="12">
        <v>0.26010736073720786</v>
      </c>
      <c r="V45" s="12">
        <v>0.26588292156296223</v>
      </c>
      <c r="W45" s="12">
        <v>0.27234789891765165</v>
      </c>
      <c r="X45" s="12">
        <v>0.2791965527187083</v>
      </c>
      <c r="Y45" s="12">
        <v>0.28637981779266364</v>
      </c>
      <c r="Z45" s="12">
        <v>0.29318203447734137</v>
      </c>
      <c r="AA45" s="12">
        <v>0.29983113440277731</v>
      </c>
      <c r="AB45" s="12">
        <v>0.30603493097722489</v>
      </c>
      <c r="AC45" s="12">
        <v>0.31212539705983949</v>
      </c>
      <c r="AD45" s="12">
        <v>0.31824694973625656</v>
      </c>
      <c r="AE45" s="12">
        <v>0.32493352294300443</v>
      </c>
      <c r="AF45" s="12">
        <v>0.33149284259683304</v>
      </c>
      <c r="AG45" s="12">
        <v>0.33790735786116227</v>
      </c>
      <c r="AH45" s="12">
        <v>0.34419868106774398</v>
      </c>
      <c r="AI45" s="12">
        <v>0.35051186865463507</v>
      </c>
      <c r="AJ45" s="12">
        <v>0.35653714693590893</v>
      </c>
      <c r="AK45" s="12">
        <v>0.36245426499240307</v>
      </c>
      <c r="AL45" s="12">
        <v>0.36794902410307062</v>
      </c>
      <c r="AM45" s="12">
        <v>0.37336556140599986</v>
      </c>
      <c r="AN45" s="12">
        <v>0.3787460715884326</v>
      </c>
    </row>
    <row r="46" spans="1:40" x14ac:dyDescent="0.25">
      <c r="A46" s="3"/>
    </row>
    <row r="48" spans="1:40" ht="18" thickBot="1" x14ac:dyDescent="0.35">
      <c r="A48" s="4" t="s">
        <v>120</v>
      </c>
      <c r="B48" s="4"/>
      <c r="C48" s="4"/>
      <c r="D48" s="4"/>
      <c r="E48" s="4"/>
      <c r="F48" s="4"/>
      <c r="G48" s="4"/>
      <c r="H48" s="4"/>
    </row>
    <row r="49" spans="1:42" ht="15.75" thickTop="1" x14ac:dyDescent="0.25">
      <c r="A49" s="3">
        <v>2012</v>
      </c>
      <c r="B49" s="3">
        <v>2013</v>
      </c>
      <c r="C49" s="3">
        <v>2014</v>
      </c>
      <c r="D49" s="3">
        <v>2015</v>
      </c>
      <c r="E49" s="3">
        <v>2016</v>
      </c>
      <c r="F49" s="3">
        <v>2017</v>
      </c>
      <c r="G49" s="3">
        <v>2018</v>
      </c>
      <c r="H49" s="3">
        <v>2019</v>
      </c>
      <c r="I49" s="3">
        <v>2020</v>
      </c>
      <c r="J49" s="3">
        <v>2021</v>
      </c>
      <c r="K49" s="3">
        <v>2022</v>
      </c>
      <c r="L49" s="3">
        <v>2023</v>
      </c>
      <c r="M49" s="3">
        <v>2024</v>
      </c>
      <c r="N49" s="3">
        <v>2025</v>
      </c>
      <c r="O49" s="3">
        <v>2026</v>
      </c>
      <c r="P49" s="3">
        <v>2027</v>
      </c>
      <c r="Q49" s="3">
        <v>2028</v>
      </c>
      <c r="R49" s="3">
        <v>2029</v>
      </c>
      <c r="S49" s="3">
        <v>2030</v>
      </c>
      <c r="T49" s="3">
        <v>2031</v>
      </c>
      <c r="U49" s="3">
        <v>2032</v>
      </c>
      <c r="V49" s="3">
        <v>2033</v>
      </c>
      <c r="W49" s="3">
        <v>2034</v>
      </c>
      <c r="X49" s="3">
        <v>2035</v>
      </c>
      <c r="Y49" s="3">
        <v>2036</v>
      </c>
      <c r="Z49">
        <v>2037</v>
      </c>
      <c r="AA49">
        <v>2038</v>
      </c>
      <c r="AB49">
        <v>2039</v>
      </c>
      <c r="AC49">
        <v>2040</v>
      </c>
      <c r="AD49">
        <v>2041</v>
      </c>
      <c r="AE49">
        <v>2042</v>
      </c>
      <c r="AF49">
        <v>2043</v>
      </c>
      <c r="AG49">
        <v>2044</v>
      </c>
      <c r="AH49">
        <v>2045</v>
      </c>
      <c r="AI49">
        <v>2046</v>
      </c>
      <c r="AJ49">
        <v>2047</v>
      </c>
      <c r="AK49">
        <v>2048</v>
      </c>
      <c r="AL49">
        <v>2049</v>
      </c>
      <c r="AM49">
        <v>2050</v>
      </c>
    </row>
    <row r="50" spans="1:42" x14ac:dyDescent="0.25">
      <c r="A50">
        <v>0.29299999999999998</v>
      </c>
      <c r="B50">
        <v>0.29799999999999999</v>
      </c>
      <c r="C50">
        <v>0.30099999999999999</v>
      </c>
      <c r="D50">
        <v>0.30299999999999999</v>
      </c>
      <c r="E50">
        <v>0.30299999999999999</v>
      </c>
      <c r="F50">
        <v>0.307</v>
      </c>
      <c r="G50">
        <v>0.308</v>
      </c>
      <c r="H50">
        <v>0.30599999999999999</v>
      </c>
      <c r="I50">
        <v>0.27900000000000003</v>
      </c>
      <c r="J50">
        <v>0.28599999999999998</v>
      </c>
      <c r="K50">
        <v>0.28899999999999998</v>
      </c>
      <c r="L50">
        <v>0.29299999999999998</v>
      </c>
      <c r="M50">
        <v>0.29599999999999999</v>
      </c>
      <c r="N50">
        <v>0.29899999999999999</v>
      </c>
      <c r="O50">
        <v>0.30399999999999999</v>
      </c>
      <c r="P50">
        <v>0.308</v>
      </c>
      <c r="Q50">
        <v>0.313</v>
      </c>
      <c r="R50">
        <v>0.31900000000000001</v>
      </c>
      <c r="S50">
        <v>0.32300000000000001</v>
      </c>
      <c r="T50">
        <v>0.33</v>
      </c>
      <c r="U50">
        <v>0.33600000000000002</v>
      </c>
      <c r="V50">
        <v>0.34300000000000003</v>
      </c>
      <c r="W50">
        <v>0.35</v>
      </c>
      <c r="X50" s="12">
        <v>0.3576086956521739</v>
      </c>
      <c r="Y50" s="12">
        <v>0.36538279773156901</v>
      </c>
      <c r="Z50" s="12">
        <v>0.37402068893089691</v>
      </c>
      <c r="AA50" s="12">
        <v>0.38179479101029201</v>
      </c>
      <c r="AB50" s="12">
        <v>0.39043268220961985</v>
      </c>
      <c r="AC50" s="12">
        <v>0.39907057340894769</v>
      </c>
      <c r="AD50" s="12">
        <v>0.40857225372820832</v>
      </c>
      <c r="AE50" s="12">
        <v>0.41807393404746901</v>
      </c>
      <c r="AF50" s="12">
        <v>0.42757561436672964</v>
      </c>
      <c r="AG50" s="12">
        <v>0.43707729468599027</v>
      </c>
      <c r="AH50" s="12">
        <v>0.44830655324511653</v>
      </c>
      <c r="AI50" s="12">
        <v>0.45953581180424274</v>
      </c>
      <c r="AJ50" s="12">
        <v>0.47076507036336901</v>
      </c>
      <c r="AK50" s="12">
        <v>0.48199432892249522</v>
      </c>
      <c r="AL50" s="12">
        <v>0.4943531578692259</v>
      </c>
      <c r="AM50" s="12">
        <v>0.50702887986587275</v>
      </c>
    </row>
    <row r="53" spans="1:42" ht="18" thickBot="1" x14ac:dyDescent="0.35">
      <c r="A53" s="4" t="s">
        <v>121</v>
      </c>
      <c r="B53" s="4"/>
      <c r="C53" s="4"/>
      <c r="D53" s="4"/>
      <c r="E53" s="4"/>
      <c r="F53" s="4"/>
      <c r="G53" s="4"/>
      <c r="H53" s="4"/>
    </row>
    <row r="54" spans="1:42" ht="15.75" thickTop="1" x14ac:dyDescent="0.25">
      <c r="C54" s="3" t="s">
        <v>69</v>
      </c>
      <c r="D54" s="3" t="s">
        <v>70</v>
      </c>
      <c r="E54" s="3" t="s">
        <v>71</v>
      </c>
      <c r="F54" s="3" t="s">
        <v>72</v>
      </c>
      <c r="G54" s="3" t="s">
        <v>73</v>
      </c>
      <c r="H54" s="3" t="s">
        <v>74</v>
      </c>
      <c r="I54" s="3" t="s">
        <v>75</v>
      </c>
      <c r="J54" s="3" t="s">
        <v>76</v>
      </c>
      <c r="K54" s="3" t="s">
        <v>77</v>
      </c>
      <c r="L54" s="3" t="s">
        <v>78</v>
      </c>
      <c r="M54" s="3" t="s">
        <v>79</v>
      </c>
      <c r="N54" s="3" t="s">
        <v>80</v>
      </c>
      <c r="O54" s="3" t="s">
        <v>81</v>
      </c>
      <c r="P54" s="3" t="s">
        <v>82</v>
      </c>
      <c r="Q54" s="3" t="s">
        <v>83</v>
      </c>
      <c r="R54" s="3" t="s">
        <v>84</v>
      </c>
      <c r="S54" s="3" t="s">
        <v>85</v>
      </c>
      <c r="T54" s="3" t="s">
        <v>86</v>
      </c>
      <c r="U54" s="3" t="s">
        <v>87</v>
      </c>
      <c r="V54" s="3" t="s">
        <v>88</v>
      </c>
      <c r="W54" s="3" t="s">
        <v>89</v>
      </c>
      <c r="X54" s="3" t="s">
        <v>90</v>
      </c>
      <c r="Y54" s="3" t="s">
        <v>91</v>
      </c>
      <c r="Z54" s="3" t="s">
        <v>92</v>
      </c>
      <c r="AA54" s="3" t="s">
        <v>93</v>
      </c>
      <c r="AB54" s="3" t="s">
        <v>94</v>
      </c>
      <c r="AC54" s="3" t="s">
        <v>95</v>
      </c>
      <c r="AD54" s="3" t="s">
        <v>96</v>
      </c>
      <c r="AE54" s="3" t="s">
        <v>97</v>
      </c>
      <c r="AF54" s="3" t="s">
        <v>98</v>
      </c>
      <c r="AG54" s="3" t="s">
        <v>99</v>
      </c>
      <c r="AH54" s="3" t="s">
        <v>100</v>
      </c>
      <c r="AI54" s="3" t="s">
        <v>101</v>
      </c>
      <c r="AJ54" s="3" t="s">
        <v>102</v>
      </c>
      <c r="AK54" s="3" t="s">
        <v>103</v>
      </c>
      <c r="AL54" s="3" t="s">
        <v>104</v>
      </c>
      <c r="AM54" s="3" t="s">
        <v>105</v>
      </c>
      <c r="AN54" s="3" t="s">
        <v>106</v>
      </c>
      <c r="AO54" s="3" t="s">
        <v>107</v>
      </c>
      <c r="AP54" s="3"/>
    </row>
    <row r="55" spans="1:42" x14ac:dyDescent="0.25">
      <c r="A55" s="3" t="s">
        <v>66</v>
      </c>
      <c r="B55" s="3" t="s">
        <v>108</v>
      </c>
      <c r="C55" t="s">
        <v>109</v>
      </c>
      <c r="D55" t="s">
        <v>109</v>
      </c>
      <c r="E55" t="s">
        <v>109</v>
      </c>
      <c r="F55" t="s">
        <v>109</v>
      </c>
      <c r="G55" t="s">
        <v>109</v>
      </c>
      <c r="H55" t="s">
        <v>109</v>
      </c>
      <c r="I55" t="s">
        <v>109</v>
      </c>
      <c r="J55" t="s">
        <v>109</v>
      </c>
      <c r="K55" t="s">
        <v>109</v>
      </c>
      <c r="L55" t="s">
        <v>109</v>
      </c>
      <c r="M55" t="s">
        <v>109</v>
      </c>
      <c r="N55" t="s">
        <v>109</v>
      </c>
      <c r="O55" t="s">
        <v>109</v>
      </c>
      <c r="P55" t="s">
        <v>109</v>
      </c>
      <c r="Q55" t="s">
        <v>109</v>
      </c>
      <c r="R55" t="s">
        <v>109</v>
      </c>
      <c r="S55" t="s">
        <v>109</v>
      </c>
      <c r="T55" t="s">
        <v>109</v>
      </c>
      <c r="U55" t="s">
        <v>109</v>
      </c>
      <c r="V55" t="s">
        <v>109</v>
      </c>
      <c r="W55" t="s">
        <v>109</v>
      </c>
      <c r="X55" t="s">
        <v>109</v>
      </c>
      <c r="Y55" t="s">
        <v>109</v>
      </c>
      <c r="Z55" t="s">
        <v>109</v>
      </c>
      <c r="AA55" t="s">
        <v>109</v>
      </c>
      <c r="AB55" t="s">
        <v>109</v>
      </c>
      <c r="AC55" t="s">
        <v>109</v>
      </c>
      <c r="AD55" t="s">
        <v>109</v>
      </c>
      <c r="AE55" t="s">
        <v>109</v>
      </c>
      <c r="AF55" t="s">
        <v>109</v>
      </c>
      <c r="AG55" t="s">
        <v>109</v>
      </c>
      <c r="AH55" t="s">
        <v>109</v>
      </c>
      <c r="AI55" t="s">
        <v>109</v>
      </c>
      <c r="AJ55" t="s">
        <v>109</v>
      </c>
      <c r="AK55" t="s">
        <v>109</v>
      </c>
      <c r="AL55" t="s">
        <v>109</v>
      </c>
      <c r="AM55" t="s">
        <v>109</v>
      </c>
      <c r="AN55" t="s">
        <v>109</v>
      </c>
      <c r="AO55" t="s">
        <v>109</v>
      </c>
    </row>
    <row r="56" spans="1:42" x14ac:dyDescent="0.25">
      <c r="A56" s="3" t="s">
        <v>66</v>
      </c>
      <c r="B56" s="3" t="s">
        <v>110</v>
      </c>
      <c r="C56" t="s">
        <v>109</v>
      </c>
      <c r="D56" t="s">
        <v>109</v>
      </c>
      <c r="E56" t="s">
        <v>109</v>
      </c>
      <c r="F56" t="s">
        <v>109</v>
      </c>
      <c r="G56" t="s">
        <v>109</v>
      </c>
      <c r="H56" t="s">
        <v>109</v>
      </c>
      <c r="I56" t="s">
        <v>109</v>
      </c>
      <c r="J56" t="s">
        <v>109</v>
      </c>
      <c r="K56" t="s">
        <v>109</v>
      </c>
      <c r="L56" t="s">
        <v>109</v>
      </c>
      <c r="M56" t="s">
        <v>109</v>
      </c>
      <c r="N56" t="s">
        <v>109</v>
      </c>
      <c r="O56" t="s">
        <v>109</v>
      </c>
      <c r="P56" t="s">
        <v>109</v>
      </c>
      <c r="Q56" t="s">
        <v>109</v>
      </c>
      <c r="R56" t="s">
        <v>109</v>
      </c>
      <c r="S56" t="s">
        <v>109</v>
      </c>
      <c r="T56" t="s">
        <v>109</v>
      </c>
      <c r="U56" t="s">
        <v>109</v>
      </c>
      <c r="V56" t="s">
        <v>109</v>
      </c>
      <c r="W56" t="s">
        <v>109</v>
      </c>
      <c r="X56" t="s">
        <v>109</v>
      </c>
      <c r="Y56" t="s">
        <v>109</v>
      </c>
      <c r="Z56" t="s">
        <v>109</v>
      </c>
      <c r="AA56" t="s">
        <v>109</v>
      </c>
      <c r="AB56" t="s">
        <v>109</v>
      </c>
      <c r="AC56" t="s">
        <v>109</v>
      </c>
      <c r="AD56" t="s">
        <v>109</v>
      </c>
      <c r="AE56" t="s">
        <v>109</v>
      </c>
      <c r="AF56" t="s">
        <v>109</v>
      </c>
      <c r="AG56" t="s">
        <v>109</v>
      </c>
      <c r="AH56" t="s">
        <v>109</v>
      </c>
      <c r="AI56" t="s">
        <v>109</v>
      </c>
      <c r="AJ56" t="s">
        <v>109</v>
      </c>
      <c r="AK56" t="s">
        <v>109</v>
      </c>
      <c r="AL56" t="s">
        <v>109</v>
      </c>
      <c r="AM56" t="s">
        <v>109</v>
      </c>
      <c r="AN56" t="s">
        <v>109</v>
      </c>
      <c r="AO56" t="s">
        <v>109</v>
      </c>
    </row>
    <row r="57" spans="1:42" x14ac:dyDescent="0.25">
      <c r="A57" s="3" t="s">
        <v>66</v>
      </c>
      <c r="B57" s="3" t="s">
        <v>111</v>
      </c>
      <c r="C57" t="s">
        <v>109</v>
      </c>
      <c r="D57" t="s">
        <v>109</v>
      </c>
      <c r="E57" t="s">
        <v>109</v>
      </c>
      <c r="F57" t="s">
        <v>109</v>
      </c>
      <c r="G57" t="s">
        <v>109</v>
      </c>
      <c r="H57" t="s">
        <v>109</v>
      </c>
      <c r="I57" t="s">
        <v>109</v>
      </c>
      <c r="J57" t="s">
        <v>109</v>
      </c>
      <c r="K57" t="s">
        <v>109</v>
      </c>
      <c r="L57" t="s">
        <v>109</v>
      </c>
      <c r="M57" t="s">
        <v>109</v>
      </c>
      <c r="N57" t="s">
        <v>109</v>
      </c>
      <c r="O57" t="s">
        <v>109</v>
      </c>
      <c r="P57" t="s">
        <v>109</v>
      </c>
      <c r="Q57" t="s">
        <v>109</v>
      </c>
      <c r="R57" t="s">
        <v>109</v>
      </c>
      <c r="S57" t="s">
        <v>109</v>
      </c>
      <c r="T57" t="s">
        <v>109</v>
      </c>
      <c r="U57" t="s">
        <v>109</v>
      </c>
      <c r="V57" t="s">
        <v>109</v>
      </c>
      <c r="W57" t="s">
        <v>109</v>
      </c>
      <c r="X57" t="s">
        <v>109</v>
      </c>
      <c r="Y57" t="s">
        <v>109</v>
      </c>
      <c r="Z57" t="s">
        <v>109</v>
      </c>
      <c r="AA57" t="s">
        <v>109</v>
      </c>
      <c r="AB57" t="s">
        <v>109</v>
      </c>
      <c r="AC57" t="s">
        <v>109</v>
      </c>
      <c r="AD57" t="s">
        <v>109</v>
      </c>
      <c r="AE57" t="s">
        <v>109</v>
      </c>
      <c r="AF57" t="s">
        <v>109</v>
      </c>
      <c r="AG57" t="s">
        <v>109</v>
      </c>
      <c r="AH57" t="s">
        <v>109</v>
      </c>
      <c r="AI57" t="s">
        <v>109</v>
      </c>
      <c r="AJ57" t="s">
        <v>109</v>
      </c>
      <c r="AK57" t="s">
        <v>109</v>
      </c>
      <c r="AL57" t="s">
        <v>109</v>
      </c>
      <c r="AM57" t="s">
        <v>109</v>
      </c>
      <c r="AN57" t="s">
        <v>109</v>
      </c>
      <c r="AO57" t="s">
        <v>109</v>
      </c>
    </row>
    <row r="58" spans="1:42" x14ac:dyDescent="0.25">
      <c r="A58" s="3" t="s">
        <v>66</v>
      </c>
      <c r="B58" s="3" t="s">
        <v>112</v>
      </c>
      <c r="C58" t="s">
        <v>109</v>
      </c>
      <c r="D58" t="s">
        <v>109</v>
      </c>
      <c r="E58" t="s">
        <v>109</v>
      </c>
      <c r="F58" t="s">
        <v>109</v>
      </c>
      <c r="G58" t="s">
        <v>109</v>
      </c>
      <c r="H58" t="s">
        <v>109</v>
      </c>
      <c r="I58" t="s">
        <v>109</v>
      </c>
      <c r="J58" t="s">
        <v>109</v>
      </c>
      <c r="K58" t="s">
        <v>109</v>
      </c>
      <c r="L58" t="s">
        <v>109</v>
      </c>
      <c r="M58" t="s">
        <v>109</v>
      </c>
      <c r="N58" t="s">
        <v>109</v>
      </c>
      <c r="O58" t="s">
        <v>109</v>
      </c>
      <c r="P58" t="s">
        <v>109</v>
      </c>
      <c r="Q58" t="s">
        <v>109</v>
      </c>
      <c r="R58" t="s">
        <v>109</v>
      </c>
      <c r="S58" t="s">
        <v>109</v>
      </c>
      <c r="T58" t="s">
        <v>109</v>
      </c>
      <c r="U58" t="s">
        <v>109</v>
      </c>
      <c r="V58" t="s">
        <v>109</v>
      </c>
      <c r="W58" t="s">
        <v>109</v>
      </c>
      <c r="X58" t="s">
        <v>109</v>
      </c>
      <c r="Y58" t="s">
        <v>109</v>
      </c>
      <c r="Z58" t="s">
        <v>109</v>
      </c>
    </row>
    <row r="59" spans="1:42" x14ac:dyDescent="0.25">
      <c r="A59" s="3" t="s">
        <v>66</v>
      </c>
      <c r="B59" s="3" t="s">
        <v>113</v>
      </c>
      <c r="C59" t="s">
        <v>109</v>
      </c>
      <c r="D59" t="s">
        <v>109</v>
      </c>
      <c r="E59" t="s">
        <v>109</v>
      </c>
      <c r="F59" t="s">
        <v>109</v>
      </c>
      <c r="G59" t="s">
        <v>109</v>
      </c>
      <c r="H59" t="s">
        <v>109</v>
      </c>
      <c r="I59" t="s">
        <v>109</v>
      </c>
      <c r="J59" t="s">
        <v>109</v>
      </c>
      <c r="K59" t="s">
        <v>109</v>
      </c>
    </row>
    <row r="60" spans="1:42" x14ac:dyDescent="0.25">
      <c r="A60" s="3" t="s">
        <v>67</v>
      </c>
      <c r="B60" s="3" t="s">
        <v>112</v>
      </c>
      <c r="AA60" t="s">
        <v>109</v>
      </c>
      <c r="AB60" t="s">
        <v>109</v>
      </c>
      <c r="AC60" t="s">
        <v>109</v>
      </c>
      <c r="AD60" t="s">
        <v>109</v>
      </c>
      <c r="AE60" t="s">
        <v>109</v>
      </c>
      <c r="AF60" t="s">
        <v>109</v>
      </c>
      <c r="AG60" t="s">
        <v>109</v>
      </c>
      <c r="AH60" t="s">
        <v>109</v>
      </c>
      <c r="AI60" t="s">
        <v>109</v>
      </c>
      <c r="AJ60" t="s">
        <v>109</v>
      </c>
      <c r="AK60" t="s">
        <v>109</v>
      </c>
      <c r="AL60" t="s">
        <v>109</v>
      </c>
      <c r="AM60" t="s">
        <v>109</v>
      </c>
      <c r="AN60" t="s">
        <v>109</v>
      </c>
      <c r="AO60" t="s">
        <v>109</v>
      </c>
    </row>
    <row r="61" spans="1:42" x14ac:dyDescent="0.25">
      <c r="A61" s="3" t="s">
        <v>67</v>
      </c>
      <c r="B61" s="3" t="s">
        <v>113</v>
      </c>
      <c r="L61" t="s">
        <v>109</v>
      </c>
      <c r="M61" t="s">
        <v>109</v>
      </c>
      <c r="N61" t="s">
        <v>109</v>
      </c>
      <c r="O61" t="s">
        <v>109</v>
      </c>
      <c r="P61" t="s">
        <v>109</v>
      </c>
      <c r="Q61" t="s">
        <v>109</v>
      </c>
      <c r="R61" t="s">
        <v>109</v>
      </c>
      <c r="S61" t="s">
        <v>109</v>
      </c>
      <c r="T61" t="s">
        <v>109</v>
      </c>
      <c r="U61" t="s">
        <v>109</v>
      </c>
      <c r="V61" t="s">
        <v>109</v>
      </c>
      <c r="W61" t="s">
        <v>109</v>
      </c>
      <c r="X61" t="s">
        <v>109</v>
      </c>
      <c r="Y61" t="s">
        <v>109</v>
      </c>
      <c r="Z61" t="s">
        <v>109</v>
      </c>
      <c r="AA61" t="s">
        <v>109</v>
      </c>
      <c r="AB61" t="s">
        <v>109</v>
      </c>
      <c r="AC61" t="s">
        <v>109</v>
      </c>
      <c r="AD61" t="s">
        <v>109</v>
      </c>
      <c r="AE61" t="s">
        <v>109</v>
      </c>
      <c r="AF61" t="s">
        <v>109</v>
      </c>
      <c r="AG61" t="s">
        <v>109</v>
      </c>
      <c r="AH61" t="s">
        <v>109</v>
      </c>
      <c r="AI61" t="s">
        <v>109</v>
      </c>
      <c r="AJ61" t="s">
        <v>109</v>
      </c>
      <c r="AK61" t="s">
        <v>109</v>
      </c>
      <c r="AL61" t="s">
        <v>109</v>
      </c>
      <c r="AM61" t="s">
        <v>109</v>
      </c>
      <c r="AN61" t="s">
        <v>109</v>
      </c>
      <c r="AO61" t="s">
        <v>109</v>
      </c>
    </row>
    <row r="62" spans="1:42" x14ac:dyDescent="0.25">
      <c r="A62" s="3" t="s">
        <v>67</v>
      </c>
      <c r="B62" s="3" t="s">
        <v>114</v>
      </c>
      <c r="C62" t="s">
        <v>109</v>
      </c>
      <c r="D62" t="s">
        <v>109</v>
      </c>
      <c r="E62" t="s">
        <v>109</v>
      </c>
      <c r="F62" t="s">
        <v>109</v>
      </c>
      <c r="G62" t="s">
        <v>109</v>
      </c>
      <c r="H62" t="s">
        <v>109</v>
      </c>
      <c r="I62" t="s">
        <v>109</v>
      </c>
      <c r="J62" t="s">
        <v>109</v>
      </c>
      <c r="K62" t="s">
        <v>109</v>
      </c>
      <c r="L62" t="s">
        <v>109</v>
      </c>
      <c r="M62" t="s">
        <v>109</v>
      </c>
      <c r="N62" t="s">
        <v>109</v>
      </c>
      <c r="O62" t="s">
        <v>109</v>
      </c>
      <c r="P62" t="s">
        <v>109</v>
      </c>
      <c r="Q62" t="s">
        <v>109</v>
      </c>
      <c r="R62" t="s">
        <v>109</v>
      </c>
      <c r="S62" t="s">
        <v>109</v>
      </c>
      <c r="T62" t="s">
        <v>109</v>
      </c>
      <c r="U62" t="s">
        <v>109</v>
      </c>
      <c r="V62" t="s">
        <v>109</v>
      </c>
      <c r="W62" t="s">
        <v>109</v>
      </c>
      <c r="X62" t="s">
        <v>109</v>
      </c>
      <c r="Y62" t="s">
        <v>109</v>
      </c>
      <c r="Z62" t="s">
        <v>109</v>
      </c>
      <c r="AA62" t="s">
        <v>109</v>
      </c>
      <c r="AB62" t="s">
        <v>109</v>
      </c>
      <c r="AC62" t="s">
        <v>109</v>
      </c>
      <c r="AD62" t="s">
        <v>109</v>
      </c>
      <c r="AE62" t="s">
        <v>109</v>
      </c>
      <c r="AF62" t="s">
        <v>109</v>
      </c>
      <c r="AG62" t="s">
        <v>109</v>
      </c>
      <c r="AH62" t="s">
        <v>109</v>
      </c>
      <c r="AI62" t="s">
        <v>109</v>
      </c>
      <c r="AJ62" t="s">
        <v>109</v>
      </c>
      <c r="AK62" t="s">
        <v>109</v>
      </c>
      <c r="AL62" t="s">
        <v>109</v>
      </c>
      <c r="AM62" t="s">
        <v>109</v>
      </c>
      <c r="AN62" t="s">
        <v>109</v>
      </c>
      <c r="AO62" t="s">
        <v>109</v>
      </c>
    </row>
    <row r="63" spans="1:42" x14ac:dyDescent="0.25">
      <c r="A63" s="3" t="s">
        <v>67</v>
      </c>
      <c r="B63" s="3" t="s">
        <v>115</v>
      </c>
      <c r="C63" t="s">
        <v>109</v>
      </c>
      <c r="D63" t="s">
        <v>109</v>
      </c>
      <c r="E63" t="s">
        <v>109</v>
      </c>
      <c r="F63" t="s">
        <v>109</v>
      </c>
      <c r="G63" t="s">
        <v>109</v>
      </c>
      <c r="H63" t="s">
        <v>109</v>
      </c>
      <c r="I63" t="s">
        <v>109</v>
      </c>
      <c r="J63" t="s">
        <v>109</v>
      </c>
      <c r="K63" t="s">
        <v>109</v>
      </c>
      <c r="L63" t="s">
        <v>109</v>
      </c>
      <c r="M63" t="s">
        <v>109</v>
      </c>
      <c r="N63" t="s">
        <v>109</v>
      </c>
      <c r="O63" t="s">
        <v>109</v>
      </c>
      <c r="P63" t="s">
        <v>109</v>
      </c>
      <c r="Q63" t="s">
        <v>109</v>
      </c>
      <c r="R63" t="s">
        <v>109</v>
      </c>
      <c r="S63" t="s">
        <v>109</v>
      </c>
      <c r="T63" t="s">
        <v>109</v>
      </c>
      <c r="U63" t="s">
        <v>109</v>
      </c>
      <c r="V63" t="s">
        <v>109</v>
      </c>
      <c r="W63" t="s">
        <v>109</v>
      </c>
      <c r="X63" t="s">
        <v>109</v>
      </c>
      <c r="Y63" t="s">
        <v>109</v>
      </c>
      <c r="Z63" t="s">
        <v>109</v>
      </c>
      <c r="AA63" t="s">
        <v>109</v>
      </c>
      <c r="AB63" t="s">
        <v>109</v>
      </c>
      <c r="AC63" t="s">
        <v>109</v>
      </c>
      <c r="AD63" t="s">
        <v>109</v>
      </c>
      <c r="AE63" t="s">
        <v>109</v>
      </c>
      <c r="AF63" t="s">
        <v>109</v>
      </c>
      <c r="AG63" t="s">
        <v>109</v>
      </c>
      <c r="AH63" t="s">
        <v>109</v>
      </c>
      <c r="AI63" t="s">
        <v>109</v>
      </c>
      <c r="AJ63" t="s">
        <v>109</v>
      </c>
      <c r="AK63" t="s">
        <v>109</v>
      </c>
      <c r="AL63" t="s">
        <v>109</v>
      </c>
      <c r="AM63" t="s">
        <v>109</v>
      </c>
      <c r="AN63" t="s">
        <v>109</v>
      </c>
      <c r="AO63" t="s">
        <v>109</v>
      </c>
    </row>
    <row r="64" spans="1:42" x14ac:dyDescent="0.25">
      <c r="A64" s="3" t="s">
        <v>67</v>
      </c>
      <c r="B64" s="3" t="s">
        <v>116</v>
      </c>
      <c r="C64" t="s">
        <v>109</v>
      </c>
      <c r="D64" t="s">
        <v>109</v>
      </c>
      <c r="E64" t="s">
        <v>109</v>
      </c>
      <c r="F64" t="s">
        <v>109</v>
      </c>
      <c r="G64" t="s">
        <v>109</v>
      </c>
      <c r="H64" t="s">
        <v>109</v>
      </c>
      <c r="I64" t="s">
        <v>109</v>
      </c>
      <c r="J64" t="s">
        <v>109</v>
      </c>
      <c r="K64" t="s">
        <v>109</v>
      </c>
      <c r="L64" t="s">
        <v>109</v>
      </c>
      <c r="M64" t="s">
        <v>109</v>
      </c>
      <c r="N64" t="s">
        <v>109</v>
      </c>
      <c r="O64" t="s">
        <v>109</v>
      </c>
      <c r="P64" t="s">
        <v>109</v>
      </c>
      <c r="Q64" t="s">
        <v>109</v>
      </c>
      <c r="R64" t="s">
        <v>109</v>
      </c>
      <c r="S64" t="s">
        <v>109</v>
      </c>
      <c r="T64" t="s">
        <v>109</v>
      </c>
      <c r="U64" t="s">
        <v>109</v>
      </c>
      <c r="V64" t="s">
        <v>109</v>
      </c>
    </row>
    <row r="65" spans="1:41" x14ac:dyDescent="0.25">
      <c r="A65" s="3" t="s">
        <v>68</v>
      </c>
      <c r="B65" s="3" t="s">
        <v>116</v>
      </c>
      <c r="W65" t="s">
        <v>109</v>
      </c>
      <c r="X65" t="s">
        <v>109</v>
      </c>
      <c r="Y65" t="s">
        <v>109</v>
      </c>
      <c r="Z65" t="s">
        <v>109</v>
      </c>
      <c r="AA65" t="s">
        <v>109</v>
      </c>
      <c r="AB65" t="s">
        <v>109</v>
      </c>
      <c r="AC65" t="s">
        <v>109</v>
      </c>
      <c r="AD65" t="s">
        <v>109</v>
      </c>
      <c r="AE65" t="s">
        <v>109</v>
      </c>
      <c r="AF65" t="s">
        <v>109</v>
      </c>
      <c r="AG65" t="s">
        <v>109</v>
      </c>
      <c r="AH65" t="s">
        <v>109</v>
      </c>
      <c r="AI65" t="s">
        <v>109</v>
      </c>
      <c r="AJ65" t="s">
        <v>109</v>
      </c>
      <c r="AK65" t="s">
        <v>109</v>
      </c>
      <c r="AL65" t="s">
        <v>109</v>
      </c>
      <c r="AM65" t="s">
        <v>109</v>
      </c>
      <c r="AN65" t="s">
        <v>109</v>
      </c>
      <c r="AO65" t="s">
        <v>109</v>
      </c>
    </row>
    <row r="66" spans="1:41" x14ac:dyDescent="0.25">
      <c r="A66" s="3" t="s">
        <v>68</v>
      </c>
      <c r="B66" s="3" t="s">
        <v>117</v>
      </c>
      <c r="C66" t="s">
        <v>109</v>
      </c>
      <c r="D66" t="s">
        <v>109</v>
      </c>
      <c r="E66" t="s">
        <v>109</v>
      </c>
      <c r="F66" t="s">
        <v>109</v>
      </c>
      <c r="G66" t="s">
        <v>109</v>
      </c>
      <c r="H66" t="s">
        <v>109</v>
      </c>
      <c r="I66" t="s">
        <v>109</v>
      </c>
      <c r="J66" t="s">
        <v>109</v>
      </c>
      <c r="K66" t="s">
        <v>109</v>
      </c>
      <c r="L66" t="s">
        <v>109</v>
      </c>
      <c r="M66" t="s">
        <v>109</v>
      </c>
      <c r="N66" t="s">
        <v>109</v>
      </c>
      <c r="O66" t="s">
        <v>109</v>
      </c>
      <c r="P66" t="s">
        <v>109</v>
      </c>
      <c r="Q66" t="s">
        <v>109</v>
      </c>
      <c r="R66" t="s">
        <v>109</v>
      </c>
      <c r="S66" t="s">
        <v>109</v>
      </c>
      <c r="T66" t="s">
        <v>109</v>
      </c>
      <c r="U66" t="s">
        <v>109</v>
      </c>
      <c r="V66" t="s">
        <v>109</v>
      </c>
      <c r="W66" t="s">
        <v>109</v>
      </c>
      <c r="X66" t="s">
        <v>109</v>
      </c>
      <c r="Y66" t="s">
        <v>109</v>
      </c>
      <c r="Z66" t="s">
        <v>109</v>
      </c>
      <c r="AA66" t="s">
        <v>109</v>
      </c>
      <c r="AB66" t="s">
        <v>109</v>
      </c>
      <c r="AC66" t="s">
        <v>109</v>
      </c>
      <c r="AD66" t="s">
        <v>109</v>
      </c>
      <c r="AE66" t="s">
        <v>109</v>
      </c>
      <c r="AF66" t="s">
        <v>109</v>
      </c>
      <c r="AG66" t="s">
        <v>109</v>
      </c>
      <c r="AH66" t="s">
        <v>109</v>
      </c>
      <c r="AI66" t="s">
        <v>109</v>
      </c>
      <c r="AJ66" t="s">
        <v>109</v>
      </c>
      <c r="AK66" t="s">
        <v>109</v>
      </c>
      <c r="AL66" t="s">
        <v>109</v>
      </c>
      <c r="AM66" t="s">
        <v>109</v>
      </c>
      <c r="AN66" t="s">
        <v>109</v>
      </c>
      <c r="AO66" t="s">
        <v>109</v>
      </c>
    </row>
    <row r="67" spans="1:41" x14ac:dyDescent="0.25">
      <c r="A67" s="3" t="s">
        <v>68</v>
      </c>
      <c r="B67" s="3" t="s">
        <v>118</v>
      </c>
      <c r="C67" t="s">
        <v>109</v>
      </c>
      <c r="D67" t="s">
        <v>109</v>
      </c>
      <c r="E67" t="s">
        <v>109</v>
      </c>
      <c r="F67" t="s">
        <v>109</v>
      </c>
      <c r="G67" t="s">
        <v>109</v>
      </c>
      <c r="H67" t="s">
        <v>109</v>
      </c>
      <c r="I67" t="s">
        <v>109</v>
      </c>
      <c r="J67" t="s">
        <v>109</v>
      </c>
      <c r="K67" t="s">
        <v>109</v>
      </c>
      <c r="L67" t="s">
        <v>109</v>
      </c>
      <c r="M67" t="s">
        <v>109</v>
      </c>
      <c r="N67" t="s">
        <v>109</v>
      </c>
      <c r="O67" t="s">
        <v>109</v>
      </c>
      <c r="P67" t="s">
        <v>109</v>
      </c>
      <c r="Q67" t="s">
        <v>109</v>
      </c>
      <c r="R67" t="s">
        <v>109</v>
      </c>
      <c r="S67" t="s">
        <v>109</v>
      </c>
      <c r="T67" t="s">
        <v>109</v>
      </c>
      <c r="U67" t="s">
        <v>109</v>
      </c>
      <c r="V67" t="s">
        <v>109</v>
      </c>
      <c r="W67" t="s">
        <v>109</v>
      </c>
      <c r="X67" t="s">
        <v>109</v>
      </c>
      <c r="Y67" t="s">
        <v>109</v>
      </c>
      <c r="Z67" t="s">
        <v>109</v>
      </c>
      <c r="AA67" t="s">
        <v>109</v>
      </c>
      <c r="AB67" t="s">
        <v>109</v>
      </c>
      <c r="AC67" t="s">
        <v>109</v>
      </c>
      <c r="AD67" t="s">
        <v>109</v>
      </c>
      <c r="AE67" t="s">
        <v>109</v>
      </c>
      <c r="AF67" t="s">
        <v>109</v>
      </c>
      <c r="AG67" t="s">
        <v>109</v>
      </c>
      <c r="AH67" t="s">
        <v>109</v>
      </c>
      <c r="AI67" t="s">
        <v>109</v>
      </c>
      <c r="AJ67" t="s">
        <v>109</v>
      </c>
      <c r="AK67" t="s">
        <v>109</v>
      </c>
      <c r="AL67" t="s">
        <v>109</v>
      </c>
      <c r="AM67" t="s">
        <v>109</v>
      </c>
      <c r="AN67" t="s">
        <v>109</v>
      </c>
      <c r="AO67" t="s">
        <v>109</v>
      </c>
    </row>
    <row r="68" spans="1:41" x14ac:dyDescent="0.25">
      <c r="A68" s="3"/>
      <c r="B68" s="3"/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35" r:id="rId1" xr:uid="{7B7C5118-FF9B-444C-8D0C-88D94D2EBB5E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1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57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58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122</v>
      </c>
      <c r="C9" t="str">
        <f>"Drivers!"&amp;ADDRESS(ROW(Drivers!A42),COLUMN(Drivers!A42),4)</f>
        <v>Drivers!A42</v>
      </c>
      <c r="D9">
        <v>1</v>
      </c>
      <c r="E9">
        <v>1</v>
      </c>
    </row>
    <row r="10" spans="1:6" x14ac:dyDescent="0.25">
      <c r="A10" t="s">
        <v>4</v>
      </c>
      <c r="B10" t="s">
        <v>13</v>
      </c>
      <c r="C10" t="str">
        <f>"Drivers!"&amp;ADDRESS(ROW(Drivers!A49),COLUMN(Drivers!A49),4)</f>
        <v>Drivers!A49</v>
      </c>
      <c r="E10">
        <v>1</v>
      </c>
    </row>
    <row r="11" spans="1:6" x14ac:dyDescent="0.25">
      <c r="A11" t="s">
        <v>3</v>
      </c>
      <c r="B11" t="s">
        <v>17</v>
      </c>
      <c r="C11" t="str">
        <f>"Drivers!"&amp;ADDRESS(ROW(Drivers!A54),COLUMN(Drivers!A54),4)</f>
        <v>Drivers!A54</v>
      </c>
      <c r="D11">
        <v>2</v>
      </c>
      <c r="E1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dimension ref="A2:AN99"/>
  <sheetViews>
    <sheetView workbookViewId="0">
      <selection activeCell="A35" sqref="A35:XFD54"/>
    </sheetView>
  </sheetViews>
  <sheetFormatPr defaultRowHeight="15" x14ac:dyDescent="0.25"/>
  <sheetData>
    <row r="2" spans="1:40" x14ac:dyDescent="0.25">
      <c r="A2" t="s">
        <v>42</v>
      </c>
    </row>
    <row r="3" spans="1:40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</row>
    <row r="4" spans="1:40" x14ac:dyDescent="0.25">
      <c r="A4" t="str">
        <f>A53</f>
        <v>petr</v>
      </c>
      <c r="B4">
        <v>27.52</v>
      </c>
      <c r="C4">
        <v>27.49</v>
      </c>
      <c r="D4">
        <v>27.45</v>
      </c>
      <c r="E4">
        <v>27.42</v>
      </c>
      <c r="F4">
        <v>27.39</v>
      </c>
      <c r="G4">
        <v>27.36</v>
      </c>
      <c r="H4">
        <v>27.33</v>
      </c>
      <c r="I4">
        <v>27.24</v>
      </c>
      <c r="J4">
        <v>27.16</v>
      </c>
      <c r="K4">
        <v>26.07</v>
      </c>
      <c r="L4">
        <v>25.79</v>
      </c>
      <c r="M4">
        <v>25.7</v>
      </c>
      <c r="N4">
        <v>25.62</v>
      </c>
      <c r="O4">
        <v>24.83</v>
      </c>
      <c r="P4">
        <v>22.54</v>
      </c>
      <c r="Q4">
        <v>20.239999999999998</v>
      </c>
      <c r="R4">
        <v>17.95</v>
      </c>
      <c r="S4">
        <v>15.66</v>
      </c>
      <c r="T4">
        <v>13.37</v>
      </c>
      <c r="U4">
        <v>12.37</v>
      </c>
      <c r="V4">
        <v>11.37</v>
      </c>
      <c r="W4">
        <v>10.37</v>
      </c>
      <c r="X4">
        <v>9.3699999999999992</v>
      </c>
      <c r="Y4">
        <v>8.41</v>
      </c>
      <c r="Z4">
        <v>7.24</v>
      </c>
      <c r="AA4">
        <v>6.06</v>
      </c>
      <c r="AB4">
        <v>4.88</v>
      </c>
      <c r="AC4">
        <v>3.7</v>
      </c>
      <c r="AD4">
        <v>2.52</v>
      </c>
      <c r="AE4">
        <v>2.52</v>
      </c>
      <c r="AF4">
        <v>2.52</v>
      </c>
      <c r="AG4">
        <v>2.52</v>
      </c>
      <c r="AH4">
        <v>2.52</v>
      </c>
      <c r="AI4">
        <v>2.52</v>
      </c>
      <c r="AJ4">
        <v>2.52</v>
      </c>
      <c r="AK4">
        <v>2.52</v>
      </c>
      <c r="AL4">
        <v>2.52</v>
      </c>
      <c r="AM4">
        <v>2.52</v>
      </c>
      <c r="AN4">
        <v>2.52</v>
      </c>
    </row>
    <row r="5" spans="1:40" x14ac:dyDescent="0.25">
      <c r="A5" t="str">
        <f>A47</f>
        <v>hydr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0.63</v>
      </c>
      <c r="T5">
        <v>1.1000000000000001</v>
      </c>
      <c r="U5">
        <v>1.62</v>
      </c>
      <c r="V5">
        <v>2.14</v>
      </c>
      <c r="W5">
        <v>2.65</v>
      </c>
      <c r="X5">
        <v>3.15</v>
      </c>
      <c r="Y5">
        <v>3.95</v>
      </c>
      <c r="Z5">
        <v>4.43</v>
      </c>
      <c r="AA5">
        <v>4.9000000000000004</v>
      </c>
      <c r="AB5">
        <v>5.38</v>
      </c>
      <c r="AC5">
        <v>5.86</v>
      </c>
      <c r="AD5">
        <v>6.34</v>
      </c>
      <c r="AE5">
        <v>6.79</v>
      </c>
      <c r="AF5">
        <v>7.25</v>
      </c>
      <c r="AG5">
        <v>7.7</v>
      </c>
      <c r="AH5">
        <v>8.15</v>
      </c>
      <c r="AI5">
        <v>8.6</v>
      </c>
      <c r="AJ5">
        <v>8.86</v>
      </c>
      <c r="AK5">
        <v>9.1199999999999992</v>
      </c>
      <c r="AL5">
        <v>9.3800000000000008</v>
      </c>
      <c r="AM5">
        <v>9.64</v>
      </c>
      <c r="AN5">
        <v>9.9</v>
      </c>
    </row>
    <row r="6" spans="1:40" x14ac:dyDescent="0.25">
      <c r="A6" t="str">
        <f>A38</f>
        <v>AGR</v>
      </c>
      <c r="B6">
        <v>69.819999999999993</v>
      </c>
      <c r="C6">
        <v>72.77</v>
      </c>
      <c r="D6">
        <v>75.510000000000005</v>
      </c>
      <c r="E6">
        <v>74.36</v>
      </c>
      <c r="F6">
        <v>73.55</v>
      </c>
      <c r="G6">
        <v>76</v>
      </c>
      <c r="H6">
        <v>74.78</v>
      </c>
      <c r="I6">
        <v>73.53</v>
      </c>
      <c r="J6">
        <v>70.959999999999994</v>
      </c>
      <c r="K6">
        <v>72.959999999999994</v>
      </c>
      <c r="L6">
        <v>75</v>
      </c>
      <c r="M6">
        <v>76.52</v>
      </c>
      <c r="N6">
        <v>77.900000000000006</v>
      </c>
      <c r="O6">
        <v>79.13</v>
      </c>
      <c r="P6">
        <v>81.150000000000006</v>
      </c>
      <c r="Q6">
        <v>83.06</v>
      </c>
      <c r="R6">
        <v>85</v>
      </c>
      <c r="S6">
        <v>86.79</v>
      </c>
      <c r="T6">
        <v>88.61</v>
      </c>
      <c r="U6">
        <v>90.52</v>
      </c>
      <c r="V6">
        <v>92.22</v>
      </c>
      <c r="W6">
        <v>94</v>
      </c>
      <c r="X6">
        <v>95.83</v>
      </c>
      <c r="Y6">
        <v>97.69</v>
      </c>
      <c r="Z6">
        <v>99.72</v>
      </c>
      <c r="AA6">
        <v>101.85</v>
      </c>
      <c r="AB6">
        <v>104.02</v>
      </c>
      <c r="AC6">
        <v>106.26</v>
      </c>
      <c r="AD6">
        <v>108.6</v>
      </c>
      <c r="AE6">
        <v>110.85</v>
      </c>
      <c r="AF6">
        <v>113.14</v>
      </c>
      <c r="AG6">
        <v>115.46</v>
      </c>
      <c r="AH6">
        <v>117.97</v>
      </c>
      <c r="AI6">
        <v>120.7</v>
      </c>
      <c r="AJ6">
        <v>123.56</v>
      </c>
      <c r="AK6">
        <v>126.62</v>
      </c>
      <c r="AL6">
        <v>129.62</v>
      </c>
      <c r="AM6">
        <v>132.85</v>
      </c>
      <c r="AN6">
        <v>136.25</v>
      </c>
    </row>
    <row r="7" spans="1:40" x14ac:dyDescent="0.25">
      <c r="A7" t="str">
        <f>A37</f>
        <v>COM</v>
      </c>
      <c r="B7">
        <v>1833.85</v>
      </c>
      <c r="C7">
        <v>1884.55</v>
      </c>
      <c r="D7">
        <v>1927.88</v>
      </c>
      <c r="E7">
        <v>1957.41</v>
      </c>
      <c r="F7">
        <v>1982.72</v>
      </c>
      <c r="G7">
        <v>2007.4</v>
      </c>
      <c r="H7">
        <v>2036.6</v>
      </c>
      <c r="I7">
        <v>2071.14</v>
      </c>
      <c r="J7">
        <v>1915.6</v>
      </c>
      <c r="K7">
        <v>1960.19</v>
      </c>
      <c r="L7">
        <v>2004.23</v>
      </c>
      <c r="M7">
        <v>2048.11</v>
      </c>
      <c r="N7">
        <v>2091.16</v>
      </c>
      <c r="O7">
        <v>2135.91</v>
      </c>
      <c r="P7">
        <v>2188.48</v>
      </c>
      <c r="Q7">
        <v>2240.58</v>
      </c>
      <c r="R7">
        <v>2295.15</v>
      </c>
      <c r="S7">
        <v>2351.59</v>
      </c>
      <c r="T7">
        <v>2409.79</v>
      </c>
      <c r="U7">
        <v>2477.56</v>
      </c>
      <c r="V7">
        <v>2544.31</v>
      </c>
      <c r="W7">
        <v>2617.34</v>
      </c>
      <c r="X7">
        <v>2695.68</v>
      </c>
      <c r="Y7">
        <v>2779.08</v>
      </c>
      <c r="Z7">
        <v>2866.42</v>
      </c>
      <c r="AA7">
        <v>2957.38</v>
      </c>
      <c r="AB7">
        <v>3050.01</v>
      </c>
      <c r="AC7">
        <v>3146.53</v>
      </c>
      <c r="AD7">
        <v>3249.04</v>
      </c>
      <c r="AE7">
        <v>3355.38</v>
      </c>
      <c r="AF7">
        <v>3466.6</v>
      </c>
      <c r="AG7">
        <v>3582.52</v>
      </c>
      <c r="AH7">
        <v>3703.15</v>
      </c>
      <c r="AI7">
        <v>3831.42</v>
      </c>
      <c r="AJ7">
        <v>3966.01</v>
      </c>
      <c r="AK7">
        <v>4107.3999999999996</v>
      </c>
      <c r="AL7">
        <v>4251</v>
      </c>
      <c r="AM7">
        <v>4401.6400000000003</v>
      </c>
      <c r="AN7">
        <v>4560.04</v>
      </c>
    </row>
    <row r="8" spans="1:40" x14ac:dyDescent="0.25">
      <c r="A8" t="str">
        <f>A51</f>
        <v>trana</v>
      </c>
      <c r="B8">
        <v>11.26</v>
      </c>
      <c r="C8">
        <v>11.57</v>
      </c>
      <c r="D8">
        <v>11.91</v>
      </c>
      <c r="E8">
        <v>12.12</v>
      </c>
      <c r="F8">
        <v>12.2</v>
      </c>
      <c r="G8">
        <v>12.36</v>
      </c>
      <c r="H8">
        <v>12.64</v>
      </c>
      <c r="I8">
        <v>12.79</v>
      </c>
      <c r="J8">
        <v>12</v>
      </c>
      <c r="K8">
        <v>12.34</v>
      </c>
      <c r="L8">
        <v>12.61</v>
      </c>
      <c r="M8">
        <v>12.86</v>
      </c>
      <c r="N8">
        <v>13.09</v>
      </c>
      <c r="O8">
        <v>13.32</v>
      </c>
      <c r="P8">
        <v>13.6</v>
      </c>
      <c r="Q8">
        <v>13.87</v>
      </c>
      <c r="R8">
        <v>14.15</v>
      </c>
      <c r="S8">
        <v>14.45</v>
      </c>
      <c r="T8">
        <v>14.74</v>
      </c>
      <c r="U8">
        <v>15.11</v>
      </c>
      <c r="V8">
        <v>15.46</v>
      </c>
      <c r="W8">
        <v>15.83</v>
      </c>
      <c r="X8">
        <v>16.22</v>
      </c>
      <c r="Y8">
        <v>16.63</v>
      </c>
      <c r="Z8">
        <v>17.04</v>
      </c>
      <c r="AA8">
        <v>17.47</v>
      </c>
      <c r="AB8">
        <v>17.89</v>
      </c>
      <c r="AC8">
        <v>18.329999999999998</v>
      </c>
      <c r="AD8">
        <v>18.8</v>
      </c>
      <c r="AE8">
        <v>19.29</v>
      </c>
      <c r="AF8">
        <v>19.79</v>
      </c>
      <c r="AG8">
        <v>20.29</v>
      </c>
      <c r="AH8">
        <v>20.8</v>
      </c>
      <c r="AI8">
        <v>21.32</v>
      </c>
      <c r="AJ8">
        <v>21.84</v>
      </c>
      <c r="AK8">
        <v>22.38</v>
      </c>
      <c r="AL8">
        <v>22.91</v>
      </c>
      <c r="AM8">
        <v>23.46</v>
      </c>
      <c r="AN8">
        <v>24.05</v>
      </c>
    </row>
    <row r="9" spans="1:40" x14ac:dyDescent="0.25">
      <c r="A9" t="str">
        <f>A50</f>
        <v>tranlf</v>
      </c>
      <c r="B9">
        <v>135.96</v>
      </c>
      <c r="C9">
        <v>139.72999999999999</v>
      </c>
      <c r="D9">
        <v>142.69999999999999</v>
      </c>
      <c r="E9">
        <v>144.16</v>
      </c>
      <c r="F9">
        <v>145.31</v>
      </c>
      <c r="G9">
        <v>147.16</v>
      </c>
      <c r="H9">
        <v>148.75</v>
      </c>
      <c r="I9">
        <v>149.16999999999999</v>
      </c>
      <c r="J9">
        <v>138.22</v>
      </c>
      <c r="K9">
        <v>141.11000000000001</v>
      </c>
      <c r="L9">
        <v>144.02000000000001</v>
      </c>
      <c r="M9">
        <v>146.85</v>
      </c>
      <c r="N9">
        <v>149.56</v>
      </c>
      <c r="O9">
        <v>152.32</v>
      </c>
      <c r="P9">
        <v>155.71</v>
      </c>
      <c r="Q9">
        <v>158.9</v>
      </c>
      <c r="R9">
        <v>162.26</v>
      </c>
      <c r="S9">
        <v>165.94</v>
      </c>
      <c r="T9">
        <v>169.63</v>
      </c>
      <c r="U9">
        <v>174.19</v>
      </c>
      <c r="V9">
        <v>178.43</v>
      </c>
      <c r="W9">
        <v>183.19</v>
      </c>
      <c r="X9">
        <v>188.3</v>
      </c>
      <c r="Y9">
        <v>193.91</v>
      </c>
      <c r="Z9">
        <v>199.62</v>
      </c>
      <c r="AA9">
        <v>205.55</v>
      </c>
      <c r="AB9">
        <v>211.53</v>
      </c>
      <c r="AC9">
        <v>217.76</v>
      </c>
      <c r="AD9">
        <v>224.36</v>
      </c>
      <c r="AE9">
        <v>231.21</v>
      </c>
      <c r="AF9">
        <v>238.37</v>
      </c>
      <c r="AG9">
        <v>245.82</v>
      </c>
      <c r="AH9">
        <v>253.64</v>
      </c>
      <c r="AI9">
        <v>261.98</v>
      </c>
      <c r="AJ9">
        <v>270.7</v>
      </c>
      <c r="AK9">
        <v>279.86</v>
      </c>
      <c r="AL9">
        <v>289.08</v>
      </c>
      <c r="AM9">
        <v>298.81</v>
      </c>
      <c r="AN9">
        <v>309.06</v>
      </c>
    </row>
    <row r="10" spans="1:40" x14ac:dyDescent="0.25">
      <c r="A10" t="str">
        <f>A49</f>
        <v>tranlp</v>
      </c>
      <c r="B10">
        <v>21.15</v>
      </c>
      <c r="C10">
        <v>22.37</v>
      </c>
      <c r="D10">
        <v>23.86</v>
      </c>
      <c r="E10">
        <v>24.79</v>
      </c>
      <c r="F10">
        <v>25.39</v>
      </c>
      <c r="G10">
        <v>26.91</v>
      </c>
      <c r="H10">
        <v>28.69</v>
      </c>
      <c r="I10">
        <v>29.81</v>
      </c>
      <c r="J10">
        <v>28.74</v>
      </c>
      <c r="K10">
        <v>30.06</v>
      </c>
      <c r="L10">
        <v>31.41</v>
      </c>
      <c r="M10">
        <v>32.79</v>
      </c>
      <c r="N10">
        <v>34.18</v>
      </c>
      <c r="O10">
        <v>35.74</v>
      </c>
      <c r="P10">
        <v>37.880000000000003</v>
      </c>
      <c r="Q10">
        <v>40.24</v>
      </c>
      <c r="R10">
        <v>42.9</v>
      </c>
      <c r="S10">
        <v>45.9</v>
      </c>
      <c r="T10">
        <v>49.13</v>
      </c>
      <c r="U10">
        <v>52.76</v>
      </c>
      <c r="V10">
        <v>56.4</v>
      </c>
      <c r="W10">
        <v>60.42</v>
      </c>
      <c r="X10">
        <v>64.709999999999994</v>
      </c>
      <c r="Y10">
        <v>69.47</v>
      </c>
      <c r="Z10">
        <v>74.56</v>
      </c>
      <c r="AA10">
        <v>79.92</v>
      </c>
      <c r="AB10">
        <v>85.44</v>
      </c>
      <c r="AC10">
        <v>91.27</v>
      </c>
      <c r="AD10">
        <v>97.47</v>
      </c>
      <c r="AE10">
        <v>103.66</v>
      </c>
      <c r="AF10">
        <v>109.94</v>
      </c>
      <c r="AG10">
        <v>116.29</v>
      </c>
      <c r="AH10">
        <v>122.76</v>
      </c>
      <c r="AI10">
        <v>129.41999999999999</v>
      </c>
      <c r="AJ10">
        <v>136.13999999999999</v>
      </c>
      <c r="AK10">
        <v>142.99</v>
      </c>
      <c r="AL10">
        <v>149.66</v>
      </c>
      <c r="AM10">
        <v>156.57</v>
      </c>
      <c r="AN10">
        <v>163.72</v>
      </c>
    </row>
    <row r="11" spans="1:40" x14ac:dyDescent="0.25">
      <c r="A11" t="str">
        <f>A52</f>
        <v>trano</v>
      </c>
      <c r="B11">
        <v>1.1399999999999999</v>
      </c>
      <c r="C11">
        <v>1.1599999999999999</v>
      </c>
      <c r="D11">
        <v>1.1399999999999999</v>
      </c>
      <c r="E11">
        <v>1.1299999999999999</v>
      </c>
      <c r="F11">
        <v>1.1499999999999999</v>
      </c>
      <c r="G11">
        <v>1.1499999999999999</v>
      </c>
      <c r="H11">
        <v>1.1200000000000001</v>
      </c>
      <c r="I11">
        <v>1.0900000000000001</v>
      </c>
      <c r="J11">
        <v>0.99</v>
      </c>
      <c r="K11">
        <v>0.99</v>
      </c>
      <c r="L11">
        <v>1</v>
      </c>
      <c r="M11">
        <v>1.02</v>
      </c>
      <c r="N11">
        <v>1.03</v>
      </c>
      <c r="O11">
        <v>1.05</v>
      </c>
      <c r="P11">
        <v>1.07</v>
      </c>
      <c r="Q11">
        <v>1.0900000000000001</v>
      </c>
      <c r="R11">
        <v>1.1100000000000001</v>
      </c>
      <c r="S11">
        <v>1.1399999999999999</v>
      </c>
      <c r="T11">
        <v>1.1599999999999999</v>
      </c>
      <c r="U11">
        <v>1.2</v>
      </c>
      <c r="V11">
        <v>1.23</v>
      </c>
      <c r="W11">
        <v>1.27</v>
      </c>
      <c r="X11">
        <v>1.31</v>
      </c>
      <c r="Y11">
        <v>1.36</v>
      </c>
      <c r="Z11">
        <v>1.42</v>
      </c>
      <c r="AA11">
        <v>1.47</v>
      </c>
      <c r="AB11">
        <v>1.53</v>
      </c>
      <c r="AC11">
        <v>1.58</v>
      </c>
      <c r="AD11">
        <v>1.65</v>
      </c>
      <c r="AE11">
        <v>1.71</v>
      </c>
      <c r="AF11">
        <v>1.79</v>
      </c>
      <c r="AG11">
        <v>1.87</v>
      </c>
      <c r="AH11">
        <v>1.95</v>
      </c>
      <c r="AI11">
        <v>2.0499999999999998</v>
      </c>
      <c r="AJ11">
        <v>2.16</v>
      </c>
      <c r="AK11">
        <v>2.2799999999999998</v>
      </c>
      <c r="AL11">
        <v>2.4</v>
      </c>
      <c r="AM11">
        <v>2.5299999999999998</v>
      </c>
      <c r="AN11">
        <v>2.66</v>
      </c>
    </row>
    <row r="12" spans="1:40" x14ac:dyDescent="0.25">
      <c r="A12" t="str">
        <f>A43</f>
        <v>cp</v>
      </c>
      <c r="B12">
        <v>52.81</v>
      </c>
      <c r="C12">
        <v>54.31</v>
      </c>
      <c r="D12">
        <v>55.26</v>
      </c>
      <c r="E12">
        <v>55.73</v>
      </c>
      <c r="F12">
        <v>56.3</v>
      </c>
      <c r="G12">
        <v>56.6</v>
      </c>
      <c r="H12">
        <v>57.09</v>
      </c>
      <c r="I12">
        <v>56.96</v>
      </c>
      <c r="J12">
        <v>52.37</v>
      </c>
      <c r="K12">
        <v>53.76</v>
      </c>
      <c r="L12">
        <v>55.02</v>
      </c>
      <c r="M12">
        <v>56.21</v>
      </c>
      <c r="N12">
        <v>57.35</v>
      </c>
      <c r="O12">
        <v>58.59</v>
      </c>
      <c r="P12">
        <v>60.17</v>
      </c>
      <c r="Q12">
        <v>61.72</v>
      </c>
      <c r="R12">
        <v>63.31</v>
      </c>
      <c r="S12">
        <v>65.09</v>
      </c>
      <c r="T12">
        <v>66.930000000000007</v>
      </c>
      <c r="U12">
        <v>68.83</v>
      </c>
      <c r="V12">
        <v>70.67</v>
      </c>
      <c r="W12">
        <v>72.69</v>
      </c>
      <c r="X12">
        <v>74.849999999999994</v>
      </c>
      <c r="Y12">
        <v>77.23</v>
      </c>
      <c r="Z12">
        <v>79.680000000000007</v>
      </c>
      <c r="AA12">
        <v>82.2</v>
      </c>
      <c r="AB12">
        <v>84.75</v>
      </c>
      <c r="AC12">
        <v>87.38</v>
      </c>
      <c r="AD12">
        <v>90.15</v>
      </c>
      <c r="AE12">
        <v>92.83</v>
      </c>
      <c r="AF12">
        <v>95.65</v>
      </c>
      <c r="AG12">
        <v>98.6</v>
      </c>
      <c r="AH12">
        <v>101.7</v>
      </c>
      <c r="AI12">
        <v>105</v>
      </c>
      <c r="AJ12">
        <v>108.37</v>
      </c>
      <c r="AK12">
        <v>111.9</v>
      </c>
      <c r="AL12">
        <v>115.47</v>
      </c>
      <c r="AM12">
        <v>119.23</v>
      </c>
      <c r="AN12">
        <v>123.19</v>
      </c>
    </row>
    <row r="13" spans="1:40" x14ac:dyDescent="0.25">
      <c r="A13" t="str">
        <f>A40</f>
        <v>fb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tr">
        <f>A45</f>
        <v>is</v>
      </c>
      <c r="B14">
        <v>13.35</v>
      </c>
      <c r="C14">
        <v>13.74</v>
      </c>
      <c r="D14">
        <v>13.91</v>
      </c>
      <c r="E14">
        <v>14.13</v>
      </c>
      <c r="F14">
        <v>14.15</v>
      </c>
      <c r="G14">
        <v>14.18</v>
      </c>
      <c r="H14">
        <v>14.21</v>
      </c>
      <c r="I14">
        <v>14.08</v>
      </c>
      <c r="J14">
        <v>12.26</v>
      </c>
      <c r="K14">
        <v>12.65</v>
      </c>
      <c r="L14">
        <v>12.9</v>
      </c>
      <c r="M14">
        <v>13.13</v>
      </c>
      <c r="N14">
        <v>13.34</v>
      </c>
      <c r="O14">
        <v>13.63</v>
      </c>
      <c r="P14">
        <v>14.12</v>
      </c>
      <c r="Q14">
        <v>14.6</v>
      </c>
      <c r="R14">
        <v>15.08</v>
      </c>
      <c r="S14">
        <v>15.43</v>
      </c>
      <c r="T14">
        <v>15.88</v>
      </c>
      <c r="U14">
        <v>16.239999999999998</v>
      </c>
      <c r="V14">
        <v>16.559999999999999</v>
      </c>
      <c r="W14">
        <v>16.93</v>
      </c>
      <c r="X14">
        <v>17.34</v>
      </c>
      <c r="Y14">
        <v>17.73</v>
      </c>
      <c r="Z14">
        <v>18.190000000000001</v>
      </c>
      <c r="AA14">
        <v>18.670000000000002</v>
      </c>
      <c r="AB14">
        <v>19.14</v>
      </c>
      <c r="AC14">
        <v>19.63</v>
      </c>
      <c r="AD14">
        <v>20.14</v>
      </c>
      <c r="AE14">
        <v>20.57</v>
      </c>
      <c r="AF14">
        <v>21.03</v>
      </c>
      <c r="AG14">
        <v>21.51</v>
      </c>
      <c r="AH14">
        <v>22.03</v>
      </c>
      <c r="AI14">
        <v>22.59</v>
      </c>
      <c r="AJ14">
        <v>23.19</v>
      </c>
      <c r="AK14">
        <v>23.82</v>
      </c>
      <c r="AL14">
        <v>24.47</v>
      </c>
      <c r="AM14">
        <v>25.16</v>
      </c>
      <c r="AN14">
        <v>25.89</v>
      </c>
    </row>
    <row r="15" spans="1:40" x14ac:dyDescent="0.25">
      <c r="A15" t="str">
        <f>A39</f>
        <v>mi</v>
      </c>
      <c r="B15">
        <v>205.45</v>
      </c>
      <c r="C15">
        <v>210.29</v>
      </c>
      <c r="D15">
        <v>210.09</v>
      </c>
      <c r="E15">
        <v>214.84</v>
      </c>
      <c r="F15">
        <v>210.99</v>
      </c>
      <c r="G15">
        <v>215.85</v>
      </c>
      <c r="H15">
        <v>213.65</v>
      </c>
      <c r="I15">
        <v>210.07</v>
      </c>
      <c r="J15">
        <v>193.07</v>
      </c>
      <c r="K15">
        <v>196.38</v>
      </c>
      <c r="L15">
        <v>199.05</v>
      </c>
      <c r="M15">
        <v>201.54</v>
      </c>
      <c r="N15">
        <v>203.91</v>
      </c>
      <c r="O15">
        <v>207.14</v>
      </c>
      <c r="P15">
        <v>212.19</v>
      </c>
      <c r="Q15">
        <v>217.65</v>
      </c>
      <c r="R15">
        <v>223.52</v>
      </c>
      <c r="S15">
        <v>228.69</v>
      </c>
      <c r="T15">
        <v>234.66</v>
      </c>
      <c r="U15">
        <v>240.3</v>
      </c>
      <c r="V15">
        <v>245.53</v>
      </c>
      <c r="W15">
        <v>251.1</v>
      </c>
      <c r="X15">
        <v>256.91000000000003</v>
      </c>
      <c r="Y15">
        <v>262.83</v>
      </c>
      <c r="Z15">
        <v>269.37</v>
      </c>
      <c r="AA15">
        <v>276.17</v>
      </c>
      <c r="AB15">
        <v>282.98</v>
      </c>
      <c r="AC15">
        <v>290.05</v>
      </c>
      <c r="AD15">
        <v>297.62</v>
      </c>
      <c r="AE15">
        <v>304.49</v>
      </c>
      <c r="AF15">
        <v>311.5</v>
      </c>
      <c r="AG15">
        <v>318.7</v>
      </c>
      <c r="AH15">
        <v>326.24</v>
      </c>
      <c r="AI15">
        <v>334.31</v>
      </c>
      <c r="AJ15">
        <v>342.67</v>
      </c>
      <c r="AK15">
        <v>351.49</v>
      </c>
      <c r="AL15">
        <v>360.41</v>
      </c>
      <c r="AM15">
        <v>369.89</v>
      </c>
      <c r="AN15">
        <v>380</v>
      </c>
    </row>
    <row r="16" spans="1:40" x14ac:dyDescent="0.25">
      <c r="A16" t="str">
        <f>A46</f>
        <v>nf</v>
      </c>
      <c r="B16">
        <v>10.11</v>
      </c>
      <c r="C16">
        <v>8.43</v>
      </c>
      <c r="D16">
        <v>7.26</v>
      </c>
      <c r="E16">
        <v>6.85</v>
      </c>
      <c r="F16">
        <v>6.43</v>
      </c>
      <c r="G16">
        <v>5.96</v>
      </c>
      <c r="H16">
        <v>5.84</v>
      </c>
      <c r="I16">
        <v>5.52</v>
      </c>
      <c r="J16">
        <v>4.53</v>
      </c>
      <c r="K16">
        <v>4.6900000000000004</v>
      </c>
      <c r="L16">
        <v>4.71</v>
      </c>
      <c r="M16">
        <v>4.74</v>
      </c>
      <c r="N16">
        <v>4.7699999999999996</v>
      </c>
      <c r="O16">
        <v>4.84</v>
      </c>
      <c r="P16">
        <v>5.01</v>
      </c>
      <c r="Q16">
        <v>5.21</v>
      </c>
      <c r="R16">
        <v>5.45</v>
      </c>
      <c r="S16">
        <v>5.64</v>
      </c>
      <c r="T16">
        <v>5.88</v>
      </c>
      <c r="U16">
        <v>6.08</v>
      </c>
      <c r="V16">
        <v>6.21</v>
      </c>
      <c r="W16">
        <v>6.36</v>
      </c>
      <c r="X16">
        <v>6.52</v>
      </c>
      <c r="Y16">
        <v>6.66</v>
      </c>
      <c r="Z16">
        <v>6.83</v>
      </c>
      <c r="AA16">
        <v>7</v>
      </c>
      <c r="AB16">
        <v>7.17</v>
      </c>
      <c r="AC16">
        <v>7.34</v>
      </c>
      <c r="AD16">
        <v>7.52</v>
      </c>
      <c r="AE16">
        <v>7.63</v>
      </c>
      <c r="AF16">
        <v>7.74</v>
      </c>
      <c r="AG16">
        <v>7.85</v>
      </c>
      <c r="AH16">
        <v>7.96</v>
      </c>
      <c r="AI16">
        <v>8.08</v>
      </c>
      <c r="AJ16">
        <v>8.2100000000000009</v>
      </c>
      <c r="AK16">
        <v>8.35</v>
      </c>
      <c r="AL16">
        <v>8.49</v>
      </c>
      <c r="AM16">
        <v>8.65</v>
      </c>
      <c r="AN16">
        <v>8.82</v>
      </c>
    </row>
    <row r="17" spans="1:40" x14ac:dyDescent="0.25">
      <c r="A17" t="str">
        <f>A44</f>
        <v>nm</v>
      </c>
      <c r="B17">
        <v>14.11</v>
      </c>
      <c r="C17">
        <v>14.52</v>
      </c>
      <c r="D17">
        <v>14.79</v>
      </c>
      <c r="E17">
        <v>15.03</v>
      </c>
      <c r="F17">
        <v>15.21</v>
      </c>
      <c r="G17">
        <v>15.35</v>
      </c>
      <c r="H17">
        <v>15.51</v>
      </c>
      <c r="I17">
        <v>15.54</v>
      </c>
      <c r="J17">
        <v>14.21</v>
      </c>
      <c r="K17">
        <v>14.6</v>
      </c>
      <c r="L17">
        <v>14.95</v>
      </c>
      <c r="M17">
        <v>15.3</v>
      </c>
      <c r="N17">
        <v>15.64</v>
      </c>
      <c r="O17">
        <v>16</v>
      </c>
      <c r="P17">
        <v>16.440000000000001</v>
      </c>
      <c r="Q17">
        <v>16.88</v>
      </c>
      <c r="R17">
        <v>17.34</v>
      </c>
      <c r="S17">
        <v>17.8</v>
      </c>
      <c r="T17">
        <v>18.27</v>
      </c>
      <c r="U17">
        <v>18.809999999999999</v>
      </c>
      <c r="V17">
        <v>19.32</v>
      </c>
      <c r="W17">
        <v>19.88</v>
      </c>
      <c r="X17">
        <v>20.49</v>
      </c>
      <c r="Y17">
        <v>21.14</v>
      </c>
      <c r="Z17">
        <v>21.81</v>
      </c>
      <c r="AA17">
        <v>22.5</v>
      </c>
      <c r="AB17">
        <v>23.19</v>
      </c>
      <c r="AC17">
        <v>23.92</v>
      </c>
      <c r="AD17">
        <v>24.68</v>
      </c>
      <c r="AE17">
        <v>25.46</v>
      </c>
      <c r="AF17">
        <v>26.29</v>
      </c>
      <c r="AG17">
        <v>27.15</v>
      </c>
      <c r="AH17">
        <v>28.04</v>
      </c>
      <c r="AI17">
        <v>28.99</v>
      </c>
      <c r="AJ17">
        <v>30</v>
      </c>
      <c r="AK17">
        <v>31.06</v>
      </c>
      <c r="AL17">
        <v>32.130000000000003</v>
      </c>
      <c r="AM17">
        <v>33.26</v>
      </c>
      <c r="AN17">
        <v>34.44</v>
      </c>
    </row>
    <row r="18" spans="1:40" x14ac:dyDescent="0.25">
      <c r="A18" t="str">
        <f>A41</f>
        <v>ot</v>
      </c>
      <c r="B18">
        <v>235.5</v>
      </c>
      <c r="C18">
        <v>241.63</v>
      </c>
      <c r="D18">
        <v>245.65</v>
      </c>
      <c r="E18">
        <v>248.47</v>
      </c>
      <c r="F18">
        <v>251.07</v>
      </c>
      <c r="G18">
        <v>252.54</v>
      </c>
      <c r="H18">
        <v>254.74</v>
      </c>
      <c r="I18">
        <v>254.67</v>
      </c>
      <c r="J18">
        <v>230.24</v>
      </c>
      <c r="K18">
        <v>236.69</v>
      </c>
      <c r="L18">
        <v>242.59</v>
      </c>
      <c r="M18">
        <v>248.33</v>
      </c>
      <c r="N18">
        <v>253.83</v>
      </c>
      <c r="O18">
        <v>259.61</v>
      </c>
      <c r="P18">
        <v>266.92</v>
      </c>
      <c r="Q18">
        <v>274.13</v>
      </c>
      <c r="R18">
        <v>281.63</v>
      </c>
      <c r="S18">
        <v>289.23</v>
      </c>
      <c r="T18">
        <v>297.02</v>
      </c>
      <c r="U18">
        <v>305.64</v>
      </c>
      <c r="V18">
        <v>313.91000000000003</v>
      </c>
      <c r="W18">
        <v>323.06</v>
      </c>
      <c r="X18">
        <v>332.87</v>
      </c>
      <c r="Y18">
        <v>343.27</v>
      </c>
      <c r="Z18">
        <v>354.09</v>
      </c>
      <c r="AA18">
        <v>365.3</v>
      </c>
      <c r="AB18">
        <v>376.62</v>
      </c>
      <c r="AC18">
        <v>388.36</v>
      </c>
      <c r="AD18">
        <v>400.79</v>
      </c>
      <c r="AE18">
        <v>413.32</v>
      </c>
      <c r="AF18">
        <v>426.43</v>
      </c>
      <c r="AG18">
        <v>440.09</v>
      </c>
      <c r="AH18">
        <v>454.44</v>
      </c>
      <c r="AI18">
        <v>469.74</v>
      </c>
      <c r="AJ18">
        <v>485.82</v>
      </c>
      <c r="AK18">
        <v>502.71</v>
      </c>
      <c r="AL18">
        <v>519.79999999999995</v>
      </c>
      <c r="AM18">
        <v>537.78</v>
      </c>
      <c r="AN18">
        <v>556.72</v>
      </c>
    </row>
    <row r="19" spans="1:40" x14ac:dyDescent="0.25">
      <c r="A19" t="str">
        <f>A42</f>
        <v>pp</v>
      </c>
      <c r="B19">
        <v>17.78</v>
      </c>
      <c r="C19">
        <v>18.190000000000001</v>
      </c>
      <c r="D19">
        <v>18.54</v>
      </c>
      <c r="E19">
        <v>18.73</v>
      </c>
      <c r="F19">
        <v>19.13</v>
      </c>
      <c r="G19">
        <v>19.23</v>
      </c>
      <c r="H19">
        <v>19.5</v>
      </c>
      <c r="I19">
        <v>19.52</v>
      </c>
      <c r="J19">
        <v>18.16</v>
      </c>
      <c r="K19">
        <v>18.68</v>
      </c>
      <c r="L19">
        <v>19.149999999999999</v>
      </c>
      <c r="M19">
        <v>19.61</v>
      </c>
      <c r="N19">
        <v>20.04</v>
      </c>
      <c r="O19">
        <v>20.51</v>
      </c>
      <c r="P19">
        <v>21.11</v>
      </c>
      <c r="Q19">
        <v>21.69</v>
      </c>
      <c r="R19">
        <v>22.28</v>
      </c>
      <c r="S19">
        <v>22.83</v>
      </c>
      <c r="T19">
        <v>23.42</v>
      </c>
      <c r="U19">
        <v>24.02</v>
      </c>
      <c r="V19">
        <v>24.61</v>
      </c>
      <c r="W19">
        <v>25.26</v>
      </c>
      <c r="X19">
        <v>25.94</v>
      </c>
      <c r="Y19">
        <v>26.65</v>
      </c>
      <c r="Z19">
        <v>27.42</v>
      </c>
      <c r="AA19">
        <v>28.22</v>
      </c>
      <c r="AB19">
        <v>29.03</v>
      </c>
      <c r="AC19">
        <v>29.88</v>
      </c>
      <c r="AD19">
        <v>30.78</v>
      </c>
      <c r="AE19">
        <v>31.65</v>
      </c>
      <c r="AF19">
        <v>32.57</v>
      </c>
      <c r="AG19">
        <v>33.53</v>
      </c>
      <c r="AH19">
        <v>34.54</v>
      </c>
      <c r="AI19">
        <v>35.619999999999997</v>
      </c>
      <c r="AJ19">
        <v>36.75</v>
      </c>
      <c r="AK19">
        <v>37.93</v>
      </c>
      <c r="AL19">
        <v>39.130000000000003</v>
      </c>
      <c r="AM19">
        <v>40.380000000000003</v>
      </c>
      <c r="AN19">
        <v>41.7</v>
      </c>
    </row>
    <row r="20" spans="1:40" x14ac:dyDescent="0.25">
      <c r="A20" t="str">
        <f>A54</f>
        <v>coal</v>
      </c>
      <c r="B20">
        <v>66.42</v>
      </c>
      <c r="C20">
        <v>65.98</v>
      </c>
      <c r="D20">
        <v>65.72</v>
      </c>
      <c r="E20">
        <v>65.459999999999994</v>
      </c>
      <c r="F20">
        <v>64.28</v>
      </c>
      <c r="G20">
        <v>63.85</v>
      </c>
      <c r="H20">
        <v>63.13</v>
      </c>
      <c r="I20">
        <v>62.24</v>
      </c>
      <c r="J20">
        <v>61.58</v>
      </c>
      <c r="K20">
        <v>60.37</v>
      </c>
      <c r="L20">
        <v>60.1</v>
      </c>
      <c r="M20">
        <v>59.84</v>
      </c>
      <c r="N20">
        <v>59.34</v>
      </c>
      <c r="O20">
        <v>58.75</v>
      </c>
      <c r="P20">
        <v>56.4</v>
      </c>
      <c r="Q20">
        <v>53.36</v>
      </c>
      <c r="R20">
        <v>50.36</v>
      </c>
      <c r="S20">
        <v>46.96</v>
      </c>
      <c r="T20">
        <v>43.51</v>
      </c>
      <c r="U20">
        <v>43.76</v>
      </c>
      <c r="V20">
        <v>42.68</v>
      </c>
      <c r="W20">
        <v>42.31</v>
      </c>
      <c r="X20">
        <v>41.94</v>
      </c>
      <c r="Y20">
        <v>41.15</v>
      </c>
      <c r="Z20">
        <v>39.86</v>
      </c>
      <c r="AA20">
        <v>38.57</v>
      </c>
      <c r="AB20">
        <v>37.28</v>
      </c>
      <c r="AC20">
        <v>36</v>
      </c>
      <c r="AD20">
        <v>34.71</v>
      </c>
      <c r="AE20">
        <v>34.86</v>
      </c>
      <c r="AF20">
        <v>35.01</v>
      </c>
      <c r="AG20">
        <v>35.15</v>
      </c>
      <c r="AH20">
        <v>35.299999999999997</v>
      </c>
      <c r="AI20">
        <v>35.450000000000003</v>
      </c>
      <c r="AJ20">
        <v>35.75</v>
      </c>
      <c r="AK20">
        <v>36.04</v>
      </c>
      <c r="AL20">
        <v>36.340000000000003</v>
      </c>
      <c r="AM20">
        <v>36.64</v>
      </c>
      <c r="AN20">
        <v>36.93</v>
      </c>
    </row>
    <row r="21" spans="1:40" x14ac:dyDescent="0.25">
      <c r="A21" t="str">
        <f>A48</f>
        <v>elec</v>
      </c>
      <c r="B21">
        <v>84.25</v>
      </c>
      <c r="C21">
        <v>83.73</v>
      </c>
      <c r="D21">
        <v>83.25</v>
      </c>
      <c r="E21">
        <v>82.69</v>
      </c>
      <c r="F21">
        <v>81.209999999999994</v>
      </c>
      <c r="G21">
        <v>80.83</v>
      </c>
      <c r="H21">
        <v>80.180000000000007</v>
      </c>
      <c r="I21">
        <v>78.209999999999994</v>
      </c>
      <c r="J21">
        <v>76.040000000000006</v>
      </c>
      <c r="K21">
        <v>77.260000000000005</v>
      </c>
      <c r="L21">
        <v>76.540000000000006</v>
      </c>
      <c r="M21">
        <v>77.84</v>
      </c>
      <c r="N21">
        <v>78.83</v>
      </c>
      <c r="O21">
        <v>79.89</v>
      </c>
      <c r="P21">
        <v>81.33</v>
      </c>
      <c r="Q21">
        <v>83.16</v>
      </c>
      <c r="R21">
        <v>84.74</v>
      </c>
      <c r="S21">
        <v>87.09</v>
      </c>
      <c r="T21">
        <v>89.18</v>
      </c>
      <c r="U21">
        <v>91.58</v>
      </c>
      <c r="V21">
        <v>93.3</v>
      </c>
      <c r="W21">
        <v>95.88</v>
      </c>
      <c r="X21">
        <v>98.58</v>
      </c>
      <c r="Y21">
        <v>102.12</v>
      </c>
      <c r="Z21">
        <v>104.15</v>
      </c>
      <c r="AA21">
        <v>106.44</v>
      </c>
      <c r="AB21">
        <v>108.7</v>
      </c>
      <c r="AC21">
        <v>110.96</v>
      </c>
      <c r="AD21">
        <v>113.25</v>
      </c>
      <c r="AE21">
        <v>116.13</v>
      </c>
      <c r="AF21">
        <v>119.11</v>
      </c>
      <c r="AG21">
        <v>122.09</v>
      </c>
      <c r="AH21">
        <v>125.09</v>
      </c>
      <c r="AI21">
        <v>128.13</v>
      </c>
      <c r="AJ21">
        <v>131.97</v>
      </c>
      <c r="AK21">
        <v>135.72</v>
      </c>
      <c r="AL21">
        <v>139.46</v>
      </c>
      <c r="AM21">
        <v>143.13999999999999</v>
      </c>
      <c r="AN21">
        <v>146.85</v>
      </c>
    </row>
    <row r="35" spans="1:40" x14ac:dyDescent="0.25">
      <c r="A35" t="s">
        <v>41</v>
      </c>
    </row>
    <row r="36" spans="1:40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>
        <v>3910</v>
      </c>
      <c r="C37">
        <v>4018</v>
      </c>
      <c r="D37">
        <v>4111</v>
      </c>
      <c r="E37">
        <v>4180</v>
      </c>
      <c r="F37">
        <v>4237</v>
      </c>
      <c r="G37">
        <v>4294</v>
      </c>
      <c r="H37">
        <v>4359</v>
      </c>
      <c r="I37">
        <v>4432</v>
      </c>
      <c r="J37">
        <v>4107</v>
      </c>
      <c r="K37">
        <v>4200</v>
      </c>
      <c r="L37">
        <v>4292</v>
      </c>
      <c r="M37">
        <v>4385</v>
      </c>
      <c r="N37">
        <v>4476</v>
      </c>
      <c r="O37">
        <v>4571</v>
      </c>
      <c r="P37">
        <v>4685</v>
      </c>
      <c r="Q37">
        <v>4797</v>
      </c>
      <c r="R37">
        <v>4915</v>
      </c>
      <c r="S37">
        <v>5037</v>
      </c>
      <c r="T37">
        <v>5163</v>
      </c>
      <c r="U37">
        <v>5309</v>
      </c>
      <c r="V37">
        <v>5452</v>
      </c>
      <c r="W37">
        <v>5609</v>
      </c>
      <c r="X37">
        <v>5778</v>
      </c>
      <c r="Y37">
        <v>5958</v>
      </c>
      <c r="Z37">
        <v>6147</v>
      </c>
      <c r="AA37">
        <v>6343</v>
      </c>
      <c r="AB37">
        <v>6543</v>
      </c>
      <c r="AC37">
        <v>6751</v>
      </c>
      <c r="AD37">
        <v>6972</v>
      </c>
      <c r="AE37">
        <v>7201</v>
      </c>
      <c r="AF37">
        <v>7441</v>
      </c>
      <c r="AG37">
        <v>7691</v>
      </c>
      <c r="AH37">
        <v>7951</v>
      </c>
      <c r="AI37">
        <v>8227</v>
      </c>
      <c r="AJ37">
        <v>8517</v>
      </c>
      <c r="AK37">
        <v>8822</v>
      </c>
      <c r="AL37">
        <v>9131</v>
      </c>
      <c r="AM37">
        <v>9455</v>
      </c>
      <c r="AN37">
        <v>9796</v>
      </c>
    </row>
    <row r="38" spans="1:40" x14ac:dyDescent="0.25">
      <c r="A38" t="s">
        <v>22</v>
      </c>
      <c r="B38">
        <v>180</v>
      </c>
      <c r="C38">
        <v>188</v>
      </c>
      <c r="D38">
        <v>195</v>
      </c>
      <c r="E38">
        <v>192</v>
      </c>
      <c r="F38">
        <v>190</v>
      </c>
      <c r="G38">
        <v>196</v>
      </c>
      <c r="H38">
        <v>193</v>
      </c>
      <c r="I38">
        <v>190</v>
      </c>
      <c r="J38">
        <v>183</v>
      </c>
      <c r="K38">
        <v>188</v>
      </c>
      <c r="L38">
        <v>194</v>
      </c>
      <c r="M38">
        <v>198</v>
      </c>
      <c r="N38">
        <v>201</v>
      </c>
      <c r="O38">
        <v>204</v>
      </c>
      <c r="P38">
        <v>209</v>
      </c>
      <c r="Q38">
        <v>214</v>
      </c>
      <c r="R38">
        <v>219</v>
      </c>
      <c r="S38">
        <v>224</v>
      </c>
      <c r="T38">
        <v>229</v>
      </c>
      <c r="U38">
        <v>234</v>
      </c>
      <c r="V38">
        <v>238</v>
      </c>
      <c r="W38">
        <v>243</v>
      </c>
      <c r="X38">
        <v>247</v>
      </c>
      <c r="Y38">
        <v>252</v>
      </c>
      <c r="Z38">
        <v>257</v>
      </c>
      <c r="AA38">
        <v>263</v>
      </c>
      <c r="AB38">
        <v>268</v>
      </c>
      <c r="AC38">
        <v>274</v>
      </c>
      <c r="AD38">
        <v>280</v>
      </c>
      <c r="AE38">
        <v>286</v>
      </c>
      <c r="AF38">
        <v>292</v>
      </c>
      <c r="AG38">
        <v>298</v>
      </c>
      <c r="AH38">
        <v>304</v>
      </c>
      <c r="AI38">
        <v>311</v>
      </c>
      <c r="AJ38">
        <v>319</v>
      </c>
      <c r="AK38">
        <v>326</v>
      </c>
      <c r="AL38">
        <v>334</v>
      </c>
      <c r="AM38">
        <v>342</v>
      </c>
      <c r="AN38">
        <v>351</v>
      </c>
    </row>
    <row r="39" spans="1:40" x14ac:dyDescent="0.25">
      <c r="A39" t="s">
        <v>23</v>
      </c>
      <c r="B39">
        <v>444</v>
      </c>
      <c r="C39">
        <v>454</v>
      </c>
      <c r="D39">
        <v>453</v>
      </c>
      <c r="E39">
        <v>463</v>
      </c>
      <c r="F39">
        <v>454</v>
      </c>
      <c r="G39">
        <v>464</v>
      </c>
      <c r="H39">
        <v>459</v>
      </c>
      <c r="I39">
        <v>451</v>
      </c>
      <c r="J39">
        <v>417</v>
      </c>
      <c r="K39">
        <v>423</v>
      </c>
      <c r="L39">
        <v>428</v>
      </c>
      <c r="M39">
        <v>432</v>
      </c>
      <c r="N39">
        <v>436</v>
      </c>
      <c r="O39">
        <v>443</v>
      </c>
      <c r="P39">
        <v>451</v>
      </c>
      <c r="Q39">
        <v>460</v>
      </c>
      <c r="R39">
        <v>470</v>
      </c>
      <c r="S39">
        <v>478</v>
      </c>
      <c r="T39">
        <v>486</v>
      </c>
      <c r="U39">
        <v>497</v>
      </c>
      <c r="V39">
        <v>508</v>
      </c>
      <c r="W39">
        <v>520</v>
      </c>
      <c r="X39">
        <v>532</v>
      </c>
      <c r="Y39">
        <v>545</v>
      </c>
      <c r="Z39">
        <v>559</v>
      </c>
      <c r="AA39">
        <v>574</v>
      </c>
      <c r="AB39">
        <v>588</v>
      </c>
      <c r="AC39">
        <v>603</v>
      </c>
      <c r="AD39">
        <v>620</v>
      </c>
      <c r="AE39">
        <v>635</v>
      </c>
      <c r="AF39">
        <v>652</v>
      </c>
      <c r="AG39">
        <v>668</v>
      </c>
      <c r="AH39">
        <v>686</v>
      </c>
      <c r="AI39">
        <v>704</v>
      </c>
      <c r="AJ39">
        <v>723</v>
      </c>
      <c r="AK39">
        <v>742</v>
      </c>
      <c r="AL39">
        <v>761</v>
      </c>
      <c r="AM39">
        <v>782</v>
      </c>
      <c r="AN39">
        <v>804</v>
      </c>
    </row>
    <row r="40" spans="1:40" x14ac:dyDescent="0.25">
      <c r="A40" t="s">
        <v>24</v>
      </c>
      <c r="B40">
        <v>349</v>
      </c>
      <c r="C40">
        <v>355</v>
      </c>
      <c r="D40">
        <v>360</v>
      </c>
      <c r="E40">
        <v>360</v>
      </c>
      <c r="F40">
        <v>364</v>
      </c>
      <c r="G40">
        <v>366</v>
      </c>
      <c r="H40">
        <v>368</v>
      </c>
      <c r="I40">
        <v>365</v>
      </c>
      <c r="J40">
        <v>347</v>
      </c>
      <c r="K40">
        <v>357</v>
      </c>
      <c r="L40">
        <v>367</v>
      </c>
      <c r="M40">
        <v>374</v>
      </c>
      <c r="N40">
        <v>381</v>
      </c>
      <c r="O40">
        <v>389</v>
      </c>
      <c r="P40">
        <v>399</v>
      </c>
      <c r="Q40">
        <v>409</v>
      </c>
      <c r="R40">
        <v>419</v>
      </c>
      <c r="S40">
        <v>429</v>
      </c>
      <c r="T40">
        <v>438</v>
      </c>
      <c r="U40">
        <v>448</v>
      </c>
      <c r="V40">
        <v>456</v>
      </c>
      <c r="W40">
        <v>466</v>
      </c>
      <c r="X40">
        <v>476</v>
      </c>
      <c r="Y40">
        <v>486</v>
      </c>
      <c r="Z40">
        <v>497</v>
      </c>
      <c r="AA40">
        <v>509</v>
      </c>
      <c r="AB40">
        <v>520</v>
      </c>
      <c r="AC40">
        <v>532</v>
      </c>
      <c r="AD40">
        <v>544</v>
      </c>
      <c r="AE40">
        <v>555</v>
      </c>
      <c r="AF40">
        <v>567</v>
      </c>
      <c r="AG40">
        <v>579</v>
      </c>
      <c r="AH40">
        <v>592</v>
      </c>
      <c r="AI40">
        <v>605</v>
      </c>
      <c r="AJ40">
        <v>620</v>
      </c>
      <c r="AK40">
        <v>634</v>
      </c>
      <c r="AL40">
        <v>648</v>
      </c>
      <c r="AM40">
        <v>664</v>
      </c>
      <c r="AN40">
        <v>679</v>
      </c>
    </row>
    <row r="41" spans="1:40" x14ac:dyDescent="0.25">
      <c r="A41" t="s">
        <v>25</v>
      </c>
      <c r="B41">
        <v>1083</v>
      </c>
      <c r="C41">
        <v>1111</v>
      </c>
      <c r="D41">
        <v>1130</v>
      </c>
      <c r="E41">
        <v>1144</v>
      </c>
      <c r="F41">
        <v>1156</v>
      </c>
      <c r="G41">
        <v>1163</v>
      </c>
      <c r="H41">
        <v>1173</v>
      </c>
      <c r="I41">
        <v>1173</v>
      </c>
      <c r="J41">
        <v>1058</v>
      </c>
      <c r="K41">
        <v>1088</v>
      </c>
      <c r="L41">
        <v>1116</v>
      </c>
      <c r="M41">
        <v>1142</v>
      </c>
      <c r="N41">
        <v>1168</v>
      </c>
      <c r="O41">
        <v>1195</v>
      </c>
      <c r="P41">
        <v>1229</v>
      </c>
      <c r="Q41">
        <v>1262</v>
      </c>
      <c r="R41">
        <v>1297</v>
      </c>
      <c r="S41">
        <v>1333</v>
      </c>
      <c r="T41">
        <v>1369</v>
      </c>
      <c r="U41">
        <v>1409</v>
      </c>
      <c r="V41">
        <v>1448</v>
      </c>
      <c r="W41">
        <v>1490</v>
      </c>
      <c r="X41">
        <v>1536</v>
      </c>
      <c r="Y41">
        <v>1585</v>
      </c>
      <c r="Z41">
        <v>1636</v>
      </c>
      <c r="AA41">
        <v>1688</v>
      </c>
      <c r="AB41">
        <v>1741</v>
      </c>
      <c r="AC41">
        <v>1796</v>
      </c>
      <c r="AD41">
        <v>1855</v>
      </c>
      <c r="AE41">
        <v>1914</v>
      </c>
      <c r="AF41">
        <v>1975</v>
      </c>
      <c r="AG41">
        <v>2039</v>
      </c>
      <c r="AH41">
        <v>2107</v>
      </c>
      <c r="AI41">
        <v>2179</v>
      </c>
      <c r="AJ41">
        <v>2255</v>
      </c>
      <c r="AK41">
        <v>2335</v>
      </c>
      <c r="AL41">
        <v>2416</v>
      </c>
      <c r="AM41">
        <v>2500</v>
      </c>
      <c r="AN41">
        <v>2590</v>
      </c>
    </row>
    <row r="42" spans="1:40" x14ac:dyDescent="0.25">
      <c r="A42" t="s">
        <v>26</v>
      </c>
      <c r="B42">
        <v>75</v>
      </c>
      <c r="C42">
        <v>77</v>
      </c>
      <c r="D42">
        <v>78</v>
      </c>
      <c r="E42">
        <v>79</v>
      </c>
      <c r="F42">
        <v>81</v>
      </c>
      <c r="G42">
        <v>81</v>
      </c>
      <c r="H42">
        <v>82</v>
      </c>
      <c r="I42">
        <v>82</v>
      </c>
      <c r="J42">
        <v>77</v>
      </c>
      <c r="K42">
        <v>79</v>
      </c>
      <c r="L42">
        <v>81</v>
      </c>
      <c r="M42">
        <v>83</v>
      </c>
      <c r="N42">
        <v>85</v>
      </c>
      <c r="O42">
        <v>86</v>
      </c>
      <c r="P42">
        <v>89</v>
      </c>
      <c r="Q42">
        <v>91</v>
      </c>
      <c r="R42">
        <v>94</v>
      </c>
      <c r="S42">
        <v>96</v>
      </c>
      <c r="T42">
        <v>99</v>
      </c>
      <c r="U42">
        <v>101</v>
      </c>
      <c r="V42">
        <v>104</v>
      </c>
      <c r="W42">
        <v>107</v>
      </c>
      <c r="X42">
        <v>109</v>
      </c>
      <c r="Y42">
        <v>112</v>
      </c>
      <c r="Z42">
        <v>116</v>
      </c>
      <c r="AA42">
        <v>119</v>
      </c>
      <c r="AB42">
        <v>122</v>
      </c>
      <c r="AC42">
        <v>126</v>
      </c>
      <c r="AD42">
        <v>130</v>
      </c>
      <c r="AE42">
        <v>134</v>
      </c>
      <c r="AF42">
        <v>137</v>
      </c>
      <c r="AG42">
        <v>141</v>
      </c>
      <c r="AH42">
        <v>146</v>
      </c>
      <c r="AI42">
        <v>150</v>
      </c>
      <c r="AJ42">
        <v>155</v>
      </c>
      <c r="AK42">
        <v>160</v>
      </c>
      <c r="AL42">
        <v>165</v>
      </c>
      <c r="AM42">
        <v>170</v>
      </c>
      <c r="AN42">
        <v>176</v>
      </c>
    </row>
    <row r="43" spans="1:40" x14ac:dyDescent="0.25">
      <c r="A43" t="s">
        <v>27</v>
      </c>
      <c r="B43">
        <v>294</v>
      </c>
      <c r="C43">
        <v>302</v>
      </c>
      <c r="D43">
        <v>307</v>
      </c>
      <c r="E43">
        <v>310</v>
      </c>
      <c r="F43">
        <v>313</v>
      </c>
      <c r="G43">
        <v>314</v>
      </c>
      <c r="H43">
        <v>317</v>
      </c>
      <c r="I43">
        <v>316</v>
      </c>
      <c r="J43">
        <v>291</v>
      </c>
      <c r="K43">
        <v>298</v>
      </c>
      <c r="L43">
        <v>305</v>
      </c>
      <c r="M43">
        <v>312</v>
      </c>
      <c r="N43">
        <v>318</v>
      </c>
      <c r="O43">
        <v>325</v>
      </c>
      <c r="P43">
        <v>333</v>
      </c>
      <c r="Q43">
        <v>342</v>
      </c>
      <c r="R43">
        <v>350</v>
      </c>
      <c r="S43">
        <v>360</v>
      </c>
      <c r="T43">
        <v>371</v>
      </c>
      <c r="U43">
        <v>382</v>
      </c>
      <c r="V43">
        <v>392</v>
      </c>
      <c r="W43">
        <v>403</v>
      </c>
      <c r="X43">
        <v>416</v>
      </c>
      <c r="Y43">
        <v>429</v>
      </c>
      <c r="Z43">
        <v>443</v>
      </c>
      <c r="AA43">
        <v>457</v>
      </c>
      <c r="AB43">
        <v>471</v>
      </c>
      <c r="AC43">
        <v>486</v>
      </c>
      <c r="AD43">
        <v>501</v>
      </c>
      <c r="AE43">
        <v>516</v>
      </c>
      <c r="AF43">
        <v>532</v>
      </c>
      <c r="AG43">
        <v>549</v>
      </c>
      <c r="AH43">
        <v>566</v>
      </c>
      <c r="AI43">
        <v>584</v>
      </c>
      <c r="AJ43">
        <v>603</v>
      </c>
      <c r="AK43">
        <v>622</v>
      </c>
      <c r="AL43">
        <v>642</v>
      </c>
      <c r="AM43">
        <v>663</v>
      </c>
      <c r="AN43">
        <v>684</v>
      </c>
    </row>
    <row r="44" spans="1:40" x14ac:dyDescent="0.25">
      <c r="A44" t="s">
        <v>28</v>
      </c>
      <c r="B44">
        <v>55</v>
      </c>
      <c r="C44">
        <v>57</v>
      </c>
      <c r="D44">
        <v>58</v>
      </c>
      <c r="E44">
        <v>59</v>
      </c>
      <c r="F44">
        <v>59</v>
      </c>
      <c r="G44">
        <v>60</v>
      </c>
      <c r="H44">
        <v>61</v>
      </c>
      <c r="I44">
        <v>61</v>
      </c>
      <c r="J44">
        <v>56</v>
      </c>
      <c r="K44">
        <v>57</v>
      </c>
      <c r="L44">
        <v>58</v>
      </c>
      <c r="M44">
        <v>60</v>
      </c>
      <c r="N44">
        <v>61</v>
      </c>
      <c r="O44">
        <v>63</v>
      </c>
      <c r="P44">
        <v>64</v>
      </c>
      <c r="Q44">
        <v>66</v>
      </c>
      <c r="R44">
        <v>68</v>
      </c>
      <c r="S44">
        <v>70</v>
      </c>
      <c r="T44">
        <v>71</v>
      </c>
      <c r="U44">
        <v>74</v>
      </c>
      <c r="V44">
        <v>76</v>
      </c>
      <c r="W44">
        <v>78</v>
      </c>
      <c r="X44">
        <v>80</v>
      </c>
      <c r="Y44">
        <v>83</v>
      </c>
      <c r="Z44">
        <v>85</v>
      </c>
      <c r="AA44">
        <v>88</v>
      </c>
      <c r="AB44">
        <v>91</v>
      </c>
      <c r="AC44">
        <v>93</v>
      </c>
      <c r="AD44">
        <v>96</v>
      </c>
      <c r="AE44">
        <v>100</v>
      </c>
      <c r="AF44">
        <v>103</v>
      </c>
      <c r="AG44">
        <v>106</v>
      </c>
      <c r="AH44">
        <v>110</v>
      </c>
      <c r="AI44">
        <v>113</v>
      </c>
      <c r="AJ44">
        <v>117</v>
      </c>
      <c r="AK44">
        <v>121</v>
      </c>
      <c r="AL44">
        <v>126</v>
      </c>
      <c r="AM44">
        <v>130</v>
      </c>
      <c r="AN44">
        <v>135</v>
      </c>
    </row>
    <row r="45" spans="1:40" x14ac:dyDescent="0.25">
      <c r="A45" t="s">
        <v>29</v>
      </c>
      <c r="B45">
        <v>139</v>
      </c>
      <c r="C45">
        <v>143</v>
      </c>
      <c r="D45">
        <v>145</v>
      </c>
      <c r="E45">
        <v>147</v>
      </c>
      <c r="F45">
        <v>147</v>
      </c>
      <c r="G45">
        <v>147</v>
      </c>
      <c r="H45">
        <v>148</v>
      </c>
      <c r="I45">
        <v>146</v>
      </c>
      <c r="J45">
        <v>127</v>
      </c>
      <c r="K45">
        <v>131</v>
      </c>
      <c r="L45">
        <v>134</v>
      </c>
      <c r="M45">
        <v>136</v>
      </c>
      <c r="N45">
        <v>139</v>
      </c>
      <c r="O45">
        <v>142</v>
      </c>
      <c r="P45">
        <v>147</v>
      </c>
      <c r="Q45">
        <v>152</v>
      </c>
      <c r="R45">
        <v>157</v>
      </c>
      <c r="S45">
        <v>160</v>
      </c>
      <c r="T45">
        <v>165</v>
      </c>
      <c r="U45">
        <v>169</v>
      </c>
      <c r="V45">
        <v>172</v>
      </c>
      <c r="W45">
        <v>176</v>
      </c>
      <c r="X45">
        <v>180</v>
      </c>
      <c r="Y45">
        <v>184</v>
      </c>
      <c r="Z45">
        <v>189</v>
      </c>
      <c r="AA45">
        <v>194</v>
      </c>
      <c r="AB45">
        <v>199</v>
      </c>
      <c r="AC45">
        <v>204</v>
      </c>
      <c r="AD45">
        <v>209</v>
      </c>
      <c r="AE45">
        <v>214</v>
      </c>
      <c r="AF45">
        <v>218</v>
      </c>
      <c r="AG45">
        <v>224</v>
      </c>
      <c r="AH45">
        <v>229</v>
      </c>
      <c r="AI45">
        <v>235</v>
      </c>
      <c r="AJ45">
        <v>241</v>
      </c>
      <c r="AK45">
        <v>248</v>
      </c>
      <c r="AL45">
        <v>254</v>
      </c>
      <c r="AM45">
        <v>261</v>
      </c>
      <c r="AN45">
        <v>269</v>
      </c>
    </row>
    <row r="46" spans="1:40" x14ac:dyDescent="0.25">
      <c r="A46" t="s">
        <v>30</v>
      </c>
      <c r="B46">
        <v>58</v>
      </c>
      <c r="C46">
        <v>49</v>
      </c>
      <c r="D46">
        <v>42</v>
      </c>
      <c r="E46">
        <v>40</v>
      </c>
      <c r="F46">
        <v>37</v>
      </c>
      <c r="G46">
        <v>34</v>
      </c>
      <c r="H46">
        <v>34</v>
      </c>
      <c r="I46">
        <v>32</v>
      </c>
      <c r="J46">
        <v>26</v>
      </c>
      <c r="K46">
        <v>27</v>
      </c>
      <c r="L46">
        <v>27</v>
      </c>
      <c r="M46">
        <v>27</v>
      </c>
      <c r="N46">
        <v>28</v>
      </c>
      <c r="O46">
        <v>28</v>
      </c>
      <c r="P46">
        <v>29</v>
      </c>
      <c r="Q46">
        <v>30</v>
      </c>
      <c r="R46">
        <v>31</v>
      </c>
      <c r="S46">
        <v>33</v>
      </c>
      <c r="T46">
        <v>34</v>
      </c>
      <c r="U46">
        <v>35</v>
      </c>
      <c r="V46">
        <v>36</v>
      </c>
      <c r="W46">
        <v>37</v>
      </c>
      <c r="X46">
        <v>38</v>
      </c>
      <c r="Y46">
        <v>38</v>
      </c>
      <c r="Z46">
        <v>39</v>
      </c>
      <c r="AA46">
        <v>40</v>
      </c>
      <c r="AB46">
        <v>41</v>
      </c>
      <c r="AC46">
        <v>42</v>
      </c>
      <c r="AD46">
        <v>43</v>
      </c>
      <c r="AE46">
        <v>44</v>
      </c>
      <c r="AF46">
        <v>45</v>
      </c>
      <c r="AG46">
        <v>45</v>
      </c>
      <c r="AH46">
        <v>46</v>
      </c>
      <c r="AI46">
        <v>47</v>
      </c>
      <c r="AJ46">
        <v>47</v>
      </c>
      <c r="AK46">
        <v>48</v>
      </c>
      <c r="AL46">
        <v>49</v>
      </c>
      <c r="AM46">
        <v>50</v>
      </c>
      <c r="AN46">
        <v>51</v>
      </c>
    </row>
    <row r="47" spans="1:40" x14ac:dyDescent="0.25">
      <c r="A47" t="s">
        <v>31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10</v>
      </c>
      <c r="U47">
        <v>14</v>
      </c>
      <c r="V47">
        <v>19</v>
      </c>
      <c r="W47">
        <v>24</v>
      </c>
      <c r="X47">
        <v>28</v>
      </c>
      <c r="Y47">
        <v>35</v>
      </c>
      <c r="Z47">
        <v>39</v>
      </c>
      <c r="AA47">
        <v>44</v>
      </c>
      <c r="AB47">
        <v>48</v>
      </c>
      <c r="AC47">
        <v>52</v>
      </c>
      <c r="AD47">
        <v>57</v>
      </c>
      <c r="AE47">
        <v>61</v>
      </c>
      <c r="AF47">
        <v>65</v>
      </c>
      <c r="AG47">
        <v>69</v>
      </c>
      <c r="AH47">
        <v>73</v>
      </c>
      <c r="AI47">
        <v>77</v>
      </c>
      <c r="AJ47">
        <v>79</v>
      </c>
      <c r="AK47">
        <v>81</v>
      </c>
      <c r="AL47">
        <v>84</v>
      </c>
      <c r="AM47">
        <v>86</v>
      </c>
      <c r="AN47">
        <v>88</v>
      </c>
    </row>
    <row r="48" spans="1:40" x14ac:dyDescent="0.25">
      <c r="A48" t="s">
        <v>32</v>
      </c>
      <c r="B48">
        <v>773</v>
      </c>
      <c r="C48">
        <v>768</v>
      </c>
      <c r="D48">
        <v>764</v>
      </c>
      <c r="E48">
        <v>758</v>
      </c>
      <c r="F48">
        <v>745</v>
      </c>
      <c r="G48">
        <v>741</v>
      </c>
      <c r="H48">
        <v>735</v>
      </c>
      <c r="I48">
        <v>717</v>
      </c>
      <c r="J48">
        <v>697</v>
      </c>
      <c r="K48">
        <v>709</v>
      </c>
      <c r="L48">
        <v>702</v>
      </c>
      <c r="M48">
        <v>714</v>
      </c>
      <c r="N48">
        <v>723</v>
      </c>
      <c r="O48">
        <v>733</v>
      </c>
      <c r="P48">
        <v>746</v>
      </c>
      <c r="Q48">
        <v>763</v>
      </c>
      <c r="R48">
        <v>777</v>
      </c>
      <c r="S48">
        <v>799</v>
      </c>
      <c r="T48">
        <v>818</v>
      </c>
      <c r="U48">
        <v>840</v>
      </c>
      <c r="V48">
        <v>856</v>
      </c>
      <c r="W48">
        <v>879</v>
      </c>
      <c r="X48">
        <v>904</v>
      </c>
      <c r="Y48">
        <v>937</v>
      </c>
      <c r="Z48">
        <v>955</v>
      </c>
      <c r="AA48">
        <v>976</v>
      </c>
      <c r="AB48">
        <v>997</v>
      </c>
      <c r="AC48">
        <v>1018</v>
      </c>
      <c r="AD48">
        <v>1039</v>
      </c>
      <c r="AE48">
        <v>1065</v>
      </c>
      <c r="AF48">
        <v>1093</v>
      </c>
      <c r="AG48">
        <v>1120</v>
      </c>
      <c r="AH48">
        <v>1147</v>
      </c>
      <c r="AI48">
        <v>1175</v>
      </c>
      <c r="AJ48">
        <v>1210</v>
      </c>
      <c r="AK48">
        <v>1245</v>
      </c>
      <c r="AL48">
        <v>1279</v>
      </c>
      <c r="AM48">
        <v>1313</v>
      </c>
      <c r="AN48">
        <v>1347</v>
      </c>
    </row>
    <row r="49" spans="1:40" x14ac:dyDescent="0.25">
      <c r="A49" t="s">
        <v>33</v>
      </c>
      <c r="B49">
        <v>69</v>
      </c>
      <c r="C49">
        <v>73</v>
      </c>
      <c r="D49">
        <v>77</v>
      </c>
      <c r="E49">
        <v>80</v>
      </c>
      <c r="F49">
        <v>82</v>
      </c>
      <c r="G49">
        <v>87</v>
      </c>
      <c r="H49">
        <v>93</v>
      </c>
      <c r="I49">
        <v>97</v>
      </c>
      <c r="J49">
        <v>93</v>
      </c>
      <c r="K49">
        <v>97</v>
      </c>
      <c r="L49">
        <v>102</v>
      </c>
      <c r="M49">
        <v>106</v>
      </c>
      <c r="N49">
        <v>111</v>
      </c>
      <c r="O49">
        <v>116</v>
      </c>
      <c r="P49">
        <v>123</v>
      </c>
      <c r="Q49">
        <v>130</v>
      </c>
      <c r="R49">
        <v>139</v>
      </c>
      <c r="S49">
        <v>149</v>
      </c>
      <c r="T49">
        <v>159</v>
      </c>
      <c r="U49">
        <v>171</v>
      </c>
      <c r="V49">
        <v>183</v>
      </c>
      <c r="W49">
        <v>196</v>
      </c>
      <c r="X49">
        <v>210</v>
      </c>
      <c r="Y49">
        <v>225</v>
      </c>
      <c r="Z49">
        <v>242</v>
      </c>
      <c r="AA49">
        <v>259</v>
      </c>
      <c r="AB49">
        <v>277</v>
      </c>
      <c r="AC49">
        <v>296</v>
      </c>
      <c r="AD49">
        <v>316</v>
      </c>
      <c r="AE49">
        <v>336</v>
      </c>
      <c r="AF49">
        <v>356</v>
      </c>
      <c r="AG49">
        <v>377</v>
      </c>
      <c r="AH49">
        <v>398</v>
      </c>
      <c r="AI49">
        <v>419</v>
      </c>
      <c r="AJ49">
        <v>441</v>
      </c>
      <c r="AK49">
        <v>463</v>
      </c>
      <c r="AL49">
        <v>485</v>
      </c>
      <c r="AM49">
        <v>508</v>
      </c>
      <c r="AN49">
        <v>531</v>
      </c>
    </row>
    <row r="50" spans="1:40" x14ac:dyDescent="0.25">
      <c r="A50" t="s">
        <v>34</v>
      </c>
      <c r="B50">
        <v>441</v>
      </c>
      <c r="C50">
        <v>453</v>
      </c>
      <c r="D50">
        <v>463</v>
      </c>
      <c r="E50">
        <v>467</v>
      </c>
      <c r="F50">
        <v>471</v>
      </c>
      <c r="G50">
        <v>477</v>
      </c>
      <c r="H50">
        <v>482</v>
      </c>
      <c r="I50">
        <v>484</v>
      </c>
      <c r="J50">
        <v>448</v>
      </c>
      <c r="K50">
        <v>457</v>
      </c>
      <c r="L50">
        <v>467</v>
      </c>
      <c r="M50">
        <v>476</v>
      </c>
      <c r="N50">
        <v>485</v>
      </c>
      <c r="O50">
        <v>494</v>
      </c>
      <c r="P50">
        <v>505</v>
      </c>
      <c r="Q50">
        <v>515</v>
      </c>
      <c r="R50">
        <v>526</v>
      </c>
      <c r="S50">
        <v>538</v>
      </c>
      <c r="T50">
        <v>550</v>
      </c>
      <c r="U50">
        <v>565</v>
      </c>
      <c r="V50">
        <v>578</v>
      </c>
      <c r="W50">
        <v>594</v>
      </c>
      <c r="X50">
        <v>610</v>
      </c>
      <c r="Y50">
        <v>629</v>
      </c>
      <c r="Z50">
        <v>647</v>
      </c>
      <c r="AA50">
        <v>666</v>
      </c>
      <c r="AB50">
        <v>686</v>
      </c>
      <c r="AC50">
        <v>706</v>
      </c>
      <c r="AD50">
        <v>727</v>
      </c>
      <c r="AE50">
        <v>749</v>
      </c>
      <c r="AF50">
        <v>773</v>
      </c>
      <c r="AG50">
        <v>797</v>
      </c>
      <c r="AH50">
        <v>822</v>
      </c>
      <c r="AI50">
        <v>849</v>
      </c>
      <c r="AJ50">
        <v>877</v>
      </c>
      <c r="AK50">
        <v>907</v>
      </c>
      <c r="AL50">
        <v>937</v>
      </c>
      <c r="AM50">
        <v>969</v>
      </c>
      <c r="AN50">
        <v>1002</v>
      </c>
    </row>
    <row r="51" spans="1:40" x14ac:dyDescent="0.25">
      <c r="A51" t="s">
        <v>35</v>
      </c>
      <c r="B51">
        <v>33</v>
      </c>
      <c r="C51">
        <v>34</v>
      </c>
      <c r="D51">
        <v>35</v>
      </c>
      <c r="E51">
        <v>35</v>
      </c>
      <c r="F51">
        <v>36</v>
      </c>
      <c r="G51">
        <v>36</v>
      </c>
      <c r="H51">
        <v>37</v>
      </c>
      <c r="I51">
        <v>37</v>
      </c>
      <c r="J51">
        <v>35</v>
      </c>
      <c r="K51">
        <v>36</v>
      </c>
      <c r="L51">
        <v>37</v>
      </c>
      <c r="M51">
        <v>38</v>
      </c>
      <c r="N51">
        <v>38</v>
      </c>
      <c r="O51">
        <v>39</v>
      </c>
      <c r="P51">
        <v>40</v>
      </c>
      <c r="Q51">
        <v>41</v>
      </c>
      <c r="R51">
        <v>41</v>
      </c>
      <c r="S51">
        <v>42</v>
      </c>
      <c r="T51">
        <v>43</v>
      </c>
      <c r="U51">
        <v>44</v>
      </c>
      <c r="V51">
        <v>45</v>
      </c>
      <c r="W51">
        <v>46</v>
      </c>
      <c r="X51">
        <v>47</v>
      </c>
      <c r="Y51">
        <v>49</v>
      </c>
      <c r="Z51">
        <v>50</v>
      </c>
      <c r="AA51">
        <v>51</v>
      </c>
      <c r="AB51">
        <v>52</v>
      </c>
      <c r="AC51">
        <v>54</v>
      </c>
      <c r="AD51">
        <v>55</v>
      </c>
      <c r="AE51">
        <v>56</v>
      </c>
      <c r="AF51">
        <v>58</v>
      </c>
      <c r="AG51">
        <v>59</v>
      </c>
      <c r="AH51">
        <v>61</v>
      </c>
      <c r="AI51">
        <v>62</v>
      </c>
      <c r="AJ51">
        <v>64</v>
      </c>
      <c r="AK51">
        <v>65</v>
      </c>
      <c r="AL51">
        <v>67</v>
      </c>
      <c r="AM51">
        <v>69</v>
      </c>
      <c r="AN51">
        <v>70</v>
      </c>
    </row>
    <row r="52" spans="1:40" x14ac:dyDescent="0.25">
      <c r="A52" t="s">
        <v>36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5</v>
      </c>
      <c r="AK52">
        <v>5</v>
      </c>
      <c r="AL52">
        <v>5</v>
      </c>
      <c r="AM52">
        <v>5</v>
      </c>
      <c r="AN52">
        <v>6</v>
      </c>
    </row>
    <row r="53" spans="1:40" x14ac:dyDescent="0.25">
      <c r="A53" t="s">
        <v>37</v>
      </c>
      <c r="B53">
        <v>1089</v>
      </c>
      <c r="C53">
        <v>1088</v>
      </c>
      <c r="D53">
        <v>1087</v>
      </c>
      <c r="E53">
        <v>1086</v>
      </c>
      <c r="F53">
        <v>1084</v>
      </c>
      <c r="G53">
        <v>1083</v>
      </c>
      <c r="H53">
        <v>1082</v>
      </c>
      <c r="I53">
        <v>1079</v>
      </c>
      <c r="J53">
        <v>1075</v>
      </c>
      <c r="K53">
        <v>1032</v>
      </c>
      <c r="L53">
        <v>1021</v>
      </c>
      <c r="M53">
        <v>1018</v>
      </c>
      <c r="N53">
        <v>1014</v>
      </c>
      <c r="O53">
        <v>983</v>
      </c>
      <c r="P53">
        <v>892</v>
      </c>
      <c r="Q53">
        <v>801</v>
      </c>
      <c r="R53">
        <v>711</v>
      </c>
      <c r="S53">
        <v>620</v>
      </c>
      <c r="T53">
        <v>529</v>
      </c>
      <c r="U53">
        <v>490</v>
      </c>
      <c r="V53">
        <v>450</v>
      </c>
      <c r="W53">
        <v>410</v>
      </c>
      <c r="X53">
        <v>371</v>
      </c>
      <c r="Y53">
        <v>333</v>
      </c>
      <c r="Z53">
        <v>286</v>
      </c>
      <c r="AA53">
        <v>240</v>
      </c>
      <c r="AB53">
        <v>193</v>
      </c>
      <c r="AC53">
        <v>147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100</v>
      </c>
      <c r="AK53">
        <v>100</v>
      </c>
      <c r="AL53">
        <v>100</v>
      </c>
      <c r="AM53">
        <v>100</v>
      </c>
      <c r="AN53">
        <v>100</v>
      </c>
    </row>
    <row r="54" spans="1:40" x14ac:dyDescent="0.25">
      <c r="A54" t="s">
        <v>38</v>
      </c>
      <c r="B54">
        <v>5766</v>
      </c>
      <c r="C54">
        <v>5728</v>
      </c>
      <c r="D54">
        <v>5705</v>
      </c>
      <c r="E54">
        <v>5683</v>
      </c>
      <c r="F54">
        <v>5581</v>
      </c>
      <c r="G54">
        <v>5544</v>
      </c>
      <c r="H54">
        <v>5480</v>
      </c>
      <c r="I54">
        <v>5404</v>
      </c>
      <c r="J54">
        <v>5346</v>
      </c>
      <c r="K54">
        <v>5241</v>
      </c>
      <c r="L54">
        <v>5218</v>
      </c>
      <c r="M54">
        <v>5195</v>
      </c>
      <c r="N54">
        <v>5151</v>
      </c>
      <c r="O54">
        <v>5101</v>
      </c>
      <c r="P54">
        <v>4897</v>
      </c>
      <c r="Q54">
        <v>4633</v>
      </c>
      <c r="R54">
        <v>4372</v>
      </c>
      <c r="S54">
        <v>4077</v>
      </c>
      <c r="T54">
        <v>3778</v>
      </c>
      <c r="U54">
        <v>3799</v>
      </c>
      <c r="V54">
        <v>3705</v>
      </c>
      <c r="W54">
        <v>3673</v>
      </c>
      <c r="X54">
        <v>3641</v>
      </c>
      <c r="Y54">
        <v>3572</v>
      </c>
      <c r="Z54">
        <v>3460</v>
      </c>
      <c r="AA54">
        <v>3349</v>
      </c>
      <c r="AB54">
        <v>3237</v>
      </c>
      <c r="AC54">
        <v>3125</v>
      </c>
      <c r="AD54">
        <v>3014</v>
      </c>
      <c r="AE54">
        <v>3026</v>
      </c>
      <c r="AF54">
        <v>3039</v>
      </c>
      <c r="AG54">
        <v>3052</v>
      </c>
      <c r="AH54">
        <v>3065</v>
      </c>
      <c r="AI54">
        <v>3078</v>
      </c>
      <c r="AJ54">
        <v>3103</v>
      </c>
      <c r="AK54">
        <v>3129</v>
      </c>
      <c r="AL54">
        <v>3155</v>
      </c>
      <c r="AM54">
        <v>3181</v>
      </c>
      <c r="AN54">
        <v>3206</v>
      </c>
    </row>
    <row r="87" spans="1:40" x14ac:dyDescent="0.25">
      <c r="A87" t="s">
        <v>45</v>
      </c>
    </row>
    <row r="88" spans="1:40" x14ac:dyDescent="0.25">
      <c r="B88">
        <v>2012</v>
      </c>
      <c r="C88">
        <v>2013</v>
      </c>
      <c r="D88">
        <v>2014</v>
      </c>
      <c r="E88">
        <v>2015</v>
      </c>
      <c r="F88">
        <v>2016</v>
      </c>
      <c r="G88">
        <v>2017</v>
      </c>
      <c r="H88">
        <v>2018</v>
      </c>
      <c r="I88">
        <v>2019</v>
      </c>
      <c r="J88">
        <v>2020</v>
      </c>
      <c r="K88">
        <v>2021</v>
      </c>
      <c r="L88">
        <v>2022</v>
      </c>
      <c r="M88">
        <v>2023</v>
      </c>
      <c r="N88">
        <v>2024</v>
      </c>
      <c r="O88">
        <v>2025</v>
      </c>
      <c r="P88">
        <v>2026</v>
      </c>
      <c r="Q88">
        <v>2027</v>
      </c>
      <c r="R88">
        <v>2028</v>
      </c>
      <c r="S88">
        <v>2029</v>
      </c>
      <c r="T88">
        <v>2030</v>
      </c>
      <c r="U88">
        <v>2031</v>
      </c>
      <c r="V88">
        <v>2032</v>
      </c>
      <c r="W88">
        <v>2033</v>
      </c>
      <c r="X88">
        <v>2034</v>
      </c>
      <c r="Y88">
        <v>2035</v>
      </c>
      <c r="Z88">
        <v>2036</v>
      </c>
      <c r="AA88">
        <v>2037</v>
      </c>
      <c r="AB88">
        <v>2038</v>
      </c>
      <c r="AC88">
        <v>2039</v>
      </c>
      <c r="AD88">
        <v>2040</v>
      </c>
      <c r="AE88">
        <v>2041</v>
      </c>
      <c r="AF88">
        <v>2042</v>
      </c>
      <c r="AG88">
        <v>2043</v>
      </c>
      <c r="AH88">
        <v>2044</v>
      </c>
      <c r="AI88">
        <v>2045</v>
      </c>
      <c r="AJ88">
        <v>2046</v>
      </c>
      <c r="AK88">
        <v>2047</v>
      </c>
      <c r="AL88">
        <v>2048</v>
      </c>
      <c r="AM88">
        <v>2049</v>
      </c>
      <c r="AN88">
        <v>2050</v>
      </c>
    </row>
    <row r="89" spans="1:40" x14ac:dyDescent="0.25">
      <c r="B89">
        <f t="shared" ref="B89:AN89" si="0">SUM(B4:B21)</f>
        <v>2893.58</v>
      </c>
      <c r="C89">
        <f t="shared" si="0"/>
        <v>2965.2699999999991</v>
      </c>
      <c r="D89">
        <f t="shared" si="0"/>
        <v>3020.9600000000005</v>
      </c>
      <c r="E89">
        <f t="shared" si="0"/>
        <v>3059.4500000000003</v>
      </c>
      <c r="F89">
        <f t="shared" si="0"/>
        <v>3083.9200000000005</v>
      </c>
      <c r="G89">
        <f t="shared" si="0"/>
        <v>3120.5399999999995</v>
      </c>
      <c r="H89">
        <f t="shared" si="0"/>
        <v>3152.2400000000002</v>
      </c>
      <c r="I89">
        <f t="shared" si="0"/>
        <v>3179.29</v>
      </c>
      <c r="J89">
        <f t="shared" si="0"/>
        <v>2948.9199999999992</v>
      </c>
      <c r="K89">
        <f t="shared" si="0"/>
        <v>3014.3800000000006</v>
      </c>
      <c r="L89">
        <f t="shared" si="0"/>
        <v>3077.2000000000003</v>
      </c>
      <c r="M89">
        <f t="shared" si="0"/>
        <v>3140.61</v>
      </c>
      <c r="N89">
        <f t="shared" si="0"/>
        <v>3201.7699999999995</v>
      </c>
      <c r="O89">
        <f t="shared" si="0"/>
        <v>3265.5400000000009</v>
      </c>
      <c r="P89">
        <f t="shared" si="0"/>
        <v>3341.2800000000007</v>
      </c>
      <c r="Q89">
        <f t="shared" si="0"/>
        <v>3416.28</v>
      </c>
      <c r="R89">
        <f t="shared" si="0"/>
        <v>3494.8800000000006</v>
      </c>
      <c r="S89">
        <f t="shared" si="0"/>
        <v>3576.08</v>
      </c>
      <c r="T89">
        <f t="shared" si="0"/>
        <v>3660.12</v>
      </c>
      <c r="U89">
        <f t="shared" si="0"/>
        <v>3761.0299999999997</v>
      </c>
      <c r="V89">
        <f t="shared" si="0"/>
        <v>3857.2000000000003</v>
      </c>
      <c r="W89">
        <f t="shared" si="0"/>
        <v>3964.01</v>
      </c>
      <c r="X89">
        <f t="shared" si="0"/>
        <v>4078.2199999999993</v>
      </c>
      <c r="Y89">
        <f t="shared" si="0"/>
        <v>4200.2899999999991</v>
      </c>
      <c r="Z89">
        <f t="shared" si="0"/>
        <v>4325.9699999999984</v>
      </c>
      <c r="AA89">
        <f t="shared" si="0"/>
        <v>4456.9999999999991</v>
      </c>
      <c r="AB89">
        <f t="shared" si="0"/>
        <v>4590.0300000000007</v>
      </c>
      <c r="AC89">
        <f t="shared" si="0"/>
        <v>4728.5300000000007</v>
      </c>
      <c r="AD89">
        <f t="shared" si="0"/>
        <v>4875.5100000000011</v>
      </c>
      <c r="AE89">
        <f t="shared" si="0"/>
        <v>5028.5399999999991</v>
      </c>
      <c r="AF89">
        <f t="shared" si="0"/>
        <v>5188.0999999999995</v>
      </c>
      <c r="AG89">
        <f t="shared" si="0"/>
        <v>5353.7899999999991</v>
      </c>
      <c r="AH89">
        <f t="shared" si="0"/>
        <v>5526.5</v>
      </c>
      <c r="AI89">
        <f t="shared" si="0"/>
        <v>5709.9300000000012</v>
      </c>
      <c r="AJ89">
        <f t="shared" si="0"/>
        <v>5902.4299999999994</v>
      </c>
      <c r="AK89">
        <f t="shared" si="0"/>
        <v>6104.12</v>
      </c>
      <c r="AL89">
        <f t="shared" si="0"/>
        <v>6308.13</v>
      </c>
      <c r="AM89">
        <f t="shared" si="0"/>
        <v>6522.2000000000007</v>
      </c>
      <c r="AN89">
        <f t="shared" si="0"/>
        <v>6747.130000000001</v>
      </c>
    </row>
    <row r="94" spans="1:40" x14ac:dyDescent="0.25">
      <c r="A94" s="2" t="s">
        <v>22</v>
      </c>
    </row>
    <row r="95" spans="1:40" x14ac:dyDescent="0.25">
      <c r="B95">
        <v>2012</v>
      </c>
      <c r="C95">
        <v>2013</v>
      </c>
      <c r="D95">
        <v>2014</v>
      </c>
      <c r="E95">
        <v>2015</v>
      </c>
      <c r="F95">
        <v>2016</v>
      </c>
      <c r="G95">
        <v>2017</v>
      </c>
      <c r="H95">
        <v>2018</v>
      </c>
      <c r="I95">
        <v>2019</v>
      </c>
      <c r="J95">
        <v>2020</v>
      </c>
      <c r="K95">
        <v>2021</v>
      </c>
      <c r="L95">
        <v>2022</v>
      </c>
      <c r="M95">
        <v>2023</v>
      </c>
      <c r="N95">
        <v>2024</v>
      </c>
      <c r="O95">
        <v>2025</v>
      </c>
      <c r="P95">
        <v>2026</v>
      </c>
      <c r="Q95">
        <v>2027</v>
      </c>
      <c r="R95">
        <v>2028</v>
      </c>
      <c r="S95">
        <v>2029</v>
      </c>
      <c r="T95">
        <v>2030</v>
      </c>
      <c r="U95">
        <v>2031</v>
      </c>
      <c r="V95">
        <v>2032</v>
      </c>
      <c r="W95">
        <v>2033</v>
      </c>
      <c r="X95">
        <v>2034</v>
      </c>
      <c r="Y95">
        <v>2035</v>
      </c>
      <c r="Z95">
        <v>2036</v>
      </c>
      <c r="AA95">
        <v>2037</v>
      </c>
      <c r="AB95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t="s">
        <v>40</v>
      </c>
      <c r="B96">
        <f t="shared" ref="B96:AN96" si="1">INDEX(B$37:B$54,MATCH($A94,$A$37:$A$54,0))</f>
        <v>180</v>
      </c>
      <c r="C96">
        <f t="shared" si="1"/>
        <v>188</v>
      </c>
      <c r="D96">
        <f t="shared" si="1"/>
        <v>195</v>
      </c>
      <c r="E96">
        <f t="shared" si="1"/>
        <v>192</v>
      </c>
      <c r="F96">
        <f t="shared" si="1"/>
        <v>190</v>
      </c>
      <c r="G96">
        <f t="shared" si="1"/>
        <v>196</v>
      </c>
      <c r="H96">
        <f t="shared" si="1"/>
        <v>193</v>
      </c>
      <c r="I96">
        <f t="shared" si="1"/>
        <v>190</v>
      </c>
      <c r="J96">
        <f t="shared" si="1"/>
        <v>183</v>
      </c>
      <c r="K96">
        <f t="shared" si="1"/>
        <v>188</v>
      </c>
      <c r="L96">
        <f t="shared" si="1"/>
        <v>194</v>
      </c>
      <c r="M96">
        <f t="shared" si="1"/>
        <v>198</v>
      </c>
      <c r="N96">
        <f t="shared" si="1"/>
        <v>201</v>
      </c>
      <c r="O96">
        <f t="shared" si="1"/>
        <v>204</v>
      </c>
      <c r="P96">
        <f t="shared" si="1"/>
        <v>209</v>
      </c>
      <c r="Q96">
        <f t="shared" si="1"/>
        <v>214</v>
      </c>
      <c r="R96">
        <f t="shared" si="1"/>
        <v>219</v>
      </c>
      <c r="S96">
        <f t="shared" si="1"/>
        <v>224</v>
      </c>
      <c r="T96">
        <f t="shared" si="1"/>
        <v>229</v>
      </c>
      <c r="U96">
        <f t="shared" si="1"/>
        <v>234</v>
      </c>
      <c r="V96">
        <f t="shared" si="1"/>
        <v>238</v>
      </c>
      <c r="W96">
        <f t="shared" si="1"/>
        <v>243</v>
      </c>
      <c r="X96">
        <f t="shared" si="1"/>
        <v>247</v>
      </c>
      <c r="Y96">
        <f t="shared" si="1"/>
        <v>252</v>
      </c>
      <c r="Z96">
        <f t="shared" si="1"/>
        <v>257</v>
      </c>
      <c r="AA96">
        <f t="shared" si="1"/>
        <v>263</v>
      </c>
      <c r="AB96">
        <f t="shared" si="1"/>
        <v>268</v>
      </c>
      <c r="AC96">
        <f t="shared" si="1"/>
        <v>274</v>
      </c>
      <c r="AD96">
        <f t="shared" si="1"/>
        <v>280</v>
      </c>
      <c r="AE96">
        <f t="shared" si="1"/>
        <v>286</v>
      </c>
      <c r="AF96">
        <f t="shared" si="1"/>
        <v>292</v>
      </c>
      <c r="AG96">
        <f t="shared" si="1"/>
        <v>298</v>
      </c>
      <c r="AH96">
        <f t="shared" si="1"/>
        <v>304</v>
      </c>
      <c r="AI96">
        <f t="shared" si="1"/>
        <v>311</v>
      </c>
      <c r="AJ96">
        <f t="shared" si="1"/>
        <v>319</v>
      </c>
      <c r="AK96">
        <f t="shared" si="1"/>
        <v>326</v>
      </c>
      <c r="AL96">
        <f t="shared" si="1"/>
        <v>334</v>
      </c>
      <c r="AM96">
        <f t="shared" si="1"/>
        <v>342</v>
      </c>
      <c r="AN96">
        <f t="shared" si="1"/>
        <v>351</v>
      </c>
    </row>
    <row r="97" spans="1:40" x14ac:dyDescent="0.25">
      <c r="A97" t="s">
        <v>39</v>
      </c>
      <c r="B97">
        <f t="shared" ref="B97:AN97" si="2">INDEX(B$4:B$21,MATCH($A94,$A$4:$A$21,0))</f>
        <v>69.819999999999993</v>
      </c>
      <c r="C97">
        <f t="shared" si="2"/>
        <v>72.77</v>
      </c>
      <c r="D97">
        <f t="shared" si="2"/>
        <v>75.510000000000005</v>
      </c>
      <c r="E97">
        <f t="shared" si="2"/>
        <v>74.36</v>
      </c>
      <c r="F97">
        <f t="shared" si="2"/>
        <v>73.55</v>
      </c>
      <c r="G97">
        <f t="shared" si="2"/>
        <v>76</v>
      </c>
      <c r="H97">
        <f t="shared" si="2"/>
        <v>74.78</v>
      </c>
      <c r="I97">
        <f t="shared" si="2"/>
        <v>73.53</v>
      </c>
      <c r="J97">
        <f t="shared" si="2"/>
        <v>70.959999999999994</v>
      </c>
      <c r="K97">
        <f t="shared" si="2"/>
        <v>72.959999999999994</v>
      </c>
      <c r="L97">
        <f t="shared" si="2"/>
        <v>75</v>
      </c>
      <c r="M97">
        <f t="shared" si="2"/>
        <v>76.52</v>
      </c>
      <c r="N97">
        <f t="shared" si="2"/>
        <v>77.900000000000006</v>
      </c>
      <c r="O97">
        <f t="shared" si="2"/>
        <v>79.13</v>
      </c>
      <c r="P97">
        <f t="shared" si="2"/>
        <v>81.150000000000006</v>
      </c>
      <c r="Q97">
        <f t="shared" si="2"/>
        <v>83.06</v>
      </c>
      <c r="R97">
        <f t="shared" si="2"/>
        <v>85</v>
      </c>
      <c r="S97">
        <f t="shared" si="2"/>
        <v>86.79</v>
      </c>
      <c r="T97">
        <f t="shared" si="2"/>
        <v>88.61</v>
      </c>
      <c r="U97">
        <f t="shared" si="2"/>
        <v>90.52</v>
      </c>
      <c r="V97">
        <f t="shared" si="2"/>
        <v>92.22</v>
      </c>
      <c r="W97">
        <f t="shared" si="2"/>
        <v>94</v>
      </c>
      <c r="X97">
        <f t="shared" si="2"/>
        <v>95.83</v>
      </c>
      <c r="Y97">
        <f t="shared" si="2"/>
        <v>97.69</v>
      </c>
      <c r="Z97">
        <f t="shared" si="2"/>
        <v>99.72</v>
      </c>
      <c r="AA97">
        <f t="shared" si="2"/>
        <v>101.85</v>
      </c>
      <c r="AB97">
        <f t="shared" si="2"/>
        <v>104.02</v>
      </c>
      <c r="AC97">
        <f t="shared" si="2"/>
        <v>106.26</v>
      </c>
      <c r="AD97">
        <f t="shared" si="2"/>
        <v>108.6</v>
      </c>
      <c r="AE97">
        <f t="shared" si="2"/>
        <v>110.85</v>
      </c>
      <c r="AF97">
        <f t="shared" si="2"/>
        <v>113.14</v>
      </c>
      <c r="AG97">
        <f t="shared" si="2"/>
        <v>115.46</v>
      </c>
      <c r="AH97">
        <f t="shared" si="2"/>
        <v>117.97</v>
      </c>
      <c r="AI97">
        <f t="shared" si="2"/>
        <v>120.7</v>
      </c>
      <c r="AJ97">
        <f t="shared" si="2"/>
        <v>123.56</v>
      </c>
      <c r="AK97">
        <f t="shared" si="2"/>
        <v>126.62</v>
      </c>
      <c r="AL97">
        <f t="shared" si="2"/>
        <v>129.62</v>
      </c>
      <c r="AM97">
        <f t="shared" si="2"/>
        <v>132.85</v>
      </c>
      <c r="AN97">
        <f t="shared" si="2"/>
        <v>136.25</v>
      </c>
    </row>
    <row r="98" spans="1:40" x14ac:dyDescent="0.25">
      <c r="A98" t="s">
        <v>43</v>
      </c>
      <c r="C98" s="1">
        <f t="shared" ref="C98:AN98" si="3">C97/B97-1</f>
        <v>4.2251503867086759E-2</v>
      </c>
      <c r="D98" s="1">
        <f t="shared" si="3"/>
        <v>3.7652878933626566E-2</v>
      </c>
      <c r="E98" s="1">
        <f t="shared" si="3"/>
        <v>-1.5229770891272754E-2</v>
      </c>
      <c r="F98" s="1">
        <f t="shared" si="3"/>
        <v>-1.0892953200645539E-2</v>
      </c>
      <c r="G98" s="1">
        <f t="shared" si="3"/>
        <v>3.3310673011556879E-2</v>
      </c>
      <c r="H98" s="1">
        <f t="shared" si="3"/>
        <v>-1.6052631578947318E-2</v>
      </c>
      <c r="I98" s="1">
        <f t="shared" si="3"/>
        <v>-1.6715699384862281E-2</v>
      </c>
      <c r="J98" s="1">
        <f t="shared" si="3"/>
        <v>-3.4951720386237062E-2</v>
      </c>
      <c r="K98" s="1">
        <f t="shared" si="3"/>
        <v>2.8184892897406888E-2</v>
      </c>
      <c r="L98" s="1">
        <f t="shared" si="3"/>
        <v>2.7960526315789602E-2</v>
      </c>
      <c r="M98" s="1">
        <f t="shared" si="3"/>
        <v>2.0266666666666655E-2</v>
      </c>
      <c r="N98" s="1">
        <f t="shared" si="3"/>
        <v>1.8034500784108953E-2</v>
      </c>
      <c r="O98" s="1">
        <f t="shared" si="3"/>
        <v>1.5789473684210353E-2</v>
      </c>
      <c r="P98" s="1">
        <f t="shared" si="3"/>
        <v>2.5527612789081333E-2</v>
      </c>
      <c r="Q98" s="1">
        <f t="shared" si="3"/>
        <v>2.3536660505237172E-2</v>
      </c>
      <c r="R98" s="1">
        <f t="shared" si="3"/>
        <v>2.3356609679749507E-2</v>
      </c>
      <c r="S98" s="1">
        <f t="shared" si="3"/>
        <v>2.1058823529411796E-2</v>
      </c>
      <c r="T98" s="1">
        <f t="shared" si="3"/>
        <v>2.0970157852286953E-2</v>
      </c>
      <c r="U98" s="1">
        <f t="shared" si="3"/>
        <v>2.1555129217921243E-2</v>
      </c>
      <c r="V98" s="1">
        <f t="shared" si="3"/>
        <v>1.878038002651361E-2</v>
      </c>
      <c r="W98" s="1">
        <f t="shared" si="3"/>
        <v>1.9301669919757014E-2</v>
      </c>
      <c r="X98" s="1">
        <f t="shared" si="3"/>
        <v>1.9468085106382871E-2</v>
      </c>
      <c r="Y98" s="1">
        <f t="shared" si="3"/>
        <v>1.9409370760722133E-2</v>
      </c>
      <c r="Z98" s="1">
        <f t="shared" si="3"/>
        <v>2.0780018425632152E-2</v>
      </c>
      <c r="AA98" s="1">
        <f t="shared" si="3"/>
        <v>2.1359807460890501E-2</v>
      </c>
      <c r="AB98" s="1">
        <f t="shared" si="3"/>
        <v>2.130584192439855E-2</v>
      </c>
      <c r="AC98" s="1">
        <f t="shared" si="3"/>
        <v>2.1534320323014944E-2</v>
      </c>
      <c r="AD98" s="1">
        <f t="shared" si="3"/>
        <v>2.2021456804065309E-2</v>
      </c>
      <c r="AE98" s="1">
        <f t="shared" si="3"/>
        <v>2.0718232044198981E-2</v>
      </c>
      <c r="AF98" s="1">
        <f t="shared" si="3"/>
        <v>2.0658547586829057E-2</v>
      </c>
      <c r="AG98" s="1">
        <f t="shared" si="3"/>
        <v>2.0505568322432222E-2</v>
      </c>
      <c r="AH98" s="1">
        <f t="shared" si="3"/>
        <v>2.1739130434782705E-2</v>
      </c>
      <c r="AI98" s="1">
        <f t="shared" si="3"/>
        <v>2.3141476646605152E-2</v>
      </c>
      <c r="AJ98" s="1">
        <f t="shared" si="3"/>
        <v>2.3695111847555905E-2</v>
      </c>
      <c r="AK98" s="1">
        <f t="shared" si="3"/>
        <v>2.4765296212366561E-2</v>
      </c>
      <c r="AL98" s="1">
        <f t="shared" si="3"/>
        <v>2.3692939504027732E-2</v>
      </c>
      <c r="AM98" s="1">
        <f t="shared" si="3"/>
        <v>2.4918993982409932E-2</v>
      </c>
      <c r="AN98" s="1">
        <f t="shared" si="3"/>
        <v>2.5592773805043434E-2</v>
      </c>
    </row>
    <row r="99" spans="1:40" x14ac:dyDescent="0.25">
      <c r="A99" t="s">
        <v>44</v>
      </c>
      <c r="C99" s="1">
        <f>C96/B96-1</f>
        <v>4.4444444444444509E-2</v>
      </c>
      <c r="D99" s="1">
        <f t="shared" ref="D99:AN99" si="4">D96/C96-1</f>
        <v>3.7234042553191404E-2</v>
      </c>
      <c r="E99" s="1">
        <f t="shared" si="4"/>
        <v>-1.538461538461533E-2</v>
      </c>
      <c r="F99" s="1">
        <f t="shared" si="4"/>
        <v>-1.041666666666663E-2</v>
      </c>
      <c r="G99" s="1">
        <f t="shared" si="4"/>
        <v>3.1578947368421151E-2</v>
      </c>
      <c r="H99" s="1">
        <f t="shared" si="4"/>
        <v>-1.5306122448979553E-2</v>
      </c>
      <c r="I99" s="1">
        <f t="shared" si="4"/>
        <v>-1.5544041450777257E-2</v>
      </c>
      <c r="J99" s="1">
        <f t="shared" si="4"/>
        <v>-3.6842105263157898E-2</v>
      </c>
      <c r="K99" s="1">
        <f t="shared" si="4"/>
        <v>2.732240437158473E-2</v>
      </c>
      <c r="L99" s="1">
        <f t="shared" si="4"/>
        <v>3.1914893617021267E-2</v>
      </c>
      <c r="M99" s="1">
        <f t="shared" si="4"/>
        <v>2.0618556701030855E-2</v>
      </c>
      <c r="N99" s="1">
        <f t="shared" si="4"/>
        <v>1.5151515151515138E-2</v>
      </c>
      <c r="O99" s="1">
        <f t="shared" si="4"/>
        <v>1.4925373134328401E-2</v>
      </c>
      <c r="P99" s="1">
        <f t="shared" si="4"/>
        <v>2.450980392156854E-2</v>
      </c>
      <c r="Q99" s="1">
        <f t="shared" si="4"/>
        <v>2.3923444976076569E-2</v>
      </c>
      <c r="R99" s="1">
        <f t="shared" si="4"/>
        <v>2.3364485981308469E-2</v>
      </c>
      <c r="S99" s="1">
        <f t="shared" si="4"/>
        <v>2.2831050228310446E-2</v>
      </c>
      <c r="T99" s="1">
        <f t="shared" si="4"/>
        <v>2.2321428571428603E-2</v>
      </c>
      <c r="U99" s="1">
        <f t="shared" si="4"/>
        <v>2.1834061135371119E-2</v>
      </c>
      <c r="V99" s="1">
        <f t="shared" si="4"/>
        <v>1.7094017094017033E-2</v>
      </c>
      <c r="W99" s="1">
        <f t="shared" si="4"/>
        <v>2.1008403361344463E-2</v>
      </c>
      <c r="X99" s="1">
        <f t="shared" si="4"/>
        <v>1.6460905349794164E-2</v>
      </c>
      <c r="Y99" s="1">
        <f t="shared" si="4"/>
        <v>2.0242914979757165E-2</v>
      </c>
      <c r="Z99" s="1">
        <f t="shared" si="4"/>
        <v>1.9841269841269771E-2</v>
      </c>
      <c r="AA99" s="1">
        <f t="shared" si="4"/>
        <v>2.3346303501945442E-2</v>
      </c>
      <c r="AB99" s="1">
        <f t="shared" si="4"/>
        <v>1.9011406844106515E-2</v>
      </c>
      <c r="AC99" s="1">
        <f t="shared" si="4"/>
        <v>2.2388059701492491E-2</v>
      </c>
      <c r="AD99" s="1">
        <f t="shared" si="4"/>
        <v>2.1897810218978186E-2</v>
      </c>
      <c r="AE99" s="1">
        <f t="shared" si="4"/>
        <v>2.1428571428571352E-2</v>
      </c>
      <c r="AF99" s="1">
        <f t="shared" si="4"/>
        <v>2.0979020979021046E-2</v>
      </c>
      <c r="AG99" s="1">
        <f t="shared" si="4"/>
        <v>2.0547945205479534E-2</v>
      </c>
      <c r="AH99" s="1">
        <f t="shared" si="4"/>
        <v>2.0134228187919545E-2</v>
      </c>
      <c r="AI99" s="1">
        <f t="shared" si="4"/>
        <v>2.3026315789473673E-2</v>
      </c>
      <c r="AJ99" s="1">
        <f t="shared" si="4"/>
        <v>2.5723472668810254E-2</v>
      </c>
      <c r="AK99" s="1">
        <f t="shared" si="4"/>
        <v>2.1943573667711602E-2</v>
      </c>
      <c r="AL99" s="1">
        <f t="shared" si="4"/>
        <v>2.4539877300613577E-2</v>
      </c>
      <c r="AM99" s="1">
        <f t="shared" si="4"/>
        <v>2.39520958083832E-2</v>
      </c>
      <c r="AN99" s="1">
        <f t="shared" si="4"/>
        <v>2.6315789473684292E-2</v>
      </c>
    </row>
  </sheetData>
  <dataValidations count="1">
    <dataValidation type="list" allowBlank="1" showInputMessage="1" showErrorMessage="1" sqref="A94" xr:uid="{2C5F5542-A978-41C4-9355-025689AB2A22}">
      <formula1>$A$4:$A$21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7FCC-C049-467B-AD6E-09D35E04FA7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dimension ref="A1:AN25"/>
  <sheetViews>
    <sheetView workbookViewId="0">
      <selection activeCell="B6" sqref="B6"/>
    </sheetView>
  </sheetViews>
  <sheetFormatPr defaultRowHeight="15" x14ac:dyDescent="0.25"/>
  <cols>
    <col min="1" max="1" width="25.28515625" customWidth="1"/>
  </cols>
  <sheetData>
    <row r="1" spans="1:40" x14ac:dyDescent="0.25">
      <c r="B1" t="s">
        <v>48</v>
      </c>
      <c r="C1" t="s">
        <v>49</v>
      </c>
      <c r="D1" t="s">
        <v>50</v>
      </c>
    </row>
    <row r="2" spans="1:40" x14ac:dyDescent="0.25">
      <c r="A2" t="s">
        <v>47</v>
      </c>
      <c r="B2" s="2"/>
      <c r="C2" s="2"/>
      <c r="D2" s="2"/>
    </row>
    <row r="3" spans="1:40" x14ac:dyDescent="0.25">
      <c r="A3" t="s">
        <v>51</v>
      </c>
      <c r="B3" s="2"/>
      <c r="C3" s="2"/>
      <c r="D3" s="2"/>
    </row>
    <row r="4" spans="1:40" x14ac:dyDescent="0.25">
      <c r="A4" t="s">
        <v>52</v>
      </c>
      <c r="B4" s="2"/>
      <c r="C4" s="2"/>
      <c r="D4" s="2"/>
    </row>
    <row r="5" spans="1:40" x14ac:dyDescent="0.25">
      <c r="A5" t="s">
        <v>53</v>
      </c>
      <c r="B5" s="2"/>
      <c r="C5" s="2"/>
      <c r="D5" s="2"/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>
        <v>72.959999999999994</v>
      </c>
      <c r="L8">
        <v>75</v>
      </c>
      <c r="M8">
        <v>76.52</v>
      </c>
      <c r="N8">
        <v>77.900000000000006</v>
      </c>
      <c r="O8">
        <v>79.13</v>
      </c>
      <c r="P8">
        <v>81.150000000000006</v>
      </c>
      <c r="Q8">
        <v>83.06</v>
      </c>
      <c r="R8">
        <v>85</v>
      </c>
      <c r="S8">
        <v>86.79</v>
      </c>
      <c r="T8">
        <v>88.61</v>
      </c>
      <c r="U8">
        <v>90.52</v>
      </c>
      <c r="V8">
        <v>92.22</v>
      </c>
      <c r="W8">
        <v>94</v>
      </c>
      <c r="X8">
        <v>95.83</v>
      </c>
      <c r="Y8">
        <v>97.69</v>
      </c>
      <c r="Z8">
        <v>99.72</v>
      </c>
      <c r="AA8">
        <v>101.85</v>
      </c>
      <c r="AB8">
        <v>104.02</v>
      </c>
      <c r="AC8">
        <v>106.26</v>
      </c>
      <c r="AD8">
        <v>108.6</v>
      </c>
      <c r="AE8">
        <v>110.85</v>
      </c>
      <c r="AF8">
        <v>113.14</v>
      </c>
      <c r="AG8">
        <v>115.46</v>
      </c>
      <c r="AH8">
        <v>117.97</v>
      </c>
      <c r="AI8">
        <v>120.7</v>
      </c>
      <c r="AJ8">
        <v>123.56</v>
      </c>
      <c r="AK8">
        <v>126.62</v>
      </c>
      <c r="AL8">
        <v>129.62</v>
      </c>
      <c r="AM8">
        <v>132.85</v>
      </c>
      <c r="AN8">
        <v>136.25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>
        <v>60.37</v>
      </c>
      <c r="L9">
        <v>60.1</v>
      </c>
      <c r="M9">
        <v>59.84</v>
      </c>
      <c r="N9">
        <v>59.34</v>
      </c>
      <c r="O9">
        <v>58.75</v>
      </c>
      <c r="P9">
        <v>56.4</v>
      </c>
      <c r="Q9">
        <v>53.36</v>
      </c>
      <c r="R9">
        <v>50.36</v>
      </c>
      <c r="S9">
        <v>46.96</v>
      </c>
      <c r="T9">
        <v>43.51</v>
      </c>
      <c r="U9">
        <v>43.76</v>
      </c>
      <c r="V9">
        <v>42.68</v>
      </c>
      <c r="W9">
        <v>42.31</v>
      </c>
      <c r="X9">
        <v>41.94</v>
      </c>
      <c r="Y9">
        <v>41.15</v>
      </c>
      <c r="Z9">
        <v>39.86</v>
      </c>
      <c r="AA9">
        <v>38.57</v>
      </c>
      <c r="AB9">
        <v>37.28</v>
      </c>
      <c r="AC9">
        <v>36</v>
      </c>
      <c r="AD9">
        <v>34.71</v>
      </c>
      <c r="AE9">
        <v>34.86</v>
      </c>
      <c r="AF9">
        <v>35.01</v>
      </c>
      <c r="AG9">
        <v>35.15</v>
      </c>
      <c r="AH9">
        <v>35.299999999999997</v>
      </c>
      <c r="AI9">
        <v>35.450000000000003</v>
      </c>
      <c r="AJ9">
        <v>35.75</v>
      </c>
      <c r="AK9">
        <v>36.04</v>
      </c>
      <c r="AL9">
        <v>36.340000000000003</v>
      </c>
      <c r="AM9">
        <v>36.64</v>
      </c>
      <c r="AN9">
        <v>36.93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>
        <v>1960.19</v>
      </c>
      <c r="L10">
        <v>2004.23</v>
      </c>
      <c r="M10">
        <v>2048.11</v>
      </c>
      <c r="N10">
        <v>2091.16</v>
      </c>
      <c r="O10">
        <v>2135.91</v>
      </c>
      <c r="P10">
        <v>2188.48</v>
      </c>
      <c r="Q10">
        <v>2240.58</v>
      </c>
      <c r="R10">
        <v>2295.15</v>
      </c>
      <c r="S10">
        <v>2351.59</v>
      </c>
      <c r="T10">
        <v>2409.79</v>
      </c>
      <c r="U10">
        <v>2477.56</v>
      </c>
      <c r="V10">
        <v>2544.31</v>
      </c>
      <c r="W10">
        <v>2617.34</v>
      </c>
      <c r="X10">
        <v>2695.68</v>
      </c>
      <c r="Y10">
        <v>2779.08</v>
      </c>
      <c r="Z10">
        <v>2866.42</v>
      </c>
      <c r="AA10">
        <v>2957.38</v>
      </c>
      <c r="AB10">
        <v>3050.01</v>
      </c>
      <c r="AC10">
        <v>3146.53</v>
      </c>
      <c r="AD10">
        <v>3249.04</v>
      </c>
      <c r="AE10">
        <v>3355.38</v>
      </c>
      <c r="AF10">
        <v>3466.6</v>
      </c>
      <c r="AG10">
        <v>3582.52</v>
      </c>
      <c r="AH10">
        <v>3703.15</v>
      </c>
      <c r="AI10">
        <v>3831.42</v>
      </c>
      <c r="AJ10">
        <v>3966.01</v>
      </c>
      <c r="AK10">
        <v>4107.3999999999996</v>
      </c>
      <c r="AL10">
        <v>4251</v>
      </c>
      <c r="AM10">
        <v>4401.6400000000003</v>
      </c>
      <c r="AN10">
        <v>4560.04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>
        <v>53.76</v>
      </c>
      <c r="L11">
        <v>55.02</v>
      </c>
      <c r="M11">
        <v>56.21</v>
      </c>
      <c r="N11">
        <v>57.35</v>
      </c>
      <c r="O11">
        <v>58.59</v>
      </c>
      <c r="P11">
        <v>60.17</v>
      </c>
      <c r="Q11">
        <v>61.72</v>
      </c>
      <c r="R11">
        <v>63.31</v>
      </c>
      <c r="S11">
        <v>65.09</v>
      </c>
      <c r="T11">
        <v>66.930000000000007</v>
      </c>
      <c r="U11">
        <v>68.83</v>
      </c>
      <c r="V11">
        <v>70.67</v>
      </c>
      <c r="W11">
        <v>72.69</v>
      </c>
      <c r="X11">
        <v>74.849999999999994</v>
      </c>
      <c r="Y11">
        <v>77.23</v>
      </c>
      <c r="Z11">
        <v>79.680000000000007</v>
      </c>
      <c r="AA11">
        <v>82.2</v>
      </c>
      <c r="AB11">
        <v>84.75</v>
      </c>
      <c r="AC11">
        <v>87.38</v>
      </c>
      <c r="AD11">
        <v>90.15</v>
      </c>
      <c r="AE11">
        <v>92.83</v>
      </c>
      <c r="AF11">
        <v>95.65</v>
      </c>
      <c r="AG11">
        <v>98.6</v>
      </c>
      <c r="AH11">
        <v>101.7</v>
      </c>
      <c r="AI11">
        <v>105</v>
      </c>
      <c r="AJ11">
        <v>108.37</v>
      </c>
      <c r="AK11">
        <v>111.9</v>
      </c>
      <c r="AL11">
        <v>115.47</v>
      </c>
      <c r="AM11">
        <v>119.23</v>
      </c>
      <c r="AN11">
        <v>123.19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>
        <v>77.260000000000005</v>
      </c>
      <c r="L12">
        <v>76.540000000000006</v>
      </c>
      <c r="M12">
        <v>77.84</v>
      </c>
      <c r="N12">
        <v>78.83</v>
      </c>
      <c r="O12">
        <v>79.89</v>
      </c>
      <c r="P12">
        <v>81.33</v>
      </c>
      <c r="Q12">
        <v>83.16</v>
      </c>
      <c r="R12">
        <v>84.74</v>
      </c>
      <c r="S12">
        <v>87.09</v>
      </c>
      <c r="T12">
        <v>89.18</v>
      </c>
      <c r="U12">
        <v>91.58</v>
      </c>
      <c r="V12">
        <v>93.3</v>
      </c>
      <c r="W12">
        <v>95.88</v>
      </c>
      <c r="X12">
        <v>98.58</v>
      </c>
      <c r="Y12">
        <v>102.12</v>
      </c>
      <c r="Z12">
        <v>104.15</v>
      </c>
      <c r="AA12">
        <v>106.44</v>
      </c>
      <c r="AB12">
        <v>108.7</v>
      </c>
      <c r="AC12">
        <v>110.96</v>
      </c>
      <c r="AD12">
        <v>113.25</v>
      </c>
      <c r="AE12">
        <v>116.13</v>
      </c>
      <c r="AF12">
        <v>119.11</v>
      </c>
      <c r="AG12">
        <v>122.09</v>
      </c>
      <c r="AH12">
        <v>125.09</v>
      </c>
      <c r="AI12">
        <v>128.13</v>
      </c>
      <c r="AJ12">
        <v>131.97</v>
      </c>
      <c r="AK12">
        <v>135.72</v>
      </c>
      <c r="AL12">
        <v>139.46</v>
      </c>
      <c r="AM12">
        <v>143.13999999999999</v>
      </c>
      <c r="AN12">
        <v>146.85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0.63</v>
      </c>
      <c r="T14">
        <v>1.1000000000000001</v>
      </c>
      <c r="U14">
        <v>1.62</v>
      </c>
      <c r="V14">
        <v>2.14</v>
      </c>
      <c r="W14">
        <v>2.65</v>
      </c>
      <c r="X14">
        <v>3.15</v>
      </c>
      <c r="Y14">
        <v>3.95</v>
      </c>
      <c r="Z14">
        <v>4.43</v>
      </c>
      <c r="AA14">
        <v>4.9000000000000004</v>
      </c>
      <c r="AB14">
        <v>5.38</v>
      </c>
      <c r="AC14">
        <v>5.86</v>
      </c>
      <c r="AD14">
        <v>6.34</v>
      </c>
      <c r="AE14">
        <v>6.79</v>
      </c>
      <c r="AF14">
        <v>7.25</v>
      </c>
      <c r="AG14">
        <v>7.7</v>
      </c>
      <c r="AH14">
        <v>8.15</v>
      </c>
      <c r="AI14">
        <v>8.6</v>
      </c>
      <c r="AJ14">
        <v>8.86</v>
      </c>
      <c r="AK14">
        <v>9.1199999999999992</v>
      </c>
      <c r="AL14">
        <v>9.3800000000000008</v>
      </c>
      <c r="AM14">
        <v>9.64</v>
      </c>
      <c r="AN14">
        <v>9.9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>
        <v>12.65</v>
      </c>
      <c r="L15">
        <v>12.9</v>
      </c>
      <c r="M15">
        <v>13.13</v>
      </c>
      <c r="N15">
        <v>13.34</v>
      </c>
      <c r="O15">
        <v>13.63</v>
      </c>
      <c r="P15">
        <v>14.12</v>
      </c>
      <c r="Q15">
        <v>14.6</v>
      </c>
      <c r="R15">
        <v>15.08</v>
      </c>
      <c r="S15">
        <v>15.43</v>
      </c>
      <c r="T15">
        <v>15.88</v>
      </c>
      <c r="U15">
        <v>16.239999999999998</v>
      </c>
      <c r="V15">
        <v>16.559999999999999</v>
      </c>
      <c r="W15">
        <v>16.93</v>
      </c>
      <c r="X15">
        <v>17.34</v>
      </c>
      <c r="Y15">
        <v>17.73</v>
      </c>
      <c r="Z15">
        <v>18.190000000000001</v>
      </c>
      <c r="AA15">
        <v>18.670000000000002</v>
      </c>
      <c r="AB15">
        <v>19.14</v>
      </c>
      <c r="AC15">
        <v>19.63</v>
      </c>
      <c r="AD15">
        <v>20.14</v>
      </c>
      <c r="AE15">
        <v>20.57</v>
      </c>
      <c r="AF15">
        <v>21.03</v>
      </c>
      <c r="AG15">
        <v>21.51</v>
      </c>
      <c r="AH15">
        <v>22.03</v>
      </c>
      <c r="AI15">
        <v>22.59</v>
      </c>
      <c r="AJ15">
        <v>23.19</v>
      </c>
      <c r="AK15">
        <v>23.82</v>
      </c>
      <c r="AL15">
        <v>24.47</v>
      </c>
      <c r="AM15">
        <v>25.16</v>
      </c>
      <c r="AN15">
        <v>25.89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>
        <v>196.38</v>
      </c>
      <c r="L16">
        <v>199.05</v>
      </c>
      <c r="M16">
        <v>201.54</v>
      </c>
      <c r="N16">
        <v>203.91</v>
      </c>
      <c r="O16">
        <v>207.14</v>
      </c>
      <c r="P16">
        <v>212.19</v>
      </c>
      <c r="Q16">
        <v>217.65</v>
      </c>
      <c r="R16">
        <v>223.52</v>
      </c>
      <c r="S16">
        <v>228.69</v>
      </c>
      <c r="T16">
        <v>234.66</v>
      </c>
      <c r="U16">
        <v>240.3</v>
      </c>
      <c r="V16">
        <v>245.53</v>
      </c>
      <c r="W16">
        <v>251.1</v>
      </c>
      <c r="X16">
        <v>256.91000000000003</v>
      </c>
      <c r="Y16">
        <v>262.83</v>
      </c>
      <c r="Z16">
        <v>269.37</v>
      </c>
      <c r="AA16">
        <v>276.17</v>
      </c>
      <c r="AB16">
        <v>282.98</v>
      </c>
      <c r="AC16">
        <v>290.05</v>
      </c>
      <c r="AD16">
        <v>297.62</v>
      </c>
      <c r="AE16">
        <v>304.49</v>
      </c>
      <c r="AF16">
        <v>311.5</v>
      </c>
      <c r="AG16">
        <v>318.7</v>
      </c>
      <c r="AH16">
        <v>326.24</v>
      </c>
      <c r="AI16">
        <v>334.31</v>
      </c>
      <c r="AJ16">
        <v>342.67</v>
      </c>
      <c r="AK16">
        <v>351.49</v>
      </c>
      <c r="AL16">
        <v>360.41</v>
      </c>
      <c r="AM16">
        <v>369.89</v>
      </c>
      <c r="AN16">
        <v>380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>
        <v>4.6900000000000004</v>
      </c>
      <c r="L17">
        <v>4.71</v>
      </c>
      <c r="M17">
        <v>4.74</v>
      </c>
      <c r="N17">
        <v>4.7699999999999996</v>
      </c>
      <c r="O17">
        <v>4.84</v>
      </c>
      <c r="P17">
        <v>5.01</v>
      </c>
      <c r="Q17">
        <v>5.21</v>
      </c>
      <c r="R17">
        <v>5.45</v>
      </c>
      <c r="S17">
        <v>5.64</v>
      </c>
      <c r="T17">
        <v>5.88</v>
      </c>
      <c r="U17">
        <v>6.08</v>
      </c>
      <c r="V17">
        <v>6.21</v>
      </c>
      <c r="W17">
        <v>6.36</v>
      </c>
      <c r="X17">
        <v>6.52</v>
      </c>
      <c r="Y17">
        <v>6.66</v>
      </c>
      <c r="Z17">
        <v>6.83</v>
      </c>
      <c r="AA17">
        <v>7</v>
      </c>
      <c r="AB17">
        <v>7.17</v>
      </c>
      <c r="AC17">
        <v>7.34</v>
      </c>
      <c r="AD17">
        <v>7.52</v>
      </c>
      <c r="AE17">
        <v>7.63</v>
      </c>
      <c r="AF17">
        <v>7.74</v>
      </c>
      <c r="AG17">
        <v>7.85</v>
      </c>
      <c r="AH17">
        <v>7.96</v>
      </c>
      <c r="AI17">
        <v>8.08</v>
      </c>
      <c r="AJ17">
        <v>8.2100000000000009</v>
      </c>
      <c r="AK17">
        <v>8.35</v>
      </c>
      <c r="AL17">
        <v>8.49</v>
      </c>
      <c r="AM17">
        <v>8.65</v>
      </c>
      <c r="AN17">
        <v>8.82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>
        <v>14.6</v>
      </c>
      <c r="L18">
        <v>14.95</v>
      </c>
      <c r="M18">
        <v>15.3</v>
      </c>
      <c r="N18">
        <v>15.64</v>
      </c>
      <c r="O18">
        <v>16</v>
      </c>
      <c r="P18">
        <v>16.440000000000001</v>
      </c>
      <c r="Q18">
        <v>16.88</v>
      </c>
      <c r="R18">
        <v>17.34</v>
      </c>
      <c r="S18">
        <v>17.8</v>
      </c>
      <c r="T18">
        <v>18.27</v>
      </c>
      <c r="U18">
        <v>18.809999999999999</v>
      </c>
      <c r="V18">
        <v>19.32</v>
      </c>
      <c r="W18">
        <v>19.88</v>
      </c>
      <c r="X18">
        <v>20.49</v>
      </c>
      <c r="Y18">
        <v>21.14</v>
      </c>
      <c r="Z18">
        <v>21.81</v>
      </c>
      <c r="AA18">
        <v>22.5</v>
      </c>
      <c r="AB18">
        <v>23.19</v>
      </c>
      <c r="AC18">
        <v>23.92</v>
      </c>
      <c r="AD18">
        <v>24.68</v>
      </c>
      <c r="AE18">
        <v>25.46</v>
      </c>
      <c r="AF18">
        <v>26.29</v>
      </c>
      <c r="AG18">
        <v>27.15</v>
      </c>
      <c r="AH18">
        <v>28.04</v>
      </c>
      <c r="AI18">
        <v>28.99</v>
      </c>
      <c r="AJ18">
        <v>30</v>
      </c>
      <c r="AK18">
        <v>31.06</v>
      </c>
      <c r="AL18">
        <v>32.130000000000003</v>
      </c>
      <c r="AM18">
        <v>33.26</v>
      </c>
      <c r="AN18">
        <v>34.44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>
        <v>236.69</v>
      </c>
      <c r="L19">
        <v>242.59</v>
      </c>
      <c r="M19">
        <v>248.33</v>
      </c>
      <c r="N19">
        <v>253.83</v>
      </c>
      <c r="O19">
        <v>259.61</v>
      </c>
      <c r="P19">
        <v>266.92</v>
      </c>
      <c r="Q19">
        <v>274.13</v>
      </c>
      <c r="R19">
        <v>281.63</v>
      </c>
      <c r="S19">
        <v>289.23</v>
      </c>
      <c r="T19">
        <v>297.02</v>
      </c>
      <c r="U19">
        <v>305.64</v>
      </c>
      <c r="V19">
        <v>313.91000000000003</v>
      </c>
      <c r="W19">
        <v>323.06</v>
      </c>
      <c r="X19">
        <v>332.87</v>
      </c>
      <c r="Y19">
        <v>343.27</v>
      </c>
      <c r="Z19">
        <v>354.09</v>
      </c>
      <c r="AA19">
        <v>365.3</v>
      </c>
      <c r="AB19">
        <v>376.62</v>
      </c>
      <c r="AC19">
        <v>388.36</v>
      </c>
      <c r="AD19">
        <v>400.79</v>
      </c>
      <c r="AE19">
        <v>413.32</v>
      </c>
      <c r="AF19">
        <v>426.43</v>
      </c>
      <c r="AG19">
        <v>440.09</v>
      </c>
      <c r="AH19">
        <v>454.44</v>
      </c>
      <c r="AI19">
        <v>469.74</v>
      </c>
      <c r="AJ19">
        <v>485.82</v>
      </c>
      <c r="AK19">
        <v>502.71</v>
      </c>
      <c r="AL19">
        <v>519.79999999999995</v>
      </c>
      <c r="AM19">
        <v>537.78</v>
      </c>
      <c r="AN19">
        <v>556.72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>
        <v>26.07</v>
      </c>
      <c r="L20">
        <v>25.79</v>
      </c>
      <c r="M20">
        <v>25.7</v>
      </c>
      <c r="N20">
        <v>25.62</v>
      </c>
      <c r="O20">
        <v>24.83</v>
      </c>
      <c r="P20">
        <v>22.54</v>
      </c>
      <c r="Q20">
        <v>20.239999999999998</v>
      </c>
      <c r="R20">
        <v>17.95</v>
      </c>
      <c r="S20">
        <v>15.66</v>
      </c>
      <c r="T20">
        <v>13.37</v>
      </c>
      <c r="U20">
        <v>12.37</v>
      </c>
      <c r="V20">
        <v>11.37</v>
      </c>
      <c r="W20">
        <v>10.37</v>
      </c>
      <c r="X20">
        <v>9.3699999999999992</v>
      </c>
      <c r="Y20">
        <v>8.41</v>
      </c>
      <c r="Z20">
        <v>7.24</v>
      </c>
      <c r="AA20">
        <v>6.06</v>
      </c>
      <c r="AB20">
        <v>4.88</v>
      </c>
      <c r="AC20">
        <v>3.7</v>
      </c>
      <c r="AD20">
        <v>2.52</v>
      </c>
      <c r="AE20">
        <v>2.52</v>
      </c>
      <c r="AF20">
        <v>2.52</v>
      </c>
      <c r="AG20">
        <v>2.52</v>
      </c>
      <c r="AH20">
        <v>2.52</v>
      </c>
      <c r="AI20">
        <v>2.52</v>
      </c>
      <c r="AJ20">
        <v>2.52</v>
      </c>
      <c r="AK20">
        <v>2.52</v>
      </c>
      <c r="AL20">
        <v>2.52</v>
      </c>
      <c r="AM20">
        <v>2.52</v>
      </c>
      <c r="AN20">
        <v>2.52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>
        <v>18.68</v>
      </c>
      <c r="L21">
        <v>19.149999999999999</v>
      </c>
      <c r="M21">
        <v>19.61</v>
      </c>
      <c r="N21">
        <v>20.04</v>
      </c>
      <c r="O21">
        <v>20.51</v>
      </c>
      <c r="P21">
        <v>21.11</v>
      </c>
      <c r="Q21">
        <v>21.69</v>
      </c>
      <c r="R21">
        <v>22.28</v>
      </c>
      <c r="S21">
        <v>22.83</v>
      </c>
      <c r="T21">
        <v>23.42</v>
      </c>
      <c r="U21">
        <v>24.02</v>
      </c>
      <c r="V21">
        <v>24.61</v>
      </c>
      <c r="W21">
        <v>25.26</v>
      </c>
      <c r="X21">
        <v>25.94</v>
      </c>
      <c r="Y21">
        <v>26.65</v>
      </c>
      <c r="Z21">
        <v>27.42</v>
      </c>
      <c r="AA21">
        <v>28.22</v>
      </c>
      <c r="AB21">
        <v>29.03</v>
      </c>
      <c r="AC21">
        <v>29.88</v>
      </c>
      <c r="AD21">
        <v>30.78</v>
      </c>
      <c r="AE21">
        <v>31.65</v>
      </c>
      <c r="AF21">
        <v>32.57</v>
      </c>
      <c r="AG21">
        <v>33.53</v>
      </c>
      <c r="AH21">
        <v>34.54</v>
      </c>
      <c r="AI21">
        <v>35.619999999999997</v>
      </c>
      <c r="AJ21">
        <v>36.75</v>
      </c>
      <c r="AK21">
        <v>37.93</v>
      </c>
      <c r="AL21">
        <v>39.130000000000003</v>
      </c>
      <c r="AM21">
        <v>40.380000000000003</v>
      </c>
      <c r="AN21">
        <v>41.7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>
        <v>12.34</v>
      </c>
      <c r="L22">
        <v>12.61</v>
      </c>
      <c r="M22">
        <v>12.86</v>
      </c>
      <c r="N22">
        <v>13.09</v>
      </c>
      <c r="O22">
        <v>13.32</v>
      </c>
      <c r="P22">
        <v>13.6</v>
      </c>
      <c r="Q22">
        <v>13.87</v>
      </c>
      <c r="R22">
        <v>14.15</v>
      </c>
      <c r="S22">
        <v>14.45</v>
      </c>
      <c r="T22">
        <v>14.74</v>
      </c>
      <c r="U22">
        <v>15.11</v>
      </c>
      <c r="V22">
        <v>15.46</v>
      </c>
      <c r="W22">
        <v>15.83</v>
      </c>
      <c r="X22">
        <v>16.22</v>
      </c>
      <c r="Y22">
        <v>16.63</v>
      </c>
      <c r="Z22">
        <v>17.04</v>
      </c>
      <c r="AA22">
        <v>17.47</v>
      </c>
      <c r="AB22">
        <v>17.89</v>
      </c>
      <c r="AC22">
        <v>18.329999999999998</v>
      </c>
      <c r="AD22">
        <v>18.8</v>
      </c>
      <c r="AE22">
        <v>19.29</v>
      </c>
      <c r="AF22">
        <v>19.79</v>
      </c>
      <c r="AG22">
        <v>20.29</v>
      </c>
      <c r="AH22">
        <v>20.8</v>
      </c>
      <c r="AI22">
        <v>21.32</v>
      </c>
      <c r="AJ22">
        <v>21.84</v>
      </c>
      <c r="AK22">
        <v>22.38</v>
      </c>
      <c r="AL22">
        <v>22.91</v>
      </c>
      <c r="AM22">
        <v>23.46</v>
      </c>
      <c r="AN22">
        <v>24.05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>
        <v>141.11000000000001</v>
      </c>
      <c r="L23">
        <v>144.02000000000001</v>
      </c>
      <c r="M23">
        <v>146.85</v>
      </c>
      <c r="N23">
        <v>149.56</v>
      </c>
      <c r="O23">
        <v>152.32</v>
      </c>
      <c r="P23">
        <v>155.71</v>
      </c>
      <c r="Q23">
        <v>158.9</v>
      </c>
      <c r="R23">
        <v>162.26</v>
      </c>
      <c r="S23">
        <v>165.94</v>
      </c>
      <c r="T23">
        <v>169.63</v>
      </c>
      <c r="U23">
        <v>174.19</v>
      </c>
      <c r="V23">
        <v>178.43</v>
      </c>
      <c r="W23">
        <v>183.19</v>
      </c>
      <c r="X23">
        <v>188.3</v>
      </c>
      <c r="Y23">
        <v>193.91</v>
      </c>
      <c r="Z23">
        <v>199.62</v>
      </c>
      <c r="AA23">
        <v>205.55</v>
      </c>
      <c r="AB23">
        <v>211.53</v>
      </c>
      <c r="AC23">
        <v>217.76</v>
      </c>
      <c r="AD23">
        <v>224.36</v>
      </c>
      <c r="AE23">
        <v>231.21</v>
      </c>
      <c r="AF23">
        <v>238.37</v>
      </c>
      <c r="AG23">
        <v>245.82</v>
      </c>
      <c r="AH23">
        <v>253.64</v>
      </c>
      <c r="AI23">
        <v>261.98</v>
      </c>
      <c r="AJ23">
        <v>270.7</v>
      </c>
      <c r="AK23">
        <v>279.86</v>
      </c>
      <c r="AL23">
        <v>289.08</v>
      </c>
      <c r="AM23">
        <v>298.81</v>
      </c>
      <c r="AN23">
        <v>309.06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>
        <v>30.06</v>
      </c>
      <c r="L24">
        <v>31.41</v>
      </c>
      <c r="M24">
        <v>32.79</v>
      </c>
      <c r="N24">
        <v>34.18</v>
      </c>
      <c r="O24">
        <v>35.74</v>
      </c>
      <c r="P24">
        <v>37.880000000000003</v>
      </c>
      <c r="Q24">
        <v>40.24</v>
      </c>
      <c r="R24">
        <v>42.9</v>
      </c>
      <c r="S24">
        <v>45.9</v>
      </c>
      <c r="T24">
        <v>49.13</v>
      </c>
      <c r="U24">
        <v>52.76</v>
      </c>
      <c r="V24">
        <v>56.4</v>
      </c>
      <c r="W24">
        <v>60.42</v>
      </c>
      <c r="X24">
        <v>64.709999999999994</v>
      </c>
      <c r="Y24">
        <v>69.47</v>
      </c>
      <c r="Z24">
        <v>74.56</v>
      </c>
      <c r="AA24">
        <v>79.92</v>
      </c>
      <c r="AB24">
        <v>85.44</v>
      </c>
      <c r="AC24">
        <v>91.27</v>
      </c>
      <c r="AD24">
        <v>97.47</v>
      </c>
      <c r="AE24">
        <v>103.66</v>
      </c>
      <c r="AF24">
        <v>109.94</v>
      </c>
      <c r="AG24">
        <v>116.29</v>
      </c>
      <c r="AH24">
        <v>122.76</v>
      </c>
      <c r="AI24">
        <v>129.41999999999999</v>
      </c>
      <c r="AJ24">
        <v>136.13999999999999</v>
      </c>
      <c r="AK24">
        <v>142.99</v>
      </c>
      <c r="AL24">
        <v>149.66</v>
      </c>
      <c r="AM24">
        <v>156.57</v>
      </c>
      <c r="AN24">
        <v>163.72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>
        <v>0.99</v>
      </c>
      <c r="L25">
        <v>1</v>
      </c>
      <c r="M25">
        <v>1.02</v>
      </c>
      <c r="N25">
        <v>1.03</v>
      </c>
      <c r="O25">
        <v>1.05</v>
      </c>
      <c r="P25">
        <v>1.07</v>
      </c>
      <c r="Q25">
        <v>1.0900000000000001</v>
      </c>
      <c r="R25">
        <v>1.1100000000000001</v>
      </c>
      <c r="S25">
        <v>1.1399999999999999</v>
      </c>
      <c r="T25">
        <v>1.1599999999999999</v>
      </c>
      <c r="U25">
        <v>1.2</v>
      </c>
      <c r="V25">
        <v>1.23</v>
      </c>
      <c r="W25">
        <v>1.27</v>
      </c>
      <c r="X25">
        <v>1.31</v>
      </c>
      <c r="Y25">
        <v>1.36</v>
      </c>
      <c r="Z25">
        <v>1.42</v>
      </c>
      <c r="AA25">
        <v>1.47</v>
      </c>
      <c r="AB25">
        <v>1.53</v>
      </c>
      <c r="AC25">
        <v>1.58</v>
      </c>
      <c r="AD25">
        <v>1.65</v>
      </c>
      <c r="AE25">
        <v>1.71</v>
      </c>
      <c r="AF25">
        <v>1.79</v>
      </c>
      <c r="AG25">
        <v>1.87</v>
      </c>
      <c r="AH25">
        <v>1.95</v>
      </c>
      <c r="AI25">
        <v>2.0499999999999998</v>
      </c>
      <c r="AJ25">
        <v>2.16</v>
      </c>
      <c r="AK25">
        <v>2.2799999999999998</v>
      </c>
      <c r="AL25">
        <v>2.4</v>
      </c>
      <c r="AM25">
        <v>2.5299999999999998</v>
      </c>
      <c r="AN25">
        <v>2.66</v>
      </c>
    </row>
  </sheetData>
  <sortState xmlns:xlrd2="http://schemas.microsoft.com/office/spreadsheetml/2017/richdata2" ref="A8:AN26">
    <sortCondition ref="A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Households_CGE</vt:lpstr>
      <vt:lpstr>GDP_Simple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2020-08-27T21:25:03Z</dcterms:modified>
</cp:coreProperties>
</file>