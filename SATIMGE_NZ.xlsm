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17967DB-BBE8-4EAE-BFDF-95CD9272FA3F}" xr6:coauthVersionLast="47" xr6:coauthVersionMax="47" xr10:uidLastSave="{00000000-0000-0000-0000-000000000000}"/>
  <bookViews>
    <workbookView xWindow="-225" yWindow="165" windowWidth="2877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4" r:id="rId9"/>
    <pivotCache cacheId="6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" i="4" l="1"/>
  <c r="A6" i="33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tc={B5C73B40-C010-44FC-A261-0B3A21B3ECB2}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8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19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0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1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2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3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4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5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6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7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8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29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0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1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2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4" authorId="3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<sst xmlns="http://schemas.openxmlformats.org/spreadsheetml/2006/main" count="1511" uniqueCount="323">
  <si>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</si>
  <si>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</si>
  <si>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</si>
  <si>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</si>
  <si>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</si>
  <si>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</si>
  <si>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</si>
  <si>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</si>
  <si>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</si>
  <si>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</si>
  <si>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</si>
  <si>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</si>
  <si>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</si>
  <si>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</si>
  <si>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</si>
  <si>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</si>
  <si>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</si>
  <si>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</si>
  <si>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</si>
  <si>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</si>
  <si>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</si>
  <si>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</si>
  <si>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</si>
  <si>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</si>
  <si>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</si>
  <si>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</si>
  <si>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</si>
  <si>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</si>
  <si>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</si>
  <si>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</si>
  <si>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</si>
  <si>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</si>
  <si>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</si>
  <si>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</si>
  <si>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</si>
  <si>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</si>
  <si>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</si>
  <si>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</si>
  <si>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</si>
  <si>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</si>
  <si>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</si>
  <si>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</si>
  <si>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</si>
  <si>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</si>
  <si>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</si>
  <si>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</si>
  <si>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</si>
  <si>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</si>
  <si>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</si>
  <si>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</si>
  <si>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</si>
  <si>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</si>
  <si>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</si>
  <si>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</si>
  <si>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</si>
  <si>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</si>
  <si>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</si>
  <si>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</si>
  <si>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</si>
  <si>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</si>
  <si>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</si>
  <si>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</si>
  <si>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</si>
  <si>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</si>
  <si>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</si>
  <si>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</si>
  <si>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</si>
  <si>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</si>
  <si>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</si>
  <si>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</si>
  <si>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</si>
  <si>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</si>
  <si>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</si>
  <si>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</si>
  <si>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</si>
  <si>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</si>
  <si>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</si>
  <si>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</si>
  <si>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</si>
  <si>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</si>
  <si>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</si>
  <si>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</si>
  <si>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</si>
  <si>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</si>
  <si>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</si>
  <si>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</si>
  <si>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</si>
  <si>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</si>
  <si>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</si>
  <si>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</si>
  <si>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</si>
  <si>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</si>
  <si>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</si>
  <si>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</si>
  <si>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</si>
  <si>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</si>
  <si>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</si>
  <si>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</si>
  <si>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</si>
  <si>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</si>
  <si>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</si>
  <si>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</si>
  <si>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</si>
  <si>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</si>
  <si>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</si>
  <si>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</si>
  <si>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</si>
  <si>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</si>
  <si>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</si>
  <si>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</si>
  <si>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</si>
  <si>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</si>
  <si>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</si>
  <si>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</si>
  <si>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</si>
  <si>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</si>
  <si>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</si>
  <si>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</si>
  <si>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</si>
  <si>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</si>
  <si>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</si>
  <si>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</si>
  <si>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</si>
  <si>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</si>
  <si>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</si>
  <si>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</si>
  <si>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</si>
  <si>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</si>
  <si>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</si>
  <si>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</si>
  <si>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</si>
  <si>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</si>
  <si>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</si>
  <si>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</si>
  <si>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</si>
  <si>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</si>
  <si>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</si>
  <si>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</si>
  <si>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</si>
  <si>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</si>
  <si>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</si>
  <si>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</si>
  <si>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</si>
  <si>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</si>
  <si>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</si>
  <si>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</si>
  <si>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</si>
  <si>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</si>
  <si>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</si>
  <si>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</si>
  <si>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</si>
  <si>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</si>
  <si>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</si>
  <si>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</si>
  <si>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</si>
  <si>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</si>
  <si>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</si>
  <si>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</si>
  <si>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</si>
  <si>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</si>
  <si>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</si>
  <si>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</si>
  <si>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</si>
  <si>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</si>
  <si>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</si>
  <si>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</si>
  <si>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</si>
  <si>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</si>
  <si>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</si>
  <si>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</si>
  <si>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</si>
  <si>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</si>
  <si>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</si>
  <si>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</si>
  <si>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</si>
  <si>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</si>
  <si>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</si>
  <si>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</si>
  <si>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</si>
  <si>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</si>
  <si>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</si>
  <si>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</si>
  <si>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</si>
  <si>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</si>
  <si>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</si>
  <si>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</si>
  <si>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</si>
  <si>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</si>
  <si>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</si>
  <si>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</si>
  <si>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</si>
  <si>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</si>
  <si>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</si>
  <si>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</si>
  <si>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</si>
  <si>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</si>
  <si>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</si>
  <si>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</si>
  <si>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</si>
  <si>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</si>
  <si>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</si>
  <si>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</si>
  <si>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</si>
  <si>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</si>
  <si>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</si>
  <si>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</si>
  <si>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</si>
  <si>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</si>
  <si>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</si>
  <si>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</si>
  <si>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</si>
  <si>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</si>
  <si>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</si>
  <si>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</si>
  <si>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</si>
  <si>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</si>
  <si>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</si>
  <si>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</si>
  <si>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</si>
  <si>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</si>
  <si>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</si>
  <si>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</si>
  <si>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</si>
  <si>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0RG_NZ20_9</t>
  </si>
  <si>
    <t>0RG_NZ20_8</t>
  </si>
  <si>
    <t>0RG_NZ20_7</t>
  </si>
  <si>
    <t>0RG_NZ20_6</t>
  </si>
  <si>
    <t>NZ-45NE</t>
  </si>
  <si>
    <t>0RG_NZ45_REF</t>
  </si>
  <si>
    <t>0RG_NZ45_9</t>
  </si>
  <si>
    <t>0RG_NZ45_7</t>
  </si>
  <si>
    <t>0RG_NZ45_6</t>
  </si>
  <si>
    <t>NZ-45WE</t>
  </si>
  <si>
    <t>0RG_NOPAMS_REF</t>
  </si>
  <si>
    <t>NZ_nopams_45afolu</t>
  </si>
  <si>
    <t>NZ_nopams_20afolu</t>
  </si>
  <si>
    <t>NZ-45_IP_NE</t>
  </si>
  <si>
    <t>NZ_pams_45</t>
  </si>
  <si>
    <t>NZ_pams_20</t>
  </si>
  <si>
    <t>F</t>
  </si>
  <si>
    <t>0RG_NZ20_REF_WE</t>
  </si>
  <si>
    <t>0RG_NZ20_9_WE</t>
  </si>
  <si>
    <t>0RG_NZ20_8_WE</t>
  </si>
  <si>
    <t>0RG_NZ20_7_WE</t>
  </si>
  <si>
    <t>0RG_NZ20_6_WE</t>
  </si>
  <si>
    <t>0RG_NZ45_REF_WE</t>
  </si>
  <si>
    <t>0RG_NZ45_9_WE</t>
  </si>
  <si>
    <t>0RG_NZ45_8_WE</t>
  </si>
  <si>
    <t>0RG_NZ45_7_WE</t>
  </si>
  <si>
    <t>0RG_NZ45_6_WE</t>
  </si>
  <si>
    <t>0RG_NZ45_PAM_REF_WE</t>
  </si>
  <si>
    <t>0RG_NZ45_PAM_9_WE</t>
  </si>
  <si>
    <t>0RG_NZ45_PAM_8_WE</t>
  </si>
  <si>
    <t>0RG_NZ45_PAM_7_WE</t>
  </si>
  <si>
    <t>0RG_NZ45_PAM_6_WE</t>
  </si>
  <si>
    <t>1HG_NZ20_REF_WE</t>
  </si>
  <si>
    <t>1HG_NZ20_9_WE</t>
  </si>
  <si>
    <t>1HG_NZ20_8_WE</t>
  </si>
  <si>
    <t>1HG_NZ20_7_WE</t>
  </si>
  <si>
    <t>1HG_NZ20_6_WE</t>
  </si>
  <si>
    <t>1HG_NZ45_REF_WE</t>
  </si>
  <si>
    <t>1HG_NZ45_9_WE</t>
  </si>
  <si>
    <t>1HG_NZ45_8_WE</t>
  </si>
  <si>
    <t>1HG_NZ45_7_WE</t>
  </si>
  <si>
    <t>1HG_NZ45_6_WE</t>
  </si>
  <si>
    <t>1HG_NZ45_PAM_REF_WE</t>
  </si>
  <si>
    <t>1HG_NZ45_PAM_9_WE</t>
  </si>
  <si>
    <t>1HG_NZ45_PAM_8_WE</t>
  </si>
  <si>
    <t>1HG_NZ45_PAM_7_WE</t>
  </si>
  <si>
    <t>1HG_NZ45_PAM_6_WE</t>
  </si>
  <si>
    <t>NZ-45_IP_WE</t>
  </si>
  <si>
    <t>PAMSREF</t>
  </si>
  <si>
    <t>0RG_PAM_REF</t>
  </si>
  <si>
    <t>0RG_ZZ_for_HG_runs</t>
  </si>
  <si>
    <t>0RG_NZ45_8</t>
  </si>
  <si>
    <t>0RG_NZ45_PAM_REF</t>
  </si>
  <si>
    <t>0RG_NZ45_PAM_8</t>
  </si>
  <si>
    <t>0RG_NZ45_PAM_7</t>
  </si>
  <si>
    <t>0RG_NZ45_PAM_6</t>
  </si>
  <si>
    <t>1HG_PAM_REF</t>
  </si>
  <si>
    <t>1HG_NZ20_REF</t>
  </si>
  <si>
    <t>1HG_NZ20_8</t>
  </si>
  <si>
    <t>1HG_NZ20_7</t>
  </si>
  <si>
    <t>1HG_NZ20_6</t>
  </si>
  <si>
    <t>1HG_NZ45_REF</t>
  </si>
  <si>
    <t>1HG_NZ45_9</t>
  </si>
  <si>
    <t>1HG_NZ45_8</t>
  </si>
  <si>
    <t>1HG_NZ45_7</t>
  </si>
  <si>
    <t>1HG_NZ45_6</t>
  </si>
  <si>
    <t>1HG_NZ45_PAM_REF</t>
  </si>
  <si>
    <t>1HG_NZ45_PAM_9</t>
  </si>
  <si>
    <t>1HG_NZ45_PAM_8</t>
  </si>
  <si>
    <t>1HG_NZ45_PAM_7</t>
  </si>
  <si>
    <t>1HG_NZ45_PAM_6</t>
  </si>
  <si>
    <t>1HG_NOPAMS_REF</t>
  </si>
  <si>
    <t>1HG_NZ20_9</t>
  </si>
  <si>
    <t>0RG_NZ45_PAM_9</t>
  </si>
  <si>
    <t>ETCLEARNO-E</t>
  </si>
  <si>
    <t>ETCLECAMD-E</t>
  </si>
  <si>
    <t>ETCLEDUVH-E</t>
  </si>
  <si>
    <t>ETCLEGROO-E</t>
  </si>
  <si>
    <t>ETCLEHEND-E</t>
  </si>
  <si>
    <t>ETCLEKELB-E</t>
  </si>
  <si>
    <t>ETCLEKEND-E</t>
  </si>
  <si>
    <t>ETCLEKOMA-E</t>
  </si>
  <si>
    <t>ETCLEKRIE-E</t>
  </si>
  <si>
    <t>ETCLEKUSI-N</t>
  </si>
  <si>
    <t>ETCLELETH-E</t>
  </si>
  <si>
    <t>ETCLEMAJD-E</t>
  </si>
  <si>
    <t>ETCLEMAJW-E</t>
  </si>
  <si>
    <t>ETCLEMATI-E</t>
  </si>
  <si>
    <t>ETCLEMATL-E</t>
  </si>
  <si>
    <t>ETCLEMEDU-N</t>
  </si>
  <si>
    <t>ETCLEPFSI-E</t>
  </si>
  <si>
    <t>ETCLEPFSS-E</t>
  </si>
  <si>
    <t>ETCLETUTU-E</t>
  </si>
  <si>
    <t>ETGICCC-N</t>
  </si>
  <si>
    <t>ETGICEN-N</t>
  </si>
  <si>
    <t>ETGICGT-N</t>
  </si>
  <si>
    <t>UCTLCLEIN-E</t>
  </si>
  <si>
    <t>UREFOCRCO-E</t>
  </si>
  <si>
    <t>UREFOCRIN-E</t>
  </si>
  <si>
    <t>PRCRCAP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</si>
</sst>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94.711750000002" createdVersion="6" refreshedVersion="7" minRefreshableVersion="3" recordCount="80" xr:uid="{C0EB43E8-6CC6-4DE4-B7F1-02B09F7BA69A}">
  <cacheSource type="worksheet">
    <worksheetSource ref="A9:P12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7">
        <s v="0RG_NOPAMS_REF"/>
        <s v="0RG_NZ20_6"/>
        <s v="0RG_NZ20_6_WE"/>
        <s v="0RG_NZ20_7"/>
        <s v="0RG_NZ20_7_WE"/>
        <s v="0RG_NZ20_8"/>
        <s v="0RG_NZ20_8_WE"/>
        <s v="0RG_NZ20_9"/>
        <s v="0RG_NZ20_9_WE"/>
        <s v="0RG_NZ20_REF"/>
        <s v="0RG_NZ20_REF_WE"/>
        <s v="0RG_NZ45_6"/>
        <s v="0RG_NZ45_6_WE"/>
        <s v="0RG_NZ45_7"/>
        <s v="0RG_NZ45_7_WE"/>
        <s v="0RG_NZ45_8"/>
        <s v="0RG_NZ45_8_WE"/>
        <s v="0RG_NZ45_9"/>
        <s v="0RG_NZ45_9_WE"/>
        <s v="0RG_NZ45_PAM_6"/>
        <s v="0RG_NZ45_PAM_6_WE"/>
        <s v="0RG_NZ45_PAM_7"/>
        <s v="0RG_NZ45_PAM_7_WE"/>
        <s v="0RG_NZ45_PAM_8"/>
        <s v="0RG_NZ45_PAM_8_WE"/>
        <s v="0RG_NZ45_PAM_9"/>
        <s v="0RG_NZ45_PAM_9_WE"/>
        <s v="0RG_NZ45_PAM_REF"/>
        <s v="0RG_NZ45_PAM_REF_WE"/>
        <s v="0RG_NZ45_REF"/>
        <s v="0RG_NZ45_REF_WE"/>
        <s v="0RG_PAM_REF"/>
        <s v="0RG_ZZ_for_HG_runs"/>
        <s v="1HG_NOPAMS_REF"/>
        <s v="1HG_NZ20_6"/>
        <s v="1HG_NZ20_6_WE"/>
        <s v="1HG_NZ20_7"/>
        <s v="1HG_NZ20_7_WE"/>
        <s v="1HG_NZ20_8"/>
        <s v="1HG_NZ20_8_WE"/>
        <s v="1HG_NZ20_9"/>
        <s v="1HG_NZ20_9_WE"/>
        <s v="1HG_NZ20_REF"/>
        <s v="1HG_NZ20_REF_WE"/>
        <s v="1HG_NZ45_6"/>
        <s v="1HG_NZ45_6_WE"/>
        <s v="1HG_NZ45_7"/>
        <s v="1HG_NZ45_7_WE"/>
        <s v="1HG_NZ45_8"/>
        <s v="1HG_NZ45_8_WE"/>
        <s v="1HG_NZ45_9"/>
        <s v="1HG_NZ45_9_WE"/>
        <s v="1HG_NZ45_PAM_6"/>
        <s v="1HG_NZ45_PAM_6_WE"/>
        <s v="1HG_NZ45_PAM_7"/>
        <s v="1HG_NZ45_PAM_7_WE"/>
        <s v="1HG_NZ45_PAM_8"/>
        <s v="1HG_NZ45_PAM_8_WE"/>
        <s v="1HG_NZ45_PAM_9"/>
        <s v="1HG_NZ45_PAM_9_WE"/>
        <s v="1HG_NZ45_PAM_REF"/>
        <s v="1HG_NZ45_PAM_REF_WE"/>
        <s v="1HG_NZ45_REF"/>
        <s v="1HG_NZ45_REF_WE"/>
        <s v="1HG_PAM_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18">
        <s v="NOPAMSREF"/>
        <s v="NZ-20NE"/>
        <s v="NZ-20WE"/>
        <s v="NZ-45NE"/>
        <s v="NZ-45WE"/>
        <s v="NZ-45_IP_NE"/>
        <s v="NZ-45_IP_WE"/>
        <s v="PAMSREF"/>
        <m/>
        <s v="LPAMSFC" u="1"/>
        <s v="NZ-20NELD" u="1"/>
        <s v="CPAMSREPROGHG" u="1"/>
        <s v="NZ-CO2S_20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NOPAMS_EXP" u="1"/>
        <s v="NOPAMS_NF" u="1"/>
        <s v="NZ-20_IP_WE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94.711751620373" createdVersion="6" refreshedVersion="7" minRefreshableVersion="3" recordCount="80" xr:uid="{D229C3DF-142A-4D15-BB2C-2EA205AB0203}">
  <cacheSource type="worksheet">
    <worksheetSource ref="A9:P12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7">
        <s v="0RG_NOPAMS_REF"/>
        <s v="0RG_NZ20_6"/>
        <s v="0RG_NZ20_6_WE"/>
        <s v="0RG_NZ20_7"/>
        <s v="0RG_NZ20_7_WE"/>
        <s v="0RG_NZ20_8"/>
        <s v="0RG_NZ20_8_WE"/>
        <s v="0RG_NZ20_9"/>
        <s v="0RG_NZ20_9_WE"/>
        <s v="0RG_NZ20_REF"/>
        <s v="0RG_NZ20_REF_WE"/>
        <s v="0RG_NZ45_6"/>
        <s v="0RG_NZ45_6_WE"/>
        <s v="0RG_NZ45_7"/>
        <s v="0RG_NZ45_7_WE"/>
        <s v="0RG_NZ45_8"/>
        <s v="0RG_NZ45_8_WE"/>
        <s v="0RG_NZ45_9"/>
        <s v="0RG_NZ45_9_WE"/>
        <s v="0RG_NZ45_PAM_6"/>
        <s v="0RG_NZ45_PAM_6_WE"/>
        <s v="0RG_NZ45_PAM_7"/>
        <s v="0RG_NZ45_PAM_7_WE"/>
        <s v="0RG_NZ45_PAM_8"/>
        <s v="0RG_NZ45_PAM_8_WE"/>
        <s v="0RG_NZ45_PAM_9"/>
        <s v="0RG_NZ45_PAM_9_WE"/>
        <s v="0RG_NZ45_PAM_REF"/>
        <s v="0RG_NZ45_PAM_REF_WE"/>
        <s v="0RG_NZ45_REF"/>
        <s v="0RG_NZ45_REF_WE"/>
        <s v="0RG_PAM_REF"/>
        <s v="0RG_ZZ_for_HG_runs"/>
        <s v="1HG_NOPAMS_REF"/>
        <s v="1HG_NZ20_6"/>
        <s v="1HG_NZ20_6_WE"/>
        <s v="1HG_NZ20_7"/>
        <s v="1HG_NZ20_7_WE"/>
        <s v="1HG_NZ20_8"/>
        <s v="1HG_NZ20_8_WE"/>
        <s v="1HG_NZ20_9"/>
        <s v="1HG_NZ20_9_WE"/>
        <s v="1HG_NZ20_REF"/>
        <s v="1HG_NZ20_REF_WE"/>
        <s v="1HG_NZ45_6"/>
        <s v="1HG_NZ45_6_WE"/>
        <s v="1HG_NZ45_7"/>
        <s v="1HG_NZ45_7_WE"/>
        <s v="1HG_NZ45_8"/>
        <s v="1HG_NZ45_8_WE"/>
        <s v="1HG_NZ45_9"/>
        <s v="1HG_NZ45_9_WE"/>
        <s v="1HG_NZ45_PAM_6"/>
        <s v="1HG_NZ45_PAM_6_WE"/>
        <s v="1HG_NZ45_PAM_7"/>
        <s v="1HG_NZ45_PAM_7_WE"/>
        <s v="1HG_NZ45_PAM_8"/>
        <s v="1HG_NZ45_PAM_8_WE"/>
        <s v="1HG_NZ45_PAM_9"/>
        <s v="1HG_NZ45_PAM_9_WE"/>
        <s v="1HG_NZ45_PAM_REF"/>
        <s v="1HG_NZ45_PAM_REF_WE"/>
        <s v="1HG_NZ45_REF"/>
        <s v="1HG_NZ45_REF_WE"/>
        <s v="1HG_PAM_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1"/>
    <x v="0"/>
    <s v="yes tested"/>
    <x v="0"/>
    <x v="0"/>
    <n v="1"/>
    <n v="1"/>
    <s v="No Pams"/>
    <n v="1"/>
    <n v="1"/>
    <n v="-1"/>
    <n v="-1"/>
    <n v="-1"/>
    <n v="1"/>
    <n v="-1"/>
    <n v="100"/>
  </r>
  <r>
    <n v="1"/>
    <x v="1"/>
    <s v="yes tested"/>
    <x v="0"/>
    <x v="1"/>
    <n v="1"/>
    <n v="1"/>
    <s v="NZ_nopams_20afolu"/>
    <n v="1"/>
    <n v="1"/>
    <n v="-1"/>
    <n v="-1"/>
    <n v="-1"/>
    <n v="1"/>
    <n v="4"/>
    <n v="4.4793989999999999"/>
  </r>
  <r>
    <n v="1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1"/>
    <x v="3"/>
    <s v="yes tested"/>
    <x v="0"/>
    <x v="1"/>
    <n v="1"/>
    <n v="1"/>
    <s v="NZ_nopams_20afolu"/>
    <n v="1"/>
    <n v="1"/>
    <n v="-1"/>
    <n v="-1"/>
    <n v="-1"/>
    <n v="1"/>
    <n v="4"/>
    <n v="5.4793989999999999"/>
  </r>
  <r>
    <n v="1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1"/>
    <x v="5"/>
    <s v="yes tested"/>
    <x v="0"/>
    <x v="1"/>
    <n v="1"/>
    <n v="1"/>
    <s v="NZ_nopams_20afolu"/>
    <n v="1"/>
    <n v="1"/>
    <n v="-1"/>
    <n v="-1"/>
    <n v="-1"/>
    <n v="1"/>
    <n v="4"/>
    <n v="6.4793989999999999"/>
  </r>
  <r>
    <n v="1"/>
    <x v="6"/>
    <s v="yes tested"/>
    <x v="0"/>
    <x v="2"/>
    <n v="1"/>
    <n v="1"/>
    <s v="NZ_nopams_20afolu"/>
    <n v="1"/>
    <n v="1"/>
    <n v="-1"/>
    <n v="-1"/>
    <n v="-1"/>
    <n v="1"/>
    <n v="4"/>
    <n v="6.4793989999999999"/>
  </r>
  <r>
    <n v="1"/>
    <x v="7"/>
    <s v="yes tested"/>
    <x v="0"/>
    <x v="1"/>
    <n v="1"/>
    <n v="1"/>
    <s v="NZ_nopams_20afolu"/>
    <n v="1"/>
    <n v="1"/>
    <n v="-1"/>
    <n v="-1"/>
    <n v="-1"/>
    <n v="1"/>
    <n v="4"/>
    <n v="7.4793989999999999"/>
  </r>
  <r>
    <n v="1"/>
    <x v="8"/>
    <s v="yes tested"/>
    <x v="0"/>
    <x v="2"/>
    <n v="1"/>
    <n v="1"/>
    <s v="NZ_nopams_20afolu"/>
    <n v="1"/>
    <n v="1"/>
    <n v="-1"/>
    <n v="-1"/>
    <n v="-1"/>
    <n v="1"/>
    <n v="4"/>
    <n v="7.4793989999999999"/>
  </r>
  <r>
    <n v="1"/>
    <x v="9"/>
    <s v="yes tested"/>
    <x v="0"/>
    <x v="1"/>
    <n v="1"/>
    <n v="1"/>
    <s v="NZ_nopams_20afolu"/>
    <n v="1"/>
    <n v="1"/>
    <n v="-1"/>
    <n v="-1"/>
    <n v="-1"/>
    <n v="1"/>
    <n v="4"/>
    <n v="100"/>
  </r>
  <r>
    <n v="1"/>
    <x v="10"/>
    <s v="yes tested"/>
    <x v="0"/>
    <x v="2"/>
    <n v="1"/>
    <n v="1"/>
    <s v="NZ_nopams_20afolu"/>
    <n v="1"/>
    <n v="1"/>
    <n v="-1"/>
    <n v="-1"/>
    <n v="-1"/>
    <n v="1"/>
    <n v="4"/>
    <n v="100"/>
  </r>
  <r>
    <n v="1"/>
    <x v="11"/>
    <s v="yes tested"/>
    <x v="0"/>
    <x v="3"/>
    <n v="1"/>
    <n v="1"/>
    <s v="NZ_nopams_45afolu"/>
    <n v="1"/>
    <n v="1"/>
    <n v="-1"/>
    <n v="-1"/>
    <n v="-1"/>
    <n v="1"/>
    <n v="5"/>
    <n v="4.7911130000000002"/>
  </r>
  <r>
    <n v="1"/>
    <x v="12"/>
    <s v="yes tested"/>
    <x v="0"/>
    <x v="4"/>
    <n v="1"/>
    <n v="1"/>
    <s v="NZ_nopams_45afolu"/>
    <n v="1"/>
    <n v="1"/>
    <n v="-1"/>
    <n v="-1"/>
    <n v="-1"/>
    <n v="1"/>
    <n v="5"/>
    <n v="4.7911130000000002"/>
  </r>
  <r>
    <n v="1"/>
    <x v="13"/>
    <s v="yes tested"/>
    <x v="0"/>
    <x v="3"/>
    <n v="1"/>
    <n v="1"/>
    <s v="NZ_nopams_45afolu"/>
    <n v="1"/>
    <n v="1"/>
    <n v="-1"/>
    <n v="-1"/>
    <n v="-1"/>
    <n v="1"/>
    <n v="5"/>
    <n v="5.7911130000000002"/>
  </r>
  <r>
    <n v="1"/>
    <x v="14"/>
    <s v="yes tested"/>
    <x v="0"/>
    <x v="4"/>
    <n v="1"/>
    <n v="1"/>
    <s v="NZ_nopams_45afolu"/>
    <n v="1"/>
    <n v="1"/>
    <n v="-1"/>
    <n v="-1"/>
    <n v="-1"/>
    <n v="1"/>
    <n v="5"/>
    <n v="5.7911130000000002"/>
  </r>
  <r>
    <n v="1"/>
    <x v="15"/>
    <s v="yes tested"/>
    <x v="0"/>
    <x v="3"/>
    <n v="1"/>
    <n v="1"/>
    <s v="NZ_nopams_45afolu"/>
    <n v="1"/>
    <n v="1"/>
    <n v="-1"/>
    <n v="-1"/>
    <n v="-1"/>
    <n v="1"/>
    <n v="5"/>
    <n v="6.7911130000000002"/>
  </r>
  <r>
    <n v="1"/>
    <x v="16"/>
    <s v="yes tested"/>
    <x v="0"/>
    <x v="4"/>
    <n v="1"/>
    <n v="1"/>
    <s v="NZ_nopams_45afolu"/>
    <n v="1"/>
    <n v="1"/>
    <n v="-1"/>
    <n v="-1"/>
    <n v="-1"/>
    <n v="1"/>
    <n v="5"/>
    <n v="6.7911130000000002"/>
  </r>
  <r>
    <n v="1"/>
    <x v="17"/>
    <s v="yes tested"/>
    <x v="0"/>
    <x v="3"/>
    <n v="1"/>
    <n v="1"/>
    <s v="NZ_nopams_45afolu"/>
    <n v="1"/>
    <n v="1"/>
    <n v="-1"/>
    <n v="-1"/>
    <n v="-1"/>
    <n v="1"/>
    <n v="5"/>
    <n v="7.7911130000000002"/>
  </r>
  <r>
    <n v="1"/>
    <x v="18"/>
    <s v="yes tested"/>
    <x v="0"/>
    <x v="4"/>
    <n v="1"/>
    <n v="1"/>
    <s v="NZ_nopams_45afolu"/>
    <n v="1"/>
    <n v="1"/>
    <n v="-1"/>
    <n v="-1"/>
    <n v="-1"/>
    <n v="1"/>
    <n v="5"/>
    <n v="7.7911130000000002"/>
  </r>
  <r>
    <n v="1"/>
    <x v="19"/>
    <s v="yes tested"/>
    <x v="0"/>
    <x v="5"/>
    <n v="1"/>
    <n v="1"/>
    <s v="NZ_pams_45"/>
    <n v="1"/>
    <n v="1"/>
    <n v="2"/>
    <n v="2"/>
    <n v="1"/>
    <n v="3"/>
    <n v="5"/>
    <n v="4.7911130000000002"/>
  </r>
  <r>
    <n v="1"/>
    <x v="20"/>
    <s v="yes tested"/>
    <x v="0"/>
    <x v="6"/>
    <n v="1"/>
    <n v="1"/>
    <s v="NZ_pams_45"/>
    <n v="1"/>
    <n v="1"/>
    <n v="2"/>
    <n v="2"/>
    <n v="1"/>
    <n v="3"/>
    <n v="5"/>
    <n v="4.7911130000000002"/>
  </r>
  <r>
    <n v="1"/>
    <x v="21"/>
    <s v="yes tested"/>
    <x v="0"/>
    <x v="5"/>
    <n v="1"/>
    <n v="1"/>
    <s v="NZ_pams_45"/>
    <n v="1"/>
    <n v="1"/>
    <n v="2"/>
    <n v="2"/>
    <n v="1"/>
    <n v="3"/>
    <n v="5"/>
    <n v="5.7911130000000002"/>
  </r>
  <r>
    <n v="1"/>
    <x v="22"/>
    <s v="yes tested"/>
    <x v="0"/>
    <x v="6"/>
    <n v="1"/>
    <n v="1"/>
    <s v="NZ_pams_45"/>
    <n v="1"/>
    <n v="1"/>
    <n v="2"/>
    <n v="2"/>
    <n v="1"/>
    <n v="3"/>
    <n v="5"/>
    <n v="5.7911130000000002"/>
  </r>
  <r>
    <n v="1"/>
    <x v="23"/>
    <s v="yes tested"/>
    <x v="0"/>
    <x v="5"/>
    <n v="1"/>
    <n v="1"/>
    <s v="NZ_pams_45"/>
    <n v="1"/>
    <n v="1"/>
    <n v="2"/>
    <n v="2"/>
    <n v="1"/>
    <n v="3"/>
    <n v="5"/>
    <n v="6.7911130000000002"/>
  </r>
  <r>
    <n v="1"/>
    <x v="24"/>
    <s v="yes tested"/>
    <x v="0"/>
    <x v="6"/>
    <n v="1"/>
    <n v="1"/>
    <s v="NZ_pams_45"/>
    <n v="1"/>
    <n v="1"/>
    <n v="2"/>
    <n v="2"/>
    <n v="1"/>
    <n v="3"/>
    <n v="5"/>
    <n v="6.7911130000000002"/>
  </r>
  <r>
    <n v="1"/>
    <x v="25"/>
    <s v="yes tested"/>
    <x v="0"/>
    <x v="5"/>
    <n v="1"/>
    <n v="1"/>
    <s v="NZ_pams_45"/>
    <n v="1"/>
    <n v="1"/>
    <n v="2"/>
    <n v="2"/>
    <n v="1"/>
    <n v="3"/>
    <n v="5"/>
    <n v="7.7911130000000002"/>
  </r>
  <r>
    <n v="1"/>
    <x v="26"/>
    <s v="yes tested"/>
    <x v="0"/>
    <x v="6"/>
    <n v="1"/>
    <n v="1"/>
    <s v="NZ_pams_45"/>
    <n v="1"/>
    <n v="1"/>
    <n v="2"/>
    <n v="2"/>
    <n v="1"/>
    <n v="3"/>
    <n v="5"/>
    <n v="7.7911130000000002"/>
  </r>
  <r>
    <n v="1"/>
    <x v="27"/>
    <s v="yes tested"/>
    <x v="0"/>
    <x v="5"/>
    <n v="1"/>
    <n v="1"/>
    <s v="NZ_pams_45"/>
    <n v="1"/>
    <n v="1"/>
    <n v="2"/>
    <n v="2"/>
    <n v="1"/>
    <n v="3"/>
    <n v="5"/>
    <n v="100"/>
  </r>
  <r>
    <n v="1"/>
    <x v="28"/>
    <s v="yes tested"/>
    <x v="0"/>
    <x v="6"/>
    <n v="1"/>
    <n v="1"/>
    <s v="NZ_pams_45"/>
    <n v="1"/>
    <n v="1"/>
    <n v="2"/>
    <n v="2"/>
    <n v="1"/>
    <n v="3"/>
    <n v="5"/>
    <n v="100"/>
  </r>
  <r>
    <n v="1"/>
    <x v="29"/>
    <s v="yes tested"/>
    <x v="0"/>
    <x v="3"/>
    <n v="1"/>
    <n v="1"/>
    <s v="NZ_nopams_45afolu"/>
    <n v="1"/>
    <n v="1"/>
    <n v="-1"/>
    <n v="-1"/>
    <n v="-1"/>
    <n v="1"/>
    <n v="5"/>
    <n v="100"/>
  </r>
  <r>
    <n v="1"/>
    <x v="30"/>
    <s v="yes tested"/>
    <x v="0"/>
    <x v="4"/>
    <n v="1"/>
    <n v="1"/>
    <s v="NZ_nopams_45afolu"/>
    <n v="1"/>
    <n v="1"/>
    <n v="-1"/>
    <n v="-1"/>
    <n v="-1"/>
    <n v="1"/>
    <n v="5"/>
    <n v="100"/>
  </r>
  <r>
    <n v="1"/>
    <x v="31"/>
    <s v="yes tested"/>
    <x v="0"/>
    <x v="7"/>
    <n v="1"/>
    <n v="1"/>
    <s v="Base Pams"/>
    <n v="1"/>
    <n v="1"/>
    <n v="2"/>
    <n v="2"/>
    <n v="1"/>
    <n v="2"/>
    <n v="1"/>
    <n v="100"/>
  </r>
  <r>
    <n v="0"/>
    <x v="32"/>
    <s v="yes tested"/>
    <x v="0"/>
    <x v="3"/>
    <n v="0"/>
    <n v="1"/>
    <s v="No Pams"/>
    <n v="0"/>
    <n v="0"/>
    <n v="-1"/>
    <n v="-1"/>
    <n v="-1"/>
    <n v="1"/>
    <n v="-1"/>
    <n v="100"/>
  </r>
  <r>
    <n v="1"/>
    <x v="33"/>
    <s v="yes tested"/>
    <x v="1"/>
    <x v="0"/>
    <n v="1"/>
    <n v="1"/>
    <s v="No Pams"/>
    <n v="1"/>
    <n v="1"/>
    <n v="-1"/>
    <n v="-1"/>
    <n v="-1"/>
    <n v="1"/>
    <n v="-1"/>
    <n v="100"/>
  </r>
  <r>
    <n v="1"/>
    <x v="34"/>
    <s v="yes tested"/>
    <x v="1"/>
    <x v="1"/>
    <n v="1"/>
    <n v="1"/>
    <s v="NZ_nopams_20afolu"/>
    <n v="1"/>
    <n v="1"/>
    <n v="-1"/>
    <n v="-1"/>
    <n v="-1"/>
    <n v="1"/>
    <n v="4"/>
    <n v="4.4793989999999999"/>
  </r>
  <r>
    <n v="1"/>
    <x v="35"/>
    <s v="yes tested"/>
    <x v="1"/>
    <x v="2"/>
    <n v="1"/>
    <n v="1"/>
    <s v="NZ_nopams_20afolu"/>
    <n v="1"/>
    <n v="1"/>
    <n v="-1"/>
    <n v="-1"/>
    <n v="-1"/>
    <n v="1"/>
    <n v="4"/>
    <n v="4.4793989999999999"/>
  </r>
  <r>
    <n v="1"/>
    <x v="36"/>
    <s v="yes tested"/>
    <x v="1"/>
    <x v="1"/>
    <n v="1"/>
    <n v="1"/>
    <s v="NZ_nopams_20afolu"/>
    <n v="1"/>
    <n v="1"/>
    <n v="-1"/>
    <n v="-1"/>
    <n v="-1"/>
    <n v="1"/>
    <n v="4"/>
    <n v="5.4793989999999999"/>
  </r>
  <r>
    <n v="1"/>
    <x v="37"/>
    <s v="yes tested"/>
    <x v="1"/>
    <x v="2"/>
    <n v="1"/>
    <n v="1"/>
    <s v="NZ_nopams_20afolu"/>
    <n v="1"/>
    <n v="1"/>
    <n v="-1"/>
    <n v="-1"/>
    <n v="-1"/>
    <n v="1"/>
    <n v="4"/>
    <n v="5.4793989999999999"/>
  </r>
  <r>
    <n v="1"/>
    <x v="38"/>
    <s v="yes tested"/>
    <x v="1"/>
    <x v="1"/>
    <n v="1"/>
    <n v="1"/>
    <s v="NZ_nopams_20afolu"/>
    <n v="1"/>
    <n v="1"/>
    <n v="-1"/>
    <n v="-1"/>
    <n v="-1"/>
    <n v="1"/>
    <n v="4"/>
    <n v="6.4793989999999999"/>
  </r>
  <r>
    <n v="1"/>
    <x v="39"/>
    <s v="yes tested"/>
    <x v="1"/>
    <x v="2"/>
    <n v="1"/>
    <n v="1"/>
    <s v="NZ_nopams_20afolu"/>
    <n v="1"/>
    <n v="1"/>
    <n v="-1"/>
    <n v="-1"/>
    <n v="-1"/>
    <n v="1"/>
    <n v="4"/>
    <n v="6.4793989999999999"/>
  </r>
  <r>
    <n v="1"/>
    <x v="40"/>
    <s v="yes tested"/>
    <x v="1"/>
    <x v="1"/>
    <n v="1"/>
    <n v="1"/>
    <s v="NZ_nopams_20afolu"/>
    <n v="1"/>
    <n v="1"/>
    <n v="-1"/>
    <n v="-1"/>
    <n v="-1"/>
    <n v="1"/>
    <n v="4"/>
    <n v="7.4793989999999999"/>
  </r>
  <r>
    <n v="1"/>
    <x v="41"/>
    <s v="yes tested"/>
    <x v="1"/>
    <x v="2"/>
    <n v="1"/>
    <n v="1"/>
    <s v="NZ_nopams_20afolu"/>
    <n v="1"/>
    <n v="1"/>
    <n v="-1"/>
    <n v="-1"/>
    <n v="-1"/>
    <n v="1"/>
    <n v="4"/>
    <n v="7.4793989999999999"/>
  </r>
  <r>
    <n v="1"/>
    <x v="42"/>
    <s v="yes tested"/>
    <x v="1"/>
    <x v="1"/>
    <n v="1"/>
    <n v="1"/>
    <s v="NZ_nopams_20afolu"/>
    <n v="1"/>
    <n v="1"/>
    <n v="-1"/>
    <n v="-1"/>
    <n v="-1"/>
    <n v="1"/>
    <n v="4"/>
    <n v="100"/>
  </r>
  <r>
    <n v="1"/>
    <x v="43"/>
    <s v="yes tested"/>
    <x v="1"/>
    <x v="2"/>
    <n v="1"/>
    <n v="1"/>
    <s v="NZ_nopams_20afolu"/>
    <n v="1"/>
    <n v="1"/>
    <n v="-1"/>
    <n v="-1"/>
    <n v="-1"/>
    <n v="1"/>
    <n v="4"/>
    <n v="100"/>
  </r>
  <r>
    <n v="1"/>
    <x v="44"/>
    <s v="yes tested"/>
    <x v="1"/>
    <x v="3"/>
    <n v="1"/>
    <n v="1"/>
    <s v="NZ_nopams_45afolu"/>
    <n v="1"/>
    <n v="1"/>
    <n v="-1"/>
    <n v="-1"/>
    <n v="-1"/>
    <n v="1"/>
    <n v="5"/>
    <n v="4.7911130000000002"/>
  </r>
  <r>
    <n v="1"/>
    <x v="45"/>
    <s v="yes tested"/>
    <x v="1"/>
    <x v="4"/>
    <n v="1"/>
    <n v="1"/>
    <s v="NZ_nopams_45afolu"/>
    <n v="1"/>
    <n v="1"/>
    <n v="-1"/>
    <n v="-1"/>
    <n v="-1"/>
    <n v="1"/>
    <n v="5"/>
    <n v="4.7911130000000002"/>
  </r>
  <r>
    <n v="1"/>
    <x v="46"/>
    <s v="yes tested"/>
    <x v="1"/>
    <x v="3"/>
    <n v="1"/>
    <n v="1"/>
    <s v="NZ_nopams_45afolu"/>
    <n v="1"/>
    <n v="1"/>
    <n v="-1"/>
    <n v="-1"/>
    <n v="-1"/>
    <n v="1"/>
    <n v="5"/>
    <n v="5.7911130000000002"/>
  </r>
  <r>
    <n v="1"/>
    <x v="47"/>
    <s v="yes tested"/>
    <x v="1"/>
    <x v="4"/>
    <n v="1"/>
    <n v="1"/>
    <s v="NZ_nopams_45afolu"/>
    <n v="1"/>
    <n v="1"/>
    <n v="-1"/>
    <n v="-1"/>
    <n v="-1"/>
    <n v="1"/>
    <n v="5"/>
    <n v="5.7911130000000002"/>
  </r>
  <r>
    <n v="1"/>
    <x v="48"/>
    <s v="yes tested"/>
    <x v="1"/>
    <x v="3"/>
    <n v="1"/>
    <n v="1"/>
    <s v="NZ_nopams_45afolu"/>
    <n v="1"/>
    <n v="1"/>
    <n v="-1"/>
    <n v="-1"/>
    <n v="-1"/>
    <n v="1"/>
    <n v="5"/>
    <n v="6.7911130000000002"/>
  </r>
  <r>
    <n v="1"/>
    <x v="49"/>
    <s v="yes tested"/>
    <x v="1"/>
    <x v="4"/>
    <n v="1"/>
    <n v="1"/>
    <s v="NZ_nopams_45afolu"/>
    <n v="1"/>
    <n v="1"/>
    <n v="-1"/>
    <n v="-1"/>
    <n v="-1"/>
    <n v="1"/>
    <n v="5"/>
    <n v="6.7911130000000002"/>
  </r>
  <r>
    <n v="1"/>
    <x v="50"/>
    <s v="yes tested"/>
    <x v="1"/>
    <x v="3"/>
    <n v="1"/>
    <n v="1"/>
    <s v="NZ_nopams_45afolu"/>
    <n v="1"/>
    <n v="1"/>
    <n v="-1"/>
    <n v="-1"/>
    <n v="-1"/>
    <n v="1"/>
    <n v="5"/>
    <n v="7.7911130000000002"/>
  </r>
  <r>
    <n v="1"/>
    <x v="51"/>
    <s v="yes tested"/>
    <x v="1"/>
    <x v="4"/>
    <n v="1"/>
    <n v="1"/>
    <s v="NZ_nopams_45afolu"/>
    <n v="1"/>
    <n v="1"/>
    <n v="-1"/>
    <n v="-1"/>
    <n v="-1"/>
    <n v="1"/>
    <n v="5"/>
    <n v="7.7911130000000002"/>
  </r>
  <r>
    <n v="1"/>
    <x v="52"/>
    <s v="yes tested"/>
    <x v="1"/>
    <x v="5"/>
    <n v="1"/>
    <n v="1"/>
    <s v="NZ_pams_45"/>
    <n v="1"/>
    <n v="1"/>
    <n v="2"/>
    <n v="2"/>
    <n v="1"/>
    <n v="3"/>
    <n v="5"/>
    <n v="4.7911130000000002"/>
  </r>
  <r>
    <n v="1"/>
    <x v="53"/>
    <s v="yes tested"/>
    <x v="1"/>
    <x v="6"/>
    <n v="1"/>
    <n v="1"/>
    <s v="NZ_pams_45"/>
    <n v="1"/>
    <n v="1"/>
    <n v="2"/>
    <n v="2"/>
    <n v="1"/>
    <n v="3"/>
    <n v="5"/>
    <n v="4.7911130000000002"/>
  </r>
  <r>
    <n v="1"/>
    <x v="54"/>
    <s v="yes tested"/>
    <x v="1"/>
    <x v="5"/>
    <n v="1"/>
    <n v="1"/>
    <s v="NZ_pams_45"/>
    <n v="1"/>
    <n v="1"/>
    <n v="2"/>
    <n v="2"/>
    <n v="1"/>
    <n v="3"/>
    <n v="5"/>
    <n v="5.7911130000000002"/>
  </r>
  <r>
    <n v="1"/>
    <x v="55"/>
    <s v="yes tested"/>
    <x v="1"/>
    <x v="6"/>
    <n v="1"/>
    <n v="1"/>
    <s v="NZ_pams_45"/>
    <n v="1"/>
    <n v="1"/>
    <n v="2"/>
    <n v="2"/>
    <n v="1"/>
    <n v="3"/>
    <n v="5"/>
    <n v="5.7911130000000002"/>
  </r>
  <r>
    <n v="1"/>
    <x v="56"/>
    <s v="yes tested"/>
    <x v="1"/>
    <x v="5"/>
    <n v="1"/>
    <n v="1"/>
    <s v="NZ_pams_45"/>
    <n v="1"/>
    <n v="1"/>
    <n v="2"/>
    <n v="2"/>
    <n v="1"/>
    <n v="3"/>
    <n v="5"/>
    <n v="6.7911130000000002"/>
  </r>
  <r>
    <n v="1"/>
    <x v="57"/>
    <s v="yes tested"/>
    <x v="1"/>
    <x v="6"/>
    <n v="1"/>
    <n v="1"/>
    <s v="NZ_pams_45"/>
    <n v="1"/>
    <n v="1"/>
    <n v="2"/>
    <n v="2"/>
    <n v="1"/>
    <n v="3"/>
    <n v="5"/>
    <n v="6.7911130000000002"/>
  </r>
  <r>
    <n v="1"/>
    <x v="58"/>
    <s v="yes tested"/>
    <x v="1"/>
    <x v="5"/>
    <n v="1"/>
    <n v="1"/>
    <s v="NZ_pams_45"/>
    <n v="1"/>
    <n v="1"/>
    <n v="2"/>
    <n v="2"/>
    <n v="1"/>
    <n v="3"/>
    <n v="5"/>
    <n v="7.7911130000000002"/>
  </r>
  <r>
    <n v="1"/>
    <x v="59"/>
    <s v="yes tested"/>
    <x v="1"/>
    <x v="6"/>
    <n v="1"/>
    <n v="1"/>
    <s v="NZ_pams_45"/>
    <n v="1"/>
    <n v="1"/>
    <n v="2"/>
    <n v="2"/>
    <n v="1"/>
    <n v="3"/>
    <n v="5"/>
    <n v="7.7911130000000002"/>
  </r>
  <r>
    <n v="1"/>
    <x v="60"/>
    <s v="yes tested"/>
    <x v="1"/>
    <x v="5"/>
    <n v="1"/>
    <n v="1"/>
    <s v="NZ_pams_45"/>
    <n v="1"/>
    <n v="1"/>
    <n v="2"/>
    <n v="2"/>
    <n v="1"/>
    <n v="3"/>
    <n v="5"/>
    <n v="100"/>
  </r>
  <r>
    <n v="1"/>
    <x v="61"/>
    <s v="yes tested"/>
    <x v="1"/>
    <x v="6"/>
    <n v="1"/>
    <n v="1"/>
    <s v="NZ_pams_45"/>
    <n v="1"/>
    <n v="1"/>
    <n v="2"/>
    <n v="2"/>
    <n v="1"/>
    <n v="3"/>
    <n v="5"/>
    <n v="100"/>
  </r>
  <r>
    <n v="1"/>
    <x v="62"/>
    <s v="yes tested"/>
    <x v="1"/>
    <x v="3"/>
    <n v="1"/>
    <n v="1"/>
    <s v="NZ_nopams_45afolu"/>
    <n v="1"/>
    <n v="1"/>
    <n v="-1"/>
    <n v="-1"/>
    <n v="-1"/>
    <n v="1"/>
    <n v="5"/>
    <n v="100"/>
  </r>
  <r>
    <n v="1"/>
    <x v="63"/>
    <s v="yes tested"/>
    <x v="1"/>
    <x v="4"/>
    <n v="1"/>
    <n v="1"/>
    <s v="NZ_nopams_45afolu"/>
    <n v="1"/>
    <n v="1"/>
    <n v="-1"/>
    <n v="-1"/>
    <n v="-1"/>
    <n v="1"/>
    <n v="5"/>
    <n v="100"/>
  </r>
  <r>
    <n v="1"/>
    <x v="64"/>
    <s v="yes tested"/>
    <x v="1"/>
    <x v="7"/>
    <n v="1"/>
    <n v="1"/>
    <s v="No Pams"/>
    <n v="1"/>
    <n v="1"/>
    <n v="2"/>
    <n v="2"/>
    <n v="1"/>
    <n v="2"/>
    <n v="1"/>
    <n v="100"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1"/>
    <x v="0"/>
    <s v="yes tested"/>
    <s v="base"/>
    <s v="NOPAMSREF"/>
    <n v="1"/>
    <n v="1"/>
    <s v="No Pams"/>
    <n v="1"/>
    <n v="1"/>
    <n v="-1"/>
    <n v="-1"/>
    <n v="-1"/>
    <n v="1"/>
    <n v="-1"/>
    <n v="100"/>
  </r>
  <r>
    <n v="1"/>
    <x v="1"/>
    <s v="yes tested"/>
    <s v="base"/>
    <s v="NZ-20NE"/>
    <n v="1"/>
    <n v="1"/>
    <s v="NZ_nopams_20afolu"/>
    <n v="1"/>
    <n v="1"/>
    <n v="-1"/>
    <n v="-1"/>
    <n v="-1"/>
    <n v="1"/>
    <n v="4"/>
    <n v="4.4793989999999999"/>
  </r>
  <r>
    <n v="1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1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1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1"/>
    <x v="5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1"/>
    <x v="6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1"/>
    <x v="7"/>
    <s v="yes tested"/>
    <s v="base"/>
    <s v="NZ-20NE"/>
    <n v="1"/>
    <n v="1"/>
    <s v="NZ_nopams_20afolu"/>
    <n v="1"/>
    <n v="1"/>
    <n v="-1"/>
    <n v="-1"/>
    <n v="-1"/>
    <n v="1"/>
    <n v="4"/>
    <n v="7.4793989999999999"/>
  </r>
  <r>
    <n v="1"/>
    <x v="8"/>
    <s v="yes tested"/>
    <s v="base"/>
    <s v="NZ-20WE"/>
    <n v="1"/>
    <n v="1"/>
    <s v="NZ_nopams_20afolu"/>
    <n v="1"/>
    <n v="1"/>
    <n v="-1"/>
    <n v="-1"/>
    <n v="-1"/>
    <n v="1"/>
    <n v="4"/>
    <n v="7.4793989999999999"/>
  </r>
  <r>
    <n v="1"/>
    <x v="9"/>
    <s v="yes tested"/>
    <s v="base"/>
    <s v="NZ-20NE"/>
    <n v="1"/>
    <n v="1"/>
    <s v="NZ_nopams_20afolu"/>
    <n v="1"/>
    <n v="1"/>
    <n v="-1"/>
    <n v="-1"/>
    <n v="-1"/>
    <n v="1"/>
    <n v="4"/>
    <n v="100"/>
  </r>
  <r>
    <n v="1"/>
    <x v="10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11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1"/>
    <x v="12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n v="1"/>
    <x v="13"/>
    <s v="yes tested"/>
    <s v="base"/>
    <s v="NZ-45NE"/>
    <n v="1"/>
    <n v="1"/>
    <s v="NZ_nopams_45afolu"/>
    <n v="1"/>
    <n v="1"/>
    <n v="-1"/>
    <n v="-1"/>
    <n v="-1"/>
    <n v="1"/>
    <n v="5"/>
    <n v="5.7911130000000002"/>
  </r>
  <r>
    <n v="1"/>
    <x v="14"/>
    <s v="yes tested"/>
    <s v="base"/>
    <s v="NZ-45WE"/>
    <n v="1"/>
    <n v="1"/>
    <s v="NZ_nopams_45afolu"/>
    <n v="1"/>
    <n v="1"/>
    <n v="-1"/>
    <n v="-1"/>
    <n v="-1"/>
    <n v="1"/>
    <n v="5"/>
    <n v="5.7911130000000002"/>
  </r>
  <r>
    <n v="1"/>
    <x v="15"/>
    <s v="yes tested"/>
    <s v="base"/>
    <s v="NZ-45NE"/>
    <n v="1"/>
    <n v="1"/>
    <s v="NZ_nopams_45afolu"/>
    <n v="1"/>
    <n v="1"/>
    <n v="-1"/>
    <n v="-1"/>
    <n v="-1"/>
    <n v="1"/>
    <n v="5"/>
    <n v="6.7911130000000002"/>
  </r>
  <r>
    <n v="1"/>
    <x v="16"/>
    <s v="yes tested"/>
    <s v="base"/>
    <s v="NZ-45WE"/>
    <n v="1"/>
    <n v="1"/>
    <s v="NZ_nopams_45afolu"/>
    <n v="1"/>
    <n v="1"/>
    <n v="-1"/>
    <n v="-1"/>
    <n v="-1"/>
    <n v="1"/>
    <n v="5"/>
    <n v="6.7911130000000002"/>
  </r>
  <r>
    <n v="1"/>
    <x v="17"/>
    <s v="yes tested"/>
    <s v="base"/>
    <s v="NZ-45NE"/>
    <n v="1"/>
    <n v="1"/>
    <s v="NZ_nopams_45afolu"/>
    <n v="1"/>
    <n v="1"/>
    <n v="-1"/>
    <n v="-1"/>
    <n v="-1"/>
    <n v="1"/>
    <n v="5"/>
    <n v="7.7911130000000002"/>
  </r>
  <r>
    <n v="1"/>
    <x v="18"/>
    <s v="yes tested"/>
    <s v="base"/>
    <s v="NZ-45WE"/>
    <n v="1"/>
    <n v="1"/>
    <s v="NZ_nopams_45afolu"/>
    <n v="1"/>
    <n v="1"/>
    <n v="-1"/>
    <n v="-1"/>
    <n v="-1"/>
    <n v="1"/>
    <n v="5"/>
    <n v="7.7911130000000002"/>
  </r>
  <r>
    <n v="1"/>
    <x v="19"/>
    <s v="yes tested"/>
    <s v="base"/>
    <s v="NZ-45_IP_NE"/>
    <n v="1"/>
    <n v="1"/>
    <s v="NZ_pams_45"/>
    <n v="1"/>
    <n v="1"/>
    <n v="2"/>
    <n v="2"/>
    <n v="1"/>
    <n v="3"/>
    <n v="5"/>
    <n v="4.7911130000000002"/>
  </r>
  <r>
    <n v="1"/>
    <x v="20"/>
    <s v="yes tested"/>
    <s v="base"/>
    <s v="NZ-45_IP_WE"/>
    <n v="1"/>
    <n v="1"/>
    <s v="NZ_pams_45"/>
    <n v="1"/>
    <n v="1"/>
    <n v="2"/>
    <n v="2"/>
    <n v="1"/>
    <n v="3"/>
    <n v="5"/>
    <n v="4.7911130000000002"/>
  </r>
  <r>
    <n v="1"/>
    <x v="21"/>
    <s v="yes tested"/>
    <s v="base"/>
    <s v="NZ-45_IP_NE"/>
    <n v="1"/>
    <n v="1"/>
    <s v="NZ_pams_45"/>
    <n v="1"/>
    <n v="1"/>
    <n v="2"/>
    <n v="2"/>
    <n v="1"/>
    <n v="3"/>
    <n v="5"/>
    <n v="5.7911130000000002"/>
  </r>
  <r>
    <n v="1"/>
    <x v="22"/>
    <s v="yes tested"/>
    <s v="base"/>
    <s v="NZ-45_IP_WE"/>
    <n v="1"/>
    <n v="1"/>
    <s v="NZ_pams_45"/>
    <n v="1"/>
    <n v="1"/>
    <n v="2"/>
    <n v="2"/>
    <n v="1"/>
    <n v="3"/>
    <n v="5"/>
    <n v="5.7911130000000002"/>
  </r>
  <r>
    <n v="1"/>
    <x v="23"/>
    <s v="yes tested"/>
    <s v="base"/>
    <s v="NZ-45_IP_NE"/>
    <n v="1"/>
    <n v="1"/>
    <s v="NZ_pams_45"/>
    <n v="1"/>
    <n v="1"/>
    <n v="2"/>
    <n v="2"/>
    <n v="1"/>
    <n v="3"/>
    <n v="5"/>
    <n v="6.7911130000000002"/>
  </r>
  <r>
    <n v="1"/>
    <x v="24"/>
    <s v="yes tested"/>
    <s v="base"/>
    <s v="NZ-45_IP_WE"/>
    <n v="1"/>
    <n v="1"/>
    <s v="NZ_pams_45"/>
    <n v="1"/>
    <n v="1"/>
    <n v="2"/>
    <n v="2"/>
    <n v="1"/>
    <n v="3"/>
    <n v="5"/>
    <n v="6.7911130000000002"/>
  </r>
  <r>
    <n v="1"/>
    <x v="25"/>
    <s v="yes tested"/>
    <s v="base"/>
    <s v="NZ-45_IP_NE"/>
    <n v="1"/>
    <n v="1"/>
    <s v="NZ_pams_45"/>
    <n v="1"/>
    <n v="1"/>
    <n v="2"/>
    <n v="2"/>
    <n v="1"/>
    <n v="3"/>
    <n v="5"/>
    <n v="7.7911130000000002"/>
  </r>
  <r>
    <n v="1"/>
    <x v="26"/>
    <s v="yes tested"/>
    <s v="base"/>
    <s v="NZ-45_IP_WE"/>
    <n v="1"/>
    <n v="1"/>
    <s v="NZ_pams_45"/>
    <n v="1"/>
    <n v="1"/>
    <n v="2"/>
    <n v="2"/>
    <n v="1"/>
    <n v="3"/>
    <n v="5"/>
    <n v="7.7911130000000002"/>
  </r>
  <r>
    <n v="1"/>
    <x v="27"/>
    <s v="yes tested"/>
    <s v="base"/>
    <s v="NZ-45_IP_NE"/>
    <n v="1"/>
    <n v="1"/>
    <s v="NZ_pams_45"/>
    <n v="1"/>
    <n v="1"/>
    <n v="2"/>
    <n v="2"/>
    <n v="1"/>
    <n v="3"/>
    <n v="5"/>
    <n v="100"/>
  </r>
  <r>
    <n v="1"/>
    <x v="28"/>
    <s v="yes tested"/>
    <s v="base"/>
    <s v="NZ-45_IP_WE"/>
    <n v="1"/>
    <n v="1"/>
    <s v="NZ_pams_45"/>
    <n v="1"/>
    <n v="1"/>
    <n v="2"/>
    <n v="2"/>
    <n v="1"/>
    <n v="3"/>
    <n v="5"/>
    <n v="100"/>
  </r>
  <r>
    <n v="1"/>
    <x v="29"/>
    <s v="yes tested"/>
    <s v="base"/>
    <s v="NZ-45NE"/>
    <n v="1"/>
    <n v="1"/>
    <s v="NZ_nopams_45afolu"/>
    <n v="1"/>
    <n v="1"/>
    <n v="-1"/>
    <n v="-1"/>
    <n v="-1"/>
    <n v="1"/>
    <n v="5"/>
    <n v="100"/>
  </r>
  <r>
    <n v="1"/>
    <x v="30"/>
    <s v="yes tested"/>
    <s v="base"/>
    <s v="NZ-45WE"/>
    <n v="1"/>
    <n v="1"/>
    <s v="NZ_nopams_45afolu"/>
    <n v="1"/>
    <n v="1"/>
    <n v="-1"/>
    <n v="-1"/>
    <n v="-1"/>
    <n v="1"/>
    <n v="5"/>
    <n v="100"/>
  </r>
  <r>
    <n v="1"/>
    <x v="31"/>
    <s v="yes tested"/>
    <s v="base"/>
    <s v="PAMSREF"/>
    <n v="1"/>
    <n v="1"/>
    <s v="Base Pams"/>
    <n v="1"/>
    <n v="1"/>
    <n v="2"/>
    <n v="2"/>
    <n v="1"/>
    <n v="2"/>
    <n v="1"/>
    <n v="100"/>
  </r>
  <r>
    <n v="0"/>
    <x v="32"/>
    <s v="yes tested"/>
    <s v="base"/>
    <s v="NZ-45NE"/>
    <n v="0"/>
    <n v="1"/>
    <s v="No Pams"/>
    <n v="0"/>
    <n v="0"/>
    <n v="-1"/>
    <n v="-1"/>
    <n v="-1"/>
    <n v="1"/>
    <n v="-1"/>
    <n v="100"/>
  </r>
  <r>
    <n v="1"/>
    <x v="33"/>
    <s v="yes tested"/>
    <s v="sim1"/>
    <s v="NOPAMSREF"/>
    <n v="1"/>
    <n v="1"/>
    <s v="No Pams"/>
    <n v="1"/>
    <n v="1"/>
    <n v="-1"/>
    <n v="-1"/>
    <n v="-1"/>
    <n v="1"/>
    <n v="-1"/>
    <n v="100"/>
  </r>
  <r>
    <n v="1"/>
    <x v="34"/>
    <s v="yes tested"/>
    <s v="sim1"/>
    <s v="NZ-20NE"/>
    <n v="1"/>
    <n v="1"/>
    <s v="NZ_nopams_20afolu"/>
    <n v="1"/>
    <n v="1"/>
    <n v="-1"/>
    <n v="-1"/>
    <n v="-1"/>
    <n v="1"/>
    <n v="4"/>
    <n v="4.4793989999999999"/>
  </r>
  <r>
    <n v="1"/>
    <x v="35"/>
    <s v="yes tested"/>
    <s v="sim1"/>
    <s v="NZ-20WE"/>
    <n v="1"/>
    <n v="1"/>
    <s v="NZ_nopams_20afolu"/>
    <n v="1"/>
    <n v="1"/>
    <n v="-1"/>
    <n v="-1"/>
    <n v="-1"/>
    <n v="1"/>
    <n v="4"/>
    <n v="4.4793989999999999"/>
  </r>
  <r>
    <n v="1"/>
    <x v="36"/>
    <s v="yes tested"/>
    <s v="sim1"/>
    <s v="NZ-20NE"/>
    <n v="1"/>
    <n v="1"/>
    <s v="NZ_nopams_20afolu"/>
    <n v="1"/>
    <n v="1"/>
    <n v="-1"/>
    <n v="-1"/>
    <n v="-1"/>
    <n v="1"/>
    <n v="4"/>
    <n v="5.4793989999999999"/>
  </r>
  <r>
    <n v="1"/>
    <x v="37"/>
    <s v="yes tested"/>
    <s v="sim1"/>
    <s v="NZ-20WE"/>
    <n v="1"/>
    <n v="1"/>
    <s v="NZ_nopams_20afolu"/>
    <n v="1"/>
    <n v="1"/>
    <n v="-1"/>
    <n v="-1"/>
    <n v="-1"/>
    <n v="1"/>
    <n v="4"/>
    <n v="5.4793989999999999"/>
  </r>
  <r>
    <n v="1"/>
    <x v="38"/>
    <s v="yes tested"/>
    <s v="sim1"/>
    <s v="NZ-20NE"/>
    <n v="1"/>
    <n v="1"/>
    <s v="NZ_nopams_20afolu"/>
    <n v="1"/>
    <n v="1"/>
    <n v="-1"/>
    <n v="-1"/>
    <n v="-1"/>
    <n v="1"/>
    <n v="4"/>
    <n v="6.4793989999999999"/>
  </r>
  <r>
    <n v="1"/>
    <x v="39"/>
    <s v="yes tested"/>
    <s v="sim1"/>
    <s v="NZ-20WE"/>
    <n v="1"/>
    <n v="1"/>
    <s v="NZ_nopams_20afolu"/>
    <n v="1"/>
    <n v="1"/>
    <n v="-1"/>
    <n v="-1"/>
    <n v="-1"/>
    <n v="1"/>
    <n v="4"/>
    <n v="6.4793989999999999"/>
  </r>
  <r>
    <n v="1"/>
    <x v="40"/>
    <s v="yes tested"/>
    <s v="sim1"/>
    <s v="NZ-20NE"/>
    <n v="1"/>
    <n v="1"/>
    <s v="NZ_nopams_20afolu"/>
    <n v="1"/>
    <n v="1"/>
    <n v="-1"/>
    <n v="-1"/>
    <n v="-1"/>
    <n v="1"/>
    <n v="4"/>
    <n v="7.4793989999999999"/>
  </r>
  <r>
    <n v="1"/>
    <x v="41"/>
    <s v="yes tested"/>
    <s v="sim1"/>
    <s v="NZ-20WE"/>
    <n v="1"/>
    <n v="1"/>
    <s v="NZ_nopams_20afolu"/>
    <n v="1"/>
    <n v="1"/>
    <n v="-1"/>
    <n v="-1"/>
    <n v="-1"/>
    <n v="1"/>
    <n v="4"/>
    <n v="7.4793989999999999"/>
  </r>
  <r>
    <n v="1"/>
    <x v="42"/>
    <s v="yes tested"/>
    <s v="sim1"/>
    <s v="NZ-20NE"/>
    <n v="1"/>
    <n v="1"/>
    <s v="NZ_nopams_20afolu"/>
    <n v="1"/>
    <n v="1"/>
    <n v="-1"/>
    <n v="-1"/>
    <n v="-1"/>
    <n v="1"/>
    <n v="4"/>
    <n v="100"/>
  </r>
  <r>
    <n v="1"/>
    <x v="43"/>
    <s v="yes tested"/>
    <s v="sim1"/>
    <s v="NZ-20WE"/>
    <n v="1"/>
    <n v="1"/>
    <s v="NZ_nopams_20afolu"/>
    <n v="1"/>
    <n v="1"/>
    <n v="-1"/>
    <n v="-1"/>
    <n v="-1"/>
    <n v="1"/>
    <n v="4"/>
    <n v="100"/>
  </r>
  <r>
    <n v="1"/>
    <x v="44"/>
    <s v="yes tested"/>
    <s v="sim1"/>
    <s v="NZ-45NE"/>
    <n v="1"/>
    <n v="1"/>
    <s v="NZ_nopams_45afolu"/>
    <n v="1"/>
    <n v="1"/>
    <n v="-1"/>
    <n v="-1"/>
    <n v="-1"/>
    <n v="1"/>
    <n v="5"/>
    <n v="4.7911130000000002"/>
  </r>
  <r>
    <n v="1"/>
    <x v="45"/>
    <s v="yes tested"/>
    <s v="sim1"/>
    <s v="NZ-45WE"/>
    <n v="1"/>
    <n v="1"/>
    <s v="NZ_nopams_45afolu"/>
    <n v="1"/>
    <n v="1"/>
    <n v="-1"/>
    <n v="-1"/>
    <n v="-1"/>
    <n v="1"/>
    <n v="5"/>
    <n v="4.7911130000000002"/>
  </r>
  <r>
    <n v="1"/>
    <x v="46"/>
    <s v="yes tested"/>
    <s v="sim1"/>
    <s v="NZ-45NE"/>
    <n v="1"/>
    <n v="1"/>
    <s v="NZ_nopams_45afolu"/>
    <n v="1"/>
    <n v="1"/>
    <n v="-1"/>
    <n v="-1"/>
    <n v="-1"/>
    <n v="1"/>
    <n v="5"/>
    <n v="5.7911130000000002"/>
  </r>
  <r>
    <n v="1"/>
    <x v="47"/>
    <s v="yes tested"/>
    <s v="sim1"/>
    <s v="NZ-45WE"/>
    <n v="1"/>
    <n v="1"/>
    <s v="NZ_nopams_45afolu"/>
    <n v="1"/>
    <n v="1"/>
    <n v="-1"/>
    <n v="-1"/>
    <n v="-1"/>
    <n v="1"/>
    <n v="5"/>
    <n v="5.7911130000000002"/>
  </r>
  <r>
    <n v="1"/>
    <x v="48"/>
    <s v="yes tested"/>
    <s v="sim1"/>
    <s v="NZ-45NE"/>
    <n v="1"/>
    <n v="1"/>
    <s v="NZ_nopams_45afolu"/>
    <n v="1"/>
    <n v="1"/>
    <n v="-1"/>
    <n v="-1"/>
    <n v="-1"/>
    <n v="1"/>
    <n v="5"/>
    <n v="6.7911130000000002"/>
  </r>
  <r>
    <n v="1"/>
    <x v="49"/>
    <s v="yes tested"/>
    <s v="sim1"/>
    <s v="NZ-45WE"/>
    <n v="1"/>
    <n v="1"/>
    <s v="NZ_nopams_45afolu"/>
    <n v="1"/>
    <n v="1"/>
    <n v="-1"/>
    <n v="-1"/>
    <n v="-1"/>
    <n v="1"/>
    <n v="5"/>
    <n v="6.7911130000000002"/>
  </r>
  <r>
    <n v="1"/>
    <x v="50"/>
    <s v="yes tested"/>
    <s v="sim1"/>
    <s v="NZ-45NE"/>
    <n v="1"/>
    <n v="1"/>
    <s v="NZ_nopams_45afolu"/>
    <n v="1"/>
    <n v="1"/>
    <n v="-1"/>
    <n v="-1"/>
    <n v="-1"/>
    <n v="1"/>
    <n v="5"/>
    <n v="7.7911130000000002"/>
  </r>
  <r>
    <n v="1"/>
    <x v="51"/>
    <s v="yes tested"/>
    <s v="sim1"/>
    <s v="NZ-45WE"/>
    <n v="1"/>
    <n v="1"/>
    <s v="NZ_nopams_45afolu"/>
    <n v="1"/>
    <n v="1"/>
    <n v="-1"/>
    <n v="-1"/>
    <n v="-1"/>
    <n v="1"/>
    <n v="5"/>
    <n v="7.7911130000000002"/>
  </r>
  <r>
    <n v="1"/>
    <x v="52"/>
    <s v="yes tested"/>
    <s v="sim1"/>
    <s v="NZ-45_IP_NE"/>
    <n v="1"/>
    <n v="1"/>
    <s v="NZ_pams_45"/>
    <n v="1"/>
    <n v="1"/>
    <n v="2"/>
    <n v="2"/>
    <n v="1"/>
    <n v="3"/>
    <n v="5"/>
    <n v="4.7911130000000002"/>
  </r>
  <r>
    <n v="1"/>
    <x v="53"/>
    <s v="yes tested"/>
    <s v="sim1"/>
    <s v="NZ-45_IP_WE"/>
    <n v="1"/>
    <n v="1"/>
    <s v="NZ_pams_45"/>
    <n v="1"/>
    <n v="1"/>
    <n v="2"/>
    <n v="2"/>
    <n v="1"/>
    <n v="3"/>
    <n v="5"/>
    <n v="4.7911130000000002"/>
  </r>
  <r>
    <n v="1"/>
    <x v="54"/>
    <s v="yes tested"/>
    <s v="sim1"/>
    <s v="NZ-45_IP_NE"/>
    <n v="1"/>
    <n v="1"/>
    <s v="NZ_pams_45"/>
    <n v="1"/>
    <n v="1"/>
    <n v="2"/>
    <n v="2"/>
    <n v="1"/>
    <n v="3"/>
    <n v="5"/>
    <n v="5.7911130000000002"/>
  </r>
  <r>
    <n v="1"/>
    <x v="55"/>
    <s v="yes tested"/>
    <s v="sim1"/>
    <s v="NZ-45_IP_WE"/>
    <n v="1"/>
    <n v="1"/>
    <s v="NZ_pams_45"/>
    <n v="1"/>
    <n v="1"/>
    <n v="2"/>
    <n v="2"/>
    <n v="1"/>
    <n v="3"/>
    <n v="5"/>
    <n v="5.7911130000000002"/>
  </r>
  <r>
    <n v="1"/>
    <x v="56"/>
    <s v="yes tested"/>
    <s v="sim1"/>
    <s v="NZ-45_IP_NE"/>
    <n v="1"/>
    <n v="1"/>
    <s v="NZ_pams_45"/>
    <n v="1"/>
    <n v="1"/>
    <n v="2"/>
    <n v="2"/>
    <n v="1"/>
    <n v="3"/>
    <n v="5"/>
    <n v="6.7911130000000002"/>
  </r>
  <r>
    <n v="1"/>
    <x v="57"/>
    <s v="yes tested"/>
    <s v="sim1"/>
    <s v="NZ-45_IP_WE"/>
    <n v="1"/>
    <n v="1"/>
    <s v="NZ_pams_45"/>
    <n v="1"/>
    <n v="1"/>
    <n v="2"/>
    <n v="2"/>
    <n v="1"/>
    <n v="3"/>
    <n v="5"/>
    <n v="6.7911130000000002"/>
  </r>
  <r>
    <n v="1"/>
    <x v="58"/>
    <s v="yes tested"/>
    <s v="sim1"/>
    <s v="NZ-45_IP_NE"/>
    <n v="1"/>
    <n v="1"/>
    <s v="NZ_pams_45"/>
    <n v="1"/>
    <n v="1"/>
    <n v="2"/>
    <n v="2"/>
    <n v="1"/>
    <n v="3"/>
    <n v="5"/>
    <n v="7.7911130000000002"/>
  </r>
  <r>
    <n v="1"/>
    <x v="59"/>
    <s v="yes tested"/>
    <s v="sim1"/>
    <s v="NZ-45_IP_WE"/>
    <n v="1"/>
    <n v="1"/>
    <s v="NZ_pams_45"/>
    <n v="1"/>
    <n v="1"/>
    <n v="2"/>
    <n v="2"/>
    <n v="1"/>
    <n v="3"/>
    <n v="5"/>
    <n v="7.7911130000000002"/>
  </r>
  <r>
    <n v="1"/>
    <x v="60"/>
    <s v="yes tested"/>
    <s v="sim1"/>
    <s v="NZ-45_IP_NE"/>
    <n v="1"/>
    <n v="1"/>
    <s v="NZ_pams_45"/>
    <n v="1"/>
    <n v="1"/>
    <n v="2"/>
    <n v="2"/>
    <n v="1"/>
    <n v="3"/>
    <n v="5"/>
    <n v="100"/>
  </r>
  <r>
    <n v="1"/>
    <x v="61"/>
    <s v="yes tested"/>
    <s v="sim1"/>
    <s v="NZ-45_IP_WE"/>
    <n v="1"/>
    <n v="1"/>
    <s v="NZ_pams_45"/>
    <n v="1"/>
    <n v="1"/>
    <n v="2"/>
    <n v="2"/>
    <n v="1"/>
    <n v="3"/>
    <n v="5"/>
    <n v="100"/>
  </r>
  <r>
    <n v="1"/>
    <x v="62"/>
    <s v="yes tested"/>
    <s v="sim1"/>
    <s v="NZ-45NE"/>
    <n v="1"/>
    <n v="1"/>
    <s v="NZ_nopams_45afolu"/>
    <n v="1"/>
    <n v="1"/>
    <n v="-1"/>
    <n v="-1"/>
    <n v="-1"/>
    <n v="1"/>
    <n v="5"/>
    <n v="100"/>
  </r>
  <r>
    <n v="1"/>
    <x v="63"/>
    <s v="yes tested"/>
    <s v="sim1"/>
    <s v="NZ-45WE"/>
    <n v="1"/>
    <n v="1"/>
    <s v="NZ_nopams_45afolu"/>
    <n v="1"/>
    <n v="1"/>
    <n v="-1"/>
    <n v="-1"/>
    <n v="-1"/>
    <n v="1"/>
    <n v="5"/>
    <n v="100"/>
  </r>
  <r>
    <n v="1"/>
    <x v="64"/>
    <s v="yes tested"/>
    <s v="sim1"/>
    <s v="PAMSREF"/>
    <n v="1"/>
    <n v="1"/>
    <s v="No Pams"/>
    <n v="1"/>
    <n v="1"/>
    <n v="2"/>
    <n v="2"/>
    <n v="1"/>
    <n v="2"/>
    <n v="1"/>
    <n v="100"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67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72" firstHeaderRow="1" firstDataRow="1" firstDataCol="1"/>
  <pivotFields count="16">
    <pivotField showAll="0"/>
    <pivotField axis="axisRow" showAll="0" sortType="ascending">
      <items count="68">
        <item m="1" x="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7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8">
        <item m="1" x="71"/>
        <item m="1" x="52"/>
        <item m="1" x="44"/>
        <item x="8"/>
        <item m="1" x="51"/>
        <item m="1" x="20"/>
        <item m="1" x="62"/>
        <item m="1" x="76"/>
        <item m="1" x="47"/>
        <item m="1" x="53"/>
        <item m="1" x="48"/>
        <item m="1" x="35"/>
        <item m="1" x="11"/>
        <item m="1" x="60"/>
        <item m="1" x="9"/>
        <item m="1" x="105"/>
        <item m="1" x="30"/>
        <item m="1" x="89"/>
        <item m="1" x="99"/>
        <item m="1" x="36"/>
        <item m="1" x="31"/>
        <item m="1" x="93"/>
        <item m="1" x="65"/>
        <item m="1" x="66"/>
        <item m="1" x="90"/>
        <item m="1" x="42"/>
        <item m="1" x="86"/>
        <item m="1" x="15"/>
        <item m="1" x="23"/>
        <item m="1" x="115"/>
        <item m="1" x="73"/>
        <item m="1" x="100"/>
        <item m="1" x="55"/>
        <item m="1" x="102"/>
        <item m="1" x="109"/>
        <item m="1" x="58"/>
        <item m="1" x="74"/>
        <item m="1" x="70"/>
        <item m="1" x="98"/>
        <item m="1" x="96"/>
        <item m="1" x="27"/>
        <item m="1" x="111"/>
        <item m="1" x="68"/>
        <item m="1" x="85"/>
        <item m="1" x="95"/>
        <item m="1" x="112"/>
        <item m="1" x="117"/>
        <item m="1" x="56"/>
        <item m="1" x="46"/>
        <item m="1" x="45"/>
        <item m="1" x="77"/>
        <item m="1" x="50"/>
        <item m="1" x="83"/>
        <item m="1" x="21"/>
        <item m="1" x="59"/>
        <item m="1" x="82"/>
        <item m="1" x="97"/>
        <item m="1" x="57"/>
        <item m="1" x="54"/>
        <item m="1" x="18"/>
        <item m="1" x="104"/>
        <item m="1" x="29"/>
        <item m="1" x="38"/>
        <item m="1" x="64"/>
        <item m="1" x="72"/>
        <item m="1" x="39"/>
        <item m="1" x="14"/>
        <item m="1" x="67"/>
        <item m="1" x="75"/>
        <item m="1" x="32"/>
        <item m="1" x="88"/>
        <item m="1" x="101"/>
        <item m="1" x="61"/>
        <item m="1" x="34"/>
        <item m="1" x="40"/>
        <item m="1" x="28"/>
        <item m="1" x="78"/>
        <item m="1" x="13"/>
        <item m="1" x="84"/>
        <item m="1" x="94"/>
        <item m="1" x="110"/>
        <item m="1" x="91"/>
        <item m="1" x="107"/>
        <item m="1" x="116"/>
        <item m="1" x="41"/>
        <item m="1" x="87"/>
        <item m="1" x="114"/>
        <item m="1" x="19"/>
        <item m="1" x="25"/>
        <item m="1" x="43"/>
        <item m="1" x="69"/>
        <item m="1" x="16"/>
        <item m="1" x="17"/>
        <item x="0"/>
        <item m="1" x="12"/>
        <item m="1" x="106"/>
        <item m="1" x="49"/>
        <item m="1" x="103"/>
        <item m="1" x="26"/>
        <item m="1" x="108"/>
        <item m="1" x="81"/>
        <item m="1" x="63"/>
        <item m="1" x="33"/>
        <item m="1" x="80"/>
        <item m="1" x="10"/>
        <item m="1" x="92"/>
        <item x="2"/>
        <item x="1"/>
        <item m="1" x="79"/>
        <item x="3"/>
        <item m="1" x="22"/>
        <item x="4"/>
        <item m="1" x="37"/>
        <item x="5"/>
        <item m="1" x="24"/>
        <item m="1" x="113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66">
    <i>
      <x/>
      <x v="3"/>
    </i>
    <i>
      <x v="2"/>
      <x v="107"/>
    </i>
    <i>
      <x v="3"/>
      <x v="107"/>
    </i>
    <i>
      <x v="4"/>
      <x v="107"/>
    </i>
    <i>
      <x v="5"/>
      <x v="107"/>
    </i>
    <i>
      <x v="6"/>
      <x v="107"/>
    </i>
    <i>
      <x v="7"/>
      <x v="109"/>
    </i>
    <i>
      <x v="8"/>
      <x v="109"/>
    </i>
    <i>
      <x v="9"/>
      <x v="93"/>
    </i>
    <i>
      <x v="10"/>
      <x v="106"/>
    </i>
    <i>
      <x v="11"/>
      <x v="106"/>
    </i>
    <i>
      <x v="12"/>
      <x v="106"/>
    </i>
    <i>
      <x v="13"/>
      <x v="106"/>
    </i>
    <i>
      <x v="14"/>
      <x v="106"/>
    </i>
    <i>
      <x v="15"/>
      <x v="111"/>
    </i>
    <i>
      <x v="16"/>
      <x v="111"/>
    </i>
    <i>
      <x v="17"/>
      <x v="111"/>
    </i>
    <i>
      <x v="18"/>
      <x v="111"/>
    </i>
    <i>
      <x v="19"/>
      <x v="111"/>
    </i>
    <i>
      <x v="20"/>
      <x v="116"/>
    </i>
    <i>
      <x v="21"/>
      <x v="116"/>
    </i>
    <i>
      <x v="22"/>
      <x v="116"/>
    </i>
    <i>
      <x v="23"/>
      <x v="116"/>
    </i>
    <i>
      <x v="24"/>
      <x v="116"/>
    </i>
    <i>
      <x v="25"/>
      <x v="106"/>
    </i>
    <i>
      <x v="26"/>
      <x v="106"/>
    </i>
    <i>
      <x v="27"/>
      <x v="106"/>
    </i>
    <i>
      <x v="28"/>
      <x v="106"/>
    </i>
    <i>
      <x v="29"/>
      <x v="106"/>
    </i>
    <i>
      <x v="30"/>
      <x v="111"/>
    </i>
    <i>
      <x v="31"/>
      <x v="111"/>
    </i>
    <i>
      <x v="32"/>
      <x v="111"/>
    </i>
    <i>
      <x v="33"/>
      <x v="111"/>
    </i>
    <i>
      <x v="34"/>
      <x v="111"/>
    </i>
    <i>
      <x v="35"/>
      <x v="116"/>
    </i>
    <i>
      <x v="36"/>
      <x v="116"/>
    </i>
    <i>
      <x v="37"/>
      <x v="116"/>
    </i>
    <i>
      <x v="38"/>
      <x v="116"/>
    </i>
    <i>
      <x v="39"/>
      <x v="116"/>
    </i>
    <i>
      <x v="40"/>
      <x v="117"/>
    </i>
    <i>
      <x v="41"/>
      <x v="109"/>
    </i>
    <i>
      <x v="42"/>
      <x v="109"/>
    </i>
    <i>
      <x v="43"/>
      <x v="109"/>
    </i>
    <i>
      <x v="44"/>
      <x v="109"/>
    </i>
    <i>
      <x v="45"/>
      <x v="113"/>
    </i>
    <i>
      <x v="46"/>
      <x v="113"/>
    </i>
    <i>
      <x v="47"/>
      <x v="113"/>
    </i>
    <i>
      <x v="48"/>
      <x v="113"/>
    </i>
    <i>
      <x v="49"/>
      <x v="117"/>
    </i>
    <i>
      <x v="50"/>
      <x v="107"/>
    </i>
    <i>
      <x v="51"/>
      <x v="107"/>
    </i>
    <i>
      <x v="52"/>
      <x v="107"/>
    </i>
    <i>
      <x v="53"/>
      <x v="107"/>
    </i>
    <i>
      <x v="54"/>
      <x v="109"/>
    </i>
    <i>
      <x v="55"/>
      <x v="109"/>
    </i>
    <i>
      <x v="56"/>
      <x v="109"/>
    </i>
    <i>
      <x v="57"/>
      <x v="109"/>
    </i>
    <i>
      <x v="58"/>
      <x v="109"/>
    </i>
    <i>
      <x v="59"/>
      <x v="113"/>
    </i>
    <i>
      <x v="60"/>
      <x v="113"/>
    </i>
    <i>
      <x v="61"/>
      <x v="113"/>
    </i>
    <i>
      <x v="62"/>
      <x v="113"/>
    </i>
    <i>
      <x v="63"/>
      <x v="113"/>
    </i>
    <i>
      <x v="64"/>
      <x v="93"/>
    </i>
    <i>
      <x v="65"/>
      <x v="107"/>
    </i>
    <i>
      <x v="66"/>
      <x v="11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72" firstHeaderRow="0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7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6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 v="3"/>
    </i>
    <i>
      <x v="26"/>
      <x v="3"/>
    </i>
    <i>
      <x v="27"/>
      <x v="3"/>
    </i>
    <i>
      <x v="28"/>
      <x v="3"/>
    </i>
    <i>
      <x v="29"/>
      <x v="3"/>
    </i>
    <i>
      <x v="30"/>
      <x v="3"/>
    </i>
    <i>
      <x v="31"/>
      <x v="3"/>
    </i>
    <i>
      <x v="32"/>
      <x v="3"/>
    </i>
    <i>
      <x v="33"/>
      <x v="3"/>
    </i>
    <i>
      <x v="34"/>
      <x v="3"/>
    </i>
    <i>
      <x v="35"/>
      <x v="3"/>
    </i>
    <i>
      <x v="36"/>
      <x v="3"/>
    </i>
    <i>
      <x v="37"/>
      <x v="3"/>
    </i>
    <i>
      <x v="38"/>
      <x v="3"/>
    </i>
    <i>
      <x v="39"/>
      <x v="3"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3"/>
    </i>
    <i>
      <x v="50"/>
      <x v="3"/>
    </i>
    <i>
      <x v="51"/>
      <x v="3"/>
    </i>
    <i>
      <x v="52"/>
      <x v="3"/>
    </i>
    <i>
      <x v="53"/>
      <x v="3"/>
    </i>
    <i>
      <x v="54"/>
      <x v="3"/>
    </i>
    <i>
      <x v="55"/>
      <x v="3"/>
    </i>
    <i>
      <x v="56"/>
      <x v="3"/>
    </i>
    <i>
      <x v="57"/>
      <x v="3"/>
    </i>
    <i>
      <x v="58"/>
      <x v="3"/>
    </i>
    <i>
      <x v="59"/>
      <x v="3"/>
    </i>
    <i>
      <x v="60"/>
      <x v="3"/>
    </i>
    <i>
      <x v="61"/>
      <x v="3"/>
    </i>
    <i>
      <x v="62"/>
      <x v="3"/>
    </i>
    <i>
      <x v="63"/>
      <x v="3"/>
    </i>
    <i>
      <x v="64"/>
      <x v="3"/>
    </i>
    <i>
      <x v="65"/>
      <x v="3"/>
    </i>
    <i>
      <x v="6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119">
        <item m="1" x="71"/>
        <item m="1" x="52"/>
        <item m="1" x="44"/>
        <item x="8"/>
        <item m="1" x="51"/>
        <item m="1" x="20"/>
        <item m="1" x="62"/>
        <item m="1" x="76"/>
        <item m="1" x="47"/>
        <item m="1" x="53"/>
        <item m="1" x="48"/>
        <item m="1" x="35"/>
        <item m="1" x="11"/>
        <item m="1" x="60"/>
        <item m="1" x="9"/>
        <item m="1" x="105"/>
        <item m="1" x="30"/>
        <item m="1" x="89"/>
        <item m="1" x="99"/>
        <item m="1" x="36"/>
        <item m="1" x="31"/>
        <item m="1" x="93"/>
        <item m="1" x="65"/>
        <item m="1" x="66"/>
        <item m="1" x="90"/>
        <item m="1" x="42"/>
        <item m="1" x="86"/>
        <item m="1" x="15"/>
        <item m="1" x="23"/>
        <item m="1" x="115"/>
        <item m="1" x="73"/>
        <item m="1" x="100"/>
        <item m="1" x="55"/>
        <item m="1" x="102"/>
        <item m="1" x="109"/>
        <item m="1" x="58"/>
        <item m="1" x="74"/>
        <item m="1" x="70"/>
        <item m="1" x="98"/>
        <item m="1" x="96"/>
        <item m="1" x="27"/>
        <item m="1" x="111"/>
        <item m="1" x="68"/>
        <item m="1" x="85"/>
        <item m="1" x="95"/>
        <item m="1" x="112"/>
        <item m="1" x="117"/>
        <item m="1" x="56"/>
        <item m="1" x="46"/>
        <item m="1" x="45"/>
        <item m="1" x="77"/>
        <item m="1" x="50"/>
        <item m="1" x="83"/>
        <item m="1" x="21"/>
        <item m="1" x="59"/>
        <item m="1" x="82"/>
        <item m="1" x="97"/>
        <item m="1" x="57"/>
        <item m="1" x="54"/>
        <item m="1" x="18"/>
        <item m="1" x="104"/>
        <item m="1" x="29"/>
        <item m="1" x="38"/>
        <item m="1" x="64"/>
        <item m="1" x="72"/>
        <item m="1" x="39"/>
        <item m="1" x="14"/>
        <item m="1" x="67"/>
        <item m="1" x="75"/>
        <item m="1" x="32"/>
        <item m="1" x="88"/>
        <item m="1" x="101"/>
        <item m="1" x="61"/>
        <item m="1" x="34"/>
        <item m="1" x="40"/>
        <item m="1" x="28"/>
        <item m="1" x="78"/>
        <item m="1" x="13"/>
        <item m="1" x="84"/>
        <item m="1" x="94"/>
        <item m="1" x="110"/>
        <item m="1" x="91"/>
        <item m="1" x="107"/>
        <item m="1" x="116"/>
        <item m="1" x="41"/>
        <item m="1" x="87"/>
        <item m="1" x="114"/>
        <item m="1" x="19"/>
        <item m="1" x="25"/>
        <item m="1" x="43"/>
        <item m="1" x="69"/>
        <item m="1" x="16"/>
        <item m="1" x="17"/>
        <item x="0"/>
        <item m="1" x="12"/>
        <item m="1" x="106"/>
        <item m="1" x="49"/>
        <item m="1" x="103"/>
        <item m="1" x="26"/>
        <item m="1" x="108"/>
        <item m="1" x="81"/>
        <item m="1" x="63"/>
        <item m="1" x="33"/>
        <item m="1" x="80"/>
        <item m="1" x="10"/>
        <item m="1" x="92"/>
        <item x="2"/>
        <item x="1"/>
        <item m="1" x="79"/>
        <item x="3"/>
        <item m="1" x="22"/>
        <item x="4"/>
        <item m="1" x="37"/>
        <item x="5"/>
        <item m="1" x="24"/>
        <item m="1" x="113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93"/>
    </i>
    <i>
      <x v="106"/>
    </i>
    <i>
      <x v="107"/>
    </i>
    <i>
      <x v="109"/>
    </i>
    <i>
      <x v="111"/>
    </i>
    <i>
      <x v="113"/>
    </i>
    <i>
      <x v="116"/>
    </i>
    <i>
      <x v="11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4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72" firstHeaderRow="1" firstDataRow="1" firstDataCol="1"/>
  <pivotFields count="16">
    <pivotField dataField="1"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17FBD226-AEBE-4EC7-A6D6-D1E6F0B044C5}">
    <text>Note that there is still a problem running with other cases here - still looking into it.</text>
  </threadedComment>
  <threadedComment ref="D18" dT="2020-08-07T12:32:29.60" personId="{8A307EF1-062C-4DD1-801F-D45833AE4B68}" id="{37DC2375-4C43-4283-944C-7AF220DF9E63}">
    <text>Note that there is still a problem running with other cases here - still looking into it.</text>
  </threadedComment>
  <threadedComment ref="D19" dT="2020-08-07T12:32:29.60" personId="{8A307EF1-062C-4DD1-801F-D45833AE4B68}" id="{96C64C8E-8DBE-43D2-9EEE-9EDCF222C45D}">
    <text>Note that there is still a problem running with other cases here - still looking into it.</text>
  </threadedComment>
  <threadedComment ref="D20" dT="2020-08-07T12:32:29.60" personId="{8A307EF1-062C-4DD1-801F-D45833AE4B68}" id="{2E84C638-A7D0-4725-AAF5-9E9F72760766}">
    <text>Note that there is still a problem running with other cases here - still looking into it.</text>
  </threadedComment>
  <threadedComment ref="D21" dT="2020-08-07T12:32:29.60" personId="{8A307EF1-062C-4DD1-801F-D45833AE4B68}" id="{561DFB92-4BB0-4BCE-B206-9F4519A27285}">
    <text>Note that there is still a problem running with other cases here - still looking into it.</text>
  </threadedComment>
  <threadedComment ref="D22" dT="2020-08-07T12:32:29.60" personId="{8A307EF1-062C-4DD1-801F-D45833AE4B68}" id="{5339361E-9549-475B-906E-A3B74FCE10E9}">
    <text>Note that there is still a problem running with other cases here - still looking into it.</text>
  </threadedComment>
  <threadedComment ref="D23" dT="2020-08-07T12:32:29.60" personId="{8A307EF1-062C-4DD1-801F-D45833AE4B68}" id="{F8D04539-B167-435E-92BD-A52C8FD12C50}">
    <text>Note that there is still a problem running with other cases here - still looking into it.</text>
  </threadedComment>
  <threadedComment ref="D24" dT="2020-08-07T12:32:29.60" personId="{8A307EF1-062C-4DD1-801F-D45833AE4B68}" id="{7A9E32FD-5EBA-4047-9D71-8B1B1311F04B}">
    <text>Note that there is still a problem running with other cases here - still looking into it.</text>
  </threadedComment>
  <threadedComment ref="D25" dT="2020-08-07T12:32:29.60" personId="{8A307EF1-062C-4DD1-801F-D45833AE4B68}" id="{4DD21D2A-3E6D-4FF1-9945-B1C066CEF212}">
    <text>Note that there is still a problem running with other cases here - still looking into it.</text>
  </threadedComment>
  <threadedComment ref="D26" dT="2020-08-07T12:32:29.60" personId="{8A307EF1-062C-4DD1-801F-D45833AE4B68}" id="{7D40445D-4074-4C20-80C3-E8E278559197}">
    <text>Note that there is still a problem running with other cases here - still looking into it.</text>
  </threadedComment>
  <threadedComment ref="D27" dT="2020-08-07T12:32:29.60" personId="{8A307EF1-062C-4DD1-801F-D45833AE4B68}" id="{E99C0E29-E7B8-476F-A7AD-A7A8D75D28A9}">
    <text>Note that there is still a problem running with other cases here - still looking into it.</text>
  </threadedComment>
  <threadedComment ref="D28" dT="2020-08-07T12:32:29.60" personId="{8A307EF1-062C-4DD1-801F-D45833AE4B68}" id="{E96716FF-CE27-485D-8A10-C9E733DB6A86}">
    <text>Note that there is still a problem running with other cases here - still looking into it.</text>
  </threadedComment>
  <threadedComment ref="D29" dT="2020-08-07T12:32:29.60" personId="{8A307EF1-062C-4DD1-801F-D45833AE4B68}" id="{4D2EFD36-0D4D-4BBC-84F9-6656BEE0624A}">
    <text>Note that there is still a problem running with other cases here - still looking into it.</text>
  </threadedComment>
  <threadedComment ref="D30" dT="2020-08-07T12:32:29.60" personId="{8A307EF1-062C-4DD1-801F-D45833AE4B68}" id="{D0494433-42D8-4479-9B9E-47F973684D64}">
    <text>Note that there is still a problem running with other cases here - still looking into it.</text>
  </threadedComment>
  <threadedComment ref="D31" dT="2020-08-07T12:32:29.60" personId="{8A307EF1-062C-4DD1-801F-D45833AE4B68}" id="{774138A9-CA65-4FA1-8925-2FC98647A1D8}">
    <text>Note that there is still a problem running with other cases here - still looking into it.</text>
  </threadedComment>
  <threadedComment ref="D32" dT="2020-08-07T12:32:29.60" personId="{8A307EF1-062C-4DD1-801F-D45833AE4B68}" id="{2B2E9494-0FF5-4BE3-917A-AB0CA3686EEF}">
    <text>Note that there is still a problem running with other cases here - still looking into it.</text>
  </threadedComment>
  <threadedComment ref="D33" dT="2020-08-07T12:32:29.60" personId="{8A307EF1-062C-4DD1-801F-D45833AE4B68}" id="{F7455BD2-C409-4DE2-B630-94650AF5B1A8}">
    <text>Note that there is still a problem running with other cases here - still looking into it.</text>
  </threadedComment>
  <threadedComment ref="D34" dT="2020-08-07T12:32:29.60" personId="{8A307EF1-062C-4DD1-801F-D45833AE4B68}" id="{D603493A-7273-4879-85CD-3C7962CCF3C6}">
    <text>Note that there is still a problem running with other cases here - still looking into it.</text>
  </threadedComment>
  <threadedComment ref="D35" dT="2020-08-07T12:32:29.60" personId="{8A307EF1-062C-4DD1-801F-D45833AE4B68}" id="{40FD5F70-AE3C-4C12-995B-F22CD38A59C3}">
    <text>Note that there is still a problem running with other cases here - still looking into it.</text>
  </threadedComment>
  <threadedComment ref="D36" dT="2020-08-07T12:32:29.60" personId="{8A307EF1-062C-4DD1-801F-D45833AE4B68}" id="{3D999BBF-4D0F-4FEC-AE00-EC572EA512F9}">
    <text>Note that there is still a problem running with other cases here - still looking into it.</text>
  </threadedComment>
  <threadedComment ref="D37" dT="2020-08-07T12:32:29.60" personId="{8A307EF1-062C-4DD1-801F-D45833AE4B68}" id="{F451622A-C364-4F1C-882A-E0B9970B0FA3}">
    <text>Note that there is still a problem running with other cases here - still looking into it.</text>
  </threadedComment>
  <threadedComment ref="D38" dT="2020-08-07T12:32:29.60" personId="{8A307EF1-062C-4DD1-801F-D45833AE4B68}" id="{44F43EB0-7C19-4B54-BD76-854AEA9594F0}">
    <text>Note that there is still a problem running with other cases here - still looking into it.</text>
  </threadedComment>
  <threadedComment ref="D39" dT="2020-08-07T12:32:29.60" personId="{8A307EF1-062C-4DD1-801F-D45833AE4B68}" id="{72DAE713-F64D-4A4B-92A3-6E290B1C08AC}">
    <text>Note that there is still a problem running with other cases here - still looking into it.</text>
  </threadedComment>
  <threadedComment ref="D40" dT="2020-08-07T12:32:29.60" personId="{8A307EF1-062C-4DD1-801F-D45833AE4B68}" id="{8DC95888-1B09-4C2A-8946-9480A3A0A5C3}">
    <text>Note that there is still a problem running with other cases here - still looking into it.</text>
  </threadedComment>
  <threadedComment ref="D41" dT="2020-08-07T12:32:29.60" personId="{8A307EF1-062C-4DD1-801F-D45833AE4B68}" id="{6DB6B67F-BF22-490F-8851-F4A3280BA24B}">
    <text>Note that there is still a problem running with other cases here - still looking into it.</text>
  </threadedComment>
  <threadedComment ref="D42" dT="2020-08-07T12:32:29.60" personId="{8A307EF1-062C-4DD1-801F-D45833AE4B68}" id="{DD0D03D5-0E45-47B1-BB19-3D43552EF1AF}">
    <text>Note that there is still a problem running with other cases here - still looking into it.</text>
  </threadedComment>
  <threadedComment ref="D43" dT="2020-08-07T12:32:29.60" personId="{8A307EF1-062C-4DD1-801F-D45833AE4B68}" id="{2E057A1D-61F2-468B-8278-F722F83FC647}">
    <text>Note that there is still a problem running with other cases here - still looking into it.</text>
  </threadedComment>
  <threadedComment ref="D7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D25" sqref="D25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  <row r="22" spans="1:6">
      <c r="A22" t="s">
        <v>4</v>
      </c>
      <c r="B22" t="s">
        <v>322</v>
      </c>
      <c r="C22" t="str">
        <f>"Sets!"&amp;ADDRESS(ROW(Sets!AR6),COLUMN(Sets!AR6),4)</f>
        <v>Sets!AR6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S165"/>
  <sheetViews>
    <sheetView topLeftCell="AA1" workbookViewId="0">
      <selection activeCell="AR29" sqref="AR29"/>
    </sheetView>
  </sheetViews>
  <sheetFormatPr defaultRowHeight="15"/>
  <cols>
    <col min="1" max="1" width="23.570312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3.5703125" style="7" bestFit="1" customWidth="1"/>
    <col min="6" max="6" width="23" style="7" bestFit="1" customWidth="1"/>
    <col min="7" max="7" width="23.5703125" style="7" bestFit="1" customWidth="1"/>
    <col min="8" max="8" width="19.85546875" style="7" bestFit="1" customWidth="1"/>
    <col min="9" max="9" width="23.5703125" style="7" bestFit="1" customWidth="1"/>
    <col min="10" max="10" width="18.5703125" style="7" bestFit="1" customWidth="1"/>
    <col min="11" max="11" width="23.5703125" style="7" bestFit="1" customWidth="1"/>
    <col min="12" max="12" width="20.7109375" style="7" bestFit="1" customWidth="1"/>
    <col min="13" max="13" width="23.570312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3.57031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3.57031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45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  <c r="AR5" s="1" t="s">
        <v>322</v>
      </c>
    </row>
    <row r="6" spans="1:45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  <c r="AQ6" s="14"/>
      <c r="AR6" s="14" t="s">
        <v>297</v>
      </c>
      <c r="AS6" s="14"/>
    </row>
    <row r="7" spans="1:45">
      <c r="A7" s="13" t="s">
        <v>233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  <c r="AR7" t="s">
        <v>298</v>
      </c>
    </row>
    <row r="8" spans="1:45">
      <c r="A8" s="13" t="s">
        <v>226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1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  <c r="AR8" t="s">
        <v>299</v>
      </c>
    </row>
    <row r="9" spans="1:45">
      <c r="A9" s="13" t="s">
        <v>244</v>
      </c>
      <c r="B9" s="13" t="s">
        <v>221</v>
      </c>
      <c r="C9" s="13" t="s">
        <v>32</v>
      </c>
      <c r="D9" s="13" t="s">
        <v>31</v>
      </c>
      <c r="E9" s="13" t="s">
        <v>223</v>
      </c>
      <c r="F9" s="3">
        <v>1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7.4793989999999999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  <c r="AR9" t="s">
        <v>300</v>
      </c>
    </row>
    <row r="10" spans="1:45">
      <c r="A10" s="13" t="s">
        <v>225</v>
      </c>
      <c r="B10" s="13" t="s">
        <v>222</v>
      </c>
      <c r="C10" s="13" t="s">
        <v>46</v>
      </c>
      <c r="D10"/>
      <c r="E10" s="13" t="s">
        <v>224</v>
      </c>
      <c r="F10" s="3">
        <v>1</v>
      </c>
      <c r="G10" s="13" t="s">
        <v>224</v>
      </c>
      <c r="H10" s="3">
        <v>1</v>
      </c>
      <c r="I10" s="13" t="s">
        <v>224</v>
      </c>
      <c r="J10" s="3">
        <v>1</v>
      </c>
      <c r="K10" s="13" t="s">
        <v>224</v>
      </c>
      <c r="L10" s="3">
        <v>1</v>
      </c>
      <c r="M10" s="13" t="s">
        <v>224</v>
      </c>
      <c r="N10" s="3">
        <v>1</v>
      </c>
      <c r="O10" s="7" t="s">
        <v>224</v>
      </c>
      <c r="P10" s="7" t="s">
        <v>222</v>
      </c>
      <c r="Q10" s="7" t="s">
        <v>224</v>
      </c>
      <c r="R10" s="7" t="s">
        <v>30</v>
      </c>
      <c r="S10" s="13" t="s">
        <v>224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224</v>
      </c>
      <c r="AB10" s="3">
        <v>6.4793989999999999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  <c r="AR10" t="s">
        <v>301</v>
      </c>
    </row>
    <row r="11" spans="1:45">
      <c r="A11" s="13" t="s">
        <v>243</v>
      </c>
      <c r="B11" s="13" t="s">
        <v>227</v>
      </c>
      <c r="C11" s="13" t="s">
        <v>47</v>
      </c>
      <c r="D11"/>
      <c r="E11" s="13" t="s">
        <v>225</v>
      </c>
      <c r="F11" s="3">
        <v>1</v>
      </c>
      <c r="G11" s="13" t="s">
        <v>225</v>
      </c>
      <c r="H11" s="3">
        <v>1</v>
      </c>
      <c r="I11" s="13" t="s">
        <v>225</v>
      </c>
      <c r="J11" s="3">
        <v>1</v>
      </c>
      <c r="K11" s="13" t="s">
        <v>225</v>
      </c>
      <c r="L11" s="3">
        <v>1</v>
      </c>
      <c r="M11" s="13" t="s">
        <v>225</v>
      </c>
      <c r="N11" s="3">
        <v>1</v>
      </c>
      <c r="O11" s="7" t="s">
        <v>225</v>
      </c>
      <c r="P11" s="7" t="s">
        <v>222</v>
      </c>
      <c r="Q11" s="7" t="s">
        <v>225</v>
      </c>
      <c r="R11" s="7" t="s">
        <v>30</v>
      </c>
      <c r="S11" s="13" t="s">
        <v>225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225</v>
      </c>
      <c r="AB11" s="3">
        <v>5.4793989999999999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  <c r="AR11" t="s">
        <v>302</v>
      </c>
    </row>
    <row r="12" spans="1:45">
      <c r="A12" s="13" t="s">
        <v>224</v>
      </c>
      <c r="B12" s="13" t="s">
        <v>232</v>
      </c>
      <c r="C12" s="13" t="s">
        <v>48</v>
      </c>
      <c r="D12" s="13"/>
      <c r="E12" s="13" t="s">
        <v>226</v>
      </c>
      <c r="F12" s="3">
        <v>1</v>
      </c>
      <c r="G12" s="13" t="s">
        <v>226</v>
      </c>
      <c r="H12" s="3">
        <v>1</v>
      </c>
      <c r="I12" s="13" t="s">
        <v>226</v>
      </c>
      <c r="J12" s="3">
        <v>1</v>
      </c>
      <c r="K12" s="13" t="s">
        <v>226</v>
      </c>
      <c r="L12" s="3">
        <v>1</v>
      </c>
      <c r="M12" s="13" t="s">
        <v>226</v>
      </c>
      <c r="N12" s="3">
        <v>1</v>
      </c>
      <c r="O12" s="7" t="s">
        <v>226</v>
      </c>
      <c r="P12" s="7" t="s">
        <v>222</v>
      </c>
      <c r="Q12" s="7" t="s">
        <v>226</v>
      </c>
      <c r="R12" s="7" t="s">
        <v>30</v>
      </c>
      <c r="S12" s="13" t="s">
        <v>226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226</v>
      </c>
      <c r="AB12" s="3">
        <v>4.4793989999999999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  <c r="AR12" t="s">
        <v>303</v>
      </c>
    </row>
    <row r="13" spans="1:45">
      <c r="A13" s="13" t="s">
        <v>242</v>
      </c>
      <c r="B13" s="13" t="s">
        <v>236</v>
      </c>
      <c r="C13" s="13" t="s">
        <v>49</v>
      </c>
      <c r="D13" s="13"/>
      <c r="E13" s="13" t="s">
        <v>228</v>
      </c>
      <c r="F13" s="3">
        <v>1</v>
      </c>
      <c r="G13" s="13" t="s">
        <v>228</v>
      </c>
      <c r="H13" s="3">
        <v>1</v>
      </c>
      <c r="I13" s="13" t="s">
        <v>228</v>
      </c>
      <c r="J13" s="3">
        <v>1</v>
      </c>
      <c r="K13" s="13" t="s">
        <v>228</v>
      </c>
      <c r="L13" s="3">
        <v>1</v>
      </c>
      <c r="M13" s="13" t="s">
        <v>228</v>
      </c>
      <c r="N13" s="3">
        <v>1</v>
      </c>
      <c r="O13" s="7" t="s">
        <v>228</v>
      </c>
      <c r="P13" s="7" t="s">
        <v>227</v>
      </c>
      <c r="Q13" s="7" t="s">
        <v>228</v>
      </c>
      <c r="R13" s="7" t="s">
        <v>30</v>
      </c>
      <c r="S13" s="13" t="s">
        <v>228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228</v>
      </c>
      <c r="AB13" s="3">
        <v>100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  <c r="AR13" t="s">
        <v>304</v>
      </c>
    </row>
    <row r="14" spans="1:45">
      <c r="A14" s="13" t="s">
        <v>223</v>
      </c>
      <c r="B14" s="13" t="s">
        <v>270</v>
      </c>
      <c r="C14" s="13" t="s">
        <v>50</v>
      </c>
      <c r="D14" s="13"/>
      <c r="E14" s="13" t="s">
        <v>229</v>
      </c>
      <c r="F14" s="3">
        <v>1</v>
      </c>
      <c r="G14" s="13" t="s">
        <v>229</v>
      </c>
      <c r="H14" s="3">
        <v>1</v>
      </c>
      <c r="I14" s="13" t="s">
        <v>229</v>
      </c>
      <c r="J14" s="3">
        <v>1</v>
      </c>
      <c r="K14" s="13" t="s">
        <v>229</v>
      </c>
      <c r="L14" s="3">
        <v>1</v>
      </c>
      <c r="M14" s="13" t="s">
        <v>229</v>
      </c>
      <c r="N14" s="3">
        <v>1</v>
      </c>
      <c r="O14" s="7" t="s">
        <v>229</v>
      </c>
      <c r="P14" s="7" t="s">
        <v>227</v>
      </c>
      <c r="Q14" s="7" t="s">
        <v>229</v>
      </c>
      <c r="R14" s="7" t="s">
        <v>30</v>
      </c>
      <c r="S14" s="13" t="s">
        <v>229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229</v>
      </c>
      <c r="AB14" s="3">
        <v>7.7911130000000002</v>
      </c>
      <c r="AD14" s="14">
        <v>2019</v>
      </c>
      <c r="AH14" s="7"/>
      <c r="AI14" s="7"/>
      <c r="AJ14" s="7"/>
      <c r="AM14" s="7" t="s">
        <v>21</v>
      </c>
      <c r="AR14" t="s">
        <v>305</v>
      </c>
    </row>
    <row r="15" spans="1:45">
      <c r="A15" s="13" t="s">
        <v>241</v>
      </c>
      <c r="B15" s="13" t="s">
        <v>271</v>
      </c>
      <c r="C15" s="13" t="s">
        <v>51</v>
      </c>
      <c r="D15" s="13"/>
      <c r="E15" s="13" t="s">
        <v>233</v>
      </c>
      <c r="F15" s="3">
        <v>1</v>
      </c>
      <c r="G15" s="13" t="s">
        <v>233</v>
      </c>
      <c r="H15" s="3">
        <v>1</v>
      </c>
      <c r="I15" s="13" t="s">
        <v>233</v>
      </c>
      <c r="J15" s="3">
        <v>1</v>
      </c>
      <c r="K15" s="13" t="s">
        <v>233</v>
      </c>
      <c r="L15" s="3">
        <v>1</v>
      </c>
      <c r="M15" s="13" t="s">
        <v>233</v>
      </c>
      <c r="N15" s="3">
        <v>1</v>
      </c>
      <c r="O15" s="7" t="s">
        <v>233</v>
      </c>
      <c r="P15" s="7" t="s">
        <v>219</v>
      </c>
      <c r="Q15" s="7" t="s">
        <v>233</v>
      </c>
      <c r="R15" s="7" t="s">
        <v>30</v>
      </c>
      <c r="S15" s="13" t="s">
        <v>233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233</v>
      </c>
      <c r="AB15" s="3">
        <v>100</v>
      </c>
      <c r="AD15" s="14">
        <v>2020</v>
      </c>
      <c r="AH15" s="7"/>
      <c r="AI15" s="7"/>
      <c r="AJ15" s="7"/>
      <c r="AM15" s="7" t="s">
        <v>22</v>
      </c>
      <c r="AR15" t="s">
        <v>306</v>
      </c>
    </row>
    <row r="16" spans="1:45">
      <c r="A16" s="13" t="s">
        <v>220</v>
      </c>
      <c r="B16"/>
      <c r="C16" s="13" t="s">
        <v>52</v>
      </c>
      <c r="D16" s="13"/>
      <c r="E16" s="13" t="s">
        <v>240</v>
      </c>
      <c r="F16" s="3">
        <v>1</v>
      </c>
      <c r="G16" s="13" t="s">
        <v>240</v>
      </c>
      <c r="H16" s="3">
        <v>1</v>
      </c>
      <c r="I16" s="13" t="s">
        <v>240</v>
      </c>
      <c r="J16" s="3">
        <v>1</v>
      </c>
      <c r="K16" s="13" t="s">
        <v>240</v>
      </c>
      <c r="L16" s="3">
        <v>1</v>
      </c>
      <c r="M16" s="13" t="s">
        <v>240</v>
      </c>
      <c r="N16" s="3">
        <v>1</v>
      </c>
      <c r="O16" s="7" t="s">
        <v>240</v>
      </c>
      <c r="P16" s="7" t="s">
        <v>221</v>
      </c>
      <c r="Q16" s="7" t="s">
        <v>240</v>
      </c>
      <c r="R16" s="7" t="s">
        <v>30</v>
      </c>
      <c r="S16" s="13" t="s">
        <v>240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240</v>
      </c>
      <c r="AB16" s="3">
        <v>100</v>
      </c>
      <c r="AD16" s="14">
        <v>2021</v>
      </c>
      <c r="AH16" s="7"/>
      <c r="AI16" s="7"/>
      <c r="AJ16" s="7"/>
      <c r="AM16" s="7" t="s">
        <v>5</v>
      </c>
      <c r="AR16" t="s">
        <v>307</v>
      </c>
    </row>
    <row r="17" spans="1:44">
      <c r="A17" s="13" t="s">
        <v>240</v>
      </c>
      <c r="B17"/>
      <c r="E17" s="13" t="s">
        <v>241</v>
      </c>
      <c r="F17" s="3">
        <v>1</v>
      </c>
      <c r="G17" s="13" t="s">
        <v>241</v>
      </c>
      <c r="H17" s="3">
        <v>1</v>
      </c>
      <c r="I17" s="13" t="s">
        <v>241</v>
      </c>
      <c r="J17" s="3">
        <v>1</v>
      </c>
      <c r="K17" s="13" t="s">
        <v>241</v>
      </c>
      <c r="L17" s="3">
        <v>1</v>
      </c>
      <c r="M17" s="13" t="s">
        <v>241</v>
      </c>
      <c r="N17" s="3">
        <v>1</v>
      </c>
      <c r="O17" s="7" t="s">
        <v>241</v>
      </c>
      <c r="P17" s="7" t="s">
        <v>221</v>
      </c>
      <c r="Q17" s="7" t="s">
        <v>241</v>
      </c>
      <c r="R17" s="7" t="s">
        <v>30</v>
      </c>
      <c r="S17" s="13" t="s">
        <v>241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241</v>
      </c>
      <c r="AB17" s="3">
        <v>7.4793989999999999</v>
      </c>
      <c r="AD17" s="14">
        <v>2022</v>
      </c>
      <c r="AF17"/>
      <c r="AH17" s="7"/>
      <c r="AI17" s="7"/>
      <c r="AJ17" s="7"/>
      <c r="AM17" s="7" t="s">
        <v>23</v>
      </c>
      <c r="AR17" t="s">
        <v>308</v>
      </c>
    </row>
    <row r="18" spans="1:44">
      <c r="A18" s="13" t="s">
        <v>231</v>
      </c>
      <c r="B18"/>
      <c r="E18" s="13" t="s">
        <v>242</v>
      </c>
      <c r="F18" s="3">
        <v>1</v>
      </c>
      <c r="G18" s="13" t="s">
        <v>242</v>
      </c>
      <c r="H18" s="3">
        <v>1</v>
      </c>
      <c r="I18" s="13" t="s">
        <v>242</v>
      </c>
      <c r="J18" s="3">
        <v>1</v>
      </c>
      <c r="K18" s="13" t="s">
        <v>242</v>
      </c>
      <c r="L18" s="3">
        <v>1</v>
      </c>
      <c r="M18" s="13" t="s">
        <v>242</v>
      </c>
      <c r="N18" s="3">
        <v>1</v>
      </c>
      <c r="O18" s="7" t="s">
        <v>242</v>
      </c>
      <c r="P18" s="7" t="s">
        <v>221</v>
      </c>
      <c r="Q18" s="7" t="s">
        <v>242</v>
      </c>
      <c r="R18" s="7" t="s">
        <v>30</v>
      </c>
      <c r="S18" s="13" t="s">
        <v>242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242</v>
      </c>
      <c r="AB18" s="3">
        <v>6.4793989999999999</v>
      </c>
      <c r="AD18" s="14">
        <v>2023</v>
      </c>
      <c r="AF18"/>
      <c r="AH18" s="7"/>
      <c r="AI18" s="7"/>
      <c r="AJ18" s="7"/>
      <c r="AM18" s="7" t="s">
        <v>25</v>
      </c>
      <c r="AR18" t="s">
        <v>309</v>
      </c>
    </row>
    <row r="19" spans="1:44">
      <c r="A19" s="13" t="s">
        <v>249</v>
      </c>
      <c r="B19"/>
      <c r="E19" s="13" t="s">
        <v>243</v>
      </c>
      <c r="F19" s="3">
        <v>1</v>
      </c>
      <c r="G19" s="13" t="s">
        <v>243</v>
      </c>
      <c r="H19" s="3">
        <v>1</v>
      </c>
      <c r="I19" s="13" t="s">
        <v>243</v>
      </c>
      <c r="J19" s="3">
        <v>1</v>
      </c>
      <c r="K19" s="13" t="s">
        <v>243</v>
      </c>
      <c r="L19" s="3">
        <v>1</v>
      </c>
      <c r="M19" s="13" t="s">
        <v>243</v>
      </c>
      <c r="N19" s="3">
        <v>1</v>
      </c>
      <c r="O19" s="7" t="s">
        <v>243</v>
      </c>
      <c r="P19" s="7" t="s">
        <v>221</v>
      </c>
      <c r="Q19" s="7" t="s">
        <v>243</v>
      </c>
      <c r="R19" s="7" t="s">
        <v>30</v>
      </c>
      <c r="S19" s="13" t="s">
        <v>243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243</v>
      </c>
      <c r="AB19" s="3">
        <v>5.4793989999999999</v>
      </c>
      <c r="AD19" s="14">
        <v>2024</v>
      </c>
      <c r="AH19" s="7"/>
      <c r="AI19" s="7"/>
      <c r="AJ19" s="7"/>
      <c r="AM19" s="7" t="s">
        <v>24</v>
      </c>
      <c r="AR19" t="s">
        <v>310</v>
      </c>
    </row>
    <row r="20" spans="1:44">
      <c r="A20" s="13" t="s">
        <v>230</v>
      </c>
      <c r="B20"/>
      <c r="E20" s="13" t="s">
        <v>244</v>
      </c>
      <c r="F20" s="3">
        <v>1</v>
      </c>
      <c r="G20" s="13" t="s">
        <v>244</v>
      </c>
      <c r="H20" s="3">
        <v>1</v>
      </c>
      <c r="I20" s="13" t="s">
        <v>244</v>
      </c>
      <c r="J20" s="3">
        <v>1</v>
      </c>
      <c r="K20" s="13" t="s">
        <v>244</v>
      </c>
      <c r="L20" s="3">
        <v>1</v>
      </c>
      <c r="M20" s="13" t="s">
        <v>244</v>
      </c>
      <c r="N20" s="3">
        <v>1</v>
      </c>
      <c r="O20" s="7" t="s">
        <v>244</v>
      </c>
      <c r="P20" s="7" t="s">
        <v>221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4.4793989999999999</v>
      </c>
      <c r="AD20" s="14">
        <v>2025</v>
      </c>
      <c r="AH20" s="7"/>
      <c r="AI20" s="7"/>
      <c r="AJ20" s="7"/>
      <c r="AM20" s="7" t="s">
        <v>11</v>
      </c>
      <c r="AR20" t="s">
        <v>311</v>
      </c>
    </row>
    <row r="21" spans="1:44">
      <c r="A21" s="13" t="s">
        <v>248</v>
      </c>
      <c r="B21"/>
      <c r="E21" s="13" t="s">
        <v>245</v>
      </c>
      <c r="F21" s="3">
        <v>1</v>
      </c>
      <c r="G21" s="13" t="s">
        <v>245</v>
      </c>
      <c r="H21" s="3">
        <v>1</v>
      </c>
      <c r="I21" s="13" t="s">
        <v>245</v>
      </c>
      <c r="J21" s="3">
        <v>1</v>
      </c>
      <c r="K21" s="13" t="s">
        <v>245</v>
      </c>
      <c r="L21" s="3">
        <v>1</v>
      </c>
      <c r="M21" s="13" t="s">
        <v>245</v>
      </c>
      <c r="N21" s="3">
        <v>1</v>
      </c>
      <c r="O21" s="7" t="s">
        <v>245</v>
      </c>
      <c r="P21" s="7" t="s">
        <v>232</v>
      </c>
      <c r="Q21" s="7" t="s">
        <v>245</v>
      </c>
      <c r="R21" s="7" t="s">
        <v>30</v>
      </c>
      <c r="S21" s="13" t="s">
        <v>245</v>
      </c>
      <c r="T21" s="3">
        <v>-1</v>
      </c>
      <c r="U21" s="3">
        <v>-1</v>
      </c>
      <c r="V21" s="3">
        <v>-1</v>
      </c>
      <c r="W21" s="3">
        <v>1</v>
      </c>
      <c r="X21" s="3">
        <v>5</v>
      </c>
      <c r="Y21" s="3"/>
      <c r="Z21" s="3"/>
      <c r="AA21" s="13" t="s">
        <v>245</v>
      </c>
      <c r="AB21" s="3">
        <v>100</v>
      </c>
      <c r="AD21" s="14">
        <v>2026</v>
      </c>
      <c r="AH21" s="7"/>
      <c r="AI21" s="7"/>
      <c r="AJ21" s="7"/>
      <c r="AM21" s="7" t="s">
        <v>11</v>
      </c>
      <c r="AR21" t="s">
        <v>312</v>
      </c>
    </row>
    <row r="22" spans="1:44">
      <c r="A22" s="13" t="s">
        <v>274</v>
      </c>
      <c r="B22"/>
      <c r="E22" s="13" t="s">
        <v>246</v>
      </c>
      <c r="F22" s="3">
        <v>1</v>
      </c>
      <c r="G22" s="13" t="s">
        <v>246</v>
      </c>
      <c r="H22" s="3">
        <v>1</v>
      </c>
      <c r="I22" s="13" t="s">
        <v>246</v>
      </c>
      <c r="J22" s="3">
        <v>1</v>
      </c>
      <c r="K22" s="13" t="s">
        <v>246</v>
      </c>
      <c r="L22" s="3">
        <v>1</v>
      </c>
      <c r="M22" s="13" t="s">
        <v>246</v>
      </c>
      <c r="N22" s="3">
        <v>1</v>
      </c>
      <c r="O22" s="7" t="s">
        <v>246</v>
      </c>
      <c r="P22" s="7" t="s">
        <v>232</v>
      </c>
      <c r="Q22" s="7" t="s">
        <v>246</v>
      </c>
      <c r="R22" s="7" t="s">
        <v>30</v>
      </c>
      <c r="S22" s="13" t="s">
        <v>246</v>
      </c>
      <c r="T22" s="3">
        <v>-1</v>
      </c>
      <c r="U22" s="3">
        <v>-1</v>
      </c>
      <c r="V22" s="3">
        <v>-1</v>
      </c>
      <c r="W22" s="3">
        <v>1</v>
      </c>
      <c r="X22" s="3">
        <v>5</v>
      </c>
      <c r="Y22" s="3"/>
      <c r="Z22" s="3"/>
      <c r="AA22" s="13" t="s">
        <v>246</v>
      </c>
      <c r="AB22" s="3">
        <v>7.7911130000000002</v>
      </c>
      <c r="AD22" s="14">
        <v>2027</v>
      </c>
      <c r="AH22" s="7"/>
      <c r="AI22" s="7"/>
      <c r="AJ22" s="7"/>
      <c r="AM22" s="7" t="s">
        <v>11</v>
      </c>
      <c r="AR22" t="s">
        <v>313</v>
      </c>
    </row>
    <row r="23" spans="1:44">
      <c r="A23" s="13" t="s">
        <v>247</v>
      </c>
      <c r="B23"/>
      <c r="E23" s="13" t="s">
        <v>247</v>
      </c>
      <c r="F23" s="3">
        <v>1</v>
      </c>
      <c r="G23" s="13" t="s">
        <v>247</v>
      </c>
      <c r="H23" s="3">
        <v>1</v>
      </c>
      <c r="I23" s="13" t="s">
        <v>247</v>
      </c>
      <c r="J23" s="3">
        <v>1</v>
      </c>
      <c r="K23" s="13" t="s">
        <v>247</v>
      </c>
      <c r="L23" s="3">
        <v>1</v>
      </c>
      <c r="M23" s="13" t="s">
        <v>247</v>
      </c>
      <c r="N23" s="3">
        <v>1</v>
      </c>
      <c r="O23" s="7" t="s">
        <v>247</v>
      </c>
      <c r="P23" s="7" t="s">
        <v>232</v>
      </c>
      <c r="Q23" s="7" t="s">
        <v>247</v>
      </c>
      <c r="R23" s="7" t="s">
        <v>30</v>
      </c>
      <c r="S23" s="13" t="s">
        <v>247</v>
      </c>
      <c r="T23" s="3">
        <v>-1</v>
      </c>
      <c r="U23" s="3">
        <v>-1</v>
      </c>
      <c r="V23" s="3">
        <v>-1</v>
      </c>
      <c r="W23" s="3">
        <v>1</v>
      </c>
      <c r="X23" s="3">
        <v>5</v>
      </c>
      <c r="Y23" s="3"/>
      <c r="Z23" s="3"/>
      <c r="AA23" s="13" t="s">
        <v>247</v>
      </c>
      <c r="AB23" s="3">
        <v>6.7911130000000002</v>
      </c>
      <c r="AD23" s="14">
        <v>2028</v>
      </c>
      <c r="AH23" s="7"/>
      <c r="AI23" s="7"/>
      <c r="AJ23" s="7"/>
      <c r="AM23" s="7" t="s">
        <v>11</v>
      </c>
      <c r="AR23" t="s">
        <v>314</v>
      </c>
    </row>
    <row r="24" spans="1:44">
      <c r="A24" s="13" t="s">
        <v>229</v>
      </c>
      <c r="B24"/>
      <c r="E24" s="13" t="s">
        <v>248</v>
      </c>
      <c r="F24" s="3">
        <v>1</v>
      </c>
      <c r="G24" s="13" t="s">
        <v>248</v>
      </c>
      <c r="H24" s="3">
        <v>1</v>
      </c>
      <c r="I24" s="13" t="s">
        <v>248</v>
      </c>
      <c r="J24" s="3">
        <v>1</v>
      </c>
      <c r="K24" s="13" t="s">
        <v>248</v>
      </c>
      <c r="L24" s="3">
        <v>1</v>
      </c>
      <c r="M24" s="13" t="s">
        <v>248</v>
      </c>
      <c r="N24" s="3">
        <v>1</v>
      </c>
      <c r="O24" s="7" t="s">
        <v>248</v>
      </c>
      <c r="P24" s="7" t="s">
        <v>232</v>
      </c>
      <c r="Q24" s="7" t="s">
        <v>248</v>
      </c>
      <c r="R24" s="7" t="s">
        <v>30</v>
      </c>
      <c r="S24" s="13" t="s">
        <v>248</v>
      </c>
      <c r="T24" s="3">
        <v>-1</v>
      </c>
      <c r="U24" s="3">
        <v>-1</v>
      </c>
      <c r="V24" s="3">
        <v>-1</v>
      </c>
      <c r="W24" s="3">
        <v>1</v>
      </c>
      <c r="X24" s="3">
        <v>5</v>
      </c>
      <c r="Y24" s="3"/>
      <c r="Z24" s="3"/>
      <c r="AA24" s="13" t="s">
        <v>248</v>
      </c>
      <c r="AB24" s="3">
        <v>5.7911130000000002</v>
      </c>
      <c r="AD24" s="14">
        <v>2029</v>
      </c>
      <c r="AH24" s="7"/>
      <c r="AI24" s="7"/>
      <c r="AJ24" s="7"/>
      <c r="AM24" s="7"/>
      <c r="AR24" t="s">
        <v>315</v>
      </c>
    </row>
    <row r="25" spans="1:44">
      <c r="A25" s="13" t="s">
        <v>246</v>
      </c>
      <c r="B25"/>
      <c r="E25" s="13" t="s">
        <v>249</v>
      </c>
      <c r="F25" s="3">
        <v>1</v>
      </c>
      <c r="G25" s="13" t="s">
        <v>249</v>
      </c>
      <c r="H25" s="3">
        <v>1</v>
      </c>
      <c r="I25" s="13" t="s">
        <v>249</v>
      </c>
      <c r="J25" s="3">
        <v>1</v>
      </c>
      <c r="K25" s="13" t="s">
        <v>249</v>
      </c>
      <c r="L25" s="3">
        <v>1</v>
      </c>
      <c r="M25" s="13" t="s">
        <v>249</v>
      </c>
      <c r="N25" s="3">
        <v>1</v>
      </c>
      <c r="O25" s="7" t="s">
        <v>249</v>
      </c>
      <c r="P25" s="7" t="s">
        <v>232</v>
      </c>
      <c r="Q25" s="7" t="s">
        <v>249</v>
      </c>
      <c r="R25" s="7" t="s">
        <v>30</v>
      </c>
      <c r="S25" s="13" t="s">
        <v>249</v>
      </c>
      <c r="T25" s="3">
        <v>-1</v>
      </c>
      <c r="U25" s="3">
        <v>-1</v>
      </c>
      <c r="V25" s="3">
        <v>-1</v>
      </c>
      <c r="W25" s="3">
        <v>1</v>
      </c>
      <c r="X25" s="3">
        <v>5</v>
      </c>
      <c r="Y25" s="3"/>
      <c r="Z25" s="3"/>
      <c r="AA25" s="13" t="s">
        <v>249</v>
      </c>
      <c r="AB25" s="3">
        <v>4.7911130000000002</v>
      </c>
      <c r="AD25" s="14">
        <v>2030</v>
      </c>
      <c r="AH25" s="7"/>
      <c r="AI25" s="7"/>
      <c r="AJ25" s="7"/>
      <c r="AM25" s="7"/>
      <c r="AR25" t="s">
        <v>316</v>
      </c>
    </row>
    <row r="26" spans="1:44">
      <c r="A26" s="13" t="s">
        <v>278</v>
      </c>
      <c r="B26"/>
      <c r="E26" s="13" t="s">
        <v>250</v>
      </c>
      <c r="F26" s="3">
        <v>1</v>
      </c>
      <c r="G26" s="13" t="s">
        <v>250</v>
      </c>
      <c r="H26" s="3">
        <v>1</v>
      </c>
      <c r="I26" s="13" t="s">
        <v>250</v>
      </c>
      <c r="J26" s="3">
        <v>1</v>
      </c>
      <c r="K26" s="13" t="s">
        <v>250</v>
      </c>
      <c r="L26" s="3">
        <v>1</v>
      </c>
      <c r="M26" s="13" t="s">
        <v>250</v>
      </c>
      <c r="N26" s="3">
        <v>1</v>
      </c>
      <c r="O26" s="7" t="s">
        <v>250</v>
      </c>
      <c r="P26" s="7" t="s">
        <v>270</v>
      </c>
      <c r="Q26" s="7" t="s">
        <v>250</v>
      </c>
      <c r="R26" s="7" t="s">
        <v>30</v>
      </c>
      <c r="S26" s="13" t="s">
        <v>250</v>
      </c>
      <c r="T26" s="3">
        <v>2</v>
      </c>
      <c r="U26" s="3">
        <v>2</v>
      </c>
      <c r="V26" s="3">
        <v>1</v>
      </c>
      <c r="W26" s="3">
        <v>3</v>
      </c>
      <c r="X26" s="3">
        <v>5</v>
      </c>
      <c r="Y26" s="3"/>
      <c r="Z26" s="3"/>
      <c r="AA26" s="13" t="s">
        <v>250</v>
      </c>
      <c r="AB26" s="3">
        <v>100</v>
      </c>
      <c r="AD26" s="14">
        <v>2031</v>
      </c>
      <c r="AH26" s="7"/>
      <c r="AI26" s="7"/>
      <c r="AJ26" s="7"/>
      <c r="AM26" s="7"/>
      <c r="AR26" t="s">
        <v>317</v>
      </c>
    </row>
    <row r="27" spans="1:44">
      <c r="A27" s="13" t="s">
        <v>254</v>
      </c>
      <c r="B27"/>
      <c r="E27" s="13" t="s">
        <v>251</v>
      </c>
      <c r="F27" s="3">
        <v>1</v>
      </c>
      <c r="G27" s="13" t="s">
        <v>251</v>
      </c>
      <c r="H27" s="3">
        <v>1</v>
      </c>
      <c r="I27" s="13" t="s">
        <v>251</v>
      </c>
      <c r="J27" s="3">
        <v>1</v>
      </c>
      <c r="K27" s="13" t="s">
        <v>251</v>
      </c>
      <c r="L27" s="3">
        <v>1</v>
      </c>
      <c r="M27" s="13" t="s">
        <v>251</v>
      </c>
      <c r="N27" s="3">
        <v>1</v>
      </c>
      <c r="O27" s="7" t="s">
        <v>251</v>
      </c>
      <c r="P27" s="7" t="s">
        <v>270</v>
      </c>
      <c r="Q27" s="7" t="s">
        <v>251</v>
      </c>
      <c r="R27" s="7" t="s">
        <v>30</v>
      </c>
      <c r="S27" s="13" t="s">
        <v>251</v>
      </c>
      <c r="T27" s="3">
        <v>2</v>
      </c>
      <c r="U27" s="3">
        <v>2</v>
      </c>
      <c r="V27" s="3">
        <v>1</v>
      </c>
      <c r="W27" s="3">
        <v>3</v>
      </c>
      <c r="X27" s="3">
        <v>5</v>
      </c>
      <c r="Y27" s="3"/>
      <c r="Z27" s="3"/>
      <c r="AA27" s="13" t="s">
        <v>251</v>
      </c>
      <c r="AB27" s="3">
        <v>7.7911130000000002</v>
      </c>
      <c r="AD27" s="14">
        <v>2032</v>
      </c>
      <c r="AH27" s="7"/>
      <c r="AI27" s="7"/>
      <c r="AJ27" s="7"/>
      <c r="AM27" s="7"/>
      <c r="AR27" t="s">
        <v>318</v>
      </c>
    </row>
    <row r="28" spans="1:44">
      <c r="A28" s="13" t="s">
        <v>277</v>
      </c>
      <c r="B28"/>
      <c r="E28" s="13" t="s">
        <v>252</v>
      </c>
      <c r="F28" s="3">
        <v>1</v>
      </c>
      <c r="G28" s="13" t="s">
        <v>252</v>
      </c>
      <c r="H28" s="3">
        <v>1</v>
      </c>
      <c r="I28" s="13" t="s">
        <v>252</v>
      </c>
      <c r="J28" s="3">
        <v>1</v>
      </c>
      <c r="K28" s="13" t="s">
        <v>252</v>
      </c>
      <c r="L28" s="3">
        <v>1</v>
      </c>
      <c r="M28" s="13" t="s">
        <v>252</v>
      </c>
      <c r="N28" s="3">
        <v>1</v>
      </c>
      <c r="O28" s="7" t="s">
        <v>252</v>
      </c>
      <c r="P28" s="7" t="s">
        <v>270</v>
      </c>
      <c r="Q28" s="7" t="s">
        <v>252</v>
      </c>
      <c r="R28" s="7" t="s">
        <v>30</v>
      </c>
      <c r="S28" s="13" t="s">
        <v>252</v>
      </c>
      <c r="T28" s="3">
        <v>2</v>
      </c>
      <c r="U28" s="3">
        <v>2</v>
      </c>
      <c r="V28" s="3">
        <v>1</v>
      </c>
      <c r="W28" s="3">
        <v>3</v>
      </c>
      <c r="X28" s="3">
        <v>5</v>
      </c>
      <c r="Y28" s="3"/>
      <c r="Z28" s="3"/>
      <c r="AA28" s="13" t="s">
        <v>252</v>
      </c>
      <c r="AB28" s="3">
        <v>6.7911130000000002</v>
      </c>
      <c r="AD28" s="14">
        <v>2033</v>
      </c>
      <c r="AH28" s="7"/>
      <c r="AI28" s="7"/>
      <c r="AJ28" s="7"/>
      <c r="AM28" s="7"/>
      <c r="AR28" t="s">
        <v>319</v>
      </c>
    </row>
    <row r="29" spans="1:44">
      <c r="A29" s="13" t="s">
        <v>253</v>
      </c>
      <c r="B29"/>
      <c r="E29" s="13" t="s">
        <v>253</v>
      </c>
      <c r="F29" s="3">
        <v>1</v>
      </c>
      <c r="G29" s="13" t="s">
        <v>253</v>
      </c>
      <c r="H29" s="3">
        <v>1</v>
      </c>
      <c r="I29" s="13" t="s">
        <v>253</v>
      </c>
      <c r="J29" s="3">
        <v>1</v>
      </c>
      <c r="K29" s="13" t="s">
        <v>253</v>
      </c>
      <c r="L29" s="3">
        <v>1</v>
      </c>
      <c r="M29" s="13" t="s">
        <v>253</v>
      </c>
      <c r="N29" s="3">
        <v>1</v>
      </c>
      <c r="O29" s="7" t="s">
        <v>253</v>
      </c>
      <c r="P29" s="7" t="s">
        <v>270</v>
      </c>
      <c r="Q29" s="7" t="s">
        <v>253</v>
      </c>
      <c r="R29" s="7" t="s">
        <v>30</v>
      </c>
      <c r="S29" s="13" t="s">
        <v>253</v>
      </c>
      <c r="T29" s="3">
        <v>2</v>
      </c>
      <c r="U29" s="3">
        <v>2</v>
      </c>
      <c r="V29" s="3">
        <v>1</v>
      </c>
      <c r="W29" s="3">
        <v>3</v>
      </c>
      <c r="X29" s="3">
        <v>5</v>
      </c>
      <c r="Y29" s="3"/>
      <c r="Z29" s="3"/>
      <c r="AA29" s="13" t="s">
        <v>253</v>
      </c>
      <c r="AB29" s="3">
        <v>5.7911130000000002</v>
      </c>
      <c r="AD29" s="14">
        <v>2034</v>
      </c>
      <c r="AH29" s="7"/>
      <c r="AI29" s="7"/>
      <c r="AJ29" s="7"/>
      <c r="AM29" s="7"/>
      <c r="AR29" t="s">
        <v>320</v>
      </c>
    </row>
    <row r="30" spans="1:44">
      <c r="A30" s="13" t="s">
        <v>276</v>
      </c>
      <c r="B30"/>
      <c r="E30" s="13" t="s">
        <v>254</v>
      </c>
      <c r="F30" s="3">
        <v>1</v>
      </c>
      <c r="G30" s="13" t="s">
        <v>254</v>
      </c>
      <c r="H30" s="3">
        <v>1</v>
      </c>
      <c r="I30" s="13" t="s">
        <v>254</v>
      </c>
      <c r="J30" s="3">
        <v>1</v>
      </c>
      <c r="K30" s="13" t="s">
        <v>254</v>
      </c>
      <c r="L30" s="3">
        <v>1</v>
      </c>
      <c r="M30" s="13" t="s">
        <v>254</v>
      </c>
      <c r="N30" s="3">
        <v>1</v>
      </c>
      <c r="O30" s="7" t="s">
        <v>254</v>
      </c>
      <c r="P30" s="7" t="s">
        <v>270</v>
      </c>
      <c r="Q30" s="7" t="s">
        <v>254</v>
      </c>
      <c r="R30" s="7" t="s">
        <v>30</v>
      </c>
      <c r="S30" s="13" t="s">
        <v>254</v>
      </c>
      <c r="T30" s="3">
        <v>2</v>
      </c>
      <c r="U30" s="3">
        <v>2</v>
      </c>
      <c r="V30" s="3">
        <v>1</v>
      </c>
      <c r="W30" s="3">
        <v>3</v>
      </c>
      <c r="X30" s="3">
        <v>5</v>
      </c>
      <c r="Y30" s="3"/>
      <c r="Z30" s="3"/>
      <c r="AA30" s="13" t="s">
        <v>254</v>
      </c>
      <c r="AB30" s="3">
        <v>4.7911130000000002</v>
      </c>
      <c r="AD30" s="14">
        <v>2035</v>
      </c>
      <c r="AH30" s="7"/>
      <c r="AI30" s="7"/>
      <c r="AJ30" s="7"/>
      <c r="AM30" s="7"/>
      <c r="AR30" t="s">
        <v>321</v>
      </c>
    </row>
    <row r="31" spans="1:44">
      <c r="A31" s="13" t="s">
        <v>252</v>
      </c>
      <c r="B31"/>
      <c r="E31" s="13" t="s">
        <v>255</v>
      </c>
      <c r="F31" s="3">
        <v>1</v>
      </c>
      <c r="G31" s="13" t="s">
        <v>255</v>
      </c>
      <c r="H31" s="3">
        <v>1</v>
      </c>
      <c r="I31" s="13" t="s">
        <v>255</v>
      </c>
      <c r="J31" s="3">
        <v>1</v>
      </c>
      <c r="K31" s="13" t="s">
        <v>255</v>
      </c>
      <c r="L31" s="3">
        <v>1</v>
      </c>
      <c r="M31" s="13" t="s">
        <v>255</v>
      </c>
      <c r="N31" s="3">
        <v>1</v>
      </c>
      <c r="O31" s="7" t="s">
        <v>255</v>
      </c>
      <c r="P31" s="7" t="s">
        <v>221</v>
      </c>
      <c r="Q31" s="7" t="s">
        <v>255</v>
      </c>
      <c r="R31" s="7" t="s">
        <v>31</v>
      </c>
      <c r="S31" s="13" t="s">
        <v>255</v>
      </c>
      <c r="T31" s="3">
        <v>-1</v>
      </c>
      <c r="U31" s="3">
        <v>-1</v>
      </c>
      <c r="V31" s="3">
        <v>-1</v>
      </c>
      <c r="W31" s="3">
        <v>1</v>
      </c>
      <c r="X31" s="3">
        <v>4</v>
      </c>
      <c r="AA31" s="13" t="s">
        <v>255</v>
      </c>
      <c r="AB31" s="3">
        <v>100</v>
      </c>
      <c r="AD31" s="14">
        <v>2036</v>
      </c>
      <c r="AH31" s="7"/>
      <c r="AI31" s="7"/>
      <c r="AJ31" s="7"/>
      <c r="AM31" s="7"/>
    </row>
    <row r="32" spans="1:44">
      <c r="A32" s="13" t="s">
        <v>296</v>
      </c>
      <c r="B32"/>
      <c r="E32" s="13" t="s">
        <v>256</v>
      </c>
      <c r="F32" s="3">
        <v>1</v>
      </c>
      <c r="G32" s="13" t="s">
        <v>256</v>
      </c>
      <c r="H32" s="3">
        <v>1</v>
      </c>
      <c r="I32" s="13" t="s">
        <v>256</v>
      </c>
      <c r="J32" s="3">
        <v>1</v>
      </c>
      <c r="K32" s="13" t="s">
        <v>256</v>
      </c>
      <c r="L32" s="3">
        <v>1</v>
      </c>
      <c r="M32" s="13" t="s">
        <v>256</v>
      </c>
      <c r="N32" s="3">
        <v>1</v>
      </c>
      <c r="O32" s="7" t="s">
        <v>256</v>
      </c>
      <c r="P32" s="7" t="s">
        <v>221</v>
      </c>
      <c r="Q32" s="7" t="s">
        <v>256</v>
      </c>
      <c r="R32" s="7" t="s">
        <v>31</v>
      </c>
      <c r="S32" s="13" t="s">
        <v>256</v>
      </c>
      <c r="T32" s="3">
        <v>-1</v>
      </c>
      <c r="U32" s="3">
        <v>-1</v>
      </c>
      <c r="V32" s="3">
        <v>-1</v>
      </c>
      <c r="W32" s="3">
        <v>1</v>
      </c>
      <c r="X32" s="3">
        <v>4</v>
      </c>
      <c r="AA32" s="13" t="s">
        <v>256</v>
      </c>
      <c r="AB32" s="3">
        <v>7.4793989999999999</v>
      </c>
      <c r="AD32" s="14">
        <v>2037</v>
      </c>
      <c r="AH32" s="7"/>
      <c r="AI32" s="7"/>
      <c r="AJ32" s="7"/>
      <c r="AM32" s="7"/>
    </row>
    <row r="33" spans="1:39">
      <c r="A33" s="13" t="s">
        <v>251</v>
      </c>
      <c r="B33"/>
      <c r="E33" s="13" t="s">
        <v>257</v>
      </c>
      <c r="F33" s="3">
        <v>1</v>
      </c>
      <c r="G33" s="13" t="s">
        <v>257</v>
      </c>
      <c r="H33" s="3">
        <v>1</v>
      </c>
      <c r="I33" s="13" t="s">
        <v>257</v>
      </c>
      <c r="J33" s="3">
        <v>1</v>
      </c>
      <c r="K33" s="13" t="s">
        <v>257</v>
      </c>
      <c r="L33" s="3">
        <v>1</v>
      </c>
      <c r="M33" s="13" t="s">
        <v>257</v>
      </c>
      <c r="N33" s="3">
        <v>1</v>
      </c>
      <c r="O33" s="7" t="s">
        <v>257</v>
      </c>
      <c r="P33" s="7" t="s">
        <v>221</v>
      </c>
      <c r="Q33" s="7" t="s">
        <v>257</v>
      </c>
      <c r="R33" s="7" t="s">
        <v>31</v>
      </c>
      <c r="S33" s="13" t="s">
        <v>257</v>
      </c>
      <c r="T33" s="3">
        <v>-1</v>
      </c>
      <c r="U33" s="3">
        <v>-1</v>
      </c>
      <c r="V33" s="3">
        <v>-1</v>
      </c>
      <c r="W33" s="3">
        <v>1</v>
      </c>
      <c r="X33" s="3">
        <v>4</v>
      </c>
      <c r="AA33" s="13" t="s">
        <v>257</v>
      </c>
      <c r="AB33" s="3">
        <v>6.4793989999999999</v>
      </c>
      <c r="AD33" s="14">
        <v>2038</v>
      </c>
      <c r="AH33" s="7"/>
      <c r="AI33" s="7"/>
      <c r="AJ33" s="7"/>
      <c r="AM33" s="7"/>
    </row>
    <row r="34" spans="1:39">
      <c r="A34" s="13" t="s">
        <v>275</v>
      </c>
      <c r="B34"/>
      <c r="E34" s="13" t="s">
        <v>258</v>
      </c>
      <c r="F34" s="3">
        <v>1</v>
      </c>
      <c r="G34" s="13" t="s">
        <v>258</v>
      </c>
      <c r="H34" s="3">
        <v>1</v>
      </c>
      <c r="I34" s="13" t="s">
        <v>258</v>
      </c>
      <c r="J34" s="3">
        <v>1</v>
      </c>
      <c r="K34" s="13" t="s">
        <v>258</v>
      </c>
      <c r="L34" s="3">
        <v>1</v>
      </c>
      <c r="M34" s="13" t="s">
        <v>258</v>
      </c>
      <c r="N34" s="3">
        <v>1</v>
      </c>
      <c r="O34" s="7" t="s">
        <v>258</v>
      </c>
      <c r="P34" s="7" t="s">
        <v>221</v>
      </c>
      <c r="Q34" s="7" t="s">
        <v>258</v>
      </c>
      <c r="R34" s="7" t="s">
        <v>31</v>
      </c>
      <c r="S34" s="13" t="s">
        <v>258</v>
      </c>
      <c r="T34" s="3">
        <v>-1</v>
      </c>
      <c r="U34" s="3">
        <v>-1</v>
      </c>
      <c r="V34" s="3">
        <v>-1</v>
      </c>
      <c r="W34" s="3">
        <v>1</v>
      </c>
      <c r="X34" s="3">
        <v>4</v>
      </c>
      <c r="AA34" s="13" t="s">
        <v>258</v>
      </c>
      <c r="AB34" s="3">
        <v>5.4793989999999999</v>
      </c>
      <c r="AD34" s="14">
        <v>2039</v>
      </c>
      <c r="AH34" s="7"/>
      <c r="AI34" s="7"/>
      <c r="AJ34" s="7"/>
      <c r="AM34" s="7"/>
    </row>
    <row r="35" spans="1:39">
      <c r="A35" s="13" t="s">
        <v>250</v>
      </c>
      <c r="B35"/>
      <c r="E35" s="13" t="s">
        <v>259</v>
      </c>
      <c r="F35" s="3">
        <v>1</v>
      </c>
      <c r="G35" s="13" t="s">
        <v>259</v>
      </c>
      <c r="H35" s="3">
        <v>1</v>
      </c>
      <c r="I35" s="13" t="s">
        <v>259</v>
      </c>
      <c r="J35" s="3">
        <v>1</v>
      </c>
      <c r="K35" s="13" t="s">
        <v>259</v>
      </c>
      <c r="L35" s="3">
        <v>1</v>
      </c>
      <c r="M35" s="13" t="s">
        <v>259</v>
      </c>
      <c r="N35" s="3">
        <v>1</v>
      </c>
      <c r="O35" s="7" t="s">
        <v>259</v>
      </c>
      <c r="P35" s="7" t="s">
        <v>221</v>
      </c>
      <c r="Q35" s="7" t="s">
        <v>259</v>
      </c>
      <c r="R35" s="7" t="s">
        <v>31</v>
      </c>
      <c r="S35" s="13" t="s">
        <v>259</v>
      </c>
      <c r="T35" s="3">
        <v>-1</v>
      </c>
      <c r="U35" s="3">
        <v>-1</v>
      </c>
      <c r="V35" s="3">
        <v>-1</v>
      </c>
      <c r="W35" s="3">
        <v>1</v>
      </c>
      <c r="X35" s="3">
        <v>4</v>
      </c>
      <c r="AA35" s="13" t="s">
        <v>259</v>
      </c>
      <c r="AB35" s="3">
        <v>4.4793989999999999</v>
      </c>
      <c r="AD35" s="14">
        <v>2040</v>
      </c>
      <c r="AH35" s="7"/>
      <c r="AI35" s="7"/>
      <c r="AJ35" s="7"/>
      <c r="AM35" s="7"/>
    </row>
    <row r="36" spans="1:39">
      <c r="A36" s="13" t="s">
        <v>228</v>
      </c>
      <c r="B36"/>
      <c r="E36" s="13" t="s">
        <v>260</v>
      </c>
      <c r="F36" s="3">
        <v>1</v>
      </c>
      <c r="G36" s="13" t="s">
        <v>260</v>
      </c>
      <c r="H36" s="3">
        <v>1</v>
      </c>
      <c r="I36" s="13" t="s">
        <v>260</v>
      </c>
      <c r="J36" s="3">
        <v>1</v>
      </c>
      <c r="K36" s="13" t="s">
        <v>260</v>
      </c>
      <c r="L36" s="3">
        <v>1</v>
      </c>
      <c r="M36" s="13" t="s">
        <v>260</v>
      </c>
      <c r="N36" s="3">
        <v>1</v>
      </c>
      <c r="O36" s="7" t="s">
        <v>260</v>
      </c>
      <c r="P36" s="7" t="s">
        <v>232</v>
      </c>
      <c r="Q36" s="7" t="s">
        <v>260</v>
      </c>
      <c r="R36" s="7" t="s">
        <v>31</v>
      </c>
      <c r="S36" s="13" t="s">
        <v>260</v>
      </c>
      <c r="T36" s="3">
        <v>-1</v>
      </c>
      <c r="U36" s="3">
        <v>-1</v>
      </c>
      <c r="V36" s="3">
        <v>-1</v>
      </c>
      <c r="W36" s="3">
        <v>1</v>
      </c>
      <c r="X36" s="3">
        <v>5</v>
      </c>
      <c r="AA36" s="13" t="s">
        <v>260</v>
      </c>
      <c r="AB36" s="3">
        <v>100</v>
      </c>
      <c r="AD36" s="14">
        <v>2041</v>
      </c>
      <c r="AH36" s="7"/>
      <c r="AI36" s="7"/>
      <c r="AJ36" s="7"/>
      <c r="AM36" s="7"/>
    </row>
    <row r="37" spans="1:39">
      <c r="A37" s="13" t="s">
        <v>245</v>
      </c>
      <c r="B37"/>
      <c r="E37" s="13" t="s">
        <v>261</v>
      </c>
      <c r="F37" s="3">
        <v>1</v>
      </c>
      <c r="G37" s="13" t="s">
        <v>261</v>
      </c>
      <c r="H37" s="3">
        <v>1</v>
      </c>
      <c r="I37" s="13" t="s">
        <v>261</v>
      </c>
      <c r="J37" s="3">
        <v>1</v>
      </c>
      <c r="K37" s="13" t="s">
        <v>261</v>
      </c>
      <c r="L37" s="3">
        <v>1</v>
      </c>
      <c r="M37" s="13" t="s">
        <v>261</v>
      </c>
      <c r="N37" s="3">
        <v>1</v>
      </c>
      <c r="O37" s="7" t="s">
        <v>261</v>
      </c>
      <c r="P37" s="7" t="s">
        <v>232</v>
      </c>
      <c r="Q37" s="7" t="s">
        <v>261</v>
      </c>
      <c r="R37" s="7" t="s">
        <v>31</v>
      </c>
      <c r="S37" s="13" t="s">
        <v>261</v>
      </c>
      <c r="T37" s="3">
        <v>-1</v>
      </c>
      <c r="U37" s="3">
        <v>-1</v>
      </c>
      <c r="V37" s="3">
        <v>-1</v>
      </c>
      <c r="W37" s="3">
        <v>1</v>
      </c>
      <c r="X37" s="3">
        <v>5</v>
      </c>
      <c r="AA37" s="13" t="s">
        <v>261</v>
      </c>
      <c r="AB37" s="3">
        <v>7.7911130000000002</v>
      </c>
      <c r="AD37" s="14">
        <v>2042</v>
      </c>
      <c r="AH37" s="7"/>
      <c r="AI37" s="7"/>
      <c r="AJ37" s="7"/>
      <c r="AM37" s="7"/>
    </row>
    <row r="38" spans="1:39">
      <c r="A38" s="13" t="s">
        <v>272</v>
      </c>
      <c r="B38"/>
      <c r="E38" s="13" t="s">
        <v>262</v>
      </c>
      <c r="F38" s="3">
        <v>1</v>
      </c>
      <c r="G38" s="13" t="s">
        <v>262</v>
      </c>
      <c r="H38" s="3">
        <v>1</v>
      </c>
      <c r="I38" s="13" t="s">
        <v>262</v>
      </c>
      <c r="J38" s="3">
        <v>1</v>
      </c>
      <c r="K38" s="13" t="s">
        <v>262</v>
      </c>
      <c r="L38" s="3">
        <v>1</v>
      </c>
      <c r="M38" s="13" t="s">
        <v>262</v>
      </c>
      <c r="N38" s="3">
        <v>1</v>
      </c>
      <c r="O38" s="7" t="s">
        <v>262</v>
      </c>
      <c r="P38" s="7" t="s">
        <v>232</v>
      </c>
      <c r="Q38" s="7" t="s">
        <v>262</v>
      </c>
      <c r="R38" s="7" t="s">
        <v>31</v>
      </c>
      <c r="S38" s="13" t="s">
        <v>262</v>
      </c>
      <c r="T38" s="3">
        <v>-1</v>
      </c>
      <c r="U38" s="3">
        <v>-1</v>
      </c>
      <c r="V38" s="3">
        <v>-1</v>
      </c>
      <c r="W38" s="3">
        <v>1</v>
      </c>
      <c r="X38" s="3">
        <v>5</v>
      </c>
      <c r="AA38" s="13" t="s">
        <v>262</v>
      </c>
      <c r="AB38" s="3">
        <v>6.7911130000000002</v>
      </c>
      <c r="AD38" s="14">
        <v>2043</v>
      </c>
      <c r="AH38" s="7"/>
      <c r="AI38" s="7"/>
      <c r="AJ38" s="7"/>
      <c r="AM38" s="7"/>
    </row>
    <row r="39" spans="1:39">
      <c r="A39" s="13" t="s">
        <v>273</v>
      </c>
      <c r="B39"/>
      <c r="E39" s="13" t="s">
        <v>263</v>
      </c>
      <c r="F39" s="3">
        <v>1</v>
      </c>
      <c r="G39" s="13" t="s">
        <v>263</v>
      </c>
      <c r="H39" s="3">
        <v>1</v>
      </c>
      <c r="I39" s="13" t="s">
        <v>263</v>
      </c>
      <c r="J39" s="3">
        <v>1</v>
      </c>
      <c r="K39" s="13" t="s">
        <v>263</v>
      </c>
      <c r="L39" s="3">
        <v>1</v>
      </c>
      <c r="M39" s="13" t="s">
        <v>263</v>
      </c>
      <c r="N39" s="3">
        <v>1</v>
      </c>
      <c r="O39" s="7" t="s">
        <v>263</v>
      </c>
      <c r="P39" s="7" t="s">
        <v>232</v>
      </c>
      <c r="Q39" s="7" t="s">
        <v>263</v>
      </c>
      <c r="R39" s="7" t="s">
        <v>31</v>
      </c>
      <c r="S39" s="13" t="s">
        <v>263</v>
      </c>
      <c r="T39" s="3">
        <v>-1</v>
      </c>
      <c r="U39" s="3">
        <v>-1</v>
      </c>
      <c r="V39" s="3">
        <v>-1</v>
      </c>
      <c r="W39" s="3">
        <v>1</v>
      </c>
      <c r="X39" s="3">
        <v>5</v>
      </c>
      <c r="AA39" s="13" t="s">
        <v>263</v>
      </c>
      <c r="AB39" s="3">
        <v>5.7911130000000002</v>
      </c>
      <c r="AD39" s="14">
        <v>2044</v>
      </c>
      <c r="AH39" s="7"/>
      <c r="AI39" s="7"/>
      <c r="AJ39" s="7"/>
      <c r="AM39" s="7"/>
    </row>
    <row r="40" spans="1:39">
      <c r="A40" s="13" t="s">
        <v>294</v>
      </c>
      <c r="B40"/>
      <c r="E40" s="13" t="s">
        <v>264</v>
      </c>
      <c r="F40" s="3">
        <v>1</v>
      </c>
      <c r="G40" s="13" t="s">
        <v>264</v>
      </c>
      <c r="H40" s="3">
        <v>1</v>
      </c>
      <c r="I40" s="13" t="s">
        <v>264</v>
      </c>
      <c r="J40" s="3">
        <v>1</v>
      </c>
      <c r="K40" s="13" t="s">
        <v>264</v>
      </c>
      <c r="L40" s="3">
        <v>1</v>
      </c>
      <c r="M40" s="13" t="s">
        <v>264</v>
      </c>
      <c r="N40" s="3">
        <v>1</v>
      </c>
      <c r="O40" s="7" t="s">
        <v>264</v>
      </c>
      <c r="P40" s="7" t="s">
        <v>232</v>
      </c>
      <c r="Q40" s="7" t="s">
        <v>264</v>
      </c>
      <c r="R40" s="7" t="s">
        <v>31</v>
      </c>
      <c r="S40" s="13" t="s">
        <v>264</v>
      </c>
      <c r="T40" s="3">
        <v>-1</v>
      </c>
      <c r="U40" s="3">
        <v>-1</v>
      </c>
      <c r="V40" s="3">
        <v>-1</v>
      </c>
      <c r="W40" s="3">
        <v>1</v>
      </c>
      <c r="X40" s="3">
        <v>5</v>
      </c>
      <c r="AA40" s="13" t="s">
        <v>264</v>
      </c>
      <c r="AB40" s="3">
        <v>4.7911130000000002</v>
      </c>
      <c r="AD40" s="14">
        <v>2045</v>
      </c>
      <c r="AH40" s="7"/>
      <c r="AI40" s="7"/>
      <c r="AJ40" s="7"/>
      <c r="AM40" s="7"/>
    </row>
    <row r="41" spans="1:39">
      <c r="A41" s="13" t="s">
        <v>283</v>
      </c>
      <c r="B41"/>
      <c r="E41" s="13" t="s">
        <v>265</v>
      </c>
      <c r="F41" s="3">
        <v>1</v>
      </c>
      <c r="G41" s="13" t="s">
        <v>265</v>
      </c>
      <c r="H41" s="3">
        <v>1</v>
      </c>
      <c r="I41" s="13" t="s">
        <v>265</v>
      </c>
      <c r="J41" s="3">
        <v>1</v>
      </c>
      <c r="K41" s="13" t="s">
        <v>265</v>
      </c>
      <c r="L41" s="3">
        <v>1</v>
      </c>
      <c r="M41" s="13" t="s">
        <v>265</v>
      </c>
      <c r="N41" s="3">
        <v>1</v>
      </c>
      <c r="O41" s="7" t="s">
        <v>265</v>
      </c>
      <c r="P41" s="7" t="s">
        <v>270</v>
      </c>
      <c r="Q41" s="7" t="s">
        <v>265</v>
      </c>
      <c r="R41" s="7" t="s">
        <v>31</v>
      </c>
      <c r="S41" s="13" t="s">
        <v>265</v>
      </c>
      <c r="T41" s="3">
        <v>2</v>
      </c>
      <c r="U41" s="3">
        <v>2</v>
      </c>
      <c r="V41" s="3">
        <v>1</v>
      </c>
      <c r="W41" s="3">
        <v>3</v>
      </c>
      <c r="X41" s="3">
        <v>5</v>
      </c>
      <c r="AA41" s="13" t="s">
        <v>265</v>
      </c>
      <c r="AB41" s="3">
        <v>100</v>
      </c>
      <c r="AD41" s="14">
        <v>2046</v>
      </c>
      <c r="AH41" s="7"/>
      <c r="AI41" s="7"/>
      <c r="AJ41" s="7"/>
      <c r="AM41" s="7"/>
    </row>
    <row r="42" spans="1:39">
      <c r="A42" s="13" t="s">
        <v>259</v>
      </c>
      <c r="B42"/>
      <c r="E42" s="13" t="s">
        <v>266</v>
      </c>
      <c r="F42" s="3">
        <v>1</v>
      </c>
      <c r="G42" s="13" t="s">
        <v>266</v>
      </c>
      <c r="H42" s="3">
        <v>1</v>
      </c>
      <c r="I42" s="13" t="s">
        <v>266</v>
      </c>
      <c r="J42" s="3">
        <v>1</v>
      </c>
      <c r="K42" s="13" t="s">
        <v>266</v>
      </c>
      <c r="L42" s="3">
        <v>1</v>
      </c>
      <c r="M42" s="13" t="s">
        <v>266</v>
      </c>
      <c r="N42" s="3">
        <v>1</v>
      </c>
      <c r="O42" s="7" t="s">
        <v>266</v>
      </c>
      <c r="P42" s="7" t="s">
        <v>270</v>
      </c>
      <c r="Q42" s="7" t="s">
        <v>266</v>
      </c>
      <c r="R42" s="7" t="s">
        <v>31</v>
      </c>
      <c r="S42" s="13" t="s">
        <v>266</v>
      </c>
      <c r="T42" s="3">
        <v>2</v>
      </c>
      <c r="U42" s="3">
        <v>2</v>
      </c>
      <c r="V42" s="3">
        <v>1</v>
      </c>
      <c r="W42" s="3">
        <v>3</v>
      </c>
      <c r="X42" s="3">
        <v>5</v>
      </c>
      <c r="AA42" s="13" t="s">
        <v>266</v>
      </c>
      <c r="AB42" s="3">
        <v>7.7911130000000002</v>
      </c>
      <c r="AD42" s="14">
        <v>2047</v>
      </c>
      <c r="AH42" s="7"/>
      <c r="AI42" s="7"/>
      <c r="AJ42" s="7"/>
      <c r="AM42" s="7"/>
    </row>
    <row r="43" spans="1:39">
      <c r="A43" s="13" t="s">
        <v>282</v>
      </c>
      <c r="B43"/>
      <c r="E43" s="13" t="s">
        <v>267</v>
      </c>
      <c r="F43" s="3">
        <v>1</v>
      </c>
      <c r="G43" s="13" t="s">
        <v>267</v>
      </c>
      <c r="H43" s="3">
        <v>1</v>
      </c>
      <c r="I43" s="13" t="s">
        <v>267</v>
      </c>
      <c r="J43" s="3">
        <v>1</v>
      </c>
      <c r="K43" s="13" t="s">
        <v>267</v>
      </c>
      <c r="L43" s="3">
        <v>1</v>
      </c>
      <c r="M43" s="13" t="s">
        <v>267</v>
      </c>
      <c r="N43" s="3">
        <v>1</v>
      </c>
      <c r="O43" s="7" t="s">
        <v>267</v>
      </c>
      <c r="P43" s="7" t="s">
        <v>270</v>
      </c>
      <c r="Q43" s="7" t="s">
        <v>267</v>
      </c>
      <c r="R43" s="7" t="s">
        <v>31</v>
      </c>
      <c r="S43" s="13" t="s">
        <v>267</v>
      </c>
      <c r="T43" s="3">
        <v>2</v>
      </c>
      <c r="U43" s="3">
        <v>2</v>
      </c>
      <c r="V43" s="3">
        <v>1</v>
      </c>
      <c r="W43" s="3">
        <v>3</v>
      </c>
      <c r="X43" s="3">
        <v>5</v>
      </c>
      <c r="AA43" s="13" t="s">
        <v>267</v>
      </c>
      <c r="AB43" s="3">
        <v>6.7911130000000002</v>
      </c>
      <c r="AD43" s="14">
        <v>2048</v>
      </c>
      <c r="AH43" s="7"/>
      <c r="AI43" s="7"/>
      <c r="AJ43" s="7"/>
      <c r="AM43" s="7"/>
    </row>
    <row r="44" spans="1:39">
      <c r="A44" s="13" t="s">
        <v>258</v>
      </c>
      <c r="B44"/>
      <c r="E44" s="13" t="s">
        <v>268</v>
      </c>
      <c r="F44" s="3">
        <v>1</v>
      </c>
      <c r="G44" s="13" t="s">
        <v>268</v>
      </c>
      <c r="H44" s="3">
        <v>1</v>
      </c>
      <c r="I44" s="13" t="s">
        <v>268</v>
      </c>
      <c r="J44" s="3">
        <v>1</v>
      </c>
      <c r="K44" s="13" t="s">
        <v>268</v>
      </c>
      <c r="L44" s="3">
        <v>1</v>
      </c>
      <c r="M44" s="13" t="s">
        <v>268</v>
      </c>
      <c r="N44" s="3">
        <v>1</v>
      </c>
      <c r="O44" s="7" t="s">
        <v>268</v>
      </c>
      <c r="P44" s="7" t="s">
        <v>270</v>
      </c>
      <c r="Q44" s="7" t="s">
        <v>268</v>
      </c>
      <c r="R44" s="7" t="s">
        <v>31</v>
      </c>
      <c r="S44" s="13" t="s">
        <v>268</v>
      </c>
      <c r="T44" s="3">
        <v>2</v>
      </c>
      <c r="U44" s="3">
        <v>2</v>
      </c>
      <c r="V44" s="3">
        <v>1</v>
      </c>
      <c r="W44" s="3">
        <v>3</v>
      </c>
      <c r="X44" s="3">
        <v>5</v>
      </c>
      <c r="AA44" s="13" t="s">
        <v>268</v>
      </c>
      <c r="AB44" s="3">
        <v>5.7911130000000002</v>
      </c>
      <c r="AD44" s="14">
        <v>2049</v>
      </c>
      <c r="AH44" s="7"/>
      <c r="AI44" s="7"/>
      <c r="AJ44" s="7"/>
      <c r="AM44" s="7"/>
    </row>
    <row r="45" spans="1:39">
      <c r="A45" s="13" t="s">
        <v>281</v>
      </c>
      <c r="B45"/>
      <c r="E45" s="13" t="s">
        <v>269</v>
      </c>
      <c r="F45" s="3">
        <v>1</v>
      </c>
      <c r="G45" s="13" t="s">
        <v>269</v>
      </c>
      <c r="H45" s="3">
        <v>1</v>
      </c>
      <c r="I45" s="13" t="s">
        <v>269</v>
      </c>
      <c r="J45" s="3">
        <v>1</v>
      </c>
      <c r="K45" s="13" t="s">
        <v>269</v>
      </c>
      <c r="L45" s="3">
        <v>1</v>
      </c>
      <c r="M45" s="13" t="s">
        <v>269</v>
      </c>
      <c r="N45" s="3">
        <v>1</v>
      </c>
      <c r="O45" s="7" t="s">
        <v>269</v>
      </c>
      <c r="P45" s="7" t="s">
        <v>270</v>
      </c>
      <c r="Q45" s="7" t="s">
        <v>269</v>
      </c>
      <c r="R45" s="7" t="s">
        <v>31</v>
      </c>
      <c r="S45" s="13" t="s">
        <v>269</v>
      </c>
      <c r="T45" s="3">
        <v>2</v>
      </c>
      <c r="U45" s="3">
        <v>2</v>
      </c>
      <c r="V45" s="3">
        <v>1</v>
      </c>
      <c r="W45" s="3">
        <v>3</v>
      </c>
      <c r="X45" s="3">
        <v>5</v>
      </c>
      <c r="AA45" s="13" t="s">
        <v>269</v>
      </c>
      <c r="AB45" s="3">
        <v>4.7911130000000002</v>
      </c>
      <c r="AD45" s="14">
        <v>2050</v>
      </c>
      <c r="AH45" s="7"/>
      <c r="AI45" s="7"/>
      <c r="AJ45" s="7"/>
      <c r="AM45" s="7"/>
    </row>
    <row r="46" spans="1:39">
      <c r="A46" s="13" t="s">
        <v>257</v>
      </c>
      <c r="B46"/>
      <c r="E46" s="13" t="s">
        <v>272</v>
      </c>
      <c r="F46" s="3">
        <v>1</v>
      </c>
      <c r="G46" s="13" t="s">
        <v>272</v>
      </c>
      <c r="H46" s="3">
        <v>1</v>
      </c>
      <c r="I46" s="13" t="s">
        <v>272</v>
      </c>
      <c r="J46" s="3">
        <v>1</v>
      </c>
      <c r="K46" s="13" t="s">
        <v>272</v>
      </c>
      <c r="L46" s="3">
        <v>1</v>
      </c>
      <c r="M46" s="13" t="s">
        <v>272</v>
      </c>
      <c r="N46" s="3">
        <v>1</v>
      </c>
      <c r="O46" s="7" t="s">
        <v>272</v>
      </c>
      <c r="P46" s="7" t="s">
        <v>271</v>
      </c>
      <c r="Q46" s="7" t="s">
        <v>272</v>
      </c>
      <c r="R46" s="7" t="s">
        <v>30</v>
      </c>
      <c r="S46" s="13" t="s">
        <v>272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3" t="s">
        <v>272</v>
      </c>
      <c r="AB46" s="3">
        <v>100</v>
      </c>
      <c r="AH46" s="7"/>
      <c r="AI46" s="7"/>
      <c r="AJ46" s="7"/>
    </row>
    <row r="47" spans="1:39">
      <c r="A47" s="13" t="s">
        <v>295</v>
      </c>
      <c r="B47"/>
      <c r="E47" s="13" t="s">
        <v>273</v>
      </c>
      <c r="F47" s="3">
        <v>0</v>
      </c>
      <c r="G47" s="13" t="s">
        <v>273</v>
      </c>
      <c r="H47" s="3">
        <v>0</v>
      </c>
      <c r="I47" s="13" t="s">
        <v>273</v>
      </c>
      <c r="J47" s="3">
        <v>1</v>
      </c>
      <c r="K47" s="13" t="s">
        <v>273</v>
      </c>
      <c r="L47" s="3">
        <v>0</v>
      </c>
      <c r="M47" s="13" t="s">
        <v>273</v>
      </c>
      <c r="N47" s="3">
        <v>0</v>
      </c>
      <c r="O47" s="7" t="s">
        <v>273</v>
      </c>
      <c r="P47" s="7" t="s">
        <v>227</v>
      </c>
      <c r="Q47" s="7" t="s">
        <v>273</v>
      </c>
      <c r="R47" s="7" t="s">
        <v>30</v>
      </c>
      <c r="S47" s="13" t="s">
        <v>273</v>
      </c>
      <c r="T47" s="3">
        <v>-1</v>
      </c>
      <c r="U47" s="3">
        <v>-1</v>
      </c>
      <c r="V47" s="3">
        <v>-1</v>
      </c>
      <c r="W47" s="3">
        <v>1</v>
      </c>
      <c r="X47" s="3">
        <v>-1</v>
      </c>
      <c r="AA47" s="13" t="s">
        <v>273</v>
      </c>
      <c r="AB47" s="3">
        <v>100</v>
      </c>
      <c r="AH47" s="7"/>
      <c r="AI47" s="7"/>
      <c r="AJ47" s="7"/>
    </row>
    <row r="48" spans="1:39">
      <c r="A48" s="13" t="s">
        <v>256</v>
      </c>
      <c r="B48"/>
      <c r="E48" s="13" t="s">
        <v>274</v>
      </c>
      <c r="F48" s="3">
        <v>1</v>
      </c>
      <c r="G48" s="13" t="s">
        <v>274</v>
      </c>
      <c r="H48" s="3">
        <v>1</v>
      </c>
      <c r="I48" s="13" t="s">
        <v>274</v>
      </c>
      <c r="J48" s="3">
        <v>1</v>
      </c>
      <c r="K48" s="13" t="s">
        <v>274</v>
      </c>
      <c r="L48" s="3">
        <v>1</v>
      </c>
      <c r="M48" s="13" t="s">
        <v>274</v>
      </c>
      <c r="N48" s="3">
        <v>1</v>
      </c>
      <c r="O48" s="7" t="s">
        <v>274</v>
      </c>
      <c r="P48" s="7" t="s">
        <v>227</v>
      </c>
      <c r="Q48" s="7" t="s">
        <v>274</v>
      </c>
      <c r="R48" s="7" t="s">
        <v>30</v>
      </c>
      <c r="S48" s="13" t="s">
        <v>274</v>
      </c>
      <c r="T48" s="3">
        <v>-1</v>
      </c>
      <c r="U48" s="3">
        <v>-1</v>
      </c>
      <c r="V48" s="3">
        <v>-1</v>
      </c>
      <c r="W48" s="3">
        <v>1</v>
      </c>
      <c r="X48" s="3">
        <v>5</v>
      </c>
      <c r="AA48" s="13" t="s">
        <v>274</v>
      </c>
      <c r="AB48" s="3">
        <v>6.7911130000000002</v>
      </c>
      <c r="AH48" s="7"/>
      <c r="AI48" s="7"/>
      <c r="AJ48" s="7"/>
    </row>
    <row r="49" spans="1:36">
      <c r="A49" s="13" t="s">
        <v>280</v>
      </c>
      <c r="B49"/>
      <c r="E49" s="13" t="s">
        <v>230</v>
      </c>
      <c r="F49" s="3">
        <v>1</v>
      </c>
      <c r="G49" s="13" t="s">
        <v>230</v>
      </c>
      <c r="H49" s="3">
        <v>1</v>
      </c>
      <c r="I49" s="13" t="s">
        <v>230</v>
      </c>
      <c r="J49" s="3">
        <v>1</v>
      </c>
      <c r="K49" s="13" t="s">
        <v>230</v>
      </c>
      <c r="L49" s="3">
        <v>1</v>
      </c>
      <c r="M49" s="13" t="s">
        <v>230</v>
      </c>
      <c r="N49" s="3">
        <v>1</v>
      </c>
      <c r="O49" s="7" t="s">
        <v>230</v>
      </c>
      <c r="P49" s="7" t="s">
        <v>227</v>
      </c>
      <c r="Q49" s="7" t="s">
        <v>230</v>
      </c>
      <c r="R49" s="7" t="s">
        <v>30</v>
      </c>
      <c r="S49" s="13" t="s">
        <v>230</v>
      </c>
      <c r="T49" s="3">
        <v>-1</v>
      </c>
      <c r="U49" s="3">
        <v>-1</v>
      </c>
      <c r="V49" s="3">
        <v>-1</v>
      </c>
      <c r="W49" s="3">
        <v>1</v>
      </c>
      <c r="X49" s="3">
        <v>5</v>
      </c>
      <c r="AA49" s="13" t="s">
        <v>230</v>
      </c>
      <c r="AB49" s="3">
        <v>5.7911130000000002</v>
      </c>
      <c r="AH49" s="7"/>
      <c r="AI49" s="7"/>
      <c r="AJ49" s="7"/>
    </row>
    <row r="50" spans="1:36">
      <c r="A50" s="13" t="s">
        <v>255</v>
      </c>
      <c r="B50"/>
      <c r="E50" s="13" t="s">
        <v>231</v>
      </c>
      <c r="F50" s="3">
        <v>1</v>
      </c>
      <c r="G50" s="13" t="s">
        <v>231</v>
      </c>
      <c r="H50" s="3">
        <v>1</v>
      </c>
      <c r="I50" s="13" t="s">
        <v>231</v>
      </c>
      <c r="J50" s="3">
        <v>1</v>
      </c>
      <c r="K50" s="13" t="s">
        <v>231</v>
      </c>
      <c r="L50" s="3">
        <v>1</v>
      </c>
      <c r="M50" s="13" t="s">
        <v>231</v>
      </c>
      <c r="N50" s="3">
        <v>1</v>
      </c>
      <c r="O50" s="7" t="s">
        <v>231</v>
      </c>
      <c r="P50" s="7" t="s">
        <v>227</v>
      </c>
      <c r="Q50" s="7" t="s">
        <v>231</v>
      </c>
      <c r="R50" s="7" t="s">
        <v>30</v>
      </c>
      <c r="S50" s="13" t="s">
        <v>231</v>
      </c>
      <c r="T50" s="3">
        <v>-1</v>
      </c>
      <c r="U50" s="3">
        <v>-1</v>
      </c>
      <c r="V50" s="3">
        <v>-1</v>
      </c>
      <c r="W50" s="3">
        <v>1</v>
      </c>
      <c r="X50" s="3">
        <v>5</v>
      </c>
      <c r="AA50" s="13" t="s">
        <v>231</v>
      </c>
      <c r="AB50" s="3">
        <v>4.7911130000000002</v>
      </c>
      <c r="AH50" s="7"/>
      <c r="AI50" s="7"/>
      <c r="AJ50" s="7"/>
    </row>
    <row r="51" spans="1:36">
      <c r="A51" s="13" t="s">
        <v>288</v>
      </c>
      <c r="B51"/>
      <c r="E51" s="13" t="s">
        <v>275</v>
      </c>
      <c r="F51" s="3">
        <v>1</v>
      </c>
      <c r="G51" s="13" t="s">
        <v>275</v>
      </c>
      <c r="H51" s="3">
        <v>1</v>
      </c>
      <c r="I51" s="13" t="s">
        <v>275</v>
      </c>
      <c r="J51" s="3">
        <v>1</v>
      </c>
      <c r="K51" s="13" t="s">
        <v>275</v>
      </c>
      <c r="L51" s="3">
        <v>1</v>
      </c>
      <c r="M51" s="13" t="s">
        <v>275</v>
      </c>
      <c r="N51" s="3">
        <v>1</v>
      </c>
      <c r="O51" s="7" t="s">
        <v>275</v>
      </c>
      <c r="P51" s="7" t="s">
        <v>236</v>
      </c>
      <c r="Q51" s="7" t="s">
        <v>275</v>
      </c>
      <c r="R51" s="7" t="s">
        <v>30</v>
      </c>
      <c r="S51" s="13" t="s">
        <v>275</v>
      </c>
      <c r="T51" s="3">
        <v>2</v>
      </c>
      <c r="U51" s="3">
        <v>2</v>
      </c>
      <c r="V51" s="3">
        <v>1</v>
      </c>
      <c r="W51" s="3">
        <v>3</v>
      </c>
      <c r="X51" s="3">
        <v>5</v>
      </c>
      <c r="AA51" s="13" t="s">
        <v>275</v>
      </c>
      <c r="AB51" s="3">
        <v>100</v>
      </c>
      <c r="AH51" s="7"/>
      <c r="AI51" s="7"/>
      <c r="AJ51" s="7"/>
    </row>
    <row r="52" spans="1:36">
      <c r="A52" s="13" t="s">
        <v>264</v>
      </c>
      <c r="B52"/>
      <c r="E52" s="13" t="s">
        <v>276</v>
      </c>
      <c r="F52" s="3">
        <v>1</v>
      </c>
      <c r="G52" s="13" t="s">
        <v>276</v>
      </c>
      <c r="H52" s="3">
        <v>1</v>
      </c>
      <c r="I52" s="13" t="s">
        <v>276</v>
      </c>
      <c r="J52" s="3">
        <v>1</v>
      </c>
      <c r="K52" s="13" t="s">
        <v>276</v>
      </c>
      <c r="L52" s="3">
        <v>1</v>
      </c>
      <c r="M52" s="13" t="s">
        <v>276</v>
      </c>
      <c r="N52" s="3">
        <v>1</v>
      </c>
      <c r="O52" s="7" t="s">
        <v>276</v>
      </c>
      <c r="P52" s="7" t="s">
        <v>236</v>
      </c>
      <c r="Q52" s="7" t="s">
        <v>276</v>
      </c>
      <c r="R52" s="7" t="s">
        <v>30</v>
      </c>
      <c r="S52" s="13" t="s">
        <v>276</v>
      </c>
      <c r="T52" s="3">
        <v>2</v>
      </c>
      <c r="U52" s="3">
        <v>2</v>
      </c>
      <c r="V52" s="3">
        <v>1</v>
      </c>
      <c r="W52" s="3">
        <v>3</v>
      </c>
      <c r="X52" s="3">
        <v>5</v>
      </c>
      <c r="AA52" s="13" t="s">
        <v>276</v>
      </c>
      <c r="AB52" s="3">
        <v>6.7911130000000002</v>
      </c>
    </row>
    <row r="53" spans="1:36">
      <c r="A53" s="13" t="s">
        <v>287</v>
      </c>
      <c r="B53"/>
      <c r="E53" s="13" t="s">
        <v>277</v>
      </c>
      <c r="F53" s="3">
        <v>1</v>
      </c>
      <c r="G53" s="13" t="s">
        <v>277</v>
      </c>
      <c r="H53" s="3">
        <v>1</v>
      </c>
      <c r="I53" s="13" t="s">
        <v>277</v>
      </c>
      <c r="J53" s="3">
        <v>1</v>
      </c>
      <c r="K53" s="13" t="s">
        <v>277</v>
      </c>
      <c r="L53" s="3">
        <v>1</v>
      </c>
      <c r="M53" s="13" t="s">
        <v>277</v>
      </c>
      <c r="N53" s="3">
        <v>1</v>
      </c>
      <c r="O53" s="7" t="s">
        <v>277</v>
      </c>
      <c r="P53" s="7" t="s">
        <v>236</v>
      </c>
      <c r="Q53" s="7" t="s">
        <v>277</v>
      </c>
      <c r="R53" s="7" t="s">
        <v>30</v>
      </c>
      <c r="S53" s="13" t="s">
        <v>277</v>
      </c>
      <c r="T53" s="3">
        <v>2</v>
      </c>
      <c r="U53" s="3">
        <v>2</v>
      </c>
      <c r="V53" s="3">
        <v>1</v>
      </c>
      <c r="W53" s="3">
        <v>3</v>
      </c>
      <c r="X53" s="3">
        <v>5</v>
      </c>
      <c r="AA53" s="13" t="s">
        <v>277</v>
      </c>
      <c r="AB53" s="3">
        <v>5.7911130000000002</v>
      </c>
    </row>
    <row r="54" spans="1:36">
      <c r="A54" s="13" t="s">
        <v>263</v>
      </c>
      <c r="B54"/>
      <c r="E54" s="13" t="s">
        <v>278</v>
      </c>
      <c r="F54" s="3">
        <v>1</v>
      </c>
      <c r="G54" s="13" t="s">
        <v>278</v>
      </c>
      <c r="H54" s="3">
        <v>1</v>
      </c>
      <c r="I54" s="13" t="s">
        <v>278</v>
      </c>
      <c r="J54" s="3">
        <v>1</v>
      </c>
      <c r="K54" s="13" t="s">
        <v>278</v>
      </c>
      <c r="L54" s="3">
        <v>1</v>
      </c>
      <c r="M54" s="13" t="s">
        <v>278</v>
      </c>
      <c r="N54" s="3">
        <v>1</v>
      </c>
      <c r="O54" s="7" t="s">
        <v>278</v>
      </c>
      <c r="P54" s="7" t="s">
        <v>236</v>
      </c>
      <c r="Q54" s="7" t="s">
        <v>278</v>
      </c>
      <c r="R54" s="7" t="s">
        <v>30</v>
      </c>
      <c r="S54" s="13" t="s">
        <v>278</v>
      </c>
      <c r="T54" s="3">
        <v>2</v>
      </c>
      <c r="U54" s="3">
        <v>2</v>
      </c>
      <c r="V54" s="3">
        <v>1</v>
      </c>
      <c r="W54" s="3">
        <v>3</v>
      </c>
      <c r="X54" s="3">
        <v>5</v>
      </c>
      <c r="AA54" s="13" t="s">
        <v>278</v>
      </c>
      <c r="AB54" s="3">
        <v>4.7911130000000002</v>
      </c>
    </row>
    <row r="55" spans="1:36">
      <c r="A55" s="13" t="s">
        <v>286</v>
      </c>
      <c r="B55"/>
      <c r="E55" s="13" t="s">
        <v>279</v>
      </c>
      <c r="F55" s="3">
        <v>1</v>
      </c>
      <c r="G55" s="13" t="s">
        <v>279</v>
      </c>
      <c r="H55" s="3">
        <v>1</v>
      </c>
      <c r="I55" s="13" t="s">
        <v>279</v>
      </c>
      <c r="J55" s="3">
        <v>1</v>
      </c>
      <c r="K55" s="13" t="s">
        <v>279</v>
      </c>
      <c r="L55" s="3">
        <v>1</v>
      </c>
      <c r="M55" s="13" t="s">
        <v>279</v>
      </c>
      <c r="N55" s="3">
        <v>1</v>
      </c>
      <c r="O55" s="7" t="s">
        <v>279</v>
      </c>
      <c r="P55" s="7" t="s">
        <v>271</v>
      </c>
      <c r="Q55" s="7" t="s">
        <v>279</v>
      </c>
      <c r="R55" s="7" t="s">
        <v>31</v>
      </c>
      <c r="S55" s="13" t="s">
        <v>279</v>
      </c>
      <c r="T55" s="3">
        <v>2</v>
      </c>
      <c r="U55" s="3">
        <v>2</v>
      </c>
      <c r="V55" s="3">
        <v>1</v>
      </c>
      <c r="W55" s="3">
        <v>2</v>
      </c>
      <c r="X55" s="3">
        <v>1</v>
      </c>
      <c r="AA55" s="13" t="s">
        <v>279</v>
      </c>
      <c r="AB55" s="3">
        <v>100</v>
      </c>
    </row>
    <row r="56" spans="1:36">
      <c r="A56" s="13" t="s">
        <v>262</v>
      </c>
      <c r="B56"/>
      <c r="E56" s="13" t="s">
        <v>280</v>
      </c>
      <c r="F56" s="3">
        <v>1</v>
      </c>
      <c r="G56" s="13" t="s">
        <v>280</v>
      </c>
      <c r="H56" s="3">
        <v>1</v>
      </c>
      <c r="I56" s="13" t="s">
        <v>280</v>
      </c>
      <c r="J56" s="3">
        <v>1</v>
      </c>
      <c r="K56" s="13" t="s">
        <v>280</v>
      </c>
      <c r="L56" s="3">
        <v>1</v>
      </c>
      <c r="M56" s="13" t="s">
        <v>280</v>
      </c>
      <c r="N56" s="3">
        <v>1</v>
      </c>
      <c r="O56" s="7" t="s">
        <v>280</v>
      </c>
      <c r="P56" s="7" t="s">
        <v>222</v>
      </c>
      <c r="Q56" s="7" t="s">
        <v>280</v>
      </c>
      <c r="R56" s="7" t="s">
        <v>31</v>
      </c>
      <c r="S56" s="13" t="s">
        <v>280</v>
      </c>
      <c r="T56" s="3">
        <v>-1</v>
      </c>
      <c r="U56" s="3">
        <v>-1</v>
      </c>
      <c r="V56" s="3">
        <v>-1</v>
      </c>
      <c r="W56" s="3">
        <v>1</v>
      </c>
      <c r="X56" s="3">
        <v>4</v>
      </c>
      <c r="AA56" s="13" t="s">
        <v>280</v>
      </c>
      <c r="AB56" s="3">
        <v>100</v>
      </c>
    </row>
    <row r="57" spans="1:36">
      <c r="A57" s="13" t="s">
        <v>285</v>
      </c>
      <c r="B57"/>
      <c r="E57" s="13" t="s">
        <v>281</v>
      </c>
      <c r="F57" s="3">
        <v>1</v>
      </c>
      <c r="G57" s="13" t="s">
        <v>281</v>
      </c>
      <c r="H57" s="3">
        <v>1</v>
      </c>
      <c r="I57" s="13" t="s">
        <v>281</v>
      </c>
      <c r="J57" s="3">
        <v>1</v>
      </c>
      <c r="K57" s="13" t="s">
        <v>281</v>
      </c>
      <c r="L57" s="3">
        <v>1</v>
      </c>
      <c r="M57" s="13" t="s">
        <v>281</v>
      </c>
      <c r="N57" s="3">
        <v>1</v>
      </c>
      <c r="O57" s="7" t="s">
        <v>281</v>
      </c>
      <c r="P57" s="7" t="s">
        <v>222</v>
      </c>
      <c r="Q57" s="7" t="s">
        <v>281</v>
      </c>
      <c r="R57" s="7" t="s">
        <v>31</v>
      </c>
      <c r="S57" s="13" t="s">
        <v>281</v>
      </c>
      <c r="T57" s="3">
        <v>-1</v>
      </c>
      <c r="U57" s="3">
        <v>-1</v>
      </c>
      <c r="V57" s="3">
        <v>-1</v>
      </c>
      <c r="W57" s="3">
        <v>1</v>
      </c>
      <c r="X57" s="3">
        <v>4</v>
      </c>
      <c r="AA57" s="13" t="s">
        <v>281</v>
      </c>
      <c r="AB57" s="3">
        <v>6.4793989999999999</v>
      </c>
    </row>
    <row r="58" spans="1:36">
      <c r="A58" s="13" t="s">
        <v>261</v>
      </c>
      <c r="B58"/>
      <c r="E58" s="13" t="s">
        <v>282</v>
      </c>
      <c r="F58" s="3">
        <v>1</v>
      </c>
      <c r="G58" s="13" t="s">
        <v>282</v>
      </c>
      <c r="H58" s="3">
        <v>1</v>
      </c>
      <c r="I58" s="13" t="s">
        <v>282</v>
      </c>
      <c r="J58" s="3">
        <v>1</v>
      </c>
      <c r="K58" s="13" t="s">
        <v>282</v>
      </c>
      <c r="L58" s="3">
        <v>1</v>
      </c>
      <c r="M58" s="13" t="s">
        <v>282</v>
      </c>
      <c r="N58" s="3">
        <v>1</v>
      </c>
      <c r="O58" s="7" t="s">
        <v>282</v>
      </c>
      <c r="P58" s="7" t="s">
        <v>222</v>
      </c>
      <c r="Q58" s="7" t="s">
        <v>282</v>
      </c>
      <c r="R58" s="7" t="s">
        <v>31</v>
      </c>
      <c r="S58" s="13" t="s">
        <v>282</v>
      </c>
      <c r="T58" s="3">
        <v>-1</v>
      </c>
      <c r="U58" s="3">
        <v>-1</v>
      </c>
      <c r="V58" s="3">
        <v>-1</v>
      </c>
      <c r="W58" s="3">
        <v>1</v>
      </c>
      <c r="X58" s="3">
        <v>4</v>
      </c>
      <c r="AA58" s="13" t="s">
        <v>282</v>
      </c>
      <c r="AB58" s="3">
        <v>5.4793989999999999</v>
      </c>
    </row>
    <row r="59" spans="1:36">
      <c r="A59" s="13" t="s">
        <v>293</v>
      </c>
      <c r="B59"/>
      <c r="E59" s="13" t="s">
        <v>283</v>
      </c>
      <c r="F59" s="3">
        <v>1</v>
      </c>
      <c r="G59" s="13" t="s">
        <v>283</v>
      </c>
      <c r="H59" s="3">
        <v>1</v>
      </c>
      <c r="I59" s="13" t="s">
        <v>283</v>
      </c>
      <c r="J59" s="3">
        <v>1</v>
      </c>
      <c r="K59" s="13" t="s">
        <v>283</v>
      </c>
      <c r="L59" s="3">
        <v>1</v>
      </c>
      <c r="M59" s="13" t="s">
        <v>283</v>
      </c>
      <c r="N59" s="3">
        <v>1</v>
      </c>
      <c r="O59" s="7" t="s">
        <v>283</v>
      </c>
      <c r="P59" s="7" t="s">
        <v>222</v>
      </c>
      <c r="Q59" s="7" t="s">
        <v>283</v>
      </c>
      <c r="R59" s="7" t="s">
        <v>31</v>
      </c>
      <c r="S59" s="13" t="s">
        <v>283</v>
      </c>
      <c r="T59" s="3">
        <v>-1</v>
      </c>
      <c r="U59" s="3">
        <v>-1</v>
      </c>
      <c r="V59" s="3">
        <v>-1</v>
      </c>
      <c r="W59" s="3">
        <v>1</v>
      </c>
      <c r="X59" s="3">
        <v>4</v>
      </c>
      <c r="AA59" s="13" t="s">
        <v>283</v>
      </c>
      <c r="AB59" s="3">
        <v>4.4793989999999999</v>
      </c>
    </row>
    <row r="60" spans="1:36">
      <c r="A60" s="13" t="s">
        <v>269</v>
      </c>
      <c r="B60"/>
      <c r="E60" s="13" t="s">
        <v>284</v>
      </c>
      <c r="F60" s="3">
        <v>1</v>
      </c>
      <c r="G60" s="13" t="s">
        <v>284</v>
      </c>
      <c r="H60" s="3">
        <v>1</v>
      </c>
      <c r="I60" s="13" t="s">
        <v>284</v>
      </c>
      <c r="J60" s="3">
        <v>1</v>
      </c>
      <c r="K60" s="13" t="s">
        <v>284</v>
      </c>
      <c r="L60" s="3">
        <v>1</v>
      </c>
      <c r="M60" s="13" t="s">
        <v>284</v>
      </c>
      <c r="N60" s="3">
        <v>1</v>
      </c>
      <c r="O60" s="7" t="s">
        <v>284</v>
      </c>
      <c r="P60" s="7" t="s">
        <v>227</v>
      </c>
      <c r="Q60" s="7" t="s">
        <v>284</v>
      </c>
      <c r="R60" s="7" t="s">
        <v>31</v>
      </c>
      <c r="S60" s="13" t="s">
        <v>284</v>
      </c>
      <c r="T60" s="3">
        <v>-1</v>
      </c>
      <c r="U60" s="3">
        <v>-1</v>
      </c>
      <c r="V60" s="3">
        <v>-1</v>
      </c>
      <c r="W60" s="3">
        <v>1</v>
      </c>
      <c r="X60" s="3">
        <v>5</v>
      </c>
      <c r="AA60" s="13" t="s">
        <v>284</v>
      </c>
      <c r="AB60" s="3">
        <v>100</v>
      </c>
    </row>
    <row r="61" spans="1:36">
      <c r="A61" s="13" t="s">
        <v>292</v>
      </c>
      <c r="B61"/>
      <c r="E61" s="13" t="s">
        <v>285</v>
      </c>
      <c r="F61" s="3">
        <v>1</v>
      </c>
      <c r="G61" s="13" t="s">
        <v>285</v>
      </c>
      <c r="H61" s="3">
        <v>1</v>
      </c>
      <c r="I61" s="13" t="s">
        <v>285</v>
      </c>
      <c r="J61" s="3">
        <v>1</v>
      </c>
      <c r="K61" s="13" t="s">
        <v>285</v>
      </c>
      <c r="L61" s="3">
        <v>1</v>
      </c>
      <c r="M61" s="13" t="s">
        <v>285</v>
      </c>
      <c r="N61" s="3">
        <v>1</v>
      </c>
      <c r="O61" s="7" t="s">
        <v>285</v>
      </c>
      <c r="P61" s="7" t="s">
        <v>227</v>
      </c>
      <c r="Q61" s="7" t="s">
        <v>285</v>
      </c>
      <c r="R61" s="7" t="s">
        <v>31</v>
      </c>
      <c r="S61" s="13" t="s">
        <v>285</v>
      </c>
      <c r="T61" s="3">
        <v>-1</v>
      </c>
      <c r="U61" s="3">
        <v>-1</v>
      </c>
      <c r="V61" s="3">
        <v>-1</v>
      </c>
      <c r="W61" s="3">
        <v>1</v>
      </c>
      <c r="X61" s="3">
        <v>5</v>
      </c>
      <c r="AA61" s="13" t="s">
        <v>285</v>
      </c>
      <c r="AB61" s="3">
        <v>7.7911130000000002</v>
      </c>
    </row>
    <row r="62" spans="1:36">
      <c r="A62" s="13" t="s">
        <v>268</v>
      </c>
      <c r="B62"/>
      <c r="E62" s="13" t="s">
        <v>286</v>
      </c>
      <c r="F62" s="3">
        <v>1</v>
      </c>
      <c r="G62" s="13" t="s">
        <v>286</v>
      </c>
      <c r="H62" s="3">
        <v>1</v>
      </c>
      <c r="I62" s="13" t="s">
        <v>286</v>
      </c>
      <c r="J62" s="3">
        <v>1</v>
      </c>
      <c r="K62" s="13" t="s">
        <v>286</v>
      </c>
      <c r="L62" s="3">
        <v>1</v>
      </c>
      <c r="M62" s="13" t="s">
        <v>286</v>
      </c>
      <c r="N62" s="3">
        <v>1</v>
      </c>
      <c r="O62" s="7" t="s">
        <v>286</v>
      </c>
      <c r="P62" s="7" t="s">
        <v>227</v>
      </c>
      <c r="Q62" s="7" t="s">
        <v>286</v>
      </c>
      <c r="R62" s="7" t="s">
        <v>31</v>
      </c>
      <c r="S62" s="13" t="s">
        <v>286</v>
      </c>
      <c r="T62" s="3">
        <v>-1</v>
      </c>
      <c r="U62" s="3">
        <v>-1</v>
      </c>
      <c r="V62" s="3">
        <v>-1</v>
      </c>
      <c r="W62" s="3">
        <v>1</v>
      </c>
      <c r="X62" s="3">
        <v>5</v>
      </c>
      <c r="AA62" s="13" t="s">
        <v>286</v>
      </c>
      <c r="AB62" s="3">
        <v>6.7911130000000002</v>
      </c>
    </row>
    <row r="63" spans="1:36">
      <c r="A63" s="13" t="s">
        <v>291</v>
      </c>
      <c r="B63"/>
      <c r="E63" s="13" t="s">
        <v>287</v>
      </c>
      <c r="F63" s="3">
        <v>1</v>
      </c>
      <c r="G63" s="13" t="s">
        <v>287</v>
      </c>
      <c r="H63" s="3">
        <v>1</v>
      </c>
      <c r="I63" s="13" t="s">
        <v>287</v>
      </c>
      <c r="J63" s="3">
        <v>1</v>
      </c>
      <c r="K63" s="13" t="s">
        <v>287</v>
      </c>
      <c r="L63" s="3">
        <v>1</v>
      </c>
      <c r="M63" s="13" t="s">
        <v>287</v>
      </c>
      <c r="N63" s="3">
        <v>1</v>
      </c>
      <c r="O63" s="7" t="s">
        <v>287</v>
      </c>
      <c r="P63" s="7" t="s">
        <v>227</v>
      </c>
      <c r="Q63" s="7" t="s">
        <v>287</v>
      </c>
      <c r="R63" s="7" t="s">
        <v>31</v>
      </c>
      <c r="S63" s="13" t="s">
        <v>287</v>
      </c>
      <c r="T63" s="3">
        <v>-1</v>
      </c>
      <c r="U63" s="3">
        <v>-1</v>
      </c>
      <c r="V63" s="3">
        <v>-1</v>
      </c>
      <c r="W63" s="3">
        <v>1</v>
      </c>
      <c r="X63" s="3">
        <v>5</v>
      </c>
      <c r="AA63" s="13" t="s">
        <v>287</v>
      </c>
      <c r="AB63" s="3">
        <v>5.7911130000000002</v>
      </c>
    </row>
    <row r="64" spans="1:36">
      <c r="A64" s="13" t="s">
        <v>267</v>
      </c>
      <c r="B64"/>
      <c r="E64" s="13" t="s">
        <v>288</v>
      </c>
      <c r="F64" s="3">
        <v>1</v>
      </c>
      <c r="G64" s="13" t="s">
        <v>288</v>
      </c>
      <c r="H64" s="3">
        <v>1</v>
      </c>
      <c r="I64" s="13" t="s">
        <v>288</v>
      </c>
      <c r="J64" s="3">
        <v>1</v>
      </c>
      <c r="K64" s="13" t="s">
        <v>288</v>
      </c>
      <c r="L64" s="3">
        <v>1</v>
      </c>
      <c r="M64" s="13" t="s">
        <v>288</v>
      </c>
      <c r="N64" s="3">
        <v>1</v>
      </c>
      <c r="O64" s="7" t="s">
        <v>288</v>
      </c>
      <c r="P64" s="7" t="s">
        <v>227</v>
      </c>
      <c r="Q64" s="7" t="s">
        <v>288</v>
      </c>
      <c r="R64" s="7" t="s">
        <v>31</v>
      </c>
      <c r="S64" s="13" t="s">
        <v>288</v>
      </c>
      <c r="T64" s="3">
        <v>-1</v>
      </c>
      <c r="U64" s="3">
        <v>-1</v>
      </c>
      <c r="V64" s="3">
        <v>-1</v>
      </c>
      <c r="W64" s="3">
        <v>1</v>
      </c>
      <c r="X64" s="3">
        <v>5</v>
      </c>
      <c r="AA64" s="13" t="s">
        <v>288</v>
      </c>
      <c r="AB64" s="3">
        <v>4.7911130000000002</v>
      </c>
    </row>
    <row r="65" spans="1:28">
      <c r="A65" s="13" t="s">
        <v>290</v>
      </c>
      <c r="B65"/>
      <c r="E65" s="13" t="s">
        <v>289</v>
      </c>
      <c r="F65" s="3">
        <v>1</v>
      </c>
      <c r="G65" s="13" t="s">
        <v>289</v>
      </c>
      <c r="H65" s="3">
        <v>1</v>
      </c>
      <c r="I65" s="13" t="s">
        <v>289</v>
      </c>
      <c r="J65" s="3">
        <v>1</v>
      </c>
      <c r="K65" s="13" t="s">
        <v>289</v>
      </c>
      <c r="L65" s="3">
        <v>1</v>
      </c>
      <c r="M65" s="13" t="s">
        <v>289</v>
      </c>
      <c r="N65" s="3">
        <v>1</v>
      </c>
      <c r="O65" s="7" t="s">
        <v>289</v>
      </c>
      <c r="P65" s="7" t="s">
        <v>236</v>
      </c>
      <c r="Q65" s="7" t="s">
        <v>289</v>
      </c>
      <c r="R65" s="7" t="s">
        <v>31</v>
      </c>
      <c r="S65" s="13" t="s">
        <v>289</v>
      </c>
      <c r="T65" s="3">
        <v>2</v>
      </c>
      <c r="U65" s="3">
        <v>2</v>
      </c>
      <c r="V65" s="3">
        <v>1</v>
      </c>
      <c r="W65" s="3">
        <v>3</v>
      </c>
      <c r="X65" s="3">
        <v>5</v>
      </c>
      <c r="AA65" s="13" t="s">
        <v>289</v>
      </c>
      <c r="AB65" s="3">
        <v>100</v>
      </c>
    </row>
    <row r="66" spans="1:28">
      <c r="A66" s="13" t="s">
        <v>266</v>
      </c>
      <c r="B66"/>
      <c r="E66" s="13" t="s">
        <v>290</v>
      </c>
      <c r="F66" s="3">
        <v>1</v>
      </c>
      <c r="G66" s="13" t="s">
        <v>290</v>
      </c>
      <c r="H66" s="3">
        <v>1</v>
      </c>
      <c r="I66" s="13" t="s">
        <v>290</v>
      </c>
      <c r="J66" s="3">
        <v>1</v>
      </c>
      <c r="K66" s="13" t="s">
        <v>290</v>
      </c>
      <c r="L66" s="3">
        <v>1</v>
      </c>
      <c r="M66" s="13" t="s">
        <v>290</v>
      </c>
      <c r="N66" s="3">
        <v>1</v>
      </c>
      <c r="O66" s="7" t="s">
        <v>290</v>
      </c>
      <c r="P66" s="7" t="s">
        <v>236</v>
      </c>
      <c r="Q66" s="7" t="s">
        <v>290</v>
      </c>
      <c r="R66" s="7" t="s">
        <v>31</v>
      </c>
      <c r="S66" s="13" t="s">
        <v>290</v>
      </c>
      <c r="T66" s="3">
        <v>2</v>
      </c>
      <c r="U66" s="3">
        <v>2</v>
      </c>
      <c r="V66" s="3">
        <v>1</v>
      </c>
      <c r="W66" s="3">
        <v>3</v>
      </c>
      <c r="X66" s="3">
        <v>5</v>
      </c>
      <c r="AA66" s="13" t="s">
        <v>290</v>
      </c>
      <c r="AB66" s="3">
        <v>7.7911130000000002</v>
      </c>
    </row>
    <row r="67" spans="1:28">
      <c r="A67" s="13" t="s">
        <v>289</v>
      </c>
      <c r="B67"/>
      <c r="E67" s="13" t="s">
        <v>291</v>
      </c>
      <c r="F67" s="3">
        <v>1</v>
      </c>
      <c r="G67" s="13" t="s">
        <v>291</v>
      </c>
      <c r="H67" s="3">
        <v>1</v>
      </c>
      <c r="I67" s="13" t="s">
        <v>291</v>
      </c>
      <c r="J67" s="3">
        <v>1</v>
      </c>
      <c r="K67" s="13" t="s">
        <v>291</v>
      </c>
      <c r="L67" s="3">
        <v>1</v>
      </c>
      <c r="M67" s="13" t="s">
        <v>291</v>
      </c>
      <c r="N67" s="3">
        <v>1</v>
      </c>
      <c r="O67" s="7" t="s">
        <v>291</v>
      </c>
      <c r="P67" s="7" t="s">
        <v>236</v>
      </c>
      <c r="Q67" s="7" t="s">
        <v>291</v>
      </c>
      <c r="R67" s="7" t="s">
        <v>31</v>
      </c>
      <c r="S67" s="13" t="s">
        <v>291</v>
      </c>
      <c r="T67" s="3">
        <v>2</v>
      </c>
      <c r="U67" s="3">
        <v>2</v>
      </c>
      <c r="V67" s="3">
        <v>1</v>
      </c>
      <c r="W67" s="3">
        <v>3</v>
      </c>
      <c r="X67" s="3">
        <v>5</v>
      </c>
      <c r="AA67" s="13" t="s">
        <v>291</v>
      </c>
      <c r="AB67" s="3">
        <v>6.7911130000000002</v>
      </c>
    </row>
    <row r="68" spans="1:28">
      <c r="A68" s="13" t="s">
        <v>265</v>
      </c>
      <c r="B68"/>
      <c r="E68" s="13" t="s">
        <v>292</v>
      </c>
      <c r="F68" s="3">
        <v>1</v>
      </c>
      <c r="G68" s="13" t="s">
        <v>292</v>
      </c>
      <c r="H68" s="3">
        <v>1</v>
      </c>
      <c r="I68" s="13" t="s">
        <v>292</v>
      </c>
      <c r="J68" s="3">
        <v>1</v>
      </c>
      <c r="K68" s="13" t="s">
        <v>292</v>
      </c>
      <c r="L68" s="3">
        <v>1</v>
      </c>
      <c r="M68" s="13" t="s">
        <v>292</v>
      </c>
      <c r="N68" s="3">
        <v>1</v>
      </c>
      <c r="O68" s="7" t="s">
        <v>292</v>
      </c>
      <c r="P68" s="7" t="s">
        <v>236</v>
      </c>
      <c r="Q68" s="7" t="s">
        <v>292</v>
      </c>
      <c r="R68" s="7" t="s">
        <v>31</v>
      </c>
      <c r="S68" s="13" t="s">
        <v>292</v>
      </c>
      <c r="T68" s="3">
        <v>2</v>
      </c>
      <c r="U68" s="3">
        <v>2</v>
      </c>
      <c r="V68" s="3">
        <v>1</v>
      </c>
      <c r="W68" s="3">
        <v>3</v>
      </c>
      <c r="X68" s="3">
        <v>5</v>
      </c>
      <c r="AA68" s="13" t="s">
        <v>292</v>
      </c>
      <c r="AB68" s="3">
        <v>5.7911130000000002</v>
      </c>
    </row>
    <row r="69" spans="1:28">
      <c r="A69" s="13" t="s">
        <v>284</v>
      </c>
      <c r="B69"/>
      <c r="E69" s="13" t="s">
        <v>293</v>
      </c>
      <c r="F69" s="3">
        <v>1</v>
      </c>
      <c r="G69" s="13" t="s">
        <v>293</v>
      </c>
      <c r="H69" s="3">
        <v>1</v>
      </c>
      <c r="I69" s="13" t="s">
        <v>293</v>
      </c>
      <c r="J69" s="3">
        <v>1</v>
      </c>
      <c r="K69" s="13" t="s">
        <v>293</v>
      </c>
      <c r="L69" s="3">
        <v>1</v>
      </c>
      <c r="M69" s="13" t="s">
        <v>293</v>
      </c>
      <c r="N69" s="3">
        <v>1</v>
      </c>
      <c r="O69" s="7" t="s">
        <v>293</v>
      </c>
      <c r="P69" s="7" t="s">
        <v>236</v>
      </c>
      <c r="Q69" s="7" t="s">
        <v>293</v>
      </c>
      <c r="R69" s="7" t="s">
        <v>31</v>
      </c>
      <c r="S69" s="13" t="s">
        <v>293</v>
      </c>
      <c r="T69" s="3">
        <v>2</v>
      </c>
      <c r="U69" s="3">
        <v>2</v>
      </c>
      <c r="V69" s="3">
        <v>1</v>
      </c>
      <c r="W69" s="3">
        <v>3</v>
      </c>
      <c r="X69" s="3">
        <v>5</v>
      </c>
      <c r="AA69" s="13" t="s">
        <v>293</v>
      </c>
      <c r="AB69" s="3">
        <v>4.7911130000000002</v>
      </c>
    </row>
    <row r="70" spans="1:28">
      <c r="A70" s="13" t="s">
        <v>260</v>
      </c>
      <c r="B70"/>
      <c r="E70" s="13" t="s">
        <v>294</v>
      </c>
      <c r="F70" s="3">
        <v>1</v>
      </c>
      <c r="G70" s="13" t="s">
        <v>294</v>
      </c>
      <c r="H70" s="3">
        <v>1</v>
      </c>
      <c r="I70" s="13" t="s">
        <v>294</v>
      </c>
      <c r="J70" s="3">
        <v>1</v>
      </c>
      <c r="K70" s="13" t="s">
        <v>294</v>
      </c>
      <c r="L70" s="3">
        <v>1</v>
      </c>
      <c r="M70" s="13" t="s">
        <v>294</v>
      </c>
      <c r="N70" s="3">
        <v>1</v>
      </c>
      <c r="O70" s="7" t="s">
        <v>294</v>
      </c>
      <c r="P70" s="7" t="s">
        <v>219</v>
      </c>
      <c r="Q70" s="7" t="s">
        <v>294</v>
      </c>
      <c r="R70" s="7" t="s">
        <v>31</v>
      </c>
      <c r="S70" s="13" t="s">
        <v>294</v>
      </c>
      <c r="T70" s="3">
        <v>-1</v>
      </c>
      <c r="U70" s="3">
        <v>-1</v>
      </c>
      <c r="V70" s="3">
        <v>-1</v>
      </c>
      <c r="W70" s="3">
        <v>1</v>
      </c>
      <c r="X70" s="3">
        <v>-1</v>
      </c>
      <c r="AA70" s="13" t="s">
        <v>294</v>
      </c>
      <c r="AB70" s="3">
        <v>100</v>
      </c>
    </row>
    <row r="71" spans="1:28">
      <c r="A71" s="13" t="s">
        <v>279</v>
      </c>
      <c r="B71"/>
      <c r="E71" s="13" t="s">
        <v>295</v>
      </c>
      <c r="F71" s="3">
        <v>1</v>
      </c>
      <c r="G71" s="13" t="s">
        <v>295</v>
      </c>
      <c r="H71" s="3">
        <v>1</v>
      </c>
      <c r="I71" s="13" t="s">
        <v>295</v>
      </c>
      <c r="J71" s="3">
        <v>1</v>
      </c>
      <c r="K71" s="13" t="s">
        <v>295</v>
      </c>
      <c r="L71" s="3">
        <v>1</v>
      </c>
      <c r="M71" s="13" t="s">
        <v>295</v>
      </c>
      <c r="N71" s="3">
        <v>1</v>
      </c>
      <c r="O71" s="7" t="s">
        <v>295</v>
      </c>
      <c r="P71" s="7" t="s">
        <v>222</v>
      </c>
      <c r="Q71" s="7" t="s">
        <v>295</v>
      </c>
      <c r="R71" s="7" t="s">
        <v>31</v>
      </c>
      <c r="S71" s="13" t="s">
        <v>295</v>
      </c>
      <c r="T71" s="3">
        <v>-1</v>
      </c>
      <c r="U71" s="3">
        <v>-1</v>
      </c>
      <c r="V71" s="3">
        <v>-1</v>
      </c>
      <c r="W71" s="3">
        <v>1</v>
      </c>
      <c r="X71" s="3">
        <v>4</v>
      </c>
      <c r="AA71" s="13" t="s">
        <v>295</v>
      </c>
      <c r="AB71" s="3">
        <v>7.4793989999999999</v>
      </c>
    </row>
    <row r="72" spans="1:28">
      <c r="A72" s="13" t="s">
        <v>193</v>
      </c>
      <c r="B72"/>
      <c r="E72" s="13" t="s">
        <v>296</v>
      </c>
      <c r="F72" s="3">
        <v>1</v>
      </c>
      <c r="G72" s="13" t="s">
        <v>296</v>
      </c>
      <c r="H72" s="3">
        <v>1</v>
      </c>
      <c r="I72" s="13" t="s">
        <v>296</v>
      </c>
      <c r="J72" s="3">
        <v>1</v>
      </c>
      <c r="K72" s="13" t="s">
        <v>296</v>
      </c>
      <c r="L72" s="3">
        <v>1</v>
      </c>
      <c r="M72" s="13" t="s">
        <v>296</v>
      </c>
      <c r="N72" s="3">
        <v>1</v>
      </c>
      <c r="O72" s="7" t="s">
        <v>296</v>
      </c>
      <c r="P72" s="7" t="s">
        <v>236</v>
      </c>
      <c r="Q72" s="7" t="s">
        <v>296</v>
      </c>
      <c r="R72" s="7" t="s">
        <v>30</v>
      </c>
      <c r="S72" s="13" t="s">
        <v>296</v>
      </c>
      <c r="T72" s="3">
        <v>2</v>
      </c>
      <c r="U72" s="3">
        <v>2</v>
      </c>
      <c r="V72" s="3">
        <v>1</v>
      </c>
      <c r="W72" s="3">
        <v>3</v>
      </c>
      <c r="X72" s="3">
        <v>5</v>
      </c>
      <c r="AA72" s="13" t="s">
        <v>296</v>
      </c>
      <c r="AB72" s="3">
        <v>7.7911130000000002</v>
      </c>
    </row>
    <row r="73" spans="1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1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1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1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1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1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1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1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88"/>
  <sheetViews>
    <sheetView tabSelected="1" zoomScale="90" zoomScaleNormal="90" workbookViewId="0">
      <pane xSplit="2" ySplit="9" topLeftCell="C50" activePane="bottomRight" state="frozen"/>
      <selection pane="topRight" activeCell="C1" sqref="C1"/>
      <selection pane="bottomLeft" activeCell="A8" sqref="A8"/>
      <selection pane="bottomRight" activeCell="A36" sqref="A3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4" si="0">RIGHT(B15,1)</f>
        <v>8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E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 t="shared" si="0"/>
        <v>9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235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239</v>
      </c>
      <c r="U5" s="7">
        <v>100</v>
      </c>
      <c r="AZ5" t="s">
        <v>207</v>
      </c>
    </row>
    <row r="6" spans="1:60">
      <c r="A6" s="5">
        <f>SUM(A10:A95)</f>
        <v>64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9" t="s">
        <v>237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SUM(AY10:AY74)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238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234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1</v>
      </c>
      <c r="B10" s="7" t="s">
        <v>233</v>
      </c>
      <c r="C10" s="7" t="s">
        <v>195</v>
      </c>
      <c r="D10" s="7" t="s">
        <v>30</v>
      </c>
      <c r="E10" s="7" t="s">
        <v>219</v>
      </c>
      <c r="F10" s="7">
        <v>1</v>
      </c>
      <c r="G10" s="7">
        <v>1</v>
      </c>
      <c r="H10" s="7" t="s">
        <v>188</v>
      </c>
      <c r="I10" s="7">
        <v>1</v>
      </c>
      <c r="J10" s="7">
        <v>1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Q10" s="7" t="s">
        <v>233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1</v>
      </c>
      <c r="B11" s="7" t="s">
        <v>226</v>
      </c>
      <c r="C11" s="7" t="s">
        <v>195</v>
      </c>
      <c r="D11" s="7" t="s">
        <v>30</v>
      </c>
      <c r="E11" s="7" t="s">
        <v>222</v>
      </c>
      <c r="F11" s="7">
        <v>1</v>
      </c>
      <c r="G11" s="7">
        <v>1</v>
      </c>
      <c r="H11" s="7" t="s">
        <v>235</v>
      </c>
      <c r="I11" s="7">
        <v>1</v>
      </c>
      <c r="J11" s="7">
        <v>1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Q11" s="7" t="s">
        <v>226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1</v>
      </c>
      <c r="B12" s="7" t="s">
        <v>244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235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Q12" s="7" t="s">
        <v>244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1</v>
      </c>
      <c r="B13" s="7" t="s">
        <v>225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235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Q13" s="7" t="s">
        <v>225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1</v>
      </c>
      <c r="B14" s="7" t="s">
        <v>243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235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Q14" s="7" t="s">
        <v>243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1</v>
      </c>
      <c r="B15" s="7" t="s">
        <v>224</v>
      </c>
      <c r="C15" s="7" t="s">
        <v>195</v>
      </c>
      <c r="D15" s="7" t="s">
        <v>30</v>
      </c>
      <c r="E15" s="7" t="s">
        <v>222</v>
      </c>
      <c r="F15" s="7">
        <v>1</v>
      </c>
      <c r="G15" s="7">
        <v>1</v>
      </c>
      <c r="H15" s="7" t="s">
        <v>235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Q15" s="7" t="s">
        <v>224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1</v>
      </c>
      <c r="B16" s="7" t="s">
        <v>242</v>
      </c>
      <c r="C16" s="7" t="s">
        <v>195</v>
      </c>
      <c r="D16" s="7" t="s">
        <v>30</v>
      </c>
      <c r="E16" s="7" t="s">
        <v>221</v>
      </c>
      <c r="F16" s="7">
        <v>1</v>
      </c>
      <c r="G16" s="7">
        <v>1</v>
      </c>
      <c r="H16" s="7" t="s">
        <v>235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Q16" s="7" t="s">
        <v>242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1</v>
      </c>
      <c r="B17" s="7" t="s">
        <v>223</v>
      </c>
      <c r="C17" s="7" t="s">
        <v>195</v>
      </c>
      <c r="D17" s="7" t="s">
        <v>30</v>
      </c>
      <c r="E17" s="7" t="s">
        <v>222</v>
      </c>
      <c r="F17" s="7">
        <v>1</v>
      </c>
      <c r="G17" s="7">
        <v>1</v>
      </c>
      <c r="H17" s="7" t="s">
        <v>235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7.4793989999999999</v>
      </c>
      <c r="Q17" s="7" t="s">
        <v>223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 ht="14.25" customHeight="1">
      <c r="A18" s="22">
        <v>1</v>
      </c>
      <c r="B18" s="7" t="s">
        <v>241</v>
      </c>
      <c r="C18" s="7" t="s">
        <v>195</v>
      </c>
      <c r="D18" s="7" t="s">
        <v>30</v>
      </c>
      <c r="E18" s="7" t="s">
        <v>221</v>
      </c>
      <c r="F18" s="7">
        <v>1</v>
      </c>
      <c r="G18" s="7">
        <v>1</v>
      </c>
      <c r="H18" s="7" t="s">
        <v>235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7.4793989999999999</v>
      </c>
      <c r="Q18" s="7" t="s">
        <v>241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 ht="16.5" customHeight="1">
      <c r="A19" s="22">
        <v>1</v>
      </c>
      <c r="B19" s="7" t="s">
        <v>220</v>
      </c>
      <c r="C19" s="7" t="s">
        <v>195</v>
      </c>
      <c r="D19" s="7" t="s">
        <v>30</v>
      </c>
      <c r="E19" s="7" t="s">
        <v>222</v>
      </c>
      <c r="F19" s="7">
        <v>1</v>
      </c>
      <c r="G19" s="7">
        <v>1</v>
      </c>
      <c r="H19" s="7" t="s">
        <v>235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100</v>
      </c>
      <c r="Q19" s="7" t="s">
        <v>220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  <c r="BH19" s="7">
        <v>1</v>
      </c>
    </row>
    <row r="20" spans="1:60" s="7" customFormat="1" ht="17.25" customHeight="1">
      <c r="A20" s="22">
        <v>1</v>
      </c>
      <c r="B20" s="7" t="s">
        <v>240</v>
      </c>
      <c r="C20" s="7" t="s">
        <v>195</v>
      </c>
      <c r="D20" s="7" t="s">
        <v>30</v>
      </c>
      <c r="E20" s="7" t="s">
        <v>221</v>
      </c>
      <c r="F20" s="7">
        <v>1</v>
      </c>
      <c r="G20" s="7">
        <v>1</v>
      </c>
      <c r="H20" s="7" t="s">
        <v>235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Q20" s="7" t="s">
        <v>240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  <c r="BH20" s="7">
        <v>1</v>
      </c>
    </row>
    <row r="21" spans="1:60" s="7" customFormat="1">
      <c r="A21" s="22">
        <v>1</v>
      </c>
      <c r="B21" s="7" t="s">
        <v>231</v>
      </c>
      <c r="C21" s="7" t="s">
        <v>195</v>
      </c>
      <c r="D21" s="7" t="s">
        <v>30</v>
      </c>
      <c r="E21" s="7" t="s">
        <v>227</v>
      </c>
      <c r="F21" s="7">
        <v>1</v>
      </c>
      <c r="G21" s="7">
        <v>1</v>
      </c>
      <c r="H21" s="7" t="s">
        <v>234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5</v>
      </c>
      <c r="P21" s="7">
        <v>4.7911130000000002</v>
      </c>
      <c r="Q21" s="7" t="s">
        <v>231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</row>
    <row r="22" spans="1:60" s="7" customFormat="1">
      <c r="A22" s="22">
        <v>1</v>
      </c>
      <c r="B22" s="7" t="s">
        <v>249</v>
      </c>
      <c r="C22" s="7" t="s">
        <v>195</v>
      </c>
      <c r="D22" s="7" t="s">
        <v>30</v>
      </c>
      <c r="E22" s="7" t="s">
        <v>232</v>
      </c>
      <c r="F22" s="7">
        <v>1</v>
      </c>
      <c r="G22" s="7">
        <v>1</v>
      </c>
      <c r="H22" s="7" t="s">
        <v>234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5</v>
      </c>
      <c r="P22" s="7">
        <v>4.7911130000000002</v>
      </c>
      <c r="Q22" s="7" t="s">
        <v>249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</row>
    <row r="23" spans="1:60">
      <c r="A23" s="22">
        <v>1</v>
      </c>
      <c r="B23" s="7" t="s">
        <v>230</v>
      </c>
      <c r="C23" t="s">
        <v>195</v>
      </c>
      <c r="D23" s="7" t="s">
        <v>30</v>
      </c>
      <c r="E23" s="7" t="s">
        <v>227</v>
      </c>
      <c r="F23" s="7">
        <v>1</v>
      </c>
      <c r="G23" s="7">
        <v>1</v>
      </c>
      <c r="H23" s="7" t="s">
        <v>234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5.7911130000000002</v>
      </c>
      <c r="Q23" s="7" t="s">
        <v>230</v>
      </c>
      <c r="AY23" s="7">
        <v>0</v>
      </c>
      <c r="AZ23" s="7">
        <v>1</v>
      </c>
      <c r="BA23">
        <v>1</v>
      </c>
      <c r="BB23">
        <v>1</v>
      </c>
      <c r="BD23">
        <v>1</v>
      </c>
      <c r="BE23">
        <v>1</v>
      </c>
    </row>
    <row r="24" spans="1:60" s="7" customFormat="1">
      <c r="A24" s="22">
        <v>1</v>
      </c>
      <c r="B24" s="7" t="s">
        <v>248</v>
      </c>
      <c r="C24" s="7" t="s">
        <v>195</v>
      </c>
      <c r="D24" s="7" t="s">
        <v>30</v>
      </c>
      <c r="E24" s="7" t="s">
        <v>232</v>
      </c>
      <c r="F24" s="7">
        <v>1</v>
      </c>
      <c r="G24" s="7">
        <v>1</v>
      </c>
      <c r="H24" s="7" t="s">
        <v>234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5.7911130000000002</v>
      </c>
      <c r="Q24" s="7" t="s">
        <v>248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1</v>
      </c>
      <c r="B25" s="7" t="s">
        <v>274</v>
      </c>
      <c r="C25" s="7" t="s">
        <v>195</v>
      </c>
      <c r="D25" s="7" t="s">
        <v>30</v>
      </c>
      <c r="E25" s="7" t="s">
        <v>227</v>
      </c>
      <c r="F25" s="7">
        <v>1</v>
      </c>
      <c r="G25" s="7">
        <v>1</v>
      </c>
      <c r="H25" s="7" t="s">
        <v>234</v>
      </c>
      <c r="I25" s="7">
        <v>1</v>
      </c>
      <c r="J25" s="7">
        <v>1</v>
      </c>
      <c r="K25" s="7">
        <v>-1</v>
      </c>
      <c r="L25" s="7">
        <v>-1</v>
      </c>
      <c r="M25" s="7">
        <v>-1</v>
      </c>
      <c r="N25" s="7">
        <v>1</v>
      </c>
      <c r="O25" s="7">
        <v>5</v>
      </c>
      <c r="P25" s="7">
        <v>6.7911130000000002</v>
      </c>
      <c r="Q25" s="7" t="s">
        <v>274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1</v>
      </c>
      <c r="B26" s="7" t="s">
        <v>247</v>
      </c>
      <c r="C26" s="7" t="s">
        <v>195</v>
      </c>
      <c r="D26" s="7" t="s">
        <v>30</v>
      </c>
      <c r="E26" s="7" t="s">
        <v>232</v>
      </c>
      <c r="F26" s="7">
        <v>1</v>
      </c>
      <c r="G26" s="7">
        <v>1</v>
      </c>
      <c r="H26" s="7" t="s">
        <v>234</v>
      </c>
      <c r="I26" s="7">
        <v>1</v>
      </c>
      <c r="J26" s="7">
        <v>1</v>
      </c>
      <c r="K26" s="7">
        <v>-1</v>
      </c>
      <c r="L26" s="7">
        <v>-1</v>
      </c>
      <c r="M26" s="7">
        <v>-1</v>
      </c>
      <c r="N26" s="7">
        <v>1</v>
      </c>
      <c r="O26" s="7">
        <v>5</v>
      </c>
      <c r="P26" s="7">
        <v>6.7911130000000002</v>
      </c>
      <c r="Q26" s="7" t="s">
        <v>247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1</v>
      </c>
      <c r="B27" s="7" t="s">
        <v>229</v>
      </c>
      <c r="C27" s="7" t="s">
        <v>195</v>
      </c>
      <c r="D27" s="7" t="s">
        <v>30</v>
      </c>
      <c r="E27" s="7" t="s">
        <v>227</v>
      </c>
      <c r="F27" s="7">
        <v>1</v>
      </c>
      <c r="G27" s="7">
        <v>1</v>
      </c>
      <c r="H27" s="7" t="s">
        <v>234</v>
      </c>
      <c r="I27" s="7">
        <v>1</v>
      </c>
      <c r="J27" s="7">
        <v>1</v>
      </c>
      <c r="K27" s="7">
        <v>-1</v>
      </c>
      <c r="L27" s="7">
        <v>-1</v>
      </c>
      <c r="M27" s="7">
        <v>-1</v>
      </c>
      <c r="N27" s="7">
        <v>1</v>
      </c>
      <c r="O27" s="7">
        <v>5</v>
      </c>
      <c r="P27" s="7">
        <v>7.7911130000000002</v>
      </c>
      <c r="Q27" s="7" t="s">
        <v>229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1</v>
      </c>
      <c r="B28" s="7" t="s">
        <v>246</v>
      </c>
      <c r="C28" s="7" t="s">
        <v>195</v>
      </c>
      <c r="D28" s="7" t="s">
        <v>30</v>
      </c>
      <c r="E28" s="7" t="s">
        <v>232</v>
      </c>
      <c r="F28" s="7">
        <v>1</v>
      </c>
      <c r="G28" s="7">
        <v>1</v>
      </c>
      <c r="H28" s="7" t="s">
        <v>234</v>
      </c>
      <c r="I28" s="7">
        <v>1</v>
      </c>
      <c r="J28" s="7">
        <v>1</v>
      </c>
      <c r="K28" s="7">
        <v>-1</v>
      </c>
      <c r="L28" s="7">
        <v>-1</v>
      </c>
      <c r="M28" s="7">
        <v>-1</v>
      </c>
      <c r="N28" s="7">
        <v>1</v>
      </c>
      <c r="O28" s="7">
        <v>5</v>
      </c>
      <c r="P28" s="7">
        <v>7.7911130000000002</v>
      </c>
      <c r="Q28" s="7" t="s">
        <v>246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1</v>
      </c>
      <c r="B29" s="7" t="s">
        <v>278</v>
      </c>
      <c r="C29" s="7" t="s">
        <v>195</v>
      </c>
      <c r="D29" s="7" t="s">
        <v>30</v>
      </c>
      <c r="E29" s="7" t="s">
        <v>236</v>
      </c>
      <c r="F29" s="7">
        <v>1</v>
      </c>
      <c r="G29" s="7">
        <v>1</v>
      </c>
      <c r="H29" s="7" t="s">
        <v>237</v>
      </c>
      <c r="I29" s="7">
        <v>1</v>
      </c>
      <c r="J29" s="7">
        <v>1</v>
      </c>
      <c r="K29" s="7">
        <v>2</v>
      </c>
      <c r="L29" s="7">
        <v>2</v>
      </c>
      <c r="M29" s="7">
        <v>1</v>
      </c>
      <c r="N29" s="7">
        <v>3</v>
      </c>
      <c r="O29" s="7">
        <v>5</v>
      </c>
      <c r="P29" s="7">
        <v>4.7911130000000002</v>
      </c>
      <c r="Q29" s="7" t="s">
        <v>278</v>
      </c>
      <c r="AY29" s="7">
        <v>0</v>
      </c>
      <c r="AZ29" s="7">
        <v>1</v>
      </c>
    </row>
    <row r="30" spans="1:60" s="7" customFormat="1">
      <c r="A30" s="22">
        <v>1</v>
      </c>
      <c r="B30" s="7" t="s">
        <v>254</v>
      </c>
      <c r="C30" s="7" t="s">
        <v>195</v>
      </c>
      <c r="D30" s="7" t="s">
        <v>30</v>
      </c>
      <c r="E30" s="7" t="s">
        <v>270</v>
      </c>
      <c r="F30" s="7">
        <v>1</v>
      </c>
      <c r="G30" s="7">
        <v>1</v>
      </c>
      <c r="H30" s="7" t="s">
        <v>237</v>
      </c>
      <c r="I30" s="7">
        <v>1</v>
      </c>
      <c r="J30" s="7">
        <v>1</v>
      </c>
      <c r="K30" s="7">
        <v>2</v>
      </c>
      <c r="L30" s="7">
        <v>2</v>
      </c>
      <c r="M30" s="7">
        <v>1</v>
      </c>
      <c r="N30" s="7">
        <v>3</v>
      </c>
      <c r="O30" s="7">
        <v>5</v>
      </c>
      <c r="P30" s="7">
        <v>4.7911130000000002</v>
      </c>
      <c r="Q30" s="7" t="s">
        <v>254</v>
      </c>
      <c r="AY30" s="7">
        <v>0</v>
      </c>
      <c r="AZ30" s="7">
        <v>1</v>
      </c>
    </row>
    <row r="31" spans="1:60" s="7" customFormat="1">
      <c r="A31" s="22">
        <v>1</v>
      </c>
      <c r="B31" s="7" t="s">
        <v>277</v>
      </c>
      <c r="C31" s="7" t="s">
        <v>195</v>
      </c>
      <c r="D31" s="7" t="s">
        <v>30</v>
      </c>
      <c r="E31" s="7" t="s">
        <v>236</v>
      </c>
      <c r="F31" s="7">
        <v>1</v>
      </c>
      <c r="G31" s="7">
        <v>1</v>
      </c>
      <c r="H31" s="7" t="s">
        <v>237</v>
      </c>
      <c r="I31" s="7">
        <v>1</v>
      </c>
      <c r="J31" s="7">
        <v>1</v>
      </c>
      <c r="K31" s="7">
        <v>2</v>
      </c>
      <c r="L31" s="7">
        <v>2</v>
      </c>
      <c r="M31" s="7">
        <v>1</v>
      </c>
      <c r="N31" s="7">
        <v>3</v>
      </c>
      <c r="O31" s="7">
        <v>5</v>
      </c>
      <c r="P31" s="7">
        <v>5.7911130000000002</v>
      </c>
      <c r="Q31" s="7" t="s">
        <v>277</v>
      </c>
      <c r="AY31" s="7">
        <v>0</v>
      </c>
      <c r="AZ31" s="7">
        <v>1</v>
      </c>
    </row>
    <row r="32" spans="1:60" s="7" customFormat="1">
      <c r="A32" s="22">
        <v>1</v>
      </c>
      <c r="B32" s="7" t="s">
        <v>253</v>
      </c>
      <c r="C32" s="7" t="s">
        <v>195</v>
      </c>
      <c r="D32" s="7" t="s">
        <v>30</v>
      </c>
      <c r="E32" s="7" t="s">
        <v>270</v>
      </c>
      <c r="F32" s="7">
        <v>1</v>
      </c>
      <c r="G32" s="7">
        <v>1</v>
      </c>
      <c r="H32" s="7" t="s">
        <v>237</v>
      </c>
      <c r="I32" s="7">
        <v>1</v>
      </c>
      <c r="J32" s="7">
        <v>1</v>
      </c>
      <c r="K32" s="7">
        <v>2</v>
      </c>
      <c r="L32" s="7">
        <v>2</v>
      </c>
      <c r="M32" s="7">
        <v>1</v>
      </c>
      <c r="N32" s="7">
        <v>3</v>
      </c>
      <c r="O32" s="7">
        <v>5</v>
      </c>
      <c r="P32" s="7">
        <v>5.7911130000000002</v>
      </c>
      <c r="Q32" s="7" t="s">
        <v>253</v>
      </c>
      <c r="AY32" s="7">
        <v>0</v>
      </c>
      <c r="AZ32" s="7">
        <v>1</v>
      </c>
    </row>
    <row r="33" spans="1:60" s="7" customFormat="1">
      <c r="A33" s="22">
        <v>1</v>
      </c>
      <c r="B33" s="7" t="s">
        <v>276</v>
      </c>
      <c r="C33" s="7" t="s">
        <v>195</v>
      </c>
      <c r="D33" s="7" t="s">
        <v>30</v>
      </c>
      <c r="E33" s="7" t="s">
        <v>236</v>
      </c>
      <c r="F33" s="7">
        <v>1</v>
      </c>
      <c r="G33" s="7">
        <v>1</v>
      </c>
      <c r="H33" s="7" t="s">
        <v>237</v>
      </c>
      <c r="I33" s="7">
        <v>1</v>
      </c>
      <c r="J33" s="7">
        <v>1</v>
      </c>
      <c r="K33" s="7">
        <v>2</v>
      </c>
      <c r="L33" s="7">
        <v>2</v>
      </c>
      <c r="M33" s="7">
        <v>1</v>
      </c>
      <c r="N33" s="7">
        <v>3</v>
      </c>
      <c r="O33" s="7">
        <v>5</v>
      </c>
      <c r="P33" s="7">
        <v>6.7911130000000002</v>
      </c>
      <c r="Q33" s="7" t="s">
        <v>276</v>
      </c>
      <c r="AY33" s="7">
        <v>0</v>
      </c>
      <c r="AZ33" s="7">
        <v>1</v>
      </c>
    </row>
    <row r="34" spans="1:60" s="7" customFormat="1">
      <c r="A34" s="22">
        <v>1</v>
      </c>
      <c r="B34" s="7" t="s">
        <v>252</v>
      </c>
      <c r="C34" s="7" t="s">
        <v>195</v>
      </c>
      <c r="D34" s="7" t="s">
        <v>30</v>
      </c>
      <c r="E34" s="7" t="s">
        <v>270</v>
      </c>
      <c r="F34" s="7">
        <v>1</v>
      </c>
      <c r="G34" s="7">
        <v>1</v>
      </c>
      <c r="H34" s="7" t="s">
        <v>237</v>
      </c>
      <c r="I34" s="7">
        <v>1</v>
      </c>
      <c r="J34" s="7">
        <v>1</v>
      </c>
      <c r="K34" s="7">
        <v>2</v>
      </c>
      <c r="L34" s="7">
        <v>2</v>
      </c>
      <c r="M34" s="7">
        <v>1</v>
      </c>
      <c r="N34" s="7">
        <v>3</v>
      </c>
      <c r="O34" s="7">
        <v>5</v>
      </c>
      <c r="P34" s="7">
        <v>6.7911130000000002</v>
      </c>
      <c r="Q34" s="7" t="s">
        <v>252</v>
      </c>
      <c r="AY34" s="7">
        <v>0</v>
      </c>
      <c r="AZ34" s="7">
        <v>1</v>
      </c>
    </row>
    <row r="35" spans="1:60" s="7" customFormat="1">
      <c r="A35" s="22">
        <v>1</v>
      </c>
      <c r="B35" s="7" t="s">
        <v>296</v>
      </c>
      <c r="C35" s="7" t="s">
        <v>195</v>
      </c>
      <c r="D35" s="7" t="s">
        <v>30</v>
      </c>
      <c r="E35" s="7" t="s">
        <v>236</v>
      </c>
      <c r="F35" s="7">
        <v>1</v>
      </c>
      <c r="G35" s="7">
        <v>1</v>
      </c>
      <c r="H35" s="7" t="s">
        <v>237</v>
      </c>
      <c r="I35" s="7">
        <v>1</v>
      </c>
      <c r="J35" s="7">
        <v>1</v>
      </c>
      <c r="K35" s="7">
        <v>2</v>
      </c>
      <c r="L35" s="7">
        <v>2</v>
      </c>
      <c r="M35" s="7">
        <v>1</v>
      </c>
      <c r="N35" s="7">
        <v>3</v>
      </c>
      <c r="O35" s="7">
        <v>5</v>
      </c>
      <c r="P35" s="7">
        <v>7.7911130000000002</v>
      </c>
      <c r="Q35" s="7" t="s">
        <v>296</v>
      </c>
      <c r="AY35" s="7">
        <v>0</v>
      </c>
      <c r="AZ35" s="7">
        <v>1</v>
      </c>
      <c r="BE35" s="7">
        <v>1</v>
      </c>
    </row>
    <row r="36" spans="1:60" s="7" customFormat="1">
      <c r="A36" s="22">
        <v>1</v>
      </c>
      <c r="B36" s="7" t="s">
        <v>251</v>
      </c>
      <c r="C36" s="7" t="s">
        <v>195</v>
      </c>
      <c r="D36" s="7" t="s">
        <v>30</v>
      </c>
      <c r="E36" s="7" t="s">
        <v>270</v>
      </c>
      <c r="F36" s="7">
        <v>1</v>
      </c>
      <c r="G36" s="7">
        <v>1</v>
      </c>
      <c r="H36" s="7" t="s">
        <v>237</v>
      </c>
      <c r="I36" s="7">
        <v>1</v>
      </c>
      <c r="J36" s="7">
        <v>1</v>
      </c>
      <c r="K36" s="7">
        <v>2</v>
      </c>
      <c r="L36" s="7">
        <v>2</v>
      </c>
      <c r="M36" s="7">
        <v>1</v>
      </c>
      <c r="N36" s="7">
        <v>3</v>
      </c>
      <c r="O36" s="7">
        <v>5</v>
      </c>
      <c r="P36" s="7">
        <v>7.7911130000000002</v>
      </c>
      <c r="Q36" s="7" t="s">
        <v>251</v>
      </c>
      <c r="AY36" s="7">
        <v>0</v>
      </c>
      <c r="AZ36" s="7">
        <v>1</v>
      </c>
      <c r="BE36" s="7">
        <v>1</v>
      </c>
    </row>
    <row r="37" spans="1:60" s="7" customFormat="1">
      <c r="A37" s="22">
        <v>1</v>
      </c>
      <c r="B37" s="7" t="s">
        <v>275</v>
      </c>
      <c r="C37" s="7" t="s">
        <v>195</v>
      </c>
      <c r="D37" s="7" t="s">
        <v>30</v>
      </c>
      <c r="E37" s="7" t="s">
        <v>236</v>
      </c>
      <c r="F37" s="7">
        <v>1</v>
      </c>
      <c r="G37" s="7">
        <v>1</v>
      </c>
      <c r="H37" s="7" t="s">
        <v>237</v>
      </c>
      <c r="I37" s="7">
        <v>1</v>
      </c>
      <c r="J37" s="7">
        <v>1</v>
      </c>
      <c r="K37" s="7">
        <v>2</v>
      </c>
      <c r="L37" s="7">
        <v>2</v>
      </c>
      <c r="M37" s="7">
        <v>1</v>
      </c>
      <c r="N37" s="7">
        <v>3</v>
      </c>
      <c r="O37" s="7">
        <v>5</v>
      </c>
      <c r="P37" s="7">
        <v>100</v>
      </c>
      <c r="Q37" s="7" t="s">
        <v>275</v>
      </c>
      <c r="AY37" s="7">
        <v>0</v>
      </c>
      <c r="AZ37" s="7">
        <v>1</v>
      </c>
    </row>
    <row r="38" spans="1:60" s="7" customFormat="1">
      <c r="A38" s="22">
        <v>1</v>
      </c>
      <c r="B38" s="7" t="s">
        <v>250</v>
      </c>
      <c r="C38" s="7" t="s">
        <v>195</v>
      </c>
      <c r="D38" s="7" t="s">
        <v>30</v>
      </c>
      <c r="E38" s="7" t="s">
        <v>270</v>
      </c>
      <c r="F38" s="7">
        <v>1</v>
      </c>
      <c r="G38" s="7">
        <v>1</v>
      </c>
      <c r="H38" s="7" t="s">
        <v>237</v>
      </c>
      <c r="I38" s="7">
        <v>1</v>
      </c>
      <c r="J38" s="7">
        <v>1</v>
      </c>
      <c r="K38" s="7">
        <v>2</v>
      </c>
      <c r="L38" s="7">
        <v>2</v>
      </c>
      <c r="M38" s="7">
        <v>1</v>
      </c>
      <c r="N38" s="7">
        <v>3</v>
      </c>
      <c r="O38" s="7">
        <v>5</v>
      </c>
      <c r="P38" s="7">
        <v>100</v>
      </c>
      <c r="Q38" s="7" t="s">
        <v>250</v>
      </c>
      <c r="AY38" s="7">
        <v>0</v>
      </c>
      <c r="AZ38" s="7">
        <v>1</v>
      </c>
    </row>
    <row r="39" spans="1:60" s="7" customFormat="1">
      <c r="A39" s="22">
        <v>1</v>
      </c>
      <c r="B39" s="7" t="s">
        <v>228</v>
      </c>
      <c r="C39" s="7" t="s">
        <v>195</v>
      </c>
      <c r="D39" s="7" t="s">
        <v>30</v>
      </c>
      <c r="E39" s="7" t="s">
        <v>227</v>
      </c>
      <c r="F39" s="7">
        <v>1</v>
      </c>
      <c r="G39" s="7">
        <v>1</v>
      </c>
      <c r="H39" s="7" t="s">
        <v>234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5</v>
      </c>
      <c r="P39" s="7">
        <v>100</v>
      </c>
      <c r="Q39" s="7" t="s">
        <v>228</v>
      </c>
      <c r="AY39" s="7">
        <v>0</v>
      </c>
      <c r="AZ39" s="7">
        <v>1</v>
      </c>
      <c r="BA39" s="7">
        <v>1</v>
      </c>
      <c r="BB39" s="7">
        <v>1</v>
      </c>
      <c r="BD39" s="7">
        <v>1</v>
      </c>
      <c r="BE39" s="7">
        <v>1</v>
      </c>
    </row>
    <row r="40" spans="1:60" s="7" customFormat="1">
      <c r="A40" s="22">
        <v>1</v>
      </c>
      <c r="B40" s="7" t="s">
        <v>245</v>
      </c>
      <c r="C40" s="7" t="s">
        <v>195</v>
      </c>
      <c r="D40" s="7" t="s">
        <v>30</v>
      </c>
      <c r="E40" s="7" t="s">
        <v>232</v>
      </c>
      <c r="F40" s="7">
        <v>1</v>
      </c>
      <c r="G40" s="7">
        <v>1</v>
      </c>
      <c r="H40" s="7" t="s">
        <v>234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5</v>
      </c>
      <c r="P40" s="7">
        <v>100</v>
      </c>
      <c r="Q40" s="7" t="s">
        <v>245</v>
      </c>
      <c r="AY40" s="7">
        <v>0</v>
      </c>
      <c r="AZ40" s="7">
        <v>1</v>
      </c>
      <c r="BA40" s="7">
        <v>1</v>
      </c>
      <c r="BB40" s="7">
        <v>1</v>
      </c>
      <c r="BD40" s="7">
        <v>1</v>
      </c>
      <c r="BE40" s="7">
        <v>1</v>
      </c>
    </row>
    <row r="41" spans="1:60" s="7" customFormat="1">
      <c r="A41" s="22">
        <v>1</v>
      </c>
      <c r="B41" s="7" t="s">
        <v>272</v>
      </c>
      <c r="C41" s="7" t="s">
        <v>195</v>
      </c>
      <c r="D41" s="7" t="s">
        <v>30</v>
      </c>
      <c r="E41" s="17" t="s">
        <v>271</v>
      </c>
      <c r="F41" s="7">
        <v>1</v>
      </c>
      <c r="G41" s="7">
        <v>1</v>
      </c>
      <c r="H41" s="7" t="s">
        <v>189</v>
      </c>
      <c r="I41" s="7">
        <v>1</v>
      </c>
      <c r="J41" s="7">
        <v>1</v>
      </c>
      <c r="K41" s="7">
        <v>2</v>
      </c>
      <c r="L41" s="7">
        <v>2</v>
      </c>
      <c r="M41" s="7">
        <v>1</v>
      </c>
      <c r="N41" s="7">
        <v>2</v>
      </c>
      <c r="O41" s="7">
        <v>1</v>
      </c>
      <c r="P41" s="7">
        <v>100</v>
      </c>
      <c r="Q41" s="7" t="s">
        <v>272</v>
      </c>
      <c r="AY41" s="7">
        <v>0</v>
      </c>
      <c r="AZ41" s="7">
        <v>1</v>
      </c>
      <c r="BA41" s="7">
        <v>1</v>
      </c>
      <c r="BB41" s="7">
        <v>1</v>
      </c>
      <c r="BD41" s="7">
        <v>1</v>
      </c>
      <c r="BE41" s="7">
        <v>1</v>
      </c>
      <c r="BH41" s="7">
        <v>1</v>
      </c>
    </row>
    <row r="42" spans="1:60" s="7" customFormat="1">
      <c r="A42" s="22">
        <v>0</v>
      </c>
      <c r="B42" s="7" t="s">
        <v>273</v>
      </c>
      <c r="C42" s="7" t="s">
        <v>195</v>
      </c>
      <c r="D42" s="7" t="s">
        <v>30</v>
      </c>
      <c r="E42" s="17" t="s">
        <v>227</v>
      </c>
      <c r="F42" s="7">
        <v>0</v>
      </c>
      <c r="G42" s="7">
        <v>1</v>
      </c>
      <c r="H42" s="7" t="s">
        <v>188</v>
      </c>
      <c r="I42" s="7">
        <v>0</v>
      </c>
      <c r="J42" s="7">
        <v>0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7">
        <v>100</v>
      </c>
      <c r="Q42" s="7" t="s">
        <v>273</v>
      </c>
      <c r="AY42" s="7">
        <v>0</v>
      </c>
      <c r="AZ42" s="7">
        <v>1</v>
      </c>
      <c r="BA42" s="7">
        <v>1</v>
      </c>
      <c r="BB42" s="7">
        <v>1</v>
      </c>
      <c r="BD42" s="7">
        <v>1</v>
      </c>
      <c r="BE42" s="7">
        <v>1</v>
      </c>
      <c r="BH42" s="7">
        <v>1</v>
      </c>
    </row>
    <row r="43" spans="1:60" s="7" customFormat="1">
      <c r="A43" s="22">
        <v>1</v>
      </c>
      <c r="B43" s="7" t="s">
        <v>294</v>
      </c>
      <c r="C43" s="7" t="s">
        <v>195</v>
      </c>
      <c r="D43" s="7" t="s">
        <v>31</v>
      </c>
      <c r="E43" s="7" t="s">
        <v>219</v>
      </c>
      <c r="F43" s="7">
        <v>1</v>
      </c>
      <c r="G43" s="7">
        <v>1</v>
      </c>
      <c r="H43" s="7" t="s">
        <v>188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7">
        <v>100</v>
      </c>
      <c r="Q43" s="7" t="s">
        <v>294</v>
      </c>
      <c r="AY43" s="7">
        <v>0</v>
      </c>
      <c r="AZ43" s="7">
        <v>1</v>
      </c>
      <c r="BA43" s="7">
        <v>1</v>
      </c>
      <c r="BB43" s="7">
        <v>1</v>
      </c>
      <c r="BD43" s="7">
        <v>1</v>
      </c>
      <c r="BE43" s="7">
        <v>1</v>
      </c>
      <c r="BH43" s="7">
        <v>1</v>
      </c>
    </row>
    <row r="44" spans="1:60" s="7" customFormat="1">
      <c r="A44" s="22">
        <v>1</v>
      </c>
      <c r="B44" s="7" t="s">
        <v>283</v>
      </c>
      <c r="C44" s="7" t="s">
        <v>195</v>
      </c>
      <c r="D44" s="7" t="s">
        <v>31</v>
      </c>
      <c r="E44" s="7" t="s">
        <v>222</v>
      </c>
      <c r="F44" s="7">
        <v>1</v>
      </c>
      <c r="G44" s="7">
        <v>1</v>
      </c>
      <c r="H44" s="7" t="s">
        <v>235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4</v>
      </c>
      <c r="P44" s="7">
        <v>4.4793989999999999</v>
      </c>
      <c r="Q44" s="7" t="s">
        <v>283</v>
      </c>
      <c r="AY44" s="7">
        <v>0</v>
      </c>
      <c r="AZ44" s="7">
        <v>1</v>
      </c>
    </row>
    <row r="45" spans="1:60" s="7" customFormat="1">
      <c r="A45" s="22">
        <v>1</v>
      </c>
      <c r="B45" s="7" t="s">
        <v>259</v>
      </c>
      <c r="C45" s="7" t="s">
        <v>195</v>
      </c>
      <c r="D45" s="7" t="s">
        <v>31</v>
      </c>
      <c r="E45" s="7" t="s">
        <v>221</v>
      </c>
      <c r="F45" s="7">
        <v>1</v>
      </c>
      <c r="G45" s="7">
        <v>1</v>
      </c>
      <c r="H45" s="7" t="s">
        <v>235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4</v>
      </c>
      <c r="P45" s="7">
        <v>4.4793989999999999</v>
      </c>
      <c r="Q45" s="7" t="s">
        <v>259</v>
      </c>
      <c r="AY45" s="7">
        <v>0</v>
      </c>
      <c r="AZ45" s="7">
        <v>1</v>
      </c>
    </row>
    <row r="46" spans="1:60" s="7" customFormat="1">
      <c r="A46" s="22">
        <v>1</v>
      </c>
      <c r="B46" s="7" t="s">
        <v>282</v>
      </c>
      <c r="C46" s="7" t="s">
        <v>195</v>
      </c>
      <c r="D46" s="7" t="s">
        <v>31</v>
      </c>
      <c r="E46" s="7" t="s">
        <v>222</v>
      </c>
      <c r="F46" s="7">
        <v>1</v>
      </c>
      <c r="G46" s="7">
        <v>1</v>
      </c>
      <c r="H46" s="7" t="s">
        <v>235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4</v>
      </c>
      <c r="P46" s="7">
        <v>5.4793989999999999</v>
      </c>
      <c r="Q46" s="7" t="s">
        <v>282</v>
      </c>
      <c r="AY46" s="7">
        <v>0</v>
      </c>
      <c r="AZ46" s="7">
        <v>1</v>
      </c>
    </row>
    <row r="47" spans="1:60" s="7" customFormat="1">
      <c r="A47" s="22">
        <v>1</v>
      </c>
      <c r="B47" s="7" t="s">
        <v>258</v>
      </c>
      <c r="C47" s="7" t="s">
        <v>195</v>
      </c>
      <c r="D47" s="7" t="s">
        <v>31</v>
      </c>
      <c r="E47" s="7" t="s">
        <v>221</v>
      </c>
      <c r="F47" s="7">
        <v>1</v>
      </c>
      <c r="G47" s="7">
        <v>1</v>
      </c>
      <c r="H47" s="7" t="s">
        <v>235</v>
      </c>
      <c r="I47" s="7">
        <v>1</v>
      </c>
      <c r="J47" s="7">
        <v>1</v>
      </c>
      <c r="K47" s="7">
        <v>-1</v>
      </c>
      <c r="L47" s="7">
        <v>-1</v>
      </c>
      <c r="M47" s="7">
        <v>-1</v>
      </c>
      <c r="N47" s="7">
        <v>1</v>
      </c>
      <c r="O47" s="7">
        <v>4</v>
      </c>
      <c r="P47" s="7">
        <v>5.4793989999999999</v>
      </c>
      <c r="Q47" s="7" t="s">
        <v>258</v>
      </c>
      <c r="AY47" s="7">
        <v>0</v>
      </c>
      <c r="AZ47" s="7">
        <v>1</v>
      </c>
    </row>
    <row r="48" spans="1:60" s="7" customFormat="1">
      <c r="A48" s="22">
        <v>1</v>
      </c>
      <c r="B48" s="7" t="s">
        <v>281</v>
      </c>
      <c r="C48" s="7" t="s">
        <v>195</v>
      </c>
      <c r="D48" s="7" t="s">
        <v>31</v>
      </c>
      <c r="E48" s="7" t="s">
        <v>222</v>
      </c>
      <c r="F48" s="7">
        <v>1</v>
      </c>
      <c r="G48" s="7">
        <v>1</v>
      </c>
      <c r="H48" s="7" t="s">
        <v>235</v>
      </c>
      <c r="I48" s="7">
        <v>1</v>
      </c>
      <c r="J48" s="7">
        <v>1</v>
      </c>
      <c r="K48" s="7">
        <v>-1</v>
      </c>
      <c r="L48" s="7">
        <v>-1</v>
      </c>
      <c r="M48" s="7">
        <v>-1</v>
      </c>
      <c r="N48" s="7">
        <v>1</v>
      </c>
      <c r="O48" s="7">
        <v>4</v>
      </c>
      <c r="P48" s="7">
        <v>6.4793989999999999</v>
      </c>
      <c r="Q48" s="7" t="s">
        <v>281</v>
      </c>
      <c r="AY48" s="7">
        <v>0</v>
      </c>
      <c r="AZ48" s="7">
        <v>1</v>
      </c>
      <c r="BE48" s="7">
        <v>1</v>
      </c>
    </row>
    <row r="49" spans="1:57" s="7" customFormat="1">
      <c r="A49" s="22">
        <v>1</v>
      </c>
      <c r="B49" s="7" t="s">
        <v>257</v>
      </c>
      <c r="C49" s="7" t="s">
        <v>195</v>
      </c>
      <c r="D49" s="7" t="s">
        <v>31</v>
      </c>
      <c r="E49" s="7" t="s">
        <v>221</v>
      </c>
      <c r="F49" s="7">
        <v>1</v>
      </c>
      <c r="G49" s="7">
        <v>1</v>
      </c>
      <c r="H49" s="7" t="s">
        <v>235</v>
      </c>
      <c r="I49" s="7">
        <v>1</v>
      </c>
      <c r="J49" s="7">
        <v>1</v>
      </c>
      <c r="K49" s="7">
        <v>-1</v>
      </c>
      <c r="L49" s="7">
        <v>-1</v>
      </c>
      <c r="M49" s="7">
        <v>-1</v>
      </c>
      <c r="N49" s="7">
        <v>1</v>
      </c>
      <c r="O49" s="7">
        <v>4</v>
      </c>
      <c r="P49" s="7">
        <v>6.4793989999999999</v>
      </c>
      <c r="Q49" s="7" t="s">
        <v>257</v>
      </c>
      <c r="AY49" s="7">
        <v>0</v>
      </c>
      <c r="AZ49" s="7">
        <v>1</v>
      </c>
      <c r="BE49" s="7">
        <v>1</v>
      </c>
    </row>
    <row r="50" spans="1:57" s="7" customFormat="1" ht="14.25" customHeight="1">
      <c r="A50" s="22">
        <v>1</v>
      </c>
      <c r="B50" s="7" t="s">
        <v>295</v>
      </c>
      <c r="C50" s="7" t="s">
        <v>195</v>
      </c>
      <c r="D50" s="7" t="s">
        <v>31</v>
      </c>
      <c r="E50" s="7" t="s">
        <v>222</v>
      </c>
      <c r="F50" s="7">
        <v>1</v>
      </c>
      <c r="G50" s="7">
        <v>1</v>
      </c>
      <c r="H50" s="7" t="s">
        <v>235</v>
      </c>
      <c r="I50" s="7">
        <v>1</v>
      </c>
      <c r="J50" s="7">
        <v>1</v>
      </c>
      <c r="K50" s="7">
        <v>-1</v>
      </c>
      <c r="L50" s="7">
        <v>-1</v>
      </c>
      <c r="M50" s="7">
        <v>-1</v>
      </c>
      <c r="N50" s="7">
        <v>1</v>
      </c>
      <c r="O50" s="7">
        <v>4</v>
      </c>
      <c r="P50" s="7">
        <v>7.4793989999999999</v>
      </c>
      <c r="Q50" s="7" t="s">
        <v>295</v>
      </c>
      <c r="AY50" s="7">
        <v>0</v>
      </c>
      <c r="AZ50" s="7">
        <v>1</v>
      </c>
    </row>
    <row r="51" spans="1:57" s="7" customFormat="1" ht="16.5" customHeight="1">
      <c r="A51" s="22">
        <v>1</v>
      </c>
      <c r="B51" s="7" t="s">
        <v>256</v>
      </c>
      <c r="C51" s="7" t="s">
        <v>195</v>
      </c>
      <c r="D51" s="7" t="s">
        <v>31</v>
      </c>
      <c r="E51" s="7" t="s">
        <v>221</v>
      </c>
      <c r="F51" s="7">
        <v>1</v>
      </c>
      <c r="G51" s="7">
        <v>1</v>
      </c>
      <c r="H51" s="7" t="s">
        <v>235</v>
      </c>
      <c r="I51" s="7">
        <v>1</v>
      </c>
      <c r="J51" s="7">
        <v>1</v>
      </c>
      <c r="K51" s="7">
        <v>-1</v>
      </c>
      <c r="L51" s="7">
        <v>-1</v>
      </c>
      <c r="M51" s="7">
        <v>-1</v>
      </c>
      <c r="N51" s="7">
        <v>1</v>
      </c>
      <c r="O51" s="7">
        <v>4</v>
      </c>
      <c r="P51" s="7">
        <v>7.4793989999999999</v>
      </c>
      <c r="Q51" s="7" t="s">
        <v>256</v>
      </c>
      <c r="AY51" s="7">
        <v>0</v>
      </c>
      <c r="AZ51" s="7">
        <v>1</v>
      </c>
    </row>
    <row r="52" spans="1:57" s="7" customFormat="1" ht="17.25" customHeight="1">
      <c r="A52" s="22">
        <v>1</v>
      </c>
      <c r="B52" s="7" t="s">
        <v>280</v>
      </c>
      <c r="C52" s="7" t="s">
        <v>195</v>
      </c>
      <c r="D52" s="7" t="s">
        <v>31</v>
      </c>
      <c r="E52" s="7" t="s">
        <v>222</v>
      </c>
      <c r="F52" s="7">
        <v>1</v>
      </c>
      <c r="G52" s="7">
        <v>1</v>
      </c>
      <c r="H52" s="7" t="s">
        <v>235</v>
      </c>
      <c r="I52" s="7">
        <v>1</v>
      </c>
      <c r="J52" s="7">
        <v>1</v>
      </c>
      <c r="K52" s="7">
        <v>-1</v>
      </c>
      <c r="L52" s="7">
        <v>-1</v>
      </c>
      <c r="M52" s="7">
        <v>-1</v>
      </c>
      <c r="N52" s="7">
        <v>1</v>
      </c>
      <c r="O52" s="7">
        <v>4</v>
      </c>
      <c r="P52" s="7">
        <v>100</v>
      </c>
      <c r="Q52" s="7" t="s">
        <v>280</v>
      </c>
      <c r="AY52" s="7">
        <v>0</v>
      </c>
      <c r="AZ52" s="7">
        <v>1</v>
      </c>
    </row>
    <row r="53" spans="1:57" s="7" customFormat="1">
      <c r="A53" s="22">
        <v>1</v>
      </c>
      <c r="B53" s="7" t="s">
        <v>255</v>
      </c>
      <c r="C53" s="7" t="s">
        <v>195</v>
      </c>
      <c r="D53" s="7" t="s">
        <v>31</v>
      </c>
      <c r="E53" s="7" t="s">
        <v>221</v>
      </c>
      <c r="F53" s="7">
        <v>1</v>
      </c>
      <c r="G53" s="7">
        <v>1</v>
      </c>
      <c r="H53" s="7" t="s">
        <v>235</v>
      </c>
      <c r="I53" s="7">
        <v>1</v>
      </c>
      <c r="J53" s="7">
        <v>1</v>
      </c>
      <c r="K53" s="7">
        <v>-1</v>
      </c>
      <c r="L53" s="7">
        <v>-1</v>
      </c>
      <c r="M53" s="7">
        <v>-1</v>
      </c>
      <c r="N53" s="7">
        <v>1</v>
      </c>
      <c r="O53" s="7">
        <v>4</v>
      </c>
      <c r="P53" s="7">
        <v>100</v>
      </c>
      <c r="Q53" s="7" t="s">
        <v>255</v>
      </c>
      <c r="AY53" s="7">
        <v>0</v>
      </c>
      <c r="AZ53" s="7">
        <v>1</v>
      </c>
    </row>
    <row r="54" spans="1:57" s="7" customFormat="1">
      <c r="A54" s="22">
        <v>1</v>
      </c>
      <c r="B54" s="7" t="s">
        <v>288</v>
      </c>
      <c r="C54" s="7" t="s">
        <v>195</v>
      </c>
      <c r="D54" s="7" t="s">
        <v>31</v>
      </c>
      <c r="E54" s="7" t="s">
        <v>227</v>
      </c>
      <c r="F54" s="7">
        <v>1</v>
      </c>
      <c r="G54" s="7">
        <v>1</v>
      </c>
      <c r="H54" s="7" t="s">
        <v>234</v>
      </c>
      <c r="I54" s="7">
        <v>1</v>
      </c>
      <c r="J54" s="7">
        <v>1</v>
      </c>
      <c r="K54" s="7">
        <v>-1</v>
      </c>
      <c r="L54" s="7">
        <v>-1</v>
      </c>
      <c r="M54" s="7">
        <v>-1</v>
      </c>
      <c r="N54" s="7">
        <v>1</v>
      </c>
      <c r="O54" s="7">
        <v>5</v>
      </c>
      <c r="P54" s="7">
        <v>4.7911130000000002</v>
      </c>
      <c r="Q54" s="7" t="s">
        <v>231</v>
      </c>
      <c r="AY54" s="7">
        <v>0</v>
      </c>
      <c r="AZ54" s="7">
        <v>1</v>
      </c>
      <c r="BE54" s="7">
        <v>1</v>
      </c>
    </row>
    <row r="55" spans="1:57" s="7" customFormat="1">
      <c r="A55" s="22">
        <v>1</v>
      </c>
      <c r="B55" s="7" t="s">
        <v>264</v>
      </c>
      <c r="C55" s="7" t="s">
        <v>195</v>
      </c>
      <c r="D55" s="7" t="s">
        <v>31</v>
      </c>
      <c r="E55" s="7" t="s">
        <v>232</v>
      </c>
      <c r="F55" s="7">
        <v>1</v>
      </c>
      <c r="G55" s="7">
        <v>1</v>
      </c>
      <c r="H55" s="7" t="s">
        <v>234</v>
      </c>
      <c r="I55" s="7">
        <v>1</v>
      </c>
      <c r="J55" s="7">
        <v>1</v>
      </c>
      <c r="K55" s="7">
        <v>-1</v>
      </c>
      <c r="L55" s="7">
        <v>-1</v>
      </c>
      <c r="M55" s="7">
        <v>-1</v>
      </c>
      <c r="N55" s="7">
        <v>1</v>
      </c>
      <c r="O55" s="7">
        <v>5</v>
      </c>
      <c r="P55" s="7">
        <v>4.7911130000000002</v>
      </c>
      <c r="Q55" s="7" t="s">
        <v>231</v>
      </c>
      <c r="AY55" s="7">
        <v>0</v>
      </c>
      <c r="AZ55" s="7">
        <v>1</v>
      </c>
      <c r="BE55" s="7">
        <v>1</v>
      </c>
    </row>
    <row r="56" spans="1:57" s="7" customFormat="1">
      <c r="A56" s="22">
        <v>1</v>
      </c>
      <c r="B56" s="7" t="s">
        <v>287</v>
      </c>
      <c r="C56" s="7" t="s">
        <v>195</v>
      </c>
      <c r="D56" s="7" t="s">
        <v>31</v>
      </c>
      <c r="E56" s="7" t="s">
        <v>227</v>
      </c>
      <c r="F56" s="7">
        <v>1</v>
      </c>
      <c r="G56" s="7">
        <v>1</v>
      </c>
      <c r="H56" s="7" t="s">
        <v>234</v>
      </c>
      <c r="I56" s="7">
        <v>1</v>
      </c>
      <c r="J56" s="7">
        <v>1</v>
      </c>
      <c r="K56" s="7">
        <v>-1</v>
      </c>
      <c r="L56" s="7">
        <v>-1</v>
      </c>
      <c r="M56" s="7">
        <v>-1</v>
      </c>
      <c r="N56" s="7">
        <v>1</v>
      </c>
      <c r="O56" s="7">
        <v>5</v>
      </c>
      <c r="P56" s="7">
        <v>5.7911130000000002</v>
      </c>
      <c r="Q56" s="7" t="s">
        <v>230</v>
      </c>
      <c r="AY56" s="7">
        <v>0</v>
      </c>
      <c r="AZ56" s="7">
        <v>1</v>
      </c>
      <c r="BE56" s="7">
        <v>1</v>
      </c>
    </row>
    <row r="57" spans="1:57" s="7" customFormat="1">
      <c r="A57" s="22">
        <v>1</v>
      </c>
      <c r="B57" s="7" t="s">
        <v>263</v>
      </c>
      <c r="C57" s="7" t="s">
        <v>195</v>
      </c>
      <c r="D57" s="7" t="s">
        <v>31</v>
      </c>
      <c r="E57" s="7" t="s">
        <v>232</v>
      </c>
      <c r="F57" s="7">
        <v>1</v>
      </c>
      <c r="G57" s="7">
        <v>1</v>
      </c>
      <c r="H57" s="7" t="s">
        <v>234</v>
      </c>
      <c r="I57" s="7">
        <v>1</v>
      </c>
      <c r="J57" s="7">
        <v>1</v>
      </c>
      <c r="K57" s="7">
        <v>-1</v>
      </c>
      <c r="L57" s="7">
        <v>-1</v>
      </c>
      <c r="M57" s="7">
        <v>-1</v>
      </c>
      <c r="N57" s="7">
        <v>1</v>
      </c>
      <c r="O57" s="7">
        <v>5</v>
      </c>
      <c r="P57" s="7">
        <v>5.7911130000000002</v>
      </c>
      <c r="Q57" s="7" t="s">
        <v>230</v>
      </c>
      <c r="AY57" s="7">
        <v>0</v>
      </c>
      <c r="AZ57" s="7">
        <v>1</v>
      </c>
      <c r="BE57" s="7">
        <v>1</v>
      </c>
    </row>
    <row r="58" spans="1:57" s="7" customFormat="1">
      <c r="A58" s="22">
        <v>1</v>
      </c>
      <c r="B58" s="7" t="s">
        <v>286</v>
      </c>
      <c r="C58" s="7" t="s">
        <v>195</v>
      </c>
      <c r="D58" s="7" t="s">
        <v>31</v>
      </c>
      <c r="E58" s="7" t="s">
        <v>227</v>
      </c>
      <c r="F58" s="7">
        <v>1</v>
      </c>
      <c r="G58" s="7">
        <v>1</v>
      </c>
      <c r="H58" s="7" t="s">
        <v>234</v>
      </c>
      <c r="I58" s="7">
        <v>1</v>
      </c>
      <c r="J58" s="7">
        <v>1</v>
      </c>
      <c r="K58" s="7">
        <v>-1</v>
      </c>
      <c r="L58" s="7">
        <v>-1</v>
      </c>
      <c r="M58" s="7">
        <v>-1</v>
      </c>
      <c r="N58" s="7">
        <v>1</v>
      </c>
      <c r="O58" s="7">
        <v>5</v>
      </c>
      <c r="P58" s="7">
        <v>6.7911130000000002</v>
      </c>
      <c r="Q58" s="7" t="s">
        <v>286</v>
      </c>
      <c r="AY58" s="7">
        <v>0</v>
      </c>
      <c r="AZ58" s="7">
        <v>1</v>
      </c>
      <c r="BA58" s="7">
        <v>1</v>
      </c>
      <c r="BE58" s="7">
        <v>1</v>
      </c>
    </row>
    <row r="59" spans="1:57" s="7" customFormat="1">
      <c r="A59" s="22">
        <v>1</v>
      </c>
      <c r="B59" s="7" t="s">
        <v>262</v>
      </c>
      <c r="C59" s="7" t="s">
        <v>195</v>
      </c>
      <c r="D59" s="7" t="s">
        <v>31</v>
      </c>
      <c r="E59" s="7" t="s">
        <v>232</v>
      </c>
      <c r="F59" s="7">
        <v>1</v>
      </c>
      <c r="G59" s="7">
        <v>1</v>
      </c>
      <c r="H59" s="7" t="s">
        <v>234</v>
      </c>
      <c r="I59" s="7">
        <v>1</v>
      </c>
      <c r="J59" s="7">
        <v>1</v>
      </c>
      <c r="K59" s="7">
        <v>-1</v>
      </c>
      <c r="L59" s="7">
        <v>-1</v>
      </c>
      <c r="M59" s="7">
        <v>-1</v>
      </c>
      <c r="N59" s="7">
        <v>1</v>
      </c>
      <c r="O59" s="7">
        <v>5</v>
      </c>
      <c r="P59" s="7">
        <v>6.7911130000000002</v>
      </c>
      <c r="Q59" s="7" t="s">
        <v>262</v>
      </c>
      <c r="AY59" s="7">
        <v>0</v>
      </c>
      <c r="AZ59" s="7">
        <v>1</v>
      </c>
      <c r="BA59" s="7">
        <v>1</v>
      </c>
      <c r="BE59" s="7">
        <v>1</v>
      </c>
    </row>
    <row r="60" spans="1:57" s="7" customFormat="1">
      <c r="A60" s="22">
        <v>1</v>
      </c>
      <c r="B60" s="7" t="s">
        <v>285</v>
      </c>
      <c r="C60" s="7" t="s">
        <v>195</v>
      </c>
      <c r="D60" s="7" t="s">
        <v>31</v>
      </c>
      <c r="E60" s="7" t="s">
        <v>227</v>
      </c>
      <c r="F60" s="7">
        <v>1</v>
      </c>
      <c r="G60" s="7">
        <v>1</v>
      </c>
      <c r="H60" s="7" t="s">
        <v>234</v>
      </c>
      <c r="I60" s="7">
        <v>1</v>
      </c>
      <c r="J60" s="7">
        <v>1</v>
      </c>
      <c r="K60" s="7">
        <v>-1</v>
      </c>
      <c r="L60" s="7">
        <v>-1</v>
      </c>
      <c r="M60" s="7">
        <v>-1</v>
      </c>
      <c r="N60" s="7">
        <v>1</v>
      </c>
      <c r="O60" s="7">
        <v>5</v>
      </c>
      <c r="P60" s="7">
        <v>7.7911130000000002</v>
      </c>
      <c r="Q60" s="7" t="s">
        <v>285</v>
      </c>
      <c r="AY60" s="7">
        <v>0</v>
      </c>
      <c r="AZ60" s="7">
        <v>1</v>
      </c>
      <c r="BA60" s="7">
        <v>1</v>
      </c>
      <c r="BE60" s="7">
        <v>1</v>
      </c>
    </row>
    <row r="61" spans="1:57" s="7" customFormat="1">
      <c r="A61" s="22">
        <v>1</v>
      </c>
      <c r="B61" s="7" t="s">
        <v>261</v>
      </c>
      <c r="C61" s="7" t="s">
        <v>195</v>
      </c>
      <c r="D61" s="7" t="s">
        <v>31</v>
      </c>
      <c r="E61" s="7" t="s">
        <v>232</v>
      </c>
      <c r="F61" s="7">
        <v>1</v>
      </c>
      <c r="G61" s="7">
        <v>1</v>
      </c>
      <c r="H61" s="7" t="s">
        <v>234</v>
      </c>
      <c r="I61" s="7">
        <v>1</v>
      </c>
      <c r="J61" s="7">
        <v>1</v>
      </c>
      <c r="K61" s="7">
        <v>-1</v>
      </c>
      <c r="L61" s="7">
        <v>-1</v>
      </c>
      <c r="M61" s="7">
        <v>-1</v>
      </c>
      <c r="N61" s="7">
        <v>1</v>
      </c>
      <c r="O61" s="7">
        <v>5</v>
      </c>
      <c r="P61" s="7">
        <v>7.7911130000000002</v>
      </c>
      <c r="Q61" s="7" t="s">
        <v>261</v>
      </c>
      <c r="AY61" s="7">
        <v>0</v>
      </c>
      <c r="AZ61" s="7">
        <v>1</v>
      </c>
      <c r="BA61" s="7">
        <v>1</v>
      </c>
      <c r="BE61" s="7">
        <v>1</v>
      </c>
    </row>
    <row r="62" spans="1:57" s="7" customFormat="1">
      <c r="A62" s="22">
        <v>1</v>
      </c>
      <c r="B62" s="7" t="s">
        <v>293</v>
      </c>
      <c r="C62" s="7" t="s">
        <v>195</v>
      </c>
      <c r="D62" s="7" t="s">
        <v>31</v>
      </c>
      <c r="E62" s="7" t="s">
        <v>236</v>
      </c>
      <c r="F62" s="7">
        <v>1</v>
      </c>
      <c r="G62" s="7">
        <v>1</v>
      </c>
      <c r="H62" s="7" t="s">
        <v>237</v>
      </c>
      <c r="I62" s="7">
        <v>1</v>
      </c>
      <c r="J62" s="7">
        <v>1</v>
      </c>
      <c r="K62" s="7">
        <v>2</v>
      </c>
      <c r="L62" s="7">
        <v>2</v>
      </c>
      <c r="M62" s="7">
        <v>1</v>
      </c>
      <c r="N62" s="7">
        <v>3</v>
      </c>
      <c r="O62" s="7">
        <v>5</v>
      </c>
      <c r="P62" s="7">
        <v>4.7911130000000002</v>
      </c>
      <c r="Q62" s="7" t="s">
        <v>293</v>
      </c>
      <c r="AY62" s="7">
        <v>0</v>
      </c>
      <c r="AZ62" s="7">
        <v>1</v>
      </c>
      <c r="BE62" s="7">
        <v>1</v>
      </c>
    </row>
    <row r="63" spans="1:57" s="7" customFormat="1">
      <c r="A63" s="22">
        <v>1</v>
      </c>
      <c r="B63" s="7" t="s">
        <v>269</v>
      </c>
      <c r="C63" s="7" t="s">
        <v>195</v>
      </c>
      <c r="D63" s="7" t="s">
        <v>31</v>
      </c>
      <c r="E63" s="7" t="s">
        <v>270</v>
      </c>
      <c r="F63" s="7">
        <v>1</v>
      </c>
      <c r="G63" s="7">
        <v>1</v>
      </c>
      <c r="H63" s="7" t="s">
        <v>237</v>
      </c>
      <c r="I63" s="7">
        <v>1</v>
      </c>
      <c r="J63" s="7">
        <v>1</v>
      </c>
      <c r="K63" s="7">
        <v>2</v>
      </c>
      <c r="L63" s="7">
        <v>2</v>
      </c>
      <c r="M63" s="7">
        <v>1</v>
      </c>
      <c r="N63" s="7">
        <v>3</v>
      </c>
      <c r="O63" s="7">
        <v>5</v>
      </c>
      <c r="P63" s="7">
        <v>4.7911130000000002</v>
      </c>
      <c r="Q63" s="7" t="s">
        <v>269</v>
      </c>
      <c r="AY63" s="7">
        <v>0</v>
      </c>
      <c r="AZ63" s="7">
        <v>1</v>
      </c>
      <c r="BE63" s="7">
        <v>1</v>
      </c>
    </row>
    <row r="64" spans="1:57" s="7" customFormat="1">
      <c r="A64" s="22">
        <v>1</v>
      </c>
      <c r="B64" s="7" t="s">
        <v>292</v>
      </c>
      <c r="C64" s="7" t="s">
        <v>195</v>
      </c>
      <c r="D64" s="7" t="s">
        <v>31</v>
      </c>
      <c r="E64" s="7" t="s">
        <v>236</v>
      </c>
      <c r="F64" s="7">
        <v>1</v>
      </c>
      <c r="G64" s="7">
        <v>1</v>
      </c>
      <c r="H64" s="7" t="s">
        <v>237</v>
      </c>
      <c r="I64" s="7">
        <v>1</v>
      </c>
      <c r="J64" s="7">
        <v>1</v>
      </c>
      <c r="K64" s="7">
        <v>2</v>
      </c>
      <c r="L64" s="7">
        <v>2</v>
      </c>
      <c r="M64" s="7">
        <v>1</v>
      </c>
      <c r="N64" s="7">
        <v>3</v>
      </c>
      <c r="O64" s="7">
        <v>5</v>
      </c>
      <c r="P64" s="7">
        <v>5.7911130000000002</v>
      </c>
      <c r="Q64" s="7" t="s">
        <v>292</v>
      </c>
      <c r="AY64" s="7">
        <v>0</v>
      </c>
      <c r="AZ64" s="7">
        <v>1</v>
      </c>
      <c r="BE64" s="7">
        <v>1</v>
      </c>
    </row>
    <row r="65" spans="1:60" s="7" customFormat="1">
      <c r="A65" s="22">
        <v>1</v>
      </c>
      <c r="B65" s="7" t="s">
        <v>268</v>
      </c>
      <c r="C65" s="7" t="s">
        <v>195</v>
      </c>
      <c r="D65" s="7" t="s">
        <v>31</v>
      </c>
      <c r="E65" s="7" t="s">
        <v>270</v>
      </c>
      <c r="F65" s="7">
        <v>1</v>
      </c>
      <c r="G65" s="7">
        <v>1</v>
      </c>
      <c r="H65" s="7" t="s">
        <v>237</v>
      </c>
      <c r="I65" s="7">
        <v>1</v>
      </c>
      <c r="J65" s="7">
        <v>1</v>
      </c>
      <c r="K65" s="7">
        <v>2</v>
      </c>
      <c r="L65" s="7">
        <v>2</v>
      </c>
      <c r="M65" s="7">
        <v>1</v>
      </c>
      <c r="N65" s="7">
        <v>3</v>
      </c>
      <c r="O65" s="7">
        <v>5</v>
      </c>
      <c r="P65" s="7">
        <v>5.7911130000000002</v>
      </c>
      <c r="Q65" s="7" t="s">
        <v>268</v>
      </c>
      <c r="AY65" s="7">
        <v>0</v>
      </c>
      <c r="AZ65" s="7">
        <v>1</v>
      </c>
      <c r="BE65" s="7">
        <v>1</v>
      </c>
    </row>
    <row r="66" spans="1:60" s="7" customFormat="1">
      <c r="A66" s="22">
        <v>1</v>
      </c>
      <c r="B66" s="7" t="s">
        <v>291</v>
      </c>
      <c r="C66" s="7" t="s">
        <v>195</v>
      </c>
      <c r="D66" s="7" t="s">
        <v>31</v>
      </c>
      <c r="E66" s="7" t="s">
        <v>236</v>
      </c>
      <c r="F66" s="7">
        <v>1</v>
      </c>
      <c r="G66" s="7">
        <v>1</v>
      </c>
      <c r="H66" s="7" t="s">
        <v>237</v>
      </c>
      <c r="I66" s="7">
        <v>1</v>
      </c>
      <c r="J66" s="7">
        <v>1</v>
      </c>
      <c r="K66" s="7">
        <v>2</v>
      </c>
      <c r="L66" s="7">
        <v>2</v>
      </c>
      <c r="M66" s="7">
        <v>1</v>
      </c>
      <c r="N66" s="7">
        <v>3</v>
      </c>
      <c r="O66" s="7">
        <v>5</v>
      </c>
      <c r="P66" s="7">
        <v>6.7911130000000002</v>
      </c>
      <c r="Q66" s="7" t="s">
        <v>291</v>
      </c>
      <c r="AY66" s="7">
        <v>0</v>
      </c>
      <c r="AZ66" s="7">
        <v>1</v>
      </c>
      <c r="BE66" s="7">
        <v>1</v>
      </c>
    </row>
    <row r="67" spans="1:60" s="7" customFormat="1">
      <c r="A67" s="22">
        <v>1</v>
      </c>
      <c r="B67" s="7" t="s">
        <v>267</v>
      </c>
      <c r="C67" s="7" t="s">
        <v>195</v>
      </c>
      <c r="D67" s="7" t="s">
        <v>31</v>
      </c>
      <c r="E67" s="7" t="s">
        <v>270</v>
      </c>
      <c r="F67" s="7">
        <v>1</v>
      </c>
      <c r="G67" s="7">
        <v>1</v>
      </c>
      <c r="H67" s="7" t="s">
        <v>237</v>
      </c>
      <c r="I67" s="7">
        <v>1</v>
      </c>
      <c r="J67" s="7">
        <v>1</v>
      </c>
      <c r="K67" s="7">
        <v>2</v>
      </c>
      <c r="L67" s="7">
        <v>2</v>
      </c>
      <c r="M67" s="7">
        <v>1</v>
      </c>
      <c r="N67" s="7">
        <v>3</v>
      </c>
      <c r="O67" s="7">
        <v>5</v>
      </c>
      <c r="P67" s="7">
        <v>6.7911130000000002</v>
      </c>
      <c r="Q67" s="7" t="s">
        <v>267</v>
      </c>
      <c r="AY67" s="7">
        <v>0</v>
      </c>
      <c r="AZ67" s="7">
        <v>1</v>
      </c>
      <c r="BE67" s="7">
        <v>1</v>
      </c>
    </row>
    <row r="68" spans="1:60" s="7" customFormat="1">
      <c r="A68" s="22">
        <v>1</v>
      </c>
      <c r="B68" s="7" t="s">
        <v>290</v>
      </c>
      <c r="C68" s="7" t="s">
        <v>195</v>
      </c>
      <c r="D68" s="7" t="s">
        <v>31</v>
      </c>
      <c r="E68" s="7" t="s">
        <v>236</v>
      </c>
      <c r="F68" s="7">
        <v>1</v>
      </c>
      <c r="G68" s="7">
        <v>1</v>
      </c>
      <c r="H68" s="7" t="s">
        <v>237</v>
      </c>
      <c r="I68" s="7">
        <v>1</v>
      </c>
      <c r="J68" s="7">
        <v>1</v>
      </c>
      <c r="K68" s="7">
        <v>2</v>
      </c>
      <c r="L68" s="7">
        <v>2</v>
      </c>
      <c r="M68" s="7">
        <v>1</v>
      </c>
      <c r="N68" s="7">
        <v>3</v>
      </c>
      <c r="O68" s="7">
        <v>5</v>
      </c>
      <c r="P68" s="7">
        <v>7.7911130000000002</v>
      </c>
      <c r="Q68" s="7" t="s">
        <v>290</v>
      </c>
      <c r="AY68" s="7">
        <v>0</v>
      </c>
      <c r="AZ68" s="7">
        <v>1</v>
      </c>
      <c r="BE68" s="7">
        <v>1</v>
      </c>
    </row>
    <row r="69" spans="1:60" s="7" customFormat="1">
      <c r="A69" s="22">
        <v>1</v>
      </c>
      <c r="B69" s="7" t="s">
        <v>266</v>
      </c>
      <c r="C69" s="7" t="s">
        <v>195</v>
      </c>
      <c r="D69" s="7" t="s">
        <v>31</v>
      </c>
      <c r="E69" s="7" t="s">
        <v>270</v>
      </c>
      <c r="F69" s="7">
        <v>1</v>
      </c>
      <c r="G69" s="7">
        <v>1</v>
      </c>
      <c r="H69" s="7" t="s">
        <v>237</v>
      </c>
      <c r="I69" s="7">
        <v>1</v>
      </c>
      <c r="J69" s="7">
        <v>1</v>
      </c>
      <c r="K69" s="7">
        <v>2</v>
      </c>
      <c r="L69" s="7">
        <v>2</v>
      </c>
      <c r="M69" s="7">
        <v>1</v>
      </c>
      <c r="N69" s="7">
        <v>3</v>
      </c>
      <c r="O69" s="7">
        <v>5</v>
      </c>
      <c r="P69" s="7">
        <v>7.7911130000000002</v>
      </c>
      <c r="Q69" s="7" t="s">
        <v>266</v>
      </c>
      <c r="AY69" s="7">
        <v>0</v>
      </c>
      <c r="AZ69" s="7">
        <v>1</v>
      </c>
      <c r="BE69" s="7">
        <v>1</v>
      </c>
    </row>
    <row r="70" spans="1:60" s="7" customFormat="1">
      <c r="A70" s="22">
        <v>1</v>
      </c>
      <c r="B70" s="7" t="s">
        <v>289</v>
      </c>
      <c r="C70" s="7" t="s">
        <v>195</v>
      </c>
      <c r="D70" s="7" t="s">
        <v>31</v>
      </c>
      <c r="E70" s="7" t="s">
        <v>236</v>
      </c>
      <c r="F70" s="7">
        <v>1</v>
      </c>
      <c r="G70" s="7">
        <v>1</v>
      </c>
      <c r="H70" s="7" t="s">
        <v>237</v>
      </c>
      <c r="I70" s="7">
        <v>1</v>
      </c>
      <c r="J70" s="7">
        <v>1</v>
      </c>
      <c r="K70" s="7">
        <v>2</v>
      </c>
      <c r="L70" s="7">
        <v>2</v>
      </c>
      <c r="M70" s="7">
        <v>1</v>
      </c>
      <c r="N70" s="7">
        <v>3</v>
      </c>
      <c r="O70" s="7">
        <v>5</v>
      </c>
      <c r="P70" s="7">
        <v>100</v>
      </c>
      <c r="Q70" s="7" t="s">
        <v>289</v>
      </c>
      <c r="AY70" s="7">
        <v>0</v>
      </c>
      <c r="AZ70" s="7">
        <v>1</v>
      </c>
      <c r="BE70" s="7">
        <v>1</v>
      </c>
    </row>
    <row r="71" spans="1:60" s="7" customFormat="1">
      <c r="A71" s="22">
        <v>1</v>
      </c>
      <c r="B71" s="7" t="s">
        <v>265</v>
      </c>
      <c r="C71" s="7" t="s">
        <v>195</v>
      </c>
      <c r="D71" s="7" t="s">
        <v>31</v>
      </c>
      <c r="E71" s="7" t="s">
        <v>270</v>
      </c>
      <c r="F71" s="7">
        <v>1</v>
      </c>
      <c r="G71" s="7">
        <v>1</v>
      </c>
      <c r="H71" s="7" t="s">
        <v>237</v>
      </c>
      <c r="I71" s="7">
        <v>1</v>
      </c>
      <c r="J71" s="7">
        <v>1</v>
      </c>
      <c r="K71" s="7">
        <v>2</v>
      </c>
      <c r="L71" s="7">
        <v>2</v>
      </c>
      <c r="M71" s="7">
        <v>1</v>
      </c>
      <c r="N71" s="7">
        <v>3</v>
      </c>
      <c r="O71" s="7">
        <v>5</v>
      </c>
      <c r="P71" s="7">
        <v>100</v>
      </c>
      <c r="Q71" s="7" t="s">
        <v>265</v>
      </c>
      <c r="AY71" s="7">
        <v>0</v>
      </c>
      <c r="AZ71" s="7">
        <v>1</v>
      </c>
      <c r="BE71" s="7">
        <v>1</v>
      </c>
    </row>
    <row r="72" spans="1:60" s="7" customFormat="1">
      <c r="A72" s="22">
        <v>1</v>
      </c>
      <c r="B72" s="7" t="s">
        <v>284</v>
      </c>
      <c r="C72" s="7" t="s">
        <v>195</v>
      </c>
      <c r="D72" s="7" t="s">
        <v>31</v>
      </c>
      <c r="E72" s="7" t="s">
        <v>227</v>
      </c>
      <c r="F72" s="7">
        <v>1</v>
      </c>
      <c r="G72" s="7">
        <v>1</v>
      </c>
      <c r="H72" s="7" t="s">
        <v>234</v>
      </c>
      <c r="I72" s="7">
        <v>1</v>
      </c>
      <c r="J72" s="7">
        <v>1</v>
      </c>
      <c r="K72" s="7">
        <v>-1</v>
      </c>
      <c r="L72" s="7">
        <v>-1</v>
      </c>
      <c r="M72" s="7">
        <v>-1</v>
      </c>
      <c r="N72" s="7">
        <v>1</v>
      </c>
      <c r="O72" s="7">
        <v>5</v>
      </c>
      <c r="P72" s="7">
        <v>100</v>
      </c>
      <c r="Q72" s="7" t="s">
        <v>284</v>
      </c>
      <c r="AY72" s="7">
        <v>0</v>
      </c>
      <c r="BD72" s="7">
        <v>1</v>
      </c>
    </row>
    <row r="73" spans="1:60" s="7" customFormat="1">
      <c r="A73" s="22">
        <v>1</v>
      </c>
      <c r="B73" s="7" t="s">
        <v>260</v>
      </c>
      <c r="C73" s="7" t="s">
        <v>195</v>
      </c>
      <c r="D73" s="7" t="s">
        <v>31</v>
      </c>
      <c r="E73" s="7" t="s">
        <v>232</v>
      </c>
      <c r="F73" s="7">
        <v>1</v>
      </c>
      <c r="G73" s="7">
        <v>1</v>
      </c>
      <c r="H73" s="7" t="s">
        <v>234</v>
      </c>
      <c r="I73" s="7">
        <v>1</v>
      </c>
      <c r="J73" s="7">
        <v>1</v>
      </c>
      <c r="K73" s="7">
        <v>-1</v>
      </c>
      <c r="L73" s="7">
        <v>-1</v>
      </c>
      <c r="M73" s="7">
        <v>-1</v>
      </c>
      <c r="N73" s="7">
        <v>1</v>
      </c>
      <c r="O73" s="7">
        <v>5</v>
      </c>
      <c r="P73" s="7">
        <v>100</v>
      </c>
      <c r="Q73" s="7" t="s">
        <v>260</v>
      </c>
      <c r="AY73" s="7">
        <v>0</v>
      </c>
      <c r="BD73" s="7">
        <v>1</v>
      </c>
    </row>
    <row r="74" spans="1:60" s="7" customFormat="1">
      <c r="A74" s="22">
        <v>1</v>
      </c>
      <c r="B74" s="7" t="s">
        <v>279</v>
      </c>
      <c r="C74" s="7" t="s">
        <v>195</v>
      </c>
      <c r="D74" s="7" t="s">
        <v>31</v>
      </c>
      <c r="E74" s="7" t="s">
        <v>271</v>
      </c>
      <c r="F74" s="7">
        <v>1</v>
      </c>
      <c r="G74" s="7">
        <v>1</v>
      </c>
      <c r="H74" s="7" t="s">
        <v>188</v>
      </c>
      <c r="I74" s="7">
        <v>1</v>
      </c>
      <c r="J74" s="7">
        <v>1</v>
      </c>
      <c r="K74" s="7">
        <v>2</v>
      </c>
      <c r="L74" s="7">
        <v>2</v>
      </c>
      <c r="M74" s="7">
        <v>1</v>
      </c>
      <c r="N74" s="7">
        <v>2</v>
      </c>
      <c r="O74" s="7">
        <v>1</v>
      </c>
      <c r="P74" s="7">
        <v>100</v>
      </c>
      <c r="Q74" s="7" t="s">
        <v>279</v>
      </c>
      <c r="AY74" s="7">
        <v>0</v>
      </c>
      <c r="AZ74" s="7">
        <v>1</v>
      </c>
      <c r="BA74" s="7">
        <v>1</v>
      </c>
      <c r="BB74" s="7">
        <v>1</v>
      </c>
      <c r="BD74" s="7">
        <v>1</v>
      </c>
      <c r="BE74" s="7">
        <v>1</v>
      </c>
      <c r="BH74" s="7">
        <v>1</v>
      </c>
    </row>
    <row r="75" spans="1:60">
      <c r="A75" s="22"/>
    </row>
    <row r="76" spans="1:60">
      <c r="A76" s="22"/>
    </row>
    <row r="77" spans="1:60">
      <c r="A77" s="22"/>
    </row>
    <row r="78" spans="1:60">
      <c r="A78" s="22"/>
    </row>
    <row r="79" spans="1:60">
      <c r="A79" s="22"/>
    </row>
    <row r="80" spans="1:60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</sheetData>
  <autoFilter ref="A9:BH74" xr:uid="{00000000-0001-0000-0E00-000000000000}"/>
  <sortState xmlns:xlrd2="http://schemas.microsoft.com/office/spreadsheetml/2017/richdata2" ref="A10:BH74">
    <sortCondition ref="B10:B74"/>
  </sortState>
  <mergeCells count="1">
    <mergeCell ref="R6:AE6"/>
  </mergeCells>
  <phoneticPr fontId="34" type="noConversion"/>
  <conditionalFormatting sqref="A75:A1048576 A1:A9">
    <cfRule type="iconSet" priority="750">
      <iconSet>
        <cfvo type="percent" val="0"/>
        <cfvo type="percent" val="33"/>
        <cfvo type="percent" val="67"/>
      </iconSet>
    </cfRule>
  </conditionalFormatting>
  <conditionalFormatting sqref="A10:A88">
    <cfRule type="iconSet" priority="764">
      <iconSet>
        <cfvo type="percent" val="0"/>
        <cfvo type="percent" val="33"/>
        <cfvo type="percent" val="67"/>
      </iconSet>
    </cfRule>
  </conditionalFormatting>
  <conditionalFormatting sqref="A13:A74">
    <cfRule type="iconSet" priority="49">
      <iconSet>
        <cfvo type="percent" val="0"/>
        <cfvo type="percent" val="33"/>
        <cfvo type="percent" val="67"/>
      </iconSet>
    </cfRule>
  </conditionalFormatting>
  <conditionalFormatting sqref="A70 A73">
    <cfRule type="iconSet" priority="31">
      <iconSet>
        <cfvo type="percent" val="0"/>
        <cfvo type="percent" val="33"/>
        <cfvo type="percent" val="67"/>
      </iconSet>
    </cfRule>
  </conditionalFormatting>
  <conditionalFormatting sqref="A71 A74">
    <cfRule type="iconSet" priority="25">
      <iconSet>
        <cfvo type="percent" val="0"/>
        <cfvo type="percent" val="33"/>
        <cfvo type="percent" val="67"/>
      </iconSet>
    </cfRule>
  </conditionalFormatting>
  <conditionalFormatting sqref="A70:A74">
    <cfRule type="iconSet" priority="19">
      <iconSet>
        <cfvo type="percent" val="0"/>
        <cfvo type="percent" val="33"/>
        <cfvo type="percent" val="67"/>
      </iconSet>
    </cfRule>
  </conditionalFormatting>
  <conditionalFormatting sqref="A70:A74">
    <cfRule type="iconSet" priority="18">
      <iconSet>
        <cfvo type="percent" val="0"/>
        <cfvo type="percent" val="33"/>
        <cfvo type="percent" val="67"/>
      </iconSet>
    </cfRule>
  </conditionalFormatting>
  <conditionalFormatting sqref="A70:A74">
    <cfRule type="iconSet" priority="17">
      <iconSet>
        <cfvo type="percent" val="0"/>
        <cfvo type="percent" val="33"/>
        <cfvo type="percent" val="67"/>
      </iconSet>
    </cfRule>
  </conditionalFormatting>
  <conditionalFormatting sqref="A70:A74">
    <cfRule type="iconSet" priority="16">
      <iconSet>
        <cfvo type="percent" val="0"/>
        <cfvo type="percent" val="33"/>
        <cfvo type="percent" val="67"/>
      </iconSet>
    </cfRule>
  </conditionalFormatting>
  <conditionalFormatting sqref="A70:A74">
    <cfRule type="iconSet" priority="15">
      <iconSet>
        <cfvo type="percent" val="0"/>
        <cfvo type="percent" val="33"/>
        <cfvo type="percent" val="67"/>
      </iconSet>
    </cfRule>
  </conditionalFormatting>
  <conditionalFormatting sqref="A70:A74">
    <cfRule type="iconSet" priority="20">
      <iconSet>
        <cfvo type="percent" val="0"/>
        <cfvo type="percent" val="33"/>
        <cfvo type="percent" val="67"/>
      </iconSet>
    </cfRule>
  </conditionalFormatting>
  <conditionalFormatting sqref="A13:A74">
    <cfRule type="iconSet" priority="802">
      <iconSet>
        <cfvo type="percent" val="0"/>
        <cfvo type="percent" val="33"/>
        <cfvo type="percent" val="67"/>
      </iconSet>
    </cfRule>
  </conditionalFormatting>
  <conditionalFormatting sqref="A13:A74">
    <cfRule type="iconSet" priority="810">
      <iconSet>
        <cfvo type="percent" val="0"/>
        <cfvo type="percent" val="33"/>
        <cfvo type="percent" val="67"/>
      </iconSet>
    </cfRule>
  </conditionalFormatting>
  <conditionalFormatting sqref="A13:A74">
    <cfRule type="iconSet" priority="816">
      <iconSet>
        <cfvo type="percent" val="0"/>
        <cfvo type="percent" val="33"/>
        <cfvo type="percent" val="67"/>
      </iconSet>
    </cfRule>
  </conditionalFormatting>
  <conditionalFormatting sqref="A11">
    <cfRule type="iconSet" priority="7">
      <iconSet>
        <cfvo type="percent" val="0"/>
        <cfvo type="percent" val="33"/>
        <cfvo type="percent" val="67"/>
      </iconSet>
    </cfRule>
  </conditionalFormatting>
  <conditionalFormatting sqref="A28">
    <cfRule type="iconSet" priority="6">
      <iconSet>
        <cfvo type="percent" val="0"/>
        <cfvo type="percent" val="33"/>
        <cfvo type="percent" val="67"/>
      </iconSet>
    </cfRule>
  </conditionalFormatting>
  <conditionalFormatting sqref="A29">
    <cfRule type="iconSet" priority="5">
      <iconSet>
        <cfvo type="percent" val="0"/>
        <cfvo type="percent" val="33"/>
        <cfvo type="percent" val="67"/>
      </iconSet>
    </cfRule>
  </conditionalFormatting>
  <conditionalFormatting sqref="A10:A74">
    <cfRule type="iconSet" priority="2">
      <iconSet>
        <cfvo type="percent" val="0"/>
        <cfvo type="percent" val="33"/>
        <cfvo type="percent" val="67"/>
      </iconSet>
    </cfRule>
  </conditionalFormatting>
  <conditionalFormatting sqref="A13:A74">
    <cfRule type="iconSet" priority="3">
      <iconSet>
        <cfvo type="percent" val="0"/>
        <cfvo type="percent" val="33"/>
        <cfvo type="percent" val="67"/>
      </iconSet>
    </cfRule>
  </conditionalFormatting>
  <conditionalFormatting sqref="A12:A7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2021-10-25T15:06:57Z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