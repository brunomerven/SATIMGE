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8_{97FA42BC-B461-40A3-94B8-FB0EBED61561}" xr6:coauthVersionLast="47" xr6:coauthVersionMax="47" xr10:uidLastSave="{00000000-0000-0000-0000-000000000000}"/>
  <bookViews>
    <workbookView xWindow="-120" yWindow="-120" windowWidth="29040" windowHeight="15840" tabRatio="649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P18" i="33" l="1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tc={230F7878-D483-4C16-85B5-F653F61B75CE}</author>
    <author>tc={6F091816-6B7C-4E14-A996-86F6F766500B}</author>
    <author>tc={04DCEF80-34BB-4027-BC82-ECD082DADDE6}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04DCEF80-34BB-4027-BC82-ECD082DADDE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12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1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2" authorId="1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<sst xmlns="http://schemas.openxmlformats.org/spreadsheetml/2006/main" count="1690" uniqueCount="355">
  <si>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</si>
  <si>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</si>
  <si>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</si>
  <si>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</si>
  <si>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</si>
  <si>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</si>
  <si>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</si>
  <si>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</si>
  <si>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</si>
  <si>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</si>
  <si>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</si>
  <si>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</si>
  <si>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</si>
  <si>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</si>
  <si>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</si>
  <si>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</si>
  <si>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</si>
  <si>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</si>
  <si>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</si>
  <si>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</si>
  <si>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</si>
  <si>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</si>
  <si>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</si>
  <si>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</si>
  <si>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</si>
  <si>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</si>
  <si>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</si>
  <si>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</si>
  <si>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</si>
  <si>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</si>
  <si>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</si>
  <si>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</si>
  <si>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</si>
  <si>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</si>
  <si>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</si>
  <si>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</si>
  <si>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</si>
  <si>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</si>
  <si>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</si>
  <si>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</si>
  <si>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</si>
  <si>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</si>
  <si>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</si>
  <si>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</si>
  <si>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</si>
  <si>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</si>
  <si>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</si>
  <si>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</si>
  <si>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</si>
  <si>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</si>
  <si>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</si>
  <si>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</si>
  <si>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</si>
  <si>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</si>
  <si>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</si>
  <si>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</si>
  <si>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</si>
  <si>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</si>
  <si>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</si>
  <si>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</si>
  <si>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</si>
  <si>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</si>
  <si>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</si>
  <si>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</si>
  <si>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</si>
  <si>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</si>
  <si>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</si>
  <si>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</si>
  <si>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</si>
  <si>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</si>
  <si>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</si>
  <si>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</si>
  <si>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</si>
  <si>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</si>
  <si>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</si>
  <si>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</si>
  <si>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</si>
  <si>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</si>
  <si>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</si>
  <si>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</si>
  <si>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</si>
  <si>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</si>
  <si>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</si>
  <si>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</si>
  <si>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</si>
  <si>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</si>
  <si>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</si>
  <si>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</si>
  <si>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</si>
  <si>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</si>
  <si>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</si>
  <si>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</si>
  <si>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</si>
  <si>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</si>
  <si>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</si>
  <si>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</si>
  <si>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</si>
  <si>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</si>
  <si>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</si>
  <si>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</si>
  <si>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</si>
  <si>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</si>
  <si>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</si>
  <si>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</si>
  <si>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</si>
  <si>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</si>
  <si>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</si>
  <si>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</si>
  <si>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</si>
  <si>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</si>
  <si>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</si>
  <si>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</si>
  <si>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</si>
  <si>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</si>
  <si>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</si>
  <si>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</si>
  <si>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</si>
  <si>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</si>
  <si>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</si>
  <si>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</si>
  <si>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</si>
  <si>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</si>
  <si>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</si>
  <si>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</si>
  <si>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</si>
  <si>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</si>
  <si>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</si>
  <si>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</si>
  <si>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</si>
  <si>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</si>
  <si>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</si>
  <si>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</si>
  <si>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</si>
  <si>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</si>
  <si>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</si>
  <si>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</si>
  <si>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</si>
  <si>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</si>
  <si>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</si>
  <si>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</si>
  <si>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</si>
  <si>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</si>
  <si>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</si>
  <si>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</si>
  <si>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</si>
  <si>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</si>
  <si>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</si>
  <si>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</si>
  <si>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</si>
  <si>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</si>
  <si>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</si>
  <si>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</si>
  <si>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</si>
  <si>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</si>
  <si>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</si>
  <si>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</si>
  <si>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</si>
  <si>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</si>
  <si>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</si>
  <si>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</si>
  <si>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</si>
  <si>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</si>
  <si>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</si>
  <si>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</si>
  <si>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</si>
  <si>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</si>
  <si>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</si>
  <si>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</si>
  <si>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</si>
  <si>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</si>
  <si>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</si>
  <si>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</si>
  <si>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</si>
  <si>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</si>
  <si>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</si>
  <si>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</si>
  <si>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</si>
  <si>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</si>
  <si>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</si>
  <si>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</si>
  <si>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</si>
  <si>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</si>
  <si>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</si>
  <si>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</si>
  <si>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</si>
  <si>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</si>
  <si>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</si>
  <si>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</si>
  <si>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</si>
  <si>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</si>
  <si>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</si>
  <si>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</si>
  <si>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</si>
  <si>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</si>
  <si>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</si>
  <si>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</si>
  <si>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</si>
  <si>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</si>
  <si>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</si>
  <si>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</si>
  <si>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</si>
  <si>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</si>
  <si>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</si>
  <si>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</si>
  <si>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</si>
  <si>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</si>
  <si>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</si>
  <si>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</si>
  <si>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</si>
  <si>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</si>
  <si>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</si>
  <si>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</si>
  <si>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</si>
  <si>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</si>
  <si>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</si>
  <si>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</si>
  <si>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</si>
  <si>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</si>
  <si>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</si>
  <si>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</si>
  <si>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</si>
  <si>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</si>
  <si>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</si>
  <si>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</si>
  <si>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</si>
  <si>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</si>
  <si>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</si>
  <si>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</si>
  <si>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</si>
  <si>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</si>
  <si>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0RG_NZ10_8</t>
  </si>
  <si>
    <t>NZ</t>
  </si>
  <si>
    <t>CCDR9GtonJuly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</si>
  <si>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</si>
  <si>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</si>
  <si>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</si>
  <si>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</si>
  <si>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</si>
  <si>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</si>
  <si>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</si>
  <si>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</si>
  <si>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</si>
  <si>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</si>
  <si>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</si>
  <si>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</si>
  <si>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</si>
  <si>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</si>
  <si>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</si>
  <si>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</si>
  <si>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</si>
  <si>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</si>
  <si>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</si>
  <si>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</si>
  <si>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</si>
  <si>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</si>
  <si>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</si>
  <si>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</si>
  <si>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</si>
  <si>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</si>
  <si>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</si>
  <si>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</si>
  <si>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</si>
  <si>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</si>
  <si>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</si>
  <si>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</si>
  <si>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</si>
  <si>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</si>
  <si>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</si>
  <si>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</si>
  <si>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</si>
  <si>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</si>
  <si>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</si>
  <si>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</si>
  <si>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</si>
  <si>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</si>
  <si>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</si>
  <si>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</si>
  <si>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</si>
  <si>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</si>
  <si>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</si>
  <si>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</si>
  <si>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</si>
  <si>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</si>
  <si>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</si>
  <si>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</si>
  <si>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</si>
  <si>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</si>
  <si>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</si>
  <si>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</si>
  <si>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</si>
  <si>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</si>
  <si>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</si>
  <si>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</si>
  <si>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</si>
  <si>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</si>
  <si>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</si>
  <si>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</si>
  <si>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</si>
  <si>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</si>
  <si>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</si>
  <si>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</si>
  <si>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</si>
  <si>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</si>
  <si>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</si>
  <si>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</si>
  <si>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</si>
  <si>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</si>
  <si>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</si>
  <si>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</si>
  <si>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</si>
  <si>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</si>
  <si>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</si>
  <si>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</si>
  <si>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</si>
  <si>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</si>
  <si>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</si>
  <si>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</si>
  <si>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</si>
  <si>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</si>
  <si>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</si>
  <si>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</si>
  <si>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</si>
  <si>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</si>
  <si>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</si>
  <si>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</si>
  <si>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</si>
  <si>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</si>
  <si>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</si>
  <si>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</si>
  <si>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</si>
  <si>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</si>
  <si>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</si>
  <si>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</si>
  <si>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Optimized_NZ_9_D</t>
  </si>
  <si>
    <t>NZS3D</t>
  </si>
  <si>
    <t>Tsititca</t>
  </si>
  <si>
    <t>Ref-No-CO2S</t>
  </si>
  <si>
    <t>REF-NO-CO2S</t>
  </si>
  <si>
    <t>Ref-No-CAP</t>
  </si>
  <si>
    <t>REF-NO-CAP</t>
  </si>
  <si>
    <t>REF_GC</t>
  </si>
  <si>
    <t>NZS4</t>
  </si>
  <si>
    <t>NZS6</t>
  </si>
  <si>
    <t>MES-Optimised</t>
  </si>
  <si>
    <t>NZS7</t>
  </si>
  <si>
    <t>NZ09</t>
  </si>
  <si>
    <t>NZ-9-Optimised</t>
  </si>
  <si>
    <t>NZS01</t>
  </si>
  <si>
    <t>NZS02</t>
  </si>
  <si>
    <t>NZS03</t>
  </si>
  <si>
    <t>2030 Closure</t>
  </si>
  <si>
    <t>2030 Retrofit</t>
  </si>
  <si>
    <t>9Gt Base</t>
  </si>
  <si>
    <t>9Gt - 2030 Closure</t>
  </si>
  <si>
    <t>9Gt - 2030 Retrofit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</si>
</sst>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0" fillId="14" borderId="0" xfId="0" applyFill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008.348817129627" createdVersion="6" refreshedVersion="8" minRefreshableVersion="3" recordCount="88" xr:uid="{D229C3DF-142A-4D15-BB2C-2EA205AB0203}">
  <cacheSource type="worksheet">
    <worksheetSource ref="A9:P11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Reference"/>
        <s v="Ref-No-CO2S"/>
        <s v="Ref-No-CAP"/>
        <s v="2030 Closure"/>
        <s v="2030 Retrofit"/>
        <s v="MES-Optimised"/>
        <s v="9Gt Base"/>
        <s v="9Gt - 2030 Closure"/>
        <s v="9Gt - 2030 Retrofit"/>
        <s v="NZ-9-Optimised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008.348817245373" createdVersion="6" refreshedVersion="8" minRefreshableVersion="3" recordCount="88" xr:uid="{C0EB43E8-6CC6-4DE4-B7F1-02B09F7BA69A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88">
        <s v="0RG_NOPAMS_REF"/>
        <s v="0RG_NOPAMS_REF_WE"/>
        <s v="EB_Fix_2022"/>
        <s v="0RG_CPM20_9_NE"/>
        <s v="0RG_CPL20_U_NE"/>
        <s v="0RG_NZ20_REF"/>
        <s v="0RG_NZ20_REF_WE"/>
        <s v="0RG_NZ10_9"/>
        <s v="0RG_NZ10_8"/>
        <s v="Reference"/>
        <s v="Ref-No-CO2S"/>
        <s v="Ref-No-CAP"/>
        <s v="2030 Closure"/>
        <s v="2030 Retrofit"/>
        <s v="MES-Optimised"/>
        <s v="9Gt Base"/>
        <s v="9Gt - 2030 Closure"/>
        <s v="9Gt - 2030 Retrofit"/>
        <s v="NZ-9-Optimised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02">
        <s v="NOPAMSREF"/>
        <s v="NOPAMSWE"/>
        <s v="CP20NEWH"/>
        <s v="NZ-20NE"/>
        <s v="NZ-20WE"/>
        <s v="NZ-10NE_9"/>
        <s v="NZ-10NE_8"/>
        <s v="REF_GC"/>
        <s v="REF-NO-CO2S"/>
        <s v="REF-NO-CAP"/>
        <s v="NZS4"/>
        <s v="NZS6"/>
        <s v="NZS7"/>
        <s v="NZ09"/>
        <s v="NZS01"/>
        <s v="NZS02"/>
        <s v="NZS03"/>
        <s v="NZS3D"/>
        <s v="REF"/>
        <s v="NZ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m/>
        <s v="LPAMSFC" u="1"/>
        <s v="NZ-20NELD" u="1"/>
        <s v="CPAMSREPROGHG" u="1"/>
        <s v="NZS5" u="1"/>
        <s v="NZ-10IPWE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NZ35S3IRGIIP" u="1"/>
        <e v="#REF!" u="1"/>
        <s v="IRPRE-01P" u="1"/>
        <s v="CO2ACAP280" u="1"/>
        <s v="NOPAMSCAPFC" u="1"/>
        <s v="NOPAMSFGDAIL" u="1"/>
        <s v="NOPAMS_NDP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6" u="1"/>
        <s v="NZS1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NZ-10WE" u="1"/>
        <s v="CATA-S3-NONZD" u="1"/>
        <s v="HPAMSIRP" u="1"/>
        <s v="CATA-S1-NONZ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ATA-S2-NONZ" u="1"/>
        <s v="NZ-10NE_8-DG" u="1"/>
        <s v="CPAMSNOIRPLE" u="1"/>
        <s v="CPAMSCAPIRPL" u="1"/>
        <s v="NOPAMS" u="1"/>
        <s v="NZ-REF-OC" u="1"/>
        <s v="CPM20NEWH" u="1"/>
        <s v="CATA-S3-NONZ" u="1"/>
        <s v="NOPAMCAPIRPF" u="1"/>
        <s v="NZ-20WE-TEST" u="1"/>
        <s v="NZ-CO2S_20NE" u="1"/>
        <s v="NZ-CO2S_20_T" u="1"/>
        <s v="IRPRE-25P" u="1"/>
        <s v="NZ-REF-FCOC" u="1"/>
        <s v="NZ35IRIP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7"/>
    <s v="CCDR9GtonJuly"/>
    <s v="base"/>
    <s v="NZ-10NE_9"/>
    <n v="0"/>
    <n v="1"/>
    <m/>
    <n v="1"/>
    <n v="1"/>
    <n v="-1"/>
    <n v="-1"/>
    <n v="-1"/>
    <n v="1"/>
    <n v="-1"/>
    <n v="7.000327102810413"/>
  </r>
  <r>
    <n v="0"/>
    <x v="8"/>
    <s v="CCDR8GtonJuly"/>
    <s v="base"/>
    <s v="NZ-10NE_8"/>
    <n v="0"/>
    <n v="1"/>
    <m/>
    <n v="1"/>
    <n v="1"/>
    <n v="-1"/>
    <n v="-1"/>
    <n v="-1"/>
    <n v="1"/>
    <n v="-1"/>
    <n v="6.000327102810413"/>
  </r>
  <r>
    <n v="1"/>
    <x v="9"/>
    <s v="REF_GC"/>
    <s v="base"/>
    <s v="REF_GC"/>
    <n v="1"/>
    <n v="0"/>
    <s v="No Pams"/>
    <n v="1"/>
    <n v="1"/>
    <n v="-1"/>
    <n v="-1"/>
    <n v="-1"/>
    <n v="1"/>
    <n v="-1"/>
    <n v="12"/>
  </r>
  <r>
    <n v="0"/>
    <x v="10"/>
    <s v="REF-NO-CO2S"/>
    <s v="base"/>
    <s v="REF-NO-CO2S"/>
    <n v="1"/>
    <n v="0"/>
    <s v="No Pams"/>
    <n v="1"/>
    <n v="1"/>
    <n v="-1"/>
    <n v="-1"/>
    <n v="-1"/>
    <n v="1"/>
    <n v="-1"/>
    <n v="12"/>
  </r>
  <r>
    <n v="0"/>
    <x v="11"/>
    <s v="REF-NO-CAP"/>
    <s v="base"/>
    <s v="REF-NO-CAP"/>
    <n v="1"/>
    <n v="0"/>
    <s v="No Pams"/>
    <n v="1"/>
    <n v="1"/>
    <n v="-1"/>
    <n v="-1"/>
    <n v="-1"/>
    <n v="1"/>
    <n v="-1"/>
    <n v="12"/>
  </r>
  <r>
    <n v="1"/>
    <x v="12"/>
    <s v="NZS4"/>
    <s v="base"/>
    <s v="NZS4"/>
    <n v="1"/>
    <n v="0"/>
    <s v="No Pams"/>
    <n v="1"/>
    <n v="1"/>
    <n v="-1"/>
    <n v="-1"/>
    <n v="-1"/>
    <n v="1"/>
    <n v="-1"/>
    <n v="12"/>
  </r>
  <r>
    <n v="1"/>
    <x v="13"/>
    <s v="NZS6"/>
    <s v="base"/>
    <s v="NZS6"/>
    <n v="1"/>
    <n v="0"/>
    <s v="No Pams"/>
    <n v="1"/>
    <n v="1"/>
    <n v="-1"/>
    <n v="-1"/>
    <n v="-1"/>
    <n v="1"/>
    <n v="-1"/>
    <n v="12"/>
  </r>
  <r>
    <n v="0"/>
    <x v="14"/>
    <s v="NZS7"/>
    <s v="base"/>
    <s v="NZS7"/>
    <n v="1"/>
    <n v="0"/>
    <s v="No Pams"/>
    <n v="1"/>
    <n v="1"/>
    <n v="-1"/>
    <n v="-1"/>
    <n v="-1"/>
    <n v="1"/>
    <n v="-1"/>
    <n v="12"/>
  </r>
  <r>
    <n v="1"/>
    <x v="15"/>
    <s v="NZ09"/>
    <s v="base"/>
    <s v="NZ09"/>
    <n v="1"/>
    <n v="0"/>
    <s v="No Pams"/>
    <n v="1"/>
    <n v="1"/>
    <n v="-1"/>
    <n v="-1"/>
    <n v="-1"/>
    <n v="1"/>
    <n v="-1"/>
    <n v="7.000327102810413"/>
  </r>
  <r>
    <n v="1"/>
    <x v="16"/>
    <s v="NZS01"/>
    <s v="base"/>
    <s v="NZS01"/>
    <n v="1"/>
    <n v="0"/>
    <s v="No Pams"/>
    <n v="1"/>
    <n v="1"/>
    <n v="-1"/>
    <n v="-1"/>
    <n v="-1"/>
    <n v="1"/>
    <n v="-1"/>
    <n v="7.000327102810413"/>
  </r>
  <r>
    <n v="1"/>
    <x v="17"/>
    <s v="NZS02"/>
    <s v="base"/>
    <s v="NZS02"/>
    <n v="1"/>
    <n v="0"/>
    <s v="No Pams"/>
    <n v="1"/>
    <n v="1"/>
    <n v="-1"/>
    <n v="-1"/>
    <n v="-1"/>
    <n v="1"/>
    <n v="-1"/>
    <n v="7.000327102810413"/>
  </r>
  <r>
    <n v="0"/>
    <x v="18"/>
    <s v="NZS03"/>
    <s v="base"/>
    <s v="NZS03"/>
    <n v="1"/>
    <n v="0"/>
    <s v="No Pams"/>
    <n v="1"/>
    <n v="1"/>
    <n v="-1"/>
    <n v="-1"/>
    <n v="-1"/>
    <n v="1"/>
    <n v="-1"/>
    <n v="7.000327102810413"/>
  </r>
  <r>
    <n v="0"/>
    <x v="19"/>
    <m/>
    <s v="base"/>
    <s v="NZS3D"/>
    <n v="1"/>
    <n v="0"/>
    <m/>
    <n v="1"/>
    <n v="1"/>
    <n v="-1"/>
    <n v="-1"/>
    <n v="-1"/>
    <n v="1"/>
    <n v="-1"/>
    <n v="7.000327102810413"/>
  </r>
  <r>
    <n v="0"/>
    <x v="20"/>
    <m/>
    <s v="base"/>
    <s v="REF"/>
    <n v="0"/>
    <n v="1"/>
    <m/>
    <n v="1"/>
    <n v="1"/>
    <n v="-1"/>
    <n v="-1"/>
    <n v="-1"/>
    <n v="1"/>
    <n v="-1"/>
    <n v="9.9"/>
  </r>
  <r>
    <n v="0"/>
    <x v="21"/>
    <m/>
    <s v="base"/>
    <s v="NZ"/>
    <n v="1"/>
    <n v="0"/>
    <m/>
    <n v="1"/>
    <n v="1"/>
    <n v="-1"/>
    <n v="-1"/>
    <n v="-1"/>
    <n v="1"/>
    <n v="-1"/>
    <n v="9.9"/>
  </r>
  <r>
    <n v="0"/>
    <x v="22"/>
    <m/>
    <s v="base"/>
    <s v="NZT1"/>
    <n v="1"/>
    <n v="0"/>
    <m/>
    <n v="1"/>
    <n v="1"/>
    <n v="-1"/>
    <n v="-1"/>
    <n v="-1"/>
    <n v="1"/>
    <n v="-1"/>
    <n v="9.9"/>
  </r>
  <r>
    <n v="0"/>
    <x v="23"/>
    <m/>
    <s v="base"/>
    <s v="NZT2"/>
    <n v="1"/>
    <n v="0"/>
    <m/>
    <n v="1"/>
    <n v="1"/>
    <n v="-1"/>
    <n v="-1"/>
    <n v="-1"/>
    <n v="1"/>
    <n v="-1"/>
    <n v="9.9"/>
  </r>
  <r>
    <n v="0"/>
    <x v="24"/>
    <m/>
    <s v="base"/>
    <s v="NZT3"/>
    <n v="1"/>
    <n v="0"/>
    <m/>
    <n v="1"/>
    <n v="1"/>
    <n v="-1"/>
    <n v="-1"/>
    <n v="-1"/>
    <n v="1"/>
    <n v="-1"/>
    <n v="9.9"/>
  </r>
  <r>
    <n v="0"/>
    <x v="25"/>
    <m/>
    <s v="base"/>
    <s v="NZT4"/>
    <n v="1"/>
    <n v="0"/>
    <m/>
    <n v="1"/>
    <n v="1"/>
    <n v="-1"/>
    <n v="-1"/>
    <n v="-1"/>
    <n v="1"/>
    <n v="-1"/>
    <n v="9.9"/>
  </r>
  <r>
    <n v="0"/>
    <x v="26"/>
    <m/>
    <s v="base"/>
    <s v="NZT5"/>
    <n v="1"/>
    <n v="0"/>
    <m/>
    <n v="1"/>
    <n v="1"/>
    <n v="-1"/>
    <n v="-1"/>
    <n v="-1"/>
    <n v="1"/>
    <n v="-1"/>
    <n v="9.9"/>
  </r>
  <r>
    <n v="0"/>
    <x v="27"/>
    <m/>
    <s v="base"/>
    <s v="NZE1"/>
    <n v="1"/>
    <n v="0"/>
    <m/>
    <n v="1"/>
    <n v="1"/>
    <n v="-1"/>
    <n v="-1"/>
    <n v="-1"/>
    <n v="1"/>
    <n v="-1"/>
    <n v="9.9"/>
  </r>
  <r>
    <n v="0"/>
    <x v="28"/>
    <m/>
    <s v="base"/>
    <s v="NZE2"/>
    <n v="1"/>
    <n v="0"/>
    <m/>
    <n v="1"/>
    <n v="1"/>
    <n v="-1"/>
    <n v="-1"/>
    <n v="-1"/>
    <n v="1"/>
    <n v="-1"/>
    <n v="9.9"/>
  </r>
  <r>
    <n v="0"/>
    <x v="29"/>
    <m/>
    <s v="base"/>
    <s v="NZE3"/>
    <n v="1"/>
    <n v="0"/>
    <m/>
    <n v="1"/>
    <n v="1"/>
    <n v="-1"/>
    <n v="-1"/>
    <n v="-1"/>
    <n v="1"/>
    <n v="-1"/>
    <n v="9.9"/>
  </r>
  <r>
    <n v="0"/>
    <x v="30"/>
    <m/>
    <s v="base"/>
    <s v="NZG1"/>
    <n v="1"/>
    <n v="0"/>
    <m/>
    <n v="1"/>
    <n v="1"/>
    <n v="-1"/>
    <n v="-1"/>
    <n v="-1"/>
    <n v="1"/>
    <n v="-1"/>
    <n v="9.9"/>
  </r>
  <r>
    <n v="0"/>
    <x v="31"/>
    <m/>
    <s v="base"/>
    <s v="NZP1"/>
    <n v="1"/>
    <n v="0"/>
    <m/>
    <n v="1"/>
    <n v="1"/>
    <n v="-1"/>
    <n v="1"/>
    <n v="1"/>
    <n v="1"/>
    <n v="-1"/>
    <n v="9.9"/>
  </r>
  <r>
    <n v="0"/>
    <x v="32"/>
    <m/>
    <s v="base"/>
    <s v="NZ"/>
    <n v="1"/>
    <n v="0"/>
    <m/>
    <n v="1"/>
    <n v="1"/>
    <n v="-1"/>
    <n v="-1"/>
    <n v="-1"/>
    <n v="1"/>
    <n v="-1"/>
    <n v="5.8"/>
  </r>
  <r>
    <n v="0"/>
    <x v="33"/>
    <m/>
    <s v="base"/>
    <s v="NZE1"/>
    <n v="1"/>
    <n v="0"/>
    <m/>
    <n v="1"/>
    <n v="1"/>
    <n v="-1"/>
    <n v="-1"/>
    <n v="-1"/>
    <n v="1"/>
    <n v="-1"/>
    <n v="5.8"/>
  </r>
  <r>
    <n v="0"/>
    <x v="34"/>
    <m/>
    <s v="base"/>
    <s v="NZE2"/>
    <n v="1"/>
    <n v="0"/>
    <m/>
    <n v="1"/>
    <n v="1"/>
    <n v="-1"/>
    <n v="-1"/>
    <n v="-1"/>
    <n v="1"/>
    <n v="-1"/>
    <n v="5.8"/>
  </r>
  <r>
    <n v="0"/>
    <x v="35"/>
    <m/>
    <s v="base"/>
    <s v="NZE3"/>
    <n v="1"/>
    <n v="0"/>
    <m/>
    <n v="1"/>
    <n v="1"/>
    <n v="-1"/>
    <n v="-1"/>
    <n v="-1"/>
    <n v="1"/>
    <n v="-1"/>
    <n v="5.8"/>
  </r>
  <r>
    <n v="0"/>
    <x v="36"/>
    <m/>
    <s v="base"/>
    <s v="NZE1G1"/>
    <n v="1"/>
    <n v="0"/>
    <m/>
    <n v="1"/>
    <n v="1"/>
    <n v="-1"/>
    <n v="-1"/>
    <n v="-1"/>
    <n v="1"/>
    <n v="-1"/>
    <n v="5.8"/>
  </r>
  <r>
    <n v="0"/>
    <x v="37"/>
    <m/>
    <s v="base"/>
    <s v="NZE2G1"/>
    <n v="1"/>
    <n v="0"/>
    <m/>
    <n v="1"/>
    <n v="1"/>
    <n v="-1"/>
    <n v="-1"/>
    <n v="-1"/>
    <n v="1"/>
    <n v="-1"/>
    <n v="5.8"/>
  </r>
  <r>
    <n v="0"/>
    <x v="38"/>
    <m/>
    <s v="base"/>
    <s v="NZE3G1"/>
    <n v="1"/>
    <n v="0"/>
    <m/>
    <n v="1"/>
    <n v="1"/>
    <n v="-1"/>
    <n v="-1"/>
    <n v="-1"/>
    <n v="1"/>
    <n v="-1"/>
    <n v="5.8"/>
  </r>
  <r>
    <n v="0"/>
    <x v="39"/>
    <m/>
    <s v="base"/>
    <s v="NZE1P1"/>
    <n v="1"/>
    <n v="0"/>
    <m/>
    <n v="1"/>
    <n v="1"/>
    <n v="-1"/>
    <n v="1"/>
    <n v="1"/>
    <n v="1"/>
    <n v="-1"/>
    <n v="5.8"/>
  </r>
  <r>
    <n v="0"/>
    <x v="40"/>
    <m/>
    <s v="base"/>
    <s v="NZE2P1"/>
    <n v="1"/>
    <n v="0"/>
    <m/>
    <n v="1"/>
    <n v="1"/>
    <n v="-1"/>
    <n v="1"/>
    <n v="1"/>
    <n v="1"/>
    <n v="-1"/>
    <n v="5.8"/>
  </r>
  <r>
    <n v="0"/>
    <x v="41"/>
    <m/>
    <s v="base"/>
    <s v="NZE3P1"/>
    <n v="1"/>
    <n v="0"/>
    <m/>
    <n v="1"/>
    <n v="1"/>
    <n v="-1"/>
    <n v="1"/>
    <n v="1"/>
    <n v="1"/>
    <n v="-1"/>
    <n v="5.8"/>
  </r>
  <r>
    <n v="0"/>
    <x v="42"/>
    <m/>
    <s v="base"/>
    <s v="NZE2S1"/>
    <n v="1"/>
    <n v="0"/>
    <m/>
    <n v="1"/>
    <n v="1"/>
    <n v="-1"/>
    <n v="-1"/>
    <n v="-1"/>
    <n v="1"/>
    <n v="-1"/>
    <n v="5.8"/>
  </r>
  <r>
    <n v="0"/>
    <x v="43"/>
    <m/>
    <s v="base"/>
    <s v="NZE2S1P1"/>
    <n v="1"/>
    <n v="0"/>
    <m/>
    <n v="1"/>
    <n v="1"/>
    <n v="-1"/>
    <n v="1"/>
    <n v="1"/>
    <n v="1"/>
    <n v="-1"/>
    <n v="5.8"/>
  </r>
  <r>
    <n v="0"/>
    <x v="44"/>
    <m/>
    <s v="base"/>
    <s v="NZE2T1"/>
    <n v="1"/>
    <n v="0"/>
    <m/>
    <n v="1"/>
    <n v="1"/>
    <n v="-1"/>
    <n v="-1"/>
    <n v="-1"/>
    <n v="1"/>
    <n v="-1"/>
    <n v="5.8"/>
  </r>
  <r>
    <n v="0"/>
    <x v="45"/>
    <m/>
    <s v="base"/>
    <s v="NZE2T2"/>
    <n v="1"/>
    <n v="0"/>
    <m/>
    <n v="1"/>
    <n v="1"/>
    <n v="-1"/>
    <n v="-1"/>
    <n v="-1"/>
    <n v="1"/>
    <n v="-1"/>
    <n v="5.8"/>
  </r>
  <r>
    <n v="0"/>
    <x v="46"/>
    <m/>
    <s v="base"/>
    <s v="NZE2T3"/>
    <n v="1"/>
    <n v="0"/>
    <m/>
    <n v="1"/>
    <n v="1"/>
    <n v="-1"/>
    <n v="-1"/>
    <n v="-1"/>
    <n v="1"/>
    <n v="-1"/>
    <n v="5.8"/>
  </r>
  <r>
    <n v="0"/>
    <x v="47"/>
    <m/>
    <s v="base"/>
    <s v="NZE2P1T1"/>
    <n v="1"/>
    <n v="0"/>
    <m/>
    <n v="1"/>
    <n v="1"/>
    <n v="-1"/>
    <n v="1"/>
    <n v="1"/>
    <n v="1"/>
    <n v="-1"/>
    <n v="5.8"/>
  </r>
  <r>
    <n v="0"/>
    <x v="48"/>
    <m/>
    <s v="base"/>
    <s v="NZE2P1T2"/>
    <n v="1"/>
    <n v="0"/>
    <m/>
    <n v="1"/>
    <n v="1"/>
    <n v="-1"/>
    <n v="1"/>
    <n v="1"/>
    <n v="1"/>
    <n v="-1"/>
    <n v="5.8"/>
  </r>
  <r>
    <n v="0"/>
    <x v="49"/>
    <m/>
    <s v="base"/>
    <s v="NZE2P1T3"/>
    <n v="1"/>
    <n v="0"/>
    <m/>
    <n v="1"/>
    <n v="1"/>
    <n v="-1"/>
    <n v="1"/>
    <n v="1"/>
    <n v="1"/>
    <n v="-1"/>
    <n v="5.8"/>
  </r>
  <r>
    <n v="0"/>
    <x v="50"/>
    <m/>
    <s v="base"/>
    <s v="NZ"/>
    <n v="1"/>
    <n v="0"/>
    <m/>
    <n v="1"/>
    <n v="1"/>
    <n v="-1"/>
    <n v="-1"/>
    <n v="-1"/>
    <n v="1"/>
    <n v="-1"/>
    <n v="6"/>
  </r>
  <r>
    <n v="0"/>
    <x v="51"/>
    <m/>
    <s v="base"/>
    <s v="NZE1"/>
    <n v="1"/>
    <n v="0"/>
    <m/>
    <n v="1"/>
    <n v="1"/>
    <n v="-1"/>
    <n v="-1"/>
    <n v="-1"/>
    <n v="1"/>
    <n v="-1"/>
    <n v="6"/>
  </r>
  <r>
    <n v="0"/>
    <x v="52"/>
    <m/>
    <s v="base"/>
    <s v="NZE2"/>
    <n v="1"/>
    <n v="0"/>
    <m/>
    <n v="1"/>
    <n v="1"/>
    <n v="-1"/>
    <n v="-1"/>
    <n v="-1"/>
    <n v="1"/>
    <n v="-1"/>
    <n v="6"/>
  </r>
  <r>
    <n v="0"/>
    <x v="53"/>
    <m/>
    <s v="base"/>
    <s v="NZE3"/>
    <n v="1"/>
    <n v="0"/>
    <m/>
    <n v="1"/>
    <n v="1"/>
    <n v="-1"/>
    <n v="-1"/>
    <n v="-1"/>
    <n v="1"/>
    <n v="-1"/>
    <n v="6"/>
  </r>
  <r>
    <n v="0"/>
    <x v="54"/>
    <m/>
    <s v="base"/>
    <s v="NZE1G1"/>
    <n v="1"/>
    <n v="0"/>
    <m/>
    <n v="1"/>
    <n v="1"/>
    <n v="-1"/>
    <n v="-1"/>
    <n v="-1"/>
    <n v="1"/>
    <n v="-1"/>
    <n v="6"/>
  </r>
  <r>
    <n v="0"/>
    <x v="55"/>
    <m/>
    <s v="base"/>
    <s v="NZE2G1"/>
    <n v="1"/>
    <n v="0"/>
    <m/>
    <n v="1"/>
    <n v="1"/>
    <n v="-1"/>
    <n v="-1"/>
    <n v="-1"/>
    <n v="1"/>
    <n v="-1"/>
    <n v="6"/>
  </r>
  <r>
    <n v="0"/>
    <x v="56"/>
    <m/>
    <s v="base"/>
    <s v="NZE3G1"/>
    <n v="1"/>
    <n v="0"/>
    <m/>
    <n v="1"/>
    <n v="1"/>
    <n v="-1"/>
    <n v="-1"/>
    <n v="-1"/>
    <n v="1"/>
    <n v="-1"/>
    <n v="6"/>
  </r>
  <r>
    <n v="0"/>
    <x v="57"/>
    <m/>
    <s v="base"/>
    <s v="NZE1P1"/>
    <n v="1"/>
    <n v="0"/>
    <m/>
    <n v="1"/>
    <n v="1"/>
    <n v="-1"/>
    <n v="1"/>
    <n v="1"/>
    <n v="1"/>
    <n v="-1"/>
    <n v="6"/>
  </r>
  <r>
    <n v="0"/>
    <x v="58"/>
    <m/>
    <s v="base"/>
    <s v="NZE2P1"/>
    <n v="1"/>
    <n v="0"/>
    <m/>
    <n v="1"/>
    <n v="1"/>
    <n v="-1"/>
    <n v="1"/>
    <n v="1"/>
    <n v="1"/>
    <n v="-1"/>
    <n v="6"/>
  </r>
  <r>
    <n v="0"/>
    <x v="59"/>
    <m/>
    <s v="base"/>
    <s v="NZE3P1"/>
    <n v="1"/>
    <n v="0"/>
    <m/>
    <n v="1"/>
    <n v="1"/>
    <n v="-1"/>
    <n v="1"/>
    <n v="1"/>
    <n v="1"/>
    <n v="-1"/>
    <n v="6"/>
  </r>
  <r>
    <n v="0"/>
    <x v="60"/>
    <m/>
    <s v="base"/>
    <s v="NZE2S1"/>
    <n v="1"/>
    <n v="0"/>
    <m/>
    <n v="1"/>
    <n v="1"/>
    <n v="-1"/>
    <n v="-1"/>
    <n v="-1"/>
    <n v="1"/>
    <n v="-1"/>
    <n v="6"/>
  </r>
  <r>
    <n v="0"/>
    <x v="61"/>
    <m/>
    <s v="base"/>
    <s v="NZE2S1P1"/>
    <n v="1"/>
    <n v="0"/>
    <m/>
    <n v="1"/>
    <n v="1"/>
    <n v="-1"/>
    <n v="1"/>
    <n v="1"/>
    <n v="1"/>
    <n v="-1"/>
    <n v="6"/>
  </r>
  <r>
    <n v="0"/>
    <x v="62"/>
    <m/>
    <s v="base"/>
    <s v="NZE2T1"/>
    <n v="1"/>
    <n v="0"/>
    <m/>
    <n v="1"/>
    <n v="1"/>
    <n v="-1"/>
    <n v="-1"/>
    <n v="-1"/>
    <n v="1"/>
    <n v="-1"/>
    <n v="6"/>
  </r>
  <r>
    <n v="0"/>
    <x v="63"/>
    <m/>
    <s v="base"/>
    <s v="NZE2T2"/>
    <n v="1"/>
    <n v="0"/>
    <m/>
    <n v="1"/>
    <n v="1"/>
    <n v="-1"/>
    <n v="-1"/>
    <n v="-1"/>
    <n v="1"/>
    <n v="-1"/>
    <n v="6"/>
  </r>
  <r>
    <n v="0"/>
    <x v="64"/>
    <m/>
    <s v="base"/>
    <s v="NZE2T3"/>
    <n v="1"/>
    <n v="0"/>
    <m/>
    <n v="1"/>
    <n v="1"/>
    <n v="-1"/>
    <n v="-1"/>
    <n v="-1"/>
    <n v="1"/>
    <n v="-1"/>
    <n v="6"/>
  </r>
  <r>
    <n v="0"/>
    <x v="65"/>
    <m/>
    <s v="base"/>
    <s v="NZE2P1T1"/>
    <n v="1"/>
    <n v="0"/>
    <m/>
    <n v="1"/>
    <n v="1"/>
    <n v="-1"/>
    <n v="1"/>
    <n v="1"/>
    <n v="1"/>
    <n v="-1"/>
    <n v="6"/>
  </r>
  <r>
    <n v="0"/>
    <x v="66"/>
    <m/>
    <s v="base"/>
    <s v="NZE2P1T2"/>
    <n v="1"/>
    <n v="0"/>
    <m/>
    <n v="1"/>
    <n v="1"/>
    <n v="-1"/>
    <n v="1"/>
    <n v="1"/>
    <n v="1"/>
    <n v="-1"/>
    <n v="6"/>
  </r>
  <r>
    <n v="0"/>
    <x v="67"/>
    <m/>
    <s v="base"/>
    <s v="NZE2P1T3"/>
    <n v="1"/>
    <n v="0"/>
    <m/>
    <n v="1"/>
    <n v="1"/>
    <n v="-1"/>
    <n v="1"/>
    <n v="1"/>
    <n v="1"/>
    <n v="-1"/>
    <n v="6"/>
  </r>
  <r>
    <n v="0"/>
    <x v="68"/>
    <m/>
    <s v="base"/>
    <s v="NZ"/>
    <n v="1"/>
    <n v="0"/>
    <m/>
    <n v="1"/>
    <n v="1"/>
    <n v="-1"/>
    <n v="-1"/>
    <n v="-1"/>
    <n v="1"/>
    <n v="-1"/>
    <n v="6.5"/>
  </r>
  <r>
    <n v="0"/>
    <x v="69"/>
    <m/>
    <s v="base"/>
    <s v="NZE1"/>
    <n v="1"/>
    <n v="0"/>
    <m/>
    <n v="1"/>
    <n v="1"/>
    <n v="-1"/>
    <n v="-1"/>
    <n v="-1"/>
    <n v="1"/>
    <n v="-1"/>
    <n v="6.5"/>
  </r>
  <r>
    <n v="0"/>
    <x v="70"/>
    <m/>
    <s v="base"/>
    <s v="NZE2"/>
    <n v="1"/>
    <n v="0"/>
    <m/>
    <n v="1"/>
    <n v="1"/>
    <n v="-1"/>
    <n v="-1"/>
    <n v="-1"/>
    <n v="1"/>
    <n v="-1"/>
    <n v="6.5"/>
  </r>
  <r>
    <n v="0"/>
    <x v="71"/>
    <m/>
    <s v="base"/>
    <s v="NZE3"/>
    <n v="1"/>
    <n v="0"/>
    <m/>
    <n v="1"/>
    <n v="1"/>
    <n v="-1"/>
    <n v="-1"/>
    <n v="-1"/>
    <n v="1"/>
    <n v="-1"/>
    <n v="6.5"/>
  </r>
  <r>
    <n v="0"/>
    <x v="72"/>
    <m/>
    <s v="base"/>
    <s v="NZE1G1"/>
    <n v="1"/>
    <n v="0"/>
    <m/>
    <n v="1"/>
    <n v="1"/>
    <n v="-1"/>
    <n v="-1"/>
    <n v="-1"/>
    <n v="1"/>
    <n v="-1"/>
    <n v="6.5"/>
  </r>
  <r>
    <n v="0"/>
    <x v="73"/>
    <m/>
    <s v="base"/>
    <s v="NZE2G1"/>
    <n v="1"/>
    <n v="0"/>
    <m/>
    <n v="1"/>
    <n v="1"/>
    <n v="-1"/>
    <n v="-1"/>
    <n v="-1"/>
    <n v="1"/>
    <n v="-1"/>
    <n v="6.5"/>
  </r>
  <r>
    <n v="0"/>
    <x v="74"/>
    <m/>
    <s v="base"/>
    <s v="NZE3G1"/>
    <n v="1"/>
    <n v="0"/>
    <m/>
    <n v="1"/>
    <n v="1"/>
    <n v="-1"/>
    <n v="-1"/>
    <n v="-1"/>
    <n v="1"/>
    <n v="-1"/>
    <n v="6.5"/>
  </r>
  <r>
    <n v="0"/>
    <x v="75"/>
    <m/>
    <s v="base"/>
    <s v="NZE1P1"/>
    <n v="1"/>
    <n v="0"/>
    <m/>
    <n v="1"/>
    <n v="1"/>
    <n v="-1"/>
    <n v="1"/>
    <n v="1"/>
    <n v="1"/>
    <n v="-1"/>
    <n v="6.5"/>
  </r>
  <r>
    <n v="0"/>
    <x v="76"/>
    <m/>
    <s v="base"/>
    <s v="NZE2P1"/>
    <n v="1"/>
    <n v="0"/>
    <m/>
    <n v="1"/>
    <n v="1"/>
    <n v="-1"/>
    <n v="1"/>
    <n v="1"/>
    <n v="1"/>
    <n v="-1"/>
    <n v="6.5"/>
  </r>
  <r>
    <n v="0"/>
    <x v="77"/>
    <m/>
    <s v="base"/>
    <s v="NZE3P1"/>
    <n v="1"/>
    <n v="0"/>
    <m/>
    <n v="1"/>
    <n v="1"/>
    <n v="-1"/>
    <n v="1"/>
    <n v="1"/>
    <n v="1"/>
    <n v="-1"/>
    <n v="6.5"/>
  </r>
  <r>
    <n v="0"/>
    <x v="78"/>
    <m/>
    <s v="base"/>
    <s v="NZE2S1"/>
    <n v="1"/>
    <n v="0"/>
    <m/>
    <n v="1"/>
    <n v="1"/>
    <n v="-1"/>
    <n v="-1"/>
    <n v="-1"/>
    <n v="1"/>
    <n v="-1"/>
    <n v="6.5"/>
  </r>
  <r>
    <n v="0"/>
    <x v="79"/>
    <m/>
    <s v="base"/>
    <s v="NZE2S1P1"/>
    <n v="1"/>
    <n v="0"/>
    <m/>
    <n v="1"/>
    <n v="1"/>
    <n v="-1"/>
    <n v="1"/>
    <n v="1"/>
    <n v="1"/>
    <n v="-1"/>
    <n v="6.5"/>
  </r>
  <r>
    <n v="0"/>
    <x v="80"/>
    <m/>
    <s v="base"/>
    <s v="NZE2T1"/>
    <n v="1"/>
    <n v="0"/>
    <m/>
    <n v="1"/>
    <n v="1"/>
    <n v="-1"/>
    <n v="-1"/>
    <n v="-1"/>
    <n v="1"/>
    <n v="-1"/>
    <n v="6.5"/>
  </r>
  <r>
    <n v="0"/>
    <x v="81"/>
    <m/>
    <s v="base"/>
    <s v="NZE2T2"/>
    <n v="1"/>
    <n v="0"/>
    <m/>
    <n v="1"/>
    <n v="1"/>
    <n v="-1"/>
    <n v="-1"/>
    <n v="-1"/>
    <n v="1"/>
    <n v="-1"/>
    <n v="6.5"/>
  </r>
  <r>
    <n v="0"/>
    <x v="82"/>
    <m/>
    <s v="base"/>
    <s v="NZE2T3"/>
    <n v="1"/>
    <n v="0"/>
    <m/>
    <n v="1"/>
    <n v="1"/>
    <n v="-1"/>
    <n v="-1"/>
    <n v="-1"/>
    <n v="1"/>
    <n v="-1"/>
    <n v="6.5"/>
  </r>
  <r>
    <n v="0"/>
    <x v="83"/>
    <m/>
    <s v="base"/>
    <s v="NZE2P1T1"/>
    <n v="1"/>
    <n v="0"/>
    <m/>
    <n v="1"/>
    <n v="1"/>
    <n v="-1"/>
    <n v="1"/>
    <n v="1"/>
    <n v="1"/>
    <n v="-1"/>
    <n v="6.5"/>
  </r>
  <r>
    <n v="0"/>
    <x v="84"/>
    <m/>
    <s v="base"/>
    <s v="NZE2P1T2"/>
    <n v="1"/>
    <n v="0"/>
    <m/>
    <n v="1"/>
    <n v="1"/>
    <n v="-1"/>
    <n v="1"/>
    <n v="1"/>
    <n v="1"/>
    <n v="-1"/>
    <n v="6.5"/>
  </r>
  <r>
    <n v="0"/>
    <x v="85"/>
    <m/>
    <s v="base"/>
    <s v="NZE2P1T3"/>
    <n v="1"/>
    <n v="0"/>
    <m/>
    <n v="1"/>
    <n v="1"/>
    <n v="-1"/>
    <n v="1"/>
    <n v="1"/>
    <n v="1"/>
    <n v="-1"/>
    <n v="6.5"/>
  </r>
  <r>
    <m/>
    <x v="86"/>
    <m/>
    <m/>
    <m/>
    <m/>
    <m/>
    <m/>
    <m/>
    <m/>
    <m/>
    <m/>
    <m/>
    <m/>
    <m/>
    <m/>
  </r>
  <r>
    <m/>
    <x v="86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7"/>
    <s v="CCDR9GtonJuly"/>
    <x v="0"/>
    <x v="5"/>
    <n v="0"/>
    <n v="1"/>
    <m/>
    <n v="1"/>
    <n v="1"/>
    <n v="-1"/>
    <n v="-1"/>
    <n v="-1"/>
    <n v="1"/>
    <n v="-1"/>
    <n v="7.000327102810413"/>
  </r>
  <r>
    <n v="0"/>
    <x v="8"/>
    <s v="CCDR8GtonJuly"/>
    <x v="0"/>
    <x v="6"/>
    <n v="0"/>
    <n v="1"/>
    <m/>
    <n v="1"/>
    <n v="1"/>
    <n v="-1"/>
    <n v="-1"/>
    <n v="-1"/>
    <n v="1"/>
    <n v="-1"/>
    <n v="6.000327102810413"/>
  </r>
  <r>
    <n v="1"/>
    <x v="9"/>
    <s v="REF_GC"/>
    <x v="0"/>
    <x v="7"/>
    <n v="1"/>
    <n v="0"/>
    <s v="No Pams"/>
    <n v="1"/>
    <n v="1"/>
    <n v="-1"/>
    <n v="-1"/>
    <n v="-1"/>
    <n v="1"/>
    <n v="-1"/>
    <n v="12"/>
  </r>
  <r>
    <n v="0"/>
    <x v="10"/>
    <s v="REF-NO-CO2S"/>
    <x v="0"/>
    <x v="8"/>
    <n v="1"/>
    <n v="0"/>
    <s v="No Pams"/>
    <n v="1"/>
    <n v="1"/>
    <n v="-1"/>
    <n v="-1"/>
    <n v="-1"/>
    <n v="1"/>
    <n v="-1"/>
    <n v="12"/>
  </r>
  <r>
    <n v="0"/>
    <x v="11"/>
    <s v="REF-NO-CAP"/>
    <x v="0"/>
    <x v="9"/>
    <n v="1"/>
    <n v="0"/>
    <s v="No Pams"/>
    <n v="1"/>
    <n v="1"/>
    <n v="-1"/>
    <n v="-1"/>
    <n v="-1"/>
    <n v="1"/>
    <n v="-1"/>
    <n v="12"/>
  </r>
  <r>
    <n v="1"/>
    <x v="12"/>
    <s v="NZS4"/>
    <x v="0"/>
    <x v="10"/>
    <n v="1"/>
    <n v="0"/>
    <s v="No Pams"/>
    <n v="1"/>
    <n v="1"/>
    <n v="-1"/>
    <n v="-1"/>
    <n v="-1"/>
    <n v="1"/>
    <n v="-1"/>
    <n v="12"/>
  </r>
  <r>
    <n v="1"/>
    <x v="13"/>
    <s v="NZS6"/>
    <x v="0"/>
    <x v="11"/>
    <n v="1"/>
    <n v="0"/>
    <s v="No Pams"/>
    <n v="1"/>
    <n v="1"/>
    <n v="-1"/>
    <n v="-1"/>
    <n v="-1"/>
    <n v="1"/>
    <n v="-1"/>
    <n v="12"/>
  </r>
  <r>
    <n v="0"/>
    <x v="14"/>
    <s v="NZS7"/>
    <x v="0"/>
    <x v="12"/>
    <n v="1"/>
    <n v="0"/>
    <s v="No Pams"/>
    <n v="1"/>
    <n v="1"/>
    <n v="-1"/>
    <n v="-1"/>
    <n v="-1"/>
    <n v="1"/>
    <n v="-1"/>
    <n v="12"/>
  </r>
  <r>
    <n v="1"/>
    <x v="15"/>
    <s v="NZ09"/>
    <x v="0"/>
    <x v="13"/>
    <n v="1"/>
    <n v="0"/>
    <s v="No Pams"/>
    <n v="1"/>
    <n v="1"/>
    <n v="-1"/>
    <n v="-1"/>
    <n v="-1"/>
    <n v="1"/>
    <n v="-1"/>
    <n v="7.000327102810413"/>
  </r>
  <r>
    <n v="1"/>
    <x v="16"/>
    <s v="NZS01"/>
    <x v="0"/>
    <x v="14"/>
    <n v="1"/>
    <n v="0"/>
    <s v="No Pams"/>
    <n v="1"/>
    <n v="1"/>
    <n v="-1"/>
    <n v="-1"/>
    <n v="-1"/>
    <n v="1"/>
    <n v="-1"/>
    <n v="7.000327102810413"/>
  </r>
  <r>
    <n v="1"/>
    <x v="17"/>
    <s v="NZS02"/>
    <x v="0"/>
    <x v="15"/>
    <n v="1"/>
    <n v="0"/>
    <s v="No Pams"/>
    <n v="1"/>
    <n v="1"/>
    <n v="-1"/>
    <n v="-1"/>
    <n v="-1"/>
    <n v="1"/>
    <n v="-1"/>
    <n v="7.000327102810413"/>
  </r>
  <r>
    <n v="0"/>
    <x v="18"/>
    <s v="NZS03"/>
    <x v="0"/>
    <x v="16"/>
    <n v="1"/>
    <n v="0"/>
    <s v="No Pams"/>
    <n v="1"/>
    <n v="1"/>
    <n v="-1"/>
    <n v="-1"/>
    <n v="-1"/>
    <n v="1"/>
    <n v="-1"/>
    <n v="7.000327102810413"/>
  </r>
  <r>
    <n v="0"/>
    <x v="19"/>
    <m/>
    <x v="0"/>
    <x v="17"/>
    <n v="1"/>
    <n v="0"/>
    <m/>
    <n v="1"/>
    <n v="1"/>
    <n v="-1"/>
    <n v="-1"/>
    <n v="-1"/>
    <n v="1"/>
    <n v="-1"/>
    <n v="7.000327102810413"/>
  </r>
  <r>
    <n v="0"/>
    <x v="20"/>
    <m/>
    <x v="0"/>
    <x v="18"/>
    <n v="0"/>
    <n v="1"/>
    <m/>
    <n v="1"/>
    <n v="1"/>
    <n v="-1"/>
    <n v="-1"/>
    <n v="-1"/>
    <n v="1"/>
    <n v="-1"/>
    <n v="9.9"/>
  </r>
  <r>
    <n v="0"/>
    <x v="21"/>
    <m/>
    <x v="0"/>
    <x v="19"/>
    <n v="1"/>
    <n v="0"/>
    <m/>
    <n v="1"/>
    <n v="1"/>
    <n v="-1"/>
    <n v="-1"/>
    <n v="-1"/>
    <n v="1"/>
    <n v="-1"/>
    <n v="9.9"/>
  </r>
  <r>
    <n v="0"/>
    <x v="22"/>
    <m/>
    <x v="0"/>
    <x v="20"/>
    <n v="1"/>
    <n v="0"/>
    <m/>
    <n v="1"/>
    <n v="1"/>
    <n v="-1"/>
    <n v="-1"/>
    <n v="-1"/>
    <n v="1"/>
    <n v="-1"/>
    <n v="9.9"/>
  </r>
  <r>
    <n v="0"/>
    <x v="23"/>
    <m/>
    <x v="0"/>
    <x v="21"/>
    <n v="1"/>
    <n v="0"/>
    <m/>
    <n v="1"/>
    <n v="1"/>
    <n v="-1"/>
    <n v="-1"/>
    <n v="-1"/>
    <n v="1"/>
    <n v="-1"/>
    <n v="9.9"/>
  </r>
  <r>
    <n v="0"/>
    <x v="24"/>
    <m/>
    <x v="0"/>
    <x v="22"/>
    <n v="1"/>
    <n v="0"/>
    <m/>
    <n v="1"/>
    <n v="1"/>
    <n v="-1"/>
    <n v="-1"/>
    <n v="-1"/>
    <n v="1"/>
    <n v="-1"/>
    <n v="9.9"/>
  </r>
  <r>
    <n v="0"/>
    <x v="25"/>
    <m/>
    <x v="0"/>
    <x v="23"/>
    <n v="1"/>
    <n v="0"/>
    <m/>
    <n v="1"/>
    <n v="1"/>
    <n v="-1"/>
    <n v="-1"/>
    <n v="-1"/>
    <n v="1"/>
    <n v="-1"/>
    <n v="9.9"/>
  </r>
  <r>
    <n v="0"/>
    <x v="26"/>
    <m/>
    <x v="0"/>
    <x v="24"/>
    <n v="1"/>
    <n v="0"/>
    <m/>
    <n v="1"/>
    <n v="1"/>
    <n v="-1"/>
    <n v="-1"/>
    <n v="-1"/>
    <n v="1"/>
    <n v="-1"/>
    <n v="9.9"/>
  </r>
  <r>
    <n v="0"/>
    <x v="27"/>
    <m/>
    <x v="0"/>
    <x v="25"/>
    <n v="1"/>
    <n v="0"/>
    <m/>
    <n v="1"/>
    <n v="1"/>
    <n v="-1"/>
    <n v="-1"/>
    <n v="-1"/>
    <n v="1"/>
    <n v="-1"/>
    <n v="9.9"/>
  </r>
  <r>
    <n v="0"/>
    <x v="28"/>
    <m/>
    <x v="0"/>
    <x v="26"/>
    <n v="1"/>
    <n v="0"/>
    <m/>
    <n v="1"/>
    <n v="1"/>
    <n v="-1"/>
    <n v="-1"/>
    <n v="-1"/>
    <n v="1"/>
    <n v="-1"/>
    <n v="9.9"/>
  </r>
  <r>
    <n v="0"/>
    <x v="29"/>
    <m/>
    <x v="0"/>
    <x v="27"/>
    <n v="1"/>
    <n v="0"/>
    <m/>
    <n v="1"/>
    <n v="1"/>
    <n v="-1"/>
    <n v="-1"/>
    <n v="-1"/>
    <n v="1"/>
    <n v="-1"/>
    <n v="9.9"/>
  </r>
  <r>
    <n v="0"/>
    <x v="30"/>
    <m/>
    <x v="0"/>
    <x v="28"/>
    <n v="1"/>
    <n v="0"/>
    <m/>
    <n v="1"/>
    <n v="1"/>
    <n v="-1"/>
    <n v="-1"/>
    <n v="-1"/>
    <n v="1"/>
    <n v="-1"/>
    <n v="9.9"/>
  </r>
  <r>
    <n v="0"/>
    <x v="31"/>
    <m/>
    <x v="0"/>
    <x v="29"/>
    <n v="1"/>
    <n v="0"/>
    <m/>
    <n v="1"/>
    <n v="1"/>
    <n v="-1"/>
    <n v="1"/>
    <n v="1"/>
    <n v="1"/>
    <n v="-1"/>
    <n v="9.9"/>
  </r>
  <r>
    <n v="0"/>
    <x v="32"/>
    <m/>
    <x v="0"/>
    <x v="19"/>
    <n v="1"/>
    <n v="0"/>
    <m/>
    <n v="1"/>
    <n v="1"/>
    <n v="-1"/>
    <n v="-1"/>
    <n v="-1"/>
    <n v="1"/>
    <n v="-1"/>
    <n v="5.8"/>
  </r>
  <r>
    <n v="0"/>
    <x v="33"/>
    <m/>
    <x v="0"/>
    <x v="25"/>
    <n v="1"/>
    <n v="0"/>
    <m/>
    <n v="1"/>
    <n v="1"/>
    <n v="-1"/>
    <n v="-1"/>
    <n v="-1"/>
    <n v="1"/>
    <n v="-1"/>
    <n v="5.8"/>
  </r>
  <r>
    <n v="0"/>
    <x v="34"/>
    <m/>
    <x v="0"/>
    <x v="26"/>
    <n v="1"/>
    <n v="0"/>
    <m/>
    <n v="1"/>
    <n v="1"/>
    <n v="-1"/>
    <n v="-1"/>
    <n v="-1"/>
    <n v="1"/>
    <n v="-1"/>
    <n v="5.8"/>
  </r>
  <r>
    <n v="0"/>
    <x v="35"/>
    <m/>
    <x v="0"/>
    <x v="27"/>
    <n v="1"/>
    <n v="0"/>
    <m/>
    <n v="1"/>
    <n v="1"/>
    <n v="-1"/>
    <n v="-1"/>
    <n v="-1"/>
    <n v="1"/>
    <n v="-1"/>
    <n v="5.8"/>
  </r>
  <r>
    <n v="0"/>
    <x v="36"/>
    <m/>
    <x v="0"/>
    <x v="30"/>
    <n v="1"/>
    <n v="0"/>
    <m/>
    <n v="1"/>
    <n v="1"/>
    <n v="-1"/>
    <n v="-1"/>
    <n v="-1"/>
    <n v="1"/>
    <n v="-1"/>
    <n v="5.8"/>
  </r>
  <r>
    <n v="0"/>
    <x v="37"/>
    <m/>
    <x v="0"/>
    <x v="31"/>
    <n v="1"/>
    <n v="0"/>
    <m/>
    <n v="1"/>
    <n v="1"/>
    <n v="-1"/>
    <n v="-1"/>
    <n v="-1"/>
    <n v="1"/>
    <n v="-1"/>
    <n v="5.8"/>
  </r>
  <r>
    <n v="0"/>
    <x v="38"/>
    <m/>
    <x v="0"/>
    <x v="32"/>
    <n v="1"/>
    <n v="0"/>
    <m/>
    <n v="1"/>
    <n v="1"/>
    <n v="-1"/>
    <n v="-1"/>
    <n v="-1"/>
    <n v="1"/>
    <n v="-1"/>
    <n v="5.8"/>
  </r>
  <r>
    <n v="0"/>
    <x v="39"/>
    <m/>
    <x v="0"/>
    <x v="33"/>
    <n v="1"/>
    <n v="0"/>
    <m/>
    <n v="1"/>
    <n v="1"/>
    <n v="-1"/>
    <n v="1"/>
    <n v="1"/>
    <n v="1"/>
    <n v="-1"/>
    <n v="5.8"/>
  </r>
  <r>
    <n v="0"/>
    <x v="40"/>
    <m/>
    <x v="0"/>
    <x v="34"/>
    <n v="1"/>
    <n v="0"/>
    <m/>
    <n v="1"/>
    <n v="1"/>
    <n v="-1"/>
    <n v="1"/>
    <n v="1"/>
    <n v="1"/>
    <n v="-1"/>
    <n v="5.8"/>
  </r>
  <r>
    <n v="0"/>
    <x v="41"/>
    <m/>
    <x v="0"/>
    <x v="35"/>
    <n v="1"/>
    <n v="0"/>
    <m/>
    <n v="1"/>
    <n v="1"/>
    <n v="-1"/>
    <n v="1"/>
    <n v="1"/>
    <n v="1"/>
    <n v="-1"/>
    <n v="5.8"/>
  </r>
  <r>
    <n v="0"/>
    <x v="42"/>
    <m/>
    <x v="0"/>
    <x v="36"/>
    <n v="1"/>
    <n v="0"/>
    <m/>
    <n v="1"/>
    <n v="1"/>
    <n v="-1"/>
    <n v="-1"/>
    <n v="-1"/>
    <n v="1"/>
    <n v="-1"/>
    <n v="5.8"/>
  </r>
  <r>
    <n v="0"/>
    <x v="43"/>
    <m/>
    <x v="0"/>
    <x v="37"/>
    <n v="1"/>
    <n v="0"/>
    <m/>
    <n v="1"/>
    <n v="1"/>
    <n v="-1"/>
    <n v="1"/>
    <n v="1"/>
    <n v="1"/>
    <n v="-1"/>
    <n v="5.8"/>
  </r>
  <r>
    <n v="0"/>
    <x v="44"/>
    <m/>
    <x v="0"/>
    <x v="38"/>
    <n v="1"/>
    <n v="0"/>
    <m/>
    <n v="1"/>
    <n v="1"/>
    <n v="-1"/>
    <n v="-1"/>
    <n v="-1"/>
    <n v="1"/>
    <n v="-1"/>
    <n v="5.8"/>
  </r>
  <r>
    <n v="0"/>
    <x v="45"/>
    <m/>
    <x v="0"/>
    <x v="39"/>
    <n v="1"/>
    <n v="0"/>
    <m/>
    <n v="1"/>
    <n v="1"/>
    <n v="-1"/>
    <n v="-1"/>
    <n v="-1"/>
    <n v="1"/>
    <n v="-1"/>
    <n v="5.8"/>
  </r>
  <r>
    <n v="0"/>
    <x v="46"/>
    <m/>
    <x v="0"/>
    <x v="40"/>
    <n v="1"/>
    <n v="0"/>
    <m/>
    <n v="1"/>
    <n v="1"/>
    <n v="-1"/>
    <n v="-1"/>
    <n v="-1"/>
    <n v="1"/>
    <n v="-1"/>
    <n v="5.8"/>
  </r>
  <r>
    <n v="0"/>
    <x v="47"/>
    <m/>
    <x v="0"/>
    <x v="41"/>
    <n v="1"/>
    <n v="0"/>
    <m/>
    <n v="1"/>
    <n v="1"/>
    <n v="-1"/>
    <n v="1"/>
    <n v="1"/>
    <n v="1"/>
    <n v="-1"/>
    <n v="5.8"/>
  </r>
  <r>
    <n v="0"/>
    <x v="48"/>
    <m/>
    <x v="0"/>
    <x v="42"/>
    <n v="1"/>
    <n v="0"/>
    <m/>
    <n v="1"/>
    <n v="1"/>
    <n v="-1"/>
    <n v="1"/>
    <n v="1"/>
    <n v="1"/>
    <n v="-1"/>
    <n v="5.8"/>
  </r>
  <r>
    <n v="0"/>
    <x v="49"/>
    <m/>
    <x v="0"/>
    <x v="43"/>
    <n v="1"/>
    <n v="0"/>
    <m/>
    <n v="1"/>
    <n v="1"/>
    <n v="-1"/>
    <n v="1"/>
    <n v="1"/>
    <n v="1"/>
    <n v="-1"/>
    <n v="5.8"/>
  </r>
  <r>
    <n v="0"/>
    <x v="50"/>
    <m/>
    <x v="0"/>
    <x v="19"/>
    <n v="1"/>
    <n v="0"/>
    <m/>
    <n v="1"/>
    <n v="1"/>
    <n v="-1"/>
    <n v="-1"/>
    <n v="-1"/>
    <n v="1"/>
    <n v="-1"/>
    <n v="6"/>
  </r>
  <r>
    <n v="0"/>
    <x v="51"/>
    <m/>
    <x v="0"/>
    <x v="25"/>
    <n v="1"/>
    <n v="0"/>
    <m/>
    <n v="1"/>
    <n v="1"/>
    <n v="-1"/>
    <n v="-1"/>
    <n v="-1"/>
    <n v="1"/>
    <n v="-1"/>
    <n v="6"/>
  </r>
  <r>
    <n v="0"/>
    <x v="52"/>
    <m/>
    <x v="0"/>
    <x v="26"/>
    <n v="1"/>
    <n v="0"/>
    <m/>
    <n v="1"/>
    <n v="1"/>
    <n v="-1"/>
    <n v="-1"/>
    <n v="-1"/>
    <n v="1"/>
    <n v="-1"/>
    <n v="6"/>
  </r>
  <r>
    <n v="0"/>
    <x v="53"/>
    <m/>
    <x v="0"/>
    <x v="27"/>
    <n v="1"/>
    <n v="0"/>
    <m/>
    <n v="1"/>
    <n v="1"/>
    <n v="-1"/>
    <n v="-1"/>
    <n v="-1"/>
    <n v="1"/>
    <n v="-1"/>
    <n v="6"/>
  </r>
  <r>
    <n v="0"/>
    <x v="54"/>
    <m/>
    <x v="0"/>
    <x v="30"/>
    <n v="1"/>
    <n v="0"/>
    <m/>
    <n v="1"/>
    <n v="1"/>
    <n v="-1"/>
    <n v="-1"/>
    <n v="-1"/>
    <n v="1"/>
    <n v="-1"/>
    <n v="6"/>
  </r>
  <r>
    <n v="0"/>
    <x v="55"/>
    <m/>
    <x v="0"/>
    <x v="31"/>
    <n v="1"/>
    <n v="0"/>
    <m/>
    <n v="1"/>
    <n v="1"/>
    <n v="-1"/>
    <n v="-1"/>
    <n v="-1"/>
    <n v="1"/>
    <n v="-1"/>
    <n v="6"/>
  </r>
  <r>
    <n v="0"/>
    <x v="56"/>
    <m/>
    <x v="0"/>
    <x v="32"/>
    <n v="1"/>
    <n v="0"/>
    <m/>
    <n v="1"/>
    <n v="1"/>
    <n v="-1"/>
    <n v="-1"/>
    <n v="-1"/>
    <n v="1"/>
    <n v="-1"/>
    <n v="6"/>
  </r>
  <r>
    <n v="0"/>
    <x v="57"/>
    <m/>
    <x v="0"/>
    <x v="33"/>
    <n v="1"/>
    <n v="0"/>
    <m/>
    <n v="1"/>
    <n v="1"/>
    <n v="-1"/>
    <n v="1"/>
    <n v="1"/>
    <n v="1"/>
    <n v="-1"/>
    <n v="6"/>
  </r>
  <r>
    <n v="0"/>
    <x v="58"/>
    <m/>
    <x v="0"/>
    <x v="34"/>
    <n v="1"/>
    <n v="0"/>
    <m/>
    <n v="1"/>
    <n v="1"/>
    <n v="-1"/>
    <n v="1"/>
    <n v="1"/>
    <n v="1"/>
    <n v="-1"/>
    <n v="6"/>
  </r>
  <r>
    <n v="0"/>
    <x v="59"/>
    <m/>
    <x v="0"/>
    <x v="35"/>
    <n v="1"/>
    <n v="0"/>
    <m/>
    <n v="1"/>
    <n v="1"/>
    <n v="-1"/>
    <n v="1"/>
    <n v="1"/>
    <n v="1"/>
    <n v="-1"/>
    <n v="6"/>
  </r>
  <r>
    <n v="0"/>
    <x v="60"/>
    <m/>
    <x v="0"/>
    <x v="36"/>
    <n v="1"/>
    <n v="0"/>
    <m/>
    <n v="1"/>
    <n v="1"/>
    <n v="-1"/>
    <n v="-1"/>
    <n v="-1"/>
    <n v="1"/>
    <n v="-1"/>
    <n v="6"/>
  </r>
  <r>
    <n v="0"/>
    <x v="61"/>
    <m/>
    <x v="0"/>
    <x v="37"/>
    <n v="1"/>
    <n v="0"/>
    <m/>
    <n v="1"/>
    <n v="1"/>
    <n v="-1"/>
    <n v="1"/>
    <n v="1"/>
    <n v="1"/>
    <n v="-1"/>
    <n v="6"/>
  </r>
  <r>
    <n v="0"/>
    <x v="62"/>
    <m/>
    <x v="0"/>
    <x v="38"/>
    <n v="1"/>
    <n v="0"/>
    <m/>
    <n v="1"/>
    <n v="1"/>
    <n v="-1"/>
    <n v="-1"/>
    <n v="-1"/>
    <n v="1"/>
    <n v="-1"/>
    <n v="6"/>
  </r>
  <r>
    <n v="0"/>
    <x v="63"/>
    <m/>
    <x v="0"/>
    <x v="39"/>
    <n v="1"/>
    <n v="0"/>
    <m/>
    <n v="1"/>
    <n v="1"/>
    <n v="-1"/>
    <n v="-1"/>
    <n v="-1"/>
    <n v="1"/>
    <n v="-1"/>
    <n v="6"/>
  </r>
  <r>
    <n v="0"/>
    <x v="64"/>
    <m/>
    <x v="0"/>
    <x v="40"/>
    <n v="1"/>
    <n v="0"/>
    <m/>
    <n v="1"/>
    <n v="1"/>
    <n v="-1"/>
    <n v="-1"/>
    <n v="-1"/>
    <n v="1"/>
    <n v="-1"/>
    <n v="6"/>
  </r>
  <r>
    <n v="0"/>
    <x v="65"/>
    <m/>
    <x v="0"/>
    <x v="41"/>
    <n v="1"/>
    <n v="0"/>
    <m/>
    <n v="1"/>
    <n v="1"/>
    <n v="-1"/>
    <n v="1"/>
    <n v="1"/>
    <n v="1"/>
    <n v="-1"/>
    <n v="6"/>
  </r>
  <r>
    <n v="0"/>
    <x v="66"/>
    <m/>
    <x v="0"/>
    <x v="42"/>
    <n v="1"/>
    <n v="0"/>
    <m/>
    <n v="1"/>
    <n v="1"/>
    <n v="-1"/>
    <n v="1"/>
    <n v="1"/>
    <n v="1"/>
    <n v="-1"/>
    <n v="6"/>
  </r>
  <r>
    <n v="0"/>
    <x v="67"/>
    <m/>
    <x v="0"/>
    <x v="43"/>
    <n v="1"/>
    <n v="0"/>
    <m/>
    <n v="1"/>
    <n v="1"/>
    <n v="-1"/>
    <n v="1"/>
    <n v="1"/>
    <n v="1"/>
    <n v="-1"/>
    <n v="6"/>
  </r>
  <r>
    <n v="0"/>
    <x v="68"/>
    <m/>
    <x v="0"/>
    <x v="19"/>
    <n v="1"/>
    <n v="0"/>
    <m/>
    <n v="1"/>
    <n v="1"/>
    <n v="-1"/>
    <n v="-1"/>
    <n v="-1"/>
    <n v="1"/>
    <n v="-1"/>
    <n v="6.5"/>
  </r>
  <r>
    <n v="0"/>
    <x v="69"/>
    <m/>
    <x v="0"/>
    <x v="25"/>
    <n v="1"/>
    <n v="0"/>
    <m/>
    <n v="1"/>
    <n v="1"/>
    <n v="-1"/>
    <n v="-1"/>
    <n v="-1"/>
    <n v="1"/>
    <n v="-1"/>
    <n v="6.5"/>
  </r>
  <r>
    <n v="0"/>
    <x v="70"/>
    <m/>
    <x v="0"/>
    <x v="26"/>
    <n v="1"/>
    <n v="0"/>
    <m/>
    <n v="1"/>
    <n v="1"/>
    <n v="-1"/>
    <n v="-1"/>
    <n v="-1"/>
    <n v="1"/>
    <n v="-1"/>
    <n v="6.5"/>
  </r>
  <r>
    <n v="0"/>
    <x v="71"/>
    <m/>
    <x v="0"/>
    <x v="27"/>
    <n v="1"/>
    <n v="0"/>
    <m/>
    <n v="1"/>
    <n v="1"/>
    <n v="-1"/>
    <n v="-1"/>
    <n v="-1"/>
    <n v="1"/>
    <n v="-1"/>
    <n v="6.5"/>
  </r>
  <r>
    <n v="0"/>
    <x v="72"/>
    <m/>
    <x v="0"/>
    <x v="30"/>
    <n v="1"/>
    <n v="0"/>
    <m/>
    <n v="1"/>
    <n v="1"/>
    <n v="-1"/>
    <n v="-1"/>
    <n v="-1"/>
    <n v="1"/>
    <n v="-1"/>
    <n v="6.5"/>
  </r>
  <r>
    <n v="0"/>
    <x v="73"/>
    <m/>
    <x v="0"/>
    <x v="31"/>
    <n v="1"/>
    <n v="0"/>
    <m/>
    <n v="1"/>
    <n v="1"/>
    <n v="-1"/>
    <n v="-1"/>
    <n v="-1"/>
    <n v="1"/>
    <n v="-1"/>
    <n v="6.5"/>
  </r>
  <r>
    <n v="0"/>
    <x v="74"/>
    <m/>
    <x v="0"/>
    <x v="32"/>
    <n v="1"/>
    <n v="0"/>
    <m/>
    <n v="1"/>
    <n v="1"/>
    <n v="-1"/>
    <n v="-1"/>
    <n v="-1"/>
    <n v="1"/>
    <n v="-1"/>
    <n v="6.5"/>
  </r>
  <r>
    <n v="0"/>
    <x v="75"/>
    <m/>
    <x v="0"/>
    <x v="33"/>
    <n v="1"/>
    <n v="0"/>
    <m/>
    <n v="1"/>
    <n v="1"/>
    <n v="-1"/>
    <n v="1"/>
    <n v="1"/>
    <n v="1"/>
    <n v="-1"/>
    <n v="6.5"/>
  </r>
  <r>
    <n v="0"/>
    <x v="76"/>
    <m/>
    <x v="0"/>
    <x v="34"/>
    <n v="1"/>
    <n v="0"/>
    <m/>
    <n v="1"/>
    <n v="1"/>
    <n v="-1"/>
    <n v="1"/>
    <n v="1"/>
    <n v="1"/>
    <n v="-1"/>
    <n v="6.5"/>
  </r>
  <r>
    <n v="0"/>
    <x v="77"/>
    <m/>
    <x v="0"/>
    <x v="35"/>
    <n v="1"/>
    <n v="0"/>
    <m/>
    <n v="1"/>
    <n v="1"/>
    <n v="-1"/>
    <n v="1"/>
    <n v="1"/>
    <n v="1"/>
    <n v="-1"/>
    <n v="6.5"/>
  </r>
  <r>
    <n v="0"/>
    <x v="78"/>
    <m/>
    <x v="0"/>
    <x v="36"/>
    <n v="1"/>
    <n v="0"/>
    <m/>
    <n v="1"/>
    <n v="1"/>
    <n v="-1"/>
    <n v="-1"/>
    <n v="-1"/>
    <n v="1"/>
    <n v="-1"/>
    <n v="6.5"/>
  </r>
  <r>
    <n v="0"/>
    <x v="79"/>
    <m/>
    <x v="0"/>
    <x v="37"/>
    <n v="1"/>
    <n v="0"/>
    <m/>
    <n v="1"/>
    <n v="1"/>
    <n v="-1"/>
    <n v="1"/>
    <n v="1"/>
    <n v="1"/>
    <n v="-1"/>
    <n v="6.5"/>
  </r>
  <r>
    <n v="0"/>
    <x v="80"/>
    <m/>
    <x v="0"/>
    <x v="38"/>
    <n v="1"/>
    <n v="0"/>
    <m/>
    <n v="1"/>
    <n v="1"/>
    <n v="-1"/>
    <n v="-1"/>
    <n v="-1"/>
    <n v="1"/>
    <n v="-1"/>
    <n v="6.5"/>
  </r>
  <r>
    <n v="0"/>
    <x v="81"/>
    <m/>
    <x v="0"/>
    <x v="39"/>
    <n v="1"/>
    <n v="0"/>
    <m/>
    <n v="1"/>
    <n v="1"/>
    <n v="-1"/>
    <n v="-1"/>
    <n v="-1"/>
    <n v="1"/>
    <n v="-1"/>
    <n v="6.5"/>
  </r>
  <r>
    <n v="0"/>
    <x v="82"/>
    <m/>
    <x v="0"/>
    <x v="40"/>
    <n v="1"/>
    <n v="0"/>
    <m/>
    <n v="1"/>
    <n v="1"/>
    <n v="-1"/>
    <n v="-1"/>
    <n v="-1"/>
    <n v="1"/>
    <n v="-1"/>
    <n v="6.5"/>
  </r>
  <r>
    <n v="0"/>
    <x v="83"/>
    <m/>
    <x v="0"/>
    <x v="41"/>
    <n v="1"/>
    <n v="0"/>
    <m/>
    <n v="1"/>
    <n v="1"/>
    <n v="-1"/>
    <n v="1"/>
    <n v="1"/>
    <n v="1"/>
    <n v="-1"/>
    <n v="6.5"/>
  </r>
  <r>
    <n v="0"/>
    <x v="84"/>
    <m/>
    <x v="0"/>
    <x v="42"/>
    <n v="1"/>
    <n v="0"/>
    <m/>
    <n v="1"/>
    <n v="1"/>
    <n v="-1"/>
    <n v="1"/>
    <n v="1"/>
    <n v="1"/>
    <n v="-1"/>
    <n v="6.5"/>
  </r>
  <r>
    <n v="0"/>
    <x v="85"/>
    <m/>
    <x v="0"/>
    <x v="43"/>
    <n v="1"/>
    <n v="0"/>
    <m/>
    <n v="1"/>
    <n v="1"/>
    <n v="-1"/>
    <n v="1"/>
    <n v="1"/>
    <n v="1"/>
    <n v="-1"/>
    <n v="6.5"/>
  </r>
  <r>
    <m/>
    <x v="86"/>
    <m/>
    <x v="1"/>
    <x v="44"/>
    <m/>
    <m/>
    <m/>
    <m/>
    <m/>
    <m/>
    <m/>
    <m/>
    <m/>
    <m/>
    <m/>
  </r>
  <r>
    <m/>
    <x v="86"/>
    <m/>
    <x v="1"/>
    <x v="4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93" firstHeaderRow="1" firstDataRow="1" firstDataCol="1"/>
  <pivotFields count="16">
    <pivotField dataField="1"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1" firstHeaderRow="1" firstDataRow="1" firstDataCol="1"/>
  <pivotFields count="16">
    <pivotField showAll="0"/>
    <pivotField showAll="0"/>
    <pivotField showAll="0"/>
    <pivotField showAll="0"/>
    <pivotField axis="axisRow" showAll="0">
      <items count="203">
        <item m="1" x="140"/>
        <item m="1" x="111"/>
        <item m="1" x="101"/>
        <item x="44"/>
        <item m="1" x="110"/>
        <item m="1" x="64"/>
        <item m="1" x="127"/>
        <item m="1" x="147"/>
        <item m="1" x="104"/>
        <item m="1" x="112"/>
        <item m="1" x="105"/>
        <item m="1" x="87"/>
        <item m="1" x="47"/>
        <item m="1" x="123"/>
        <item m="1" x="45"/>
        <item m="1" x="182"/>
        <item m="1" x="79"/>
        <item m="1" x="165"/>
        <item m="1" x="176"/>
        <item m="1" x="88"/>
        <item m="1" x="81"/>
        <item m="1" x="170"/>
        <item m="1" x="134"/>
        <item m="1" x="135"/>
        <item m="1" x="167"/>
        <item m="1" x="97"/>
        <item m="1" x="162"/>
        <item m="1" x="56"/>
        <item m="1" x="70"/>
        <item m="1" x="198"/>
        <item m="1" x="142"/>
        <item m="1" x="177"/>
        <item m="1" x="115"/>
        <item m="1" x="179"/>
        <item m="1" x="188"/>
        <item m="1" x="120"/>
        <item m="1" x="145"/>
        <item m="1" x="139"/>
        <item m="1" x="175"/>
        <item m="1" x="173"/>
        <item m="1" x="75"/>
        <item m="1" x="191"/>
        <item m="1" x="137"/>
        <item m="1" x="159"/>
        <item m="1" x="172"/>
        <item m="1" x="194"/>
        <item m="1" x="201"/>
        <item m="1" x="117"/>
        <item m="1" x="103"/>
        <item m="1" x="102"/>
        <item m="1" x="148"/>
        <item m="1" x="107"/>
        <item m="1" x="156"/>
        <item m="1" x="67"/>
        <item m="1" x="122"/>
        <item m="1" x="155"/>
        <item m="1" x="174"/>
        <item m="1" x="119"/>
        <item m="1" x="113"/>
        <item m="1" x="61"/>
        <item m="1" x="181"/>
        <item m="1" x="77"/>
        <item m="1" x="93"/>
        <item m="1" x="131"/>
        <item m="1" x="141"/>
        <item m="1" x="94"/>
        <item m="1" x="54"/>
        <item m="1" x="136"/>
        <item m="1" x="146"/>
        <item m="1" x="83"/>
        <item m="1" x="164"/>
        <item m="1" x="178"/>
        <item m="1" x="124"/>
        <item m="1" x="86"/>
        <item m="1" x="95"/>
        <item m="1" x="76"/>
        <item m="1" x="151"/>
        <item m="1" x="51"/>
        <item m="1" x="158"/>
        <item m="1" x="171"/>
        <item m="1" x="189"/>
        <item m="1" x="168"/>
        <item m="1" x="184"/>
        <item m="1" x="199"/>
        <item m="1" x="96"/>
        <item m="1" x="163"/>
        <item m="1" x="196"/>
        <item m="1" x="62"/>
        <item m="1" x="72"/>
        <item m="1" x="99"/>
        <item m="1" x="138"/>
        <item m="1" x="57"/>
        <item m="1" x="60"/>
        <item x="0"/>
        <item m="1" x="50"/>
        <item m="1" x="183"/>
        <item m="1" x="106"/>
        <item m="1" x="180"/>
        <item m="1" x="73"/>
        <item m="1" x="185"/>
        <item m="1" x="154"/>
        <item m="1" x="129"/>
        <item m="1" x="85"/>
        <item m="1" x="153"/>
        <item m="1" x="46"/>
        <item m="1" x="169"/>
        <item x="4"/>
        <item x="3"/>
        <item m="1" x="152"/>
        <item m="1" x="53"/>
        <item m="1" x="69"/>
        <item m="1" x="116"/>
        <item m="1" x="89"/>
        <item m="1" x="80"/>
        <item m="1" x="71"/>
        <item m="1" x="195"/>
        <item m="1" x="200"/>
        <item m="1" x="190"/>
        <item x="1"/>
        <item m="1" x="118"/>
        <item m="1" x="63"/>
        <item m="1" x="55"/>
        <item m="1" x="133"/>
        <item m="1" x="192"/>
        <item m="1" x="100"/>
        <item m="1" x="166"/>
        <item m="1" x="161"/>
        <item m="1" x="160"/>
        <item m="1" x="59"/>
        <item m="1" x="149"/>
        <item x="2"/>
        <item m="1" x="132"/>
        <item m="1" x="68"/>
        <item m="1" x="49"/>
        <item x="19"/>
        <item m="1" x="187"/>
        <item m="1" x="98"/>
        <item m="1" x="66"/>
        <item m="1" x="82"/>
        <item m="1" x="78"/>
        <item m="1" x="74"/>
        <item m="1" x="186"/>
        <item m="1" x="52"/>
        <item m="1" x="193"/>
        <item m="1" x="114"/>
        <item m="1" x="157"/>
        <item m="1" x="91"/>
        <item m="1" x="84"/>
        <item m="1" x="92"/>
        <item m="1" x="65"/>
        <item m="1" x="197"/>
        <item m="1" x="130"/>
        <item m="1" x="125"/>
        <item m="1" x="58"/>
        <item x="5"/>
        <item x="6"/>
        <item m="1" x="144"/>
        <item m="1" x="12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8"/>
        <item m="1" x="109"/>
        <item m="1" x="90"/>
        <item x="17"/>
        <item x="9"/>
        <item m="1" x="128"/>
        <item m="1" x="143"/>
        <item m="1" x="150"/>
        <item m="1" x="126"/>
        <item x="8"/>
        <item x="7"/>
        <item x="10"/>
        <item m="1" x="48"/>
        <item m="1" x="108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5">
    <i>
      <x v="3"/>
    </i>
    <i>
      <x v="93"/>
    </i>
    <i>
      <x v="106"/>
    </i>
    <i>
      <x v="107"/>
    </i>
    <i>
      <x v="118"/>
    </i>
    <i>
      <x v="130"/>
    </i>
    <i>
      <x v="134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5"/>
    </i>
    <i>
      <x v="186"/>
    </i>
    <i>
      <x v="191"/>
    </i>
    <i>
      <x v="192"/>
    </i>
    <i>
      <x v="193"/>
    </i>
    <i>
      <x v="196"/>
    </i>
    <i>
      <x v="197"/>
    </i>
    <i>
      <x v="198"/>
    </i>
    <i>
      <x v="199"/>
    </i>
    <i>
      <x v="200"/>
    </i>
    <i>
      <x v="20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87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0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93" firstHeaderRow="1" firstDataRow="1" firstDataCol="1"/>
  <pivotFields count="16">
    <pivotField showAll="0"/>
    <pivotField axis="axisRow" showAll="0">
      <items count="89">
        <item m="1" x="87"/>
        <item x="4"/>
        <item x="3"/>
        <item x="0"/>
        <item x="1"/>
        <item x="7"/>
        <item x="8"/>
        <item x="5"/>
        <item x="6"/>
        <item x="2"/>
        <item x="8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93" firstHeaderRow="1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9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8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2">
        <item m="1" x="140"/>
        <item m="1" x="111"/>
        <item m="1" x="101"/>
        <item x="44"/>
        <item m="1" x="110"/>
        <item m="1" x="64"/>
        <item m="1" x="127"/>
        <item m="1" x="147"/>
        <item m="1" x="104"/>
        <item m="1" x="112"/>
        <item m="1" x="105"/>
        <item m="1" x="87"/>
        <item m="1" x="47"/>
        <item m="1" x="123"/>
        <item m="1" x="45"/>
        <item m="1" x="182"/>
        <item m="1" x="79"/>
        <item m="1" x="165"/>
        <item m="1" x="176"/>
        <item m="1" x="88"/>
        <item m="1" x="81"/>
        <item m="1" x="170"/>
        <item m="1" x="134"/>
        <item m="1" x="135"/>
        <item m="1" x="167"/>
        <item m="1" x="97"/>
        <item m="1" x="162"/>
        <item m="1" x="56"/>
        <item m="1" x="70"/>
        <item m="1" x="198"/>
        <item m="1" x="142"/>
        <item m="1" x="177"/>
        <item m="1" x="115"/>
        <item m="1" x="179"/>
        <item m="1" x="188"/>
        <item m="1" x="120"/>
        <item m="1" x="145"/>
        <item m="1" x="139"/>
        <item m="1" x="175"/>
        <item m="1" x="173"/>
        <item m="1" x="75"/>
        <item m="1" x="191"/>
        <item m="1" x="137"/>
        <item m="1" x="159"/>
        <item m="1" x="172"/>
        <item m="1" x="194"/>
        <item m="1" x="201"/>
        <item m="1" x="117"/>
        <item m="1" x="103"/>
        <item m="1" x="102"/>
        <item m="1" x="148"/>
        <item m="1" x="107"/>
        <item m="1" x="156"/>
        <item m="1" x="67"/>
        <item m="1" x="122"/>
        <item m="1" x="155"/>
        <item m="1" x="174"/>
        <item m="1" x="119"/>
        <item m="1" x="113"/>
        <item m="1" x="61"/>
        <item m="1" x="181"/>
        <item m="1" x="77"/>
        <item m="1" x="93"/>
        <item m="1" x="131"/>
        <item m="1" x="141"/>
        <item m="1" x="94"/>
        <item m="1" x="54"/>
        <item m="1" x="136"/>
        <item m="1" x="146"/>
        <item m="1" x="83"/>
        <item m="1" x="164"/>
        <item m="1" x="178"/>
        <item m="1" x="124"/>
        <item m="1" x="86"/>
        <item m="1" x="95"/>
        <item m="1" x="76"/>
        <item m="1" x="151"/>
        <item m="1" x="51"/>
        <item m="1" x="158"/>
        <item m="1" x="171"/>
        <item m="1" x="189"/>
        <item m="1" x="168"/>
        <item m="1" x="184"/>
        <item m="1" x="199"/>
        <item m="1" x="96"/>
        <item m="1" x="163"/>
        <item m="1" x="196"/>
        <item m="1" x="62"/>
        <item m="1" x="72"/>
        <item m="1" x="99"/>
        <item m="1" x="138"/>
        <item m="1" x="57"/>
        <item m="1" x="60"/>
        <item x="0"/>
        <item m="1" x="50"/>
        <item m="1" x="183"/>
        <item m="1" x="106"/>
        <item m="1" x="180"/>
        <item m="1" x="73"/>
        <item m="1" x="185"/>
        <item m="1" x="154"/>
        <item m="1" x="129"/>
        <item m="1" x="85"/>
        <item m="1" x="153"/>
        <item m="1" x="46"/>
        <item m="1" x="169"/>
        <item x="4"/>
        <item x="3"/>
        <item m="1" x="152"/>
        <item m="1" x="53"/>
        <item m="1" x="69"/>
        <item m="1" x="116"/>
        <item m="1" x="89"/>
        <item m="1" x="80"/>
        <item m="1" x="71"/>
        <item m="1" x="195"/>
        <item m="1" x="200"/>
        <item m="1" x="190"/>
        <item x="1"/>
        <item m="1" x="118"/>
        <item m="1" x="63"/>
        <item m="1" x="55"/>
        <item m="1" x="133"/>
        <item m="1" x="192"/>
        <item m="1" x="100"/>
        <item m="1" x="166"/>
        <item m="1" x="161"/>
        <item m="1" x="160"/>
        <item m="1" x="59"/>
        <item m="1" x="149"/>
        <item x="2"/>
        <item m="1" x="132"/>
        <item m="1" x="68"/>
        <item m="1" x="49"/>
        <item x="19"/>
        <item m="1" x="187"/>
        <item m="1" x="98"/>
        <item m="1" x="66"/>
        <item m="1" x="82"/>
        <item m="1" x="78"/>
        <item m="1" x="74"/>
        <item m="1" x="186"/>
        <item m="1" x="52"/>
        <item m="1" x="193"/>
        <item m="1" x="114"/>
        <item m="1" x="157"/>
        <item m="1" x="91"/>
        <item m="1" x="84"/>
        <item m="1" x="92"/>
        <item m="1" x="65"/>
        <item m="1" x="197"/>
        <item m="1" x="130"/>
        <item m="1" x="125"/>
        <item m="1" x="58"/>
        <item x="5"/>
        <item x="6"/>
        <item m="1" x="144"/>
        <item m="1" x="12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8"/>
        <item m="1" x="109"/>
        <item m="1" x="90"/>
        <item x="17"/>
        <item x="9"/>
        <item m="1" x="128"/>
        <item m="1" x="143"/>
        <item m="1" x="150"/>
        <item m="1" x="126"/>
        <item x="8"/>
        <item x="7"/>
        <item x="10"/>
        <item m="1" x="48"/>
        <item m="1" x="108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87">
    <i>
      <x/>
      <x v="3"/>
    </i>
    <i>
      <x v="2"/>
      <x v="107"/>
    </i>
    <i>
      <x v="3"/>
      <x v="93"/>
    </i>
    <i>
      <x v="4"/>
      <x v="106"/>
    </i>
    <i>
      <x v="5"/>
      <x v="118"/>
    </i>
    <i>
      <x v="6"/>
      <x v="130"/>
    </i>
    <i>
      <x v="7"/>
      <x v="130"/>
    </i>
    <i>
      <x v="8"/>
      <x v="93"/>
    </i>
    <i>
      <x v="9"/>
      <x v="154"/>
    </i>
    <i>
      <x v="10"/>
      <x v="155"/>
    </i>
    <i>
      <x v="11"/>
      <x v="134"/>
    </i>
    <i>
      <x v="12"/>
      <x v="158"/>
    </i>
    <i>
      <x v="13"/>
      <x v="159"/>
    </i>
    <i>
      <x v="14"/>
      <x v="160"/>
    </i>
    <i>
      <x v="15"/>
      <x v="161"/>
    </i>
    <i>
      <x v="16"/>
      <x v="162"/>
    </i>
    <i>
      <x v="17"/>
      <x v="163"/>
    </i>
    <i>
      <x v="18"/>
      <x v="164"/>
    </i>
    <i>
      <x v="19"/>
      <x v="165"/>
    </i>
    <i>
      <x v="20"/>
      <x v="166"/>
    </i>
    <i>
      <x v="21"/>
      <x v="167"/>
    </i>
    <i>
      <x v="22"/>
      <x v="134"/>
    </i>
    <i>
      <x v="23"/>
      <x v="163"/>
    </i>
    <i>
      <x v="24"/>
      <x v="164"/>
    </i>
    <i>
      <x v="25"/>
      <x v="165"/>
    </i>
    <i>
      <x v="26"/>
      <x v="168"/>
    </i>
    <i>
      <x v="27"/>
      <x v="169"/>
    </i>
    <i>
      <x v="28"/>
      <x v="170"/>
    </i>
    <i>
      <x v="29"/>
      <x v="171"/>
    </i>
    <i>
      <x v="30"/>
      <x v="172"/>
    </i>
    <i>
      <x v="31"/>
      <x v="173"/>
    </i>
    <i>
      <x v="32"/>
      <x v="174"/>
    </i>
    <i>
      <x v="33"/>
      <x v="175"/>
    </i>
    <i>
      <x v="34"/>
      <x v="176"/>
    </i>
    <i>
      <x v="35"/>
      <x v="177"/>
    </i>
    <i>
      <x v="36"/>
      <x v="178"/>
    </i>
    <i>
      <x v="37"/>
      <x v="179"/>
    </i>
    <i>
      <x v="38"/>
      <x v="180"/>
    </i>
    <i>
      <x v="39"/>
      <x v="181"/>
    </i>
    <i>
      <x v="40"/>
      <x v="134"/>
    </i>
    <i>
      <x v="41"/>
      <x v="163"/>
    </i>
    <i>
      <x v="42"/>
      <x v="164"/>
    </i>
    <i>
      <x v="43"/>
      <x v="165"/>
    </i>
    <i>
      <x v="44"/>
      <x v="168"/>
    </i>
    <i>
      <x v="45"/>
      <x v="169"/>
    </i>
    <i>
      <x v="46"/>
      <x v="170"/>
    </i>
    <i>
      <x v="47"/>
      <x v="171"/>
    </i>
    <i>
      <x v="48"/>
      <x v="172"/>
    </i>
    <i>
      <x v="49"/>
      <x v="173"/>
    </i>
    <i>
      <x v="50"/>
      <x v="174"/>
    </i>
    <i>
      <x v="51"/>
      <x v="175"/>
    </i>
    <i>
      <x v="52"/>
      <x v="176"/>
    </i>
    <i>
      <x v="53"/>
      <x v="177"/>
    </i>
    <i>
      <x v="54"/>
      <x v="178"/>
    </i>
    <i>
      <x v="55"/>
      <x v="179"/>
    </i>
    <i>
      <x v="56"/>
      <x v="180"/>
    </i>
    <i>
      <x v="57"/>
      <x v="181"/>
    </i>
    <i>
      <x v="58"/>
      <x v="134"/>
    </i>
    <i>
      <x v="59"/>
      <x v="163"/>
    </i>
    <i>
      <x v="60"/>
      <x v="164"/>
    </i>
    <i>
      <x v="61"/>
      <x v="165"/>
    </i>
    <i>
      <x v="62"/>
      <x v="168"/>
    </i>
    <i>
      <x v="63"/>
      <x v="169"/>
    </i>
    <i>
      <x v="64"/>
      <x v="170"/>
    </i>
    <i>
      <x v="65"/>
      <x v="171"/>
    </i>
    <i>
      <x v="66"/>
      <x v="172"/>
    </i>
    <i>
      <x v="67"/>
      <x v="173"/>
    </i>
    <i>
      <x v="68"/>
      <x v="174"/>
    </i>
    <i>
      <x v="69"/>
      <x v="175"/>
    </i>
    <i>
      <x v="70"/>
      <x v="176"/>
    </i>
    <i>
      <x v="71"/>
      <x v="177"/>
    </i>
    <i>
      <x v="72"/>
      <x v="178"/>
    </i>
    <i>
      <x v="73"/>
      <x v="179"/>
    </i>
    <i>
      <x v="74"/>
      <x v="180"/>
    </i>
    <i>
      <x v="75"/>
      <x v="181"/>
    </i>
    <i>
      <x v="76"/>
      <x v="182"/>
    </i>
    <i>
      <x v="77"/>
      <x v="192"/>
    </i>
    <i>
      <x v="78"/>
      <x v="185"/>
    </i>
    <i>
      <x v="79"/>
      <x v="191"/>
    </i>
    <i>
      <x v="80"/>
      <x v="186"/>
    </i>
    <i>
      <x v="81"/>
      <x v="197"/>
    </i>
    <i>
      <x v="82"/>
      <x v="201"/>
    </i>
    <i>
      <x v="83"/>
      <x v="193"/>
    </i>
    <i>
      <x v="84"/>
      <x v="196"/>
    </i>
    <i>
      <x v="85"/>
      <x v="198"/>
    </i>
    <i>
      <x v="86"/>
      <x v="199"/>
    </i>
    <i>
      <x v="87"/>
      <x v="20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93" firstHeaderRow="0" firstDataRow="1" firstDataCol="1"/>
  <pivotFields count="16">
    <pivotField showAll="0"/>
    <pivotField axis="axisRow" showAll="0">
      <items count="89">
        <item x="86"/>
        <item m="1" x="87"/>
        <item x="5"/>
        <item x="0"/>
        <item x="6"/>
        <item x="1"/>
        <item x="4"/>
        <item x="3"/>
        <item x="2"/>
        <item x="7"/>
        <item x="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20"/>
        <item x="9"/>
        <item x="19"/>
        <item x="10"/>
        <item x="11"/>
        <item x="14"/>
        <item x="18"/>
        <item x="12"/>
        <item x="13"/>
        <item x="15"/>
        <item x="16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8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230F7878-D483-4C16-85B5-F653F61B75CE}">
    <text>Note that there is still a problem running with other cases here - still looking into it.</text>
  </threadedComment>
  <threadedComment ref="D19" dT="2020-08-07T12:32:29.60" personId="{8A307EF1-062C-4DD1-801F-D45833AE4B68}" id="{6F091816-6B7C-4E14-A996-86F6F766500B}">
    <text>Note that there is still a problem running with other cases here - still looking into it.</text>
  </threadedComment>
  <threadedComment ref="D20" dT="2020-08-07T12:32:29.60" personId="{8A307EF1-062C-4DD1-801F-D45833AE4B68}" id="{04DCEF80-34BB-4027-BC82-ECD082DADDE6}">
    <text>Note that there is still a problem running with other cases here - still looking into it.</text>
  </threadedComment>
  <threadedComment ref="D30" dT="2020-08-07T12:32:29.60" personId="{8A307EF1-062C-4DD1-801F-D45833AE4B68}" id="{42BE1C3A-86F6-4EE3-967C-17E110984347}">
    <text>Note that there is still a problem running with other cases here - still looking into it.</text>
  </threadedComment>
  <threadedComment ref="D31" dT="2020-08-07T12:32:29.60" personId="{8A307EF1-062C-4DD1-801F-D45833AE4B68}" id="{2E057A1D-61F2-468B-8278-F722F83FC647}">
    <text>Note that there is still a problem running with other cases here - still looking into it.</text>
  </threadedComment>
  <threadedComment ref="D6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228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93"/>
  <sheetViews>
    <sheetView workbookViewId="0">
      <selection activeCell="AD14" sqref="AD14:AD38"/>
    </sheetView>
  </sheetViews>
  <sheetFormatPr defaultRowHeight="15"/>
  <cols>
    <col min="1" max="1" width="20.7109375" bestFit="1" customWidth="1"/>
    <col min="2" max="2" width="12.42578125" bestFit="1" customWidth="1"/>
    <col min="3" max="3" width="13.140625" customWidth="1"/>
    <col min="4" max="4" width="12.42578125" bestFit="1" customWidth="1"/>
    <col min="5" max="5" width="20.7109375" bestFit="1" customWidth="1"/>
    <col min="6" max="6" width="21.140625" bestFit="1" customWidth="1"/>
    <col min="7" max="7" width="20.7109375" bestFit="1" customWidth="1"/>
    <col min="8" max="8" width="18.5703125" bestFit="1" customWidth="1"/>
    <col min="9" max="9" width="20.7109375" bestFit="1" customWidth="1"/>
    <col min="10" max="10" width="17.42578125" bestFit="1" customWidth="1"/>
    <col min="11" max="11" width="20.7109375" bestFit="1" customWidth="1"/>
    <col min="12" max="12" width="19.28515625" bestFit="1" customWidth="1"/>
    <col min="13" max="13" width="20.7109375" bestFit="1" customWidth="1"/>
    <col min="14" max="14" width="19.7109375" bestFit="1" customWidth="1"/>
    <col min="15" max="15" width="23.140625" customWidth="1"/>
    <col min="16" max="16" width="19.7109375" bestFit="1" customWidth="1"/>
    <col min="17" max="18" width="16.7109375" bestFit="1" customWidth="1"/>
    <col min="19" max="19" width="20.7109375" bestFit="1" customWidth="1"/>
    <col min="20" max="20" width="4" bestFit="1" customWidth="1"/>
    <col min="21" max="21" width="5.140625" bestFit="1" customWidth="1"/>
    <col min="22" max="22" width="4.28515625" bestFit="1" customWidth="1"/>
    <col min="23" max="23" width="6.7109375" bestFit="1" customWidth="1"/>
    <col min="24" max="24" width="6.5703125" bestFit="1" customWidth="1"/>
    <col min="25" max="26" width="6.85546875" customWidth="1"/>
    <col min="27" max="27" width="20.7109375" bestFit="1" customWidth="1"/>
    <col min="28" max="28" width="18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227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228</v>
      </c>
    </row>
    <row r="7" spans="1:39">
      <c r="A7" s="9" t="s">
        <v>224</v>
      </c>
      <c r="B7" s="9" t="s">
        <v>193</v>
      </c>
      <c r="C7" s="8" t="s">
        <v>30</v>
      </c>
      <c r="D7" s="9" t="s">
        <v>30</v>
      </c>
      <c r="E7" s="9" t="s">
        <v>193</v>
      </c>
      <c r="F7">
        <v>0</v>
      </c>
      <c r="G7" s="9" t="s">
        <v>193</v>
      </c>
      <c r="I7" s="9" t="s">
        <v>193</v>
      </c>
      <c r="K7" s="9" t="s">
        <v>193</v>
      </c>
      <c r="M7" s="9" t="s">
        <v>193</v>
      </c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AA7" s="9" t="s">
        <v>193</v>
      </c>
      <c r="AD7" s="10">
        <v>2019</v>
      </c>
      <c r="AE7" s="10">
        <f>2051-Scenarios!G6</f>
        <v>2050</v>
      </c>
      <c r="AF7">
        <v>2012</v>
      </c>
      <c r="AM7" t="s">
        <v>14</v>
      </c>
    </row>
    <row r="8" spans="1:39">
      <c r="A8" s="9" t="s">
        <v>225</v>
      </c>
      <c r="B8" s="9" t="s">
        <v>210</v>
      </c>
      <c r="C8" s="9" t="s">
        <v>31</v>
      </c>
      <c r="D8" s="9" t="s">
        <v>193</v>
      </c>
      <c r="E8" s="9" t="s">
        <v>211</v>
      </c>
      <c r="F8">
        <v>0</v>
      </c>
      <c r="G8" s="9" t="s">
        <v>211</v>
      </c>
      <c r="H8">
        <v>1</v>
      </c>
      <c r="I8" s="9" t="s">
        <v>211</v>
      </c>
      <c r="J8">
        <v>1</v>
      </c>
      <c r="K8" s="9" t="s">
        <v>211</v>
      </c>
      <c r="L8">
        <v>1</v>
      </c>
      <c r="M8" s="9" t="s">
        <v>211</v>
      </c>
      <c r="N8">
        <v>1</v>
      </c>
      <c r="O8" t="s">
        <v>211</v>
      </c>
      <c r="P8" t="s">
        <v>213</v>
      </c>
      <c r="Q8" t="s">
        <v>211</v>
      </c>
      <c r="R8" t="s">
        <v>30</v>
      </c>
      <c r="S8" s="9" t="s">
        <v>211</v>
      </c>
      <c r="T8">
        <v>-1</v>
      </c>
      <c r="U8">
        <v>-1</v>
      </c>
      <c r="V8">
        <v>-1</v>
      </c>
      <c r="W8">
        <v>1</v>
      </c>
      <c r="X8">
        <v>4</v>
      </c>
      <c r="AA8" s="9" t="s">
        <v>211</v>
      </c>
      <c r="AB8">
        <v>100</v>
      </c>
      <c r="AD8" s="10">
        <v>2020</v>
      </c>
      <c r="AE8" s="10" t="str">
        <f>IF(OR(AE7=2050,AE7=""),"",AE7+1)</f>
        <v/>
      </c>
      <c r="AF8">
        <v>2015</v>
      </c>
      <c r="AM8" t="s">
        <v>15</v>
      </c>
    </row>
    <row r="9" spans="1:39">
      <c r="A9" s="9" t="s">
        <v>214</v>
      </c>
      <c r="B9" s="9" t="s">
        <v>212</v>
      </c>
      <c r="C9" s="9" t="s">
        <v>32</v>
      </c>
      <c r="E9" s="9" t="s">
        <v>214</v>
      </c>
      <c r="F9">
        <v>0</v>
      </c>
      <c r="G9" s="9" t="s">
        <v>214</v>
      </c>
      <c r="H9">
        <v>0</v>
      </c>
      <c r="I9" s="9" t="s">
        <v>214</v>
      </c>
      <c r="J9">
        <v>1</v>
      </c>
      <c r="K9" s="9" t="s">
        <v>214</v>
      </c>
      <c r="L9">
        <v>0</v>
      </c>
      <c r="M9" s="9" t="s">
        <v>214</v>
      </c>
      <c r="N9">
        <v>0</v>
      </c>
      <c r="O9" t="s">
        <v>214</v>
      </c>
      <c r="P9" t="s">
        <v>210</v>
      </c>
      <c r="Q9" t="s">
        <v>214</v>
      </c>
      <c r="R9" t="s">
        <v>30</v>
      </c>
      <c r="S9" s="9" t="s">
        <v>214</v>
      </c>
      <c r="T9">
        <v>-1</v>
      </c>
      <c r="U9">
        <v>-1</v>
      </c>
      <c r="V9">
        <v>-1</v>
      </c>
      <c r="W9">
        <v>1</v>
      </c>
      <c r="X9">
        <v>-1</v>
      </c>
      <c r="AA9" s="9" t="s">
        <v>214</v>
      </c>
      <c r="AB9">
        <v>100</v>
      </c>
      <c r="AD9" s="10">
        <v>2021</v>
      </c>
      <c r="AE9" s="10" t="str">
        <f>IF(OR(AE8=2050,AE8=""),"",AE8+1)</f>
        <v/>
      </c>
      <c r="AF9">
        <v>2016</v>
      </c>
      <c r="AM9" t="s">
        <v>16</v>
      </c>
    </row>
    <row r="10" spans="1:39">
      <c r="A10" s="9" t="s">
        <v>221</v>
      </c>
      <c r="B10" s="9" t="s">
        <v>213</v>
      </c>
      <c r="C10" s="9" t="s">
        <v>46</v>
      </c>
      <c r="E10" s="9" t="s">
        <v>220</v>
      </c>
      <c r="F10">
        <v>0</v>
      </c>
      <c r="G10" s="9" t="s">
        <v>220</v>
      </c>
      <c r="H10">
        <v>1</v>
      </c>
      <c r="I10" s="9" t="s">
        <v>220</v>
      </c>
      <c r="J10">
        <v>1</v>
      </c>
      <c r="K10" s="9" t="s">
        <v>220</v>
      </c>
      <c r="L10">
        <v>1</v>
      </c>
      <c r="M10" s="9" t="s">
        <v>220</v>
      </c>
      <c r="N10">
        <v>1</v>
      </c>
      <c r="O10" t="s">
        <v>220</v>
      </c>
      <c r="P10" t="s">
        <v>212</v>
      </c>
      <c r="Q10" t="s">
        <v>220</v>
      </c>
      <c r="R10" t="s">
        <v>30</v>
      </c>
      <c r="S10" s="9" t="s">
        <v>220</v>
      </c>
      <c r="T10">
        <v>-1</v>
      </c>
      <c r="U10">
        <v>-1</v>
      </c>
      <c r="V10">
        <v>-1</v>
      </c>
      <c r="W10">
        <v>1</v>
      </c>
      <c r="X10">
        <v>4</v>
      </c>
      <c r="AA10" s="9" t="s">
        <v>220</v>
      </c>
      <c r="AB10">
        <v>100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229</v>
      </c>
      <c r="B11" s="9" t="s">
        <v>222</v>
      </c>
      <c r="C11" s="9" t="s">
        <v>47</v>
      </c>
      <c r="E11" s="9" t="s">
        <v>221</v>
      </c>
      <c r="F11">
        <v>0</v>
      </c>
      <c r="G11" s="9" t="s">
        <v>221</v>
      </c>
      <c r="H11">
        <v>0</v>
      </c>
      <c r="I11" s="9" t="s">
        <v>221</v>
      </c>
      <c r="J11">
        <v>1</v>
      </c>
      <c r="K11" s="9" t="s">
        <v>221</v>
      </c>
      <c r="L11">
        <v>0</v>
      </c>
      <c r="M11" s="9" t="s">
        <v>221</v>
      </c>
      <c r="N11">
        <v>0</v>
      </c>
      <c r="O11" t="s">
        <v>221</v>
      </c>
      <c r="P11" t="s">
        <v>222</v>
      </c>
      <c r="Q11" t="s">
        <v>221</v>
      </c>
      <c r="R11" t="s">
        <v>30</v>
      </c>
      <c r="S11" s="9" t="s">
        <v>221</v>
      </c>
      <c r="T11">
        <v>-1</v>
      </c>
      <c r="U11">
        <v>-1</v>
      </c>
      <c r="V11">
        <v>-1</v>
      </c>
      <c r="W11">
        <v>1</v>
      </c>
      <c r="X11">
        <v>4</v>
      </c>
      <c r="AA11" s="9" t="s">
        <v>221</v>
      </c>
      <c r="AB11">
        <v>4.4793989999999999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230</v>
      </c>
      <c r="B12" s="9" t="s">
        <v>223</v>
      </c>
      <c r="C12" s="9" t="s">
        <v>48</v>
      </c>
      <c r="D12" s="9"/>
      <c r="E12" s="9" t="s">
        <v>224</v>
      </c>
      <c r="F12">
        <v>0</v>
      </c>
      <c r="G12" s="9" t="s">
        <v>224</v>
      </c>
      <c r="H12">
        <v>1</v>
      </c>
      <c r="I12" s="9" t="s">
        <v>224</v>
      </c>
      <c r="J12">
        <v>1</v>
      </c>
      <c r="K12" s="9" t="s">
        <v>224</v>
      </c>
      <c r="L12">
        <v>1</v>
      </c>
      <c r="M12" s="9" t="s">
        <v>224</v>
      </c>
      <c r="N12">
        <v>1</v>
      </c>
      <c r="O12" t="s">
        <v>224</v>
      </c>
      <c r="P12" t="s">
        <v>223</v>
      </c>
      <c r="Q12" t="s">
        <v>224</v>
      </c>
      <c r="R12" t="s">
        <v>30</v>
      </c>
      <c r="S12" s="9" t="s">
        <v>224</v>
      </c>
      <c r="T12">
        <v>-1</v>
      </c>
      <c r="U12">
        <v>-1</v>
      </c>
      <c r="V12">
        <v>-1</v>
      </c>
      <c r="W12">
        <v>1</v>
      </c>
      <c r="X12">
        <v>4</v>
      </c>
      <c r="AA12" s="9" t="s">
        <v>224</v>
      </c>
      <c r="AB12">
        <v>100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211</v>
      </c>
      <c r="B13" s="9" t="s">
        <v>231</v>
      </c>
      <c r="C13" s="9" t="s">
        <v>49</v>
      </c>
      <c r="D13" s="9"/>
      <c r="E13" s="9" t="s">
        <v>225</v>
      </c>
      <c r="F13">
        <v>0</v>
      </c>
      <c r="G13" s="9" t="s">
        <v>225</v>
      </c>
      <c r="H13">
        <v>1</v>
      </c>
      <c r="I13" s="9" t="s">
        <v>225</v>
      </c>
      <c r="J13">
        <v>1</v>
      </c>
      <c r="K13" s="9" t="s">
        <v>225</v>
      </c>
      <c r="L13">
        <v>1</v>
      </c>
      <c r="M13" s="9" t="s">
        <v>225</v>
      </c>
      <c r="N13">
        <v>1</v>
      </c>
      <c r="O13" t="s">
        <v>225</v>
      </c>
      <c r="P13" t="s">
        <v>223</v>
      </c>
      <c r="Q13" t="s">
        <v>225</v>
      </c>
      <c r="R13" t="s">
        <v>30</v>
      </c>
      <c r="S13" s="9" t="s">
        <v>225</v>
      </c>
      <c r="T13">
        <v>-1</v>
      </c>
      <c r="U13">
        <v>-1</v>
      </c>
      <c r="V13">
        <v>-1</v>
      </c>
      <c r="W13">
        <v>1</v>
      </c>
      <c r="X13">
        <v>4</v>
      </c>
      <c r="AA13" s="9" t="s">
        <v>225</v>
      </c>
      <c r="AB13">
        <v>7.75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220</v>
      </c>
      <c r="B14" s="9" t="s">
        <v>234</v>
      </c>
      <c r="C14" s="9" t="s">
        <v>50</v>
      </c>
      <c r="D14" s="9"/>
      <c r="E14" s="9" t="s">
        <v>226</v>
      </c>
      <c r="F14">
        <v>0</v>
      </c>
      <c r="G14" s="9" t="s">
        <v>226</v>
      </c>
      <c r="H14">
        <v>0</v>
      </c>
      <c r="I14" s="9" t="s">
        <v>226</v>
      </c>
      <c r="J14">
        <v>1</v>
      </c>
      <c r="K14" s="9" t="s">
        <v>226</v>
      </c>
      <c r="L14">
        <v>0</v>
      </c>
      <c r="M14" s="9" t="s">
        <v>226</v>
      </c>
      <c r="N14">
        <v>0</v>
      </c>
      <c r="O14" t="s">
        <v>226</v>
      </c>
      <c r="P14" t="s">
        <v>210</v>
      </c>
      <c r="Q14" t="s">
        <v>226</v>
      </c>
      <c r="R14" t="s">
        <v>30</v>
      </c>
      <c r="S14" s="9" t="s">
        <v>226</v>
      </c>
      <c r="T14">
        <v>-1</v>
      </c>
      <c r="U14">
        <v>-1</v>
      </c>
      <c r="V14">
        <v>-1</v>
      </c>
      <c r="W14">
        <v>1</v>
      </c>
      <c r="X14">
        <v>4</v>
      </c>
      <c r="AA14" s="9" t="s">
        <v>226</v>
      </c>
      <c r="AB14">
        <v>100</v>
      </c>
      <c r="AD14" s="10">
        <v>2026</v>
      </c>
      <c r="AF14">
        <v>2021</v>
      </c>
      <c r="AM14" t="s">
        <v>21</v>
      </c>
    </row>
    <row r="15" spans="1:39">
      <c r="A15" s="9" t="s">
        <v>226</v>
      </c>
      <c r="B15" s="9" t="s">
        <v>235</v>
      </c>
      <c r="C15" s="9" t="s">
        <v>51</v>
      </c>
      <c r="D15" s="9"/>
      <c r="E15" s="9" t="s">
        <v>229</v>
      </c>
      <c r="F15">
        <v>0</v>
      </c>
      <c r="G15" s="9" t="s">
        <v>229</v>
      </c>
      <c r="H15">
        <v>0</v>
      </c>
      <c r="I15" s="9" t="s">
        <v>229</v>
      </c>
      <c r="J15">
        <v>1</v>
      </c>
      <c r="K15" s="9" t="s">
        <v>229</v>
      </c>
      <c r="L15">
        <v>1</v>
      </c>
      <c r="M15" s="9" t="s">
        <v>229</v>
      </c>
      <c r="N15">
        <v>1</v>
      </c>
      <c r="O15" t="s">
        <v>229</v>
      </c>
      <c r="P15" t="s">
        <v>234</v>
      </c>
      <c r="Q15" t="s">
        <v>229</v>
      </c>
      <c r="R15" t="s">
        <v>30</v>
      </c>
      <c r="S15" s="9" t="s">
        <v>229</v>
      </c>
      <c r="T15">
        <v>-1</v>
      </c>
      <c r="U15">
        <v>-1</v>
      </c>
      <c r="V15">
        <v>-1</v>
      </c>
      <c r="W15">
        <v>1</v>
      </c>
      <c r="X15">
        <v>-1</v>
      </c>
      <c r="AA15" s="9" t="s">
        <v>229</v>
      </c>
      <c r="AB15">
        <v>7.000327102810413</v>
      </c>
      <c r="AD15" s="10">
        <v>2027</v>
      </c>
      <c r="AF15">
        <v>2022</v>
      </c>
      <c r="AM15" t="s">
        <v>22</v>
      </c>
    </row>
    <row r="16" spans="1:39">
      <c r="A16" s="9" t="s">
        <v>193</v>
      </c>
      <c r="B16" s="9" t="s">
        <v>301</v>
      </c>
      <c r="C16" s="9" t="s">
        <v>52</v>
      </c>
      <c r="D16" s="9"/>
      <c r="E16" s="9" t="s">
        <v>230</v>
      </c>
      <c r="F16">
        <v>0</v>
      </c>
      <c r="G16" s="9" t="s">
        <v>230</v>
      </c>
      <c r="H16">
        <v>0</v>
      </c>
      <c r="I16" s="9" t="s">
        <v>230</v>
      </c>
      <c r="J16">
        <v>1</v>
      </c>
      <c r="K16" s="9" t="s">
        <v>230</v>
      </c>
      <c r="L16">
        <v>1</v>
      </c>
      <c r="M16" s="9" t="s">
        <v>230</v>
      </c>
      <c r="N16">
        <v>1</v>
      </c>
      <c r="O16" t="s">
        <v>230</v>
      </c>
      <c r="P16" t="s">
        <v>235</v>
      </c>
      <c r="Q16" t="s">
        <v>230</v>
      </c>
      <c r="R16" t="s">
        <v>30</v>
      </c>
      <c r="S16" s="9" t="s">
        <v>230</v>
      </c>
      <c r="T16">
        <v>-1</v>
      </c>
      <c r="U16">
        <v>-1</v>
      </c>
      <c r="V16">
        <v>-1</v>
      </c>
      <c r="W16">
        <v>1</v>
      </c>
      <c r="X16">
        <v>-1</v>
      </c>
      <c r="AA16" s="9" t="s">
        <v>230</v>
      </c>
      <c r="AB16">
        <v>6.000327102810413</v>
      </c>
      <c r="AD16" s="10">
        <v>2028</v>
      </c>
      <c r="AF16">
        <v>2023</v>
      </c>
      <c r="AM16" t="s">
        <v>5</v>
      </c>
    </row>
    <row r="17" spans="1:39">
      <c r="A17" s="9" t="s">
        <v>236</v>
      </c>
      <c r="B17" s="9" t="s">
        <v>302</v>
      </c>
      <c r="E17" s="9" t="s">
        <v>236</v>
      </c>
      <c r="F17">
        <v>0</v>
      </c>
      <c r="G17" s="9" t="s">
        <v>236</v>
      </c>
      <c r="H17">
        <v>1</v>
      </c>
      <c r="I17" s="9" t="s">
        <v>236</v>
      </c>
      <c r="J17">
        <v>0</v>
      </c>
      <c r="K17" s="9" t="s">
        <v>236</v>
      </c>
      <c r="L17">
        <v>1</v>
      </c>
      <c r="M17" s="9" t="s">
        <v>236</v>
      </c>
      <c r="N17">
        <v>1</v>
      </c>
      <c r="O17" t="s">
        <v>236</v>
      </c>
      <c r="P17" t="s">
        <v>231</v>
      </c>
      <c r="Q17" t="s">
        <v>236</v>
      </c>
      <c r="R17" t="s">
        <v>30</v>
      </c>
      <c r="S17" s="9" t="s">
        <v>236</v>
      </c>
      <c r="T17">
        <v>-1</v>
      </c>
      <c r="U17">
        <v>-1</v>
      </c>
      <c r="V17">
        <v>-1</v>
      </c>
      <c r="W17">
        <v>1</v>
      </c>
      <c r="X17">
        <v>-1</v>
      </c>
      <c r="AA17" s="9" t="s">
        <v>236</v>
      </c>
      <c r="AB17">
        <v>9.9</v>
      </c>
      <c r="AD17" s="10">
        <v>2029</v>
      </c>
      <c r="AF17">
        <v>2024</v>
      </c>
      <c r="AM17" t="s">
        <v>23</v>
      </c>
    </row>
    <row r="18" spans="1:39">
      <c r="A18" s="9" t="s">
        <v>237</v>
      </c>
      <c r="B18" s="9" t="s">
        <v>303</v>
      </c>
      <c r="E18" s="9" t="s">
        <v>237</v>
      </c>
      <c r="F18">
        <v>0</v>
      </c>
      <c r="G18" s="9" t="s">
        <v>237</v>
      </c>
      <c r="H18">
        <v>1</v>
      </c>
      <c r="I18" s="9" t="s">
        <v>237</v>
      </c>
      <c r="J18">
        <v>0</v>
      </c>
      <c r="K18" s="9" t="s">
        <v>237</v>
      </c>
      <c r="L18">
        <v>1</v>
      </c>
      <c r="M18" s="9" t="s">
        <v>237</v>
      </c>
      <c r="N18">
        <v>1</v>
      </c>
      <c r="O18" t="s">
        <v>237</v>
      </c>
      <c r="P18" t="s">
        <v>301</v>
      </c>
      <c r="Q18" t="s">
        <v>237</v>
      </c>
      <c r="R18" t="s">
        <v>30</v>
      </c>
      <c r="S18" s="9" t="s">
        <v>237</v>
      </c>
      <c r="T18">
        <v>-1</v>
      </c>
      <c r="U18">
        <v>-1</v>
      </c>
      <c r="V18">
        <v>-1</v>
      </c>
      <c r="W18">
        <v>1</v>
      </c>
      <c r="X18">
        <v>-1</v>
      </c>
      <c r="AA18" s="9" t="s">
        <v>237</v>
      </c>
      <c r="AB18">
        <v>9.9</v>
      </c>
      <c r="AD18" s="10">
        <v>2030</v>
      </c>
      <c r="AF18">
        <v>2025</v>
      </c>
      <c r="AM18" t="s">
        <v>25</v>
      </c>
    </row>
    <row r="19" spans="1:39">
      <c r="A19" s="9" t="s">
        <v>238</v>
      </c>
      <c r="B19" s="9" t="s">
        <v>304</v>
      </c>
      <c r="E19" s="9" t="s">
        <v>238</v>
      </c>
      <c r="F19">
        <v>0</v>
      </c>
      <c r="G19" s="9" t="s">
        <v>238</v>
      </c>
      <c r="H19">
        <v>1</v>
      </c>
      <c r="I19" s="9" t="s">
        <v>238</v>
      </c>
      <c r="J19">
        <v>0</v>
      </c>
      <c r="K19" s="9" t="s">
        <v>238</v>
      </c>
      <c r="L19">
        <v>1</v>
      </c>
      <c r="M19" s="9" t="s">
        <v>238</v>
      </c>
      <c r="N19">
        <v>1</v>
      </c>
      <c r="O19" t="s">
        <v>238</v>
      </c>
      <c r="P19" t="s">
        <v>302</v>
      </c>
      <c r="Q19" t="s">
        <v>238</v>
      </c>
      <c r="R19" t="s">
        <v>30</v>
      </c>
      <c r="S19" s="9" t="s">
        <v>238</v>
      </c>
      <c r="T19">
        <v>-1</v>
      </c>
      <c r="U19">
        <v>-1</v>
      </c>
      <c r="V19">
        <v>-1</v>
      </c>
      <c r="W19">
        <v>1</v>
      </c>
      <c r="X19">
        <v>-1</v>
      </c>
      <c r="AA19" s="9" t="s">
        <v>238</v>
      </c>
      <c r="AB19">
        <v>9.9</v>
      </c>
      <c r="AD19" s="10">
        <v>2031</v>
      </c>
      <c r="AF19">
        <v>2026</v>
      </c>
      <c r="AM19" t="s">
        <v>24</v>
      </c>
    </row>
    <row r="20" spans="1:39">
      <c r="A20" s="9" t="s">
        <v>239</v>
      </c>
      <c r="B20" s="9" t="s">
        <v>305</v>
      </c>
      <c r="E20" s="9" t="s">
        <v>239</v>
      </c>
      <c r="F20">
        <v>0</v>
      </c>
      <c r="G20" s="9" t="s">
        <v>239</v>
      </c>
      <c r="H20">
        <v>1</v>
      </c>
      <c r="I20" s="9" t="s">
        <v>239</v>
      </c>
      <c r="J20">
        <v>0</v>
      </c>
      <c r="K20" s="9" t="s">
        <v>239</v>
      </c>
      <c r="L20">
        <v>1</v>
      </c>
      <c r="M20" s="9" t="s">
        <v>239</v>
      </c>
      <c r="N20">
        <v>1</v>
      </c>
      <c r="O20" t="s">
        <v>239</v>
      </c>
      <c r="P20" t="s">
        <v>303</v>
      </c>
      <c r="Q20" t="s">
        <v>239</v>
      </c>
      <c r="R20" t="s">
        <v>30</v>
      </c>
      <c r="S20" s="9" t="s">
        <v>239</v>
      </c>
      <c r="T20">
        <v>-1</v>
      </c>
      <c r="U20">
        <v>-1</v>
      </c>
      <c r="V20">
        <v>-1</v>
      </c>
      <c r="W20">
        <v>1</v>
      </c>
      <c r="X20">
        <v>-1</v>
      </c>
      <c r="AA20" s="9" t="s">
        <v>239</v>
      </c>
      <c r="AB20">
        <v>9.9</v>
      </c>
      <c r="AD20" s="10">
        <v>2032</v>
      </c>
      <c r="AF20">
        <v>2027</v>
      </c>
      <c r="AM20" t="s">
        <v>11</v>
      </c>
    </row>
    <row r="21" spans="1:39">
      <c r="A21" s="9" t="s">
        <v>240</v>
      </c>
      <c r="B21" s="9" t="s">
        <v>306</v>
      </c>
      <c r="E21" s="9" t="s">
        <v>240</v>
      </c>
      <c r="F21">
        <v>0</v>
      </c>
      <c r="G21" s="9" t="s">
        <v>240</v>
      </c>
      <c r="H21">
        <v>1</v>
      </c>
      <c r="I21" s="9" t="s">
        <v>240</v>
      </c>
      <c r="J21">
        <v>0</v>
      </c>
      <c r="K21" s="9" t="s">
        <v>240</v>
      </c>
      <c r="L21">
        <v>1</v>
      </c>
      <c r="M21" s="9" t="s">
        <v>240</v>
      </c>
      <c r="N21">
        <v>1</v>
      </c>
      <c r="O21" t="s">
        <v>240</v>
      </c>
      <c r="P21" t="s">
        <v>304</v>
      </c>
      <c r="Q21" t="s">
        <v>240</v>
      </c>
      <c r="R21" t="s">
        <v>30</v>
      </c>
      <c r="S21" s="9" t="s">
        <v>240</v>
      </c>
      <c r="T21">
        <v>-1</v>
      </c>
      <c r="U21">
        <v>-1</v>
      </c>
      <c r="V21">
        <v>-1</v>
      </c>
      <c r="W21">
        <v>1</v>
      </c>
      <c r="X21">
        <v>-1</v>
      </c>
      <c r="AA21" s="9" t="s">
        <v>240</v>
      </c>
      <c r="AB21">
        <v>9.9</v>
      </c>
      <c r="AD21" s="10">
        <v>2033</v>
      </c>
      <c r="AF21">
        <v>2028</v>
      </c>
      <c r="AM21" t="s">
        <v>11</v>
      </c>
    </row>
    <row r="22" spans="1:39">
      <c r="A22" s="9" t="s">
        <v>241</v>
      </c>
      <c r="B22" s="9" t="s">
        <v>307</v>
      </c>
      <c r="E22" s="9" t="s">
        <v>241</v>
      </c>
      <c r="F22">
        <v>0</v>
      </c>
      <c r="G22" s="9" t="s">
        <v>241</v>
      </c>
      <c r="H22">
        <v>1</v>
      </c>
      <c r="I22" s="9" t="s">
        <v>241</v>
      </c>
      <c r="J22">
        <v>0</v>
      </c>
      <c r="K22" s="9" t="s">
        <v>241</v>
      </c>
      <c r="L22">
        <v>1</v>
      </c>
      <c r="M22" s="9" t="s">
        <v>241</v>
      </c>
      <c r="N22">
        <v>1</v>
      </c>
      <c r="O22" t="s">
        <v>241</v>
      </c>
      <c r="P22" t="s">
        <v>305</v>
      </c>
      <c r="Q22" t="s">
        <v>241</v>
      </c>
      <c r="R22" t="s">
        <v>30</v>
      </c>
      <c r="S22" s="9" t="s">
        <v>241</v>
      </c>
      <c r="T22">
        <v>-1</v>
      </c>
      <c r="U22">
        <v>-1</v>
      </c>
      <c r="V22">
        <v>-1</v>
      </c>
      <c r="W22">
        <v>1</v>
      </c>
      <c r="X22">
        <v>-1</v>
      </c>
      <c r="AA22" s="9" t="s">
        <v>241</v>
      </c>
      <c r="AB22">
        <v>9.9</v>
      </c>
      <c r="AD22" s="10">
        <v>2034</v>
      </c>
      <c r="AF22">
        <v>2029</v>
      </c>
      <c r="AM22" t="s">
        <v>11</v>
      </c>
    </row>
    <row r="23" spans="1:39">
      <c r="A23" s="9" t="s">
        <v>242</v>
      </c>
      <c r="B23" s="9" t="s">
        <v>308</v>
      </c>
      <c r="E23" s="9" t="s">
        <v>242</v>
      </c>
      <c r="F23">
        <v>0</v>
      </c>
      <c r="G23" s="9" t="s">
        <v>242</v>
      </c>
      <c r="H23">
        <v>1</v>
      </c>
      <c r="I23" s="9" t="s">
        <v>242</v>
      </c>
      <c r="J23">
        <v>0</v>
      </c>
      <c r="K23" s="9" t="s">
        <v>242</v>
      </c>
      <c r="L23">
        <v>1</v>
      </c>
      <c r="M23" s="9" t="s">
        <v>242</v>
      </c>
      <c r="N23">
        <v>1</v>
      </c>
      <c r="O23" t="s">
        <v>242</v>
      </c>
      <c r="P23" t="s">
        <v>306</v>
      </c>
      <c r="Q23" t="s">
        <v>242</v>
      </c>
      <c r="R23" t="s">
        <v>30</v>
      </c>
      <c r="S23" s="9" t="s">
        <v>242</v>
      </c>
      <c r="T23">
        <v>-1</v>
      </c>
      <c r="U23">
        <v>-1</v>
      </c>
      <c r="V23">
        <v>-1</v>
      </c>
      <c r="W23">
        <v>1</v>
      </c>
      <c r="X23">
        <v>-1</v>
      </c>
      <c r="AA23" s="9" t="s">
        <v>242</v>
      </c>
      <c r="AB23">
        <v>9.9</v>
      </c>
      <c r="AD23" s="10">
        <v>2035</v>
      </c>
      <c r="AF23">
        <v>2030</v>
      </c>
      <c r="AM23" t="s">
        <v>11</v>
      </c>
    </row>
    <row r="24" spans="1:39">
      <c r="A24" s="9" t="s">
        <v>243</v>
      </c>
      <c r="B24" s="9" t="s">
        <v>309</v>
      </c>
      <c r="E24" s="9" t="s">
        <v>243</v>
      </c>
      <c r="F24">
        <v>0</v>
      </c>
      <c r="G24" s="9" t="s">
        <v>243</v>
      </c>
      <c r="H24">
        <v>1</v>
      </c>
      <c r="I24" s="9" t="s">
        <v>243</v>
      </c>
      <c r="J24">
        <v>0</v>
      </c>
      <c r="K24" s="9" t="s">
        <v>243</v>
      </c>
      <c r="L24">
        <v>1</v>
      </c>
      <c r="M24" s="9" t="s">
        <v>243</v>
      </c>
      <c r="N24">
        <v>1</v>
      </c>
      <c r="O24" t="s">
        <v>243</v>
      </c>
      <c r="P24" t="s">
        <v>307</v>
      </c>
      <c r="Q24" t="s">
        <v>243</v>
      </c>
      <c r="R24" t="s">
        <v>30</v>
      </c>
      <c r="S24" s="9" t="s">
        <v>243</v>
      </c>
      <c r="T24">
        <v>-1</v>
      </c>
      <c r="U24">
        <v>-1</v>
      </c>
      <c r="V24">
        <v>-1</v>
      </c>
      <c r="W24">
        <v>1</v>
      </c>
      <c r="X24">
        <v>-1</v>
      </c>
      <c r="AA24" s="9" t="s">
        <v>243</v>
      </c>
      <c r="AB24">
        <v>9.9</v>
      </c>
      <c r="AD24" s="10">
        <v>2036</v>
      </c>
      <c r="AF24">
        <v>2031</v>
      </c>
    </row>
    <row r="25" spans="1:39">
      <c r="A25" s="9" t="s">
        <v>244</v>
      </c>
      <c r="B25" s="9" t="s">
        <v>310</v>
      </c>
      <c r="E25" s="9" t="s">
        <v>244</v>
      </c>
      <c r="F25">
        <v>0</v>
      </c>
      <c r="G25" s="9" t="s">
        <v>244</v>
      </c>
      <c r="H25">
        <v>1</v>
      </c>
      <c r="I25" s="9" t="s">
        <v>244</v>
      </c>
      <c r="J25">
        <v>0</v>
      </c>
      <c r="K25" s="9" t="s">
        <v>244</v>
      </c>
      <c r="L25">
        <v>1</v>
      </c>
      <c r="M25" s="9" t="s">
        <v>244</v>
      </c>
      <c r="N25">
        <v>1</v>
      </c>
      <c r="O25" t="s">
        <v>244</v>
      </c>
      <c r="P25" t="s">
        <v>308</v>
      </c>
      <c r="Q25" t="s">
        <v>244</v>
      </c>
      <c r="R25" t="s">
        <v>30</v>
      </c>
      <c r="S25" s="9" t="s">
        <v>244</v>
      </c>
      <c r="T25">
        <v>-1</v>
      </c>
      <c r="U25">
        <v>-1</v>
      </c>
      <c r="V25">
        <v>-1</v>
      </c>
      <c r="W25">
        <v>1</v>
      </c>
      <c r="X25">
        <v>-1</v>
      </c>
      <c r="AA25" s="9" t="s">
        <v>244</v>
      </c>
      <c r="AB25">
        <v>9.9</v>
      </c>
      <c r="AD25" s="10">
        <v>2037</v>
      </c>
      <c r="AF25">
        <v>2032</v>
      </c>
    </row>
    <row r="26" spans="1:39">
      <c r="A26" s="9" t="s">
        <v>245</v>
      </c>
      <c r="B26" s="9" t="s">
        <v>311</v>
      </c>
      <c r="E26" s="9" t="s">
        <v>245</v>
      </c>
      <c r="F26">
        <v>0</v>
      </c>
      <c r="G26" s="9" t="s">
        <v>245</v>
      </c>
      <c r="H26">
        <v>1</v>
      </c>
      <c r="I26" s="9" t="s">
        <v>245</v>
      </c>
      <c r="J26">
        <v>0</v>
      </c>
      <c r="K26" s="9" t="s">
        <v>245</v>
      </c>
      <c r="L26">
        <v>1</v>
      </c>
      <c r="M26" s="9" t="s">
        <v>245</v>
      </c>
      <c r="N26">
        <v>1</v>
      </c>
      <c r="O26" t="s">
        <v>245</v>
      </c>
      <c r="P26" t="s">
        <v>309</v>
      </c>
      <c r="Q26" t="s">
        <v>245</v>
      </c>
      <c r="R26" t="s">
        <v>30</v>
      </c>
      <c r="S26" s="9" t="s">
        <v>245</v>
      </c>
      <c r="T26">
        <v>-1</v>
      </c>
      <c r="U26">
        <v>-1</v>
      </c>
      <c r="V26">
        <v>-1</v>
      </c>
      <c r="W26">
        <v>1</v>
      </c>
      <c r="X26">
        <v>-1</v>
      </c>
      <c r="AA26" s="9" t="s">
        <v>245</v>
      </c>
      <c r="AB26">
        <v>9.9</v>
      </c>
      <c r="AD26" s="10">
        <v>2038</v>
      </c>
      <c r="AF26">
        <v>2033</v>
      </c>
    </row>
    <row r="27" spans="1:39">
      <c r="A27" s="9" t="s">
        <v>246</v>
      </c>
      <c r="B27" s="9" t="s">
        <v>312</v>
      </c>
      <c r="E27" s="9" t="s">
        <v>246</v>
      </c>
      <c r="F27">
        <v>0</v>
      </c>
      <c r="G27" s="9" t="s">
        <v>246</v>
      </c>
      <c r="H27">
        <v>1</v>
      </c>
      <c r="I27" s="9" t="s">
        <v>246</v>
      </c>
      <c r="J27">
        <v>0</v>
      </c>
      <c r="K27" s="9" t="s">
        <v>246</v>
      </c>
      <c r="L27">
        <v>1</v>
      </c>
      <c r="M27" s="9" t="s">
        <v>246</v>
      </c>
      <c r="N27">
        <v>1</v>
      </c>
      <c r="O27" t="s">
        <v>246</v>
      </c>
      <c r="P27" t="s">
        <v>310</v>
      </c>
      <c r="Q27" t="s">
        <v>246</v>
      </c>
      <c r="R27" t="s">
        <v>30</v>
      </c>
      <c r="S27" s="9" t="s">
        <v>246</v>
      </c>
      <c r="T27">
        <v>-1</v>
      </c>
      <c r="U27">
        <v>1</v>
      </c>
      <c r="V27">
        <v>1</v>
      </c>
      <c r="W27">
        <v>1</v>
      </c>
      <c r="X27">
        <v>-1</v>
      </c>
      <c r="AA27" s="9" t="s">
        <v>246</v>
      </c>
      <c r="AB27">
        <v>9.9</v>
      </c>
      <c r="AD27" s="10">
        <v>2039</v>
      </c>
      <c r="AF27">
        <v>2034</v>
      </c>
    </row>
    <row r="28" spans="1:39">
      <c r="A28" s="9" t="s">
        <v>247</v>
      </c>
      <c r="B28" s="9" t="s">
        <v>313</v>
      </c>
      <c r="E28" s="9" t="s">
        <v>247</v>
      </c>
      <c r="F28">
        <v>0</v>
      </c>
      <c r="G28" s="9" t="s">
        <v>247</v>
      </c>
      <c r="H28">
        <v>1</v>
      </c>
      <c r="I28" s="9" t="s">
        <v>247</v>
      </c>
      <c r="J28">
        <v>0</v>
      </c>
      <c r="K28" s="9" t="s">
        <v>247</v>
      </c>
      <c r="L28">
        <v>1</v>
      </c>
      <c r="M28" s="9" t="s">
        <v>247</v>
      </c>
      <c r="N28">
        <v>1</v>
      </c>
      <c r="O28" t="s">
        <v>247</v>
      </c>
      <c r="P28" t="s">
        <v>231</v>
      </c>
      <c r="Q28" t="s">
        <v>247</v>
      </c>
      <c r="R28" t="s">
        <v>30</v>
      </c>
      <c r="S28" s="9" t="s">
        <v>247</v>
      </c>
      <c r="T28">
        <v>-1</v>
      </c>
      <c r="U28">
        <v>-1</v>
      </c>
      <c r="V28">
        <v>-1</v>
      </c>
      <c r="W28">
        <v>1</v>
      </c>
      <c r="X28">
        <v>-1</v>
      </c>
      <c r="AA28" s="9" t="s">
        <v>247</v>
      </c>
      <c r="AB28">
        <v>5.8</v>
      </c>
      <c r="AD28" s="10">
        <v>2040</v>
      </c>
      <c r="AF28">
        <v>2035</v>
      </c>
    </row>
    <row r="29" spans="1:39">
      <c r="A29" s="9" t="s">
        <v>248</v>
      </c>
      <c r="B29" s="9" t="s">
        <v>314</v>
      </c>
      <c r="E29" s="9" t="s">
        <v>248</v>
      </c>
      <c r="F29">
        <v>0</v>
      </c>
      <c r="G29" s="9" t="s">
        <v>248</v>
      </c>
      <c r="H29">
        <v>1</v>
      </c>
      <c r="I29" s="9" t="s">
        <v>248</v>
      </c>
      <c r="J29">
        <v>0</v>
      </c>
      <c r="K29" s="9" t="s">
        <v>248</v>
      </c>
      <c r="L29">
        <v>1</v>
      </c>
      <c r="M29" s="9" t="s">
        <v>248</v>
      </c>
      <c r="N29">
        <v>1</v>
      </c>
      <c r="O29" t="s">
        <v>248</v>
      </c>
      <c r="P29" t="s">
        <v>306</v>
      </c>
      <c r="Q29" t="s">
        <v>248</v>
      </c>
      <c r="R29" t="s">
        <v>30</v>
      </c>
      <c r="S29" s="9" t="s">
        <v>248</v>
      </c>
      <c r="T29">
        <v>-1</v>
      </c>
      <c r="U29">
        <v>-1</v>
      </c>
      <c r="V29">
        <v>-1</v>
      </c>
      <c r="W29">
        <v>1</v>
      </c>
      <c r="X29">
        <v>-1</v>
      </c>
      <c r="AA29" s="9" t="s">
        <v>248</v>
      </c>
      <c r="AB29">
        <v>5.8</v>
      </c>
      <c r="AD29" s="10">
        <v>2041</v>
      </c>
      <c r="AF29">
        <v>2036</v>
      </c>
    </row>
    <row r="30" spans="1:39">
      <c r="A30" s="9" t="s">
        <v>249</v>
      </c>
      <c r="B30" s="9" t="s">
        <v>315</v>
      </c>
      <c r="E30" s="9" t="s">
        <v>249</v>
      </c>
      <c r="F30">
        <v>0</v>
      </c>
      <c r="G30" s="9" t="s">
        <v>249</v>
      </c>
      <c r="H30">
        <v>1</v>
      </c>
      <c r="I30" s="9" t="s">
        <v>249</v>
      </c>
      <c r="J30">
        <v>0</v>
      </c>
      <c r="K30" s="9" t="s">
        <v>249</v>
      </c>
      <c r="L30">
        <v>1</v>
      </c>
      <c r="M30" s="9" t="s">
        <v>249</v>
      </c>
      <c r="N30">
        <v>1</v>
      </c>
      <c r="O30" t="s">
        <v>249</v>
      </c>
      <c r="P30" t="s">
        <v>307</v>
      </c>
      <c r="Q30" t="s">
        <v>249</v>
      </c>
      <c r="R30" t="s">
        <v>30</v>
      </c>
      <c r="S30" s="9" t="s">
        <v>249</v>
      </c>
      <c r="T30">
        <v>-1</v>
      </c>
      <c r="U30">
        <v>-1</v>
      </c>
      <c r="V30">
        <v>-1</v>
      </c>
      <c r="W30">
        <v>1</v>
      </c>
      <c r="X30">
        <v>-1</v>
      </c>
      <c r="AA30" s="9" t="s">
        <v>249</v>
      </c>
      <c r="AB30">
        <v>5.8</v>
      </c>
      <c r="AD30" s="10">
        <v>2042</v>
      </c>
      <c r="AF30">
        <v>2037</v>
      </c>
    </row>
    <row r="31" spans="1:39">
      <c r="A31" s="9" t="s">
        <v>250</v>
      </c>
      <c r="B31" s="9" t="s">
        <v>316</v>
      </c>
      <c r="E31" s="9" t="s">
        <v>250</v>
      </c>
      <c r="F31">
        <v>0</v>
      </c>
      <c r="G31" s="9" t="s">
        <v>250</v>
      </c>
      <c r="H31">
        <v>1</v>
      </c>
      <c r="I31" s="9" t="s">
        <v>250</v>
      </c>
      <c r="J31">
        <v>0</v>
      </c>
      <c r="K31" s="9" t="s">
        <v>250</v>
      </c>
      <c r="L31">
        <v>1</v>
      </c>
      <c r="M31" s="9" t="s">
        <v>250</v>
      </c>
      <c r="N31">
        <v>1</v>
      </c>
      <c r="O31" t="s">
        <v>250</v>
      </c>
      <c r="P31" t="s">
        <v>308</v>
      </c>
      <c r="Q31" t="s">
        <v>250</v>
      </c>
      <c r="R31" t="s">
        <v>30</v>
      </c>
      <c r="S31" s="9" t="s">
        <v>250</v>
      </c>
      <c r="T31">
        <v>-1</v>
      </c>
      <c r="U31">
        <v>-1</v>
      </c>
      <c r="V31">
        <v>-1</v>
      </c>
      <c r="W31">
        <v>1</v>
      </c>
      <c r="X31">
        <v>-1</v>
      </c>
      <c r="AA31" s="9" t="s">
        <v>250</v>
      </c>
      <c r="AB31">
        <v>5.8</v>
      </c>
      <c r="AD31" s="10">
        <v>2043</v>
      </c>
      <c r="AF31">
        <v>2040</v>
      </c>
    </row>
    <row r="32" spans="1:39">
      <c r="A32" s="9" t="s">
        <v>251</v>
      </c>
      <c r="B32" s="9" t="s">
        <v>317</v>
      </c>
      <c r="E32" s="9" t="s">
        <v>251</v>
      </c>
      <c r="F32">
        <v>0</v>
      </c>
      <c r="G32" s="9" t="s">
        <v>251</v>
      </c>
      <c r="H32">
        <v>1</v>
      </c>
      <c r="I32" s="9" t="s">
        <v>251</v>
      </c>
      <c r="J32">
        <v>0</v>
      </c>
      <c r="K32" s="9" t="s">
        <v>251</v>
      </c>
      <c r="L32">
        <v>1</v>
      </c>
      <c r="M32" s="9" t="s">
        <v>251</v>
      </c>
      <c r="N32">
        <v>1</v>
      </c>
      <c r="O32" t="s">
        <v>251</v>
      </c>
      <c r="P32" t="s">
        <v>311</v>
      </c>
      <c r="Q32" t="s">
        <v>251</v>
      </c>
      <c r="R32" t="s">
        <v>30</v>
      </c>
      <c r="S32" s="9" t="s">
        <v>251</v>
      </c>
      <c r="T32">
        <v>-1</v>
      </c>
      <c r="U32">
        <v>-1</v>
      </c>
      <c r="V32">
        <v>-1</v>
      </c>
      <c r="W32">
        <v>1</v>
      </c>
      <c r="X32">
        <v>-1</v>
      </c>
      <c r="AA32" s="9" t="s">
        <v>251</v>
      </c>
      <c r="AB32">
        <v>5.8</v>
      </c>
      <c r="AD32" s="10">
        <v>2044</v>
      </c>
      <c r="AF32">
        <v>2045</v>
      </c>
    </row>
    <row r="33" spans="1:32">
      <c r="A33" s="9" t="s">
        <v>252</v>
      </c>
      <c r="B33" s="9" t="s">
        <v>318</v>
      </c>
      <c r="E33" s="9" t="s">
        <v>252</v>
      </c>
      <c r="F33">
        <v>0</v>
      </c>
      <c r="G33" s="9" t="s">
        <v>252</v>
      </c>
      <c r="H33">
        <v>1</v>
      </c>
      <c r="I33" s="9" t="s">
        <v>252</v>
      </c>
      <c r="J33">
        <v>0</v>
      </c>
      <c r="K33" s="9" t="s">
        <v>252</v>
      </c>
      <c r="L33">
        <v>1</v>
      </c>
      <c r="M33" s="9" t="s">
        <v>252</v>
      </c>
      <c r="N33">
        <v>1</v>
      </c>
      <c r="O33" t="s">
        <v>252</v>
      </c>
      <c r="P33" t="s">
        <v>312</v>
      </c>
      <c r="Q33" t="s">
        <v>252</v>
      </c>
      <c r="R33" t="s">
        <v>30</v>
      </c>
      <c r="S33" s="9" t="s">
        <v>252</v>
      </c>
      <c r="T33">
        <v>-1</v>
      </c>
      <c r="U33">
        <v>-1</v>
      </c>
      <c r="V33">
        <v>-1</v>
      </c>
      <c r="W33">
        <v>1</v>
      </c>
      <c r="X33">
        <v>-1</v>
      </c>
      <c r="AA33" s="9" t="s">
        <v>252</v>
      </c>
      <c r="AB33">
        <v>5.8</v>
      </c>
      <c r="AD33" s="10">
        <v>2045</v>
      </c>
      <c r="AF33">
        <v>2050</v>
      </c>
    </row>
    <row r="34" spans="1:32">
      <c r="A34" s="9" t="s">
        <v>253</v>
      </c>
      <c r="B34" s="9" t="s">
        <v>319</v>
      </c>
      <c r="E34" s="9" t="s">
        <v>253</v>
      </c>
      <c r="F34">
        <v>0</v>
      </c>
      <c r="G34" s="9" t="s">
        <v>253</v>
      </c>
      <c r="H34">
        <v>1</v>
      </c>
      <c r="I34" s="9" t="s">
        <v>253</v>
      </c>
      <c r="J34">
        <v>0</v>
      </c>
      <c r="K34" s="9" t="s">
        <v>253</v>
      </c>
      <c r="L34">
        <v>1</v>
      </c>
      <c r="M34" s="9" t="s">
        <v>253</v>
      </c>
      <c r="N34">
        <v>1</v>
      </c>
      <c r="O34" t="s">
        <v>253</v>
      </c>
      <c r="P34" t="s">
        <v>313</v>
      </c>
      <c r="Q34" t="s">
        <v>253</v>
      </c>
      <c r="R34" t="s">
        <v>30</v>
      </c>
      <c r="S34" s="9" t="s">
        <v>253</v>
      </c>
      <c r="T34">
        <v>-1</v>
      </c>
      <c r="U34">
        <v>-1</v>
      </c>
      <c r="V34">
        <v>-1</v>
      </c>
      <c r="W34">
        <v>1</v>
      </c>
      <c r="X34">
        <v>-1</v>
      </c>
      <c r="AA34" s="9" t="s">
        <v>253</v>
      </c>
      <c r="AB34">
        <v>5.8</v>
      </c>
      <c r="AD34" s="10">
        <v>2046</v>
      </c>
    </row>
    <row r="35" spans="1:32">
      <c r="A35" s="9" t="s">
        <v>254</v>
      </c>
      <c r="B35" s="9" t="s">
        <v>320</v>
      </c>
      <c r="E35" s="9" t="s">
        <v>254</v>
      </c>
      <c r="F35">
        <v>0</v>
      </c>
      <c r="G35" s="9" t="s">
        <v>254</v>
      </c>
      <c r="H35">
        <v>1</v>
      </c>
      <c r="I35" s="9" t="s">
        <v>254</v>
      </c>
      <c r="J35">
        <v>0</v>
      </c>
      <c r="K35" s="9" t="s">
        <v>254</v>
      </c>
      <c r="L35">
        <v>1</v>
      </c>
      <c r="M35" s="9" t="s">
        <v>254</v>
      </c>
      <c r="N35">
        <v>1</v>
      </c>
      <c r="O35" t="s">
        <v>254</v>
      </c>
      <c r="P35" t="s">
        <v>314</v>
      </c>
      <c r="Q35" t="s">
        <v>254</v>
      </c>
      <c r="R35" t="s">
        <v>30</v>
      </c>
      <c r="S35" s="9" t="s">
        <v>254</v>
      </c>
      <c r="T35">
        <v>-1</v>
      </c>
      <c r="U35">
        <v>1</v>
      </c>
      <c r="V35">
        <v>1</v>
      </c>
      <c r="W35">
        <v>1</v>
      </c>
      <c r="X35">
        <v>-1</v>
      </c>
      <c r="AA35" s="9" t="s">
        <v>254</v>
      </c>
      <c r="AB35">
        <v>5.8</v>
      </c>
      <c r="AD35" s="10">
        <v>2047</v>
      </c>
    </row>
    <row r="36" spans="1:32">
      <c r="A36" s="9" t="s">
        <v>255</v>
      </c>
      <c r="B36" s="9" t="s">
        <v>321</v>
      </c>
      <c r="E36" s="9" t="s">
        <v>255</v>
      </c>
      <c r="F36">
        <v>0</v>
      </c>
      <c r="G36" s="9" t="s">
        <v>255</v>
      </c>
      <c r="H36">
        <v>1</v>
      </c>
      <c r="I36" s="9" t="s">
        <v>255</v>
      </c>
      <c r="J36">
        <v>0</v>
      </c>
      <c r="K36" s="9" t="s">
        <v>255</v>
      </c>
      <c r="L36">
        <v>1</v>
      </c>
      <c r="M36" s="9" t="s">
        <v>255</v>
      </c>
      <c r="N36">
        <v>1</v>
      </c>
      <c r="O36" t="s">
        <v>255</v>
      </c>
      <c r="P36" t="s">
        <v>315</v>
      </c>
      <c r="Q36" t="s">
        <v>255</v>
      </c>
      <c r="R36" t="s">
        <v>30</v>
      </c>
      <c r="S36" s="9" t="s">
        <v>255</v>
      </c>
      <c r="T36">
        <v>-1</v>
      </c>
      <c r="U36">
        <v>1</v>
      </c>
      <c r="V36">
        <v>1</v>
      </c>
      <c r="W36">
        <v>1</v>
      </c>
      <c r="X36">
        <v>-1</v>
      </c>
      <c r="AA36" s="9" t="s">
        <v>255</v>
      </c>
      <c r="AB36">
        <v>5.8</v>
      </c>
      <c r="AD36" s="10">
        <v>2048</v>
      </c>
    </row>
    <row r="37" spans="1:32">
      <c r="A37" s="9" t="s">
        <v>256</v>
      </c>
      <c r="B37" s="9" t="s">
        <v>322</v>
      </c>
      <c r="E37" s="9" t="s">
        <v>256</v>
      </c>
      <c r="F37">
        <v>0</v>
      </c>
      <c r="G37" s="9" t="s">
        <v>256</v>
      </c>
      <c r="H37">
        <v>1</v>
      </c>
      <c r="I37" s="9" t="s">
        <v>256</v>
      </c>
      <c r="J37">
        <v>0</v>
      </c>
      <c r="K37" s="9" t="s">
        <v>256</v>
      </c>
      <c r="L37">
        <v>1</v>
      </c>
      <c r="M37" s="9" t="s">
        <v>256</v>
      </c>
      <c r="N37">
        <v>1</v>
      </c>
      <c r="O37" t="s">
        <v>256</v>
      </c>
      <c r="P37" t="s">
        <v>316</v>
      </c>
      <c r="Q37" t="s">
        <v>256</v>
      </c>
      <c r="R37" t="s">
        <v>30</v>
      </c>
      <c r="S37" s="9" t="s">
        <v>256</v>
      </c>
      <c r="T37">
        <v>-1</v>
      </c>
      <c r="U37">
        <v>1</v>
      </c>
      <c r="V37">
        <v>1</v>
      </c>
      <c r="W37">
        <v>1</v>
      </c>
      <c r="X37">
        <v>-1</v>
      </c>
      <c r="AA37" s="9" t="s">
        <v>256</v>
      </c>
      <c r="AB37">
        <v>5.8</v>
      </c>
      <c r="AD37" s="10">
        <v>2049</v>
      </c>
    </row>
    <row r="38" spans="1:32">
      <c r="A38" s="9" t="s">
        <v>257</v>
      </c>
      <c r="B38" s="9" t="s">
        <v>323</v>
      </c>
      <c r="E38" s="9" t="s">
        <v>257</v>
      </c>
      <c r="F38">
        <v>0</v>
      </c>
      <c r="G38" s="9" t="s">
        <v>257</v>
      </c>
      <c r="H38">
        <v>1</v>
      </c>
      <c r="I38" s="9" t="s">
        <v>257</v>
      </c>
      <c r="J38">
        <v>0</v>
      </c>
      <c r="K38" s="9" t="s">
        <v>257</v>
      </c>
      <c r="L38">
        <v>1</v>
      </c>
      <c r="M38" s="9" t="s">
        <v>257</v>
      </c>
      <c r="N38">
        <v>1</v>
      </c>
      <c r="O38" t="s">
        <v>257</v>
      </c>
      <c r="P38" t="s">
        <v>317</v>
      </c>
      <c r="Q38" t="s">
        <v>257</v>
      </c>
      <c r="R38" t="s">
        <v>30</v>
      </c>
      <c r="S38" s="9" t="s">
        <v>257</v>
      </c>
      <c r="T38">
        <v>-1</v>
      </c>
      <c r="U38">
        <v>-1</v>
      </c>
      <c r="V38">
        <v>-1</v>
      </c>
      <c r="W38">
        <v>1</v>
      </c>
      <c r="X38">
        <v>-1</v>
      </c>
      <c r="AA38" s="9" t="s">
        <v>257</v>
      </c>
      <c r="AB38">
        <v>5.8</v>
      </c>
      <c r="AD38" s="10">
        <v>2050</v>
      </c>
    </row>
    <row r="39" spans="1:32">
      <c r="A39" s="9" t="s">
        <v>258</v>
      </c>
      <c r="B39" s="9" t="s">
        <v>324</v>
      </c>
      <c r="E39" s="9" t="s">
        <v>258</v>
      </c>
      <c r="F39">
        <v>0</v>
      </c>
      <c r="G39" s="9" t="s">
        <v>258</v>
      </c>
      <c r="H39">
        <v>1</v>
      </c>
      <c r="I39" s="9" t="s">
        <v>258</v>
      </c>
      <c r="J39">
        <v>0</v>
      </c>
      <c r="K39" s="9" t="s">
        <v>258</v>
      </c>
      <c r="L39">
        <v>1</v>
      </c>
      <c r="M39" s="9" t="s">
        <v>258</v>
      </c>
      <c r="N39">
        <v>1</v>
      </c>
      <c r="O39" t="s">
        <v>258</v>
      </c>
      <c r="P39" t="s">
        <v>318</v>
      </c>
      <c r="Q39" t="s">
        <v>258</v>
      </c>
      <c r="R39" t="s">
        <v>30</v>
      </c>
      <c r="S39" s="9" t="s">
        <v>258</v>
      </c>
      <c r="T39">
        <v>-1</v>
      </c>
      <c r="U39">
        <v>1</v>
      </c>
      <c r="V39">
        <v>1</v>
      </c>
      <c r="W39">
        <v>1</v>
      </c>
      <c r="X39">
        <v>-1</v>
      </c>
      <c r="AA39" s="9" t="s">
        <v>258</v>
      </c>
      <c r="AB39">
        <v>5.8</v>
      </c>
    </row>
    <row r="40" spans="1:32">
      <c r="A40" s="9" t="s">
        <v>259</v>
      </c>
      <c r="B40" s="9" t="s">
        <v>327</v>
      </c>
      <c r="E40" s="9" t="s">
        <v>259</v>
      </c>
      <c r="F40">
        <v>0</v>
      </c>
      <c r="G40" s="9" t="s">
        <v>259</v>
      </c>
      <c r="H40">
        <v>1</v>
      </c>
      <c r="I40" s="9" t="s">
        <v>259</v>
      </c>
      <c r="J40">
        <v>0</v>
      </c>
      <c r="K40" s="9" t="s">
        <v>259</v>
      </c>
      <c r="L40">
        <v>1</v>
      </c>
      <c r="M40" s="9" t="s">
        <v>259</v>
      </c>
      <c r="N40">
        <v>1</v>
      </c>
      <c r="O40" t="s">
        <v>259</v>
      </c>
      <c r="P40" t="s">
        <v>319</v>
      </c>
      <c r="Q40" t="s">
        <v>259</v>
      </c>
      <c r="R40" t="s">
        <v>30</v>
      </c>
      <c r="S40" s="9" t="s">
        <v>259</v>
      </c>
      <c r="T40">
        <v>-1</v>
      </c>
      <c r="U40">
        <v>-1</v>
      </c>
      <c r="V40">
        <v>-1</v>
      </c>
      <c r="W40">
        <v>1</v>
      </c>
      <c r="X40">
        <v>-1</v>
      </c>
      <c r="AA40" s="9" t="s">
        <v>259</v>
      </c>
      <c r="AB40">
        <v>5.8</v>
      </c>
    </row>
    <row r="41" spans="1:32">
      <c r="A41" s="9" t="s">
        <v>260</v>
      </c>
      <c r="B41" s="9" t="s">
        <v>334</v>
      </c>
      <c r="E41" s="9" t="s">
        <v>260</v>
      </c>
      <c r="F41">
        <v>0</v>
      </c>
      <c r="G41" s="9" t="s">
        <v>260</v>
      </c>
      <c r="H41">
        <v>1</v>
      </c>
      <c r="I41" s="9" t="s">
        <v>260</v>
      </c>
      <c r="J41">
        <v>0</v>
      </c>
      <c r="K41" s="9" t="s">
        <v>260</v>
      </c>
      <c r="L41">
        <v>1</v>
      </c>
      <c r="M41" s="9" t="s">
        <v>260</v>
      </c>
      <c r="N41">
        <v>1</v>
      </c>
      <c r="O41" t="s">
        <v>260</v>
      </c>
      <c r="P41" t="s">
        <v>320</v>
      </c>
      <c r="Q41" t="s">
        <v>260</v>
      </c>
      <c r="R41" t="s">
        <v>30</v>
      </c>
      <c r="S41" s="9" t="s">
        <v>260</v>
      </c>
      <c r="T41">
        <v>-1</v>
      </c>
      <c r="U41">
        <v>-1</v>
      </c>
      <c r="V41">
        <v>-1</v>
      </c>
      <c r="W41">
        <v>1</v>
      </c>
      <c r="X41">
        <v>-1</v>
      </c>
      <c r="AA41" s="9" t="s">
        <v>260</v>
      </c>
      <c r="AB41">
        <v>5.8</v>
      </c>
    </row>
    <row r="42" spans="1:32">
      <c r="A42" s="9" t="s">
        <v>261</v>
      </c>
      <c r="B42" s="9" t="s">
        <v>339</v>
      </c>
      <c r="E42" s="9" t="s">
        <v>261</v>
      </c>
      <c r="F42">
        <v>0</v>
      </c>
      <c r="G42" s="9" t="s">
        <v>261</v>
      </c>
      <c r="H42">
        <v>1</v>
      </c>
      <c r="I42" s="9" t="s">
        <v>261</v>
      </c>
      <c r="J42">
        <v>0</v>
      </c>
      <c r="K42" s="9" t="s">
        <v>261</v>
      </c>
      <c r="L42">
        <v>1</v>
      </c>
      <c r="M42" s="9" t="s">
        <v>261</v>
      </c>
      <c r="N42">
        <v>1</v>
      </c>
      <c r="O42" t="s">
        <v>261</v>
      </c>
      <c r="P42" t="s">
        <v>321</v>
      </c>
      <c r="Q42" t="s">
        <v>261</v>
      </c>
      <c r="R42" t="s">
        <v>30</v>
      </c>
      <c r="S42" s="9" t="s">
        <v>261</v>
      </c>
      <c r="T42">
        <v>-1</v>
      </c>
      <c r="U42">
        <v>-1</v>
      </c>
      <c r="V42">
        <v>-1</v>
      </c>
      <c r="W42">
        <v>1</v>
      </c>
      <c r="X42">
        <v>-1</v>
      </c>
      <c r="AA42" s="9" t="s">
        <v>261</v>
      </c>
      <c r="AB42">
        <v>5.8</v>
      </c>
    </row>
    <row r="43" spans="1:32">
      <c r="A43" s="9" t="s">
        <v>262</v>
      </c>
      <c r="B43" s="9" t="s">
        <v>337</v>
      </c>
      <c r="E43" s="9" t="s">
        <v>262</v>
      </c>
      <c r="F43">
        <v>0</v>
      </c>
      <c r="G43" s="9" t="s">
        <v>262</v>
      </c>
      <c r="H43">
        <v>1</v>
      </c>
      <c r="I43" s="9" t="s">
        <v>262</v>
      </c>
      <c r="J43">
        <v>0</v>
      </c>
      <c r="K43" s="9" t="s">
        <v>262</v>
      </c>
      <c r="L43">
        <v>1</v>
      </c>
      <c r="M43" s="9" t="s">
        <v>262</v>
      </c>
      <c r="N43">
        <v>1</v>
      </c>
      <c r="O43" t="s">
        <v>262</v>
      </c>
      <c r="P43" t="s">
        <v>322</v>
      </c>
      <c r="Q43" t="s">
        <v>262</v>
      </c>
      <c r="R43" t="s">
        <v>30</v>
      </c>
      <c r="S43" s="9" t="s">
        <v>262</v>
      </c>
      <c r="T43">
        <v>-1</v>
      </c>
      <c r="U43">
        <v>1</v>
      </c>
      <c r="V43">
        <v>1</v>
      </c>
      <c r="W43">
        <v>1</v>
      </c>
      <c r="X43">
        <v>-1</v>
      </c>
      <c r="AA43" s="9" t="s">
        <v>262</v>
      </c>
      <c r="AB43">
        <v>5.8</v>
      </c>
    </row>
    <row r="44" spans="1:32">
      <c r="A44" s="9" t="s">
        <v>263</v>
      </c>
      <c r="B44" s="9" t="s">
        <v>340</v>
      </c>
      <c r="E44" s="9" t="s">
        <v>263</v>
      </c>
      <c r="F44">
        <v>0</v>
      </c>
      <c r="G44" s="9" t="s">
        <v>263</v>
      </c>
      <c r="H44">
        <v>1</v>
      </c>
      <c r="I44" s="9" t="s">
        <v>263</v>
      </c>
      <c r="J44">
        <v>0</v>
      </c>
      <c r="K44" s="9" t="s">
        <v>263</v>
      </c>
      <c r="L44">
        <v>1</v>
      </c>
      <c r="M44" s="9" t="s">
        <v>263</v>
      </c>
      <c r="N44">
        <v>1</v>
      </c>
      <c r="O44" t="s">
        <v>263</v>
      </c>
      <c r="P44" t="s">
        <v>323</v>
      </c>
      <c r="Q44" t="s">
        <v>263</v>
      </c>
      <c r="R44" t="s">
        <v>30</v>
      </c>
      <c r="S44" s="9" t="s">
        <v>263</v>
      </c>
      <c r="T44">
        <v>-1</v>
      </c>
      <c r="U44">
        <v>1</v>
      </c>
      <c r="V44">
        <v>1</v>
      </c>
      <c r="W44">
        <v>1</v>
      </c>
      <c r="X44">
        <v>-1</v>
      </c>
      <c r="AA44" s="9" t="s">
        <v>263</v>
      </c>
      <c r="AB44">
        <v>5.8</v>
      </c>
    </row>
    <row r="45" spans="1:32">
      <c r="A45" s="9" t="s">
        <v>264</v>
      </c>
      <c r="B45" s="9" t="s">
        <v>341</v>
      </c>
      <c r="E45" s="9" t="s">
        <v>264</v>
      </c>
      <c r="F45">
        <v>0</v>
      </c>
      <c r="G45" s="9" t="s">
        <v>264</v>
      </c>
      <c r="H45">
        <v>1</v>
      </c>
      <c r="I45" s="9" t="s">
        <v>264</v>
      </c>
      <c r="J45">
        <v>0</v>
      </c>
      <c r="K45" s="9" t="s">
        <v>264</v>
      </c>
      <c r="L45">
        <v>1</v>
      </c>
      <c r="M45" s="9" t="s">
        <v>264</v>
      </c>
      <c r="N45">
        <v>1</v>
      </c>
      <c r="O45" t="s">
        <v>264</v>
      </c>
      <c r="P45" t="s">
        <v>324</v>
      </c>
      <c r="Q45" t="s">
        <v>264</v>
      </c>
      <c r="R45" t="s">
        <v>30</v>
      </c>
      <c r="S45" s="9" t="s">
        <v>264</v>
      </c>
      <c r="T45">
        <v>-1</v>
      </c>
      <c r="U45">
        <v>1</v>
      </c>
      <c r="V45">
        <v>1</v>
      </c>
      <c r="W45">
        <v>1</v>
      </c>
      <c r="X45">
        <v>-1</v>
      </c>
      <c r="AA45" s="9" t="s">
        <v>264</v>
      </c>
      <c r="AB45">
        <v>5.8</v>
      </c>
    </row>
    <row r="46" spans="1:32">
      <c r="A46" s="9" t="s">
        <v>265</v>
      </c>
      <c r="B46" s="9" t="s">
        <v>342</v>
      </c>
      <c r="E46" s="9" t="s">
        <v>265</v>
      </c>
      <c r="F46">
        <v>0</v>
      </c>
      <c r="G46" s="9" t="s">
        <v>265</v>
      </c>
      <c r="H46">
        <v>1</v>
      </c>
      <c r="I46" s="9" t="s">
        <v>265</v>
      </c>
      <c r="J46">
        <v>0</v>
      </c>
      <c r="K46" s="9" t="s">
        <v>265</v>
      </c>
      <c r="L46">
        <v>1</v>
      </c>
      <c r="M46" s="9" t="s">
        <v>265</v>
      </c>
      <c r="N46">
        <v>1</v>
      </c>
      <c r="O46" t="s">
        <v>265</v>
      </c>
      <c r="P46" t="s">
        <v>231</v>
      </c>
      <c r="Q46" t="s">
        <v>265</v>
      </c>
      <c r="R46" t="s">
        <v>30</v>
      </c>
      <c r="S46" s="9" t="s">
        <v>265</v>
      </c>
      <c r="T46">
        <v>-1</v>
      </c>
      <c r="U46">
        <v>-1</v>
      </c>
      <c r="V46">
        <v>-1</v>
      </c>
      <c r="W46">
        <v>1</v>
      </c>
      <c r="X46">
        <v>-1</v>
      </c>
      <c r="AA46" s="9" t="s">
        <v>265</v>
      </c>
      <c r="AB46">
        <v>6</v>
      </c>
    </row>
    <row r="47" spans="1:32">
      <c r="A47" s="9" t="s">
        <v>266</v>
      </c>
      <c r="B47" s="9" t="s">
        <v>344</v>
      </c>
      <c r="E47" s="9" t="s">
        <v>266</v>
      </c>
      <c r="F47">
        <v>0</v>
      </c>
      <c r="G47" s="9" t="s">
        <v>266</v>
      </c>
      <c r="H47">
        <v>1</v>
      </c>
      <c r="I47" s="9" t="s">
        <v>266</v>
      </c>
      <c r="J47">
        <v>0</v>
      </c>
      <c r="K47" s="9" t="s">
        <v>266</v>
      </c>
      <c r="L47">
        <v>1</v>
      </c>
      <c r="M47" s="9" t="s">
        <v>266</v>
      </c>
      <c r="N47">
        <v>1</v>
      </c>
      <c r="O47" t="s">
        <v>266</v>
      </c>
      <c r="P47" t="s">
        <v>306</v>
      </c>
      <c r="Q47" t="s">
        <v>266</v>
      </c>
      <c r="R47" t="s">
        <v>30</v>
      </c>
      <c r="S47" s="9" t="s">
        <v>266</v>
      </c>
      <c r="T47">
        <v>-1</v>
      </c>
      <c r="U47">
        <v>-1</v>
      </c>
      <c r="V47">
        <v>-1</v>
      </c>
      <c r="W47">
        <v>1</v>
      </c>
      <c r="X47">
        <v>-1</v>
      </c>
      <c r="AA47" s="9" t="s">
        <v>266</v>
      </c>
      <c r="AB47">
        <v>6</v>
      </c>
    </row>
    <row r="48" spans="1:32">
      <c r="A48" s="9" t="s">
        <v>267</v>
      </c>
      <c r="B48" s="9" t="s">
        <v>345</v>
      </c>
      <c r="E48" s="9" t="s">
        <v>267</v>
      </c>
      <c r="F48">
        <v>0</v>
      </c>
      <c r="G48" s="9" t="s">
        <v>267</v>
      </c>
      <c r="H48">
        <v>1</v>
      </c>
      <c r="I48" s="9" t="s">
        <v>267</v>
      </c>
      <c r="J48">
        <v>0</v>
      </c>
      <c r="K48" s="9" t="s">
        <v>267</v>
      </c>
      <c r="L48">
        <v>1</v>
      </c>
      <c r="M48" s="9" t="s">
        <v>267</v>
      </c>
      <c r="N48">
        <v>1</v>
      </c>
      <c r="O48" t="s">
        <v>267</v>
      </c>
      <c r="P48" t="s">
        <v>307</v>
      </c>
      <c r="Q48" t="s">
        <v>267</v>
      </c>
      <c r="R48" t="s">
        <v>30</v>
      </c>
      <c r="S48" s="9" t="s">
        <v>267</v>
      </c>
      <c r="T48">
        <v>-1</v>
      </c>
      <c r="U48">
        <v>-1</v>
      </c>
      <c r="V48">
        <v>-1</v>
      </c>
      <c r="W48">
        <v>1</v>
      </c>
      <c r="X48">
        <v>-1</v>
      </c>
      <c r="AA48" s="9" t="s">
        <v>267</v>
      </c>
      <c r="AB48">
        <v>6</v>
      </c>
    </row>
    <row r="49" spans="1:28">
      <c r="A49" s="9" t="s">
        <v>268</v>
      </c>
      <c r="B49" s="9" t="s">
        <v>347</v>
      </c>
      <c r="E49" s="9" t="s">
        <v>268</v>
      </c>
      <c r="F49">
        <v>0</v>
      </c>
      <c r="G49" s="9" t="s">
        <v>268</v>
      </c>
      <c r="H49">
        <v>1</v>
      </c>
      <c r="I49" s="9" t="s">
        <v>268</v>
      </c>
      <c r="J49">
        <v>0</v>
      </c>
      <c r="K49" s="9" t="s">
        <v>268</v>
      </c>
      <c r="L49">
        <v>1</v>
      </c>
      <c r="M49" s="9" t="s">
        <v>268</v>
      </c>
      <c r="N49">
        <v>1</v>
      </c>
      <c r="O49" t="s">
        <v>268</v>
      </c>
      <c r="P49" t="s">
        <v>308</v>
      </c>
      <c r="Q49" t="s">
        <v>268</v>
      </c>
      <c r="R49" t="s">
        <v>30</v>
      </c>
      <c r="S49" s="9" t="s">
        <v>268</v>
      </c>
      <c r="T49">
        <v>-1</v>
      </c>
      <c r="U49">
        <v>-1</v>
      </c>
      <c r="V49">
        <v>-1</v>
      </c>
      <c r="W49">
        <v>1</v>
      </c>
      <c r="X49">
        <v>-1</v>
      </c>
      <c r="AA49" s="9" t="s">
        <v>268</v>
      </c>
      <c r="AB49">
        <v>6</v>
      </c>
    </row>
    <row r="50" spans="1:28">
      <c r="A50" s="9" t="s">
        <v>269</v>
      </c>
      <c r="B50" s="9" t="s">
        <v>348</v>
      </c>
      <c r="E50" s="9" t="s">
        <v>269</v>
      </c>
      <c r="F50">
        <v>0</v>
      </c>
      <c r="G50" s="9" t="s">
        <v>269</v>
      </c>
      <c r="H50">
        <v>1</v>
      </c>
      <c r="I50" s="9" t="s">
        <v>269</v>
      </c>
      <c r="J50">
        <v>0</v>
      </c>
      <c r="K50" s="9" t="s">
        <v>269</v>
      </c>
      <c r="L50">
        <v>1</v>
      </c>
      <c r="M50" s="9" t="s">
        <v>269</v>
      </c>
      <c r="N50">
        <v>1</v>
      </c>
      <c r="O50" t="s">
        <v>269</v>
      </c>
      <c r="P50" t="s">
        <v>311</v>
      </c>
      <c r="Q50" t="s">
        <v>269</v>
      </c>
      <c r="R50" t="s">
        <v>30</v>
      </c>
      <c r="S50" s="9" t="s">
        <v>269</v>
      </c>
      <c r="T50">
        <v>-1</v>
      </c>
      <c r="U50">
        <v>-1</v>
      </c>
      <c r="V50">
        <v>-1</v>
      </c>
      <c r="W50">
        <v>1</v>
      </c>
      <c r="X50">
        <v>-1</v>
      </c>
      <c r="AA50" s="9" t="s">
        <v>269</v>
      </c>
      <c r="AB50">
        <v>6</v>
      </c>
    </row>
    <row r="51" spans="1:28">
      <c r="A51" s="9" t="s">
        <v>270</v>
      </c>
      <c r="B51" s="9" t="s">
        <v>349</v>
      </c>
      <c r="E51" s="9" t="s">
        <v>270</v>
      </c>
      <c r="F51">
        <v>0</v>
      </c>
      <c r="G51" s="9" t="s">
        <v>270</v>
      </c>
      <c r="H51">
        <v>1</v>
      </c>
      <c r="I51" s="9" t="s">
        <v>270</v>
      </c>
      <c r="J51">
        <v>0</v>
      </c>
      <c r="K51" s="9" t="s">
        <v>270</v>
      </c>
      <c r="L51">
        <v>1</v>
      </c>
      <c r="M51" s="9" t="s">
        <v>270</v>
      </c>
      <c r="N51">
        <v>1</v>
      </c>
      <c r="O51" t="s">
        <v>270</v>
      </c>
      <c r="P51" t="s">
        <v>312</v>
      </c>
      <c r="Q51" t="s">
        <v>270</v>
      </c>
      <c r="R51" t="s">
        <v>30</v>
      </c>
      <c r="S51" s="9" t="s">
        <v>270</v>
      </c>
      <c r="T51">
        <v>-1</v>
      </c>
      <c r="U51">
        <v>-1</v>
      </c>
      <c r="V51">
        <v>-1</v>
      </c>
      <c r="W51">
        <v>1</v>
      </c>
      <c r="X51">
        <v>-1</v>
      </c>
      <c r="AA51" s="9" t="s">
        <v>270</v>
      </c>
      <c r="AB51">
        <v>6</v>
      </c>
    </row>
    <row r="52" spans="1:28">
      <c r="A52" s="9" t="s">
        <v>271</v>
      </c>
      <c r="E52" s="9" t="s">
        <v>271</v>
      </c>
      <c r="F52">
        <v>0</v>
      </c>
      <c r="G52" s="9" t="s">
        <v>271</v>
      </c>
      <c r="H52">
        <v>1</v>
      </c>
      <c r="I52" s="9" t="s">
        <v>271</v>
      </c>
      <c r="J52">
        <v>0</v>
      </c>
      <c r="K52" s="9" t="s">
        <v>271</v>
      </c>
      <c r="L52">
        <v>1</v>
      </c>
      <c r="M52" s="9" t="s">
        <v>271</v>
      </c>
      <c r="N52">
        <v>1</v>
      </c>
      <c r="O52" t="s">
        <v>271</v>
      </c>
      <c r="P52" t="s">
        <v>313</v>
      </c>
      <c r="Q52" t="s">
        <v>271</v>
      </c>
      <c r="R52" t="s">
        <v>30</v>
      </c>
      <c r="S52" s="9" t="s">
        <v>271</v>
      </c>
      <c r="T52">
        <v>-1</v>
      </c>
      <c r="U52">
        <v>-1</v>
      </c>
      <c r="V52">
        <v>-1</v>
      </c>
      <c r="W52">
        <v>1</v>
      </c>
      <c r="X52">
        <v>-1</v>
      </c>
      <c r="AA52" s="9" t="s">
        <v>271</v>
      </c>
      <c r="AB52">
        <v>6</v>
      </c>
    </row>
    <row r="53" spans="1:28">
      <c r="A53" s="9" t="s">
        <v>272</v>
      </c>
      <c r="E53" s="9" t="s">
        <v>272</v>
      </c>
      <c r="F53">
        <v>0</v>
      </c>
      <c r="G53" s="9" t="s">
        <v>272</v>
      </c>
      <c r="H53">
        <v>1</v>
      </c>
      <c r="I53" s="9" t="s">
        <v>272</v>
      </c>
      <c r="J53">
        <v>0</v>
      </c>
      <c r="K53" s="9" t="s">
        <v>272</v>
      </c>
      <c r="L53">
        <v>1</v>
      </c>
      <c r="M53" s="9" t="s">
        <v>272</v>
      </c>
      <c r="N53">
        <v>1</v>
      </c>
      <c r="O53" t="s">
        <v>272</v>
      </c>
      <c r="P53" t="s">
        <v>314</v>
      </c>
      <c r="Q53" t="s">
        <v>272</v>
      </c>
      <c r="R53" t="s">
        <v>30</v>
      </c>
      <c r="S53" s="9" t="s">
        <v>272</v>
      </c>
      <c r="T53">
        <v>-1</v>
      </c>
      <c r="U53">
        <v>1</v>
      </c>
      <c r="V53">
        <v>1</v>
      </c>
      <c r="W53">
        <v>1</v>
      </c>
      <c r="X53">
        <v>-1</v>
      </c>
      <c r="AA53" s="9" t="s">
        <v>272</v>
      </c>
      <c r="AB53">
        <v>6</v>
      </c>
    </row>
    <row r="54" spans="1:28">
      <c r="A54" s="9" t="s">
        <v>273</v>
      </c>
      <c r="E54" s="9" t="s">
        <v>273</v>
      </c>
      <c r="F54">
        <v>0</v>
      </c>
      <c r="G54" s="9" t="s">
        <v>273</v>
      </c>
      <c r="H54">
        <v>1</v>
      </c>
      <c r="I54" s="9" t="s">
        <v>273</v>
      </c>
      <c r="J54">
        <v>0</v>
      </c>
      <c r="K54" s="9" t="s">
        <v>273</v>
      </c>
      <c r="L54">
        <v>1</v>
      </c>
      <c r="M54" s="9" t="s">
        <v>273</v>
      </c>
      <c r="N54">
        <v>1</v>
      </c>
      <c r="O54" t="s">
        <v>273</v>
      </c>
      <c r="P54" t="s">
        <v>315</v>
      </c>
      <c r="Q54" t="s">
        <v>273</v>
      </c>
      <c r="R54" t="s">
        <v>30</v>
      </c>
      <c r="S54" s="9" t="s">
        <v>273</v>
      </c>
      <c r="T54">
        <v>-1</v>
      </c>
      <c r="U54">
        <v>1</v>
      </c>
      <c r="V54">
        <v>1</v>
      </c>
      <c r="W54">
        <v>1</v>
      </c>
      <c r="X54">
        <v>-1</v>
      </c>
      <c r="AA54" s="9" t="s">
        <v>273</v>
      </c>
      <c r="AB54">
        <v>6</v>
      </c>
    </row>
    <row r="55" spans="1:28">
      <c r="A55" s="9" t="s">
        <v>274</v>
      </c>
      <c r="E55" s="9" t="s">
        <v>274</v>
      </c>
      <c r="F55">
        <v>0</v>
      </c>
      <c r="G55" s="9" t="s">
        <v>274</v>
      </c>
      <c r="H55">
        <v>1</v>
      </c>
      <c r="I55" s="9" t="s">
        <v>274</v>
      </c>
      <c r="J55">
        <v>0</v>
      </c>
      <c r="K55" s="9" t="s">
        <v>274</v>
      </c>
      <c r="L55">
        <v>1</v>
      </c>
      <c r="M55" s="9" t="s">
        <v>274</v>
      </c>
      <c r="N55">
        <v>1</v>
      </c>
      <c r="O55" t="s">
        <v>274</v>
      </c>
      <c r="P55" t="s">
        <v>316</v>
      </c>
      <c r="Q55" t="s">
        <v>274</v>
      </c>
      <c r="R55" t="s">
        <v>30</v>
      </c>
      <c r="S55" s="9" t="s">
        <v>274</v>
      </c>
      <c r="T55">
        <v>-1</v>
      </c>
      <c r="U55">
        <v>1</v>
      </c>
      <c r="V55">
        <v>1</v>
      </c>
      <c r="W55">
        <v>1</v>
      </c>
      <c r="X55">
        <v>-1</v>
      </c>
      <c r="AA55" s="9" t="s">
        <v>274</v>
      </c>
      <c r="AB55">
        <v>6</v>
      </c>
    </row>
    <row r="56" spans="1:28">
      <c r="A56" s="9" t="s">
        <v>275</v>
      </c>
      <c r="E56" s="9" t="s">
        <v>275</v>
      </c>
      <c r="F56">
        <v>0</v>
      </c>
      <c r="G56" s="9" t="s">
        <v>275</v>
      </c>
      <c r="H56">
        <v>1</v>
      </c>
      <c r="I56" s="9" t="s">
        <v>275</v>
      </c>
      <c r="J56">
        <v>0</v>
      </c>
      <c r="K56" s="9" t="s">
        <v>275</v>
      </c>
      <c r="L56">
        <v>1</v>
      </c>
      <c r="M56" s="9" t="s">
        <v>275</v>
      </c>
      <c r="N56">
        <v>1</v>
      </c>
      <c r="O56" t="s">
        <v>275</v>
      </c>
      <c r="P56" t="s">
        <v>317</v>
      </c>
      <c r="Q56" t="s">
        <v>275</v>
      </c>
      <c r="R56" t="s">
        <v>30</v>
      </c>
      <c r="S56" s="9" t="s">
        <v>275</v>
      </c>
      <c r="T56">
        <v>-1</v>
      </c>
      <c r="U56">
        <v>-1</v>
      </c>
      <c r="V56">
        <v>-1</v>
      </c>
      <c r="W56">
        <v>1</v>
      </c>
      <c r="X56">
        <v>-1</v>
      </c>
      <c r="AA56" s="9" t="s">
        <v>275</v>
      </c>
      <c r="AB56">
        <v>6</v>
      </c>
    </row>
    <row r="57" spans="1:28">
      <c r="A57" s="9" t="s">
        <v>276</v>
      </c>
      <c r="E57" s="9" t="s">
        <v>276</v>
      </c>
      <c r="F57">
        <v>0</v>
      </c>
      <c r="G57" s="9" t="s">
        <v>276</v>
      </c>
      <c r="H57">
        <v>1</v>
      </c>
      <c r="I57" s="9" t="s">
        <v>276</v>
      </c>
      <c r="J57">
        <v>0</v>
      </c>
      <c r="K57" s="9" t="s">
        <v>276</v>
      </c>
      <c r="L57">
        <v>1</v>
      </c>
      <c r="M57" s="9" t="s">
        <v>276</v>
      </c>
      <c r="N57">
        <v>1</v>
      </c>
      <c r="O57" t="s">
        <v>276</v>
      </c>
      <c r="P57" t="s">
        <v>318</v>
      </c>
      <c r="Q57" t="s">
        <v>276</v>
      </c>
      <c r="R57" t="s">
        <v>30</v>
      </c>
      <c r="S57" s="9" t="s">
        <v>276</v>
      </c>
      <c r="T57">
        <v>-1</v>
      </c>
      <c r="U57">
        <v>1</v>
      </c>
      <c r="V57">
        <v>1</v>
      </c>
      <c r="W57">
        <v>1</v>
      </c>
      <c r="X57">
        <v>-1</v>
      </c>
      <c r="AA57" s="9" t="s">
        <v>276</v>
      </c>
      <c r="AB57">
        <v>6</v>
      </c>
    </row>
    <row r="58" spans="1:28">
      <c r="A58" s="9" t="s">
        <v>277</v>
      </c>
      <c r="E58" s="9" t="s">
        <v>277</v>
      </c>
      <c r="F58">
        <v>0</v>
      </c>
      <c r="G58" s="9" t="s">
        <v>277</v>
      </c>
      <c r="H58">
        <v>1</v>
      </c>
      <c r="I58" s="9" t="s">
        <v>277</v>
      </c>
      <c r="J58">
        <v>0</v>
      </c>
      <c r="K58" s="9" t="s">
        <v>277</v>
      </c>
      <c r="L58">
        <v>1</v>
      </c>
      <c r="M58" s="9" t="s">
        <v>277</v>
      </c>
      <c r="N58">
        <v>1</v>
      </c>
      <c r="O58" t="s">
        <v>277</v>
      </c>
      <c r="P58" t="s">
        <v>319</v>
      </c>
      <c r="Q58" t="s">
        <v>277</v>
      </c>
      <c r="R58" t="s">
        <v>30</v>
      </c>
      <c r="S58" s="9" t="s">
        <v>277</v>
      </c>
      <c r="T58">
        <v>-1</v>
      </c>
      <c r="U58">
        <v>-1</v>
      </c>
      <c r="V58">
        <v>-1</v>
      </c>
      <c r="W58">
        <v>1</v>
      </c>
      <c r="X58">
        <v>-1</v>
      </c>
      <c r="AA58" s="9" t="s">
        <v>277</v>
      </c>
      <c r="AB58">
        <v>6</v>
      </c>
    </row>
    <row r="59" spans="1:28">
      <c r="A59" s="9" t="s">
        <v>278</v>
      </c>
      <c r="E59" s="9" t="s">
        <v>278</v>
      </c>
      <c r="F59">
        <v>0</v>
      </c>
      <c r="G59" s="9" t="s">
        <v>278</v>
      </c>
      <c r="H59">
        <v>1</v>
      </c>
      <c r="I59" s="9" t="s">
        <v>278</v>
      </c>
      <c r="J59">
        <v>0</v>
      </c>
      <c r="K59" s="9" t="s">
        <v>278</v>
      </c>
      <c r="L59">
        <v>1</v>
      </c>
      <c r="M59" s="9" t="s">
        <v>278</v>
      </c>
      <c r="N59">
        <v>1</v>
      </c>
      <c r="O59" t="s">
        <v>278</v>
      </c>
      <c r="P59" t="s">
        <v>320</v>
      </c>
      <c r="Q59" t="s">
        <v>278</v>
      </c>
      <c r="R59" t="s">
        <v>30</v>
      </c>
      <c r="S59" s="9" t="s">
        <v>278</v>
      </c>
      <c r="T59">
        <v>-1</v>
      </c>
      <c r="U59">
        <v>-1</v>
      </c>
      <c r="V59">
        <v>-1</v>
      </c>
      <c r="W59">
        <v>1</v>
      </c>
      <c r="X59">
        <v>-1</v>
      </c>
      <c r="AA59" s="9" t="s">
        <v>278</v>
      </c>
      <c r="AB59">
        <v>6</v>
      </c>
    </row>
    <row r="60" spans="1:28">
      <c r="A60" s="9" t="s">
        <v>279</v>
      </c>
      <c r="E60" s="9" t="s">
        <v>279</v>
      </c>
      <c r="F60">
        <v>0</v>
      </c>
      <c r="G60" s="9" t="s">
        <v>279</v>
      </c>
      <c r="H60">
        <v>1</v>
      </c>
      <c r="I60" s="9" t="s">
        <v>279</v>
      </c>
      <c r="J60">
        <v>0</v>
      </c>
      <c r="K60" s="9" t="s">
        <v>279</v>
      </c>
      <c r="L60">
        <v>1</v>
      </c>
      <c r="M60" s="9" t="s">
        <v>279</v>
      </c>
      <c r="N60">
        <v>1</v>
      </c>
      <c r="O60" t="s">
        <v>279</v>
      </c>
      <c r="P60" t="s">
        <v>321</v>
      </c>
      <c r="Q60" t="s">
        <v>279</v>
      </c>
      <c r="R60" t="s">
        <v>30</v>
      </c>
      <c r="S60" s="9" t="s">
        <v>279</v>
      </c>
      <c r="T60">
        <v>-1</v>
      </c>
      <c r="U60">
        <v>-1</v>
      </c>
      <c r="V60">
        <v>-1</v>
      </c>
      <c r="W60">
        <v>1</v>
      </c>
      <c r="X60">
        <v>-1</v>
      </c>
      <c r="AA60" s="9" t="s">
        <v>279</v>
      </c>
      <c r="AB60">
        <v>6</v>
      </c>
    </row>
    <row r="61" spans="1:28">
      <c r="A61" s="9" t="s">
        <v>280</v>
      </c>
      <c r="E61" s="9" t="s">
        <v>280</v>
      </c>
      <c r="F61">
        <v>0</v>
      </c>
      <c r="G61" s="9" t="s">
        <v>280</v>
      </c>
      <c r="H61">
        <v>1</v>
      </c>
      <c r="I61" s="9" t="s">
        <v>280</v>
      </c>
      <c r="J61">
        <v>0</v>
      </c>
      <c r="K61" s="9" t="s">
        <v>280</v>
      </c>
      <c r="L61">
        <v>1</v>
      </c>
      <c r="M61" s="9" t="s">
        <v>280</v>
      </c>
      <c r="N61">
        <v>1</v>
      </c>
      <c r="O61" t="s">
        <v>280</v>
      </c>
      <c r="P61" t="s">
        <v>322</v>
      </c>
      <c r="Q61" t="s">
        <v>280</v>
      </c>
      <c r="R61" t="s">
        <v>30</v>
      </c>
      <c r="S61" s="9" t="s">
        <v>280</v>
      </c>
      <c r="T61">
        <v>-1</v>
      </c>
      <c r="U61">
        <v>1</v>
      </c>
      <c r="V61">
        <v>1</v>
      </c>
      <c r="W61">
        <v>1</v>
      </c>
      <c r="X61">
        <v>-1</v>
      </c>
      <c r="AA61" s="9" t="s">
        <v>280</v>
      </c>
      <c r="AB61">
        <v>6</v>
      </c>
    </row>
    <row r="62" spans="1:28">
      <c r="A62" s="9" t="s">
        <v>281</v>
      </c>
      <c r="E62" s="9" t="s">
        <v>281</v>
      </c>
      <c r="F62">
        <v>0</v>
      </c>
      <c r="G62" s="9" t="s">
        <v>281</v>
      </c>
      <c r="H62">
        <v>1</v>
      </c>
      <c r="I62" s="9" t="s">
        <v>281</v>
      </c>
      <c r="J62">
        <v>0</v>
      </c>
      <c r="K62" s="9" t="s">
        <v>281</v>
      </c>
      <c r="L62">
        <v>1</v>
      </c>
      <c r="M62" s="9" t="s">
        <v>281</v>
      </c>
      <c r="N62">
        <v>1</v>
      </c>
      <c r="O62" t="s">
        <v>281</v>
      </c>
      <c r="P62" t="s">
        <v>323</v>
      </c>
      <c r="Q62" t="s">
        <v>281</v>
      </c>
      <c r="R62" t="s">
        <v>30</v>
      </c>
      <c r="S62" s="9" t="s">
        <v>281</v>
      </c>
      <c r="T62">
        <v>-1</v>
      </c>
      <c r="U62">
        <v>1</v>
      </c>
      <c r="V62">
        <v>1</v>
      </c>
      <c r="W62">
        <v>1</v>
      </c>
      <c r="X62">
        <v>-1</v>
      </c>
      <c r="AA62" s="9" t="s">
        <v>281</v>
      </c>
      <c r="AB62">
        <v>6</v>
      </c>
    </row>
    <row r="63" spans="1:28">
      <c r="A63" s="9" t="s">
        <v>282</v>
      </c>
      <c r="E63" s="9" t="s">
        <v>282</v>
      </c>
      <c r="F63">
        <v>0</v>
      </c>
      <c r="G63" s="9" t="s">
        <v>282</v>
      </c>
      <c r="H63">
        <v>1</v>
      </c>
      <c r="I63" s="9" t="s">
        <v>282</v>
      </c>
      <c r="J63">
        <v>0</v>
      </c>
      <c r="K63" s="9" t="s">
        <v>282</v>
      </c>
      <c r="L63">
        <v>1</v>
      </c>
      <c r="M63" s="9" t="s">
        <v>282</v>
      </c>
      <c r="N63">
        <v>1</v>
      </c>
      <c r="O63" t="s">
        <v>282</v>
      </c>
      <c r="P63" t="s">
        <v>324</v>
      </c>
      <c r="Q63" t="s">
        <v>282</v>
      </c>
      <c r="R63" t="s">
        <v>30</v>
      </c>
      <c r="S63" s="9" t="s">
        <v>282</v>
      </c>
      <c r="T63">
        <v>-1</v>
      </c>
      <c r="U63">
        <v>1</v>
      </c>
      <c r="V63">
        <v>1</v>
      </c>
      <c r="W63">
        <v>1</v>
      </c>
      <c r="X63">
        <v>-1</v>
      </c>
      <c r="AA63" s="9" t="s">
        <v>282</v>
      </c>
      <c r="AB63">
        <v>6</v>
      </c>
    </row>
    <row r="64" spans="1:28">
      <c r="A64" s="9" t="s">
        <v>283</v>
      </c>
      <c r="E64" s="9" t="s">
        <v>283</v>
      </c>
      <c r="F64">
        <v>0</v>
      </c>
      <c r="G64" s="9" t="s">
        <v>283</v>
      </c>
      <c r="H64">
        <v>1</v>
      </c>
      <c r="I64" s="9" t="s">
        <v>283</v>
      </c>
      <c r="J64">
        <v>0</v>
      </c>
      <c r="K64" s="9" t="s">
        <v>283</v>
      </c>
      <c r="L64">
        <v>1</v>
      </c>
      <c r="M64" s="9" t="s">
        <v>283</v>
      </c>
      <c r="N64">
        <v>1</v>
      </c>
      <c r="O64" t="s">
        <v>283</v>
      </c>
      <c r="P64" t="s">
        <v>231</v>
      </c>
      <c r="Q64" t="s">
        <v>283</v>
      </c>
      <c r="R64" t="s">
        <v>30</v>
      </c>
      <c r="S64" s="9" t="s">
        <v>283</v>
      </c>
      <c r="T64">
        <v>-1</v>
      </c>
      <c r="U64">
        <v>-1</v>
      </c>
      <c r="V64">
        <v>-1</v>
      </c>
      <c r="W64">
        <v>1</v>
      </c>
      <c r="X64">
        <v>-1</v>
      </c>
      <c r="AA64" s="9" t="s">
        <v>283</v>
      </c>
      <c r="AB64">
        <v>6.5</v>
      </c>
    </row>
    <row r="65" spans="1:28">
      <c r="A65" s="9" t="s">
        <v>284</v>
      </c>
      <c r="E65" s="9" t="s">
        <v>284</v>
      </c>
      <c r="F65">
        <v>0</v>
      </c>
      <c r="G65" s="9" t="s">
        <v>284</v>
      </c>
      <c r="H65">
        <v>1</v>
      </c>
      <c r="I65" s="9" t="s">
        <v>284</v>
      </c>
      <c r="J65">
        <v>0</v>
      </c>
      <c r="K65" s="9" t="s">
        <v>284</v>
      </c>
      <c r="L65">
        <v>1</v>
      </c>
      <c r="M65" s="9" t="s">
        <v>284</v>
      </c>
      <c r="N65">
        <v>1</v>
      </c>
      <c r="O65" t="s">
        <v>284</v>
      </c>
      <c r="P65" t="s">
        <v>306</v>
      </c>
      <c r="Q65" t="s">
        <v>284</v>
      </c>
      <c r="R65" t="s">
        <v>30</v>
      </c>
      <c r="S65" s="9" t="s">
        <v>284</v>
      </c>
      <c r="T65">
        <v>-1</v>
      </c>
      <c r="U65">
        <v>-1</v>
      </c>
      <c r="V65">
        <v>-1</v>
      </c>
      <c r="W65">
        <v>1</v>
      </c>
      <c r="X65">
        <v>-1</v>
      </c>
      <c r="AA65" s="9" t="s">
        <v>284</v>
      </c>
      <c r="AB65">
        <v>6.5</v>
      </c>
    </row>
    <row r="66" spans="1:28">
      <c r="A66" s="9" t="s">
        <v>285</v>
      </c>
      <c r="E66" s="9" t="s">
        <v>285</v>
      </c>
      <c r="F66">
        <v>0</v>
      </c>
      <c r="G66" s="9" t="s">
        <v>285</v>
      </c>
      <c r="H66">
        <v>1</v>
      </c>
      <c r="I66" s="9" t="s">
        <v>285</v>
      </c>
      <c r="J66">
        <v>0</v>
      </c>
      <c r="K66" s="9" t="s">
        <v>285</v>
      </c>
      <c r="L66">
        <v>1</v>
      </c>
      <c r="M66" s="9" t="s">
        <v>285</v>
      </c>
      <c r="N66">
        <v>1</v>
      </c>
      <c r="O66" t="s">
        <v>285</v>
      </c>
      <c r="P66" t="s">
        <v>307</v>
      </c>
      <c r="Q66" t="s">
        <v>285</v>
      </c>
      <c r="R66" t="s">
        <v>30</v>
      </c>
      <c r="S66" s="9" t="s">
        <v>285</v>
      </c>
      <c r="T66">
        <v>-1</v>
      </c>
      <c r="U66">
        <v>-1</v>
      </c>
      <c r="V66">
        <v>-1</v>
      </c>
      <c r="W66">
        <v>1</v>
      </c>
      <c r="X66">
        <v>-1</v>
      </c>
      <c r="AA66" s="9" t="s">
        <v>285</v>
      </c>
      <c r="AB66">
        <v>6.5</v>
      </c>
    </row>
    <row r="67" spans="1:28">
      <c r="A67" s="9" t="s">
        <v>286</v>
      </c>
      <c r="E67" s="9" t="s">
        <v>286</v>
      </c>
      <c r="F67">
        <v>0</v>
      </c>
      <c r="G67" s="9" t="s">
        <v>286</v>
      </c>
      <c r="H67">
        <v>1</v>
      </c>
      <c r="I67" s="9" t="s">
        <v>286</v>
      </c>
      <c r="J67">
        <v>0</v>
      </c>
      <c r="K67" s="9" t="s">
        <v>286</v>
      </c>
      <c r="L67">
        <v>1</v>
      </c>
      <c r="M67" s="9" t="s">
        <v>286</v>
      </c>
      <c r="N67">
        <v>1</v>
      </c>
      <c r="O67" t="s">
        <v>286</v>
      </c>
      <c r="P67" t="s">
        <v>308</v>
      </c>
      <c r="Q67" t="s">
        <v>286</v>
      </c>
      <c r="R67" t="s">
        <v>30</v>
      </c>
      <c r="S67" s="9" t="s">
        <v>286</v>
      </c>
      <c r="T67">
        <v>-1</v>
      </c>
      <c r="U67">
        <v>-1</v>
      </c>
      <c r="V67">
        <v>-1</v>
      </c>
      <c r="W67">
        <v>1</v>
      </c>
      <c r="X67">
        <v>-1</v>
      </c>
      <c r="AA67" s="9" t="s">
        <v>286</v>
      </c>
      <c r="AB67">
        <v>6.5</v>
      </c>
    </row>
    <row r="68" spans="1:28">
      <c r="A68" s="9" t="s">
        <v>287</v>
      </c>
      <c r="E68" s="9" t="s">
        <v>287</v>
      </c>
      <c r="F68">
        <v>0</v>
      </c>
      <c r="G68" s="9" t="s">
        <v>287</v>
      </c>
      <c r="H68">
        <v>1</v>
      </c>
      <c r="I68" s="9" t="s">
        <v>287</v>
      </c>
      <c r="J68">
        <v>0</v>
      </c>
      <c r="K68" s="9" t="s">
        <v>287</v>
      </c>
      <c r="L68">
        <v>1</v>
      </c>
      <c r="M68" s="9" t="s">
        <v>287</v>
      </c>
      <c r="N68">
        <v>1</v>
      </c>
      <c r="O68" t="s">
        <v>287</v>
      </c>
      <c r="P68" t="s">
        <v>311</v>
      </c>
      <c r="Q68" t="s">
        <v>287</v>
      </c>
      <c r="R68" t="s">
        <v>30</v>
      </c>
      <c r="S68" s="9" t="s">
        <v>287</v>
      </c>
      <c r="T68">
        <v>-1</v>
      </c>
      <c r="U68">
        <v>-1</v>
      </c>
      <c r="V68">
        <v>-1</v>
      </c>
      <c r="W68">
        <v>1</v>
      </c>
      <c r="X68">
        <v>-1</v>
      </c>
      <c r="AA68" s="9" t="s">
        <v>287</v>
      </c>
      <c r="AB68">
        <v>6.5</v>
      </c>
    </row>
    <row r="69" spans="1:28">
      <c r="A69" s="9" t="s">
        <v>288</v>
      </c>
      <c r="E69" s="9" t="s">
        <v>288</v>
      </c>
      <c r="F69">
        <v>0</v>
      </c>
      <c r="G69" s="9" t="s">
        <v>288</v>
      </c>
      <c r="H69">
        <v>1</v>
      </c>
      <c r="I69" s="9" t="s">
        <v>288</v>
      </c>
      <c r="J69">
        <v>0</v>
      </c>
      <c r="K69" s="9" t="s">
        <v>288</v>
      </c>
      <c r="L69">
        <v>1</v>
      </c>
      <c r="M69" s="9" t="s">
        <v>288</v>
      </c>
      <c r="N69">
        <v>1</v>
      </c>
      <c r="O69" t="s">
        <v>288</v>
      </c>
      <c r="P69" t="s">
        <v>312</v>
      </c>
      <c r="Q69" t="s">
        <v>288</v>
      </c>
      <c r="R69" t="s">
        <v>30</v>
      </c>
      <c r="S69" s="9" t="s">
        <v>288</v>
      </c>
      <c r="T69">
        <v>-1</v>
      </c>
      <c r="U69">
        <v>-1</v>
      </c>
      <c r="V69">
        <v>-1</v>
      </c>
      <c r="W69">
        <v>1</v>
      </c>
      <c r="X69">
        <v>-1</v>
      </c>
      <c r="AA69" s="9" t="s">
        <v>288</v>
      </c>
      <c r="AB69">
        <v>6.5</v>
      </c>
    </row>
    <row r="70" spans="1:28">
      <c r="A70" s="9" t="s">
        <v>289</v>
      </c>
      <c r="E70" s="9" t="s">
        <v>289</v>
      </c>
      <c r="F70">
        <v>0</v>
      </c>
      <c r="G70" s="9" t="s">
        <v>289</v>
      </c>
      <c r="H70">
        <v>1</v>
      </c>
      <c r="I70" s="9" t="s">
        <v>289</v>
      </c>
      <c r="J70">
        <v>0</v>
      </c>
      <c r="K70" s="9" t="s">
        <v>289</v>
      </c>
      <c r="L70">
        <v>1</v>
      </c>
      <c r="M70" s="9" t="s">
        <v>289</v>
      </c>
      <c r="N70">
        <v>1</v>
      </c>
      <c r="O70" t="s">
        <v>289</v>
      </c>
      <c r="P70" t="s">
        <v>313</v>
      </c>
      <c r="Q70" t="s">
        <v>289</v>
      </c>
      <c r="R70" t="s">
        <v>30</v>
      </c>
      <c r="S70" s="9" t="s">
        <v>289</v>
      </c>
      <c r="T70">
        <v>-1</v>
      </c>
      <c r="U70">
        <v>-1</v>
      </c>
      <c r="V70">
        <v>-1</v>
      </c>
      <c r="W70">
        <v>1</v>
      </c>
      <c r="X70">
        <v>-1</v>
      </c>
      <c r="AA70" s="9" t="s">
        <v>289</v>
      </c>
      <c r="AB70">
        <v>6.5</v>
      </c>
    </row>
    <row r="71" spans="1:28">
      <c r="A71" s="9" t="s">
        <v>290</v>
      </c>
      <c r="E71" s="9" t="s">
        <v>290</v>
      </c>
      <c r="F71">
        <v>0</v>
      </c>
      <c r="G71" s="9" t="s">
        <v>290</v>
      </c>
      <c r="H71">
        <v>1</v>
      </c>
      <c r="I71" s="9" t="s">
        <v>290</v>
      </c>
      <c r="J71">
        <v>0</v>
      </c>
      <c r="K71" s="9" t="s">
        <v>290</v>
      </c>
      <c r="L71">
        <v>1</v>
      </c>
      <c r="M71" s="9" t="s">
        <v>290</v>
      </c>
      <c r="N71">
        <v>1</v>
      </c>
      <c r="O71" t="s">
        <v>290</v>
      </c>
      <c r="P71" t="s">
        <v>314</v>
      </c>
      <c r="Q71" t="s">
        <v>290</v>
      </c>
      <c r="R71" t="s">
        <v>30</v>
      </c>
      <c r="S71" s="9" t="s">
        <v>290</v>
      </c>
      <c r="T71">
        <v>-1</v>
      </c>
      <c r="U71">
        <v>1</v>
      </c>
      <c r="V71">
        <v>1</v>
      </c>
      <c r="W71">
        <v>1</v>
      </c>
      <c r="X71">
        <v>-1</v>
      </c>
      <c r="AA71" s="9" t="s">
        <v>290</v>
      </c>
      <c r="AB71">
        <v>6.5</v>
      </c>
    </row>
    <row r="72" spans="1:28">
      <c r="A72" s="9" t="s">
        <v>291</v>
      </c>
      <c r="E72" s="9" t="s">
        <v>291</v>
      </c>
      <c r="F72">
        <v>0</v>
      </c>
      <c r="G72" s="9" t="s">
        <v>291</v>
      </c>
      <c r="H72">
        <v>1</v>
      </c>
      <c r="I72" s="9" t="s">
        <v>291</v>
      </c>
      <c r="J72">
        <v>0</v>
      </c>
      <c r="K72" s="9" t="s">
        <v>291</v>
      </c>
      <c r="L72">
        <v>1</v>
      </c>
      <c r="M72" s="9" t="s">
        <v>291</v>
      </c>
      <c r="N72">
        <v>1</v>
      </c>
      <c r="O72" t="s">
        <v>291</v>
      </c>
      <c r="P72" t="s">
        <v>315</v>
      </c>
      <c r="Q72" t="s">
        <v>291</v>
      </c>
      <c r="R72" t="s">
        <v>30</v>
      </c>
      <c r="S72" s="9" t="s">
        <v>291</v>
      </c>
      <c r="T72">
        <v>-1</v>
      </c>
      <c r="U72">
        <v>1</v>
      </c>
      <c r="V72">
        <v>1</v>
      </c>
      <c r="W72">
        <v>1</v>
      </c>
      <c r="X72">
        <v>-1</v>
      </c>
      <c r="AA72" s="9" t="s">
        <v>291</v>
      </c>
      <c r="AB72">
        <v>6.5</v>
      </c>
    </row>
    <row r="73" spans="1:28">
      <c r="A73" s="9" t="s">
        <v>292</v>
      </c>
      <c r="E73" s="9" t="s">
        <v>292</v>
      </c>
      <c r="F73">
        <v>0</v>
      </c>
      <c r="G73" s="9" t="s">
        <v>292</v>
      </c>
      <c r="H73">
        <v>1</v>
      </c>
      <c r="I73" s="9" t="s">
        <v>292</v>
      </c>
      <c r="J73">
        <v>0</v>
      </c>
      <c r="K73" s="9" t="s">
        <v>292</v>
      </c>
      <c r="L73">
        <v>1</v>
      </c>
      <c r="M73" s="9" t="s">
        <v>292</v>
      </c>
      <c r="N73">
        <v>1</v>
      </c>
      <c r="O73" t="s">
        <v>292</v>
      </c>
      <c r="P73" t="s">
        <v>316</v>
      </c>
      <c r="Q73" t="s">
        <v>292</v>
      </c>
      <c r="R73" t="s">
        <v>30</v>
      </c>
      <c r="S73" s="9" t="s">
        <v>292</v>
      </c>
      <c r="T73">
        <v>-1</v>
      </c>
      <c r="U73">
        <v>1</v>
      </c>
      <c r="V73">
        <v>1</v>
      </c>
      <c r="W73">
        <v>1</v>
      </c>
      <c r="X73">
        <v>-1</v>
      </c>
      <c r="AA73" s="9" t="s">
        <v>292</v>
      </c>
      <c r="AB73">
        <v>6.5</v>
      </c>
    </row>
    <row r="74" spans="1:28">
      <c r="A74" s="9" t="s">
        <v>293</v>
      </c>
      <c r="E74" s="9" t="s">
        <v>293</v>
      </c>
      <c r="F74">
        <v>0</v>
      </c>
      <c r="G74" s="9" t="s">
        <v>293</v>
      </c>
      <c r="H74">
        <v>1</v>
      </c>
      <c r="I74" s="9" t="s">
        <v>293</v>
      </c>
      <c r="J74">
        <v>0</v>
      </c>
      <c r="K74" s="9" t="s">
        <v>293</v>
      </c>
      <c r="L74">
        <v>1</v>
      </c>
      <c r="M74" s="9" t="s">
        <v>293</v>
      </c>
      <c r="N74">
        <v>1</v>
      </c>
      <c r="O74" t="s">
        <v>293</v>
      </c>
      <c r="P74" t="s">
        <v>317</v>
      </c>
      <c r="Q74" t="s">
        <v>293</v>
      </c>
      <c r="R74" t="s">
        <v>30</v>
      </c>
      <c r="S74" s="9" t="s">
        <v>293</v>
      </c>
      <c r="T74">
        <v>-1</v>
      </c>
      <c r="U74">
        <v>-1</v>
      </c>
      <c r="V74">
        <v>-1</v>
      </c>
      <c r="W74">
        <v>1</v>
      </c>
      <c r="X74">
        <v>-1</v>
      </c>
      <c r="AA74" s="9" t="s">
        <v>293</v>
      </c>
      <c r="AB74">
        <v>6.5</v>
      </c>
    </row>
    <row r="75" spans="1:28">
      <c r="A75" s="9" t="s">
        <v>294</v>
      </c>
      <c r="E75" s="9" t="s">
        <v>294</v>
      </c>
      <c r="F75">
        <v>0</v>
      </c>
      <c r="G75" s="9" t="s">
        <v>294</v>
      </c>
      <c r="H75">
        <v>1</v>
      </c>
      <c r="I75" s="9" t="s">
        <v>294</v>
      </c>
      <c r="J75">
        <v>0</v>
      </c>
      <c r="K75" s="9" t="s">
        <v>294</v>
      </c>
      <c r="L75">
        <v>1</v>
      </c>
      <c r="M75" s="9" t="s">
        <v>294</v>
      </c>
      <c r="N75">
        <v>1</v>
      </c>
      <c r="O75" t="s">
        <v>294</v>
      </c>
      <c r="P75" t="s">
        <v>318</v>
      </c>
      <c r="Q75" t="s">
        <v>294</v>
      </c>
      <c r="R75" t="s">
        <v>30</v>
      </c>
      <c r="S75" s="9" t="s">
        <v>294</v>
      </c>
      <c r="T75">
        <v>-1</v>
      </c>
      <c r="U75">
        <v>1</v>
      </c>
      <c r="V75">
        <v>1</v>
      </c>
      <c r="W75">
        <v>1</v>
      </c>
      <c r="X75">
        <v>-1</v>
      </c>
      <c r="AA75" s="9" t="s">
        <v>294</v>
      </c>
      <c r="AB75">
        <v>6.5</v>
      </c>
    </row>
    <row r="76" spans="1:28">
      <c r="A76" s="9" t="s">
        <v>295</v>
      </c>
      <c r="E76" s="9" t="s">
        <v>295</v>
      </c>
      <c r="F76">
        <v>0</v>
      </c>
      <c r="G76" s="9" t="s">
        <v>295</v>
      </c>
      <c r="H76">
        <v>1</v>
      </c>
      <c r="I76" s="9" t="s">
        <v>295</v>
      </c>
      <c r="J76">
        <v>0</v>
      </c>
      <c r="K76" s="9" t="s">
        <v>295</v>
      </c>
      <c r="L76">
        <v>1</v>
      </c>
      <c r="M76" s="9" t="s">
        <v>295</v>
      </c>
      <c r="N76">
        <v>1</v>
      </c>
      <c r="O76" t="s">
        <v>295</v>
      </c>
      <c r="P76" t="s">
        <v>319</v>
      </c>
      <c r="Q76" t="s">
        <v>295</v>
      </c>
      <c r="R76" t="s">
        <v>30</v>
      </c>
      <c r="S76" s="9" t="s">
        <v>295</v>
      </c>
      <c r="T76">
        <v>-1</v>
      </c>
      <c r="U76">
        <v>-1</v>
      </c>
      <c r="V76">
        <v>-1</v>
      </c>
      <c r="W76">
        <v>1</v>
      </c>
      <c r="X76">
        <v>-1</v>
      </c>
      <c r="AA76" s="9" t="s">
        <v>295</v>
      </c>
      <c r="AB76">
        <v>6.5</v>
      </c>
    </row>
    <row r="77" spans="1:28">
      <c r="A77" s="9" t="s">
        <v>296</v>
      </c>
      <c r="E77" s="9" t="s">
        <v>296</v>
      </c>
      <c r="F77">
        <v>0</v>
      </c>
      <c r="G77" s="9" t="s">
        <v>296</v>
      </c>
      <c r="H77">
        <v>1</v>
      </c>
      <c r="I77" s="9" t="s">
        <v>296</v>
      </c>
      <c r="J77">
        <v>0</v>
      </c>
      <c r="K77" s="9" t="s">
        <v>296</v>
      </c>
      <c r="L77">
        <v>1</v>
      </c>
      <c r="M77" s="9" t="s">
        <v>296</v>
      </c>
      <c r="N77">
        <v>1</v>
      </c>
      <c r="O77" t="s">
        <v>296</v>
      </c>
      <c r="P77" t="s">
        <v>320</v>
      </c>
      <c r="Q77" t="s">
        <v>296</v>
      </c>
      <c r="R77" t="s">
        <v>30</v>
      </c>
      <c r="S77" s="9" t="s">
        <v>296</v>
      </c>
      <c r="T77">
        <v>-1</v>
      </c>
      <c r="U77">
        <v>-1</v>
      </c>
      <c r="V77">
        <v>-1</v>
      </c>
      <c r="W77">
        <v>1</v>
      </c>
      <c r="X77">
        <v>-1</v>
      </c>
      <c r="AA77" s="9" t="s">
        <v>296</v>
      </c>
      <c r="AB77">
        <v>6.5</v>
      </c>
    </row>
    <row r="78" spans="1:28">
      <c r="A78" s="9" t="s">
        <v>297</v>
      </c>
      <c r="E78" s="9" t="s">
        <v>297</v>
      </c>
      <c r="F78">
        <v>0</v>
      </c>
      <c r="G78" s="9" t="s">
        <v>297</v>
      </c>
      <c r="H78">
        <v>1</v>
      </c>
      <c r="I78" s="9" t="s">
        <v>297</v>
      </c>
      <c r="J78">
        <v>0</v>
      </c>
      <c r="K78" s="9" t="s">
        <v>297</v>
      </c>
      <c r="L78">
        <v>1</v>
      </c>
      <c r="M78" s="9" t="s">
        <v>297</v>
      </c>
      <c r="N78">
        <v>1</v>
      </c>
      <c r="O78" t="s">
        <v>297</v>
      </c>
      <c r="P78" t="s">
        <v>321</v>
      </c>
      <c r="Q78" t="s">
        <v>297</v>
      </c>
      <c r="R78" t="s">
        <v>30</v>
      </c>
      <c r="S78" s="9" t="s">
        <v>297</v>
      </c>
      <c r="T78">
        <v>-1</v>
      </c>
      <c r="U78">
        <v>-1</v>
      </c>
      <c r="V78">
        <v>-1</v>
      </c>
      <c r="W78">
        <v>1</v>
      </c>
      <c r="X78">
        <v>-1</v>
      </c>
      <c r="AA78" s="9" t="s">
        <v>297</v>
      </c>
      <c r="AB78">
        <v>6.5</v>
      </c>
    </row>
    <row r="79" spans="1:28">
      <c r="A79" s="9" t="s">
        <v>298</v>
      </c>
      <c r="E79" s="9" t="s">
        <v>298</v>
      </c>
      <c r="F79">
        <v>0</v>
      </c>
      <c r="G79" s="9" t="s">
        <v>298</v>
      </c>
      <c r="H79">
        <v>1</v>
      </c>
      <c r="I79" s="9" t="s">
        <v>298</v>
      </c>
      <c r="J79">
        <v>0</v>
      </c>
      <c r="K79" s="9" t="s">
        <v>298</v>
      </c>
      <c r="L79">
        <v>1</v>
      </c>
      <c r="M79" s="9" t="s">
        <v>298</v>
      </c>
      <c r="N79">
        <v>1</v>
      </c>
      <c r="O79" t="s">
        <v>298</v>
      </c>
      <c r="P79" t="s">
        <v>322</v>
      </c>
      <c r="Q79" t="s">
        <v>298</v>
      </c>
      <c r="R79" t="s">
        <v>30</v>
      </c>
      <c r="S79" s="9" t="s">
        <v>298</v>
      </c>
      <c r="T79">
        <v>-1</v>
      </c>
      <c r="U79">
        <v>1</v>
      </c>
      <c r="V79">
        <v>1</v>
      </c>
      <c r="W79">
        <v>1</v>
      </c>
      <c r="X79">
        <v>-1</v>
      </c>
      <c r="AA79" s="9" t="s">
        <v>298</v>
      </c>
      <c r="AB79">
        <v>6.5</v>
      </c>
    </row>
    <row r="80" spans="1:28">
      <c r="A80" s="9" t="s">
        <v>299</v>
      </c>
      <c r="E80" s="9" t="s">
        <v>299</v>
      </c>
      <c r="F80">
        <v>0</v>
      </c>
      <c r="G80" s="9" t="s">
        <v>299</v>
      </c>
      <c r="H80">
        <v>1</v>
      </c>
      <c r="I80" s="9" t="s">
        <v>299</v>
      </c>
      <c r="J80">
        <v>0</v>
      </c>
      <c r="K80" s="9" t="s">
        <v>299</v>
      </c>
      <c r="L80">
        <v>1</v>
      </c>
      <c r="M80" s="9" t="s">
        <v>299</v>
      </c>
      <c r="N80">
        <v>1</v>
      </c>
      <c r="O80" t="s">
        <v>299</v>
      </c>
      <c r="P80" t="s">
        <v>323</v>
      </c>
      <c r="Q80" t="s">
        <v>299</v>
      </c>
      <c r="R80" t="s">
        <v>30</v>
      </c>
      <c r="S80" s="9" t="s">
        <v>299</v>
      </c>
      <c r="T80">
        <v>-1</v>
      </c>
      <c r="U80">
        <v>1</v>
      </c>
      <c r="V80">
        <v>1</v>
      </c>
      <c r="W80">
        <v>1</v>
      </c>
      <c r="X80">
        <v>-1</v>
      </c>
      <c r="AA80" s="9" t="s">
        <v>299</v>
      </c>
      <c r="AB80">
        <v>6.5</v>
      </c>
    </row>
    <row r="81" spans="1:28">
      <c r="A81" s="9" t="s">
        <v>300</v>
      </c>
      <c r="E81" s="9" t="s">
        <v>300</v>
      </c>
      <c r="F81">
        <v>0</v>
      </c>
      <c r="G81" s="9" t="s">
        <v>300</v>
      </c>
      <c r="H81">
        <v>1</v>
      </c>
      <c r="I81" s="9" t="s">
        <v>300</v>
      </c>
      <c r="J81">
        <v>0</v>
      </c>
      <c r="K81" s="9" t="s">
        <v>300</v>
      </c>
      <c r="L81">
        <v>1</v>
      </c>
      <c r="M81" s="9" t="s">
        <v>300</v>
      </c>
      <c r="N81">
        <v>1</v>
      </c>
      <c r="O81" t="s">
        <v>300</v>
      </c>
      <c r="P81" t="s">
        <v>324</v>
      </c>
      <c r="Q81" t="s">
        <v>300</v>
      </c>
      <c r="R81" t="s">
        <v>30</v>
      </c>
      <c r="S81" s="9" t="s">
        <v>300</v>
      </c>
      <c r="T81">
        <v>-1</v>
      </c>
      <c r="U81">
        <v>1</v>
      </c>
      <c r="V81">
        <v>1</v>
      </c>
      <c r="W81">
        <v>1</v>
      </c>
      <c r="X81">
        <v>-1</v>
      </c>
      <c r="AA81" s="9" t="s">
        <v>300</v>
      </c>
      <c r="AB81">
        <v>6.5</v>
      </c>
    </row>
    <row r="82" spans="1:28">
      <c r="A82" s="9" t="s">
        <v>326</v>
      </c>
      <c r="E82" s="9" t="s">
        <v>326</v>
      </c>
      <c r="F82">
        <v>0</v>
      </c>
      <c r="G82" s="9" t="s">
        <v>326</v>
      </c>
      <c r="H82">
        <v>0</v>
      </c>
      <c r="I82" s="9" t="s">
        <v>326</v>
      </c>
      <c r="J82">
        <v>1</v>
      </c>
      <c r="K82" s="9" t="s">
        <v>326</v>
      </c>
      <c r="L82">
        <v>1</v>
      </c>
      <c r="M82" s="9" t="s">
        <v>326</v>
      </c>
      <c r="N82">
        <v>1</v>
      </c>
      <c r="O82" t="s">
        <v>326</v>
      </c>
      <c r="P82" t="s">
        <v>327</v>
      </c>
      <c r="Q82" t="s">
        <v>326</v>
      </c>
      <c r="R82" t="s">
        <v>30</v>
      </c>
      <c r="S82" s="9" t="s">
        <v>326</v>
      </c>
      <c r="T82">
        <v>-1</v>
      </c>
      <c r="U82">
        <v>-1</v>
      </c>
      <c r="V82">
        <v>-1</v>
      </c>
      <c r="W82">
        <v>1</v>
      </c>
      <c r="X82">
        <v>-1</v>
      </c>
      <c r="AA82" s="9" t="s">
        <v>326</v>
      </c>
      <c r="AB82">
        <v>9.9</v>
      </c>
    </row>
    <row r="83" spans="1:28">
      <c r="A83" s="9" t="s">
        <v>332</v>
      </c>
      <c r="E83" s="9" t="s">
        <v>332</v>
      </c>
      <c r="F83">
        <v>1</v>
      </c>
      <c r="G83" s="9" t="s">
        <v>332</v>
      </c>
      <c r="H83">
        <v>1</v>
      </c>
      <c r="I83" s="9" t="s">
        <v>332</v>
      </c>
      <c r="J83">
        <v>0</v>
      </c>
      <c r="K83" s="9" t="s">
        <v>332</v>
      </c>
      <c r="L83">
        <v>1</v>
      </c>
      <c r="M83" s="9" t="s">
        <v>332</v>
      </c>
      <c r="N83">
        <v>1</v>
      </c>
      <c r="O83" t="s">
        <v>332</v>
      </c>
      <c r="P83" t="s">
        <v>340</v>
      </c>
      <c r="Q83" t="s">
        <v>332</v>
      </c>
      <c r="R83" t="s">
        <v>30</v>
      </c>
      <c r="S83" s="9" t="s">
        <v>332</v>
      </c>
      <c r="T83">
        <v>-1</v>
      </c>
      <c r="U83">
        <v>-1</v>
      </c>
      <c r="V83">
        <v>-1</v>
      </c>
      <c r="W83">
        <v>1</v>
      </c>
      <c r="X83">
        <v>-1</v>
      </c>
      <c r="AA83" s="9" t="s">
        <v>332</v>
      </c>
      <c r="AB83">
        <v>12</v>
      </c>
    </row>
    <row r="84" spans="1:28">
      <c r="A84" s="9" t="s">
        <v>333</v>
      </c>
      <c r="E84" s="9" t="s">
        <v>333</v>
      </c>
      <c r="F84">
        <v>0</v>
      </c>
      <c r="G84" s="9" t="s">
        <v>333</v>
      </c>
      <c r="H84">
        <v>1</v>
      </c>
      <c r="I84" s="9" t="s">
        <v>333</v>
      </c>
      <c r="J84">
        <v>0</v>
      </c>
      <c r="K84" s="9" t="s">
        <v>333</v>
      </c>
      <c r="L84">
        <v>1</v>
      </c>
      <c r="M84" s="9" t="s">
        <v>333</v>
      </c>
      <c r="N84">
        <v>1</v>
      </c>
      <c r="O84" t="s">
        <v>333</v>
      </c>
      <c r="P84" t="s">
        <v>334</v>
      </c>
      <c r="Q84" t="s">
        <v>333</v>
      </c>
      <c r="R84" t="s">
        <v>30</v>
      </c>
      <c r="S84" s="9" t="s">
        <v>333</v>
      </c>
      <c r="T84">
        <v>-1</v>
      </c>
      <c r="U84">
        <v>-1</v>
      </c>
      <c r="V84">
        <v>-1</v>
      </c>
      <c r="W84">
        <v>1</v>
      </c>
      <c r="X84">
        <v>-1</v>
      </c>
      <c r="AA84" s="9" t="s">
        <v>333</v>
      </c>
      <c r="AB84">
        <v>7.000327102810413</v>
      </c>
    </row>
    <row r="85" spans="1:28">
      <c r="A85" s="9" t="s">
        <v>336</v>
      </c>
      <c r="E85" s="9" t="s">
        <v>336</v>
      </c>
      <c r="F85">
        <v>0</v>
      </c>
      <c r="G85" s="9" t="s">
        <v>336</v>
      </c>
      <c r="H85">
        <v>1</v>
      </c>
      <c r="I85" s="9" t="s">
        <v>336</v>
      </c>
      <c r="J85">
        <v>0</v>
      </c>
      <c r="K85" s="9" t="s">
        <v>336</v>
      </c>
      <c r="L85">
        <v>1</v>
      </c>
      <c r="M85" s="9" t="s">
        <v>336</v>
      </c>
      <c r="N85">
        <v>1</v>
      </c>
      <c r="O85" t="s">
        <v>336</v>
      </c>
      <c r="P85" t="s">
        <v>337</v>
      </c>
      <c r="Q85" t="s">
        <v>336</v>
      </c>
      <c r="R85" t="s">
        <v>30</v>
      </c>
      <c r="S85" s="9" t="s">
        <v>336</v>
      </c>
      <c r="T85">
        <v>-1</v>
      </c>
      <c r="U85">
        <v>-1</v>
      </c>
      <c r="V85">
        <v>-1</v>
      </c>
      <c r="W85">
        <v>1</v>
      </c>
      <c r="X85">
        <v>-1</v>
      </c>
      <c r="AA85" s="9" t="s">
        <v>336</v>
      </c>
      <c r="AB85">
        <v>12</v>
      </c>
    </row>
    <row r="86" spans="1:28">
      <c r="A86" s="9" t="s">
        <v>338</v>
      </c>
      <c r="E86" s="9" t="s">
        <v>338</v>
      </c>
      <c r="F86">
        <v>0</v>
      </c>
      <c r="G86" s="9" t="s">
        <v>338</v>
      </c>
      <c r="H86">
        <v>1</v>
      </c>
      <c r="I86" s="9" t="s">
        <v>338</v>
      </c>
      <c r="J86">
        <v>0</v>
      </c>
      <c r="K86" s="9" t="s">
        <v>338</v>
      </c>
      <c r="L86">
        <v>1</v>
      </c>
      <c r="M86" s="9" t="s">
        <v>338</v>
      </c>
      <c r="N86">
        <v>1</v>
      </c>
      <c r="O86" t="s">
        <v>338</v>
      </c>
      <c r="P86" t="s">
        <v>339</v>
      </c>
      <c r="Q86" t="s">
        <v>338</v>
      </c>
      <c r="R86" t="s">
        <v>30</v>
      </c>
      <c r="S86" s="9" t="s">
        <v>338</v>
      </c>
      <c r="T86">
        <v>-1</v>
      </c>
      <c r="U86">
        <v>-1</v>
      </c>
      <c r="V86">
        <v>-1</v>
      </c>
      <c r="W86">
        <v>1</v>
      </c>
      <c r="X86">
        <v>-1</v>
      </c>
      <c r="AA86" s="9" t="s">
        <v>338</v>
      </c>
      <c r="AB86">
        <v>12</v>
      </c>
    </row>
    <row r="87" spans="1:28">
      <c r="A87" s="9" t="s">
        <v>343</v>
      </c>
      <c r="E87" s="9" t="s">
        <v>343</v>
      </c>
      <c r="F87">
        <v>0</v>
      </c>
      <c r="G87" s="9" t="s">
        <v>343</v>
      </c>
      <c r="H87">
        <v>1</v>
      </c>
      <c r="I87" s="9" t="s">
        <v>343</v>
      </c>
      <c r="J87">
        <v>0</v>
      </c>
      <c r="K87" s="9" t="s">
        <v>343</v>
      </c>
      <c r="L87">
        <v>1</v>
      </c>
      <c r="M87" s="9" t="s">
        <v>343</v>
      </c>
      <c r="N87">
        <v>1</v>
      </c>
      <c r="O87" t="s">
        <v>343</v>
      </c>
      <c r="P87" t="s">
        <v>344</v>
      </c>
      <c r="Q87" t="s">
        <v>343</v>
      </c>
      <c r="R87" t="s">
        <v>30</v>
      </c>
      <c r="S87" s="9" t="s">
        <v>343</v>
      </c>
      <c r="T87">
        <v>-1</v>
      </c>
      <c r="U87">
        <v>-1</v>
      </c>
      <c r="V87">
        <v>-1</v>
      </c>
      <c r="W87">
        <v>1</v>
      </c>
      <c r="X87">
        <v>-1</v>
      </c>
      <c r="AA87" s="9" t="s">
        <v>343</v>
      </c>
      <c r="AB87">
        <v>12</v>
      </c>
    </row>
    <row r="88" spans="1:28">
      <c r="A88" s="9" t="s">
        <v>346</v>
      </c>
      <c r="E88" s="9" t="s">
        <v>346</v>
      </c>
      <c r="F88">
        <v>0</v>
      </c>
      <c r="G88" s="9" t="s">
        <v>346</v>
      </c>
      <c r="H88">
        <v>1</v>
      </c>
      <c r="I88" s="9" t="s">
        <v>346</v>
      </c>
      <c r="J88">
        <v>0</v>
      </c>
      <c r="K88" s="9" t="s">
        <v>346</v>
      </c>
      <c r="L88">
        <v>1</v>
      </c>
      <c r="M88" s="9" t="s">
        <v>346</v>
      </c>
      <c r="N88">
        <v>1</v>
      </c>
      <c r="O88" t="s">
        <v>346</v>
      </c>
      <c r="P88" t="s">
        <v>349</v>
      </c>
      <c r="Q88" t="s">
        <v>346</v>
      </c>
      <c r="R88" t="s">
        <v>30</v>
      </c>
      <c r="S88" s="9" t="s">
        <v>346</v>
      </c>
      <c r="T88">
        <v>-1</v>
      </c>
      <c r="U88">
        <v>-1</v>
      </c>
      <c r="V88">
        <v>-1</v>
      </c>
      <c r="W88">
        <v>1</v>
      </c>
      <c r="X88">
        <v>-1</v>
      </c>
      <c r="AA88" s="9" t="s">
        <v>346</v>
      </c>
      <c r="AB88">
        <v>7.000327102810413</v>
      </c>
    </row>
    <row r="89" spans="1:28">
      <c r="A89" s="9" t="s">
        <v>350</v>
      </c>
      <c r="E89" s="9" t="s">
        <v>350</v>
      </c>
      <c r="F89">
        <v>1</v>
      </c>
      <c r="G89" s="9" t="s">
        <v>350</v>
      </c>
      <c r="H89">
        <v>1</v>
      </c>
      <c r="I89" s="9" t="s">
        <v>350</v>
      </c>
      <c r="J89">
        <v>0</v>
      </c>
      <c r="K89" s="9" t="s">
        <v>350</v>
      </c>
      <c r="L89">
        <v>1</v>
      </c>
      <c r="M89" s="9" t="s">
        <v>350</v>
      </c>
      <c r="N89">
        <v>1</v>
      </c>
      <c r="O89" t="s">
        <v>350</v>
      </c>
      <c r="P89" t="s">
        <v>341</v>
      </c>
      <c r="Q89" t="s">
        <v>350</v>
      </c>
      <c r="R89" t="s">
        <v>30</v>
      </c>
      <c r="S89" s="9" t="s">
        <v>350</v>
      </c>
      <c r="T89">
        <v>-1</v>
      </c>
      <c r="U89">
        <v>-1</v>
      </c>
      <c r="V89">
        <v>-1</v>
      </c>
      <c r="W89">
        <v>1</v>
      </c>
      <c r="X89">
        <v>-1</v>
      </c>
      <c r="AA89" s="9" t="s">
        <v>350</v>
      </c>
      <c r="AB89">
        <v>12</v>
      </c>
    </row>
    <row r="90" spans="1:28">
      <c r="A90" s="9" t="s">
        <v>351</v>
      </c>
      <c r="E90" s="9" t="s">
        <v>351</v>
      </c>
      <c r="F90">
        <v>1</v>
      </c>
      <c r="G90" s="9" t="s">
        <v>351</v>
      </c>
      <c r="H90">
        <v>1</v>
      </c>
      <c r="I90" s="9" t="s">
        <v>351</v>
      </c>
      <c r="J90">
        <v>0</v>
      </c>
      <c r="K90" s="9" t="s">
        <v>351</v>
      </c>
      <c r="L90">
        <v>1</v>
      </c>
      <c r="M90" s="9" t="s">
        <v>351</v>
      </c>
      <c r="N90">
        <v>1</v>
      </c>
      <c r="O90" t="s">
        <v>351</v>
      </c>
      <c r="P90" t="s">
        <v>342</v>
      </c>
      <c r="Q90" t="s">
        <v>351</v>
      </c>
      <c r="R90" t="s">
        <v>30</v>
      </c>
      <c r="S90" s="9" t="s">
        <v>351</v>
      </c>
      <c r="T90">
        <v>-1</v>
      </c>
      <c r="U90">
        <v>-1</v>
      </c>
      <c r="V90">
        <v>-1</v>
      </c>
      <c r="W90">
        <v>1</v>
      </c>
      <c r="X90">
        <v>-1</v>
      </c>
      <c r="AA90" s="9" t="s">
        <v>351</v>
      </c>
      <c r="AB90">
        <v>12</v>
      </c>
    </row>
    <row r="91" spans="1:28">
      <c r="A91" s="9" t="s">
        <v>352</v>
      </c>
      <c r="E91" s="9" t="s">
        <v>352</v>
      </c>
      <c r="F91">
        <v>1</v>
      </c>
      <c r="G91" s="9" t="s">
        <v>352</v>
      </c>
      <c r="H91">
        <v>1</v>
      </c>
      <c r="I91" s="9" t="s">
        <v>352</v>
      </c>
      <c r="J91">
        <v>0</v>
      </c>
      <c r="K91" s="9" t="s">
        <v>352</v>
      </c>
      <c r="L91">
        <v>1</v>
      </c>
      <c r="M91" s="9" t="s">
        <v>352</v>
      </c>
      <c r="N91">
        <v>1</v>
      </c>
      <c r="O91" t="s">
        <v>352</v>
      </c>
      <c r="P91" t="s">
        <v>345</v>
      </c>
      <c r="Q91" t="s">
        <v>352</v>
      </c>
      <c r="R91" t="s">
        <v>30</v>
      </c>
      <c r="S91" s="9" t="s">
        <v>352</v>
      </c>
      <c r="T91">
        <v>-1</v>
      </c>
      <c r="U91">
        <v>-1</v>
      </c>
      <c r="V91">
        <v>-1</v>
      </c>
      <c r="W91">
        <v>1</v>
      </c>
      <c r="X91">
        <v>-1</v>
      </c>
      <c r="AA91" s="9" t="s">
        <v>352</v>
      </c>
      <c r="AB91">
        <v>7.000327102810413</v>
      </c>
    </row>
    <row r="92" spans="1:28">
      <c r="A92" s="9" t="s">
        <v>353</v>
      </c>
      <c r="E92" s="9" t="s">
        <v>353</v>
      </c>
      <c r="F92">
        <v>1</v>
      </c>
      <c r="G92" s="9" t="s">
        <v>353</v>
      </c>
      <c r="H92">
        <v>1</v>
      </c>
      <c r="I92" s="9" t="s">
        <v>353</v>
      </c>
      <c r="J92">
        <v>0</v>
      </c>
      <c r="K92" s="9" t="s">
        <v>353</v>
      </c>
      <c r="L92">
        <v>1</v>
      </c>
      <c r="M92" s="9" t="s">
        <v>353</v>
      </c>
      <c r="N92">
        <v>1</v>
      </c>
      <c r="O92" t="s">
        <v>353</v>
      </c>
      <c r="P92" t="s">
        <v>347</v>
      </c>
      <c r="Q92" t="s">
        <v>353</v>
      </c>
      <c r="R92" t="s">
        <v>30</v>
      </c>
      <c r="S92" s="9" t="s">
        <v>353</v>
      </c>
      <c r="T92">
        <v>-1</v>
      </c>
      <c r="U92">
        <v>-1</v>
      </c>
      <c r="V92">
        <v>-1</v>
      </c>
      <c r="W92">
        <v>1</v>
      </c>
      <c r="X92">
        <v>-1</v>
      </c>
      <c r="AA92" s="9" t="s">
        <v>353</v>
      </c>
      <c r="AB92">
        <v>7.000327102810413</v>
      </c>
    </row>
    <row r="93" spans="1:28">
      <c r="A93" s="9" t="s">
        <v>354</v>
      </c>
      <c r="E93" s="9" t="s">
        <v>354</v>
      </c>
      <c r="F93">
        <v>1</v>
      </c>
      <c r="G93" s="9" t="s">
        <v>354</v>
      </c>
      <c r="H93">
        <v>1</v>
      </c>
      <c r="I93" s="9" t="s">
        <v>354</v>
      </c>
      <c r="J93">
        <v>0</v>
      </c>
      <c r="K93" s="9" t="s">
        <v>354</v>
      </c>
      <c r="L93">
        <v>1</v>
      </c>
      <c r="M93" s="9" t="s">
        <v>354</v>
      </c>
      <c r="N93">
        <v>1</v>
      </c>
      <c r="O93" t="s">
        <v>354</v>
      </c>
      <c r="P93" t="s">
        <v>348</v>
      </c>
      <c r="Q93" t="s">
        <v>354</v>
      </c>
      <c r="R93" t="s">
        <v>30</v>
      </c>
      <c r="S93" s="9" t="s">
        <v>354</v>
      </c>
      <c r="T93">
        <v>-1</v>
      </c>
      <c r="U93">
        <v>-1</v>
      </c>
      <c r="V93">
        <v>-1</v>
      </c>
      <c r="W93">
        <v>1</v>
      </c>
      <c r="X93">
        <v>-1</v>
      </c>
      <c r="AA93" s="9" t="s">
        <v>354</v>
      </c>
      <c r="AB93">
        <v>7.000327102810413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6"/>
  <sheetViews>
    <sheetView tabSelected="1" zoomScale="70" zoomScaleNormal="7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E25" sqref="E25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6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6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6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6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E</v>
      </c>
      <c r="U4">
        <v>4.4793989999999999</v>
      </c>
    </row>
    <row r="5" spans="1:56" ht="45">
      <c r="A5" t="s">
        <v>208</v>
      </c>
      <c r="G5" s="6" t="s">
        <v>62</v>
      </c>
      <c r="H5" s="7"/>
      <c r="I5" s="7"/>
      <c r="J5" s="14" t="s">
        <v>216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219</v>
      </c>
      <c r="U5">
        <v>100</v>
      </c>
      <c r="AZ5" t="s">
        <v>207</v>
      </c>
    </row>
    <row r="6" spans="1:56">
      <c r="A6" s="4">
        <f>SUM(A10:A95)</f>
        <v>6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217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4" t="s">
        <v>26</v>
      </c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Y6">
        <f>SUM(AY10:AY62)</f>
        <v>0</v>
      </c>
    </row>
    <row r="7" spans="1:56">
      <c r="A7" s="4"/>
      <c r="B7" s="13"/>
      <c r="D7" s="7"/>
      <c r="E7" s="3"/>
      <c r="F7" s="3"/>
      <c r="H7" s="3"/>
      <c r="I7" s="3"/>
      <c r="J7" s="14" t="s">
        <v>218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6">
      <c r="A8" s="4"/>
      <c r="B8" s="13"/>
      <c r="D8" s="7"/>
      <c r="E8" s="3"/>
      <c r="F8" s="3"/>
      <c r="H8" s="3"/>
      <c r="I8" s="3"/>
      <c r="J8" s="14" t="s">
        <v>215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6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325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330</v>
      </c>
      <c r="BA9" t="s">
        <v>328</v>
      </c>
      <c r="BB9" t="s">
        <v>329</v>
      </c>
      <c r="BC9" t="s">
        <v>331</v>
      </c>
      <c r="BD9" t="s">
        <v>335</v>
      </c>
    </row>
    <row r="10" spans="1:56">
      <c r="A10" s="17">
        <v>0</v>
      </c>
      <c r="B10" t="s">
        <v>214</v>
      </c>
      <c r="C10" t="s">
        <v>195</v>
      </c>
      <c r="D10" t="s">
        <v>30</v>
      </c>
      <c r="E10" t="s">
        <v>210</v>
      </c>
      <c r="F10">
        <v>0</v>
      </c>
      <c r="G10">
        <v>1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6">
      <c r="A11" s="17">
        <v>0</v>
      </c>
      <c r="B11" t="s">
        <v>221</v>
      </c>
      <c r="C11" t="s">
        <v>195</v>
      </c>
      <c r="D11" t="s">
        <v>30</v>
      </c>
      <c r="E11" t="s">
        <v>222</v>
      </c>
      <c r="F11">
        <v>0</v>
      </c>
      <c r="G11">
        <v>1</v>
      </c>
      <c r="H11" t="s">
        <v>216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6">
      <c r="A12" s="17">
        <v>0</v>
      </c>
      <c r="B12" t="s">
        <v>226</v>
      </c>
      <c r="C12" t="s">
        <v>195</v>
      </c>
      <c r="D12" t="s">
        <v>30</v>
      </c>
      <c r="E12" t="s">
        <v>210</v>
      </c>
      <c r="F12">
        <v>0</v>
      </c>
      <c r="G12">
        <v>1</v>
      </c>
      <c r="H12" t="s">
        <v>216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6">
      <c r="A13" s="17">
        <v>0</v>
      </c>
      <c r="B13" s="20" t="s">
        <v>225</v>
      </c>
      <c r="C13" t="s">
        <v>195</v>
      </c>
      <c r="D13" t="s">
        <v>30</v>
      </c>
      <c r="E13" s="13" t="s">
        <v>223</v>
      </c>
      <c r="F13">
        <v>1</v>
      </c>
      <c r="G13">
        <v>1</v>
      </c>
      <c r="H13" t="s">
        <v>216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6">
      <c r="A14" s="17">
        <v>0</v>
      </c>
      <c r="B14" s="19" t="s">
        <v>224</v>
      </c>
      <c r="C14" t="s">
        <v>195</v>
      </c>
      <c r="D14" t="s">
        <v>30</v>
      </c>
      <c r="E14" s="13" t="s">
        <v>223</v>
      </c>
      <c r="F14">
        <v>1</v>
      </c>
      <c r="G14">
        <v>1</v>
      </c>
      <c r="H14" t="s">
        <v>216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6" ht="16.5" customHeight="1">
      <c r="A15" s="17">
        <v>0</v>
      </c>
      <c r="B15" t="s">
        <v>211</v>
      </c>
      <c r="C15" t="s">
        <v>195</v>
      </c>
      <c r="D15" t="s">
        <v>30</v>
      </c>
      <c r="E15" t="s">
        <v>213</v>
      </c>
      <c r="F15">
        <v>1</v>
      </c>
      <c r="G15">
        <v>1</v>
      </c>
      <c r="H15" t="s">
        <v>216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6" ht="17.25" customHeight="1">
      <c r="A16" s="17">
        <v>0</v>
      </c>
      <c r="B16" t="s">
        <v>220</v>
      </c>
      <c r="C16" t="s">
        <v>195</v>
      </c>
      <c r="D16" t="s">
        <v>30</v>
      </c>
      <c r="E16" t="s">
        <v>212</v>
      </c>
      <c r="F16">
        <v>1</v>
      </c>
      <c r="G16">
        <v>1</v>
      </c>
      <c r="H16" t="s">
        <v>216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65">
      <c r="A17" s="17">
        <v>0</v>
      </c>
      <c r="B17" t="s">
        <v>229</v>
      </c>
      <c r="C17" t="s">
        <v>232</v>
      </c>
      <c r="D17" t="s">
        <v>30</v>
      </c>
      <c r="E17" t="s">
        <v>234</v>
      </c>
      <c r="F17">
        <v>0</v>
      </c>
      <c r="G17">
        <v>1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7.000327102810413</v>
      </c>
      <c r="AY17">
        <v>0</v>
      </c>
      <c r="BA17">
        <v>1</v>
      </c>
      <c r="BD17">
        <v>1</v>
      </c>
    </row>
    <row r="18" spans="1:65">
      <c r="A18" s="17">
        <v>0</v>
      </c>
      <c r="B18" t="s">
        <v>230</v>
      </c>
      <c r="C18" t="s">
        <v>233</v>
      </c>
      <c r="D18" t="s">
        <v>30</v>
      </c>
      <c r="E18" t="s">
        <v>235</v>
      </c>
      <c r="F18">
        <v>0</v>
      </c>
      <c r="G18">
        <v>1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-1</v>
      </c>
      <c r="P18">
        <f>P17-1</f>
        <v>6.000327102810413</v>
      </c>
      <c r="AY18">
        <v>0</v>
      </c>
      <c r="BA18">
        <v>1</v>
      </c>
      <c r="BD18">
        <v>1</v>
      </c>
    </row>
    <row r="19" spans="1:65">
      <c r="A19" s="17">
        <v>1</v>
      </c>
      <c r="B19" s="23" t="s">
        <v>332</v>
      </c>
      <c r="C19" s="23" t="s">
        <v>340</v>
      </c>
      <c r="D19" s="23" t="s">
        <v>30</v>
      </c>
      <c r="E19" s="23" t="s">
        <v>340</v>
      </c>
      <c r="F19" s="23">
        <v>1</v>
      </c>
      <c r="G19" s="23">
        <v>0</v>
      </c>
      <c r="H19" s="23" t="s">
        <v>188</v>
      </c>
      <c r="I19" s="23">
        <v>1</v>
      </c>
      <c r="J19" s="23">
        <v>1</v>
      </c>
      <c r="K19" s="23">
        <v>-1</v>
      </c>
      <c r="L19" s="23">
        <v>-1</v>
      </c>
      <c r="M19" s="23">
        <v>-1</v>
      </c>
      <c r="N19" s="23">
        <v>1</v>
      </c>
      <c r="O19" s="23">
        <v>-1</v>
      </c>
      <c r="P19" s="23">
        <v>12</v>
      </c>
      <c r="AY19">
        <v>0</v>
      </c>
      <c r="BA19">
        <v>1</v>
      </c>
    </row>
    <row r="20" spans="1:65">
      <c r="A20" s="17">
        <v>0</v>
      </c>
      <c r="B20" t="s">
        <v>336</v>
      </c>
      <c r="C20" t="s">
        <v>337</v>
      </c>
      <c r="D20" t="s">
        <v>30</v>
      </c>
      <c r="E20" t="s">
        <v>337</v>
      </c>
      <c r="F20">
        <v>1</v>
      </c>
      <c r="G20">
        <v>0</v>
      </c>
      <c r="H20" t="s">
        <v>188</v>
      </c>
      <c r="I20">
        <v>1</v>
      </c>
      <c r="J20">
        <v>1</v>
      </c>
      <c r="K20">
        <v>-1</v>
      </c>
      <c r="L20">
        <v>-1</v>
      </c>
      <c r="M20">
        <v>-1</v>
      </c>
      <c r="N20">
        <v>1</v>
      </c>
      <c r="O20">
        <v>-1</v>
      </c>
      <c r="P20">
        <v>12</v>
      </c>
      <c r="AY20">
        <v>0</v>
      </c>
      <c r="BA20">
        <v>1</v>
      </c>
    </row>
    <row r="21" spans="1:65">
      <c r="A21" s="17">
        <v>0</v>
      </c>
      <c r="B21" t="s">
        <v>338</v>
      </c>
      <c r="C21" t="s">
        <v>339</v>
      </c>
      <c r="D21" t="s">
        <v>30</v>
      </c>
      <c r="E21" t="s">
        <v>339</v>
      </c>
      <c r="F21">
        <v>1</v>
      </c>
      <c r="G21">
        <v>0</v>
      </c>
      <c r="H21" t="s">
        <v>188</v>
      </c>
      <c r="I21">
        <v>1</v>
      </c>
      <c r="J21">
        <v>1</v>
      </c>
      <c r="K21">
        <v>-1</v>
      </c>
      <c r="L21">
        <v>-1</v>
      </c>
      <c r="M21">
        <v>-1</v>
      </c>
      <c r="N21">
        <v>1</v>
      </c>
      <c r="O21">
        <v>-1</v>
      </c>
      <c r="P21">
        <v>12</v>
      </c>
      <c r="BB21">
        <v>1</v>
      </c>
      <c r="BD21">
        <v>1</v>
      </c>
    </row>
    <row r="22" spans="1:65">
      <c r="A22" s="17">
        <v>1</v>
      </c>
      <c r="B22" s="23" t="s">
        <v>350</v>
      </c>
      <c r="C22" s="23" t="s">
        <v>341</v>
      </c>
      <c r="D22" s="23" t="s">
        <v>30</v>
      </c>
      <c r="E22" s="23" t="s">
        <v>341</v>
      </c>
      <c r="F22" s="23">
        <v>1</v>
      </c>
      <c r="G22" s="23">
        <v>0</v>
      </c>
      <c r="H22" s="23" t="s">
        <v>188</v>
      </c>
      <c r="I22" s="23">
        <v>1</v>
      </c>
      <c r="J22" s="23">
        <v>1</v>
      </c>
      <c r="K22" s="23">
        <v>-1</v>
      </c>
      <c r="L22" s="23">
        <v>-1</v>
      </c>
      <c r="M22" s="23">
        <v>-1</v>
      </c>
      <c r="N22" s="23">
        <v>1</v>
      </c>
      <c r="O22" s="23">
        <v>-1</v>
      </c>
      <c r="P22" s="23">
        <v>12</v>
      </c>
      <c r="BB22">
        <v>1</v>
      </c>
    </row>
    <row r="23" spans="1:65">
      <c r="A23" s="17">
        <v>1</v>
      </c>
      <c r="B23" s="23" t="s">
        <v>351</v>
      </c>
      <c r="C23" s="23" t="s">
        <v>342</v>
      </c>
      <c r="D23" s="23" t="s">
        <v>30</v>
      </c>
      <c r="E23" s="23" t="s">
        <v>342</v>
      </c>
      <c r="F23" s="23">
        <v>1</v>
      </c>
      <c r="G23" s="23">
        <v>0</v>
      </c>
      <c r="H23" s="23" t="s">
        <v>188</v>
      </c>
      <c r="I23" s="23">
        <v>1</v>
      </c>
      <c r="J23" s="23">
        <v>1</v>
      </c>
      <c r="K23" s="23">
        <v>-1</v>
      </c>
      <c r="L23" s="23">
        <v>-1</v>
      </c>
      <c r="M23" s="23">
        <v>-1</v>
      </c>
      <c r="N23" s="23">
        <v>1</v>
      </c>
      <c r="O23" s="23">
        <v>-1</v>
      </c>
      <c r="P23" s="23">
        <v>12</v>
      </c>
      <c r="BB23">
        <v>1</v>
      </c>
    </row>
    <row r="24" spans="1:65">
      <c r="A24" s="17">
        <v>0</v>
      </c>
      <c r="B24" s="23" t="s">
        <v>343</v>
      </c>
      <c r="C24" s="23" t="s">
        <v>344</v>
      </c>
      <c r="D24" s="23" t="s">
        <v>30</v>
      </c>
      <c r="E24" s="23" t="s">
        <v>344</v>
      </c>
      <c r="F24" s="23">
        <v>1</v>
      </c>
      <c r="G24" s="23">
        <v>0</v>
      </c>
      <c r="H24" s="23" t="s">
        <v>188</v>
      </c>
      <c r="I24" s="23">
        <v>1</v>
      </c>
      <c r="J24" s="23">
        <v>1</v>
      </c>
      <c r="K24" s="23">
        <v>-1</v>
      </c>
      <c r="L24" s="23">
        <v>-1</v>
      </c>
      <c r="M24" s="23">
        <v>-1</v>
      </c>
      <c r="N24" s="23">
        <v>1</v>
      </c>
      <c r="O24" s="23">
        <v>-1</v>
      </c>
      <c r="P24" s="23">
        <v>12</v>
      </c>
      <c r="BB24">
        <v>1</v>
      </c>
    </row>
    <row r="25" spans="1:65">
      <c r="A25" s="17">
        <v>1</v>
      </c>
      <c r="B25" s="23" t="s">
        <v>352</v>
      </c>
      <c r="C25" s="23" t="s">
        <v>345</v>
      </c>
      <c r="D25" s="23" t="s">
        <v>30</v>
      </c>
      <c r="E25" s="23" t="s">
        <v>345</v>
      </c>
      <c r="F25" s="23">
        <v>1</v>
      </c>
      <c r="G25" s="23">
        <v>0</v>
      </c>
      <c r="H25" s="23" t="s">
        <v>188</v>
      </c>
      <c r="I25" s="23">
        <v>1</v>
      </c>
      <c r="J25" s="23">
        <v>1</v>
      </c>
      <c r="K25" s="23">
        <v>-1</v>
      </c>
      <c r="L25" s="23">
        <v>-1</v>
      </c>
      <c r="M25" s="23">
        <v>-1</v>
      </c>
      <c r="N25" s="23">
        <v>1</v>
      </c>
      <c r="O25" s="23">
        <v>-1</v>
      </c>
      <c r="P25" s="23">
        <v>7.000327102810413</v>
      </c>
      <c r="BB25">
        <v>1</v>
      </c>
    </row>
    <row r="26" spans="1:65">
      <c r="A26" s="17">
        <v>1</v>
      </c>
      <c r="B26" s="23" t="s">
        <v>353</v>
      </c>
      <c r="C26" s="23" t="s">
        <v>347</v>
      </c>
      <c r="D26" s="23" t="s">
        <v>30</v>
      </c>
      <c r="E26" s="23" t="s">
        <v>347</v>
      </c>
      <c r="F26" s="23">
        <v>1</v>
      </c>
      <c r="G26" s="23">
        <v>0</v>
      </c>
      <c r="H26" s="23" t="s">
        <v>188</v>
      </c>
      <c r="I26" s="23">
        <v>1</v>
      </c>
      <c r="J26" s="23">
        <v>1</v>
      </c>
      <c r="K26" s="23">
        <v>-1</v>
      </c>
      <c r="L26" s="23">
        <v>-1</v>
      </c>
      <c r="M26" s="23">
        <v>-1</v>
      </c>
      <c r="N26" s="23">
        <v>1</v>
      </c>
      <c r="O26" s="23">
        <v>-1</v>
      </c>
      <c r="P26" s="23">
        <v>7.000327102810413</v>
      </c>
      <c r="BB26">
        <v>1</v>
      </c>
    </row>
    <row r="27" spans="1:65">
      <c r="A27" s="17">
        <v>1</v>
      </c>
      <c r="B27" s="23" t="s">
        <v>354</v>
      </c>
      <c r="C27" s="23" t="s">
        <v>348</v>
      </c>
      <c r="D27" s="23" t="s">
        <v>30</v>
      </c>
      <c r="E27" s="23" t="s">
        <v>348</v>
      </c>
      <c r="F27" s="23">
        <v>1</v>
      </c>
      <c r="G27" s="23">
        <v>0</v>
      </c>
      <c r="H27" s="23" t="s">
        <v>188</v>
      </c>
      <c r="I27" s="23">
        <v>1</v>
      </c>
      <c r="J27" s="23">
        <v>1</v>
      </c>
      <c r="K27" s="23">
        <v>-1</v>
      </c>
      <c r="L27" s="23">
        <v>-1</v>
      </c>
      <c r="M27" s="23">
        <v>-1</v>
      </c>
      <c r="N27" s="23">
        <v>1</v>
      </c>
      <c r="O27" s="23">
        <v>-1</v>
      </c>
      <c r="P27" s="23">
        <v>7.000327102810413</v>
      </c>
      <c r="BB27">
        <v>1</v>
      </c>
    </row>
    <row r="28" spans="1:65">
      <c r="A28" s="17">
        <v>0</v>
      </c>
      <c r="B28" s="23" t="s">
        <v>346</v>
      </c>
      <c r="C28" s="23" t="s">
        <v>349</v>
      </c>
      <c r="D28" s="23" t="s">
        <v>30</v>
      </c>
      <c r="E28" s="23" t="s">
        <v>349</v>
      </c>
      <c r="F28" s="23">
        <v>1</v>
      </c>
      <c r="G28" s="23">
        <v>0</v>
      </c>
      <c r="H28" s="23" t="s">
        <v>188</v>
      </c>
      <c r="I28" s="23">
        <v>1</v>
      </c>
      <c r="J28" s="23">
        <v>1</v>
      </c>
      <c r="K28" s="23">
        <v>-1</v>
      </c>
      <c r="L28" s="23">
        <v>-1</v>
      </c>
      <c r="M28" s="23">
        <v>-1</v>
      </c>
      <c r="N28" s="23">
        <v>1</v>
      </c>
      <c r="O28" s="23">
        <v>-1</v>
      </c>
      <c r="P28" s="23">
        <v>7.000327102810413</v>
      </c>
      <c r="BB28">
        <v>1</v>
      </c>
    </row>
    <row r="29" spans="1:65">
      <c r="A29" s="17">
        <v>0</v>
      </c>
      <c r="B29" t="s">
        <v>333</v>
      </c>
      <c r="D29" t="s">
        <v>30</v>
      </c>
      <c r="E29" t="s">
        <v>334</v>
      </c>
      <c r="F29">
        <v>1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BB29">
        <v>1</v>
      </c>
    </row>
    <row r="30" spans="1:65" s="18" customFormat="1">
      <c r="A30" s="21">
        <v>0</v>
      </c>
      <c r="B30" s="18" t="s">
        <v>326</v>
      </c>
      <c r="D30" s="18" t="s">
        <v>30</v>
      </c>
      <c r="E30" s="18" t="s">
        <v>327</v>
      </c>
      <c r="F30" s="18">
        <v>0</v>
      </c>
      <c r="G30" s="18">
        <v>1</v>
      </c>
      <c r="I30" s="18">
        <v>1</v>
      </c>
      <c r="J30" s="18">
        <v>1</v>
      </c>
      <c r="K30" s="18">
        <v>-1</v>
      </c>
      <c r="L30" s="18">
        <v>-1</v>
      </c>
      <c r="M30" s="18">
        <v>-1</v>
      </c>
      <c r="N30" s="18">
        <v>1</v>
      </c>
      <c r="O30" s="18">
        <v>-1</v>
      </c>
      <c r="P30" s="22">
        <v>9.9</v>
      </c>
      <c r="BB30" s="18">
        <v>1</v>
      </c>
    </row>
    <row r="31" spans="1:65">
      <c r="A31" s="17">
        <v>0</v>
      </c>
      <c r="B31" t="s">
        <v>236</v>
      </c>
      <c r="D31" t="s">
        <v>30</v>
      </c>
      <c r="E31" t="s">
        <v>231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 s="22">
        <v>9.9</v>
      </c>
      <c r="BB31">
        <v>1</v>
      </c>
      <c r="BM31" t="s">
        <v>236</v>
      </c>
    </row>
    <row r="32" spans="1:65">
      <c r="A32" s="17">
        <v>0</v>
      </c>
      <c r="B32" t="s">
        <v>237</v>
      </c>
      <c r="D32" t="s">
        <v>30</v>
      </c>
      <c r="E32" t="s">
        <v>301</v>
      </c>
      <c r="F32">
        <v>1</v>
      </c>
      <c r="G32">
        <v>0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 s="22">
        <v>9.9</v>
      </c>
      <c r="BB32">
        <v>1</v>
      </c>
      <c r="BM32" t="s">
        <v>238</v>
      </c>
    </row>
    <row r="33" spans="1:65">
      <c r="A33" s="17">
        <v>0</v>
      </c>
      <c r="B33" t="s">
        <v>238</v>
      </c>
      <c r="D33" t="s">
        <v>30</v>
      </c>
      <c r="E33" t="s">
        <v>302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2">
        <v>9.9</v>
      </c>
      <c r="BB33">
        <v>1</v>
      </c>
      <c r="BM33" t="s">
        <v>242</v>
      </c>
    </row>
    <row r="34" spans="1:65">
      <c r="A34" s="17">
        <v>0</v>
      </c>
      <c r="B34" t="s">
        <v>239</v>
      </c>
      <c r="D34" t="s">
        <v>30</v>
      </c>
      <c r="E34" t="s">
        <v>303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2">
        <v>9.9</v>
      </c>
      <c r="BB34">
        <v>1</v>
      </c>
      <c r="BM34" t="s">
        <v>243</v>
      </c>
    </row>
    <row r="35" spans="1:65">
      <c r="A35" s="17">
        <v>0</v>
      </c>
      <c r="B35" t="s">
        <v>240</v>
      </c>
      <c r="D35" t="s">
        <v>30</v>
      </c>
      <c r="E35" t="s">
        <v>304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2">
        <v>9.9</v>
      </c>
      <c r="BB35">
        <v>1</v>
      </c>
      <c r="BM35" t="s">
        <v>244</v>
      </c>
    </row>
    <row r="36" spans="1:65">
      <c r="A36" s="17">
        <v>0</v>
      </c>
      <c r="B36" t="s">
        <v>241</v>
      </c>
      <c r="D36" t="s">
        <v>30</v>
      </c>
      <c r="E36" t="s">
        <v>305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2">
        <v>9.9</v>
      </c>
      <c r="BB36">
        <v>1</v>
      </c>
      <c r="BM36" t="s">
        <v>245</v>
      </c>
    </row>
    <row r="37" spans="1:65">
      <c r="A37" s="17">
        <v>0</v>
      </c>
      <c r="B37" t="s">
        <v>242</v>
      </c>
      <c r="D37" t="s">
        <v>30</v>
      </c>
      <c r="E37" t="s">
        <v>306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2">
        <v>9.9</v>
      </c>
      <c r="BB37">
        <v>1</v>
      </c>
      <c r="BM37" t="s">
        <v>246</v>
      </c>
    </row>
    <row r="38" spans="1:65">
      <c r="A38" s="17">
        <v>0</v>
      </c>
      <c r="B38" t="s">
        <v>243</v>
      </c>
      <c r="D38" t="s">
        <v>30</v>
      </c>
      <c r="E38" t="s">
        <v>307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2">
        <v>9.9</v>
      </c>
      <c r="BB38">
        <v>1</v>
      </c>
      <c r="BM38" t="s">
        <v>247</v>
      </c>
    </row>
    <row r="39" spans="1:65">
      <c r="A39" s="17">
        <v>0</v>
      </c>
      <c r="B39" t="s">
        <v>244</v>
      </c>
      <c r="D39" t="s">
        <v>30</v>
      </c>
      <c r="E39" t="s">
        <v>308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2">
        <v>9.9</v>
      </c>
      <c r="BB39">
        <v>1</v>
      </c>
      <c r="BM39" t="s">
        <v>248</v>
      </c>
    </row>
    <row r="40" spans="1:65">
      <c r="A40" s="17">
        <v>0</v>
      </c>
      <c r="B40" t="s">
        <v>245</v>
      </c>
      <c r="D40" t="s">
        <v>30</v>
      </c>
      <c r="E40" t="s">
        <v>309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2">
        <v>9.9</v>
      </c>
      <c r="BB40">
        <v>1</v>
      </c>
      <c r="BM40" t="s">
        <v>249</v>
      </c>
    </row>
    <row r="41" spans="1:65">
      <c r="A41" s="17">
        <v>0</v>
      </c>
      <c r="B41" t="s">
        <v>246</v>
      </c>
      <c r="D41" t="s">
        <v>30</v>
      </c>
      <c r="E41" t="s">
        <v>310</v>
      </c>
      <c r="F41">
        <v>1</v>
      </c>
      <c r="G41">
        <v>0</v>
      </c>
      <c r="I41">
        <v>1</v>
      </c>
      <c r="J41">
        <v>1</v>
      </c>
      <c r="K41">
        <v>-1</v>
      </c>
      <c r="L41" s="13">
        <v>1</v>
      </c>
      <c r="M41" s="13">
        <v>1</v>
      </c>
      <c r="N41">
        <v>1</v>
      </c>
      <c r="O41">
        <v>-1</v>
      </c>
      <c r="P41" s="22">
        <v>9.9</v>
      </c>
      <c r="BB41">
        <v>1</v>
      </c>
      <c r="BM41" t="s">
        <v>250</v>
      </c>
    </row>
    <row r="42" spans="1:65">
      <c r="A42" s="17">
        <v>0</v>
      </c>
      <c r="B42" t="s">
        <v>247</v>
      </c>
      <c r="D42" t="s">
        <v>30</v>
      </c>
      <c r="E42" t="s">
        <v>231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2">
        <v>5.8</v>
      </c>
      <c r="BB42">
        <v>1</v>
      </c>
      <c r="BM42" t="s">
        <v>251</v>
      </c>
    </row>
    <row r="43" spans="1:65">
      <c r="A43" s="17">
        <v>0</v>
      </c>
      <c r="B43" t="s">
        <v>248</v>
      </c>
      <c r="D43" t="s">
        <v>30</v>
      </c>
      <c r="E43" t="s">
        <v>306</v>
      </c>
      <c r="F43">
        <v>1</v>
      </c>
      <c r="G43">
        <v>0</v>
      </c>
      <c r="I43">
        <v>1</v>
      </c>
      <c r="J43">
        <v>1</v>
      </c>
      <c r="K43">
        <v>-1</v>
      </c>
      <c r="L43">
        <v>-1</v>
      </c>
      <c r="M43">
        <v>-1</v>
      </c>
      <c r="N43">
        <v>1</v>
      </c>
      <c r="O43">
        <v>-1</v>
      </c>
      <c r="P43" s="22">
        <v>5.8</v>
      </c>
      <c r="BB43">
        <v>1</v>
      </c>
      <c r="BM43" t="s">
        <v>252</v>
      </c>
    </row>
    <row r="44" spans="1:65">
      <c r="A44" s="17">
        <v>0</v>
      </c>
      <c r="B44" t="s">
        <v>249</v>
      </c>
      <c r="D44" t="s">
        <v>30</v>
      </c>
      <c r="E44" t="s">
        <v>307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2">
        <v>5.8</v>
      </c>
      <c r="BB44">
        <v>1</v>
      </c>
      <c r="BM44" t="s">
        <v>253</v>
      </c>
    </row>
    <row r="45" spans="1:65">
      <c r="A45" s="17">
        <v>0</v>
      </c>
      <c r="B45" t="s">
        <v>250</v>
      </c>
      <c r="D45" t="s">
        <v>30</v>
      </c>
      <c r="E45" t="s">
        <v>308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2">
        <v>5.8</v>
      </c>
      <c r="BB45">
        <v>1</v>
      </c>
      <c r="BM45" t="s">
        <v>254</v>
      </c>
    </row>
    <row r="46" spans="1:65">
      <c r="A46" s="17">
        <v>0</v>
      </c>
      <c r="B46" t="s">
        <v>251</v>
      </c>
      <c r="D46" t="s">
        <v>30</v>
      </c>
      <c r="E46" t="s">
        <v>311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2">
        <v>5.8</v>
      </c>
      <c r="BB46">
        <v>1</v>
      </c>
    </row>
    <row r="47" spans="1:65">
      <c r="A47" s="17">
        <v>0</v>
      </c>
      <c r="B47" t="s">
        <v>252</v>
      </c>
      <c r="D47" t="s">
        <v>30</v>
      </c>
      <c r="E47" t="s">
        <v>312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2">
        <v>5.8</v>
      </c>
      <c r="BB47">
        <v>1</v>
      </c>
    </row>
    <row r="48" spans="1:65">
      <c r="A48" s="17">
        <v>0</v>
      </c>
      <c r="B48" t="s">
        <v>253</v>
      </c>
      <c r="D48" t="s">
        <v>30</v>
      </c>
      <c r="E48" t="s">
        <v>313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2">
        <v>5.8</v>
      </c>
      <c r="BB48">
        <v>1</v>
      </c>
    </row>
    <row r="49" spans="1:54">
      <c r="A49" s="17">
        <v>0</v>
      </c>
      <c r="B49" t="s">
        <v>254</v>
      </c>
      <c r="D49" t="s">
        <v>30</v>
      </c>
      <c r="E49" t="s">
        <v>314</v>
      </c>
      <c r="F49">
        <v>1</v>
      </c>
      <c r="G49">
        <v>0</v>
      </c>
      <c r="I49">
        <v>1</v>
      </c>
      <c r="J49">
        <v>1</v>
      </c>
      <c r="K49">
        <v>-1</v>
      </c>
      <c r="L49" s="13">
        <v>1</v>
      </c>
      <c r="M49" s="13">
        <v>1</v>
      </c>
      <c r="N49">
        <v>1</v>
      </c>
      <c r="O49">
        <v>-1</v>
      </c>
      <c r="P49" s="22">
        <v>5.8</v>
      </c>
      <c r="BB49">
        <v>1</v>
      </c>
    </row>
    <row r="50" spans="1:54">
      <c r="A50" s="17">
        <v>0</v>
      </c>
      <c r="B50" t="s">
        <v>255</v>
      </c>
      <c r="D50" t="s">
        <v>30</v>
      </c>
      <c r="E50" t="s">
        <v>315</v>
      </c>
      <c r="F50">
        <v>1</v>
      </c>
      <c r="G50">
        <v>0</v>
      </c>
      <c r="I50">
        <v>1</v>
      </c>
      <c r="J50">
        <v>1</v>
      </c>
      <c r="K50">
        <v>-1</v>
      </c>
      <c r="L50" s="13">
        <v>1</v>
      </c>
      <c r="M50" s="13">
        <v>1</v>
      </c>
      <c r="N50">
        <v>1</v>
      </c>
      <c r="O50">
        <v>-1</v>
      </c>
      <c r="P50" s="22">
        <v>5.8</v>
      </c>
      <c r="BB50">
        <v>1</v>
      </c>
    </row>
    <row r="51" spans="1:54">
      <c r="A51" s="17">
        <v>0</v>
      </c>
      <c r="B51" t="s">
        <v>256</v>
      </c>
      <c r="D51" t="s">
        <v>30</v>
      </c>
      <c r="E51" t="s">
        <v>316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2">
        <v>5.8</v>
      </c>
      <c r="BB51">
        <v>1</v>
      </c>
    </row>
    <row r="52" spans="1:54">
      <c r="A52" s="17">
        <v>0</v>
      </c>
      <c r="B52" t="s">
        <v>257</v>
      </c>
      <c r="D52" t="s">
        <v>30</v>
      </c>
      <c r="E52" t="s">
        <v>317</v>
      </c>
      <c r="F52">
        <v>1</v>
      </c>
      <c r="G52">
        <v>0</v>
      </c>
      <c r="I52">
        <v>1</v>
      </c>
      <c r="J52">
        <v>1</v>
      </c>
      <c r="K52">
        <v>-1</v>
      </c>
      <c r="L52">
        <v>-1</v>
      </c>
      <c r="M52">
        <v>-1</v>
      </c>
      <c r="N52">
        <v>1</v>
      </c>
      <c r="O52">
        <v>-1</v>
      </c>
      <c r="P52" s="22">
        <v>5.8</v>
      </c>
      <c r="BB52">
        <v>1</v>
      </c>
    </row>
    <row r="53" spans="1:54">
      <c r="A53" s="17">
        <v>0</v>
      </c>
      <c r="B53" t="s">
        <v>258</v>
      </c>
      <c r="D53" t="s">
        <v>30</v>
      </c>
      <c r="E53" t="s">
        <v>318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2">
        <v>5.8</v>
      </c>
      <c r="BB53">
        <v>1</v>
      </c>
    </row>
    <row r="54" spans="1:54">
      <c r="A54" s="17">
        <v>0</v>
      </c>
      <c r="B54" t="s">
        <v>259</v>
      </c>
      <c r="D54" t="s">
        <v>30</v>
      </c>
      <c r="E54" t="s">
        <v>319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2">
        <v>5.8</v>
      </c>
      <c r="BB54">
        <v>1</v>
      </c>
    </row>
    <row r="55" spans="1:54">
      <c r="A55" s="17">
        <v>0</v>
      </c>
      <c r="B55" t="s">
        <v>260</v>
      </c>
      <c r="D55" t="s">
        <v>30</v>
      </c>
      <c r="E55" t="s">
        <v>320</v>
      </c>
      <c r="F55">
        <v>1</v>
      </c>
      <c r="G55">
        <v>0</v>
      </c>
      <c r="I55">
        <v>1</v>
      </c>
      <c r="J55">
        <v>1</v>
      </c>
      <c r="K55">
        <v>-1</v>
      </c>
      <c r="L55">
        <v>-1</v>
      </c>
      <c r="M55">
        <v>-1</v>
      </c>
      <c r="N55">
        <v>1</v>
      </c>
      <c r="O55">
        <v>-1</v>
      </c>
      <c r="P55" s="22">
        <v>5.8</v>
      </c>
      <c r="BB55">
        <v>1</v>
      </c>
    </row>
    <row r="56" spans="1:54">
      <c r="A56" s="17">
        <v>0</v>
      </c>
      <c r="B56" t="s">
        <v>261</v>
      </c>
      <c r="D56" t="s">
        <v>30</v>
      </c>
      <c r="E56" t="s">
        <v>321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2">
        <v>5.8</v>
      </c>
      <c r="BB56">
        <v>1</v>
      </c>
    </row>
    <row r="57" spans="1:54">
      <c r="A57" s="17">
        <v>0</v>
      </c>
      <c r="B57" t="s">
        <v>262</v>
      </c>
      <c r="D57" t="s">
        <v>30</v>
      </c>
      <c r="E57" t="s">
        <v>322</v>
      </c>
      <c r="F57">
        <v>1</v>
      </c>
      <c r="G57">
        <v>0</v>
      </c>
      <c r="I57">
        <v>1</v>
      </c>
      <c r="J57">
        <v>1</v>
      </c>
      <c r="K57">
        <v>-1</v>
      </c>
      <c r="L57" s="13">
        <v>1</v>
      </c>
      <c r="M57" s="13">
        <v>1</v>
      </c>
      <c r="N57">
        <v>1</v>
      </c>
      <c r="O57">
        <v>-1</v>
      </c>
      <c r="P57" s="22">
        <v>5.8</v>
      </c>
      <c r="BB57">
        <v>1</v>
      </c>
    </row>
    <row r="58" spans="1:54">
      <c r="A58" s="17">
        <v>0</v>
      </c>
      <c r="B58" t="s">
        <v>263</v>
      </c>
      <c r="D58" t="s">
        <v>30</v>
      </c>
      <c r="E58" t="s">
        <v>323</v>
      </c>
      <c r="F58">
        <v>1</v>
      </c>
      <c r="G58">
        <v>0</v>
      </c>
      <c r="I58">
        <v>1</v>
      </c>
      <c r="J58">
        <v>1</v>
      </c>
      <c r="K58">
        <v>-1</v>
      </c>
      <c r="L58" s="13">
        <v>1</v>
      </c>
      <c r="M58" s="13">
        <v>1</v>
      </c>
      <c r="N58">
        <v>1</v>
      </c>
      <c r="O58">
        <v>-1</v>
      </c>
      <c r="P58" s="22">
        <v>5.8</v>
      </c>
      <c r="BB58">
        <v>1</v>
      </c>
    </row>
    <row r="59" spans="1:54">
      <c r="A59" s="17">
        <v>0</v>
      </c>
      <c r="B59" t="s">
        <v>264</v>
      </c>
      <c r="D59" t="s">
        <v>30</v>
      </c>
      <c r="E59" t="s">
        <v>324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2">
        <v>5.8</v>
      </c>
      <c r="BB59">
        <v>1</v>
      </c>
    </row>
    <row r="60" spans="1:54">
      <c r="A60" s="17">
        <v>0</v>
      </c>
      <c r="B60" t="s">
        <v>265</v>
      </c>
      <c r="D60" t="s">
        <v>30</v>
      </c>
      <c r="E60" t="s">
        <v>231</v>
      </c>
      <c r="F60">
        <v>1</v>
      </c>
      <c r="G60">
        <v>0</v>
      </c>
      <c r="I60">
        <v>1</v>
      </c>
      <c r="J60">
        <v>1</v>
      </c>
      <c r="K60">
        <v>-1</v>
      </c>
      <c r="L60">
        <v>-1</v>
      </c>
      <c r="M60">
        <v>-1</v>
      </c>
      <c r="N60">
        <v>1</v>
      </c>
      <c r="O60">
        <v>-1</v>
      </c>
      <c r="P60" s="22">
        <v>6</v>
      </c>
      <c r="BB60">
        <v>1</v>
      </c>
    </row>
    <row r="61" spans="1:54">
      <c r="A61" s="17">
        <v>0</v>
      </c>
      <c r="B61" t="s">
        <v>266</v>
      </c>
      <c r="D61" t="s">
        <v>30</v>
      </c>
      <c r="E61" t="s">
        <v>306</v>
      </c>
      <c r="F61">
        <v>1</v>
      </c>
      <c r="G61">
        <v>0</v>
      </c>
      <c r="I61">
        <v>1</v>
      </c>
      <c r="J61">
        <v>1</v>
      </c>
      <c r="K61">
        <v>-1</v>
      </c>
      <c r="L61">
        <v>-1</v>
      </c>
      <c r="M61">
        <v>-1</v>
      </c>
      <c r="N61">
        <v>1</v>
      </c>
      <c r="O61">
        <v>-1</v>
      </c>
      <c r="P61" s="22">
        <v>6</v>
      </c>
      <c r="BB61">
        <v>1</v>
      </c>
    </row>
    <row r="62" spans="1:54">
      <c r="A62" s="17">
        <v>0</v>
      </c>
      <c r="B62" t="s">
        <v>267</v>
      </c>
      <c r="D62" t="s">
        <v>30</v>
      </c>
      <c r="E62" t="s">
        <v>307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2">
        <v>6</v>
      </c>
      <c r="BB62">
        <v>1</v>
      </c>
    </row>
    <row r="63" spans="1:54">
      <c r="A63" s="17">
        <v>0</v>
      </c>
      <c r="B63" t="s">
        <v>268</v>
      </c>
      <c r="D63" t="s">
        <v>30</v>
      </c>
      <c r="E63" t="s">
        <v>308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2">
        <v>6</v>
      </c>
      <c r="BB63">
        <v>1</v>
      </c>
    </row>
    <row r="64" spans="1:54">
      <c r="A64" s="17">
        <v>0</v>
      </c>
      <c r="B64" t="s">
        <v>269</v>
      </c>
      <c r="D64" t="s">
        <v>30</v>
      </c>
      <c r="E64" t="s">
        <v>311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2">
        <v>6</v>
      </c>
      <c r="BB64">
        <v>1</v>
      </c>
    </row>
    <row r="65" spans="1:54">
      <c r="A65" s="17">
        <v>0</v>
      </c>
      <c r="B65" t="s">
        <v>270</v>
      </c>
      <c r="D65" t="s">
        <v>30</v>
      </c>
      <c r="E65" t="s">
        <v>312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2">
        <v>6</v>
      </c>
      <c r="BB65">
        <v>1</v>
      </c>
    </row>
    <row r="66" spans="1:54">
      <c r="A66" s="17">
        <v>0</v>
      </c>
      <c r="B66" t="s">
        <v>271</v>
      </c>
      <c r="D66" t="s">
        <v>30</v>
      </c>
      <c r="E66" t="s">
        <v>313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2">
        <v>6</v>
      </c>
      <c r="BB66">
        <v>1</v>
      </c>
    </row>
    <row r="67" spans="1:54">
      <c r="A67" s="17">
        <v>0</v>
      </c>
      <c r="B67" t="s">
        <v>272</v>
      </c>
      <c r="D67" t="s">
        <v>30</v>
      </c>
      <c r="E67" t="s">
        <v>314</v>
      </c>
      <c r="F67">
        <v>1</v>
      </c>
      <c r="G67">
        <v>0</v>
      </c>
      <c r="I67">
        <v>1</v>
      </c>
      <c r="J67">
        <v>1</v>
      </c>
      <c r="K67">
        <v>-1</v>
      </c>
      <c r="L67" s="13">
        <v>1</v>
      </c>
      <c r="M67" s="13">
        <v>1</v>
      </c>
      <c r="N67">
        <v>1</v>
      </c>
      <c r="O67">
        <v>-1</v>
      </c>
      <c r="P67" s="22">
        <v>6</v>
      </c>
      <c r="BB67">
        <v>1</v>
      </c>
    </row>
    <row r="68" spans="1:54">
      <c r="A68" s="17">
        <v>0</v>
      </c>
      <c r="B68" t="s">
        <v>273</v>
      </c>
      <c r="D68" t="s">
        <v>30</v>
      </c>
      <c r="E68" t="s">
        <v>315</v>
      </c>
      <c r="F68">
        <v>1</v>
      </c>
      <c r="G68">
        <v>0</v>
      </c>
      <c r="I68">
        <v>1</v>
      </c>
      <c r="J68">
        <v>1</v>
      </c>
      <c r="K68">
        <v>-1</v>
      </c>
      <c r="L68" s="13">
        <v>1</v>
      </c>
      <c r="M68" s="13">
        <v>1</v>
      </c>
      <c r="N68">
        <v>1</v>
      </c>
      <c r="O68">
        <v>-1</v>
      </c>
      <c r="P68" s="22">
        <v>6</v>
      </c>
      <c r="BB68">
        <v>1</v>
      </c>
    </row>
    <row r="69" spans="1:54">
      <c r="A69" s="17">
        <v>0</v>
      </c>
      <c r="B69" t="s">
        <v>274</v>
      </c>
      <c r="D69" t="s">
        <v>30</v>
      </c>
      <c r="E69" t="s">
        <v>316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2">
        <v>6</v>
      </c>
      <c r="BB69">
        <v>1</v>
      </c>
    </row>
    <row r="70" spans="1:54">
      <c r="A70" s="17">
        <v>0</v>
      </c>
      <c r="B70" t="s">
        <v>275</v>
      </c>
      <c r="D70" t="s">
        <v>30</v>
      </c>
      <c r="E70" t="s">
        <v>317</v>
      </c>
      <c r="F70">
        <v>1</v>
      </c>
      <c r="G70">
        <v>0</v>
      </c>
      <c r="I70">
        <v>1</v>
      </c>
      <c r="J70">
        <v>1</v>
      </c>
      <c r="K70">
        <v>-1</v>
      </c>
      <c r="L70">
        <v>-1</v>
      </c>
      <c r="M70">
        <v>-1</v>
      </c>
      <c r="N70">
        <v>1</v>
      </c>
      <c r="O70">
        <v>-1</v>
      </c>
      <c r="P70" s="22">
        <v>6</v>
      </c>
      <c r="BB70">
        <v>1</v>
      </c>
    </row>
    <row r="71" spans="1:54">
      <c r="A71" s="17">
        <v>0</v>
      </c>
      <c r="B71" t="s">
        <v>276</v>
      </c>
      <c r="D71" t="s">
        <v>30</v>
      </c>
      <c r="E71" t="s">
        <v>318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2">
        <v>6</v>
      </c>
      <c r="BB71">
        <v>1</v>
      </c>
    </row>
    <row r="72" spans="1:54">
      <c r="A72" s="17">
        <v>0</v>
      </c>
      <c r="B72" t="s">
        <v>277</v>
      </c>
      <c r="D72" t="s">
        <v>30</v>
      </c>
      <c r="E72" t="s">
        <v>319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2">
        <v>6</v>
      </c>
      <c r="BB72">
        <v>1</v>
      </c>
    </row>
    <row r="73" spans="1:54">
      <c r="A73" s="17">
        <v>0</v>
      </c>
      <c r="B73" t="s">
        <v>278</v>
      </c>
      <c r="D73" t="s">
        <v>30</v>
      </c>
      <c r="E73" t="s">
        <v>320</v>
      </c>
      <c r="F73">
        <v>1</v>
      </c>
      <c r="G73">
        <v>0</v>
      </c>
      <c r="I73">
        <v>1</v>
      </c>
      <c r="J73">
        <v>1</v>
      </c>
      <c r="K73">
        <v>-1</v>
      </c>
      <c r="L73">
        <v>-1</v>
      </c>
      <c r="M73">
        <v>-1</v>
      </c>
      <c r="N73">
        <v>1</v>
      </c>
      <c r="O73">
        <v>-1</v>
      </c>
      <c r="P73" s="22">
        <v>6</v>
      </c>
      <c r="BB73">
        <v>1</v>
      </c>
    </row>
    <row r="74" spans="1:54">
      <c r="A74" s="17">
        <v>0</v>
      </c>
      <c r="B74" t="s">
        <v>279</v>
      </c>
      <c r="D74" t="s">
        <v>30</v>
      </c>
      <c r="E74" t="s">
        <v>321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2">
        <v>6</v>
      </c>
      <c r="BB74">
        <v>1</v>
      </c>
    </row>
    <row r="75" spans="1:54">
      <c r="A75" s="17">
        <v>0</v>
      </c>
      <c r="B75" t="s">
        <v>280</v>
      </c>
      <c r="D75" t="s">
        <v>30</v>
      </c>
      <c r="E75" t="s">
        <v>322</v>
      </c>
      <c r="F75">
        <v>1</v>
      </c>
      <c r="G75">
        <v>0</v>
      </c>
      <c r="I75">
        <v>1</v>
      </c>
      <c r="J75">
        <v>1</v>
      </c>
      <c r="K75">
        <v>-1</v>
      </c>
      <c r="L75" s="13">
        <v>1</v>
      </c>
      <c r="M75" s="13">
        <v>1</v>
      </c>
      <c r="N75">
        <v>1</v>
      </c>
      <c r="O75">
        <v>-1</v>
      </c>
      <c r="P75" s="22">
        <v>6</v>
      </c>
      <c r="BB75">
        <v>1</v>
      </c>
    </row>
    <row r="76" spans="1:54">
      <c r="A76" s="17">
        <v>0</v>
      </c>
      <c r="B76" t="s">
        <v>281</v>
      </c>
      <c r="D76" t="s">
        <v>30</v>
      </c>
      <c r="E76" t="s">
        <v>323</v>
      </c>
      <c r="F76">
        <v>1</v>
      </c>
      <c r="G76">
        <v>0</v>
      </c>
      <c r="I76">
        <v>1</v>
      </c>
      <c r="J76">
        <v>1</v>
      </c>
      <c r="K76">
        <v>-1</v>
      </c>
      <c r="L76" s="13">
        <v>1</v>
      </c>
      <c r="M76" s="13">
        <v>1</v>
      </c>
      <c r="N76">
        <v>1</v>
      </c>
      <c r="O76">
        <v>-1</v>
      </c>
      <c r="P76" s="22">
        <v>6</v>
      </c>
      <c r="BB76">
        <v>1</v>
      </c>
    </row>
    <row r="77" spans="1:54">
      <c r="A77" s="17">
        <v>0</v>
      </c>
      <c r="B77" t="s">
        <v>282</v>
      </c>
      <c r="D77" t="s">
        <v>30</v>
      </c>
      <c r="E77" t="s">
        <v>324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2">
        <v>6</v>
      </c>
      <c r="BB77">
        <v>1</v>
      </c>
    </row>
    <row r="78" spans="1:54">
      <c r="A78" s="17">
        <v>0</v>
      </c>
      <c r="B78" t="s">
        <v>283</v>
      </c>
      <c r="D78" t="s">
        <v>30</v>
      </c>
      <c r="E78" t="s">
        <v>231</v>
      </c>
      <c r="F78">
        <v>1</v>
      </c>
      <c r="G78">
        <v>0</v>
      </c>
      <c r="I78">
        <v>1</v>
      </c>
      <c r="J78">
        <v>1</v>
      </c>
      <c r="K78">
        <v>-1</v>
      </c>
      <c r="L78">
        <v>-1</v>
      </c>
      <c r="M78">
        <v>-1</v>
      </c>
      <c r="N78">
        <v>1</v>
      </c>
      <c r="O78">
        <v>-1</v>
      </c>
      <c r="P78" s="22">
        <v>6.5</v>
      </c>
      <c r="BB78">
        <v>1</v>
      </c>
    </row>
    <row r="79" spans="1:54">
      <c r="A79" s="17">
        <v>0</v>
      </c>
      <c r="B79" t="s">
        <v>284</v>
      </c>
      <c r="D79" t="s">
        <v>30</v>
      </c>
      <c r="E79" t="s">
        <v>306</v>
      </c>
      <c r="F79">
        <v>1</v>
      </c>
      <c r="G79">
        <v>0</v>
      </c>
      <c r="I79">
        <v>1</v>
      </c>
      <c r="J79">
        <v>1</v>
      </c>
      <c r="K79">
        <v>-1</v>
      </c>
      <c r="L79">
        <v>-1</v>
      </c>
      <c r="M79">
        <v>-1</v>
      </c>
      <c r="N79">
        <v>1</v>
      </c>
      <c r="O79">
        <v>-1</v>
      </c>
      <c r="P79" s="22">
        <v>6.5</v>
      </c>
      <c r="BB79">
        <v>1</v>
      </c>
    </row>
    <row r="80" spans="1:54">
      <c r="A80" s="17">
        <v>0</v>
      </c>
      <c r="B80" t="s">
        <v>285</v>
      </c>
      <c r="D80" t="s">
        <v>30</v>
      </c>
      <c r="E80" t="s">
        <v>307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2">
        <v>6.5</v>
      </c>
      <c r="BB80">
        <v>1</v>
      </c>
    </row>
    <row r="81" spans="1:54">
      <c r="A81" s="17">
        <v>0</v>
      </c>
      <c r="B81" t="s">
        <v>286</v>
      </c>
      <c r="D81" t="s">
        <v>30</v>
      </c>
      <c r="E81" t="s">
        <v>308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2">
        <v>6.5</v>
      </c>
      <c r="BB81">
        <v>1</v>
      </c>
    </row>
    <row r="82" spans="1:54">
      <c r="A82" s="17">
        <v>0</v>
      </c>
      <c r="B82" t="s">
        <v>287</v>
      </c>
      <c r="D82" t="s">
        <v>30</v>
      </c>
      <c r="E82" t="s">
        <v>311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2">
        <v>6.5</v>
      </c>
      <c r="BB82">
        <v>1</v>
      </c>
    </row>
    <row r="83" spans="1:54">
      <c r="A83" s="17">
        <v>0</v>
      </c>
      <c r="B83" t="s">
        <v>288</v>
      </c>
      <c r="D83" t="s">
        <v>30</v>
      </c>
      <c r="E83" t="s">
        <v>312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2">
        <v>6.5</v>
      </c>
      <c r="BB83">
        <v>1</v>
      </c>
    </row>
    <row r="84" spans="1:54">
      <c r="A84" s="17">
        <v>0</v>
      </c>
      <c r="B84" t="s">
        <v>289</v>
      </c>
      <c r="D84" t="s">
        <v>30</v>
      </c>
      <c r="E84" t="s">
        <v>313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2">
        <v>6.5</v>
      </c>
      <c r="BB84">
        <v>1</v>
      </c>
    </row>
    <row r="85" spans="1:54">
      <c r="A85" s="17">
        <v>0</v>
      </c>
      <c r="B85" t="s">
        <v>290</v>
      </c>
      <c r="D85" t="s">
        <v>30</v>
      </c>
      <c r="E85" t="s">
        <v>314</v>
      </c>
      <c r="F85">
        <v>1</v>
      </c>
      <c r="G85">
        <v>0</v>
      </c>
      <c r="I85">
        <v>1</v>
      </c>
      <c r="J85">
        <v>1</v>
      </c>
      <c r="K85">
        <v>-1</v>
      </c>
      <c r="L85" s="13">
        <v>1</v>
      </c>
      <c r="M85" s="13">
        <v>1</v>
      </c>
      <c r="N85">
        <v>1</v>
      </c>
      <c r="O85">
        <v>-1</v>
      </c>
      <c r="P85" s="22">
        <v>6.5</v>
      </c>
      <c r="BB85">
        <v>1</v>
      </c>
    </row>
    <row r="86" spans="1:54">
      <c r="A86" s="17">
        <v>0</v>
      </c>
      <c r="B86" t="s">
        <v>291</v>
      </c>
      <c r="D86" t="s">
        <v>30</v>
      </c>
      <c r="E86" t="s">
        <v>315</v>
      </c>
      <c r="F86">
        <v>1</v>
      </c>
      <c r="G86">
        <v>0</v>
      </c>
      <c r="I86">
        <v>1</v>
      </c>
      <c r="J86">
        <v>1</v>
      </c>
      <c r="K86">
        <v>-1</v>
      </c>
      <c r="L86" s="13">
        <v>1</v>
      </c>
      <c r="M86" s="13">
        <v>1</v>
      </c>
      <c r="N86">
        <v>1</v>
      </c>
      <c r="O86">
        <v>-1</v>
      </c>
      <c r="P86" s="22">
        <v>6.5</v>
      </c>
      <c r="BB86">
        <v>1</v>
      </c>
    </row>
    <row r="87" spans="1:54">
      <c r="A87" s="17">
        <v>0</v>
      </c>
      <c r="B87" t="s">
        <v>292</v>
      </c>
      <c r="D87" t="s">
        <v>30</v>
      </c>
      <c r="E87" t="s">
        <v>316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2">
        <v>6.5</v>
      </c>
      <c r="BB87">
        <v>1</v>
      </c>
    </row>
    <row r="88" spans="1:54">
      <c r="A88" s="17">
        <v>0</v>
      </c>
      <c r="B88" t="s">
        <v>293</v>
      </c>
      <c r="D88" t="s">
        <v>30</v>
      </c>
      <c r="E88" t="s">
        <v>317</v>
      </c>
      <c r="F88">
        <v>1</v>
      </c>
      <c r="G88">
        <v>0</v>
      </c>
      <c r="I88">
        <v>1</v>
      </c>
      <c r="J88">
        <v>1</v>
      </c>
      <c r="K88">
        <v>-1</v>
      </c>
      <c r="L88">
        <v>-1</v>
      </c>
      <c r="M88">
        <v>-1</v>
      </c>
      <c r="N88">
        <v>1</v>
      </c>
      <c r="O88">
        <v>-1</v>
      </c>
      <c r="P88" s="22">
        <v>6.5</v>
      </c>
      <c r="BB88">
        <v>1</v>
      </c>
    </row>
    <row r="89" spans="1:54">
      <c r="A89" s="17">
        <v>0</v>
      </c>
      <c r="B89" t="s">
        <v>294</v>
      </c>
      <c r="D89" t="s">
        <v>30</v>
      </c>
      <c r="E89" t="s">
        <v>318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2">
        <v>6.5</v>
      </c>
      <c r="BB89">
        <v>1</v>
      </c>
    </row>
    <row r="90" spans="1:54">
      <c r="A90" s="17">
        <v>0</v>
      </c>
      <c r="B90" t="s">
        <v>295</v>
      </c>
      <c r="D90" t="s">
        <v>30</v>
      </c>
      <c r="E90" t="s">
        <v>319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2">
        <v>6.5</v>
      </c>
      <c r="BB90">
        <v>1</v>
      </c>
    </row>
    <row r="91" spans="1:54">
      <c r="A91" s="17">
        <v>0</v>
      </c>
      <c r="B91" t="s">
        <v>296</v>
      </c>
      <c r="D91" t="s">
        <v>30</v>
      </c>
      <c r="E91" t="s">
        <v>320</v>
      </c>
      <c r="F91">
        <v>1</v>
      </c>
      <c r="G91">
        <v>0</v>
      </c>
      <c r="I91">
        <v>1</v>
      </c>
      <c r="J91">
        <v>1</v>
      </c>
      <c r="K91">
        <v>-1</v>
      </c>
      <c r="L91">
        <v>-1</v>
      </c>
      <c r="M91">
        <v>-1</v>
      </c>
      <c r="N91">
        <v>1</v>
      </c>
      <c r="O91">
        <v>-1</v>
      </c>
      <c r="P91" s="22">
        <v>6.5</v>
      </c>
      <c r="BB91">
        <v>1</v>
      </c>
    </row>
    <row r="92" spans="1:54">
      <c r="A92" s="17">
        <v>0</v>
      </c>
      <c r="B92" t="s">
        <v>297</v>
      </c>
      <c r="D92" t="s">
        <v>30</v>
      </c>
      <c r="E92" t="s">
        <v>321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2">
        <v>6.5</v>
      </c>
      <c r="BB92">
        <v>1</v>
      </c>
    </row>
    <row r="93" spans="1:54">
      <c r="A93" s="17">
        <v>0</v>
      </c>
      <c r="B93" t="s">
        <v>298</v>
      </c>
      <c r="D93" t="s">
        <v>30</v>
      </c>
      <c r="E93" t="s">
        <v>322</v>
      </c>
      <c r="F93">
        <v>1</v>
      </c>
      <c r="G93">
        <v>0</v>
      </c>
      <c r="I93">
        <v>1</v>
      </c>
      <c r="J93">
        <v>1</v>
      </c>
      <c r="K93">
        <v>-1</v>
      </c>
      <c r="L93" s="13">
        <v>1</v>
      </c>
      <c r="M93" s="13">
        <v>1</v>
      </c>
      <c r="N93">
        <v>1</v>
      </c>
      <c r="O93">
        <v>-1</v>
      </c>
      <c r="P93" s="22">
        <v>6.5</v>
      </c>
      <c r="BB93">
        <v>1</v>
      </c>
    </row>
    <row r="94" spans="1:54">
      <c r="A94" s="17">
        <v>0</v>
      </c>
      <c r="B94" t="s">
        <v>299</v>
      </c>
      <c r="D94" t="s">
        <v>30</v>
      </c>
      <c r="E94" t="s">
        <v>323</v>
      </c>
      <c r="F94">
        <v>1</v>
      </c>
      <c r="G94">
        <v>0</v>
      </c>
      <c r="I94">
        <v>1</v>
      </c>
      <c r="J94">
        <v>1</v>
      </c>
      <c r="K94">
        <v>-1</v>
      </c>
      <c r="L94" s="13">
        <v>1</v>
      </c>
      <c r="M94" s="13">
        <v>1</v>
      </c>
      <c r="N94">
        <v>1</v>
      </c>
      <c r="O94">
        <v>-1</v>
      </c>
      <c r="P94" s="22">
        <v>6.5</v>
      </c>
      <c r="BB94">
        <v>1</v>
      </c>
    </row>
    <row r="95" spans="1:54">
      <c r="A95" s="17">
        <v>0</v>
      </c>
      <c r="B95" t="s">
        <v>300</v>
      </c>
      <c r="D95" t="s">
        <v>30</v>
      </c>
      <c r="E95" t="s">
        <v>324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2">
        <v>6.5</v>
      </c>
      <c r="BB95">
        <v>1</v>
      </c>
    </row>
    <row r="96" spans="1:54">
      <c r="A96" s="17"/>
    </row>
  </sheetData>
  <autoFilter ref="A9:BH95" xr:uid="{00000000-0001-0000-0E00-000000000000}"/>
  <sortState xmlns:xlrd2="http://schemas.microsoft.com/office/spreadsheetml/2017/richdata2" ref="A10:BH62">
    <sortCondition ref="B10:B62"/>
  </sortState>
  <mergeCells count="1">
    <mergeCell ref="R6:AE6"/>
  </mergeCells>
  <phoneticPr fontId="34" type="noConversion"/>
  <conditionalFormatting sqref="A97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0:A96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96">
    <cfRule type="iconSet" priority="1">
      <iconSet>
        <cfvo type="percent" val="0"/>
        <cfvo type="percent" val="33"/>
        <cfvo type="percent" val="67"/>
      </iconSet>
    </cfRule>
  </conditionalFormatting>
  <conditionalFormatting sqref="A13:A96">
    <cfRule type="iconSet" priority="921">
      <iconSet>
        <cfvo type="percent" val="0"/>
        <cfvo type="percent" val="33"/>
        <cfvo type="percent" val="67"/>
      </iconSet>
    </cfRule>
  </conditionalFormatting>
  <conditionalFormatting sqref="A10:A95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2023-03-28T14:51:02Z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