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567E48D4-57B9-40F6-B5EC-1EAE3503B20C}" xr6:coauthVersionLast="47" xr6:coauthVersionMax="47" xr10:uidLastSave="{00000000-0000-0000-0000-000000000000}"/>
  <bookViews>
    <workbookView xWindow="-960" yWindow="-18390" windowWidth="28395" windowHeight="14235" activeTab="3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5" i="6" l="1"/>
  <c r="D35" i="6" s="1"/>
  <c r="E35" i="6" s="1"/>
  <c r="F35" i="6" s="1"/>
  <c r="G35" i="6" s="1"/>
  <c r="B35" i="6"/>
  <c r="C11" i="1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5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C13" i="1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H35" i="6" l="1"/>
  <c r="I35" i="6" s="1"/>
  <c r="J35" i="6" s="1"/>
  <c r="K35" i="6" s="1"/>
  <c r="L35" i="6" s="1"/>
  <c r="M35" i="6" s="1"/>
  <c r="N35" i="6" s="1"/>
  <c r="O35" i="6" s="1"/>
  <c r="P35" i="6" s="1"/>
  <c r="Q35" i="6" s="1"/>
  <c r="R35" i="6" s="1"/>
  <c r="S35" i="6" s="1"/>
  <c r="T35" i="6" s="1"/>
  <c r="U35" i="6" s="1"/>
  <c r="V35" i="6" s="1"/>
  <c r="W35" i="6" s="1"/>
  <c r="X35" i="6" s="1"/>
  <c r="Y35" i="6" s="1"/>
  <c r="Z35" i="6" s="1"/>
  <c r="AA35" i="6" s="1"/>
  <c r="AB35" i="6" s="1"/>
  <c r="AC35" i="6" s="1"/>
  <c r="AD35" i="6" s="1"/>
  <c r="AE35" i="6" s="1"/>
  <c r="AF35" i="6" s="1"/>
  <c r="H50" i="6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B172" i="2"/>
  <c r="B171" i="2"/>
  <c r="B170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B7" i="2"/>
  <c r="A151" i="2"/>
  <c r="AM151" i="2" s="1" a="1"/>
  <c r="AM151" i="2" s="1"/>
  <c r="A149" i="2"/>
  <c r="X149" i="2" s="1" a="1"/>
  <c r="X149" i="2" s="1"/>
  <c r="A150" i="2"/>
  <c r="E150" i="2" s="1" a="1"/>
  <c r="E150" i="2" s="1"/>
  <c r="A152" i="2"/>
  <c r="P152" i="2" s="1" a="1"/>
  <c r="P152" i="2" s="1"/>
  <c r="A153" i="2"/>
  <c r="G153" i="2" s="1" a="1"/>
  <c r="G153" i="2" s="1"/>
  <c r="A154" i="2"/>
  <c r="H154" i="2" s="1" a="1"/>
  <c r="H154" i="2" s="1"/>
  <c r="A155" i="2"/>
  <c r="L155" i="2" s="1" a="1"/>
  <c r="L155" i="2" s="1"/>
  <c r="A156" i="2"/>
  <c r="N156" i="2" s="1" a="1"/>
  <c r="N156" i="2" s="1"/>
  <c r="A157" i="2"/>
  <c r="L157" i="2" s="1" a="1"/>
  <c r="L157" i="2" s="1"/>
  <c r="A158" i="2"/>
  <c r="H158" i="2" s="1" a="1"/>
  <c r="H158" i="2" s="1"/>
  <c r="A159" i="2"/>
  <c r="D159" i="2" s="1" a="1"/>
  <c r="D159" i="2" s="1"/>
  <c r="A160" i="2"/>
  <c r="K160" i="2" s="1" a="1"/>
  <c r="K160" i="2" s="1"/>
  <c r="A161" i="2"/>
  <c r="G161" i="2" s="1" a="1"/>
  <c r="G161" i="2" s="1"/>
  <c r="A162" i="2"/>
  <c r="X162" i="2" s="1" a="1"/>
  <c r="X162" i="2" s="1"/>
  <c r="A163" i="2"/>
  <c r="H163" i="2" s="1" a="1"/>
  <c r="H163" i="2" s="1"/>
  <c r="A164" i="2"/>
  <c r="K164" i="2" s="1" a="1"/>
  <c r="K164" i="2" s="1"/>
  <c r="A165" i="2"/>
  <c r="D165" i="2" s="1" a="1"/>
  <c r="D165" i="2" s="1"/>
  <c r="A166" i="2"/>
  <c r="L166" i="2" s="1" a="1"/>
  <c r="L166" i="2" s="1"/>
  <c r="A148" i="2"/>
  <c r="D148" i="2" s="1" a="1"/>
  <c r="D148" i="2" s="1"/>
  <c r="AG152" i="2" l="1" a="1"/>
  <c r="AG152" i="2" s="1"/>
  <c r="U160" i="2" a="1"/>
  <c r="U160" i="2" s="1"/>
  <c r="U157" i="2" a="1"/>
  <c r="U157" i="2" s="1"/>
  <c r="I157" i="2" a="1"/>
  <c r="I157" i="2" s="1"/>
  <c r="Y153" i="2" a="1"/>
  <c r="Y153" i="2" s="1"/>
  <c r="N152" i="2" a="1"/>
  <c r="N152" i="2" s="1"/>
  <c r="M152" i="2" a="1"/>
  <c r="M152" i="2" s="1"/>
  <c r="T164" i="2" a="1"/>
  <c r="T164" i="2" s="1"/>
  <c r="S164" i="2" a="1"/>
  <c r="S164" i="2" s="1"/>
  <c r="AI159" i="2" a="1"/>
  <c r="AI159" i="2" s="1"/>
  <c r="AD159" i="2" a="1"/>
  <c r="AD159" i="2" s="1"/>
  <c r="AH151" i="2" a="1"/>
  <c r="AH151" i="2" s="1"/>
  <c r="D151" i="2" a="1"/>
  <c r="D151" i="2" s="1"/>
  <c r="T151" i="2" a="1"/>
  <c r="T151" i="2" s="1"/>
  <c r="AE151" i="2" a="1"/>
  <c r="AE151" i="2" s="1"/>
  <c r="AI151" i="2" a="1"/>
  <c r="AI151" i="2" s="1"/>
  <c r="AC151" i="2" a="1"/>
  <c r="AC151" i="2" s="1"/>
  <c r="AF151" i="2" a="1"/>
  <c r="AF151" i="2" s="1"/>
  <c r="H151" i="2" a="1"/>
  <c r="H151" i="2" s="1"/>
  <c r="AK151" i="2" a="1"/>
  <c r="AK151" i="2" s="1"/>
  <c r="J151" i="2" a="1"/>
  <c r="J151" i="2" s="1"/>
  <c r="W151" i="2" a="1"/>
  <c r="W151" i="2" s="1"/>
  <c r="AL151" i="2" a="1"/>
  <c r="AL151" i="2" s="1"/>
  <c r="N151" i="2" a="1"/>
  <c r="N151" i="2" s="1"/>
  <c r="Q151" i="2" a="1"/>
  <c r="Q151" i="2" s="1"/>
  <c r="E151" i="2" a="1"/>
  <c r="E151" i="2" s="1"/>
  <c r="Y151" i="2" a="1"/>
  <c r="Y151" i="2" s="1"/>
  <c r="AN151" i="2" a="1"/>
  <c r="AN151" i="2" s="1"/>
  <c r="P151" i="2" a="1"/>
  <c r="P151" i="2" s="1"/>
  <c r="S151" i="2" a="1"/>
  <c r="S151" i="2" s="1"/>
  <c r="V151" i="2" a="1"/>
  <c r="V151" i="2" s="1"/>
  <c r="K151" i="2" a="1"/>
  <c r="K151" i="2" s="1"/>
  <c r="Z151" i="2" a="1"/>
  <c r="Z151" i="2" s="1"/>
  <c r="G151" i="2" a="1"/>
  <c r="G151" i="2" s="1"/>
  <c r="M151" i="2" a="1"/>
  <c r="M151" i="2" s="1"/>
  <c r="AB151" i="2" a="1"/>
  <c r="AB151" i="2" s="1"/>
  <c r="AO151" i="2" a="1"/>
  <c r="AO151" i="2" s="1"/>
  <c r="K165" i="2" a="1"/>
  <c r="K165" i="2" s="1"/>
  <c r="I153" i="2" a="1"/>
  <c r="I153" i="2" s="1"/>
  <c r="AH164" i="2" a="1"/>
  <c r="AH164" i="2" s="1"/>
  <c r="M159" i="2" a="1"/>
  <c r="M159" i="2" s="1"/>
  <c r="E153" i="2" a="1"/>
  <c r="E153" i="2" s="1"/>
  <c r="AD164" i="2" a="1"/>
  <c r="AD164" i="2" s="1"/>
  <c r="L159" i="2" a="1"/>
  <c r="L159" i="2" s="1"/>
  <c r="AH152" i="2" a="1"/>
  <c r="AH152" i="2" s="1"/>
  <c r="F151" i="2" a="1"/>
  <c r="F151" i="2" s="1"/>
  <c r="L151" i="2" a="1"/>
  <c r="L151" i="2" s="1"/>
  <c r="R151" i="2" a="1"/>
  <c r="R151" i="2" s="1"/>
  <c r="X151" i="2" a="1"/>
  <c r="X151" i="2" s="1"/>
  <c r="AD151" i="2" a="1"/>
  <c r="AD151" i="2" s="1"/>
  <c r="AJ151" i="2" a="1"/>
  <c r="AJ151" i="2" s="1"/>
  <c r="C154" i="2" a="1"/>
  <c r="C154" i="2" s="1"/>
  <c r="AA166" i="2" a="1"/>
  <c r="AA166" i="2" s="1"/>
  <c r="X166" i="2" a="1"/>
  <c r="X166" i="2" s="1"/>
  <c r="AM161" i="2" a="1"/>
  <c r="AM161" i="2" s="1"/>
  <c r="Z154" i="2" a="1"/>
  <c r="Z154" i="2" s="1"/>
  <c r="D152" i="2" a="1"/>
  <c r="D152" i="2" s="1"/>
  <c r="J166" i="2" a="1"/>
  <c r="J166" i="2" s="1"/>
  <c r="AA161" i="2" a="1"/>
  <c r="AA161" i="2" s="1"/>
  <c r="V154" i="2" a="1"/>
  <c r="V154" i="2" s="1"/>
  <c r="I166" i="2" a="1"/>
  <c r="I166" i="2" s="1"/>
  <c r="U161" i="2" a="1"/>
  <c r="U161" i="2" s="1"/>
  <c r="G154" i="2" a="1"/>
  <c r="G154" i="2" s="1"/>
  <c r="C151" i="2" a="1"/>
  <c r="C151" i="2" s="1"/>
  <c r="I151" i="2" a="1"/>
  <c r="I151" i="2" s="1"/>
  <c r="O151" i="2" a="1"/>
  <c r="O151" i="2" s="1"/>
  <c r="U151" i="2" a="1"/>
  <c r="U151" i="2" s="1"/>
  <c r="AA151" i="2" a="1"/>
  <c r="AA151" i="2" s="1"/>
  <c r="AG151" i="2" a="1"/>
  <c r="AG151" i="2" s="1"/>
  <c r="L165" i="2" a="1"/>
  <c r="L165" i="2" s="1"/>
  <c r="AN161" i="2" a="1"/>
  <c r="AN161" i="2" s="1"/>
  <c r="AK154" i="2" a="1"/>
  <c r="AK154" i="2" s="1"/>
  <c r="AC165" i="2" a="1"/>
  <c r="AC165" i="2" s="1"/>
  <c r="AF160" i="2" a="1"/>
  <c r="AF160" i="2" s="1"/>
  <c r="F154" i="2" a="1"/>
  <c r="F154" i="2" s="1"/>
  <c r="Z165" i="2" a="1"/>
  <c r="Z165" i="2" s="1"/>
  <c r="AB153" i="2" a="1"/>
  <c r="AB153" i="2" s="1"/>
  <c r="P158" i="2" a="1"/>
  <c r="P158" i="2" s="1"/>
  <c r="C159" i="2" a="1"/>
  <c r="C159" i="2" s="1"/>
  <c r="M166" i="2" a="1"/>
  <c r="M166" i="2" s="1"/>
  <c r="O165" i="2" a="1"/>
  <c r="O165" i="2" s="1"/>
  <c r="W164" i="2" a="1"/>
  <c r="W164" i="2" s="1"/>
  <c r="V163" i="2" a="1"/>
  <c r="V163" i="2" s="1"/>
  <c r="AB161" i="2" a="1"/>
  <c r="AB161" i="2" s="1"/>
  <c r="AJ159" i="2" a="1"/>
  <c r="AJ159" i="2" s="1"/>
  <c r="AN158" i="2" a="1"/>
  <c r="AN158" i="2" s="1"/>
  <c r="F158" i="2" a="1"/>
  <c r="F158" i="2" s="1"/>
  <c r="J157" i="2" a="1"/>
  <c r="J157" i="2" s="1"/>
  <c r="AA154" i="2" a="1"/>
  <c r="AA154" i="2" s="1"/>
  <c r="AD153" i="2" a="1"/>
  <c r="AD153" i="2" s="1"/>
  <c r="AK152" i="2" a="1"/>
  <c r="AK152" i="2" s="1"/>
  <c r="AJ150" i="2" a="1"/>
  <c r="AJ150" i="2" s="1"/>
  <c r="C149" i="2" a="1"/>
  <c r="C149" i="2" s="1"/>
  <c r="F166" i="2" a="1"/>
  <c r="F166" i="2" s="1"/>
  <c r="H165" i="2" a="1"/>
  <c r="H165" i="2" s="1"/>
  <c r="O164" i="2" a="1"/>
  <c r="O164" i="2" s="1"/>
  <c r="P163" i="2" a="1"/>
  <c r="P163" i="2" s="1"/>
  <c r="Q161" i="2" a="1"/>
  <c r="Q161" i="2" s="1"/>
  <c r="AB159" i="2" a="1"/>
  <c r="AB159" i="2" s="1"/>
  <c r="AF158" i="2" a="1"/>
  <c r="AF158" i="2" s="1"/>
  <c r="AJ157" i="2" a="1"/>
  <c r="AJ157" i="2" s="1"/>
  <c r="AO155" i="2" a="1"/>
  <c r="AO155" i="2" s="1"/>
  <c r="T154" i="2" a="1"/>
  <c r="T154" i="2" s="1"/>
  <c r="X153" i="2" a="1"/>
  <c r="X153" i="2" s="1"/>
  <c r="AC152" i="2" a="1"/>
  <c r="AC152" i="2" s="1"/>
  <c r="AF150" i="2" a="1"/>
  <c r="AF150" i="2" s="1"/>
  <c r="T163" i="2" a="1"/>
  <c r="T163" i="2" s="1"/>
  <c r="AM158" i="2" a="1"/>
  <c r="AM158" i="2" s="1"/>
  <c r="AN166" i="2" a="1"/>
  <c r="AN166" i="2" s="1"/>
  <c r="D166" i="2" a="1"/>
  <c r="D166" i="2" s="1"/>
  <c r="F165" i="2" a="1"/>
  <c r="F165" i="2" s="1"/>
  <c r="M164" i="2" a="1"/>
  <c r="M164" i="2" s="1"/>
  <c r="L163" i="2" a="1"/>
  <c r="L163" i="2" s="1"/>
  <c r="P161" i="2" a="1"/>
  <c r="P161" i="2" s="1"/>
  <c r="Y159" i="2" a="1"/>
  <c r="Y159" i="2" s="1"/>
  <c r="AF157" i="2" a="1"/>
  <c r="AF157" i="2" s="1"/>
  <c r="AE155" i="2" a="1"/>
  <c r="AE155" i="2" s="1"/>
  <c r="R154" i="2" a="1"/>
  <c r="R154" i="2" s="1"/>
  <c r="S153" i="2" a="1"/>
  <c r="S153" i="2" s="1"/>
  <c r="AA152" i="2" a="1"/>
  <c r="AA152" i="2" s="1"/>
  <c r="AA150" i="2" a="1"/>
  <c r="AA150" i="2" s="1"/>
  <c r="AH158" i="2" a="1"/>
  <c r="AH158" i="2" s="1"/>
  <c r="AK166" i="2" a="1"/>
  <c r="AK166" i="2" s="1"/>
  <c r="AM165" i="2" a="1"/>
  <c r="AM165" i="2" s="1"/>
  <c r="J164" i="2" a="1"/>
  <c r="J164" i="2" s="1"/>
  <c r="J163" i="2" a="1"/>
  <c r="J163" i="2" s="1"/>
  <c r="K161" i="2" a="1"/>
  <c r="K161" i="2" s="1"/>
  <c r="X159" i="2" a="1"/>
  <c r="X159" i="2" s="1"/>
  <c r="AB158" i="2" a="1"/>
  <c r="AB158" i="2" s="1"/>
  <c r="AE157" i="2" a="1"/>
  <c r="AE157" i="2" s="1"/>
  <c r="T155" i="2" a="1"/>
  <c r="T155" i="2" s="1"/>
  <c r="Q154" i="2" a="1"/>
  <c r="Q154" i="2" s="1"/>
  <c r="W150" i="2" a="1"/>
  <c r="W150" i="2" s="1"/>
  <c r="E158" i="2" a="1"/>
  <c r="E158" i="2" s="1"/>
  <c r="D157" i="2" a="1"/>
  <c r="D157" i="2" s="1"/>
  <c r="AE166" i="2" a="1"/>
  <c r="AE166" i="2" s="1"/>
  <c r="AG165" i="2" a="1"/>
  <c r="AG165" i="2" s="1"/>
  <c r="AN164" i="2" a="1"/>
  <c r="AN164" i="2" s="1"/>
  <c r="I164" i="2" a="1"/>
  <c r="I164" i="2" s="1"/>
  <c r="I161" i="2" a="1"/>
  <c r="I161" i="2" s="1"/>
  <c r="S159" i="2" a="1"/>
  <c r="S159" i="2" s="1"/>
  <c r="W158" i="2" a="1"/>
  <c r="W158" i="2" s="1"/>
  <c r="AA157" i="2" a="1"/>
  <c r="AA157" i="2" s="1"/>
  <c r="J155" i="2" a="1"/>
  <c r="J155" i="2" s="1"/>
  <c r="L154" i="2" a="1"/>
  <c r="L154" i="2" s="1"/>
  <c r="O153" i="2" a="1"/>
  <c r="O153" i="2" s="1"/>
  <c r="W152" i="2" a="1"/>
  <c r="W152" i="2" s="1"/>
  <c r="V150" i="2" a="1"/>
  <c r="V150" i="2" s="1"/>
  <c r="Q163" i="2" a="1"/>
  <c r="Q163" i="2" s="1"/>
  <c r="AL157" i="2" a="1"/>
  <c r="AL157" i="2" s="1"/>
  <c r="AB166" i="2" a="1"/>
  <c r="AB166" i="2" s="1"/>
  <c r="AD165" i="2" a="1"/>
  <c r="AD165" i="2" s="1"/>
  <c r="AI164" i="2" a="1"/>
  <c r="AI164" i="2" s="1"/>
  <c r="AO163" i="2" a="1"/>
  <c r="AO163" i="2" s="1"/>
  <c r="F163" i="2" a="1"/>
  <c r="F163" i="2" s="1"/>
  <c r="E161" i="2" a="1"/>
  <c r="E161" i="2" s="1"/>
  <c r="Q159" i="2" a="1"/>
  <c r="Q159" i="2" s="1"/>
  <c r="U158" i="2" a="1"/>
  <c r="U158" i="2" s="1"/>
  <c r="Y157" i="2" a="1"/>
  <c r="Y157" i="2" s="1"/>
  <c r="AO154" i="2" a="1"/>
  <c r="AO154" i="2" s="1"/>
  <c r="J154" i="2" a="1"/>
  <c r="J154" i="2" s="1"/>
  <c r="J153" i="2" a="1"/>
  <c r="J153" i="2" s="1"/>
  <c r="S152" i="2" a="1"/>
  <c r="S152" i="2" s="1"/>
  <c r="R150" i="2" a="1"/>
  <c r="R150" i="2" s="1"/>
  <c r="AF163" i="2" a="1"/>
  <c r="AF163" i="2" s="1"/>
  <c r="P150" i="2" a="1"/>
  <c r="P150" i="2" s="1"/>
  <c r="M150" i="2" a="1"/>
  <c r="M150" i="2" s="1"/>
  <c r="V166" i="2" a="1"/>
  <c r="V166" i="2" s="1"/>
  <c r="X165" i="2" a="1"/>
  <c r="X165" i="2" s="1"/>
  <c r="AC164" i="2" a="1"/>
  <c r="AC164" i="2" s="1"/>
  <c r="AA163" i="2" a="1"/>
  <c r="AA163" i="2" s="1"/>
  <c r="AH161" i="2" a="1"/>
  <c r="AH161" i="2" s="1"/>
  <c r="I160" i="2" a="1"/>
  <c r="I160" i="2" s="1"/>
  <c r="H159" i="2" a="1"/>
  <c r="H159" i="2" s="1"/>
  <c r="K158" i="2" a="1"/>
  <c r="K158" i="2" s="1"/>
  <c r="O157" i="2" a="1"/>
  <c r="O157" i="2" s="1"/>
  <c r="AG154" i="2" a="1"/>
  <c r="AG154" i="2" s="1"/>
  <c r="AI153" i="2" a="1"/>
  <c r="AI153" i="2" s="1"/>
  <c r="D153" i="2" a="1"/>
  <c r="D153" i="2" s="1"/>
  <c r="I152" i="2" a="1"/>
  <c r="I152" i="2" s="1"/>
  <c r="L150" i="2" a="1"/>
  <c r="L150" i="2" s="1"/>
  <c r="AK163" i="2" a="1"/>
  <c r="AK163" i="2" s="1"/>
  <c r="Q158" i="2" a="1"/>
  <c r="Q158" i="2" s="1"/>
  <c r="T157" i="2" a="1"/>
  <c r="T157" i="2" s="1"/>
  <c r="C163" i="2" a="1"/>
  <c r="C163" i="2" s="1"/>
  <c r="S166" i="2" a="1"/>
  <c r="S166" i="2" s="1"/>
  <c r="U165" i="2" a="1"/>
  <c r="U165" i="2" s="1"/>
  <c r="Y164" i="2" a="1"/>
  <c r="Y164" i="2" s="1"/>
  <c r="Z163" i="2" a="1"/>
  <c r="Z163" i="2" s="1"/>
  <c r="AF161" i="2" a="1"/>
  <c r="AF161" i="2" s="1"/>
  <c r="AN159" i="2" a="1"/>
  <c r="AN159" i="2" s="1"/>
  <c r="F159" i="2" a="1"/>
  <c r="F159" i="2" s="1"/>
  <c r="J158" i="2" a="1"/>
  <c r="J158" i="2" s="1"/>
  <c r="M157" i="2" a="1"/>
  <c r="M157" i="2" s="1"/>
  <c r="AE154" i="2" a="1"/>
  <c r="AE154" i="2" s="1"/>
  <c r="AH153" i="2" a="1"/>
  <c r="AH153" i="2" s="1"/>
  <c r="AM152" i="2" a="1"/>
  <c r="AM152" i="2" s="1"/>
  <c r="G152" i="2" a="1"/>
  <c r="G152" i="2" s="1"/>
  <c r="AK148" i="2" a="1"/>
  <c r="AK148" i="2" s="1"/>
  <c r="AJ156" i="2" a="1"/>
  <c r="AJ156" i="2" s="1"/>
  <c r="AF149" i="2" a="1"/>
  <c r="AF149" i="2" s="1"/>
  <c r="AO149" i="2" a="1"/>
  <c r="AO149" i="2" s="1"/>
  <c r="Y156" i="2" a="1"/>
  <c r="Y156" i="2" s="1"/>
  <c r="P149" i="2" a="1"/>
  <c r="P149" i="2" s="1"/>
  <c r="Y149" i="2" a="1"/>
  <c r="Y149" i="2" s="1"/>
  <c r="AG149" i="2" a="1"/>
  <c r="AG149" i="2" s="1"/>
  <c r="I149" i="2" a="1"/>
  <c r="I149" i="2" s="1"/>
  <c r="Q149" i="2" a="1"/>
  <c r="Q149" i="2" s="1"/>
  <c r="Z149" i="2" a="1"/>
  <c r="Z149" i="2" s="1"/>
  <c r="R149" i="2" a="1"/>
  <c r="R149" i="2" s="1"/>
  <c r="AH149" i="2" a="1"/>
  <c r="AH149" i="2" s="1"/>
  <c r="J149" i="2" a="1"/>
  <c r="J149" i="2" s="1"/>
  <c r="AA149" i="2" a="1"/>
  <c r="AA149" i="2" s="1"/>
  <c r="AI149" i="2" a="1"/>
  <c r="AI149" i="2" s="1"/>
  <c r="K149" i="2" a="1"/>
  <c r="K149" i="2" s="1"/>
  <c r="S149" i="2" a="1"/>
  <c r="S149" i="2" s="1"/>
  <c r="AJ149" i="2" a="1"/>
  <c r="AJ149" i="2" s="1"/>
  <c r="L149" i="2" a="1"/>
  <c r="L149" i="2" s="1"/>
  <c r="T149" i="2" a="1"/>
  <c r="T149" i="2" s="1"/>
  <c r="AB149" i="2" a="1"/>
  <c r="AB149" i="2" s="1"/>
  <c r="AK149" i="2" a="1"/>
  <c r="AK149" i="2" s="1"/>
  <c r="W149" i="2" a="1"/>
  <c r="W149" i="2" s="1"/>
  <c r="AE149" i="2" a="1"/>
  <c r="AE149" i="2" s="1"/>
  <c r="D149" i="2" a="1"/>
  <c r="D149" i="2" s="1"/>
  <c r="U149" i="2" a="1"/>
  <c r="U149" i="2" s="1"/>
  <c r="AC149" i="2" a="1"/>
  <c r="AC149" i="2" s="1"/>
  <c r="AL149" i="2" a="1"/>
  <c r="AL149" i="2" s="1"/>
  <c r="E149" i="2" a="1"/>
  <c r="E149" i="2" s="1"/>
  <c r="M149" i="2" a="1"/>
  <c r="M149" i="2" s="1"/>
  <c r="AD149" i="2" a="1"/>
  <c r="AD149" i="2" s="1"/>
  <c r="AM149" i="2" a="1"/>
  <c r="AM149" i="2" s="1"/>
  <c r="F149" i="2" a="1"/>
  <c r="F149" i="2" s="1"/>
  <c r="N149" i="2" a="1"/>
  <c r="N149" i="2" s="1"/>
  <c r="V149" i="2" a="1"/>
  <c r="V149" i="2" s="1"/>
  <c r="AN149" i="2" a="1"/>
  <c r="AN149" i="2" s="1"/>
  <c r="H149" i="2" a="1"/>
  <c r="H149" i="2" s="1"/>
  <c r="AH162" i="2" a="1"/>
  <c r="AH162" i="2" s="1"/>
  <c r="O149" i="2" a="1"/>
  <c r="O149" i="2" s="1"/>
  <c r="D156" i="2" a="1"/>
  <c r="D156" i="2" s="1"/>
  <c r="O156" i="2" a="1"/>
  <c r="O156" i="2" s="1"/>
  <c r="AA156" i="2" a="1"/>
  <c r="AA156" i="2" s="1"/>
  <c r="AL156" i="2" a="1"/>
  <c r="AL156" i="2" s="1"/>
  <c r="C156" i="2" a="1"/>
  <c r="C156" i="2" s="1"/>
  <c r="AC156" i="2" a="1"/>
  <c r="AC156" i="2" s="1"/>
  <c r="E156" i="2" a="1"/>
  <c r="E156" i="2" s="1"/>
  <c r="P156" i="2" a="1"/>
  <c r="P156" i="2" s="1"/>
  <c r="AB156" i="2" a="1"/>
  <c r="AB156" i="2" s="1"/>
  <c r="AM156" i="2" a="1"/>
  <c r="AM156" i="2" s="1"/>
  <c r="Q156" i="2" a="1"/>
  <c r="Q156" i="2" s="1"/>
  <c r="G156" i="2" a="1"/>
  <c r="G156" i="2" s="1"/>
  <c r="R156" i="2" a="1"/>
  <c r="R156" i="2" s="1"/>
  <c r="AD156" i="2" a="1"/>
  <c r="AD156" i="2" s="1"/>
  <c r="AO156" i="2" a="1"/>
  <c r="AO156" i="2" s="1"/>
  <c r="H156" i="2" a="1"/>
  <c r="H156" i="2" s="1"/>
  <c r="AE156" i="2" a="1"/>
  <c r="AE156" i="2" s="1"/>
  <c r="S156" i="2" a="1"/>
  <c r="S156" i="2" s="1"/>
  <c r="I156" i="2" a="1"/>
  <c r="I156" i="2" s="1"/>
  <c r="T156" i="2" a="1"/>
  <c r="T156" i="2" s="1"/>
  <c r="AF156" i="2" a="1"/>
  <c r="AF156" i="2" s="1"/>
  <c r="M156" i="2" a="1"/>
  <c r="M156" i="2" s="1"/>
  <c r="J156" i="2" a="1"/>
  <c r="J156" i="2" s="1"/>
  <c r="U156" i="2" a="1"/>
  <c r="U156" i="2" s="1"/>
  <c r="X156" i="2" a="1"/>
  <c r="X156" i="2" s="1"/>
  <c r="K156" i="2" a="1"/>
  <c r="K156" i="2" s="1"/>
  <c r="V156" i="2" a="1"/>
  <c r="V156" i="2" s="1"/>
  <c r="AG156" i="2" a="1"/>
  <c r="AG156" i="2" s="1"/>
  <c r="L156" i="2" a="1"/>
  <c r="L156" i="2" s="1"/>
  <c r="W156" i="2" a="1"/>
  <c r="W156" i="2" s="1"/>
  <c r="AH156" i="2" a="1"/>
  <c r="AH156" i="2" s="1"/>
  <c r="AI156" i="2" a="1"/>
  <c r="AI156" i="2" s="1"/>
  <c r="Z156" i="2" a="1"/>
  <c r="Z156" i="2" s="1"/>
  <c r="AK156" i="2" a="1"/>
  <c r="AK156" i="2" s="1"/>
  <c r="F156" i="2" a="1"/>
  <c r="F156" i="2" s="1"/>
  <c r="AN156" i="2" a="1"/>
  <c r="AN156" i="2" s="1"/>
  <c r="M162" i="2" a="1"/>
  <c r="M162" i="2" s="1"/>
  <c r="G149" i="2" a="1"/>
  <c r="G149" i="2" s="1"/>
  <c r="O162" i="2" a="1"/>
  <c r="O162" i="2" s="1"/>
  <c r="Z162" i="2" a="1"/>
  <c r="Z162" i="2" s="1"/>
  <c r="AJ162" i="2" a="1"/>
  <c r="AJ162" i="2" s="1"/>
  <c r="Q162" i="2" a="1"/>
  <c r="Q162" i="2" s="1"/>
  <c r="AA162" i="2" a="1"/>
  <c r="AA162" i="2" s="1"/>
  <c r="D162" i="2" a="1"/>
  <c r="D162" i="2" s="1"/>
  <c r="P162" i="2" a="1"/>
  <c r="P162" i="2" s="1"/>
  <c r="AK162" i="2" a="1"/>
  <c r="AK162" i="2" s="1"/>
  <c r="E162" i="2" a="1"/>
  <c r="E162" i="2" s="1"/>
  <c r="F162" i="2" a="1"/>
  <c r="F162" i="2" s="1"/>
  <c r="R162" i="2" a="1"/>
  <c r="R162" i="2" s="1"/>
  <c r="AB162" i="2" a="1"/>
  <c r="AB162" i="2" s="1"/>
  <c r="G162" i="2" a="1"/>
  <c r="G162" i="2" s="1"/>
  <c r="AC162" i="2" a="1"/>
  <c r="AC162" i="2" s="1"/>
  <c r="S162" i="2" a="1"/>
  <c r="S162" i="2" s="1"/>
  <c r="H162" i="2" a="1"/>
  <c r="H162" i="2" s="1"/>
  <c r="T162" i="2" a="1"/>
  <c r="T162" i="2" s="1"/>
  <c r="AD162" i="2" a="1"/>
  <c r="AD162" i="2" s="1"/>
  <c r="AN162" i="2" a="1"/>
  <c r="AN162" i="2" s="1"/>
  <c r="I162" i="2" a="1"/>
  <c r="I162" i="2" s="1"/>
  <c r="AE162" i="2" a="1"/>
  <c r="AE162" i="2" s="1"/>
  <c r="AO162" i="2" a="1"/>
  <c r="AO162" i="2" s="1"/>
  <c r="J162" i="2" a="1"/>
  <c r="J162" i="2" s="1"/>
  <c r="U162" i="2" a="1"/>
  <c r="U162" i="2" s="1"/>
  <c r="AF162" i="2" a="1"/>
  <c r="AF162" i="2" s="1"/>
  <c r="K162" i="2" a="1"/>
  <c r="K162" i="2" s="1"/>
  <c r="V162" i="2" a="1"/>
  <c r="V162" i="2" s="1"/>
  <c r="C162" i="2" a="1"/>
  <c r="C162" i="2" s="1"/>
  <c r="L162" i="2" a="1"/>
  <c r="L162" i="2" s="1"/>
  <c r="W162" i="2" a="1"/>
  <c r="W162" i="2" s="1"/>
  <c r="AG162" i="2" a="1"/>
  <c r="AG162" i="2" s="1"/>
  <c r="N162" i="2" a="1"/>
  <c r="N162" i="2" s="1"/>
  <c r="Y162" i="2" a="1"/>
  <c r="Y162" i="2" s="1"/>
  <c r="AI162" i="2" a="1"/>
  <c r="AI162" i="2" s="1"/>
  <c r="AL162" i="2" a="1"/>
  <c r="AL162" i="2" s="1"/>
  <c r="AM162" i="2" a="1"/>
  <c r="AM162" i="2" s="1"/>
  <c r="AJ160" i="2" a="1"/>
  <c r="AJ160" i="2" s="1"/>
  <c r="N155" i="2" a="1"/>
  <c r="N155" i="2" s="1"/>
  <c r="C164" i="2" a="1"/>
  <c r="C164" i="2" s="1"/>
  <c r="C155" i="2" a="1"/>
  <c r="C155" i="2" s="1"/>
  <c r="AL166" i="2" a="1"/>
  <c r="AL166" i="2" s="1"/>
  <c r="AC166" i="2" a="1"/>
  <c r="AC166" i="2" s="1"/>
  <c r="T166" i="2" a="1"/>
  <c r="T166" i="2" s="1"/>
  <c r="K166" i="2" a="1"/>
  <c r="K166" i="2" s="1"/>
  <c r="AN165" i="2" a="1"/>
  <c r="AN165" i="2" s="1"/>
  <c r="AE165" i="2" a="1"/>
  <c r="AE165" i="2" s="1"/>
  <c r="V165" i="2" a="1"/>
  <c r="V165" i="2" s="1"/>
  <c r="M165" i="2" a="1"/>
  <c r="M165" i="2" s="1"/>
  <c r="AO164" i="2" a="1"/>
  <c r="AO164" i="2" s="1"/>
  <c r="AE164" i="2" a="1"/>
  <c r="AE164" i="2" s="1"/>
  <c r="U164" i="2" a="1"/>
  <c r="U164" i="2" s="1"/>
  <c r="AL163" i="2" a="1"/>
  <c r="AL163" i="2" s="1"/>
  <c r="AB163" i="2" a="1"/>
  <c r="AB163" i="2" s="1"/>
  <c r="R163" i="2" a="1"/>
  <c r="R163" i="2" s="1"/>
  <c r="G163" i="2" a="1"/>
  <c r="G163" i="2" s="1"/>
  <c r="AC161" i="2" a="1"/>
  <c r="AC161" i="2" s="1"/>
  <c r="R161" i="2" a="1"/>
  <c r="R161" i="2" s="1"/>
  <c r="F161" i="2" a="1"/>
  <c r="F161" i="2" s="1"/>
  <c r="AG160" i="2" a="1"/>
  <c r="AG160" i="2" s="1"/>
  <c r="V160" i="2" a="1"/>
  <c r="V160" i="2" s="1"/>
  <c r="J160" i="2" a="1"/>
  <c r="J160" i="2" s="1"/>
  <c r="AK159" i="2" a="1"/>
  <c r="AK159" i="2" s="1"/>
  <c r="Z159" i="2" a="1"/>
  <c r="Z159" i="2" s="1"/>
  <c r="N159" i="2" a="1"/>
  <c r="N159" i="2" s="1"/>
  <c r="AO158" i="2" a="1"/>
  <c r="AO158" i="2" s="1"/>
  <c r="AC158" i="2" a="1"/>
  <c r="AC158" i="2" s="1"/>
  <c r="R158" i="2" a="1"/>
  <c r="R158" i="2" s="1"/>
  <c r="G158" i="2" a="1"/>
  <c r="G158" i="2" s="1"/>
  <c r="AG157" i="2" a="1"/>
  <c r="AG157" i="2" s="1"/>
  <c r="V157" i="2" a="1"/>
  <c r="V157" i="2" s="1"/>
  <c r="K157" i="2" a="1"/>
  <c r="K157" i="2" s="1"/>
  <c r="AF155" i="2" a="1"/>
  <c r="AF155" i="2" s="1"/>
  <c r="U155" i="2" a="1"/>
  <c r="U155" i="2" s="1"/>
  <c r="K155" i="2" a="1"/>
  <c r="K155" i="2" s="1"/>
  <c r="AL154" i="2" a="1"/>
  <c r="AL154" i="2" s="1"/>
  <c r="AB154" i="2" a="1"/>
  <c r="AB154" i="2" s="1"/>
  <c r="AJ153" i="2" a="1"/>
  <c r="AJ153" i="2" s="1"/>
  <c r="Z153" i="2" a="1"/>
  <c r="Z153" i="2" s="1"/>
  <c r="P153" i="2" a="1"/>
  <c r="P153" i="2" s="1"/>
  <c r="F153" i="2" a="1"/>
  <c r="F153" i="2" s="1"/>
  <c r="AI152" i="2" a="1"/>
  <c r="AI152" i="2" s="1"/>
  <c r="X152" i="2" a="1"/>
  <c r="X152" i="2" s="1"/>
  <c r="O152" i="2" a="1"/>
  <c r="O152" i="2" s="1"/>
  <c r="E152" i="2" a="1"/>
  <c r="E152" i="2" s="1"/>
  <c r="AG150" i="2" a="1"/>
  <c r="AG150" i="2" s="1"/>
  <c r="X150" i="2" a="1"/>
  <c r="X150" i="2" s="1"/>
  <c r="D150" i="2" a="1"/>
  <c r="D150" i="2" s="1"/>
  <c r="AL148" i="2" a="1"/>
  <c r="AL148" i="2" s="1"/>
  <c r="AC148" i="2" a="1"/>
  <c r="AC148" i="2" s="1"/>
  <c r="U148" i="2" a="1"/>
  <c r="U148" i="2" s="1"/>
  <c r="L148" i="2" a="1"/>
  <c r="L148" i="2" s="1"/>
  <c r="AN155" i="2" a="1"/>
  <c r="AN155" i="2" s="1"/>
  <c r="T148" i="2" a="1"/>
  <c r="T148" i="2" s="1"/>
  <c r="C153" i="2" a="1"/>
  <c r="C153" i="2" s="1"/>
  <c r="AJ166" i="2" a="1"/>
  <c r="AJ166" i="2" s="1"/>
  <c r="R166" i="2" a="1"/>
  <c r="R166" i="2" s="1"/>
  <c r="AL165" i="2" a="1"/>
  <c r="AL165" i="2" s="1"/>
  <c r="T165" i="2" a="1"/>
  <c r="T165" i="2" s="1"/>
  <c r="AM164" i="2" a="1"/>
  <c r="AM164" i="2" s="1"/>
  <c r="R164" i="2" a="1"/>
  <c r="R164" i="2" s="1"/>
  <c r="H164" i="2" a="1"/>
  <c r="H164" i="2" s="1"/>
  <c r="AJ163" i="2" a="1"/>
  <c r="AJ163" i="2" s="1"/>
  <c r="Y163" i="2" a="1"/>
  <c r="Y163" i="2" s="1"/>
  <c r="O163" i="2" a="1"/>
  <c r="O163" i="2" s="1"/>
  <c r="E163" i="2" a="1"/>
  <c r="E163" i="2" s="1"/>
  <c r="AL161" i="2" a="1"/>
  <c r="AL161" i="2" s="1"/>
  <c r="Z161" i="2" a="1"/>
  <c r="Z161" i="2" s="1"/>
  <c r="O161" i="2" a="1"/>
  <c r="O161" i="2" s="1"/>
  <c r="D161" i="2" a="1"/>
  <c r="D161" i="2" s="1"/>
  <c r="AD160" i="2" a="1"/>
  <c r="AD160" i="2" s="1"/>
  <c r="S160" i="2" a="1"/>
  <c r="S160" i="2" s="1"/>
  <c r="G160" i="2" a="1"/>
  <c r="G160" i="2" s="1"/>
  <c r="AH159" i="2" a="1"/>
  <c r="AH159" i="2" s="1"/>
  <c r="W159" i="2" a="1"/>
  <c r="W159" i="2" s="1"/>
  <c r="K159" i="2" a="1"/>
  <c r="K159" i="2" s="1"/>
  <c r="AL158" i="2" a="1"/>
  <c r="AL158" i="2" s="1"/>
  <c r="AA158" i="2" a="1"/>
  <c r="AA158" i="2" s="1"/>
  <c r="O158" i="2" a="1"/>
  <c r="O158" i="2" s="1"/>
  <c r="D158" i="2" a="1"/>
  <c r="D158" i="2" s="1"/>
  <c r="S157" i="2" a="1"/>
  <c r="S157" i="2" s="1"/>
  <c r="H157" i="2" a="1"/>
  <c r="H157" i="2" s="1"/>
  <c r="AM155" i="2" a="1"/>
  <c r="AM155" i="2" s="1"/>
  <c r="AC155" i="2" a="1"/>
  <c r="AC155" i="2" s="1"/>
  <c r="R155" i="2" a="1"/>
  <c r="R155" i="2" s="1"/>
  <c r="H155" i="2" a="1"/>
  <c r="H155" i="2" s="1"/>
  <c r="P154" i="2" a="1"/>
  <c r="P154" i="2" s="1"/>
  <c r="E154" i="2" a="1"/>
  <c r="E154" i="2" s="1"/>
  <c r="W153" i="2" a="1"/>
  <c r="W153" i="2" s="1"/>
  <c r="N153" i="2" a="1"/>
  <c r="N153" i="2" s="1"/>
  <c r="AF152" i="2" a="1"/>
  <c r="AF152" i="2" s="1"/>
  <c r="L152" i="2" a="1"/>
  <c r="L152" i="2" s="1"/>
  <c r="AO150" i="2" a="1"/>
  <c r="AO150" i="2" s="1"/>
  <c r="AE150" i="2" a="1"/>
  <c r="AE150" i="2" s="1"/>
  <c r="U150" i="2" a="1"/>
  <c r="U150" i="2" s="1"/>
  <c r="K150" i="2" a="1"/>
  <c r="K150" i="2" s="1"/>
  <c r="AA148" i="2" a="1"/>
  <c r="AA148" i="2" s="1"/>
  <c r="S148" i="2" a="1"/>
  <c r="S148" i="2" s="1"/>
  <c r="J148" i="2" a="1"/>
  <c r="J148" i="2" s="1"/>
  <c r="AD155" i="2" a="1"/>
  <c r="AD155" i="2" s="1"/>
  <c r="AB148" i="2" a="1"/>
  <c r="AB148" i="2" s="1"/>
  <c r="C161" i="2" a="1"/>
  <c r="C161" i="2" s="1"/>
  <c r="C152" i="2" a="1"/>
  <c r="C152" i="2" s="1"/>
  <c r="AI166" i="2" a="1"/>
  <c r="AI166" i="2" s="1"/>
  <c r="Z166" i="2" a="1"/>
  <c r="Z166" i="2" s="1"/>
  <c r="Q166" i="2" a="1"/>
  <c r="Q166" i="2" s="1"/>
  <c r="H166" i="2" a="1"/>
  <c r="H166" i="2" s="1"/>
  <c r="AK165" i="2" a="1"/>
  <c r="AK165" i="2" s="1"/>
  <c r="AB165" i="2" a="1"/>
  <c r="AB165" i="2" s="1"/>
  <c r="S165" i="2" a="1"/>
  <c r="S165" i="2" s="1"/>
  <c r="J165" i="2" a="1"/>
  <c r="J165" i="2" s="1"/>
  <c r="AL164" i="2" a="1"/>
  <c r="AL164" i="2" s="1"/>
  <c r="AB164" i="2" a="1"/>
  <c r="AB164" i="2" s="1"/>
  <c r="Q164" i="2" a="1"/>
  <c r="Q164" i="2" s="1"/>
  <c r="G164" i="2" a="1"/>
  <c r="G164" i="2" s="1"/>
  <c r="AI163" i="2" a="1"/>
  <c r="AI163" i="2" s="1"/>
  <c r="N163" i="2" a="1"/>
  <c r="N163" i="2" s="1"/>
  <c r="D163" i="2" a="1"/>
  <c r="D163" i="2" s="1"/>
  <c r="AK161" i="2" a="1"/>
  <c r="AK161" i="2" s="1"/>
  <c r="Y161" i="2" a="1"/>
  <c r="Y161" i="2" s="1"/>
  <c r="N161" i="2" a="1"/>
  <c r="N161" i="2" s="1"/>
  <c r="AO160" i="2" a="1"/>
  <c r="AO160" i="2" s="1"/>
  <c r="AC160" i="2" a="1"/>
  <c r="AC160" i="2" s="1"/>
  <c r="R160" i="2" a="1"/>
  <c r="R160" i="2" s="1"/>
  <c r="AG159" i="2" a="1"/>
  <c r="AG159" i="2" s="1"/>
  <c r="V159" i="2" a="1"/>
  <c r="V159" i="2" s="1"/>
  <c r="J159" i="2" a="1"/>
  <c r="J159" i="2" s="1"/>
  <c r="AK158" i="2" a="1"/>
  <c r="AK158" i="2" s="1"/>
  <c r="Z158" i="2" a="1"/>
  <c r="Z158" i="2" s="1"/>
  <c r="N158" i="2" a="1"/>
  <c r="N158" i="2" s="1"/>
  <c r="AO157" i="2" a="1"/>
  <c r="AO157" i="2" s="1"/>
  <c r="AD157" i="2" a="1"/>
  <c r="AD157" i="2" s="1"/>
  <c r="R157" i="2" a="1"/>
  <c r="R157" i="2" s="1"/>
  <c r="G157" i="2" a="1"/>
  <c r="G157" i="2" s="1"/>
  <c r="AL155" i="2" a="1"/>
  <c r="AL155" i="2" s="1"/>
  <c r="AB155" i="2" a="1"/>
  <c r="AB155" i="2" s="1"/>
  <c r="G155" i="2" a="1"/>
  <c r="G155" i="2" s="1"/>
  <c r="AJ154" i="2" a="1"/>
  <c r="AJ154" i="2" s="1"/>
  <c r="Y154" i="2" a="1"/>
  <c r="Y154" i="2" s="1"/>
  <c r="O154" i="2" a="1"/>
  <c r="O154" i="2" s="1"/>
  <c r="D154" i="2" a="1"/>
  <c r="D154" i="2" s="1"/>
  <c r="AG153" i="2" a="1"/>
  <c r="AG153" i="2" s="1"/>
  <c r="V153" i="2" a="1"/>
  <c r="V153" i="2" s="1"/>
  <c r="M153" i="2" a="1"/>
  <c r="M153" i="2" s="1"/>
  <c r="AO152" i="2" a="1"/>
  <c r="AO152" i="2" s="1"/>
  <c r="AE152" i="2" a="1"/>
  <c r="AE152" i="2" s="1"/>
  <c r="V152" i="2" a="1"/>
  <c r="V152" i="2" s="1"/>
  <c r="AN150" i="2" a="1"/>
  <c r="AN150" i="2" s="1"/>
  <c r="AD150" i="2" a="1"/>
  <c r="AD150" i="2" s="1"/>
  <c r="T150" i="2" a="1"/>
  <c r="T150" i="2" s="1"/>
  <c r="J150" i="2" a="1"/>
  <c r="J150" i="2" s="1"/>
  <c r="AI148" i="2" a="1"/>
  <c r="AI148" i="2" s="1"/>
  <c r="R148" i="2" a="1"/>
  <c r="R148" i="2" s="1"/>
  <c r="I148" i="2" a="1"/>
  <c r="I148" i="2" s="1"/>
  <c r="AE160" i="2" a="1"/>
  <c r="AE160" i="2" s="1"/>
  <c r="H160" i="2" a="1"/>
  <c r="H160" i="2" s="1"/>
  <c r="I155" i="2" a="1"/>
  <c r="I155" i="2" s="1"/>
  <c r="AJ148" i="2" a="1"/>
  <c r="AJ148" i="2" s="1"/>
  <c r="AH166" i="2" a="1"/>
  <c r="AH166" i="2" s="1"/>
  <c r="Y166" i="2" a="1"/>
  <c r="Y166" i="2" s="1"/>
  <c r="P166" i="2" a="1"/>
  <c r="P166" i="2" s="1"/>
  <c r="G166" i="2" a="1"/>
  <c r="G166" i="2" s="1"/>
  <c r="AJ165" i="2" a="1"/>
  <c r="AJ165" i="2" s="1"/>
  <c r="AA165" i="2" a="1"/>
  <c r="AA165" i="2" s="1"/>
  <c r="R165" i="2" a="1"/>
  <c r="R165" i="2" s="1"/>
  <c r="I165" i="2" a="1"/>
  <c r="I165" i="2" s="1"/>
  <c r="AK164" i="2" a="1"/>
  <c r="AK164" i="2" s="1"/>
  <c r="AA164" i="2" a="1"/>
  <c r="AA164" i="2" s="1"/>
  <c r="F164" i="2" a="1"/>
  <c r="F164" i="2" s="1"/>
  <c r="AH163" i="2" a="1"/>
  <c r="AH163" i="2" s="1"/>
  <c r="X163" i="2" a="1"/>
  <c r="X163" i="2" s="1"/>
  <c r="M163" i="2" a="1"/>
  <c r="M163" i="2" s="1"/>
  <c r="AJ161" i="2" a="1"/>
  <c r="AJ161" i="2" s="1"/>
  <c r="X161" i="2" a="1"/>
  <c r="X161" i="2" s="1"/>
  <c r="M161" i="2" a="1"/>
  <c r="M161" i="2" s="1"/>
  <c r="AN160" i="2" a="1"/>
  <c r="AN160" i="2" s="1"/>
  <c r="AB160" i="2" a="1"/>
  <c r="AB160" i="2" s="1"/>
  <c r="Q160" i="2" a="1"/>
  <c r="Q160" i="2" s="1"/>
  <c r="F160" i="2" a="1"/>
  <c r="F160" i="2" s="1"/>
  <c r="AF159" i="2" a="1"/>
  <c r="AF159" i="2" s="1"/>
  <c r="U159" i="2" a="1"/>
  <c r="U159" i="2" s="1"/>
  <c r="I159" i="2" a="1"/>
  <c r="I159" i="2" s="1"/>
  <c r="AJ158" i="2" a="1"/>
  <c r="AJ158" i="2" s="1"/>
  <c r="Y158" i="2" a="1"/>
  <c r="Y158" i="2" s="1"/>
  <c r="M158" i="2" a="1"/>
  <c r="M158" i="2" s="1"/>
  <c r="AN157" i="2" a="1"/>
  <c r="AN157" i="2" s="1"/>
  <c r="AC157" i="2" a="1"/>
  <c r="AC157" i="2" s="1"/>
  <c r="Q157" i="2" a="1"/>
  <c r="Q157" i="2" s="1"/>
  <c r="F157" i="2" a="1"/>
  <c r="F157" i="2" s="1"/>
  <c r="AK155" i="2" a="1"/>
  <c r="AK155" i="2" s="1"/>
  <c r="AA155" i="2" a="1"/>
  <c r="AA155" i="2" s="1"/>
  <c r="Q155" i="2" a="1"/>
  <c r="Q155" i="2" s="1"/>
  <c r="F155" i="2" a="1"/>
  <c r="F155" i="2" s="1"/>
  <c r="AI154" i="2" a="1"/>
  <c r="AI154" i="2" s="1"/>
  <c r="X154" i="2" a="1"/>
  <c r="X154" i="2" s="1"/>
  <c r="N154" i="2" a="1"/>
  <c r="N154" i="2" s="1"/>
  <c r="AO153" i="2" a="1"/>
  <c r="AO153" i="2" s="1"/>
  <c r="AF153" i="2" a="1"/>
  <c r="AF153" i="2" s="1"/>
  <c r="L153" i="2" a="1"/>
  <c r="L153" i="2" s="1"/>
  <c r="AD152" i="2" a="1"/>
  <c r="AD152" i="2" s="1"/>
  <c r="U152" i="2" a="1"/>
  <c r="U152" i="2" s="1"/>
  <c r="K152" i="2" a="1"/>
  <c r="K152" i="2" s="1"/>
  <c r="AM150" i="2" a="1"/>
  <c r="AM150" i="2" s="1"/>
  <c r="AC150" i="2" a="1"/>
  <c r="AC150" i="2" s="1"/>
  <c r="I150" i="2" a="1"/>
  <c r="I150" i="2" s="1"/>
  <c r="AH148" i="2" a="1"/>
  <c r="AH148" i="2" s="1"/>
  <c r="Z148" i="2" a="1"/>
  <c r="Z148" i="2" s="1"/>
  <c r="T160" i="2" a="1"/>
  <c r="T160" i="2" s="1"/>
  <c r="S155" i="2" a="1"/>
  <c r="S155" i="2" s="1"/>
  <c r="K148" i="2" a="1"/>
  <c r="K148" i="2" s="1"/>
  <c r="C160" i="2" a="1"/>
  <c r="C160" i="2" s="1"/>
  <c r="C150" i="2" a="1"/>
  <c r="C150" i="2" s="1"/>
  <c r="AG166" i="2" a="1"/>
  <c r="AG166" i="2" s="1"/>
  <c r="O166" i="2" a="1"/>
  <c r="O166" i="2" s="1"/>
  <c r="AI165" i="2" a="1"/>
  <c r="AI165" i="2" s="1"/>
  <c r="Q165" i="2" a="1"/>
  <c r="Q165" i="2" s="1"/>
  <c r="AJ164" i="2" a="1"/>
  <c r="AJ164" i="2" s="1"/>
  <c r="Z164" i="2" a="1"/>
  <c r="Z164" i="2" s="1"/>
  <c r="P164" i="2" a="1"/>
  <c r="P164" i="2" s="1"/>
  <c r="E164" i="2" a="1"/>
  <c r="E164" i="2" s="1"/>
  <c r="AG163" i="2" a="1"/>
  <c r="AG163" i="2" s="1"/>
  <c r="W163" i="2" a="1"/>
  <c r="W163" i="2" s="1"/>
  <c r="AI161" i="2" a="1"/>
  <c r="AI161" i="2" s="1"/>
  <c r="W161" i="2" a="1"/>
  <c r="W161" i="2" s="1"/>
  <c r="L161" i="2" a="1"/>
  <c r="L161" i="2" s="1"/>
  <c r="AM160" i="2" a="1"/>
  <c r="AM160" i="2" s="1"/>
  <c r="AA160" i="2" a="1"/>
  <c r="AA160" i="2" s="1"/>
  <c r="P160" i="2" a="1"/>
  <c r="P160" i="2" s="1"/>
  <c r="E160" i="2" a="1"/>
  <c r="E160" i="2" s="1"/>
  <c r="AE159" i="2" a="1"/>
  <c r="AE159" i="2" s="1"/>
  <c r="T159" i="2" a="1"/>
  <c r="T159" i="2" s="1"/>
  <c r="AI158" i="2" a="1"/>
  <c r="AI158" i="2" s="1"/>
  <c r="X158" i="2" a="1"/>
  <c r="X158" i="2" s="1"/>
  <c r="L158" i="2" a="1"/>
  <c r="L158" i="2" s="1"/>
  <c r="AM157" i="2" a="1"/>
  <c r="AM157" i="2" s="1"/>
  <c r="AB157" i="2" a="1"/>
  <c r="AB157" i="2" s="1"/>
  <c r="P157" i="2" a="1"/>
  <c r="P157" i="2" s="1"/>
  <c r="E157" i="2" a="1"/>
  <c r="E157" i="2" s="1"/>
  <c r="AJ155" i="2" a="1"/>
  <c r="AJ155" i="2" s="1"/>
  <c r="Z155" i="2" a="1"/>
  <c r="Z155" i="2" s="1"/>
  <c r="AH154" i="2" a="1"/>
  <c r="AH154" i="2" s="1"/>
  <c r="W154" i="2" a="1"/>
  <c r="W154" i="2" s="1"/>
  <c r="M154" i="2" a="1"/>
  <c r="M154" i="2" s="1"/>
  <c r="AN153" i="2" a="1"/>
  <c r="AN153" i="2" s="1"/>
  <c r="AE153" i="2" a="1"/>
  <c r="AE153" i="2" s="1"/>
  <c r="U153" i="2" a="1"/>
  <c r="U153" i="2" s="1"/>
  <c r="K153" i="2" a="1"/>
  <c r="K153" i="2" s="1"/>
  <c r="AN152" i="2" a="1"/>
  <c r="AN152" i="2" s="1"/>
  <c r="T152" i="2" a="1"/>
  <c r="T152" i="2" s="1"/>
  <c r="J152" i="2" a="1"/>
  <c r="J152" i="2" s="1"/>
  <c r="AL150" i="2" a="1"/>
  <c r="AL150" i="2" s="1"/>
  <c r="AB150" i="2" a="1"/>
  <c r="AB150" i="2" s="1"/>
  <c r="S150" i="2" a="1"/>
  <c r="S150" i="2" s="1"/>
  <c r="H150" i="2" a="1"/>
  <c r="H150" i="2" s="1"/>
  <c r="AG148" i="2" a="1"/>
  <c r="AG148" i="2" s="1"/>
  <c r="Y148" i="2" a="1"/>
  <c r="Y148" i="2" s="1"/>
  <c r="Q148" i="2" a="1"/>
  <c r="Q148" i="2" s="1"/>
  <c r="H148" i="2" a="1"/>
  <c r="H148" i="2" s="1"/>
  <c r="Z160" i="2" a="1"/>
  <c r="Z160" i="2" s="1"/>
  <c r="Y155" i="2" a="1"/>
  <c r="Y155" i="2" s="1"/>
  <c r="E155" i="2" a="1"/>
  <c r="E155" i="2" s="1"/>
  <c r="AO148" i="2" a="1"/>
  <c r="AO148" i="2" s="1"/>
  <c r="X148" i="2" a="1"/>
  <c r="X148" i="2" s="1"/>
  <c r="P148" i="2" a="1"/>
  <c r="P148" i="2" s="1"/>
  <c r="G148" i="2" a="1"/>
  <c r="G148" i="2" s="1"/>
  <c r="AL160" i="2" a="1"/>
  <c r="AL160" i="2" s="1"/>
  <c r="O160" i="2" a="1"/>
  <c r="O160" i="2" s="1"/>
  <c r="D160" i="2" a="1"/>
  <c r="D160" i="2" s="1"/>
  <c r="P155" i="2" a="1"/>
  <c r="P155" i="2" s="1"/>
  <c r="C148" i="2" a="1"/>
  <c r="C148" i="2" s="1"/>
  <c r="C158" i="2" a="1"/>
  <c r="C158" i="2" s="1"/>
  <c r="AO166" i="2" a="1"/>
  <c r="AO166" i="2" s="1"/>
  <c r="AF166" i="2" a="1"/>
  <c r="AF166" i="2" s="1"/>
  <c r="W166" i="2" a="1"/>
  <c r="W166" i="2" s="1"/>
  <c r="N166" i="2" a="1"/>
  <c r="N166" i="2" s="1"/>
  <c r="E166" i="2" a="1"/>
  <c r="E166" i="2" s="1"/>
  <c r="AH165" i="2" a="1"/>
  <c r="AH165" i="2" s="1"/>
  <c r="Y165" i="2" a="1"/>
  <c r="Y165" i="2" s="1"/>
  <c r="P165" i="2" a="1"/>
  <c r="P165" i="2" s="1"/>
  <c r="G165" i="2" a="1"/>
  <c r="G165" i="2" s="1"/>
  <c r="X164" i="2" a="1"/>
  <c r="X164" i="2" s="1"/>
  <c r="N164" i="2" a="1"/>
  <c r="N164" i="2" s="1"/>
  <c r="D164" i="2" a="1"/>
  <c r="D164" i="2" s="1"/>
  <c r="AE163" i="2" a="1"/>
  <c r="AE163" i="2" s="1"/>
  <c r="U163" i="2" a="1"/>
  <c r="U163" i="2" s="1"/>
  <c r="K163" i="2" a="1"/>
  <c r="K163" i="2" s="1"/>
  <c r="AG161" i="2" a="1"/>
  <c r="AG161" i="2" s="1"/>
  <c r="V161" i="2" a="1"/>
  <c r="V161" i="2" s="1"/>
  <c r="J161" i="2" a="1"/>
  <c r="J161" i="2" s="1"/>
  <c r="AK160" i="2" a="1"/>
  <c r="AK160" i="2" s="1"/>
  <c r="Y160" i="2" a="1"/>
  <c r="Y160" i="2" s="1"/>
  <c r="N160" i="2" a="1"/>
  <c r="N160" i="2" s="1"/>
  <c r="AO159" i="2" a="1"/>
  <c r="AO159" i="2" s="1"/>
  <c r="AC159" i="2" a="1"/>
  <c r="AC159" i="2" s="1"/>
  <c r="R159" i="2" a="1"/>
  <c r="R159" i="2" s="1"/>
  <c r="G159" i="2" a="1"/>
  <c r="G159" i="2" s="1"/>
  <c r="AG158" i="2" a="1"/>
  <c r="AG158" i="2" s="1"/>
  <c r="V158" i="2" a="1"/>
  <c r="V158" i="2" s="1"/>
  <c r="AK157" i="2" a="1"/>
  <c r="AK157" i="2" s="1"/>
  <c r="Z157" i="2" a="1"/>
  <c r="Z157" i="2" s="1"/>
  <c r="N157" i="2" a="1"/>
  <c r="N157" i="2" s="1"/>
  <c r="AI155" i="2" a="1"/>
  <c r="AI155" i="2" s="1"/>
  <c r="X155" i="2" a="1"/>
  <c r="X155" i="2" s="1"/>
  <c r="O155" i="2" a="1"/>
  <c r="O155" i="2" s="1"/>
  <c r="D155" i="2" a="1"/>
  <c r="D155" i="2" s="1"/>
  <c r="AF154" i="2" a="1"/>
  <c r="AF154" i="2" s="1"/>
  <c r="U154" i="2" a="1"/>
  <c r="U154" i="2" s="1"/>
  <c r="K154" i="2" a="1"/>
  <c r="K154" i="2" s="1"/>
  <c r="AM153" i="2" a="1"/>
  <c r="AM153" i="2" s="1"/>
  <c r="AC153" i="2" a="1"/>
  <c r="AC153" i="2" s="1"/>
  <c r="T153" i="2" a="1"/>
  <c r="T153" i="2" s="1"/>
  <c r="AL152" i="2" a="1"/>
  <c r="AL152" i="2" s="1"/>
  <c r="AB152" i="2" a="1"/>
  <c r="AB152" i="2" s="1"/>
  <c r="R152" i="2" a="1"/>
  <c r="R152" i="2" s="1"/>
  <c r="H152" i="2" a="1"/>
  <c r="H152" i="2" s="1"/>
  <c r="AK150" i="2" a="1"/>
  <c r="AK150" i="2" s="1"/>
  <c r="Z150" i="2" a="1"/>
  <c r="Z150" i="2" s="1"/>
  <c r="Q150" i="2" a="1"/>
  <c r="Q150" i="2" s="1"/>
  <c r="G150" i="2" a="1"/>
  <c r="G150" i="2" s="1"/>
  <c r="AF148" i="2" a="1"/>
  <c r="AF148" i="2" s="1"/>
  <c r="O148" i="2" a="1"/>
  <c r="O148" i="2" s="1"/>
  <c r="F148" i="2" a="1"/>
  <c r="F148" i="2" s="1"/>
  <c r="AN148" i="2" a="1"/>
  <c r="AN148" i="2" s="1"/>
  <c r="AE148" i="2" a="1"/>
  <c r="AE148" i="2" s="1"/>
  <c r="W148" i="2" a="1"/>
  <c r="W148" i="2" s="1"/>
  <c r="C166" i="2" a="1"/>
  <c r="C166" i="2" s="1"/>
  <c r="C157" i="2" a="1"/>
  <c r="C157" i="2" s="1"/>
  <c r="AM166" i="2" a="1"/>
  <c r="AM166" i="2" s="1"/>
  <c r="U166" i="2" a="1"/>
  <c r="U166" i="2" s="1"/>
  <c r="AO165" i="2" a="1"/>
  <c r="AO165" i="2" s="1"/>
  <c r="W165" i="2" a="1"/>
  <c r="W165" i="2" s="1"/>
  <c r="E165" i="2" a="1"/>
  <c r="E165" i="2" s="1"/>
  <c r="AG164" i="2" a="1"/>
  <c r="AG164" i="2" s="1"/>
  <c r="L164" i="2" a="1"/>
  <c r="L164" i="2" s="1"/>
  <c r="AN163" i="2" a="1"/>
  <c r="AN163" i="2" s="1"/>
  <c r="AD163" i="2" a="1"/>
  <c r="AD163" i="2" s="1"/>
  <c r="S163" i="2" a="1"/>
  <c r="S163" i="2" s="1"/>
  <c r="I163" i="2" a="1"/>
  <c r="I163" i="2" s="1"/>
  <c r="AE161" i="2" a="1"/>
  <c r="AE161" i="2" s="1"/>
  <c r="T161" i="2" a="1"/>
  <c r="T161" i="2" s="1"/>
  <c r="H161" i="2" a="1"/>
  <c r="H161" i="2" s="1"/>
  <c r="AI160" i="2" a="1"/>
  <c r="AI160" i="2" s="1"/>
  <c r="X160" i="2" a="1"/>
  <c r="X160" i="2" s="1"/>
  <c r="L160" i="2" a="1"/>
  <c r="L160" i="2" s="1"/>
  <c r="AM159" i="2" a="1"/>
  <c r="AM159" i="2" s="1"/>
  <c r="AA159" i="2" a="1"/>
  <c r="AA159" i="2" s="1"/>
  <c r="P159" i="2" a="1"/>
  <c r="P159" i="2" s="1"/>
  <c r="E159" i="2" a="1"/>
  <c r="E159" i="2" s="1"/>
  <c r="AE158" i="2" a="1"/>
  <c r="AE158" i="2" s="1"/>
  <c r="T158" i="2" a="1"/>
  <c r="T158" i="2" s="1"/>
  <c r="I158" i="2" a="1"/>
  <c r="I158" i="2" s="1"/>
  <c r="AI157" i="2" a="1"/>
  <c r="AI157" i="2" s="1"/>
  <c r="X157" i="2" a="1"/>
  <c r="X157" i="2" s="1"/>
  <c r="AH155" i="2" a="1"/>
  <c r="AH155" i="2" s="1"/>
  <c r="W155" i="2" a="1"/>
  <c r="W155" i="2" s="1"/>
  <c r="M155" i="2" a="1"/>
  <c r="M155" i="2" s="1"/>
  <c r="AN154" i="2" a="1"/>
  <c r="AN154" i="2" s="1"/>
  <c r="AD154" i="2" a="1"/>
  <c r="AD154" i="2" s="1"/>
  <c r="I154" i="2" a="1"/>
  <c r="I154" i="2" s="1"/>
  <c r="AL153" i="2" a="1"/>
  <c r="AL153" i="2" s="1"/>
  <c r="R153" i="2" a="1"/>
  <c r="R153" i="2" s="1"/>
  <c r="H153" i="2" a="1"/>
  <c r="H153" i="2" s="1"/>
  <c r="AJ152" i="2" a="1"/>
  <c r="AJ152" i="2" s="1"/>
  <c r="Z152" i="2" a="1"/>
  <c r="Z152" i="2" s="1"/>
  <c r="Q152" i="2" a="1"/>
  <c r="Q152" i="2" s="1"/>
  <c r="F152" i="2" a="1"/>
  <c r="F152" i="2" s="1"/>
  <c r="AI150" i="2" a="1"/>
  <c r="AI150" i="2" s="1"/>
  <c r="Y150" i="2" a="1"/>
  <c r="Y150" i="2" s="1"/>
  <c r="O150" i="2" a="1"/>
  <c r="O150" i="2" s="1"/>
  <c r="F150" i="2" a="1"/>
  <c r="F150" i="2" s="1"/>
  <c r="AM148" i="2" a="1"/>
  <c r="AM148" i="2" s="1"/>
  <c r="AD148" i="2" a="1"/>
  <c r="AD148" i="2" s="1"/>
  <c r="N148" i="2" a="1"/>
  <c r="N148" i="2" s="1"/>
  <c r="E148" i="2" a="1"/>
  <c r="E148" i="2" s="1"/>
  <c r="M160" i="2" a="1"/>
  <c r="M160" i="2" s="1"/>
  <c r="C165" i="2" a="1"/>
  <c r="C165" i="2" s="1"/>
  <c r="AD166" i="2" a="1"/>
  <c r="AD166" i="2" s="1"/>
  <c r="AF165" i="2" a="1"/>
  <c r="AF165" i="2" s="1"/>
  <c r="N165" i="2" a="1"/>
  <c r="N165" i="2" s="1"/>
  <c r="AF164" i="2" a="1"/>
  <c r="AF164" i="2" s="1"/>
  <c r="V164" i="2" a="1"/>
  <c r="V164" i="2" s="1"/>
  <c r="AM163" i="2" a="1"/>
  <c r="AM163" i="2" s="1"/>
  <c r="AC163" i="2" a="1"/>
  <c r="AC163" i="2" s="1"/>
  <c r="AO161" i="2" a="1"/>
  <c r="AO161" i="2" s="1"/>
  <c r="AD161" i="2" a="1"/>
  <c r="AD161" i="2" s="1"/>
  <c r="S161" i="2" a="1"/>
  <c r="S161" i="2" s="1"/>
  <c r="AH160" i="2" a="1"/>
  <c r="AH160" i="2" s="1"/>
  <c r="W160" i="2" a="1"/>
  <c r="W160" i="2" s="1"/>
  <c r="AL159" i="2" a="1"/>
  <c r="AL159" i="2" s="1"/>
  <c r="O159" i="2" a="1"/>
  <c r="O159" i="2" s="1"/>
  <c r="AD158" i="2" a="1"/>
  <c r="AD158" i="2" s="1"/>
  <c r="S158" i="2" a="1"/>
  <c r="S158" i="2" s="1"/>
  <c r="AH157" i="2" a="1"/>
  <c r="AH157" i="2" s="1"/>
  <c r="W157" i="2" a="1"/>
  <c r="W157" i="2" s="1"/>
  <c r="AG155" i="2" a="1"/>
  <c r="AG155" i="2" s="1"/>
  <c r="V155" i="2" a="1"/>
  <c r="V155" i="2" s="1"/>
  <c r="AM154" i="2" a="1"/>
  <c r="AM154" i="2" s="1"/>
  <c r="AC154" i="2" a="1"/>
  <c r="AC154" i="2" s="1"/>
  <c r="S154" i="2" a="1"/>
  <c r="S154" i="2" s="1"/>
  <c r="AK153" i="2" a="1"/>
  <c r="AK153" i="2" s="1"/>
  <c r="AA153" i="2" a="1"/>
  <c r="AA153" i="2" s="1"/>
  <c r="Q153" i="2" a="1"/>
  <c r="Q153" i="2" s="1"/>
  <c r="Y152" i="2" a="1"/>
  <c r="Y152" i="2" s="1"/>
  <c r="AH150" i="2" a="1"/>
  <c r="AH150" i="2" s="1"/>
  <c r="N150" i="2" a="1"/>
  <c r="N150" i="2" s="1"/>
  <c r="V148" i="2" a="1"/>
  <c r="V148" i="2" s="1"/>
  <c r="M148" i="2" a="1"/>
  <c r="M148" i="2" s="1"/>
  <c r="AN38" i="6" l="1"/>
  <c r="AN40" i="6" s="1"/>
  <c r="AO38" i="6"/>
  <c r="AP38" i="6"/>
  <c r="AP40" i="6" l="1"/>
  <c r="AO40" i="6"/>
  <c r="G38" i="6" l="1"/>
  <c r="G49" i="6"/>
  <c r="G41" i="6" s="1"/>
  <c r="G43" i="6" s="1"/>
  <c r="H49" i="6"/>
  <c r="I49" i="6"/>
  <c r="J49" i="6"/>
  <c r="K49" i="6"/>
  <c r="L49" i="6"/>
  <c r="M49" i="6"/>
  <c r="N49" i="6"/>
  <c r="O49" i="6"/>
  <c r="P49" i="6"/>
  <c r="Q49" i="6"/>
  <c r="AN41" i="6" l="1"/>
  <c r="AP41" i="6"/>
  <c r="AO41" i="6"/>
  <c r="AN39" i="6"/>
  <c r="AP39" i="6"/>
  <c r="AO39" i="6"/>
  <c r="B61" i="6"/>
  <c r="A61" i="6"/>
  <c r="C56" i="6"/>
  <c r="B56" i="6"/>
  <c r="C55" i="6"/>
  <c r="B55" i="6"/>
  <c r="C54" i="6"/>
  <c r="B54" i="6"/>
  <c r="C4" i="2"/>
  <c r="D4" i="2"/>
  <c r="E4" i="2"/>
  <c r="F4" i="2"/>
  <c r="G4" i="2"/>
  <c r="G11" i="6" s="1"/>
  <c r="H4" i="2"/>
  <c r="I4" i="2"/>
  <c r="J4" i="2"/>
  <c r="K4" i="2"/>
  <c r="K11" i="6" s="1"/>
  <c r="L4" i="2"/>
  <c r="M4" i="2"/>
  <c r="N4" i="2"/>
  <c r="O4" i="2"/>
  <c r="P4" i="2"/>
  <c r="Q4" i="2"/>
  <c r="R4" i="2"/>
  <c r="S4" i="2"/>
  <c r="S11" i="6" s="1"/>
  <c r="T4" i="2"/>
  <c r="T11" i="6" s="1"/>
  <c r="U4" i="2"/>
  <c r="V4" i="2"/>
  <c r="W4" i="2"/>
  <c r="W11" i="6" s="1"/>
  <c r="X4" i="2"/>
  <c r="Y4" i="2"/>
  <c r="Z4" i="2"/>
  <c r="AA4" i="2"/>
  <c r="AB4" i="2"/>
  <c r="AC4" i="2"/>
  <c r="AD4" i="2"/>
  <c r="AD11" i="6" s="1"/>
  <c r="AE4" i="2"/>
  <c r="AE11" i="6" s="1"/>
  <c r="AF4" i="2"/>
  <c r="AF11" i="6" s="1"/>
  <c r="AG4" i="2"/>
  <c r="C5" i="2"/>
  <c r="C10" i="6" s="1"/>
  <c r="D5" i="2"/>
  <c r="D10" i="6" s="1"/>
  <c r="E5" i="2"/>
  <c r="E10" i="6" s="1"/>
  <c r="F5" i="2"/>
  <c r="F10" i="6" s="1"/>
  <c r="G5" i="2"/>
  <c r="G10" i="6" s="1"/>
  <c r="H5" i="2"/>
  <c r="H10" i="6" s="1"/>
  <c r="I5" i="2"/>
  <c r="I10" i="6" s="1"/>
  <c r="J5" i="2"/>
  <c r="J10" i="6" s="1"/>
  <c r="K5" i="2"/>
  <c r="L5" i="2"/>
  <c r="L10" i="6" s="1"/>
  <c r="M5" i="2"/>
  <c r="M10" i="6" s="1"/>
  <c r="N5" i="2"/>
  <c r="N10" i="6" s="1"/>
  <c r="O5" i="2"/>
  <c r="O10" i="6" s="1"/>
  <c r="P5" i="2"/>
  <c r="P10" i="6" s="1"/>
  <c r="Q5" i="2"/>
  <c r="Q10" i="6" s="1"/>
  <c r="R5" i="2"/>
  <c r="R10" i="6" s="1"/>
  <c r="S5" i="2"/>
  <c r="S10" i="6" s="1"/>
  <c r="T5" i="2"/>
  <c r="T10" i="6" s="1"/>
  <c r="U5" i="2"/>
  <c r="U10" i="6" s="1"/>
  <c r="V5" i="2"/>
  <c r="V10" i="6" s="1"/>
  <c r="W5" i="2"/>
  <c r="X5" i="2"/>
  <c r="X10" i="6" s="1"/>
  <c r="Y5" i="2"/>
  <c r="Y10" i="6" s="1"/>
  <c r="Z5" i="2"/>
  <c r="Z10" i="6" s="1"/>
  <c r="AA5" i="2"/>
  <c r="AA10" i="6" s="1"/>
  <c r="AB5" i="2"/>
  <c r="AB10" i="6" s="1"/>
  <c r="AC5" i="2"/>
  <c r="AC10" i="6" s="1"/>
  <c r="AD5" i="2"/>
  <c r="AD10" i="6" s="1"/>
  <c r="AE5" i="2"/>
  <c r="AE10" i="6" s="1"/>
  <c r="AF5" i="2"/>
  <c r="AF10" i="6" s="1"/>
  <c r="AG5" i="2"/>
  <c r="AG10" i="6" s="1"/>
  <c r="C6" i="2"/>
  <c r="D6" i="2"/>
  <c r="E6" i="2"/>
  <c r="F6" i="2"/>
  <c r="G6" i="2"/>
  <c r="H6" i="2"/>
  <c r="I6" i="2"/>
  <c r="I17" i="6" s="1"/>
  <c r="J6" i="2"/>
  <c r="K6" i="2"/>
  <c r="L6" i="2"/>
  <c r="M6" i="2"/>
  <c r="N6" i="2"/>
  <c r="O6" i="2"/>
  <c r="P6" i="2"/>
  <c r="Q6" i="2"/>
  <c r="R6" i="2"/>
  <c r="S6" i="2"/>
  <c r="T6" i="2"/>
  <c r="U6" i="2"/>
  <c r="U17" i="6" s="1"/>
  <c r="V6" i="2"/>
  <c r="W6" i="2"/>
  <c r="X6" i="2"/>
  <c r="Y6" i="2"/>
  <c r="Z6" i="2"/>
  <c r="AA6" i="2"/>
  <c r="AB6" i="2"/>
  <c r="AC6" i="2"/>
  <c r="AD6" i="2"/>
  <c r="AE6" i="2"/>
  <c r="AF6" i="2"/>
  <c r="AG6" i="2"/>
  <c r="AG17" i="6" s="1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C9" i="2"/>
  <c r="D9" i="2"/>
  <c r="E9" i="2"/>
  <c r="F9" i="2"/>
  <c r="G9" i="2"/>
  <c r="G24" i="6" s="1"/>
  <c r="H9" i="2"/>
  <c r="I9" i="2"/>
  <c r="J9" i="2"/>
  <c r="K9" i="2"/>
  <c r="L9" i="2"/>
  <c r="M9" i="2"/>
  <c r="N9" i="2"/>
  <c r="O9" i="2"/>
  <c r="P9" i="2"/>
  <c r="Q9" i="2"/>
  <c r="R9" i="2"/>
  <c r="S9" i="2"/>
  <c r="S24" i="6" s="1"/>
  <c r="T9" i="2"/>
  <c r="U9" i="2"/>
  <c r="V9" i="2"/>
  <c r="W9" i="2"/>
  <c r="X9" i="2"/>
  <c r="Y9" i="2"/>
  <c r="Z9" i="2"/>
  <c r="AA9" i="2"/>
  <c r="AB9" i="2"/>
  <c r="AC9" i="2"/>
  <c r="AD9" i="2"/>
  <c r="AE9" i="2"/>
  <c r="AE24" i="6" s="1"/>
  <c r="AF9" i="2"/>
  <c r="AG9" i="2"/>
  <c r="C10" i="2"/>
  <c r="C12" i="6" s="1"/>
  <c r="D10" i="2"/>
  <c r="D12" i="6" s="1"/>
  <c r="E10" i="2"/>
  <c r="E12" i="6" s="1"/>
  <c r="F10" i="2"/>
  <c r="F12" i="6" s="1"/>
  <c r="G10" i="2"/>
  <c r="G12" i="6" s="1"/>
  <c r="H10" i="2"/>
  <c r="H12" i="6" s="1"/>
  <c r="I10" i="2"/>
  <c r="J10" i="2"/>
  <c r="J12" i="6" s="1"/>
  <c r="K10" i="2"/>
  <c r="K12" i="6" s="1"/>
  <c r="L10" i="2"/>
  <c r="L12" i="6" s="1"/>
  <c r="M10" i="2"/>
  <c r="M12" i="6" s="1"/>
  <c r="N10" i="2"/>
  <c r="N12" i="6" s="1"/>
  <c r="O10" i="2"/>
  <c r="O12" i="6" s="1"/>
  <c r="P10" i="2"/>
  <c r="P12" i="6" s="1"/>
  <c r="Q10" i="2"/>
  <c r="Q12" i="6" s="1"/>
  <c r="R10" i="2"/>
  <c r="R12" i="6" s="1"/>
  <c r="S10" i="2"/>
  <c r="S12" i="6" s="1"/>
  <c r="T10" i="2"/>
  <c r="T12" i="6" s="1"/>
  <c r="U10" i="2"/>
  <c r="V10" i="2"/>
  <c r="V12" i="6" s="1"/>
  <c r="W10" i="2"/>
  <c r="W12" i="6" s="1"/>
  <c r="X10" i="2"/>
  <c r="X12" i="6" s="1"/>
  <c r="Y10" i="2"/>
  <c r="Y12" i="6" s="1"/>
  <c r="Z10" i="2"/>
  <c r="Z12" i="6" s="1"/>
  <c r="AA10" i="2"/>
  <c r="AA12" i="6" s="1"/>
  <c r="AB10" i="2"/>
  <c r="AB12" i="6" s="1"/>
  <c r="AC10" i="2"/>
  <c r="AC12" i="6" s="1"/>
  <c r="AD10" i="2"/>
  <c r="AD12" i="6" s="1"/>
  <c r="AE10" i="2"/>
  <c r="AE12" i="6" s="1"/>
  <c r="AF10" i="2"/>
  <c r="AF12" i="6" s="1"/>
  <c r="AG10" i="2"/>
  <c r="C11" i="2"/>
  <c r="D11" i="2"/>
  <c r="E11" i="2"/>
  <c r="E20" i="6" s="1"/>
  <c r="F11" i="2"/>
  <c r="G11" i="2"/>
  <c r="H11" i="2"/>
  <c r="I11" i="2"/>
  <c r="J11" i="2"/>
  <c r="K11" i="2"/>
  <c r="L11" i="2"/>
  <c r="M11" i="2"/>
  <c r="N11" i="2"/>
  <c r="O11" i="2"/>
  <c r="P11" i="2"/>
  <c r="Q11" i="2"/>
  <c r="Q20" i="6" s="1"/>
  <c r="R11" i="2"/>
  <c r="S11" i="2"/>
  <c r="T11" i="2"/>
  <c r="U11" i="2"/>
  <c r="V11" i="2"/>
  <c r="W11" i="2"/>
  <c r="X11" i="2"/>
  <c r="Y11" i="2"/>
  <c r="Z11" i="2"/>
  <c r="AA11" i="2"/>
  <c r="AB11" i="2"/>
  <c r="AC11" i="2"/>
  <c r="AC20" i="6" s="1"/>
  <c r="AD11" i="2"/>
  <c r="AE11" i="2"/>
  <c r="AF11" i="2"/>
  <c r="AG11" i="2"/>
  <c r="C12" i="2"/>
  <c r="C16" i="6" s="1"/>
  <c r="D12" i="2"/>
  <c r="D16" i="6" s="1"/>
  <c r="E12" i="2"/>
  <c r="E16" i="6" s="1"/>
  <c r="F12" i="2"/>
  <c r="F16" i="6" s="1"/>
  <c r="G12" i="2"/>
  <c r="G16" i="6" s="1"/>
  <c r="H12" i="2"/>
  <c r="H16" i="6" s="1"/>
  <c r="I12" i="2"/>
  <c r="I16" i="6" s="1"/>
  <c r="J12" i="2"/>
  <c r="J16" i="6" s="1"/>
  <c r="K12" i="2"/>
  <c r="K16" i="6" s="1"/>
  <c r="L12" i="2"/>
  <c r="M12" i="2"/>
  <c r="M16" i="6" s="1"/>
  <c r="N12" i="2"/>
  <c r="N16" i="6" s="1"/>
  <c r="O12" i="2"/>
  <c r="O16" i="6" s="1"/>
  <c r="P12" i="2"/>
  <c r="P16" i="6" s="1"/>
  <c r="Q12" i="2"/>
  <c r="Q16" i="6" s="1"/>
  <c r="R12" i="2"/>
  <c r="R16" i="6" s="1"/>
  <c r="S12" i="2"/>
  <c r="S16" i="6" s="1"/>
  <c r="T12" i="2"/>
  <c r="T16" i="6" s="1"/>
  <c r="U12" i="2"/>
  <c r="U16" i="6" s="1"/>
  <c r="V12" i="2"/>
  <c r="V16" i="6" s="1"/>
  <c r="W12" i="2"/>
  <c r="W16" i="6" s="1"/>
  <c r="X12" i="2"/>
  <c r="Y12" i="2"/>
  <c r="Y16" i="6" s="1"/>
  <c r="Z12" i="2"/>
  <c r="Z16" i="6" s="1"/>
  <c r="AA12" i="2"/>
  <c r="AA16" i="6" s="1"/>
  <c r="AB12" i="2"/>
  <c r="AB16" i="6" s="1"/>
  <c r="AC12" i="2"/>
  <c r="AC16" i="6" s="1"/>
  <c r="AD12" i="2"/>
  <c r="AD16" i="6" s="1"/>
  <c r="AE12" i="2"/>
  <c r="AE16" i="6" s="1"/>
  <c r="AF12" i="2"/>
  <c r="AF16" i="6" s="1"/>
  <c r="AG12" i="2"/>
  <c r="AG16" i="6" s="1"/>
  <c r="C13" i="2"/>
  <c r="C19" i="6" s="1"/>
  <c r="D13" i="2"/>
  <c r="D19" i="6" s="1"/>
  <c r="E13" i="2"/>
  <c r="E19" i="6" s="1"/>
  <c r="F13" i="2"/>
  <c r="F19" i="6" s="1"/>
  <c r="G13" i="2"/>
  <c r="G19" i="6" s="1"/>
  <c r="H13" i="2"/>
  <c r="H19" i="6" s="1"/>
  <c r="I13" i="2"/>
  <c r="I19" i="6" s="1"/>
  <c r="J13" i="2"/>
  <c r="J19" i="6" s="1"/>
  <c r="K13" i="2"/>
  <c r="K19" i="6" s="1"/>
  <c r="L13" i="2"/>
  <c r="L19" i="6" s="1"/>
  <c r="M13" i="2"/>
  <c r="M19" i="6" s="1"/>
  <c r="N13" i="2"/>
  <c r="N19" i="6" s="1"/>
  <c r="O13" i="2"/>
  <c r="O19" i="6" s="1"/>
  <c r="P13" i="2"/>
  <c r="P19" i="6" s="1"/>
  <c r="Q13" i="2"/>
  <c r="Q19" i="6" s="1"/>
  <c r="R13" i="2"/>
  <c r="R19" i="6" s="1"/>
  <c r="S13" i="2"/>
  <c r="S19" i="6" s="1"/>
  <c r="T13" i="2"/>
  <c r="T19" i="6" s="1"/>
  <c r="U13" i="2"/>
  <c r="U19" i="6" s="1"/>
  <c r="V13" i="2"/>
  <c r="V19" i="6" s="1"/>
  <c r="W13" i="2"/>
  <c r="W19" i="6" s="1"/>
  <c r="X13" i="2"/>
  <c r="X19" i="6" s="1"/>
  <c r="Y13" i="2"/>
  <c r="Y19" i="6" s="1"/>
  <c r="Z13" i="2"/>
  <c r="Z19" i="6" s="1"/>
  <c r="AA13" i="2"/>
  <c r="AA19" i="6" s="1"/>
  <c r="AB13" i="2"/>
  <c r="AB19" i="6" s="1"/>
  <c r="AC13" i="2"/>
  <c r="AC19" i="6" s="1"/>
  <c r="AD13" i="2"/>
  <c r="AD19" i="6" s="1"/>
  <c r="AE13" i="2"/>
  <c r="AE19" i="6" s="1"/>
  <c r="AF13" i="2"/>
  <c r="AF19" i="6" s="1"/>
  <c r="AG13" i="2"/>
  <c r="AG19" i="6" s="1"/>
  <c r="C14" i="2"/>
  <c r="C15" i="6" s="1"/>
  <c r="D14" i="2"/>
  <c r="D15" i="6" s="1"/>
  <c r="E14" i="2"/>
  <c r="E15" i="6" s="1"/>
  <c r="F14" i="2"/>
  <c r="F15" i="6" s="1"/>
  <c r="G14" i="2"/>
  <c r="H14" i="2"/>
  <c r="H15" i="6" s="1"/>
  <c r="I14" i="2"/>
  <c r="I15" i="6" s="1"/>
  <c r="J14" i="2"/>
  <c r="J15" i="6" s="1"/>
  <c r="K14" i="2"/>
  <c r="K15" i="6" s="1"/>
  <c r="L14" i="2"/>
  <c r="L15" i="6" s="1"/>
  <c r="M14" i="2"/>
  <c r="M15" i="6" s="1"/>
  <c r="N14" i="2"/>
  <c r="N15" i="6" s="1"/>
  <c r="O14" i="2"/>
  <c r="O15" i="6" s="1"/>
  <c r="P14" i="2"/>
  <c r="P15" i="6" s="1"/>
  <c r="Q14" i="2"/>
  <c r="Q15" i="6" s="1"/>
  <c r="R14" i="2"/>
  <c r="R15" i="6" s="1"/>
  <c r="S14" i="2"/>
  <c r="T14" i="2"/>
  <c r="T15" i="6" s="1"/>
  <c r="U14" i="2"/>
  <c r="U15" i="6" s="1"/>
  <c r="V14" i="2"/>
  <c r="V15" i="6" s="1"/>
  <c r="W14" i="2"/>
  <c r="W15" i="6" s="1"/>
  <c r="X14" i="2"/>
  <c r="X15" i="6" s="1"/>
  <c r="Y14" i="2"/>
  <c r="Y15" i="6" s="1"/>
  <c r="Z14" i="2"/>
  <c r="Z15" i="6" s="1"/>
  <c r="AA14" i="2"/>
  <c r="AA15" i="6" s="1"/>
  <c r="AB14" i="2"/>
  <c r="AB15" i="6" s="1"/>
  <c r="AC14" i="2"/>
  <c r="AC15" i="6" s="1"/>
  <c r="AD14" i="2"/>
  <c r="AD15" i="6" s="1"/>
  <c r="AE14" i="2"/>
  <c r="AF14" i="2"/>
  <c r="AF15" i="6" s="1"/>
  <c r="AG14" i="2"/>
  <c r="AG15" i="6" s="1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C16" i="2"/>
  <c r="D16" i="2"/>
  <c r="E16" i="2"/>
  <c r="F16" i="2"/>
  <c r="F27" i="6" s="1"/>
  <c r="G16" i="2"/>
  <c r="H16" i="2"/>
  <c r="I16" i="2"/>
  <c r="J16" i="2"/>
  <c r="K16" i="2"/>
  <c r="L16" i="2"/>
  <c r="M16" i="2"/>
  <c r="N16" i="2"/>
  <c r="O16" i="2"/>
  <c r="P16" i="2"/>
  <c r="Q16" i="2"/>
  <c r="R16" i="2"/>
  <c r="R27" i="6" s="1"/>
  <c r="S16" i="2"/>
  <c r="T16" i="2"/>
  <c r="U16" i="2"/>
  <c r="V16" i="2"/>
  <c r="W16" i="2"/>
  <c r="X16" i="2"/>
  <c r="Y16" i="2"/>
  <c r="Z16" i="2"/>
  <c r="AA16" i="2"/>
  <c r="AB16" i="2"/>
  <c r="AC16" i="2"/>
  <c r="AD16" i="2"/>
  <c r="AD27" i="6" s="1"/>
  <c r="AE16" i="2"/>
  <c r="AF16" i="2"/>
  <c r="AG16" i="2"/>
  <c r="C17" i="2"/>
  <c r="D17" i="2"/>
  <c r="E17" i="2"/>
  <c r="F17" i="2"/>
  <c r="G17" i="2"/>
  <c r="H17" i="2"/>
  <c r="H26" i="6" s="1"/>
  <c r="I17" i="2"/>
  <c r="J17" i="2"/>
  <c r="K17" i="2"/>
  <c r="K26" i="6" s="1"/>
  <c r="L17" i="2"/>
  <c r="M17" i="2"/>
  <c r="N17" i="2"/>
  <c r="O17" i="2"/>
  <c r="P17" i="2"/>
  <c r="Q17" i="2"/>
  <c r="R17" i="2"/>
  <c r="S17" i="2"/>
  <c r="T17" i="2"/>
  <c r="T26" i="6" s="1"/>
  <c r="U17" i="2"/>
  <c r="V17" i="2"/>
  <c r="W17" i="2"/>
  <c r="W26" i="6" s="1"/>
  <c r="X17" i="2"/>
  <c r="Y17" i="2"/>
  <c r="Z17" i="2"/>
  <c r="AA17" i="2"/>
  <c r="AB17" i="2"/>
  <c r="AC17" i="2"/>
  <c r="AD17" i="2"/>
  <c r="AE17" i="2"/>
  <c r="AF17" i="2"/>
  <c r="AF26" i="6" s="1"/>
  <c r="AG17" i="2"/>
  <c r="C18" i="2"/>
  <c r="D18" i="2"/>
  <c r="D28" i="6" s="1"/>
  <c r="E18" i="2"/>
  <c r="F18" i="2"/>
  <c r="G18" i="2"/>
  <c r="H18" i="2"/>
  <c r="I18" i="2"/>
  <c r="J18" i="2"/>
  <c r="K18" i="2"/>
  <c r="L18" i="2"/>
  <c r="M18" i="2"/>
  <c r="N18" i="2"/>
  <c r="O18" i="2"/>
  <c r="P18" i="2"/>
  <c r="P28" i="6" s="1"/>
  <c r="Q18" i="2"/>
  <c r="R18" i="2"/>
  <c r="S18" i="2"/>
  <c r="T18" i="2"/>
  <c r="U18" i="2"/>
  <c r="V18" i="2"/>
  <c r="W18" i="2"/>
  <c r="X18" i="2"/>
  <c r="Y18" i="2"/>
  <c r="Z18" i="2"/>
  <c r="AA18" i="2"/>
  <c r="AB18" i="2"/>
  <c r="AB28" i="6" s="1"/>
  <c r="AC18" i="2"/>
  <c r="AD18" i="2"/>
  <c r="AE18" i="2"/>
  <c r="AF18" i="2"/>
  <c r="AG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C20" i="2"/>
  <c r="C29" i="6" s="1"/>
  <c r="D20" i="2"/>
  <c r="D29" i="6" s="1"/>
  <c r="E20" i="2"/>
  <c r="E29" i="6" s="1"/>
  <c r="F20" i="2"/>
  <c r="F29" i="6" s="1"/>
  <c r="G20" i="2"/>
  <c r="G29" i="6" s="1"/>
  <c r="H20" i="2"/>
  <c r="H29" i="6" s="1"/>
  <c r="I20" i="2"/>
  <c r="I29" i="6" s="1"/>
  <c r="J20" i="2"/>
  <c r="J29" i="6" s="1"/>
  <c r="K20" i="2"/>
  <c r="K29" i="6" s="1"/>
  <c r="L20" i="2"/>
  <c r="L29" i="6" s="1"/>
  <c r="M20" i="2"/>
  <c r="M29" i="6" s="1"/>
  <c r="N20" i="2"/>
  <c r="N29" i="6" s="1"/>
  <c r="O20" i="2"/>
  <c r="O29" i="6" s="1"/>
  <c r="P20" i="2"/>
  <c r="P29" i="6" s="1"/>
  <c r="Q20" i="2"/>
  <c r="Q29" i="6" s="1"/>
  <c r="R20" i="2"/>
  <c r="R29" i="6" s="1"/>
  <c r="S20" i="2"/>
  <c r="S29" i="6" s="1"/>
  <c r="T20" i="2"/>
  <c r="T29" i="6" s="1"/>
  <c r="U20" i="2"/>
  <c r="U29" i="6" s="1"/>
  <c r="V20" i="2"/>
  <c r="V29" i="6" s="1"/>
  <c r="W20" i="2"/>
  <c r="W29" i="6" s="1"/>
  <c r="X20" i="2"/>
  <c r="X29" i="6" s="1"/>
  <c r="Y20" i="2"/>
  <c r="Y29" i="6" s="1"/>
  <c r="Z20" i="2"/>
  <c r="Z29" i="6" s="1"/>
  <c r="AA20" i="2"/>
  <c r="AA29" i="6" s="1"/>
  <c r="AB20" i="2"/>
  <c r="AB29" i="6" s="1"/>
  <c r="AC20" i="2"/>
  <c r="AC29" i="6" s="1"/>
  <c r="AD20" i="2"/>
  <c r="AD29" i="6" s="1"/>
  <c r="AE20" i="2"/>
  <c r="AE29" i="6" s="1"/>
  <c r="AF20" i="2"/>
  <c r="AF29" i="6" s="1"/>
  <c r="AG20" i="2"/>
  <c r="AG29" i="6" s="1"/>
  <c r="C21" i="2"/>
  <c r="C18" i="6" s="1"/>
  <c r="D21" i="2"/>
  <c r="D18" i="6" s="1"/>
  <c r="E21" i="2"/>
  <c r="E18" i="6" s="1"/>
  <c r="F21" i="2"/>
  <c r="F18" i="6" s="1"/>
  <c r="G21" i="2"/>
  <c r="G18" i="6" s="1"/>
  <c r="H21" i="2"/>
  <c r="H18" i="6" s="1"/>
  <c r="I21" i="2"/>
  <c r="I18" i="6" s="1"/>
  <c r="J21" i="2"/>
  <c r="J18" i="6" s="1"/>
  <c r="K21" i="2"/>
  <c r="K18" i="6" s="1"/>
  <c r="L21" i="2"/>
  <c r="L18" i="6" s="1"/>
  <c r="M21" i="2"/>
  <c r="M18" i="6" s="1"/>
  <c r="N21" i="2"/>
  <c r="N18" i="6" s="1"/>
  <c r="O21" i="2"/>
  <c r="O18" i="6" s="1"/>
  <c r="P21" i="2"/>
  <c r="P18" i="6" s="1"/>
  <c r="Q21" i="2"/>
  <c r="Q18" i="6" s="1"/>
  <c r="R21" i="2"/>
  <c r="R18" i="6" s="1"/>
  <c r="S21" i="2"/>
  <c r="S18" i="6" s="1"/>
  <c r="T21" i="2"/>
  <c r="T18" i="6" s="1"/>
  <c r="U21" i="2"/>
  <c r="U18" i="6" s="1"/>
  <c r="V21" i="2"/>
  <c r="V18" i="6" s="1"/>
  <c r="W21" i="2"/>
  <c r="W18" i="6" s="1"/>
  <c r="X21" i="2"/>
  <c r="X18" i="6" s="1"/>
  <c r="Y21" i="2"/>
  <c r="Y18" i="6" s="1"/>
  <c r="Z21" i="2"/>
  <c r="Z18" i="6" s="1"/>
  <c r="AA21" i="2"/>
  <c r="AA18" i="6" s="1"/>
  <c r="AB21" i="2"/>
  <c r="AB18" i="6" s="1"/>
  <c r="AC21" i="2"/>
  <c r="AC18" i="6" s="1"/>
  <c r="AD21" i="2"/>
  <c r="AD18" i="6" s="1"/>
  <c r="AE21" i="2"/>
  <c r="AE18" i="6" s="1"/>
  <c r="AF21" i="2"/>
  <c r="AF18" i="6" s="1"/>
  <c r="AG21" i="2"/>
  <c r="AG18" i="6" s="1"/>
  <c r="C22" i="2"/>
  <c r="C13" i="6" s="1"/>
  <c r="D22" i="2"/>
  <c r="D13" i="6" s="1"/>
  <c r="E22" i="2"/>
  <c r="E13" i="6" s="1"/>
  <c r="F22" i="2"/>
  <c r="F13" i="6" s="1"/>
  <c r="G22" i="2"/>
  <c r="G13" i="6" s="1"/>
  <c r="H22" i="2"/>
  <c r="H13" i="6" s="1"/>
  <c r="I22" i="2"/>
  <c r="I13" i="6" s="1"/>
  <c r="J22" i="2"/>
  <c r="J13" i="6" s="1"/>
  <c r="K22" i="2"/>
  <c r="K13" i="6" s="1"/>
  <c r="L22" i="2"/>
  <c r="L13" i="6" s="1"/>
  <c r="M22" i="2"/>
  <c r="M13" i="6" s="1"/>
  <c r="N22" i="2"/>
  <c r="N13" i="6" s="1"/>
  <c r="O22" i="2"/>
  <c r="O13" i="6" s="1"/>
  <c r="P22" i="2"/>
  <c r="P13" i="6" s="1"/>
  <c r="Q22" i="2"/>
  <c r="Q13" i="6" s="1"/>
  <c r="R22" i="2"/>
  <c r="R13" i="6" s="1"/>
  <c r="S22" i="2"/>
  <c r="S13" i="6" s="1"/>
  <c r="T22" i="2"/>
  <c r="T13" i="6" s="1"/>
  <c r="U22" i="2"/>
  <c r="U13" i="6" s="1"/>
  <c r="V22" i="2"/>
  <c r="V13" i="6" s="1"/>
  <c r="W22" i="2"/>
  <c r="W13" i="6" s="1"/>
  <c r="X22" i="2"/>
  <c r="X13" i="6" s="1"/>
  <c r="Y22" i="2"/>
  <c r="Y13" i="6" s="1"/>
  <c r="Z22" i="2"/>
  <c r="Z13" i="6" s="1"/>
  <c r="AA22" i="2"/>
  <c r="AA13" i="6" s="1"/>
  <c r="AB22" i="2"/>
  <c r="AB13" i="6" s="1"/>
  <c r="AC22" i="2"/>
  <c r="AC13" i="6" s="1"/>
  <c r="AD22" i="2"/>
  <c r="AD13" i="6" s="1"/>
  <c r="AE22" i="2"/>
  <c r="AE13" i="6" s="1"/>
  <c r="AF22" i="2"/>
  <c r="AF13" i="6" s="1"/>
  <c r="AG22" i="2"/>
  <c r="AG13" i="6" s="1"/>
  <c r="B5" i="2"/>
  <c r="B6" i="2"/>
  <c r="B17" i="6" s="1"/>
  <c r="B8" i="2"/>
  <c r="B9" i="2"/>
  <c r="B10" i="2"/>
  <c r="B11" i="2"/>
  <c r="B20" i="6" s="1"/>
  <c r="B12" i="2"/>
  <c r="B16" i="6" s="1"/>
  <c r="B13" i="2"/>
  <c r="B19" i="6" s="1"/>
  <c r="B14" i="2"/>
  <c r="B15" i="6" s="1"/>
  <c r="B15" i="2"/>
  <c r="B16" i="2"/>
  <c r="B17" i="2"/>
  <c r="B18" i="2"/>
  <c r="B28" i="6" s="1"/>
  <c r="B19" i="2"/>
  <c r="B20" i="2"/>
  <c r="B29" i="6" s="1"/>
  <c r="B21" i="2"/>
  <c r="B18" i="6" s="1"/>
  <c r="B22" i="2"/>
  <c r="B13" i="6" s="1"/>
  <c r="B4" i="2"/>
  <c r="B11" i="6" s="1"/>
  <c r="B24" i="6" l="1"/>
  <c r="V23" i="6"/>
  <c r="V25" i="6"/>
  <c r="J23" i="6"/>
  <c r="J25" i="6"/>
  <c r="AC28" i="6"/>
  <c r="Q28" i="6"/>
  <c r="E28" i="6"/>
  <c r="X26" i="6"/>
  <c r="L26" i="6"/>
  <c r="AE27" i="6"/>
  <c r="S27" i="6"/>
  <c r="G27" i="6"/>
  <c r="Z30" i="6"/>
  <c r="Z21" i="6"/>
  <c r="N30" i="6"/>
  <c r="N21" i="6"/>
  <c r="AD20" i="6"/>
  <c r="R20" i="6"/>
  <c r="F20" i="6"/>
  <c r="AF24" i="6"/>
  <c r="T24" i="6"/>
  <c r="H24" i="6"/>
  <c r="AA22" i="6"/>
  <c r="AA14" i="6"/>
  <c r="O22" i="6"/>
  <c r="O14" i="6"/>
  <c r="C22" i="6"/>
  <c r="C14" i="6"/>
  <c r="V17" i="6"/>
  <c r="J17" i="6"/>
  <c r="X11" i="6"/>
  <c r="L11" i="6"/>
  <c r="AG23" i="6"/>
  <c r="AG25" i="6"/>
  <c r="Z22" i="6"/>
  <c r="Z14" i="6"/>
  <c r="N22" i="6"/>
  <c r="N14" i="6"/>
  <c r="AF23" i="6"/>
  <c r="AF25" i="6"/>
  <c r="T23" i="6"/>
  <c r="T25" i="6"/>
  <c r="H23" i="6"/>
  <c r="H25" i="6"/>
  <c r="AA28" i="6"/>
  <c r="O28" i="6"/>
  <c r="C28" i="6"/>
  <c r="V26" i="6"/>
  <c r="J26" i="6"/>
  <c r="AC27" i="6"/>
  <c r="Q27" i="6"/>
  <c r="E27" i="6"/>
  <c r="X30" i="6"/>
  <c r="X21" i="6"/>
  <c r="L30" i="6"/>
  <c r="L21" i="6"/>
  <c r="AE15" i="6"/>
  <c r="S15" i="6"/>
  <c r="G15" i="6"/>
  <c r="AB20" i="6"/>
  <c r="P20" i="6"/>
  <c r="D20" i="6"/>
  <c r="AD24" i="6"/>
  <c r="R24" i="6"/>
  <c r="F24" i="6"/>
  <c r="Y22" i="6"/>
  <c r="Y14" i="6"/>
  <c r="M22" i="6"/>
  <c r="M14" i="6"/>
  <c r="AF17" i="6"/>
  <c r="T17" i="6"/>
  <c r="H17" i="6"/>
  <c r="V11" i="6"/>
  <c r="J11" i="6"/>
  <c r="B10" i="6"/>
  <c r="AE23" i="6"/>
  <c r="AE25" i="6"/>
  <c r="S23" i="6"/>
  <c r="S25" i="6"/>
  <c r="G23" i="6"/>
  <c r="G25" i="6"/>
  <c r="Z28" i="6"/>
  <c r="N28" i="6"/>
  <c r="AG26" i="6"/>
  <c r="U26" i="6"/>
  <c r="I26" i="6"/>
  <c r="AB27" i="6"/>
  <c r="P27" i="6"/>
  <c r="D27" i="6"/>
  <c r="W30" i="6"/>
  <c r="W21" i="6"/>
  <c r="K30" i="6"/>
  <c r="K21" i="6"/>
  <c r="AA20" i="6"/>
  <c r="O20" i="6"/>
  <c r="C20" i="6"/>
  <c r="AC24" i="6"/>
  <c r="Q24" i="6"/>
  <c r="E24" i="6"/>
  <c r="X22" i="6"/>
  <c r="X14" i="6"/>
  <c r="L22" i="6"/>
  <c r="L14" i="6"/>
  <c r="AE17" i="6"/>
  <c r="S17" i="6"/>
  <c r="G17" i="6"/>
  <c r="AG11" i="6"/>
  <c r="U11" i="6"/>
  <c r="I11" i="6"/>
  <c r="AD23" i="6"/>
  <c r="AD25" i="6"/>
  <c r="R23" i="6"/>
  <c r="R25" i="6"/>
  <c r="F23" i="6"/>
  <c r="F25" i="6"/>
  <c r="Y28" i="6"/>
  <c r="M28" i="6"/>
  <c r="AA27" i="6"/>
  <c r="O27" i="6"/>
  <c r="C27" i="6"/>
  <c r="V30" i="6"/>
  <c r="V21" i="6"/>
  <c r="J30" i="6"/>
  <c r="J21" i="6"/>
  <c r="Z20" i="6"/>
  <c r="N20" i="6"/>
  <c r="AG12" i="6"/>
  <c r="U12" i="6"/>
  <c r="I12" i="6"/>
  <c r="AB24" i="6"/>
  <c r="P24" i="6"/>
  <c r="D24" i="6"/>
  <c r="W22" i="6"/>
  <c r="W14" i="6"/>
  <c r="K22" i="6"/>
  <c r="K14" i="6"/>
  <c r="AD17" i="6"/>
  <c r="R17" i="6"/>
  <c r="F17" i="6"/>
  <c r="H11" i="6"/>
  <c r="B27" i="6"/>
  <c r="AC23" i="6"/>
  <c r="AC25" i="6"/>
  <c r="Q23" i="6"/>
  <c r="Q25" i="6"/>
  <c r="E23" i="6"/>
  <c r="E25" i="6"/>
  <c r="X28" i="6"/>
  <c r="L28" i="6"/>
  <c r="AE26" i="6"/>
  <c r="S26" i="6"/>
  <c r="G26" i="6"/>
  <c r="Z27" i="6"/>
  <c r="N27" i="6"/>
  <c r="AG30" i="6"/>
  <c r="AG21" i="6"/>
  <c r="U30" i="6"/>
  <c r="U21" i="6"/>
  <c r="I30" i="6"/>
  <c r="I21" i="6"/>
  <c r="Y20" i="6"/>
  <c r="M20" i="6"/>
  <c r="AA24" i="6"/>
  <c r="O24" i="6"/>
  <c r="C24" i="6"/>
  <c r="V22" i="6"/>
  <c r="V14" i="6"/>
  <c r="J22" i="6"/>
  <c r="J14" i="6"/>
  <c r="AC17" i="6"/>
  <c r="Q17" i="6"/>
  <c r="E17" i="6"/>
  <c r="I23" i="6"/>
  <c r="I25" i="6"/>
  <c r="Y30" i="6"/>
  <c r="Y21" i="6"/>
  <c r="B30" i="6"/>
  <c r="B21" i="6"/>
  <c r="AB23" i="6"/>
  <c r="AB25" i="6"/>
  <c r="P23" i="6"/>
  <c r="P25" i="6"/>
  <c r="D23" i="6"/>
  <c r="D25" i="6"/>
  <c r="W28" i="6"/>
  <c r="K28" i="6"/>
  <c r="AD26" i="6"/>
  <c r="R26" i="6"/>
  <c r="F26" i="6"/>
  <c r="Y27" i="6"/>
  <c r="M27" i="6"/>
  <c r="AF30" i="6"/>
  <c r="AF21" i="6"/>
  <c r="T30" i="6"/>
  <c r="T21" i="6"/>
  <c r="H30" i="6"/>
  <c r="H21" i="6"/>
  <c r="X20" i="6"/>
  <c r="L20" i="6"/>
  <c r="Z24" i="6"/>
  <c r="N24" i="6"/>
  <c r="AG22" i="6"/>
  <c r="AG14" i="6"/>
  <c r="U22" i="6"/>
  <c r="U14" i="6"/>
  <c r="I22" i="6"/>
  <c r="I14" i="6"/>
  <c r="AB17" i="6"/>
  <c r="P17" i="6"/>
  <c r="D17" i="6"/>
  <c r="W10" i="6"/>
  <c r="K10" i="6"/>
  <c r="R11" i="6"/>
  <c r="F11" i="6"/>
  <c r="B22" i="6"/>
  <c r="B14" i="6"/>
  <c r="AA23" i="6"/>
  <c r="AA25" i="6"/>
  <c r="O23" i="6"/>
  <c r="O25" i="6"/>
  <c r="C23" i="6"/>
  <c r="C25" i="6"/>
  <c r="V28" i="6"/>
  <c r="J28" i="6"/>
  <c r="AC26" i="6"/>
  <c r="Q26" i="6"/>
  <c r="E26" i="6"/>
  <c r="X27" i="6"/>
  <c r="L27" i="6"/>
  <c r="AE30" i="6"/>
  <c r="AE21" i="6"/>
  <c r="S30" i="6"/>
  <c r="S21" i="6"/>
  <c r="G30" i="6"/>
  <c r="G21" i="6"/>
  <c r="W20" i="6"/>
  <c r="K20" i="6"/>
  <c r="Y24" i="6"/>
  <c r="M24" i="6"/>
  <c r="AF22" i="6"/>
  <c r="AF14" i="6"/>
  <c r="T22" i="6"/>
  <c r="T14" i="6"/>
  <c r="H22" i="6"/>
  <c r="H14" i="6"/>
  <c r="AA17" i="6"/>
  <c r="O17" i="6"/>
  <c r="C17" i="6"/>
  <c r="AC11" i="6"/>
  <c r="Q11" i="6"/>
  <c r="E11" i="6"/>
  <c r="B26" i="6"/>
  <c r="Z23" i="6"/>
  <c r="Z25" i="6"/>
  <c r="N23" i="6"/>
  <c r="N25" i="6"/>
  <c r="AG28" i="6"/>
  <c r="U28" i="6"/>
  <c r="I28" i="6"/>
  <c r="AB26" i="6"/>
  <c r="P26" i="6"/>
  <c r="D26" i="6"/>
  <c r="W27" i="6"/>
  <c r="K27" i="6"/>
  <c r="AD30" i="6"/>
  <c r="AD21" i="6"/>
  <c r="R30" i="6"/>
  <c r="R21" i="6"/>
  <c r="F30" i="6"/>
  <c r="F21" i="6"/>
  <c r="V20" i="6"/>
  <c r="J20" i="6"/>
  <c r="X24" i="6"/>
  <c r="L24" i="6"/>
  <c r="AE22" i="6"/>
  <c r="AE14" i="6"/>
  <c r="S22" i="6"/>
  <c r="S14" i="6"/>
  <c r="G22" i="6"/>
  <c r="G14" i="6"/>
  <c r="Z17" i="6"/>
  <c r="N17" i="6"/>
  <c r="AB11" i="6"/>
  <c r="P11" i="6"/>
  <c r="D11" i="6"/>
  <c r="Y23" i="6"/>
  <c r="Y25" i="6"/>
  <c r="M23" i="6"/>
  <c r="M25" i="6"/>
  <c r="AF28" i="6"/>
  <c r="T28" i="6"/>
  <c r="H28" i="6"/>
  <c r="AA26" i="6"/>
  <c r="O26" i="6"/>
  <c r="C26" i="6"/>
  <c r="V27" i="6"/>
  <c r="J27" i="6"/>
  <c r="AC30" i="6"/>
  <c r="AC21" i="6"/>
  <c r="Q30" i="6"/>
  <c r="Q21" i="6"/>
  <c r="E30" i="6"/>
  <c r="E21" i="6"/>
  <c r="AG20" i="6"/>
  <c r="U20" i="6"/>
  <c r="I20" i="6"/>
  <c r="W24" i="6"/>
  <c r="K24" i="6"/>
  <c r="AD22" i="6"/>
  <c r="AD14" i="6"/>
  <c r="R22" i="6"/>
  <c r="R14" i="6"/>
  <c r="F22" i="6"/>
  <c r="F14" i="6"/>
  <c r="Y17" i="6"/>
  <c r="M17" i="6"/>
  <c r="AA11" i="6"/>
  <c r="O11" i="6"/>
  <c r="C11" i="6"/>
  <c r="U23" i="6"/>
  <c r="U25" i="6"/>
  <c r="M30" i="6"/>
  <c r="M21" i="6"/>
  <c r="X23" i="6"/>
  <c r="X25" i="6"/>
  <c r="L23" i="6"/>
  <c r="L25" i="6"/>
  <c r="AE28" i="6"/>
  <c r="S28" i="6"/>
  <c r="G28" i="6"/>
  <c r="Z26" i="6"/>
  <c r="N26" i="6"/>
  <c r="AG27" i="6"/>
  <c r="U27" i="6"/>
  <c r="I27" i="6"/>
  <c r="AB30" i="6"/>
  <c r="AB21" i="6"/>
  <c r="P30" i="6"/>
  <c r="P21" i="6"/>
  <c r="D30" i="6"/>
  <c r="D21" i="6"/>
  <c r="AF20" i="6"/>
  <c r="T20" i="6"/>
  <c r="H20" i="6"/>
  <c r="V24" i="6"/>
  <c r="J24" i="6"/>
  <c r="AC22" i="6"/>
  <c r="AC14" i="6"/>
  <c r="Q22" i="6"/>
  <c r="Q14" i="6"/>
  <c r="E22" i="6"/>
  <c r="E14" i="6"/>
  <c r="X17" i="6"/>
  <c r="L17" i="6"/>
  <c r="Z11" i="6"/>
  <c r="N11" i="6"/>
  <c r="B23" i="6"/>
  <c r="B25" i="6"/>
  <c r="B12" i="6"/>
  <c r="W23" i="6"/>
  <c r="W25" i="6"/>
  <c r="K23" i="6"/>
  <c r="K25" i="6"/>
  <c r="AD28" i="6"/>
  <c r="R28" i="6"/>
  <c r="F28" i="6"/>
  <c r="Y26" i="6"/>
  <c r="M26" i="6"/>
  <c r="AF27" i="6"/>
  <c r="T27" i="6"/>
  <c r="H27" i="6"/>
  <c r="AA30" i="6"/>
  <c r="AA21" i="6"/>
  <c r="O30" i="6"/>
  <c r="O21" i="6"/>
  <c r="C30" i="6"/>
  <c r="C21" i="6"/>
  <c r="X16" i="6"/>
  <c r="L16" i="6"/>
  <c r="AE20" i="6"/>
  <c r="S20" i="6"/>
  <c r="G20" i="6"/>
  <c r="AG24" i="6"/>
  <c r="U24" i="6"/>
  <c r="I24" i="6"/>
  <c r="AB22" i="6"/>
  <c r="AB14" i="6"/>
  <c r="P22" i="6"/>
  <c r="P14" i="6"/>
  <c r="D22" i="6"/>
  <c r="D14" i="6"/>
  <c r="W17" i="6"/>
  <c r="K17" i="6"/>
  <c r="Y11" i="6"/>
  <c r="M1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C61" i="6"/>
  <c r="E54" i="6"/>
  <c r="F54" i="6"/>
  <c r="H54" i="6"/>
  <c r="I54" i="6"/>
  <c r="K54" i="6"/>
  <c r="L54" i="6"/>
  <c r="Q54" i="6"/>
  <c r="R54" i="6"/>
  <c r="T54" i="6"/>
  <c r="U54" i="6"/>
  <c r="V54" i="6"/>
  <c r="W54" i="6"/>
  <c r="X54" i="6"/>
  <c r="Z54" i="6"/>
  <c r="AC54" i="6"/>
  <c r="AD54" i="6"/>
  <c r="AF54" i="6"/>
  <c r="AG54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D55" i="6"/>
  <c r="D56" i="6"/>
  <c r="D54" i="6"/>
  <c r="D130" i="5"/>
  <c r="E130" i="5"/>
  <c r="F130" i="5"/>
  <c r="G130" i="5"/>
  <c r="H130" i="5"/>
  <c r="H131" i="5" s="1"/>
  <c r="I130" i="5"/>
  <c r="J130" i="5"/>
  <c r="K130" i="5"/>
  <c r="L130" i="5"/>
  <c r="L131" i="5" s="1"/>
  <c r="M130" i="5"/>
  <c r="N130" i="5"/>
  <c r="O130" i="5"/>
  <c r="P130" i="5"/>
  <c r="Q130" i="5"/>
  <c r="R130" i="5"/>
  <c r="S130" i="5"/>
  <c r="T130" i="5"/>
  <c r="T131" i="5" s="1"/>
  <c r="U130" i="5"/>
  <c r="V130" i="5"/>
  <c r="W130" i="5"/>
  <c r="X130" i="5"/>
  <c r="X131" i="5" s="1"/>
  <c r="Y130" i="5"/>
  <c r="Z130" i="5"/>
  <c r="AA130" i="5"/>
  <c r="AB130" i="5"/>
  <c r="AC130" i="5"/>
  <c r="AD130" i="5"/>
  <c r="AE130" i="5"/>
  <c r="AF130" i="5"/>
  <c r="AF131" i="5" s="1"/>
  <c r="AG130" i="5"/>
  <c r="AH130" i="5"/>
  <c r="AI130" i="5"/>
  <c r="AJ130" i="5"/>
  <c r="AJ131" i="5" s="1"/>
  <c r="AK130" i="5"/>
  <c r="AL130" i="5"/>
  <c r="AM130" i="5"/>
  <c r="AN130" i="5"/>
  <c r="D131" i="5"/>
  <c r="E131" i="5"/>
  <c r="F131" i="5"/>
  <c r="G131" i="5"/>
  <c r="I131" i="5"/>
  <c r="J131" i="5"/>
  <c r="K131" i="5"/>
  <c r="M131" i="5"/>
  <c r="N131" i="5"/>
  <c r="O131" i="5"/>
  <c r="P131" i="5"/>
  <c r="Q131" i="5"/>
  <c r="R131" i="5"/>
  <c r="S131" i="5"/>
  <c r="U131" i="5"/>
  <c r="V131" i="5"/>
  <c r="W131" i="5"/>
  <c r="Y131" i="5"/>
  <c r="Z131" i="5"/>
  <c r="AA131" i="5"/>
  <c r="AB131" i="5"/>
  <c r="AC131" i="5"/>
  <c r="AD131" i="5"/>
  <c r="AE131" i="5"/>
  <c r="AG131" i="5"/>
  <c r="AH131" i="5"/>
  <c r="AI131" i="5"/>
  <c r="AK131" i="5"/>
  <c r="AL131" i="5"/>
  <c r="AM131" i="5"/>
  <c r="AN131" i="5"/>
  <c r="C131" i="5"/>
  <c r="C130" i="5"/>
  <c r="D121" i="5"/>
  <c r="E121" i="5"/>
  <c r="F121" i="5"/>
  <c r="G121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W121" i="5"/>
  <c r="X121" i="5"/>
  <c r="Y121" i="5"/>
  <c r="Z121" i="5"/>
  <c r="AA121" i="5"/>
  <c r="AB121" i="5"/>
  <c r="AC121" i="5"/>
  <c r="AD121" i="5"/>
  <c r="AE121" i="5"/>
  <c r="AF121" i="5"/>
  <c r="AG121" i="5"/>
  <c r="AH121" i="5"/>
  <c r="AI121" i="5"/>
  <c r="AJ121" i="5"/>
  <c r="AK121" i="5"/>
  <c r="AL121" i="5"/>
  <c r="AM121" i="5"/>
  <c r="AN121" i="5"/>
  <c r="D122" i="5"/>
  <c r="E122" i="5"/>
  <c r="F122" i="5"/>
  <c r="G122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W122" i="5"/>
  <c r="X122" i="5"/>
  <c r="Y122" i="5"/>
  <c r="Z122" i="5"/>
  <c r="AA122" i="5"/>
  <c r="AB122" i="5"/>
  <c r="AC122" i="5"/>
  <c r="AD122" i="5"/>
  <c r="AE122" i="5"/>
  <c r="AF122" i="5"/>
  <c r="AG122" i="5"/>
  <c r="AH122" i="5"/>
  <c r="AI122" i="5"/>
  <c r="AJ122" i="5"/>
  <c r="AK122" i="5"/>
  <c r="AL122" i="5"/>
  <c r="AM122" i="5"/>
  <c r="AN122" i="5"/>
  <c r="C122" i="5"/>
  <c r="C121" i="5"/>
  <c r="AI123" i="5" l="1"/>
  <c r="AC124" i="5"/>
  <c r="AI124" i="5"/>
  <c r="L5" i="5"/>
  <c r="M5" i="5"/>
  <c r="N5" i="5"/>
  <c r="X5" i="5"/>
  <c r="Y5" i="5"/>
  <c r="Z5" i="5"/>
  <c r="AA5" i="5"/>
  <c r="AB5" i="5"/>
  <c r="AE5" i="5"/>
  <c r="AL5" i="5"/>
  <c r="AM5" i="5"/>
  <c r="AN5" i="5"/>
  <c r="D104" i="5"/>
  <c r="D106" i="5" s="1"/>
  <c r="E104" i="5"/>
  <c r="E105" i="5" s="1"/>
  <c r="F104" i="5"/>
  <c r="F106" i="5" s="1"/>
  <c r="G104" i="5"/>
  <c r="G105" i="5" s="1"/>
  <c r="G109" i="5" s="1"/>
  <c r="H104" i="5"/>
  <c r="I104" i="5"/>
  <c r="J104" i="5"/>
  <c r="J106" i="5" s="1"/>
  <c r="K104" i="5"/>
  <c r="K106" i="5" s="1"/>
  <c r="L104" i="5"/>
  <c r="L106" i="5" s="1"/>
  <c r="M104" i="5"/>
  <c r="M106" i="5" s="1"/>
  <c r="N104" i="5"/>
  <c r="N106" i="5" s="1"/>
  <c r="O104" i="5"/>
  <c r="P104" i="5"/>
  <c r="Q104" i="5"/>
  <c r="Q105" i="5" s="1"/>
  <c r="Q124" i="5" s="1"/>
  <c r="R104" i="5"/>
  <c r="R106" i="5" s="1"/>
  <c r="S104" i="5"/>
  <c r="S106" i="5" s="1"/>
  <c r="T104" i="5"/>
  <c r="U104" i="5"/>
  <c r="V105" i="5" s="1"/>
  <c r="V104" i="5"/>
  <c r="W104" i="5"/>
  <c r="W105" i="5" s="1"/>
  <c r="X104" i="5"/>
  <c r="Y104" i="5"/>
  <c r="Y106" i="5" s="1"/>
  <c r="Z104" i="5"/>
  <c r="Z106" i="5" s="1"/>
  <c r="AA104" i="5"/>
  <c r="AB104" i="5"/>
  <c r="AB106" i="5" s="1"/>
  <c r="AC104" i="5"/>
  <c r="AC105" i="5" s="1"/>
  <c r="AC123" i="5" s="1"/>
  <c r="AD104" i="5"/>
  <c r="AD106" i="5" s="1"/>
  <c r="AE104" i="5"/>
  <c r="AE106" i="5" s="1"/>
  <c r="AF104" i="5"/>
  <c r="AG104" i="5"/>
  <c r="AH105" i="5" s="1"/>
  <c r="AH104" i="5"/>
  <c r="AI104" i="5"/>
  <c r="AI106" i="5" s="1"/>
  <c r="AJ104" i="5"/>
  <c r="AK104" i="5"/>
  <c r="AK105" i="5" s="1"/>
  <c r="AL104" i="5"/>
  <c r="AL106" i="5" s="1"/>
  <c r="AM104" i="5"/>
  <c r="AN104" i="5"/>
  <c r="AN106" i="5" s="1"/>
  <c r="J105" i="5"/>
  <c r="J111" i="5" s="1"/>
  <c r="K105" i="5"/>
  <c r="AI105" i="5"/>
  <c r="I106" i="5"/>
  <c r="P106" i="5"/>
  <c r="U106" i="5"/>
  <c r="V106" i="5"/>
  <c r="W106" i="5"/>
  <c r="AH106" i="5"/>
  <c r="D107" i="5"/>
  <c r="E107" i="5"/>
  <c r="F107" i="5"/>
  <c r="G107" i="5"/>
  <c r="H107" i="5"/>
  <c r="I107" i="5"/>
  <c r="J107" i="5"/>
  <c r="K107" i="5"/>
  <c r="K5" i="5" s="1"/>
  <c r="L107" i="5"/>
  <c r="M107" i="5"/>
  <c r="N107" i="5"/>
  <c r="O107" i="5"/>
  <c r="O5" i="5" s="1"/>
  <c r="P107" i="5"/>
  <c r="P5" i="5" s="1"/>
  <c r="Q107" i="5"/>
  <c r="Q5" i="5" s="1"/>
  <c r="R107" i="5"/>
  <c r="R5" i="5" s="1"/>
  <c r="S107" i="5"/>
  <c r="S5" i="5" s="1"/>
  <c r="T107" i="5"/>
  <c r="T5" i="5" s="1"/>
  <c r="U107" i="5"/>
  <c r="U5" i="5" s="1"/>
  <c r="V107" i="5"/>
  <c r="V5" i="5" s="1"/>
  <c r="W107" i="5"/>
  <c r="W5" i="5" s="1"/>
  <c r="X107" i="5"/>
  <c r="Y107" i="5"/>
  <c r="Z107" i="5"/>
  <c r="AA107" i="5"/>
  <c r="AB107" i="5"/>
  <c r="AC107" i="5"/>
  <c r="AC5" i="5" s="1"/>
  <c r="AD107" i="5"/>
  <c r="AD5" i="5" s="1"/>
  <c r="AE107" i="5"/>
  <c r="AF107" i="5"/>
  <c r="AF5" i="5" s="1"/>
  <c r="AG107" i="5"/>
  <c r="AG5" i="5" s="1"/>
  <c r="AH107" i="5"/>
  <c r="AH5" i="5" s="1"/>
  <c r="AI107" i="5"/>
  <c r="AI5" i="5" s="1"/>
  <c r="AJ107" i="5"/>
  <c r="AJ5" i="5" s="1"/>
  <c r="AK107" i="5"/>
  <c r="AK5" i="5" s="1"/>
  <c r="AL107" i="5"/>
  <c r="AM107" i="5"/>
  <c r="AN107" i="5"/>
  <c r="D108" i="5"/>
  <c r="E108" i="5"/>
  <c r="F108" i="5"/>
  <c r="G108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W108" i="5"/>
  <c r="X108" i="5"/>
  <c r="Y108" i="5"/>
  <c r="Z108" i="5"/>
  <c r="AA108" i="5"/>
  <c r="AB108" i="5"/>
  <c r="AC108" i="5"/>
  <c r="AD108" i="5"/>
  <c r="AE108" i="5"/>
  <c r="AF108" i="5"/>
  <c r="AG108" i="5"/>
  <c r="AH108" i="5"/>
  <c r="AI108" i="5"/>
  <c r="AJ108" i="5"/>
  <c r="AK108" i="5"/>
  <c r="AL108" i="5"/>
  <c r="AM108" i="5"/>
  <c r="AN108" i="5"/>
  <c r="D110" i="5"/>
  <c r="E110" i="5"/>
  <c r="F110" i="5"/>
  <c r="G110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W110" i="5"/>
  <c r="X110" i="5"/>
  <c r="Y110" i="5"/>
  <c r="Z110" i="5"/>
  <c r="AA110" i="5"/>
  <c r="AB110" i="5"/>
  <c r="AC110" i="5"/>
  <c r="AD110" i="5"/>
  <c r="AE110" i="5"/>
  <c r="AF110" i="5"/>
  <c r="AG110" i="5"/>
  <c r="AH110" i="5"/>
  <c r="AI110" i="5"/>
  <c r="AJ110" i="5"/>
  <c r="AK110" i="5"/>
  <c r="AL110" i="5"/>
  <c r="AM110" i="5"/>
  <c r="AN110" i="5"/>
  <c r="C108" i="5"/>
  <c r="C107" i="5"/>
  <c r="C110" i="5"/>
  <c r="C104" i="5"/>
  <c r="B104" i="5"/>
  <c r="L6" i="5"/>
  <c r="M6" i="5" s="1"/>
  <c r="N6" i="5" s="1"/>
  <c r="O6" i="5" s="1"/>
  <c r="P6" i="5" s="1"/>
  <c r="Q6" i="5" s="1"/>
  <c r="R6" i="5" s="1"/>
  <c r="S6" i="5" s="1"/>
  <c r="L4" i="5"/>
  <c r="M4" i="5" s="1"/>
  <c r="N4" i="5" s="1"/>
  <c r="O4" i="5" s="1"/>
  <c r="P4" i="5" s="1"/>
  <c r="Q4" i="5" s="1"/>
  <c r="R4" i="5" s="1"/>
  <c r="S4" i="5" s="1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W123" i="5" l="1"/>
  <c r="W124" i="5"/>
  <c r="AH111" i="5"/>
  <c r="AH124" i="5"/>
  <c r="AH123" i="5"/>
  <c r="V123" i="5"/>
  <c r="V124" i="5"/>
  <c r="V111" i="5"/>
  <c r="S111" i="5"/>
  <c r="K123" i="5"/>
  <c r="K124" i="5"/>
  <c r="G106" i="5"/>
  <c r="S105" i="5"/>
  <c r="AJ105" i="5"/>
  <c r="X105" i="5"/>
  <c r="AK111" i="5"/>
  <c r="AK124" i="5"/>
  <c r="AG106" i="5"/>
  <c r="Q123" i="5"/>
  <c r="AK123" i="5"/>
  <c r="AH109" i="5"/>
  <c r="V109" i="5"/>
  <c r="J109" i="5"/>
  <c r="X106" i="5"/>
  <c r="AF105" i="5"/>
  <c r="T105" i="5"/>
  <c r="H105" i="5"/>
  <c r="G111" i="5"/>
  <c r="X111" i="5"/>
  <c r="X109" i="5"/>
  <c r="AJ109" i="5"/>
  <c r="AK109" i="5"/>
  <c r="Y109" i="5"/>
  <c r="AK106" i="5"/>
  <c r="AL105" i="5"/>
  <c r="N105" i="5"/>
  <c r="AJ106" i="5"/>
  <c r="M105" i="5"/>
  <c r="AI109" i="5"/>
  <c r="W109" i="5"/>
  <c r="K109" i="5"/>
  <c r="L105" i="5"/>
  <c r="C105" i="5"/>
  <c r="C109" i="5" s="1"/>
  <c r="AE105" i="5"/>
  <c r="AE111" i="5" s="1"/>
  <c r="C111" i="5"/>
  <c r="AI111" i="5"/>
  <c r="W111" i="5"/>
  <c r="Z105" i="5"/>
  <c r="D105" i="5"/>
  <c r="D111" i="5" s="1"/>
  <c r="AC111" i="5"/>
  <c r="E111" i="5"/>
  <c r="C106" i="5"/>
  <c r="Y105" i="5"/>
  <c r="K111" i="5"/>
  <c r="Q111" i="5"/>
  <c r="AC109" i="5"/>
  <c r="Q109" i="5"/>
  <c r="E109" i="5"/>
  <c r="AM105" i="5"/>
  <c r="AA105" i="5"/>
  <c r="O105" i="5"/>
  <c r="AM111" i="5"/>
  <c r="AA111" i="5"/>
  <c r="AF109" i="5"/>
  <c r="AF111" i="5"/>
  <c r="T109" i="5"/>
  <c r="T111" i="5"/>
  <c r="H111" i="5"/>
  <c r="H109" i="5"/>
  <c r="AF106" i="5"/>
  <c r="T106" i="5"/>
  <c r="H106" i="5"/>
  <c r="AG105" i="5"/>
  <c r="U105" i="5"/>
  <c r="I105" i="5"/>
  <c r="I109" i="5" s="1"/>
  <c r="AL109" i="5"/>
  <c r="AC106" i="5"/>
  <c r="Q106" i="5"/>
  <c r="E106" i="5"/>
  <c r="AD105" i="5"/>
  <c r="R105" i="5"/>
  <c r="F105" i="5"/>
  <c r="AM106" i="5"/>
  <c r="AA106" i="5"/>
  <c r="O106" i="5"/>
  <c r="AN105" i="5"/>
  <c r="AB105" i="5"/>
  <c r="P105" i="5"/>
  <c r="R124" i="5" l="1"/>
  <c r="R123" i="5"/>
  <c r="L124" i="5"/>
  <c r="L123" i="5"/>
  <c r="P123" i="5"/>
  <c r="P124" i="5"/>
  <c r="Y111" i="5"/>
  <c r="Y124" i="5"/>
  <c r="Y123" i="5"/>
  <c r="AE109" i="5"/>
  <c r="AE124" i="5"/>
  <c r="AE123" i="5"/>
  <c r="AB124" i="5"/>
  <c r="AB123" i="5"/>
  <c r="AN124" i="5"/>
  <c r="AN123" i="5"/>
  <c r="O109" i="5"/>
  <c r="O123" i="5"/>
  <c r="O124" i="5"/>
  <c r="X123" i="5"/>
  <c r="X124" i="5"/>
  <c r="AA109" i="5"/>
  <c r="AA123" i="5"/>
  <c r="AA124" i="5"/>
  <c r="N109" i="5"/>
  <c r="N123" i="5"/>
  <c r="N124" i="5"/>
  <c r="AJ111" i="5"/>
  <c r="AJ123" i="5"/>
  <c r="AJ124" i="5"/>
  <c r="AD124" i="5"/>
  <c r="AD123" i="5"/>
  <c r="U109" i="5"/>
  <c r="U123" i="5"/>
  <c r="U124" i="5"/>
  <c r="AG109" i="5"/>
  <c r="AG123" i="5"/>
  <c r="AG124" i="5"/>
  <c r="U111" i="5"/>
  <c r="M111" i="5"/>
  <c r="M124" i="5"/>
  <c r="M123" i="5"/>
  <c r="Z109" i="5"/>
  <c r="Z123" i="5"/>
  <c r="Z124" i="5"/>
  <c r="T124" i="5"/>
  <c r="T123" i="5"/>
  <c r="AM109" i="5"/>
  <c r="AM123" i="5"/>
  <c r="AM124" i="5"/>
  <c r="AL111" i="5"/>
  <c r="AL124" i="5"/>
  <c r="AL123" i="5"/>
  <c r="AF124" i="5"/>
  <c r="AF123" i="5"/>
  <c r="S109" i="5"/>
  <c r="S124" i="5"/>
  <c r="S123" i="5"/>
  <c r="M109" i="5"/>
  <c r="I111" i="5"/>
  <c r="L111" i="5"/>
  <c r="L109" i="5"/>
  <c r="Z111" i="5"/>
  <c r="N111" i="5"/>
  <c r="O111" i="5"/>
  <c r="D109" i="5"/>
  <c r="AB109" i="5"/>
  <c r="AB111" i="5"/>
  <c r="AN109" i="5"/>
  <c r="AN111" i="5"/>
  <c r="AD111" i="5"/>
  <c r="AD109" i="5"/>
  <c r="P109" i="5"/>
  <c r="P111" i="5"/>
  <c r="F109" i="5"/>
  <c r="F111" i="5"/>
  <c r="R109" i="5"/>
  <c r="R111" i="5"/>
  <c r="AG111" i="5"/>
  <c r="K16" i="5" l="1"/>
  <c r="K9" i="5"/>
  <c r="L9" i="5" s="1"/>
  <c r="M9" i="5" s="1"/>
  <c r="N9" i="5" s="1"/>
  <c r="O9" i="5" s="1"/>
  <c r="P9" i="5" s="1"/>
  <c r="Q9" i="5" s="1"/>
  <c r="R9" i="5" s="1"/>
  <c r="S9" i="5" s="1"/>
  <c r="T9" i="5" s="1"/>
  <c r="U9" i="5" s="1"/>
  <c r="V9" i="5" s="1"/>
  <c r="W9" i="5" s="1"/>
  <c r="X9" i="5" s="1"/>
  <c r="Y9" i="5" s="1"/>
  <c r="Z9" i="5" s="1"/>
  <c r="AA9" i="5" s="1"/>
  <c r="AB9" i="5" s="1"/>
  <c r="AC9" i="5" s="1"/>
  <c r="AD9" i="5" s="1"/>
  <c r="AE9" i="5" s="1"/>
  <c r="AF9" i="5" s="1"/>
  <c r="AG9" i="5" s="1"/>
  <c r="AH9" i="5" s="1"/>
  <c r="AI9" i="5" s="1"/>
  <c r="AJ9" i="5" s="1"/>
  <c r="AK9" i="5" s="1"/>
  <c r="AL9" i="5" s="1"/>
  <c r="AM9" i="5" s="1"/>
  <c r="AN9" i="5" s="1"/>
  <c r="K8" i="5"/>
  <c r="L8" i="5" s="1"/>
  <c r="M8" i="5" s="1"/>
  <c r="F76" i="5"/>
  <c r="D77" i="5"/>
  <c r="E77" i="5"/>
  <c r="F77" i="5"/>
  <c r="G77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W77" i="5"/>
  <c r="X77" i="5"/>
  <c r="Y77" i="5"/>
  <c r="Z77" i="5"/>
  <c r="AA77" i="5"/>
  <c r="AB77" i="5"/>
  <c r="AC77" i="5"/>
  <c r="AD77" i="5"/>
  <c r="AE77" i="5"/>
  <c r="AF77" i="5"/>
  <c r="AG77" i="5"/>
  <c r="AH77" i="5"/>
  <c r="AI77" i="5"/>
  <c r="AJ77" i="5"/>
  <c r="AK77" i="5"/>
  <c r="AL77" i="5"/>
  <c r="AM77" i="5"/>
  <c r="AN77" i="5"/>
  <c r="D78" i="5"/>
  <c r="E78" i="5"/>
  <c r="F78" i="5"/>
  <c r="G78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W78" i="5"/>
  <c r="W79" i="5" s="1"/>
  <c r="W4" i="5" s="1"/>
  <c r="X78" i="5"/>
  <c r="Y78" i="5"/>
  <c r="Z78" i="5"/>
  <c r="AA78" i="5"/>
  <c r="AB78" i="5"/>
  <c r="AC78" i="5"/>
  <c r="AD78" i="5"/>
  <c r="AE78" i="5"/>
  <c r="AF78" i="5"/>
  <c r="AG78" i="5"/>
  <c r="AH78" i="5"/>
  <c r="AI78" i="5"/>
  <c r="AI79" i="5" s="1"/>
  <c r="AI4" i="5" s="1"/>
  <c r="AJ78" i="5"/>
  <c r="AK78" i="5"/>
  <c r="AL78" i="5"/>
  <c r="AM78" i="5"/>
  <c r="AN78" i="5"/>
  <c r="D80" i="5"/>
  <c r="E80" i="5"/>
  <c r="F80" i="5"/>
  <c r="G80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W80" i="5"/>
  <c r="X80" i="5"/>
  <c r="Y80" i="5"/>
  <c r="Z80" i="5"/>
  <c r="AA80" i="5"/>
  <c r="AB80" i="5"/>
  <c r="AC80" i="5"/>
  <c r="AD80" i="5"/>
  <c r="AE80" i="5"/>
  <c r="AF80" i="5"/>
  <c r="AF81" i="5" s="1"/>
  <c r="AF6" i="5" s="1"/>
  <c r="AG80" i="5"/>
  <c r="AH80" i="5"/>
  <c r="AI80" i="5"/>
  <c r="AJ80" i="5"/>
  <c r="AK80" i="5"/>
  <c r="AL80" i="5"/>
  <c r="AM80" i="5"/>
  <c r="AN80" i="5"/>
  <c r="C80" i="5"/>
  <c r="C78" i="5"/>
  <c r="C77" i="5"/>
  <c r="AN74" i="5"/>
  <c r="AN76" i="5" s="1"/>
  <c r="AM74" i="5"/>
  <c r="AL74" i="5"/>
  <c r="AL76" i="5" s="1"/>
  <c r="AK74" i="5"/>
  <c r="AK75" i="5" s="1"/>
  <c r="AJ74" i="5"/>
  <c r="AI74" i="5"/>
  <c r="AI75" i="5" s="1"/>
  <c r="AH74" i="5"/>
  <c r="AG74" i="5"/>
  <c r="AG76" i="5" s="1"/>
  <c r="AF74" i="5"/>
  <c r="AF75" i="5" s="1"/>
  <c r="AE74" i="5"/>
  <c r="AD74" i="5"/>
  <c r="AD76" i="5" s="1"/>
  <c r="AC74" i="5"/>
  <c r="AB74" i="5"/>
  <c r="AB76" i="5" s="1"/>
  <c r="AA74" i="5"/>
  <c r="Z74" i="5"/>
  <c r="Z76" i="5" s="1"/>
  <c r="Y74" i="5"/>
  <c r="Y76" i="5" s="1"/>
  <c r="X74" i="5"/>
  <c r="W74" i="5"/>
  <c r="W75" i="5" s="1"/>
  <c r="V74" i="5"/>
  <c r="U74" i="5"/>
  <c r="U76" i="5" s="1"/>
  <c r="T74" i="5"/>
  <c r="T75" i="5" s="1"/>
  <c r="S74" i="5"/>
  <c r="R74" i="5"/>
  <c r="Q74" i="5"/>
  <c r="Q76" i="5" s="1"/>
  <c r="P74" i="5"/>
  <c r="P76" i="5" s="1"/>
  <c r="O74" i="5"/>
  <c r="O76" i="5" s="1"/>
  <c r="N74" i="5"/>
  <c r="N76" i="5" s="1"/>
  <c r="M74" i="5"/>
  <c r="M75" i="5" s="1"/>
  <c r="L74" i="5"/>
  <c r="K74" i="5"/>
  <c r="K76" i="5" s="1"/>
  <c r="J74" i="5"/>
  <c r="I74" i="5"/>
  <c r="I76" i="5" s="1"/>
  <c r="H74" i="5"/>
  <c r="H76" i="5" s="1"/>
  <c r="G74" i="5"/>
  <c r="G76" i="5" s="1"/>
  <c r="F74" i="5"/>
  <c r="E74" i="5"/>
  <c r="D74" i="5"/>
  <c r="D76" i="5" s="1"/>
  <c r="C74" i="5"/>
  <c r="D75" i="5" s="1"/>
  <c r="B74" i="5"/>
  <c r="AA75" i="5" l="1"/>
  <c r="T81" i="5"/>
  <c r="H75" i="5"/>
  <c r="H79" i="5" s="1"/>
  <c r="AF79" i="5"/>
  <c r="AF4" i="5" s="1"/>
  <c r="T79" i="5"/>
  <c r="S75" i="5"/>
  <c r="S81" i="5" s="1"/>
  <c r="AE75" i="5"/>
  <c r="AE81" i="5" s="1"/>
  <c r="AE6" i="5" s="1"/>
  <c r="Z75" i="5"/>
  <c r="D81" i="5"/>
  <c r="AM75" i="5"/>
  <c r="Z81" i="5"/>
  <c r="Z6" i="5" s="1"/>
  <c r="AM79" i="5"/>
  <c r="AM4" i="5" s="1"/>
  <c r="AA79" i="5"/>
  <c r="AA4" i="5" s="1"/>
  <c r="AA81" i="5"/>
  <c r="AA6" i="5" s="1"/>
  <c r="AK81" i="5"/>
  <c r="AK6" i="5" s="1"/>
  <c r="M81" i="5"/>
  <c r="Z79" i="5"/>
  <c r="Z4" i="5" s="1"/>
  <c r="AF76" i="5"/>
  <c r="AM81" i="5"/>
  <c r="AM6" i="5" s="1"/>
  <c r="AK79" i="5"/>
  <c r="AK4" i="5" s="1"/>
  <c r="M79" i="5"/>
  <c r="AE76" i="5"/>
  <c r="AI81" i="5"/>
  <c r="AI6" i="5" s="1"/>
  <c r="W81" i="5"/>
  <c r="W6" i="5" s="1"/>
  <c r="S76" i="5"/>
  <c r="E81" i="5"/>
  <c r="V81" i="5"/>
  <c r="V6" i="5" s="1"/>
  <c r="U81" i="5"/>
  <c r="U6" i="5" s="1"/>
  <c r="AC81" i="5"/>
  <c r="AC6" i="5" s="1"/>
  <c r="AB81" i="5"/>
  <c r="AB6" i="5" s="1"/>
  <c r="AB79" i="5"/>
  <c r="AB4" i="5" s="1"/>
  <c r="O79" i="5"/>
  <c r="Y81" i="5"/>
  <c r="Y6" i="5" s="1"/>
  <c r="P79" i="5"/>
  <c r="AL81" i="5"/>
  <c r="AL6" i="5" s="1"/>
  <c r="K81" i="5"/>
  <c r="AJ79" i="5"/>
  <c r="AJ4" i="5" s="1"/>
  <c r="AK76" i="5"/>
  <c r="I75" i="5"/>
  <c r="I81" i="5" s="1"/>
  <c r="E75" i="5"/>
  <c r="AC75" i="5"/>
  <c r="AC79" i="5" s="1"/>
  <c r="AC4" i="5" s="1"/>
  <c r="C75" i="5"/>
  <c r="C79" i="5" s="1"/>
  <c r="AL75" i="5"/>
  <c r="AL79" i="5" s="1"/>
  <c r="AL4" i="5" s="1"/>
  <c r="F75" i="5"/>
  <c r="F81" i="5" s="1"/>
  <c r="R75" i="5"/>
  <c r="AD75" i="5"/>
  <c r="C76" i="5"/>
  <c r="AG75" i="5"/>
  <c r="AG81" i="5" s="1"/>
  <c r="AG6" i="5" s="1"/>
  <c r="T76" i="5"/>
  <c r="J75" i="5"/>
  <c r="J79" i="5" s="1"/>
  <c r="V75" i="5"/>
  <c r="V79" i="5" s="1"/>
  <c r="V4" i="5" s="1"/>
  <c r="AH75" i="5"/>
  <c r="AH81" i="5" s="1"/>
  <c r="AH6" i="5" s="1"/>
  <c r="E79" i="5"/>
  <c r="R76" i="5"/>
  <c r="U75" i="5"/>
  <c r="U79" i="5" s="1"/>
  <c r="U4" i="5" s="1"/>
  <c r="F79" i="5"/>
  <c r="D79" i="5"/>
  <c r="L75" i="5"/>
  <c r="L81" i="5" s="1"/>
  <c r="X75" i="5"/>
  <c r="X81" i="5" s="1"/>
  <c r="X6" i="5" s="1"/>
  <c r="AJ75" i="5"/>
  <c r="AJ81" i="5" s="1"/>
  <c r="AJ6" i="5" s="1"/>
  <c r="M76" i="5"/>
  <c r="Y75" i="5"/>
  <c r="Y79" i="5" s="1"/>
  <c r="Y4" i="5" s="1"/>
  <c r="N75" i="5"/>
  <c r="N79" i="5" s="1"/>
  <c r="L16" i="5"/>
  <c r="M16" i="5" s="1"/>
  <c r="N16" i="5" s="1"/>
  <c r="O16" i="5" s="1"/>
  <c r="P16" i="5" s="1"/>
  <c r="Q16" i="5" s="1"/>
  <c r="R16" i="5" s="1"/>
  <c r="S16" i="5" s="1"/>
  <c r="T16" i="5" s="1"/>
  <c r="N8" i="5"/>
  <c r="O8" i="5" s="1"/>
  <c r="P8" i="5" s="1"/>
  <c r="Q8" i="5" s="1"/>
  <c r="R8" i="5" s="1"/>
  <c r="S8" i="5" s="1"/>
  <c r="T8" i="5" s="1"/>
  <c r="G75" i="5"/>
  <c r="G81" i="5" s="1"/>
  <c r="AC76" i="5"/>
  <c r="Q75" i="5"/>
  <c r="Q79" i="5" s="1"/>
  <c r="AM76" i="5"/>
  <c r="AA76" i="5"/>
  <c r="AN75" i="5"/>
  <c r="AN81" i="5" s="1"/>
  <c r="AN6" i="5" s="1"/>
  <c r="AB75" i="5"/>
  <c r="P75" i="5"/>
  <c r="P81" i="5" s="1"/>
  <c r="O75" i="5"/>
  <c r="O81" i="5" s="1"/>
  <c r="K75" i="5"/>
  <c r="K79" i="5" s="1"/>
  <c r="AJ76" i="5"/>
  <c r="X76" i="5"/>
  <c r="L76" i="5"/>
  <c r="AI76" i="5"/>
  <c r="W76" i="5"/>
  <c r="AH76" i="5"/>
  <c r="V76" i="5"/>
  <c r="J76" i="5"/>
  <c r="E76" i="5"/>
  <c r="C26" i="5"/>
  <c r="D26" i="5"/>
  <c r="E26" i="5"/>
  <c r="F26" i="5"/>
  <c r="F27" i="5" s="1"/>
  <c r="G26" i="5"/>
  <c r="G27" i="5" s="1"/>
  <c r="H26" i="5"/>
  <c r="H27" i="5" s="1"/>
  <c r="I26" i="5"/>
  <c r="J26" i="5"/>
  <c r="J3" i="5" s="1"/>
  <c r="B26" i="5"/>
  <c r="AE79" i="5" l="1"/>
  <c r="AE4" i="5" s="1"/>
  <c r="AN79" i="5"/>
  <c r="AN4" i="5" s="1"/>
  <c r="S79" i="5"/>
  <c r="N81" i="5"/>
  <c r="H81" i="5"/>
  <c r="J81" i="5"/>
  <c r="X79" i="5"/>
  <c r="X4" i="5" s="1"/>
  <c r="AH79" i="5"/>
  <c r="AH4" i="5" s="1"/>
  <c r="I79" i="5"/>
  <c r="U16" i="5"/>
  <c r="V16" i="5" s="1"/>
  <c r="W16" i="5" s="1"/>
  <c r="X16" i="5" s="1"/>
  <c r="Y16" i="5" s="1"/>
  <c r="Z16" i="5" s="1"/>
  <c r="AA16" i="5" s="1"/>
  <c r="AB16" i="5" s="1"/>
  <c r="AC16" i="5" s="1"/>
  <c r="AD16" i="5" s="1"/>
  <c r="AE16" i="5" s="1"/>
  <c r="AF16" i="5" s="1"/>
  <c r="AG16" i="5" s="1"/>
  <c r="AH16" i="5" s="1"/>
  <c r="AI16" i="5" s="1"/>
  <c r="AJ16" i="5" s="1"/>
  <c r="AK16" i="5" s="1"/>
  <c r="AL16" i="5" s="1"/>
  <c r="AM16" i="5" s="1"/>
  <c r="AN16" i="5" s="1"/>
  <c r="AD81" i="5"/>
  <c r="AD6" i="5" s="1"/>
  <c r="AD79" i="5"/>
  <c r="AD4" i="5" s="1"/>
  <c r="R81" i="5"/>
  <c r="R79" i="5"/>
  <c r="C81" i="5"/>
  <c r="Q81" i="5"/>
  <c r="AG79" i="5"/>
  <c r="AG4" i="5" s="1"/>
  <c r="G79" i="5"/>
  <c r="L79" i="5"/>
  <c r="U8" i="5"/>
  <c r="V8" i="5" s="1"/>
  <c r="W8" i="5" s="1"/>
  <c r="X8" i="5" s="1"/>
  <c r="Y8" i="5" s="1"/>
  <c r="Z8" i="5" s="1"/>
  <c r="AA8" i="5" s="1"/>
  <c r="AB8" i="5" s="1"/>
  <c r="AC8" i="5" s="1"/>
  <c r="E27" i="5"/>
  <c r="I28" i="5"/>
  <c r="I27" i="5"/>
  <c r="D27" i="5"/>
  <c r="K26" i="5"/>
  <c r="J28" i="5"/>
  <c r="J27" i="5"/>
  <c r="C27" i="5"/>
  <c r="C9" i="1"/>
  <c r="AD8" i="5" l="1"/>
  <c r="AE8" i="5" s="1"/>
  <c r="AF8" i="5" s="1"/>
  <c r="AG8" i="5" s="1"/>
  <c r="AH8" i="5" s="1"/>
  <c r="AI8" i="5" s="1"/>
  <c r="AJ8" i="5" s="1"/>
  <c r="AK8" i="5" s="1"/>
  <c r="AL8" i="5" s="1"/>
  <c r="AM8" i="5" s="1"/>
  <c r="AN8" i="5" s="1"/>
  <c r="L26" i="5"/>
  <c r="K27" i="5"/>
  <c r="AM38" i="6"/>
  <c r="AM40" i="6" s="1"/>
  <c r="AL38" i="6"/>
  <c r="AL40" i="6" s="1"/>
  <c r="AK38" i="6"/>
  <c r="AK40" i="6" s="1"/>
  <c r="AJ38" i="6"/>
  <c r="AJ40" i="6" s="1"/>
  <c r="AI38" i="6"/>
  <c r="AH38" i="6"/>
  <c r="AG38" i="6"/>
  <c r="AF38" i="6"/>
  <c r="AF40" i="6" s="1"/>
  <c r="AE38" i="6"/>
  <c r="AE40" i="6" s="1"/>
  <c r="AD38" i="6"/>
  <c r="AD40" i="6" s="1"/>
  <c r="AC38" i="6"/>
  <c r="AB38" i="6"/>
  <c r="AB40" i="6" s="1"/>
  <c r="AA38" i="6"/>
  <c r="AA40" i="6" s="1"/>
  <c r="Z38" i="6"/>
  <c r="Z40" i="6" s="1"/>
  <c r="Y38" i="6"/>
  <c r="Y40" i="6" s="1"/>
  <c r="X38" i="6"/>
  <c r="X40" i="6" s="1"/>
  <c r="W38" i="6"/>
  <c r="W40" i="6" s="1"/>
  <c r="V38" i="6"/>
  <c r="V40" i="6" s="1"/>
  <c r="U38" i="6"/>
  <c r="U40" i="6" s="1"/>
  <c r="T38" i="6"/>
  <c r="T40" i="6" s="1"/>
  <c r="S38" i="6"/>
  <c r="S40" i="6" s="1"/>
  <c r="R38" i="6"/>
  <c r="R40" i="6" s="1"/>
  <c r="Q38" i="6"/>
  <c r="P38" i="6"/>
  <c r="P40" i="6" s="1"/>
  <c r="O38" i="6"/>
  <c r="O40" i="6" s="1"/>
  <c r="N38" i="6"/>
  <c r="N40" i="6" s="1"/>
  <c r="M38" i="6"/>
  <c r="M40" i="6" s="1"/>
  <c r="L38" i="6"/>
  <c r="L40" i="6" s="1"/>
  <c r="K38" i="6"/>
  <c r="J38" i="6"/>
  <c r="I38" i="6"/>
  <c r="H38" i="6"/>
  <c r="K37" i="5" l="1"/>
  <c r="K36" i="5"/>
  <c r="J42" i="5"/>
  <c r="Q40" i="6"/>
  <c r="K40" i="6"/>
  <c r="J40" i="6"/>
  <c r="AI40" i="6"/>
  <c r="AH40" i="6"/>
  <c r="AG40" i="6"/>
  <c r="AC40" i="6"/>
  <c r="M26" i="5"/>
  <c r="L27" i="5"/>
  <c r="K42" i="5" l="1"/>
  <c r="K35" i="5"/>
  <c r="L36" i="5"/>
  <c r="L37" i="5"/>
  <c r="N26" i="5"/>
  <c r="M27" i="5"/>
  <c r="AG14" i="7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L42" i="5" l="1"/>
  <c r="M37" i="5"/>
  <c r="L35" i="5"/>
  <c r="M36" i="5"/>
  <c r="O26" i="5"/>
  <c r="N27" i="5"/>
  <c r="AJ12" i="7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M42" i="5" l="1"/>
  <c r="M35" i="5"/>
  <c r="N36" i="5"/>
  <c r="N37" i="5"/>
  <c r="P26" i="5"/>
  <c r="O27" i="5"/>
  <c r="N42" i="5" s="1"/>
  <c r="C12" i="1"/>
  <c r="C10" i="1"/>
  <c r="C8" i="1"/>
  <c r="O36" i="5" l="1"/>
  <c r="N35" i="5"/>
  <c r="G54" i="6" s="1"/>
  <c r="O37" i="5"/>
  <c r="Q26" i="5"/>
  <c r="P27" i="5"/>
  <c r="O42" i="5" s="1"/>
  <c r="C49" i="6"/>
  <c r="C43" i="6" s="1"/>
  <c r="D49" i="6"/>
  <c r="D43" i="6" s="1"/>
  <c r="E49" i="6"/>
  <c r="E43" i="6" s="1"/>
  <c r="F49" i="6"/>
  <c r="F43" i="6" s="1"/>
  <c r="B49" i="6"/>
  <c r="B43" i="6" s="1"/>
  <c r="B47" i="6"/>
  <c r="C47" i="6" s="1"/>
  <c r="D47" i="6" s="1"/>
  <c r="E47" i="6" s="1"/>
  <c r="F47" i="6" s="1"/>
  <c r="C7" i="1"/>
  <c r="P37" i="5" l="1"/>
  <c r="P36" i="5"/>
  <c r="O35" i="5"/>
  <c r="AM39" i="6"/>
  <c r="AI39" i="6"/>
  <c r="AL39" i="6"/>
  <c r="AK39" i="6"/>
  <c r="AJ39" i="6"/>
  <c r="AA39" i="6"/>
  <c r="AC39" i="6"/>
  <c r="AE41" i="6"/>
  <c r="Z39" i="6"/>
  <c r="AD41" i="6"/>
  <c r="Y39" i="6"/>
  <c r="AB39" i="6"/>
  <c r="AF41" i="6"/>
  <c r="AG41" i="6"/>
  <c r="AH41" i="6"/>
  <c r="H39" i="6"/>
  <c r="L41" i="6"/>
  <c r="G39" i="6"/>
  <c r="M41" i="6"/>
  <c r="I39" i="6"/>
  <c r="N41" i="6"/>
  <c r="K41" i="6"/>
  <c r="J41" i="6"/>
  <c r="AG39" i="6"/>
  <c r="AD39" i="6"/>
  <c r="AM41" i="6"/>
  <c r="AJ41" i="6"/>
  <c r="AK41" i="6"/>
  <c r="AL41" i="6"/>
  <c r="AF39" i="6"/>
  <c r="AH39" i="6"/>
  <c r="AE39" i="6"/>
  <c r="AI41" i="6"/>
  <c r="Y41" i="6"/>
  <c r="X39" i="6"/>
  <c r="AA41" i="6"/>
  <c r="Z41" i="6"/>
  <c r="W39" i="6"/>
  <c r="V39" i="6"/>
  <c r="U39" i="6"/>
  <c r="AB41" i="6"/>
  <c r="T39" i="6"/>
  <c r="AC41" i="6"/>
  <c r="W41" i="6"/>
  <c r="S39" i="6"/>
  <c r="X41" i="6"/>
  <c r="Q39" i="6"/>
  <c r="R39" i="6"/>
  <c r="O39" i="6"/>
  <c r="V41" i="6"/>
  <c r="U41" i="6"/>
  <c r="T41" i="6"/>
  <c r="P39" i="6"/>
  <c r="S41" i="6"/>
  <c r="L39" i="6"/>
  <c r="K39" i="6"/>
  <c r="J39" i="6"/>
  <c r="O41" i="6"/>
  <c r="R41" i="6"/>
  <c r="N39" i="6"/>
  <c r="P41" i="6"/>
  <c r="M39" i="6"/>
  <c r="Q41" i="6"/>
  <c r="R26" i="5"/>
  <c r="Q27" i="5"/>
  <c r="P42" i="5" s="1"/>
  <c r="Q37" i="5" l="1"/>
  <c r="Q36" i="5"/>
  <c r="P35" i="5"/>
  <c r="S26" i="5"/>
  <c r="R27" i="5"/>
  <c r="Q42" i="5" s="1"/>
  <c r="R36" i="5" l="1"/>
  <c r="Q35" i="5"/>
  <c r="J54" i="6" s="1"/>
  <c r="R37" i="5"/>
  <c r="T26" i="5"/>
  <c r="S27" i="5"/>
  <c r="R42" i="5" s="1"/>
  <c r="Z7" i="6"/>
  <c r="M7" i="6"/>
  <c r="Y7" i="6"/>
  <c r="L7" i="6"/>
  <c r="R7" i="6"/>
  <c r="T7" i="6"/>
  <c r="S7" i="6"/>
  <c r="AG7" i="6"/>
  <c r="H7" i="6"/>
  <c r="G7" i="6"/>
  <c r="AE7" i="6"/>
  <c r="U7" i="6"/>
  <c r="B7" i="6"/>
  <c r="V7" i="6"/>
  <c r="I7" i="6"/>
  <c r="J7" i="6"/>
  <c r="AF7" i="6"/>
  <c r="W7" i="6"/>
  <c r="AB7" i="6"/>
  <c r="AA7" i="6"/>
  <c r="K7" i="6"/>
  <c r="AC7" i="6"/>
  <c r="P7" i="6"/>
  <c r="O7" i="6"/>
  <c r="F7" i="6"/>
  <c r="Q7" i="6"/>
  <c r="D7" i="6"/>
  <c r="C7" i="6"/>
  <c r="N7" i="6"/>
  <c r="X7" i="6"/>
  <c r="AD7" i="6"/>
  <c r="E7" i="6"/>
  <c r="S37" i="5" l="1"/>
  <c r="S36" i="5"/>
  <c r="R35" i="5"/>
  <c r="AA6" i="6"/>
  <c r="G6" i="6"/>
  <c r="U26" i="5"/>
  <c r="T10" i="5"/>
  <c r="T28" i="5"/>
  <c r="T27" i="5"/>
  <c r="S42" i="5" s="1"/>
  <c r="Q6" i="6"/>
  <c r="Z6" i="6"/>
  <c r="C6" i="6"/>
  <c r="N6" i="6"/>
  <c r="U6" i="6"/>
  <c r="W6" i="6"/>
  <c r="AE6" i="6"/>
  <c r="M6" i="6"/>
  <c r="P6" i="6"/>
  <c r="AD6" i="6"/>
  <c r="F6" i="6"/>
  <c r="J6" i="6"/>
  <c r="S6" i="6"/>
  <c r="L6" i="6"/>
  <c r="H6" i="6"/>
  <c r="AB6" i="6"/>
  <c r="AG6" i="6"/>
  <c r="AF6" i="6"/>
  <c r="T6" i="6"/>
  <c r="D6" i="6"/>
  <c r="O6" i="6"/>
  <c r="R6" i="6"/>
  <c r="I6" i="6"/>
  <c r="E6" i="6"/>
  <c r="V6" i="6"/>
  <c r="Y6" i="6"/>
  <c r="AC6" i="6"/>
  <c r="X6" i="6"/>
  <c r="K6" i="6"/>
  <c r="T36" i="5" l="1"/>
  <c r="S35" i="5"/>
  <c r="T37" i="5"/>
  <c r="T17" i="5"/>
  <c r="T22" i="5"/>
  <c r="T18" i="5"/>
  <c r="T14" i="5"/>
  <c r="T21" i="5"/>
  <c r="T12" i="5"/>
  <c r="T11" i="5"/>
  <c r="T20" i="5"/>
  <c r="T23" i="5"/>
  <c r="T15" i="5"/>
  <c r="T13" i="5"/>
  <c r="T24" i="5"/>
  <c r="T19" i="5"/>
  <c r="T25" i="5"/>
  <c r="V26" i="5"/>
  <c r="U10" i="5"/>
  <c r="U28" i="5" s="1"/>
  <c r="U29" i="5" s="1"/>
  <c r="U27" i="5"/>
  <c r="T42" i="5" s="1"/>
  <c r="U37" i="5" l="1"/>
  <c r="U36" i="5"/>
  <c r="T35" i="5"/>
  <c r="M54" i="6" s="1"/>
  <c r="U23" i="5"/>
  <c r="U25" i="5"/>
  <c r="U15" i="5"/>
  <c r="U20" i="5"/>
  <c r="U24" i="5"/>
  <c r="U14" i="5"/>
  <c r="U19" i="5"/>
  <c r="U17" i="5"/>
  <c r="U21" i="5"/>
  <c r="U12" i="5"/>
  <c r="U11" i="5"/>
  <c r="U18" i="5"/>
  <c r="U13" i="5"/>
  <c r="U22" i="5"/>
  <c r="T30" i="5"/>
  <c r="W26" i="5"/>
  <c r="V10" i="5"/>
  <c r="V28" i="5"/>
  <c r="V29" i="5" s="1"/>
  <c r="V27" i="5"/>
  <c r="U42" i="5" s="1"/>
  <c r="V37" i="5" l="1"/>
  <c r="V36" i="5"/>
  <c r="U35" i="5"/>
  <c r="N54" i="6" s="1"/>
  <c r="V15" i="5"/>
  <c r="V21" i="5"/>
  <c r="V20" i="5"/>
  <c r="V22" i="5"/>
  <c r="V25" i="5"/>
  <c r="V24" i="5"/>
  <c r="V17" i="5"/>
  <c r="V23" i="5"/>
  <c r="V13" i="5"/>
  <c r="V18" i="5"/>
  <c r="V11" i="5"/>
  <c r="V12" i="5"/>
  <c r="V19" i="5"/>
  <c r="V14" i="5"/>
  <c r="U30" i="5"/>
  <c r="X26" i="5"/>
  <c r="W10" i="5"/>
  <c r="W28" i="5" s="1"/>
  <c r="W29" i="5" s="1"/>
  <c r="W27" i="5"/>
  <c r="V42" i="5" s="1"/>
  <c r="W37" i="5" l="1"/>
  <c r="W36" i="5"/>
  <c r="V35" i="5"/>
  <c r="O54" i="6" s="1"/>
  <c r="V30" i="5"/>
  <c r="W22" i="5"/>
  <c r="W15" i="5"/>
  <c r="W17" i="5"/>
  <c r="W11" i="5"/>
  <c r="W25" i="5"/>
  <c r="W18" i="5"/>
  <c r="W23" i="5"/>
  <c r="W20" i="5"/>
  <c r="W12" i="5"/>
  <c r="W19" i="5"/>
  <c r="W21" i="5"/>
  <c r="W14" i="5"/>
  <c r="W13" i="5"/>
  <c r="W24" i="5"/>
  <c r="Y26" i="5"/>
  <c r="X10" i="5"/>
  <c r="X27" i="5"/>
  <c r="W42" i="5" s="1"/>
  <c r="X28" i="5"/>
  <c r="X29" i="5" s="1"/>
  <c r="X37" i="5" l="1"/>
  <c r="X36" i="5"/>
  <c r="W35" i="5"/>
  <c r="P54" i="6" s="1"/>
  <c r="X13" i="5"/>
  <c r="X24" i="5"/>
  <c r="X22" i="5"/>
  <c r="X23" i="5"/>
  <c r="X18" i="5"/>
  <c r="X11" i="5"/>
  <c r="X17" i="5"/>
  <c r="X14" i="5"/>
  <c r="X25" i="5"/>
  <c r="X15" i="5"/>
  <c r="X20" i="5"/>
  <c r="X12" i="5"/>
  <c r="X19" i="5"/>
  <c r="X21" i="5"/>
  <c r="Z26" i="5"/>
  <c r="Y10" i="5"/>
  <c r="Y27" i="5"/>
  <c r="X42" i="5" s="1"/>
  <c r="Y28" i="5"/>
  <c r="Y29" i="5" s="1"/>
  <c r="W30" i="5"/>
  <c r="Y37" i="5" l="1"/>
  <c r="Y36" i="5"/>
  <c r="X35" i="5"/>
  <c r="X30" i="5"/>
  <c r="Y13" i="5"/>
  <c r="Y15" i="5"/>
  <c r="Y24" i="5"/>
  <c r="Y14" i="5"/>
  <c r="Y21" i="5"/>
  <c r="Y22" i="5"/>
  <c r="Y23" i="5"/>
  <c r="Y12" i="5"/>
  <c r="Y19" i="5"/>
  <c r="Y18" i="5"/>
  <c r="Y17" i="5"/>
  <c r="Y11" i="5"/>
  <c r="Y20" i="5"/>
  <c r="Y25" i="5"/>
  <c r="AA26" i="5"/>
  <c r="Z10" i="5"/>
  <c r="Z28" i="5" s="1"/>
  <c r="Z29" i="5" s="1"/>
  <c r="Z27" i="5"/>
  <c r="Y42" i="5" s="1"/>
  <c r="Z37" i="5" l="1"/>
  <c r="Z36" i="5"/>
  <c r="Y35" i="5"/>
  <c r="Y30" i="5"/>
  <c r="AB26" i="5"/>
  <c r="AA27" i="5"/>
  <c r="Z42" i="5" s="1"/>
  <c r="AA10" i="5"/>
  <c r="AA28" i="5" s="1"/>
  <c r="AA29" i="5" s="1"/>
  <c r="Z14" i="5"/>
  <c r="Z18" i="5"/>
  <c r="Z25" i="5"/>
  <c r="Z24" i="5"/>
  <c r="Z11" i="5"/>
  <c r="Z13" i="5"/>
  <c r="Z15" i="5"/>
  <c r="Z17" i="5"/>
  <c r="Z19" i="5"/>
  <c r="Z22" i="5"/>
  <c r="Z21" i="5"/>
  <c r="Z12" i="5"/>
  <c r="Z20" i="5"/>
  <c r="Z23" i="5"/>
  <c r="AA37" i="5" l="1"/>
  <c r="AA36" i="5"/>
  <c r="Z35" i="5"/>
  <c r="S54" i="6" s="1"/>
  <c r="Z30" i="5"/>
  <c r="AA17" i="5"/>
  <c r="AA24" i="5"/>
  <c r="AA14" i="5"/>
  <c r="AA13" i="5"/>
  <c r="AA19" i="5"/>
  <c r="AA20" i="5"/>
  <c r="AA21" i="5"/>
  <c r="AA15" i="5"/>
  <c r="AA12" i="5"/>
  <c r="AA23" i="5"/>
  <c r="AA11" i="5"/>
  <c r="AA18" i="5"/>
  <c r="AA25" i="5"/>
  <c r="AA22" i="5"/>
  <c r="AC26" i="5"/>
  <c r="AB27" i="5"/>
  <c r="AA42" i="5" s="1"/>
  <c r="AB10" i="5"/>
  <c r="AB28" i="5" s="1"/>
  <c r="AB29" i="5" s="1"/>
  <c r="AB37" i="5" l="1"/>
  <c r="AB36" i="5"/>
  <c r="AA35" i="5"/>
  <c r="AB24" i="5"/>
  <c r="AB14" i="5"/>
  <c r="AB23" i="5"/>
  <c r="AB22" i="5"/>
  <c r="AB25" i="5"/>
  <c r="AB12" i="5"/>
  <c r="AB15" i="5"/>
  <c r="AB19" i="5"/>
  <c r="AB21" i="5"/>
  <c r="AB20" i="5"/>
  <c r="AB17" i="5"/>
  <c r="AB13" i="5"/>
  <c r="AB18" i="5"/>
  <c r="AB11" i="5"/>
  <c r="AA30" i="5"/>
  <c r="AD26" i="5"/>
  <c r="AC10" i="5"/>
  <c r="AC28" i="5" s="1"/>
  <c r="AC29" i="5" s="1"/>
  <c r="AC27" i="5"/>
  <c r="AB42" i="5" s="1"/>
  <c r="AC36" i="5" l="1"/>
  <c r="AB35" i="5"/>
  <c r="AC37" i="5"/>
  <c r="AC22" i="5"/>
  <c r="AC17" i="5"/>
  <c r="AC13" i="5"/>
  <c r="AC15" i="5"/>
  <c r="AC25" i="5"/>
  <c r="AC20" i="5"/>
  <c r="AC18" i="5"/>
  <c r="AC11" i="5"/>
  <c r="AC19" i="5"/>
  <c r="AC23" i="5"/>
  <c r="AC21" i="5"/>
  <c r="AC14" i="5"/>
  <c r="AC12" i="5"/>
  <c r="AC24" i="5"/>
  <c r="AE26" i="5"/>
  <c r="AD27" i="5"/>
  <c r="AC42" i="5" s="1"/>
  <c r="AD10" i="5"/>
  <c r="AD28" i="5" s="1"/>
  <c r="AD29" i="5" s="1"/>
  <c r="AB30" i="5"/>
  <c r="AD36" i="5" l="1"/>
  <c r="AC35" i="5"/>
  <c r="AD37" i="5"/>
  <c r="AD22" i="5"/>
  <c r="AD23" i="5"/>
  <c r="AD14" i="5"/>
  <c r="AD20" i="5"/>
  <c r="AD15" i="5"/>
  <c r="AD19" i="5"/>
  <c r="AD12" i="5"/>
  <c r="AD25" i="5"/>
  <c r="AD18" i="5"/>
  <c r="AD13" i="5"/>
  <c r="AD11" i="5"/>
  <c r="AD17" i="5"/>
  <c r="AD21" i="5"/>
  <c r="AD24" i="5"/>
  <c r="AF26" i="5"/>
  <c r="AE10" i="5"/>
  <c r="AE28" i="5" s="1"/>
  <c r="AE29" i="5" s="1"/>
  <c r="AE27" i="5"/>
  <c r="AD42" i="5" s="1"/>
  <c r="AC30" i="5"/>
  <c r="AE37" i="5" l="1"/>
  <c r="AE36" i="5"/>
  <c r="AD35" i="5"/>
  <c r="AD30" i="5"/>
  <c r="AE14" i="5"/>
  <c r="AE25" i="5"/>
  <c r="AE17" i="5"/>
  <c r="AE18" i="5"/>
  <c r="AE20" i="5"/>
  <c r="AE24" i="5"/>
  <c r="AE11" i="5"/>
  <c r="AE23" i="5"/>
  <c r="AE21" i="5"/>
  <c r="AE19" i="5"/>
  <c r="AE22" i="5"/>
  <c r="AE15" i="5"/>
  <c r="AE12" i="5"/>
  <c r="AE13" i="5"/>
  <c r="AG26" i="5"/>
  <c r="AF10" i="5"/>
  <c r="AF28" i="5"/>
  <c r="AF29" i="5" s="1"/>
  <c r="AF27" i="5"/>
  <c r="AE42" i="5" s="1"/>
  <c r="AF37" i="5" l="1"/>
  <c r="AF36" i="5"/>
  <c r="AE35" i="5"/>
  <c r="AE30" i="5"/>
  <c r="AF17" i="5"/>
  <c r="AF13" i="5"/>
  <c r="AF24" i="5"/>
  <c r="AF20" i="5"/>
  <c r="AF11" i="5"/>
  <c r="AF12" i="5"/>
  <c r="AF18" i="5"/>
  <c r="AF19" i="5"/>
  <c r="AF25" i="5"/>
  <c r="AF22" i="5"/>
  <c r="AF14" i="5"/>
  <c r="AF23" i="5"/>
  <c r="AF15" i="5"/>
  <c r="AF21" i="5"/>
  <c r="AH26" i="5"/>
  <c r="AG10" i="5"/>
  <c r="AG28" i="5" s="1"/>
  <c r="AG29" i="5" s="1"/>
  <c r="AG27" i="5"/>
  <c r="AF42" i="5" s="1"/>
  <c r="AG36" i="5" l="1"/>
  <c r="AF35" i="5"/>
  <c r="Y54" i="6" s="1"/>
  <c r="AG37" i="5"/>
  <c r="AF30" i="5"/>
  <c r="AG15" i="5"/>
  <c r="AG13" i="5"/>
  <c r="AG19" i="5"/>
  <c r="AG24" i="5"/>
  <c r="AG12" i="5"/>
  <c r="AG17" i="5"/>
  <c r="AG23" i="5"/>
  <c r="AG21" i="5"/>
  <c r="AG22" i="5"/>
  <c r="AG11" i="5"/>
  <c r="AG25" i="5"/>
  <c r="AG20" i="5"/>
  <c r="AG14" i="5"/>
  <c r="AG18" i="5"/>
  <c r="AI26" i="5"/>
  <c r="AH10" i="5"/>
  <c r="AH27" i="5"/>
  <c r="AG42" i="5" s="1"/>
  <c r="AH37" i="5" l="1"/>
  <c r="AH36" i="5"/>
  <c r="AG35" i="5"/>
  <c r="AH28" i="5"/>
  <c r="AH29" i="5" s="1"/>
  <c r="AJ26" i="5"/>
  <c r="AI10" i="5"/>
  <c r="AI28" i="5" s="1"/>
  <c r="AI27" i="5"/>
  <c r="AH42" i="5" s="1"/>
  <c r="AG30" i="5"/>
  <c r="AI36" i="5" l="1"/>
  <c r="AH35" i="5"/>
  <c r="AA54" i="6" s="1"/>
  <c r="AI37" i="5"/>
  <c r="AI29" i="5"/>
  <c r="AI11" i="5"/>
  <c r="AI14" i="5"/>
  <c r="AI19" i="5"/>
  <c r="AI25" i="5"/>
  <c r="AI17" i="5"/>
  <c r="AI18" i="5"/>
  <c r="AI13" i="5"/>
  <c r="AI22" i="5"/>
  <c r="AI20" i="5"/>
  <c r="AI12" i="5"/>
  <c r="AI21" i="5"/>
  <c r="AI24" i="5"/>
  <c r="AI15" i="5"/>
  <c r="AI23" i="5"/>
  <c r="AK26" i="5"/>
  <c r="AJ10" i="5"/>
  <c r="AJ28" i="5"/>
  <c r="AJ29" i="5" s="1"/>
  <c r="AJ27" i="5"/>
  <c r="AI42" i="5" s="1"/>
  <c r="AH18" i="5"/>
  <c r="AH13" i="5"/>
  <c r="AH17" i="5"/>
  <c r="AH24" i="5"/>
  <c r="AH12" i="5"/>
  <c r="AH15" i="5"/>
  <c r="AH20" i="5"/>
  <c r="AH25" i="5"/>
  <c r="AH14" i="5"/>
  <c r="AH23" i="5"/>
  <c r="AH19" i="5"/>
  <c r="AH11" i="5"/>
  <c r="AH21" i="5"/>
  <c r="AH22" i="5"/>
  <c r="AJ37" i="5" l="1"/>
  <c r="AJ36" i="5"/>
  <c r="AI35" i="5"/>
  <c r="AB54" i="6" s="1"/>
  <c r="AI30" i="5"/>
  <c r="AL26" i="5"/>
  <c r="AK27" i="5"/>
  <c r="AJ42" i="5" s="1"/>
  <c r="AK10" i="5"/>
  <c r="AK28" i="5" s="1"/>
  <c r="AK29" i="5" s="1"/>
  <c r="AH30" i="5"/>
  <c r="AJ13" i="5"/>
  <c r="AJ23" i="5"/>
  <c r="AJ22" i="5"/>
  <c r="AJ12" i="5"/>
  <c r="AJ24" i="5"/>
  <c r="AJ15" i="5"/>
  <c r="AJ20" i="5"/>
  <c r="AJ25" i="5"/>
  <c r="AJ18" i="5"/>
  <c r="AJ14" i="5"/>
  <c r="AJ19" i="5"/>
  <c r="AJ21" i="5"/>
  <c r="AJ17" i="5"/>
  <c r="AJ11" i="5"/>
  <c r="AK37" i="5" l="1"/>
  <c r="AK36" i="5"/>
  <c r="AJ35" i="5"/>
  <c r="AK13" i="5"/>
  <c r="AK15" i="5"/>
  <c r="AK21" i="5"/>
  <c r="AK12" i="5"/>
  <c r="AK24" i="5"/>
  <c r="AK18" i="5"/>
  <c r="AK14" i="5"/>
  <c r="AK25" i="5"/>
  <c r="AK22" i="5"/>
  <c r="AK11" i="5"/>
  <c r="AK19" i="5"/>
  <c r="AK20" i="5"/>
  <c r="AK17" i="5"/>
  <c r="AK23" i="5"/>
  <c r="AJ30" i="5"/>
  <c r="AM26" i="5"/>
  <c r="AL27" i="5"/>
  <c r="AK42" i="5" s="1"/>
  <c r="AL10" i="5"/>
  <c r="AL28" i="5" s="1"/>
  <c r="AL29" i="5" s="1"/>
  <c r="AL37" i="5" l="1"/>
  <c r="AL36" i="5"/>
  <c r="AK35" i="5"/>
  <c r="AL15" i="5"/>
  <c r="AL19" i="5"/>
  <c r="AL14" i="5"/>
  <c r="AL24" i="5"/>
  <c r="AL17" i="5"/>
  <c r="AL13" i="5"/>
  <c r="AL18" i="5"/>
  <c r="AL21" i="5"/>
  <c r="AL22" i="5"/>
  <c r="AL11" i="5"/>
  <c r="AL25" i="5"/>
  <c r="AL23" i="5"/>
  <c r="AL12" i="5"/>
  <c r="AL20" i="5"/>
  <c r="AK30" i="5"/>
  <c r="AN26" i="5"/>
  <c r="AM27" i="5"/>
  <c r="AL42" i="5" s="1"/>
  <c r="AM10" i="5"/>
  <c r="AM28" i="5" s="1"/>
  <c r="AM29" i="5" s="1"/>
  <c r="AM37" i="5" l="1"/>
  <c r="AM36" i="5"/>
  <c r="AL35" i="5"/>
  <c r="AE54" i="6" s="1"/>
  <c r="AM14" i="5"/>
  <c r="AM18" i="5"/>
  <c r="AM19" i="5"/>
  <c r="AM11" i="5"/>
  <c r="AM20" i="5"/>
  <c r="AM12" i="5"/>
  <c r="AM23" i="5"/>
  <c r="AM17" i="5"/>
  <c r="AM22" i="5"/>
  <c r="AM24" i="5"/>
  <c r="AM25" i="5"/>
  <c r="AM21" i="5"/>
  <c r="AM15" i="5"/>
  <c r="AM13" i="5"/>
  <c r="AN27" i="5"/>
  <c r="AM42" i="5" s="1"/>
  <c r="AN10" i="5"/>
  <c r="AN28" i="5" s="1"/>
  <c r="AN29" i="5" s="1"/>
  <c r="AL30" i="5"/>
  <c r="AN36" i="5" l="1"/>
  <c r="AM35" i="5"/>
  <c r="AN37" i="5"/>
  <c r="AN17" i="5"/>
  <c r="AN23" i="5"/>
  <c r="AN15" i="5"/>
  <c r="AN19" i="5"/>
  <c r="AN25" i="5"/>
  <c r="AN11" i="5"/>
  <c r="AN21" i="5"/>
  <c r="AN18" i="5"/>
  <c r="AN13" i="5"/>
  <c r="AN20" i="5"/>
  <c r="AN22" i="5"/>
  <c r="AN12" i="5"/>
  <c r="AN24" i="5"/>
  <c r="AN14" i="5"/>
  <c r="AM30" i="5"/>
  <c r="AN35" i="5" l="1"/>
  <c r="AN30" i="5"/>
  <c r="K3" i="5" l="1"/>
  <c r="L3" i="5" s="1"/>
  <c r="M3" i="5" s="1"/>
  <c r="N3" i="5" s="1"/>
  <c r="O3" i="5" s="1"/>
  <c r="P3" i="5" s="1"/>
  <c r="Q3" i="5" s="1"/>
  <c r="R3" i="5" s="1"/>
  <c r="S3" i="5" s="1"/>
  <c r="K10" i="5" l="1"/>
  <c r="K28" i="5"/>
  <c r="L10" i="5" l="1"/>
  <c r="K17" i="5"/>
  <c r="K13" i="5"/>
  <c r="K24" i="5"/>
  <c r="K11" i="5"/>
  <c r="K12" i="5"/>
  <c r="K19" i="5"/>
  <c r="K18" i="5"/>
  <c r="K21" i="5"/>
  <c r="K14" i="5"/>
  <c r="K25" i="5"/>
  <c r="K20" i="5"/>
  <c r="K23" i="5"/>
  <c r="K22" i="5"/>
  <c r="K15" i="5"/>
  <c r="L28" i="5" l="1"/>
  <c r="M10" i="5"/>
  <c r="K30" i="5"/>
  <c r="N10" i="5" l="1"/>
  <c r="M28" i="5"/>
  <c r="L13" i="5"/>
  <c r="L17" i="5"/>
  <c r="L11" i="5"/>
  <c r="L25" i="5"/>
  <c r="L23" i="5"/>
  <c r="L18" i="5"/>
  <c r="L24" i="5"/>
  <c r="L20" i="5"/>
  <c r="L15" i="5"/>
  <c r="L22" i="5"/>
  <c r="L21" i="5"/>
  <c r="L19" i="5"/>
  <c r="L12" i="5"/>
  <c r="L14" i="5"/>
  <c r="L29" i="5"/>
  <c r="L30" i="5" l="1"/>
  <c r="N28" i="5"/>
  <c r="M29" i="5"/>
  <c r="M17" i="5"/>
  <c r="M18" i="5"/>
  <c r="M13" i="5"/>
  <c r="M22" i="5"/>
  <c r="M21" i="5"/>
  <c r="M25" i="5"/>
  <c r="M15" i="5"/>
  <c r="M11" i="5"/>
  <c r="M23" i="5"/>
  <c r="M24" i="5"/>
  <c r="M12" i="5"/>
  <c r="M14" i="5"/>
  <c r="M20" i="5"/>
  <c r="M19" i="5"/>
  <c r="O10" i="5"/>
  <c r="P10" i="5" l="1"/>
  <c r="N29" i="5"/>
  <c r="N15" i="5"/>
  <c r="N11" i="5"/>
  <c r="N13" i="5"/>
  <c r="N14" i="5"/>
  <c r="N21" i="5"/>
  <c r="N19" i="5"/>
  <c r="N22" i="5"/>
  <c r="N17" i="5"/>
  <c r="N24" i="5"/>
  <c r="N18" i="5"/>
  <c r="N23" i="5"/>
  <c r="N25" i="5"/>
  <c r="N20" i="5"/>
  <c r="N12" i="5"/>
  <c r="M30" i="5"/>
  <c r="O28" i="5"/>
  <c r="O29" i="5" l="1"/>
  <c r="O14" i="5"/>
  <c r="O11" i="5"/>
  <c r="O22" i="5"/>
  <c r="O18" i="5"/>
  <c r="O25" i="5"/>
  <c r="O20" i="5"/>
  <c r="O23" i="5"/>
  <c r="O19" i="5"/>
  <c r="O17" i="5"/>
  <c r="O15" i="5"/>
  <c r="O21" i="5"/>
  <c r="O24" i="5"/>
  <c r="O13" i="5"/>
  <c r="O12" i="5"/>
  <c r="P28" i="5"/>
  <c r="N30" i="5"/>
  <c r="Q10" i="5"/>
  <c r="Q28" i="5" l="1"/>
  <c r="S10" i="5"/>
  <c r="R10" i="5"/>
  <c r="P29" i="5"/>
  <c r="P17" i="5"/>
  <c r="P15" i="5"/>
  <c r="P21" i="5"/>
  <c r="P22" i="5"/>
  <c r="P18" i="5"/>
  <c r="P24" i="5"/>
  <c r="P20" i="5"/>
  <c r="P14" i="5"/>
  <c r="P19" i="5"/>
  <c r="P11" i="5"/>
  <c r="P25" i="5"/>
  <c r="P23" i="5"/>
  <c r="P13" i="5"/>
  <c r="P12" i="5"/>
  <c r="O30" i="5"/>
  <c r="R28" i="5" l="1"/>
  <c r="P30" i="5"/>
  <c r="S28" i="5"/>
  <c r="Q29" i="5"/>
  <c r="Q11" i="5"/>
  <c r="Q25" i="5"/>
  <c r="Q14" i="5"/>
  <c r="Q20" i="5"/>
  <c r="Q19" i="5"/>
  <c r="Q17" i="5"/>
  <c r="Q15" i="5"/>
  <c r="Q21" i="5"/>
  <c r="Q12" i="5"/>
  <c r="Q22" i="5"/>
  <c r="Q18" i="5"/>
  <c r="Q13" i="5"/>
  <c r="Q24" i="5"/>
  <c r="Q23" i="5"/>
  <c r="Q30" i="5" l="1"/>
  <c r="S29" i="5"/>
  <c r="S21" i="5"/>
  <c r="S19" i="5"/>
  <c r="S14" i="5"/>
  <c r="S22" i="5"/>
  <c r="S24" i="5"/>
  <c r="S18" i="5"/>
  <c r="S23" i="5"/>
  <c r="S11" i="5"/>
  <c r="S17" i="5"/>
  <c r="S15" i="5"/>
  <c r="S13" i="5"/>
  <c r="S20" i="5"/>
  <c r="S12" i="5"/>
  <c r="S25" i="5"/>
  <c r="T29" i="5"/>
  <c r="R29" i="5"/>
  <c r="R21" i="5"/>
  <c r="R22" i="5"/>
  <c r="R11" i="5"/>
  <c r="R24" i="5"/>
  <c r="R13" i="5"/>
  <c r="R17" i="5"/>
  <c r="R12" i="5"/>
  <c r="R18" i="5"/>
  <c r="R14" i="5"/>
  <c r="R20" i="5"/>
  <c r="R25" i="5"/>
  <c r="R19" i="5"/>
  <c r="R23" i="5"/>
  <c r="R15" i="5"/>
  <c r="R30" i="5" l="1"/>
  <c r="S30" i="5"/>
  <c r="H41" i="6"/>
  <c r="I41" i="6" s="1"/>
  <c r="H43" i="6" l="1"/>
  <c r="I43" i="6" l="1"/>
  <c r="J43" i="6" s="1"/>
  <c r="K43" i="6" s="1"/>
  <c r="L43" i="6" s="1"/>
  <c r="M43" i="6" s="1"/>
  <c r="N43" i="6" s="1"/>
  <c r="O43" i="6" s="1"/>
  <c r="P43" i="6" s="1"/>
  <c r="Q43" i="6" s="1"/>
  <c r="R43" i="6" s="1"/>
  <c r="S43" i="6" s="1"/>
  <c r="T43" i="6" s="1"/>
  <c r="U43" i="6" s="1"/>
  <c r="V43" i="6" s="1"/>
  <c r="W43" i="6" s="1"/>
  <c r="X43" i="6" s="1"/>
  <c r="Y43" i="6" s="1"/>
  <c r="Z43" i="6" s="1"/>
  <c r="AA43" i="6" s="1"/>
  <c r="AB43" i="6" s="1"/>
  <c r="AC43" i="6" s="1"/>
  <c r="AD43" i="6" s="1"/>
  <c r="AE43" i="6" s="1"/>
  <c r="AF43" i="6" s="1"/>
  <c r="AG43" i="6" s="1"/>
  <c r="AH43" i="6" s="1"/>
  <c r="AI43" i="6" s="1"/>
  <c r="AJ43" i="6" s="1"/>
  <c r="AK43" i="6" s="1"/>
  <c r="AL43" i="6" s="1"/>
  <c r="AM43" i="6" s="1"/>
  <c r="AN43" i="6" s="1"/>
  <c r="AO43" i="6" s="1"/>
  <c r="AP43" i="6" s="1"/>
  <c r="H51" i="6" l="1"/>
  <c r="I50" i="6" l="1"/>
  <c r="I51" i="6" s="1"/>
  <c r="J50" i="6" l="1"/>
  <c r="J51" i="6" s="1"/>
  <c r="K50" i="6" l="1"/>
  <c r="K51" i="6" s="1"/>
  <c r="M50" i="6" l="1"/>
  <c r="M51" i="6" s="1"/>
  <c r="L50" i="6"/>
  <c r="L51" i="6" s="1"/>
  <c r="N51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3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<sst xmlns="http://schemas.openxmlformats.org/spreadsheetml/2006/main" count="994" uniqueCount="190">
  <si>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</si>
  <si>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</si>
  <si>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</si>
  <si>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</si>
  <si>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</si>
  <si>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</si>
  <si>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</si>
  <si>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</si>
  <si>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</si>
  <si>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</si>
  <si>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</si>
  <si>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</si>
  <si>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</si>
  <si>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</si>
  <si>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</si>
  <si>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</si>
  <si>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</si>
  <si>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</si>
  <si>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</si>
  <si>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</si>
  <si>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</si>
  <si>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</si>
  <si>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</si>
  <si>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</si>
  <si>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</si>
  <si>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</si>
  <si>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</si>
  <si>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</si>
  <si>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</si>
  <si>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</si>
  <si>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</si>
  <si>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</si>
  <si>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</si>
  <si>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</si>
  <si>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</si>
  <si>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</si>
  <si>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</si>
  <si>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</si>
  <si>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</si>
  <si>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</si>
  <si>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</si>
  <si>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</si>
  <si>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</si>
  <si>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</si>
  <si>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</si>
  <si>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</si>
  <si>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</si>
  <si>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</si>
  <si>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</si>
  <si>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</si>
  <si>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2019 release as suggested by Pr. Dorrington</t>
  </si>
  <si>
    <t>From StatSA</t>
  </si>
  <si>
    <t>From Global model (median scenario)</t>
  </si>
  <si>
    <t>Growth year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</si>
  <si>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</si>
  <si>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</si>
  <si>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</si>
  <si>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</si>
  <si>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</si>
  <si>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</si>
  <si>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</si>
  <si>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</si>
  <si>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</si>
  <si>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</si>
  <si>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</si>
  <si>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</si>
  <si>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</si>
  <si>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</si>
  <si>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</si>
  <si>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</si>
  <si>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</si>
  <si>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</si>
  <si>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</si>
  <si>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</si>
  <si>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</si>
  <si>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Previous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</si>
  <si>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</si>
  <si>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</si>
  <si>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</si>
  <si>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</si>
  <si>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</si>
  <si>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</si>
  <si>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</si>
  <si>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</si>
  <si>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</si>
  <si>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</si>
  <si>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</si>
  <si>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</si>
  <si>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</si>
  <si>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</si>
  <si>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</si>
  <si>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</si>
  <si>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</si>
  <si>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</si>
  <si>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</si>
  <si>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</si>
  <si>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</si>
  <si>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</si>
  <si>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</si>
  <si>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</si>
  <si>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</si>
  <si>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</si>
  <si>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</si>
  <si>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</si>
  <si>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</si>
  <si>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</si>
  <si>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</si>
  <si>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</si>
  <si>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</si>
  <si>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</si>
  <si>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</si>
  <si>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</si>
  <si>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</si>
  <si>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</si>
  <si>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</si>
  <si>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</si>
  <si>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</si>
  <si>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</si>
  <si>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</si>
  <si>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</si>
  <si>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</si>
  <si>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</si>
  <si>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</si>
  <si>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</si>
  <si>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</si>
  <si>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</si>
  <si>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</si>
  <si>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</si>
  <si>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</si>
  <si>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</si>
  <si>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</si>
  <si>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</si>
  <si>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</si>
  <si>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</si>
  <si>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</si>
  <si>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</si>
  <si>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</si>
  <si>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</si>
  <si>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</si>
  <si>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</si>
  <si>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</si>
  <si>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</si>
  <si>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</si>
  <si>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</si>
  <si>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</si>
  <si>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</si>
  <si>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</si>
  <si>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</si>
  <si>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Correction Factor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</si>
  <si>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</si>
  <si>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</si>
  <si>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</si>
  <si>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</si>
  <si>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</si>
  <si>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</si>
  <si>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</si>
  <si>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</si>
  <si>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</si>
  <si>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</si>
  <si>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</si>
  <si>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</si>
  <si>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</si>
  <si>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</si>
  <si>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</si>
  <si>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</si>
  <si>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</si>
  <si>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</si>
  <si>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</si>
  <si>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</si>
  <si>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</si>
  <si>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</si>
  <si>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</si>
  <si>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</si>
  <si>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</si>
  <si>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</si>
  <si>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</si>
  <si>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</si>
  <si>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</si>
  <si>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</si>
  <si>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</si>
  <si>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</si>
  <si>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</si>
  <si>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</si>
  <si>
    <t>pg</t>
  </si>
  <si>
    <t>am</t>
  </si>
  <si>
    <t>Other Drivers (Growth domestic use)</t>
  </si>
  <si>
    <t>QD_FS</t>
  </si>
  <si>
    <t>DriversGams!A130</t>
  </si>
  <si>
    <t>fc</t>
  </si>
  <si>
    <t>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</si>
</sst>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0.00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164" fontId="5" fillId="4" borderId="3" xfId="5" applyNumberFormat="1" applyBorder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66" fontId="5" fillId="4" borderId="2" xfId="5" applyNumberForma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</cellXfs>
  <cellStyles count="7"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Drivers!$B$43:$AM$43</c:f>
              <c:numCache>
                <c:formatCode>0.00%</c:formatCode>
                <c:ptCount val="38"/>
                <c:pt idx="0">
                  <c:v>1.4886710600347186E-2</c:v>
                </c:pt>
                <c:pt idx="1">
                  <c:v>1.5214924545611908E-2</c:v>
                </c:pt>
                <c:pt idx="2">
                  <c:v>1.5546076584524338E-2</c:v>
                </c:pt>
                <c:pt idx="3">
                  <c:v>1.5880204713440094E-2</c:v>
                </c:pt>
                <c:pt idx="4">
                  <c:v>1.6217341554197295E-2</c:v>
                </c:pt>
                <c:pt idx="5">
                  <c:v>1.6171639643029367E-2</c:v>
                </c:pt>
                <c:pt idx="6">
                  <c:v>1.6171639643029367E-2</c:v>
                </c:pt>
                <c:pt idx="7">
                  <c:v>1.6171639643029367E-2</c:v>
                </c:pt>
                <c:pt idx="8">
                  <c:v>1.5240146085589901E-2</c:v>
                </c:pt>
                <c:pt idx="9">
                  <c:v>1.4308652528150435E-2</c:v>
                </c:pt>
                <c:pt idx="10">
                  <c:v>1.3377158970710968E-2</c:v>
                </c:pt>
                <c:pt idx="11">
                  <c:v>1.2445665413271502E-2</c:v>
                </c:pt>
                <c:pt idx="12">
                  <c:v>1.1514171855832036E-2</c:v>
                </c:pt>
                <c:pt idx="13">
                  <c:v>1.1180627082855478E-2</c:v>
                </c:pt>
                <c:pt idx="14">
                  <c:v>1.084708230987892E-2</c:v>
                </c:pt>
                <c:pt idx="15">
                  <c:v>1.0513537536902363E-2</c:v>
                </c:pt>
                <c:pt idx="16">
                  <c:v>1.0179992763925805E-2</c:v>
                </c:pt>
                <c:pt idx="17">
                  <c:v>9.8464479909492475E-3</c:v>
                </c:pt>
                <c:pt idx="18">
                  <c:v>9.584012727780377E-3</c:v>
                </c:pt>
                <c:pt idx="19">
                  <c:v>9.3215774646115065E-3</c:v>
                </c:pt>
                <c:pt idx="20">
                  <c:v>9.0591422014426361E-3</c:v>
                </c:pt>
                <c:pt idx="21">
                  <c:v>8.7967069382737656E-3</c:v>
                </c:pt>
                <c:pt idx="22">
                  <c:v>8.5342716751048951E-3</c:v>
                </c:pt>
                <c:pt idx="23">
                  <c:v>8.2916486282202904E-3</c:v>
                </c:pt>
                <c:pt idx="24">
                  <c:v>8.0490255813356858E-3</c:v>
                </c:pt>
                <c:pt idx="25">
                  <c:v>7.8064025344510811E-3</c:v>
                </c:pt>
                <c:pt idx="26">
                  <c:v>7.5637794875664764E-3</c:v>
                </c:pt>
                <c:pt idx="27">
                  <c:v>7.3211564406818717E-3</c:v>
                </c:pt>
                <c:pt idx="28">
                  <c:v>7.0991110563013628E-3</c:v>
                </c:pt>
                <c:pt idx="29">
                  <c:v>6.8770656719208539E-3</c:v>
                </c:pt>
                <c:pt idx="30">
                  <c:v>6.655020287540345E-3</c:v>
                </c:pt>
                <c:pt idx="31">
                  <c:v>6.4329749031598361E-3</c:v>
                </c:pt>
                <c:pt idx="32">
                  <c:v>6.2109295187793272E-3</c:v>
                </c:pt>
                <c:pt idx="33">
                  <c:v>5.9897116111574424E-3</c:v>
                </c:pt>
                <c:pt idx="34">
                  <c:v>5.7684937035355575E-3</c:v>
                </c:pt>
                <c:pt idx="35">
                  <c:v>5.5472757959136726E-3</c:v>
                </c:pt>
                <c:pt idx="36">
                  <c:v>5.3260578882917877E-3</c:v>
                </c:pt>
                <c:pt idx="37">
                  <c:v>5.1048399806699028E-3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3609487"/>
        <c:axId val="240128575"/>
      </c:lineChart>
      <c:catAx>
        <c:axId val="3236094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38</xdr:row>
      <xdr:rowOff>71437</xdr:rowOff>
    </xdr:from>
    <xdr:to>
      <xdr:col>27</xdr:col>
      <xdr:colOff>0</xdr:colOff>
      <xdr:row>52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3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AP86"/>
  <sheetViews>
    <sheetView topLeftCell="A31" workbookViewId="0">
      <selection activeCell="N51" sqref="N51"/>
    </sheetView>
  </sheetViews>
  <sheetFormatPr defaultRowHeight="15" x14ac:dyDescent="0.25"/>
  <cols>
    <col min="7" max="7" width="7.7109375" customWidth="1"/>
  </cols>
  <sheetData>
    <row r="3" spans="1:40" x14ac:dyDescent="0.25">
      <c r="A3" t="s">
        <v>39</v>
      </c>
      <c r="C3" s="2" t="s">
        <v>43</v>
      </c>
    </row>
    <row r="4" spans="1:40" x14ac:dyDescent="0.25">
      <c r="A4" t="s">
        <v>43</v>
      </c>
    </row>
    <row r="5" spans="1:40" x14ac:dyDescent="0.25">
      <c r="A5" t="s">
        <v>44</v>
      </c>
    </row>
    <row r="6" spans="1:40" x14ac:dyDescent="0.25">
      <c r="C6" s="1">
        <f>C7/B7-1</f>
        <v>-6.46707846914919E-2</v>
      </c>
      <c r="D6" s="1">
        <f t="shared" ref="D6:AG6" si="0">D7/C7-1</f>
        <v>4.7232424936923811E-2</v>
      </c>
      <c r="E6" s="1">
        <f t="shared" si="0"/>
        <v>2.5998468082661708E-2</v>
      </c>
      <c r="F6" s="1">
        <f t="shared" si="0"/>
        <v>7.3422784595911228E-3</v>
      </c>
      <c r="G6" s="1">
        <f t="shared" si="0"/>
        <v>1.1389140367534578E-2</v>
      </c>
      <c r="H6" s="1">
        <f t="shared" si="0"/>
        <v>1.1720996798867178E-2</v>
      </c>
      <c r="I6" s="1">
        <f t="shared" si="0"/>
        <v>1.6607137160730367E-2</v>
      </c>
      <c r="J6" s="1">
        <f t="shared" si="0"/>
        <v>1.6221254456535217E-2</v>
      </c>
      <c r="K6" s="1">
        <f t="shared" si="0"/>
        <v>2.1910502698528012E-2</v>
      </c>
      <c r="L6" s="1">
        <f t="shared" si="0"/>
        <v>2.1765376628348099E-2</v>
      </c>
      <c r="M6" s="1">
        <f t="shared" si="0"/>
        <v>2.5940038161250012E-2</v>
      </c>
      <c r="N6" s="1">
        <f t="shared" si="0"/>
        <v>2.9145222353904598E-2</v>
      </c>
      <c r="O6" s="1">
        <f t="shared" si="0"/>
        <v>2.973179190444708E-2</v>
      </c>
      <c r="P6" s="1">
        <f t="shared" si="0"/>
        <v>3.0639784423508454E-2</v>
      </c>
      <c r="Q6" s="1">
        <f t="shared" si="0"/>
        <v>3.3896058137701468E-2</v>
      </c>
      <c r="R6" s="1">
        <f t="shared" si="0"/>
        <v>3.2930280388788313E-2</v>
      </c>
      <c r="S6" s="1">
        <f t="shared" si="0"/>
        <v>3.5584460722977385E-2</v>
      </c>
      <c r="T6" s="1">
        <f t="shared" si="0"/>
        <v>3.643104758543303E-2</v>
      </c>
      <c r="U6" s="1">
        <f t="shared" si="0"/>
        <v>3.5867235847694356E-2</v>
      </c>
      <c r="V6" s="1">
        <f t="shared" si="0"/>
        <v>3.4681482748304848E-2</v>
      </c>
      <c r="W6" s="1">
        <f t="shared" si="0"/>
        <v>3.3842243044871712E-2</v>
      </c>
      <c r="X6" s="1">
        <f t="shared" si="0"/>
        <v>3.5162651710398229E-2</v>
      </c>
      <c r="Y6" s="1">
        <f t="shared" si="0"/>
        <v>3.3276689561627659E-2</v>
      </c>
      <c r="Z6" s="1">
        <f t="shared" si="0"/>
        <v>3.3442992664686866E-2</v>
      </c>
      <c r="AA6" s="1">
        <f t="shared" si="0"/>
        <v>3.3757463669487731E-2</v>
      </c>
      <c r="AB6" s="1">
        <f t="shared" si="0"/>
        <v>3.4428269196825179E-2</v>
      </c>
      <c r="AC6" s="1">
        <f t="shared" si="0"/>
        <v>3.5090117922365049E-2</v>
      </c>
      <c r="AD6" s="1">
        <f t="shared" si="0"/>
        <v>3.6604259688568064E-2</v>
      </c>
      <c r="AE6" s="1">
        <f t="shared" si="0"/>
        <v>3.7585816214072976E-2</v>
      </c>
      <c r="AF6" s="1">
        <f t="shared" si="0"/>
        <v>3.9246567970984136E-2</v>
      </c>
      <c r="AG6" s="1">
        <f t="shared" si="0"/>
        <v>4.035256166737855E-2</v>
      </c>
      <c r="AH6" s="1"/>
      <c r="AI6" s="1"/>
      <c r="AJ6" s="1"/>
      <c r="AK6" s="1"/>
      <c r="AL6" s="1"/>
      <c r="AM6" s="1"/>
      <c r="AN6" s="1"/>
    </row>
    <row r="7" spans="1:40" x14ac:dyDescent="0.25">
      <c r="A7" t="s">
        <v>72</v>
      </c>
      <c r="B7">
        <f>SUM(B10:B28)</f>
        <v>4436.398293975918</v>
      </c>
      <c r="C7">
        <f t="shared" ref="C7:AG7" si="1">SUM(C10:C28)</f>
        <v>4149.4929351004994</v>
      </c>
      <c r="D7">
        <f t="shared" si="1"/>
        <v>4345.4835486839293</v>
      </c>
      <c r="E7">
        <f t="shared" si="1"/>
        <v>4458.4594640281202</v>
      </c>
      <c r="F7">
        <f t="shared" si="1"/>
        <v>4491.1947149138141</v>
      </c>
      <c r="G7">
        <f t="shared" si="1"/>
        <v>4542.3455619398974</v>
      </c>
      <c r="H7">
        <f t="shared" si="1"/>
        <v>4595.5863797307438</v>
      </c>
      <c r="I7">
        <f t="shared" si="1"/>
        <v>4671.9059130729165</v>
      </c>
      <c r="J7">
        <f t="shared" si="1"/>
        <v>4747.6900876858635</v>
      </c>
      <c r="K7">
        <f t="shared" si="1"/>
        <v>4851.7143641638795</v>
      </c>
      <c r="L7">
        <f t="shared" si="1"/>
        <v>4957.3137545930731</v>
      </c>
      <c r="M7">
        <f t="shared" si="1"/>
        <v>5085.9066625645073</v>
      </c>
      <c r="N7">
        <f t="shared" si="1"/>
        <v>5234.1365431161548</v>
      </c>
      <c r="O7">
        <f t="shared" si="1"/>
        <v>5389.7568016155465</v>
      </c>
      <c r="P7">
        <f t="shared" si="1"/>
        <v>5554.8977881121855</v>
      </c>
      <c r="Q7">
        <f t="shared" si="1"/>
        <v>5743.1869264870256</v>
      </c>
      <c r="R7">
        <f t="shared" si="1"/>
        <v>5932.311682301467</v>
      </c>
      <c r="S7">
        <f t="shared" si="1"/>
        <v>6143.409794356784</v>
      </c>
      <c r="T7">
        <f t="shared" si="1"/>
        <v>6367.2206489118116</v>
      </c>
      <c r="U7">
        <f t="shared" si="1"/>
        <v>6595.5952536206405</v>
      </c>
      <c r="V7">
        <f t="shared" si="1"/>
        <v>6824.340276623886</v>
      </c>
      <c r="W7">
        <f t="shared" si="1"/>
        <v>7055.2912588862982</v>
      </c>
      <c r="X7">
        <f t="shared" si="1"/>
        <v>7303.3740081379337</v>
      </c>
      <c r="Y7">
        <f t="shared" si="1"/>
        <v>7546.4061177591993</v>
      </c>
      <c r="Z7">
        <f t="shared" si="1"/>
        <v>7798.7805222001689</v>
      </c>
      <c r="AA7">
        <f t="shared" si="1"/>
        <v>8062.0475723446498</v>
      </c>
      <c r="AB7">
        <f t="shared" si="1"/>
        <v>8339.6099164429415</v>
      </c>
      <c r="AC7">
        <f t="shared" si="1"/>
        <v>8632.2478118374493</v>
      </c>
      <c r="AD7">
        <f t="shared" si="1"/>
        <v>8948.2248524380211</v>
      </c>
      <c r="AE7">
        <f t="shared" si="1"/>
        <v>9284.5511871839572</v>
      </c>
      <c r="AF7">
        <f t="shared" si="1"/>
        <v>9648.9379564318533</v>
      </c>
      <c r="AG7">
        <f t="shared" si="1"/>
        <v>10038.297320343479</v>
      </c>
    </row>
    <row r="8" spans="1:40" ht="18" thickBot="1" x14ac:dyDescent="0.35">
      <c r="A8" s="4" t="s">
        <v>42</v>
      </c>
      <c r="B8" s="4"/>
    </row>
    <row r="9" spans="1:40" ht="15.75" thickTop="1" x14ac:dyDescent="0.25">
      <c r="B9">
        <v>2019</v>
      </c>
      <c r="C9">
        <v>2020</v>
      </c>
      <c r="D9">
        <v>2021</v>
      </c>
      <c r="E9">
        <v>2022</v>
      </c>
      <c r="F9">
        <v>2023</v>
      </c>
      <c r="G9">
        <v>2024</v>
      </c>
      <c r="H9">
        <v>2025</v>
      </c>
      <c r="I9">
        <v>2026</v>
      </c>
      <c r="J9">
        <v>2027</v>
      </c>
      <c r="K9">
        <v>2028</v>
      </c>
      <c r="L9">
        <v>2029</v>
      </c>
      <c r="M9">
        <v>2030</v>
      </c>
      <c r="N9">
        <v>2031</v>
      </c>
      <c r="O9">
        <v>2032</v>
      </c>
      <c r="P9">
        <v>2033</v>
      </c>
      <c r="Q9">
        <v>2034</v>
      </c>
      <c r="R9">
        <v>2035</v>
      </c>
      <c r="S9">
        <v>2036</v>
      </c>
      <c r="T9">
        <v>2037</v>
      </c>
      <c r="U9">
        <v>2038</v>
      </c>
      <c r="V9">
        <v>2039</v>
      </c>
      <c r="W9">
        <v>2040</v>
      </c>
      <c r="X9">
        <v>2041</v>
      </c>
      <c r="Y9">
        <v>2042</v>
      </c>
      <c r="Z9">
        <v>2043</v>
      </c>
      <c r="AA9">
        <v>2044</v>
      </c>
      <c r="AB9">
        <v>2045</v>
      </c>
      <c r="AC9">
        <v>2046</v>
      </c>
      <c r="AD9">
        <v>2047</v>
      </c>
      <c r="AE9">
        <v>2048</v>
      </c>
      <c r="AF9">
        <v>2049</v>
      </c>
      <c r="AG9">
        <v>2050</v>
      </c>
    </row>
    <row r="10" spans="1:40" x14ac:dyDescent="0.25">
      <c r="A10" s="3" t="s">
        <v>21</v>
      </c>
      <c r="B10">
        <f>IF($C$3="CGE",INDEX(GDP_CGE!$A$3:$AN$24,MATCH($A10,GDP_CGE!$A$3:$A$24,0),MATCH(B$9,GDP_CGE!$A$3:$AN$3,0)),GDP_Simple!B8)</f>
        <v>2742.6992888923501</v>
      </c>
      <c r="C10">
        <f>IF($C$3="CGE",INDEX(GDP_CGE!$A$3:$AN$24,MATCH($A10,GDP_CGE!$A$3:$A$24,0),MATCH(C$9,GDP_CGE!$A$3:$AN$3,0)),GDP_Simple!C8)</f>
        <v>2623.892630430013</v>
      </c>
      <c r="D10">
        <f>IF($C$3="CGE",INDEX(GDP_CGE!$A$3:$AN$24,MATCH($A10,GDP_CGE!$A$3:$A$24,0),MATCH(D$9,GDP_CGE!$A$3:$AN$3,0)),GDP_Simple!D8)</f>
        <v>2713.0909549858625</v>
      </c>
      <c r="E10">
        <f>IF($C$3="CGE",INDEX(GDP_CGE!$A$3:$AN$24,MATCH($A10,GDP_CGE!$A$3:$A$24,0),MATCH(E$9,GDP_CGE!$A$3:$AN$3,0)),GDP_Simple!E8)</f>
        <v>2802.21394205561</v>
      </c>
      <c r="F10">
        <f>IF($C$3="CGE",INDEX(GDP_CGE!$A$3:$AN$24,MATCH($A10,GDP_CGE!$A$3:$A$24,0),MATCH(F$9,GDP_CGE!$A$3:$AN$3,0)),GDP_Simple!F8)</f>
        <v>2823.8763171447204</v>
      </c>
      <c r="G10">
        <f>IF($C$3="CGE",INDEX(GDP_CGE!$A$3:$AN$24,MATCH($A10,GDP_CGE!$A$3:$A$24,0),MATCH(G$9,GDP_CGE!$A$3:$AN$3,0)),GDP_Simple!G8)</f>
        <v>2865.839763515025</v>
      </c>
      <c r="H10">
        <f>IF($C$3="CGE",INDEX(GDP_CGE!$A$3:$AN$24,MATCH($A10,GDP_CGE!$A$3:$A$24,0),MATCH(H$9,GDP_CGE!$A$3:$AN$3,0)),GDP_Simple!H8)</f>
        <v>2903.5765502969043</v>
      </c>
      <c r="I10">
        <f>IF($C$3="CGE",INDEX(GDP_CGE!$A$3:$AN$24,MATCH($A10,GDP_CGE!$A$3:$A$24,0),MATCH(I$9,GDP_CGE!$A$3:$AN$3,0)),GDP_Simple!I8)</f>
        <v>2949.6153150084137</v>
      </c>
      <c r="J10">
        <f>IF($C$3="CGE",INDEX(GDP_CGE!$A$3:$AN$24,MATCH($A10,GDP_CGE!$A$3:$A$24,0),MATCH(J$9,GDP_CGE!$A$3:$AN$3,0)),GDP_Simple!J8)</f>
        <v>3001.6719500488425</v>
      </c>
      <c r="K10">
        <f>IF($C$3="CGE",INDEX(GDP_CGE!$A$3:$AN$24,MATCH($A10,GDP_CGE!$A$3:$A$24,0),MATCH(K$9,GDP_CGE!$A$3:$AN$3,0)),GDP_Simple!K8)</f>
        <v>3072.4313263795839</v>
      </c>
      <c r="L10">
        <f>IF($C$3="CGE",INDEX(GDP_CGE!$A$3:$AN$24,MATCH($A10,GDP_CGE!$A$3:$A$24,0),MATCH(L$9,GDP_CGE!$A$3:$AN$3,0)),GDP_Simple!L8)</f>
        <v>3148.1774393760693</v>
      </c>
      <c r="M10">
        <f>IF($C$3="CGE",INDEX(GDP_CGE!$A$3:$AN$24,MATCH($A10,GDP_CGE!$A$3:$A$24,0),MATCH(M$9,GDP_CGE!$A$3:$AN$3,0)),GDP_Simple!M8)</f>
        <v>3239.0447618780399</v>
      </c>
      <c r="N10">
        <f>IF($C$3="CGE",INDEX(GDP_CGE!$A$3:$AN$24,MATCH($A10,GDP_CGE!$A$3:$A$24,0),MATCH(N$9,GDP_CGE!$A$3:$AN$3,0)),GDP_Simple!N8)</f>
        <v>3342.4114996273343</v>
      </c>
      <c r="O10">
        <f>IF($C$3="CGE",INDEX(GDP_CGE!$A$3:$AN$24,MATCH($A10,GDP_CGE!$A$3:$A$24,0),MATCH(O$9,GDP_CGE!$A$3:$AN$3,0)),GDP_Simple!O8)</f>
        <v>3450.0848198399458</v>
      </c>
      <c r="P10">
        <f>IF($C$3="CGE",INDEX(GDP_CGE!$A$3:$AN$24,MATCH($A10,GDP_CGE!$A$3:$A$24,0),MATCH(P$9,GDP_CGE!$A$3:$AN$3,0)),GDP_Simple!P8)</f>
        <v>3566.2225931357234</v>
      </c>
      <c r="Q10">
        <f>IF($C$3="CGE",INDEX(GDP_CGE!$A$3:$AN$24,MATCH($A10,GDP_CGE!$A$3:$A$24,0),MATCH(Q$9,GDP_CGE!$A$3:$AN$3,0)),GDP_Simple!Q8)</f>
        <v>3696.6545640464865</v>
      </c>
      <c r="R10">
        <f>IF($C$3="CGE",INDEX(GDP_CGE!$A$3:$AN$24,MATCH($A10,GDP_CGE!$A$3:$A$24,0),MATCH(R$9,GDP_CGE!$A$3:$AN$3,0)),GDP_Simple!R8)</f>
        <v>3831.1547614879955</v>
      </c>
      <c r="S10">
        <f>IF($C$3="CGE",INDEX(GDP_CGE!$A$3:$AN$24,MATCH($A10,GDP_CGE!$A$3:$A$24,0),MATCH(S$9,GDP_CGE!$A$3:$AN$3,0)),GDP_Simple!S8)</f>
        <v>3980.8300304213626</v>
      </c>
      <c r="T10">
        <f>IF($C$3="CGE",INDEX(GDP_CGE!$A$3:$AN$24,MATCH($A10,GDP_CGE!$A$3:$A$24,0),MATCH(T$9,GDP_CGE!$A$3:$AN$3,0)),GDP_Simple!T8)</f>
        <v>4140.6801768937266</v>
      </c>
      <c r="U10">
        <f>IF($C$3="CGE",INDEX(GDP_CGE!$A$3:$AN$24,MATCH($A10,GDP_CGE!$A$3:$A$24,0),MATCH(U$9,GDP_CGE!$A$3:$AN$3,0)),GDP_Simple!U8)</f>
        <v>4299.3385448416921</v>
      </c>
      <c r="V10">
        <f>IF($C$3="CGE",INDEX(GDP_CGE!$A$3:$AN$24,MATCH($A10,GDP_CGE!$A$3:$A$24,0),MATCH(V$9,GDP_CGE!$A$3:$AN$3,0)),GDP_Simple!V8)</f>
        <v>4459.7399124601388</v>
      </c>
      <c r="W10">
        <f>IF($C$3="CGE",INDEX(GDP_CGE!$A$3:$AN$24,MATCH($A10,GDP_CGE!$A$3:$A$24,0),MATCH(W$9,GDP_CGE!$A$3:$AN$3,0)),GDP_Simple!W8)</f>
        <v>4621.1993602487619</v>
      </c>
      <c r="X10">
        <f>IF($C$3="CGE",INDEX(GDP_CGE!$A$3:$AN$24,MATCH($A10,GDP_CGE!$A$3:$A$24,0),MATCH(X$9,GDP_CGE!$A$3:$AN$3,0)),GDP_Simple!X8)</f>
        <v>4793.0276020669698</v>
      </c>
      <c r="Y10">
        <f>IF($C$3="CGE",INDEX(GDP_CGE!$A$3:$AN$24,MATCH($A10,GDP_CGE!$A$3:$A$24,0),MATCH(Y$9,GDP_CGE!$A$3:$AN$3,0)),GDP_Simple!Y8)</f>
        <v>4959.7505853127068</v>
      </c>
      <c r="Z10">
        <f>IF($C$3="CGE",INDEX(GDP_CGE!$A$3:$AN$24,MATCH($A10,GDP_CGE!$A$3:$A$24,0),MATCH(Z$9,GDP_CGE!$A$3:$AN$3,0)),GDP_Simple!Z8)</f>
        <v>5129.5317125086531</v>
      </c>
      <c r="AA10">
        <f>IF($C$3="CGE",INDEX(GDP_CGE!$A$3:$AN$24,MATCH($A10,GDP_CGE!$A$3:$A$24,0),MATCH(AA$9,GDP_CGE!$A$3:$AN$3,0)),GDP_Simple!AA8)</f>
        <v>5308.2323817134811</v>
      </c>
      <c r="AB10">
        <f>IF($C$3="CGE",INDEX(GDP_CGE!$A$3:$AN$24,MATCH($A10,GDP_CGE!$A$3:$A$24,0),MATCH(AB$9,GDP_CGE!$A$3:$AN$3,0)),GDP_Simple!AB8)</f>
        <v>5498.3524736868612</v>
      </c>
      <c r="AC10">
        <f>IF($C$3="CGE",INDEX(GDP_CGE!$A$3:$AN$24,MATCH($A10,GDP_CGE!$A$3:$A$24,0),MATCH(AC$9,GDP_CGE!$A$3:$AN$3,0)),GDP_Simple!AC8)</f>
        <v>5699.9241069457121</v>
      </c>
      <c r="AD10">
        <f>IF($C$3="CGE",INDEX(GDP_CGE!$A$3:$AN$24,MATCH($A10,GDP_CGE!$A$3:$A$24,0),MATCH(AD$9,GDP_CGE!$A$3:$AN$3,0)),GDP_Simple!AD8)</f>
        <v>5919.3237968615076</v>
      </c>
      <c r="AE10">
        <f>IF($C$3="CGE",INDEX(GDP_CGE!$A$3:$AN$24,MATCH($A10,GDP_CGE!$A$3:$A$24,0),MATCH(AE$9,GDP_CGE!$A$3:$AN$3,0)),GDP_Simple!AE8)</f>
        <v>6154.1807199499617</v>
      </c>
      <c r="AF10">
        <f>IF($C$3="CGE",INDEX(GDP_CGE!$A$3:$AN$24,MATCH($A10,GDP_CGE!$A$3:$A$24,0),MATCH(AF$9,GDP_CGE!$A$3:$AN$3,0)),GDP_Simple!AF8)</f>
        <v>6409.7360940906492</v>
      </c>
      <c r="AG10">
        <f>IF($C$3="CGE",INDEX(GDP_CGE!$A$3:$AN$24,MATCH($A10,GDP_CGE!$A$3:$A$24,0),MATCH(AG$9,GDP_CGE!$A$3:$AN$3,0)),GDP_Simple!AG8)</f>
        <v>6683.3748805517698</v>
      </c>
    </row>
    <row r="11" spans="1:40" x14ac:dyDescent="0.25">
      <c r="A11" s="3" t="s">
        <v>73</v>
      </c>
      <c r="B11">
        <f>IF($C$3="CGE",INDEX(GDP_CGE!$A$3:$AN$24,MATCH($A11,GDP_CGE!$A$3:$A$24,0),MATCH(B$9,GDP_CGE!$A$3:$AN$3,0)),GDP_Simple!B9)</f>
        <v>102.77045496481313</v>
      </c>
      <c r="C11">
        <f>IF($C$3="CGE",INDEX(GDP_CGE!$A$3:$AN$24,MATCH($A11,GDP_CGE!$A$3:$A$24,0),MATCH(C$9,GDP_CGE!$A$3:$AN$3,0)),GDP_Simple!C9)</f>
        <v>105.71698219013261</v>
      </c>
      <c r="D11">
        <f>IF($C$3="CGE",INDEX(GDP_CGE!$A$3:$AN$24,MATCH($A11,GDP_CGE!$A$3:$A$24,0),MATCH(D$9,GDP_CGE!$A$3:$AN$3,0)),GDP_Simple!D9)</f>
        <v>114.1821084403482</v>
      </c>
      <c r="E11">
        <f>IF($C$3="CGE",INDEX(GDP_CGE!$A$3:$AN$24,MATCH($A11,GDP_CGE!$A$3:$A$24,0),MATCH(E$9,GDP_CGE!$A$3:$AN$3,0)),GDP_Simple!E9)</f>
        <v>108.7750099366377</v>
      </c>
      <c r="F11">
        <f>IF($C$3="CGE",INDEX(GDP_CGE!$A$3:$AN$24,MATCH($A11,GDP_CGE!$A$3:$A$24,0),MATCH(F$9,GDP_CGE!$A$3:$AN$3,0)),GDP_Simple!F9)</f>
        <v>106.71540830460093</v>
      </c>
      <c r="G11">
        <f>IF($C$3="CGE",INDEX(GDP_CGE!$A$3:$AN$24,MATCH($A11,GDP_CGE!$A$3:$A$24,0),MATCH(G$9,GDP_CGE!$A$3:$AN$3,0)),GDP_Simple!G9)</f>
        <v>105.67844787815569</v>
      </c>
      <c r="H11">
        <f>IF($C$3="CGE",INDEX(GDP_CGE!$A$3:$AN$24,MATCH($A11,GDP_CGE!$A$3:$A$24,0),MATCH(H$9,GDP_CGE!$A$3:$AN$3,0)),GDP_Simple!H9)</f>
        <v>107.43134129975681</v>
      </c>
      <c r="I11">
        <f>IF($C$3="CGE",INDEX(GDP_CGE!$A$3:$AN$24,MATCH($A11,GDP_CGE!$A$3:$A$24,0),MATCH(I$9,GDP_CGE!$A$3:$AN$3,0)),GDP_Simple!I9)</f>
        <v>108.54476976700271</v>
      </c>
      <c r="J11">
        <f>IF($C$3="CGE",INDEX(GDP_CGE!$A$3:$AN$24,MATCH($A11,GDP_CGE!$A$3:$A$24,0),MATCH(J$9,GDP_CGE!$A$3:$AN$3,0)),GDP_Simple!J9)</f>
        <v>109.94769520561633</v>
      </c>
      <c r="K11">
        <f>IF($C$3="CGE",INDEX(GDP_CGE!$A$3:$AN$24,MATCH($A11,GDP_CGE!$A$3:$A$24,0),MATCH(K$9,GDP_CGE!$A$3:$AN$3,0)),GDP_Simple!K9)</f>
        <v>112.25077081245851</v>
      </c>
      <c r="L11">
        <f>IF($C$3="CGE",INDEX(GDP_CGE!$A$3:$AN$24,MATCH($A11,GDP_CGE!$A$3:$A$24,0),MATCH(L$9,GDP_CGE!$A$3:$AN$3,0)),GDP_Simple!L9)</f>
        <v>114.69356298435909</v>
      </c>
      <c r="M11">
        <f>IF($C$3="CGE",INDEX(GDP_CGE!$A$3:$AN$24,MATCH($A11,GDP_CGE!$A$3:$A$24,0),MATCH(M$9,GDP_CGE!$A$3:$AN$3,0)),GDP_Simple!M9)</f>
        <v>117.89535972773864</v>
      </c>
      <c r="N11">
        <f>IF($C$3="CGE",INDEX(GDP_CGE!$A$3:$AN$24,MATCH($A11,GDP_CGE!$A$3:$A$24,0),MATCH(N$9,GDP_CGE!$A$3:$AN$3,0)),GDP_Simple!N9)</f>
        <v>121.15844978097707</v>
      </c>
      <c r="O11">
        <f>IF($C$3="CGE",INDEX(GDP_CGE!$A$3:$AN$24,MATCH($A11,GDP_CGE!$A$3:$A$24,0),MATCH(O$9,GDP_CGE!$A$3:$AN$3,0)),GDP_Simple!O9)</f>
        <v>124.11861511306854</v>
      </c>
      <c r="P11">
        <f>IF($C$3="CGE",INDEX(GDP_CGE!$A$3:$AN$24,MATCH($A11,GDP_CGE!$A$3:$A$24,0),MATCH(P$9,GDP_CGE!$A$3:$AN$3,0)),GDP_Simple!P9)</f>
        <v>127.09995826376888</v>
      </c>
      <c r="Q11">
        <f>IF($C$3="CGE",INDEX(GDP_CGE!$A$3:$AN$24,MATCH($A11,GDP_CGE!$A$3:$A$24,0),MATCH(Q$9,GDP_CGE!$A$3:$AN$3,0)),GDP_Simple!Q9)</f>
        <v>130.39994063312241</v>
      </c>
      <c r="R11">
        <f>IF($C$3="CGE",INDEX(GDP_CGE!$A$3:$AN$24,MATCH($A11,GDP_CGE!$A$3:$A$24,0),MATCH(R$9,GDP_CGE!$A$3:$AN$3,0)),GDP_Simple!R9)</f>
        <v>133.53741441429383</v>
      </c>
      <c r="S11">
        <f>IF($C$3="CGE",INDEX(GDP_CGE!$A$3:$AN$24,MATCH($A11,GDP_CGE!$A$3:$A$24,0),MATCH(S$9,GDP_CGE!$A$3:$AN$3,0)),GDP_Simple!S9)</f>
        <v>136.99913677199982</v>
      </c>
      <c r="T11">
        <f>IF($C$3="CGE",INDEX(GDP_CGE!$A$3:$AN$24,MATCH($A11,GDP_CGE!$A$3:$A$24,0),MATCH(T$9,GDP_CGE!$A$3:$AN$3,0)),GDP_Simple!T9)</f>
        <v>140.5523711747764</v>
      </c>
      <c r="U11">
        <f>IF($C$3="CGE",INDEX(GDP_CGE!$A$3:$AN$24,MATCH($A11,GDP_CGE!$A$3:$A$24,0),MATCH(U$9,GDP_CGE!$A$3:$AN$3,0)),GDP_Simple!U9)</f>
        <v>143.82759086829512</v>
      </c>
      <c r="V11">
        <f>IF($C$3="CGE",INDEX(GDP_CGE!$A$3:$AN$24,MATCH($A11,GDP_CGE!$A$3:$A$24,0),MATCH(V$9,GDP_CGE!$A$3:$AN$3,0)),GDP_Simple!V9)</f>
        <v>146.82661597480296</v>
      </c>
      <c r="W11">
        <f>IF($C$3="CGE",INDEX(GDP_CGE!$A$3:$AN$24,MATCH($A11,GDP_CGE!$A$3:$A$24,0),MATCH(W$9,GDP_CGE!$A$3:$AN$3,0)),GDP_Simple!W9)</f>
        <v>149.89809145224035</v>
      </c>
      <c r="X11">
        <f>IF($C$3="CGE",INDEX(GDP_CGE!$A$3:$AN$24,MATCH($A11,GDP_CGE!$A$3:$A$24,0),MATCH(X$9,GDP_CGE!$A$3:$AN$3,0)),GDP_Simple!X9)</f>
        <v>153.56547844367361</v>
      </c>
      <c r="Y11">
        <f>IF($C$3="CGE",INDEX(GDP_CGE!$A$3:$AN$24,MATCH($A11,GDP_CGE!$A$3:$A$24,0),MATCH(Y$9,GDP_CGE!$A$3:$AN$3,0)),GDP_Simple!Y9)</f>
        <v>156.85087639842584</v>
      </c>
      <c r="Z11">
        <f>IF($C$3="CGE",INDEX(GDP_CGE!$A$3:$AN$24,MATCH($A11,GDP_CGE!$A$3:$A$24,0),MATCH(Z$9,GDP_CGE!$A$3:$AN$3,0)),GDP_Simple!Z9)</f>
        <v>159.98382492128428</v>
      </c>
      <c r="AA11">
        <f>IF($C$3="CGE",INDEX(GDP_CGE!$A$3:$AN$24,MATCH($A11,GDP_CGE!$A$3:$A$24,0),MATCH(AA$9,GDP_CGE!$A$3:$AN$3,0)),GDP_Simple!AA9)</f>
        <v>163.22142047312292</v>
      </c>
      <c r="AB11">
        <f>IF($C$3="CGE",INDEX(GDP_CGE!$A$3:$AN$24,MATCH($A11,GDP_CGE!$A$3:$A$24,0),MATCH(AB$9,GDP_CGE!$A$3:$AN$3,0)),GDP_Simple!AB9)</f>
        <v>166.58866132989297</v>
      </c>
      <c r="AC11">
        <f>IF($C$3="CGE",INDEX(GDP_CGE!$A$3:$AN$24,MATCH($A11,GDP_CGE!$A$3:$A$24,0),MATCH(AC$9,GDP_CGE!$A$3:$AN$3,0)),GDP_Simple!AC9)</f>
        <v>170.47356401398164</v>
      </c>
      <c r="AD11">
        <f>IF($C$3="CGE",INDEX(GDP_CGE!$A$3:$AN$24,MATCH($A11,GDP_CGE!$A$3:$A$24,0),MATCH(AD$9,GDP_CGE!$A$3:$AN$3,0)),GDP_Simple!AD9)</f>
        <v>174.86444007100488</v>
      </c>
      <c r="AE11">
        <f>IF($C$3="CGE",INDEX(GDP_CGE!$A$3:$AN$24,MATCH($A11,GDP_CGE!$A$3:$A$24,0),MATCH(AE$9,GDP_CGE!$A$3:$AN$3,0)),GDP_Simple!AE9)</f>
        <v>179.60818489040312</v>
      </c>
      <c r="AF11">
        <f>IF($C$3="CGE",INDEX(GDP_CGE!$A$3:$AN$24,MATCH($A11,GDP_CGE!$A$3:$A$24,0),MATCH(AF$9,GDP_CGE!$A$3:$AN$3,0)),GDP_Simple!AF9)</f>
        <v>184.7427969348181</v>
      </c>
      <c r="AG11">
        <f>IF($C$3="CGE",INDEX(GDP_CGE!$A$3:$AN$24,MATCH($A11,GDP_CGE!$A$3:$A$24,0),MATCH(AG$9,GDP_CGE!$A$3:$AN$3,0)),GDP_Simple!AG9)</f>
        <v>190.12630010948794</v>
      </c>
    </row>
    <row r="12" spans="1:40" x14ac:dyDescent="0.25">
      <c r="A12" s="3" t="s">
        <v>23</v>
      </c>
      <c r="B12">
        <f>IF($C$3="CGE",INDEX(GDP_CGE!$A$3:$AN$24,MATCH($A12,GDP_CGE!$A$3:$A$24,0),MATCH(B$9,GDP_CGE!$A$3:$AN$3,0)),GDP_Simple!B10)</f>
        <v>197.32396542856375</v>
      </c>
      <c r="C12">
        <f>IF($C$3="CGE",INDEX(GDP_CGE!$A$3:$AN$24,MATCH($A12,GDP_CGE!$A$3:$A$24,0),MATCH(C$9,GDP_CGE!$A$3:$AN$3,0)),GDP_Simple!C10)</f>
        <v>183.81470141206364</v>
      </c>
      <c r="D12">
        <f>IF($C$3="CGE",INDEX(GDP_CGE!$A$3:$AN$24,MATCH($A12,GDP_CGE!$A$3:$A$24,0),MATCH(D$9,GDP_CGE!$A$3:$AN$3,0)),GDP_Simple!D10)</f>
        <v>218.05530488443134</v>
      </c>
      <c r="E12">
        <f>IF($C$3="CGE",INDEX(GDP_CGE!$A$3:$AN$24,MATCH($A12,GDP_CGE!$A$3:$A$24,0),MATCH(E$9,GDP_CGE!$A$3:$AN$3,0)),GDP_Simple!E10)</f>
        <v>192.39940186477057</v>
      </c>
      <c r="F12">
        <f>IF($C$3="CGE",INDEX(GDP_CGE!$A$3:$AN$24,MATCH($A12,GDP_CGE!$A$3:$A$24,0),MATCH(F$9,GDP_CGE!$A$3:$AN$3,0)),GDP_Simple!F10)</f>
        <v>196.89179566772691</v>
      </c>
      <c r="G12">
        <f>IF($C$3="CGE",INDEX(GDP_CGE!$A$3:$AN$24,MATCH($A12,GDP_CGE!$A$3:$A$24,0),MATCH(G$9,GDP_CGE!$A$3:$AN$3,0)),GDP_Simple!G10)</f>
        <v>198.22821319422218</v>
      </c>
      <c r="H12">
        <f>IF($C$3="CGE",INDEX(GDP_CGE!$A$3:$AN$24,MATCH($A12,GDP_CGE!$A$3:$A$24,0),MATCH(H$9,GDP_CGE!$A$3:$AN$3,0)),GDP_Simple!H10)</f>
        <v>200.02260700961921</v>
      </c>
      <c r="I12">
        <f>IF($C$3="CGE",INDEX(GDP_CGE!$A$3:$AN$24,MATCH($A12,GDP_CGE!$A$3:$A$24,0),MATCH(I$9,GDP_CGE!$A$3:$AN$3,0)),GDP_Simple!I10)</f>
        <v>204.43546991973164</v>
      </c>
      <c r="J12">
        <f>IF($C$3="CGE",INDEX(GDP_CGE!$A$3:$AN$24,MATCH($A12,GDP_CGE!$A$3:$A$24,0),MATCH(J$9,GDP_CGE!$A$3:$AN$3,0)),GDP_Simple!J10)</f>
        <v>207.5651349980763</v>
      </c>
      <c r="K12">
        <f>IF($C$3="CGE",INDEX(GDP_CGE!$A$3:$AN$24,MATCH($A12,GDP_CGE!$A$3:$A$24,0),MATCH(K$9,GDP_CGE!$A$3:$AN$3,0)),GDP_Simple!K10)</f>
        <v>210.4682981827435</v>
      </c>
      <c r="L12">
        <f>IF($C$3="CGE",INDEX(GDP_CGE!$A$3:$AN$24,MATCH($A12,GDP_CGE!$A$3:$A$24,0),MATCH(L$9,GDP_CGE!$A$3:$AN$3,0)),GDP_Simple!L10)</f>
        <v>214.99340529196695</v>
      </c>
      <c r="M12">
        <f>IF($C$3="CGE",INDEX(GDP_CGE!$A$3:$AN$24,MATCH($A12,GDP_CGE!$A$3:$A$24,0),MATCH(M$9,GDP_CGE!$A$3:$AN$3,0)),GDP_Simple!M10)</f>
        <v>219.43452426116801</v>
      </c>
      <c r="N12">
        <f>IF($C$3="CGE",INDEX(GDP_CGE!$A$3:$AN$24,MATCH($A12,GDP_CGE!$A$3:$A$24,0),MATCH(N$9,GDP_CGE!$A$3:$AN$3,0)),GDP_Simple!N10)</f>
        <v>224.04714305710638</v>
      </c>
      <c r="O12">
        <f>IF($C$3="CGE",INDEX(GDP_CGE!$A$3:$AN$24,MATCH($A12,GDP_CGE!$A$3:$A$24,0),MATCH(O$9,GDP_CGE!$A$3:$AN$3,0)),GDP_Simple!O10)</f>
        <v>228.62476549423491</v>
      </c>
      <c r="P12">
        <f>IF($C$3="CGE",INDEX(GDP_CGE!$A$3:$AN$24,MATCH($A12,GDP_CGE!$A$3:$A$24,0),MATCH(P$9,GDP_CGE!$A$3:$AN$3,0)),GDP_Simple!P10)</f>
        <v>233.35385846020296</v>
      </c>
      <c r="Q12">
        <f>IF($C$3="CGE",INDEX(GDP_CGE!$A$3:$AN$24,MATCH($A12,GDP_CGE!$A$3:$A$24,0),MATCH(Q$9,GDP_CGE!$A$3:$AN$3,0)),GDP_Simple!Q10)</f>
        <v>238.45331410159207</v>
      </c>
      <c r="R12">
        <f>IF($C$3="CGE",INDEX(GDP_CGE!$A$3:$AN$24,MATCH($A12,GDP_CGE!$A$3:$A$24,0),MATCH(R$9,GDP_CGE!$A$3:$AN$3,0)),GDP_Simple!R10)</f>
        <v>243.04643497422327</v>
      </c>
      <c r="S12">
        <f>IF($C$3="CGE",INDEX(GDP_CGE!$A$3:$AN$24,MATCH($A12,GDP_CGE!$A$3:$A$24,0),MATCH(S$9,GDP_CGE!$A$3:$AN$3,0)),GDP_Simple!S10)</f>
        <v>248.34231653736356</v>
      </c>
      <c r="T12">
        <f>IF($C$3="CGE",INDEX(GDP_CGE!$A$3:$AN$24,MATCH($A12,GDP_CGE!$A$3:$A$24,0),MATCH(T$9,GDP_CGE!$A$3:$AN$3,0)),GDP_Simple!T10)</f>
        <v>253.57044333730585</v>
      </c>
      <c r="U12">
        <f>IF($C$3="CGE",INDEX(GDP_CGE!$A$3:$AN$24,MATCH($A12,GDP_CGE!$A$3:$A$24,0),MATCH(U$9,GDP_CGE!$A$3:$AN$3,0)),GDP_Simple!U10)</f>
        <v>258.75460937761244</v>
      </c>
      <c r="V12">
        <f>IF($C$3="CGE",INDEX(GDP_CGE!$A$3:$AN$24,MATCH($A12,GDP_CGE!$A$3:$A$24,0),MATCH(V$9,GDP_CGE!$A$3:$AN$3,0)),GDP_Simple!V10)</f>
        <v>262.98297713785223</v>
      </c>
      <c r="W12">
        <f>IF($C$3="CGE",INDEX(GDP_CGE!$A$3:$AN$24,MATCH($A12,GDP_CGE!$A$3:$A$24,0),MATCH(W$9,GDP_CGE!$A$3:$AN$3,0)),GDP_Simple!W10)</f>
        <v>267.82850720424238</v>
      </c>
      <c r="X12">
        <f>IF($C$3="CGE",INDEX(GDP_CGE!$A$3:$AN$24,MATCH($A12,GDP_CGE!$A$3:$A$24,0),MATCH(X$9,GDP_CGE!$A$3:$AN$3,0)),GDP_Simple!X10)</f>
        <v>273.27716231620269</v>
      </c>
      <c r="Y12">
        <f>IF($C$3="CGE",INDEX(GDP_CGE!$A$3:$AN$24,MATCH($A12,GDP_CGE!$A$3:$A$24,0),MATCH(Y$9,GDP_CGE!$A$3:$AN$3,0)),GDP_Simple!Y10)</f>
        <v>277.5723173724503</v>
      </c>
      <c r="Z12">
        <f>IF($C$3="CGE",INDEX(GDP_CGE!$A$3:$AN$24,MATCH($A12,GDP_CGE!$A$3:$A$24,0),MATCH(Z$9,GDP_CGE!$A$3:$AN$3,0)),GDP_Simple!Z10)</f>
        <v>281.42208300125822</v>
      </c>
      <c r="AA12">
        <f>IF($C$3="CGE",INDEX(GDP_CGE!$A$3:$AN$24,MATCH($A12,GDP_CGE!$A$3:$A$24,0),MATCH(AA$9,GDP_CGE!$A$3:$AN$3,0)),GDP_Simple!AA10)</f>
        <v>285.39939720829489</v>
      </c>
      <c r="AB12">
        <f>IF($C$3="CGE",INDEX(GDP_CGE!$A$3:$AN$24,MATCH($A12,GDP_CGE!$A$3:$A$24,0),MATCH(AB$9,GDP_CGE!$A$3:$AN$3,0)),GDP_Simple!AB10)</f>
        <v>289.72187597975818</v>
      </c>
      <c r="AC12">
        <f>IF($C$3="CGE",INDEX(GDP_CGE!$A$3:$AN$24,MATCH($A12,GDP_CGE!$A$3:$A$24,0),MATCH(AC$9,GDP_CGE!$A$3:$AN$3,0)),GDP_Simple!AC10)</f>
        <v>295.23716628597259</v>
      </c>
      <c r="AD12">
        <f>IF($C$3="CGE",INDEX(GDP_CGE!$A$3:$AN$24,MATCH($A12,GDP_CGE!$A$3:$A$24,0),MATCH(AD$9,GDP_CGE!$A$3:$AN$3,0)),GDP_Simple!AD10)</f>
        <v>301.46102082054131</v>
      </c>
      <c r="AE12">
        <f>IF($C$3="CGE",INDEX(GDP_CGE!$A$3:$AN$24,MATCH($A12,GDP_CGE!$A$3:$A$24,0),MATCH(AE$9,GDP_CGE!$A$3:$AN$3,0)),GDP_Simple!AE10)</f>
        <v>308.32689376306001</v>
      </c>
      <c r="AF12">
        <f>IF($C$3="CGE",INDEX(GDP_CGE!$A$3:$AN$24,MATCH($A12,GDP_CGE!$A$3:$A$24,0),MATCH(AF$9,GDP_CGE!$A$3:$AN$3,0)),GDP_Simple!AF10)</f>
        <v>315.93028962428264</v>
      </c>
      <c r="AG12">
        <f>IF($C$3="CGE",INDEX(GDP_CGE!$A$3:$AN$24,MATCH($A12,GDP_CGE!$A$3:$A$24,0),MATCH(AG$9,GDP_CGE!$A$3:$AN$3,0)),GDP_Simple!AG10)</f>
        <v>324.20877615933455</v>
      </c>
    </row>
    <row r="13" spans="1:40" x14ac:dyDescent="0.25">
      <c r="A13" s="3" t="s">
        <v>24</v>
      </c>
      <c r="B13">
        <f>IF($C$3="CGE",INDEX(GDP_CGE!$A$3:$AN$24,MATCH($A13,GDP_CGE!$A$3:$A$24,0),MATCH(B$9,GDP_CGE!$A$3:$AN$3,0)),GDP_Simple!B11)</f>
        <v>155.19916098390058</v>
      </c>
      <c r="C13">
        <f>IF($C$3="CGE",INDEX(GDP_CGE!$A$3:$AN$24,MATCH($A13,GDP_CGE!$A$3:$A$24,0),MATCH(C$9,GDP_CGE!$A$3:$AN$3,0)),GDP_Simple!C11)</f>
        <v>145.07481074537324</v>
      </c>
      <c r="D13">
        <f>IF($C$3="CGE",INDEX(GDP_CGE!$A$3:$AN$24,MATCH($A13,GDP_CGE!$A$3:$A$24,0),MATCH(D$9,GDP_CGE!$A$3:$AN$3,0)),GDP_Simple!D11)</f>
        <v>153.77810225780283</v>
      </c>
      <c r="E13">
        <f>IF($C$3="CGE",INDEX(GDP_CGE!$A$3:$AN$24,MATCH($A13,GDP_CGE!$A$3:$A$24,0),MATCH(E$9,GDP_CGE!$A$3:$AN$3,0)),GDP_Simple!E11)</f>
        <v>159.71214040717638</v>
      </c>
      <c r="F13">
        <f>IF($C$3="CGE",INDEX(GDP_CGE!$A$3:$AN$24,MATCH($A13,GDP_CGE!$A$3:$A$24,0),MATCH(F$9,GDP_CGE!$A$3:$AN$3,0)),GDP_Simple!F11)</f>
        <v>162.65060543295681</v>
      </c>
      <c r="G13">
        <f>IF($C$3="CGE",INDEX(GDP_CGE!$A$3:$AN$24,MATCH($A13,GDP_CGE!$A$3:$A$24,0),MATCH(G$9,GDP_CGE!$A$3:$AN$3,0)),GDP_Simple!G11)</f>
        <v>165.70026809424871</v>
      </c>
      <c r="H13">
        <f>IF($C$3="CGE",INDEX(GDP_CGE!$A$3:$AN$24,MATCH($A13,GDP_CGE!$A$3:$A$24,0),MATCH(H$9,GDP_CGE!$A$3:$AN$3,0)),GDP_Simple!H11)</f>
        <v>165.83357320023401</v>
      </c>
      <c r="I13">
        <f>IF($C$3="CGE",INDEX(GDP_CGE!$A$3:$AN$24,MATCH($A13,GDP_CGE!$A$3:$A$24,0),MATCH(I$9,GDP_CGE!$A$3:$AN$3,0)),GDP_Simple!I11)</f>
        <v>165.52718986779323</v>
      </c>
      <c r="J13">
        <f>IF($C$3="CGE",INDEX(GDP_CGE!$A$3:$AN$24,MATCH($A13,GDP_CGE!$A$3:$A$24,0),MATCH(J$9,GDP_CGE!$A$3:$AN$3,0)),GDP_Simple!J11)</f>
        <v>167.3591499536447</v>
      </c>
      <c r="K13">
        <f>IF($C$3="CGE",INDEX(GDP_CGE!$A$3:$AN$24,MATCH($A13,GDP_CGE!$A$3:$A$24,0),MATCH(K$9,GDP_CGE!$A$3:$AN$3,0)),GDP_Simple!K11)</f>
        <v>181.17017033752091</v>
      </c>
      <c r="L13">
        <f>IF($C$3="CGE",INDEX(GDP_CGE!$A$3:$AN$24,MATCH($A13,GDP_CGE!$A$3:$A$24,0),MATCH(L$9,GDP_CGE!$A$3:$AN$3,0)),GDP_Simple!L11)</f>
        <v>186.48787416880157</v>
      </c>
      <c r="M13">
        <f>IF($C$3="CGE",INDEX(GDP_CGE!$A$3:$AN$24,MATCH($A13,GDP_CGE!$A$3:$A$24,0),MATCH(M$9,GDP_CGE!$A$3:$AN$3,0)),GDP_Simple!M11)</f>
        <v>191.21685007653238</v>
      </c>
      <c r="N13">
        <f>IF($C$3="CGE",INDEX(GDP_CGE!$A$3:$AN$24,MATCH($A13,GDP_CGE!$A$3:$A$24,0),MATCH(N$9,GDP_CGE!$A$3:$AN$3,0)),GDP_Simple!N11)</f>
        <v>196.58835154109735</v>
      </c>
      <c r="O13">
        <f>IF($C$3="CGE",INDEX(GDP_CGE!$A$3:$AN$24,MATCH($A13,GDP_CGE!$A$3:$A$24,0),MATCH(O$9,GDP_CGE!$A$3:$AN$3,0)),GDP_Simple!O11)</f>
        <v>201.85077444419929</v>
      </c>
      <c r="P13">
        <f>IF($C$3="CGE",INDEX(GDP_CGE!$A$3:$AN$24,MATCH($A13,GDP_CGE!$A$3:$A$24,0),MATCH(P$9,GDP_CGE!$A$3:$AN$3,0)),GDP_Simple!P11)</f>
        <v>207.31611855134787</v>
      </c>
      <c r="Q13">
        <f>IF($C$3="CGE",INDEX(GDP_CGE!$A$3:$AN$24,MATCH($A13,GDP_CGE!$A$3:$A$24,0),MATCH(Q$9,GDP_CGE!$A$3:$AN$3,0)),GDP_Simple!Q11)</f>
        <v>213.33631951209929</v>
      </c>
      <c r="R13">
        <f>IF($C$3="CGE",INDEX(GDP_CGE!$A$3:$AN$24,MATCH($A13,GDP_CGE!$A$3:$A$24,0),MATCH(R$9,GDP_CGE!$A$3:$AN$3,0)),GDP_Simple!R11)</f>
        <v>219.02825486074909</v>
      </c>
      <c r="S13">
        <f>IF($C$3="CGE",INDEX(GDP_CGE!$A$3:$AN$24,MATCH($A13,GDP_CGE!$A$3:$A$24,0),MATCH(S$9,GDP_CGE!$A$3:$AN$3,0)),GDP_Simple!S11)</f>
        <v>225.55139328802949</v>
      </c>
      <c r="T13">
        <f>IF($C$3="CGE",INDEX(GDP_CGE!$A$3:$AN$24,MATCH($A13,GDP_CGE!$A$3:$A$24,0),MATCH(T$9,GDP_CGE!$A$3:$AN$3,0)),GDP_Simple!T11)</f>
        <v>232.07400841523383</v>
      </c>
      <c r="U13">
        <f>IF($C$3="CGE",INDEX(GDP_CGE!$A$3:$AN$24,MATCH($A13,GDP_CGE!$A$3:$A$24,0),MATCH(U$9,GDP_CGE!$A$3:$AN$3,0)),GDP_Simple!U11)</f>
        <v>238.11493701725396</v>
      </c>
      <c r="V13">
        <f>IF($C$3="CGE",INDEX(GDP_CGE!$A$3:$AN$24,MATCH($A13,GDP_CGE!$A$3:$A$24,0),MATCH(V$9,GDP_CGE!$A$3:$AN$3,0)),GDP_Simple!V11)</f>
        <v>243.53727668345221</v>
      </c>
      <c r="W13">
        <f>IF($C$3="CGE",INDEX(GDP_CGE!$A$3:$AN$24,MATCH($A13,GDP_CGE!$A$3:$A$24,0),MATCH(W$9,GDP_CGE!$A$3:$AN$3,0)),GDP_Simple!W11)</f>
        <v>249.27955960208561</v>
      </c>
      <c r="X13">
        <f>IF($C$3="CGE",INDEX(GDP_CGE!$A$3:$AN$24,MATCH($A13,GDP_CGE!$A$3:$A$24,0),MATCH(X$9,GDP_CGE!$A$3:$AN$3,0)),GDP_Simple!X11)</f>
        <v>256.98270626835085</v>
      </c>
      <c r="Y13">
        <f>IF($C$3="CGE",INDEX(GDP_CGE!$A$3:$AN$24,MATCH($A13,GDP_CGE!$A$3:$A$24,0),MATCH(Y$9,GDP_CGE!$A$3:$AN$3,0)),GDP_Simple!Y11)</f>
        <v>263.43092847093243</v>
      </c>
      <c r="Z13">
        <f>IF($C$3="CGE",INDEX(GDP_CGE!$A$3:$AN$24,MATCH($A13,GDP_CGE!$A$3:$A$24,0),MATCH(Z$9,GDP_CGE!$A$3:$AN$3,0)),GDP_Simple!Z11)</f>
        <v>269.15812070387153</v>
      </c>
      <c r="AA13">
        <f>IF($C$3="CGE",INDEX(GDP_CGE!$A$3:$AN$24,MATCH($A13,GDP_CGE!$A$3:$A$24,0),MATCH(AA$9,GDP_CGE!$A$3:$AN$3,0)),GDP_Simple!AA11)</f>
        <v>274.96945380805823</v>
      </c>
      <c r="AB13">
        <f>IF($C$3="CGE",INDEX(GDP_CGE!$A$3:$AN$24,MATCH($A13,GDP_CGE!$A$3:$A$24,0),MATCH(AB$9,GDP_CGE!$A$3:$AN$3,0)),GDP_Simple!AB11)</f>
        <v>281.01156924634029</v>
      </c>
      <c r="AC13">
        <f>IF($C$3="CGE",INDEX(GDP_CGE!$A$3:$AN$24,MATCH($A13,GDP_CGE!$A$3:$A$24,0),MATCH(AC$9,GDP_CGE!$A$3:$AN$3,0)),GDP_Simple!AC11)</f>
        <v>288.10586803110579</v>
      </c>
      <c r="AD13">
        <f>IF($C$3="CGE",INDEX(GDP_CGE!$A$3:$AN$24,MATCH($A13,GDP_CGE!$A$3:$A$24,0),MATCH(AD$9,GDP_CGE!$A$3:$AN$3,0)),GDP_Simple!AD11)</f>
        <v>295.87395706738437</v>
      </c>
      <c r="AE13">
        <f>IF($C$3="CGE",INDEX(GDP_CGE!$A$3:$AN$24,MATCH($A13,GDP_CGE!$A$3:$A$24,0),MATCH(AE$9,GDP_CGE!$A$3:$AN$3,0)),GDP_Simple!AE11)</f>
        <v>304.21872479397666</v>
      </c>
      <c r="AF13">
        <f>IF($C$3="CGE",INDEX(GDP_CGE!$A$3:$AN$24,MATCH($A13,GDP_CGE!$A$3:$A$24,0),MATCH(AF$9,GDP_CGE!$A$3:$AN$3,0)),GDP_Simple!AF11)</f>
        <v>313.0809119464468</v>
      </c>
      <c r="AG13">
        <f>IF($C$3="CGE",INDEX(GDP_CGE!$A$3:$AN$24,MATCH($A13,GDP_CGE!$A$3:$A$24,0),MATCH(AG$9,GDP_CGE!$A$3:$AN$3,0)),GDP_Simple!AG11)</f>
        <v>322.22548992464431</v>
      </c>
    </row>
    <row r="14" spans="1:40" x14ac:dyDescent="0.25">
      <c r="A14" s="3" t="s">
        <v>25</v>
      </c>
      <c r="B14">
        <f>IF($C$3="CGE",INDEX(GDP_CGE!$A$3:$AN$24,MATCH($A14,GDP_CGE!$A$3:$A$24,0),MATCH(B$9,GDP_CGE!$A$3:$AN$3,0)),GDP_Simple!B12)</f>
        <v>366.7083011696829</v>
      </c>
      <c r="C14">
        <f>IF($C$3="CGE",INDEX(GDP_CGE!$A$3:$AN$24,MATCH($A14,GDP_CGE!$A$3:$A$24,0),MATCH(C$9,GDP_CGE!$A$3:$AN$3,0)),GDP_Simple!C12)</f>
        <v>320.93675824484723</v>
      </c>
      <c r="D14">
        <f>IF($C$3="CGE",INDEX(GDP_CGE!$A$3:$AN$24,MATCH($A14,GDP_CGE!$A$3:$A$24,0),MATCH(D$9,GDP_CGE!$A$3:$AN$3,0)),GDP_Simple!D12)</f>
        <v>337.7908758947529</v>
      </c>
      <c r="E14">
        <f>IF($C$3="CGE",INDEX(GDP_CGE!$A$3:$AN$24,MATCH($A14,GDP_CGE!$A$3:$A$24,0),MATCH(E$9,GDP_CGE!$A$3:$AN$3,0)),GDP_Simple!E12)</f>
        <v>346.39419262545317</v>
      </c>
      <c r="F14">
        <f>IF($C$3="CGE",INDEX(GDP_CGE!$A$3:$AN$24,MATCH($A14,GDP_CGE!$A$3:$A$24,0),MATCH(F$9,GDP_CGE!$A$3:$AN$3,0)),GDP_Simple!F12)</f>
        <v>347.78472346331154</v>
      </c>
      <c r="G14">
        <f>IF($C$3="CGE",INDEX(GDP_CGE!$A$3:$AN$24,MATCH($A14,GDP_CGE!$A$3:$A$24,0),MATCH(G$9,GDP_CGE!$A$3:$AN$3,0)),GDP_Simple!G12)</f>
        <v>349.44687222831175</v>
      </c>
      <c r="H14">
        <f>IF($C$3="CGE",INDEX(GDP_CGE!$A$3:$AN$24,MATCH($A14,GDP_CGE!$A$3:$A$24,0),MATCH(H$9,GDP_CGE!$A$3:$AN$3,0)),GDP_Simple!H12)</f>
        <v>356.79001091003215</v>
      </c>
      <c r="I14">
        <f>IF($C$3="CGE",INDEX(GDP_CGE!$A$3:$AN$24,MATCH($A14,GDP_CGE!$A$3:$A$24,0),MATCH(I$9,GDP_CGE!$A$3:$AN$3,0)),GDP_Simple!I12)</f>
        <v>374.33763954570236</v>
      </c>
      <c r="J14">
        <f>IF($C$3="CGE",INDEX(GDP_CGE!$A$3:$AN$24,MATCH($A14,GDP_CGE!$A$3:$A$24,0),MATCH(J$9,GDP_CGE!$A$3:$AN$3,0)),GDP_Simple!J12)</f>
        <v>380.21035952318755</v>
      </c>
      <c r="K14">
        <f>IF($C$3="CGE",INDEX(GDP_CGE!$A$3:$AN$24,MATCH($A14,GDP_CGE!$A$3:$A$24,0),MATCH(K$9,GDP_CGE!$A$3:$AN$3,0)),GDP_Simple!K12)</f>
        <v>397.86747972480077</v>
      </c>
      <c r="L14">
        <f>IF($C$3="CGE",INDEX(GDP_CGE!$A$3:$AN$24,MATCH($A14,GDP_CGE!$A$3:$A$24,0),MATCH(L$9,GDP_CGE!$A$3:$AN$3,0)),GDP_Simple!L12)</f>
        <v>408.28203575708943</v>
      </c>
      <c r="M14">
        <f>IF($C$3="CGE",INDEX(GDP_CGE!$A$3:$AN$24,MATCH($A14,GDP_CGE!$A$3:$A$24,0),MATCH(M$9,GDP_CGE!$A$3:$AN$3,0)),GDP_Simple!M12)</f>
        <v>420.01678457013816</v>
      </c>
      <c r="N14">
        <f>IF($C$3="CGE",INDEX(GDP_CGE!$A$3:$AN$24,MATCH($A14,GDP_CGE!$A$3:$A$24,0),MATCH(N$9,GDP_CGE!$A$3:$AN$3,0)),GDP_Simple!N12)</f>
        <v>432.87054278924631</v>
      </c>
      <c r="O14">
        <f>IF($C$3="CGE",INDEX(GDP_CGE!$A$3:$AN$24,MATCH($A14,GDP_CGE!$A$3:$A$24,0),MATCH(O$9,GDP_CGE!$A$3:$AN$3,0)),GDP_Simple!O12)</f>
        <v>446.26881544715729</v>
      </c>
      <c r="P14">
        <f>IF($C$3="CGE",INDEX(GDP_CGE!$A$3:$AN$24,MATCH($A14,GDP_CGE!$A$3:$A$24,0),MATCH(P$9,GDP_CGE!$A$3:$AN$3,0)),GDP_Simple!P12)</f>
        <v>460.73128328526195</v>
      </c>
      <c r="Q14">
        <f>IF($C$3="CGE",INDEX(GDP_CGE!$A$3:$AN$24,MATCH($A14,GDP_CGE!$A$3:$A$24,0),MATCH(Q$9,GDP_CGE!$A$3:$AN$3,0)),GDP_Simple!Q12)</f>
        <v>477.26942862233068</v>
      </c>
      <c r="R14">
        <f>IF($C$3="CGE",INDEX(GDP_CGE!$A$3:$AN$24,MATCH($A14,GDP_CGE!$A$3:$A$24,0),MATCH(R$9,GDP_CGE!$A$3:$AN$3,0)),GDP_Simple!R12)</f>
        <v>495.27471783070825</v>
      </c>
      <c r="S14">
        <f>IF($C$3="CGE",INDEX(GDP_CGE!$A$3:$AN$24,MATCH($A14,GDP_CGE!$A$3:$A$24,0),MATCH(S$9,GDP_CGE!$A$3:$AN$3,0)),GDP_Simple!S12)</f>
        <v>514.27858205021403</v>
      </c>
      <c r="T14">
        <f>IF($C$3="CGE",INDEX(GDP_CGE!$A$3:$AN$24,MATCH($A14,GDP_CGE!$A$3:$A$24,0),MATCH(T$9,GDP_CGE!$A$3:$AN$3,0)),GDP_Simple!T12)</f>
        <v>534.39034551549548</v>
      </c>
      <c r="U14">
        <f>IF($C$3="CGE",INDEX(GDP_CGE!$A$3:$AN$24,MATCH($A14,GDP_CGE!$A$3:$A$24,0),MATCH(U$9,GDP_CGE!$A$3:$AN$3,0)),GDP_Simple!U12)</f>
        <v>551.4643139900362</v>
      </c>
      <c r="V14">
        <f>IF($C$3="CGE",INDEX(GDP_CGE!$A$3:$AN$24,MATCH($A14,GDP_CGE!$A$3:$A$24,0),MATCH(V$9,GDP_CGE!$A$3:$AN$3,0)),GDP_Simple!V12)</f>
        <v>568.15661808678044</v>
      </c>
      <c r="W14">
        <f>IF($C$3="CGE",INDEX(GDP_CGE!$A$3:$AN$24,MATCH($A14,GDP_CGE!$A$3:$A$24,0),MATCH(W$9,GDP_CGE!$A$3:$AN$3,0)),GDP_Simple!W12)</f>
        <v>585.963891231101</v>
      </c>
      <c r="X14">
        <f>IF($C$3="CGE",INDEX(GDP_CGE!$A$3:$AN$24,MATCH($A14,GDP_CGE!$A$3:$A$24,0),MATCH(X$9,GDP_CGE!$A$3:$AN$3,0)),GDP_Simple!X12)</f>
        <v>599.42331900472334</v>
      </c>
      <c r="Y14">
        <f>IF($C$3="CGE",INDEX(GDP_CGE!$A$3:$AN$24,MATCH($A14,GDP_CGE!$A$3:$A$24,0),MATCH(Y$9,GDP_CGE!$A$3:$AN$3,0)),GDP_Simple!Y12)</f>
        <v>613.8732048911013</v>
      </c>
      <c r="Z14">
        <f>IF($C$3="CGE",INDEX(GDP_CGE!$A$3:$AN$24,MATCH($A14,GDP_CGE!$A$3:$A$24,0),MATCH(Z$9,GDP_CGE!$A$3:$AN$3,0)),GDP_Simple!Z12)</f>
        <v>632.14926144626156</v>
      </c>
      <c r="AA14">
        <f>IF($C$3="CGE",INDEX(GDP_CGE!$A$3:$AN$24,MATCH($A14,GDP_CGE!$A$3:$A$24,0),MATCH(AA$9,GDP_CGE!$A$3:$AN$3,0)),GDP_Simple!AA12)</f>
        <v>652.59824871379374</v>
      </c>
      <c r="AB14">
        <f>IF($C$3="CGE",INDEX(GDP_CGE!$A$3:$AN$24,MATCH($A14,GDP_CGE!$A$3:$A$24,0),MATCH(AB$9,GDP_CGE!$A$3:$AN$3,0)),GDP_Simple!AB12)</f>
        <v>674.78067008462858</v>
      </c>
      <c r="AC14">
        <f>IF($C$3="CGE",INDEX(GDP_CGE!$A$3:$AN$24,MATCH($A14,GDP_CGE!$A$3:$A$24,0),MATCH(AC$9,GDP_CGE!$A$3:$AN$3,0)),GDP_Simple!AC12)</f>
        <v>700.98670543904632</v>
      </c>
      <c r="AD14">
        <f>IF($C$3="CGE",INDEX(GDP_CGE!$A$3:$AN$24,MATCH($A14,GDP_CGE!$A$3:$A$24,0),MATCH(AD$9,GDP_CGE!$A$3:$AN$3,0)),GDP_Simple!AD12)</f>
        <v>730.21554187960135</v>
      </c>
      <c r="AE14">
        <f>IF($C$3="CGE",INDEX(GDP_CGE!$A$3:$AN$24,MATCH($A14,GDP_CGE!$A$3:$A$24,0),MATCH(AE$9,GDP_CGE!$A$3:$AN$3,0)),GDP_Simple!AE12)</f>
        <v>761.50563344142938</v>
      </c>
      <c r="AF14">
        <f>IF($C$3="CGE",INDEX(GDP_CGE!$A$3:$AN$24,MATCH($A14,GDP_CGE!$A$3:$A$24,0),MATCH(AF$9,GDP_CGE!$A$3:$AN$3,0)),GDP_Simple!AF12)</f>
        <v>795.75578268864695</v>
      </c>
      <c r="AG14">
        <f>IF($C$3="CGE",INDEX(GDP_CGE!$A$3:$AN$24,MATCH($A14,GDP_CGE!$A$3:$A$24,0),MATCH(AG$9,GDP_CGE!$A$3:$AN$3,0)),GDP_Simple!AG12)</f>
        <v>832.20031460262578</v>
      </c>
    </row>
    <row r="15" spans="1:40" x14ac:dyDescent="0.25">
      <c r="A15" s="3" t="s">
        <v>26</v>
      </c>
      <c r="B15">
        <f>IF($C$3="CGE",INDEX(GDP_CGE!$A$3:$AN$24,MATCH($A15,GDP_CGE!$A$3:$A$24,0),MATCH(B$9,GDP_CGE!$A$3:$AN$3,0)),GDP_Simple!B13)</f>
        <v>24.019985549556605</v>
      </c>
      <c r="C15">
        <f>IF($C$3="CGE",INDEX(GDP_CGE!$A$3:$AN$24,MATCH($A15,GDP_CGE!$A$3:$A$24,0),MATCH(C$9,GDP_CGE!$A$3:$AN$3,0)),GDP_Simple!C13)</f>
        <v>22.319194995844644</v>
      </c>
      <c r="D15">
        <f>IF($C$3="CGE",INDEX(GDP_CGE!$A$3:$AN$24,MATCH($A15,GDP_CGE!$A$3:$A$24,0),MATCH(D$9,GDP_CGE!$A$3:$AN$3,0)),GDP_Simple!D13)</f>
        <v>23.046547367102775</v>
      </c>
      <c r="E15">
        <f>IF($C$3="CGE",INDEX(GDP_CGE!$A$3:$AN$24,MATCH($A15,GDP_CGE!$A$3:$A$24,0),MATCH(E$9,GDP_CGE!$A$3:$AN$3,0)),GDP_Simple!E13)</f>
        <v>24.381351360456854</v>
      </c>
      <c r="F15">
        <f>IF($C$3="CGE",INDEX(GDP_CGE!$A$3:$AN$24,MATCH($A15,GDP_CGE!$A$3:$A$24,0),MATCH(F$9,GDP_CGE!$A$3:$AN$3,0)),GDP_Simple!F13)</f>
        <v>24.527043135102428</v>
      </c>
      <c r="G15">
        <f>IF($C$3="CGE",INDEX(GDP_CGE!$A$3:$AN$24,MATCH($A15,GDP_CGE!$A$3:$A$24,0),MATCH(G$9,GDP_CGE!$A$3:$AN$3,0)),GDP_Simple!G13)</f>
        <v>25.004164379092845</v>
      </c>
      <c r="H15">
        <f>IF($C$3="CGE",INDEX(GDP_CGE!$A$3:$AN$24,MATCH($A15,GDP_CGE!$A$3:$A$24,0),MATCH(H$9,GDP_CGE!$A$3:$AN$3,0)),GDP_Simple!H13)</f>
        <v>25.229839978548132</v>
      </c>
      <c r="I15">
        <f>IF($C$3="CGE",INDEX(GDP_CGE!$A$3:$AN$24,MATCH($A15,GDP_CGE!$A$3:$A$24,0),MATCH(I$9,GDP_CGE!$A$3:$AN$3,0)),GDP_Simple!I13)</f>
        <v>25.362480986824785</v>
      </c>
      <c r="J15">
        <f>IF($C$3="CGE",INDEX(GDP_CGE!$A$3:$AN$24,MATCH($A15,GDP_CGE!$A$3:$A$24,0),MATCH(J$9,GDP_CGE!$A$3:$AN$3,0)),GDP_Simple!J13)</f>
        <v>25.740358675135813</v>
      </c>
      <c r="K15">
        <f>IF($C$3="CGE",INDEX(GDP_CGE!$A$3:$AN$24,MATCH($A15,GDP_CGE!$A$3:$A$24,0),MATCH(K$9,GDP_CGE!$A$3:$AN$3,0)),GDP_Simple!K13)</f>
        <v>27.404249940818065</v>
      </c>
      <c r="L15">
        <f>IF($C$3="CGE",INDEX(GDP_CGE!$A$3:$AN$24,MATCH($A15,GDP_CGE!$A$3:$A$24,0),MATCH(L$9,GDP_CGE!$A$3:$AN$3,0)),GDP_Simple!L13)</f>
        <v>28.051336554185657</v>
      </c>
      <c r="M15">
        <f>IF($C$3="CGE",INDEX(GDP_CGE!$A$3:$AN$24,MATCH($A15,GDP_CGE!$A$3:$A$24,0),MATCH(M$9,GDP_CGE!$A$3:$AN$3,0)),GDP_Simple!M13)</f>
        <v>28.740997380299582</v>
      </c>
      <c r="N15">
        <f>IF($C$3="CGE",INDEX(GDP_CGE!$A$3:$AN$24,MATCH($A15,GDP_CGE!$A$3:$A$24,0),MATCH(N$9,GDP_CGE!$A$3:$AN$3,0)),GDP_Simple!N13)</f>
        <v>30.121628669752155</v>
      </c>
      <c r="O15">
        <f>IF($C$3="CGE",INDEX(GDP_CGE!$A$3:$AN$24,MATCH($A15,GDP_CGE!$A$3:$A$24,0),MATCH(O$9,GDP_CGE!$A$3:$AN$3,0)),GDP_Simple!O13)</f>
        <v>30.982040494689961</v>
      </c>
      <c r="P15">
        <f>IF($C$3="CGE",INDEX(GDP_CGE!$A$3:$AN$24,MATCH($A15,GDP_CGE!$A$3:$A$24,0),MATCH(P$9,GDP_CGE!$A$3:$AN$3,0)),GDP_Simple!P13)</f>
        <v>31.912126354063179</v>
      </c>
      <c r="Q15">
        <f>IF($C$3="CGE",INDEX(GDP_CGE!$A$3:$AN$24,MATCH($A15,GDP_CGE!$A$3:$A$24,0),MATCH(Q$9,GDP_CGE!$A$3:$AN$3,0)),GDP_Simple!Q13)</f>
        <v>32.965957515757701</v>
      </c>
      <c r="R15">
        <f>IF($C$3="CGE",INDEX(GDP_CGE!$A$3:$AN$24,MATCH($A15,GDP_CGE!$A$3:$A$24,0),MATCH(R$9,GDP_CGE!$A$3:$AN$3,0)),GDP_Simple!R13)</f>
        <v>34.026670459193944</v>
      </c>
      <c r="S15">
        <f>IF($C$3="CGE",INDEX(GDP_CGE!$A$3:$AN$24,MATCH($A15,GDP_CGE!$A$3:$A$24,0),MATCH(S$9,GDP_CGE!$A$3:$AN$3,0)),GDP_Simple!S13)</f>
        <v>35.219921722090653</v>
      </c>
      <c r="T15">
        <f>IF($C$3="CGE",INDEX(GDP_CGE!$A$3:$AN$24,MATCH($A15,GDP_CGE!$A$3:$A$24,0),MATCH(T$9,GDP_CGE!$A$3:$AN$3,0)),GDP_Simple!T13)</f>
        <v>36.453612202002589</v>
      </c>
      <c r="U15">
        <f>IF($C$3="CGE",INDEX(GDP_CGE!$A$3:$AN$24,MATCH($A15,GDP_CGE!$A$3:$A$24,0),MATCH(U$9,GDP_CGE!$A$3:$AN$3,0)),GDP_Simple!U13)</f>
        <v>37.655855222100676</v>
      </c>
      <c r="V15">
        <f>IF($C$3="CGE",INDEX(GDP_CGE!$A$3:$AN$24,MATCH($A15,GDP_CGE!$A$3:$A$24,0),MATCH(V$9,GDP_CGE!$A$3:$AN$3,0)),GDP_Simple!V13)</f>
        <v>38.774682112749197</v>
      </c>
      <c r="W15">
        <f>IF($C$3="CGE",INDEX(GDP_CGE!$A$3:$AN$24,MATCH($A15,GDP_CGE!$A$3:$A$24,0),MATCH(W$9,GDP_CGE!$A$3:$AN$3,0)),GDP_Simple!W13)</f>
        <v>39.955680658787145</v>
      </c>
      <c r="X15">
        <f>IF($C$3="CGE",INDEX(GDP_CGE!$A$3:$AN$24,MATCH($A15,GDP_CGE!$A$3:$A$24,0),MATCH(X$9,GDP_CGE!$A$3:$AN$3,0)),GDP_Simple!X13)</f>
        <v>41.265357020512972</v>
      </c>
      <c r="Y15">
        <f>IF($C$3="CGE",INDEX(GDP_CGE!$A$3:$AN$24,MATCH($A15,GDP_CGE!$A$3:$A$24,0),MATCH(Y$9,GDP_CGE!$A$3:$AN$3,0)),GDP_Simple!Y13)</f>
        <v>42.420411497147889</v>
      </c>
      <c r="Z15">
        <f>IF($C$3="CGE",INDEX(GDP_CGE!$A$3:$AN$24,MATCH($A15,GDP_CGE!$A$3:$A$24,0),MATCH(Z$9,GDP_CGE!$A$3:$AN$3,0)),GDP_Simple!Z13)</f>
        <v>43.545926398921829</v>
      </c>
      <c r="AA15">
        <f>IF($C$3="CGE",INDEX(GDP_CGE!$A$3:$AN$24,MATCH($A15,GDP_CGE!$A$3:$A$24,0),MATCH(AA$9,GDP_CGE!$A$3:$AN$3,0)),GDP_Simple!AA13)</f>
        <v>44.7144269490204</v>
      </c>
      <c r="AB15">
        <f>IF($C$3="CGE",INDEX(GDP_CGE!$A$3:$AN$24,MATCH($A15,GDP_CGE!$A$3:$A$24,0),MATCH(AB$9,GDP_CGE!$A$3:$AN$3,0)),GDP_Simple!AB13)</f>
        <v>45.969868671030142</v>
      </c>
      <c r="AC15">
        <f>IF($C$3="CGE",INDEX(GDP_CGE!$A$3:$AN$24,MATCH($A15,GDP_CGE!$A$3:$A$24,0),MATCH(AC$9,GDP_CGE!$A$3:$AN$3,0)),GDP_Simple!AC13)</f>
        <v>47.414933637664298</v>
      </c>
      <c r="AD15">
        <f>IF($C$3="CGE",INDEX(GDP_CGE!$A$3:$AN$24,MATCH($A15,GDP_CGE!$A$3:$A$24,0),MATCH(AD$9,GDP_CGE!$A$3:$AN$3,0)),GDP_Simple!AD13)</f>
        <v>49.006074810167128</v>
      </c>
      <c r="AE15">
        <f>IF($C$3="CGE",INDEX(GDP_CGE!$A$3:$AN$24,MATCH($A15,GDP_CGE!$A$3:$A$24,0),MATCH(AE$9,GDP_CGE!$A$3:$AN$3,0)),GDP_Simple!AE13)</f>
        <v>50.7241942982171</v>
      </c>
      <c r="AF15">
        <f>IF($C$3="CGE",INDEX(GDP_CGE!$A$3:$AN$24,MATCH($A15,GDP_CGE!$A$3:$A$24,0),MATCH(AF$9,GDP_CGE!$A$3:$AN$3,0)),GDP_Simple!AF13)</f>
        <v>52.594824311058666</v>
      </c>
      <c r="AG15">
        <f>IF($C$3="CGE",INDEX(GDP_CGE!$A$3:$AN$24,MATCH($A15,GDP_CGE!$A$3:$A$24,0),MATCH(AG$9,GDP_CGE!$A$3:$AN$3,0)),GDP_Simple!AG13)</f>
        <v>54.594087596720208</v>
      </c>
    </row>
    <row r="16" spans="1:40" x14ac:dyDescent="0.25">
      <c r="A16" s="3" t="s">
        <v>27</v>
      </c>
      <c r="B16">
        <f>IF($C$3="CGE",INDEX(GDP_CGE!$A$3:$AN$24,MATCH($A16,GDP_CGE!$A$3:$A$24,0),MATCH(B$9,GDP_CGE!$A$3:$AN$3,0)),GDP_Simple!B14)</f>
        <v>78.804647701522597</v>
      </c>
      <c r="C16">
        <f>IF($C$3="CGE",INDEX(GDP_CGE!$A$3:$AN$24,MATCH($A16,GDP_CGE!$A$3:$A$24,0),MATCH(C$9,GDP_CGE!$A$3:$AN$3,0)),GDP_Simple!C14)</f>
        <v>76.877442358534296</v>
      </c>
      <c r="D16">
        <f>IF($C$3="CGE",INDEX(GDP_CGE!$A$3:$AN$24,MATCH($A16,GDP_CGE!$A$3:$A$24,0),MATCH(D$9,GDP_CGE!$A$3:$AN$3,0)),GDP_Simple!D14)</f>
        <v>76.054035890535658</v>
      </c>
      <c r="E16">
        <f>IF($C$3="CGE",INDEX(GDP_CGE!$A$3:$AN$24,MATCH($A16,GDP_CGE!$A$3:$A$24,0),MATCH(E$9,GDP_CGE!$A$3:$AN$3,0)),GDP_Simple!E14)</f>
        <v>77.174482718062336</v>
      </c>
      <c r="F16">
        <f>IF($C$3="CGE",INDEX(GDP_CGE!$A$3:$AN$24,MATCH($A16,GDP_CGE!$A$3:$A$24,0),MATCH(F$9,GDP_CGE!$A$3:$AN$3,0)),GDP_Simple!F14)</f>
        <v>77.579100872966222</v>
      </c>
      <c r="G16">
        <f>IF($C$3="CGE",INDEX(GDP_CGE!$A$3:$AN$24,MATCH($A16,GDP_CGE!$A$3:$A$24,0),MATCH(G$9,GDP_CGE!$A$3:$AN$3,0)),GDP_Simple!G14)</f>
        <v>77.915699778270181</v>
      </c>
      <c r="H16">
        <f>IF($C$3="CGE",INDEX(GDP_CGE!$A$3:$AN$24,MATCH($A16,GDP_CGE!$A$3:$A$24,0),MATCH(H$9,GDP_CGE!$A$3:$AN$3,0)),GDP_Simple!H14)</f>
        <v>78.171765232530873</v>
      </c>
      <c r="I16">
        <f>IF($C$3="CGE",INDEX(GDP_CGE!$A$3:$AN$24,MATCH($A16,GDP_CGE!$A$3:$A$24,0),MATCH(I$9,GDP_CGE!$A$3:$AN$3,0)),GDP_Simple!I14)</f>
        <v>78.623480729217917</v>
      </c>
      <c r="J16">
        <f>IF($C$3="CGE",INDEX(GDP_CGE!$A$3:$AN$24,MATCH($A16,GDP_CGE!$A$3:$A$24,0),MATCH(J$9,GDP_CGE!$A$3:$AN$3,0)),GDP_Simple!J14)</f>
        <v>79.111097136488894</v>
      </c>
      <c r="K16">
        <f>IF($C$3="CGE",INDEX(GDP_CGE!$A$3:$AN$24,MATCH($A16,GDP_CGE!$A$3:$A$24,0),MATCH(K$9,GDP_CGE!$A$3:$AN$3,0)),GDP_Simple!K14)</f>
        <v>80.70417184016631</v>
      </c>
      <c r="L16">
        <f>IF($C$3="CGE",INDEX(GDP_CGE!$A$3:$AN$24,MATCH($A16,GDP_CGE!$A$3:$A$24,0),MATCH(L$9,GDP_CGE!$A$3:$AN$3,0)),GDP_Simple!L14)</f>
        <v>81.068145943798768</v>
      </c>
      <c r="M16">
        <f>IF($C$3="CGE",INDEX(GDP_CGE!$A$3:$AN$24,MATCH($A16,GDP_CGE!$A$3:$A$24,0),MATCH(M$9,GDP_CGE!$A$3:$AN$3,0)),GDP_Simple!M14)</f>
        <v>81.753781631269845</v>
      </c>
      <c r="N16">
        <f>IF($C$3="CGE",INDEX(GDP_CGE!$A$3:$AN$24,MATCH($A16,GDP_CGE!$A$3:$A$24,0),MATCH(N$9,GDP_CGE!$A$3:$AN$3,0)),GDP_Simple!N14)</f>
        <v>82.730281197371241</v>
      </c>
      <c r="O16">
        <f>IF($C$3="CGE",INDEX(GDP_CGE!$A$3:$AN$24,MATCH($A16,GDP_CGE!$A$3:$A$24,0),MATCH(O$9,GDP_CGE!$A$3:$AN$3,0)),GDP_Simple!O14)</f>
        <v>83.77010319063848</v>
      </c>
      <c r="P16">
        <f>IF($C$3="CGE",INDEX(GDP_CGE!$A$3:$AN$24,MATCH($A16,GDP_CGE!$A$3:$A$24,0),MATCH(P$9,GDP_CGE!$A$3:$AN$3,0)),GDP_Simple!P14)</f>
        <v>84.873401086589496</v>
      </c>
      <c r="Q16">
        <f>IF($C$3="CGE",INDEX(GDP_CGE!$A$3:$AN$24,MATCH($A16,GDP_CGE!$A$3:$A$24,0),MATCH(Q$9,GDP_CGE!$A$3:$AN$3,0)),GDP_Simple!Q14)</f>
        <v>86.106737859207925</v>
      </c>
      <c r="R16">
        <f>IF($C$3="CGE",INDEX(GDP_CGE!$A$3:$AN$24,MATCH($A16,GDP_CGE!$A$3:$A$24,0),MATCH(R$9,GDP_CGE!$A$3:$AN$3,0)),GDP_Simple!R14)</f>
        <v>87.42459413317971</v>
      </c>
      <c r="S16">
        <f>IF($C$3="CGE",INDEX(GDP_CGE!$A$3:$AN$24,MATCH($A16,GDP_CGE!$A$3:$A$24,0),MATCH(S$9,GDP_CGE!$A$3:$AN$3,0)),GDP_Simple!S14)</f>
        <v>88.899998104892774</v>
      </c>
      <c r="T16">
        <f>IF($C$3="CGE",INDEX(GDP_CGE!$A$3:$AN$24,MATCH($A16,GDP_CGE!$A$3:$A$24,0),MATCH(T$9,GDP_CGE!$A$3:$AN$3,0)),GDP_Simple!T14)</f>
        <v>90.450674920901349</v>
      </c>
      <c r="U16">
        <f>IF($C$3="CGE",INDEX(GDP_CGE!$A$3:$AN$24,MATCH($A16,GDP_CGE!$A$3:$A$24,0),MATCH(U$9,GDP_CGE!$A$3:$AN$3,0)),GDP_Simple!U14)</f>
        <v>92.00786513037103</v>
      </c>
      <c r="V16">
        <f>IF($C$3="CGE",INDEX(GDP_CGE!$A$3:$AN$24,MATCH($A16,GDP_CGE!$A$3:$A$24,0),MATCH(V$9,GDP_CGE!$A$3:$AN$3,0)),GDP_Simple!V14)</f>
        <v>94.041202140744616</v>
      </c>
      <c r="W16">
        <f>IF($C$3="CGE",INDEX(GDP_CGE!$A$3:$AN$24,MATCH($A16,GDP_CGE!$A$3:$A$24,0),MATCH(W$9,GDP_CGE!$A$3:$AN$3,0)),GDP_Simple!W14)</f>
        <v>95.17417875718256</v>
      </c>
      <c r="X16">
        <f>IF($C$3="CGE",INDEX(GDP_CGE!$A$3:$AN$24,MATCH($A16,GDP_CGE!$A$3:$A$24,0),MATCH(X$9,GDP_CGE!$A$3:$AN$3,0)),GDP_Simple!X14)</f>
        <v>96.764126321087417</v>
      </c>
      <c r="Y16">
        <f>IF($C$3="CGE",INDEX(GDP_CGE!$A$3:$AN$24,MATCH($A16,GDP_CGE!$A$3:$A$24,0),MATCH(Y$9,GDP_CGE!$A$3:$AN$3,0)),GDP_Simple!Y14)</f>
        <v>97.947629785228258</v>
      </c>
      <c r="Z16">
        <f>IF($C$3="CGE",INDEX(GDP_CGE!$A$3:$AN$24,MATCH($A16,GDP_CGE!$A$3:$A$24,0),MATCH(Z$9,GDP_CGE!$A$3:$AN$3,0)),GDP_Simple!Z14)</f>
        <v>99.247030666953023</v>
      </c>
      <c r="AA16">
        <f>IF($C$3="CGE",INDEX(GDP_CGE!$A$3:$AN$24,MATCH($A16,GDP_CGE!$A$3:$A$24,0),MATCH(AA$9,GDP_CGE!$A$3:$AN$3,0)),GDP_Simple!AA14)</f>
        <v>100.75715245724095</v>
      </c>
      <c r="AB16">
        <f>IF($C$3="CGE",INDEX(GDP_CGE!$A$3:$AN$24,MATCH($A16,GDP_CGE!$A$3:$A$24,0),MATCH(AB$9,GDP_CGE!$A$3:$AN$3,0)),GDP_Simple!AB14)</f>
        <v>102.41074738134446</v>
      </c>
      <c r="AC16">
        <f>IF($C$3="CGE",INDEX(GDP_CGE!$A$3:$AN$24,MATCH($A16,GDP_CGE!$A$3:$A$24,0),MATCH(AC$9,GDP_CGE!$A$3:$AN$3,0)),GDP_Simple!AC14)</f>
        <v>100.70032013137711</v>
      </c>
      <c r="AD16">
        <f>IF($C$3="CGE",INDEX(GDP_CGE!$A$3:$AN$24,MATCH($A16,GDP_CGE!$A$3:$A$24,0),MATCH(AD$9,GDP_CGE!$A$3:$AN$3,0)),GDP_Simple!AD14)</f>
        <v>98.876005616668252</v>
      </c>
      <c r="AE16">
        <f>IF($C$3="CGE",INDEX(GDP_CGE!$A$3:$AN$24,MATCH($A16,GDP_CGE!$A$3:$A$24,0),MATCH(AE$9,GDP_CGE!$A$3:$AN$3,0)),GDP_Simple!AE14)</f>
        <v>97.374029127413934</v>
      </c>
      <c r="AF16">
        <f>IF($C$3="CGE",INDEX(GDP_CGE!$A$3:$AN$24,MATCH($A16,GDP_CGE!$A$3:$A$24,0),MATCH(AF$9,GDP_CGE!$A$3:$AN$3,0)),GDP_Simple!AF14)</f>
        <v>96.269572187171505</v>
      </c>
      <c r="AG16">
        <f>IF($C$3="CGE",INDEX(GDP_CGE!$A$3:$AN$24,MATCH($A16,GDP_CGE!$A$3:$A$24,0),MATCH(AG$9,GDP_CGE!$A$3:$AN$3,0)),GDP_Simple!AG14)</f>
        <v>95.57371541152213</v>
      </c>
    </row>
    <row r="17" spans="1:33" x14ac:dyDescent="0.25">
      <c r="A17" s="3" t="s">
        <v>28</v>
      </c>
      <c r="B17">
        <f>IF($C$3="CGE",INDEX(GDP_CGE!$A$3:$AN$24,MATCH($A17,GDP_CGE!$A$3:$A$24,0),MATCH(B$9,GDP_CGE!$A$3:$AN$3,0)),GDP_Simple!B15)</f>
        <v>17.626887984268851</v>
      </c>
      <c r="C17">
        <f>IF($C$3="CGE",INDEX(GDP_CGE!$A$3:$AN$24,MATCH($A17,GDP_CGE!$A$3:$A$24,0),MATCH(C$9,GDP_CGE!$A$3:$AN$3,0)),GDP_Simple!C15)</f>
        <v>15.574773247914441</v>
      </c>
      <c r="D17">
        <f>IF($C$3="CGE",INDEX(GDP_CGE!$A$3:$AN$24,MATCH($A17,GDP_CGE!$A$3:$A$24,0),MATCH(D$9,GDP_CGE!$A$3:$AN$3,0)),GDP_Simple!D15)</f>
        <v>16.468901757942803</v>
      </c>
      <c r="E17">
        <f>IF($C$3="CGE",INDEX(GDP_CGE!$A$3:$AN$24,MATCH($A17,GDP_CGE!$A$3:$A$24,0),MATCH(E$9,GDP_CGE!$A$3:$AN$3,0)),GDP_Simple!E15)</f>
        <v>16.842411213781613</v>
      </c>
      <c r="F17">
        <f>IF($C$3="CGE",INDEX(GDP_CGE!$A$3:$AN$24,MATCH($A17,GDP_CGE!$A$3:$A$24,0),MATCH(F$9,GDP_CGE!$A$3:$AN$3,0)),GDP_Simple!F15)</f>
        <v>16.873129173336118</v>
      </c>
      <c r="G17">
        <f>IF($C$3="CGE",INDEX(GDP_CGE!$A$3:$AN$24,MATCH($A17,GDP_CGE!$A$3:$A$24,0),MATCH(G$9,GDP_CGE!$A$3:$AN$3,0)),GDP_Simple!G15)</f>
        <v>16.961798016485922</v>
      </c>
      <c r="H17">
        <f>IF($C$3="CGE",INDEX(GDP_CGE!$A$3:$AN$24,MATCH($A17,GDP_CGE!$A$3:$A$24,0),MATCH(H$9,GDP_CGE!$A$3:$AN$3,0)),GDP_Simple!H15)</f>
        <v>17.351287377279391</v>
      </c>
      <c r="I17">
        <f>IF($C$3="CGE",INDEX(GDP_CGE!$A$3:$AN$24,MATCH($A17,GDP_CGE!$A$3:$A$24,0),MATCH(I$9,GDP_CGE!$A$3:$AN$3,0)),GDP_Simple!I15)</f>
        <v>18.172175772465625</v>
      </c>
      <c r="J17">
        <f>IF($C$3="CGE",INDEX(GDP_CGE!$A$3:$AN$24,MATCH($A17,GDP_CGE!$A$3:$A$24,0),MATCH(J$9,GDP_CGE!$A$3:$AN$3,0)),GDP_Simple!J15)</f>
        <v>18.474671516843188</v>
      </c>
      <c r="K17">
        <f>IF($C$3="CGE",INDEX(GDP_CGE!$A$3:$AN$24,MATCH($A17,GDP_CGE!$A$3:$A$24,0),MATCH(K$9,GDP_CGE!$A$3:$AN$3,0)),GDP_Simple!K15)</f>
        <v>19.241932877483279</v>
      </c>
      <c r="L17">
        <f>IF($C$3="CGE",INDEX(GDP_CGE!$A$3:$AN$24,MATCH($A17,GDP_CGE!$A$3:$A$24,0),MATCH(L$9,GDP_CGE!$A$3:$AN$3,0)),GDP_Simple!L15)</f>
        <v>19.718432160196105</v>
      </c>
      <c r="M17">
        <f>IF($C$3="CGE",INDEX(GDP_CGE!$A$3:$AN$24,MATCH($A17,GDP_CGE!$A$3:$A$24,0),MATCH(M$9,GDP_CGE!$A$3:$AN$3,0)),GDP_Simple!M15)</f>
        <v>20.263880396287526</v>
      </c>
      <c r="N17">
        <f>IF($C$3="CGE",INDEX(GDP_CGE!$A$3:$AN$24,MATCH($A17,GDP_CGE!$A$3:$A$24,0),MATCH(N$9,GDP_CGE!$A$3:$AN$3,0)),GDP_Simple!N15)</f>
        <v>20.875661131024344</v>
      </c>
      <c r="O17">
        <f>IF($C$3="CGE",INDEX(GDP_CGE!$A$3:$AN$24,MATCH($A17,GDP_CGE!$A$3:$A$24,0),MATCH(O$9,GDP_CGE!$A$3:$AN$3,0)),GDP_Simple!O15)</f>
        <v>21.509067201730744</v>
      </c>
      <c r="P17">
        <f>IF($C$3="CGE",INDEX(GDP_CGE!$A$3:$AN$24,MATCH($A17,GDP_CGE!$A$3:$A$24,0),MATCH(P$9,GDP_CGE!$A$3:$AN$3,0)),GDP_Simple!P15)</f>
        <v>22.189942777879295</v>
      </c>
      <c r="Q17">
        <f>IF($C$3="CGE",INDEX(GDP_CGE!$A$3:$AN$24,MATCH($A17,GDP_CGE!$A$3:$A$24,0),MATCH(Q$9,GDP_CGE!$A$3:$AN$3,0)),GDP_Simple!Q15)</f>
        <v>22.970231892065716</v>
      </c>
      <c r="R17">
        <f>IF($C$3="CGE",INDEX(GDP_CGE!$A$3:$AN$24,MATCH($A17,GDP_CGE!$A$3:$A$24,0),MATCH(R$9,GDP_CGE!$A$3:$AN$3,0)),GDP_Simple!R15)</f>
        <v>23.782260643821843</v>
      </c>
      <c r="S17">
        <f>IF($C$3="CGE",INDEX(GDP_CGE!$A$3:$AN$24,MATCH($A17,GDP_CGE!$A$3:$A$24,0),MATCH(S$9,GDP_CGE!$A$3:$AN$3,0)),GDP_Simple!S15)</f>
        <v>24.676273778173005</v>
      </c>
      <c r="T17">
        <f>IF($C$3="CGE",INDEX(GDP_CGE!$A$3:$AN$24,MATCH($A17,GDP_CGE!$A$3:$A$24,0),MATCH(T$9,GDP_CGE!$A$3:$AN$3,0)),GDP_Simple!T15)</f>
        <v>25.632849821177487</v>
      </c>
      <c r="U17">
        <f>IF($C$3="CGE",INDEX(GDP_CGE!$A$3:$AN$24,MATCH($A17,GDP_CGE!$A$3:$A$24,0),MATCH(U$9,GDP_CGE!$A$3:$AN$3,0)),GDP_Simple!U15)</f>
        <v>26.502739894814113</v>
      </c>
      <c r="V17">
        <f>IF($C$3="CGE",INDEX(GDP_CGE!$A$3:$AN$24,MATCH($A17,GDP_CGE!$A$3:$A$24,0),MATCH(V$9,GDP_CGE!$A$3:$AN$3,0)),GDP_Simple!V15)</f>
        <v>27.360055907378523</v>
      </c>
      <c r="W17">
        <f>IF($C$3="CGE",INDEX(GDP_CGE!$A$3:$AN$24,MATCH($A17,GDP_CGE!$A$3:$A$24,0),MATCH(W$9,GDP_CGE!$A$3:$AN$3,0)),GDP_Simple!W15)</f>
        <v>28.258890919974867</v>
      </c>
      <c r="X17">
        <f>IF($C$3="CGE",INDEX(GDP_CGE!$A$3:$AN$24,MATCH($A17,GDP_CGE!$A$3:$A$24,0),MATCH(X$9,GDP_CGE!$A$3:$AN$3,0)),GDP_Simple!X15)</f>
        <v>29.197468395087789</v>
      </c>
      <c r="Y17">
        <f>IF($C$3="CGE",INDEX(GDP_CGE!$A$3:$AN$24,MATCH($A17,GDP_CGE!$A$3:$A$24,0),MATCH(Y$9,GDP_CGE!$A$3:$AN$3,0)),GDP_Simple!Y15)</f>
        <v>30.076202183091201</v>
      </c>
      <c r="Z17">
        <f>IF($C$3="CGE",INDEX(GDP_CGE!$A$3:$AN$24,MATCH($A17,GDP_CGE!$A$3:$A$24,0),MATCH(Z$9,GDP_CGE!$A$3:$AN$3,0)),GDP_Simple!Z15)</f>
        <v>30.998139953601914</v>
      </c>
      <c r="AA17">
        <f>IF($C$3="CGE",INDEX(GDP_CGE!$A$3:$AN$24,MATCH($A17,GDP_CGE!$A$3:$A$24,0),MATCH(AA$9,GDP_CGE!$A$3:$AN$3,0)),GDP_Simple!AA15)</f>
        <v>31.980789805750135</v>
      </c>
      <c r="AB17">
        <f>IF($C$3="CGE",INDEX(GDP_CGE!$A$3:$AN$24,MATCH($A17,GDP_CGE!$A$3:$A$24,0),MATCH(AB$9,GDP_CGE!$A$3:$AN$3,0)),GDP_Simple!AB15)</f>
        <v>33.033415965674095</v>
      </c>
      <c r="AC17">
        <f>IF($C$3="CGE",INDEX(GDP_CGE!$A$3:$AN$24,MATCH($A17,GDP_CGE!$A$3:$A$24,0),MATCH(AC$9,GDP_CGE!$A$3:$AN$3,0)),GDP_Simple!AC15)</f>
        <v>34.229269066055934</v>
      </c>
      <c r="AD17">
        <f>IF($C$3="CGE",INDEX(GDP_CGE!$A$3:$AN$24,MATCH($A17,GDP_CGE!$A$3:$A$24,0),MATCH(AD$9,GDP_CGE!$A$3:$AN$3,0)),GDP_Simple!AD15)</f>
        <v>35.540367213250683</v>
      </c>
      <c r="AE17">
        <f>IF($C$3="CGE",INDEX(GDP_CGE!$A$3:$AN$24,MATCH($A17,GDP_CGE!$A$3:$A$24,0),MATCH(AE$9,GDP_CGE!$A$3:$AN$3,0)),GDP_Simple!AE15)</f>
        <v>36.93764118211201</v>
      </c>
      <c r="AF17">
        <f>IF($C$3="CGE",INDEX(GDP_CGE!$A$3:$AN$24,MATCH($A17,GDP_CGE!$A$3:$A$24,0),MATCH(AF$9,GDP_CGE!$A$3:$AN$3,0)),GDP_Simple!AF15)</f>
        <v>38.45670987559626</v>
      </c>
      <c r="AG17">
        <f>IF($C$3="CGE",INDEX(GDP_CGE!$A$3:$AN$24,MATCH($A17,GDP_CGE!$A$3:$A$24,0),MATCH(AG$9,GDP_CGE!$A$3:$AN$3,0)),GDP_Simple!AG15)</f>
        <v>40.074721803240806</v>
      </c>
    </row>
    <row r="18" spans="1:33" x14ac:dyDescent="0.25">
      <c r="A18" s="3" t="s">
        <v>29</v>
      </c>
      <c r="B18">
        <f>IF($C$3="CGE",INDEX(GDP_CGE!$A$3:$AN$24,MATCH($A18,GDP_CGE!$A$3:$A$24,0),MATCH(B$9,GDP_CGE!$A$3:$AN$3,0)),GDP_Simple!B16)</f>
        <v>20.83862043593755</v>
      </c>
      <c r="C18">
        <f>IF($C$3="CGE",INDEX(GDP_CGE!$A$3:$AN$24,MATCH($A18,GDP_CGE!$A$3:$A$24,0),MATCH(C$9,GDP_CGE!$A$3:$AN$3,0)),GDP_Simple!C16)</f>
        <v>19.162970457873552</v>
      </c>
      <c r="D18">
        <f>IF($C$3="CGE",INDEX(GDP_CGE!$A$3:$AN$24,MATCH($A18,GDP_CGE!$A$3:$A$24,0),MATCH(D$9,GDP_CGE!$A$3:$AN$3,0)),GDP_Simple!D16)</f>
        <v>19.863032016889015</v>
      </c>
      <c r="E18">
        <f>IF($C$3="CGE",INDEX(GDP_CGE!$A$3:$AN$24,MATCH($A18,GDP_CGE!$A$3:$A$24,0),MATCH(E$9,GDP_CGE!$A$3:$AN$3,0)),GDP_Simple!E16)</f>
        <v>19.925211095239426</v>
      </c>
      <c r="F18">
        <f>IF($C$3="CGE",INDEX(GDP_CGE!$A$3:$AN$24,MATCH($A18,GDP_CGE!$A$3:$A$24,0),MATCH(F$9,GDP_CGE!$A$3:$AN$3,0)),GDP_Simple!F16)</f>
        <v>19.834101089271332</v>
      </c>
      <c r="G18">
        <f>IF($C$3="CGE",INDEX(GDP_CGE!$A$3:$AN$24,MATCH($A18,GDP_CGE!$A$3:$A$24,0),MATCH(G$9,GDP_CGE!$A$3:$AN$3,0)),GDP_Simple!G16)</f>
        <v>19.81662016609959</v>
      </c>
      <c r="H18">
        <f>IF($C$3="CGE",INDEX(GDP_CGE!$A$3:$AN$24,MATCH($A18,GDP_CGE!$A$3:$A$24,0),MATCH(H$9,GDP_CGE!$A$3:$AN$3,0)),GDP_Simple!H16)</f>
        <v>20.024035065685826</v>
      </c>
      <c r="I18">
        <f>IF($C$3="CGE",INDEX(GDP_CGE!$A$3:$AN$24,MATCH($A18,GDP_CGE!$A$3:$A$24,0),MATCH(I$9,GDP_CGE!$A$3:$AN$3,0)),GDP_Simple!I16)</f>
        <v>20.7314786965152</v>
      </c>
      <c r="J18">
        <f>IF($C$3="CGE",INDEX(GDP_CGE!$A$3:$AN$24,MATCH($A18,GDP_CGE!$A$3:$A$24,0),MATCH(J$9,GDP_CGE!$A$3:$AN$3,0)),GDP_Simple!J16)</f>
        <v>21.02812096050604</v>
      </c>
      <c r="K18">
        <f>IF($C$3="CGE",INDEX(GDP_CGE!$A$3:$AN$24,MATCH($A18,GDP_CGE!$A$3:$A$24,0),MATCH(K$9,GDP_CGE!$A$3:$AN$3,0)),GDP_Simple!K16)</f>
        <v>22.088022949308368</v>
      </c>
      <c r="L18">
        <f>IF($C$3="CGE",INDEX(GDP_CGE!$A$3:$AN$24,MATCH($A18,GDP_CGE!$A$3:$A$24,0),MATCH(L$9,GDP_CGE!$A$3:$AN$3,0)),GDP_Simple!L16)</f>
        <v>22.609587148498793</v>
      </c>
      <c r="M18">
        <f>IF($C$3="CGE",INDEX(GDP_CGE!$A$3:$AN$24,MATCH($A18,GDP_CGE!$A$3:$A$24,0),MATCH(M$9,GDP_CGE!$A$3:$AN$3,0)),GDP_Simple!M16)</f>
        <v>23.064871709426125</v>
      </c>
      <c r="N18">
        <f>IF($C$3="CGE",INDEX(GDP_CGE!$A$3:$AN$24,MATCH($A18,GDP_CGE!$A$3:$A$24,0),MATCH(N$9,GDP_CGE!$A$3:$AN$3,0)),GDP_Simple!N16)</f>
        <v>23.500500945407683</v>
      </c>
      <c r="O18">
        <f>IF($C$3="CGE",INDEX(GDP_CGE!$A$3:$AN$24,MATCH($A18,GDP_CGE!$A$3:$A$24,0),MATCH(O$9,GDP_CGE!$A$3:$AN$3,0)),GDP_Simple!O16)</f>
        <v>23.986518709259194</v>
      </c>
      <c r="P18">
        <f>IF($C$3="CGE",INDEX(GDP_CGE!$A$3:$AN$24,MATCH($A18,GDP_CGE!$A$3:$A$24,0),MATCH(P$9,GDP_CGE!$A$3:$AN$3,0)),GDP_Simple!P16)</f>
        <v>24.524089189559373</v>
      </c>
      <c r="Q18">
        <f>IF($C$3="CGE",INDEX(GDP_CGE!$A$3:$AN$24,MATCH($A18,GDP_CGE!$A$3:$A$24,0),MATCH(Q$9,GDP_CGE!$A$3:$AN$3,0)),GDP_Simple!Q16)</f>
        <v>25.162916316397915</v>
      </c>
      <c r="R18">
        <f>IF($C$3="CGE",INDEX(GDP_CGE!$A$3:$AN$24,MATCH($A18,GDP_CGE!$A$3:$A$24,0),MATCH(R$9,GDP_CGE!$A$3:$AN$3,0)),GDP_Simple!R16)</f>
        <v>25.961729328868451</v>
      </c>
      <c r="S18">
        <f>IF($C$3="CGE",INDEX(GDP_CGE!$A$3:$AN$24,MATCH($A18,GDP_CGE!$A$3:$A$24,0),MATCH(S$9,GDP_CGE!$A$3:$AN$3,0)),GDP_Simple!S16)</f>
        <v>26.741130336784909</v>
      </c>
      <c r="T18">
        <f>IF($C$3="CGE",INDEX(GDP_CGE!$A$3:$AN$24,MATCH($A18,GDP_CGE!$A$3:$A$24,0),MATCH(T$9,GDP_CGE!$A$3:$AN$3,0)),GDP_Simple!T16)</f>
        <v>27.539311494472237</v>
      </c>
      <c r="U18">
        <f>IF($C$3="CGE",INDEX(GDP_CGE!$A$3:$AN$24,MATCH($A18,GDP_CGE!$A$3:$A$24,0),MATCH(U$9,GDP_CGE!$A$3:$AN$3,0)),GDP_Simple!U16)</f>
        <v>28.416777100608481</v>
      </c>
      <c r="V18">
        <f>IF($C$3="CGE",INDEX(GDP_CGE!$A$3:$AN$24,MATCH($A18,GDP_CGE!$A$3:$A$24,0),MATCH(V$9,GDP_CGE!$A$3:$AN$3,0)),GDP_Simple!V16)</f>
        <v>29.280416107200651</v>
      </c>
      <c r="W18">
        <f>IF($C$3="CGE",INDEX(GDP_CGE!$A$3:$AN$24,MATCH($A18,GDP_CGE!$A$3:$A$24,0),MATCH(W$9,GDP_CGE!$A$3:$AN$3,0)),GDP_Simple!W16)</f>
        <v>30.186503705675769</v>
      </c>
      <c r="X18">
        <f>IF($C$3="CGE",INDEX(GDP_CGE!$A$3:$AN$24,MATCH($A18,GDP_CGE!$A$3:$A$24,0),MATCH(X$9,GDP_CGE!$A$3:$AN$3,0)),GDP_Simple!X16)</f>
        <v>29.932581041239011</v>
      </c>
      <c r="Y18">
        <f>IF($C$3="CGE",INDEX(GDP_CGE!$A$3:$AN$24,MATCH($A18,GDP_CGE!$A$3:$A$24,0),MATCH(Y$9,GDP_CGE!$A$3:$AN$3,0)),GDP_Simple!Y16)</f>
        <v>30.178538276315535</v>
      </c>
      <c r="Z18">
        <f>IF($C$3="CGE",INDEX(GDP_CGE!$A$3:$AN$24,MATCH($A18,GDP_CGE!$A$3:$A$24,0),MATCH(Z$9,GDP_CGE!$A$3:$AN$3,0)),GDP_Simple!Z16)</f>
        <v>30.87398199455356</v>
      </c>
      <c r="AA18">
        <f>IF($C$3="CGE",INDEX(GDP_CGE!$A$3:$AN$24,MATCH($A18,GDP_CGE!$A$3:$A$24,0),MATCH(AA$9,GDP_CGE!$A$3:$AN$3,0)),GDP_Simple!AA16)</f>
        <v>31.746136053512725</v>
      </c>
      <c r="AB18">
        <f>IF($C$3="CGE",INDEX(GDP_CGE!$A$3:$AN$24,MATCH($A18,GDP_CGE!$A$3:$A$24,0),MATCH(AB$9,GDP_CGE!$A$3:$AN$3,0)),GDP_Simple!AB16)</f>
        <v>32.706595306079578</v>
      </c>
      <c r="AC18">
        <f>IF($C$3="CGE",INDEX(GDP_CGE!$A$3:$AN$24,MATCH($A18,GDP_CGE!$A$3:$A$24,0),MATCH(AC$9,GDP_CGE!$A$3:$AN$3,0)),GDP_Simple!AC16)</f>
        <v>33.829858670074827</v>
      </c>
      <c r="AD18">
        <f>IF($C$3="CGE",INDEX(GDP_CGE!$A$3:$AN$24,MATCH($A18,GDP_CGE!$A$3:$A$24,0),MATCH(AD$9,GDP_CGE!$A$3:$AN$3,0)),GDP_Simple!AD16)</f>
        <v>35.113315907883745</v>
      </c>
      <c r="AE18">
        <f>IF($C$3="CGE",INDEX(GDP_CGE!$A$3:$AN$24,MATCH($A18,GDP_CGE!$A$3:$A$24,0),MATCH(AE$9,GDP_CGE!$A$3:$AN$3,0)),GDP_Simple!AE16)</f>
        <v>36.480067986875184</v>
      </c>
      <c r="AF18">
        <f>IF($C$3="CGE",INDEX(GDP_CGE!$A$3:$AN$24,MATCH($A18,GDP_CGE!$A$3:$A$24,0),MATCH(AF$9,GDP_CGE!$A$3:$AN$3,0)),GDP_Simple!AF16)</f>
        <v>38.012762633175321</v>
      </c>
      <c r="AG18">
        <f>IF($C$3="CGE",INDEX(GDP_CGE!$A$3:$AN$24,MATCH($A18,GDP_CGE!$A$3:$A$24,0),MATCH(AG$9,GDP_CGE!$A$3:$AN$3,0)),GDP_Simple!AG16)</f>
        <v>39.652823282604146</v>
      </c>
    </row>
    <row r="19" spans="1:33" x14ac:dyDescent="0.25">
      <c r="A19" s="3" t="s">
        <v>30</v>
      </c>
      <c r="B19">
        <f>IF($C$3="CGE",INDEX(GDP_CGE!$A$3:$AN$24,MATCH($A19,GDP_CGE!$A$3:$A$24,0),MATCH(B$9,GDP_CGE!$A$3:$AN$3,0)),GDP_Simple!B17)</f>
        <v>13.073651251028767</v>
      </c>
      <c r="C19">
        <f>IF($C$3="CGE",INDEX(GDP_CGE!$A$3:$AN$24,MATCH($A19,GDP_CGE!$A$3:$A$24,0),MATCH(C$9,GDP_CGE!$A$3:$AN$3,0)),GDP_Simple!C17)</f>
        <v>11.271192740747956</v>
      </c>
      <c r="D19">
        <f>IF($C$3="CGE",INDEX(GDP_CGE!$A$3:$AN$24,MATCH($A19,GDP_CGE!$A$3:$A$24,0),MATCH(D$9,GDP_CGE!$A$3:$AN$3,0)),GDP_Simple!D17)</f>
        <v>12.453355513208685</v>
      </c>
      <c r="E19">
        <f>IF($C$3="CGE",INDEX(GDP_CGE!$A$3:$AN$24,MATCH($A19,GDP_CGE!$A$3:$A$24,0),MATCH(E$9,GDP_CGE!$A$3:$AN$3,0)),GDP_Simple!E17)</f>
        <v>11.093628902003232</v>
      </c>
      <c r="F19">
        <f>IF($C$3="CGE",INDEX(GDP_CGE!$A$3:$AN$24,MATCH($A19,GDP_CGE!$A$3:$A$24,0),MATCH(F$9,GDP_CGE!$A$3:$AN$3,0)),GDP_Simple!F17)</f>
        <v>10.633195506260071</v>
      </c>
      <c r="G19">
        <f>IF($C$3="CGE",INDEX(GDP_CGE!$A$3:$AN$24,MATCH($A19,GDP_CGE!$A$3:$A$24,0),MATCH(G$9,GDP_CGE!$A$3:$AN$3,0)),GDP_Simple!G17)</f>
        <v>10.296369536265301</v>
      </c>
      <c r="H19">
        <f>IF($C$3="CGE",INDEX(GDP_CGE!$A$3:$AN$24,MATCH($A19,GDP_CGE!$A$3:$A$24,0),MATCH(H$9,GDP_CGE!$A$3:$AN$3,0)),GDP_Simple!H17)</f>
        <v>10.185906410292333</v>
      </c>
      <c r="I19">
        <f>IF($C$3="CGE",INDEX(GDP_CGE!$A$3:$AN$24,MATCH($A19,GDP_CGE!$A$3:$A$24,0),MATCH(I$9,GDP_CGE!$A$3:$AN$3,0)),GDP_Simple!I17)</f>
        <v>11.245149089730107</v>
      </c>
      <c r="J19">
        <f>IF($C$3="CGE",INDEX(GDP_CGE!$A$3:$AN$24,MATCH($A19,GDP_CGE!$A$3:$A$24,0),MATCH(J$9,GDP_CGE!$A$3:$AN$3,0)),GDP_Simple!J17)</f>
        <v>11.893689140076045</v>
      </c>
      <c r="K19">
        <f>IF($C$3="CGE",INDEX(GDP_CGE!$A$3:$AN$24,MATCH($A19,GDP_CGE!$A$3:$A$24,0),MATCH(K$9,GDP_CGE!$A$3:$AN$3,0)),GDP_Simple!K17)</f>
        <v>14.932821198181243</v>
      </c>
      <c r="L19">
        <f>IF($C$3="CGE",INDEX(GDP_CGE!$A$3:$AN$24,MATCH($A19,GDP_CGE!$A$3:$A$24,0),MATCH(L$9,GDP_CGE!$A$3:$AN$3,0)),GDP_Simple!L17)</f>
        <v>16.315639004544483</v>
      </c>
      <c r="M19">
        <f>IF($C$3="CGE",INDEX(GDP_CGE!$A$3:$AN$24,MATCH($A19,GDP_CGE!$A$3:$A$24,0),MATCH(M$9,GDP_CGE!$A$3:$AN$3,0)),GDP_Simple!M17)</f>
        <v>17.059808238709167</v>
      </c>
      <c r="N19">
        <f>IF($C$3="CGE",INDEX(GDP_CGE!$A$3:$AN$24,MATCH($A19,GDP_CGE!$A$3:$A$24,0),MATCH(N$9,GDP_CGE!$A$3:$AN$3,0)),GDP_Simple!N17)</f>
        <v>17.420690298733859</v>
      </c>
      <c r="O19">
        <f>IF($C$3="CGE",INDEX(GDP_CGE!$A$3:$AN$24,MATCH($A19,GDP_CGE!$A$3:$A$24,0),MATCH(O$9,GDP_CGE!$A$3:$AN$3,0)),GDP_Simple!O17)</f>
        <v>17.918306200852875</v>
      </c>
      <c r="P19">
        <f>IF($C$3="CGE",INDEX(GDP_CGE!$A$3:$AN$24,MATCH($A19,GDP_CGE!$A$3:$A$24,0),MATCH(P$9,GDP_CGE!$A$3:$AN$3,0)),GDP_Simple!P17)</f>
        <v>18.526935324609827</v>
      </c>
      <c r="Q19">
        <f>IF($C$3="CGE",INDEX(GDP_CGE!$A$3:$AN$24,MATCH($A19,GDP_CGE!$A$3:$A$24,0),MATCH(Q$9,GDP_CGE!$A$3:$AN$3,0)),GDP_Simple!Q17)</f>
        <v>19.363038067641988</v>
      </c>
      <c r="R19">
        <f>IF($C$3="CGE",INDEX(GDP_CGE!$A$3:$AN$24,MATCH($A19,GDP_CGE!$A$3:$A$24,0),MATCH(R$9,GDP_CGE!$A$3:$AN$3,0)),GDP_Simple!R17)</f>
        <v>20.807211642511401</v>
      </c>
      <c r="S19">
        <f>IF($C$3="CGE",INDEX(GDP_CGE!$A$3:$AN$24,MATCH($A19,GDP_CGE!$A$3:$A$24,0),MATCH(S$9,GDP_CGE!$A$3:$AN$3,0)),GDP_Simple!S17)</f>
        <v>22.034227330597993</v>
      </c>
      <c r="T19">
        <f>IF($C$3="CGE",INDEX(GDP_CGE!$A$3:$AN$24,MATCH($A19,GDP_CGE!$A$3:$A$24,0),MATCH(T$9,GDP_CGE!$A$3:$AN$3,0)),GDP_Simple!T17)</f>
        <v>23.144920225240188</v>
      </c>
      <c r="U19">
        <f>IF($C$3="CGE",INDEX(GDP_CGE!$A$3:$AN$24,MATCH($A19,GDP_CGE!$A$3:$A$24,0),MATCH(U$9,GDP_CGE!$A$3:$AN$3,0)),GDP_Simple!U17)</f>
        <v>24.486836067639864</v>
      </c>
      <c r="V19">
        <f>IF($C$3="CGE",INDEX(GDP_CGE!$A$3:$AN$24,MATCH($A19,GDP_CGE!$A$3:$A$24,0),MATCH(V$9,GDP_CGE!$A$3:$AN$3,0)),GDP_Simple!V17)</f>
        <v>25.407030757664895</v>
      </c>
      <c r="W19">
        <f>IF($C$3="CGE",INDEX(GDP_CGE!$A$3:$AN$24,MATCH($A19,GDP_CGE!$A$3:$A$24,0),MATCH(W$9,GDP_CGE!$A$3:$AN$3,0)),GDP_Simple!W17)</f>
        <v>26.685444917044961</v>
      </c>
      <c r="X19">
        <f>IF($C$3="CGE",INDEX(GDP_CGE!$A$3:$AN$24,MATCH($A19,GDP_CGE!$A$3:$A$24,0),MATCH(X$9,GDP_CGE!$A$3:$AN$3,0)),GDP_Simple!X17)</f>
        <v>21.817360567388683</v>
      </c>
      <c r="Y19">
        <f>IF($C$3="CGE",INDEX(GDP_CGE!$A$3:$AN$24,MATCH($A19,GDP_CGE!$A$3:$A$24,0),MATCH(Y$9,GDP_CGE!$A$3:$AN$3,0)),GDP_Simple!Y17)</f>
        <v>19.92822832545858</v>
      </c>
      <c r="Z19">
        <f>IF($C$3="CGE",INDEX(GDP_CGE!$A$3:$AN$24,MATCH($A19,GDP_CGE!$A$3:$A$24,0),MATCH(Z$9,GDP_CGE!$A$3:$AN$3,0)),GDP_Simple!Z17)</f>
        <v>20.115665966407651</v>
      </c>
      <c r="AA19">
        <f>IF($C$3="CGE",INDEX(GDP_CGE!$A$3:$AN$24,MATCH($A19,GDP_CGE!$A$3:$A$24,0),MATCH(AA$9,GDP_CGE!$A$3:$AN$3,0)),GDP_Simple!AA17)</f>
        <v>20.836820836560729</v>
      </c>
      <c r="AB19">
        <f>IF($C$3="CGE",INDEX(GDP_CGE!$A$3:$AN$24,MATCH($A19,GDP_CGE!$A$3:$A$24,0),MATCH(AB$9,GDP_CGE!$A$3:$AN$3,0)),GDP_Simple!AB17)</f>
        <v>21.761649422158985</v>
      </c>
      <c r="AC19">
        <f>IF($C$3="CGE",INDEX(GDP_CGE!$A$3:$AN$24,MATCH($A19,GDP_CGE!$A$3:$A$24,0),MATCH(AC$9,GDP_CGE!$A$3:$AN$3,0)),GDP_Simple!AC17)</f>
        <v>23.313173238683802</v>
      </c>
      <c r="AD19">
        <f>IF($C$3="CGE",INDEX(GDP_CGE!$A$3:$AN$24,MATCH($A19,GDP_CGE!$A$3:$A$24,0),MATCH(AD$9,GDP_CGE!$A$3:$AN$3,0)),GDP_Simple!AD17)</f>
        <v>25.294021424316036</v>
      </c>
      <c r="AE19">
        <f>IF($C$3="CGE",INDEX(GDP_CGE!$A$3:$AN$24,MATCH($A19,GDP_CGE!$A$3:$A$24,0),MATCH(AE$9,GDP_CGE!$A$3:$AN$3,0)),GDP_Simple!AE17)</f>
        <v>27.454964714752748</v>
      </c>
      <c r="AF19">
        <f>IF($C$3="CGE",INDEX(GDP_CGE!$A$3:$AN$24,MATCH($A19,GDP_CGE!$A$3:$A$24,0),MATCH(AF$9,GDP_CGE!$A$3:$AN$3,0)),GDP_Simple!AF17)</f>
        <v>30.0558621640639</v>
      </c>
      <c r="AG19">
        <f>IF($C$3="CGE",INDEX(GDP_CGE!$A$3:$AN$24,MATCH($A19,GDP_CGE!$A$3:$A$24,0),MATCH(AG$9,GDP_CGE!$A$3:$AN$3,0)),GDP_Simple!AG17)</f>
        <v>32.920831876359543</v>
      </c>
    </row>
    <row r="20" spans="1:33" x14ac:dyDescent="0.25">
      <c r="A20" s="3" t="s">
        <v>31</v>
      </c>
      <c r="B20">
        <f>IF($C$3="CGE",INDEX(GDP_CGE!$A$3:$AN$24,MATCH($A20,GDP_CGE!$A$3:$A$24,0),MATCH(B$9,GDP_CGE!$A$3:$AN$3,0)),GDP_Simple!B18)</f>
        <v>0.12086732559633409</v>
      </c>
      <c r="C20">
        <f>IF($C$3="CGE",INDEX(GDP_CGE!$A$3:$AN$24,MATCH($A20,GDP_CGE!$A$3:$A$24,0),MATCH(C$9,GDP_CGE!$A$3:$AN$3,0)),GDP_Simple!C18)</f>
        <v>0.12086732559633409</v>
      </c>
      <c r="D20">
        <f>IF($C$3="CGE",INDEX(GDP_CGE!$A$3:$AN$24,MATCH($A20,GDP_CGE!$A$3:$A$24,0),MATCH(D$9,GDP_CGE!$A$3:$AN$3,0)),GDP_Simple!D18)</f>
        <v>0.12066457951154648</v>
      </c>
      <c r="E20">
        <f>IF($C$3="CGE",INDEX(GDP_CGE!$A$3:$AN$24,MATCH($A20,GDP_CGE!$A$3:$A$24,0),MATCH(E$9,GDP_CGE!$A$3:$AN$3,0)),GDP_Simple!E18)</f>
        <v>0.12060975773938744</v>
      </c>
      <c r="F20">
        <f>IF($C$3="CGE",INDEX(GDP_CGE!$A$3:$AN$24,MATCH($A20,GDP_CGE!$A$3:$A$24,0),MATCH(F$9,GDP_CGE!$A$3:$AN$3,0)),GDP_Simple!F18)</f>
        <v>0.12060975773938748</v>
      </c>
      <c r="G20">
        <f>IF($C$3="CGE",INDEX(GDP_CGE!$A$3:$AN$24,MATCH($A20,GDP_CGE!$A$3:$A$24,0),MATCH(G$9,GDP_CGE!$A$3:$AN$3,0)),GDP_Simple!G18)</f>
        <v>0.12060975773938752</v>
      </c>
      <c r="H20">
        <f>IF($C$3="CGE",INDEX(GDP_CGE!$A$3:$AN$24,MATCH($A20,GDP_CGE!$A$3:$A$24,0),MATCH(H$9,GDP_CGE!$A$3:$AN$3,0)),GDP_Simple!H18)</f>
        <v>0.12060975773938752</v>
      </c>
      <c r="I20">
        <f>IF($C$3="CGE",INDEX(GDP_CGE!$A$3:$AN$24,MATCH($A20,GDP_CGE!$A$3:$A$24,0),MATCH(I$9,GDP_CGE!$A$3:$AN$3,0)),GDP_Simple!I18)</f>
        <v>0.12060975773938752</v>
      </c>
      <c r="J20">
        <f>IF($C$3="CGE",INDEX(GDP_CGE!$A$3:$AN$24,MATCH($A20,GDP_CGE!$A$3:$A$24,0),MATCH(J$9,GDP_CGE!$A$3:$AN$3,0)),GDP_Simple!J18)</f>
        <v>0.12060636832264243</v>
      </c>
      <c r="K20">
        <f>IF($C$3="CGE",INDEX(GDP_CGE!$A$3:$AN$24,MATCH($A20,GDP_CGE!$A$3:$A$24,0),MATCH(K$9,GDP_CGE!$A$3:$AN$3,0)),GDP_Simple!K18)</f>
        <v>0.12060636832264247</v>
      </c>
      <c r="L20">
        <f>IF($C$3="CGE",INDEX(GDP_CGE!$A$3:$AN$24,MATCH($A20,GDP_CGE!$A$3:$A$24,0),MATCH(L$9,GDP_CGE!$A$3:$AN$3,0)),GDP_Simple!L18)</f>
        <v>0.12060636832264243</v>
      </c>
      <c r="M20">
        <f>IF($C$3="CGE",INDEX(GDP_CGE!$A$3:$AN$24,MATCH($A20,GDP_CGE!$A$3:$A$24,0),MATCH(M$9,GDP_CGE!$A$3:$AN$3,0)),GDP_Simple!M18)</f>
        <v>0.12060636832264245</v>
      </c>
      <c r="N20">
        <f>IF($C$3="CGE",INDEX(GDP_CGE!$A$3:$AN$24,MATCH($A20,GDP_CGE!$A$3:$A$24,0),MATCH(N$9,GDP_CGE!$A$3:$AN$3,0)),GDP_Simple!N18)</f>
        <v>0.12060636832264249</v>
      </c>
      <c r="O20">
        <f>IF($C$3="CGE",INDEX(GDP_CGE!$A$3:$AN$24,MATCH($A20,GDP_CGE!$A$3:$A$24,0),MATCH(O$9,GDP_CGE!$A$3:$AN$3,0)),GDP_Simple!O18)</f>
        <v>0.12060636832264243</v>
      </c>
      <c r="P20">
        <f>IF($C$3="CGE",INDEX(GDP_CGE!$A$3:$AN$24,MATCH($A20,GDP_CGE!$A$3:$A$24,0),MATCH(P$9,GDP_CGE!$A$3:$AN$3,0)),GDP_Simple!P18)</f>
        <v>0.1206063683226424</v>
      </c>
      <c r="Q20">
        <f>IF($C$3="CGE",INDEX(GDP_CGE!$A$3:$AN$24,MATCH($A20,GDP_CGE!$A$3:$A$24,0),MATCH(Q$9,GDP_CGE!$A$3:$AN$3,0)),GDP_Simple!Q18)</f>
        <v>0.12060636832264239</v>
      </c>
      <c r="R20">
        <f>IF($C$3="CGE",INDEX(GDP_CGE!$A$3:$AN$24,MATCH($A20,GDP_CGE!$A$3:$A$24,0),MATCH(R$9,GDP_CGE!$A$3:$AN$3,0)),GDP_Simple!R18)</f>
        <v>0.12060636832264236</v>
      </c>
      <c r="S20">
        <f>IF($C$3="CGE",INDEX(GDP_CGE!$A$3:$AN$24,MATCH($A20,GDP_CGE!$A$3:$A$24,0),MATCH(S$9,GDP_CGE!$A$3:$AN$3,0)),GDP_Simple!S18)</f>
        <v>0.12060636832264239</v>
      </c>
      <c r="T20">
        <f>IF($C$3="CGE",INDEX(GDP_CGE!$A$3:$AN$24,MATCH($A20,GDP_CGE!$A$3:$A$24,0),MATCH(T$9,GDP_CGE!$A$3:$AN$3,0)),GDP_Simple!T18)</f>
        <v>0.12060636832264235</v>
      </c>
      <c r="U20">
        <f>IF($C$3="CGE",INDEX(GDP_CGE!$A$3:$AN$24,MATCH($A20,GDP_CGE!$A$3:$A$24,0),MATCH(U$9,GDP_CGE!$A$3:$AN$3,0)),GDP_Simple!U18)</f>
        <v>2.520396408758065</v>
      </c>
      <c r="V20">
        <f>IF($C$3="CGE",INDEX(GDP_CGE!$A$3:$AN$24,MATCH($A20,GDP_CGE!$A$3:$A$24,0),MATCH(V$9,GDP_CGE!$A$3:$AN$3,0)),GDP_Simple!V18)</f>
        <v>5.0407928175161301</v>
      </c>
      <c r="W20">
        <f>IF($C$3="CGE",INDEX(GDP_CGE!$A$3:$AN$24,MATCH($A20,GDP_CGE!$A$3:$A$24,0),MATCH(W$9,GDP_CGE!$A$3:$AN$3,0)),GDP_Simple!W18)</f>
        <v>7.5611892262741947</v>
      </c>
      <c r="X20">
        <f>IF($C$3="CGE",INDEX(GDP_CGE!$A$3:$AN$24,MATCH($A20,GDP_CGE!$A$3:$A$24,0),MATCH(X$9,GDP_CGE!$A$3:$AN$3,0)),GDP_Simple!X18)</f>
        <v>8.7746857478983546</v>
      </c>
      <c r="Y20">
        <f>IF($C$3="CGE",INDEX(GDP_CGE!$A$3:$AN$24,MATCH($A20,GDP_CGE!$A$3:$A$24,0),MATCH(Y$9,GDP_CGE!$A$3:$AN$3,0)),GDP_Simple!Y18)</f>
        <v>9.9881822695225075</v>
      </c>
      <c r="Z20">
        <f>IF($C$3="CGE",INDEX(GDP_CGE!$A$3:$AN$24,MATCH($A20,GDP_CGE!$A$3:$A$24,0),MATCH(Z$9,GDP_CGE!$A$3:$AN$3,0)),GDP_Simple!Z18)</f>
        <v>11.201678791146668</v>
      </c>
      <c r="AA20">
        <f>IF($C$3="CGE",INDEX(GDP_CGE!$A$3:$AN$24,MATCH($A20,GDP_CGE!$A$3:$A$24,0),MATCH(AA$9,GDP_CGE!$A$3:$AN$3,0)),GDP_Simple!AA18)</f>
        <v>12.415175312770822</v>
      </c>
      <c r="AB20">
        <f>IF($C$3="CGE",INDEX(GDP_CGE!$A$3:$AN$24,MATCH($A20,GDP_CGE!$A$3:$A$24,0),MATCH(AB$9,GDP_CGE!$A$3:$AN$3,0)),GDP_Simple!AB18)</f>
        <v>13.628671834394979</v>
      </c>
      <c r="AC20">
        <f>IF($C$3="CGE",INDEX(GDP_CGE!$A$3:$AN$24,MATCH($A20,GDP_CGE!$A$3:$A$24,0),MATCH(AC$9,GDP_CGE!$A$3:$AN$3,0)),GDP_Simple!AC18)</f>
        <v>14.303135095585274</v>
      </c>
      <c r="AD20">
        <f>IF($C$3="CGE",INDEX(GDP_CGE!$A$3:$AN$24,MATCH($A20,GDP_CGE!$A$3:$A$24,0),MATCH(AD$9,GDP_CGE!$A$3:$AN$3,0)),GDP_Simple!AD18)</f>
        <v>14.977598356775562</v>
      </c>
      <c r="AE20">
        <f>IF($C$3="CGE",INDEX(GDP_CGE!$A$3:$AN$24,MATCH($A20,GDP_CGE!$A$3:$A$24,0),MATCH(AE$9,GDP_CGE!$A$3:$AN$3,0)),GDP_Simple!AE18)</f>
        <v>15.652061617965861</v>
      </c>
      <c r="AF20">
        <f>IF($C$3="CGE",INDEX(GDP_CGE!$A$3:$AN$24,MATCH($A20,GDP_CGE!$A$3:$A$24,0),MATCH(AF$9,GDP_CGE!$A$3:$AN$3,0)),GDP_Simple!AF18)</f>
        <v>16.32652487915615</v>
      </c>
      <c r="AG20">
        <f>IF($C$3="CGE",INDEX(GDP_CGE!$A$3:$AN$24,MATCH($A20,GDP_CGE!$A$3:$A$24,0),MATCH(AG$9,GDP_CGE!$A$3:$AN$3,0)),GDP_Simple!AG18)</f>
        <v>17.00098814034644</v>
      </c>
    </row>
    <row r="21" spans="1:33" x14ac:dyDescent="0.25">
      <c r="A21" s="3" t="s">
        <v>32</v>
      </c>
      <c r="B21">
        <f>IF($C$3="CGE",INDEX(GDP_CGE!$A$3:$AN$24,MATCH($A21,GDP_CGE!$A$3:$A$24,0),MATCH(B$9,GDP_CGE!$A$3:$AN$3,0)),GDP_Simple!B19)</f>
        <v>142.2036328173553</v>
      </c>
      <c r="C21">
        <f>IF($C$3="CGE",INDEX(GDP_CGE!$A$3:$AN$24,MATCH($A21,GDP_CGE!$A$3:$A$24,0),MATCH(C$9,GDP_CGE!$A$3:$AN$3,0)),GDP_Simple!C19)</f>
        <v>136.44878766432581</v>
      </c>
      <c r="D21">
        <f>IF($C$3="CGE",INDEX(GDP_CGE!$A$3:$AN$24,MATCH($A21,GDP_CGE!$A$3:$A$24,0),MATCH(D$9,GDP_CGE!$A$3:$AN$3,0)),GDP_Simple!D19)</f>
        <v>146.14074566394675</v>
      </c>
      <c r="E21">
        <f>IF($C$3="CGE",INDEX(GDP_CGE!$A$3:$AN$24,MATCH($A21,GDP_CGE!$A$3:$A$24,0),MATCH(E$9,GDP_CGE!$A$3:$AN$3,0)),GDP_Simple!E19)</f>
        <v>146.4773665086895</v>
      </c>
      <c r="F21">
        <f>IF($C$3="CGE",INDEX(GDP_CGE!$A$3:$AN$24,MATCH($A21,GDP_CGE!$A$3:$A$24,0),MATCH(F$9,GDP_CGE!$A$3:$AN$3,0)),GDP_Simple!F19)</f>
        <v>145.04539245118301</v>
      </c>
      <c r="G21">
        <f>IF($C$3="CGE",INDEX(GDP_CGE!$A$3:$AN$24,MATCH($A21,GDP_CGE!$A$3:$A$24,0),MATCH(G$9,GDP_CGE!$A$3:$AN$3,0)),GDP_Simple!G19)</f>
        <v>145.87729911613849</v>
      </c>
      <c r="H21">
        <f>IF($C$3="CGE",INDEX(GDP_CGE!$A$3:$AN$24,MATCH($A21,GDP_CGE!$A$3:$A$24,0),MATCH(H$9,GDP_CGE!$A$3:$AN$3,0)),GDP_Simple!H19)</f>
        <v>147.14216951126389</v>
      </c>
      <c r="I21">
        <f>IF($C$3="CGE",INDEX(GDP_CGE!$A$3:$AN$24,MATCH($A21,GDP_CGE!$A$3:$A$24,0),MATCH(I$9,GDP_CGE!$A$3:$AN$3,0)),GDP_Simple!I19)</f>
        <v>150.00300564106288</v>
      </c>
      <c r="J21">
        <f>IF($C$3="CGE",INDEX(GDP_CGE!$A$3:$AN$24,MATCH($A21,GDP_CGE!$A$3:$A$24,0),MATCH(J$9,GDP_CGE!$A$3:$AN$3,0)),GDP_Simple!J19)</f>
        <v>152.19870464335671</v>
      </c>
      <c r="K21">
        <f>IF($C$3="CGE",INDEX(GDP_CGE!$A$3:$AN$24,MATCH($A21,GDP_CGE!$A$3:$A$24,0),MATCH(K$9,GDP_CGE!$A$3:$AN$3,0)),GDP_Simple!K19)</f>
        <v>154.19870472509317</v>
      </c>
      <c r="L21">
        <f>IF($C$3="CGE",INDEX(GDP_CGE!$A$3:$AN$24,MATCH($A21,GDP_CGE!$A$3:$A$24,0),MATCH(L$9,GDP_CGE!$A$3:$AN$3,0)),GDP_Simple!L19)</f>
        <v>156.38571640248085</v>
      </c>
      <c r="M21">
        <f>IF($C$3="CGE",INDEX(GDP_CGE!$A$3:$AN$24,MATCH($A21,GDP_CGE!$A$3:$A$24,0),MATCH(M$9,GDP_CGE!$A$3:$AN$3,0)),GDP_Simple!M19)</f>
        <v>159.44194621283864</v>
      </c>
      <c r="N21">
        <f>IF($C$3="CGE",INDEX(GDP_CGE!$A$3:$AN$24,MATCH($A21,GDP_CGE!$A$3:$A$24,0),MATCH(N$9,GDP_CGE!$A$3:$AN$3,0)),GDP_Simple!N19)</f>
        <v>163.30689787379572</v>
      </c>
      <c r="O21">
        <f>IF($C$3="CGE",INDEX(GDP_CGE!$A$3:$AN$24,MATCH($A21,GDP_CGE!$A$3:$A$24,0),MATCH(O$9,GDP_CGE!$A$3:$AN$3,0)),GDP_Simple!O19)</f>
        <v>167.86178956611161</v>
      </c>
      <c r="P21">
        <f>IF($C$3="CGE",INDEX(GDP_CGE!$A$3:$AN$24,MATCH($A21,GDP_CGE!$A$3:$A$24,0),MATCH(P$9,GDP_CGE!$A$3:$AN$3,0)),GDP_Simple!P19)</f>
        <v>171.53872250386354</v>
      </c>
      <c r="Q21">
        <f>IF($C$3="CGE",INDEX(GDP_CGE!$A$3:$AN$24,MATCH($A21,GDP_CGE!$A$3:$A$24,0),MATCH(Q$9,GDP_CGE!$A$3:$AN$3,0)),GDP_Simple!Q19)</f>
        <v>176.04422236485598</v>
      </c>
      <c r="R21">
        <f>IF($C$3="CGE",INDEX(GDP_CGE!$A$3:$AN$24,MATCH($A21,GDP_CGE!$A$3:$A$24,0),MATCH(R$9,GDP_CGE!$A$3:$AN$3,0)),GDP_Simple!R19)</f>
        <v>177.48735794895305</v>
      </c>
      <c r="S21">
        <f>IF($C$3="CGE",INDEX(GDP_CGE!$A$3:$AN$24,MATCH($A21,GDP_CGE!$A$3:$A$24,0),MATCH(S$9,GDP_CGE!$A$3:$AN$3,0)),GDP_Simple!S19)</f>
        <v>181.7517895464326</v>
      </c>
      <c r="T21">
        <f>IF($C$3="CGE",INDEX(GDP_CGE!$A$3:$AN$24,MATCH($A21,GDP_CGE!$A$3:$A$24,0),MATCH(T$9,GDP_CGE!$A$3:$AN$3,0)),GDP_Simple!T19)</f>
        <v>186.68722664354334</v>
      </c>
      <c r="U21">
        <f>IF($C$3="CGE",INDEX(GDP_CGE!$A$3:$AN$24,MATCH($A21,GDP_CGE!$A$3:$A$24,0),MATCH(U$9,GDP_CGE!$A$3:$AN$3,0)),GDP_Simple!U19)</f>
        <v>197.58437167828936</v>
      </c>
      <c r="V21">
        <f>IF($C$3="CGE",INDEX(GDP_CGE!$A$3:$AN$24,MATCH($A21,GDP_CGE!$A$3:$A$24,0),MATCH(V$9,GDP_CGE!$A$3:$AN$3,0)),GDP_Simple!V19)</f>
        <v>208.57857871701691</v>
      </c>
      <c r="W21">
        <f>IF($C$3="CGE",INDEX(GDP_CGE!$A$3:$AN$24,MATCH($A21,GDP_CGE!$A$3:$A$24,0),MATCH(W$9,GDP_CGE!$A$3:$AN$3,0)),GDP_Simple!W19)</f>
        <v>219.26380730730992</v>
      </c>
      <c r="X21">
        <f>IF($C$3="CGE",INDEX(GDP_CGE!$A$3:$AN$24,MATCH($A21,GDP_CGE!$A$3:$A$24,0),MATCH(X$9,GDP_CGE!$A$3:$AN$3,0)),GDP_Simple!X19)</f>
        <v>225.02122253194688</v>
      </c>
      <c r="Y21">
        <f>IF($C$3="CGE",INDEX(GDP_CGE!$A$3:$AN$24,MATCH($A21,GDP_CGE!$A$3:$A$24,0),MATCH(Y$9,GDP_CGE!$A$3:$AN$3,0)),GDP_Simple!Y19)</f>
        <v>231.81694807578467</v>
      </c>
      <c r="Z21">
        <f>IF($C$3="CGE",INDEX(GDP_CGE!$A$3:$AN$24,MATCH($A21,GDP_CGE!$A$3:$A$24,0),MATCH(Z$9,GDP_CGE!$A$3:$AN$3,0)),GDP_Simple!Z19)</f>
        <v>239.78786495655936</v>
      </c>
      <c r="AA21">
        <f>IF($C$3="CGE",INDEX(GDP_CGE!$A$3:$AN$24,MATCH($A21,GDP_CGE!$A$3:$A$24,0),MATCH(AA$9,GDP_CGE!$A$3:$AN$3,0)),GDP_Simple!AA19)</f>
        <v>248.0521594612481</v>
      </c>
      <c r="AB21">
        <f>IF($C$3="CGE",INDEX(GDP_CGE!$A$3:$AN$24,MATCH($A21,GDP_CGE!$A$3:$A$24,0),MATCH(AB$9,GDP_CGE!$A$3:$AN$3,0)),GDP_Simple!AB19)</f>
        <v>256.39391319737126</v>
      </c>
      <c r="AC21">
        <f>IF($C$3="CGE",INDEX(GDP_CGE!$A$3:$AN$24,MATCH($A21,GDP_CGE!$A$3:$A$24,0),MATCH(AC$9,GDP_CGE!$A$3:$AN$3,0)),GDP_Simple!AC19)</f>
        <v>264.39071189071097</v>
      </c>
      <c r="AD21">
        <f>IF($C$3="CGE",INDEX(GDP_CGE!$A$3:$AN$24,MATCH($A21,GDP_CGE!$A$3:$A$24,0),MATCH(AD$9,GDP_CGE!$A$3:$AN$3,0)),GDP_Simple!AD19)</f>
        <v>271.3407012727136</v>
      </c>
      <c r="AE21">
        <f>IF($C$3="CGE",INDEX(GDP_CGE!$A$3:$AN$24,MATCH($A21,GDP_CGE!$A$3:$A$24,0),MATCH(AE$9,GDP_CGE!$A$3:$AN$3,0)),GDP_Simple!AE19)</f>
        <v>278.60851724569528</v>
      </c>
      <c r="AF21">
        <f>IF($C$3="CGE",INDEX(GDP_CGE!$A$3:$AN$24,MATCH($A21,GDP_CGE!$A$3:$A$24,0),MATCH(AF$9,GDP_CGE!$A$3:$AN$3,0)),GDP_Simple!AF19)</f>
        <v>286.05926653394823</v>
      </c>
      <c r="AG21">
        <f>IF($C$3="CGE",INDEX(GDP_CGE!$A$3:$AN$24,MATCH($A21,GDP_CGE!$A$3:$A$24,0),MATCH(AG$9,GDP_CGE!$A$3:$AN$3,0)),GDP_Simple!AG19)</f>
        <v>293.59171280458094</v>
      </c>
    </row>
    <row r="22" spans="1:33" x14ac:dyDescent="0.25">
      <c r="A22" s="3" t="s">
        <v>33</v>
      </c>
      <c r="B22">
        <f>IF($C$3="CGE",INDEX(GDP_CGE!$A$3:$AN$24,MATCH($A22,GDP_CGE!$A$3:$A$24,0),MATCH(B$9,GDP_CGE!$A$3:$AN$3,0)),GDP_Simple!B20)</f>
        <v>60.675714154100262</v>
      </c>
      <c r="C22">
        <f>IF($C$3="CGE",INDEX(GDP_CGE!$A$3:$AN$24,MATCH($A22,GDP_CGE!$A$3:$A$24,0),MATCH(C$9,GDP_CGE!$A$3:$AN$3,0)),GDP_Simple!C20)</f>
        <v>50.223185860644726</v>
      </c>
      <c r="D22">
        <f>IF($C$3="CGE",INDEX(GDP_CGE!$A$3:$AN$24,MATCH($A22,GDP_CGE!$A$3:$A$24,0),MATCH(D$9,GDP_CGE!$A$3:$AN$3,0)),GDP_Simple!D20)</f>
        <v>52.694392090327234</v>
      </c>
      <c r="E22">
        <f>IF($C$3="CGE",INDEX(GDP_CGE!$A$3:$AN$24,MATCH($A22,GDP_CGE!$A$3:$A$24,0),MATCH(E$9,GDP_CGE!$A$3:$AN$3,0)),GDP_Simple!E20)</f>
        <v>61.666432806024062</v>
      </c>
      <c r="F22">
        <f>IF($C$3="CGE",INDEX(GDP_CGE!$A$3:$AN$24,MATCH($A22,GDP_CGE!$A$3:$A$24,0),MATCH(F$9,GDP_CGE!$A$3:$AN$3,0)),GDP_Simple!F20)</f>
        <v>64.955660785385092</v>
      </c>
      <c r="G22">
        <f>IF($C$3="CGE",INDEX(GDP_CGE!$A$3:$AN$24,MATCH($A22,GDP_CGE!$A$3:$A$24,0),MATCH(G$9,GDP_CGE!$A$3:$AN$3,0)),GDP_Simple!G20)</f>
        <v>66.140315151319371</v>
      </c>
      <c r="H22">
        <f>IF($C$3="CGE",INDEX(GDP_CGE!$A$3:$AN$24,MATCH($A22,GDP_CGE!$A$3:$A$24,0),MATCH(H$9,GDP_CGE!$A$3:$AN$3,0)),GDP_Simple!H20)</f>
        <v>66.43535899033968</v>
      </c>
      <c r="I22">
        <f>IF($C$3="CGE",INDEX(GDP_CGE!$A$3:$AN$24,MATCH($A22,GDP_CGE!$A$3:$A$24,0),MATCH(I$9,GDP_CGE!$A$3:$AN$3,0)),GDP_Simple!I20)</f>
        <v>66.43253916933817</v>
      </c>
      <c r="J22">
        <f>IF($C$3="CGE",INDEX(GDP_CGE!$A$3:$AN$24,MATCH($A22,GDP_CGE!$A$3:$A$24,0),MATCH(J$9,GDP_CGE!$A$3:$AN$3,0)),GDP_Simple!J20)</f>
        <v>68.559388327301775</v>
      </c>
      <c r="K22">
        <f>IF($C$3="CGE",INDEX(GDP_CGE!$A$3:$AN$24,MATCH($A22,GDP_CGE!$A$3:$A$24,0),MATCH(K$9,GDP_CGE!$A$3:$AN$3,0)),GDP_Simple!K20)</f>
        <v>71.05986343939098</v>
      </c>
      <c r="L22">
        <f>IF($C$3="CGE",INDEX(GDP_CGE!$A$3:$AN$24,MATCH($A22,GDP_CGE!$A$3:$A$24,0),MATCH(L$9,GDP_CGE!$A$3:$AN$3,0)),GDP_Simple!L20)</f>
        <v>73.433534347769992</v>
      </c>
      <c r="M22">
        <f>IF($C$3="CGE",INDEX(GDP_CGE!$A$3:$AN$24,MATCH($A22,GDP_CGE!$A$3:$A$24,0),MATCH(M$9,GDP_CGE!$A$3:$AN$3,0)),GDP_Simple!M20)</f>
        <v>75.997801931251104</v>
      </c>
      <c r="N22">
        <f>IF($C$3="CGE",INDEX(GDP_CGE!$A$3:$AN$24,MATCH($A22,GDP_CGE!$A$3:$A$24,0),MATCH(N$9,GDP_CGE!$A$3:$AN$3,0)),GDP_Simple!N20)</f>
        <v>78.885755018735026</v>
      </c>
      <c r="O22">
        <f>IF($C$3="CGE",INDEX(GDP_CGE!$A$3:$AN$24,MATCH($A22,GDP_CGE!$A$3:$A$24,0),MATCH(O$9,GDP_CGE!$A$3:$AN$3,0)),GDP_Simple!O20)</f>
        <v>81.77388102277115</v>
      </c>
      <c r="P22">
        <f>IF($C$3="CGE",INDEX(GDP_CGE!$A$3:$AN$24,MATCH($A22,GDP_CGE!$A$3:$A$24,0),MATCH(P$9,GDP_CGE!$A$3:$AN$3,0)),GDP_Simple!P20)</f>
        <v>84.829127777420425</v>
      </c>
      <c r="Q22">
        <f>IF($C$3="CGE",INDEX(GDP_CGE!$A$3:$AN$24,MATCH($A22,GDP_CGE!$A$3:$A$24,0),MATCH(Q$9,GDP_CGE!$A$3:$AN$3,0)),GDP_Simple!Q20)</f>
        <v>88.304236578805018</v>
      </c>
      <c r="R22">
        <f>IF($C$3="CGE",INDEX(GDP_CGE!$A$3:$AN$24,MATCH($A22,GDP_CGE!$A$3:$A$24,0),MATCH(R$9,GDP_CGE!$A$3:$AN$3,0)),GDP_Simple!R20)</f>
        <v>91.596646480858581</v>
      </c>
      <c r="S22">
        <f>IF($C$3="CGE",INDEX(GDP_CGE!$A$3:$AN$24,MATCH($A22,GDP_CGE!$A$3:$A$24,0),MATCH(S$9,GDP_CGE!$A$3:$AN$3,0)),GDP_Simple!S20)</f>
        <v>95.204983824347224</v>
      </c>
      <c r="T22">
        <f>IF($C$3="CGE",INDEX(GDP_CGE!$A$3:$AN$24,MATCH($A22,GDP_CGE!$A$3:$A$24,0),MATCH(T$9,GDP_CGE!$A$3:$AN$3,0)),GDP_Simple!T20)</f>
        <v>98.874905337963</v>
      </c>
      <c r="U22">
        <f>IF($C$3="CGE",INDEX(GDP_CGE!$A$3:$AN$24,MATCH($A22,GDP_CGE!$A$3:$A$24,0),MATCH(U$9,GDP_CGE!$A$3:$AN$3,0)),GDP_Simple!U20)</f>
        <v>102.21962710070184</v>
      </c>
      <c r="V22">
        <f>IF($C$3="CGE",INDEX(GDP_CGE!$A$3:$AN$24,MATCH($A22,GDP_CGE!$A$3:$A$24,0),MATCH(V$9,GDP_CGE!$A$3:$AN$3,0)),GDP_Simple!V20)</f>
        <v>105.32424663502653</v>
      </c>
      <c r="W22">
        <f>IF($C$3="CGE",INDEX(GDP_CGE!$A$3:$AN$24,MATCH($A22,GDP_CGE!$A$3:$A$24,0),MATCH(W$9,GDP_CGE!$A$3:$AN$3,0)),GDP_Simple!W20)</f>
        <v>108.27693737090219</v>
      </c>
      <c r="X22">
        <f>IF($C$3="CGE",INDEX(GDP_CGE!$A$3:$AN$24,MATCH($A22,GDP_CGE!$A$3:$A$24,0),MATCH(X$9,GDP_CGE!$A$3:$AN$3,0)),GDP_Simple!X20)</f>
        <v>111.56912486917621</v>
      </c>
      <c r="Y22">
        <f>IF($C$3="CGE",INDEX(GDP_CGE!$A$3:$AN$24,MATCH($A22,GDP_CGE!$A$3:$A$24,0),MATCH(Y$9,GDP_CGE!$A$3:$AN$3,0)),GDP_Simple!Y20)</f>
        <v>114.41561344133981</v>
      </c>
      <c r="Z22">
        <f>IF($C$3="CGE",INDEX(GDP_CGE!$A$3:$AN$24,MATCH($A22,GDP_CGE!$A$3:$A$24,0),MATCH(Z$9,GDP_CGE!$A$3:$AN$3,0)),GDP_Simple!Z20)</f>
        <v>117.13004082373627</v>
      </c>
      <c r="AA22">
        <f>IF($C$3="CGE",INDEX(GDP_CGE!$A$3:$AN$24,MATCH($A22,GDP_CGE!$A$3:$A$24,0),MATCH(AA$9,GDP_CGE!$A$3:$AN$3,0)),GDP_Simple!AA20)</f>
        <v>119.84264111921489</v>
      </c>
      <c r="AB22">
        <f>IF($C$3="CGE",INDEX(GDP_CGE!$A$3:$AN$24,MATCH($A22,GDP_CGE!$A$3:$A$24,0),MATCH(AB$9,GDP_CGE!$A$3:$AN$3,0)),GDP_Simple!AB20)</f>
        <v>122.59721826342761</v>
      </c>
      <c r="AC22">
        <f>IF($C$3="CGE",INDEX(GDP_CGE!$A$3:$AN$24,MATCH($A22,GDP_CGE!$A$3:$A$24,0),MATCH(AC$9,GDP_CGE!$A$3:$AN$3,0)),GDP_Simple!AC20)</f>
        <v>125.50771629179748</v>
      </c>
      <c r="AD22">
        <f>IF($C$3="CGE",INDEX(GDP_CGE!$A$3:$AN$24,MATCH($A22,GDP_CGE!$A$3:$A$24,0),MATCH(AD$9,GDP_CGE!$A$3:$AN$3,0)),GDP_Simple!AD20)</f>
        <v>128.57440253818112</v>
      </c>
      <c r="AE22">
        <f>IF($C$3="CGE",INDEX(GDP_CGE!$A$3:$AN$24,MATCH($A22,GDP_CGE!$A$3:$A$24,0),MATCH(AE$9,GDP_CGE!$A$3:$AN$3,0)),GDP_Simple!AE20)</f>
        <v>131.68045011063694</v>
      </c>
      <c r="AF22">
        <f>IF($C$3="CGE",INDEX(GDP_CGE!$A$3:$AN$24,MATCH($A22,GDP_CGE!$A$3:$A$24,0),MATCH(AF$9,GDP_CGE!$A$3:$AN$3,0)),GDP_Simple!AF20)</f>
        <v>134.87996590545094</v>
      </c>
      <c r="AG22">
        <f>IF($C$3="CGE",INDEX(GDP_CGE!$A$3:$AN$24,MATCH($A22,GDP_CGE!$A$3:$A$24,0),MATCH(AG$9,GDP_CGE!$A$3:$AN$3,0)),GDP_Simple!AG20)</f>
        <v>138.0817300949943</v>
      </c>
    </row>
    <row r="23" spans="1:33" x14ac:dyDescent="0.25">
      <c r="A23" s="3" t="s">
        <v>34</v>
      </c>
      <c r="B23">
        <f>IF($C$3="CGE",INDEX(GDP_CGE!$A$3:$AN$24,MATCH($A23,GDP_CGE!$A$3:$A$24,0),MATCH(B$9,GDP_CGE!$A$3:$AN$3,0)),GDP_Simple!B21)</f>
        <v>247.42936538345938</v>
      </c>
      <c r="C23">
        <f>IF($C$3="CGE",INDEX(GDP_CGE!$A$3:$AN$24,MATCH($A23,GDP_CGE!$A$3:$A$24,0),MATCH(C$9,GDP_CGE!$A$3:$AN$3,0)),GDP_Simple!C21)</f>
        <v>217.21278869819892</v>
      </c>
      <c r="D23">
        <f>IF($C$3="CGE",INDEX(GDP_CGE!$A$3:$AN$24,MATCH($A23,GDP_CGE!$A$3:$A$24,0),MATCH(D$9,GDP_CGE!$A$3:$AN$3,0)),GDP_Simple!D21)</f>
        <v>230.95121378088996</v>
      </c>
      <c r="E23">
        <f>IF($C$3="CGE",INDEX(GDP_CGE!$A$3:$AN$24,MATCH($A23,GDP_CGE!$A$3:$A$24,0),MATCH(E$9,GDP_CGE!$A$3:$AN$3,0)),GDP_Simple!E21)</f>
        <v>252.81589693997037</v>
      </c>
      <c r="F23">
        <f>IF($C$3="CGE",INDEX(GDP_CGE!$A$3:$AN$24,MATCH($A23,GDP_CGE!$A$3:$A$24,0),MATCH(F$9,GDP_CGE!$A$3:$AN$3,0)),GDP_Simple!F21)</f>
        <v>254.35902013525742</v>
      </c>
      <c r="G23">
        <f>IF($C$3="CGE",INDEX(GDP_CGE!$A$3:$AN$24,MATCH($A23,GDP_CGE!$A$3:$A$24,0),MATCH(G$9,GDP_CGE!$A$3:$AN$3,0)),GDP_Simple!G21)</f>
        <v>253.56557026498641</v>
      </c>
      <c r="H23">
        <f>IF($C$3="CGE",INDEX(GDP_CGE!$A$3:$AN$24,MATCH($A23,GDP_CGE!$A$3:$A$24,0),MATCH(H$9,GDP_CGE!$A$3:$AN$3,0)),GDP_Simple!H21)</f>
        <v>253.37869609441091</v>
      </c>
      <c r="I23">
        <f>IF($C$3="CGE",INDEX(GDP_CGE!$A$3:$AN$24,MATCH($A23,GDP_CGE!$A$3:$A$24,0),MATCH(I$9,GDP_CGE!$A$3:$AN$3,0)),GDP_Simple!I21)</f>
        <v>255.29840209298564</v>
      </c>
      <c r="J23">
        <f>IF($C$3="CGE",INDEX(GDP_CGE!$A$3:$AN$24,MATCH($A23,GDP_CGE!$A$3:$A$24,0),MATCH(J$9,GDP_CGE!$A$3:$AN$3,0)),GDP_Simple!J21)</f>
        <v>260.9690002056023</v>
      </c>
      <c r="K23">
        <f>IF($C$3="CGE",INDEX(GDP_CGE!$A$3:$AN$24,MATCH($A23,GDP_CGE!$A$3:$A$24,0),MATCH(K$9,GDP_CGE!$A$3:$AN$3,0)),GDP_Simple!K21)</f>
        <v>268.12764276659186</v>
      </c>
      <c r="L23">
        <f>IF($C$3="CGE",INDEX(GDP_CGE!$A$3:$AN$24,MATCH($A23,GDP_CGE!$A$3:$A$24,0),MATCH(L$9,GDP_CGE!$A$3:$AN$3,0)),GDP_Simple!L21)</f>
        <v>275.71288715868729</v>
      </c>
      <c r="M23">
        <f>IF($C$3="CGE",INDEX(GDP_CGE!$A$3:$AN$24,MATCH($A23,GDP_CGE!$A$3:$A$24,0),MATCH(M$9,GDP_CGE!$A$3:$AN$3,0)),GDP_Simple!M21)</f>
        <v>285.72163394371933</v>
      </c>
      <c r="N23">
        <f>IF($C$3="CGE",INDEX(GDP_CGE!$A$3:$AN$24,MATCH($A23,GDP_CGE!$A$3:$A$24,0),MATCH(N$9,GDP_CGE!$A$3:$AN$3,0)),GDP_Simple!N21)</f>
        <v>295.41500225811654</v>
      </c>
      <c r="O23">
        <f>IF($C$3="CGE",INDEX(GDP_CGE!$A$3:$AN$24,MATCH($A23,GDP_CGE!$A$3:$A$24,0),MATCH(O$9,GDP_CGE!$A$3:$AN$3,0)),GDP_Simple!O21)</f>
        <v>303.81149730475249</v>
      </c>
      <c r="P23">
        <f>IF($C$3="CGE",INDEX(GDP_CGE!$A$3:$AN$24,MATCH($A23,GDP_CGE!$A$3:$A$24,0),MATCH(P$9,GDP_CGE!$A$3:$AN$3,0)),GDP_Simple!P21)</f>
        <v>313.05332932592154</v>
      </c>
      <c r="Q23">
        <f>IF($C$3="CGE",INDEX(GDP_CGE!$A$3:$AN$24,MATCH($A23,GDP_CGE!$A$3:$A$24,0),MATCH(Q$9,GDP_CGE!$A$3:$AN$3,0)),GDP_Simple!Q21)</f>
        <v>325.24762153021987</v>
      </c>
      <c r="R23">
        <f>IF($C$3="CGE",INDEX(GDP_CGE!$A$3:$AN$24,MATCH($A23,GDP_CGE!$A$3:$A$24,0),MATCH(R$9,GDP_CGE!$A$3:$AN$3,0)),GDP_Simple!R21)</f>
        <v>336.46750066941485</v>
      </c>
      <c r="S23">
        <f>IF($C$3="CGE",INDEX(GDP_CGE!$A$3:$AN$24,MATCH($A23,GDP_CGE!$A$3:$A$24,0),MATCH(S$9,GDP_CGE!$A$3:$AN$3,0)),GDP_Simple!S21)</f>
        <v>347.76284507291501</v>
      </c>
      <c r="T23">
        <f>IF($C$3="CGE",INDEX(GDP_CGE!$A$3:$AN$24,MATCH($A23,GDP_CGE!$A$3:$A$24,0),MATCH(T$9,GDP_CGE!$A$3:$AN$3,0)),GDP_Simple!T21)</f>
        <v>360.27295199736722</v>
      </c>
      <c r="U23">
        <f>IF($C$3="CGE",INDEX(GDP_CGE!$A$3:$AN$24,MATCH($A23,GDP_CGE!$A$3:$A$24,0),MATCH(U$9,GDP_CGE!$A$3:$AN$3,0)),GDP_Simple!U21)</f>
        <v>374.84748361489403</v>
      </c>
      <c r="V23">
        <f>IF($C$3="CGE",INDEX(GDP_CGE!$A$3:$AN$24,MATCH($A23,GDP_CGE!$A$3:$A$24,0),MATCH(V$9,GDP_CGE!$A$3:$AN$3,0)),GDP_Simple!V21)</f>
        <v>390.38661220958136</v>
      </c>
      <c r="W23">
        <f>IF($C$3="CGE",INDEX(GDP_CGE!$A$3:$AN$24,MATCH($A23,GDP_CGE!$A$3:$A$24,0),MATCH(W$9,GDP_CGE!$A$3:$AN$3,0)),GDP_Simple!W21)</f>
        <v>405.79419437269428</v>
      </c>
      <c r="X23">
        <f>IF($C$3="CGE",INDEX(GDP_CGE!$A$3:$AN$24,MATCH($A23,GDP_CGE!$A$3:$A$24,0),MATCH(X$9,GDP_CGE!$A$3:$AN$3,0)),GDP_Simple!X21)</f>
        <v>422.18587872932306</v>
      </c>
      <c r="Y23">
        <f>IF($C$3="CGE",INDEX(GDP_CGE!$A$3:$AN$24,MATCH($A23,GDP_CGE!$A$3:$A$24,0),MATCH(Y$9,GDP_CGE!$A$3:$AN$3,0)),GDP_Simple!Y21)</f>
        <v>436.61613507099827</v>
      </c>
      <c r="Z23">
        <f>IF($C$3="CGE",INDEX(GDP_CGE!$A$3:$AN$24,MATCH($A23,GDP_CGE!$A$3:$A$24,0),MATCH(Z$9,GDP_CGE!$A$3:$AN$3,0)),GDP_Simple!Z21)</f>
        <v>450.76418291020468</v>
      </c>
      <c r="AA23">
        <f>IF($C$3="CGE",INDEX(GDP_CGE!$A$3:$AN$24,MATCH($A23,GDP_CGE!$A$3:$A$24,0),MATCH(AA$9,GDP_CGE!$A$3:$AN$3,0)),GDP_Simple!AA21)</f>
        <v>463.01529337066955</v>
      </c>
      <c r="AB23">
        <f>IF($C$3="CGE",INDEX(GDP_CGE!$A$3:$AN$24,MATCH($A23,GDP_CGE!$A$3:$A$24,0),MATCH(AB$9,GDP_CGE!$A$3:$AN$3,0)),GDP_Simple!AB21)</f>
        <v>474.93317371914009</v>
      </c>
      <c r="AC23">
        <f>IF($C$3="CGE",INDEX(GDP_CGE!$A$3:$AN$24,MATCH($A23,GDP_CGE!$A$3:$A$24,0),MATCH(AC$9,GDP_CGE!$A$3:$AN$3,0)),GDP_Simple!AC21)</f>
        <v>488.56893191442424</v>
      </c>
      <c r="AD23">
        <f>IF($C$3="CGE",INDEX(GDP_CGE!$A$3:$AN$24,MATCH($A23,GDP_CGE!$A$3:$A$24,0),MATCH(AD$9,GDP_CGE!$A$3:$AN$3,0)),GDP_Simple!AD21)</f>
        <v>502.85213688910846</v>
      </c>
      <c r="AE23">
        <f>IF($C$3="CGE",INDEX(GDP_CGE!$A$3:$AN$24,MATCH($A23,GDP_CGE!$A$3:$A$24,0),MATCH(AE$9,GDP_CGE!$A$3:$AN$3,0)),GDP_Simple!AE21)</f>
        <v>517.1802992829771</v>
      </c>
      <c r="AF23">
        <f>IF($C$3="CGE",INDEX(GDP_CGE!$A$3:$AN$24,MATCH($A23,GDP_CGE!$A$3:$A$24,0),MATCH(AF$9,GDP_CGE!$A$3:$AN$3,0)),GDP_Simple!AF21)</f>
        <v>532.57463611876153</v>
      </c>
      <c r="AG23">
        <f>IF($C$3="CGE",INDEX(GDP_CGE!$A$3:$AN$24,MATCH($A23,GDP_CGE!$A$3:$A$24,0),MATCH(AG$9,GDP_CGE!$A$3:$AN$3,0)),GDP_Simple!AG21)</f>
        <v>550.23298848988929</v>
      </c>
    </row>
    <row r="24" spans="1:33" x14ac:dyDescent="0.25">
      <c r="A24" s="3" t="s">
        <v>36</v>
      </c>
      <c r="B24">
        <f>IF($C$3="CGE",INDEX(GDP_CGE!$A$3:$AN$24,MATCH($A24,GDP_CGE!$A$3:$A$24,0),MATCH(B$9,GDP_CGE!$A$3:$AN$3,0)),GDP_Simple!B22)</f>
        <v>7.2942674736102546</v>
      </c>
      <c r="C24">
        <f>IF($C$3="CGE",INDEX(GDP_CGE!$A$3:$AN$24,MATCH($A24,GDP_CGE!$A$3:$A$24,0),MATCH(C$9,GDP_CGE!$A$3:$AN$3,0)),GDP_Simple!C22)</f>
        <v>6.6299472699871007</v>
      </c>
      <c r="D24">
        <f>IF($C$3="CGE",INDEX(GDP_CGE!$A$3:$AN$24,MATCH($A24,GDP_CGE!$A$3:$A$24,0),MATCH(D$9,GDP_CGE!$A$3:$AN$3,0)),GDP_Simple!D22)</f>
        <v>7.0785650689638286</v>
      </c>
      <c r="E24">
        <f>IF($C$3="CGE",INDEX(GDP_CGE!$A$3:$AN$24,MATCH($A24,GDP_CGE!$A$3:$A$24,0),MATCH(E$9,GDP_CGE!$A$3:$AN$3,0)),GDP_Simple!E22)</f>
        <v>7.6154108701536929</v>
      </c>
      <c r="F24">
        <f>IF($C$3="CGE",INDEX(GDP_CGE!$A$3:$AN$24,MATCH($A24,GDP_CGE!$A$3:$A$24,0),MATCH(F$9,GDP_CGE!$A$3:$AN$3,0)),GDP_Simple!F22)</f>
        <v>7.7475033508428641</v>
      </c>
      <c r="G24">
        <f>IF($C$3="CGE",INDEX(GDP_CGE!$A$3:$AN$24,MATCH($A24,GDP_CGE!$A$3:$A$24,0),MATCH(G$9,GDP_CGE!$A$3:$AN$3,0)),GDP_Simple!G22)</f>
        <v>7.8035702247329706</v>
      </c>
      <c r="H24">
        <f>IF($C$3="CGE",INDEX(GDP_CGE!$A$3:$AN$24,MATCH($A24,GDP_CGE!$A$3:$A$24,0),MATCH(H$9,GDP_CGE!$A$3:$AN$3,0)),GDP_Simple!H22)</f>
        <v>7.864799497299912</v>
      </c>
      <c r="I24">
        <f>IF($C$3="CGE",INDEX(GDP_CGE!$A$3:$AN$24,MATCH($A24,GDP_CGE!$A$3:$A$24,0),MATCH(I$9,GDP_CGE!$A$3:$AN$3,0)),GDP_Simple!I22)</f>
        <v>7.9735086103682073</v>
      </c>
      <c r="J24">
        <f>IF($C$3="CGE",INDEX(GDP_CGE!$A$3:$AN$24,MATCH($A24,GDP_CGE!$A$3:$A$24,0),MATCH(J$9,GDP_CGE!$A$3:$AN$3,0)),GDP_Simple!J22)</f>
        <v>8.1382553624087084</v>
      </c>
      <c r="K24">
        <f>IF($C$3="CGE",INDEX(GDP_CGE!$A$3:$AN$24,MATCH($A24,GDP_CGE!$A$3:$A$24,0),MATCH(K$9,GDP_CGE!$A$3:$AN$3,0)),GDP_Simple!K22)</f>
        <v>8.254849116831064</v>
      </c>
      <c r="L24">
        <f>IF($C$3="CGE",INDEX(GDP_CGE!$A$3:$AN$24,MATCH($A24,GDP_CGE!$A$3:$A$24,0),MATCH(L$9,GDP_CGE!$A$3:$AN$3,0)),GDP_Simple!L22)</f>
        <v>8.4634388431087277</v>
      </c>
      <c r="M24">
        <f>IF($C$3="CGE",INDEX(GDP_CGE!$A$3:$AN$24,MATCH($A24,GDP_CGE!$A$3:$A$24,0),MATCH(M$9,GDP_CGE!$A$3:$AN$3,0)),GDP_Simple!M22)</f>
        <v>8.7420146751272831</v>
      </c>
      <c r="N24">
        <f>IF($C$3="CGE",INDEX(GDP_CGE!$A$3:$AN$24,MATCH($A24,GDP_CGE!$A$3:$A$24,0),MATCH(N$9,GDP_CGE!$A$3:$AN$3,0)),GDP_Simple!N22)</f>
        <v>9.0085847401483026</v>
      </c>
      <c r="O24">
        <f>IF($C$3="CGE",INDEX(GDP_CGE!$A$3:$AN$24,MATCH($A24,GDP_CGE!$A$3:$A$24,0),MATCH(O$9,GDP_CGE!$A$3:$AN$3,0)),GDP_Simple!O22)</f>
        <v>9.2381662774002873</v>
      </c>
      <c r="P24">
        <f>IF($C$3="CGE",INDEX(GDP_CGE!$A$3:$AN$24,MATCH($A24,GDP_CGE!$A$3:$A$24,0),MATCH(P$9,GDP_CGE!$A$3:$AN$3,0)),GDP_Simple!P22)</f>
        <v>9.4944882281900185</v>
      </c>
      <c r="Q24">
        <f>IF($C$3="CGE",INDEX(GDP_CGE!$A$3:$AN$24,MATCH($A24,GDP_CGE!$A$3:$A$24,0),MATCH(Q$9,GDP_CGE!$A$3:$AN$3,0)),GDP_Simple!Q22)</f>
        <v>9.8297223222318788</v>
      </c>
      <c r="R24">
        <f>IF($C$3="CGE",INDEX(GDP_CGE!$A$3:$AN$24,MATCH($A24,GDP_CGE!$A$3:$A$24,0),MATCH(R$9,GDP_CGE!$A$3:$AN$3,0)),GDP_Simple!R22)</f>
        <v>10.134056576524346</v>
      </c>
      <c r="S24">
        <f>IF($C$3="CGE",INDEX(GDP_CGE!$A$3:$AN$24,MATCH($A24,GDP_CGE!$A$3:$A$24,0),MATCH(S$9,GDP_CGE!$A$3:$AN$3,0)),GDP_Simple!S22)</f>
        <v>10.433147704508338</v>
      </c>
      <c r="T24">
        <f>IF($C$3="CGE",INDEX(GDP_CGE!$A$3:$AN$24,MATCH($A24,GDP_CGE!$A$3:$A$24,0),MATCH(T$9,GDP_CGE!$A$3:$AN$3,0)),GDP_Simple!T22)</f>
        <v>10.747005876764753</v>
      </c>
      <c r="U24">
        <f>IF($C$3="CGE",INDEX(GDP_CGE!$A$3:$AN$24,MATCH($A24,GDP_CGE!$A$3:$A$24,0),MATCH(U$9,GDP_CGE!$A$3:$AN$3,0)),GDP_Simple!U22)</f>
        <v>11.108855812119153</v>
      </c>
      <c r="V24">
        <f>IF($C$3="CGE",INDEX(GDP_CGE!$A$3:$AN$24,MATCH($A24,GDP_CGE!$A$3:$A$24,0),MATCH(V$9,GDP_CGE!$A$3:$AN$3,0)),GDP_Simple!V22)</f>
        <v>11.485590645773648</v>
      </c>
      <c r="W24">
        <f>IF($C$3="CGE",INDEX(GDP_CGE!$A$3:$AN$24,MATCH($A24,GDP_CGE!$A$3:$A$24,0),MATCH(W$9,GDP_CGE!$A$3:$AN$3,0)),GDP_Simple!W22)</f>
        <v>11.840756013263658</v>
      </c>
      <c r="X24">
        <f>IF($C$3="CGE",INDEX(GDP_CGE!$A$3:$AN$24,MATCH($A24,GDP_CGE!$A$3:$A$24,0),MATCH(X$9,GDP_CGE!$A$3:$AN$3,0)),GDP_Simple!X22)</f>
        <v>12.214529377854351</v>
      </c>
      <c r="Y24">
        <f>IF($C$3="CGE",INDEX(GDP_CGE!$A$3:$AN$24,MATCH($A24,GDP_CGE!$A$3:$A$24,0),MATCH(Y$9,GDP_CGE!$A$3:$AN$3,0)),GDP_Simple!Y22)</f>
        <v>12.550275923341125</v>
      </c>
      <c r="Z24">
        <f>IF($C$3="CGE",INDEX(GDP_CGE!$A$3:$AN$24,MATCH($A24,GDP_CGE!$A$3:$A$24,0),MATCH(Z$9,GDP_CGE!$A$3:$AN$3,0)),GDP_Simple!Z22)</f>
        <v>12.905043759792305</v>
      </c>
      <c r="AA24">
        <f>IF($C$3="CGE",INDEX(GDP_CGE!$A$3:$AN$24,MATCH($A24,GDP_CGE!$A$3:$A$24,0),MATCH(AA$9,GDP_CGE!$A$3:$AN$3,0)),GDP_Simple!AA22)</f>
        <v>13.217217473663608</v>
      </c>
      <c r="AB24">
        <f>IF($C$3="CGE",INDEX(GDP_CGE!$A$3:$AN$24,MATCH($A24,GDP_CGE!$A$3:$A$24,0),MATCH(AB$9,GDP_CGE!$A$3:$AN$3,0)),GDP_Simple!AB22)</f>
        <v>13.535985411782866</v>
      </c>
      <c r="AC24">
        <f>IF($C$3="CGE",INDEX(GDP_CGE!$A$3:$AN$24,MATCH($A24,GDP_CGE!$A$3:$A$24,0),MATCH(AC$9,GDP_CGE!$A$3:$AN$3,0)),GDP_Simple!AC22)</f>
        <v>13.897184038664331</v>
      </c>
      <c r="AD24">
        <f>IF($C$3="CGE",INDEX(GDP_CGE!$A$3:$AN$24,MATCH($A24,GDP_CGE!$A$3:$A$24,0),MATCH(AD$9,GDP_CGE!$A$3:$AN$3,0)),GDP_Simple!AD22)</f>
        <v>14.273587894723452</v>
      </c>
      <c r="AE24">
        <f>IF($C$3="CGE",INDEX(GDP_CGE!$A$3:$AN$24,MATCH($A24,GDP_CGE!$A$3:$A$24,0),MATCH(AE$9,GDP_CGE!$A$3:$AN$3,0)),GDP_Simple!AE22)</f>
        <v>14.653917896536141</v>
      </c>
      <c r="AF24">
        <f>IF($C$3="CGE",INDEX(GDP_CGE!$A$3:$AN$24,MATCH($A24,GDP_CGE!$A$3:$A$24,0),MATCH(AF$9,GDP_CGE!$A$3:$AN$3,0)),GDP_Simple!AF22)</f>
        <v>15.068453888260731</v>
      </c>
      <c r="AG24">
        <f>IF($C$3="CGE",INDEX(GDP_CGE!$A$3:$AN$24,MATCH($A24,GDP_CGE!$A$3:$A$24,0),MATCH(AG$9,GDP_CGE!$A$3:$AN$3,0)),GDP_Simple!AG22)</f>
        <v>15.545780890218635</v>
      </c>
    </row>
    <row r="25" spans="1:33" x14ac:dyDescent="0.25">
      <c r="A25" s="3" t="s">
        <v>37</v>
      </c>
      <c r="B25">
        <f>IF($C$3="CGE",INDEX(GDP_CGE!$A$3:$AN$24,MATCH($A25,GDP_CGE!$A$3:$A$24,0),MATCH(B$9,GDP_CGE!$A$3:$AN$3,0)),GDP_Simple!B23)</f>
        <v>46.318025213526461</v>
      </c>
      <c r="C25">
        <f>IF($C$3="CGE",INDEX(GDP_CGE!$A$3:$AN$24,MATCH($A25,GDP_CGE!$A$3:$A$24,0),MATCH(C$9,GDP_CGE!$A$3:$AN$3,0)),GDP_Simple!C23)</f>
        <v>28.848450924973463</v>
      </c>
      <c r="D25">
        <f>IF($C$3="CGE",INDEX(GDP_CGE!$A$3:$AN$24,MATCH($A25,GDP_CGE!$A$3:$A$24,0),MATCH(D$9,GDP_CGE!$A$3:$AN$3,0)),GDP_Simple!D23)</f>
        <v>33.256288243860944</v>
      </c>
      <c r="E25">
        <f>IF($C$3="CGE",INDEX(GDP_CGE!$A$3:$AN$24,MATCH($A25,GDP_CGE!$A$3:$A$24,0),MATCH(E$9,GDP_CGE!$A$3:$AN$3,0)),GDP_Simple!E23)</f>
        <v>38.311460986223757</v>
      </c>
      <c r="F25">
        <f>IF($C$3="CGE",INDEX(GDP_CGE!$A$3:$AN$24,MATCH($A25,GDP_CGE!$A$3:$A$24,0),MATCH(F$9,GDP_CGE!$A$3:$AN$3,0)),GDP_Simple!F23)</f>
        <v>38.311460986223757</v>
      </c>
      <c r="G25">
        <f>IF($C$3="CGE",INDEX(GDP_CGE!$A$3:$AN$24,MATCH($A25,GDP_CGE!$A$3:$A$24,0),MATCH(G$9,GDP_CGE!$A$3:$AN$3,0)),GDP_Simple!G23)</f>
        <v>38.311460986223778</v>
      </c>
      <c r="H25">
        <f>IF($C$3="CGE",INDEX(GDP_CGE!$A$3:$AN$24,MATCH($A25,GDP_CGE!$A$3:$A$24,0),MATCH(H$9,GDP_CGE!$A$3:$AN$3,0)),GDP_Simple!H23)</f>
        <v>38.311460986223778</v>
      </c>
      <c r="I25">
        <f>IF($C$3="CGE",INDEX(GDP_CGE!$A$3:$AN$24,MATCH($A25,GDP_CGE!$A$3:$A$24,0),MATCH(I$9,GDP_CGE!$A$3:$AN$3,0)),GDP_Simple!I23)</f>
        <v>38.311460986223778</v>
      </c>
      <c r="J25">
        <f>IF($C$3="CGE",INDEX(GDP_CGE!$A$3:$AN$24,MATCH($A25,GDP_CGE!$A$3:$A$24,0),MATCH(J$9,GDP_CGE!$A$3:$AN$3,0)),GDP_Simple!J23)</f>
        <v>38.310384344417763</v>
      </c>
      <c r="K25">
        <f>IF($C$3="CGE",INDEX(GDP_CGE!$A$3:$AN$24,MATCH($A25,GDP_CGE!$A$3:$A$24,0),MATCH(K$9,GDP_CGE!$A$3:$AN$3,0)),GDP_Simple!K23)</f>
        <v>15.707851994016872</v>
      </c>
      <c r="L25">
        <f>IF($C$3="CGE",INDEX(GDP_CGE!$A$3:$AN$24,MATCH($A25,GDP_CGE!$A$3:$A$24,0),MATCH(L$9,GDP_CGE!$A$3:$AN$3,0)),GDP_Simple!L23)</f>
        <v>9.6569905959133457</v>
      </c>
      <c r="M25">
        <f>IF($C$3="CGE",INDEX(GDP_CGE!$A$3:$AN$24,MATCH($A25,GDP_CGE!$A$3:$A$24,0),MATCH(M$9,GDP_CGE!$A$3:$AN$3,0)),GDP_Simple!M23)</f>
        <v>9.6168986303249184</v>
      </c>
      <c r="N25">
        <f>IF($C$3="CGE",INDEX(GDP_CGE!$A$3:$AN$24,MATCH($A25,GDP_CGE!$A$3:$A$24,0),MATCH(N$9,GDP_CGE!$A$3:$AN$3,0)),GDP_Simple!N23)</f>
        <v>9.616898630324922</v>
      </c>
      <c r="O25">
        <f>IF($C$3="CGE",INDEX(GDP_CGE!$A$3:$AN$24,MATCH($A25,GDP_CGE!$A$3:$A$24,0),MATCH(O$9,GDP_CGE!$A$3:$AN$3,0)),GDP_Simple!O23)</f>
        <v>9.6168986303249167</v>
      </c>
      <c r="P25">
        <f>IF($C$3="CGE",INDEX(GDP_CGE!$A$3:$AN$24,MATCH($A25,GDP_CGE!$A$3:$A$24,0),MATCH(P$9,GDP_CGE!$A$3:$AN$3,0)),GDP_Simple!P23)</f>
        <v>9.6168986303249149</v>
      </c>
      <c r="Q25">
        <f>IF($C$3="CGE",INDEX(GDP_CGE!$A$3:$AN$24,MATCH($A25,GDP_CGE!$A$3:$A$24,0),MATCH(Q$9,GDP_CGE!$A$3:$AN$3,0)),GDP_Simple!Q23)</f>
        <v>9.6168986303249113</v>
      </c>
      <c r="R25">
        <f>IF($C$3="CGE",INDEX(GDP_CGE!$A$3:$AN$24,MATCH($A25,GDP_CGE!$A$3:$A$24,0),MATCH(R$9,GDP_CGE!$A$3:$AN$3,0)),GDP_Simple!R23)</f>
        <v>9.6168986303249095</v>
      </c>
      <c r="S25">
        <f>IF($C$3="CGE",INDEX(GDP_CGE!$A$3:$AN$24,MATCH($A25,GDP_CGE!$A$3:$A$24,0),MATCH(S$9,GDP_CGE!$A$3:$AN$3,0)),GDP_Simple!S23)</f>
        <v>9.6168986303249131</v>
      </c>
      <c r="T25">
        <f>IF($C$3="CGE",INDEX(GDP_CGE!$A$3:$AN$24,MATCH($A25,GDP_CGE!$A$3:$A$24,0),MATCH(T$9,GDP_CGE!$A$3:$AN$3,0)),GDP_Simple!T23)</f>
        <v>9.6197605832035844</v>
      </c>
      <c r="U25">
        <f>IF($C$3="CGE",INDEX(GDP_CGE!$A$3:$AN$24,MATCH($A25,GDP_CGE!$A$3:$A$24,0),MATCH(U$9,GDP_CGE!$A$3:$AN$3,0)),GDP_Simple!U23)</f>
        <v>9.6348234752431487</v>
      </c>
      <c r="V25">
        <f>IF($C$3="CGE",INDEX(GDP_CGE!$A$3:$AN$24,MATCH($A25,GDP_CGE!$A$3:$A$24,0),MATCH(V$9,GDP_CGE!$A$3:$AN$3,0)),GDP_Simple!V23)</f>
        <v>9.6498863672827113</v>
      </c>
      <c r="W25">
        <f>IF($C$3="CGE",INDEX(GDP_CGE!$A$3:$AN$24,MATCH($A25,GDP_CGE!$A$3:$A$24,0),MATCH(W$9,GDP_CGE!$A$3:$AN$3,0)),GDP_Simple!W23)</f>
        <v>9.6649492593222739</v>
      </c>
      <c r="X25">
        <f>IF($C$3="CGE",INDEX(GDP_CGE!$A$3:$AN$24,MATCH($A25,GDP_CGE!$A$3:$A$24,0),MATCH(X$9,GDP_CGE!$A$3:$AN$3,0)),GDP_Simple!X23)</f>
        <v>9.6649492593222739</v>
      </c>
      <c r="Y25">
        <f>IF($C$3="CGE",INDEX(GDP_CGE!$A$3:$AN$24,MATCH($A25,GDP_CGE!$A$3:$A$24,0),MATCH(Y$9,GDP_CGE!$A$3:$AN$3,0)),GDP_Simple!Y23)</f>
        <v>9.6649492593222703</v>
      </c>
      <c r="Z25">
        <f>IF($C$3="CGE",INDEX(GDP_CGE!$A$3:$AN$24,MATCH($A25,GDP_CGE!$A$3:$A$24,0),MATCH(Z$9,GDP_CGE!$A$3:$AN$3,0)),GDP_Simple!Z23)</f>
        <v>9.6649492593222703</v>
      </c>
      <c r="AA25">
        <f>IF($C$3="CGE",INDEX(GDP_CGE!$A$3:$AN$24,MATCH($A25,GDP_CGE!$A$3:$A$24,0),MATCH(AA$9,GDP_CGE!$A$3:$AN$3,0)),GDP_Simple!AA23)</f>
        <v>9.6649492593222686</v>
      </c>
      <c r="AB25">
        <f>IF($C$3="CGE",INDEX(GDP_CGE!$A$3:$AN$24,MATCH($A25,GDP_CGE!$A$3:$A$24,0),MATCH(AB$9,GDP_CGE!$A$3:$AN$3,0)),GDP_Simple!AB23)</f>
        <v>9.6649492593222668</v>
      </c>
      <c r="AC25">
        <f>IF($C$3="CGE",INDEX(GDP_CGE!$A$3:$AN$24,MATCH($A25,GDP_CGE!$A$3:$A$24,0),MATCH(AC$9,GDP_CGE!$A$3:$AN$3,0)),GDP_Simple!AC23)</f>
        <v>8.8740852197657407</v>
      </c>
      <c r="AD25">
        <f>IF($C$3="CGE",INDEX(GDP_CGE!$A$3:$AN$24,MATCH($A25,GDP_CGE!$A$3:$A$24,0),MATCH(AD$9,GDP_CGE!$A$3:$AN$3,0)),GDP_Simple!AD23)</f>
        <v>8.0832211802092093</v>
      </c>
      <c r="AE25">
        <f>IF($C$3="CGE",INDEX(GDP_CGE!$A$3:$AN$24,MATCH($A25,GDP_CGE!$A$3:$A$24,0),MATCH(AE$9,GDP_CGE!$A$3:$AN$3,0)),GDP_Simple!AE23)</f>
        <v>7.2923571406526815</v>
      </c>
      <c r="AF25">
        <f>IF($C$3="CGE",INDEX(GDP_CGE!$A$3:$AN$24,MATCH($A25,GDP_CGE!$A$3:$A$24,0),MATCH(AF$9,GDP_CGE!$A$3:$AN$3,0)),GDP_Simple!AF23)</f>
        <v>6.501493101096151</v>
      </c>
      <c r="AG25">
        <f>IF($C$3="CGE",INDEX(GDP_CGE!$A$3:$AN$24,MATCH($A25,GDP_CGE!$A$3:$A$24,0),MATCH(AG$9,GDP_CGE!$A$3:$AN$3,0)),GDP_Simple!AG23)</f>
        <v>5.7106290615396214</v>
      </c>
    </row>
    <row r="26" spans="1:33" x14ac:dyDescent="0.25">
      <c r="A26" s="3" t="s">
        <v>38</v>
      </c>
      <c r="B26">
        <f>IF($C$3="CGE",INDEX(GDP_CGE!$A$3:$AN$24,MATCH($A26,GDP_CGE!$A$3:$A$24,0),MATCH(B$9,GDP_CGE!$A$3:$AN$3,0)),GDP_Simple!B24)</f>
        <v>112.98526133447918</v>
      </c>
      <c r="C26">
        <f>IF($C$3="CGE",INDEX(GDP_CGE!$A$3:$AN$24,MATCH($A26,GDP_CGE!$A$3:$A$24,0),MATCH(C$9,GDP_CGE!$A$3:$AN$3,0)),GDP_Simple!C24)</f>
        <v>109.13247881206568</v>
      </c>
      <c r="D26">
        <f>IF($C$3="CGE",INDEX(GDP_CGE!$A$3:$AN$24,MATCH($A26,GDP_CGE!$A$3:$A$24,0),MATCH(D$9,GDP_CGE!$A$3:$AN$3,0)),GDP_Simple!D24)</f>
        <v>109.89834480093437</v>
      </c>
      <c r="E26">
        <f>IF($C$3="CGE",INDEX(GDP_CGE!$A$3:$AN$24,MATCH($A26,GDP_CGE!$A$3:$A$24,0),MATCH(E$9,GDP_CGE!$A$3:$AN$3,0)),GDP_Simple!E24)</f>
        <v>108.05691691943908</v>
      </c>
      <c r="F26">
        <f>IF($C$3="CGE",INDEX(GDP_CGE!$A$3:$AN$24,MATCH($A26,GDP_CGE!$A$3:$A$24,0),MATCH(F$9,GDP_CGE!$A$3:$AN$3,0)),GDP_Simple!F24)</f>
        <v>104.86488366021064</v>
      </c>
      <c r="G26">
        <f>IF($C$3="CGE",INDEX(GDP_CGE!$A$3:$AN$24,MATCH($A26,GDP_CGE!$A$3:$A$24,0),MATCH(G$9,GDP_CGE!$A$3:$AN$3,0)),GDP_Simple!G24)</f>
        <v>103.24861035672339</v>
      </c>
      <c r="H26">
        <f>IF($C$3="CGE",INDEX(GDP_CGE!$A$3:$AN$24,MATCH($A26,GDP_CGE!$A$3:$A$24,0),MATCH(H$9,GDP_CGE!$A$3:$AN$3,0)),GDP_Simple!H24)</f>
        <v>101.30739673917725</v>
      </c>
      <c r="I26">
        <f>IF($C$3="CGE",INDEX(GDP_CGE!$A$3:$AN$24,MATCH($A26,GDP_CGE!$A$3:$A$24,0),MATCH(I$9,GDP_CGE!$A$3:$AN$3,0)),GDP_Simple!I24)</f>
        <v>100.12171938207966</v>
      </c>
      <c r="J26">
        <f>IF($C$3="CGE",INDEX(GDP_CGE!$A$3:$AN$24,MATCH($A26,GDP_CGE!$A$3:$A$24,0),MATCH(J$9,GDP_CGE!$A$3:$AN$3,0)),GDP_Simple!J24)</f>
        <v>98.818846361449317</v>
      </c>
      <c r="K26">
        <f>IF($C$3="CGE",INDEX(GDP_CGE!$A$3:$AN$24,MATCH($A26,GDP_CGE!$A$3:$A$24,0),MATCH(K$9,GDP_CGE!$A$3:$AN$3,0)),GDP_Simple!K24)</f>
        <v>97.186150682637802</v>
      </c>
      <c r="L26">
        <f>IF($C$3="CGE",INDEX(GDP_CGE!$A$3:$AN$24,MATCH($A26,GDP_CGE!$A$3:$A$24,0),MATCH(L$9,GDP_CGE!$A$3:$AN$3,0)),GDP_Simple!L24)</f>
        <v>94.008208763924642</v>
      </c>
      <c r="M26">
        <f>IF($C$3="CGE",INDEX(GDP_CGE!$A$3:$AN$24,MATCH($A26,GDP_CGE!$A$3:$A$24,0),MATCH(M$9,GDP_CGE!$A$3:$AN$3,0)),GDP_Simple!M24)</f>
        <v>88.050726956067635</v>
      </c>
      <c r="N26">
        <f>IF($C$3="CGE",INDEX(GDP_CGE!$A$3:$AN$24,MATCH($A26,GDP_CGE!$A$3:$A$24,0),MATCH(N$9,GDP_CGE!$A$3:$AN$3,0)),GDP_Simple!N24)</f>
        <v>84.26011526501479</v>
      </c>
      <c r="O26">
        <f>IF($C$3="CGE",INDEX(GDP_CGE!$A$3:$AN$24,MATCH($A26,GDP_CGE!$A$3:$A$24,0),MATCH(O$9,GDP_CGE!$A$3:$AN$3,0)),GDP_Simple!O24)</f>
        <v>84.320407224516302</v>
      </c>
      <c r="P26">
        <f>IF($C$3="CGE",INDEX(GDP_CGE!$A$3:$AN$24,MATCH($A26,GDP_CGE!$A$3:$A$24,0),MATCH(P$9,GDP_CGE!$A$3:$AN$3,0)),GDP_Simple!P24)</f>
        <v>83.463582308687165</v>
      </c>
      <c r="Q26">
        <f>IF($C$3="CGE",INDEX(GDP_CGE!$A$3:$AN$24,MATCH($A26,GDP_CGE!$A$3:$A$24,0),MATCH(Q$9,GDP_CGE!$A$3:$AN$3,0)),GDP_Simple!Q24)</f>
        <v>83.123185551836116</v>
      </c>
      <c r="R26">
        <f>IF($C$3="CGE",INDEX(GDP_CGE!$A$3:$AN$24,MATCH($A26,GDP_CGE!$A$3:$A$24,0),MATCH(R$9,GDP_CGE!$A$3:$AN$3,0)),GDP_Simple!R24)</f>
        <v>82.339979924533395</v>
      </c>
      <c r="S26">
        <f>IF($C$3="CGE",INDEX(GDP_CGE!$A$3:$AN$24,MATCH($A26,GDP_CGE!$A$3:$A$24,0),MATCH(S$9,GDP_CGE!$A$3:$AN$3,0)),GDP_Simple!S24)</f>
        <v>82.169965088323181</v>
      </c>
      <c r="T26">
        <f>IF($C$3="CGE",INDEX(GDP_CGE!$A$3:$AN$24,MATCH($A26,GDP_CGE!$A$3:$A$24,0),MATCH(T$9,GDP_CGE!$A$3:$AN$3,0)),GDP_Simple!T24)</f>
        <v>81.360523131733132</v>
      </c>
      <c r="U26">
        <f>IF($C$3="CGE",INDEX(GDP_CGE!$A$3:$AN$24,MATCH($A26,GDP_CGE!$A$3:$A$24,0),MATCH(U$9,GDP_CGE!$A$3:$AN$3,0)),GDP_Simple!U24)</f>
        <v>79.849690032523</v>
      </c>
      <c r="V26">
        <f>IF($C$3="CGE",INDEX(GDP_CGE!$A$3:$AN$24,MATCH($A26,GDP_CGE!$A$3:$A$24,0),MATCH(V$9,GDP_CGE!$A$3:$AN$3,0)),GDP_Simple!V24)</f>
        <v>78.338856933312883</v>
      </c>
      <c r="W26">
        <f>IF($C$3="CGE",INDEX(GDP_CGE!$A$3:$AN$24,MATCH($A26,GDP_CGE!$A$3:$A$24,0),MATCH(W$9,GDP_CGE!$A$3:$AN$3,0)),GDP_Simple!W24)</f>
        <v>76.828023834102765</v>
      </c>
      <c r="X26">
        <f>IF($C$3="CGE",INDEX(GDP_CGE!$A$3:$AN$24,MATCH($A26,GDP_CGE!$A$3:$A$24,0),MATCH(X$9,GDP_CGE!$A$3:$AN$3,0)),GDP_Simple!X24)</f>
        <v>74.501386929053979</v>
      </c>
      <c r="Y26">
        <f>IF($C$3="CGE",INDEX(GDP_CGE!$A$3:$AN$24,MATCH($A26,GDP_CGE!$A$3:$A$24,0),MATCH(Y$9,GDP_CGE!$A$3:$AN$3,0)),GDP_Simple!Y24)</f>
        <v>72.174750024005178</v>
      </c>
      <c r="Z26">
        <f>IF($C$3="CGE",INDEX(GDP_CGE!$A$3:$AN$24,MATCH($A26,GDP_CGE!$A$3:$A$24,0),MATCH(Z$9,GDP_CGE!$A$3:$AN$3,0)),GDP_Simple!Z24)</f>
        <v>69.848113118956377</v>
      </c>
      <c r="AA26">
        <f>IF($C$3="CGE",INDEX(GDP_CGE!$A$3:$AN$24,MATCH($A26,GDP_CGE!$A$3:$A$24,0),MATCH(AA$9,GDP_CGE!$A$3:$AN$3,0)),GDP_Simple!AA24)</f>
        <v>67.521476213907604</v>
      </c>
      <c r="AB26">
        <f>IF($C$3="CGE",INDEX(GDP_CGE!$A$3:$AN$24,MATCH($A26,GDP_CGE!$A$3:$A$24,0),MATCH(AB$9,GDP_CGE!$A$3:$AN$3,0)),GDP_Simple!AB24)</f>
        <v>65.194839308858803</v>
      </c>
      <c r="AC26">
        <f>IF($C$3="CGE",INDEX(GDP_CGE!$A$3:$AN$24,MATCH($A26,GDP_CGE!$A$3:$A$24,0),MATCH(AC$9,GDP_CGE!$A$3:$AN$3,0)),GDP_Simple!AC24)</f>
        <v>61.646264201611295</v>
      </c>
      <c r="AD26">
        <f>IF($C$3="CGE",INDEX(GDP_CGE!$A$3:$AN$24,MATCH($A26,GDP_CGE!$A$3:$A$24,0),MATCH(AD$9,GDP_CGE!$A$3:$AN$3,0)),GDP_Simple!AD24)</f>
        <v>58.097689094363737</v>
      </c>
      <c r="AE26">
        <f>IF($C$3="CGE",INDEX(GDP_CGE!$A$3:$AN$24,MATCH($A26,GDP_CGE!$A$3:$A$24,0),MATCH(AE$9,GDP_CGE!$A$3:$AN$3,0)),GDP_Simple!AE24)</f>
        <v>54.549113987116236</v>
      </c>
      <c r="AF26">
        <f>IF($C$3="CGE",INDEX(GDP_CGE!$A$3:$AN$24,MATCH($A26,GDP_CGE!$A$3:$A$24,0),MATCH(AF$9,GDP_CGE!$A$3:$AN$3,0)),GDP_Simple!AF24)</f>
        <v>51.000538879868706</v>
      </c>
      <c r="AG26">
        <f>IF($C$3="CGE",INDEX(GDP_CGE!$A$3:$AN$24,MATCH($A26,GDP_CGE!$A$3:$A$24,0),MATCH(AG$9,GDP_CGE!$A$3:$AN$3,0)),GDP_Simple!AG24)</f>
        <v>47.451963772621191</v>
      </c>
    </row>
    <row r="27" spans="1:33" x14ac:dyDescent="0.25">
      <c r="A27" s="3" t="s">
        <v>183</v>
      </c>
      <c r="B27">
        <f>IF($C$3="CGE",INDEX(GDP_CGE!$A$3:$AN$24,MATCH($A27,GDP_CGE!$A$3:$A$24,0),MATCH(B$9,GDP_CGE!$A$3:$AN$3,0)),GDP_Simple!B25)</f>
        <v>97.820469381023031</v>
      </c>
      <c r="C27">
        <f>IF($C$3="CGE",INDEX(GDP_CGE!$A$3:$AN$24,MATCH($A27,GDP_CGE!$A$3:$A$24,0),MATCH(C$9,GDP_CGE!$A$3:$AN$3,0)),GDP_Simple!C25)</f>
        <v>73.913313960824297</v>
      </c>
      <c r="D27">
        <f>IF($C$3="CGE",INDEX(GDP_CGE!$A$3:$AN$24,MATCH($A27,GDP_CGE!$A$3:$A$24,0),MATCH(D$9,GDP_CGE!$A$3:$AN$3,0)),GDP_Simple!D25)</f>
        <v>78.208779943297827</v>
      </c>
      <c r="E27">
        <f>IF($C$3="CGE",INDEX(GDP_CGE!$A$3:$AN$24,MATCH($A27,GDP_CGE!$A$3:$A$24,0),MATCH(E$9,GDP_CGE!$A$3:$AN$3,0)),GDP_Simple!E25)</f>
        <v>82.091230889675288</v>
      </c>
      <c r="F27">
        <f>IF($C$3="CGE",INDEX(GDP_CGE!$A$3:$AN$24,MATCH($A27,GDP_CGE!$A$3:$A$24,0),MATCH(F$9,GDP_CGE!$A$3:$AN$3,0)),GDP_Simple!F25)</f>
        <v>86.023811694050792</v>
      </c>
      <c r="G27">
        <f>IF($C$3="CGE",INDEX(GDP_CGE!$A$3:$AN$24,MATCH($A27,GDP_CGE!$A$3:$A$24,0),MATCH(G$9,GDP_CGE!$A$3:$AN$3,0)),GDP_Simple!G25)</f>
        <v>89.978949716772135</v>
      </c>
      <c r="H27">
        <f>IF($C$3="CGE",INDEX(GDP_CGE!$A$3:$AN$24,MATCH($A27,GDP_CGE!$A$3:$A$24,0),MATCH(H$9,GDP_CGE!$A$3:$AN$3,0)),GDP_Simple!H25)</f>
        <v>93.988702547084102</v>
      </c>
      <c r="I27">
        <f>IF($C$3="CGE",INDEX(GDP_CGE!$A$3:$AN$24,MATCH($A27,GDP_CGE!$A$3:$A$24,0),MATCH(I$9,GDP_CGE!$A$3:$AN$3,0)),GDP_Simple!I25)</f>
        <v>94.601623278396204</v>
      </c>
      <c r="J27">
        <f>IF($C$3="CGE",INDEX(GDP_CGE!$A$3:$AN$24,MATCH($A27,GDP_CGE!$A$3:$A$24,0),MATCH(J$9,GDP_CGE!$A$3:$AN$3,0)),GDP_Simple!J25)</f>
        <v>95.09998757959282</v>
      </c>
      <c r="K27">
        <f>IF($C$3="CGE",INDEX(GDP_CGE!$A$3:$AN$24,MATCH($A27,GDP_CGE!$A$3:$A$24,0),MATCH(K$9,GDP_CGE!$A$3:$AN$3,0)),GDP_Simple!K25)</f>
        <v>96.031590322465647</v>
      </c>
      <c r="L27">
        <f>IF($C$3="CGE",INDEX(GDP_CGE!$A$3:$AN$24,MATCH($A27,GDP_CGE!$A$3:$A$24,0),MATCH(L$9,GDP_CGE!$A$3:$AN$3,0)),GDP_Simple!L25)</f>
        <v>96.65880709725171</v>
      </c>
      <c r="M27">
        <f>IF($C$3="CGE",INDEX(GDP_CGE!$A$3:$AN$24,MATCH($A27,GDP_CGE!$A$3:$A$24,0),MATCH(M$9,GDP_CGE!$A$3:$AN$3,0)),GDP_Simple!M25)</f>
        <v>97.211830092779181</v>
      </c>
      <c r="N27">
        <f>IF($C$3="CGE",INDEX(GDP_CGE!$A$3:$AN$24,MATCH($A27,GDP_CGE!$A$3:$A$24,0),MATCH(N$9,GDP_CGE!$A$3:$AN$3,0)),GDP_Simple!N25)</f>
        <v>99.244171901557323</v>
      </c>
      <c r="O27">
        <f>IF($C$3="CGE",INDEX(GDP_CGE!$A$3:$AN$24,MATCH($A27,GDP_CGE!$A$3:$A$24,0),MATCH(O$9,GDP_CGE!$A$3:$AN$3,0)),GDP_Simple!O25)</f>
        <v>101.30255439640715</v>
      </c>
      <c r="P27">
        <f>IF($C$3="CGE",INDEX(GDP_CGE!$A$3:$AN$24,MATCH($A27,GDP_CGE!$A$3:$A$24,0),MATCH(P$9,GDP_CGE!$A$3:$AN$3,0)),GDP_Simple!P25)</f>
        <v>103.38655369687415</v>
      </c>
      <c r="Q27">
        <f>IF($C$3="CGE",INDEX(GDP_CGE!$A$3:$AN$24,MATCH($A27,GDP_CGE!$A$3:$A$24,0),MATCH(Q$9,GDP_CGE!$A$3:$AN$3,0)),GDP_Simple!Q25)</f>
        <v>105.51922474088373</v>
      </c>
      <c r="R27">
        <f>IF($C$3="CGE",INDEX(GDP_CGE!$A$3:$AN$24,MATCH($A27,GDP_CGE!$A$3:$A$24,0),MATCH(R$9,GDP_CGE!$A$3:$AN$3,0)),GDP_Simple!R25)</f>
        <v>107.743033995549</v>
      </c>
      <c r="S27">
        <f>IF($C$3="CGE",INDEX(GDP_CGE!$A$3:$AN$24,MATCH($A27,GDP_CGE!$A$3:$A$24,0),MATCH(S$9,GDP_CGE!$A$3:$AN$3,0)),GDP_Simple!S25)</f>
        <v>109.94904815191776</v>
      </c>
      <c r="T27">
        <f>IF($C$3="CGE",INDEX(GDP_CGE!$A$3:$AN$24,MATCH($A27,GDP_CGE!$A$3:$A$24,0),MATCH(T$9,GDP_CGE!$A$3:$AN$3,0)),GDP_Simple!T25)</f>
        <v>112.15426021701674</v>
      </c>
      <c r="U27">
        <f>IF($C$3="CGE",INDEX(GDP_CGE!$A$3:$AN$24,MATCH($A27,GDP_CGE!$A$3:$A$24,0),MATCH(U$9,GDP_CGE!$A$3:$AN$3,0)),GDP_Simple!U25)</f>
        <v>114.29676564526724</v>
      </c>
      <c r="V27">
        <f>IF($C$3="CGE",INDEX(GDP_CGE!$A$3:$AN$24,MATCH($A27,GDP_CGE!$A$3:$A$24,0),MATCH(V$9,GDP_CGE!$A$3:$AN$3,0)),GDP_Simple!V25)</f>
        <v>116.38737183924765</v>
      </c>
      <c r="W27">
        <f>IF($C$3="CGE",INDEX(GDP_CGE!$A$3:$AN$24,MATCH($A27,GDP_CGE!$A$3:$A$24,0),MATCH(W$9,GDP_CGE!$A$3:$AN$3,0)),GDP_Simple!W25)</f>
        <v>118.53121289018895</v>
      </c>
      <c r="X27">
        <f>IF($C$3="CGE",INDEX(GDP_CGE!$A$3:$AN$24,MATCH($A27,GDP_CGE!$A$3:$A$24,0),MATCH(X$9,GDP_CGE!$A$3:$AN$3,0)),GDP_Simple!X25)</f>
        <v>141.07977324214679</v>
      </c>
      <c r="Y27">
        <f>IF($C$3="CGE",INDEX(GDP_CGE!$A$3:$AN$24,MATCH($A27,GDP_CGE!$A$3:$A$24,0),MATCH(Y$9,GDP_CGE!$A$3:$AN$3,0)),GDP_Simple!Y25)</f>
        <v>164.01261184755623</v>
      </c>
      <c r="Z27">
        <f>IF($C$3="CGE",INDEX(GDP_CGE!$A$3:$AN$24,MATCH($A27,GDP_CGE!$A$3:$A$24,0),MATCH(Z$9,GDP_CGE!$A$3:$AN$3,0)),GDP_Simple!Z25)</f>
        <v>187.26180622264692</v>
      </c>
      <c r="AA27">
        <f>IF($C$3="CGE",INDEX(GDP_CGE!$A$3:$AN$24,MATCH($A27,GDP_CGE!$A$3:$A$24,0),MATCH(AA$9,GDP_CGE!$A$3:$AN$3,0)),GDP_Simple!AA25)</f>
        <v>210.60558500127854</v>
      </c>
      <c r="AB27">
        <f>IF($C$3="CGE",INDEX(GDP_CGE!$A$3:$AN$24,MATCH($A27,GDP_CGE!$A$3:$A$24,0),MATCH(AB$9,GDP_CGE!$A$3:$AN$3,0)),GDP_Simple!AB25)</f>
        <v>233.99421131493708</v>
      </c>
      <c r="AC27">
        <f>IF($C$3="CGE",INDEX(GDP_CGE!$A$3:$AN$24,MATCH($A27,GDP_CGE!$A$3:$A$24,0),MATCH(AC$9,GDP_CGE!$A$3:$AN$3,0)),GDP_Simple!AC25)</f>
        <v>257.52657000569343</v>
      </c>
      <c r="AD27">
        <f>IF($C$3="CGE",INDEX(GDP_CGE!$A$3:$AN$24,MATCH($A27,GDP_CGE!$A$3:$A$24,0),MATCH(AD$9,GDP_CGE!$A$3:$AN$3,0)),GDP_Simple!AD25)</f>
        <v>281.14634284844976</v>
      </c>
      <c r="AE27">
        <f>IF($C$3="CGE",INDEX(GDP_CGE!$A$3:$AN$24,MATCH($A27,GDP_CGE!$A$3:$A$24,0),MATCH(AE$9,GDP_CGE!$A$3:$AN$3,0)),GDP_Simple!AE25)</f>
        <v>304.80901237165909</v>
      </c>
      <c r="AF27">
        <f>IF($C$3="CGE",INDEX(GDP_CGE!$A$3:$AN$24,MATCH($A27,GDP_CGE!$A$3:$A$24,0),MATCH(AF$9,GDP_CGE!$A$3:$AN$3,0)),GDP_Simple!AF25)</f>
        <v>328.55638361029145</v>
      </c>
      <c r="AG27">
        <f>IF($C$3="CGE",INDEX(GDP_CGE!$A$3:$AN$24,MATCH($A27,GDP_CGE!$A$3:$A$24,0),MATCH(AG$9,GDP_CGE!$A$3:$AN$3,0)),GDP_Simple!AG25)</f>
        <v>352.35921930526433</v>
      </c>
    </row>
    <row r="28" spans="1:33" x14ac:dyDescent="0.25">
      <c r="A28" s="3" t="s">
        <v>184</v>
      </c>
      <c r="B28">
        <f>IF($C$3="CGE",INDEX(GDP_CGE!$A$3:$AN$24,MATCH($A28,GDP_CGE!$A$3:$A$24,0),MATCH(B$9,GDP_CGE!$A$3:$AN$3,0)),GDP_Simple!B26)</f>
        <v>2.4857265311423458</v>
      </c>
      <c r="C28">
        <f>IF($C$3="CGE",INDEX(GDP_CGE!$A$3:$AN$24,MATCH($A28,GDP_CGE!$A$3:$A$24,0),MATCH(C$9,GDP_CGE!$A$3:$AN$3,0)),GDP_Simple!C26)</f>
        <v>2.3216577605390492</v>
      </c>
      <c r="D28">
        <f>IF($C$3="CGE",INDEX(GDP_CGE!$A$3:$AN$24,MATCH($A28,GDP_CGE!$A$3:$A$24,0),MATCH(D$9,GDP_CGE!$A$3:$AN$3,0)),GDP_Simple!D26)</f>
        <v>2.3513355033208501</v>
      </c>
      <c r="E28">
        <f>IF($C$3="CGE",INDEX(GDP_CGE!$A$3:$AN$24,MATCH($A28,GDP_CGE!$A$3:$A$24,0),MATCH(E$9,GDP_CGE!$A$3:$AN$3,0)),GDP_Simple!E26)</f>
        <v>2.392366171014471</v>
      </c>
      <c r="F28">
        <f>IF($C$3="CGE",INDEX(GDP_CGE!$A$3:$AN$24,MATCH($A28,GDP_CGE!$A$3:$A$24,0),MATCH(F$9,GDP_CGE!$A$3:$AN$3,0)),GDP_Simple!F26)</f>
        <v>2.4009523026687525</v>
      </c>
      <c r="G28">
        <f>IF($C$3="CGE",INDEX(GDP_CGE!$A$3:$AN$24,MATCH($A28,GDP_CGE!$A$3:$A$24,0),MATCH(G$9,GDP_CGE!$A$3:$AN$3,0)),GDP_Simple!G26)</f>
        <v>2.4109595790844467</v>
      </c>
      <c r="H28">
        <f>IF($C$3="CGE",INDEX(GDP_CGE!$A$3:$AN$24,MATCH($A28,GDP_CGE!$A$3:$A$24,0),MATCH(H$9,GDP_CGE!$A$3:$AN$3,0)),GDP_Simple!H26)</f>
        <v>2.4202688263210699</v>
      </c>
      <c r="I28">
        <f>IF($C$3="CGE",INDEX(GDP_CGE!$A$3:$AN$24,MATCH($A28,GDP_CGE!$A$3:$A$24,0),MATCH(I$9,GDP_CGE!$A$3:$AN$3,0)),GDP_Simple!I26)</f>
        <v>2.4478947713248296</v>
      </c>
      <c r="J28">
        <f>IF($C$3="CGE",INDEX(GDP_CGE!$A$3:$AN$24,MATCH($A28,GDP_CGE!$A$3:$A$24,0),MATCH(J$9,GDP_CGE!$A$3:$AN$3,0)),GDP_Simple!J26)</f>
        <v>2.4726873349956495</v>
      </c>
      <c r="K28">
        <f>IF($C$3="CGE",INDEX(GDP_CGE!$A$3:$AN$24,MATCH($A28,GDP_CGE!$A$3:$A$24,0),MATCH(K$9,GDP_CGE!$A$3:$AN$3,0)),GDP_Simple!K26)</f>
        <v>2.4678605054639964</v>
      </c>
      <c r="L28">
        <f>IF($C$3="CGE",INDEX(GDP_CGE!$A$3:$AN$24,MATCH($A28,GDP_CGE!$A$3:$A$24,0),MATCH(L$9,GDP_CGE!$A$3:$AN$3,0)),GDP_Simple!L26)</f>
        <v>2.4761066261029905</v>
      </c>
      <c r="M28">
        <f>IF($C$3="CGE",INDEX(GDP_CGE!$A$3:$AN$24,MATCH($A28,GDP_CGE!$A$3:$A$24,0),MATCH(M$9,GDP_CGE!$A$3:$AN$3,0)),GDP_Simple!M26)</f>
        <v>2.5115838844657694</v>
      </c>
      <c r="N28">
        <f>IF($C$3="CGE",INDEX(GDP_CGE!$A$3:$AN$24,MATCH($A28,GDP_CGE!$A$3:$A$24,0),MATCH(N$9,GDP_CGE!$A$3:$AN$3,0)),GDP_Simple!N26)</f>
        <v>2.5537620220900612</v>
      </c>
      <c r="O28">
        <f>IF($C$3="CGE",INDEX(GDP_CGE!$A$3:$AN$24,MATCH($A28,GDP_CGE!$A$3:$A$24,0),MATCH(O$9,GDP_CGE!$A$3:$AN$3,0)),GDP_Simple!O26)</f>
        <v>2.5971746891630745</v>
      </c>
      <c r="P28">
        <f>IF($C$3="CGE",INDEX(GDP_CGE!$A$3:$AN$24,MATCH($A28,GDP_CGE!$A$3:$A$24,0),MATCH(P$9,GDP_CGE!$A$3:$AN$3,0)),GDP_Simple!P26)</f>
        <v>2.6441728435753356</v>
      </c>
      <c r="Q28">
        <f>IF($C$3="CGE",INDEX(GDP_CGE!$A$3:$AN$24,MATCH($A28,GDP_CGE!$A$3:$A$24,0),MATCH(Q$9,GDP_CGE!$A$3:$AN$3,0)),GDP_Simple!Q26)</f>
        <v>2.6987598328434066</v>
      </c>
      <c r="R28">
        <f>IF($C$3="CGE",INDEX(GDP_CGE!$A$3:$AN$24,MATCH($A28,GDP_CGE!$A$3:$A$24,0),MATCH(R$9,GDP_CGE!$A$3:$AN$3,0)),GDP_Simple!R26)</f>
        <v>2.7615519314400618</v>
      </c>
      <c r="S28">
        <f>IF($C$3="CGE",INDEX(GDP_CGE!$A$3:$AN$24,MATCH($A28,GDP_CGE!$A$3:$A$24,0),MATCH(S$9,GDP_CGE!$A$3:$AN$3,0)),GDP_Simple!S26)</f>
        <v>2.827499628184281</v>
      </c>
      <c r="T28">
        <f>IF($C$3="CGE",INDEX(GDP_CGE!$A$3:$AN$24,MATCH($A28,GDP_CGE!$A$3:$A$24,0),MATCH(T$9,GDP_CGE!$A$3:$AN$3,0)),GDP_Simple!T26)</f>
        <v>2.8946947555630618</v>
      </c>
      <c r="U28">
        <f>IF($C$3="CGE",INDEX(GDP_CGE!$A$3:$AN$24,MATCH($A28,GDP_CGE!$A$3:$A$24,0),MATCH(U$9,GDP_CGE!$A$3:$AN$3,0)),GDP_Simple!U26)</f>
        <v>2.9631703424198053</v>
      </c>
      <c r="V28">
        <f>IF($C$3="CGE",INDEX(GDP_CGE!$A$3:$AN$24,MATCH($A28,GDP_CGE!$A$3:$A$24,0),MATCH(V$9,GDP_CGE!$A$3:$AN$3,0)),GDP_Simple!V26)</f>
        <v>3.0415530903637489</v>
      </c>
      <c r="W28">
        <f>IF($C$3="CGE",INDEX(GDP_CGE!$A$3:$AN$24,MATCH($A28,GDP_CGE!$A$3:$A$24,0),MATCH(W$9,GDP_CGE!$A$3:$AN$3,0)),GDP_Simple!W26)</f>
        <v>3.1000799151416327</v>
      </c>
      <c r="X28">
        <f>IF($C$3="CGE",INDEX(GDP_CGE!$A$3:$AN$24,MATCH($A28,GDP_CGE!$A$3:$A$24,0),MATCH(X$9,GDP_CGE!$A$3:$AN$3,0)),GDP_Simple!X26)</f>
        <v>3.1092960059756716</v>
      </c>
      <c r="Y28">
        <f>IF($C$3="CGE",INDEX(GDP_CGE!$A$3:$AN$24,MATCH($A28,GDP_CGE!$A$3:$A$24,0),MATCH(Y$9,GDP_CGE!$A$3:$AN$3,0)),GDP_Simple!Y26)</f>
        <v>3.1377293344716168</v>
      </c>
      <c r="Z28">
        <f>IF($C$3="CGE",INDEX(GDP_CGE!$A$3:$AN$24,MATCH($A28,GDP_CGE!$A$3:$A$24,0),MATCH(Z$9,GDP_CGE!$A$3:$AN$3,0)),GDP_Simple!Z26)</f>
        <v>3.1910947960365301</v>
      </c>
      <c r="AA28">
        <f>IF($C$3="CGE",INDEX(GDP_CGE!$A$3:$AN$24,MATCH($A28,GDP_CGE!$A$3:$A$24,0),MATCH(AA$9,GDP_CGE!$A$3:$AN$3,0)),GDP_Simple!AA26)</f>
        <v>3.2568471137393558</v>
      </c>
      <c r="AB28">
        <f>IF($C$3="CGE",INDEX(GDP_CGE!$A$3:$AN$24,MATCH($A28,GDP_CGE!$A$3:$A$24,0),MATCH(AB$9,GDP_CGE!$A$3:$AN$3,0)),GDP_Simple!AB26)</f>
        <v>3.3294270599378994</v>
      </c>
      <c r="AC28">
        <f>IF($C$3="CGE",INDEX(GDP_CGE!$A$3:$AN$24,MATCH($A28,GDP_CGE!$A$3:$A$24,0),MATCH(AC$9,GDP_CGE!$A$3:$AN$3,0)),GDP_Simple!AC26)</f>
        <v>3.3182477195223767</v>
      </c>
      <c r="AD28">
        <f>IF($C$3="CGE",INDEX(GDP_CGE!$A$3:$AN$24,MATCH($A28,GDP_CGE!$A$3:$A$24,0),MATCH(AD$9,GDP_CGE!$A$3:$AN$3,0)),GDP_Simple!AD26)</f>
        <v>3.3106306911698304</v>
      </c>
      <c r="AE28">
        <f>IF($C$3="CGE",INDEX(GDP_CGE!$A$3:$AN$24,MATCH($A28,GDP_CGE!$A$3:$A$24,0),MATCH(AE$9,GDP_CGE!$A$3:$AN$3,0)),GDP_Simple!AE26)</f>
        <v>3.3144033825174981</v>
      </c>
      <c r="AF28">
        <f>IF($C$3="CGE",INDEX(GDP_CGE!$A$3:$AN$24,MATCH($A28,GDP_CGE!$A$3:$A$24,0),MATCH(AF$9,GDP_CGE!$A$3:$AN$3,0)),GDP_Simple!AF26)</f>
        <v>3.3350870591101076</v>
      </c>
      <c r="AG28">
        <f>IF($C$3="CGE",INDEX(GDP_CGE!$A$3:$AN$24,MATCH($A28,GDP_CGE!$A$3:$A$24,0),MATCH(AG$9,GDP_CGE!$A$3:$AN$3,0)),GDP_Simple!AG26)</f>
        <v>3.3703664657154717</v>
      </c>
    </row>
    <row r="29" spans="1:33" x14ac:dyDescent="0.25">
      <c r="A29" s="3" t="s">
        <v>188</v>
      </c>
      <c r="B29">
        <f>IF($C$3="CGE",INDEX(GDP_CGE!$A$3:$AN$24,MATCH($A29,GDP_CGE!$A$3:$A$24,0),MATCH(B$9,GDP_CGE!$A$3:$AN$3,0)),GDP_Simple!B27)</f>
        <v>0.28999999999999998</v>
      </c>
      <c r="C29">
        <f>IF($C$3="CGE",INDEX(GDP_CGE!$A$3:$AN$24,MATCH($A29,GDP_CGE!$A$3:$A$24,0),MATCH(C$9,GDP_CGE!$A$3:$AN$3,0)),GDP_Simple!C27)</f>
        <v>0.28999999999999998</v>
      </c>
      <c r="D29">
        <f>IF($C$3="CGE",INDEX(GDP_CGE!$A$3:$AN$24,MATCH($A29,GDP_CGE!$A$3:$A$24,0),MATCH(D$9,GDP_CGE!$A$3:$AN$3,0)),GDP_Simple!D27)</f>
        <v>0.28951354624338443</v>
      </c>
      <c r="E29">
        <f>IF($C$3="CGE",INDEX(GDP_CGE!$A$3:$AN$24,MATCH($A29,GDP_CGE!$A$3:$A$24,0),MATCH(E$9,GDP_CGE!$A$3:$AN$3,0)),GDP_Simple!E27)</f>
        <v>0.28938201099307848</v>
      </c>
      <c r="F29">
        <f>IF($C$3="CGE",INDEX(GDP_CGE!$A$3:$AN$24,MATCH($A29,GDP_CGE!$A$3:$A$24,0),MATCH(F$9,GDP_CGE!$A$3:$AN$3,0)),GDP_Simple!F27)</f>
        <v>0.28938201099307853</v>
      </c>
      <c r="G29">
        <f>IF($C$3="CGE",INDEX(GDP_CGE!$A$3:$AN$24,MATCH($A29,GDP_CGE!$A$3:$A$24,0),MATCH(G$9,GDP_CGE!$A$3:$AN$3,0)),GDP_Simple!G27)</f>
        <v>0.2893820109930787</v>
      </c>
      <c r="H29">
        <f>IF($C$3="CGE",INDEX(GDP_CGE!$A$3:$AN$24,MATCH($A29,GDP_CGE!$A$3:$A$24,0),MATCH(H$9,GDP_CGE!$A$3:$AN$3,0)),GDP_Simple!H27)</f>
        <v>0.2893820109930787</v>
      </c>
      <c r="I29">
        <f>IF($C$3="CGE",INDEX(GDP_CGE!$A$3:$AN$24,MATCH($A29,GDP_CGE!$A$3:$A$24,0),MATCH(I$9,GDP_CGE!$A$3:$AN$3,0)),GDP_Simple!I27)</f>
        <v>0.2893820109930787</v>
      </c>
      <c r="J29">
        <f>IF($C$3="CGE",INDEX(GDP_CGE!$A$3:$AN$24,MATCH($A29,GDP_CGE!$A$3:$A$24,0),MATCH(J$9,GDP_CGE!$A$3:$AN$3,0)),GDP_Simple!J27)</f>
        <v>0.2893738786806343</v>
      </c>
      <c r="K29">
        <f>IF($C$3="CGE",INDEX(GDP_CGE!$A$3:$AN$24,MATCH($A29,GDP_CGE!$A$3:$A$24,0),MATCH(K$9,GDP_CGE!$A$3:$AN$3,0)),GDP_Simple!K27)</f>
        <v>0.28937387868063436</v>
      </c>
      <c r="L29">
        <f>IF($C$3="CGE",INDEX(GDP_CGE!$A$3:$AN$24,MATCH($A29,GDP_CGE!$A$3:$A$24,0),MATCH(L$9,GDP_CGE!$A$3:$AN$3,0)),GDP_Simple!L27)</f>
        <v>0.2893738786806343</v>
      </c>
      <c r="M29">
        <f>IF($C$3="CGE",INDEX(GDP_CGE!$A$3:$AN$24,MATCH($A29,GDP_CGE!$A$3:$A$24,0),MATCH(M$9,GDP_CGE!$A$3:$AN$3,0)),GDP_Simple!M27)</f>
        <v>0.28937387868063424</v>
      </c>
      <c r="N29">
        <f>IF($C$3="CGE",INDEX(GDP_CGE!$A$3:$AN$24,MATCH($A29,GDP_CGE!$A$3:$A$24,0),MATCH(N$9,GDP_CGE!$A$3:$AN$3,0)),GDP_Simple!N27)</f>
        <v>0.2893738786806343</v>
      </c>
      <c r="O29">
        <f>IF($C$3="CGE",INDEX(GDP_CGE!$A$3:$AN$24,MATCH($A29,GDP_CGE!$A$3:$A$24,0),MATCH(O$9,GDP_CGE!$A$3:$AN$3,0)),GDP_Simple!O27)</f>
        <v>0.28937387868063419</v>
      </c>
      <c r="P29">
        <f>IF($C$3="CGE",INDEX(GDP_CGE!$A$3:$AN$24,MATCH($A29,GDP_CGE!$A$3:$A$24,0),MATCH(P$9,GDP_CGE!$A$3:$AN$3,0)),GDP_Simple!P27)</f>
        <v>0.28937387868063413</v>
      </c>
      <c r="Q29">
        <f>IF($C$3="CGE",INDEX(GDP_CGE!$A$3:$AN$24,MATCH($A29,GDP_CGE!$A$3:$A$24,0),MATCH(Q$9,GDP_CGE!$A$3:$AN$3,0)),GDP_Simple!Q27)</f>
        <v>0.28937387868063408</v>
      </c>
      <c r="R29">
        <f>IF($C$3="CGE",INDEX(GDP_CGE!$A$3:$AN$24,MATCH($A29,GDP_CGE!$A$3:$A$24,0),MATCH(R$9,GDP_CGE!$A$3:$AN$3,0)),GDP_Simple!R27)</f>
        <v>0.28937387868063402</v>
      </c>
      <c r="S29">
        <f>IF($C$3="CGE",INDEX(GDP_CGE!$A$3:$AN$24,MATCH($A29,GDP_CGE!$A$3:$A$24,0),MATCH(S$9,GDP_CGE!$A$3:$AN$3,0)),GDP_Simple!S27)</f>
        <v>0.28937387868063408</v>
      </c>
      <c r="T29">
        <f>IF($C$3="CGE",INDEX(GDP_CGE!$A$3:$AN$24,MATCH($A29,GDP_CGE!$A$3:$A$24,0),MATCH(T$9,GDP_CGE!$A$3:$AN$3,0)),GDP_Simple!T27)</f>
        <v>0.28937387868063391</v>
      </c>
      <c r="U29">
        <f>IF($C$3="CGE",INDEX(GDP_CGE!$A$3:$AN$24,MATCH($A29,GDP_CGE!$A$3:$A$24,0),MATCH(U$9,GDP_CGE!$A$3:$AN$3,0)),GDP_Simple!U27)</f>
        <v>7.0056503058473751</v>
      </c>
      <c r="V29">
        <f>IF($C$3="CGE",INDEX(GDP_CGE!$A$3:$AN$24,MATCH($A29,GDP_CGE!$A$3:$A$24,0),MATCH(V$9,GDP_CGE!$A$3:$AN$3,0)),GDP_Simple!V27)</f>
        <v>14.011300611694748</v>
      </c>
      <c r="W29">
        <f>IF($C$3="CGE",INDEX(GDP_CGE!$A$3:$AN$24,MATCH($A29,GDP_CGE!$A$3:$A$24,0),MATCH(W$9,GDP_CGE!$A$3:$AN$3,0)),GDP_Simple!W27)</f>
        <v>21.016950917542118</v>
      </c>
      <c r="X29">
        <f>IF($C$3="CGE",INDEX(GDP_CGE!$A$3:$AN$24,MATCH($A29,GDP_CGE!$A$3:$A$24,0),MATCH(X$9,GDP_CGE!$A$3:$AN$3,0)),GDP_Simple!X27)</f>
        <v>23.827870240243875</v>
      </c>
      <c r="Y29">
        <f>IF($C$3="CGE",INDEX(GDP_CGE!$A$3:$AN$24,MATCH($A29,GDP_CGE!$A$3:$A$24,0),MATCH(Y$9,GDP_CGE!$A$3:$AN$3,0)),GDP_Simple!Y27)</f>
        <v>26.638789562945625</v>
      </c>
      <c r="Z29">
        <f>IF($C$3="CGE",INDEX(GDP_CGE!$A$3:$AN$24,MATCH($A29,GDP_CGE!$A$3:$A$24,0),MATCH(Z$9,GDP_CGE!$A$3:$AN$3,0)),GDP_Simple!Z27)</f>
        <v>29.449708885647372</v>
      </c>
      <c r="AA29">
        <f>IF($C$3="CGE",INDEX(GDP_CGE!$A$3:$AN$24,MATCH($A29,GDP_CGE!$A$3:$A$24,0),MATCH(AA$9,GDP_CGE!$A$3:$AN$3,0)),GDP_Simple!AA27)</f>
        <v>32.260628208349125</v>
      </c>
      <c r="AB29">
        <f>IF($C$3="CGE",INDEX(GDP_CGE!$A$3:$AN$24,MATCH($A29,GDP_CGE!$A$3:$A$24,0),MATCH(AB$9,GDP_CGE!$A$3:$AN$3,0)),GDP_Simple!AB27)</f>
        <v>35.071547531050882</v>
      </c>
      <c r="AC29">
        <f>IF($C$3="CGE",INDEX(GDP_CGE!$A$3:$AN$24,MATCH($A29,GDP_CGE!$A$3:$A$24,0),MATCH(AC$9,GDP_CGE!$A$3:$AN$3,0)),GDP_Simple!AC27)</f>
        <v>34.492007047839728</v>
      </c>
      <c r="AD29">
        <f>IF($C$3="CGE",INDEX(GDP_CGE!$A$3:$AN$24,MATCH($A29,GDP_CGE!$A$3:$A$24,0),MATCH(AD$9,GDP_CGE!$A$3:$AN$3,0)),GDP_Simple!AD27)</f>
        <v>33.912466564628545</v>
      </c>
      <c r="AE29">
        <f>IF($C$3="CGE",INDEX(GDP_CGE!$A$3:$AN$24,MATCH($A29,GDP_CGE!$A$3:$A$24,0),MATCH(AE$9,GDP_CGE!$A$3:$AN$3,0)),GDP_Simple!AE27)</f>
        <v>33.332926081417384</v>
      </c>
      <c r="AF29">
        <f>IF($C$3="CGE",INDEX(GDP_CGE!$A$3:$AN$24,MATCH($A29,GDP_CGE!$A$3:$A$24,0),MATCH(AF$9,GDP_CGE!$A$3:$AN$3,0)),GDP_Simple!AF27)</f>
        <v>32.753385598206215</v>
      </c>
      <c r="AG29">
        <f>IF($C$3="CGE",INDEX(GDP_CGE!$A$3:$AN$24,MATCH($A29,GDP_CGE!$A$3:$A$24,0),MATCH(AG$9,GDP_CGE!$A$3:$AN$3,0)),GDP_Simple!AG27)</f>
        <v>32.173845114995046</v>
      </c>
    </row>
    <row r="30" spans="1:33" x14ac:dyDescent="0.25">
      <c r="A30" s="3" t="s">
        <v>189</v>
      </c>
      <c r="B30">
        <f>IF($C$3="CGE",INDEX(GDP_CGE!$A$3:$AN$24,MATCH($A30,GDP_CGE!$A$3:$A$24,0),MATCH(B$9,GDP_CGE!$A$3:$AN$3,0)),GDP_Simple!B28)</f>
        <v>7.8476290328821835E-2</v>
      </c>
      <c r="C30">
        <f>IF($C$3="CGE",INDEX(GDP_CGE!$A$3:$AN$24,MATCH($A30,GDP_CGE!$A$3:$A$24,0),MATCH(C$9,GDP_CGE!$A$3:$AN$3,0)),GDP_Simple!C28)</f>
        <v>7.8476290328821835E-2</v>
      </c>
      <c r="D30">
        <f>IF($C$3="CGE",INDEX(GDP_CGE!$A$3:$AN$24,MATCH($A30,GDP_CGE!$A$3:$A$24,0),MATCH(D$9,GDP_CGE!$A$3:$AN$3,0)),GDP_Simple!D28)</f>
        <v>7.8344652100422865E-2</v>
      </c>
      <c r="E30">
        <f>IF($C$3="CGE",INDEX(GDP_CGE!$A$3:$AN$24,MATCH($A30,GDP_CGE!$A$3:$A$24,0),MATCH(E$9,GDP_CGE!$A$3:$AN$3,0)),GDP_Simple!E28)</f>
        <v>7.8309057622866024E-2</v>
      </c>
      <c r="F30">
        <f>IF($C$3="CGE",INDEX(GDP_CGE!$A$3:$AN$24,MATCH($A30,GDP_CGE!$A$3:$A$24,0),MATCH(F$9,GDP_CGE!$A$3:$AN$3,0)),GDP_Simple!F28)</f>
        <v>7.8309057622866052E-2</v>
      </c>
      <c r="G30">
        <f>IF($C$3="CGE",INDEX(GDP_CGE!$A$3:$AN$24,MATCH($A30,GDP_CGE!$A$3:$A$24,0),MATCH(G$9,GDP_CGE!$A$3:$AN$3,0)),GDP_Simple!G28)</f>
        <v>7.8309057622866093E-2</v>
      </c>
      <c r="H30">
        <f>IF($C$3="CGE",INDEX(GDP_CGE!$A$3:$AN$24,MATCH($A30,GDP_CGE!$A$3:$A$24,0),MATCH(H$9,GDP_CGE!$A$3:$AN$3,0)),GDP_Simple!H28)</f>
        <v>7.8309057622866107E-2</v>
      </c>
      <c r="I30">
        <f>IF($C$3="CGE",INDEX(GDP_CGE!$A$3:$AN$24,MATCH($A30,GDP_CGE!$A$3:$A$24,0),MATCH(I$9,GDP_CGE!$A$3:$AN$3,0)),GDP_Simple!I28)</f>
        <v>7.8309057622866107E-2</v>
      </c>
      <c r="J30">
        <f>IF($C$3="CGE",INDEX(GDP_CGE!$A$3:$AN$24,MATCH($A30,GDP_CGE!$A$3:$A$24,0),MATCH(J$9,GDP_CGE!$A$3:$AN$3,0)),GDP_Simple!J28)</f>
        <v>7.8306856954892201E-2</v>
      </c>
      <c r="K30">
        <f>IF($C$3="CGE",INDEX(GDP_CGE!$A$3:$AN$24,MATCH($A30,GDP_CGE!$A$3:$A$24,0),MATCH(K$9,GDP_CGE!$A$3:$AN$3,0)),GDP_Simple!K28)</f>
        <v>7.8306856954892243E-2</v>
      </c>
      <c r="L30">
        <f>IF($C$3="CGE",INDEX(GDP_CGE!$A$3:$AN$24,MATCH($A30,GDP_CGE!$A$3:$A$24,0),MATCH(L$9,GDP_CGE!$A$3:$AN$3,0)),GDP_Simple!L28)</f>
        <v>7.8306856954892215E-2</v>
      </c>
      <c r="M30">
        <f>IF($C$3="CGE",INDEX(GDP_CGE!$A$3:$AN$24,MATCH($A30,GDP_CGE!$A$3:$A$24,0),MATCH(M$9,GDP_CGE!$A$3:$AN$3,0)),GDP_Simple!M28)</f>
        <v>7.8306856954892215E-2</v>
      </c>
      <c r="N30">
        <f>IF($C$3="CGE",INDEX(GDP_CGE!$A$3:$AN$24,MATCH($A30,GDP_CGE!$A$3:$A$24,0),MATCH(N$9,GDP_CGE!$A$3:$AN$3,0)),GDP_Simple!N28)</f>
        <v>7.8306856954892243E-2</v>
      </c>
      <c r="O30">
        <f>IF($C$3="CGE",INDEX(GDP_CGE!$A$3:$AN$24,MATCH($A30,GDP_CGE!$A$3:$A$24,0),MATCH(O$9,GDP_CGE!$A$3:$AN$3,0)),GDP_Simple!O28)</f>
        <v>7.8306856954892215E-2</v>
      </c>
      <c r="P30">
        <f>IF($C$3="CGE",INDEX(GDP_CGE!$A$3:$AN$24,MATCH($A30,GDP_CGE!$A$3:$A$24,0),MATCH(P$9,GDP_CGE!$A$3:$AN$3,0)),GDP_Simple!P28)</f>
        <v>7.8306856954892201E-2</v>
      </c>
      <c r="Q30">
        <f>IF($C$3="CGE",INDEX(GDP_CGE!$A$3:$AN$24,MATCH($A30,GDP_CGE!$A$3:$A$24,0),MATCH(Q$9,GDP_CGE!$A$3:$AN$3,0)),GDP_Simple!Q28)</f>
        <v>7.8306856954892187E-2</v>
      </c>
      <c r="R30">
        <f>IF($C$3="CGE",INDEX(GDP_CGE!$A$3:$AN$24,MATCH($A30,GDP_CGE!$A$3:$A$24,0),MATCH(R$9,GDP_CGE!$A$3:$AN$3,0)),GDP_Simple!R28)</f>
        <v>7.8306856954892159E-2</v>
      </c>
      <c r="S30">
        <f>IF($C$3="CGE",INDEX(GDP_CGE!$A$3:$AN$24,MATCH($A30,GDP_CGE!$A$3:$A$24,0),MATCH(S$9,GDP_CGE!$A$3:$AN$3,0)),GDP_Simple!S28)</f>
        <v>7.8306856954892187E-2</v>
      </c>
      <c r="T30">
        <f>IF($C$3="CGE",INDEX(GDP_CGE!$A$3:$AN$24,MATCH($A30,GDP_CGE!$A$3:$A$24,0),MATCH(T$9,GDP_CGE!$A$3:$AN$3,0)),GDP_Simple!T28)</f>
        <v>7.8306856954892146E-2</v>
      </c>
      <c r="U30">
        <f>IF($C$3="CGE",INDEX(GDP_CGE!$A$3:$AN$24,MATCH($A30,GDP_CGE!$A$3:$A$24,0),MATCH(U$9,GDP_CGE!$A$3:$AN$3,0)),GDP_Simple!U28)</f>
        <v>7.8306856954892146E-2</v>
      </c>
      <c r="V30">
        <f>IF($C$3="CGE",INDEX(GDP_CGE!$A$3:$AN$24,MATCH($A30,GDP_CGE!$A$3:$A$24,0),MATCH(V$9,GDP_CGE!$A$3:$AN$3,0)),GDP_Simple!V28)</f>
        <v>2.3901477629112673</v>
      </c>
      <c r="W30">
        <f>IF($C$3="CGE",INDEX(GDP_CGE!$A$3:$AN$24,MATCH($A30,GDP_CGE!$A$3:$A$24,0),MATCH(W$9,GDP_CGE!$A$3:$AN$3,0)),GDP_Simple!W28)</f>
        <v>2.3901477629112668</v>
      </c>
      <c r="X30">
        <f>IF($C$3="CGE",INDEX(GDP_CGE!$A$3:$AN$24,MATCH($A30,GDP_CGE!$A$3:$A$24,0),MATCH(X$9,GDP_CGE!$A$3:$AN$3,0)),GDP_Simple!X28)</f>
        <v>2.3901477629112668</v>
      </c>
      <c r="Y30">
        <f>IF($C$3="CGE",INDEX(GDP_CGE!$A$3:$AN$24,MATCH($A30,GDP_CGE!$A$3:$A$24,0),MATCH(Y$9,GDP_CGE!$A$3:$AN$3,0)),GDP_Simple!Y28)</f>
        <v>2.390147762911266</v>
      </c>
      <c r="Z30">
        <f>IF($C$3="CGE",INDEX(GDP_CGE!$A$3:$AN$24,MATCH($A30,GDP_CGE!$A$3:$A$24,0),MATCH(Z$9,GDP_CGE!$A$3:$AN$3,0)),GDP_Simple!Z28)</f>
        <v>1.612673706389012</v>
      </c>
      <c r="AA30">
        <f>IF($C$3="CGE",INDEX(GDP_CGE!$A$3:$AN$24,MATCH($A30,GDP_CGE!$A$3:$A$24,0),MATCH(AA$9,GDP_CGE!$A$3:$AN$3,0)),GDP_Simple!AA28)</f>
        <v>1.6126737063890118</v>
      </c>
      <c r="AB30">
        <f>IF($C$3="CGE",INDEX(GDP_CGE!$A$3:$AN$24,MATCH($A30,GDP_CGE!$A$3:$A$24,0),MATCH(AB$9,GDP_CGE!$A$3:$AN$3,0)),GDP_Simple!AB28)</f>
        <v>1.6126737063890113</v>
      </c>
      <c r="AC30">
        <f>IF($C$3="CGE",INDEX(GDP_CGE!$A$3:$AN$24,MATCH($A30,GDP_CGE!$A$3:$A$24,0),MATCH(AC$9,GDP_CGE!$A$3:$AN$3,0)),GDP_Simple!AC28)</f>
        <v>1.6126737063890118</v>
      </c>
      <c r="AD30">
        <f>IF($C$3="CGE",INDEX(GDP_CGE!$A$3:$AN$24,MATCH($A30,GDP_CGE!$A$3:$A$24,0),MATCH(AD$9,GDP_CGE!$A$3:$AN$3,0)),GDP_Simple!AD28)</f>
        <v>1.6126737063890111</v>
      </c>
      <c r="AE30">
        <f>IF($C$3="CGE",INDEX(GDP_CGE!$A$3:$AN$24,MATCH($A30,GDP_CGE!$A$3:$A$24,0),MATCH(AE$9,GDP_CGE!$A$3:$AN$3,0)),GDP_Simple!AE28)</f>
        <v>1.2908640373764781</v>
      </c>
      <c r="AF30">
        <f>IF($C$3="CGE",INDEX(GDP_CGE!$A$3:$AN$24,MATCH($A30,GDP_CGE!$A$3:$A$24,0),MATCH(AF$9,GDP_CGE!$A$3:$AN$3,0)),GDP_Simple!AF28)</f>
        <v>1.2908640373764779</v>
      </c>
      <c r="AG30">
        <f>IF($C$3="CGE",INDEX(GDP_CGE!$A$3:$AN$24,MATCH($A30,GDP_CGE!$A$3:$A$24,0),MATCH(AG$9,GDP_CGE!$A$3:$AN$3,0)),GDP_Simple!AG28)</f>
        <v>1.2908640373764777</v>
      </c>
    </row>
    <row r="33" spans="1:42" ht="18" thickBot="1" x14ac:dyDescent="0.35">
      <c r="A33" s="4" t="s">
        <v>47</v>
      </c>
      <c r="B33" s="4"/>
      <c r="C33" s="4"/>
      <c r="G33" t="s">
        <v>148</v>
      </c>
      <c r="I33" s="25">
        <v>0.99909442631271617</v>
      </c>
    </row>
    <row r="34" spans="1:42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 s="3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2" x14ac:dyDescent="0.25">
      <c r="A35" s="9">
        <v>58364.834921819442</v>
      </c>
      <c r="B35" s="9">
        <f>A35*(1+I43)</f>
        <v>59308.69</v>
      </c>
      <c r="C35" s="9">
        <f>B35*(1+J43)*$I$33</f>
        <v>60158.036186957921</v>
      </c>
      <c r="D35" s="9">
        <f t="shared" ref="D35:AF35" si="2">C35*(1+K43)*$I$33</f>
        <v>60963.559588769531</v>
      </c>
      <c r="E35" s="9">
        <f t="shared" si="2"/>
        <v>61723.133308607779</v>
      </c>
      <c r="F35" s="9">
        <f t="shared" si="2"/>
        <v>62434.728280060037</v>
      </c>
      <c r="G35" s="9">
        <f t="shared" si="2"/>
        <v>63096.422221537941</v>
      </c>
      <c r="H35" s="9">
        <f t="shared" si="2"/>
        <v>63744.102485123491</v>
      </c>
      <c r="I35" s="9">
        <f t="shared" si="2"/>
        <v>64377.188881988601</v>
      </c>
      <c r="J35" s="9">
        <f t="shared" si="2"/>
        <v>64995.109664264295</v>
      </c>
      <c r="K35" s="9">
        <f t="shared" si="2"/>
        <v>65597.302376622756</v>
      </c>
      <c r="L35" s="9">
        <f t="shared" si="2"/>
        <v>66183.214701401099</v>
      </c>
      <c r="M35" s="9">
        <f t="shared" si="2"/>
        <v>66757.007289602305</v>
      </c>
      <c r="N35" s="9">
        <f t="shared" si="2"/>
        <v>67318.27099416386</v>
      </c>
      <c r="O35" s="9">
        <f t="shared" si="2"/>
        <v>67866.602868669026</v>
      </c>
      <c r="P35" s="9">
        <f t="shared" si="2"/>
        <v>68401.606645337117</v>
      </c>
      <c r="Q35" s="9">
        <f t="shared" si="2"/>
        <v>68922.893208527457</v>
      </c>
      <c r="R35" s="9">
        <f t="shared" si="2"/>
        <v>69431.445341664759</v>
      </c>
      <c r="S35" s="9">
        <f t="shared" si="2"/>
        <v>69926.919446580025</v>
      </c>
      <c r="T35" s="9">
        <f t="shared" si="2"/>
        <v>70408.978817025956</v>
      </c>
      <c r="U35" s="9">
        <f t="shared" si="2"/>
        <v>70877.294017675013</v>
      </c>
      <c r="V35" s="9">
        <f t="shared" si="2"/>
        <v>71331.543257193218</v>
      </c>
      <c r="W35" s="9">
        <f t="shared" si="2"/>
        <v>71772.879261991126</v>
      </c>
      <c r="X35" s="9">
        <f t="shared" si="2"/>
        <v>72201.023455996197</v>
      </c>
      <c r="Y35" s="9">
        <f t="shared" si="2"/>
        <v>72615.704257339326</v>
      </c>
      <c r="Z35" s="9">
        <f t="shared" si="2"/>
        <v>73016.657364175844</v>
      </c>
      <c r="AA35" s="9">
        <f t="shared" si="2"/>
        <v>73403.626034263347</v>
      </c>
      <c r="AB35" s="9">
        <f t="shared" si="2"/>
        <v>73776.422042674065</v>
      </c>
      <c r="AC35" s="9">
        <f t="shared" si="2"/>
        <v>74134.805489166116</v>
      </c>
      <c r="AD35" s="9">
        <f t="shared" si="2"/>
        <v>74478.544758379343</v>
      </c>
      <c r="AE35" s="9">
        <f t="shared" si="2"/>
        <v>74807.416768507304</v>
      </c>
      <c r="AF35" s="9">
        <f t="shared" si="2"/>
        <v>75121.207211856716</v>
      </c>
      <c r="AG35" s="9"/>
      <c r="AH35" s="9"/>
      <c r="AI35" s="9"/>
      <c r="AJ35" s="9"/>
      <c r="AK35" s="9"/>
      <c r="AL35" s="9"/>
      <c r="AM35" s="9"/>
    </row>
    <row r="36" spans="1:42" x14ac:dyDescent="0.25">
      <c r="J36" s="6"/>
      <c r="K36" s="6"/>
      <c r="L36" s="6"/>
      <c r="M36" s="6"/>
      <c r="N36" s="6"/>
      <c r="S36" s="6"/>
    </row>
    <row r="38" spans="1:42" ht="18" thickBot="1" x14ac:dyDescent="0.35">
      <c r="A38" s="4" t="s">
        <v>74</v>
      </c>
      <c r="B38" s="4"/>
      <c r="C38" s="4"/>
      <c r="F38" t="s">
        <v>53</v>
      </c>
      <c r="G38">
        <f t="shared" ref="G38:AM38" si="3">ROUNDUP((G42-2000)/5,0)*5+2000</f>
        <v>2020</v>
      </c>
      <c r="H38">
        <f t="shared" si="3"/>
        <v>2020</v>
      </c>
      <c r="I38">
        <f t="shared" si="3"/>
        <v>2020</v>
      </c>
      <c r="J38">
        <f t="shared" si="3"/>
        <v>2025</v>
      </c>
      <c r="K38">
        <f t="shared" si="3"/>
        <v>2025</v>
      </c>
      <c r="L38">
        <f t="shared" si="3"/>
        <v>2025</v>
      </c>
      <c r="M38">
        <f t="shared" si="3"/>
        <v>2025</v>
      </c>
      <c r="N38">
        <f t="shared" si="3"/>
        <v>2025</v>
      </c>
      <c r="O38">
        <f t="shared" si="3"/>
        <v>2030</v>
      </c>
      <c r="P38">
        <f t="shared" si="3"/>
        <v>2030</v>
      </c>
      <c r="Q38">
        <f t="shared" si="3"/>
        <v>2030</v>
      </c>
      <c r="R38">
        <f t="shared" si="3"/>
        <v>2030</v>
      </c>
      <c r="S38">
        <f t="shared" si="3"/>
        <v>2030</v>
      </c>
      <c r="T38">
        <f t="shared" si="3"/>
        <v>2035</v>
      </c>
      <c r="U38">
        <f t="shared" si="3"/>
        <v>2035</v>
      </c>
      <c r="V38">
        <f t="shared" si="3"/>
        <v>2035</v>
      </c>
      <c r="W38">
        <f t="shared" si="3"/>
        <v>2035</v>
      </c>
      <c r="X38">
        <f t="shared" si="3"/>
        <v>2035</v>
      </c>
      <c r="Y38">
        <f t="shared" si="3"/>
        <v>2040</v>
      </c>
      <c r="Z38">
        <f t="shared" si="3"/>
        <v>2040</v>
      </c>
      <c r="AA38">
        <f t="shared" si="3"/>
        <v>2040</v>
      </c>
      <c r="AB38">
        <f t="shared" si="3"/>
        <v>2040</v>
      </c>
      <c r="AC38">
        <f t="shared" si="3"/>
        <v>2040</v>
      </c>
      <c r="AD38">
        <f t="shared" si="3"/>
        <v>2045</v>
      </c>
      <c r="AE38">
        <f t="shared" si="3"/>
        <v>2045</v>
      </c>
      <c r="AF38">
        <f t="shared" si="3"/>
        <v>2045</v>
      </c>
      <c r="AG38">
        <f t="shared" si="3"/>
        <v>2045</v>
      </c>
      <c r="AH38">
        <f t="shared" si="3"/>
        <v>2045</v>
      </c>
      <c r="AI38">
        <f t="shared" si="3"/>
        <v>2050</v>
      </c>
      <c r="AJ38">
        <f t="shared" si="3"/>
        <v>2050</v>
      </c>
      <c r="AK38">
        <f t="shared" si="3"/>
        <v>2050</v>
      </c>
      <c r="AL38">
        <f t="shared" si="3"/>
        <v>2050</v>
      </c>
      <c r="AM38">
        <f t="shared" si="3"/>
        <v>2050</v>
      </c>
      <c r="AN38">
        <f t="shared" ref="AN38:AP38" si="4">ROUNDUP((AN42-2000)/5,0)*5+2000</f>
        <v>2055</v>
      </c>
      <c r="AO38">
        <f t="shared" si="4"/>
        <v>2055</v>
      </c>
      <c r="AP38">
        <f t="shared" si="4"/>
        <v>2055</v>
      </c>
    </row>
    <row r="39" spans="1:42" ht="15.75" thickTop="1" x14ac:dyDescent="0.25">
      <c r="G39" s="6">
        <f>INDEX($G$49:$Q$49,1,MATCH(G38,$G$47:$Q$47,0))</f>
        <v>1.6171639643029367E-2</v>
      </c>
      <c r="H39" s="6">
        <f t="shared" ref="H39:AM39" si="5">INDEX($G$49:$Q$49,1,MATCH(H38,$G$47:$Q$47,0))</f>
        <v>1.6171639643029367E-2</v>
      </c>
      <c r="I39" s="6">
        <f t="shared" si="5"/>
        <v>1.6171639643029367E-2</v>
      </c>
      <c r="J39" s="6">
        <f t="shared" si="5"/>
        <v>1.1514171855832034E-2</v>
      </c>
      <c r="K39" s="6">
        <f t="shared" si="5"/>
        <v>1.1514171855832034E-2</v>
      </c>
      <c r="L39" s="6">
        <f t="shared" si="5"/>
        <v>1.1514171855832034E-2</v>
      </c>
      <c r="M39" s="6">
        <f t="shared" si="5"/>
        <v>1.1514171855832034E-2</v>
      </c>
      <c r="N39" s="6">
        <f t="shared" si="5"/>
        <v>1.1514171855832034E-2</v>
      </c>
      <c r="O39" s="6">
        <f t="shared" si="5"/>
        <v>9.8464479909492475E-3</v>
      </c>
      <c r="P39" s="6">
        <f t="shared" si="5"/>
        <v>9.8464479909492475E-3</v>
      </c>
      <c r="Q39" s="6">
        <f t="shared" si="5"/>
        <v>9.8464479909492475E-3</v>
      </c>
      <c r="R39" s="6">
        <f t="shared" si="5"/>
        <v>9.8464479909492475E-3</v>
      </c>
      <c r="S39" s="6">
        <f t="shared" si="5"/>
        <v>9.8464479909492475E-3</v>
      </c>
      <c r="T39" s="6">
        <f t="shared" si="5"/>
        <v>8.5342716751048986E-3</v>
      </c>
      <c r="U39" s="6">
        <f t="shared" si="5"/>
        <v>8.5342716751048986E-3</v>
      </c>
      <c r="V39" s="6">
        <f t="shared" si="5"/>
        <v>8.5342716751048986E-3</v>
      </c>
      <c r="W39" s="6">
        <f t="shared" si="5"/>
        <v>8.5342716751048986E-3</v>
      </c>
      <c r="X39" s="6">
        <f t="shared" si="5"/>
        <v>8.5342716751048986E-3</v>
      </c>
      <c r="Y39" s="6">
        <f t="shared" si="5"/>
        <v>7.3211564406818752E-3</v>
      </c>
      <c r="Z39" s="6">
        <f t="shared" si="5"/>
        <v>7.3211564406818752E-3</v>
      </c>
      <c r="AA39" s="6">
        <f t="shared" si="5"/>
        <v>7.3211564406818752E-3</v>
      </c>
      <c r="AB39" s="6">
        <f t="shared" si="5"/>
        <v>7.3211564406818752E-3</v>
      </c>
      <c r="AC39" s="6">
        <f t="shared" si="5"/>
        <v>7.3211564406818752E-3</v>
      </c>
      <c r="AD39" s="6">
        <f t="shared" si="5"/>
        <v>6.210929518779329E-3</v>
      </c>
      <c r="AE39" s="6">
        <f t="shared" si="5"/>
        <v>6.210929518779329E-3</v>
      </c>
      <c r="AF39" s="6">
        <f t="shared" si="5"/>
        <v>6.210929518779329E-3</v>
      </c>
      <c r="AG39" s="6">
        <f t="shared" si="5"/>
        <v>6.210929518779329E-3</v>
      </c>
      <c r="AH39" s="6">
        <f t="shared" si="5"/>
        <v>6.210929518779329E-3</v>
      </c>
      <c r="AI39" s="6">
        <f t="shared" si="5"/>
        <v>5.1048399806699063E-3</v>
      </c>
      <c r="AJ39" s="6">
        <f t="shared" si="5"/>
        <v>5.1048399806699063E-3</v>
      </c>
      <c r="AK39" s="6">
        <f t="shared" si="5"/>
        <v>5.1048399806699063E-3</v>
      </c>
      <c r="AL39" s="6">
        <f t="shared" si="5"/>
        <v>5.1048399806699063E-3</v>
      </c>
      <c r="AM39" s="6">
        <f t="shared" si="5"/>
        <v>5.1048399806699063E-3</v>
      </c>
      <c r="AN39" s="6">
        <f t="shared" ref="AN39:AP39" si="6">INDEX($G$49:$Q$49,1,MATCH(AN38,$G$47:$Q$47,0))</f>
        <v>3.9852485744564792E-3</v>
      </c>
      <c r="AO39" s="6">
        <f t="shared" si="6"/>
        <v>3.9852485744564792E-3</v>
      </c>
      <c r="AP39" s="6">
        <f t="shared" si="6"/>
        <v>3.9852485744564792E-3</v>
      </c>
    </row>
    <row r="40" spans="1:42" x14ac:dyDescent="0.25">
      <c r="F40" t="s">
        <v>75</v>
      </c>
      <c r="G40">
        <v>2017</v>
      </c>
      <c r="H40">
        <v>2017</v>
      </c>
      <c r="I40">
        <v>2017</v>
      </c>
      <c r="J40">
        <f t="shared" ref="J40:AM40" si="7">J38-5</f>
        <v>2020</v>
      </c>
      <c r="K40">
        <f t="shared" si="7"/>
        <v>2020</v>
      </c>
      <c r="L40">
        <f t="shared" si="7"/>
        <v>2020</v>
      </c>
      <c r="M40">
        <f t="shared" si="7"/>
        <v>2020</v>
      </c>
      <c r="N40">
        <f t="shared" si="7"/>
        <v>2020</v>
      </c>
      <c r="O40">
        <f t="shared" si="7"/>
        <v>2025</v>
      </c>
      <c r="P40">
        <f t="shared" si="7"/>
        <v>2025</v>
      </c>
      <c r="Q40">
        <f t="shared" si="7"/>
        <v>2025</v>
      </c>
      <c r="R40">
        <f t="shared" si="7"/>
        <v>2025</v>
      </c>
      <c r="S40">
        <f t="shared" si="7"/>
        <v>2025</v>
      </c>
      <c r="T40">
        <f t="shared" si="7"/>
        <v>2030</v>
      </c>
      <c r="U40">
        <f t="shared" si="7"/>
        <v>2030</v>
      </c>
      <c r="V40">
        <f t="shared" si="7"/>
        <v>2030</v>
      </c>
      <c r="W40">
        <f t="shared" si="7"/>
        <v>2030</v>
      </c>
      <c r="X40">
        <f t="shared" si="7"/>
        <v>2030</v>
      </c>
      <c r="Y40">
        <f t="shared" si="7"/>
        <v>2035</v>
      </c>
      <c r="Z40">
        <f t="shared" si="7"/>
        <v>2035</v>
      </c>
      <c r="AA40">
        <f t="shared" si="7"/>
        <v>2035</v>
      </c>
      <c r="AB40">
        <f t="shared" si="7"/>
        <v>2035</v>
      </c>
      <c r="AC40">
        <f t="shared" si="7"/>
        <v>2035</v>
      </c>
      <c r="AD40">
        <f t="shared" si="7"/>
        <v>2040</v>
      </c>
      <c r="AE40">
        <f t="shared" si="7"/>
        <v>2040</v>
      </c>
      <c r="AF40">
        <f t="shared" si="7"/>
        <v>2040</v>
      </c>
      <c r="AG40">
        <f t="shared" si="7"/>
        <v>2040</v>
      </c>
      <c r="AH40">
        <f t="shared" si="7"/>
        <v>2040</v>
      </c>
      <c r="AI40">
        <f t="shared" si="7"/>
        <v>2045</v>
      </c>
      <c r="AJ40">
        <f t="shared" si="7"/>
        <v>2045</v>
      </c>
      <c r="AK40">
        <f t="shared" si="7"/>
        <v>2045</v>
      </c>
      <c r="AL40">
        <f t="shared" si="7"/>
        <v>2045</v>
      </c>
      <c r="AM40">
        <f t="shared" si="7"/>
        <v>2045</v>
      </c>
      <c r="AN40">
        <f t="shared" ref="AN40:AP40" si="8">AN38-5</f>
        <v>2050</v>
      </c>
      <c r="AO40">
        <f t="shared" si="8"/>
        <v>2050</v>
      </c>
      <c r="AP40">
        <f t="shared" si="8"/>
        <v>2050</v>
      </c>
    </row>
    <row r="41" spans="1:42" x14ac:dyDescent="0.25">
      <c r="G41" s="13">
        <f>G49</f>
        <v>1.6171639643029367E-2</v>
      </c>
      <c r="H41" s="13">
        <f>G41</f>
        <v>1.6171639643029367E-2</v>
      </c>
      <c r="I41" s="13">
        <f>H41</f>
        <v>1.6171639643029367E-2</v>
      </c>
      <c r="J41" s="13">
        <f t="shared" ref="J41" si="9">INDEX($G$49:$Q$49,1,MATCH(J40,$G$47:$Q$47,0))</f>
        <v>1.6171639643029367E-2</v>
      </c>
      <c r="K41" s="13">
        <f t="shared" ref="K41" si="10">INDEX($G$49:$Q$49,1,MATCH(K40,$G$47:$Q$47,0))</f>
        <v>1.6171639643029367E-2</v>
      </c>
      <c r="L41" s="13">
        <f t="shared" ref="L41" si="11">INDEX($G$49:$Q$49,1,MATCH(L40,$G$47:$Q$47,0))</f>
        <v>1.6171639643029367E-2</v>
      </c>
      <c r="M41" s="13">
        <f t="shared" ref="M41" si="12">INDEX($G$49:$Q$49,1,MATCH(M40,$G$47:$Q$47,0))</f>
        <v>1.6171639643029367E-2</v>
      </c>
      <c r="N41" s="13">
        <f t="shared" ref="N41" si="13">INDEX($G$49:$Q$49,1,MATCH(N40,$G$47:$Q$47,0))</f>
        <v>1.6171639643029367E-2</v>
      </c>
      <c r="O41" s="13">
        <f t="shared" ref="O41" si="14">INDEX($G$49:$Q$49,1,MATCH(O40,$G$47:$Q$47,0))</f>
        <v>1.1514171855832034E-2</v>
      </c>
      <c r="P41" s="13">
        <f t="shared" ref="P41" si="15">INDEX($G$49:$Q$49,1,MATCH(P40,$G$47:$Q$47,0))</f>
        <v>1.1514171855832034E-2</v>
      </c>
      <c r="Q41" s="13">
        <f t="shared" ref="Q41" si="16">INDEX($G$49:$Q$49,1,MATCH(Q40,$G$47:$Q$47,0))</f>
        <v>1.1514171855832034E-2</v>
      </c>
      <c r="R41" s="13">
        <f t="shared" ref="R41" si="17">INDEX($G$49:$Q$49,1,MATCH(R40,$G$47:$Q$47,0))</f>
        <v>1.1514171855832034E-2</v>
      </c>
      <c r="S41" s="13">
        <f t="shared" ref="S41" si="18">INDEX($G$49:$Q$49,1,MATCH(S40,$G$47:$Q$47,0))</f>
        <v>1.1514171855832034E-2</v>
      </c>
      <c r="T41" s="13">
        <f t="shared" ref="T41" si="19">INDEX($G$49:$Q$49,1,MATCH(T40,$G$47:$Q$47,0))</f>
        <v>9.8464479909492475E-3</v>
      </c>
      <c r="U41" s="13">
        <f t="shared" ref="U41" si="20">INDEX($G$49:$Q$49,1,MATCH(U40,$G$47:$Q$47,0))</f>
        <v>9.8464479909492475E-3</v>
      </c>
      <c r="V41" s="13">
        <f t="shared" ref="V41" si="21">INDEX($G$49:$Q$49,1,MATCH(V40,$G$47:$Q$47,0))</f>
        <v>9.8464479909492475E-3</v>
      </c>
      <c r="W41" s="13">
        <f t="shared" ref="W41" si="22">INDEX($G$49:$Q$49,1,MATCH(W40,$G$47:$Q$47,0))</f>
        <v>9.8464479909492475E-3</v>
      </c>
      <c r="X41" s="13">
        <f t="shared" ref="X41" si="23">INDEX($G$49:$Q$49,1,MATCH(X40,$G$47:$Q$47,0))</f>
        <v>9.8464479909492475E-3</v>
      </c>
      <c r="Y41" s="13">
        <f t="shared" ref="Y41" si="24">INDEX($G$49:$Q$49,1,MATCH(Y40,$G$47:$Q$47,0))</f>
        <v>8.5342716751048986E-3</v>
      </c>
      <c r="Z41" s="13">
        <f t="shared" ref="Z41" si="25">INDEX($G$49:$Q$49,1,MATCH(Z40,$G$47:$Q$47,0))</f>
        <v>8.5342716751048986E-3</v>
      </c>
      <c r="AA41" s="13">
        <f t="shared" ref="AA41" si="26">INDEX($G$49:$Q$49,1,MATCH(AA40,$G$47:$Q$47,0))</f>
        <v>8.5342716751048986E-3</v>
      </c>
      <c r="AB41" s="13">
        <f t="shared" ref="AB41" si="27">INDEX($G$49:$Q$49,1,MATCH(AB40,$G$47:$Q$47,0))</f>
        <v>8.5342716751048986E-3</v>
      </c>
      <c r="AC41" s="13">
        <f t="shared" ref="AC41" si="28">INDEX($G$49:$Q$49,1,MATCH(AC40,$G$47:$Q$47,0))</f>
        <v>8.5342716751048986E-3</v>
      </c>
      <c r="AD41" s="13">
        <f t="shared" ref="AD41" si="29">INDEX($G$49:$Q$49,1,MATCH(AD40,$G$47:$Q$47,0))</f>
        <v>7.3211564406818752E-3</v>
      </c>
      <c r="AE41" s="13">
        <f t="shared" ref="AE41" si="30">INDEX($G$49:$Q$49,1,MATCH(AE40,$G$47:$Q$47,0))</f>
        <v>7.3211564406818752E-3</v>
      </c>
      <c r="AF41" s="13">
        <f t="shared" ref="AF41" si="31">INDEX($G$49:$Q$49,1,MATCH(AF40,$G$47:$Q$47,0))</f>
        <v>7.3211564406818752E-3</v>
      </c>
      <c r="AG41" s="13">
        <f t="shared" ref="AG41" si="32">INDEX($G$49:$Q$49,1,MATCH(AG40,$G$47:$Q$47,0))</f>
        <v>7.3211564406818752E-3</v>
      </c>
      <c r="AH41" s="13">
        <f t="shared" ref="AH41" si="33">INDEX($G$49:$Q$49,1,MATCH(AH40,$G$47:$Q$47,0))</f>
        <v>7.3211564406818752E-3</v>
      </c>
      <c r="AI41" s="13">
        <f t="shared" ref="AI41" si="34">INDEX($G$49:$Q$49,1,MATCH(AI40,$G$47:$Q$47,0))</f>
        <v>6.210929518779329E-3</v>
      </c>
      <c r="AJ41" s="13">
        <f t="shared" ref="AJ41" si="35">INDEX($G$49:$Q$49,1,MATCH(AJ40,$G$47:$Q$47,0))</f>
        <v>6.210929518779329E-3</v>
      </c>
      <c r="AK41" s="13">
        <f t="shared" ref="AK41" si="36">INDEX($G$49:$Q$49,1,MATCH(AK40,$G$47:$Q$47,0))</f>
        <v>6.210929518779329E-3</v>
      </c>
      <c r="AL41" s="13">
        <f t="shared" ref="AL41" si="37">INDEX($G$49:$Q$49,1,MATCH(AL40,$G$47:$Q$47,0))</f>
        <v>6.210929518779329E-3</v>
      </c>
      <c r="AM41" s="13">
        <f t="shared" ref="AM41:AP41" si="38">INDEX($G$49:$Q$49,1,MATCH(AM40,$G$47:$Q$47,0))</f>
        <v>6.210929518779329E-3</v>
      </c>
      <c r="AN41" s="13">
        <f t="shared" si="38"/>
        <v>5.1048399806699063E-3</v>
      </c>
      <c r="AO41" s="13">
        <f t="shared" si="38"/>
        <v>5.1048399806699063E-3</v>
      </c>
      <c r="AP41" s="13">
        <f t="shared" si="38"/>
        <v>5.1048399806699063E-3</v>
      </c>
    </row>
    <row r="42" spans="1:42" x14ac:dyDescent="0.25">
      <c r="A42" s="3"/>
      <c r="B42" s="3">
        <v>2013</v>
      </c>
      <c r="C42" s="3">
        <v>2014</v>
      </c>
      <c r="D42" s="3">
        <v>2015</v>
      </c>
      <c r="E42" s="3">
        <v>2016</v>
      </c>
      <c r="F42" s="3">
        <v>2017</v>
      </c>
      <c r="G42" s="3">
        <v>2018</v>
      </c>
      <c r="H42" s="3">
        <v>2019</v>
      </c>
      <c r="I42" s="3">
        <v>2020</v>
      </c>
      <c r="J42" s="3">
        <v>2021</v>
      </c>
      <c r="K42" s="3">
        <v>2022</v>
      </c>
      <c r="L42" s="3">
        <v>2023</v>
      </c>
      <c r="M42" s="3">
        <v>2024</v>
      </c>
      <c r="N42" s="3">
        <v>2025</v>
      </c>
      <c r="O42" s="3">
        <v>2026</v>
      </c>
      <c r="P42" s="3">
        <v>2027</v>
      </c>
      <c r="Q42" s="3">
        <v>2028</v>
      </c>
      <c r="R42" s="3">
        <v>2029</v>
      </c>
      <c r="S42" s="3">
        <v>2030</v>
      </c>
      <c r="T42" s="3">
        <v>2031</v>
      </c>
      <c r="U42" s="3">
        <v>2032</v>
      </c>
      <c r="V42" s="3">
        <v>2033</v>
      </c>
      <c r="W42" s="3">
        <v>2034</v>
      </c>
      <c r="X42" s="3">
        <v>2035</v>
      </c>
      <c r="Y42" s="3">
        <v>2036</v>
      </c>
      <c r="Z42" s="3">
        <v>2037</v>
      </c>
      <c r="AA42">
        <v>2038</v>
      </c>
      <c r="AB42">
        <v>2039</v>
      </c>
      <c r="AC42">
        <v>2040</v>
      </c>
      <c r="AD42">
        <v>2041</v>
      </c>
      <c r="AE42">
        <v>2042</v>
      </c>
      <c r="AF42">
        <v>2043</v>
      </c>
      <c r="AG42">
        <v>2044</v>
      </c>
      <c r="AH42">
        <v>2045</v>
      </c>
      <c r="AI42">
        <v>2046</v>
      </c>
      <c r="AJ42">
        <v>2047</v>
      </c>
      <c r="AK42">
        <v>2048</v>
      </c>
      <c r="AL42">
        <v>2049</v>
      </c>
      <c r="AM42">
        <v>2050</v>
      </c>
      <c r="AN42">
        <v>2051</v>
      </c>
      <c r="AO42">
        <v>2052</v>
      </c>
      <c r="AP42">
        <v>2053</v>
      </c>
    </row>
    <row r="43" spans="1:42" x14ac:dyDescent="0.25">
      <c r="A43" s="9"/>
      <c r="B43" s="6">
        <f>B49</f>
        <v>1.4886710600347186E-2</v>
      </c>
      <c r="C43" s="6">
        <f t="shared" ref="C43:F43" si="39">C49</f>
        <v>1.5214924545611908E-2</v>
      </c>
      <c r="D43" s="6">
        <f t="shared" si="39"/>
        <v>1.5546076584524338E-2</v>
      </c>
      <c r="E43" s="6">
        <f t="shared" si="39"/>
        <v>1.5880204713440094E-2</v>
      </c>
      <c r="F43" s="6">
        <f t="shared" si="39"/>
        <v>1.6217341554197295E-2</v>
      </c>
      <c r="G43" s="6">
        <f>G41</f>
        <v>1.6171639643029367E-2</v>
      </c>
      <c r="H43" s="6">
        <f t="shared" ref="H43:R43" si="40">G43+(H39-H41)/(H38-H40)</f>
        <v>1.6171639643029367E-2</v>
      </c>
      <c r="I43" s="6">
        <f t="shared" si="40"/>
        <v>1.6171639643029367E-2</v>
      </c>
      <c r="J43" s="6">
        <f t="shared" si="40"/>
        <v>1.5240146085589901E-2</v>
      </c>
      <c r="K43" s="6">
        <f t="shared" si="40"/>
        <v>1.4308652528150435E-2</v>
      </c>
      <c r="L43" s="6">
        <f t="shared" si="40"/>
        <v>1.3377158970710968E-2</v>
      </c>
      <c r="M43" s="6">
        <f t="shared" si="40"/>
        <v>1.2445665413271502E-2</v>
      </c>
      <c r="N43" s="6">
        <f t="shared" si="40"/>
        <v>1.1514171855832036E-2</v>
      </c>
      <c r="O43" s="6">
        <f>N43+(O39-O41)/(O38-O40)</f>
        <v>1.1180627082855478E-2</v>
      </c>
      <c r="P43" s="6">
        <f t="shared" si="40"/>
        <v>1.084708230987892E-2</v>
      </c>
      <c r="Q43" s="6">
        <f t="shared" si="40"/>
        <v>1.0513537536902363E-2</v>
      </c>
      <c r="R43" s="6">
        <f t="shared" si="40"/>
        <v>1.0179992763925805E-2</v>
      </c>
      <c r="S43" s="6">
        <f>R43+(S39-S41)/(S38-S40)</f>
        <v>9.8464479909492475E-3</v>
      </c>
      <c r="T43" s="6">
        <f t="shared" ref="T43:AM43" si="41">S43+(T39-T41)/(T38-T40)</f>
        <v>9.584012727780377E-3</v>
      </c>
      <c r="U43" s="6">
        <f t="shared" si="41"/>
        <v>9.3215774646115065E-3</v>
      </c>
      <c r="V43" s="6">
        <f t="shared" si="41"/>
        <v>9.0591422014426361E-3</v>
      </c>
      <c r="W43" s="6">
        <f t="shared" si="41"/>
        <v>8.7967069382737656E-3</v>
      </c>
      <c r="X43" s="6">
        <f t="shared" si="41"/>
        <v>8.5342716751048951E-3</v>
      </c>
      <c r="Y43" s="6">
        <f t="shared" si="41"/>
        <v>8.2916486282202904E-3</v>
      </c>
      <c r="Z43" s="6">
        <f t="shared" si="41"/>
        <v>8.0490255813356858E-3</v>
      </c>
      <c r="AA43" s="6">
        <f t="shared" si="41"/>
        <v>7.8064025344510811E-3</v>
      </c>
      <c r="AB43" s="6">
        <f t="shared" si="41"/>
        <v>7.5637794875664764E-3</v>
      </c>
      <c r="AC43" s="6">
        <f t="shared" si="41"/>
        <v>7.3211564406818717E-3</v>
      </c>
      <c r="AD43" s="6">
        <f t="shared" si="41"/>
        <v>7.0991110563013628E-3</v>
      </c>
      <c r="AE43" s="6">
        <f t="shared" si="41"/>
        <v>6.8770656719208539E-3</v>
      </c>
      <c r="AF43" s="6">
        <f t="shared" si="41"/>
        <v>6.655020287540345E-3</v>
      </c>
      <c r="AG43" s="6">
        <f t="shared" si="41"/>
        <v>6.4329749031598361E-3</v>
      </c>
      <c r="AH43" s="6">
        <f t="shared" si="41"/>
        <v>6.2109295187793272E-3</v>
      </c>
      <c r="AI43" s="6">
        <f t="shared" si="41"/>
        <v>5.9897116111574424E-3</v>
      </c>
      <c r="AJ43" s="6">
        <f t="shared" si="41"/>
        <v>5.7684937035355575E-3</v>
      </c>
      <c r="AK43" s="6">
        <f t="shared" si="41"/>
        <v>5.5472757959136726E-3</v>
      </c>
      <c r="AL43" s="6">
        <f t="shared" si="41"/>
        <v>5.3260578882917877E-3</v>
      </c>
      <c r="AM43" s="6">
        <f t="shared" si="41"/>
        <v>5.1048399806699028E-3</v>
      </c>
      <c r="AN43" s="6">
        <f t="shared" ref="AN43" si="42">AM43+(AN39-AN41)/(AN38-AN40)</f>
        <v>4.8809216994272174E-3</v>
      </c>
      <c r="AO43" s="6">
        <f t="shared" ref="AO43" si="43">AN43+(AO39-AO41)/(AO38-AO40)</f>
        <v>4.657003418184532E-3</v>
      </c>
      <c r="AP43" s="6">
        <f t="shared" ref="AP43" si="44">AO43+(AP39-AP41)/(AP38-AP40)</f>
        <v>4.4330851369418466E-3</v>
      </c>
    </row>
    <row r="46" spans="1:42" x14ac:dyDescent="0.25">
      <c r="A46" t="s">
        <v>51</v>
      </c>
      <c r="G46" t="s">
        <v>52</v>
      </c>
      <c r="K46" t="s">
        <v>48</v>
      </c>
      <c r="L46" s="5" t="s">
        <v>49</v>
      </c>
      <c r="S46" t="s">
        <v>50</v>
      </c>
    </row>
    <row r="47" spans="1:42" x14ac:dyDescent="0.25">
      <c r="A47" s="8">
        <v>2012</v>
      </c>
      <c r="B47" s="8">
        <f>A47+1</f>
        <v>2013</v>
      </c>
      <c r="C47" s="8">
        <f t="shared" ref="C47:F47" si="45">B47+1</f>
        <v>2014</v>
      </c>
      <c r="D47" s="8">
        <f t="shared" si="45"/>
        <v>2015</v>
      </c>
      <c r="E47" s="8">
        <f t="shared" si="45"/>
        <v>2016</v>
      </c>
      <c r="F47" s="8">
        <f t="shared" si="45"/>
        <v>2017</v>
      </c>
      <c r="G47" s="7">
        <v>2020</v>
      </c>
      <c r="H47" s="7">
        <v>2025</v>
      </c>
      <c r="I47" s="7">
        <v>2030</v>
      </c>
      <c r="J47" s="7">
        <v>2035</v>
      </c>
      <c r="K47" s="7">
        <v>2040</v>
      </c>
      <c r="L47" s="7">
        <v>2045</v>
      </c>
      <c r="M47" s="7">
        <v>2050</v>
      </c>
      <c r="N47" s="7">
        <v>2055</v>
      </c>
      <c r="O47" s="7">
        <v>2060</v>
      </c>
      <c r="P47" s="7">
        <v>2065</v>
      </c>
      <c r="Q47" s="7">
        <v>2070</v>
      </c>
    </row>
    <row r="48" spans="1:42" x14ac:dyDescent="0.25">
      <c r="A48" s="11">
        <v>52325.432882070083</v>
      </c>
      <c r="B48" s="11">
        <v>53104.386458423345</v>
      </c>
      <c r="C48" s="11">
        <v>53912.365691429273</v>
      </c>
      <c r="D48" s="11">
        <v>54750.491457321114</v>
      </c>
      <c r="E48" s="11">
        <v>55619.940469824825</v>
      </c>
      <c r="F48" s="11">
        <v>56521.948041648095</v>
      </c>
      <c r="G48" s="10">
        <v>59308.69</v>
      </c>
      <c r="H48" s="10">
        <v>62802.682000000001</v>
      </c>
      <c r="I48" s="10">
        <v>65956.09</v>
      </c>
      <c r="J48" s="10">
        <v>68818.975999999995</v>
      </c>
      <c r="K48" s="10">
        <v>71375.305999999997</v>
      </c>
      <c r="L48" s="10">
        <v>73619.546000000002</v>
      </c>
      <c r="M48" s="10">
        <v>75517.909</v>
      </c>
      <c r="N48" s="10">
        <v>77034.739000000001</v>
      </c>
      <c r="O48" s="10">
        <v>78172.047999999995</v>
      </c>
      <c r="P48" s="10">
        <v>78973.285999999993</v>
      </c>
      <c r="Q48" s="10">
        <v>79498.839000000007</v>
      </c>
    </row>
    <row r="49" spans="1:40" x14ac:dyDescent="0.25">
      <c r="B49" s="6">
        <f>B48/A48-1</f>
        <v>1.4886710600347186E-2</v>
      </c>
      <c r="C49" s="6">
        <f t="shared" ref="C49:F49" si="46">C48/B48-1</f>
        <v>1.5214924545611908E-2</v>
      </c>
      <c r="D49" s="6">
        <f t="shared" si="46"/>
        <v>1.5546076584524338E-2</v>
      </c>
      <c r="E49" s="6">
        <f t="shared" si="46"/>
        <v>1.5880204713440094E-2</v>
      </c>
      <c r="F49" s="6">
        <f t="shared" si="46"/>
        <v>1.6217341554197295E-2</v>
      </c>
      <c r="G49" s="6">
        <f>(G48/F48)^(1/3)-1</f>
        <v>1.6171639643029367E-2</v>
      </c>
      <c r="H49" s="6">
        <f>(H48/G48)^(1/5)-1</f>
        <v>1.1514171855832034E-2</v>
      </c>
      <c r="I49" s="6">
        <f t="shared" ref="I49:Q49" si="47">(I48/H48)^(1/5)-1</f>
        <v>9.8464479909492475E-3</v>
      </c>
      <c r="J49" s="6">
        <f t="shared" si="47"/>
        <v>8.5342716751048986E-3</v>
      </c>
      <c r="K49" s="6">
        <f t="shared" si="47"/>
        <v>7.3211564406818752E-3</v>
      </c>
      <c r="L49" s="6">
        <f t="shared" si="47"/>
        <v>6.210929518779329E-3</v>
      </c>
      <c r="M49" s="6">
        <f t="shared" si="47"/>
        <v>5.1048399806699063E-3</v>
      </c>
      <c r="N49" s="6">
        <f t="shared" si="47"/>
        <v>3.9852485744564792E-3</v>
      </c>
      <c r="O49" s="6">
        <f t="shared" si="47"/>
        <v>2.9354330188284816E-3</v>
      </c>
      <c r="P49" s="6">
        <f t="shared" si="47"/>
        <v>2.0415816324019787E-3</v>
      </c>
      <c r="Q49" s="6">
        <f t="shared" si="47"/>
        <v>1.3274351427250419E-3</v>
      </c>
    </row>
    <row r="50" spans="1:40" x14ac:dyDescent="0.25">
      <c r="G50" t="s">
        <v>149</v>
      </c>
      <c r="H50" s="9">
        <f>INDEX($B$35:$AM$35,1,MATCH(H47,$B$34:$AM$34,0))</f>
        <v>63096.422221537941</v>
      </c>
      <c r="I50" s="9">
        <f t="shared" ref="I50:M50" si="48">INDEX($I$35:$AM$35,1,MATCH(I47,$I$34:$AM$34,0))</f>
        <v>66183.214701401099</v>
      </c>
      <c r="J50" s="9">
        <f t="shared" si="48"/>
        <v>68922.893208527457</v>
      </c>
      <c r="K50" s="9">
        <f t="shared" si="48"/>
        <v>71331.543257193218</v>
      </c>
      <c r="L50" s="9">
        <f t="shared" si="48"/>
        <v>73403.626034263347</v>
      </c>
      <c r="M50" s="9">
        <f t="shared" si="48"/>
        <v>75121.207211856716</v>
      </c>
    </row>
    <row r="51" spans="1:40" x14ac:dyDescent="0.25">
      <c r="G51" t="s">
        <v>150</v>
      </c>
      <c r="H51" s="6">
        <f>H50/H48-1</f>
        <v>4.677192313824019E-3</v>
      </c>
      <c r="I51" s="6">
        <f t="shared" ref="I51:M51" si="49">I50/I48-1</f>
        <v>3.4435743750289571E-3</v>
      </c>
      <c r="J51" s="6">
        <f t="shared" si="49"/>
        <v>1.5100080612571176E-3</v>
      </c>
      <c r="K51" s="6">
        <f t="shared" si="49"/>
        <v>-6.1313562434017754E-4</v>
      </c>
      <c r="L51" s="6">
        <f t="shared" si="49"/>
        <v>-2.9329162901473582E-3</v>
      </c>
      <c r="M51" s="6">
        <f t="shared" si="49"/>
        <v>-5.2530822608354288E-3</v>
      </c>
      <c r="N51" s="13">
        <f>SUM(H51:M51)</f>
        <v>8.3164057478712916E-4</v>
      </c>
    </row>
    <row r="52" spans="1:40" ht="18" thickBot="1" x14ac:dyDescent="0.35">
      <c r="A52" s="4" t="s">
        <v>68</v>
      </c>
      <c r="B52" s="4"/>
      <c r="C52" s="4"/>
      <c r="D52" s="4"/>
      <c r="E52" s="4"/>
      <c r="F52" s="4"/>
      <c r="G52" s="4"/>
      <c r="H52" s="4"/>
      <c r="M52" s="9"/>
    </row>
    <row r="53" spans="1:40" ht="15.75" thickTop="1" x14ac:dyDescent="0.25">
      <c r="B53" s="3">
        <v>2019</v>
      </c>
      <c r="C53" s="3">
        <v>2020</v>
      </c>
      <c r="D53" s="3">
        <v>2021</v>
      </c>
      <c r="E53" s="3">
        <v>2022</v>
      </c>
      <c r="F53" s="3">
        <v>2023</v>
      </c>
      <c r="G53" s="3">
        <v>2024</v>
      </c>
      <c r="H53" s="3">
        <v>2025</v>
      </c>
      <c r="I53" s="3">
        <v>2026</v>
      </c>
      <c r="J53" s="3">
        <v>2027</v>
      </c>
      <c r="K53" s="3">
        <v>2028</v>
      </c>
      <c r="L53" s="3">
        <v>2029</v>
      </c>
      <c r="M53" s="3">
        <v>2030</v>
      </c>
      <c r="N53" s="3">
        <v>2031</v>
      </c>
      <c r="O53" s="3">
        <v>2032</v>
      </c>
      <c r="P53" s="3">
        <v>2033</v>
      </c>
      <c r="Q53" s="3">
        <v>2034</v>
      </c>
      <c r="R53" s="3">
        <v>2035</v>
      </c>
      <c r="S53" s="3">
        <v>2036</v>
      </c>
      <c r="T53" s="3">
        <v>2037</v>
      </c>
      <c r="U53" s="3">
        <v>2038</v>
      </c>
      <c r="V53">
        <v>2039</v>
      </c>
      <c r="W53">
        <v>2040</v>
      </c>
      <c r="X53">
        <v>2041</v>
      </c>
      <c r="Y53">
        <v>2042</v>
      </c>
      <c r="Z53">
        <v>2043</v>
      </c>
      <c r="AA53">
        <v>2044</v>
      </c>
      <c r="AB53">
        <v>2045</v>
      </c>
      <c r="AC53">
        <v>2046</v>
      </c>
      <c r="AD53">
        <v>2047</v>
      </c>
      <c r="AE53">
        <v>2048</v>
      </c>
      <c r="AF53">
        <v>2049</v>
      </c>
      <c r="AG53">
        <v>2050</v>
      </c>
    </row>
    <row r="54" spans="1:40" x14ac:dyDescent="0.25">
      <c r="A54" s="3" t="s">
        <v>54</v>
      </c>
      <c r="B54" s="12">
        <f>IF($C$3="CGE",GDP_CGE!B28,GDP_Simple!I35)</f>
        <v>0.5</v>
      </c>
      <c r="C54" s="12">
        <f>IF($C$3="CGE",GDP_CGE!C28,GDP_Simple!J35)</f>
        <v>0.52104177528081141</v>
      </c>
      <c r="D54" s="12">
        <f>IF($C$3="CGE",GDP_CGE!D28,GDP_Simple!K35)</f>
        <v>0.51652112605848799</v>
      </c>
      <c r="E54" s="12">
        <f>IF($C$3="CGE",GDP_CGE!E28,GDP_Simple!L35)</f>
        <v>0.49685833553094555</v>
      </c>
      <c r="F54" s="12">
        <f>IF($C$3="CGE",GDP_CGE!F28,GDP_Simple!M35)</f>
        <v>0.49205552970545141</v>
      </c>
      <c r="G54" s="12">
        <f>IF($C$3="CGE",GDP_CGE!G28,GDP_Simple!N35)</f>
        <v>0.49035234378915604</v>
      </c>
      <c r="H54" s="12">
        <f>IF($C$3="CGE",GDP_CGE!H28,GDP_Simple!O35)</f>
        <v>0.49083832005169392</v>
      </c>
      <c r="I54" s="12">
        <f>IF($C$3="CGE",GDP_CGE!I28,GDP_Simple!P35)</f>
        <v>0.4952004232650718</v>
      </c>
      <c r="J54" s="12">
        <f>IF($C$3="CGE",GDP_CGE!J28,GDP_Simple!Q35)</f>
        <v>0.49256431550401025</v>
      </c>
      <c r="K54" s="12">
        <f>IF($C$3="CGE",GDP_CGE!K28,GDP_Simple!R35)</f>
        <v>0.48002313412283315</v>
      </c>
      <c r="L54" s="12">
        <f>IF($C$3="CGE",GDP_CGE!L28,GDP_Simple!S35)</f>
        <v>0.46826578079747994</v>
      </c>
      <c r="M54" s="12">
        <f>IF($C$3="CGE",GDP_CGE!M28,GDP_Simple!T35)</f>
        <v>0.45810393798337951</v>
      </c>
      <c r="N54" s="12">
        <f>IF($C$3="CGE",GDP_CGE!N28,GDP_Simple!U35)</f>
        <v>0.44627519319958753</v>
      </c>
      <c r="O54" s="12">
        <f>IF($C$3="CGE",GDP_CGE!O28,GDP_Simple!V35)</f>
        <v>0.43431727923964247</v>
      </c>
      <c r="P54" s="12">
        <f>IF($C$3="CGE",GDP_CGE!P28,GDP_Simple!W35)</f>
        <v>0.42271991525881314</v>
      </c>
      <c r="Q54" s="12">
        <f>IF($C$3="CGE",GDP_CGE!Q28,GDP_Simple!X35)</f>
        <v>0.41048274907165483</v>
      </c>
      <c r="R54" s="12">
        <f>IF($C$3="CGE",GDP_CGE!R28,GDP_Simple!Y35)</f>
        <v>0.39793841431275584</v>
      </c>
      <c r="S54" s="12">
        <f>IF($C$3="CGE",GDP_CGE!S28,GDP_Simple!Z35)</f>
        <v>0.38563378911858098</v>
      </c>
      <c r="T54" s="12">
        <f>IF($C$3="CGE",GDP_CGE!T28,GDP_Simple!AA35)</f>
        <v>0.37296331760655599</v>
      </c>
      <c r="U54" s="12">
        <f>IF($C$3="CGE",GDP_CGE!U28,GDP_Simple!AB35)</f>
        <v>0.36152663218630521</v>
      </c>
      <c r="V54" s="12">
        <f>IF($C$3="CGE",GDP_CGE!V28,GDP_Simple!AC35)</f>
        <v>0.35116931087947051</v>
      </c>
      <c r="W54" s="12">
        <f>IF($C$3="CGE",GDP_CGE!W28,GDP_Simple!AD35)</f>
        <v>0.34151816916742883</v>
      </c>
      <c r="X54" s="12">
        <f>IF($C$3="CGE",GDP_CGE!X28,GDP_Simple!AE35)</f>
        <v>0.33220959329403427</v>
      </c>
      <c r="Y54" s="12">
        <f>IF($C$3="CGE",GDP_CGE!Y28,GDP_Simple!AF35)</f>
        <v>0.32300453891064079</v>
      </c>
      <c r="Z54" s="12">
        <f>IF($C$3="CGE",GDP_CGE!Z28,GDP_Simple!AG35)</f>
        <v>0.31410018050094252</v>
      </c>
      <c r="AA54" s="12">
        <f>IF($C$3="CGE",GDP_CGE!AA28,GDP_Simple!AH35)</f>
        <v>0.30514862735882758</v>
      </c>
      <c r="AB54" s="12">
        <f>IF($C$3="CGE",GDP_CGE!AB28,GDP_Simple!AI35)</f>
        <v>0.29617986322436329</v>
      </c>
      <c r="AC54" s="12">
        <f>IF($C$3="CGE",GDP_CGE!AC28,GDP_Simple!AJ35)</f>
        <v>0.28707693321702105</v>
      </c>
      <c r="AD54" s="12">
        <f>IF($C$3="CGE",GDP_CGE!AD28,GDP_Simple!AK35)</f>
        <v>0.27787854459994743</v>
      </c>
      <c r="AE54" s="12">
        <f>IF($C$3="CGE",GDP_CGE!AE28,GDP_Simple!AL35)</f>
        <v>0.26858750285367139</v>
      </c>
      <c r="AF54" s="12">
        <f>IF($C$3="CGE",GDP_CGE!AF28,GDP_Simple!AM35)</f>
        <v>0.25918027681428457</v>
      </c>
      <c r="AG54" s="12">
        <f>IF($C$3="CGE",GDP_CGE!AG28,GDP_Simple!AN35)</f>
        <v>0.24971992653481059</v>
      </c>
    </row>
    <row r="55" spans="1:40" x14ac:dyDescent="0.25">
      <c r="A55" s="3" t="s">
        <v>55</v>
      </c>
      <c r="B55" s="12">
        <f>IF($C$3="CGE",GDP_CGE!B29,GDP_Simple!I36)</f>
        <v>0.3</v>
      </c>
      <c r="C55" s="12">
        <f>IF($C$3="CGE",GDP_CGE!C29,GDP_Simple!J36)</f>
        <v>0.27895822471918863</v>
      </c>
      <c r="D55" s="12">
        <f>IF($C$3="CGE",GDP_CGE!D29,GDP_Simple!K36)</f>
        <v>0.283478873941512</v>
      </c>
      <c r="E55" s="12">
        <f>IF($C$3="CGE",GDP_CGE!E29,GDP_Simple!L36)</f>
        <v>0.30002404137584904</v>
      </c>
      <c r="F55" s="12">
        <f>IF($C$3="CGE",GDP_CGE!F29,GDP_Simple!M36)</f>
        <v>0.30412470430787908</v>
      </c>
      <c r="G55" s="12">
        <f>IF($C$3="CGE",GDP_CGE!G29,GDP_Simple!N36)</f>
        <v>0.30513934265941839</v>
      </c>
      <c r="H55" s="12">
        <f>IF($C$3="CGE",GDP_CGE!H29,GDP_Simple!O36)</f>
        <v>0.30710761450601287</v>
      </c>
      <c r="I55" s="12">
        <f>IF($C$3="CGE",GDP_CGE!I29,GDP_Simple!P36)</f>
        <v>0.30479957673492813</v>
      </c>
      <c r="J55" s="12">
        <f>IF($C$3="CGE",GDP_CGE!J29,GDP_Simple!Q36)</f>
        <v>0.30544822418152656</v>
      </c>
      <c r="K55" s="12">
        <f>IF($C$3="CGE",GDP_CGE!K29,GDP_Simple!R36)</f>
        <v>0.30827266741267056</v>
      </c>
      <c r="L55" s="12">
        <f>IF($C$3="CGE",GDP_CGE!L29,GDP_Simple!S36)</f>
        <v>0.31242033342183484</v>
      </c>
      <c r="M55" s="12">
        <f>IF($C$3="CGE",GDP_CGE!M29,GDP_Simple!T36)</f>
        <v>0.31447630621700667</v>
      </c>
      <c r="N55" s="12">
        <f>IF($C$3="CGE",GDP_CGE!N29,GDP_Simple!U36)</f>
        <v>0.3169321621042327</v>
      </c>
      <c r="O55" s="12">
        <f>IF($C$3="CGE",GDP_CGE!O29,GDP_Simple!V36)</f>
        <v>0.32000111254245933</v>
      </c>
      <c r="P55" s="12">
        <f>IF($C$3="CGE",GDP_CGE!P29,GDP_Simple!W36)</f>
        <v>0.32269063700704304</v>
      </c>
      <c r="Q55" s="12">
        <f>IF($C$3="CGE",GDP_CGE!Q29,GDP_Simple!X36)</f>
        <v>0.32518991801505592</v>
      </c>
      <c r="R55" s="12">
        <f>IF($C$3="CGE",GDP_CGE!R29,GDP_Simple!Y36)</f>
        <v>0.32806027064566307</v>
      </c>
      <c r="S55" s="12">
        <f>IF($C$3="CGE",GDP_CGE!S29,GDP_Simple!Z36)</f>
        <v>0.33067425579387039</v>
      </c>
      <c r="T55" s="12">
        <f>IF($C$3="CGE",GDP_CGE!T29,GDP_Simple!AA36)</f>
        <v>0.33333592313235927</v>
      </c>
      <c r="U55" s="12">
        <f>IF($C$3="CGE",GDP_CGE!U29,GDP_Simple!AB36)</f>
        <v>0.33669579925543452</v>
      </c>
      <c r="V55" s="12">
        <f>IF($C$3="CGE",GDP_CGE!V29,GDP_Simple!AC36)</f>
        <v>0.33914094587093702</v>
      </c>
      <c r="W55" s="12">
        <f>IF($C$3="CGE",GDP_CGE!W29,GDP_Simple!AD36)</f>
        <v>0.34185052107198538</v>
      </c>
      <c r="X55" s="12">
        <f>IF($C$3="CGE",GDP_CGE!X29,GDP_Simple!AE36)</f>
        <v>0.34397007037311744</v>
      </c>
      <c r="Y55" s="12">
        <f>IF($C$3="CGE",GDP_CGE!Y29,GDP_Simple!AF36)</f>
        <v>0.34637551814957229</v>
      </c>
      <c r="Z55" s="12">
        <f>IF($C$3="CGE",GDP_CGE!Z29,GDP_Simple!AG36)</f>
        <v>0.34836744746323578</v>
      </c>
      <c r="AA55" s="12">
        <f>IF($C$3="CGE",GDP_CGE!AA29,GDP_Simple!AH36)</f>
        <v>0.3502761777754072</v>
      </c>
      <c r="AB55" s="12">
        <f>IF($C$3="CGE",GDP_CGE!AB29,GDP_Simple!AI36)</f>
        <v>0.35215462423859001</v>
      </c>
      <c r="AC55" s="12">
        <f>IF($C$3="CGE",GDP_CGE!AC29,GDP_Simple!AJ36)</f>
        <v>0.35392042172346466</v>
      </c>
      <c r="AD55" s="12">
        <f>IF($C$3="CGE",GDP_CGE!AD29,GDP_Simple!AK36)</f>
        <v>0.35557589059150185</v>
      </c>
      <c r="AE55" s="12">
        <f>IF($C$3="CGE",GDP_CGE!AE29,GDP_Simple!AL36)</f>
        <v>0.35727041532442155</v>
      </c>
      <c r="AF55" s="12">
        <f>IF($C$3="CGE",GDP_CGE!AF29,GDP_Simple!AM36)</f>
        <v>0.35889605662930896</v>
      </c>
      <c r="AG55" s="12">
        <f>IF($C$3="CGE",GDP_CGE!AG29,GDP_Simple!AN36)</f>
        <v>0.36059008808829385</v>
      </c>
    </row>
    <row r="56" spans="1:40" x14ac:dyDescent="0.25">
      <c r="A56" s="3" t="s">
        <v>56</v>
      </c>
      <c r="B56" s="12">
        <f>IF($C$3="CGE",GDP_CGE!B30,GDP_Simple!I37)</f>
        <v>0.2</v>
      </c>
      <c r="C56" s="12">
        <f>IF($C$3="CGE",GDP_CGE!C30,GDP_Simple!J37)</f>
        <v>0.2</v>
      </c>
      <c r="D56" s="12">
        <f>IF($C$3="CGE",GDP_CGE!D30,GDP_Simple!K37)</f>
        <v>0.19999999999999998</v>
      </c>
      <c r="E56" s="12">
        <f>IF($C$3="CGE",GDP_CGE!E30,GDP_Simple!L37)</f>
        <v>0.20311762309320541</v>
      </c>
      <c r="F56" s="12">
        <f>IF($C$3="CGE",GDP_CGE!F30,GDP_Simple!M37)</f>
        <v>0.20381976598666948</v>
      </c>
      <c r="G56" s="12">
        <f>IF($C$3="CGE",GDP_CGE!G30,GDP_Simple!N37)</f>
        <v>0.20450831355142557</v>
      </c>
      <c r="H56" s="12">
        <f>IF($C$3="CGE",GDP_CGE!H30,GDP_Simple!O37)</f>
        <v>0.20205406544229332</v>
      </c>
      <c r="I56" s="12">
        <f>IF($C$3="CGE",GDP_CGE!I30,GDP_Simple!P37)</f>
        <v>0.19999999999999998</v>
      </c>
      <c r="J56" s="12">
        <f>IF($C$3="CGE",GDP_CGE!J30,GDP_Simple!Q37)</f>
        <v>0.20198746031446319</v>
      </c>
      <c r="K56" s="12">
        <f>IF($C$3="CGE",GDP_CGE!K30,GDP_Simple!R37)</f>
        <v>0.21170419846449634</v>
      </c>
      <c r="L56" s="12">
        <f>IF($C$3="CGE",GDP_CGE!L30,GDP_Simple!S37)</f>
        <v>0.21931388578068517</v>
      </c>
      <c r="M56" s="12">
        <f>IF($C$3="CGE",GDP_CGE!M30,GDP_Simple!T37)</f>
        <v>0.22741975579961379</v>
      </c>
      <c r="N56" s="12">
        <f>IF($C$3="CGE",GDP_CGE!N30,GDP_Simple!U37)</f>
        <v>0.23679264469617972</v>
      </c>
      <c r="O56" s="12">
        <f>IF($C$3="CGE",GDP_CGE!O30,GDP_Simple!V37)</f>
        <v>0.2456816082178982</v>
      </c>
      <c r="P56" s="12">
        <f>IF($C$3="CGE",GDP_CGE!P30,GDP_Simple!W37)</f>
        <v>0.25458944773414383</v>
      </c>
      <c r="Q56" s="12">
        <f>IF($C$3="CGE",GDP_CGE!Q30,GDP_Simple!X37)</f>
        <v>0.26432733291328919</v>
      </c>
      <c r="R56" s="12">
        <f>IF($C$3="CGE",GDP_CGE!R30,GDP_Simple!Y37)</f>
        <v>0.27400131504158109</v>
      </c>
      <c r="S56" s="12">
        <f>IF($C$3="CGE",GDP_CGE!S30,GDP_Simple!Z37)</f>
        <v>0.28369195508754852</v>
      </c>
      <c r="T56" s="12">
        <f>IF($C$3="CGE",GDP_CGE!T30,GDP_Simple!AA37)</f>
        <v>0.2937007592610848</v>
      </c>
      <c r="U56" s="12">
        <f>IF($C$3="CGE",GDP_CGE!U30,GDP_Simple!AB37)</f>
        <v>0.30177756855826032</v>
      </c>
      <c r="V56" s="12">
        <f>IF($C$3="CGE",GDP_CGE!V30,GDP_Simple!AC37)</f>
        <v>0.30968974324959242</v>
      </c>
      <c r="W56" s="12">
        <f>IF($C$3="CGE",GDP_CGE!W30,GDP_Simple!AD37)</f>
        <v>0.31663130976058579</v>
      </c>
      <c r="X56" s="12">
        <f>IF($C$3="CGE",GDP_CGE!X30,GDP_Simple!AE37)</f>
        <v>0.32382033633284829</v>
      </c>
      <c r="Y56" s="12">
        <f>IF($C$3="CGE",GDP_CGE!Y30,GDP_Simple!AF37)</f>
        <v>0.33061994293978691</v>
      </c>
      <c r="Z56" s="12">
        <f>IF($C$3="CGE",GDP_CGE!Z30,GDP_Simple!AG37)</f>
        <v>0.3375323720358217</v>
      </c>
      <c r="AA56" s="12">
        <f>IF($C$3="CGE",GDP_CGE!AA30,GDP_Simple!AH37)</f>
        <v>0.3445751948657651</v>
      </c>
      <c r="AB56" s="12">
        <f>IF($C$3="CGE",GDP_CGE!AB30,GDP_Simple!AI37)</f>
        <v>0.35166551253704664</v>
      </c>
      <c r="AC56" s="12">
        <f>IF($C$3="CGE",GDP_CGE!AC30,GDP_Simple!AJ37)</f>
        <v>0.35900264505951418</v>
      </c>
      <c r="AD56" s="12">
        <f>IF($C$3="CGE",GDP_CGE!AD30,GDP_Simple!AK37)</f>
        <v>0.36654556480855072</v>
      </c>
      <c r="AE56" s="12">
        <f>IF($C$3="CGE",GDP_CGE!AE30,GDP_Simple!AL37)</f>
        <v>0.37414208182190711</v>
      </c>
      <c r="AF56" s="12">
        <f>IF($C$3="CGE",GDP_CGE!AF30,GDP_Simple!AM37)</f>
        <v>0.38192366655640653</v>
      </c>
      <c r="AG56" s="12">
        <f>IF($C$3="CGE",GDP_CGE!AG30,GDP_Simple!AN37)</f>
        <v>0.38968998537689553</v>
      </c>
    </row>
    <row r="57" spans="1:40" x14ac:dyDescent="0.25">
      <c r="A57" s="3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9" spans="1:40" ht="18" thickBot="1" x14ac:dyDescent="0.35">
      <c r="A59" s="4" t="s">
        <v>69</v>
      </c>
      <c r="B59" s="4"/>
      <c r="C59" s="4"/>
      <c r="D59" s="4"/>
      <c r="E59" s="4"/>
      <c r="F59" s="4"/>
      <c r="G59" s="4"/>
      <c r="H59" s="4"/>
    </row>
    <row r="60" spans="1:40" ht="15.75" thickTop="1" x14ac:dyDescent="0.25">
      <c r="A60" s="3">
        <v>2019</v>
      </c>
      <c r="B60" s="3">
        <v>2020</v>
      </c>
      <c r="C60" s="3">
        <v>2021</v>
      </c>
      <c r="D60" s="3">
        <v>2022</v>
      </c>
      <c r="E60" s="3">
        <v>2023</v>
      </c>
      <c r="F60" s="3">
        <v>2024</v>
      </c>
      <c r="G60" s="3">
        <v>2025</v>
      </c>
      <c r="H60" s="3">
        <v>2026</v>
      </c>
      <c r="I60" s="3">
        <v>2027</v>
      </c>
      <c r="J60" s="3">
        <v>2028</v>
      </c>
      <c r="K60" s="3">
        <v>2029</v>
      </c>
      <c r="L60" s="3">
        <v>2030</v>
      </c>
      <c r="M60" s="3">
        <v>2031</v>
      </c>
      <c r="N60" s="3">
        <v>2032</v>
      </c>
      <c r="O60" s="3">
        <v>2033</v>
      </c>
      <c r="P60" s="3">
        <v>2034</v>
      </c>
      <c r="Q60" s="3">
        <v>2035</v>
      </c>
      <c r="R60" s="3">
        <v>2036</v>
      </c>
      <c r="S60">
        <v>2037</v>
      </c>
      <c r="T60">
        <v>2038</v>
      </c>
      <c r="U60">
        <v>2039</v>
      </c>
      <c r="V60">
        <v>2040</v>
      </c>
      <c r="W60">
        <v>2041</v>
      </c>
      <c r="X60">
        <v>2042</v>
      </c>
      <c r="Y60">
        <v>2043</v>
      </c>
      <c r="Z60">
        <v>2044</v>
      </c>
      <c r="AA60">
        <v>2045</v>
      </c>
      <c r="AB60">
        <v>2046</v>
      </c>
      <c r="AC60">
        <v>2047</v>
      </c>
      <c r="AD60">
        <v>2048</v>
      </c>
      <c r="AE60">
        <v>2049</v>
      </c>
      <c r="AF60">
        <v>2050</v>
      </c>
    </row>
    <row r="61" spans="1:40" x14ac:dyDescent="0.25">
      <c r="A61" s="12">
        <f>IF($C$3="CGE",GDP_CGE!A35,GDP_Simple!H42)</f>
        <v>0.3670146459012677</v>
      </c>
      <c r="B61" s="12">
        <f>IF($C$3="CGE",GDP_CGE!B35,GDP_Simple!I42)</f>
        <v>0.33856823501224786</v>
      </c>
      <c r="C61" s="12">
        <f>IF($C$3="CGE",GDP_CGE!C35,GDP_Simple!J42)</f>
        <v>0.42255797132499368</v>
      </c>
      <c r="D61" s="12">
        <f>IF($C$3="CGE",GDP_CGE!D35,GDP_Simple!K42)</f>
        <v>0.42739295203893585</v>
      </c>
      <c r="E61" s="12">
        <f>IF($C$3="CGE",GDP_CGE!E35,GDP_Simple!L42)</f>
        <v>0.42629272057286832</v>
      </c>
      <c r="F61" s="12">
        <f>IF($C$3="CGE",GDP_CGE!F35,GDP_Simple!M42)</f>
        <v>0.42665159798166191</v>
      </c>
      <c r="G61" s="12">
        <f>IF($C$3="CGE",GDP_CGE!G35,GDP_Simple!N42)</f>
        <v>0.42276851647993174</v>
      </c>
      <c r="H61" s="12">
        <f>IF($C$3="CGE",GDP_CGE!H35,GDP_Simple!O42)</f>
        <v>0.41855766359980767</v>
      </c>
      <c r="I61" s="12">
        <f>IF($C$3="CGE",GDP_CGE!I35,GDP_Simple!P42)</f>
        <v>0.42334501402977476</v>
      </c>
      <c r="J61" s="12">
        <f>IF($C$3="CGE",GDP_CGE!J35,GDP_Simple!Q42)</f>
        <v>0.43352601604953406</v>
      </c>
      <c r="K61" s="12">
        <f>IF($C$3="CGE",GDP_CGE!K35,GDP_Simple!R42)</f>
        <v>0.44062563363823765</v>
      </c>
      <c r="L61" s="12">
        <f>IF($C$3="CGE",GDP_CGE!L35,GDP_Simple!S42)</f>
        <v>0.45017242214028164</v>
      </c>
      <c r="M61" s="12">
        <f>IF($C$3="CGE",GDP_CGE!M35,GDP_Simple!T42)</f>
        <v>0.46166678197359839</v>
      </c>
      <c r="N61" s="12">
        <f>IF($C$3="CGE",GDP_CGE!N35,GDP_Simple!U42)</f>
        <v>0.47259722262437243</v>
      </c>
      <c r="O61" s="12">
        <f>IF($C$3="CGE",GDP_CGE!O35,GDP_Simple!V42)</f>
        <v>0.48432709592496836</v>
      </c>
      <c r="P61" s="12">
        <f>IF($C$3="CGE",GDP_CGE!P35,GDP_Simple!W42)</f>
        <v>0.49810139621869098</v>
      </c>
      <c r="Q61" s="12">
        <f>IF($C$3="CGE",GDP_CGE!Q35,GDP_Simple!X42)</f>
        <v>0.51219632282960958</v>
      </c>
      <c r="R61" s="12">
        <f>IF($C$3="CGE",GDP_CGE!R35,GDP_Simple!Y42)</f>
        <v>0.52751578225460893</v>
      </c>
      <c r="S61" s="12">
        <f>IF($C$3="CGE",GDP_CGE!S35,GDP_Simple!Z42)</f>
        <v>0.54439121769101251</v>
      </c>
      <c r="T61" s="12">
        <f>IF($C$3="CGE",GDP_CGE!T35,GDP_Simple!AA42)</f>
        <v>0.61417358251932652</v>
      </c>
      <c r="U61" s="12">
        <f>IF($C$3="CGE",GDP_CGE!U35,GDP_Simple!AB42)</f>
        <v>0.63061005875574128</v>
      </c>
      <c r="V61" s="12">
        <f>IF($C$3="CGE",GDP_CGE!V35,GDP_Simple!AC42)</f>
        <v>0.64516179920166183</v>
      </c>
      <c r="W61" s="12">
        <f>IF($C$3="CGE",GDP_CGE!W35,GDP_Simple!AD42)</f>
        <v>0.66188475929885227</v>
      </c>
      <c r="X61" s="12">
        <f>IF($C$3="CGE",GDP_CGE!X35,GDP_Simple!AE42)</f>
        <v>0.67766316717628683</v>
      </c>
      <c r="Y61" s="12">
        <f>IF($C$3="CGE",GDP_CGE!Y35,GDP_Simple!AF42)</f>
        <v>0.6947122212757284</v>
      </c>
      <c r="Z61" s="12">
        <f>IF($C$3="CGE",GDP_CGE!Z35,GDP_Simple!AG42)</f>
        <v>0.71309121800812003</v>
      </c>
      <c r="AA61" s="12">
        <f>IF($C$3="CGE",GDP_CGE!AA35,GDP_Simple!AH42)</f>
        <v>0.73268428510464945</v>
      </c>
      <c r="AB61" s="12">
        <f>IF($C$3="CGE",GDP_CGE!AB35,GDP_Simple!AI42)</f>
        <v>0.7542320543013229</v>
      </c>
      <c r="AC61" s="12">
        <f>IF($C$3="CGE",GDP_CGE!AC35,GDP_Simple!AJ42)</f>
        <v>0.7779897857689454</v>
      </c>
      <c r="AD61" s="12">
        <f>IF($C$3="CGE",GDP_CGE!AD35,GDP_Simple!AK42)</f>
        <v>0.80349794080506487</v>
      </c>
      <c r="AE61" s="12">
        <f>IF($C$3="CGE",GDP_CGE!AE35,GDP_Simple!AL42)</f>
        <v>0.83164268387947504</v>
      </c>
      <c r="AF61" s="12">
        <f>IF($C$3="CGE",GDP_CGE!AF35,GDP_Simple!AM42)</f>
        <v>0.86168905809987639</v>
      </c>
      <c r="AN61" s="12"/>
    </row>
    <row r="64" spans="1:40" ht="18" thickBot="1" x14ac:dyDescent="0.35">
      <c r="A64" s="4" t="s">
        <v>70</v>
      </c>
      <c r="B64" s="4"/>
      <c r="C64" s="4"/>
      <c r="D64" s="4"/>
      <c r="E64" s="4"/>
      <c r="F64" s="4"/>
      <c r="G64" s="4"/>
      <c r="H64" s="4"/>
    </row>
    <row r="65" spans="1:42" ht="15.75" thickTop="1" x14ac:dyDescent="0.25">
      <c r="C65" s="3" t="s">
        <v>99</v>
      </c>
      <c r="D65" s="3" t="s">
        <v>100</v>
      </c>
      <c r="E65" s="3" t="s">
        <v>101</v>
      </c>
      <c r="F65" s="3" t="s">
        <v>102</v>
      </c>
      <c r="G65" s="3" t="s">
        <v>103</v>
      </c>
      <c r="H65" s="3" t="s">
        <v>104</v>
      </c>
      <c r="I65" s="3" t="s">
        <v>105</v>
      </c>
      <c r="J65" s="3" t="s">
        <v>106</v>
      </c>
      <c r="K65" s="3" t="s">
        <v>107</v>
      </c>
      <c r="L65" s="3" t="s">
        <v>108</v>
      </c>
      <c r="M65" s="3" t="s">
        <v>109</v>
      </c>
      <c r="N65" s="3" t="s">
        <v>110</v>
      </c>
      <c r="O65" s="3" t="s">
        <v>111</v>
      </c>
      <c r="P65" s="3" t="s">
        <v>112</v>
      </c>
      <c r="Q65" s="3" t="s">
        <v>113</v>
      </c>
      <c r="R65" s="3" t="s">
        <v>114</v>
      </c>
      <c r="S65" s="3" t="s">
        <v>115</v>
      </c>
      <c r="T65" s="3" t="s">
        <v>116</v>
      </c>
      <c r="U65" s="3" t="s">
        <v>117</v>
      </c>
      <c r="V65" s="3" t="s">
        <v>118</v>
      </c>
      <c r="W65" s="3" t="s">
        <v>119</v>
      </c>
      <c r="X65" s="3" t="s">
        <v>120</v>
      </c>
      <c r="Y65" s="3" t="s">
        <v>121</v>
      </c>
      <c r="Z65" s="3" t="s">
        <v>122</v>
      </c>
      <c r="AA65" s="3" t="s">
        <v>123</v>
      </c>
      <c r="AB65" s="3" t="s">
        <v>124</v>
      </c>
      <c r="AC65" s="3" t="s">
        <v>125</v>
      </c>
      <c r="AD65" s="3" t="s">
        <v>126</v>
      </c>
      <c r="AE65" s="3" t="s">
        <v>127</v>
      </c>
      <c r="AF65" s="3" t="s">
        <v>128</v>
      </c>
      <c r="AG65" s="3" t="s">
        <v>129</v>
      </c>
      <c r="AH65" s="3" t="s">
        <v>130</v>
      </c>
      <c r="AI65" s="3"/>
      <c r="AJ65" s="3"/>
      <c r="AK65" s="3"/>
      <c r="AL65" s="3"/>
      <c r="AM65" s="3"/>
      <c r="AN65" s="3"/>
      <c r="AO65" s="3"/>
      <c r="AP65" s="3"/>
    </row>
    <row r="66" spans="1:42" x14ac:dyDescent="0.25">
      <c r="A66" s="3" t="s">
        <v>54</v>
      </c>
      <c r="B66" s="3" t="s">
        <v>57</v>
      </c>
      <c r="C66" t="s">
        <v>58</v>
      </c>
      <c r="D66" t="s">
        <v>58</v>
      </c>
      <c r="E66" t="s">
        <v>58</v>
      </c>
      <c r="F66" t="s">
        <v>58</v>
      </c>
      <c r="G66" t="s">
        <v>58</v>
      </c>
      <c r="H66" t="s">
        <v>58</v>
      </c>
      <c r="I66" t="s">
        <v>58</v>
      </c>
      <c r="J66" t="s">
        <v>58</v>
      </c>
      <c r="K66" t="s">
        <v>58</v>
      </c>
      <c r="L66" t="s">
        <v>58</v>
      </c>
      <c r="M66" t="s">
        <v>58</v>
      </c>
      <c r="N66" t="s">
        <v>58</v>
      </c>
      <c r="O66" t="s">
        <v>58</v>
      </c>
      <c r="P66" t="s">
        <v>58</v>
      </c>
      <c r="Q66" t="s">
        <v>58</v>
      </c>
      <c r="R66" t="s">
        <v>58</v>
      </c>
      <c r="S66" t="s">
        <v>58</v>
      </c>
      <c r="T66" t="s">
        <v>58</v>
      </c>
      <c r="U66" t="s">
        <v>58</v>
      </c>
      <c r="V66" t="s">
        <v>58</v>
      </c>
      <c r="W66" t="s">
        <v>58</v>
      </c>
      <c r="X66" t="s">
        <v>58</v>
      </c>
      <c r="Y66" t="s">
        <v>58</v>
      </c>
      <c r="Z66" t="s">
        <v>58</v>
      </c>
      <c r="AA66" t="s">
        <v>58</v>
      </c>
      <c r="AB66" t="s">
        <v>58</v>
      </c>
      <c r="AC66" t="s">
        <v>58</v>
      </c>
      <c r="AD66" t="s">
        <v>58</v>
      </c>
      <c r="AE66" t="s">
        <v>58</v>
      </c>
      <c r="AF66" t="s">
        <v>58</v>
      </c>
      <c r="AG66" t="s">
        <v>58</v>
      </c>
      <c r="AH66" t="s">
        <v>58</v>
      </c>
    </row>
    <row r="67" spans="1:42" x14ac:dyDescent="0.25">
      <c r="A67" s="3" t="s">
        <v>54</v>
      </c>
      <c r="B67" s="3" t="s">
        <v>59</v>
      </c>
      <c r="C67" t="s">
        <v>58</v>
      </c>
      <c r="D67" t="s">
        <v>58</v>
      </c>
      <c r="E67" t="s">
        <v>58</v>
      </c>
      <c r="F67" t="s">
        <v>58</v>
      </c>
      <c r="G67" t="s">
        <v>58</v>
      </c>
      <c r="H67" t="s">
        <v>58</v>
      </c>
      <c r="I67" t="s">
        <v>58</v>
      </c>
      <c r="J67" t="s">
        <v>58</v>
      </c>
      <c r="K67" t="s">
        <v>58</v>
      </c>
      <c r="L67" t="s">
        <v>58</v>
      </c>
      <c r="M67" t="s">
        <v>58</v>
      </c>
      <c r="N67" t="s">
        <v>58</v>
      </c>
      <c r="O67" t="s">
        <v>58</v>
      </c>
      <c r="P67" t="s">
        <v>58</v>
      </c>
      <c r="Q67" t="s">
        <v>58</v>
      </c>
      <c r="R67" t="s">
        <v>58</v>
      </c>
      <c r="S67" t="s">
        <v>58</v>
      </c>
      <c r="T67" t="s">
        <v>58</v>
      </c>
      <c r="U67" t="s">
        <v>58</v>
      </c>
      <c r="V67" t="s">
        <v>58</v>
      </c>
      <c r="W67" t="s">
        <v>58</v>
      </c>
      <c r="X67" t="s">
        <v>58</v>
      </c>
      <c r="Y67" t="s">
        <v>58</v>
      </c>
      <c r="Z67" t="s">
        <v>58</v>
      </c>
      <c r="AA67" t="s">
        <v>58</v>
      </c>
      <c r="AB67" t="s">
        <v>58</v>
      </c>
      <c r="AC67" t="s">
        <v>58</v>
      </c>
      <c r="AD67" t="s">
        <v>58</v>
      </c>
      <c r="AE67" t="s">
        <v>58</v>
      </c>
      <c r="AF67" t="s">
        <v>58</v>
      </c>
      <c r="AG67" t="s">
        <v>58</v>
      </c>
      <c r="AH67" t="s">
        <v>58</v>
      </c>
    </row>
    <row r="68" spans="1:42" x14ac:dyDescent="0.25">
      <c r="A68" s="3" t="s">
        <v>54</v>
      </c>
      <c r="B68" s="3" t="s">
        <v>60</v>
      </c>
      <c r="C68" t="s">
        <v>58</v>
      </c>
      <c r="D68" t="s">
        <v>58</v>
      </c>
      <c r="E68" t="s">
        <v>58</v>
      </c>
      <c r="F68" t="s">
        <v>58</v>
      </c>
      <c r="G68" t="s">
        <v>58</v>
      </c>
      <c r="H68" t="s">
        <v>58</v>
      </c>
      <c r="I68" t="s">
        <v>58</v>
      </c>
      <c r="J68" t="s">
        <v>58</v>
      </c>
      <c r="K68" t="s">
        <v>58</v>
      </c>
      <c r="L68" t="s">
        <v>58</v>
      </c>
      <c r="M68" t="s">
        <v>58</v>
      </c>
      <c r="N68" t="s">
        <v>58</v>
      </c>
      <c r="O68" t="s">
        <v>58</v>
      </c>
      <c r="P68" t="s">
        <v>58</v>
      </c>
      <c r="Q68" t="s">
        <v>58</v>
      </c>
      <c r="R68" t="s">
        <v>58</v>
      </c>
      <c r="S68" t="s">
        <v>58</v>
      </c>
      <c r="T68" t="s">
        <v>58</v>
      </c>
      <c r="U68" t="s">
        <v>58</v>
      </c>
      <c r="V68" t="s">
        <v>58</v>
      </c>
      <c r="W68" t="s">
        <v>58</v>
      </c>
      <c r="X68" t="s">
        <v>58</v>
      </c>
      <c r="Y68" t="s">
        <v>58</v>
      </c>
      <c r="Z68" t="s">
        <v>58</v>
      </c>
      <c r="AA68" t="s">
        <v>58</v>
      </c>
      <c r="AB68" t="s">
        <v>58</v>
      </c>
      <c r="AC68" t="s">
        <v>58</v>
      </c>
      <c r="AD68" t="s">
        <v>58</v>
      </c>
      <c r="AE68" t="s">
        <v>58</v>
      </c>
      <c r="AF68" t="s">
        <v>58</v>
      </c>
    </row>
    <row r="69" spans="1:42" x14ac:dyDescent="0.25">
      <c r="A69" s="3" t="s">
        <v>54</v>
      </c>
      <c r="B69" s="3" t="s">
        <v>61</v>
      </c>
      <c r="C69" t="s">
        <v>58</v>
      </c>
      <c r="D69" t="s">
        <v>58</v>
      </c>
      <c r="E69" t="s">
        <v>58</v>
      </c>
      <c r="F69" t="s">
        <v>58</v>
      </c>
      <c r="G69" t="s">
        <v>58</v>
      </c>
      <c r="H69" t="s">
        <v>58</v>
      </c>
      <c r="I69" t="s">
        <v>58</v>
      </c>
      <c r="J69" t="s">
        <v>58</v>
      </c>
      <c r="K69" t="s">
        <v>58</v>
      </c>
      <c r="L69" t="s">
        <v>58</v>
      </c>
      <c r="M69" t="s">
        <v>58</v>
      </c>
      <c r="N69" t="s">
        <v>58</v>
      </c>
      <c r="O69" t="s">
        <v>58</v>
      </c>
      <c r="P69" t="s">
        <v>58</v>
      </c>
      <c r="Q69" t="s">
        <v>58</v>
      </c>
      <c r="R69" t="s">
        <v>58</v>
      </c>
    </row>
    <row r="70" spans="1:42" x14ac:dyDescent="0.25">
      <c r="A70" s="3" t="s">
        <v>54</v>
      </c>
      <c r="B70" s="3" t="s">
        <v>62</v>
      </c>
      <c r="C70" t="s">
        <v>58</v>
      </c>
      <c r="D70" t="s">
        <v>58</v>
      </c>
      <c r="E70" t="s">
        <v>58</v>
      </c>
      <c r="F70" t="s">
        <v>58</v>
      </c>
    </row>
    <row r="71" spans="1:42" x14ac:dyDescent="0.25">
      <c r="A71" s="3" t="s">
        <v>55</v>
      </c>
      <c r="B71" s="3" t="s">
        <v>60</v>
      </c>
      <c r="AG71" t="s">
        <v>58</v>
      </c>
      <c r="AH71" t="s">
        <v>58</v>
      </c>
    </row>
    <row r="72" spans="1:42" x14ac:dyDescent="0.25">
      <c r="A72" s="3" t="s">
        <v>55</v>
      </c>
      <c r="B72" s="3" t="s">
        <v>61</v>
      </c>
      <c r="S72" t="s">
        <v>58</v>
      </c>
      <c r="T72" t="s">
        <v>58</v>
      </c>
      <c r="U72" t="s">
        <v>58</v>
      </c>
      <c r="V72" t="s">
        <v>58</v>
      </c>
      <c r="W72" t="s">
        <v>58</v>
      </c>
      <c r="X72" t="s">
        <v>58</v>
      </c>
      <c r="Y72" t="s">
        <v>58</v>
      </c>
      <c r="Z72" t="s">
        <v>58</v>
      </c>
      <c r="AA72" t="s">
        <v>58</v>
      </c>
      <c r="AB72" t="s">
        <v>58</v>
      </c>
      <c r="AC72" t="s">
        <v>58</v>
      </c>
      <c r="AD72" t="s">
        <v>58</v>
      </c>
      <c r="AE72" t="s">
        <v>58</v>
      </c>
      <c r="AF72" t="s">
        <v>58</v>
      </c>
      <c r="AG72" t="s">
        <v>58</v>
      </c>
      <c r="AH72" t="s">
        <v>58</v>
      </c>
    </row>
    <row r="73" spans="1:42" x14ac:dyDescent="0.25">
      <c r="A73" s="3" t="s">
        <v>55</v>
      </c>
      <c r="B73" s="3" t="s">
        <v>62</v>
      </c>
      <c r="G73" t="s">
        <v>58</v>
      </c>
      <c r="H73" t="s">
        <v>58</v>
      </c>
      <c r="I73" t="s">
        <v>58</v>
      </c>
      <c r="J73" t="s">
        <v>58</v>
      </c>
      <c r="K73" t="s">
        <v>58</v>
      </c>
      <c r="L73" t="s">
        <v>58</v>
      </c>
      <c r="M73" t="s">
        <v>58</v>
      </c>
      <c r="N73" t="s">
        <v>58</v>
      </c>
      <c r="O73" t="s">
        <v>58</v>
      </c>
      <c r="P73" t="s">
        <v>58</v>
      </c>
      <c r="Q73" t="s">
        <v>58</v>
      </c>
      <c r="R73" t="s">
        <v>58</v>
      </c>
      <c r="S73" t="s">
        <v>58</v>
      </c>
      <c r="T73" t="s">
        <v>58</v>
      </c>
      <c r="U73" t="s">
        <v>58</v>
      </c>
      <c r="V73" t="s">
        <v>58</v>
      </c>
      <c r="W73" t="s">
        <v>58</v>
      </c>
      <c r="X73" t="s">
        <v>58</v>
      </c>
      <c r="Y73" t="s">
        <v>58</v>
      </c>
      <c r="Z73" t="s">
        <v>58</v>
      </c>
      <c r="AA73" t="s">
        <v>58</v>
      </c>
      <c r="AB73" t="s">
        <v>58</v>
      </c>
      <c r="AC73" t="s">
        <v>58</v>
      </c>
      <c r="AD73" t="s">
        <v>58</v>
      </c>
      <c r="AE73" t="s">
        <v>58</v>
      </c>
      <c r="AF73" t="s">
        <v>58</v>
      </c>
      <c r="AG73" t="s">
        <v>58</v>
      </c>
      <c r="AH73" t="s">
        <v>58</v>
      </c>
    </row>
    <row r="74" spans="1:42" x14ac:dyDescent="0.25">
      <c r="A74" s="3" t="s">
        <v>55</v>
      </c>
      <c r="B74" s="3" t="s">
        <v>63</v>
      </c>
      <c r="C74" t="s">
        <v>58</v>
      </c>
      <c r="D74" t="s">
        <v>58</v>
      </c>
      <c r="E74" t="s">
        <v>58</v>
      </c>
      <c r="F74" t="s">
        <v>58</v>
      </c>
      <c r="G74" t="s">
        <v>58</v>
      </c>
      <c r="H74" t="s">
        <v>58</v>
      </c>
      <c r="I74" t="s">
        <v>58</v>
      </c>
      <c r="J74" t="s">
        <v>58</v>
      </c>
      <c r="K74" t="s">
        <v>58</v>
      </c>
      <c r="L74" t="s">
        <v>58</v>
      </c>
      <c r="M74" t="s">
        <v>58</v>
      </c>
      <c r="N74" t="s">
        <v>58</v>
      </c>
      <c r="O74" t="s">
        <v>58</v>
      </c>
      <c r="P74" t="s">
        <v>58</v>
      </c>
      <c r="Q74" t="s">
        <v>58</v>
      </c>
      <c r="R74" t="s">
        <v>58</v>
      </c>
      <c r="S74" t="s">
        <v>58</v>
      </c>
      <c r="T74" t="s">
        <v>58</v>
      </c>
      <c r="U74" t="s">
        <v>58</v>
      </c>
      <c r="V74" t="s">
        <v>58</v>
      </c>
      <c r="W74" t="s">
        <v>58</v>
      </c>
      <c r="X74" t="s">
        <v>58</v>
      </c>
      <c r="Y74" t="s">
        <v>58</v>
      </c>
      <c r="Z74" t="s">
        <v>58</v>
      </c>
      <c r="AA74" t="s">
        <v>58</v>
      </c>
      <c r="AB74" t="s">
        <v>58</v>
      </c>
      <c r="AC74" t="s">
        <v>58</v>
      </c>
      <c r="AD74" t="s">
        <v>58</v>
      </c>
      <c r="AE74" t="s">
        <v>58</v>
      </c>
      <c r="AF74" t="s">
        <v>58</v>
      </c>
      <c r="AG74" t="s">
        <v>58</v>
      </c>
      <c r="AH74" t="s">
        <v>58</v>
      </c>
    </row>
    <row r="75" spans="1:42" x14ac:dyDescent="0.25">
      <c r="A75" s="3" t="s">
        <v>55</v>
      </c>
      <c r="B75" s="3" t="s">
        <v>64</v>
      </c>
      <c r="C75" t="s">
        <v>58</v>
      </c>
      <c r="D75" t="s">
        <v>58</v>
      </c>
      <c r="E75" t="s">
        <v>58</v>
      </c>
      <c r="F75" t="s">
        <v>58</v>
      </c>
      <c r="G75" t="s">
        <v>58</v>
      </c>
      <c r="H75" t="s">
        <v>58</v>
      </c>
      <c r="I75" t="s">
        <v>58</v>
      </c>
      <c r="J75" t="s">
        <v>58</v>
      </c>
      <c r="K75" t="s">
        <v>58</v>
      </c>
      <c r="L75" t="s">
        <v>58</v>
      </c>
      <c r="M75" t="s">
        <v>58</v>
      </c>
      <c r="N75" t="s">
        <v>58</v>
      </c>
      <c r="O75" t="s">
        <v>58</v>
      </c>
      <c r="P75" t="s">
        <v>58</v>
      </c>
      <c r="Q75" t="s">
        <v>58</v>
      </c>
      <c r="R75" t="s">
        <v>58</v>
      </c>
      <c r="S75" t="s">
        <v>58</v>
      </c>
      <c r="T75" t="s">
        <v>58</v>
      </c>
      <c r="U75" t="s">
        <v>58</v>
      </c>
      <c r="V75" t="s">
        <v>58</v>
      </c>
      <c r="W75" t="s">
        <v>58</v>
      </c>
      <c r="X75" t="s">
        <v>58</v>
      </c>
    </row>
    <row r="76" spans="1:42" x14ac:dyDescent="0.25">
      <c r="A76" s="3" t="s">
        <v>55</v>
      </c>
      <c r="B76" s="3" t="s">
        <v>65</v>
      </c>
      <c r="C76" t="s">
        <v>58</v>
      </c>
      <c r="D76" t="s">
        <v>58</v>
      </c>
      <c r="F76" t="s">
        <v>58</v>
      </c>
    </row>
    <row r="77" spans="1:42" x14ac:dyDescent="0.25">
      <c r="A77" s="3" t="s">
        <v>56</v>
      </c>
      <c r="B77" s="3" t="s">
        <v>64</v>
      </c>
      <c r="Y77" t="s">
        <v>58</v>
      </c>
      <c r="Z77" t="s">
        <v>58</v>
      </c>
      <c r="AA77" t="s">
        <v>58</v>
      </c>
      <c r="AB77" t="s">
        <v>58</v>
      </c>
      <c r="AC77" t="s">
        <v>58</v>
      </c>
      <c r="AD77" t="s">
        <v>58</v>
      </c>
      <c r="AE77" t="s">
        <v>58</v>
      </c>
      <c r="AF77" t="s">
        <v>58</v>
      </c>
      <c r="AG77" t="s">
        <v>58</v>
      </c>
      <c r="AH77" t="s">
        <v>58</v>
      </c>
    </row>
    <row r="78" spans="1:42" x14ac:dyDescent="0.25">
      <c r="A78" s="3" t="s">
        <v>56</v>
      </c>
      <c r="B78" s="3" t="s">
        <v>65</v>
      </c>
      <c r="E78" t="s">
        <v>58</v>
      </c>
      <c r="G78" t="s">
        <v>58</v>
      </c>
      <c r="H78" t="s">
        <v>58</v>
      </c>
      <c r="I78" t="s">
        <v>58</v>
      </c>
      <c r="J78" t="s">
        <v>58</v>
      </c>
      <c r="K78" t="s">
        <v>58</v>
      </c>
      <c r="L78" t="s">
        <v>58</v>
      </c>
      <c r="M78" t="s">
        <v>58</v>
      </c>
      <c r="N78" t="s">
        <v>58</v>
      </c>
      <c r="O78" t="s">
        <v>58</v>
      </c>
      <c r="P78" t="s">
        <v>58</v>
      </c>
      <c r="Q78" t="s">
        <v>58</v>
      </c>
      <c r="R78" t="s">
        <v>58</v>
      </c>
      <c r="S78" t="s">
        <v>58</v>
      </c>
      <c r="T78" t="s">
        <v>58</v>
      </c>
      <c r="U78" t="s">
        <v>58</v>
      </c>
      <c r="V78" t="s">
        <v>58</v>
      </c>
      <c r="W78" t="s">
        <v>58</v>
      </c>
      <c r="X78" t="s">
        <v>58</v>
      </c>
      <c r="Y78" t="s">
        <v>58</v>
      </c>
      <c r="Z78" t="s">
        <v>58</v>
      </c>
      <c r="AA78" t="s">
        <v>58</v>
      </c>
      <c r="AB78" t="s">
        <v>58</v>
      </c>
      <c r="AC78" t="s">
        <v>58</v>
      </c>
      <c r="AD78" t="s">
        <v>58</v>
      </c>
      <c r="AE78" t="s">
        <v>58</v>
      </c>
      <c r="AF78" t="s">
        <v>58</v>
      </c>
      <c r="AG78" t="s">
        <v>58</v>
      </c>
      <c r="AH78" t="s">
        <v>58</v>
      </c>
    </row>
    <row r="79" spans="1:42" x14ac:dyDescent="0.25">
      <c r="A79" s="3" t="s">
        <v>56</v>
      </c>
      <c r="B79" s="3" t="s">
        <v>66</v>
      </c>
      <c r="C79" t="s">
        <v>58</v>
      </c>
      <c r="D79" t="s">
        <v>58</v>
      </c>
      <c r="E79" t="s">
        <v>58</v>
      </c>
      <c r="F79" t="s">
        <v>58</v>
      </c>
      <c r="G79" t="s">
        <v>58</v>
      </c>
      <c r="H79" t="s">
        <v>58</v>
      </c>
      <c r="I79" t="s">
        <v>58</v>
      </c>
      <c r="J79" t="s">
        <v>58</v>
      </c>
      <c r="K79" t="s">
        <v>58</v>
      </c>
      <c r="L79" t="s">
        <v>58</v>
      </c>
      <c r="M79" t="s">
        <v>58</v>
      </c>
      <c r="N79" t="s">
        <v>58</v>
      </c>
      <c r="O79" t="s">
        <v>58</v>
      </c>
      <c r="P79" t="s">
        <v>58</v>
      </c>
      <c r="Q79" t="s">
        <v>58</v>
      </c>
      <c r="R79" t="s">
        <v>58</v>
      </c>
      <c r="S79" t="s">
        <v>58</v>
      </c>
      <c r="T79" t="s">
        <v>58</v>
      </c>
      <c r="U79" t="s">
        <v>58</v>
      </c>
      <c r="V79" t="s">
        <v>58</v>
      </c>
      <c r="W79" t="s">
        <v>58</v>
      </c>
      <c r="X79" t="s">
        <v>58</v>
      </c>
      <c r="Y79" t="s">
        <v>58</v>
      </c>
      <c r="Z79" t="s">
        <v>58</v>
      </c>
      <c r="AA79" t="s">
        <v>58</v>
      </c>
      <c r="AB79" t="s">
        <v>58</v>
      </c>
      <c r="AC79" t="s">
        <v>58</v>
      </c>
      <c r="AD79" t="s">
        <v>58</v>
      </c>
      <c r="AE79" t="s">
        <v>58</v>
      </c>
      <c r="AF79" t="s">
        <v>58</v>
      </c>
      <c r="AG79" t="s">
        <v>58</v>
      </c>
      <c r="AH79" t="s">
        <v>58</v>
      </c>
    </row>
    <row r="80" spans="1:42" x14ac:dyDescent="0.25">
      <c r="A80" s="3" t="s">
        <v>56</v>
      </c>
      <c r="B80" s="3" t="s">
        <v>67</v>
      </c>
      <c r="C80" t="s">
        <v>58</v>
      </c>
      <c r="D80" t="s">
        <v>58</v>
      </c>
      <c r="E80" t="s">
        <v>58</v>
      </c>
      <c r="F80" t="s">
        <v>58</v>
      </c>
      <c r="G80" t="s">
        <v>58</v>
      </c>
      <c r="H80" t="s">
        <v>58</v>
      </c>
      <c r="I80" t="s">
        <v>58</v>
      </c>
      <c r="J80" t="s">
        <v>58</v>
      </c>
      <c r="K80" t="s">
        <v>58</v>
      </c>
      <c r="L80" t="s">
        <v>58</v>
      </c>
      <c r="M80" t="s">
        <v>58</v>
      </c>
      <c r="N80" t="s">
        <v>58</v>
      </c>
      <c r="O80" t="s">
        <v>58</v>
      </c>
      <c r="P80" t="s">
        <v>58</v>
      </c>
      <c r="Q80" t="s">
        <v>58</v>
      </c>
      <c r="R80" t="s">
        <v>58</v>
      </c>
      <c r="S80" t="s">
        <v>58</v>
      </c>
      <c r="T80" t="s">
        <v>58</v>
      </c>
      <c r="U80" t="s">
        <v>58</v>
      </c>
      <c r="V80" t="s">
        <v>58</v>
      </c>
      <c r="W80" t="s">
        <v>58</v>
      </c>
      <c r="X80" t="s">
        <v>58</v>
      </c>
      <c r="Y80" t="s">
        <v>58</v>
      </c>
      <c r="Z80" t="s">
        <v>58</v>
      </c>
      <c r="AA80" t="s">
        <v>58</v>
      </c>
      <c r="AB80" t="s">
        <v>58</v>
      </c>
      <c r="AC80" t="s">
        <v>58</v>
      </c>
      <c r="AD80" t="s">
        <v>58</v>
      </c>
      <c r="AE80" t="s">
        <v>58</v>
      </c>
      <c r="AF80" t="s">
        <v>58</v>
      </c>
      <c r="AG80" t="s">
        <v>58</v>
      </c>
      <c r="AH80" t="s">
        <v>58</v>
      </c>
    </row>
    <row r="83" spans="1:33" ht="18" thickBot="1" x14ac:dyDescent="0.35">
      <c r="A83" s="4" t="s">
        <v>185</v>
      </c>
      <c r="B83" s="4"/>
      <c r="C83" s="4"/>
      <c r="D83" s="4"/>
      <c r="E83" s="4"/>
      <c r="F83" s="4"/>
      <c r="G83" s="4"/>
      <c r="H83" s="4"/>
    </row>
    <row r="84" spans="1:33" ht="15.75" thickTop="1" x14ac:dyDescent="0.25">
      <c r="B84">
        <v>2019</v>
      </c>
      <c r="C84">
        <v>2020</v>
      </c>
      <c r="D84">
        <v>2021</v>
      </c>
      <c r="E84">
        <v>2022</v>
      </c>
      <c r="F84">
        <v>2023</v>
      </c>
      <c r="G84">
        <v>2024</v>
      </c>
      <c r="H84">
        <v>2025</v>
      </c>
      <c r="I84">
        <v>2026</v>
      </c>
      <c r="J84">
        <v>2027</v>
      </c>
      <c r="K84">
        <v>2028</v>
      </c>
      <c r="L84">
        <v>2029</v>
      </c>
      <c r="M84">
        <v>2030</v>
      </c>
      <c r="N84">
        <v>2031</v>
      </c>
      <c r="O84">
        <v>2032</v>
      </c>
      <c r="P84">
        <v>2033</v>
      </c>
      <c r="Q84">
        <v>2034</v>
      </c>
      <c r="R84">
        <v>2035</v>
      </c>
      <c r="S84">
        <v>2036</v>
      </c>
      <c r="T84">
        <v>2037</v>
      </c>
      <c r="U84">
        <v>2038</v>
      </c>
      <c r="V84">
        <v>2039</v>
      </c>
      <c r="W84">
        <v>2040</v>
      </c>
      <c r="X84">
        <v>2041</v>
      </c>
      <c r="Y84">
        <v>2042</v>
      </c>
      <c r="Z84">
        <v>2043</v>
      </c>
      <c r="AA84">
        <v>2044</v>
      </c>
      <c r="AB84">
        <v>2045</v>
      </c>
      <c r="AC84">
        <v>2046</v>
      </c>
      <c r="AD84">
        <v>2047</v>
      </c>
      <c r="AE84">
        <v>2048</v>
      </c>
      <c r="AF84">
        <v>2049</v>
      </c>
      <c r="AG84">
        <v>2050</v>
      </c>
    </row>
    <row r="85" spans="1:33" x14ac:dyDescent="0.25">
      <c r="A85" t="s">
        <v>29</v>
      </c>
      <c r="B85">
        <v>118.318</v>
      </c>
      <c r="C85">
        <v>107.464</v>
      </c>
      <c r="D85">
        <v>109.577</v>
      </c>
      <c r="E85">
        <v>110.503</v>
      </c>
      <c r="F85">
        <v>112.52</v>
      </c>
      <c r="G85">
        <v>115.176</v>
      </c>
      <c r="H85">
        <v>118.041</v>
      </c>
      <c r="I85">
        <v>121.706</v>
      </c>
      <c r="J85">
        <v>124.937</v>
      </c>
      <c r="K85">
        <v>131.876</v>
      </c>
      <c r="L85">
        <v>137.161</v>
      </c>
      <c r="M85">
        <v>140.69499999999999</v>
      </c>
      <c r="N85">
        <v>143.66999999999999</v>
      </c>
      <c r="O85">
        <v>146.92400000000001</v>
      </c>
      <c r="P85">
        <v>151</v>
      </c>
      <c r="Q85">
        <v>155.93299999999999</v>
      </c>
      <c r="R85">
        <v>166.673</v>
      </c>
      <c r="S85">
        <v>175.935</v>
      </c>
      <c r="T85">
        <v>179.65</v>
      </c>
      <c r="U85">
        <v>183.81800000000001</v>
      </c>
      <c r="V85">
        <v>186.33199999999999</v>
      </c>
      <c r="W85">
        <v>193.435</v>
      </c>
      <c r="X85">
        <v>191.88</v>
      </c>
      <c r="Y85">
        <v>194.42500000000001</v>
      </c>
      <c r="Z85">
        <v>199.82900000000001</v>
      </c>
      <c r="AA85">
        <v>206.40799999999999</v>
      </c>
      <c r="AB85">
        <v>213.45</v>
      </c>
      <c r="AC85">
        <v>220.245</v>
      </c>
      <c r="AD85">
        <v>220.95099999999999</v>
      </c>
      <c r="AE85">
        <v>223.39599999999999</v>
      </c>
      <c r="AF85">
        <v>226.07</v>
      </c>
      <c r="AG85">
        <v>228.876</v>
      </c>
    </row>
    <row r="86" spans="1:33" x14ac:dyDescent="0.25">
      <c r="A86" t="s">
        <v>184</v>
      </c>
      <c r="B86" s="27">
        <v>9.1050000000000004</v>
      </c>
      <c r="C86" s="27">
        <v>8.6709999999999994</v>
      </c>
      <c r="D86" s="27">
        <v>8.7420000000000009</v>
      </c>
      <c r="E86" s="3">
        <v>8.8580000000000005</v>
      </c>
      <c r="F86" s="27">
        <v>8.9559999999999995</v>
      </c>
      <c r="G86" s="28">
        <v>9.0570000000000004</v>
      </c>
      <c r="H86" s="28">
        <v>9.157</v>
      </c>
      <c r="I86">
        <v>9.2420000000000009</v>
      </c>
      <c r="J86">
        <v>9.3409999999999993</v>
      </c>
      <c r="K86">
        <v>9.3659999999999997</v>
      </c>
      <c r="L86">
        <v>9.4169999999999998</v>
      </c>
      <c r="M86">
        <v>9.51</v>
      </c>
      <c r="N86">
        <v>8.3460000000000001</v>
      </c>
      <c r="O86">
        <v>7.7060000000000004</v>
      </c>
      <c r="P86">
        <v>7.6909999999999998</v>
      </c>
      <c r="Q86">
        <v>7.83</v>
      </c>
      <c r="R86">
        <v>8.0020000000000007</v>
      </c>
      <c r="S86">
        <v>8.1920000000000002</v>
      </c>
      <c r="T86">
        <v>8.4</v>
      </c>
      <c r="U86">
        <v>8.6069999999999993</v>
      </c>
      <c r="V86">
        <v>8.8249999999999993</v>
      </c>
      <c r="W86">
        <v>9.0540000000000003</v>
      </c>
      <c r="X86">
        <v>9.3659999999999997</v>
      </c>
      <c r="Y86">
        <v>9.6769999999999996</v>
      </c>
      <c r="Z86">
        <v>10.000999999999999</v>
      </c>
      <c r="AA86">
        <v>10.340999999999999</v>
      </c>
      <c r="AB86">
        <v>10.702999999999999</v>
      </c>
      <c r="AC86">
        <v>11.881</v>
      </c>
      <c r="AD86">
        <v>13.01</v>
      </c>
      <c r="AE86">
        <v>14.12</v>
      </c>
      <c r="AF86">
        <v>15.288</v>
      </c>
      <c r="AG86">
        <v>16.475000000000001</v>
      </c>
    </row>
  </sheetData>
  <dataValidations disablePrompts="1" count="1">
    <dataValidation type="list" allowBlank="1" showInputMessage="1" showErrorMessage="1" sqref="C3" xr:uid="{87A59576-404A-41A6-9C82-DD1E65834A6E}">
      <formula1>$A$4:$A$5</formula1>
    </dataValidation>
  </dataValidations>
  <hyperlinks>
    <hyperlink ref="L46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3"/>
  <sheetViews>
    <sheetView workbookViewId="0">
      <selection activeCell="C12" sqref="C12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"Drivers!"&amp;ADDRESS(ROW(Drivers!A34),COLUMN(Drivers!A34),4)</f>
        <v>Drivers!A34</v>
      </c>
      <c r="E8">
        <v>1</v>
      </c>
    </row>
    <row r="9" spans="1:6" x14ac:dyDescent="0.25">
      <c r="A9" t="s">
        <v>4</v>
      </c>
      <c r="B9" t="s">
        <v>76</v>
      </c>
      <c r="C9" t="str">
        <f>"Drivers!"&amp;ADDRESS(ROW(Drivers!B42),COLUMN(Drivers!B42),4)</f>
        <v>Drivers!B42</v>
      </c>
      <c r="E9">
        <v>1</v>
      </c>
    </row>
    <row r="10" spans="1:6" x14ac:dyDescent="0.25">
      <c r="A10" t="s">
        <v>4</v>
      </c>
      <c r="B10" t="s">
        <v>71</v>
      </c>
      <c r="C10" t="str">
        <f>"Drivers!"&amp;ADDRESS(ROW(Drivers!A53),COLUMN(Drivers!A53),4)</f>
        <v>Drivers!A53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"Drivers!"&amp;ADDRESS(ROW(Drivers!A60),COLUMN(Drivers!A60),4)</f>
        <v>Drivers!A60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"Drivers!"&amp;ADDRESS(ROW(Drivers!A65),COLUMN(Drivers!A65),4)</f>
        <v>Drivers!A65</v>
      </c>
      <c r="D12">
        <v>2</v>
      </c>
      <c r="E12">
        <v>1</v>
      </c>
    </row>
    <row r="13" spans="1:6" x14ac:dyDescent="0.25">
      <c r="A13" t="s">
        <v>4</v>
      </c>
      <c r="B13" t="s">
        <v>186</v>
      </c>
      <c r="C13" t="str">
        <f>"Drivers!"&amp;ADDRESS(ROW(Drivers!A84),COLUMN(Drivers!A84),4)</f>
        <v>Drivers!A84</v>
      </c>
      <c r="D13">
        <v>1</v>
      </c>
      <c r="E1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5"/>
  <sheetViews>
    <sheetView workbookViewId="0">
      <selection activeCell="D15" sqref="D15:E15"/>
    </sheetView>
  </sheetViews>
  <sheetFormatPr defaultRowHeight="15" x14ac:dyDescent="0.25"/>
  <cols>
    <col min="3" max="3" width="17.425781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  <row r="15" spans="1:6" x14ac:dyDescent="0.25">
      <c r="A15" t="s">
        <v>4</v>
      </c>
      <c r="B15" t="s">
        <v>186</v>
      </c>
      <c r="C15" t="s">
        <v>187</v>
      </c>
      <c r="D15">
        <v>1</v>
      </c>
      <c r="E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8"/>
  <sheetViews>
    <sheetView tabSelected="1" zoomScale="70" zoomScaleNormal="70" workbookViewId="0">
      <selection activeCell="A71" sqref="A71:AF71"/>
    </sheetView>
  </sheetViews>
  <sheetFormatPr defaultRowHeight="15" x14ac:dyDescent="0.25"/>
  <cols>
    <col min="2" max="2" width="13.5703125" customWidth="1"/>
    <col min="3" max="21" width="10.7109375" bestFit="1" customWidth="1"/>
    <col min="22" max="40" width="11.5703125" bestFit="1" customWidth="1"/>
  </cols>
  <sheetData>
    <row r="1" spans="1:43" x14ac:dyDescent="0.25">
      <c r="A1" s="21" t="s">
        <v>139</v>
      </c>
      <c r="B1" s="2" t="s">
        <v>141</v>
      </c>
    </row>
    <row r="2" spans="1:43" ht="18" thickBot="1" x14ac:dyDescent="0.35">
      <c r="A2" s="24" t="s">
        <v>147</v>
      </c>
      <c r="B2" s="4"/>
      <c r="C2" s="4"/>
      <c r="D2" s="4"/>
      <c r="AQ2" s="21" t="s">
        <v>145</v>
      </c>
    </row>
    <row r="3" spans="1:43" ht="15.75" thickTop="1" x14ac:dyDescent="0.25">
      <c r="B3">
        <v>2019</v>
      </c>
      <c r="C3">
        <v>2020</v>
      </c>
      <c r="D3">
        <v>2021</v>
      </c>
      <c r="E3">
        <v>2022</v>
      </c>
      <c r="F3">
        <v>2023</v>
      </c>
      <c r="G3">
        <v>2024</v>
      </c>
      <c r="H3">
        <v>2025</v>
      </c>
      <c r="I3">
        <v>2026</v>
      </c>
      <c r="J3">
        <v>2027</v>
      </c>
      <c r="K3">
        <v>2028</v>
      </c>
      <c r="L3">
        <v>2029</v>
      </c>
      <c r="M3">
        <v>2030</v>
      </c>
      <c r="N3">
        <v>2031</v>
      </c>
      <c r="O3">
        <v>2032</v>
      </c>
      <c r="P3">
        <v>2033</v>
      </c>
      <c r="Q3">
        <v>2034</v>
      </c>
      <c r="R3">
        <v>2035</v>
      </c>
      <c r="S3">
        <v>2036</v>
      </c>
      <c r="T3">
        <v>2037</v>
      </c>
      <c r="U3">
        <v>2038</v>
      </c>
      <c r="V3">
        <v>2039</v>
      </c>
      <c r="W3">
        <v>2040</v>
      </c>
      <c r="X3">
        <v>2041</v>
      </c>
      <c r="Y3">
        <v>2042</v>
      </c>
      <c r="Z3">
        <v>2043</v>
      </c>
      <c r="AA3">
        <v>2044</v>
      </c>
      <c r="AB3">
        <v>2045</v>
      </c>
      <c r="AC3">
        <v>2046</v>
      </c>
      <c r="AD3">
        <v>2047</v>
      </c>
      <c r="AE3">
        <v>2048</v>
      </c>
      <c r="AF3">
        <v>2049</v>
      </c>
      <c r="AG3">
        <v>2050</v>
      </c>
      <c r="AQ3" t="s">
        <v>141</v>
      </c>
    </row>
    <row r="4" spans="1:43" x14ac:dyDescent="0.25">
      <c r="A4" s="3" t="s">
        <v>21</v>
      </c>
      <c r="B4" s="18">
        <f t="shared" ref="B4:AG4" si="0">IF($B$1="Reference",B40,B78)</f>
        <v>2742.6992888923501</v>
      </c>
      <c r="C4" s="18">
        <f t="shared" si="0"/>
        <v>2623.892630430013</v>
      </c>
      <c r="D4" s="18">
        <f t="shared" si="0"/>
        <v>2713.0909549858625</v>
      </c>
      <c r="E4" s="18">
        <f t="shared" si="0"/>
        <v>2802.21394205561</v>
      </c>
      <c r="F4" s="18">
        <f t="shared" si="0"/>
        <v>2823.8763171447204</v>
      </c>
      <c r="G4" s="18">
        <f t="shared" si="0"/>
        <v>2865.839763515025</v>
      </c>
      <c r="H4" s="18">
        <f t="shared" si="0"/>
        <v>2903.5765502969043</v>
      </c>
      <c r="I4" s="18">
        <f t="shared" si="0"/>
        <v>2949.6153150084137</v>
      </c>
      <c r="J4" s="18">
        <f t="shared" si="0"/>
        <v>3001.6719500488425</v>
      </c>
      <c r="K4" s="18">
        <f t="shared" si="0"/>
        <v>3072.4313263795839</v>
      </c>
      <c r="L4" s="18">
        <f t="shared" si="0"/>
        <v>3148.1774393760693</v>
      </c>
      <c r="M4" s="18">
        <f t="shared" si="0"/>
        <v>3239.0447618780399</v>
      </c>
      <c r="N4" s="18">
        <f t="shared" si="0"/>
        <v>3342.4114996273343</v>
      </c>
      <c r="O4" s="18">
        <f t="shared" si="0"/>
        <v>3450.0848198399458</v>
      </c>
      <c r="P4" s="18">
        <f t="shared" si="0"/>
        <v>3566.2225931357234</v>
      </c>
      <c r="Q4" s="18">
        <f t="shared" si="0"/>
        <v>3696.6545640464865</v>
      </c>
      <c r="R4" s="18">
        <f t="shared" si="0"/>
        <v>3831.1547614879955</v>
      </c>
      <c r="S4" s="18">
        <f t="shared" si="0"/>
        <v>3980.8300304213626</v>
      </c>
      <c r="T4" s="18">
        <f t="shared" si="0"/>
        <v>4140.6801768937266</v>
      </c>
      <c r="U4" s="18">
        <f t="shared" si="0"/>
        <v>4299.3385448416921</v>
      </c>
      <c r="V4" s="18">
        <f t="shared" si="0"/>
        <v>4459.7399124601388</v>
      </c>
      <c r="W4" s="18">
        <f t="shared" si="0"/>
        <v>4621.1993602487619</v>
      </c>
      <c r="X4" s="18">
        <f t="shared" si="0"/>
        <v>4793.0276020669698</v>
      </c>
      <c r="Y4" s="18">
        <f t="shared" si="0"/>
        <v>4959.7505853127068</v>
      </c>
      <c r="Z4" s="18">
        <f t="shared" si="0"/>
        <v>5129.5317125086531</v>
      </c>
      <c r="AA4" s="18">
        <f t="shared" si="0"/>
        <v>5308.2323817134811</v>
      </c>
      <c r="AB4" s="18">
        <f t="shared" si="0"/>
        <v>5498.3524736868612</v>
      </c>
      <c r="AC4" s="18">
        <f t="shared" si="0"/>
        <v>5699.9241069457121</v>
      </c>
      <c r="AD4" s="18">
        <f t="shared" si="0"/>
        <v>5919.3237968615076</v>
      </c>
      <c r="AE4" s="18">
        <f t="shared" si="0"/>
        <v>6154.1807199499617</v>
      </c>
      <c r="AF4" s="18">
        <f t="shared" si="0"/>
        <v>6409.7360940906492</v>
      </c>
      <c r="AG4" s="18">
        <f t="shared" si="0"/>
        <v>6683.3748805517698</v>
      </c>
      <c r="AH4" s="18"/>
      <c r="AI4" s="18"/>
      <c r="AJ4" s="18"/>
      <c r="AK4" s="18"/>
      <c r="AL4" s="18"/>
      <c r="AM4" s="18"/>
      <c r="AN4" s="18"/>
      <c r="AQ4" t="s">
        <v>140</v>
      </c>
    </row>
    <row r="5" spans="1:43" x14ac:dyDescent="0.25">
      <c r="A5" s="3" t="s">
        <v>73</v>
      </c>
      <c r="B5" s="18">
        <f t="shared" ref="B5:AG5" si="1">IF($B$1="Reference",B41,B79)</f>
        <v>102.77045496481313</v>
      </c>
      <c r="C5" s="18">
        <f t="shared" si="1"/>
        <v>105.71698219013261</v>
      </c>
      <c r="D5" s="18">
        <f t="shared" si="1"/>
        <v>114.1821084403482</v>
      </c>
      <c r="E5" s="18">
        <f t="shared" si="1"/>
        <v>108.7750099366377</v>
      </c>
      <c r="F5" s="18">
        <f t="shared" si="1"/>
        <v>106.71540830460093</v>
      </c>
      <c r="G5" s="18">
        <f t="shared" si="1"/>
        <v>105.67844787815569</v>
      </c>
      <c r="H5" s="18">
        <f t="shared" si="1"/>
        <v>107.43134129975681</v>
      </c>
      <c r="I5" s="18">
        <f t="shared" si="1"/>
        <v>108.54476976700271</v>
      </c>
      <c r="J5" s="18">
        <f t="shared" si="1"/>
        <v>109.94769520561633</v>
      </c>
      <c r="K5" s="18">
        <f t="shared" si="1"/>
        <v>112.25077081245851</v>
      </c>
      <c r="L5" s="18">
        <f t="shared" si="1"/>
        <v>114.69356298435909</v>
      </c>
      <c r="M5" s="18">
        <f t="shared" si="1"/>
        <v>117.89535972773864</v>
      </c>
      <c r="N5" s="18">
        <f t="shared" si="1"/>
        <v>121.15844978097707</v>
      </c>
      <c r="O5" s="18">
        <f t="shared" si="1"/>
        <v>124.11861511306854</v>
      </c>
      <c r="P5" s="18">
        <f t="shared" si="1"/>
        <v>127.09995826376888</v>
      </c>
      <c r="Q5" s="18">
        <f t="shared" si="1"/>
        <v>130.39994063312241</v>
      </c>
      <c r="R5" s="18">
        <f t="shared" si="1"/>
        <v>133.53741441429383</v>
      </c>
      <c r="S5" s="18">
        <f t="shared" si="1"/>
        <v>136.99913677199982</v>
      </c>
      <c r="T5" s="18">
        <f t="shared" si="1"/>
        <v>140.5523711747764</v>
      </c>
      <c r="U5" s="18">
        <f t="shared" si="1"/>
        <v>143.82759086829512</v>
      </c>
      <c r="V5" s="18">
        <f t="shared" si="1"/>
        <v>146.82661597480296</v>
      </c>
      <c r="W5" s="18">
        <f t="shared" si="1"/>
        <v>149.89809145224035</v>
      </c>
      <c r="X5" s="18">
        <f t="shared" si="1"/>
        <v>153.56547844367361</v>
      </c>
      <c r="Y5" s="18">
        <f t="shared" si="1"/>
        <v>156.85087639842584</v>
      </c>
      <c r="Z5" s="18">
        <f t="shared" si="1"/>
        <v>159.98382492128428</v>
      </c>
      <c r="AA5" s="18">
        <f t="shared" si="1"/>
        <v>163.22142047312292</v>
      </c>
      <c r="AB5" s="18">
        <f t="shared" si="1"/>
        <v>166.58866132989297</v>
      </c>
      <c r="AC5" s="18">
        <f t="shared" si="1"/>
        <v>170.47356401398164</v>
      </c>
      <c r="AD5" s="18">
        <f t="shared" si="1"/>
        <v>174.86444007100488</v>
      </c>
      <c r="AE5" s="18">
        <f t="shared" si="1"/>
        <v>179.60818489040312</v>
      </c>
      <c r="AF5" s="18">
        <f t="shared" si="1"/>
        <v>184.7427969348181</v>
      </c>
      <c r="AG5" s="18">
        <f t="shared" si="1"/>
        <v>190.12630010948794</v>
      </c>
      <c r="AH5" s="18"/>
      <c r="AI5" s="18"/>
      <c r="AJ5" s="18"/>
      <c r="AK5" s="18"/>
      <c r="AL5" s="18"/>
      <c r="AM5" s="18"/>
      <c r="AN5" s="18"/>
    </row>
    <row r="6" spans="1:43" x14ac:dyDescent="0.25">
      <c r="A6" s="3" t="s">
        <v>23</v>
      </c>
      <c r="B6" s="18">
        <f t="shared" ref="B6:AG6" si="2">IF($B$1="Reference",B42,B80)</f>
        <v>197.32396542856375</v>
      </c>
      <c r="C6" s="18">
        <f t="shared" si="2"/>
        <v>183.81470141206364</v>
      </c>
      <c r="D6" s="18">
        <f t="shared" si="2"/>
        <v>218.05530488443134</v>
      </c>
      <c r="E6" s="18">
        <f t="shared" si="2"/>
        <v>192.39940186477057</v>
      </c>
      <c r="F6" s="18">
        <f t="shared" si="2"/>
        <v>196.89179566772691</v>
      </c>
      <c r="G6" s="18">
        <f t="shared" si="2"/>
        <v>198.22821319422218</v>
      </c>
      <c r="H6" s="18">
        <f t="shared" si="2"/>
        <v>200.02260700961921</v>
      </c>
      <c r="I6" s="18">
        <f t="shared" si="2"/>
        <v>204.43546991973164</v>
      </c>
      <c r="J6" s="18">
        <f t="shared" si="2"/>
        <v>207.5651349980763</v>
      </c>
      <c r="K6" s="18">
        <f t="shared" si="2"/>
        <v>210.4682981827435</v>
      </c>
      <c r="L6" s="18">
        <f t="shared" si="2"/>
        <v>214.99340529196695</v>
      </c>
      <c r="M6" s="18">
        <f t="shared" si="2"/>
        <v>219.43452426116801</v>
      </c>
      <c r="N6" s="18">
        <f t="shared" si="2"/>
        <v>224.04714305710638</v>
      </c>
      <c r="O6" s="18">
        <f t="shared" si="2"/>
        <v>228.62476549423491</v>
      </c>
      <c r="P6" s="18">
        <f t="shared" si="2"/>
        <v>233.35385846020296</v>
      </c>
      <c r="Q6" s="18">
        <f t="shared" si="2"/>
        <v>238.45331410159207</v>
      </c>
      <c r="R6" s="18">
        <f t="shared" si="2"/>
        <v>243.04643497422327</v>
      </c>
      <c r="S6" s="18">
        <f t="shared" si="2"/>
        <v>248.34231653736356</v>
      </c>
      <c r="T6" s="18">
        <f t="shared" si="2"/>
        <v>253.57044333730585</v>
      </c>
      <c r="U6" s="18">
        <f t="shared" si="2"/>
        <v>258.75460937761244</v>
      </c>
      <c r="V6" s="18">
        <f t="shared" si="2"/>
        <v>262.98297713785223</v>
      </c>
      <c r="W6" s="18">
        <f t="shared" si="2"/>
        <v>267.82850720424238</v>
      </c>
      <c r="X6" s="18">
        <f t="shared" si="2"/>
        <v>273.27716231620269</v>
      </c>
      <c r="Y6" s="18">
        <f t="shared" si="2"/>
        <v>277.5723173724503</v>
      </c>
      <c r="Z6" s="18">
        <f t="shared" si="2"/>
        <v>281.42208300125822</v>
      </c>
      <c r="AA6" s="18">
        <f t="shared" si="2"/>
        <v>285.39939720829489</v>
      </c>
      <c r="AB6" s="18">
        <f t="shared" si="2"/>
        <v>289.72187597975818</v>
      </c>
      <c r="AC6" s="18">
        <f t="shared" si="2"/>
        <v>295.23716628597259</v>
      </c>
      <c r="AD6" s="18">
        <f t="shared" si="2"/>
        <v>301.46102082054131</v>
      </c>
      <c r="AE6" s="18">
        <f t="shared" si="2"/>
        <v>308.32689376306001</v>
      </c>
      <c r="AF6" s="18">
        <f t="shared" si="2"/>
        <v>315.93028962428264</v>
      </c>
      <c r="AG6" s="18">
        <f t="shared" si="2"/>
        <v>324.20877615933455</v>
      </c>
      <c r="AH6" s="18"/>
      <c r="AI6" s="18"/>
      <c r="AJ6" s="18"/>
      <c r="AK6" s="18"/>
      <c r="AL6" s="18"/>
      <c r="AM6" s="18"/>
      <c r="AN6" s="18"/>
    </row>
    <row r="7" spans="1:43" x14ac:dyDescent="0.25">
      <c r="A7" s="3" t="s">
        <v>24</v>
      </c>
      <c r="B7" s="18">
        <f t="shared" ref="B7:AG7" si="3">IF($B$1="Reference",B43,B81)</f>
        <v>155.19916098390058</v>
      </c>
      <c r="C7" s="18">
        <f t="shared" si="3"/>
        <v>145.07481074537324</v>
      </c>
      <c r="D7" s="18">
        <f t="shared" si="3"/>
        <v>153.77810225780283</v>
      </c>
      <c r="E7" s="18">
        <f t="shared" si="3"/>
        <v>159.71214040717638</v>
      </c>
      <c r="F7" s="18">
        <f t="shared" si="3"/>
        <v>162.65060543295681</v>
      </c>
      <c r="G7" s="18">
        <f t="shared" si="3"/>
        <v>165.70026809424871</v>
      </c>
      <c r="H7" s="18">
        <f t="shared" si="3"/>
        <v>165.83357320023401</v>
      </c>
      <c r="I7" s="18">
        <f t="shared" si="3"/>
        <v>165.52718986779323</v>
      </c>
      <c r="J7" s="18">
        <f t="shared" si="3"/>
        <v>167.3591499536447</v>
      </c>
      <c r="K7" s="18">
        <f t="shared" si="3"/>
        <v>181.17017033752091</v>
      </c>
      <c r="L7" s="18">
        <f t="shared" si="3"/>
        <v>186.48787416880157</v>
      </c>
      <c r="M7" s="18">
        <f t="shared" si="3"/>
        <v>191.21685007653238</v>
      </c>
      <c r="N7" s="18">
        <f t="shared" si="3"/>
        <v>196.58835154109735</v>
      </c>
      <c r="O7" s="18">
        <f t="shared" si="3"/>
        <v>201.85077444419929</v>
      </c>
      <c r="P7" s="18">
        <f t="shared" si="3"/>
        <v>207.31611855134787</v>
      </c>
      <c r="Q7" s="18">
        <f t="shared" si="3"/>
        <v>213.33631951209929</v>
      </c>
      <c r="R7" s="18">
        <f t="shared" si="3"/>
        <v>219.02825486074909</v>
      </c>
      <c r="S7" s="18">
        <f t="shared" si="3"/>
        <v>225.55139328802949</v>
      </c>
      <c r="T7" s="18">
        <f t="shared" si="3"/>
        <v>232.07400841523383</v>
      </c>
      <c r="U7" s="18">
        <f t="shared" si="3"/>
        <v>238.11493701725396</v>
      </c>
      <c r="V7" s="18">
        <f t="shared" si="3"/>
        <v>243.53727668345221</v>
      </c>
      <c r="W7" s="18">
        <f t="shared" si="3"/>
        <v>249.27955960208561</v>
      </c>
      <c r="X7" s="18">
        <f t="shared" si="3"/>
        <v>256.98270626835085</v>
      </c>
      <c r="Y7" s="18">
        <f t="shared" si="3"/>
        <v>263.43092847093243</v>
      </c>
      <c r="Z7" s="18">
        <f t="shared" si="3"/>
        <v>269.15812070387153</v>
      </c>
      <c r="AA7" s="18">
        <f t="shared" si="3"/>
        <v>274.96945380805823</v>
      </c>
      <c r="AB7" s="18">
        <f t="shared" si="3"/>
        <v>281.01156924634029</v>
      </c>
      <c r="AC7" s="18">
        <f t="shared" si="3"/>
        <v>288.10586803110579</v>
      </c>
      <c r="AD7" s="18">
        <f t="shared" si="3"/>
        <v>295.87395706738437</v>
      </c>
      <c r="AE7" s="18">
        <f t="shared" si="3"/>
        <v>304.21872479397666</v>
      </c>
      <c r="AF7" s="18">
        <f t="shared" si="3"/>
        <v>313.0809119464468</v>
      </c>
      <c r="AG7" s="18">
        <f t="shared" si="3"/>
        <v>322.22548992464431</v>
      </c>
      <c r="AH7" s="18"/>
      <c r="AI7" s="18"/>
      <c r="AJ7" s="18"/>
      <c r="AK7" s="18"/>
      <c r="AL7" s="18"/>
      <c r="AM7" s="18"/>
      <c r="AN7" s="18"/>
    </row>
    <row r="8" spans="1:43" x14ac:dyDescent="0.25">
      <c r="A8" s="3" t="s">
        <v>25</v>
      </c>
      <c r="B8" s="18">
        <f t="shared" ref="B8:AG8" si="4">IF($B$1="Reference",B44,B82)</f>
        <v>366.7083011696829</v>
      </c>
      <c r="C8" s="18">
        <f t="shared" si="4"/>
        <v>320.93675824484723</v>
      </c>
      <c r="D8" s="18">
        <f t="shared" si="4"/>
        <v>337.7908758947529</v>
      </c>
      <c r="E8" s="18">
        <f t="shared" si="4"/>
        <v>346.39419262545317</v>
      </c>
      <c r="F8" s="18">
        <f t="shared" si="4"/>
        <v>347.78472346331154</v>
      </c>
      <c r="G8" s="18">
        <f t="shared" si="4"/>
        <v>349.44687222831175</v>
      </c>
      <c r="H8" s="18">
        <f t="shared" si="4"/>
        <v>356.79001091003215</v>
      </c>
      <c r="I8" s="18">
        <f t="shared" si="4"/>
        <v>374.33763954570236</v>
      </c>
      <c r="J8" s="18">
        <f t="shared" si="4"/>
        <v>380.21035952318755</v>
      </c>
      <c r="K8" s="18">
        <f t="shared" si="4"/>
        <v>397.86747972480077</v>
      </c>
      <c r="L8" s="18">
        <f t="shared" si="4"/>
        <v>408.28203575708943</v>
      </c>
      <c r="M8" s="18">
        <f t="shared" si="4"/>
        <v>420.01678457013816</v>
      </c>
      <c r="N8" s="18">
        <f t="shared" si="4"/>
        <v>432.87054278924631</v>
      </c>
      <c r="O8" s="18">
        <f t="shared" si="4"/>
        <v>446.26881544715729</v>
      </c>
      <c r="P8" s="18">
        <f t="shared" si="4"/>
        <v>460.73128328526195</v>
      </c>
      <c r="Q8" s="18">
        <f t="shared" si="4"/>
        <v>477.26942862233068</v>
      </c>
      <c r="R8" s="18">
        <f t="shared" si="4"/>
        <v>495.27471783070825</v>
      </c>
      <c r="S8" s="18">
        <f t="shared" si="4"/>
        <v>514.27858205021403</v>
      </c>
      <c r="T8" s="18">
        <f t="shared" si="4"/>
        <v>534.39034551549548</v>
      </c>
      <c r="U8" s="18">
        <f t="shared" si="4"/>
        <v>551.4643139900362</v>
      </c>
      <c r="V8" s="18">
        <f t="shared" si="4"/>
        <v>568.15661808678044</v>
      </c>
      <c r="W8" s="18">
        <f t="shared" si="4"/>
        <v>585.963891231101</v>
      </c>
      <c r="X8" s="18">
        <f t="shared" si="4"/>
        <v>599.42331900472334</v>
      </c>
      <c r="Y8" s="18">
        <f t="shared" si="4"/>
        <v>613.8732048911013</v>
      </c>
      <c r="Z8" s="18">
        <f t="shared" si="4"/>
        <v>632.14926144626156</v>
      </c>
      <c r="AA8" s="18">
        <f t="shared" si="4"/>
        <v>652.59824871379374</v>
      </c>
      <c r="AB8" s="18">
        <f t="shared" si="4"/>
        <v>674.78067008462858</v>
      </c>
      <c r="AC8" s="18">
        <f t="shared" si="4"/>
        <v>700.98670543904632</v>
      </c>
      <c r="AD8" s="18">
        <f t="shared" si="4"/>
        <v>730.21554187960135</v>
      </c>
      <c r="AE8" s="18">
        <f t="shared" si="4"/>
        <v>761.50563344142938</v>
      </c>
      <c r="AF8" s="18">
        <f t="shared" si="4"/>
        <v>795.75578268864695</v>
      </c>
      <c r="AG8" s="18">
        <f t="shared" si="4"/>
        <v>832.20031460262578</v>
      </c>
      <c r="AH8" s="18"/>
      <c r="AI8" s="18"/>
      <c r="AJ8" s="18"/>
      <c r="AK8" s="18"/>
      <c r="AL8" s="18"/>
      <c r="AM8" s="18"/>
      <c r="AN8" s="18"/>
    </row>
    <row r="9" spans="1:43" x14ac:dyDescent="0.25">
      <c r="A9" s="3" t="s">
        <v>26</v>
      </c>
      <c r="B9" s="18">
        <f t="shared" ref="B9:AG9" si="5">IF($B$1="Reference",B45,B83)</f>
        <v>24.019985549556605</v>
      </c>
      <c r="C9" s="18">
        <f t="shared" si="5"/>
        <v>22.319194995844644</v>
      </c>
      <c r="D9" s="18">
        <f t="shared" si="5"/>
        <v>23.046547367102775</v>
      </c>
      <c r="E9" s="18">
        <f t="shared" si="5"/>
        <v>24.381351360456854</v>
      </c>
      <c r="F9" s="18">
        <f t="shared" si="5"/>
        <v>24.527043135102428</v>
      </c>
      <c r="G9" s="18">
        <f t="shared" si="5"/>
        <v>25.004164379092845</v>
      </c>
      <c r="H9" s="18">
        <f t="shared" si="5"/>
        <v>25.229839978548132</v>
      </c>
      <c r="I9" s="18">
        <f t="shared" si="5"/>
        <v>25.362480986824785</v>
      </c>
      <c r="J9" s="18">
        <f t="shared" si="5"/>
        <v>25.740358675135813</v>
      </c>
      <c r="K9" s="18">
        <f t="shared" si="5"/>
        <v>27.404249940818065</v>
      </c>
      <c r="L9" s="18">
        <f t="shared" si="5"/>
        <v>28.051336554185657</v>
      </c>
      <c r="M9" s="18">
        <f t="shared" si="5"/>
        <v>28.740997380299582</v>
      </c>
      <c r="N9" s="18">
        <f t="shared" si="5"/>
        <v>30.121628669752155</v>
      </c>
      <c r="O9" s="18">
        <f t="shared" si="5"/>
        <v>30.982040494689961</v>
      </c>
      <c r="P9" s="18">
        <f t="shared" si="5"/>
        <v>31.912126354063179</v>
      </c>
      <c r="Q9" s="18">
        <f t="shared" si="5"/>
        <v>32.965957515757701</v>
      </c>
      <c r="R9" s="18">
        <f t="shared" si="5"/>
        <v>34.026670459193944</v>
      </c>
      <c r="S9" s="18">
        <f t="shared" si="5"/>
        <v>35.219921722090653</v>
      </c>
      <c r="T9" s="18">
        <f t="shared" si="5"/>
        <v>36.453612202002589</v>
      </c>
      <c r="U9" s="18">
        <f t="shared" si="5"/>
        <v>37.655855222100676</v>
      </c>
      <c r="V9" s="18">
        <f t="shared" si="5"/>
        <v>38.774682112749197</v>
      </c>
      <c r="W9" s="18">
        <f t="shared" si="5"/>
        <v>39.955680658787145</v>
      </c>
      <c r="X9" s="18">
        <f t="shared" si="5"/>
        <v>41.265357020512972</v>
      </c>
      <c r="Y9" s="18">
        <f t="shared" si="5"/>
        <v>42.420411497147889</v>
      </c>
      <c r="Z9" s="18">
        <f t="shared" si="5"/>
        <v>43.545926398921829</v>
      </c>
      <c r="AA9" s="18">
        <f t="shared" si="5"/>
        <v>44.7144269490204</v>
      </c>
      <c r="AB9" s="18">
        <f t="shared" si="5"/>
        <v>45.969868671030142</v>
      </c>
      <c r="AC9" s="18">
        <f t="shared" si="5"/>
        <v>47.414933637664298</v>
      </c>
      <c r="AD9" s="18">
        <f t="shared" si="5"/>
        <v>49.006074810167128</v>
      </c>
      <c r="AE9" s="18">
        <f t="shared" si="5"/>
        <v>50.7241942982171</v>
      </c>
      <c r="AF9" s="18">
        <f t="shared" si="5"/>
        <v>52.594824311058666</v>
      </c>
      <c r="AG9" s="18">
        <f t="shared" si="5"/>
        <v>54.594087596720208</v>
      </c>
      <c r="AH9" s="18"/>
      <c r="AI9" s="18"/>
      <c r="AJ9" s="18"/>
      <c r="AK9" s="18"/>
      <c r="AL9" s="18"/>
      <c r="AM9" s="18"/>
      <c r="AN9" s="18"/>
    </row>
    <row r="10" spans="1:43" x14ac:dyDescent="0.25">
      <c r="A10" s="3" t="s">
        <v>27</v>
      </c>
      <c r="B10" s="18">
        <f t="shared" ref="B10:AG10" si="6">IF($B$1="Reference",B46,B84)</f>
        <v>78.804647701522597</v>
      </c>
      <c r="C10" s="18">
        <f t="shared" si="6"/>
        <v>76.877442358534296</v>
      </c>
      <c r="D10" s="18">
        <f t="shared" si="6"/>
        <v>76.054035890535658</v>
      </c>
      <c r="E10" s="18">
        <f t="shared" si="6"/>
        <v>77.174482718062336</v>
      </c>
      <c r="F10" s="18">
        <f t="shared" si="6"/>
        <v>77.579100872966222</v>
      </c>
      <c r="G10" s="18">
        <f t="shared" si="6"/>
        <v>77.915699778270181</v>
      </c>
      <c r="H10" s="18">
        <f t="shared" si="6"/>
        <v>78.171765232530873</v>
      </c>
      <c r="I10" s="18">
        <f t="shared" si="6"/>
        <v>78.623480729217917</v>
      </c>
      <c r="J10" s="18">
        <f t="shared" si="6"/>
        <v>79.111097136488894</v>
      </c>
      <c r="K10" s="18">
        <f t="shared" si="6"/>
        <v>80.70417184016631</v>
      </c>
      <c r="L10" s="18">
        <f t="shared" si="6"/>
        <v>81.068145943798768</v>
      </c>
      <c r="M10" s="18">
        <f t="shared" si="6"/>
        <v>81.753781631269845</v>
      </c>
      <c r="N10" s="18">
        <f t="shared" si="6"/>
        <v>82.730281197371241</v>
      </c>
      <c r="O10" s="18">
        <f t="shared" si="6"/>
        <v>83.77010319063848</v>
      </c>
      <c r="P10" s="18">
        <f t="shared" si="6"/>
        <v>84.873401086589496</v>
      </c>
      <c r="Q10" s="18">
        <f t="shared" si="6"/>
        <v>86.106737859207925</v>
      </c>
      <c r="R10" s="18">
        <f t="shared" si="6"/>
        <v>87.42459413317971</v>
      </c>
      <c r="S10" s="18">
        <f t="shared" si="6"/>
        <v>88.899998104892774</v>
      </c>
      <c r="T10" s="18">
        <f t="shared" si="6"/>
        <v>90.450674920901349</v>
      </c>
      <c r="U10" s="18">
        <f t="shared" si="6"/>
        <v>92.00786513037103</v>
      </c>
      <c r="V10" s="18">
        <f t="shared" si="6"/>
        <v>94.041202140744616</v>
      </c>
      <c r="W10" s="18">
        <f t="shared" si="6"/>
        <v>95.17417875718256</v>
      </c>
      <c r="X10" s="18">
        <f t="shared" si="6"/>
        <v>96.764126321087417</v>
      </c>
      <c r="Y10" s="18">
        <f t="shared" si="6"/>
        <v>97.947629785228258</v>
      </c>
      <c r="Z10" s="18">
        <f t="shared" si="6"/>
        <v>99.247030666953023</v>
      </c>
      <c r="AA10" s="18">
        <f t="shared" si="6"/>
        <v>100.75715245724095</v>
      </c>
      <c r="AB10" s="18">
        <f t="shared" si="6"/>
        <v>102.41074738134446</v>
      </c>
      <c r="AC10" s="18">
        <f t="shared" si="6"/>
        <v>100.70032013137711</v>
      </c>
      <c r="AD10" s="18">
        <f t="shared" si="6"/>
        <v>98.876005616668252</v>
      </c>
      <c r="AE10" s="18">
        <f t="shared" si="6"/>
        <v>97.374029127413934</v>
      </c>
      <c r="AF10" s="18">
        <f t="shared" si="6"/>
        <v>96.269572187171505</v>
      </c>
      <c r="AG10" s="18">
        <f t="shared" si="6"/>
        <v>95.57371541152213</v>
      </c>
      <c r="AH10" s="18"/>
      <c r="AI10" s="18"/>
      <c r="AJ10" s="18"/>
      <c r="AK10" s="18"/>
      <c r="AL10" s="18"/>
      <c r="AM10" s="18"/>
      <c r="AN10" s="18"/>
    </row>
    <row r="11" spans="1:43" x14ac:dyDescent="0.25">
      <c r="A11" s="3" t="s">
        <v>28</v>
      </c>
      <c r="B11" s="18">
        <f t="shared" ref="B11:AG11" si="7">IF($B$1="Reference",B47,B85)</f>
        <v>17.626887984268851</v>
      </c>
      <c r="C11" s="18">
        <f t="shared" si="7"/>
        <v>15.574773247914441</v>
      </c>
      <c r="D11" s="18">
        <f t="shared" si="7"/>
        <v>16.468901757942803</v>
      </c>
      <c r="E11" s="18">
        <f t="shared" si="7"/>
        <v>16.842411213781613</v>
      </c>
      <c r="F11" s="18">
        <f t="shared" si="7"/>
        <v>16.873129173336118</v>
      </c>
      <c r="G11" s="18">
        <f t="shared" si="7"/>
        <v>16.961798016485922</v>
      </c>
      <c r="H11" s="18">
        <f t="shared" si="7"/>
        <v>17.351287377279391</v>
      </c>
      <c r="I11" s="18">
        <f t="shared" si="7"/>
        <v>18.172175772465625</v>
      </c>
      <c r="J11" s="18">
        <f t="shared" si="7"/>
        <v>18.474671516843188</v>
      </c>
      <c r="K11" s="18">
        <f t="shared" si="7"/>
        <v>19.241932877483279</v>
      </c>
      <c r="L11" s="18">
        <f t="shared" si="7"/>
        <v>19.718432160196105</v>
      </c>
      <c r="M11" s="18">
        <f t="shared" si="7"/>
        <v>20.263880396287526</v>
      </c>
      <c r="N11" s="18">
        <f t="shared" si="7"/>
        <v>20.875661131024344</v>
      </c>
      <c r="O11" s="18">
        <f t="shared" si="7"/>
        <v>21.509067201730744</v>
      </c>
      <c r="P11" s="18">
        <f t="shared" si="7"/>
        <v>22.189942777879295</v>
      </c>
      <c r="Q11" s="18">
        <f t="shared" si="7"/>
        <v>22.970231892065716</v>
      </c>
      <c r="R11" s="18">
        <f t="shared" si="7"/>
        <v>23.782260643821843</v>
      </c>
      <c r="S11" s="18">
        <f t="shared" si="7"/>
        <v>24.676273778173005</v>
      </c>
      <c r="T11" s="18">
        <f t="shared" si="7"/>
        <v>25.632849821177487</v>
      </c>
      <c r="U11" s="18">
        <f t="shared" si="7"/>
        <v>26.502739894814113</v>
      </c>
      <c r="V11" s="18">
        <f t="shared" si="7"/>
        <v>27.360055907378523</v>
      </c>
      <c r="W11" s="18">
        <f t="shared" si="7"/>
        <v>28.258890919974867</v>
      </c>
      <c r="X11" s="18">
        <f t="shared" si="7"/>
        <v>29.197468395087789</v>
      </c>
      <c r="Y11" s="18">
        <f t="shared" si="7"/>
        <v>30.076202183091201</v>
      </c>
      <c r="Z11" s="18">
        <f t="shared" si="7"/>
        <v>30.998139953601914</v>
      </c>
      <c r="AA11" s="18">
        <f t="shared" si="7"/>
        <v>31.980789805750135</v>
      </c>
      <c r="AB11" s="18">
        <f t="shared" si="7"/>
        <v>33.033415965674095</v>
      </c>
      <c r="AC11" s="18">
        <f t="shared" si="7"/>
        <v>34.229269066055934</v>
      </c>
      <c r="AD11" s="18">
        <f t="shared" si="7"/>
        <v>35.540367213250683</v>
      </c>
      <c r="AE11" s="18">
        <f t="shared" si="7"/>
        <v>36.93764118211201</v>
      </c>
      <c r="AF11" s="18">
        <f t="shared" si="7"/>
        <v>38.45670987559626</v>
      </c>
      <c r="AG11" s="18">
        <f t="shared" si="7"/>
        <v>40.074721803240806</v>
      </c>
      <c r="AH11" s="18"/>
      <c r="AI11" s="18"/>
      <c r="AJ11" s="18"/>
      <c r="AK11" s="18"/>
      <c r="AL11" s="18"/>
      <c r="AM11" s="18"/>
      <c r="AN11" s="18"/>
    </row>
    <row r="12" spans="1:43" x14ac:dyDescent="0.25">
      <c r="A12" s="3" t="s">
        <v>29</v>
      </c>
      <c r="B12" s="18">
        <f t="shared" ref="B12:AG12" si="8">IF($B$1="Reference",B48,B86)</f>
        <v>20.83862043593755</v>
      </c>
      <c r="C12" s="18">
        <f t="shared" si="8"/>
        <v>19.162970457873552</v>
      </c>
      <c r="D12" s="18">
        <f t="shared" si="8"/>
        <v>19.863032016889015</v>
      </c>
      <c r="E12" s="18">
        <f t="shared" si="8"/>
        <v>19.925211095239426</v>
      </c>
      <c r="F12" s="18">
        <f t="shared" si="8"/>
        <v>19.834101089271332</v>
      </c>
      <c r="G12" s="18">
        <f t="shared" si="8"/>
        <v>19.81662016609959</v>
      </c>
      <c r="H12" s="18">
        <f t="shared" si="8"/>
        <v>20.024035065685826</v>
      </c>
      <c r="I12" s="18">
        <f t="shared" si="8"/>
        <v>20.7314786965152</v>
      </c>
      <c r="J12" s="18">
        <f t="shared" si="8"/>
        <v>21.02812096050604</v>
      </c>
      <c r="K12" s="18">
        <f t="shared" si="8"/>
        <v>22.088022949308368</v>
      </c>
      <c r="L12" s="18">
        <f t="shared" si="8"/>
        <v>22.609587148498793</v>
      </c>
      <c r="M12" s="18">
        <f t="shared" si="8"/>
        <v>23.064871709426125</v>
      </c>
      <c r="N12" s="18">
        <f t="shared" si="8"/>
        <v>23.500500945407683</v>
      </c>
      <c r="O12" s="18">
        <f t="shared" si="8"/>
        <v>23.986518709259194</v>
      </c>
      <c r="P12" s="18">
        <f t="shared" si="8"/>
        <v>24.524089189559373</v>
      </c>
      <c r="Q12" s="18">
        <f t="shared" si="8"/>
        <v>25.162916316397915</v>
      </c>
      <c r="R12" s="18">
        <f t="shared" si="8"/>
        <v>25.961729328868451</v>
      </c>
      <c r="S12" s="18">
        <f t="shared" si="8"/>
        <v>26.741130336784909</v>
      </c>
      <c r="T12" s="18">
        <f t="shared" si="8"/>
        <v>27.539311494472237</v>
      </c>
      <c r="U12" s="18">
        <f t="shared" si="8"/>
        <v>28.416777100608481</v>
      </c>
      <c r="V12" s="18">
        <f t="shared" si="8"/>
        <v>29.280416107200651</v>
      </c>
      <c r="W12" s="18">
        <f t="shared" si="8"/>
        <v>30.186503705675769</v>
      </c>
      <c r="X12" s="18">
        <f t="shared" si="8"/>
        <v>29.932581041239011</v>
      </c>
      <c r="Y12" s="18">
        <f t="shared" si="8"/>
        <v>30.178538276315535</v>
      </c>
      <c r="Z12" s="18">
        <f t="shared" si="8"/>
        <v>30.87398199455356</v>
      </c>
      <c r="AA12" s="18">
        <f t="shared" si="8"/>
        <v>31.746136053512725</v>
      </c>
      <c r="AB12" s="18">
        <f t="shared" si="8"/>
        <v>32.706595306079578</v>
      </c>
      <c r="AC12" s="18">
        <f t="shared" si="8"/>
        <v>33.829858670074827</v>
      </c>
      <c r="AD12" s="18">
        <f t="shared" si="8"/>
        <v>35.113315907883745</v>
      </c>
      <c r="AE12" s="18">
        <f t="shared" si="8"/>
        <v>36.480067986875184</v>
      </c>
      <c r="AF12" s="18">
        <f t="shared" si="8"/>
        <v>38.012762633175321</v>
      </c>
      <c r="AG12" s="18">
        <f t="shared" si="8"/>
        <v>39.652823282604146</v>
      </c>
      <c r="AH12" s="18"/>
      <c r="AI12" s="18"/>
      <c r="AJ12" s="18"/>
      <c r="AK12" s="18"/>
      <c r="AL12" s="18"/>
      <c r="AM12" s="18"/>
      <c r="AN12" s="18"/>
    </row>
    <row r="13" spans="1:43" x14ac:dyDescent="0.25">
      <c r="A13" s="3" t="s">
        <v>30</v>
      </c>
      <c r="B13" s="18">
        <f t="shared" ref="B13:AG13" si="9">IF($B$1="Reference",B49,B87)</f>
        <v>13.073651251028767</v>
      </c>
      <c r="C13" s="18">
        <f t="shared" si="9"/>
        <v>11.271192740747956</v>
      </c>
      <c r="D13" s="18">
        <f t="shared" si="9"/>
        <v>12.453355513208685</v>
      </c>
      <c r="E13" s="18">
        <f t="shared" si="9"/>
        <v>11.093628902003232</v>
      </c>
      <c r="F13" s="18">
        <f t="shared" si="9"/>
        <v>10.633195506260071</v>
      </c>
      <c r="G13" s="18">
        <f t="shared" si="9"/>
        <v>10.296369536265301</v>
      </c>
      <c r="H13" s="18">
        <f t="shared" si="9"/>
        <v>10.185906410292333</v>
      </c>
      <c r="I13" s="18">
        <f t="shared" si="9"/>
        <v>11.245149089730107</v>
      </c>
      <c r="J13" s="18">
        <f t="shared" si="9"/>
        <v>11.893689140076045</v>
      </c>
      <c r="K13" s="18">
        <f t="shared" si="9"/>
        <v>14.932821198181243</v>
      </c>
      <c r="L13" s="18">
        <f t="shared" si="9"/>
        <v>16.315639004544483</v>
      </c>
      <c r="M13" s="18">
        <f t="shared" si="9"/>
        <v>17.059808238709167</v>
      </c>
      <c r="N13" s="18">
        <f t="shared" si="9"/>
        <v>17.420690298733859</v>
      </c>
      <c r="O13" s="18">
        <f t="shared" si="9"/>
        <v>17.918306200852875</v>
      </c>
      <c r="P13" s="18">
        <f t="shared" si="9"/>
        <v>18.526935324609827</v>
      </c>
      <c r="Q13" s="18">
        <f t="shared" si="9"/>
        <v>19.363038067641988</v>
      </c>
      <c r="R13" s="18">
        <f t="shared" si="9"/>
        <v>20.807211642511401</v>
      </c>
      <c r="S13" s="18">
        <f t="shared" si="9"/>
        <v>22.034227330597993</v>
      </c>
      <c r="T13" s="18">
        <f t="shared" si="9"/>
        <v>23.144920225240188</v>
      </c>
      <c r="U13" s="18">
        <f t="shared" si="9"/>
        <v>24.486836067639864</v>
      </c>
      <c r="V13" s="18">
        <f t="shared" si="9"/>
        <v>25.407030757664895</v>
      </c>
      <c r="W13" s="18">
        <f t="shared" si="9"/>
        <v>26.685444917044961</v>
      </c>
      <c r="X13" s="18">
        <f t="shared" si="9"/>
        <v>21.817360567388683</v>
      </c>
      <c r="Y13" s="18">
        <f t="shared" si="9"/>
        <v>19.92822832545858</v>
      </c>
      <c r="Z13" s="18">
        <f t="shared" si="9"/>
        <v>20.115665966407651</v>
      </c>
      <c r="AA13" s="18">
        <f t="shared" si="9"/>
        <v>20.836820836560729</v>
      </c>
      <c r="AB13" s="18">
        <f t="shared" si="9"/>
        <v>21.761649422158985</v>
      </c>
      <c r="AC13" s="18">
        <f t="shared" si="9"/>
        <v>23.313173238683802</v>
      </c>
      <c r="AD13" s="18">
        <f t="shared" si="9"/>
        <v>25.294021424316036</v>
      </c>
      <c r="AE13" s="18">
        <f t="shared" si="9"/>
        <v>27.454964714752748</v>
      </c>
      <c r="AF13" s="18">
        <f t="shared" si="9"/>
        <v>30.0558621640639</v>
      </c>
      <c r="AG13" s="18">
        <f t="shared" si="9"/>
        <v>32.920831876359543</v>
      </c>
      <c r="AH13" s="18"/>
      <c r="AI13" s="18"/>
      <c r="AJ13" s="18"/>
      <c r="AK13" s="18"/>
      <c r="AL13" s="18"/>
      <c r="AM13" s="18"/>
      <c r="AN13" s="18"/>
    </row>
    <row r="14" spans="1:43" x14ac:dyDescent="0.25">
      <c r="A14" s="3" t="s">
        <v>31</v>
      </c>
      <c r="B14" s="18">
        <f t="shared" ref="B14:AG14" si="10">IF($B$1="Reference",B50,B88)</f>
        <v>0.12086732559633409</v>
      </c>
      <c r="C14" s="18">
        <f t="shared" si="10"/>
        <v>0.12086732559633409</v>
      </c>
      <c r="D14" s="18">
        <f t="shared" si="10"/>
        <v>0.12066457951154648</v>
      </c>
      <c r="E14" s="18">
        <f t="shared" si="10"/>
        <v>0.12060975773938744</v>
      </c>
      <c r="F14" s="18">
        <f t="shared" si="10"/>
        <v>0.12060975773938748</v>
      </c>
      <c r="G14" s="18">
        <f t="shared" si="10"/>
        <v>0.12060975773938752</v>
      </c>
      <c r="H14" s="18">
        <f t="shared" si="10"/>
        <v>0.12060975773938752</v>
      </c>
      <c r="I14" s="18">
        <f t="shared" si="10"/>
        <v>0.12060975773938752</v>
      </c>
      <c r="J14" s="18">
        <f t="shared" si="10"/>
        <v>0.12060636832264243</v>
      </c>
      <c r="K14" s="18">
        <f t="shared" si="10"/>
        <v>0.12060636832264247</v>
      </c>
      <c r="L14" s="18">
        <f t="shared" si="10"/>
        <v>0.12060636832264243</v>
      </c>
      <c r="M14" s="18">
        <f t="shared" si="10"/>
        <v>0.12060636832264245</v>
      </c>
      <c r="N14" s="18">
        <f t="shared" si="10"/>
        <v>0.12060636832264249</v>
      </c>
      <c r="O14" s="18">
        <f t="shared" si="10"/>
        <v>0.12060636832264243</v>
      </c>
      <c r="P14" s="18">
        <f t="shared" si="10"/>
        <v>0.1206063683226424</v>
      </c>
      <c r="Q14" s="18">
        <f t="shared" si="10"/>
        <v>0.12060636832264239</v>
      </c>
      <c r="R14" s="18">
        <f t="shared" si="10"/>
        <v>0.12060636832264236</v>
      </c>
      <c r="S14" s="18">
        <f t="shared" si="10"/>
        <v>0.12060636832264239</v>
      </c>
      <c r="T14" s="18">
        <f t="shared" si="10"/>
        <v>0.12060636832264235</v>
      </c>
      <c r="U14" s="18">
        <f t="shared" si="10"/>
        <v>2.520396408758065</v>
      </c>
      <c r="V14" s="18">
        <f t="shared" si="10"/>
        <v>5.0407928175161301</v>
      </c>
      <c r="W14" s="18">
        <f t="shared" si="10"/>
        <v>7.5611892262741947</v>
      </c>
      <c r="X14" s="18">
        <f t="shared" si="10"/>
        <v>8.7746857478983546</v>
      </c>
      <c r="Y14" s="18">
        <f t="shared" si="10"/>
        <v>9.9881822695225075</v>
      </c>
      <c r="Z14" s="18">
        <f t="shared" si="10"/>
        <v>11.201678791146668</v>
      </c>
      <c r="AA14" s="18">
        <f t="shared" si="10"/>
        <v>12.415175312770822</v>
      </c>
      <c r="AB14" s="18">
        <f t="shared" si="10"/>
        <v>13.628671834394979</v>
      </c>
      <c r="AC14" s="18">
        <f t="shared" si="10"/>
        <v>14.303135095585274</v>
      </c>
      <c r="AD14" s="18">
        <f t="shared" si="10"/>
        <v>14.977598356775562</v>
      </c>
      <c r="AE14" s="18">
        <f t="shared" si="10"/>
        <v>15.652061617965861</v>
      </c>
      <c r="AF14" s="18">
        <f t="shared" si="10"/>
        <v>16.32652487915615</v>
      </c>
      <c r="AG14" s="18">
        <f t="shared" si="10"/>
        <v>17.00098814034644</v>
      </c>
      <c r="AH14" s="18"/>
      <c r="AI14" s="18"/>
      <c r="AJ14" s="18"/>
      <c r="AK14" s="18"/>
      <c r="AL14" s="18"/>
      <c r="AM14" s="18"/>
      <c r="AN14" s="18"/>
    </row>
    <row r="15" spans="1:43" x14ac:dyDescent="0.25">
      <c r="A15" s="3" t="s">
        <v>32</v>
      </c>
      <c r="B15" s="18">
        <f t="shared" ref="B15:AG15" si="11">IF($B$1="Reference",B51,B89)</f>
        <v>142.2036328173553</v>
      </c>
      <c r="C15" s="18">
        <f t="shared" si="11"/>
        <v>136.44878766432581</v>
      </c>
      <c r="D15" s="18">
        <f t="shared" si="11"/>
        <v>146.14074566394675</v>
      </c>
      <c r="E15" s="18">
        <f t="shared" si="11"/>
        <v>146.4773665086895</v>
      </c>
      <c r="F15" s="18">
        <f t="shared" si="11"/>
        <v>145.04539245118301</v>
      </c>
      <c r="G15" s="18">
        <f t="shared" si="11"/>
        <v>145.87729911613849</v>
      </c>
      <c r="H15" s="18">
        <f t="shared" si="11"/>
        <v>147.14216951126389</v>
      </c>
      <c r="I15" s="18">
        <f t="shared" si="11"/>
        <v>150.00300564106288</v>
      </c>
      <c r="J15" s="18">
        <f t="shared" si="11"/>
        <v>152.19870464335671</v>
      </c>
      <c r="K15" s="18">
        <f t="shared" si="11"/>
        <v>154.19870472509317</v>
      </c>
      <c r="L15" s="18">
        <f t="shared" si="11"/>
        <v>156.38571640248085</v>
      </c>
      <c r="M15" s="18">
        <f t="shared" si="11"/>
        <v>159.44194621283864</v>
      </c>
      <c r="N15" s="18">
        <f t="shared" si="11"/>
        <v>163.30689787379572</v>
      </c>
      <c r="O15" s="18">
        <f t="shared" si="11"/>
        <v>167.86178956611161</v>
      </c>
      <c r="P15" s="18">
        <f t="shared" si="11"/>
        <v>171.53872250386354</v>
      </c>
      <c r="Q15" s="18">
        <f t="shared" si="11"/>
        <v>176.04422236485598</v>
      </c>
      <c r="R15" s="18">
        <f t="shared" si="11"/>
        <v>177.48735794895305</v>
      </c>
      <c r="S15" s="18">
        <f t="shared" si="11"/>
        <v>181.7517895464326</v>
      </c>
      <c r="T15" s="18">
        <f t="shared" si="11"/>
        <v>186.68722664354334</v>
      </c>
      <c r="U15" s="18">
        <f t="shared" si="11"/>
        <v>197.58437167828936</v>
      </c>
      <c r="V15" s="18">
        <f t="shared" si="11"/>
        <v>208.57857871701691</v>
      </c>
      <c r="W15" s="18">
        <f t="shared" si="11"/>
        <v>219.26380730730992</v>
      </c>
      <c r="X15" s="18">
        <f t="shared" si="11"/>
        <v>225.02122253194688</v>
      </c>
      <c r="Y15" s="18">
        <f t="shared" si="11"/>
        <v>231.81694807578467</v>
      </c>
      <c r="Z15" s="18">
        <f t="shared" si="11"/>
        <v>239.78786495655936</v>
      </c>
      <c r="AA15" s="18">
        <f t="shared" si="11"/>
        <v>248.0521594612481</v>
      </c>
      <c r="AB15" s="18">
        <f t="shared" si="11"/>
        <v>256.39391319737126</v>
      </c>
      <c r="AC15" s="18">
        <f t="shared" si="11"/>
        <v>264.39071189071097</v>
      </c>
      <c r="AD15" s="18">
        <f t="shared" si="11"/>
        <v>271.3407012727136</v>
      </c>
      <c r="AE15" s="18">
        <f t="shared" si="11"/>
        <v>278.60851724569528</v>
      </c>
      <c r="AF15" s="18">
        <f t="shared" si="11"/>
        <v>286.05926653394823</v>
      </c>
      <c r="AG15" s="18">
        <f t="shared" si="11"/>
        <v>293.59171280458094</v>
      </c>
      <c r="AH15" s="18"/>
      <c r="AI15" s="18"/>
      <c r="AJ15" s="18"/>
      <c r="AK15" s="18"/>
      <c r="AL15" s="18"/>
      <c r="AM15" s="18"/>
      <c r="AN15" s="18"/>
    </row>
    <row r="16" spans="1:43" x14ac:dyDescent="0.25">
      <c r="A16" s="3" t="s">
        <v>33</v>
      </c>
      <c r="B16" s="18">
        <f t="shared" ref="B16:AG16" si="12">IF($B$1="Reference",B52,B90)</f>
        <v>60.675714154100262</v>
      </c>
      <c r="C16" s="18">
        <f t="shared" si="12"/>
        <v>50.223185860644726</v>
      </c>
      <c r="D16" s="18">
        <f t="shared" si="12"/>
        <v>52.694392090327234</v>
      </c>
      <c r="E16" s="18">
        <f t="shared" si="12"/>
        <v>61.666432806024062</v>
      </c>
      <c r="F16" s="18">
        <f t="shared" si="12"/>
        <v>64.955660785385092</v>
      </c>
      <c r="G16" s="18">
        <f t="shared" si="12"/>
        <v>66.140315151319371</v>
      </c>
      <c r="H16" s="18">
        <f t="shared" si="12"/>
        <v>66.43535899033968</v>
      </c>
      <c r="I16" s="18">
        <f t="shared" si="12"/>
        <v>66.43253916933817</v>
      </c>
      <c r="J16" s="18">
        <f t="shared" si="12"/>
        <v>68.559388327301775</v>
      </c>
      <c r="K16" s="18">
        <f t="shared" si="12"/>
        <v>71.05986343939098</v>
      </c>
      <c r="L16" s="18">
        <f t="shared" si="12"/>
        <v>73.433534347769992</v>
      </c>
      <c r="M16" s="18">
        <f t="shared" si="12"/>
        <v>75.997801931251104</v>
      </c>
      <c r="N16" s="18">
        <f t="shared" si="12"/>
        <v>78.885755018735026</v>
      </c>
      <c r="O16" s="18">
        <f t="shared" si="12"/>
        <v>81.77388102277115</v>
      </c>
      <c r="P16" s="18">
        <f t="shared" si="12"/>
        <v>84.829127777420425</v>
      </c>
      <c r="Q16" s="18">
        <f t="shared" si="12"/>
        <v>88.304236578805018</v>
      </c>
      <c r="R16" s="18">
        <f t="shared" si="12"/>
        <v>91.596646480858581</v>
      </c>
      <c r="S16" s="18">
        <f t="shared" si="12"/>
        <v>95.204983824347224</v>
      </c>
      <c r="T16" s="18">
        <f t="shared" si="12"/>
        <v>98.874905337963</v>
      </c>
      <c r="U16" s="18">
        <f t="shared" si="12"/>
        <v>102.21962710070184</v>
      </c>
      <c r="V16" s="18">
        <f t="shared" si="12"/>
        <v>105.32424663502653</v>
      </c>
      <c r="W16" s="18">
        <f t="shared" si="12"/>
        <v>108.27693737090219</v>
      </c>
      <c r="X16" s="18">
        <f t="shared" si="12"/>
        <v>111.56912486917621</v>
      </c>
      <c r="Y16" s="18">
        <f t="shared" si="12"/>
        <v>114.41561344133981</v>
      </c>
      <c r="Z16" s="18">
        <f t="shared" si="12"/>
        <v>117.13004082373627</v>
      </c>
      <c r="AA16" s="18">
        <f t="shared" si="12"/>
        <v>119.84264111921489</v>
      </c>
      <c r="AB16" s="18">
        <f t="shared" si="12"/>
        <v>122.59721826342761</v>
      </c>
      <c r="AC16" s="18">
        <f t="shared" si="12"/>
        <v>125.50771629179748</v>
      </c>
      <c r="AD16" s="18">
        <f t="shared" si="12"/>
        <v>128.57440253818112</v>
      </c>
      <c r="AE16" s="18">
        <f t="shared" si="12"/>
        <v>131.68045011063694</v>
      </c>
      <c r="AF16" s="18">
        <f t="shared" si="12"/>
        <v>134.87996590545094</v>
      </c>
      <c r="AG16" s="18">
        <f t="shared" si="12"/>
        <v>138.0817300949943</v>
      </c>
      <c r="AH16" s="18"/>
      <c r="AI16" s="18"/>
      <c r="AJ16" s="18"/>
      <c r="AK16" s="18"/>
      <c r="AL16" s="18"/>
      <c r="AM16" s="18"/>
      <c r="AN16" s="18"/>
    </row>
    <row r="17" spans="1:40" x14ac:dyDescent="0.25">
      <c r="A17" s="3" t="s">
        <v>34</v>
      </c>
      <c r="B17" s="18">
        <f t="shared" ref="B17:AG17" si="13">IF($B$1="Reference",B53,B91)</f>
        <v>247.42936538345938</v>
      </c>
      <c r="C17" s="18">
        <f t="shared" si="13"/>
        <v>217.21278869819892</v>
      </c>
      <c r="D17" s="18">
        <f t="shared" si="13"/>
        <v>230.95121378088996</v>
      </c>
      <c r="E17" s="18">
        <f t="shared" si="13"/>
        <v>252.81589693997037</v>
      </c>
      <c r="F17" s="18">
        <f t="shared" si="13"/>
        <v>254.35902013525742</v>
      </c>
      <c r="G17" s="18">
        <f t="shared" si="13"/>
        <v>253.56557026498641</v>
      </c>
      <c r="H17" s="18">
        <f t="shared" si="13"/>
        <v>253.37869609441091</v>
      </c>
      <c r="I17" s="18">
        <f t="shared" si="13"/>
        <v>255.29840209298564</v>
      </c>
      <c r="J17" s="18">
        <f t="shared" si="13"/>
        <v>260.9690002056023</v>
      </c>
      <c r="K17" s="18">
        <f t="shared" si="13"/>
        <v>268.12764276659186</v>
      </c>
      <c r="L17" s="18">
        <f t="shared" si="13"/>
        <v>275.71288715868729</v>
      </c>
      <c r="M17" s="18">
        <f t="shared" si="13"/>
        <v>285.72163394371933</v>
      </c>
      <c r="N17" s="18">
        <f t="shared" si="13"/>
        <v>295.41500225811654</v>
      </c>
      <c r="O17" s="18">
        <f t="shared" si="13"/>
        <v>303.81149730475249</v>
      </c>
      <c r="P17" s="18">
        <f t="shared" si="13"/>
        <v>313.05332932592154</v>
      </c>
      <c r="Q17" s="18">
        <f t="shared" si="13"/>
        <v>325.24762153021987</v>
      </c>
      <c r="R17" s="18">
        <f t="shared" si="13"/>
        <v>336.46750066941485</v>
      </c>
      <c r="S17" s="18">
        <f t="shared" si="13"/>
        <v>347.76284507291501</v>
      </c>
      <c r="T17" s="18">
        <f t="shared" si="13"/>
        <v>360.27295199736722</v>
      </c>
      <c r="U17" s="18">
        <f t="shared" si="13"/>
        <v>374.84748361489403</v>
      </c>
      <c r="V17" s="18">
        <f t="shared" si="13"/>
        <v>390.38661220958136</v>
      </c>
      <c r="W17" s="18">
        <f t="shared" si="13"/>
        <v>405.79419437269428</v>
      </c>
      <c r="X17" s="18">
        <f t="shared" si="13"/>
        <v>422.18587872932306</v>
      </c>
      <c r="Y17" s="18">
        <f t="shared" si="13"/>
        <v>436.61613507099827</v>
      </c>
      <c r="Z17" s="18">
        <f t="shared" si="13"/>
        <v>450.76418291020468</v>
      </c>
      <c r="AA17" s="18">
        <f t="shared" si="13"/>
        <v>463.01529337066955</v>
      </c>
      <c r="AB17" s="18">
        <f t="shared" si="13"/>
        <v>474.93317371914009</v>
      </c>
      <c r="AC17" s="18">
        <f t="shared" si="13"/>
        <v>488.56893191442424</v>
      </c>
      <c r="AD17" s="18">
        <f t="shared" si="13"/>
        <v>502.85213688910846</v>
      </c>
      <c r="AE17" s="18">
        <f t="shared" si="13"/>
        <v>517.1802992829771</v>
      </c>
      <c r="AF17" s="18">
        <f t="shared" si="13"/>
        <v>532.57463611876153</v>
      </c>
      <c r="AG17" s="18">
        <f t="shared" si="13"/>
        <v>550.23298848988929</v>
      </c>
      <c r="AH17" s="18"/>
      <c r="AI17" s="18"/>
      <c r="AJ17" s="18"/>
      <c r="AK17" s="18"/>
      <c r="AL17" s="18"/>
      <c r="AM17" s="18"/>
      <c r="AN17" s="18"/>
    </row>
    <row r="18" spans="1:40" x14ac:dyDescent="0.25">
      <c r="A18" s="3" t="s">
        <v>36</v>
      </c>
      <c r="B18" s="18">
        <f t="shared" ref="B18:AG18" si="14">IF($B$1="Reference",B54,B92)</f>
        <v>7.2942674736102546</v>
      </c>
      <c r="C18" s="18">
        <f t="shared" si="14"/>
        <v>6.6299472699871007</v>
      </c>
      <c r="D18" s="18">
        <f t="shared" si="14"/>
        <v>7.0785650689638286</v>
      </c>
      <c r="E18" s="18">
        <f t="shared" si="14"/>
        <v>7.6154108701536929</v>
      </c>
      <c r="F18" s="18">
        <f t="shared" si="14"/>
        <v>7.7475033508428641</v>
      </c>
      <c r="G18" s="18">
        <f t="shared" si="14"/>
        <v>7.8035702247329706</v>
      </c>
      <c r="H18" s="18">
        <f t="shared" si="14"/>
        <v>7.864799497299912</v>
      </c>
      <c r="I18" s="18">
        <f t="shared" si="14"/>
        <v>7.9735086103682073</v>
      </c>
      <c r="J18" s="18">
        <f t="shared" si="14"/>
        <v>8.1382553624087084</v>
      </c>
      <c r="K18" s="18">
        <f t="shared" si="14"/>
        <v>8.254849116831064</v>
      </c>
      <c r="L18" s="18">
        <f t="shared" si="14"/>
        <v>8.4634388431087277</v>
      </c>
      <c r="M18" s="18">
        <f t="shared" si="14"/>
        <v>8.7420146751272831</v>
      </c>
      <c r="N18" s="18">
        <f t="shared" si="14"/>
        <v>9.0085847401483026</v>
      </c>
      <c r="O18" s="18">
        <f t="shared" si="14"/>
        <v>9.2381662774002873</v>
      </c>
      <c r="P18" s="18">
        <f t="shared" si="14"/>
        <v>9.4944882281900185</v>
      </c>
      <c r="Q18" s="18">
        <f t="shared" si="14"/>
        <v>9.8297223222318788</v>
      </c>
      <c r="R18" s="18">
        <f t="shared" si="14"/>
        <v>10.134056576524346</v>
      </c>
      <c r="S18" s="18">
        <f t="shared" si="14"/>
        <v>10.433147704508338</v>
      </c>
      <c r="T18" s="18">
        <f t="shared" si="14"/>
        <v>10.747005876764753</v>
      </c>
      <c r="U18" s="18">
        <f t="shared" si="14"/>
        <v>11.108855812119153</v>
      </c>
      <c r="V18" s="18">
        <f t="shared" si="14"/>
        <v>11.485590645773648</v>
      </c>
      <c r="W18" s="18">
        <f t="shared" si="14"/>
        <v>11.840756013263658</v>
      </c>
      <c r="X18" s="18">
        <f t="shared" si="14"/>
        <v>12.214529377854351</v>
      </c>
      <c r="Y18" s="18">
        <f t="shared" si="14"/>
        <v>12.550275923341125</v>
      </c>
      <c r="Z18" s="18">
        <f t="shared" si="14"/>
        <v>12.905043759792305</v>
      </c>
      <c r="AA18" s="18">
        <f t="shared" si="14"/>
        <v>13.217217473663608</v>
      </c>
      <c r="AB18" s="18">
        <f t="shared" si="14"/>
        <v>13.535985411782866</v>
      </c>
      <c r="AC18" s="18">
        <f t="shared" si="14"/>
        <v>13.897184038664331</v>
      </c>
      <c r="AD18" s="18">
        <f t="shared" si="14"/>
        <v>14.273587894723452</v>
      </c>
      <c r="AE18" s="18">
        <f t="shared" si="14"/>
        <v>14.653917896536141</v>
      </c>
      <c r="AF18" s="18">
        <f t="shared" si="14"/>
        <v>15.068453888260731</v>
      </c>
      <c r="AG18" s="18">
        <f t="shared" si="14"/>
        <v>15.545780890218635</v>
      </c>
      <c r="AH18" s="18"/>
      <c r="AI18" s="18"/>
      <c r="AJ18" s="18"/>
      <c r="AK18" s="18"/>
      <c r="AL18" s="18"/>
      <c r="AM18" s="18"/>
      <c r="AN18" s="18"/>
    </row>
    <row r="19" spans="1:40" x14ac:dyDescent="0.25">
      <c r="A19" s="3" t="s">
        <v>37</v>
      </c>
      <c r="B19" s="18">
        <f t="shared" ref="B19:AG19" si="15">IF($B$1="Reference",B55,B93)</f>
        <v>46.318025213526461</v>
      </c>
      <c r="C19" s="18">
        <f t="shared" si="15"/>
        <v>28.848450924973463</v>
      </c>
      <c r="D19" s="18">
        <f t="shared" si="15"/>
        <v>33.256288243860944</v>
      </c>
      <c r="E19" s="18">
        <f t="shared" si="15"/>
        <v>38.311460986223757</v>
      </c>
      <c r="F19" s="18">
        <f t="shared" si="15"/>
        <v>38.311460986223757</v>
      </c>
      <c r="G19" s="18">
        <f t="shared" si="15"/>
        <v>38.311460986223778</v>
      </c>
      <c r="H19" s="18">
        <f t="shared" si="15"/>
        <v>38.311460986223778</v>
      </c>
      <c r="I19" s="18">
        <f t="shared" si="15"/>
        <v>38.311460986223778</v>
      </c>
      <c r="J19" s="18">
        <f t="shared" si="15"/>
        <v>38.310384344417763</v>
      </c>
      <c r="K19" s="18">
        <f t="shared" si="15"/>
        <v>15.707851994016872</v>
      </c>
      <c r="L19" s="18">
        <f t="shared" si="15"/>
        <v>9.6569905959133457</v>
      </c>
      <c r="M19" s="18">
        <f t="shared" si="15"/>
        <v>9.6168986303249184</v>
      </c>
      <c r="N19" s="18">
        <f t="shared" si="15"/>
        <v>9.616898630324922</v>
      </c>
      <c r="O19" s="18">
        <f t="shared" si="15"/>
        <v>9.6168986303249167</v>
      </c>
      <c r="P19" s="18">
        <f t="shared" si="15"/>
        <v>9.6168986303249149</v>
      </c>
      <c r="Q19" s="18">
        <f t="shared" si="15"/>
        <v>9.6168986303249113</v>
      </c>
      <c r="R19" s="18">
        <f t="shared" si="15"/>
        <v>9.6168986303249095</v>
      </c>
      <c r="S19" s="18">
        <f t="shared" si="15"/>
        <v>9.6168986303249131</v>
      </c>
      <c r="T19" s="18">
        <f t="shared" si="15"/>
        <v>9.6197605832035844</v>
      </c>
      <c r="U19" s="18">
        <f t="shared" si="15"/>
        <v>9.6348234752431487</v>
      </c>
      <c r="V19" s="18">
        <f t="shared" si="15"/>
        <v>9.6498863672827113</v>
      </c>
      <c r="W19" s="18">
        <f t="shared" si="15"/>
        <v>9.6649492593222739</v>
      </c>
      <c r="X19" s="18">
        <f t="shared" si="15"/>
        <v>9.6649492593222739</v>
      </c>
      <c r="Y19" s="18">
        <f t="shared" si="15"/>
        <v>9.6649492593222703</v>
      </c>
      <c r="Z19" s="18">
        <f t="shared" si="15"/>
        <v>9.6649492593222703</v>
      </c>
      <c r="AA19" s="18">
        <f t="shared" si="15"/>
        <v>9.6649492593222686</v>
      </c>
      <c r="AB19" s="18">
        <f t="shared" si="15"/>
        <v>9.6649492593222668</v>
      </c>
      <c r="AC19" s="18">
        <f t="shared" si="15"/>
        <v>8.8740852197657407</v>
      </c>
      <c r="AD19" s="18">
        <f t="shared" si="15"/>
        <v>8.0832211802092093</v>
      </c>
      <c r="AE19" s="18">
        <f t="shared" si="15"/>
        <v>7.2923571406526815</v>
      </c>
      <c r="AF19" s="18">
        <f t="shared" si="15"/>
        <v>6.501493101096151</v>
      </c>
      <c r="AG19" s="18">
        <f t="shared" si="15"/>
        <v>5.7106290615396214</v>
      </c>
      <c r="AH19" s="18"/>
      <c r="AI19" s="18"/>
      <c r="AJ19" s="18"/>
      <c r="AK19" s="18"/>
      <c r="AL19" s="18"/>
      <c r="AM19" s="18"/>
      <c r="AN19" s="18"/>
    </row>
    <row r="20" spans="1:40" x14ac:dyDescent="0.25">
      <c r="A20" s="3" t="s">
        <v>38</v>
      </c>
      <c r="B20" s="18">
        <f t="shared" ref="B20:AG20" si="16">IF($B$1="Reference",B56,B94)</f>
        <v>112.98526133447918</v>
      </c>
      <c r="C20" s="18">
        <f t="shared" si="16"/>
        <v>109.13247881206568</v>
      </c>
      <c r="D20" s="18">
        <f t="shared" si="16"/>
        <v>109.89834480093437</v>
      </c>
      <c r="E20" s="18">
        <f t="shared" si="16"/>
        <v>108.05691691943908</v>
      </c>
      <c r="F20" s="18">
        <f t="shared" si="16"/>
        <v>104.86488366021064</v>
      </c>
      <c r="G20" s="18">
        <f t="shared" si="16"/>
        <v>103.24861035672339</v>
      </c>
      <c r="H20" s="18">
        <f t="shared" si="16"/>
        <v>101.30739673917725</v>
      </c>
      <c r="I20" s="18">
        <f t="shared" si="16"/>
        <v>100.12171938207966</v>
      </c>
      <c r="J20" s="18">
        <f t="shared" si="16"/>
        <v>98.818846361449317</v>
      </c>
      <c r="K20" s="18">
        <f t="shared" si="16"/>
        <v>97.186150682637802</v>
      </c>
      <c r="L20" s="18">
        <f t="shared" si="16"/>
        <v>94.008208763924642</v>
      </c>
      <c r="M20" s="18">
        <f t="shared" si="16"/>
        <v>88.050726956067635</v>
      </c>
      <c r="N20" s="18">
        <f t="shared" si="16"/>
        <v>84.26011526501479</v>
      </c>
      <c r="O20" s="18">
        <f t="shared" si="16"/>
        <v>84.320407224516302</v>
      </c>
      <c r="P20" s="18">
        <f t="shared" si="16"/>
        <v>83.463582308687165</v>
      </c>
      <c r="Q20" s="18">
        <f t="shared" si="16"/>
        <v>83.123185551836116</v>
      </c>
      <c r="R20" s="18">
        <f t="shared" si="16"/>
        <v>82.339979924533395</v>
      </c>
      <c r="S20" s="18">
        <f t="shared" si="16"/>
        <v>82.169965088323181</v>
      </c>
      <c r="T20" s="18">
        <f t="shared" si="16"/>
        <v>81.360523131733132</v>
      </c>
      <c r="U20" s="18">
        <f t="shared" si="16"/>
        <v>79.849690032523</v>
      </c>
      <c r="V20" s="18">
        <f t="shared" si="16"/>
        <v>78.338856933312883</v>
      </c>
      <c r="W20" s="18">
        <f t="shared" si="16"/>
        <v>76.828023834102765</v>
      </c>
      <c r="X20" s="18">
        <f t="shared" si="16"/>
        <v>74.501386929053979</v>
      </c>
      <c r="Y20" s="18">
        <f t="shared" si="16"/>
        <v>72.174750024005178</v>
      </c>
      <c r="Z20" s="18">
        <f t="shared" si="16"/>
        <v>69.848113118956377</v>
      </c>
      <c r="AA20" s="18">
        <f t="shared" si="16"/>
        <v>67.521476213907604</v>
      </c>
      <c r="AB20" s="18">
        <f t="shared" si="16"/>
        <v>65.194839308858803</v>
      </c>
      <c r="AC20" s="18">
        <f t="shared" si="16"/>
        <v>61.646264201611295</v>
      </c>
      <c r="AD20" s="18">
        <f t="shared" si="16"/>
        <v>58.097689094363737</v>
      </c>
      <c r="AE20" s="18">
        <f t="shared" si="16"/>
        <v>54.549113987116236</v>
      </c>
      <c r="AF20" s="18">
        <f t="shared" si="16"/>
        <v>51.000538879868706</v>
      </c>
      <c r="AG20" s="18">
        <f t="shared" si="16"/>
        <v>47.451963772621191</v>
      </c>
      <c r="AH20" s="18"/>
      <c r="AI20" s="18"/>
      <c r="AJ20" s="18"/>
      <c r="AK20" s="18"/>
      <c r="AL20" s="18"/>
      <c r="AM20" s="18"/>
      <c r="AN20" s="18"/>
    </row>
    <row r="21" spans="1:40" x14ac:dyDescent="0.25">
      <c r="A21" s="3" t="s">
        <v>183</v>
      </c>
      <c r="B21" s="18">
        <f t="shared" ref="B21:AG21" si="17">IF($B$1="Reference",B57,B95)</f>
        <v>97.820469381023031</v>
      </c>
      <c r="C21" s="18">
        <f t="shared" si="17"/>
        <v>73.913313960824297</v>
      </c>
      <c r="D21" s="18">
        <f t="shared" si="17"/>
        <v>78.208779943297827</v>
      </c>
      <c r="E21" s="18">
        <f t="shared" si="17"/>
        <v>82.091230889675288</v>
      </c>
      <c r="F21" s="18">
        <f t="shared" si="17"/>
        <v>86.023811694050792</v>
      </c>
      <c r="G21" s="18">
        <f t="shared" si="17"/>
        <v>89.978949716772135</v>
      </c>
      <c r="H21" s="18">
        <f t="shared" si="17"/>
        <v>93.988702547084102</v>
      </c>
      <c r="I21" s="18">
        <f t="shared" si="17"/>
        <v>94.601623278396204</v>
      </c>
      <c r="J21" s="18">
        <f t="shared" si="17"/>
        <v>95.09998757959282</v>
      </c>
      <c r="K21" s="18">
        <f t="shared" si="17"/>
        <v>96.031590322465647</v>
      </c>
      <c r="L21" s="18">
        <f t="shared" si="17"/>
        <v>96.65880709725171</v>
      </c>
      <c r="M21" s="18">
        <f t="shared" si="17"/>
        <v>97.211830092779181</v>
      </c>
      <c r="N21" s="18">
        <f t="shared" si="17"/>
        <v>99.244171901557323</v>
      </c>
      <c r="O21" s="18">
        <f t="shared" si="17"/>
        <v>101.30255439640715</v>
      </c>
      <c r="P21" s="18">
        <f t="shared" si="17"/>
        <v>103.38655369687415</v>
      </c>
      <c r="Q21" s="18">
        <f t="shared" si="17"/>
        <v>105.51922474088373</v>
      </c>
      <c r="R21" s="18">
        <f t="shared" si="17"/>
        <v>107.743033995549</v>
      </c>
      <c r="S21" s="18">
        <f t="shared" si="17"/>
        <v>109.94904815191776</v>
      </c>
      <c r="T21" s="18">
        <f t="shared" si="17"/>
        <v>112.15426021701674</v>
      </c>
      <c r="U21" s="18">
        <f t="shared" si="17"/>
        <v>114.29676564526724</v>
      </c>
      <c r="V21" s="18">
        <f t="shared" si="17"/>
        <v>116.38737183924765</v>
      </c>
      <c r="W21" s="18">
        <f t="shared" si="17"/>
        <v>118.53121289018895</v>
      </c>
      <c r="X21" s="18">
        <f t="shared" si="17"/>
        <v>141.07977324214679</v>
      </c>
      <c r="Y21" s="18">
        <f t="shared" si="17"/>
        <v>164.01261184755623</v>
      </c>
      <c r="Z21" s="18">
        <f t="shared" si="17"/>
        <v>187.26180622264692</v>
      </c>
      <c r="AA21" s="18">
        <f t="shared" si="17"/>
        <v>210.60558500127854</v>
      </c>
      <c r="AB21" s="18">
        <f t="shared" si="17"/>
        <v>233.99421131493708</v>
      </c>
      <c r="AC21" s="18">
        <f t="shared" si="17"/>
        <v>257.52657000569343</v>
      </c>
      <c r="AD21" s="18">
        <f t="shared" si="17"/>
        <v>281.14634284844976</v>
      </c>
      <c r="AE21" s="18">
        <f t="shared" si="17"/>
        <v>304.80901237165909</v>
      </c>
      <c r="AF21" s="18">
        <f t="shared" si="17"/>
        <v>328.55638361029145</v>
      </c>
      <c r="AG21" s="18">
        <f t="shared" si="17"/>
        <v>352.35921930526433</v>
      </c>
      <c r="AH21" s="18"/>
      <c r="AI21" s="18"/>
      <c r="AJ21" s="18"/>
      <c r="AK21" s="18"/>
      <c r="AL21" s="18"/>
      <c r="AM21" s="18"/>
      <c r="AN21" s="18"/>
    </row>
    <row r="22" spans="1:40" x14ac:dyDescent="0.25">
      <c r="A22" s="3" t="s">
        <v>184</v>
      </c>
      <c r="B22" s="18">
        <f t="shared" ref="B22:AG22" si="18">IF($B$1="Reference",B58,B96)</f>
        <v>2.4857265311423458</v>
      </c>
      <c r="C22" s="18">
        <f t="shared" si="18"/>
        <v>2.3216577605390492</v>
      </c>
      <c r="D22" s="18">
        <f t="shared" si="18"/>
        <v>2.3513355033208501</v>
      </c>
      <c r="E22" s="18">
        <f t="shared" si="18"/>
        <v>2.392366171014471</v>
      </c>
      <c r="F22" s="18">
        <f t="shared" si="18"/>
        <v>2.4009523026687525</v>
      </c>
      <c r="G22" s="18">
        <f t="shared" si="18"/>
        <v>2.4109595790844467</v>
      </c>
      <c r="H22" s="18">
        <f t="shared" si="18"/>
        <v>2.4202688263210699</v>
      </c>
      <c r="I22" s="18">
        <f t="shared" si="18"/>
        <v>2.4478947713248296</v>
      </c>
      <c r="J22" s="18">
        <f t="shared" si="18"/>
        <v>2.4726873349956495</v>
      </c>
      <c r="K22" s="18">
        <f t="shared" si="18"/>
        <v>2.4678605054639964</v>
      </c>
      <c r="L22" s="18">
        <f t="shared" si="18"/>
        <v>2.4761066261029905</v>
      </c>
      <c r="M22" s="18">
        <f t="shared" si="18"/>
        <v>2.5115838844657694</v>
      </c>
      <c r="N22" s="18">
        <f t="shared" si="18"/>
        <v>2.5537620220900612</v>
      </c>
      <c r="O22" s="18">
        <f t="shared" si="18"/>
        <v>2.5971746891630745</v>
      </c>
      <c r="P22" s="18">
        <f t="shared" si="18"/>
        <v>2.6441728435753356</v>
      </c>
      <c r="Q22" s="18">
        <f t="shared" si="18"/>
        <v>2.6987598328434066</v>
      </c>
      <c r="R22" s="18">
        <f t="shared" si="18"/>
        <v>2.7615519314400618</v>
      </c>
      <c r="S22" s="18">
        <f t="shared" si="18"/>
        <v>2.827499628184281</v>
      </c>
      <c r="T22" s="18">
        <f t="shared" si="18"/>
        <v>2.8946947555630618</v>
      </c>
      <c r="U22" s="18">
        <f t="shared" si="18"/>
        <v>2.9631703424198053</v>
      </c>
      <c r="V22" s="18">
        <f t="shared" si="18"/>
        <v>3.0415530903637489</v>
      </c>
      <c r="W22" s="18">
        <f t="shared" si="18"/>
        <v>3.1000799151416327</v>
      </c>
      <c r="X22" s="18">
        <f t="shared" si="18"/>
        <v>3.1092960059756716</v>
      </c>
      <c r="Y22" s="18">
        <f t="shared" si="18"/>
        <v>3.1377293344716168</v>
      </c>
      <c r="Z22" s="18">
        <f t="shared" si="18"/>
        <v>3.1910947960365301</v>
      </c>
      <c r="AA22" s="18">
        <f t="shared" si="18"/>
        <v>3.2568471137393558</v>
      </c>
      <c r="AB22" s="18">
        <f t="shared" si="18"/>
        <v>3.3294270599378994</v>
      </c>
      <c r="AC22" s="18">
        <f t="shared" si="18"/>
        <v>3.3182477195223767</v>
      </c>
      <c r="AD22" s="18">
        <f t="shared" si="18"/>
        <v>3.3106306911698304</v>
      </c>
      <c r="AE22" s="18">
        <f t="shared" si="18"/>
        <v>3.3144033825174981</v>
      </c>
      <c r="AF22" s="18">
        <f t="shared" si="18"/>
        <v>3.3350870591101076</v>
      </c>
      <c r="AG22" s="18">
        <f t="shared" si="18"/>
        <v>3.3703664657154717</v>
      </c>
      <c r="AH22" s="18"/>
      <c r="AI22" s="18"/>
      <c r="AJ22" s="18"/>
      <c r="AK22" s="18"/>
      <c r="AL22" s="18"/>
      <c r="AM22" s="18"/>
      <c r="AN22" s="18"/>
    </row>
    <row r="23" spans="1:40" x14ac:dyDescent="0.25">
      <c r="A23" s="3" t="s">
        <v>188</v>
      </c>
      <c r="B23" s="18">
        <f t="shared" ref="B23:AG23" si="19">IF($B$1="Reference",B59,B99)</f>
        <v>0.28999999999999998</v>
      </c>
      <c r="C23" s="18">
        <f t="shared" si="19"/>
        <v>0.28999999999999998</v>
      </c>
      <c r="D23" s="18">
        <f t="shared" si="19"/>
        <v>0.28951354624338443</v>
      </c>
      <c r="E23" s="18">
        <f t="shared" si="19"/>
        <v>0.28938201099307848</v>
      </c>
      <c r="F23" s="18">
        <f t="shared" si="19"/>
        <v>0.28938201099307853</v>
      </c>
      <c r="G23" s="18">
        <f t="shared" si="19"/>
        <v>0.2893820109930787</v>
      </c>
      <c r="H23" s="18">
        <f t="shared" si="19"/>
        <v>0.2893820109930787</v>
      </c>
      <c r="I23" s="18">
        <f t="shared" si="19"/>
        <v>0.2893820109930787</v>
      </c>
      <c r="J23" s="18">
        <f t="shared" si="19"/>
        <v>0.2893738786806343</v>
      </c>
      <c r="K23" s="18">
        <f t="shared" si="19"/>
        <v>0.28937387868063436</v>
      </c>
      <c r="L23" s="18">
        <f t="shared" si="19"/>
        <v>0.2893738786806343</v>
      </c>
      <c r="M23" s="18">
        <f t="shared" si="19"/>
        <v>0.28937387868063424</v>
      </c>
      <c r="N23" s="18">
        <f t="shared" si="19"/>
        <v>0.2893738786806343</v>
      </c>
      <c r="O23" s="18">
        <f t="shared" si="19"/>
        <v>0.28937387868063419</v>
      </c>
      <c r="P23" s="18">
        <f t="shared" si="19"/>
        <v>0.28937387868063413</v>
      </c>
      <c r="Q23" s="18">
        <f t="shared" si="19"/>
        <v>0.28937387868063408</v>
      </c>
      <c r="R23" s="18">
        <f t="shared" si="19"/>
        <v>0.28937387868063402</v>
      </c>
      <c r="S23" s="18">
        <f t="shared" si="19"/>
        <v>0.28937387868063408</v>
      </c>
      <c r="T23" s="18">
        <f t="shared" si="19"/>
        <v>0.28937387868063391</v>
      </c>
      <c r="U23" s="18">
        <f t="shared" si="19"/>
        <v>7.0056503058473751</v>
      </c>
      <c r="V23" s="18">
        <f t="shared" si="19"/>
        <v>14.011300611694748</v>
      </c>
      <c r="W23" s="18">
        <f t="shared" si="19"/>
        <v>21.016950917542118</v>
      </c>
      <c r="X23" s="18">
        <f t="shared" si="19"/>
        <v>23.827870240243875</v>
      </c>
      <c r="Y23" s="18">
        <f t="shared" si="19"/>
        <v>26.638789562945625</v>
      </c>
      <c r="Z23" s="18">
        <f t="shared" si="19"/>
        <v>29.449708885647372</v>
      </c>
      <c r="AA23" s="18">
        <f t="shared" si="19"/>
        <v>32.260628208349125</v>
      </c>
      <c r="AB23" s="18">
        <f t="shared" si="19"/>
        <v>35.071547531050882</v>
      </c>
      <c r="AC23" s="18">
        <f t="shared" si="19"/>
        <v>34.492007047839728</v>
      </c>
      <c r="AD23" s="18">
        <f t="shared" si="19"/>
        <v>33.912466564628545</v>
      </c>
      <c r="AE23" s="18">
        <f t="shared" si="19"/>
        <v>33.332926081417384</v>
      </c>
      <c r="AF23" s="18">
        <f t="shared" si="19"/>
        <v>32.753385598206215</v>
      </c>
      <c r="AG23" s="18">
        <f t="shared" si="19"/>
        <v>32.173845114995046</v>
      </c>
      <c r="AH23" s="18"/>
      <c r="AI23" s="18"/>
      <c r="AJ23" s="18"/>
      <c r="AK23" s="18"/>
      <c r="AL23" s="18"/>
      <c r="AM23" s="18"/>
      <c r="AN23" s="18"/>
    </row>
    <row r="24" spans="1:40" x14ac:dyDescent="0.25">
      <c r="A24" s="3" t="s">
        <v>189</v>
      </c>
      <c r="B24" s="18">
        <f t="shared" ref="B24:AG24" si="20">IF($B$1="Reference",B60,B100)</f>
        <v>7.8476290328821835E-2</v>
      </c>
      <c r="C24" s="18">
        <f t="shared" si="20"/>
        <v>7.8476290328821835E-2</v>
      </c>
      <c r="D24" s="18">
        <f t="shared" si="20"/>
        <v>7.8344652100422865E-2</v>
      </c>
      <c r="E24" s="18">
        <f t="shared" si="20"/>
        <v>7.8309057622866024E-2</v>
      </c>
      <c r="F24" s="18">
        <f t="shared" si="20"/>
        <v>7.8309057622866052E-2</v>
      </c>
      <c r="G24" s="18">
        <f t="shared" si="20"/>
        <v>7.8309057622866093E-2</v>
      </c>
      <c r="H24" s="18">
        <f t="shared" si="20"/>
        <v>7.8309057622866107E-2</v>
      </c>
      <c r="I24" s="18">
        <f t="shared" si="20"/>
        <v>7.8309057622866107E-2</v>
      </c>
      <c r="J24" s="18">
        <f t="shared" si="20"/>
        <v>7.8306856954892201E-2</v>
      </c>
      <c r="K24" s="18">
        <f t="shared" si="20"/>
        <v>7.8306856954892243E-2</v>
      </c>
      <c r="L24" s="18">
        <f t="shared" si="20"/>
        <v>7.8306856954892215E-2</v>
      </c>
      <c r="M24" s="18">
        <f t="shared" si="20"/>
        <v>7.8306856954892215E-2</v>
      </c>
      <c r="N24" s="18">
        <f t="shared" si="20"/>
        <v>7.8306856954892243E-2</v>
      </c>
      <c r="O24" s="18">
        <f t="shared" si="20"/>
        <v>7.8306856954892215E-2</v>
      </c>
      <c r="P24" s="18">
        <f t="shared" si="20"/>
        <v>7.8306856954892201E-2</v>
      </c>
      <c r="Q24" s="18">
        <f t="shared" si="20"/>
        <v>7.8306856954892187E-2</v>
      </c>
      <c r="R24" s="18">
        <f t="shared" si="20"/>
        <v>7.8306856954892159E-2</v>
      </c>
      <c r="S24" s="18">
        <f t="shared" si="20"/>
        <v>7.8306856954892187E-2</v>
      </c>
      <c r="T24" s="18">
        <f t="shared" si="20"/>
        <v>7.8306856954892146E-2</v>
      </c>
      <c r="U24" s="18">
        <f t="shared" si="20"/>
        <v>7.8306856954892146E-2</v>
      </c>
      <c r="V24" s="18">
        <f t="shared" si="20"/>
        <v>2.3901477629112673</v>
      </c>
      <c r="W24" s="18">
        <f t="shared" si="20"/>
        <v>2.3901477629112668</v>
      </c>
      <c r="X24" s="18">
        <f t="shared" si="20"/>
        <v>2.3901477629112668</v>
      </c>
      <c r="Y24" s="18">
        <f t="shared" si="20"/>
        <v>2.390147762911266</v>
      </c>
      <c r="Z24" s="18">
        <f t="shared" si="20"/>
        <v>1.612673706389012</v>
      </c>
      <c r="AA24" s="18">
        <f t="shared" si="20"/>
        <v>1.6126737063890118</v>
      </c>
      <c r="AB24" s="18">
        <f t="shared" si="20"/>
        <v>1.6126737063890113</v>
      </c>
      <c r="AC24" s="18">
        <f t="shared" si="20"/>
        <v>1.6126737063890118</v>
      </c>
      <c r="AD24" s="18">
        <f t="shared" si="20"/>
        <v>1.6126737063890111</v>
      </c>
      <c r="AE24" s="18">
        <f t="shared" si="20"/>
        <v>1.2908640373764781</v>
      </c>
      <c r="AF24" s="18">
        <f t="shared" si="20"/>
        <v>1.2908640373764779</v>
      </c>
      <c r="AG24" s="18">
        <f t="shared" si="20"/>
        <v>1.2908640373764777</v>
      </c>
      <c r="AH24" s="18"/>
      <c r="AI24" s="18"/>
      <c r="AJ24" s="18"/>
      <c r="AK24" s="18"/>
      <c r="AL24" s="18"/>
      <c r="AM24" s="18"/>
      <c r="AN24" s="18"/>
    </row>
    <row r="26" spans="1:40" ht="18" thickBot="1" x14ac:dyDescent="0.35">
      <c r="A26" s="4" t="s">
        <v>68</v>
      </c>
      <c r="B26" s="4"/>
      <c r="C26" s="4"/>
      <c r="D26" s="4"/>
      <c r="E26" s="4"/>
      <c r="F26" s="4"/>
      <c r="G26" s="4"/>
      <c r="H26" s="4"/>
    </row>
    <row r="27" spans="1:40" ht="15.75" thickTop="1" x14ac:dyDescent="0.25">
      <c r="B27" s="3">
        <v>2019</v>
      </c>
      <c r="C27" s="3">
        <v>2020</v>
      </c>
      <c r="D27" s="3">
        <v>2021</v>
      </c>
      <c r="E27" s="3">
        <v>2022</v>
      </c>
      <c r="F27" s="3">
        <v>2023</v>
      </c>
      <c r="G27" s="3">
        <v>2024</v>
      </c>
      <c r="H27" s="3">
        <v>2025</v>
      </c>
      <c r="I27" s="3">
        <v>2026</v>
      </c>
      <c r="J27" s="3">
        <v>2027</v>
      </c>
      <c r="K27" s="3">
        <v>2028</v>
      </c>
      <c r="L27" s="3">
        <v>2029</v>
      </c>
      <c r="M27" s="3">
        <v>2030</v>
      </c>
      <c r="N27" s="3">
        <v>2031</v>
      </c>
      <c r="O27" s="3">
        <v>2032</v>
      </c>
      <c r="P27" s="3">
        <v>2033</v>
      </c>
      <c r="Q27" s="3">
        <v>2034</v>
      </c>
      <c r="R27" s="3">
        <v>2035</v>
      </c>
      <c r="S27" s="3">
        <v>2036</v>
      </c>
      <c r="T27" s="3">
        <v>2037</v>
      </c>
      <c r="U27" s="3">
        <v>2038</v>
      </c>
      <c r="V27">
        <v>2039</v>
      </c>
      <c r="W27">
        <v>2040</v>
      </c>
      <c r="X27">
        <v>2041</v>
      </c>
      <c r="Y27">
        <v>2042</v>
      </c>
      <c r="Z27">
        <v>2043</v>
      </c>
      <c r="AA27">
        <v>2044</v>
      </c>
      <c r="AB27">
        <v>2045</v>
      </c>
      <c r="AC27">
        <v>2046</v>
      </c>
      <c r="AD27">
        <v>2047</v>
      </c>
      <c r="AE27">
        <v>2048</v>
      </c>
      <c r="AF27">
        <v>2049</v>
      </c>
      <c r="AG27">
        <v>2050</v>
      </c>
    </row>
    <row r="28" spans="1:40" x14ac:dyDescent="0.25">
      <c r="A28" s="3" t="s">
        <v>54</v>
      </c>
      <c r="B28" s="18">
        <f t="shared" ref="B28:K30" si="21">IF($B$1="Reference",B64,I102)</f>
        <v>0.5</v>
      </c>
      <c r="C28" s="18">
        <f t="shared" si="21"/>
        <v>0.52104177528081141</v>
      </c>
      <c r="D28" s="18">
        <f t="shared" si="21"/>
        <v>0.51652112605848799</v>
      </c>
      <c r="E28" s="18">
        <f t="shared" si="21"/>
        <v>0.49685833553094555</v>
      </c>
      <c r="F28" s="18">
        <f t="shared" si="21"/>
        <v>0.49205552970545141</v>
      </c>
      <c r="G28" s="18">
        <f t="shared" si="21"/>
        <v>0.49035234378915604</v>
      </c>
      <c r="H28" s="18">
        <f t="shared" si="21"/>
        <v>0.49083832005169392</v>
      </c>
      <c r="I28" s="18">
        <f t="shared" si="21"/>
        <v>0.4952004232650718</v>
      </c>
      <c r="J28" s="18">
        <f t="shared" si="21"/>
        <v>0.49256431550401025</v>
      </c>
      <c r="K28" s="18">
        <f t="shared" si="21"/>
        <v>0.48002313412283315</v>
      </c>
      <c r="L28" s="18">
        <f t="shared" ref="L28:U30" si="22">IF($B$1="Reference",L64,S102)</f>
        <v>0.46826578079747994</v>
      </c>
      <c r="M28" s="18">
        <f t="shared" si="22"/>
        <v>0.45810393798337951</v>
      </c>
      <c r="N28" s="18">
        <f t="shared" si="22"/>
        <v>0.44627519319958753</v>
      </c>
      <c r="O28" s="18">
        <f t="shared" si="22"/>
        <v>0.43431727923964247</v>
      </c>
      <c r="P28" s="18">
        <f t="shared" si="22"/>
        <v>0.42271991525881314</v>
      </c>
      <c r="Q28" s="18">
        <f t="shared" si="22"/>
        <v>0.41048274907165483</v>
      </c>
      <c r="R28" s="18">
        <f t="shared" si="22"/>
        <v>0.39793841431275584</v>
      </c>
      <c r="S28" s="18">
        <f t="shared" si="22"/>
        <v>0.38563378911858098</v>
      </c>
      <c r="T28" s="18">
        <f t="shared" si="22"/>
        <v>0.37296331760655599</v>
      </c>
      <c r="U28" s="18">
        <f t="shared" si="22"/>
        <v>0.36152663218630521</v>
      </c>
      <c r="V28" s="18">
        <f t="shared" ref="V28:AE30" si="23">IF($B$1="Reference",V64,AC102)</f>
        <v>0.35116931087947051</v>
      </c>
      <c r="W28" s="18">
        <f t="shared" si="23"/>
        <v>0.34151816916742883</v>
      </c>
      <c r="X28" s="18">
        <f t="shared" si="23"/>
        <v>0.33220959329403427</v>
      </c>
      <c r="Y28" s="18">
        <f t="shared" si="23"/>
        <v>0.32300453891064079</v>
      </c>
      <c r="Z28" s="18">
        <f t="shared" si="23"/>
        <v>0.31410018050094252</v>
      </c>
      <c r="AA28" s="18">
        <f t="shared" si="23"/>
        <v>0.30514862735882758</v>
      </c>
      <c r="AB28" s="18">
        <f t="shared" si="23"/>
        <v>0.29617986322436329</v>
      </c>
      <c r="AC28" s="18">
        <f t="shared" si="23"/>
        <v>0.28707693321702105</v>
      </c>
      <c r="AD28" s="18">
        <f t="shared" si="23"/>
        <v>0.27787854459994743</v>
      </c>
      <c r="AE28" s="18">
        <f t="shared" si="23"/>
        <v>0.26858750285367139</v>
      </c>
      <c r="AF28" s="18">
        <f t="shared" ref="AF28:AG30" si="24">IF($B$1="Reference",AF64,AM102)</f>
        <v>0.25918027681428457</v>
      </c>
      <c r="AG28" s="18">
        <f t="shared" si="24"/>
        <v>0.24971992653481059</v>
      </c>
    </row>
    <row r="29" spans="1:40" x14ac:dyDescent="0.25">
      <c r="A29" s="3" t="s">
        <v>55</v>
      </c>
      <c r="B29" s="18">
        <f t="shared" si="21"/>
        <v>0.3</v>
      </c>
      <c r="C29" s="18">
        <f t="shared" si="21"/>
        <v>0.27895822471918863</v>
      </c>
      <c r="D29" s="18">
        <f t="shared" si="21"/>
        <v>0.283478873941512</v>
      </c>
      <c r="E29" s="18">
        <f t="shared" si="21"/>
        <v>0.30002404137584904</v>
      </c>
      <c r="F29" s="18">
        <f t="shared" si="21"/>
        <v>0.30412470430787908</v>
      </c>
      <c r="G29" s="18">
        <f t="shared" si="21"/>
        <v>0.30513934265941839</v>
      </c>
      <c r="H29" s="18">
        <f t="shared" si="21"/>
        <v>0.30710761450601287</v>
      </c>
      <c r="I29" s="18">
        <f t="shared" si="21"/>
        <v>0.30479957673492813</v>
      </c>
      <c r="J29" s="18">
        <f t="shared" si="21"/>
        <v>0.30544822418152656</v>
      </c>
      <c r="K29" s="18">
        <f t="shared" si="21"/>
        <v>0.30827266741267056</v>
      </c>
      <c r="L29" s="18">
        <f t="shared" si="22"/>
        <v>0.31242033342183484</v>
      </c>
      <c r="M29" s="18">
        <f t="shared" si="22"/>
        <v>0.31447630621700667</v>
      </c>
      <c r="N29" s="18">
        <f t="shared" si="22"/>
        <v>0.3169321621042327</v>
      </c>
      <c r="O29" s="18">
        <f t="shared" si="22"/>
        <v>0.32000111254245933</v>
      </c>
      <c r="P29" s="18">
        <f t="shared" si="22"/>
        <v>0.32269063700704304</v>
      </c>
      <c r="Q29" s="18">
        <f t="shared" si="22"/>
        <v>0.32518991801505592</v>
      </c>
      <c r="R29" s="18">
        <f t="shared" si="22"/>
        <v>0.32806027064566307</v>
      </c>
      <c r="S29" s="18">
        <f t="shared" si="22"/>
        <v>0.33067425579387039</v>
      </c>
      <c r="T29" s="18">
        <f t="shared" si="22"/>
        <v>0.33333592313235927</v>
      </c>
      <c r="U29" s="18">
        <f t="shared" si="22"/>
        <v>0.33669579925543452</v>
      </c>
      <c r="V29" s="18">
        <f t="shared" si="23"/>
        <v>0.33914094587093702</v>
      </c>
      <c r="W29" s="18">
        <f t="shared" si="23"/>
        <v>0.34185052107198538</v>
      </c>
      <c r="X29" s="18">
        <f t="shared" si="23"/>
        <v>0.34397007037311744</v>
      </c>
      <c r="Y29" s="18">
        <f t="shared" si="23"/>
        <v>0.34637551814957229</v>
      </c>
      <c r="Z29" s="18">
        <f t="shared" si="23"/>
        <v>0.34836744746323578</v>
      </c>
      <c r="AA29" s="18">
        <f t="shared" si="23"/>
        <v>0.3502761777754072</v>
      </c>
      <c r="AB29" s="18">
        <f t="shared" si="23"/>
        <v>0.35215462423859001</v>
      </c>
      <c r="AC29" s="18">
        <f t="shared" si="23"/>
        <v>0.35392042172346466</v>
      </c>
      <c r="AD29" s="18">
        <f t="shared" si="23"/>
        <v>0.35557589059150185</v>
      </c>
      <c r="AE29" s="18">
        <f t="shared" si="23"/>
        <v>0.35727041532442155</v>
      </c>
      <c r="AF29" s="18">
        <f t="shared" si="24"/>
        <v>0.35889605662930896</v>
      </c>
      <c r="AG29" s="18">
        <f t="shared" si="24"/>
        <v>0.36059008808829385</v>
      </c>
    </row>
    <row r="30" spans="1:40" x14ac:dyDescent="0.25">
      <c r="A30" s="3" t="s">
        <v>56</v>
      </c>
      <c r="B30" s="18">
        <f t="shared" si="21"/>
        <v>0.2</v>
      </c>
      <c r="C30" s="18">
        <f t="shared" si="21"/>
        <v>0.2</v>
      </c>
      <c r="D30" s="18">
        <f t="shared" si="21"/>
        <v>0.19999999999999998</v>
      </c>
      <c r="E30" s="18">
        <f t="shared" si="21"/>
        <v>0.20311762309320541</v>
      </c>
      <c r="F30" s="18">
        <f t="shared" si="21"/>
        <v>0.20381976598666948</v>
      </c>
      <c r="G30" s="18">
        <f t="shared" si="21"/>
        <v>0.20450831355142557</v>
      </c>
      <c r="H30" s="18">
        <f t="shared" si="21"/>
        <v>0.20205406544229332</v>
      </c>
      <c r="I30" s="18">
        <f t="shared" si="21"/>
        <v>0.19999999999999998</v>
      </c>
      <c r="J30" s="18">
        <f t="shared" si="21"/>
        <v>0.20198746031446319</v>
      </c>
      <c r="K30" s="18">
        <f t="shared" si="21"/>
        <v>0.21170419846449634</v>
      </c>
      <c r="L30" s="18">
        <f t="shared" si="22"/>
        <v>0.21931388578068517</v>
      </c>
      <c r="M30" s="18">
        <f t="shared" si="22"/>
        <v>0.22741975579961379</v>
      </c>
      <c r="N30" s="18">
        <f t="shared" si="22"/>
        <v>0.23679264469617972</v>
      </c>
      <c r="O30" s="18">
        <f t="shared" si="22"/>
        <v>0.2456816082178982</v>
      </c>
      <c r="P30" s="18">
        <f t="shared" si="22"/>
        <v>0.25458944773414383</v>
      </c>
      <c r="Q30" s="18">
        <f t="shared" si="22"/>
        <v>0.26432733291328919</v>
      </c>
      <c r="R30" s="18">
        <f t="shared" si="22"/>
        <v>0.27400131504158109</v>
      </c>
      <c r="S30" s="18">
        <f t="shared" si="22"/>
        <v>0.28369195508754852</v>
      </c>
      <c r="T30" s="18">
        <f t="shared" si="22"/>
        <v>0.2937007592610848</v>
      </c>
      <c r="U30" s="18">
        <f t="shared" si="22"/>
        <v>0.30177756855826032</v>
      </c>
      <c r="V30" s="18">
        <f t="shared" si="23"/>
        <v>0.30968974324959242</v>
      </c>
      <c r="W30" s="18">
        <f t="shared" si="23"/>
        <v>0.31663130976058579</v>
      </c>
      <c r="X30" s="18">
        <f t="shared" si="23"/>
        <v>0.32382033633284829</v>
      </c>
      <c r="Y30" s="18">
        <f t="shared" si="23"/>
        <v>0.33061994293978691</v>
      </c>
      <c r="Z30" s="18">
        <f t="shared" si="23"/>
        <v>0.3375323720358217</v>
      </c>
      <c r="AA30" s="18">
        <f t="shared" si="23"/>
        <v>0.3445751948657651</v>
      </c>
      <c r="AB30" s="18">
        <f t="shared" si="23"/>
        <v>0.35166551253704664</v>
      </c>
      <c r="AC30" s="18">
        <f t="shared" si="23"/>
        <v>0.35900264505951418</v>
      </c>
      <c r="AD30" s="18">
        <f t="shared" si="23"/>
        <v>0.36654556480855072</v>
      </c>
      <c r="AE30" s="18">
        <f t="shared" si="23"/>
        <v>0.37414208182190711</v>
      </c>
      <c r="AF30" s="18">
        <f t="shared" si="24"/>
        <v>0.38192366655640653</v>
      </c>
      <c r="AG30" s="18">
        <f t="shared" si="24"/>
        <v>0.38968998537689553</v>
      </c>
    </row>
    <row r="31" spans="1:40" x14ac:dyDescent="0.25">
      <c r="A31" s="3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3" spans="1:40" ht="18" thickBot="1" x14ac:dyDescent="0.35">
      <c r="A33" s="4" t="s">
        <v>69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0" x14ac:dyDescent="0.25">
      <c r="A35" s="18">
        <f>IF($B$1="Reference",A71,H109)</f>
        <v>0.3670146459012677</v>
      </c>
      <c r="B35" s="18">
        <f t="shared" ref="B35:AF35" si="25">IF($B$1="Reference",B71,I109)</f>
        <v>0.33856823501224786</v>
      </c>
      <c r="C35" s="18">
        <f t="shared" si="25"/>
        <v>0.42255797132499368</v>
      </c>
      <c r="D35" s="18">
        <f t="shared" si="25"/>
        <v>0.42739295203893585</v>
      </c>
      <c r="E35" s="18">
        <f t="shared" si="25"/>
        <v>0.42629272057286832</v>
      </c>
      <c r="F35" s="18">
        <f t="shared" si="25"/>
        <v>0.42665159798166191</v>
      </c>
      <c r="G35" s="18">
        <f t="shared" si="25"/>
        <v>0.42276851647993174</v>
      </c>
      <c r="H35" s="18">
        <f t="shared" si="25"/>
        <v>0.41855766359980767</v>
      </c>
      <c r="I35" s="18">
        <f t="shared" si="25"/>
        <v>0.42334501402977476</v>
      </c>
      <c r="J35" s="18">
        <f t="shared" si="25"/>
        <v>0.43352601604953406</v>
      </c>
      <c r="K35" s="18">
        <f t="shared" si="25"/>
        <v>0.44062563363823765</v>
      </c>
      <c r="L35" s="18">
        <f t="shared" si="25"/>
        <v>0.45017242214028164</v>
      </c>
      <c r="M35" s="18">
        <f t="shared" si="25"/>
        <v>0.46166678197359839</v>
      </c>
      <c r="N35" s="18">
        <f t="shared" si="25"/>
        <v>0.47259722262437243</v>
      </c>
      <c r="O35" s="18">
        <f t="shared" si="25"/>
        <v>0.48432709592496836</v>
      </c>
      <c r="P35" s="18">
        <f t="shared" si="25"/>
        <v>0.49810139621869098</v>
      </c>
      <c r="Q35" s="18">
        <f t="shared" si="25"/>
        <v>0.51219632282960958</v>
      </c>
      <c r="R35" s="18">
        <f t="shared" si="25"/>
        <v>0.52751578225460893</v>
      </c>
      <c r="S35" s="18">
        <f t="shared" si="25"/>
        <v>0.54439121769101251</v>
      </c>
      <c r="T35" s="18">
        <f t="shared" si="25"/>
        <v>0.61417358251932652</v>
      </c>
      <c r="U35" s="18">
        <f t="shared" si="25"/>
        <v>0.63061005875574128</v>
      </c>
      <c r="V35" s="18">
        <f t="shared" si="25"/>
        <v>0.64516179920166183</v>
      </c>
      <c r="W35" s="18">
        <f t="shared" si="25"/>
        <v>0.66188475929885227</v>
      </c>
      <c r="X35" s="18">
        <f t="shared" si="25"/>
        <v>0.67766316717628683</v>
      </c>
      <c r="Y35" s="18">
        <f t="shared" si="25"/>
        <v>0.6947122212757284</v>
      </c>
      <c r="Z35" s="18">
        <f t="shared" si="25"/>
        <v>0.71309121800812003</v>
      </c>
      <c r="AA35" s="18">
        <f t="shared" si="25"/>
        <v>0.73268428510464945</v>
      </c>
      <c r="AB35" s="18">
        <f t="shared" si="25"/>
        <v>0.7542320543013229</v>
      </c>
      <c r="AC35" s="18">
        <f t="shared" si="25"/>
        <v>0.7779897857689454</v>
      </c>
      <c r="AD35" s="18">
        <f t="shared" si="25"/>
        <v>0.80349794080506487</v>
      </c>
      <c r="AE35" s="18">
        <f t="shared" si="25"/>
        <v>0.83164268387947504</v>
      </c>
      <c r="AF35" s="18">
        <f t="shared" si="25"/>
        <v>0.86168905809987639</v>
      </c>
    </row>
    <row r="37" spans="1:40" x14ac:dyDescent="0.25">
      <c r="F37" t="s">
        <v>175</v>
      </c>
    </row>
    <row r="38" spans="1:40" ht="18" thickBot="1" x14ac:dyDescent="0.35">
      <c r="A38" s="24" t="s">
        <v>142</v>
      </c>
      <c r="B38" s="24"/>
      <c r="C38" s="24"/>
      <c r="D38" s="2" t="s">
        <v>175</v>
      </c>
      <c r="F38" t="s">
        <v>176</v>
      </c>
    </row>
    <row r="39" spans="1:40" ht="15.75" thickTop="1" x14ac:dyDescent="0.25">
      <c r="B39">
        <v>2019</v>
      </c>
      <c r="C39">
        <v>2020</v>
      </c>
      <c r="D39">
        <v>2021</v>
      </c>
      <c r="E39">
        <v>2022</v>
      </c>
      <c r="F39">
        <v>2023</v>
      </c>
      <c r="G39">
        <v>2024</v>
      </c>
      <c r="H39">
        <v>2025</v>
      </c>
      <c r="I39">
        <v>2026</v>
      </c>
      <c r="J39">
        <v>2027</v>
      </c>
      <c r="K39">
        <v>2028</v>
      </c>
      <c r="L39">
        <v>2029</v>
      </c>
      <c r="M39">
        <v>2030</v>
      </c>
      <c r="N39">
        <v>2031</v>
      </c>
      <c r="O39">
        <v>2032</v>
      </c>
      <c r="P39">
        <v>2033</v>
      </c>
      <c r="Q39">
        <v>2034</v>
      </c>
      <c r="R39">
        <v>2035</v>
      </c>
      <c r="S39">
        <v>2036</v>
      </c>
      <c r="T39">
        <v>2037</v>
      </c>
      <c r="U39">
        <v>2038</v>
      </c>
      <c r="V39">
        <v>2039</v>
      </c>
      <c r="W39">
        <v>2040</v>
      </c>
      <c r="X39">
        <v>2041</v>
      </c>
      <c r="Y39">
        <v>2042</v>
      </c>
      <c r="Z39">
        <v>2043</v>
      </c>
      <c r="AA39">
        <v>2044</v>
      </c>
      <c r="AB39">
        <v>2045</v>
      </c>
      <c r="AC39">
        <v>2046</v>
      </c>
      <c r="AD39">
        <v>2047</v>
      </c>
      <c r="AE39">
        <v>2048</v>
      </c>
      <c r="AF39">
        <v>2049</v>
      </c>
      <c r="AG39">
        <v>2050</v>
      </c>
    </row>
    <row r="40" spans="1:40" x14ac:dyDescent="0.25">
      <c r="A40" s="3" t="s">
        <v>21</v>
      </c>
      <c r="B40">
        <v>2742.6992888923501</v>
      </c>
      <c r="C40">
        <v>2623.892630430013</v>
      </c>
      <c r="D40">
        <v>2713.0909549858625</v>
      </c>
      <c r="E40">
        <v>2802.21394205561</v>
      </c>
      <c r="F40">
        <v>2823.8763171447204</v>
      </c>
      <c r="G40">
        <v>2865.839763515025</v>
      </c>
      <c r="H40">
        <v>2903.5765502969043</v>
      </c>
      <c r="I40">
        <v>2949.6153150084137</v>
      </c>
      <c r="J40">
        <v>3001.6719500488425</v>
      </c>
      <c r="K40">
        <v>3072.4313263795839</v>
      </c>
      <c r="L40">
        <v>3148.1774393760693</v>
      </c>
      <c r="M40">
        <v>3239.0447618780399</v>
      </c>
      <c r="N40">
        <v>3342.4114996273343</v>
      </c>
      <c r="O40">
        <v>3450.0848198399458</v>
      </c>
      <c r="P40">
        <v>3566.2225931357234</v>
      </c>
      <c r="Q40">
        <v>3696.6545640464865</v>
      </c>
      <c r="R40">
        <v>3831.1547614879955</v>
      </c>
      <c r="S40">
        <v>3980.8300304213626</v>
      </c>
      <c r="T40">
        <v>4140.6801768937266</v>
      </c>
      <c r="U40">
        <v>4299.3385448416921</v>
      </c>
      <c r="V40">
        <v>4459.7399124601388</v>
      </c>
      <c r="W40">
        <v>4621.1993602487619</v>
      </c>
      <c r="X40">
        <v>4793.0276020669698</v>
      </c>
      <c r="Y40">
        <v>4959.7505853127068</v>
      </c>
      <c r="Z40">
        <v>5129.5317125086531</v>
      </c>
      <c r="AA40">
        <v>5308.2323817134811</v>
      </c>
      <c r="AB40">
        <v>5498.3524736868612</v>
      </c>
      <c r="AC40">
        <v>5699.9241069457121</v>
      </c>
      <c r="AD40">
        <v>5919.3237968615076</v>
      </c>
      <c r="AE40">
        <v>6154.1807199499617</v>
      </c>
      <c r="AF40">
        <v>6409.7360940906492</v>
      </c>
      <c r="AG40">
        <v>6683.3748805517698</v>
      </c>
      <c r="AH40" s="18"/>
      <c r="AI40" s="18"/>
      <c r="AJ40" s="18"/>
      <c r="AK40" s="18"/>
      <c r="AL40" s="18"/>
      <c r="AM40" s="18"/>
      <c r="AN40" s="18"/>
    </row>
    <row r="41" spans="1:40" x14ac:dyDescent="0.25">
      <c r="A41" s="3" t="s">
        <v>73</v>
      </c>
      <c r="B41">
        <v>102.77045496481313</v>
      </c>
      <c r="C41">
        <v>105.71698219013261</v>
      </c>
      <c r="D41">
        <v>114.1821084403482</v>
      </c>
      <c r="E41">
        <v>108.7750099366377</v>
      </c>
      <c r="F41">
        <v>106.71540830460093</v>
      </c>
      <c r="G41">
        <v>105.67844787815569</v>
      </c>
      <c r="H41">
        <v>107.43134129975681</v>
      </c>
      <c r="I41">
        <v>108.54476976700271</v>
      </c>
      <c r="J41">
        <v>109.94769520561633</v>
      </c>
      <c r="K41">
        <v>112.25077081245851</v>
      </c>
      <c r="L41">
        <v>114.69356298435909</v>
      </c>
      <c r="M41">
        <v>117.89535972773864</v>
      </c>
      <c r="N41">
        <v>121.15844978097707</v>
      </c>
      <c r="O41">
        <v>124.11861511306854</v>
      </c>
      <c r="P41">
        <v>127.09995826376888</v>
      </c>
      <c r="Q41">
        <v>130.39994063312241</v>
      </c>
      <c r="R41">
        <v>133.53741441429383</v>
      </c>
      <c r="S41">
        <v>136.99913677199982</v>
      </c>
      <c r="T41">
        <v>140.5523711747764</v>
      </c>
      <c r="U41">
        <v>143.82759086829512</v>
      </c>
      <c r="V41">
        <v>146.82661597480296</v>
      </c>
      <c r="W41">
        <v>149.89809145224035</v>
      </c>
      <c r="X41">
        <v>153.56547844367361</v>
      </c>
      <c r="Y41">
        <v>156.85087639842584</v>
      </c>
      <c r="Z41">
        <v>159.98382492128428</v>
      </c>
      <c r="AA41">
        <v>163.22142047312292</v>
      </c>
      <c r="AB41">
        <v>166.58866132989297</v>
      </c>
      <c r="AC41">
        <v>170.47356401398164</v>
      </c>
      <c r="AD41">
        <v>174.86444007100488</v>
      </c>
      <c r="AE41">
        <v>179.60818489040312</v>
      </c>
      <c r="AF41">
        <v>184.7427969348181</v>
      </c>
      <c r="AG41">
        <v>190.12630010948794</v>
      </c>
      <c r="AH41" s="18"/>
      <c r="AI41" s="18"/>
      <c r="AJ41" s="18"/>
      <c r="AK41" s="18"/>
      <c r="AL41" s="18"/>
      <c r="AM41" s="18"/>
      <c r="AN41" s="18"/>
    </row>
    <row r="42" spans="1:40" x14ac:dyDescent="0.25">
      <c r="A42" s="3" t="s">
        <v>23</v>
      </c>
      <c r="B42">
        <v>197.32396542856375</v>
      </c>
      <c r="C42">
        <v>183.81470141206364</v>
      </c>
      <c r="D42">
        <v>218.05530488443134</v>
      </c>
      <c r="E42">
        <v>192.39940186477057</v>
      </c>
      <c r="F42">
        <v>196.89179566772691</v>
      </c>
      <c r="G42">
        <v>198.22821319422218</v>
      </c>
      <c r="H42">
        <v>200.02260700961921</v>
      </c>
      <c r="I42">
        <v>204.43546991973164</v>
      </c>
      <c r="J42">
        <v>207.5651349980763</v>
      </c>
      <c r="K42">
        <v>210.4682981827435</v>
      </c>
      <c r="L42">
        <v>214.99340529196695</v>
      </c>
      <c r="M42">
        <v>219.43452426116801</v>
      </c>
      <c r="N42">
        <v>224.04714305710638</v>
      </c>
      <c r="O42">
        <v>228.62476549423491</v>
      </c>
      <c r="P42">
        <v>233.35385846020296</v>
      </c>
      <c r="Q42">
        <v>238.45331410159207</v>
      </c>
      <c r="R42">
        <v>243.04643497422327</v>
      </c>
      <c r="S42">
        <v>248.34231653736356</v>
      </c>
      <c r="T42">
        <v>253.57044333730585</v>
      </c>
      <c r="U42">
        <v>258.75460937761244</v>
      </c>
      <c r="V42">
        <v>262.98297713785223</v>
      </c>
      <c r="W42">
        <v>267.82850720424238</v>
      </c>
      <c r="X42">
        <v>273.27716231620269</v>
      </c>
      <c r="Y42">
        <v>277.5723173724503</v>
      </c>
      <c r="Z42">
        <v>281.42208300125822</v>
      </c>
      <c r="AA42">
        <v>285.39939720829489</v>
      </c>
      <c r="AB42">
        <v>289.72187597975818</v>
      </c>
      <c r="AC42">
        <v>295.23716628597259</v>
      </c>
      <c r="AD42">
        <v>301.46102082054131</v>
      </c>
      <c r="AE42">
        <v>308.32689376306001</v>
      </c>
      <c r="AF42">
        <v>315.93028962428264</v>
      </c>
      <c r="AG42">
        <v>324.20877615933455</v>
      </c>
      <c r="AH42" s="18"/>
      <c r="AI42" s="18"/>
      <c r="AJ42" s="18"/>
      <c r="AK42" s="18"/>
      <c r="AL42" s="18"/>
      <c r="AM42" s="18"/>
      <c r="AN42" s="18"/>
    </row>
    <row r="43" spans="1:40" x14ac:dyDescent="0.25">
      <c r="A43" s="3" t="s">
        <v>24</v>
      </c>
      <c r="B43">
        <v>155.19916098390058</v>
      </c>
      <c r="C43">
        <v>145.07481074537324</v>
      </c>
      <c r="D43">
        <v>153.77810225780283</v>
      </c>
      <c r="E43">
        <v>159.71214040717638</v>
      </c>
      <c r="F43">
        <v>162.65060543295681</v>
      </c>
      <c r="G43">
        <v>165.70026809424871</v>
      </c>
      <c r="H43">
        <v>165.83357320023401</v>
      </c>
      <c r="I43">
        <v>165.52718986779323</v>
      </c>
      <c r="J43">
        <v>167.3591499536447</v>
      </c>
      <c r="K43">
        <v>181.17017033752091</v>
      </c>
      <c r="L43">
        <v>186.48787416880157</v>
      </c>
      <c r="M43">
        <v>191.21685007653238</v>
      </c>
      <c r="N43">
        <v>196.58835154109735</v>
      </c>
      <c r="O43">
        <v>201.85077444419929</v>
      </c>
      <c r="P43">
        <v>207.31611855134787</v>
      </c>
      <c r="Q43">
        <v>213.33631951209929</v>
      </c>
      <c r="R43">
        <v>219.02825486074909</v>
      </c>
      <c r="S43">
        <v>225.55139328802949</v>
      </c>
      <c r="T43">
        <v>232.07400841523383</v>
      </c>
      <c r="U43">
        <v>238.11493701725396</v>
      </c>
      <c r="V43">
        <v>243.53727668345221</v>
      </c>
      <c r="W43">
        <v>249.27955960208561</v>
      </c>
      <c r="X43">
        <v>256.98270626835085</v>
      </c>
      <c r="Y43">
        <v>263.43092847093243</v>
      </c>
      <c r="Z43">
        <v>269.15812070387153</v>
      </c>
      <c r="AA43">
        <v>274.96945380805823</v>
      </c>
      <c r="AB43">
        <v>281.01156924634029</v>
      </c>
      <c r="AC43">
        <v>288.10586803110579</v>
      </c>
      <c r="AD43">
        <v>295.87395706738437</v>
      </c>
      <c r="AE43">
        <v>304.21872479397666</v>
      </c>
      <c r="AF43">
        <v>313.0809119464468</v>
      </c>
      <c r="AG43">
        <v>322.22548992464431</v>
      </c>
      <c r="AH43" s="18"/>
      <c r="AI43" s="18"/>
      <c r="AJ43" s="18"/>
      <c r="AK43" s="18"/>
      <c r="AL43" s="18"/>
      <c r="AM43" s="18"/>
      <c r="AN43" s="18"/>
    </row>
    <row r="44" spans="1:40" x14ac:dyDescent="0.25">
      <c r="A44" s="3" t="s">
        <v>25</v>
      </c>
      <c r="B44">
        <v>366.7083011696829</v>
      </c>
      <c r="C44">
        <v>320.93675824484723</v>
      </c>
      <c r="D44">
        <v>337.7908758947529</v>
      </c>
      <c r="E44">
        <v>346.39419262545317</v>
      </c>
      <c r="F44">
        <v>347.78472346331154</v>
      </c>
      <c r="G44">
        <v>349.44687222831175</v>
      </c>
      <c r="H44">
        <v>356.79001091003215</v>
      </c>
      <c r="I44">
        <v>374.33763954570236</v>
      </c>
      <c r="J44">
        <v>380.21035952318755</v>
      </c>
      <c r="K44">
        <v>397.86747972480077</v>
      </c>
      <c r="L44">
        <v>408.28203575708943</v>
      </c>
      <c r="M44">
        <v>420.01678457013816</v>
      </c>
      <c r="N44">
        <v>432.87054278924631</v>
      </c>
      <c r="O44">
        <v>446.26881544715729</v>
      </c>
      <c r="P44">
        <v>460.73128328526195</v>
      </c>
      <c r="Q44">
        <v>477.26942862233068</v>
      </c>
      <c r="R44">
        <v>495.27471783070825</v>
      </c>
      <c r="S44">
        <v>514.27858205021403</v>
      </c>
      <c r="T44">
        <v>534.39034551549548</v>
      </c>
      <c r="U44">
        <v>551.4643139900362</v>
      </c>
      <c r="V44">
        <v>568.15661808678044</v>
      </c>
      <c r="W44">
        <v>585.963891231101</v>
      </c>
      <c r="X44">
        <v>599.42331900472334</v>
      </c>
      <c r="Y44">
        <v>613.8732048911013</v>
      </c>
      <c r="Z44">
        <v>632.14926144626156</v>
      </c>
      <c r="AA44">
        <v>652.59824871379374</v>
      </c>
      <c r="AB44">
        <v>674.78067008462858</v>
      </c>
      <c r="AC44">
        <v>700.98670543904632</v>
      </c>
      <c r="AD44">
        <v>730.21554187960135</v>
      </c>
      <c r="AE44">
        <v>761.50563344142938</v>
      </c>
      <c r="AF44">
        <v>795.75578268864695</v>
      </c>
      <c r="AG44">
        <v>832.20031460262578</v>
      </c>
      <c r="AH44" s="18"/>
      <c r="AI44" s="18"/>
      <c r="AJ44" s="18"/>
      <c r="AK44" s="18"/>
      <c r="AL44" s="18"/>
      <c r="AM44" s="18"/>
      <c r="AN44" s="18"/>
    </row>
    <row r="45" spans="1:40" x14ac:dyDescent="0.25">
      <c r="A45" s="3" t="s">
        <v>26</v>
      </c>
      <c r="B45">
        <v>24.019985549556605</v>
      </c>
      <c r="C45">
        <v>22.319194995844644</v>
      </c>
      <c r="D45">
        <v>23.046547367102775</v>
      </c>
      <c r="E45">
        <v>24.381351360456854</v>
      </c>
      <c r="F45">
        <v>24.527043135102428</v>
      </c>
      <c r="G45">
        <v>25.004164379092845</v>
      </c>
      <c r="H45">
        <v>25.229839978548132</v>
      </c>
      <c r="I45">
        <v>25.362480986824785</v>
      </c>
      <c r="J45">
        <v>25.740358675135813</v>
      </c>
      <c r="K45">
        <v>27.404249940818065</v>
      </c>
      <c r="L45">
        <v>28.051336554185657</v>
      </c>
      <c r="M45">
        <v>28.740997380299582</v>
      </c>
      <c r="N45">
        <v>30.121628669752155</v>
      </c>
      <c r="O45">
        <v>30.982040494689961</v>
      </c>
      <c r="P45">
        <v>31.912126354063179</v>
      </c>
      <c r="Q45">
        <v>32.965957515757701</v>
      </c>
      <c r="R45">
        <v>34.026670459193944</v>
      </c>
      <c r="S45">
        <v>35.219921722090653</v>
      </c>
      <c r="T45">
        <v>36.453612202002589</v>
      </c>
      <c r="U45">
        <v>37.655855222100676</v>
      </c>
      <c r="V45">
        <v>38.774682112749197</v>
      </c>
      <c r="W45">
        <v>39.955680658787145</v>
      </c>
      <c r="X45">
        <v>41.265357020512972</v>
      </c>
      <c r="Y45">
        <v>42.420411497147889</v>
      </c>
      <c r="Z45">
        <v>43.545926398921829</v>
      </c>
      <c r="AA45">
        <v>44.7144269490204</v>
      </c>
      <c r="AB45">
        <v>45.969868671030142</v>
      </c>
      <c r="AC45">
        <v>47.414933637664298</v>
      </c>
      <c r="AD45">
        <v>49.006074810167128</v>
      </c>
      <c r="AE45">
        <v>50.7241942982171</v>
      </c>
      <c r="AF45">
        <v>52.594824311058666</v>
      </c>
      <c r="AG45">
        <v>54.594087596720208</v>
      </c>
      <c r="AH45" s="18"/>
      <c r="AI45" s="18"/>
      <c r="AJ45" s="18"/>
      <c r="AK45" s="18"/>
      <c r="AL45" s="18"/>
      <c r="AM45" s="18"/>
      <c r="AN45" s="18"/>
    </row>
    <row r="46" spans="1:40" x14ac:dyDescent="0.25">
      <c r="A46" s="3" t="s">
        <v>27</v>
      </c>
      <c r="B46">
        <v>78.804647701522597</v>
      </c>
      <c r="C46">
        <v>76.877442358534296</v>
      </c>
      <c r="D46">
        <v>76.054035890535658</v>
      </c>
      <c r="E46">
        <v>77.174482718062336</v>
      </c>
      <c r="F46">
        <v>77.579100872966222</v>
      </c>
      <c r="G46">
        <v>77.915699778270181</v>
      </c>
      <c r="H46">
        <v>78.171765232530873</v>
      </c>
      <c r="I46">
        <v>78.623480729217917</v>
      </c>
      <c r="J46">
        <v>79.111097136488894</v>
      </c>
      <c r="K46">
        <v>80.70417184016631</v>
      </c>
      <c r="L46">
        <v>81.068145943798768</v>
      </c>
      <c r="M46">
        <v>81.753781631269845</v>
      </c>
      <c r="N46">
        <v>82.730281197371241</v>
      </c>
      <c r="O46">
        <v>83.77010319063848</v>
      </c>
      <c r="P46">
        <v>84.873401086589496</v>
      </c>
      <c r="Q46">
        <v>86.106737859207925</v>
      </c>
      <c r="R46">
        <v>87.42459413317971</v>
      </c>
      <c r="S46">
        <v>88.899998104892774</v>
      </c>
      <c r="T46">
        <v>90.450674920901349</v>
      </c>
      <c r="U46">
        <v>92.00786513037103</v>
      </c>
      <c r="V46">
        <v>94.041202140744616</v>
      </c>
      <c r="W46">
        <v>95.17417875718256</v>
      </c>
      <c r="X46">
        <v>96.764126321087417</v>
      </c>
      <c r="Y46">
        <v>97.947629785228258</v>
      </c>
      <c r="Z46">
        <v>99.247030666953023</v>
      </c>
      <c r="AA46">
        <v>100.75715245724095</v>
      </c>
      <c r="AB46">
        <v>102.41074738134446</v>
      </c>
      <c r="AC46">
        <v>100.70032013137711</v>
      </c>
      <c r="AD46">
        <v>98.876005616668252</v>
      </c>
      <c r="AE46">
        <v>97.374029127413934</v>
      </c>
      <c r="AF46">
        <v>96.269572187171505</v>
      </c>
      <c r="AG46">
        <v>95.57371541152213</v>
      </c>
      <c r="AH46" s="18"/>
      <c r="AI46" s="18"/>
      <c r="AJ46" s="18"/>
      <c r="AK46" s="18"/>
      <c r="AL46" s="18"/>
      <c r="AM46" s="18"/>
      <c r="AN46" s="18"/>
    </row>
    <row r="47" spans="1:40" x14ac:dyDescent="0.25">
      <c r="A47" s="3" t="s">
        <v>28</v>
      </c>
      <c r="B47">
        <v>17.626887984268851</v>
      </c>
      <c r="C47">
        <v>15.574773247914441</v>
      </c>
      <c r="D47">
        <v>16.468901757942803</v>
      </c>
      <c r="E47">
        <v>16.842411213781613</v>
      </c>
      <c r="F47">
        <v>16.873129173336118</v>
      </c>
      <c r="G47">
        <v>16.961798016485922</v>
      </c>
      <c r="H47">
        <v>17.351287377279391</v>
      </c>
      <c r="I47">
        <v>18.172175772465625</v>
      </c>
      <c r="J47">
        <v>18.474671516843188</v>
      </c>
      <c r="K47">
        <v>19.241932877483279</v>
      </c>
      <c r="L47">
        <v>19.718432160196105</v>
      </c>
      <c r="M47">
        <v>20.263880396287526</v>
      </c>
      <c r="N47">
        <v>20.875661131024344</v>
      </c>
      <c r="O47">
        <v>21.509067201730744</v>
      </c>
      <c r="P47">
        <v>22.189942777879295</v>
      </c>
      <c r="Q47">
        <v>22.970231892065716</v>
      </c>
      <c r="R47">
        <v>23.782260643821843</v>
      </c>
      <c r="S47">
        <v>24.676273778173005</v>
      </c>
      <c r="T47">
        <v>25.632849821177487</v>
      </c>
      <c r="U47">
        <v>26.502739894814113</v>
      </c>
      <c r="V47">
        <v>27.360055907378523</v>
      </c>
      <c r="W47">
        <v>28.258890919974867</v>
      </c>
      <c r="X47">
        <v>29.197468395087789</v>
      </c>
      <c r="Y47">
        <v>30.076202183091201</v>
      </c>
      <c r="Z47">
        <v>30.998139953601914</v>
      </c>
      <c r="AA47">
        <v>31.980789805750135</v>
      </c>
      <c r="AB47">
        <v>33.033415965674095</v>
      </c>
      <c r="AC47">
        <v>34.229269066055934</v>
      </c>
      <c r="AD47">
        <v>35.540367213250683</v>
      </c>
      <c r="AE47">
        <v>36.93764118211201</v>
      </c>
      <c r="AF47">
        <v>38.45670987559626</v>
      </c>
      <c r="AG47">
        <v>40.074721803240806</v>
      </c>
      <c r="AH47" s="18"/>
      <c r="AI47" s="18"/>
      <c r="AJ47" s="18"/>
      <c r="AK47" s="18"/>
      <c r="AL47" s="18"/>
      <c r="AM47" s="18"/>
      <c r="AN47" s="18"/>
    </row>
    <row r="48" spans="1:40" x14ac:dyDescent="0.25">
      <c r="A48" s="3" t="s">
        <v>29</v>
      </c>
      <c r="B48">
        <v>20.83862043593755</v>
      </c>
      <c r="C48">
        <v>19.162970457873552</v>
      </c>
      <c r="D48">
        <v>19.863032016889015</v>
      </c>
      <c r="E48">
        <v>19.925211095239426</v>
      </c>
      <c r="F48">
        <v>19.834101089271332</v>
      </c>
      <c r="G48">
        <v>19.81662016609959</v>
      </c>
      <c r="H48">
        <v>20.024035065685826</v>
      </c>
      <c r="I48">
        <v>20.7314786965152</v>
      </c>
      <c r="J48">
        <v>21.02812096050604</v>
      </c>
      <c r="K48">
        <v>22.088022949308368</v>
      </c>
      <c r="L48">
        <v>22.609587148498793</v>
      </c>
      <c r="M48">
        <v>23.064871709426125</v>
      </c>
      <c r="N48">
        <v>23.500500945407683</v>
      </c>
      <c r="O48">
        <v>23.986518709259194</v>
      </c>
      <c r="P48">
        <v>24.524089189559373</v>
      </c>
      <c r="Q48">
        <v>25.162916316397915</v>
      </c>
      <c r="R48">
        <v>25.961729328868451</v>
      </c>
      <c r="S48">
        <v>26.741130336784909</v>
      </c>
      <c r="T48">
        <v>27.539311494472237</v>
      </c>
      <c r="U48">
        <v>28.416777100608481</v>
      </c>
      <c r="V48">
        <v>29.280416107200651</v>
      </c>
      <c r="W48">
        <v>30.186503705675769</v>
      </c>
      <c r="X48">
        <v>29.932581041239011</v>
      </c>
      <c r="Y48">
        <v>30.178538276315535</v>
      </c>
      <c r="Z48">
        <v>30.87398199455356</v>
      </c>
      <c r="AA48">
        <v>31.746136053512725</v>
      </c>
      <c r="AB48">
        <v>32.706595306079578</v>
      </c>
      <c r="AC48">
        <v>33.829858670074827</v>
      </c>
      <c r="AD48">
        <v>35.113315907883745</v>
      </c>
      <c r="AE48">
        <v>36.480067986875184</v>
      </c>
      <c r="AF48">
        <v>38.012762633175321</v>
      </c>
      <c r="AG48">
        <v>39.652823282604146</v>
      </c>
      <c r="AH48" s="18"/>
      <c r="AI48" s="18"/>
      <c r="AJ48" s="18"/>
      <c r="AK48" s="18"/>
      <c r="AL48" s="18"/>
      <c r="AM48" s="18"/>
      <c r="AN48" s="18"/>
    </row>
    <row r="49" spans="1:40" x14ac:dyDescent="0.25">
      <c r="A49" s="3" t="s">
        <v>30</v>
      </c>
      <c r="B49">
        <v>13.073651251028767</v>
      </c>
      <c r="C49">
        <v>11.271192740747956</v>
      </c>
      <c r="D49">
        <v>12.453355513208685</v>
      </c>
      <c r="E49">
        <v>11.093628902003232</v>
      </c>
      <c r="F49">
        <v>10.633195506260071</v>
      </c>
      <c r="G49">
        <v>10.296369536265301</v>
      </c>
      <c r="H49">
        <v>10.185906410292333</v>
      </c>
      <c r="I49">
        <v>11.245149089730107</v>
      </c>
      <c r="J49">
        <v>11.893689140076045</v>
      </c>
      <c r="K49">
        <v>14.932821198181243</v>
      </c>
      <c r="L49">
        <v>16.315639004544483</v>
      </c>
      <c r="M49">
        <v>17.059808238709167</v>
      </c>
      <c r="N49">
        <v>17.420690298733859</v>
      </c>
      <c r="O49">
        <v>17.918306200852875</v>
      </c>
      <c r="P49">
        <v>18.526935324609827</v>
      </c>
      <c r="Q49">
        <v>19.363038067641988</v>
      </c>
      <c r="R49">
        <v>20.807211642511401</v>
      </c>
      <c r="S49">
        <v>22.034227330597993</v>
      </c>
      <c r="T49">
        <v>23.144920225240188</v>
      </c>
      <c r="U49">
        <v>24.486836067639864</v>
      </c>
      <c r="V49">
        <v>25.407030757664895</v>
      </c>
      <c r="W49">
        <v>26.685444917044961</v>
      </c>
      <c r="X49">
        <v>21.817360567388683</v>
      </c>
      <c r="Y49">
        <v>19.92822832545858</v>
      </c>
      <c r="Z49">
        <v>20.115665966407651</v>
      </c>
      <c r="AA49">
        <v>20.836820836560729</v>
      </c>
      <c r="AB49">
        <v>21.761649422158985</v>
      </c>
      <c r="AC49">
        <v>23.313173238683802</v>
      </c>
      <c r="AD49">
        <v>25.294021424316036</v>
      </c>
      <c r="AE49">
        <v>27.454964714752748</v>
      </c>
      <c r="AF49">
        <v>30.0558621640639</v>
      </c>
      <c r="AG49">
        <v>32.920831876359543</v>
      </c>
      <c r="AH49" s="18"/>
      <c r="AI49" s="18"/>
      <c r="AJ49" s="18"/>
      <c r="AK49" s="18"/>
      <c r="AL49" s="18"/>
      <c r="AM49" s="18"/>
      <c r="AN49" s="18"/>
    </row>
    <row r="50" spans="1:40" x14ac:dyDescent="0.25">
      <c r="A50" s="3" t="s">
        <v>31</v>
      </c>
      <c r="B50">
        <v>0.12086732559633409</v>
      </c>
      <c r="C50">
        <v>0.12086732559633409</v>
      </c>
      <c r="D50">
        <v>0.12066457951154648</v>
      </c>
      <c r="E50">
        <v>0.12060975773938744</v>
      </c>
      <c r="F50">
        <v>0.12060975773938748</v>
      </c>
      <c r="G50">
        <v>0.12060975773938752</v>
      </c>
      <c r="H50">
        <v>0.12060975773938752</v>
      </c>
      <c r="I50">
        <v>0.12060975773938752</v>
      </c>
      <c r="J50">
        <v>0.12060636832264243</v>
      </c>
      <c r="K50">
        <v>0.12060636832264247</v>
      </c>
      <c r="L50">
        <v>0.12060636832264243</v>
      </c>
      <c r="M50">
        <v>0.12060636832264245</v>
      </c>
      <c r="N50">
        <v>0.12060636832264249</v>
      </c>
      <c r="O50">
        <v>0.12060636832264243</v>
      </c>
      <c r="P50">
        <v>0.1206063683226424</v>
      </c>
      <c r="Q50">
        <v>0.12060636832264239</v>
      </c>
      <c r="R50">
        <v>0.12060636832264236</v>
      </c>
      <c r="S50">
        <v>0.12060636832264239</v>
      </c>
      <c r="T50">
        <v>0.12060636832264235</v>
      </c>
      <c r="U50">
        <v>2.520396408758065</v>
      </c>
      <c r="V50">
        <v>5.0407928175161301</v>
      </c>
      <c r="W50">
        <v>7.5611892262741947</v>
      </c>
      <c r="X50">
        <v>8.7746857478983546</v>
      </c>
      <c r="Y50">
        <v>9.9881822695225075</v>
      </c>
      <c r="Z50">
        <v>11.201678791146668</v>
      </c>
      <c r="AA50">
        <v>12.415175312770822</v>
      </c>
      <c r="AB50">
        <v>13.628671834394979</v>
      </c>
      <c r="AC50">
        <v>14.303135095585274</v>
      </c>
      <c r="AD50">
        <v>14.977598356775562</v>
      </c>
      <c r="AE50">
        <v>15.652061617965861</v>
      </c>
      <c r="AF50">
        <v>16.32652487915615</v>
      </c>
      <c r="AG50">
        <v>17.00098814034644</v>
      </c>
      <c r="AH50" s="18"/>
      <c r="AI50" s="18"/>
      <c r="AJ50" s="18"/>
      <c r="AK50" s="18"/>
      <c r="AL50" s="18"/>
      <c r="AM50" s="18"/>
      <c r="AN50" s="18"/>
    </row>
    <row r="51" spans="1:40" x14ac:dyDescent="0.25">
      <c r="A51" s="3" t="s">
        <v>32</v>
      </c>
      <c r="B51">
        <v>142.2036328173553</v>
      </c>
      <c r="C51">
        <v>136.44878766432581</v>
      </c>
      <c r="D51">
        <v>146.14074566394675</v>
      </c>
      <c r="E51">
        <v>146.4773665086895</v>
      </c>
      <c r="F51">
        <v>145.04539245118301</v>
      </c>
      <c r="G51">
        <v>145.87729911613849</v>
      </c>
      <c r="H51">
        <v>147.14216951126389</v>
      </c>
      <c r="I51">
        <v>150.00300564106288</v>
      </c>
      <c r="J51">
        <v>152.19870464335671</v>
      </c>
      <c r="K51">
        <v>154.19870472509317</v>
      </c>
      <c r="L51">
        <v>156.38571640248085</v>
      </c>
      <c r="M51">
        <v>159.44194621283864</v>
      </c>
      <c r="N51">
        <v>163.30689787379572</v>
      </c>
      <c r="O51">
        <v>167.86178956611161</v>
      </c>
      <c r="P51">
        <v>171.53872250386354</v>
      </c>
      <c r="Q51">
        <v>176.04422236485598</v>
      </c>
      <c r="R51">
        <v>177.48735794895305</v>
      </c>
      <c r="S51">
        <v>181.7517895464326</v>
      </c>
      <c r="T51">
        <v>186.68722664354334</v>
      </c>
      <c r="U51">
        <v>197.58437167828936</v>
      </c>
      <c r="V51">
        <v>208.57857871701691</v>
      </c>
      <c r="W51">
        <v>219.26380730730992</v>
      </c>
      <c r="X51">
        <v>225.02122253194688</v>
      </c>
      <c r="Y51">
        <v>231.81694807578467</v>
      </c>
      <c r="Z51">
        <v>239.78786495655936</v>
      </c>
      <c r="AA51">
        <v>248.0521594612481</v>
      </c>
      <c r="AB51">
        <v>256.39391319737126</v>
      </c>
      <c r="AC51">
        <v>264.39071189071097</v>
      </c>
      <c r="AD51">
        <v>271.3407012727136</v>
      </c>
      <c r="AE51">
        <v>278.60851724569528</v>
      </c>
      <c r="AF51">
        <v>286.05926653394823</v>
      </c>
      <c r="AG51">
        <v>293.59171280458094</v>
      </c>
      <c r="AH51" s="18"/>
      <c r="AI51" s="18"/>
      <c r="AJ51" s="18"/>
      <c r="AK51" s="18"/>
      <c r="AL51" s="18"/>
      <c r="AM51" s="18"/>
      <c r="AN51" s="18"/>
    </row>
    <row r="52" spans="1:40" x14ac:dyDescent="0.25">
      <c r="A52" s="3" t="s">
        <v>33</v>
      </c>
      <c r="B52">
        <v>60.675714154100262</v>
      </c>
      <c r="C52">
        <v>50.223185860644726</v>
      </c>
      <c r="D52">
        <v>52.694392090327234</v>
      </c>
      <c r="E52">
        <v>61.666432806024062</v>
      </c>
      <c r="F52">
        <v>64.955660785385092</v>
      </c>
      <c r="G52">
        <v>66.140315151319371</v>
      </c>
      <c r="H52">
        <v>66.43535899033968</v>
      </c>
      <c r="I52">
        <v>66.43253916933817</v>
      </c>
      <c r="J52">
        <v>68.559388327301775</v>
      </c>
      <c r="K52">
        <v>71.05986343939098</v>
      </c>
      <c r="L52">
        <v>73.433534347769992</v>
      </c>
      <c r="M52">
        <v>75.997801931251104</v>
      </c>
      <c r="N52">
        <v>78.885755018735026</v>
      </c>
      <c r="O52">
        <v>81.77388102277115</v>
      </c>
      <c r="P52">
        <v>84.829127777420425</v>
      </c>
      <c r="Q52">
        <v>88.304236578805018</v>
      </c>
      <c r="R52">
        <v>91.596646480858581</v>
      </c>
      <c r="S52">
        <v>95.204983824347224</v>
      </c>
      <c r="T52">
        <v>98.874905337963</v>
      </c>
      <c r="U52">
        <v>102.21962710070184</v>
      </c>
      <c r="V52">
        <v>105.32424663502653</v>
      </c>
      <c r="W52">
        <v>108.27693737090219</v>
      </c>
      <c r="X52">
        <v>111.56912486917621</v>
      </c>
      <c r="Y52">
        <v>114.41561344133981</v>
      </c>
      <c r="Z52">
        <v>117.13004082373627</v>
      </c>
      <c r="AA52">
        <v>119.84264111921489</v>
      </c>
      <c r="AB52">
        <v>122.59721826342761</v>
      </c>
      <c r="AC52">
        <v>125.50771629179748</v>
      </c>
      <c r="AD52">
        <v>128.57440253818112</v>
      </c>
      <c r="AE52">
        <v>131.68045011063694</v>
      </c>
      <c r="AF52">
        <v>134.87996590545094</v>
      </c>
      <c r="AG52">
        <v>138.0817300949943</v>
      </c>
      <c r="AH52" s="18"/>
      <c r="AI52" s="18"/>
      <c r="AJ52" s="18"/>
      <c r="AK52" s="18"/>
      <c r="AL52" s="18"/>
      <c r="AM52" s="18"/>
      <c r="AN52" s="18"/>
    </row>
    <row r="53" spans="1:40" x14ac:dyDescent="0.25">
      <c r="A53" s="3" t="s">
        <v>34</v>
      </c>
      <c r="B53">
        <v>247.42936538345938</v>
      </c>
      <c r="C53">
        <v>217.21278869819892</v>
      </c>
      <c r="D53">
        <v>230.95121378088996</v>
      </c>
      <c r="E53">
        <v>252.81589693997037</v>
      </c>
      <c r="F53">
        <v>254.35902013525742</v>
      </c>
      <c r="G53">
        <v>253.56557026498641</v>
      </c>
      <c r="H53">
        <v>253.37869609441091</v>
      </c>
      <c r="I53">
        <v>255.29840209298564</v>
      </c>
      <c r="J53">
        <v>260.9690002056023</v>
      </c>
      <c r="K53">
        <v>268.12764276659186</v>
      </c>
      <c r="L53">
        <v>275.71288715868729</v>
      </c>
      <c r="M53">
        <v>285.72163394371933</v>
      </c>
      <c r="N53">
        <v>295.41500225811654</v>
      </c>
      <c r="O53">
        <v>303.81149730475249</v>
      </c>
      <c r="P53">
        <v>313.05332932592154</v>
      </c>
      <c r="Q53">
        <v>325.24762153021987</v>
      </c>
      <c r="R53">
        <v>336.46750066941485</v>
      </c>
      <c r="S53">
        <v>347.76284507291501</v>
      </c>
      <c r="T53">
        <v>360.27295199736722</v>
      </c>
      <c r="U53">
        <v>374.84748361489403</v>
      </c>
      <c r="V53">
        <v>390.38661220958136</v>
      </c>
      <c r="W53">
        <v>405.79419437269428</v>
      </c>
      <c r="X53">
        <v>422.18587872932306</v>
      </c>
      <c r="Y53">
        <v>436.61613507099827</v>
      </c>
      <c r="Z53">
        <v>450.76418291020468</v>
      </c>
      <c r="AA53">
        <v>463.01529337066955</v>
      </c>
      <c r="AB53">
        <v>474.93317371914009</v>
      </c>
      <c r="AC53">
        <v>488.56893191442424</v>
      </c>
      <c r="AD53">
        <v>502.85213688910846</v>
      </c>
      <c r="AE53">
        <v>517.1802992829771</v>
      </c>
      <c r="AF53">
        <v>532.57463611876153</v>
      </c>
      <c r="AG53">
        <v>550.23298848988929</v>
      </c>
      <c r="AH53" s="18"/>
      <c r="AI53" s="18"/>
      <c r="AJ53" s="18"/>
      <c r="AK53" s="18"/>
      <c r="AL53" s="18"/>
      <c r="AM53" s="18"/>
      <c r="AN53" s="18"/>
    </row>
    <row r="54" spans="1:40" x14ac:dyDescent="0.25">
      <c r="A54" s="3" t="s">
        <v>36</v>
      </c>
      <c r="B54">
        <v>7.2942674736102546</v>
      </c>
      <c r="C54">
        <v>6.6299472699871007</v>
      </c>
      <c r="D54">
        <v>7.0785650689638286</v>
      </c>
      <c r="E54">
        <v>7.6154108701536929</v>
      </c>
      <c r="F54">
        <v>7.7475033508428641</v>
      </c>
      <c r="G54">
        <v>7.8035702247329706</v>
      </c>
      <c r="H54">
        <v>7.864799497299912</v>
      </c>
      <c r="I54">
        <v>7.9735086103682073</v>
      </c>
      <c r="J54">
        <v>8.1382553624087084</v>
      </c>
      <c r="K54">
        <v>8.254849116831064</v>
      </c>
      <c r="L54">
        <v>8.4634388431087277</v>
      </c>
      <c r="M54">
        <v>8.7420146751272831</v>
      </c>
      <c r="N54">
        <v>9.0085847401483026</v>
      </c>
      <c r="O54">
        <v>9.2381662774002873</v>
      </c>
      <c r="P54">
        <v>9.4944882281900185</v>
      </c>
      <c r="Q54">
        <v>9.8297223222318788</v>
      </c>
      <c r="R54">
        <v>10.134056576524346</v>
      </c>
      <c r="S54">
        <v>10.433147704508338</v>
      </c>
      <c r="T54">
        <v>10.747005876764753</v>
      </c>
      <c r="U54">
        <v>11.108855812119153</v>
      </c>
      <c r="V54">
        <v>11.485590645773648</v>
      </c>
      <c r="W54">
        <v>11.840756013263658</v>
      </c>
      <c r="X54">
        <v>12.214529377854351</v>
      </c>
      <c r="Y54">
        <v>12.550275923341125</v>
      </c>
      <c r="Z54">
        <v>12.905043759792305</v>
      </c>
      <c r="AA54">
        <v>13.217217473663608</v>
      </c>
      <c r="AB54">
        <v>13.535985411782866</v>
      </c>
      <c r="AC54">
        <v>13.897184038664331</v>
      </c>
      <c r="AD54">
        <v>14.273587894723452</v>
      </c>
      <c r="AE54">
        <v>14.653917896536141</v>
      </c>
      <c r="AF54">
        <v>15.068453888260731</v>
      </c>
      <c r="AG54">
        <v>15.545780890218635</v>
      </c>
      <c r="AH54" s="18"/>
      <c r="AI54" s="18"/>
      <c r="AJ54" s="18"/>
      <c r="AK54" s="18"/>
      <c r="AL54" s="18"/>
      <c r="AM54" s="18"/>
      <c r="AN54" s="18"/>
    </row>
    <row r="55" spans="1:40" x14ac:dyDescent="0.25">
      <c r="A55" s="3" t="s">
        <v>37</v>
      </c>
      <c r="B55">
        <v>46.318025213526461</v>
      </c>
      <c r="C55">
        <v>28.848450924973463</v>
      </c>
      <c r="D55">
        <v>33.256288243860944</v>
      </c>
      <c r="E55">
        <v>38.311460986223757</v>
      </c>
      <c r="F55">
        <v>38.311460986223757</v>
      </c>
      <c r="G55">
        <v>38.311460986223778</v>
      </c>
      <c r="H55">
        <v>38.311460986223778</v>
      </c>
      <c r="I55">
        <v>38.311460986223778</v>
      </c>
      <c r="J55">
        <v>38.310384344417763</v>
      </c>
      <c r="K55">
        <v>15.707851994016872</v>
      </c>
      <c r="L55">
        <v>9.6569905959133457</v>
      </c>
      <c r="M55">
        <v>9.6168986303249184</v>
      </c>
      <c r="N55">
        <v>9.616898630324922</v>
      </c>
      <c r="O55">
        <v>9.6168986303249167</v>
      </c>
      <c r="P55">
        <v>9.6168986303249149</v>
      </c>
      <c r="Q55">
        <v>9.6168986303249113</v>
      </c>
      <c r="R55">
        <v>9.6168986303249095</v>
      </c>
      <c r="S55">
        <v>9.6168986303249131</v>
      </c>
      <c r="T55">
        <v>9.6197605832035844</v>
      </c>
      <c r="U55">
        <v>9.6348234752431487</v>
      </c>
      <c r="V55">
        <v>9.6498863672827113</v>
      </c>
      <c r="W55">
        <v>9.6649492593222739</v>
      </c>
      <c r="X55">
        <v>9.6649492593222739</v>
      </c>
      <c r="Y55">
        <v>9.6649492593222703</v>
      </c>
      <c r="Z55">
        <v>9.6649492593222703</v>
      </c>
      <c r="AA55">
        <v>9.6649492593222686</v>
      </c>
      <c r="AB55">
        <v>9.6649492593222668</v>
      </c>
      <c r="AC55">
        <v>8.8740852197657407</v>
      </c>
      <c r="AD55">
        <v>8.0832211802092093</v>
      </c>
      <c r="AE55">
        <v>7.2923571406526815</v>
      </c>
      <c r="AF55">
        <v>6.501493101096151</v>
      </c>
      <c r="AG55">
        <v>5.7106290615396214</v>
      </c>
      <c r="AH55" s="18"/>
      <c r="AI55" s="18"/>
      <c r="AJ55" s="18"/>
      <c r="AK55" s="18"/>
      <c r="AL55" s="18"/>
      <c r="AM55" s="18"/>
      <c r="AN55" s="18"/>
    </row>
    <row r="56" spans="1:40" x14ac:dyDescent="0.25">
      <c r="A56" s="3" t="s">
        <v>38</v>
      </c>
      <c r="B56">
        <v>112.98526133447918</v>
      </c>
      <c r="C56">
        <v>109.13247881206568</v>
      </c>
      <c r="D56">
        <v>109.89834480093437</v>
      </c>
      <c r="E56">
        <v>108.05691691943908</v>
      </c>
      <c r="F56">
        <v>104.86488366021064</v>
      </c>
      <c r="G56">
        <v>103.24861035672339</v>
      </c>
      <c r="H56">
        <v>101.30739673917725</v>
      </c>
      <c r="I56">
        <v>100.12171938207966</v>
      </c>
      <c r="J56">
        <v>98.818846361449317</v>
      </c>
      <c r="K56">
        <v>97.186150682637802</v>
      </c>
      <c r="L56">
        <v>94.008208763924642</v>
      </c>
      <c r="M56">
        <v>88.050726956067635</v>
      </c>
      <c r="N56">
        <v>84.26011526501479</v>
      </c>
      <c r="O56">
        <v>84.320407224516302</v>
      </c>
      <c r="P56">
        <v>83.463582308687165</v>
      </c>
      <c r="Q56">
        <v>83.123185551836116</v>
      </c>
      <c r="R56">
        <v>82.339979924533395</v>
      </c>
      <c r="S56">
        <v>82.169965088323181</v>
      </c>
      <c r="T56">
        <v>81.360523131733132</v>
      </c>
      <c r="U56">
        <v>79.849690032523</v>
      </c>
      <c r="V56">
        <v>78.338856933312883</v>
      </c>
      <c r="W56">
        <v>76.828023834102765</v>
      </c>
      <c r="X56">
        <v>74.501386929053979</v>
      </c>
      <c r="Y56">
        <v>72.174750024005178</v>
      </c>
      <c r="Z56">
        <v>69.848113118956377</v>
      </c>
      <c r="AA56">
        <v>67.521476213907604</v>
      </c>
      <c r="AB56">
        <v>65.194839308858803</v>
      </c>
      <c r="AC56">
        <v>61.646264201611295</v>
      </c>
      <c r="AD56">
        <v>58.097689094363737</v>
      </c>
      <c r="AE56">
        <v>54.549113987116236</v>
      </c>
      <c r="AF56">
        <v>51.000538879868706</v>
      </c>
      <c r="AG56">
        <v>47.451963772621191</v>
      </c>
      <c r="AH56" s="18"/>
      <c r="AI56" s="18"/>
      <c r="AJ56" s="18"/>
      <c r="AK56" s="18"/>
      <c r="AL56" s="18"/>
      <c r="AM56" s="18"/>
      <c r="AN56" s="18"/>
    </row>
    <row r="57" spans="1:40" x14ac:dyDescent="0.25">
      <c r="A57" s="3" t="s">
        <v>183</v>
      </c>
      <c r="B57">
        <v>97.820469381023031</v>
      </c>
      <c r="C57">
        <v>73.913313960824297</v>
      </c>
      <c r="D57">
        <v>78.208779943297827</v>
      </c>
      <c r="E57">
        <v>82.091230889675288</v>
      </c>
      <c r="F57">
        <v>86.023811694050792</v>
      </c>
      <c r="G57">
        <v>89.978949716772135</v>
      </c>
      <c r="H57">
        <v>93.988702547084102</v>
      </c>
      <c r="I57">
        <v>94.601623278396204</v>
      </c>
      <c r="J57">
        <v>95.09998757959282</v>
      </c>
      <c r="K57">
        <v>96.031590322465647</v>
      </c>
      <c r="L57">
        <v>96.65880709725171</v>
      </c>
      <c r="M57">
        <v>97.211830092779181</v>
      </c>
      <c r="N57">
        <v>99.244171901557323</v>
      </c>
      <c r="O57">
        <v>101.30255439640715</v>
      </c>
      <c r="P57">
        <v>103.38655369687415</v>
      </c>
      <c r="Q57">
        <v>105.51922474088373</v>
      </c>
      <c r="R57">
        <v>107.743033995549</v>
      </c>
      <c r="S57">
        <v>109.94904815191776</v>
      </c>
      <c r="T57">
        <v>112.15426021701674</v>
      </c>
      <c r="U57">
        <v>114.29676564526724</v>
      </c>
      <c r="V57">
        <v>116.38737183924765</v>
      </c>
      <c r="W57">
        <v>118.53121289018895</v>
      </c>
      <c r="X57">
        <v>141.07977324214679</v>
      </c>
      <c r="Y57">
        <v>164.01261184755623</v>
      </c>
      <c r="Z57">
        <v>187.26180622264692</v>
      </c>
      <c r="AA57">
        <v>210.60558500127854</v>
      </c>
      <c r="AB57">
        <v>233.99421131493708</v>
      </c>
      <c r="AC57">
        <v>257.52657000569343</v>
      </c>
      <c r="AD57">
        <v>281.14634284844976</v>
      </c>
      <c r="AE57">
        <v>304.80901237165909</v>
      </c>
      <c r="AF57">
        <v>328.55638361029145</v>
      </c>
      <c r="AG57">
        <v>352.35921930526433</v>
      </c>
      <c r="AH57" s="18"/>
      <c r="AI57" s="18"/>
      <c r="AJ57" s="18"/>
      <c r="AK57" s="18"/>
      <c r="AL57" s="18"/>
      <c r="AM57" s="18"/>
      <c r="AN57" s="18"/>
    </row>
    <row r="58" spans="1:40" x14ac:dyDescent="0.25">
      <c r="A58" s="3" t="s">
        <v>184</v>
      </c>
      <c r="B58">
        <v>2.4857265311423458</v>
      </c>
      <c r="C58">
        <v>2.3216577605390492</v>
      </c>
      <c r="D58">
        <v>2.3513355033208501</v>
      </c>
      <c r="E58">
        <v>2.392366171014471</v>
      </c>
      <c r="F58">
        <v>2.4009523026687525</v>
      </c>
      <c r="G58">
        <v>2.4109595790844467</v>
      </c>
      <c r="H58">
        <v>2.4202688263210699</v>
      </c>
      <c r="I58">
        <v>2.4478947713248296</v>
      </c>
      <c r="J58">
        <v>2.4726873349956495</v>
      </c>
      <c r="K58">
        <v>2.4678605054639964</v>
      </c>
      <c r="L58">
        <v>2.4761066261029905</v>
      </c>
      <c r="M58">
        <v>2.5115838844657694</v>
      </c>
      <c r="N58">
        <v>2.5537620220900612</v>
      </c>
      <c r="O58">
        <v>2.5971746891630745</v>
      </c>
      <c r="P58">
        <v>2.6441728435753356</v>
      </c>
      <c r="Q58">
        <v>2.6987598328434066</v>
      </c>
      <c r="R58">
        <v>2.7615519314400618</v>
      </c>
      <c r="S58">
        <v>2.827499628184281</v>
      </c>
      <c r="T58">
        <v>2.8946947555630618</v>
      </c>
      <c r="U58">
        <v>2.9631703424198053</v>
      </c>
      <c r="V58">
        <v>3.0415530903637489</v>
      </c>
      <c r="W58">
        <v>3.1000799151416327</v>
      </c>
      <c r="X58">
        <v>3.1092960059756716</v>
      </c>
      <c r="Y58">
        <v>3.1377293344716168</v>
      </c>
      <c r="Z58">
        <v>3.1910947960365301</v>
      </c>
      <c r="AA58">
        <v>3.2568471137393558</v>
      </c>
      <c r="AB58">
        <v>3.3294270599378994</v>
      </c>
      <c r="AC58">
        <v>3.3182477195223767</v>
      </c>
      <c r="AD58">
        <v>3.3106306911698304</v>
      </c>
      <c r="AE58">
        <v>3.3144033825174981</v>
      </c>
      <c r="AF58">
        <v>3.3350870591101076</v>
      </c>
      <c r="AG58">
        <v>3.3703664657154717</v>
      </c>
      <c r="AH58" s="18"/>
      <c r="AI58" s="18"/>
      <c r="AJ58" s="18"/>
      <c r="AK58" s="18"/>
      <c r="AL58" s="18"/>
      <c r="AM58" s="18"/>
      <c r="AN58" s="18"/>
    </row>
    <row r="59" spans="1:40" x14ac:dyDescent="0.25">
      <c r="A59" s="3" t="s">
        <v>188</v>
      </c>
      <c r="B59">
        <v>0.28999999999999998</v>
      </c>
      <c r="C59">
        <v>0.28999999999999998</v>
      </c>
      <c r="D59">
        <v>0.28951354624338443</v>
      </c>
      <c r="E59">
        <v>0.28938201099307848</v>
      </c>
      <c r="F59">
        <v>0.28938201099307853</v>
      </c>
      <c r="G59">
        <v>0.2893820109930787</v>
      </c>
      <c r="H59">
        <v>0.2893820109930787</v>
      </c>
      <c r="I59">
        <v>0.2893820109930787</v>
      </c>
      <c r="J59">
        <v>0.2893738786806343</v>
      </c>
      <c r="K59">
        <v>0.28937387868063436</v>
      </c>
      <c r="L59">
        <v>0.2893738786806343</v>
      </c>
      <c r="M59">
        <v>0.28937387868063424</v>
      </c>
      <c r="N59">
        <v>0.2893738786806343</v>
      </c>
      <c r="O59">
        <v>0.28937387868063419</v>
      </c>
      <c r="P59">
        <v>0.28937387868063413</v>
      </c>
      <c r="Q59">
        <v>0.28937387868063408</v>
      </c>
      <c r="R59">
        <v>0.28937387868063402</v>
      </c>
      <c r="S59">
        <v>0.28937387868063408</v>
      </c>
      <c r="T59">
        <v>0.28937387868063391</v>
      </c>
      <c r="U59">
        <v>7.0056503058473751</v>
      </c>
      <c r="V59">
        <v>14.011300611694748</v>
      </c>
      <c r="W59">
        <v>21.016950917542118</v>
      </c>
      <c r="X59">
        <v>23.827870240243875</v>
      </c>
      <c r="Y59">
        <v>26.638789562945625</v>
      </c>
      <c r="Z59">
        <v>29.449708885647372</v>
      </c>
      <c r="AA59">
        <v>32.260628208349125</v>
      </c>
      <c r="AB59">
        <v>35.071547531050882</v>
      </c>
      <c r="AC59">
        <v>34.492007047839728</v>
      </c>
      <c r="AD59">
        <v>33.912466564628545</v>
      </c>
      <c r="AE59">
        <v>33.332926081417384</v>
      </c>
      <c r="AF59">
        <v>32.753385598206215</v>
      </c>
      <c r="AG59">
        <v>32.173845114995046</v>
      </c>
      <c r="AH59" s="18"/>
      <c r="AI59" s="18"/>
      <c r="AJ59" s="18"/>
      <c r="AK59" s="18"/>
      <c r="AL59" s="18"/>
      <c r="AM59" s="18"/>
      <c r="AN59" s="18"/>
    </row>
    <row r="60" spans="1:40" x14ac:dyDescent="0.25">
      <c r="A60" s="3" t="s">
        <v>189</v>
      </c>
      <c r="B60">
        <v>7.8476290328821835E-2</v>
      </c>
      <c r="C60">
        <v>7.8476290328821835E-2</v>
      </c>
      <c r="D60">
        <v>7.8344652100422865E-2</v>
      </c>
      <c r="E60">
        <v>7.8309057622866024E-2</v>
      </c>
      <c r="F60">
        <v>7.8309057622866052E-2</v>
      </c>
      <c r="G60">
        <v>7.8309057622866093E-2</v>
      </c>
      <c r="H60">
        <v>7.8309057622866107E-2</v>
      </c>
      <c r="I60">
        <v>7.8309057622866107E-2</v>
      </c>
      <c r="J60">
        <v>7.8306856954892201E-2</v>
      </c>
      <c r="K60">
        <v>7.8306856954892243E-2</v>
      </c>
      <c r="L60">
        <v>7.8306856954892215E-2</v>
      </c>
      <c r="M60">
        <v>7.8306856954892215E-2</v>
      </c>
      <c r="N60">
        <v>7.8306856954892243E-2</v>
      </c>
      <c r="O60">
        <v>7.8306856954892215E-2</v>
      </c>
      <c r="P60">
        <v>7.8306856954892201E-2</v>
      </c>
      <c r="Q60">
        <v>7.8306856954892187E-2</v>
      </c>
      <c r="R60">
        <v>7.8306856954892159E-2</v>
      </c>
      <c r="S60">
        <v>7.8306856954892187E-2</v>
      </c>
      <c r="T60">
        <v>7.8306856954892146E-2</v>
      </c>
      <c r="U60">
        <v>7.8306856954892146E-2</v>
      </c>
      <c r="V60">
        <v>2.3901477629112673</v>
      </c>
      <c r="W60">
        <v>2.3901477629112668</v>
      </c>
      <c r="X60">
        <v>2.3901477629112668</v>
      </c>
      <c r="Y60">
        <v>2.390147762911266</v>
      </c>
      <c r="Z60">
        <v>1.612673706389012</v>
      </c>
      <c r="AA60">
        <v>1.6126737063890118</v>
      </c>
      <c r="AB60">
        <v>1.6126737063890113</v>
      </c>
      <c r="AC60">
        <v>1.6126737063890118</v>
      </c>
      <c r="AD60">
        <v>1.6126737063890111</v>
      </c>
      <c r="AE60">
        <v>1.2908640373764781</v>
      </c>
      <c r="AF60">
        <v>1.2908640373764779</v>
      </c>
      <c r="AG60">
        <v>1.2908640373764777</v>
      </c>
      <c r="AH60" s="18"/>
      <c r="AI60" s="18"/>
      <c r="AJ60" s="18"/>
      <c r="AK60" s="18"/>
      <c r="AL60" s="18"/>
      <c r="AM60" s="18"/>
      <c r="AN60" s="18"/>
    </row>
    <row r="62" spans="1:40" ht="18" thickBot="1" x14ac:dyDescent="0.35">
      <c r="A62" s="4" t="s">
        <v>143</v>
      </c>
      <c r="B62" s="4"/>
      <c r="C62" s="4"/>
      <c r="D62" s="4"/>
      <c r="E62" s="4"/>
      <c r="F62" s="4"/>
      <c r="G62" s="4"/>
      <c r="H62" s="4"/>
    </row>
    <row r="63" spans="1:40" ht="15.75" thickTop="1" x14ac:dyDescent="0.25">
      <c r="B63" s="3">
        <v>2019</v>
      </c>
      <c r="C63" s="3">
        <v>2020</v>
      </c>
      <c r="D63" s="3">
        <v>2021</v>
      </c>
      <c r="E63" s="3">
        <v>2022</v>
      </c>
      <c r="F63" s="3">
        <v>2023</v>
      </c>
      <c r="G63" s="3">
        <v>2024</v>
      </c>
      <c r="H63" s="3">
        <v>2025</v>
      </c>
      <c r="I63" s="3">
        <v>2026</v>
      </c>
      <c r="J63" s="3">
        <v>2027</v>
      </c>
      <c r="K63" s="3">
        <v>2028</v>
      </c>
      <c r="L63" s="3">
        <v>2029</v>
      </c>
      <c r="M63" s="3">
        <v>2030</v>
      </c>
      <c r="N63" s="3">
        <v>2031</v>
      </c>
      <c r="O63" s="3">
        <v>2032</v>
      </c>
      <c r="P63" s="3">
        <v>2033</v>
      </c>
      <c r="Q63" s="3">
        <v>2034</v>
      </c>
      <c r="R63" s="3">
        <v>2035</v>
      </c>
      <c r="S63" s="3">
        <v>2036</v>
      </c>
      <c r="T63" s="3">
        <v>2037</v>
      </c>
      <c r="U63" s="3">
        <v>2038</v>
      </c>
      <c r="V63">
        <v>2039</v>
      </c>
      <c r="W63">
        <v>2040</v>
      </c>
      <c r="X63">
        <v>2041</v>
      </c>
      <c r="Y63">
        <v>2042</v>
      </c>
      <c r="Z63">
        <v>2043</v>
      </c>
      <c r="AA63">
        <v>2044</v>
      </c>
      <c r="AB63">
        <v>2045</v>
      </c>
      <c r="AC63">
        <v>2046</v>
      </c>
      <c r="AD63">
        <v>2047</v>
      </c>
      <c r="AE63">
        <v>2048</v>
      </c>
      <c r="AF63">
        <v>2049</v>
      </c>
      <c r="AG63">
        <v>2050</v>
      </c>
    </row>
    <row r="64" spans="1:40" x14ac:dyDescent="0.25">
      <c r="A64" s="3" t="s">
        <v>54</v>
      </c>
      <c r="B64">
        <v>0.5</v>
      </c>
      <c r="C64">
        <v>0.52104177528081141</v>
      </c>
      <c r="D64">
        <v>0.51652112605848799</v>
      </c>
      <c r="E64">
        <v>0.49685833553094555</v>
      </c>
      <c r="F64">
        <v>0.49205552970545141</v>
      </c>
      <c r="G64">
        <v>0.49035234378915604</v>
      </c>
      <c r="H64">
        <v>0.49083832005169392</v>
      </c>
      <c r="I64">
        <v>0.4952004232650718</v>
      </c>
      <c r="J64">
        <v>0.49256431550401025</v>
      </c>
      <c r="K64">
        <v>0.48002313412283315</v>
      </c>
      <c r="L64">
        <v>0.46826578079747994</v>
      </c>
      <c r="M64">
        <v>0.45810393798337951</v>
      </c>
      <c r="N64">
        <v>0.44627519319958753</v>
      </c>
      <c r="O64">
        <v>0.43431727923964247</v>
      </c>
      <c r="P64">
        <v>0.42271991525881314</v>
      </c>
      <c r="Q64">
        <v>0.41048274907165483</v>
      </c>
      <c r="R64">
        <v>0.39793841431275584</v>
      </c>
      <c r="S64">
        <v>0.38563378911858098</v>
      </c>
      <c r="T64">
        <v>0.37296331760655599</v>
      </c>
      <c r="U64">
        <v>0.36152663218630521</v>
      </c>
      <c r="V64">
        <v>0.35116931087947051</v>
      </c>
      <c r="W64">
        <v>0.34151816916742883</v>
      </c>
      <c r="X64">
        <v>0.33220959329403427</v>
      </c>
      <c r="Y64">
        <v>0.32300453891064079</v>
      </c>
      <c r="Z64">
        <v>0.31410018050094252</v>
      </c>
      <c r="AA64">
        <v>0.30514862735882758</v>
      </c>
      <c r="AB64">
        <v>0.29617986322436329</v>
      </c>
      <c r="AC64">
        <v>0.28707693321702105</v>
      </c>
      <c r="AD64">
        <v>0.27787854459994743</v>
      </c>
      <c r="AE64">
        <v>0.26858750285367139</v>
      </c>
      <c r="AF64">
        <v>0.25918027681428457</v>
      </c>
      <c r="AG64">
        <v>0.24971992653481059</v>
      </c>
    </row>
    <row r="65" spans="1:40" x14ac:dyDescent="0.25">
      <c r="A65" s="3" t="s">
        <v>55</v>
      </c>
      <c r="B65">
        <v>0.3</v>
      </c>
      <c r="C65">
        <v>0.27895822471918863</v>
      </c>
      <c r="D65">
        <v>0.283478873941512</v>
      </c>
      <c r="E65">
        <v>0.30002404137584904</v>
      </c>
      <c r="F65">
        <v>0.30412470430787908</v>
      </c>
      <c r="G65">
        <v>0.30513934265941839</v>
      </c>
      <c r="H65">
        <v>0.30710761450601287</v>
      </c>
      <c r="I65">
        <v>0.30479957673492813</v>
      </c>
      <c r="J65">
        <v>0.30544822418152656</v>
      </c>
      <c r="K65">
        <v>0.30827266741267056</v>
      </c>
      <c r="L65">
        <v>0.31242033342183484</v>
      </c>
      <c r="M65">
        <v>0.31447630621700667</v>
      </c>
      <c r="N65">
        <v>0.3169321621042327</v>
      </c>
      <c r="O65">
        <v>0.32000111254245933</v>
      </c>
      <c r="P65">
        <v>0.32269063700704304</v>
      </c>
      <c r="Q65">
        <v>0.32518991801505592</v>
      </c>
      <c r="R65">
        <v>0.32806027064566307</v>
      </c>
      <c r="S65">
        <v>0.33067425579387039</v>
      </c>
      <c r="T65">
        <v>0.33333592313235927</v>
      </c>
      <c r="U65">
        <v>0.33669579925543452</v>
      </c>
      <c r="V65">
        <v>0.33914094587093702</v>
      </c>
      <c r="W65">
        <v>0.34185052107198538</v>
      </c>
      <c r="X65">
        <v>0.34397007037311744</v>
      </c>
      <c r="Y65">
        <v>0.34637551814957229</v>
      </c>
      <c r="Z65">
        <v>0.34836744746323578</v>
      </c>
      <c r="AA65">
        <v>0.3502761777754072</v>
      </c>
      <c r="AB65">
        <v>0.35215462423859001</v>
      </c>
      <c r="AC65">
        <v>0.35392042172346466</v>
      </c>
      <c r="AD65">
        <v>0.35557589059150185</v>
      </c>
      <c r="AE65">
        <v>0.35727041532442155</v>
      </c>
      <c r="AF65">
        <v>0.35889605662930896</v>
      </c>
      <c r="AG65">
        <v>0.36059008808829385</v>
      </c>
    </row>
    <row r="66" spans="1:40" x14ac:dyDescent="0.25">
      <c r="A66" s="3" t="s">
        <v>56</v>
      </c>
      <c r="B66">
        <v>0.2</v>
      </c>
      <c r="C66">
        <v>0.2</v>
      </c>
      <c r="D66">
        <v>0.19999999999999998</v>
      </c>
      <c r="E66">
        <v>0.20311762309320541</v>
      </c>
      <c r="F66">
        <v>0.20381976598666948</v>
      </c>
      <c r="G66">
        <v>0.20450831355142557</v>
      </c>
      <c r="H66">
        <v>0.20205406544229332</v>
      </c>
      <c r="I66">
        <v>0.19999999999999998</v>
      </c>
      <c r="J66">
        <v>0.20198746031446319</v>
      </c>
      <c r="K66">
        <v>0.21170419846449634</v>
      </c>
      <c r="L66">
        <v>0.21931388578068517</v>
      </c>
      <c r="M66">
        <v>0.22741975579961379</v>
      </c>
      <c r="N66">
        <v>0.23679264469617972</v>
      </c>
      <c r="O66">
        <v>0.2456816082178982</v>
      </c>
      <c r="P66">
        <v>0.25458944773414383</v>
      </c>
      <c r="Q66">
        <v>0.26432733291328919</v>
      </c>
      <c r="R66">
        <v>0.27400131504158109</v>
      </c>
      <c r="S66">
        <v>0.28369195508754852</v>
      </c>
      <c r="T66">
        <v>0.2937007592610848</v>
      </c>
      <c r="U66">
        <v>0.30177756855826032</v>
      </c>
      <c r="V66">
        <v>0.30968974324959242</v>
      </c>
      <c r="W66">
        <v>0.31663130976058579</v>
      </c>
      <c r="X66">
        <v>0.32382033633284829</v>
      </c>
      <c r="Y66">
        <v>0.33061994293978691</v>
      </c>
      <c r="Z66">
        <v>0.3375323720358217</v>
      </c>
      <c r="AA66">
        <v>0.3445751948657651</v>
      </c>
      <c r="AB66">
        <v>0.35166551253704664</v>
      </c>
      <c r="AC66">
        <v>0.35900264505951418</v>
      </c>
      <c r="AD66">
        <v>0.36654556480855072</v>
      </c>
      <c r="AE66">
        <v>0.37414208182190711</v>
      </c>
      <c r="AF66">
        <v>0.38192366655640653</v>
      </c>
      <c r="AG66">
        <v>0.38968998537689553</v>
      </c>
    </row>
    <row r="67" spans="1:40" x14ac:dyDescent="0.25">
      <c r="A67" s="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9" spans="1:40" ht="18" thickBot="1" x14ac:dyDescent="0.35">
      <c r="A69" s="4" t="s">
        <v>144</v>
      </c>
      <c r="B69" s="4"/>
      <c r="C69" s="4"/>
      <c r="D69" s="4"/>
      <c r="E69" s="4"/>
      <c r="F69" s="4"/>
      <c r="G69" s="4"/>
      <c r="H69" s="4"/>
    </row>
    <row r="70" spans="1:40" ht="15.75" thickTop="1" x14ac:dyDescent="0.25">
      <c r="A70" s="3">
        <v>2019</v>
      </c>
      <c r="B70" s="3">
        <v>2020</v>
      </c>
      <c r="C70" s="3">
        <v>2021</v>
      </c>
      <c r="D70" s="3">
        <v>2022</v>
      </c>
      <c r="E70" s="3">
        <v>2023</v>
      </c>
      <c r="F70" s="3">
        <v>2024</v>
      </c>
      <c r="G70" s="3">
        <v>2025</v>
      </c>
      <c r="H70" s="3">
        <v>2026</v>
      </c>
      <c r="I70" s="3">
        <v>2027</v>
      </c>
      <c r="J70" s="3">
        <v>2028</v>
      </c>
      <c r="K70" s="3">
        <v>2029</v>
      </c>
      <c r="L70" s="3">
        <v>2030</v>
      </c>
      <c r="M70" s="3">
        <v>2031</v>
      </c>
      <c r="N70" s="3">
        <v>2032</v>
      </c>
      <c r="O70" s="3">
        <v>2033</v>
      </c>
      <c r="P70" s="3">
        <v>2034</v>
      </c>
      <c r="Q70" s="3">
        <v>2035</v>
      </c>
      <c r="R70" s="3">
        <v>2036</v>
      </c>
      <c r="S70">
        <v>2037</v>
      </c>
      <c r="T70">
        <v>2038</v>
      </c>
      <c r="U70">
        <v>2039</v>
      </c>
      <c r="V70">
        <v>2040</v>
      </c>
      <c r="W70">
        <v>2041</v>
      </c>
      <c r="X70">
        <v>2042</v>
      </c>
      <c r="Y70">
        <v>2043</v>
      </c>
      <c r="Z70">
        <v>2044</v>
      </c>
      <c r="AA70">
        <v>2045</v>
      </c>
      <c r="AB70">
        <v>2046</v>
      </c>
      <c r="AC70">
        <v>2047</v>
      </c>
      <c r="AD70">
        <v>2048</v>
      </c>
      <c r="AE70">
        <v>2049</v>
      </c>
      <c r="AF70">
        <v>2050</v>
      </c>
    </row>
    <row r="71" spans="1:40" x14ac:dyDescent="0.25">
      <c r="A71">
        <v>0.3670146459012677</v>
      </c>
      <c r="B71">
        <v>0.33856823501224786</v>
      </c>
      <c r="C71">
        <v>0.42255797132499368</v>
      </c>
      <c r="D71">
        <v>0.42739295203893585</v>
      </c>
      <c r="E71">
        <v>0.42629272057286832</v>
      </c>
      <c r="F71">
        <v>0.42665159798166191</v>
      </c>
      <c r="G71">
        <v>0.42276851647993174</v>
      </c>
      <c r="H71">
        <v>0.41855766359980767</v>
      </c>
      <c r="I71">
        <v>0.42334501402977476</v>
      </c>
      <c r="J71">
        <v>0.43352601604953406</v>
      </c>
      <c r="K71">
        <v>0.44062563363823765</v>
      </c>
      <c r="L71">
        <v>0.45017242214028164</v>
      </c>
      <c r="M71">
        <v>0.46166678197359839</v>
      </c>
      <c r="N71">
        <v>0.47259722262437243</v>
      </c>
      <c r="O71">
        <v>0.48432709592496836</v>
      </c>
      <c r="P71">
        <v>0.49810139621869098</v>
      </c>
      <c r="Q71">
        <v>0.51219632282960958</v>
      </c>
      <c r="R71">
        <v>0.52751578225460893</v>
      </c>
      <c r="S71">
        <v>0.54439121769101251</v>
      </c>
      <c r="T71">
        <v>0.61417358251932652</v>
      </c>
      <c r="U71">
        <v>0.63061005875574128</v>
      </c>
      <c r="V71">
        <v>0.64516179920166183</v>
      </c>
      <c r="W71">
        <v>0.66188475929885227</v>
      </c>
      <c r="X71">
        <v>0.67766316717628683</v>
      </c>
      <c r="Y71">
        <v>0.6947122212757284</v>
      </c>
      <c r="Z71">
        <v>0.71309121800812003</v>
      </c>
      <c r="AA71">
        <v>0.73268428510464945</v>
      </c>
      <c r="AB71">
        <v>0.7542320543013229</v>
      </c>
      <c r="AC71">
        <v>0.7779897857689454</v>
      </c>
      <c r="AD71">
        <v>0.80349794080506487</v>
      </c>
      <c r="AE71">
        <v>0.83164268387947504</v>
      </c>
      <c r="AF71">
        <v>0.86168905809987639</v>
      </c>
      <c r="AG71" s="12"/>
      <c r="AH71" s="12"/>
      <c r="AI71" s="12"/>
      <c r="AJ71" s="12"/>
      <c r="AK71" s="12"/>
      <c r="AL71" s="12"/>
      <c r="AM71" s="12"/>
    </row>
    <row r="74" spans="1:40" x14ac:dyDescent="0.25">
      <c r="B74">
        <v>0.6</v>
      </c>
      <c r="C74">
        <v>0.4</v>
      </c>
    </row>
    <row r="75" spans="1:40" x14ac:dyDescent="0.25">
      <c r="C75" s="13"/>
    </row>
    <row r="76" spans="1:40" ht="18" thickBot="1" x14ac:dyDescent="0.35">
      <c r="A76" s="24" t="s">
        <v>146</v>
      </c>
      <c r="B76" s="24"/>
      <c r="C76" s="24"/>
      <c r="D76" s="24"/>
      <c r="E76" s="24"/>
    </row>
    <row r="77" spans="1:40" ht="15.75" thickTop="1" x14ac:dyDescent="0.25">
      <c r="B77">
        <v>2012</v>
      </c>
      <c r="C77">
        <v>2013</v>
      </c>
      <c r="D77">
        <v>2014</v>
      </c>
      <c r="E77">
        <v>2015</v>
      </c>
      <c r="F77">
        <v>2016</v>
      </c>
      <c r="G77">
        <v>2017</v>
      </c>
      <c r="H77">
        <v>2018</v>
      </c>
      <c r="I77">
        <v>2019</v>
      </c>
      <c r="J77">
        <v>2020</v>
      </c>
      <c r="K77">
        <v>2021</v>
      </c>
      <c r="L77">
        <v>2022</v>
      </c>
      <c r="M77">
        <v>2023</v>
      </c>
      <c r="N77">
        <v>2024</v>
      </c>
      <c r="O77">
        <v>2025</v>
      </c>
      <c r="P77">
        <v>2026</v>
      </c>
      <c r="Q77">
        <v>2027</v>
      </c>
      <c r="R77">
        <v>2028</v>
      </c>
      <c r="S77">
        <v>2029</v>
      </c>
      <c r="T77">
        <v>2030</v>
      </c>
      <c r="U77">
        <v>2031</v>
      </c>
      <c r="V77">
        <v>2032</v>
      </c>
      <c r="W77">
        <v>2033</v>
      </c>
      <c r="X77">
        <v>2034</v>
      </c>
      <c r="Y77">
        <v>2035</v>
      </c>
      <c r="Z77">
        <v>2036</v>
      </c>
      <c r="AA77">
        <v>2037</v>
      </c>
      <c r="AB77">
        <v>2038</v>
      </c>
      <c r="AC77">
        <v>2039</v>
      </c>
      <c r="AD77">
        <v>2040</v>
      </c>
      <c r="AE77">
        <v>2041</v>
      </c>
      <c r="AF77">
        <v>2042</v>
      </c>
      <c r="AG77">
        <v>2043</v>
      </c>
      <c r="AH77">
        <v>2044</v>
      </c>
      <c r="AI77">
        <v>2045</v>
      </c>
      <c r="AJ77">
        <v>2046</v>
      </c>
      <c r="AK77">
        <v>2047</v>
      </c>
      <c r="AL77">
        <v>2048</v>
      </c>
      <c r="AM77">
        <v>2049</v>
      </c>
      <c r="AN77">
        <v>2050</v>
      </c>
    </row>
    <row r="78" spans="1:40" x14ac:dyDescent="0.25">
      <c r="A78" t="s">
        <v>21</v>
      </c>
      <c r="B78" s="18">
        <v>1833.848514865675</v>
      </c>
      <c r="C78" s="18">
        <v>1885.3290641564624</v>
      </c>
      <c r="D78" s="18">
        <v>1928.39620119141</v>
      </c>
      <c r="E78" s="18">
        <v>1958.8493088941718</v>
      </c>
      <c r="F78" s="18">
        <v>1982.0850018792316</v>
      </c>
      <c r="G78" s="18">
        <v>2007.4248614758401</v>
      </c>
      <c r="H78" s="18">
        <v>2039.0412178243319</v>
      </c>
      <c r="I78" s="18">
        <v>2076.6421719562941</v>
      </c>
      <c r="J78" s="18">
        <v>1915.2315943142085</v>
      </c>
      <c r="K78" s="18">
        <v>1962.8101861547837</v>
      </c>
      <c r="L78" s="18">
        <v>2010.404875841102</v>
      </c>
      <c r="M78" s="18">
        <v>2059.207287688243</v>
      </c>
      <c r="N78" s="18">
        <v>2112.2911331940809</v>
      </c>
      <c r="O78" s="18">
        <v>2171.0739010622037</v>
      </c>
      <c r="P78" s="18">
        <v>2233.2299533244782</v>
      </c>
      <c r="Q78" s="18">
        <v>2300.2295467964586</v>
      </c>
      <c r="R78" s="18">
        <v>2371.3354894212043</v>
      </c>
      <c r="S78" s="18">
        <v>2450.3349917862779</v>
      </c>
      <c r="T78" s="18">
        <v>2531.7763216952389</v>
      </c>
      <c r="U78" s="18">
        <v>2623.0585462739341</v>
      </c>
      <c r="V78" s="18">
        <v>2719.8418952674906</v>
      </c>
      <c r="W78" s="18">
        <v>2822.4039676299853</v>
      </c>
      <c r="X78" s="18">
        <v>2927.6319924343343</v>
      </c>
      <c r="Y78" s="18">
        <v>3026.8908242379207</v>
      </c>
      <c r="Z78" s="18">
        <v>3129.3674890644361</v>
      </c>
      <c r="AA78" s="18">
        <v>3239.55378643735</v>
      </c>
      <c r="AB78" s="18">
        <v>3356.039411088097</v>
      </c>
      <c r="AC78" s="18">
        <v>3473.409555132459</v>
      </c>
      <c r="AD78" s="18">
        <v>3594.5289479496564</v>
      </c>
      <c r="AE78" s="18">
        <v>3720.9148035269563</v>
      </c>
      <c r="AF78" s="18">
        <v>3854.2956536683641</v>
      </c>
      <c r="AG78" s="18">
        <v>3995.7589124767237</v>
      </c>
      <c r="AH78" s="18">
        <v>4145.2991878494995</v>
      </c>
      <c r="AI78" s="18">
        <v>4305.728859646254</v>
      </c>
      <c r="AJ78" s="18">
        <v>4474.4706584146988</v>
      </c>
      <c r="AK78" s="18">
        <v>4651.827306349981</v>
      </c>
      <c r="AL78" s="18">
        <v>4830.5177051699948</v>
      </c>
      <c r="AM78" s="18">
        <v>5018.1870129939944</v>
      </c>
      <c r="AN78" s="18">
        <v>5216.725367304326</v>
      </c>
    </row>
    <row r="79" spans="1:40" x14ac:dyDescent="0.25">
      <c r="A79" t="s">
        <v>73</v>
      </c>
      <c r="B79" s="18">
        <v>69.817113338467777</v>
      </c>
      <c r="C79" s="18">
        <v>72.761066221971831</v>
      </c>
      <c r="D79" s="18">
        <v>75.417786274230096</v>
      </c>
      <c r="E79" s="18">
        <v>74.228063644953139</v>
      </c>
      <c r="F79" s="18">
        <v>73.253912583403391</v>
      </c>
      <c r="G79" s="18">
        <v>75.624260765221052</v>
      </c>
      <c r="H79" s="18">
        <v>74.442603519421056</v>
      </c>
      <c r="I79" s="18">
        <v>73.338661295724094</v>
      </c>
      <c r="J79" s="18">
        <v>70.375961777614208</v>
      </c>
      <c r="K79" s="18">
        <v>72.305075641796904</v>
      </c>
      <c r="L79" s="18">
        <v>74.371442907353909</v>
      </c>
      <c r="M79" s="18">
        <v>76.048826811658941</v>
      </c>
      <c r="N79" s="18">
        <v>77.801170864347739</v>
      </c>
      <c r="O79" s="18">
        <v>79.755069595965793</v>
      </c>
      <c r="P79" s="18">
        <v>81.643762512249495</v>
      </c>
      <c r="Q79" s="18">
        <v>83.518599074190277</v>
      </c>
      <c r="R79" s="18">
        <v>85.406273095829633</v>
      </c>
      <c r="S79" s="18">
        <v>87.515360564125572</v>
      </c>
      <c r="T79" s="18">
        <v>89.644668344577482</v>
      </c>
      <c r="U79" s="18">
        <v>92.074258386859</v>
      </c>
      <c r="V79" s="18">
        <v>94.467109235476059</v>
      </c>
      <c r="W79" s="18">
        <v>96.900524693578546</v>
      </c>
      <c r="X79" s="18">
        <v>99.449848341332199</v>
      </c>
      <c r="Y79" s="18">
        <v>101.58253196976366</v>
      </c>
      <c r="Z79" s="18">
        <v>103.81481786586789</v>
      </c>
      <c r="AA79" s="18">
        <v>106.29138004793593</v>
      </c>
      <c r="AB79" s="18">
        <v>108.94541199133269</v>
      </c>
      <c r="AC79" s="18">
        <v>111.52402257339763</v>
      </c>
      <c r="AD79" s="18">
        <v>114.08413621905542</v>
      </c>
      <c r="AE79" s="18">
        <v>116.66136699777962</v>
      </c>
      <c r="AF79" s="18">
        <v>119.42230056034572</v>
      </c>
      <c r="AG79" s="18">
        <v>122.4108523280607</v>
      </c>
      <c r="AH79" s="18">
        <v>125.6282721642884</v>
      </c>
      <c r="AI79" s="18">
        <v>129.0904668169519</v>
      </c>
      <c r="AJ79" s="18">
        <v>132.77592532882883</v>
      </c>
      <c r="AK79" s="18">
        <v>136.63731853615764</v>
      </c>
      <c r="AL79" s="18">
        <v>140.52207915499699</v>
      </c>
      <c r="AM79" s="18">
        <v>144.57664789311821</v>
      </c>
      <c r="AN79" s="18">
        <v>148.89999948370686</v>
      </c>
    </row>
    <row r="80" spans="1:40" x14ac:dyDescent="0.25">
      <c r="A80" t="s">
        <v>23</v>
      </c>
      <c r="B80" s="26">
        <v>123.2692368267648</v>
      </c>
      <c r="C80" s="26">
        <v>126.6845991055519</v>
      </c>
      <c r="D80" s="26">
        <v>127.52463678443432</v>
      </c>
      <c r="E80" s="26">
        <v>131.73277495808907</v>
      </c>
      <c r="F80" s="26">
        <v>129.91819475444953</v>
      </c>
      <c r="G80" s="26">
        <v>133.91893616252753</v>
      </c>
      <c r="H80" s="26">
        <v>133.1583190218615</v>
      </c>
      <c r="I80" s="26">
        <v>131.43894998775974</v>
      </c>
      <c r="J80" s="26">
        <v>120.28537088063834</v>
      </c>
      <c r="K80" s="26">
        <v>122.18845484351343</v>
      </c>
      <c r="L80" s="26">
        <v>123.94700863537518</v>
      </c>
      <c r="M80" s="26">
        <v>125.68777893924542</v>
      </c>
      <c r="N80" s="26">
        <v>127.64407947093463</v>
      </c>
      <c r="O80" s="26">
        <v>129.98831762953361</v>
      </c>
      <c r="P80" s="26">
        <v>132.45594613273045</v>
      </c>
      <c r="Q80" s="26">
        <v>135.07304974634042</v>
      </c>
      <c r="R80" s="26">
        <v>137.90253620238548</v>
      </c>
      <c r="S80" s="26">
        <v>141.47736692280355</v>
      </c>
      <c r="T80" s="26">
        <v>145.28841789644645</v>
      </c>
      <c r="U80" s="26">
        <v>149.79895254222379</v>
      </c>
      <c r="V80" s="26">
        <v>154.64188805095469</v>
      </c>
      <c r="W80" s="26">
        <v>159.90153643428582</v>
      </c>
      <c r="X80" s="26">
        <v>165.17928999845921</v>
      </c>
      <c r="Y80" s="26">
        <v>170.59426790947836</v>
      </c>
      <c r="Z80" s="26">
        <v>175.57059167292519</v>
      </c>
      <c r="AA80" s="26">
        <v>180.94176531655955</v>
      </c>
      <c r="AB80" s="26">
        <v>186.68028911367384</v>
      </c>
      <c r="AC80" s="26">
        <v>192.31753526931348</v>
      </c>
      <c r="AD80" s="26">
        <v>198.04149186947072</v>
      </c>
      <c r="AE80" s="26">
        <v>203.43988232241091</v>
      </c>
      <c r="AF80" s="26">
        <v>208.95885886699676</v>
      </c>
      <c r="AG80" s="26">
        <v>214.67351343900046</v>
      </c>
      <c r="AH80" s="26">
        <v>220.57450838685693</v>
      </c>
      <c r="AI80" s="26">
        <v>226.82030044627388</v>
      </c>
      <c r="AJ80" s="26">
        <v>233.72661814650394</v>
      </c>
      <c r="AK80" s="26">
        <v>241.01957701759684</v>
      </c>
      <c r="AL80" s="26">
        <v>248.21855932620224</v>
      </c>
      <c r="AM80" s="26">
        <v>255.75284504117138</v>
      </c>
      <c r="AN80" s="26">
        <v>263.7579496831184</v>
      </c>
    </row>
    <row r="81" spans="1:40" x14ac:dyDescent="0.25">
      <c r="A81" t="s">
        <v>151</v>
      </c>
      <c r="B81" s="26">
        <v>82.179491217843207</v>
      </c>
      <c r="C81" s="26">
        <v>84.456399403701269</v>
      </c>
      <c r="D81" s="26">
        <v>85.016424522956228</v>
      </c>
      <c r="E81" s="26">
        <v>87.821849972059397</v>
      </c>
      <c r="F81" s="26">
        <v>86.612129836299687</v>
      </c>
      <c r="G81" s="26">
        <v>89.279290775018353</v>
      </c>
      <c r="H81" s="26">
        <v>88.772212681241015</v>
      </c>
      <c r="I81" s="26">
        <v>87.625966658506499</v>
      </c>
      <c r="J81" s="26">
        <v>80.190247253758912</v>
      </c>
      <c r="K81" s="26">
        <v>81.458969895675637</v>
      </c>
      <c r="L81" s="26">
        <v>82.631339090250137</v>
      </c>
      <c r="M81" s="26">
        <v>83.791852626163632</v>
      </c>
      <c r="N81" s="26">
        <v>85.096052980623085</v>
      </c>
      <c r="O81" s="26">
        <v>86.658878419689074</v>
      </c>
      <c r="P81" s="26">
        <v>88.303964088486964</v>
      </c>
      <c r="Q81" s="26">
        <v>90.048699830893625</v>
      </c>
      <c r="R81" s="26">
        <v>91.935024134923651</v>
      </c>
      <c r="S81" s="26">
        <v>94.318244615202374</v>
      </c>
      <c r="T81" s="26">
        <v>96.858945264297645</v>
      </c>
      <c r="U81" s="26">
        <v>99.865968361482544</v>
      </c>
      <c r="V81" s="26">
        <v>103.0945920339698</v>
      </c>
      <c r="W81" s="26">
        <v>106.60102428952389</v>
      </c>
      <c r="X81" s="26">
        <v>110.11952666563948</v>
      </c>
      <c r="Y81" s="26">
        <v>113.72951193965226</v>
      </c>
      <c r="Z81" s="26">
        <v>117.04706111528347</v>
      </c>
      <c r="AA81" s="26">
        <v>120.62784354437304</v>
      </c>
      <c r="AB81" s="26">
        <v>124.45352607578258</v>
      </c>
      <c r="AC81" s="26">
        <v>128.21169017954233</v>
      </c>
      <c r="AD81" s="26">
        <v>132.02766124631384</v>
      </c>
      <c r="AE81" s="26">
        <v>135.6265882149406</v>
      </c>
      <c r="AF81" s="26">
        <v>139.30590591133119</v>
      </c>
      <c r="AG81" s="26">
        <v>143.1156756260003</v>
      </c>
      <c r="AH81" s="26">
        <v>147.04967225790463</v>
      </c>
      <c r="AI81" s="26">
        <v>151.21353363084924</v>
      </c>
      <c r="AJ81" s="26">
        <v>155.81774543100266</v>
      </c>
      <c r="AK81" s="26">
        <v>160.67971801173124</v>
      </c>
      <c r="AL81" s="26">
        <v>165.47903955080153</v>
      </c>
      <c r="AM81" s="26">
        <v>170.50189669411429</v>
      </c>
      <c r="AN81" s="26">
        <v>175.83863312207893</v>
      </c>
    </row>
    <row r="82" spans="1:40" x14ac:dyDescent="0.25">
      <c r="A82" t="s">
        <v>24</v>
      </c>
      <c r="B82" s="18">
        <v>93.09690942833106</v>
      </c>
      <c r="C82" s="18">
        <v>94.993446234646797</v>
      </c>
      <c r="D82" s="18">
        <v>96.334376455091899</v>
      </c>
      <c r="E82" s="18">
        <v>96.558459479520835</v>
      </c>
      <c r="F82" s="18">
        <v>97.644967398178593</v>
      </c>
      <c r="G82" s="18">
        <v>97.997517901418121</v>
      </c>
      <c r="H82" s="18">
        <v>98.770585701709422</v>
      </c>
      <c r="I82" s="18">
        <v>98.119583228591793</v>
      </c>
      <c r="J82" s="18">
        <v>92.704310909525347</v>
      </c>
      <c r="K82" s="18">
        <v>95.302015170250399</v>
      </c>
      <c r="L82" s="18">
        <v>97.873951127403927</v>
      </c>
      <c r="M82" s="18">
        <v>100.12304266959772</v>
      </c>
      <c r="N82" s="18">
        <v>102.48999010149339</v>
      </c>
      <c r="O82" s="18">
        <v>105.13398818583012</v>
      </c>
      <c r="P82" s="18">
        <v>107.75894250019913</v>
      </c>
      <c r="Q82" s="18">
        <v>110.43921652400797</v>
      </c>
      <c r="R82" s="18">
        <v>113.19311523175173</v>
      </c>
      <c r="S82" s="18">
        <v>116.19313454817348</v>
      </c>
      <c r="T82" s="18">
        <v>119.23091943008865</v>
      </c>
      <c r="U82" s="18">
        <v>122.76632748694639</v>
      </c>
      <c r="V82" s="18">
        <v>126.32151836598254</v>
      </c>
      <c r="W82" s="18">
        <v>129.99892814021447</v>
      </c>
      <c r="X82" s="18">
        <v>133.68380546488083</v>
      </c>
      <c r="Y82" s="18">
        <v>136.8905028847235</v>
      </c>
      <c r="Z82" s="18">
        <v>140.13262803543526</v>
      </c>
      <c r="AA82" s="18">
        <v>143.70523135706333</v>
      </c>
      <c r="AB82" s="18">
        <v>147.55938741644732</v>
      </c>
      <c r="AC82" s="18">
        <v>151.2430267254413</v>
      </c>
      <c r="AD82" s="18">
        <v>154.93056846812195</v>
      </c>
      <c r="AE82" s="18">
        <v>158.63092160480687</v>
      </c>
      <c r="AF82" s="18">
        <v>162.59199205284796</v>
      </c>
      <c r="AG82" s="18">
        <v>166.74722658664146</v>
      </c>
      <c r="AH82" s="18">
        <v>171.06846318621436</v>
      </c>
      <c r="AI82" s="18">
        <v>175.62977545331631</v>
      </c>
      <c r="AJ82" s="18">
        <v>180.47592934772433</v>
      </c>
      <c r="AK82" s="18">
        <v>185.50041239958938</v>
      </c>
      <c r="AL82" s="18">
        <v>190.83749920687805</v>
      </c>
      <c r="AM82" s="18">
        <v>196.44758768505764</v>
      </c>
      <c r="AN82" s="18">
        <v>202.48030442577863</v>
      </c>
    </row>
    <row r="83" spans="1:40" x14ac:dyDescent="0.25">
      <c r="A83" t="s">
        <v>25</v>
      </c>
      <c r="B83" s="18">
        <v>235.49802282756241</v>
      </c>
      <c r="C83" s="18">
        <v>241.94953807611751</v>
      </c>
      <c r="D83" s="18">
        <v>246.10207883069049</v>
      </c>
      <c r="E83" s="18">
        <v>249.26808877833665</v>
      </c>
      <c r="F83" s="18">
        <v>251.54882204993891</v>
      </c>
      <c r="G83" s="18">
        <v>253.07599948298898</v>
      </c>
      <c r="H83" s="18">
        <v>255.77309263879329</v>
      </c>
      <c r="I83" s="18">
        <v>256.23572258235538</v>
      </c>
      <c r="J83" s="18">
        <v>231.28138030647995</v>
      </c>
      <c r="K83" s="18">
        <v>237.95223439188939</v>
      </c>
      <c r="L83" s="18">
        <v>244.39448085745738</v>
      </c>
      <c r="M83" s="18">
        <v>250.91023744131132</v>
      </c>
      <c r="N83" s="18">
        <v>257.90899781538928</v>
      </c>
      <c r="O83" s="18">
        <v>265.6989056250797</v>
      </c>
      <c r="P83" s="18">
        <v>273.7401089972098</v>
      </c>
      <c r="Q83" s="18">
        <v>282.31823624896856</v>
      </c>
      <c r="R83" s="18">
        <v>291.33525297704807</v>
      </c>
      <c r="S83" s="18">
        <v>301.11957791504847</v>
      </c>
      <c r="T83" s="18">
        <v>311.0814313326411</v>
      </c>
      <c r="U83" s="18">
        <v>322.48376378096827</v>
      </c>
      <c r="V83" s="18">
        <v>334.43472148589382</v>
      </c>
      <c r="W83" s="18">
        <v>347.05083056743183</v>
      </c>
      <c r="X83" s="18">
        <v>359.8365174716975</v>
      </c>
      <c r="Y83" s="18">
        <v>371.51150356847677</v>
      </c>
      <c r="Z83" s="18">
        <v>383.8079346198117</v>
      </c>
      <c r="AA83" s="18">
        <v>397.22959296384062</v>
      </c>
      <c r="AB83" s="18">
        <v>411.58997837708171</v>
      </c>
      <c r="AC83" s="18">
        <v>425.94796779644503</v>
      </c>
      <c r="AD83" s="18">
        <v>440.74900411880907</v>
      </c>
      <c r="AE83" s="18">
        <v>455.86997686754319</v>
      </c>
      <c r="AF83" s="18">
        <v>471.87371914278049</v>
      </c>
      <c r="AG83" s="18">
        <v>488.83584467351818</v>
      </c>
      <c r="AH83" s="18">
        <v>506.72022872761801</v>
      </c>
      <c r="AI83" s="18">
        <v>525.87420201505483</v>
      </c>
      <c r="AJ83" s="18">
        <v>546.07585540462924</v>
      </c>
      <c r="AK83" s="18">
        <v>567.29726712327658</v>
      </c>
      <c r="AL83" s="18">
        <v>588.40836182194505</v>
      </c>
      <c r="AM83" s="18">
        <v>610.59115744265955</v>
      </c>
      <c r="AN83" s="18">
        <v>634.10648718903576</v>
      </c>
    </row>
    <row r="84" spans="1:40" x14ac:dyDescent="0.25">
      <c r="A84" t="s">
        <v>26</v>
      </c>
      <c r="B84" s="18">
        <v>17.781500762507285</v>
      </c>
      <c r="C84" s="18">
        <v>18.189599532275118</v>
      </c>
      <c r="D84" s="18">
        <v>18.519494173147685</v>
      </c>
      <c r="E84" s="18">
        <v>18.692324513083456</v>
      </c>
      <c r="F84" s="18">
        <v>18.990365626538715</v>
      </c>
      <c r="G84" s="18">
        <v>19.082967766641026</v>
      </c>
      <c r="H84" s="18">
        <v>19.374189074838732</v>
      </c>
      <c r="I84" s="18">
        <v>19.413900420182642</v>
      </c>
      <c r="J84" s="18">
        <v>17.944003758260617</v>
      </c>
      <c r="K84" s="18">
        <v>18.435100578531209</v>
      </c>
      <c r="L84" s="18">
        <v>18.907868430352945</v>
      </c>
      <c r="M84" s="18">
        <v>19.407017680170156</v>
      </c>
      <c r="N84" s="18">
        <v>19.925075221594977</v>
      </c>
      <c r="O84" s="18">
        <v>20.502240282253414</v>
      </c>
      <c r="P84" s="18">
        <v>21.132006843043495</v>
      </c>
      <c r="Q84" s="18">
        <v>21.781675172171447</v>
      </c>
      <c r="R84" s="18">
        <v>22.442962656122312</v>
      </c>
      <c r="S84" s="18">
        <v>23.189338930232626</v>
      </c>
      <c r="T84" s="18">
        <v>23.9533665831209</v>
      </c>
      <c r="U84" s="18">
        <v>24.81049190716378</v>
      </c>
      <c r="V84" s="18">
        <v>25.691187591926983</v>
      </c>
      <c r="W84" s="18">
        <v>26.587351472537012</v>
      </c>
      <c r="X84" s="18">
        <v>27.495469643756088</v>
      </c>
      <c r="Y84" s="18">
        <v>27.916764265085412</v>
      </c>
      <c r="Z84" s="18">
        <v>28.799944714158059</v>
      </c>
      <c r="AA84" s="18">
        <v>29.731851075810045</v>
      </c>
      <c r="AB84" s="18">
        <v>30.723433081292058</v>
      </c>
      <c r="AC84" s="18">
        <v>31.70480445277974</v>
      </c>
      <c r="AD84" s="18">
        <v>32.70552444689114</v>
      </c>
      <c r="AE84" s="18">
        <v>33.725394497516078</v>
      </c>
      <c r="AF84" s="18">
        <v>34.811384430668774</v>
      </c>
      <c r="AG84" s="18">
        <v>35.962542885195298</v>
      </c>
      <c r="AH84" s="18">
        <v>37.177908897611594</v>
      </c>
      <c r="AI84" s="18">
        <v>38.482911477928582</v>
      </c>
      <c r="AJ84" s="18">
        <v>39.852267972425778</v>
      </c>
      <c r="AK84" s="18">
        <v>41.285346907622447</v>
      </c>
      <c r="AL84" s="18">
        <v>42.729995212034616</v>
      </c>
      <c r="AM84" s="18">
        <v>44.252236985534118</v>
      </c>
      <c r="AN84" s="18">
        <v>45.862569254611302</v>
      </c>
    </row>
    <row r="85" spans="1:40" x14ac:dyDescent="0.25">
      <c r="A85" t="s">
        <v>27</v>
      </c>
      <c r="B85" s="18">
        <v>52.810230956689715</v>
      </c>
      <c r="C85" s="18">
        <v>54.245119171813215</v>
      </c>
      <c r="D85" s="18">
        <v>55.18306790095383</v>
      </c>
      <c r="E85" s="18">
        <v>55.676327175452201</v>
      </c>
      <c r="F85" s="18">
        <v>56.133957764403732</v>
      </c>
      <c r="G85" s="18">
        <v>56.466694909022188</v>
      </c>
      <c r="H85" s="18">
        <v>57.032194159691336</v>
      </c>
      <c r="I85" s="18">
        <v>57.003629108320098</v>
      </c>
      <c r="J85" s="18">
        <v>52.255194601806359</v>
      </c>
      <c r="K85" s="18">
        <v>53.62355966559889</v>
      </c>
      <c r="L85" s="18">
        <v>54.966221313123441</v>
      </c>
      <c r="M85" s="18">
        <v>56.279539490650862</v>
      </c>
      <c r="N85" s="18">
        <v>57.699574969640054</v>
      </c>
      <c r="O85" s="18">
        <v>59.302932577207542</v>
      </c>
      <c r="P85" s="18">
        <v>60.948400502738096</v>
      </c>
      <c r="Q85" s="18">
        <v>62.674516435258795</v>
      </c>
      <c r="R85" s="18">
        <v>64.500156359871809</v>
      </c>
      <c r="S85" s="18">
        <v>66.540037042527302</v>
      </c>
      <c r="T85" s="18">
        <v>68.617005000770646</v>
      </c>
      <c r="U85" s="18">
        <v>70.974904755369693</v>
      </c>
      <c r="V85" s="18">
        <v>73.425239401493684</v>
      </c>
      <c r="W85" s="18">
        <v>75.997213183651027</v>
      </c>
      <c r="X85" s="18">
        <v>78.594699331415796</v>
      </c>
      <c r="Y85" s="18">
        <v>80.959331818107628</v>
      </c>
      <c r="Z85" s="18">
        <v>83.425132814381897</v>
      </c>
      <c r="AA85" s="18">
        <v>86.073823732962524</v>
      </c>
      <c r="AB85" s="18">
        <v>88.909499209733525</v>
      </c>
      <c r="AC85" s="18">
        <v>91.711372118068766</v>
      </c>
      <c r="AD85" s="18">
        <v>94.5770877473757</v>
      </c>
      <c r="AE85" s="18">
        <v>97.476691137003115</v>
      </c>
      <c r="AF85" s="18">
        <v>100.56625787510568</v>
      </c>
      <c r="AG85" s="18">
        <v>103.8467132857627</v>
      </c>
      <c r="AH85" s="18">
        <v>107.30747576555298</v>
      </c>
      <c r="AI85" s="18">
        <v>111.01926991252481</v>
      </c>
      <c r="AJ85" s="18">
        <v>114.98756274097082</v>
      </c>
      <c r="AK85" s="18">
        <v>119.14641325192684</v>
      </c>
      <c r="AL85" s="18">
        <v>123.32639329043802</v>
      </c>
      <c r="AM85" s="18">
        <v>127.70966554090654</v>
      </c>
      <c r="AN85" s="18">
        <v>132.36719475450298</v>
      </c>
    </row>
    <row r="86" spans="1:40" x14ac:dyDescent="0.25">
      <c r="A86" t="s">
        <v>28</v>
      </c>
      <c r="B86" s="18">
        <v>14.11335055811956</v>
      </c>
      <c r="C86" s="18">
        <v>14.529285948229166</v>
      </c>
      <c r="D86" s="18">
        <v>14.792917934511397</v>
      </c>
      <c r="E86" s="18">
        <v>15.037620245798024</v>
      </c>
      <c r="F86" s="18">
        <v>15.211889470186245</v>
      </c>
      <c r="G86" s="18">
        <v>15.372585006286357</v>
      </c>
      <c r="H86" s="18">
        <v>15.57343100248616</v>
      </c>
      <c r="I86" s="18">
        <v>15.632663118419302</v>
      </c>
      <c r="J86" s="18">
        <v>14.281790439496202</v>
      </c>
      <c r="K86" s="18">
        <v>14.678591596985113</v>
      </c>
      <c r="L86" s="18">
        <v>15.06461521129952</v>
      </c>
      <c r="M86" s="18">
        <v>15.46083557534152</v>
      </c>
      <c r="N86" s="18">
        <v>15.890762760607563</v>
      </c>
      <c r="O86" s="18">
        <v>16.370572396708098</v>
      </c>
      <c r="P86" s="18">
        <v>16.864063367703142</v>
      </c>
      <c r="Q86" s="18">
        <v>17.3952194321595</v>
      </c>
      <c r="R86" s="18">
        <v>17.952401379573427</v>
      </c>
      <c r="S86" s="18">
        <v>18.559266429108813</v>
      </c>
      <c r="T86" s="18">
        <v>19.177459569098534</v>
      </c>
      <c r="U86" s="18">
        <v>19.877574709061882</v>
      </c>
      <c r="V86" s="18">
        <v>20.61069469066333</v>
      </c>
      <c r="W86" s="18">
        <v>21.382940226614938</v>
      </c>
      <c r="X86" s="18">
        <v>22.163541490088175</v>
      </c>
      <c r="Y86" s="18">
        <v>22.879945957790131</v>
      </c>
      <c r="Z86" s="18">
        <v>23.637355820597676</v>
      </c>
      <c r="AA86" s="18">
        <v>24.460798193899048</v>
      </c>
      <c r="AB86" s="18">
        <v>25.343805679701738</v>
      </c>
      <c r="AC86" s="18">
        <v>26.232665727560232</v>
      </c>
      <c r="AD86" s="18">
        <v>27.155103698050855</v>
      </c>
      <c r="AE86" s="18">
        <v>28.094159252556153</v>
      </c>
      <c r="AF86" s="18">
        <v>29.084906230815911</v>
      </c>
      <c r="AG86" s="18">
        <v>30.143829470957463</v>
      </c>
      <c r="AH86" s="18">
        <v>31.260506113270068</v>
      </c>
      <c r="AI86" s="18">
        <v>32.456430029256332</v>
      </c>
      <c r="AJ86" s="18">
        <v>33.714449511721448</v>
      </c>
      <c r="AK86" s="18">
        <v>35.03400388217112</v>
      </c>
      <c r="AL86" s="18">
        <v>36.353176091755827</v>
      </c>
      <c r="AM86" s="18">
        <v>37.73572981913145</v>
      </c>
      <c r="AN86" s="18">
        <v>39.194910433110081</v>
      </c>
    </row>
    <row r="87" spans="1:40" x14ac:dyDescent="0.25">
      <c r="A87" t="s">
        <v>29</v>
      </c>
      <c r="B87" s="18">
        <v>13.345629432701729</v>
      </c>
      <c r="C87" s="18">
        <v>13.88856633822615</v>
      </c>
      <c r="D87" s="18">
        <v>14.23042630100378</v>
      </c>
      <c r="E87" s="18">
        <v>14.650080326208252</v>
      </c>
      <c r="F87" s="18">
        <v>14.737373657407572</v>
      </c>
      <c r="G87" s="18">
        <v>14.865669908290192</v>
      </c>
      <c r="H87" s="18">
        <v>14.890586998774422</v>
      </c>
      <c r="I87" s="18">
        <v>14.775538776469551</v>
      </c>
      <c r="J87" s="18">
        <v>12.847283577010501</v>
      </c>
      <c r="K87" s="18">
        <v>13.20942691569933</v>
      </c>
      <c r="L87" s="18">
        <v>13.489589011782209</v>
      </c>
      <c r="M87" s="18">
        <v>13.773528288625783</v>
      </c>
      <c r="N87" s="18">
        <v>14.078274783100348</v>
      </c>
      <c r="O87" s="18">
        <v>14.470582529453081</v>
      </c>
      <c r="P87" s="18">
        <v>14.825189683200671</v>
      </c>
      <c r="Q87" s="18">
        <v>15.189003854507641</v>
      </c>
      <c r="R87" s="18">
        <v>15.574353325980528</v>
      </c>
      <c r="S87" s="18">
        <v>16.059010445012778</v>
      </c>
      <c r="T87" s="18">
        <v>16.545121416580706</v>
      </c>
      <c r="U87" s="18">
        <v>17.139271863896138</v>
      </c>
      <c r="V87" s="18">
        <v>17.740782754841227</v>
      </c>
      <c r="W87" s="18">
        <v>18.375930295126619</v>
      </c>
      <c r="X87" s="18">
        <v>18.985030537859622</v>
      </c>
      <c r="Y87" s="18">
        <v>19.522983188324005</v>
      </c>
      <c r="Z87" s="18">
        <v>20.050091930418269</v>
      </c>
      <c r="AA87" s="18">
        <v>20.746246324700902</v>
      </c>
      <c r="AB87" s="18">
        <v>21.36292428421223</v>
      </c>
      <c r="AC87" s="18">
        <v>21.959544985491799</v>
      </c>
      <c r="AD87" s="18">
        <v>22.56015403253036</v>
      </c>
      <c r="AE87" s="18">
        <v>23.116520568045249</v>
      </c>
      <c r="AF87" s="18">
        <v>23.706573048006632</v>
      </c>
      <c r="AG87" s="18">
        <v>24.330010177173204</v>
      </c>
      <c r="AH87" s="18">
        <v>24.981849403465421</v>
      </c>
      <c r="AI87" s="18">
        <v>25.67805925953359</v>
      </c>
      <c r="AJ87" s="18">
        <v>26.484367100883127</v>
      </c>
      <c r="AK87" s="18">
        <v>27.32545250660927</v>
      </c>
      <c r="AL87" s="18">
        <v>28.139565213567323</v>
      </c>
      <c r="AM87" s="18">
        <v>28.984092527487629</v>
      </c>
      <c r="AN87" s="18">
        <v>29.878966996482575</v>
      </c>
    </row>
    <row r="88" spans="1:40" x14ac:dyDescent="0.25">
      <c r="A88" t="s">
        <v>30</v>
      </c>
      <c r="B88" s="18">
        <v>10.112362730184675</v>
      </c>
      <c r="C88" s="18">
        <v>8.5040411249539964</v>
      </c>
      <c r="D88" s="18">
        <v>7.784491547386529</v>
      </c>
      <c r="E88" s="18">
        <v>7.8869957375456359</v>
      </c>
      <c r="F88" s="18">
        <v>7.6498178254625797</v>
      </c>
      <c r="G88" s="18">
        <v>7.3431413818304856</v>
      </c>
      <c r="H88" s="18">
        <v>7.1864565939413234</v>
      </c>
      <c r="I88" s="18">
        <v>6.8812332740651714</v>
      </c>
      <c r="J88" s="18">
        <v>5.5992862977534568</v>
      </c>
      <c r="K88" s="18">
        <v>5.7341894840445793</v>
      </c>
      <c r="L88" s="18">
        <v>5.7866222491391648</v>
      </c>
      <c r="M88" s="18">
        <v>5.840496142866928</v>
      </c>
      <c r="N88" s="18">
        <v>5.9286574884635952</v>
      </c>
      <c r="O88" s="18">
        <v>6.0812507942852525</v>
      </c>
      <c r="P88" s="18">
        <v>6.2192974202882096</v>
      </c>
      <c r="Q88" s="18">
        <v>6.3662963283424023</v>
      </c>
      <c r="R88" s="18">
        <v>6.5276887149857554</v>
      </c>
      <c r="S88" s="18">
        <v>6.7871544589385726</v>
      </c>
      <c r="T88" s="18">
        <v>7.0701556814234481</v>
      </c>
      <c r="U88" s="18">
        <v>7.4309073946525315</v>
      </c>
      <c r="V88" s="18">
        <v>7.8155635114134849</v>
      </c>
      <c r="W88" s="18">
        <v>8.2355530532491592</v>
      </c>
      <c r="X88" s="18">
        <v>8.6546524623416072</v>
      </c>
      <c r="Y88" s="18">
        <v>9.0576796935178692</v>
      </c>
      <c r="Z88" s="18">
        <v>9.4348472755690143</v>
      </c>
      <c r="AA88" s="18">
        <v>9.8425637018627921</v>
      </c>
      <c r="AB88" s="18">
        <v>10.285140631781458</v>
      </c>
      <c r="AC88" s="18">
        <v>10.710157672238857</v>
      </c>
      <c r="AD88" s="18">
        <v>11.128823515036686</v>
      </c>
      <c r="AE88" s="18">
        <v>11.46733687246021</v>
      </c>
      <c r="AF88" s="18">
        <v>11.783562378235207</v>
      </c>
      <c r="AG88" s="18">
        <v>12.081804636314359</v>
      </c>
      <c r="AH88" s="18">
        <v>12.360430121812234</v>
      </c>
      <c r="AI88" s="18">
        <v>12.630138347688771</v>
      </c>
      <c r="AJ88" s="18">
        <v>12.960341207680875</v>
      </c>
      <c r="AK88" s="18">
        <v>13.300477852696885</v>
      </c>
      <c r="AL88" s="18">
        <v>13.620251502395988</v>
      </c>
      <c r="AM88" s="18">
        <v>13.940449308014085</v>
      </c>
      <c r="AN88" s="18">
        <v>14.271458563899428</v>
      </c>
    </row>
    <row r="89" spans="1:40" x14ac:dyDescent="0.25">
      <c r="A89" t="s">
        <v>31</v>
      </c>
      <c r="B89" s="18">
        <v>1.2396211872289537E-4</v>
      </c>
      <c r="C89" s="18">
        <v>1.3695422009881513E-4</v>
      </c>
      <c r="D89" s="18">
        <v>1.4914555552202771E-4</v>
      </c>
      <c r="E89" s="18">
        <v>1.4546157642812341E-4</v>
      </c>
      <c r="F89" s="18">
        <v>1.4279518961318394E-4</v>
      </c>
      <c r="G89" s="18">
        <v>1.3966781494797052E-4</v>
      </c>
      <c r="H89" s="18">
        <v>1.4671108490655016E-4</v>
      </c>
      <c r="I89" s="18">
        <v>1.4680049685268729E-4</v>
      </c>
      <c r="J89" s="18">
        <v>1.1252323073074771E-4</v>
      </c>
      <c r="K89" s="18">
        <v>1.2307790272328019E-4</v>
      </c>
      <c r="L89" s="18">
        <v>1.2639716564333281E-4</v>
      </c>
      <c r="M89" s="18">
        <v>1.2948644109559701E-4</v>
      </c>
      <c r="N89" s="18">
        <v>1.3374558197776801E-4</v>
      </c>
      <c r="O89" s="18">
        <v>1.4220168231537909E-4</v>
      </c>
      <c r="P89" s="18">
        <v>1.4584764604876969E-4</v>
      </c>
      <c r="Q89" s="18">
        <v>1.4860971012578352E-4</v>
      </c>
      <c r="R89" s="18">
        <v>1.512850982669578E-4</v>
      </c>
      <c r="S89" s="18">
        <v>1.2381549819444655E-4</v>
      </c>
      <c r="T89" s="18">
        <v>1.2379249864902822E-4</v>
      </c>
      <c r="U89" s="18">
        <v>1.2370521753358654E-4</v>
      </c>
      <c r="V89" s="18">
        <v>1.2362748054182927E-4</v>
      </c>
      <c r="W89" s="18">
        <v>1.2354349043632777E-4</v>
      </c>
      <c r="X89" s="18">
        <v>1.2350315089133343E-4</v>
      </c>
      <c r="Y89" s="18">
        <v>1.2350315089133343E-4</v>
      </c>
      <c r="Z89" s="18">
        <v>1.2350315089133332E-4</v>
      </c>
      <c r="AA89" s="18">
        <v>1.2350315089133332E-4</v>
      </c>
      <c r="AB89" s="18">
        <v>1.2349298139864001E-4</v>
      </c>
      <c r="AC89" s="18">
        <v>1.2348359525330571E-4</v>
      </c>
      <c r="AD89" s="18">
        <v>1.2347692682499546E-4</v>
      </c>
      <c r="AE89" s="18">
        <v>1.2346318171867763E-4</v>
      </c>
      <c r="AF89" s="18">
        <v>1.2346318171867763E-4</v>
      </c>
      <c r="AG89" s="18">
        <v>1.2346318171867766E-4</v>
      </c>
      <c r="AH89" s="18">
        <v>1.2346318171867766E-4</v>
      </c>
      <c r="AI89" s="18">
        <v>1.2346318171867771E-4</v>
      </c>
      <c r="AJ89" s="18">
        <v>1.2346318171867768E-4</v>
      </c>
      <c r="AK89" s="18">
        <v>1.2346318171867771E-4</v>
      </c>
      <c r="AL89" s="18">
        <v>1.234437818749194E-4</v>
      </c>
      <c r="AM89" s="18">
        <v>1.2341340744386161E-4</v>
      </c>
      <c r="AN89" s="18">
        <v>1.2337477954072176E-4</v>
      </c>
    </row>
    <row r="90" spans="1:40" x14ac:dyDescent="0.25">
      <c r="A90" t="s">
        <v>32</v>
      </c>
      <c r="B90" s="18">
        <v>84.250557323843438</v>
      </c>
      <c r="C90" s="18">
        <v>82.81129596603968</v>
      </c>
      <c r="D90" s="18">
        <v>81.075741423201265</v>
      </c>
      <c r="E90" s="18">
        <v>79.093845627180855</v>
      </c>
      <c r="F90" s="18">
        <v>77.164041185730042</v>
      </c>
      <c r="G90" s="18">
        <v>76.937717608149342</v>
      </c>
      <c r="H90" s="18">
        <v>76.724427192604097</v>
      </c>
      <c r="I90" s="18">
        <v>76.425620376368414</v>
      </c>
      <c r="J90" s="18">
        <v>70.183029353302913</v>
      </c>
      <c r="K90" s="18">
        <v>73.006988976034165</v>
      </c>
      <c r="L90" s="18">
        <v>72.820938025181761</v>
      </c>
      <c r="M90" s="18">
        <v>73.775854201320513</v>
      </c>
      <c r="N90" s="18">
        <v>74.923675022788373</v>
      </c>
      <c r="O90" s="18">
        <v>76.474595932696758</v>
      </c>
      <c r="P90" s="18">
        <v>77.320112773260362</v>
      </c>
      <c r="Q90" s="18">
        <v>78.659217596876843</v>
      </c>
      <c r="R90" s="18">
        <v>80.001452073539056</v>
      </c>
      <c r="S90" s="18">
        <v>82.191264176921962</v>
      </c>
      <c r="T90" s="18">
        <v>84.396391236931905</v>
      </c>
      <c r="U90" s="18">
        <v>86.558480898584037</v>
      </c>
      <c r="V90" s="18">
        <v>89.123317463689006</v>
      </c>
      <c r="W90" s="18">
        <v>91.908065300654314</v>
      </c>
      <c r="X90" s="18">
        <v>94.365506481626667</v>
      </c>
      <c r="Y90" s="18">
        <v>94.653432936841739</v>
      </c>
      <c r="Z90" s="18">
        <v>96.801149280843958</v>
      </c>
      <c r="AA90" s="18">
        <v>99.034931126986663</v>
      </c>
      <c r="AB90" s="18">
        <v>102.8787753256952</v>
      </c>
      <c r="AC90" s="18">
        <v>106.67814364081399</v>
      </c>
      <c r="AD90" s="18">
        <v>110.42833075004675</v>
      </c>
      <c r="AE90" s="18">
        <v>113.43078156980397</v>
      </c>
      <c r="AF90" s="18">
        <v>116.12339815187033</v>
      </c>
      <c r="AG90" s="18">
        <v>118.74876225606278</v>
      </c>
      <c r="AH90" s="18">
        <v>121.22944464966906</v>
      </c>
      <c r="AI90" s="18">
        <v>123.62815260112532</v>
      </c>
      <c r="AJ90" s="18">
        <v>126.78322335532275</v>
      </c>
      <c r="AK90" s="18">
        <v>129.84827947131691</v>
      </c>
      <c r="AL90" s="18">
        <v>133.19576547496635</v>
      </c>
      <c r="AM90" s="18">
        <v>136.8948281006675</v>
      </c>
      <c r="AN90" s="18">
        <v>140.91072639414494</v>
      </c>
    </row>
    <row r="91" spans="1:40" x14ac:dyDescent="0.25">
      <c r="A91" t="s">
        <v>33</v>
      </c>
      <c r="B91" s="18">
        <v>21.151207305916373</v>
      </c>
      <c r="C91" s="18">
        <v>22.499179969510678</v>
      </c>
      <c r="D91" s="18">
        <v>24.191488148884012</v>
      </c>
      <c r="E91" s="18">
        <v>25.430939271439531</v>
      </c>
      <c r="F91" s="18">
        <v>26.280374840429307</v>
      </c>
      <c r="G91" s="18">
        <v>28.213837417598356</v>
      </c>
      <c r="H91" s="18">
        <v>30.418235084806355</v>
      </c>
      <c r="I91" s="18">
        <v>31.872600449723471</v>
      </c>
      <c r="J91" s="18">
        <v>30.529693994834542</v>
      </c>
      <c r="K91" s="18">
        <v>31.84833808160041</v>
      </c>
      <c r="L91" s="18">
        <v>33.274928910999627</v>
      </c>
      <c r="M91" s="18">
        <v>34.81258853979967</v>
      </c>
      <c r="N91" s="18">
        <v>36.53258422607145</v>
      </c>
      <c r="O91" s="18">
        <v>38.475879371516619</v>
      </c>
      <c r="P91" s="18">
        <v>40.547758380242612</v>
      </c>
      <c r="Q91" s="18">
        <v>42.781868056686605</v>
      </c>
      <c r="R91" s="18">
        <v>45.171605268573586</v>
      </c>
      <c r="S91" s="18">
        <v>47.86493181279122</v>
      </c>
      <c r="T91" s="18">
        <v>50.736754810090829</v>
      </c>
      <c r="U91" s="18">
        <v>53.912589397002129</v>
      </c>
      <c r="V91" s="18">
        <v>57.281748620919018</v>
      </c>
      <c r="W91" s="18">
        <v>60.894907069687825</v>
      </c>
      <c r="X91" s="18">
        <v>64.610396047378245</v>
      </c>
      <c r="Y91" s="18">
        <v>68.379717303480916</v>
      </c>
      <c r="Z91" s="18">
        <v>72.259899929069761</v>
      </c>
      <c r="AA91" s="18">
        <v>76.493819486757786</v>
      </c>
      <c r="AB91" s="18">
        <v>81.444864101084079</v>
      </c>
      <c r="AC91" s="18">
        <v>86.710409160072842</v>
      </c>
      <c r="AD91" s="18">
        <v>92.434945700919826</v>
      </c>
      <c r="AE91" s="18">
        <v>98.268590350568573</v>
      </c>
      <c r="AF91" s="18">
        <v>104.34467658007476</v>
      </c>
      <c r="AG91" s="18">
        <v>110.67746380976553</v>
      </c>
      <c r="AH91" s="18">
        <v>117.27237330302799</v>
      </c>
      <c r="AI91" s="18">
        <v>124.19735283808427</v>
      </c>
      <c r="AJ91" s="18">
        <v>131.34077150611236</v>
      </c>
      <c r="AK91" s="18">
        <v>138.71734173085727</v>
      </c>
      <c r="AL91" s="18">
        <v>145.97369717802786</v>
      </c>
      <c r="AM91" s="18">
        <v>153.43314131796552</v>
      </c>
      <c r="AN91" s="18">
        <v>161.24078849811681</v>
      </c>
    </row>
    <row r="92" spans="1:40" x14ac:dyDescent="0.25">
      <c r="A92" t="s">
        <v>34</v>
      </c>
      <c r="B92" s="18">
        <v>135.95535691221784</v>
      </c>
      <c r="C92" s="18">
        <v>139.6930871386345</v>
      </c>
      <c r="D92" s="18">
        <v>142.53185682907349</v>
      </c>
      <c r="E92" s="18">
        <v>143.97840508252531</v>
      </c>
      <c r="F92" s="18">
        <v>144.89697158831373</v>
      </c>
      <c r="G92" s="18">
        <v>146.66852466159426</v>
      </c>
      <c r="H92" s="18">
        <v>148.40851369632202</v>
      </c>
      <c r="I92" s="18">
        <v>149.18900118137717</v>
      </c>
      <c r="J92" s="18">
        <v>137.77801358505732</v>
      </c>
      <c r="K92" s="18">
        <v>140.97100285380822</v>
      </c>
      <c r="L92" s="18">
        <v>144.15772666023415</v>
      </c>
      <c r="M92" s="18">
        <v>147.43807262661258</v>
      </c>
      <c r="N92" s="18">
        <v>151.04633792655628</v>
      </c>
      <c r="O92" s="18">
        <v>154.98715479368963</v>
      </c>
      <c r="P92" s="18">
        <v>159.09021555154268</v>
      </c>
      <c r="Q92" s="18">
        <v>163.47787995346616</v>
      </c>
      <c r="R92" s="18">
        <v>168.18100936864192</v>
      </c>
      <c r="S92" s="18">
        <v>173.26383315772949</v>
      </c>
      <c r="T92" s="18">
        <v>178.43307881829242</v>
      </c>
      <c r="U92" s="18">
        <v>184.05669939314808</v>
      </c>
      <c r="V92" s="18">
        <v>190.00615924048742</v>
      </c>
      <c r="W92" s="18">
        <v>196.27368424773437</v>
      </c>
      <c r="X92" s="18">
        <v>202.66173951495387</v>
      </c>
      <c r="Y92" s="18">
        <v>208.71731760101491</v>
      </c>
      <c r="Z92" s="18">
        <v>215.00842614463681</v>
      </c>
      <c r="AA92" s="18">
        <v>221.66434795418635</v>
      </c>
      <c r="AB92" s="18">
        <v>228.53362975270883</v>
      </c>
      <c r="AC92" s="18">
        <v>235.33652123064408</v>
      </c>
      <c r="AD92" s="18">
        <v>242.33227034357745</v>
      </c>
      <c r="AE92" s="18">
        <v>249.91204902037566</v>
      </c>
      <c r="AF92" s="18">
        <v>257.97422216610948</v>
      </c>
      <c r="AG92" s="18">
        <v>266.54247647722758</v>
      </c>
      <c r="AH92" s="18">
        <v>275.60146219383819</v>
      </c>
      <c r="AI92" s="18">
        <v>285.31671044817875</v>
      </c>
      <c r="AJ92" s="18">
        <v>295.37254285875559</v>
      </c>
      <c r="AK92" s="18">
        <v>305.9265384512945</v>
      </c>
      <c r="AL92" s="18">
        <v>316.4520934069472</v>
      </c>
      <c r="AM92" s="18">
        <v>327.51114587494573</v>
      </c>
      <c r="AN92" s="18">
        <v>339.27051298002249</v>
      </c>
    </row>
    <row r="93" spans="1:40" x14ac:dyDescent="0.25">
      <c r="A93" t="s">
        <v>35</v>
      </c>
      <c r="B93" s="18">
        <v>11.263564724197595</v>
      </c>
      <c r="C93" s="18">
        <v>11.564880744073186</v>
      </c>
      <c r="D93" s="18">
        <v>11.895169876208239</v>
      </c>
      <c r="E93" s="18">
        <v>12.101680341615882</v>
      </c>
      <c r="F93" s="18">
        <v>12.16381438507412</v>
      </c>
      <c r="G93" s="18">
        <v>12.307235497004221</v>
      </c>
      <c r="H93" s="18">
        <v>12.581022932216117</v>
      </c>
      <c r="I93" s="18">
        <v>12.733958410018209</v>
      </c>
      <c r="J93" s="18">
        <v>11.93755402627886</v>
      </c>
      <c r="K93" s="18">
        <v>12.277780237899368</v>
      </c>
      <c r="L93" s="18">
        <v>12.557250687384618</v>
      </c>
      <c r="M93" s="18">
        <v>12.793378222995578</v>
      </c>
      <c r="N93" s="18">
        <v>13.036322519292622</v>
      </c>
      <c r="O93" s="18">
        <v>13.286940771538248</v>
      </c>
      <c r="P93" s="18">
        <v>13.545669961198996</v>
      </c>
      <c r="Q93" s="18">
        <v>13.80676545376984</v>
      </c>
      <c r="R93" s="18">
        <v>14.076101661490402</v>
      </c>
      <c r="S93" s="18">
        <v>14.371453847552608</v>
      </c>
      <c r="T93" s="18">
        <v>14.760588271266236</v>
      </c>
      <c r="U93" s="18">
        <v>15.23474583861146</v>
      </c>
      <c r="V93" s="18">
        <v>15.647120386483884</v>
      </c>
      <c r="W93" s="18">
        <v>16.067124524632394</v>
      </c>
      <c r="X93" s="18">
        <v>16.478844045197746</v>
      </c>
      <c r="Y93" s="18">
        <v>16.842332375876932</v>
      </c>
      <c r="Z93" s="18">
        <v>17.219856768272415</v>
      </c>
      <c r="AA93" s="18">
        <v>17.622715561748304</v>
      </c>
      <c r="AB93" s="18">
        <v>18.046476500857466</v>
      </c>
      <c r="AC93" s="18">
        <v>18.480843075922849</v>
      </c>
      <c r="AD93" s="18">
        <v>18.909599207781124</v>
      </c>
      <c r="AE93" s="18">
        <v>19.370893478603456</v>
      </c>
      <c r="AF93" s="18">
        <v>19.835461372348842</v>
      </c>
      <c r="AG93" s="18">
        <v>20.319691314309026</v>
      </c>
      <c r="AH93" s="18">
        <v>20.817050191681421</v>
      </c>
      <c r="AI93" s="18">
        <v>21.351716835967462</v>
      </c>
      <c r="AJ93" s="18">
        <v>21.902618208704439</v>
      </c>
      <c r="AK93" s="18">
        <v>22.488150657253883</v>
      </c>
      <c r="AL93" s="18">
        <v>23.084221928358826</v>
      </c>
      <c r="AM93" s="18">
        <v>23.714998418964051</v>
      </c>
      <c r="AN93" s="18">
        <v>24.392267247387995</v>
      </c>
    </row>
    <row r="94" spans="1:40" x14ac:dyDescent="0.25">
      <c r="A94" t="s">
        <v>36</v>
      </c>
      <c r="B94" s="18">
        <v>1.1351531206547518</v>
      </c>
      <c r="C94" s="18">
        <v>1.15711322653161</v>
      </c>
      <c r="D94" s="18">
        <v>1.1451248217776735</v>
      </c>
      <c r="E94" s="18">
        <v>1.1378630326698174</v>
      </c>
      <c r="F94" s="18">
        <v>1.1554757657258468</v>
      </c>
      <c r="G94" s="18">
        <v>1.1680831266552429</v>
      </c>
      <c r="H94" s="18">
        <v>1.1385096642845971</v>
      </c>
      <c r="I94" s="18">
        <v>1.1200910087074947</v>
      </c>
      <c r="J94" s="18">
        <v>1.0052776357125583</v>
      </c>
      <c r="K94" s="18">
        <v>1.0086047682286392</v>
      </c>
      <c r="L94" s="18">
        <v>1.0285622829568837</v>
      </c>
      <c r="M94" s="18">
        <v>1.0596104386301191</v>
      </c>
      <c r="N94" s="18">
        <v>1.0970488295753977</v>
      </c>
      <c r="O94" s="18">
        <v>1.1409256218859241</v>
      </c>
      <c r="P94" s="18">
        <v>1.1888806263921556</v>
      </c>
      <c r="Q94" s="18">
        <v>1.2443560856314992</v>
      </c>
      <c r="R94" s="18">
        <v>1.3049653794885572</v>
      </c>
      <c r="S94" s="18">
        <v>1.3739870860164407</v>
      </c>
      <c r="T94" s="18">
        <v>1.4215948304483781</v>
      </c>
      <c r="U94" s="18">
        <v>1.4599646535277526</v>
      </c>
      <c r="V94" s="18">
        <v>1.5254299501304966</v>
      </c>
      <c r="W94" s="18">
        <v>1.5983183277509556</v>
      </c>
      <c r="X94" s="18">
        <v>1.6791177476062575</v>
      </c>
      <c r="Y94" s="18">
        <v>1.7631138939586875</v>
      </c>
      <c r="Z94" s="18">
        <v>1.8514135032974266</v>
      </c>
      <c r="AA94" s="18">
        <v>1.9449441678624204</v>
      </c>
      <c r="AB94" s="18">
        <v>2.0367871108946805</v>
      </c>
      <c r="AC94" s="18">
        <v>2.1242136295758245</v>
      </c>
      <c r="AD94" s="18">
        <v>2.2192618437892073</v>
      </c>
      <c r="AE94" s="18">
        <v>2.3215790404376215</v>
      </c>
      <c r="AF94" s="18">
        <v>2.4375591895254227</v>
      </c>
      <c r="AG94" s="18">
        <v>2.5631913825599111</v>
      </c>
      <c r="AH94" s="18">
        <v>2.7005819522225809</v>
      </c>
      <c r="AI94" s="18">
        <v>2.8476016149860821</v>
      </c>
      <c r="AJ94" s="18">
        <v>3.004329210704201</v>
      </c>
      <c r="AK94" s="18">
        <v>3.1671461042106963</v>
      </c>
      <c r="AL94" s="18">
        <v>3.3269267323454805</v>
      </c>
      <c r="AM94" s="18">
        <v>3.4931501747013538</v>
      </c>
      <c r="AN94" s="18">
        <v>3.6678480252546395</v>
      </c>
    </row>
    <row r="95" spans="1:40" x14ac:dyDescent="0.25">
      <c r="A95" t="s">
        <v>37</v>
      </c>
      <c r="B95" s="18">
        <v>27.51630822473156</v>
      </c>
      <c r="C95" s="18">
        <v>26.900456320201634</v>
      </c>
      <c r="D95" s="18">
        <v>26.289001015653074</v>
      </c>
      <c r="E95" s="18">
        <v>25.681026904731798</v>
      </c>
      <c r="F95" s="18">
        <v>25.681026904731795</v>
      </c>
      <c r="G95" s="18">
        <v>25.681026904731802</v>
      </c>
      <c r="H95" s="18">
        <v>25.677334449984691</v>
      </c>
      <c r="I95" s="18">
        <v>25.673641995237581</v>
      </c>
      <c r="J95" s="18">
        <v>25.677334449984961</v>
      </c>
      <c r="K95" s="18">
        <v>25.677334449984979</v>
      </c>
      <c r="L95" s="18">
        <v>25.677334449984979</v>
      </c>
      <c r="M95" s="18">
        <v>25.677334449984972</v>
      </c>
      <c r="N95" s="18">
        <v>25.677334449984969</v>
      </c>
      <c r="O95" s="18">
        <v>25.120332772771796</v>
      </c>
      <c r="P95" s="18">
        <v>25.120332772771782</v>
      </c>
      <c r="Q95" s="18">
        <v>25.120332772771778</v>
      </c>
      <c r="R95" s="18">
        <v>25.120332772771778</v>
      </c>
      <c r="S95" s="18">
        <v>25.115291275296332</v>
      </c>
      <c r="T95" s="18">
        <v>25.110625944293314</v>
      </c>
      <c r="U95" s="18">
        <v>24.152708560313343</v>
      </c>
      <c r="V95" s="18">
        <v>23.489379235295221</v>
      </c>
      <c r="W95" s="18">
        <v>22.778695998903089</v>
      </c>
      <c r="X95" s="18">
        <v>22.349243348614582</v>
      </c>
      <c r="Y95" s="18">
        <v>23.000161826004469</v>
      </c>
      <c r="Z95" s="18">
        <v>23.610743972709912</v>
      </c>
      <c r="AA95" s="18">
        <v>23.298125324424117</v>
      </c>
      <c r="AB95" s="18">
        <v>22.005628077297999</v>
      </c>
      <c r="AC95" s="18">
        <v>20.713474786100985</v>
      </c>
      <c r="AD95" s="18">
        <v>19.421945152491961</v>
      </c>
      <c r="AE95" s="18">
        <v>19.337063542372636</v>
      </c>
      <c r="AF95" s="18">
        <v>19.254343928894187</v>
      </c>
      <c r="AG95" s="18">
        <v>19.171624315415741</v>
      </c>
      <c r="AH95" s="18">
        <v>19.088904701937288</v>
      </c>
      <c r="AI95" s="18">
        <v>19.006185088458832</v>
      </c>
      <c r="AJ95" s="18">
        <v>18.638275745498611</v>
      </c>
      <c r="AK95" s="18">
        <v>18.270366402538393</v>
      </c>
      <c r="AL95" s="18">
        <v>17.899644035768073</v>
      </c>
      <c r="AM95" s="18">
        <v>17.527478650482823</v>
      </c>
      <c r="AN95" s="18">
        <v>17.154346707435558</v>
      </c>
    </row>
    <row r="96" spans="1:40" x14ac:dyDescent="0.25">
      <c r="A96" t="s">
        <v>38</v>
      </c>
      <c r="B96" s="18">
        <v>66.420365481469858</v>
      </c>
      <c r="C96" s="18">
        <v>67.349104545774196</v>
      </c>
      <c r="D96" s="18">
        <v>64.271865378659513</v>
      </c>
      <c r="E96" s="18">
        <v>61.203956366290036</v>
      </c>
      <c r="F96" s="18">
        <v>61.09576125595531</v>
      </c>
      <c r="G96" s="18">
        <v>60.977920555313688</v>
      </c>
      <c r="H96" s="18">
        <v>60.314891871173977</v>
      </c>
      <c r="I96" s="18">
        <v>60.095393567609911</v>
      </c>
      <c r="J96" s="18">
        <v>58.443716682751955</v>
      </c>
      <c r="K96" s="18">
        <v>58.26035937168762</v>
      </c>
      <c r="L96" s="18">
        <v>58.228585550981975</v>
      </c>
      <c r="M96" s="18">
        <v>58.491098078246964</v>
      </c>
      <c r="N96" s="18">
        <v>58.950504913566036</v>
      </c>
      <c r="O96" s="18">
        <v>59.241005432837952</v>
      </c>
      <c r="P96" s="18">
        <v>59.115594723835905</v>
      </c>
      <c r="Q96" s="18">
        <v>58.820403454768829</v>
      </c>
      <c r="R96" s="18">
        <v>59.160264117011302</v>
      </c>
      <c r="S96" s="18">
        <v>59.554930317101956</v>
      </c>
      <c r="T96" s="18">
        <v>59.911928080433661</v>
      </c>
      <c r="U96" s="18">
        <v>59.645550263735302</v>
      </c>
      <c r="V96" s="18">
        <v>59.503106096137991</v>
      </c>
      <c r="W96" s="18">
        <v>59.33824424913238</v>
      </c>
      <c r="X96" s="18">
        <v>59.099205776468253</v>
      </c>
      <c r="Y96" s="18">
        <v>58.21118967336151</v>
      </c>
      <c r="Z96" s="18">
        <v>57.963584061211357</v>
      </c>
      <c r="AA96" s="18">
        <v>57.207978417301902</v>
      </c>
      <c r="AB96" s="18">
        <v>55.843741287603805</v>
      </c>
      <c r="AC96" s="18">
        <v>54.480073675742425</v>
      </c>
      <c r="AD96" s="18">
        <v>53.117781844873782</v>
      </c>
      <c r="AE96" s="18">
        <v>52.080916463252649</v>
      </c>
      <c r="AF96" s="18">
        <v>51.049964004617202</v>
      </c>
      <c r="AG96" s="18">
        <v>50.019011545981762</v>
      </c>
      <c r="AH96" s="18">
        <v>48.988059087346336</v>
      </c>
      <c r="AI96" s="18">
        <v>47.95710662871091</v>
      </c>
      <c r="AJ96" s="18">
        <v>47.524282571642132</v>
      </c>
      <c r="AK96" s="18">
        <v>47.091458514573375</v>
      </c>
      <c r="AL96" s="18">
        <v>46.65130295830096</v>
      </c>
      <c r="AM96" s="18">
        <v>46.207174430113042</v>
      </c>
      <c r="AN96" s="18">
        <v>45.760197623106457</v>
      </c>
    </row>
    <row r="97" spans="1:40" x14ac:dyDescent="0.25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</row>
    <row r="98" spans="1:40" x14ac:dyDescent="0.25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</row>
    <row r="100" spans="1:40" ht="18" thickBot="1" x14ac:dyDescent="0.35">
      <c r="A100" s="4" t="s">
        <v>143</v>
      </c>
      <c r="B100" s="4"/>
      <c r="C100" s="4"/>
      <c r="D100" s="4"/>
      <c r="E100" s="4"/>
      <c r="F100" s="4"/>
      <c r="G100" s="4"/>
      <c r="H100" s="4"/>
    </row>
    <row r="101" spans="1:40" ht="15.75" thickTop="1" x14ac:dyDescent="0.25">
      <c r="B101" s="3">
        <v>2012</v>
      </c>
      <c r="C101" s="3">
        <v>2013</v>
      </c>
      <c r="D101" s="3">
        <v>2014</v>
      </c>
      <c r="E101" s="3">
        <v>2015</v>
      </c>
      <c r="F101" s="3">
        <v>2016</v>
      </c>
      <c r="G101" s="3">
        <v>2017</v>
      </c>
      <c r="H101" s="3">
        <v>2018</v>
      </c>
      <c r="I101" s="3">
        <v>2019</v>
      </c>
      <c r="J101" s="3">
        <v>2020</v>
      </c>
      <c r="K101" s="3">
        <v>2021</v>
      </c>
      <c r="L101" s="3">
        <v>2022</v>
      </c>
      <c r="M101" s="3">
        <v>2023</v>
      </c>
      <c r="N101" s="3">
        <v>2024</v>
      </c>
      <c r="O101" s="3">
        <v>2025</v>
      </c>
      <c r="P101" s="3">
        <v>2026</v>
      </c>
      <c r="Q101" s="3">
        <v>2027</v>
      </c>
      <c r="R101" s="3">
        <v>2028</v>
      </c>
      <c r="S101" s="3">
        <v>2029</v>
      </c>
      <c r="T101" s="3">
        <v>2030</v>
      </c>
      <c r="U101" s="3">
        <v>2031</v>
      </c>
      <c r="V101" s="3">
        <v>2032</v>
      </c>
      <c r="W101" s="3">
        <v>2033</v>
      </c>
      <c r="X101" s="3">
        <v>2034</v>
      </c>
      <c r="Y101" s="3">
        <v>2035</v>
      </c>
      <c r="Z101" s="3">
        <v>2036</v>
      </c>
      <c r="AA101" s="3">
        <v>2037</v>
      </c>
      <c r="AB101" s="3">
        <v>2038</v>
      </c>
      <c r="AC101">
        <v>2039</v>
      </c>
      <c r="AD101">
        <v>2040</v>
      </c>
      <c r="AE101">
        <v>2041</v>
      </c>
      <c r="AF101">
        <v>2042</v>
      </c>
      <c r="AG101">
        <v>2043</v>
      </c>
      <c r="AH101">
        <v>2044</v>
      </c>
      <c r="AI101">
        <v>2045</v>
      </c>
      <c r="AJ101">
        <v>2046</v>
      </c>
      <c r="AK101">
        <v>2047</v>
      </c>
      <c r="AL101">
        <v>2048</v>
      </c>
      <c r="AM101">
        <v>2049</v>
      </c>
      <c r="AN101">
        <v>2050</v>
      </c>
    </row>
    <row r="102" spans="1:40" x14ac:dyDescent="0.25">
      <c r="A102" s="3" t="s">
        <v>54</v>
      </c>
      <c r="B102" s="12">
        <v>0.5</v>
      </c>
      <c r="C102" s="12">
        <v>0.49361482500619441</v>
      </c>
      <c r="D102" s="12">
        <v>0.48206830798992972</v>
      </c>
      <c r="E102" s="12">
        <v>0.47202613350430117</v>
      </c>
      <c r="F102" s="12">
        <v>0.46557223068394388</v>
      </c>
      <c r="G102" s="12">
        <v>0.45639821843997963</v>
      </c>
      <c r="H102" s="12">
        <v>0.44660476008909161</v>
      </c>
      <c r="I102" s="12">
        <v>0.43972669731095931</v>
      </c>
      <c r="J102" s="12">
        <v>0.44869179830464656</v>
      </c>
      <c r="K102" s="12">
        <v>0.4608685558592584</v>
      </c>
      <c r="L102" s="12">
        <v>0.45293933531025343</v>
      </c>
      <c r="M102" s="12">
        <v>0.44496466333523621</v>
      </c>
      <c r="N102" s="12">
        <v>0.43604395407815993</v>
      </c>
      <c r="O102" s="12">
        <v>0.42640214177595159</v>
      </c>
      <c r="P102" s="12">
        <v>0.41704128628178283</v>
      </c>
      <c r="Q102" s="12">
        <v>0.40736811409437179</v>
      </c>
      <c r="R102" s="12">
        <v>0.39752040531475452</v>
      </c>
      <c r="S102" s="12">
        <v>0.38792623621073147</v>
      </c>
      <c r="T102" s="12">
        <v>0.3786915183200642</v>
      </c>
      <c r="U102" s="12">
        <v>0.3695210575010458</v>
      </c>
      <c r="V102" s="12">
        <v>0.35977357770148527</v>
      </c>
      <c r="W102" s="12">
        <v>0.35010150129371193</v>
      </c>
      <c r="X102" s="12">
        <v>0.34070620489032388</v>
      </c>
      <c r="Y102" s="12">
        <v>0.33256879940716488</v>
      </c>
      <c r="Z102" s="12">
        <v>0.32526196722319101</v>
      </c>
      <c r="AA102" s="12">
        <v>0.31743656623784111</v>
      </c>
      <c r="AB102" s="12">
        <v>0.30944759350189216</v>
      </c>
      <c r="AC102" s="12">
        <v>0.30170210809401976</v>
      </c>
      <c r="AD102" s="12">
        <v>0.29426669588993903</v>
      </c>
      <c r="AE102" s="12">
        <v>0.28705947092480621</v>
      </c>
      <c r="AF102" s="12">
        <v>0.27985912607480135</v>
      </c>
      <c r="AG102" s="12">
        <v>0.27267207752507222</v>
      </c>
      <c r="AH102" s="12">
        <v>0.2655187699863964</v>
      </c>
      <c r="AI102" s="12">
        <v>0.25835683521052188</v>
      </c>
      <c r="AJ102" s="12">
        <v>0.25160847240437884</v>
      </c>
      <c r="AK102" s="12">
        <v>0.24500439781986932</v>
      </c>
      <c r="AL102" s="12">
        <v>0.23870289310099521</v>
      </c>
      <c r="AM102" s="12">
        <v>0.23259738300263871</v>
      </c>
      <c r="AN102" s="12">
        <v>0.2264556984169197</v>
      </c>
    </row>
    <row r="103" spans="1:40" x14ac:dyDescent="0.25">
      <c r="A103" s="3" t="s">
        <v>55</v>
      </c>
      <c r="B103" s="12">
        <v>0.3</v>
      </c>
      <c r="C103" s="12">
        <v>0.29468225957952826</v>
      </c>
      <c r="D103" s="12">
        <v>0.29652686013085344</v>
      </c>
      <c r="E103" s="12">
        <v>0.29778797816876007</v>
      </c>
      <c r="F103" s="12">
        <v>0.29845066012740579</v>
      </c>
      <c r="G103" s="12">
        <v>0.29691592343442441</v>
      </c>
      <c r="H103" s="12">
        <v>0.29765219102063356</v>
      </c>
      <c r="I103" s="12">
        <v>0.298551917090845</v>
      </c>
      <c r="J103" s="12">
        <v>0.30807790666505486</v>
      </c>
      <c r="K103" s="12">
        <v>0.29101084546381101</v>
      </c>
      <c r="L103" s="12">
        <v>0.29254909838976384</v>
      </c>
      <c r="M103" s="12">
        <v>0.29362458379515177</v>
      </c>
      <c r="N103" s="12">
        <v>0.29479545876831015</v>
      </c>
      <c r="O103" s="12">
        <v>0.29612492551474839</v>
      </c>
      <c r="P103" s="12">
        <v>0.29821430926402148</v>
      </c>
      <c r="Q103" s="12">
        <v>0.30025114738936809</v>
      </c>
      <c r="R103" s="12">
        <v>0.30243161805275043</v>
      </c>
      <c r="S103" s="12">
        <v>0.30454490929663142</v>
      </c>
      <c r="T103" s="12">
        <v>0.30672648903867467</v>
      </c>
      <c r="U103" s="12">
        <v>0.30878587056708845</v>
      </c>
      <c r="V103" s="12">
        <v>0.3113776753132933</v>
      </c>
      <c r="W103" s="12">
        <v>0.31391427008417805</v>
      </c>
      <c r="X103" s="12">
        <v>0.31654756766084635</v>
      </c>
      <c r="Y103" s="12">
        <v>0.31943560967325441</v>
      </c>
      <c r="Z103" s="12">
        <v>0.32167854950189212</v>
      </c>
      <c r="AA103" s="12">
        <v>0.32413815716167887</v>
      </c>
      <c r="AB103" s="12">
        <v>0.32667347879243019</v>
      </c>
      <c r="AC103" s="12">
        <v>0.32941478752673903</v>
      </c>
      <c r="AD103" s="12">
        <v>0.33194977862338843</v>
      </c>
      <c r="AE103" s="12">
        <v>0.3347119146565295</v>
      </c>
      <c r="AF103" s="12">
        <v>0.33747750852961228</v>
      </c>
      <c r="AG103" s="12">
        <v>0.34019487891547112</v>
      </c>
      <c r="AH103" s="12">
        <v>0.34290256616818704</v>
      </c>
      <c r="AI103" s="12">
        <v>0.34553441204668883</v>
      </c>
      <c r="AJ103" s="12">
        <v>0.3486358783170348</v>
      </c>
      <c r="AK103" s="12">
        <v>0.35163376928920365</v>
      </c>
      <c r="AL103" s="12">
        <v>0.35473779187508891</v>
      </c>
      <c r="AM103" s="12">
        <v>0.35763130295873286</v>
      </c>
      <c r="AN103" s="12">
        <v>0.36050417317170641</v>
      </c>
    </row>
    <row r="104" spans="1:40" x14ac:dyDescent="0.25">
      <c r="A104" s="3" t="s">
        <v>56</v>
      </c>
      <c r="B104" s="12">
        <v>0.19999999999999998</v>
      </c>
      <c r="C104" s="12">
        <v>0.20613092634999897</v>
      </c>
      <c r="D104" s="12">
        <v>0.20997219853254745</v>
      </c>
      <c r="E104" s="12">
        <v>0.21260669534823909</v>
      </c>
      <c r="F104" s="12">
        <v>0.21196845959615526</v>
      </c>
      <c r="G104" s="12">
        <v>0.21596815697579858</v>
      </c>
      <c r="H104" s="12">
        <v>0.21840570822090161</v>
      </c>
      <c r="I104" s="12">
        <v>0.21780961373237509</v>
      </c>
      <c r="J104" s="12">
        <v>0.19278899154436505</v>
      </c>
      <c r="K104" s="12">
        <v>0.19553669373990809</v>
      </c>
      <c r="L104" s="12">
        <v>0.19978989451661469</v>
      </c>
      <c r="M104" s="12">
        <v>0.20455613793575173</v>
      </c>
      <c r="N104" s="12">
        <v>0.21017784188075633</v>
      </c>
      <c r="O104" s="12">
        <v>0.21636685904947664</v>
      </c>
      <c r="P104" s="12">
        <v>0.22306684325167825</v>
      </c>
      <c r="Q104" s="12">
        <v>0.23013203762505227</v>
      </c>
      <c r="R104" s="12">
        <v>0.23722848369486835</v>
      </c>
      <c r="S104" s="12">
        <v>0.24413891693925951</v>
      </c>
      <c r="T104" s="12">
        <v>0.250621957691326</v>
      </c>
      <c r="U104" s="12">
        <v>0.25838040126580109</v>
      </c>
      <c r="V104" s="12">
        <v>0.26618388831950496</v>
      </c>
      <c r="W104" s="12">
        <v>0.27396762998285962</v>
      </c>
      <c r="X104" s="12">
        <v>0.28137833717201771</v>
      </c>
      <c r="Y104" s="12">
        <v>0.28727685765124816</v>
      </c>
      <c r="Z104" s="12">
        <v>0.29412231319643162</v>
      </c>
      <c r="AA104" s="12">
        <v>0.30127304885663259</v>
      </c>
      <c r="AB104" s="12">
        <v>0.30851502785058504</v>
      </c>
      <c r="AC104" s="12">
        <v>0.31531092438850294</v>
      </c>
      <c r="AD104" s="12">
        <v>0.32200646376955105</v>
      </c>
      <c r="AE104" s="12">
        <v>0.32929830475714733</v>
      </c>
      <c r="AF104" s="12">
        <v>0.33658835430014045</v>
      </c>
      <c r="AG104" s="12">
        <v>0.34392190319885563</v>
      </c>
      <c r="AH104" s="12">
        <v>0.35123999212377366</v>
      </c>
      <c r="AI104" s="12">
        <v>0.35865117337681979</v>
      </c>
      <c r="AJ104" s="12">
        <v>0.36625024275029583</v>
      </c>
      <c r="AK104" s="12">
        <v>0.37382482671382988</v>
      </c>
      <c r="AL104" s="12">
        <v>0.38100700334125265</v>
      </c>
      <c r="AM104" s="12">
        <v>0.38822005789694591</v>
      </c>
      <c r="AN104" s="12">
        <v>0.39550635603522843</v>
      </c>
    </row>
    <row r="105" spans="1:40" x14ac:dyDescent="0.25">
      <c r="A105" s="3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</row>
    <row r="107" spans="1:40" ht="18" thickBot="1" x14ac:dyDescent="0.35">
      <c r="A107" s="4" t="s">
        <v>144</v>
      </c>
      <c r="B107" s="4"/>
      <c r="C107" s="4"/>
      <c r="D107" s="4"/>
      <c r="E107" s="4"/>
      <c r="F107" s="4"/>
      <c r="G107" s="4"/>
      <c r="H107" s="4"/>
    </row>
    <row r="108" spans="1:40" ht="15.75" thickTop="1" x14ac:dyDescent="0.25">
      <c r="A108" s="3">
        <v>2012</v>
      </c>
      <c r="B108" s="3">
        <v>2013</v>
      </c>
      <c r="C108" s="3">
        <v>2014</v>
      </c>
      <c r="D108" s="3">
        <v>2015</v>
      </c>
      <c r="E108" s="3">
        <v>2016</v>
      </c>
      <c r="F108" s="3">
        <v>2017</v>
      </c>
      <c r="G108" s="3">
        <v>2018</v>
      </c>
      <c r="H108" s="3">
        <v>2019</v>
      </c>
      <c r="I108" s="3">
        <v>2020</v>
      </c>
      <c r="J108" s="3">
        <v>2021</v>
      </c>
      <c r="K108" s="3">
        <v>2022</v>
      </c>
      <c r="L108" s="3">
        <v>2023</v>
      </c>
      <c r="M108" s="3">
        <v>2024</v>
      </c>
      <c r="N108" s="3">
        <v>2025</v>
      </c>
      <c r="O108" s="3">
        <v>2026</v>
      </c>
      <c r="P108" s="3">
        <v>2027</v>
      </c>
      <c r="Q108" s="3">
        <v>2028</v>
      </c>
      <c r="R108" s="3">
        <v>2029</v>
      </c>
      <c r="S108" s="3">
        <v>2030</v>
      </c>
      <c r="T108" s="3">
        <v>2031</v>
      </c>
      <c r="U108" s="3">
        <v>2032</v>
      </c>
      <c r="V108" s="3">
        <v>2033</v>
      </c>
      <c r="W108" s="3">
        <v>2034</v>
      </c>
      <c r="X108" s="3">
        <v>2035</v>
      </c>
      <c r="Y108" s="3">
        <v>2036</v>
      </c>
      <c r="Z108">
        <v>2037</v>
      </c>
      <c r="AA108">
        <v>2038</v>
      </c>
      <c r="AB108">
        <v>2039</v>
      </c>
      <c r="AC108">
        <v>2040</v>
      </c>
      <c r="AD108">
        <v>2041</v>
      </c>
      <c r="AE108">
        <v>2042</v>
      </c>
      <c r="AF108">
        <v>2043</v>
      </c>
      <c r="AG108">
        <v>2044</v>
      </c>
      <c r="AH108">
        <v>2045</v>
      </c>
      <c r="AI108">
        <v>2046</v>
      </c>
      <c r="AJ108">
        <v>2047</v>
      </c>
      <c r="AK108">
        <v>2048</v>
      </c>
      <c r="AL108">
        <v>2049</v>
      </c>
      <c r="AM108">
        <v>2050</v>
      </c>
    </row>
    <row r="109" spans="1:40" x14ac:dyDescent="0.25">
      <c r="A109">
        <v>0.30163969294989873</v>
      </c>
      <c r="B109">
        <v>0.30770118876733893</v>
      </c>
      <c r="C109">
        <v>0.31057938732953844</v>
      </c>
      <c r="D109">
        <v>0.31277940101847879</v>
      </c>
      <c r="E109">
        <v>0.31284316327620315</v>
      </c>
      <c r="F109">
        <v>0.31635831555178628</v>
      </c>
      <c r="G109">
        <v>0.31867877236635728</v>
      </c>
      <c r="H109">
        <v>0.31829026462005117</v>
      </c>
      <c r="I109">
        <v>0.29040891806001651</v>
      </c>
      <c r="J109">
        <v>0.29800403265459058</v>
      </c>
      <c r="K109">
        <v>0.30200401780692876</v>
      </c>
      <c r="L109">
        <v>0.30656034625617695</v>
      </c>
      <c r="M109">
        <v>0.31192904187570236</v>
      </c>
      <c r="N109">
        <v>0.31799947261850164</v>
      </c>
      <c r="O109">
        <v>0.32433434766527408</v>
      </c>
      <c r="P109">
        <v>0.33129984849841504</v>
      </c>
      <c r="Q109">
        <v>0.33856860928890536</v>
      </c>
      <c r="R109">
        <v>0.3460220907336497</v>
      </c>
      <c r="S109">
        <v>0.35326945484642069</v>
      </c>
      <c r="T109">
        <v>0.36227316635231788</v>
      </c>
      <c r="U109">
        <v>0.37153100120479132</v>
      </c>
      <c r="V109">
        <v>0.38125213640261274</v>
      </c>
      <c r="W109">
        <v>0.39088366365960481</v>
      </c>
      <c r="X109" s="12">
        <v>0.43438755091144643</v>
      </c>
      <c r="Y109" s="12">
        <v>0.4444480293768564</v>
      </c>
      <c r="Z109" s="12">
        <v>0.45535275868686731</v>
      </c>
      <c r="AA109" s="12">
        <v>0.46694075625504039</v>
      </c>
      <c r="AB109" s="12">
        <v>0.4781300856362905</v>
      </c>
      <c r="AC109" s="12">
        <v>0.48967453302970809</v>
      </c>
      <c r="AD109" s="12">
        <v>0.50224672606058585</v>
      </c>
      <c r="AE109" s="12">
        <v>0.51536971747141613</v>
      </c>
      <c r="AF109" s="12">
        <v>0.52924077512855172</v>
      </c>
      <c r="AG109" s="12">
        <v>0.54376194787755061</v>
      </c>
      <c r="AH109" s="12">
        <v>0.55932663957277284</v>
      </c>
      <c r="AI109" s="12">
        <v>0.57508190051994368</v>
      </c>
      <c r="AJ109" s="12">
        <v>0.59159288253939912</v>
      </c>
      <c r="AK109" s="12">
        <v>0.6076457041478186</v>
      </c>
      <c r="AL109" s="12">
        <v>0.62468417964119827</v>
      </c>
      <c r="AM109" s="12">
        <v>0.68427588534183081</v>
      </c>
    </row>
    <row r="111" spans="1:40" x14ac:dyDescent="0.25">
      <c r="C111" s="13"/>
    </row>
    <row r="112" spans="1:40" x14ac:dyDescent="0.25">
      <c r="C112">
        <v>0.4</v>
      </c>
      <c r="D112" s="23">
        <v>0.6</v>
      </c>
    </row>
    <row r="113" spans="2:41" ht="18" thickBot="1" x14ac:dyDescent="0.35">
      <c r="B113" s="24" t="s">
        <v>171</v>
      </c>
      <c r="C113" s="24"/>
      <c r="D113" s="24"/>
      <c r="E113" s="24"/>
    </row>
    <row r="114" spans="2:41" ht="15.75" thickTop="1" x14ac:dyDescent="0.25">
      <c r="C114">
        <v>2012</v>
      </c>
      <c r="D114">
        <v>2013</v>
      </c>
      <c r="E114">
        <v>2014</v>
      </c>
      <c r="F114">
        <v>2015</v>
      </c>
      <c r="G114">
        <v>2016</v>
      </c>
      <c r="H114">
        <v>2017</v>
      </c>
      <c r="I114">
        <v>2018</v>
      </c>
      <c r="J114">
        <v>2019</v>
      </c>
      <c r="K114">
        <v>2020</v>
      </c>
      <c r="L114">
        <v>2021</v>
      </c>
      <c r="M114">
        <v>2022</v>
      </c>
      <c r="N114">
        <v>2023</v>
      </c>
      <c r="O114">
        <v>2024</v>
      </c>
      <c r="P114">
        <v>2025</v>
      </c>
      <c r="Q114">
        <v>2026</v>
      </c>
      <c r="R114">
        <v>2027</v>
      </c>
      <c r="S114">
        <v>2028</v>
      </c>
      <c r="T114">
        <v>2029</v>
      </c>
      <c r="U114">
        <v>2030</v>
      </c>
      <c r="V114">
        <v>2031</v>
      </c>
      <c r="W114">
        <v>2032</v>
      </c>
      <c r="X114">
        <v>2033</v>
      </c>
      <c r="Y114">
        <v>2034</v>
      </c>
      <c r="Z114">
        <v>2035</v>
      </c>
      <c r="AA114">
        <v>2036</v>
      </c>
      <c r="AB114">
        <v>2037</v>
      </c>
      <c r="AC114">
        <v>2038</v>
      </c>
      <c r="AD114">
        <v>2039</v>
      </c>
      <c r="AE114">
        <v>2040</v>
      </c>
      <c r="AF114">
        <v>2041</v>
      </c>
      <c r="AG114">
        <v>2042</v>
      </c>
      <c r="AH114">
        <v>2043</v>
      </c>
      <c r="AI114">
        <v>2044</v>
      </c>
      <c r="AJ114">
        <v>2045</v>
      </c>
      <c r="AK114">
        <v>2046</v>
      </c>
      <c r="AL114">
        <v>2047</v>
      </c>
      <c r="AM114">
        <v>2048</v>
      </c>
      <c r="AN114">
        <v>2049</v>
      </c>
      <c r="AO114">
        <v>2050</v>
      </c>
    </row>
    <row r="115" spans="2:41" x14ac:dyDescent="0.25">
      <c r="B115" t="s">
        <v>21</v>
      </c>
      <c r="C115" s="18">
        <v>1833.8485148656705</v>
      </c>
      <c r="D115" s="18">
        <v>1886.6121543778552</v>
      </c>
      <c r="E115" s="18">
        <v>1929.9088596734236</v>
      </c>
      <c r="F115" s="18">
        <v>1960.4923036365474</v>
      </c>
      <c r="G115" s="18">
        <v>1983.2547710242566</v>
      </c>
      <c r="H115" s="18">
        <v>2006.0789129735178</v>
      </c>
      <c r="I115" s="18">
        <v>2036.972183160904</v>
      </c>
      <c r="J115" s="18">
        <v>2074.2003059734261</v>
      </c>
      <c r="K115" s="18">
        <v>1914.545399528301</v>
      </c>
      <c r="L115" s="18">
        <v>1957.2610773816891</v>
      </c>
      <c r="M115" s="18">
        <v>2002.2872838168787</v>
      </c>
      <c r="N115" s="18">
        <v>2051.2769335000403</v>
      </c>
      <c r="O115" s="18">
        <v>2104.0245070320266</v>
      </c>
      <c r="P115" s="18">
        <v>2157.2000988773989</v>
      </c>
      <c r="Q115" s="18">
        <v>2216.2386918503116</v>
      </c>
      <c r="R115" s="18">
        <v>2277.0866520702075</v>
      </c>
      <c r="S115" s="18">
        <v>2342.1075393790215</v>
      </c>
      <c r="T115" s="18">
        <v>2408.995487304207</v>
      </c>
      <c r="U115" s="18">
        <v>2468.4881674022527</v>
      </c>
      <c r="V115" s="18">
        <v>2539.0431946322601</v>
      </c>
      <c r="W115" s="18">
        <v>2611.6181489313612</v>
      </c>
      <c r="X115" s="18">
        <v>2686.3644340512401</v>
      </c>
      <c r="Y115" s="18">
        <v>2759.0891878804987</v>
      </c>
      <c r="Z115" s="18">
        <v>2835.9490382924259</v>
      </c>
      <c r="AA115" s="18">
        <v>2915.3222561629782</v>
      </c>
      <c r="AB115" s="18">
        <v>2997.7985510673598</v>
      </c>
      <c r="AC115" s="18">
        <v>3079.8807643862083</v>
      </c>
      <c r="AD115" s="18">
        <v>3164.7988750291743</v>
      </c>
      <c r="AE115" s="18">
        <v>3254.7047790794968</v>
      </c>
      <c r="AF115" s="18">
        <v>3348.9964072010525</v>
      </c>
      <c r="AG115" s="18">
        <v>3447.4307579315109</v>
      </c>
      <c r="AH115" s="18">
        <v>3549.9976521140461</v>
      </c>
      <c r="AI115" s="18">
        <v>3656.5174335620486</v>
      </c>
      <c r="AJ115" s="18">
        <v>3767.7621351917451</v>
      </c>
      <c r="AK115" s="18">
        <v>3873.7774921325872</v>
      </c>
      <c r="AL115" s="18">
        <v>3984.0902474336522</v>
      </c>
      <c r="AM115" s="18">
        <v>4099.5151623032189</v>
      </c>
      <c r="AN115" s="18">
        <v>4220.6813951424811</v>
      </c>
      <c r="AO115" s="18">
        <v>4350.0492909027143</v>
      </c>
    </row>
    <row r="116" spans="2:41" x14ac:dyDescent="0.25">
      <c r="B116" t="s">
        <v>73</v>
      </c>
      <c r="C116" s="18">
        <v>69.817113338466598</v>
      </c>
      <c r="D116" s="18">
        <v>72.819731017164969</v>
      </c>
      <c r="E116" s="18">
        <v>75.472008813799022</v>
      </c>
      <c r="F116" s="18">
        <v>74.274927600037842</v>
      </c>
      <c r="G116" s="18">
        <v>73.26059197587216</v>
      </c>
      <c r="H116" s="18">
        <v>75.493823257911487</v>
      </c>
      <c r="I116" s="18">
        <v>74.303648694490207</v>
      </c>
      <c r="J116" s="18">
        <v>73.1945218840509</v>
      </c>
      <c r="K116" s="18">
        <v>70.325700988606158</v>
      </c>
      <c r="L116" s="18">
        <v>72.079600677576877</v>
      </c>
      <c r="M116" s="18">
        <v>74.097267383773996</v>
      </c>
      <c r="N116" s="18">
        <v>75.83751945163533</v>
      </c>
      <c r="O116" s="18">
        <v>77.576110521025043</v>
      </c>
      <c r="P116" s="18">
        <v>79.396606124967263</v>
      </c>
      <c r="Q116" s="18">
        <v>81.224836721269554</v>
      </c>
      <c r="R116" s="18">
        <v>83.015421229038807</v>
      </c>
      <c r="S116" s="18">
        <v>84.71879762829046</v>
      </c>
      <c r="T116" s="18">
        <v>86.40947079839232</v>
      </c>
      <c r="U116" s="18">
        <v>87.917074260425011</v>
      </c>
      <c r="V116" s="18">
        <v>89.948274996445477</v>
      </c>
      <c r="W116" s="18">
        <v>91.858597961990753</v>
      </c>
      <c r="X116" s="18">
        <v>93.636661953392263</v>
      </c>
      <c r="Y116" s="18">
        <v>95.295599787555759</v>
      </c>
      <c r="Z116" s="18">
        <v>97.196418455885137</v>
      </c>
      <c r="AA116" s="18">
        <v>99.048946074573934</v>
      </c>
      <c r="AB116" s="18">
        <v>100.96742638628118</v>
      </c>
      <c r="AC116" s="18">
        <v>102.82399638424677</v>
      </c>
      <c r="AD116" s="18">
        <v>104.72881393465261</v>
      </c>
      <c r="AE116" s="18">
        <v>106.73410403014014</v>
      </c>
      <c r="AF116" s="18">
        <v>108.83032335584873</v>
      </c>
      <c r="AG116" s="18">
        <v>110.98712564413881</v>
      </c>
      <c r="AH116" s="18">
        <v>113.13803634297587</v>
      </c>
      <c r="AI116" s="18">
        <v>115.35753088013288</v>
      </c>
      <c r="AJ116" s="18">
        <v>117.7224288535422</v>
      </c>
      <c r="AK116" s="18">
        <v>119.86545963689662</v>
      </c>
      <c r="AL116" s="18">
        <v>122.16956564028087</v>
      </c>
      <c r="AM116" s="18">
        <v>124.66155698786915</v>
      </c>
      <c r="AN116" s="18">
        <v>127.27859211459484</v>
      </c>
      <c r="AO116" s="18">
        <v>130.07284907210411</v>
      </c>
    </row>
    <row r="117" spans="2:41" x14ac:dyDescent="0.25">
      <c r="B117" t="s">
        <v>23</v>
      </c>
      <c r="C117" s="23">
        <v>123.26923682676239</v>
      </c>
      <c r="D117" s="23">
        <v>126.76200665956938</v>
      </c>
      <c r="E117" s="23">
        <v>127.59930057711011</v>
      </c>
      <c r="F117" s="23">
        <v>131.79428653766271</v>
      </c>
      <c r="G117" s="23">
        <v>129.89446862274485</v>
      </c>
      <c r="H117" s="23">
        <v>133.66360252732119</v>
      </c>
      <c r="I117" s="23">
        <v>132.75230325518885</v>
      </c>
      <c r="J117" s="23">
        <v>131.0963621488545</v>
      </c>
      <c r="K117" s="23">
        <v>120.18809993708842</v>
      </c>
      <c r="L117" s="23">
        <v>121.9324954300825</v>
      </c>
      <c r="M117" s="23">
        <v>123.62702359051755</v>
      </c>
      <c r="N117" s="23">
        <v>125.50520057825962</v>
      </c>
      <c r="O117" s="23">
        <v>127.62005379029763</v>
      </c>
      <c r="P117" s="23">
        <v>129.71571417226133</v>
      </c>
      <c r="Q117" s="23">
        <v>132.08338347170783</v>
      </c>
      <c r="R117" s="23">
        <v>134.45700006708503</v>
      </c>
      <c r="S117" s="23">
        <v>137.09836521296253</v>
      </c>
      <c r="T117" s="23">
        <v>140.19130736183189</v>
      </c>
      <c r="U117" s="23">
        <v>142.89883193627665</v>
      </c>
      <c r="V117" s="23">
        <v>146.416830091278</v>
      </c>
      <c r="W117" s="23">
        <v>150.32704805551441</v>
      </c>
      <c r="X117" s="23">
        <v>154.27326576870362</v>
      </c>
      <c r="Y117" s="23">
        <v>158.27859136568114</v>
      </c>
      <c r="Z117" s="23">
        <v>163.20085651583867</v>
      </c>
      <c r="AA117" s="23">
        <v>167.64829971739297</v>
      </c>
      <c r="AB117" s="23">
        <v>172.15985376506998</v>
      </c>
      <c r="AC117" s="23">
        <v>176.52673826725913</v>
      </c>
      <c r="AD117" s="23">
        <v>180.99322799680004</v>
      </c>
      <c r="AE117" s="23">
        <v>185.67685214636796</v>
      </c>
      <c r="AF117" s="23">
        <v>190.335369547695</v>
      </c>
      <c r="AG117" s="23">
        <v>195.07355032108669</v>
      </c>
      <c r="AH117" s="23">
        <v>199.91629899726939</v>
      </c>
      <c r="AI117" s="23">
        <v>204.89623723508205</v>
      </c>
      <c r="AJ117" s="23">
        <v>210.08114775468417</v>
      </c>
      <c r="AK117" s="23">
        <v>214.87946388846953</v>
      </c>
      <c r="AL117" s="23">
        <v>219.8677393720516</v>
      </c>
      <c r="AM117" s="23">
        <v>225.09673017509809</v>
      </c>
      <c r="AN117" s="23">
        <v>230.59324313003228</v>
      </c>
      <c r="AO117" s="23">
        <v>236.52589767309942</v>
      </c>
    </row>
    <row r="118" spans="2:41" x14ac:dyDescent="0.25">
      <c r="B118" t="s">
        <v>151</v>
      </c>
      <c r="C118" s="18">
        <v>82.179491217841601</v>
      </c>
      <c r="D118" s="18">
        <v>84.50800443971292</v>
      </c>
      <c r="E118" s="18">
        <v>85.066200384740085</v>
      </c>
      <c r="F118" s="18">
        <v>87.862857691775162</v>
      </c>
      <c r="G118" s="18">
        <v>86.596312415163254</v>
      </c>
      <c r="H118" s="18">
        <v>89.109068351547464</v>
      </c>
      <c r="I118" s="18">
        <v>88.501535503459252</v>
      </c>
      <c r="J118" s="18">
        <v>87.397574765903016</v>
      </c>
      <c r="K118" s="18">
        <v>80.125399958058949</v>
      </c>
      <c r="L118" s="18">
        <v>81.288330286721674</v>
      </c>
      <c r="M118" s="18">
        <v>82.418015727011721</v>
      </c>
      <c r="N118" s="18">
        <v>83.67013371883975</v>
      </c>
      <c r="O118" s="18">
        <v>85.080035860198436</v>
      </c>
      <c r="P118" s="18">
        <v>86.477142781507553</v>
      </c>
      <c r="Q118" s="18">
        <v>88.05558898113857</v>
      </c>
      <c r="R118" s="18">
        <v>89.638000044723356</v>
      </c>
      <c r="S118" s="18">
        <v>91.398910141975037</v>
      </c>
      <c r="T118" s="18">
        <v>93.460871574554602</v>
      </c>
      <c r="U118" s="18">
        <v>95.265887957517776</v>
      </c>
      <c r="V118" s="18">
        <v>97.611220060852006</v>
      </c>
      <c r="W118" s="18">
        <v>100.21803203700961</v>
      </c>
      <c r="X118" s="18">
        <v>102.84884384580242</v>
      </c>
      <c r="Y118" s="18">
        <v>105.5190609104541</v>
      </c>
      <c r="Z118" s="18">
        <v>108.80057101055911</v>
      </c>
      <c r="AA118" s="18">
        <v>111.76553314492865</v>
      </c>
      <c r="AB118" s="18">
        <v>114.77323584337999</v>
      </c>
      <c r="AC118" s="18">
        <v>117.68449217817277</v>
      </c>
      <c r="AD118" s="18">
        <v>120.66215199786672</v>
      </c>
      <c r="AE118" s="18">
        <v>123.78456809757866</v>
      </c>
      <c r="AF118" s="18">
        <v>126.89024636513</v>
      </c>
      <c r="AG118" s="18">
        <v>130.04903354739113</v>
      </c>
      <c r="AH118" s="18">
        <v>133.27753266484626</v>
      </c>
      <c r="AI118" s="18">
        <v>136.59749149005469</v>
      </c>
      <c r="AJ118" s="18">
        <v>140.05409850312279</v>
      </c>
      <c r="AK118" s="18">
        <v>143.25297592564638</v>
      </c>
      <c r="AL118" s="18">
        <v>146.57849291470106</v>
      </c>
      <c r="AM118" s="18">
        <v>150.06448678339873</v>
      </c>
      <c r="AN118" s="18">
        <v>153.72882875335486</v>
      </c>
      <c r="AO118" s="18">
        <v>157.68393178206631</v>
      </c>
    </row>
    <row r="119" spans="2:41" x14ac:dyDescent="0.25">
      <c r="B119" t="s">
        <v>24</v>
      </c>
      <c r="C119" s="18">
        <v>93.09690942833015</v>
      </c>
      <c r="D119" s="18">
        <v>95.064855171375669</v>
      </c>
      <c r="E119" s="18">
        <v>96.400077661477354</v>
      </c>
      <c r="F119" s="18">
        <v>96.617861286112102</v>
      </c>
      <c r="G119" s="18">
        <v>97.654818305582012</v>
      </c>
      <c r="H119" s="18">
        <v>97.862455274201025</v>
      </c>
      <c r="I119" s="18">
        <v>98.609954424293107</v>
      </c>
      <c r="J119" s="18">
        <v>97.964584789862243</v>
      </c>
      <c r="K119" s="18">
        <v>92.646489203328827</v>
      </c>
      <c r="L119" s="18">
        <v>95.03041242813778</v>
      </c>
      <c r="M119" s="18">
        <v>97.485838278771098</v>
      </c>
      <c r="N119" s="18">
        <v>99.77593398947829</v>
      </c>
      <c r="O119" s="18">
        <v>102.1635426368112</v>
      </c>
      <c r="P119" s="18">
        <v>104.60035225495045</v>
      </c>
      <c r="Q119" s="18">
        <v>107.07694947006603</v>
      </c>
      <c r="R119" s="18">
        <v>109.49041679677798</v>
      </c>
      <c r="S119" s="18">
        <v>112.02696547098452</v>
      </c>
      <c r="T119" s="18">
        <v>114.5350089727569</v>
      </c>
      <c r="U119" s="18">
        <v>116.72534002734352</v>
      </c>
      <c r="V119" s="18">
        <v>119.41291133682695</v>
      </c>
      <c r="W119" s="18">
        <v>122.13561690535352</v>
      </c>
      <c r="X119" s="18">
        <v>124.73806971931842</v>
      </c>
      <c r="Y119" s="18">
        <v>127.26382097220295</v>
      </c>
      <c r="Z119" s="18">
        <v>130.22505419824279</v>
      </c>
      <c r="AA119" s="18">
        <v>132.95638539516673</v>
      </c>
      <c r="AB119" s="18">
        <v>135.74521610666449</v>
      </c>
      <c r="AC119" s="18">
        <v>138.39843779341157</v>
      </c>
      <c r="AD119" s="18">
        <v>141.11496840750539</v>
      </c>
      <c r="AE119" s="18">
        <v>143.96077026055309</v>
      </c>
      <c r="AF119" s="18">
        <v>146.92167586011277</v>
      </c>
      <c r="AG119" s="18">
        <v>149.90266826654346</v>
      </c>
      <c r="AH119" s="18">
        <v>152.92006309932941</v>
      </c>
      <c r="AI119" s="18">
        <v>156.0911313412185</v>
      </c>
      <c r="AJ119" s="18">
        <v>159.46543030187945</v>
      </c>
      <c r="AK119" s="18">
        <v>162.50807836854915</v>
      </c>
      <c r="AL119" s="18">
        <v>165.69750350631548</v>
      </c>
      <c r="AM119" s="18">
        <v>169.0152244595489</v>
      </c>
      <c r="AN119" s="18">
        <v>172.44314538089333</v>
      </c>
      <c r="AO119" s="18">
        <v>176.11001666062612</v>
      </c>
    </row>
    <row r="120" spans="2:41" x14ac:dyDescent="0.25">
      <c r="B120" t="s">
        <v>25</v>
      </c>
      <c r="C120" s="18">
        <v>235.49802282756352</v>
      </c>
      <c r="D120" s="18">
        <v>242.13307836562956</v>
      </c>
      <c r="E120" s="18">
        <v>246.28265922314233</v>
      </c>
      <c r="F120" s="18">
        <v>249.43440425835786</v>
      </c>
      <c r="G120" s="18">
        <v>251.65581640876391</v>
      </c>
      <c r="H120" s="18">
        <v>252.75021516356861</v>
      </c>
      <c r="I120" s="18">
        <v>255.36564207593528</v>
      </c>
      <c r="J120" s="18">
        <v>255.83896455730644</v>
      </c>
      <c r="K120" s="18">
        <v>231.21220107940408</v>
      </c>
      <c r="L120" s="18">
        <v>237.27430963578766</v>
      </c>
      <c r="M120" s="18">
        <v>243.43820579760768</v>
      </c>
      <c r="N120" s="18">
        <v>250.0252729216615</v>
      </c>
      <c r="O120" s="18">
        <v>257.0393389716665</v>
      </c>
      <c r="P120" s="18">
        <v>264.01983750733473</v>
      </c>
      <c r="Q120" s="18">
        <v>271.72429020362813</v>
      </c>
      <c r="R120" s="18">
        <v>279.56215318997283</v>
      </c>
      <c r="S120" s="18">
        <v>287.85104341651504</v>
      </c>
      <c r="T120" s="18">
        <v>296.17218841670399</v>
      </c>
      <c r="U120" s="18">
        <v>303.16223965681729</v>
      </c>
      <c r="V120" s="18">
        <v>311.91377494075573</v>
      </c>
      <c r="W120" s="18">
        <v>320.90515779680265</v>
      </c>
      <c r="X120" s="18">
        <v>329.99635652965821</v>
      </c>
      <c r="Y120" s="18">
        <v>338.83792660845495</v>
      </c>
      <c r="Z120" s="18">
        <v>348.33269322166962</v>
      </c>
      <c r="AA120" s="18">
        <v>357.99703019358316</v>
      </c>
      <c r="AB120" s="18">
        <v>368.00188053319943</v>
      </c>
      <c r="AC120" s="18">
        <v>377.85666663181792</v>
      </c>
      <c r="AD120" s="18">
        <v>388.05037117851231</v>
      </c>
      <c r="AE120" s="18">
        <v>398.85002792330147</v>
      </c>
      <c r="AF120" s="18">
        <v>410.15688477532797</v>
      </c>
      <c r="AG120" s="18">
        <v>421.90224250085339</v>
      </c>
      <c r="AH120" s="18">
        <v>434.10875218597869</v>
      </c>
      <c r="AI120" s="18">
        <v>446.80324447498771</v>
      </c>
      <c r="AJ120" s="18">
        <v>460.1203754889417</v>
      </c>
      <c r="AK120" s="18">
        <v>472.65691554047356</v>
      </c>
      <c r="AL120" s="18">
        <v>485.73312943754831</v>
      </c>
      <c r="AM120" s="18">
        <v>499.4515636810321</v>
      </c>
      <c r="AN120" s="18">
        <v>513.88566194585428</v>
      </c>
      <c r="AO120" s="18">
        <v>529.36224934657764</v>
      </c>
    </row>
    <row r="121" spans="2:41" x14ac:dyDescent="0.25">
      <c r="B121" t="s">
        <v>26</v>
      </c>
      <c r="C121" s="18">
        <v>17.781500762507015</v>
      </c>
      <c r="D121" s="18">
        <v>18.21809145789609</v>
      </c>
      <c r="E121" s="18">
        <v>18.567420658015568</v>
      </c>
      <c r="F121" s="18">
        <v>18.762769995550013</v>
      </c>
      <c r="G121" s="18">
        <v>19.037714230270431</v>
      </c>
      <c r="H121" s="18">
        <v>19.074701766994909</v>
      </c>
      <c r="I121" s="18">
        <v>19.42407343994682</v>
      </c>
      <c r="J121" s="18">
        <v>19.472300898786198</v>
      </c>
      <c r="K121" s="18">
        <v>17.978595103875868</v>
      </c>
      <c r="L121" s="18">
        <v>18.425580854596319</v>
      </c>
      <c r="M121" s="18">
        <v>18.875393382474392</v>
      </c>
      <c r="N121" s="18">
        <v>19.37593948814931</v>
      </c>
      <c r="O121" s="18">
        <v>19.904043035124161</v>
      </c>
      <c r="P121" s="18">
        <v>20.434676476954504</v>
      </c>
      <c r="Q121" s="18">
        <v>21.051358228285224</v>
      </c>
      <c r="R121" s="18">
        <v>21.647594038894049</v>
      </c>
      <c r="S121" s="18">
        <v>22.266043235160069</v>
      </c>
      <c r="T121" s="18">
        <v>22.909699710557216</v>
      </c>
      <c r="U121" s="18">
        <v>23.472167600372124</v>
      </c>
      <c r="V121" s="18">
        <v>24.141799581503221</v>
      </c>
      <c r="W121" s="18">
        <v>24.822594807412035</v>
      </c>
      <c r="X121" s="18">
        <v>25.49556340544002</v>
      </c>
      <c r="Y121" s="18">
        <v>26.15349331496332</v>
      </c>
      <c r="Z121" s="18">
        <v>26.767784324168478</v>
      </c>
      <c r="AA121" s="18">
        <v>27.460886584388707</v>
      </c>
      <c r="AB121" s="18">
        <v>28.180547175783659</v>
      </c>
      <c r="AC121" s="18">
        <v>28.889625610088803</v>
      </c>
      <c r="AD121" s="18">
        <v>29.626578795924523</v>
      </c>
      <c r="AE121" s="18">
        <v>30.409324222456782</v>
      </c>
      <c r="AF121" s="18">
        <v>31.215558283358291</v>
      </c>
      <c r="AG121" s="18">
        <v>32.049998427479558</v>
      </c>
      <c r="AH121" s="18">
        <v>32.910738887097288</v>
      </c>
      <c r="AI121" s="18">
        <v>33.807840745570964</v>
      </c>
      <c r="AJ121" s="18">
        <v>34.749774821046124</v>
      </c>
      <c r="AK121" s="18">
        <v>35.625703852026675</v>
      </c>
      <c r="AL121" s="18">
        <v>36.542469856907495</v>
      </c>
      <c r="AM121" s="18">
        <v>37.50409193622648</v>
      </c>
      <c r="AN121" s="18">
        <v>38.516268854629871</v>
      </c>
      <c r="AO121" s="18">
        <v>39.601164848584354</v>
      </c>
    </row>
    <row r="122" spans="2:41" x14ac:dyDescent="0.25">
      <c r="B122" t="s">
        <v>27</v>
      </c>
      <c r="C122" s="18">
        <v>52.810230956688748</v>
      </c>
      <c r="D122" s="18">
        <v>54.282362311943913</v>
      </c>
      <c r="E122" s="18">
        <v>55.219691955007207</v>
      </c>
      <c r="F122" s="18">
        <v>55.71177904843772</v>
      </c>
      <c r="G122" s="18">
        <v>56.147972175388119</v>
      </c>
      <c r="H122" s="18">
        <v>56.388632981353197</v>
      </c>
      <c r="I122" s="18">
        <v>56.935742268541119</v>
      </c>
      <c r="J122" s="18">
        <v>56.915851520215952</v>
      </c>
      <c r="K122" s="18">
        <v>52.222577111314017</v>
      </c>
      <c r="L122" s="18">
        <v>53.485625534148674</v>
      </c>
      <c r="M122" s="18">
        <v>54.772963618611712</v>
      </c>
      <c r="N122" s="18">
        <v>56.124869079913438</v>
      </c>
      <c r="O122" s="18">
        <v>57.585957657715895</v>
      </c>
      <c r="P122" s="18">
        <v>59.079383283398805</v>
      </c>
      <c r="Q122" s="18">
        <v>60.65927250258617</v>
      </c>
      <c r="R122" s="18">
        <v>62.260045747357402</v>
      </c>
      <c r="S122" s="18">
        <v>63.990528518902622</v>
      </c>
      <c r="T122" s="18">
        <v>65.756685063171986</v>
      </c>
      <c r="U122" s="18">
        <v>67.302359421755469</v>
      </c>
      <c r="V122" s="18">
        <v>69.094850913797686</v>
      </c>
      <c r="W122" s="18">
        <v>70.970000633313632</v>
      </c>
      <c r="X122" s="18">
        <v>72.841272605878572</v>
      </c>
      <c r="Y122" s="18">
        <v>74.680009801299036</v>
      </c>
      <c r="Z122" s="18">
        <v>76.689487549255745</v>
      </c>
      <c r="AA122" s="18">
        <v>78.645651568328219</v>
      </c>
      <c r="AB122" s="18">
        <v>80.680897902695563</v>
      </c>
      <c r="AC122" s="18">
        <v>82.683267359520102</v>
      </c>
      <c r="AD122" s="18">
        <v>84.755595279062305</v>
      </c>
      <c r="AE122" s="18">
        <v>86.95293734444499</v>
      </c>
      <c r="AF122" s="18">
        <v>89.222401499368857</v>
      </c>
      <c r="AG122" s="18">
        <v>91.58017263387822</v>
      </c>
      <c r="AH122" s="18">
        <v>94.032631642963366</v>
      </c>
      <c r="AI122" s="18">
        <v>96.593962146369691</v>
      </c>
      <c r="AJ122" s="18">
        <v>99.287066617144006</v>
      </c>
      <c r="AK122" s="18">
        <v>101.82505005183501</v>
      </c>
      <c r="AL122" s="18">
        <v>104.47034535027582</v>
      </c>
      <c r="AM122" s="18">
        <v>107.23725071589587</v>
      </c>
      <c r="AN122" s="18">
        <v>110.14119878132441</v>
      </c>
      <c r="AO122" s="18">
        <v>113.25676411935609</v>
      </c>
    </row>
    <row r="123" spans="2:41" x14ac:dyDescent="0.25">
      <c r="B123" t="s">
        <v>28</v>
      </c>
      <c r="C123" s="18">
        <v>14.113350558119752</v>
      </c>
      <c r="D123" s="18">
        <v>14.548721789119966</v>
      </c>
      <c r="E123" s="18">
        <v>14.815418697580203</v>
      </c>
      <c r="F123" s="18">
        <v>15.061372702819703</v>
      </c>
      <c r="G123" s="18">
        <v>15.235873493159337</v>
      </c>
      <c r="H123" s="18">
        <v>15.371374502079824</v>
      </c>
      <c r="I123" s="18">
        <v>15.552383515448332</v>
      </c>
      <c r="J123" s="18">
        <v>15.609153497571331</v>
      </c>
      <c r="K123" s="18">
        <v>14.275724652406321</v>
      </c>
      <c r="L123" s="18">
        <v>14.632592738141414</v>
      </c>
      <c r="M123" s="18">
        <v>14.998829546275548</v>
      </c>
      <c r="N123" s="18">
        <v>15.396795523093482</v>
      </c>
      <c r="O123" s="18">
        <v>15.823820610150811</v>
      </c>
      <c r="P123" s="18">
        <v>16.253232567458738</v>
      </c>
      <c r="Q123" s="18">
        <v>16.7257349793129</v>
      </c>
      <c r="R123" s="18">
        <v>17.201748391427138</v>
      </c>
      <c r="S123" s="18">
        <v>17.708895194433161</v>
      </c>
      <c r="T123" s="18">
        <v>18.240242131053403</v>
      </c>
      <c r="U123" s="18">
        <v>18.673472788437888</v>
      </c>
      <c r="V123" s="18">
        <v>19.209896031686849</v>
      </c>
      <c r="W123" s="18">
        <v>19.759109345897627</v>
      </c>
      <c r="X123" s="18">
        <v>20.315924153008183</v>
      </c>
      <c r="Y123" s="18">
        <v>20.85546661362639</v>
      </c>
      <c r="Z123" s="18">
        <v>21.431818706447395</v>
      </c>
      <c r="AA123" s="18">
        <v>22.024541155299971</v>
      </c>
      <c r="AB123" s="18">
        <v>22.636627065976988</v>
      </c>
      <c r="AC123" s="18">
        <v>23.238211464117626</v>
      </c>
      <c r="AD123" s="18">
        <v>23.860936149160427</v>
      </c>
      <c r="AE123" s="18">
        <v>24.521037099566129</v>
      </c>
      <c r="AF123" s="18">
        <v>25.21661964013013</v>
      </c>
      <c r="AG123" s="18">
        <v>25.945207485839877</v>
      </c>
      <c r="AH123" s="18">
        <v>26.705694433212486</v>
      </c>
      <c r="AI123" s="18">
        <v>27.488632120441018</v>
      </c>
      <c r="AJ123" s="18">
        <v>28.306253513157241</v>
      </c>
      <c r="AK123" s="18">
        <v>29.07899575807043</v>
      </c>
      <c r="AL123" s="18">
        <v>29.886726463920347</v>
      </c>
      <c r="AM123" s="18">
        <v>30.734199731905431</v>
      </c>
      <c r="AN123" s="18">
        <v>31.62665662555618</v>
      </c>
      <c r="AO123" s="18">
        <v>32.582524336641313</v>
      </c>
    </row>
    <row r="124" spans="2:41" x14ac:dyDescent="0.25">
      <c r="B124" t="s">
        <v>29</v>
      </c>
      <c r="C124" s="18">
        <v>13.345629432701433</v>
      </c>
      <c r="D124" s="18">
        <v>13.899973861744526</v>
      </c>
      <c r="E124" s="18">
        <v>14.241400522629307</v>
      </c>
      <c r="F124" s="18">
        <v>14.660228740858253</v>
      </c>
      <c r="G124" s="18">
        <v>14.734307821369407</v>
      </c>
      <c r="H124" s="18">
        <v>14.820136538356026</v>
      </c>
      <c r="I124" s="18">
        <v>14.834474809054743</v>
      </c>
      <c r="J124" s="18">
        <v>14.739267553174583</v>
      </c>
      <c r="K124" s="18">
        <v>12.850963128301911</v>
      </c>
      <c r="L124" s="18">
        <v>13.194214531253461</v>
      </c>
      <c r="M124" s="18">
        <v>13.463306784285843</v>
      </c>
      <c r="N124" s="18">
        <v>13.76702952833095</v>
      </c>
      <c r="O124" s="18">
        <v>14.094770559289131</v>
      </c>
      <c r="P124" s="18">
        <v>14.441316908885499</v>
      </c>
      <c r="Q124" s="18">
        <v>14.774137977640024</v>
      </c>
      <c r="R124" s="18">
        <v>15.111490993070266</v>
      </c>
      <c r="S124" s="18">
        <v>15.48015276320328</v>
      </c>
      <c r="T124" s="18">
        <v>15.903436587208263</v>
      </c>
      <c r="U124" s="18">
        <v>16.2345529006253</v>
      </c>
      <c r="V124" s="18">
        <v>16.68332773177854</v>
      </c>
      <c r="W124" s="18">
        <v>17.177801343588126</v>
      </c>
      <c r="X124" s="18">
        <v>17.632404747738843</v>
      </c>
      <c r="Y124" s="18">
        <v>18.108047442152905</v>
      </c>
      <c r="Z124" s="18">
        <v>18.687220599592028</v>
      </c>
      <c r="AA124" s="18">
        <v>19.123335619478652</v>
      </c>
      <c r="AB124" s="18">
        <v>19.574212861738804</v>
      </c>
      <c r="AC124" s="18">
        <v>20.016445254151499</v>
      </c>
      <c r="AD124" s="18">
        <v>20.474336821456458</v>
      </c>
      <c r="AE124" s="18">
        <v>20.962217277389243</v>
      </c>
      <c r="AF124" s="18">
        <v>21.465139347092094</v>
      </c>
      <c r="AG124" s="18">
        <v>21.98329495211933</v>
      </c>
      <c r="AH124" s="18">
        <v>22.520032154344616</v>
      </c>
      <c r="AI124" s="18">
        <v>23.078435912261451</v>
      </c>
      <c r="AJ124" s="18">
        <v>23.667355045881628</v>
      </c>
      <c r="AK124" s="18">
        <v>24.216532537303461</v>
      </c>
      <c r="AL124" s="18">
        <v>24.785962003570585</v>
      </c>
      <c r="AM124" s="18">
        <v>25.381861674959502</v>
      </c>
      <c r="AN124" s="18">
        <v>26.007023223198622</v>
      </c>
      <c r="AO124" s="18">
        <v>26.682114624908355</v>
      </c>
    </row>
    <row r="125" spans="2:41" x14ac:dyDescent="0.25">
      <c r="B125" t="s">
        <v>30</v>
      </c>
      <c r="C125" s="18">
        <v>10.112362730183554</v>
      </c>
      <c r="D125" s="18">
        <v>8.5007203734218884</v>
      </c>
      <c r="E125" s="18">
        <v>7.7653014266725382</v>
      </c>
      <c r="F125" s="18">
        <v>7.8585582183696561</v>
      </c>
      <c r="G125" s="18">
        <v>7.6166575811777113</v>
      </c>
      <c r="H125" s="18">
        <v>7.2676899905857173</v>
      </c>
      <c r="I125" s="18">
        <v>7.0928076077901956</v>
      </c>
      <c r="J125" s="18">
        <v>6.7895805384473107</v>
      </c>
      <c r="K125" s="18">
        <v>5.5395441341179819</v>
      </c>
      <c r="L125" s="18">
        <v>5.6650824418180408</v>
      </c>
      <c r="M125" s="18">
        <v>5.7151179539530679</v>
      </c>
      <c r="N125" s="18">
        <v>5.7834214959080672</v>
      </c>
      <c r="O125" s="18">
        <v>5.891744250290798</v>
      </c>
      <c r="P125" s="18">
        <v>6.0386177502028104</v>
      </c>
      <c r="Q125" s="18">
        <v>6.1810468439326582</v>
      </c>
      <c r="R125" s="18">
        <v>6.3307968903523228</v>
      </c>
      <c r="S125" s="18">
        <v>6.5005469605789363</v>
      </c>
      <c r="T125" s="18">
        <v>6.7469701193181173</v>
      </c>
      <c r="U125" s="18">
        <v>6.9645438930507204</v>
      </c>
      <c r="V125" s="18">
        <v>7.2642905837274876</v>
      </c>
      <c r="W125" s="18">
        <v>7.6165217660109006</v>
      </c>
      <c r="X125" s="18">
        <v>7.9708467351610119</v>
      </c>
      <c r="Y125" s="18">
        <v>8.3506559498367015</v>
      </c>
      <c r="Z125" s="18">
        <v>8.8308793056775485</v>
      </c>
      <c r="AA125" s="18">
        <v>9.2631119812253129</v>
      </c>
      <c r="AB125" s="18">
        <v>9.7001657965888324</v>
      </c>
      <c r="AC125" s="18">
        <v>10.122199009055521</v>
      </c>
      <c r="AD125" s="18">
        <v>10.548860068139749</v>
      </c>
      <c r="AE125" s="18">
        <v>10.988663855455595</v>
      </c>
      <c r="AF125" s="18">
        <v>11.419316718040559</v>
      </c>
      <c r="AG125" s="18">
        <v>11.842864946898526</v>
      </c>
      <c r="AH125" s="18">
        <v>12.260957333092508</v>
      </c>
      <c r="AI125" s="18">
        <v>12.67630003107922</v>
      </c>
      <c r="AJ125" s="18">
        <v>13.093477295435996</v>
      </c>
      <c r="AK125" s="18">
        <v>13.462828088563523</v>
      </c>
      <c r="AL125" s="18">
        <v>13.83089229550253</v>
      </c>
      <c r="AM125" s="18">
        <v>14.201888568407229</v>
      </c>
      <c r="AN125" s="18">
        <v>14.577737580063628</v>
      </c>
      <c r="AO125" s="18">
        <v>14.97305467762345</v>
      </c>
    </row>
    <row r="126" spans="2:41" x14ac:dyDescent="0.25">
      <c r="B126" t="s">
        <v>31</v>
      </c>
      <c r="C126" s="18">
        <v>1.2396211872289537E-4</v>
      </c>
      <c r="D126" s="18">
        <v>1.3639597438124391E-4</v>
      </c>
      <c r="E126" s="18">
        <v>1.4782778941609218E-4</v>
      </c>
      <c r="F126" s="18">
        <v>1.433373755900728E-4</v>
      </c>
      <c r="G126" s="18">
        <v>1.4102836937202948E-4</v>
      </c>
      <c r="H126" s="18">
        <v>1.3573729608291313E-4</v>
      </c>
      <c r="I126" s="18">
        <v>1.4250803609018416E-4</v>
      </c>
      <c r="J126" s="18">
        <v>1.4349767581431678E-4</v>
      </c>
      <c r="K126" s="18">
        <v>1.1077458554618781E-4</v>
      </c>
      <c r="L126" s="18">
        <v>1.2272309954097676E-4</v>
      </c>
      <c r="M126" s="18">
        <v>1.265790961958254E-4</v>
      </c>
      <c r="N126" s="18">
        <v>1.3088259036532032E-4</v>
      </c>
      <c r="O126" s="18">
        <v>1.3647595294192876E-4</v>
      </c>
      <c r="P126" s="18">
        <v>1.4444262285271943E-4</v>
      </c>
      <c r="Q126" s="18">
        <v>1.4909047543167897E-4</v>
      </c>
      <c r="R126" s="18">
        <v>1.5384452910483781E-4</v>
      </c>
      <c r="S126" s="18">
        <v>1.5903968594170402E-4</v>
      </c>
      <c r="T126" s="18">
        <v>1.2376511719270039E-4</v>
      </c>
      <c r="U126" s="18">
        <v>1.2376511719270041E-4</v>
      </c>
      <c r="V126" s="18">
        <v>1.2376511719270044E-4</v>
      </c>
      <c r="W126" s="18">
        <v>1.2376511719270041E-4</v>
      </c>
      <c r="X126" s="18">
        <v>1.2376511719270041E-4</v>
      </c>
      <c r="Y126" s="18">
        <v>1.2376511719270041E-4</v>
      </c>
      <c r="Z126" s="18">
        <v>1.2376511719270041E-4</v>
      </c>
      <c r="AA126" s="18">
        <v>1.2376511719270047E-4</v>
      </c>
      <c r="AB126" s="18">
        <v>1.2376511719270047E-4</v>
      </c>
      <c r="AC126" s="18">
        <v>1.2376511719270041E-4</v>
      </c>
      <c r="AD126" s="18">
        <v>1.2376511719270041E-4</v>
      </c>
      <c r="AE126" s="18">
        <v>1.2376511719270039E-4</v>
      </c>
      <c r="AF126" s="18">
        <v>1.2376511719270041E-4</v>
      </c>
      <c r="AG126" s="18">
        <v>1.2376511719270039E-4</v>
      </c>
      <c r="AH126" s="18">
        <v>1.2376511719270047E-4</v>
      </c>
      <c r="AI126" s="18">
        <v>1.2376511719270052E-4</v>
      </c>
      <c r="AJ126" s="18">
        <v>1.2376511719270058E-4</v>
      </c>
      <c r="AK126" s="18">
        <v>1.2376511719270058E-4</v>
      </c>
      <c r="AL126" s="18">
        <v>1.2376511719270052E-4</v>
      </c>
      <c r="AM126" s="18">
        <v>1.2376511719270052E-4</v>
      </c>
      <c r="AN126" s="18">
        <v>1.237651171927005E-4</v>
      </c>
      <c r="AO126" s="18">
        <v>1.2376511719270052E-4</v>
      </c>
    </row>
    <row r="127" spans="2:41" x14ac:dyDescent="0.25">
      <c r="B127" t="s">
        <v>32</v>
      </c>
      <c r="C127" s="18">
        <v>84.250557323845101</v>
      </c>
      <c r="D127" s="18">
        <v>82.451215835678212</v>
      </c>
      <c r="E127" s="18">
        <v>80.166243478069532</v>
      </c>
      <c r="F127" s="18">
        <v>77.626015719858643</v>
      </c>
      <c r="G127" s="18">
        <v>76.22541754695969</v>
      </c>
      <c r="H127" s="18">
        <v>74.388929903020184</v>
      </c>
      <c r="I127" s="18">
        <v>74.661627930767523</v>
      </c>
      <c r="J127" s="18">
        <v>74.775428105381266</v>
      </c>
      <c r="K127" s="18">
        <v>70.522195251866989</v>
      </c>
      <c r="L127" s="18">
        <v>73.094492492143644</v>
      </c>
      <c r="M127" s="18">
        <v>73.214968744367397</v>
      </c>
      <c r="N127" s="18">
        <v>74.270210908090405</v>
      </c>
      <c r="O127" s="18">
        <v>74.302275677412496</v>
      </c>
      <c r="P127" s="18">
        <v>72.946609309788073</v>
      </c>
      <c r="Q127" s="18">
        <v>74.534785437994302</v>
      </c>
      <c r="R127" s="18">
        <v>76.951376992110681</v>
      </c>
      <c r="S127" s="18">
        <v>77.843900415805521</v>
      </c>
      <c r="T127" s="18">
        <v>79.070428521803947</v>
      </c>
      <c r="U127" s="18">
        <v>77.488568884480685</v>
      </c>
      <c r="V127" s="18">
        <v>80.001746636610036</v>
      </c>
      <c r="W127" s="18">
        <v>81.615727730669292</v>
      </c>
      <c r="X127" s="18">
        <v>83.144940101381721</v>
      </c>
      <c r="Y127" s="18">
        <v>84.082398572093226</v>
      </c>
      <c r="Z127" s="18">
        <v>84.304176107667672</v>
      </c>
      <c r="AA127" s="18">
        <v>86.706826920772002</v>
      </c>
      <c r="AB127" s="18">
        <v>88.824376735822355</v>
      </c>
      <c r="AC127" s="18">
        <v>90.953130838479012</v>
      </c>
      <c r="AD127" s="18">
        <v>93.067176333633881</v>
      </c>
      <c r="AE127" s="18">
        <v>95.21376631469569</v>
      </c>
      <c r="AF127" s="18">
        <v>96.850170559997039</v>
      </c>
      <c r="AG127" s="18">
        <v>98.234253996043691</v>
      </c>
      <c r="AH127" s="18">
        <v>99.652597349120313</v>
      </c>
      <c r="AI127" s="18">
        <v>101.07044472386205</v>
      </c>
      <c r="AJ127" s="18">
        <v>102.5096778995579</v>
      </c>
      <c r="AK127" s="18">
        <v>103.8756184684088</v>
      </c>
      <c r="AL127" s="18">
        <v>105.22907993312295</v>
      </c>
      <c r="AM127" s="18">
        <v>106.64135677829437</v>
      </c>
      <c r="AN127" s="18">
        <v>108.08092477062478</v>
      </c>
      <c r="AO127" s="18">
        <v>109.5489131273044</v>
      </c>
    </row>
    <row r="128" spans="2:41" x14ac:dyDescent="0.25">
      <c r="B128" t="s">
        <v>33</v>
      </c>
      <c r="C128" s="18">
        <v>21.151207305916397</v>
      </c>
      <c r="D128" s="18">
        <v>22.521282491755183</v>
      </c>
      <c r="E128" s="18">
        <v>24.217986565765905</v>
      </c>
      <c r="F128" s="18">
        <v>25.461135067347364</v>
      </c>
      <c r="G128" s="18">
        <v>26.297310750693875</v>
      </c>
      <c r="H128" s="18">
        <v>28.16300470040489</v>
      </c>
      <c r="I128" s="18">
        <v>30.348501189694851</v>
      </c>
      <c r="J128" s="18">
        <v>31.793574952699373</v>
      </c>
      <c r="K128" s="18">
        <v>30.484415949333048</v>
      </c>
      <c r="L128" s="18">
        <v>31.715305188613026</v>
      </c>
      <c r="M128" s="18">
        <v>33.102158131950326</v>
      </c>
      <c r="N128" s="18">
        <v>34.659094884560439</v>
      </c>
      <c r="O128" s="18">
        <v>36.39067919900473</v>
      </c>
      <c r="P128" s="18">
        <v>38.204349046553844</v>
      </c>
      <c r="Q128" s="18">
        <v>40.242752534029108</v>
      </c>
      <c r="R128" s="18">
        <v>42.352494691702802</v>
      </c>
      <c r="S128" s="18">
        <v>44.62959349611431</v>
      </c>
      <c r="T128" s="18">
        <v>47.059568403454492</v>
      </c>
      <c r="U128" s="18">
        <v>49.336141685836502</v>
      </c>
      <c r="V128" s="18">
        <v>52.129708803872987</v>
      </c>
      <c r="W128" s="18">
        <v>55.076493025987219</v>
      </c>
      <c r="X128" s="18">
        <v>58.127939356488781</v>
      </c>
      <c r="Y128" s="18">
        <v>61.165718763166645</v>
      </c>
      <c r="Z128" s="18">
        <v>64.743710634723442</v>
      </c>
      <c r="AA128" s="18">
        <v>68.410556921662561</v>
      </c>
      <c r="AB128" s="18">
        <v>72.216463325601225</v>
      </c>
      <c r="AC128" s="18">
        <v>76.013255310377787</v>
      </c>
      <c r="AD128" s="18">
        <v>79.97978335920952</v>
      </c>
      <c r="AE128" s="18">
        <v>84.167229780771748</v>
      </c>
      <c r="AF128" s="18">
        <v>88.703651014964663</v>
      </c>
      <c r="AG128" s="18">
        <v>93.495987804506427</v>
      </c>
      <c r="AH128" s="18">
        <v>98.513167089164398</v>
      </c>
      <c r="AI128" s="18">
        <v>103.74106028177358</v>
      </c>
      <c r="AJ128" s="18">
        <v>109.17954792194922</v>
      </c>
      <c r="AK128" s="18">
        <v>114.28179559976975</v>
      </c>
      <c r="AL128" s="18">
        <v>119.64957820111283</v>
      </c>
      <c r="AM128" s="18">
        <v>125.31986083075584</v>
      </c>
      <c r="AN128" s="18">
        <v>131.28607556652435</v>
      </c>
      <c r="AO128" s="18">
        <v>137.69966432544891</v>
      </c>
    </row>
    <row r="129" spans="1:41" x14ac:dyDescent="0.25">
      <c r="B129" t="s">
        <v>34</v>
      </c>
      <c r="C129" s="18">
        <v>135.95535691221758</v>
      </c>
      <c r="D129" s="18">
        <v>139.80351127853945</v>
      </c>
      <c r="E129" s="18">
        <v>142.66409200833968</v>
      </c>
      <c r="F129" s="18">
        <v>144.13036048331253</v>
      </c>
      <c r="G129" s="18">
        <v>145.0014302833948</v>
      </c>
      <c r="H129" s="18">
        <v>146.55585903275639</v>
      </c>
      <c r="I129" s="18">
        <v>148.28569594981948</v>
      </c>
      <c r="J129" s="18">
        <v>149.06461652943278</v>
      </c>
      <c r="K129" s="18">
        <v>137.82766079356369</v>
      </c>
      <c r="L129" s="18">
        <v>140.70394471007126</v>
      </c>
      <c r="M129" s="18">
        <v>143.76714641829912</v>
      </c>
      <c r="N129" s="18">
        <v>147.12848647576391</v>
      </c>
      <c r="O129" s="18">
        <v>150.76049449915379</v>
      </c>
      <c r="P129" s="18">
        <v>154.33485001807401</v>
      </c>
      <c r="Q129" s="18">
        <v>158.36097525088041</v>
      </c>
      <c r="R129" s="18">
        <v>162.47821309092055</v>
      </c>
      <c r="S129" s="18">
        <v>166.85402227556517</v>
      </c>
      <c r="T129" s="18">
        <v>171.19273800324726</v>
      </c>
      <c r="U129" s="18">
        <v>174.84705057564088</v>
      </c>
      <c r="V129" s="18">
        <v>179.31069111024703</v>
      </c>
      <c r="W129" s="18">
        <v>183.8200659769339</v>
      </c>
      <c r="X129" s="18">
        <v>188.45915175381029</v>
      </c>
      <c r="Y129" s="18">
        <v>192.83647380242422</v>
      </c>
      <c r="Z129" s="18">
        <v>197.4490556385359</v>
      </c>
      <c r="AA129" s="18">
        <v>202.3032772288403</v>
      </c>
      <c r="AB129" s="18">
        <v>207.34778110170382</v>
      </c>
      <c r="AC129" s="18">
        <v>212.31258981749002</v>
      </c>
      <c r="AD129" s="18">
        <v>217.46651232501361</v>
      </c>
      <c r="AE129" s="18">
        <v>222.94594056097739</v>
      </c>
      <c r="AF129" s="18">
        <v>228.74169932221261</v>
      </c>
      <c r="AG129" s="18">
        <v>234.76776055763202</v>
      </c>
      <c r="AH129" s="18">
        <v>241.02171215001968</v>
      </c>
      <c r="AI129" s="18">
        <v>247.53264718985847</v>
      </c>
      <c r="AJ129" s="18">
        <v>254.37037860613714</v>
      </c>
      <c r="AK129" s="18">
        <v>260.75466562266104</v>
      </c>
      <c r="AL129" s="18">
        <v>267.45156625352439</v>
      </c>
      <c r="AM129" s="18">
        <v>274.50343300227337</v>
      </c>
      <c r="AN129" s="18">
        <v>281.92696162795829</v>
      </c>
      <c r="AO129" s="18">
        <v>289.90858523747522</v>
      </c>
    </row>
    <row r="130" spans="1:41" x14ac:dyDescent="0.25">
      <c r="B130" t="s">
        <v>35</v>
      </c>
      <c r="C130" s="18">
        <v>11.263564724197627</v>
      </c>
      <c r="D130" s="18">
        <v>11.573114330999795</v>
      </c>
      <c r="E130" s="18">
        <v>11.904421804272397</v>
      </c>
      <c r="F130" s="18">
        <v>12.110094606966681</v>
      </c>
      <c r="G130" s="18">
        <v>12.166932788027333</v>
      </c>
      <c r="H130" s="18">
        <v>12.293711060955006</v>
      </c>
      <c r="I130" s="18">
        <v>12.562958323284702</v>
      </c>
      <c r="J130" s="18">
        <v>12.711588758003899</v>
      </c>
      <c r="K130" s="18">
        <v>11.921653112246329</v>
      </c>
      <c r="L130" s="18">
        <v>12.235304710288451</v>
      </c>
      <c r="M130" s="18">
        <v>12.501281403627599</v>
      </c>
      <c r="N130" s="18">
        <v>12.741742363348116</v>
      </c>
      <c r="O130" s="18">
        <v>12.98624838026327</v>
      </c>
      <c r="P130" s="18">
        <v>13.214479448270467</v>
      </c>
      <c r="Q130" s="18">
        <v>13.465168709241487</v>
      </c>
      <c r="R130" s="18">
        <v>13.703477984695741</v>
      </c>
      <c r="S130" s="18">
        <v>13.943442716705752</v>
      </c>
      <c r="T130" s="18">
        <v>14.18613399699187</v>
      </c>
      <c r="U130" s="18">
        <v>14.466589529547347</v>
      </c>
      <c r="V130" s="18">
        <v>14.845840463025313</v>
      </c>
      <c r="W130" s="18">
        <v>15.167896365378041</v>
      </c>
      <c r="X130" s="18">
        <v>15.482175648100521</v>
      </c>
      <c r="Y130" s="18">
        <v>15.753527531290876</v>
      </c>
      <c r="Z130" s="18">
        <v>16.029022897704866</v>
      </c>
      <c r="AA130" s="18">
        <v>16.344022280745968</v>
      </c>
      <c r="AB130" s="18">
        <v>16.653030576959534</v>
      </c>
      <c r="AC130" s="18">
        <v>16.95834435079685</v>
      </c>
      <c r="AD130" s="18">
        <v>17.270783697210387</v>
      </c>
      <c r="AE130" s="18">
        <v>17.605624985872634</v>
      </c>
      <c r="AF130" s="18">
        <v>17.958545368952624</v>
      </c>
      <c r="AG130" s="18">
        <v>18.326368122704476</v>
      </c>
      <c r="AH130" s="18">
        <v>18.695411513294513</v>
      </c>
      <c r="AI130" s="18">
        <v>19.063846336311084</v>
      </c>
      <c r="AJ130" s="18">
        <v>19.436090482310849</v>
      </c>
      <c r="AK130" s="18">
        <v>19.764024399763979</v>
      </c>
      <c r="AL130" s="18">
        <v>20.084817159876348</v>
      </c>
      <c r="AM130" s="18">
        <v>20.430774533226025</v>
      </c>
      <c r="AN130" s="18">
        <v>20.793147678228024</v>
      </c>
      <c r="AO130" s="18">
        <v>21.18512097954352</v>
      </c>
    </row>
    <row r="131" spans="1:41" x14ac:dyDescent="0.25">
      <c r="B131" t="s">
        <v>36</v>
      </c>
      <c r="C131" s="18">
        <v>1.1351531206547518</v>
      </c>
      <c r="D131" s="18">
        <v>1.1581435930988344</v>
      </c>
      <c r="E131" s="18">
        <v>1.1466897745006903</v>
      </c>
      <c r="F131" s="18">
        <v>1.1404041486992398</v>
      </c>
      <c r="G131" s="18">
        <v>1.158082223645845</v>
      </c>
      <c r="H131" s="18">
        <v>1.1690400702239674</v>
      </c>
      <c r="I131" s="18">
        <v>1.1399086849076014</v>
      </c>
      <c r="J131" s="18">
        <v>1.1221637155461712</v>
      </c>
      <c r="K131" s="18">
        <v>1.0096297710191362</v>
      </c>
      <c r="L131" s="18">
        <v>1.0106492879161646</v>
      </c>
      <c r="M131" s="18">
        <v>1.0302529717942739</v>
      </c>
      <c r="N131" s="18">
        <v>1.0620864750479064</v>
      </c>
      <c r="O131" s="18">
        <v>1.0998118752864574</v>
      </c>
      <c r="P131" s="18">
        <v>1.1401523216394778</v>
      </c>
      <c r="Q131" s="18">
        <v>1.1865134987803243</v>
      </c>
      <c r="R131" s="18">
        <v>1.2382503590157974</v>
      </c>
      <c r="S131" s="18">
        <v>1.2967453569894312</v>
      </c>
      <c r="T131" s="18">
        <v>1.3581112576656127</v>
      </c>
      <c r="U131" s="18">
        <v>1.393039840277065</v>
      </c>
      <c r="V131" s="18">
        <v>1.4236346020613615</v>
      </c>
      <c r="W131" s="18">
        <v>1.4718356260352397</v>
      </c>
      <c r="X131" s="18">
        <v>1.526684010572724</v>
      </c>
      <c r="Y131" s="18">
        <v>1.5859732062358185</v>
      </c>
      <c r="Z131" s="18">
        <v>1.6511561750372967</v>
      </c>
      <c r="AA131" s="18">
        <v>1.7137906368871529</v>
      </c>
      <c r="AB131" s="18">
        <v>1.7838412023456807</v>
      </c>
      <c r="AC131" s="18">
        <v>1.852760928004608</v>
      </c>
      <c r="AD131" s="18">
        <v>1.9252952057275514</v>
      </c>
      <c r="AE131" s="18">
        <v>2.0011863599229782</v>
      </c>
      <c r="AF131" s="18">
        <v>2.0799279842080454</v>
      </c>
      <c r="AG131" s="18">
        <v>2.161300898584174</v>
      </c>
      <c r="AH131" s="18">
        <v>2.2491417997344558</v>
      </c>
      <c r="AI131" s="18">
        <v>2.3449152122731407</v>
      </c>
      <c r="AJ131" s="18">
        <v>2.4496740414846618</v>
      </c>
      <c r="AK131" s="18">
        <v>2.553957149593189</v>
      </c>
      <c r="AL131" s="18">
        <v>2.6701459219060015</v>
      </c>
      <c r="AM131" s="18">
        <v>2.7900071780000926</v>
      </c>
      <c r="AN131" s="18">
        <v>2.9167674131821033</v>
      </c>
      <c r="AO131" s="18">
        <v>3.0523121519180978</v>
      </c>
    </row>
    <row r="132" spans="1:41" x14ac:dyDescent="0.25">
      <c r="B132" t="s">
        <v>37</v>
      </c>
      <c r="C132" s="18">
        <v>27.516308224731535</v>
      </c>
      <c r="D132" s="18">
        <v>26.933321910754717</v>
      </c>
      <c r="E132" s="18">
        <v>26.357240851505608</v>
      </c>
      <c r="F132" s="18">
        <v>25.784669574259389</v>
      </c>
      <c r="G132" s="18">
        <v>25.784669574259372</v>
      </c>
      <c r="H132" s="18">
        <v>25.792154377886234</v>
      </c>
      <c r="I132" s="18">
        <v>25.78096221762112</v>
      </c>
      <c r="J132" s="18">
        <v>25.777254860982886</v>
      </c>
      <c r="K132" s="18">
        <v>25.780962217621408</v>
      </c>
      <c r="L132" s="18">
        <v>25.780962217621408</v>
      </c>
      <c r="M132" s="18">
        <v>25.780962217621404</v>
      </c>
      <c r="N132" s="18">
        <v>25.780962217621397</v>
      </c>
      <c r="O132" s="18">
        <v>25.780962217621397</v>
      </c>
      <c r="P132" s="18">
        <v>25.221712610799649</v>
      </c>
      <c r="Q132" s="18">
        <v>25.221712610799649</v>
      </c>
      <c r="R132" s="18">
        <v>25.198560689428401</v>
      </c>
      <c r="S132" s="18">
        <v>25.198154966054339</v>
      </c>
      <c r="T132" s="18">
        <v>25.22443266858593</v>
      </c>
      <c r="U132" s="18">
        <v>25.198154966054339</v>
      </c>
      <c r="V132" s="18">
        <v>24.729363674487423</v>
      </c>
      <c r="W132" s="18">
        <v>24.107340422025779</v>
      </c>
      <c r="X132" s="18">
        <v>24.068889189911349</v>
      </c>
      <c r="Y132" s="18">
        <v>23.566180013629189</v>
      </c>
      <c r="Z132" s="18">
        <v>22.355593289542004</v>
      </c>
      <c r="AA132" s="18">
        <v>22.403008355083625</v>
      </c>
      <c r="AB132" s="18">
        <v>22.450423420625238</v>
      </c>
      <c r="AC132" s="18">
        <v>22.497838486166845</v>
      </c>
      <c r="AD132" s="18">
        <v>22.545253551708463</v>
      </c>
      <c r="AE132" s="18">
        <v>22.592668617250066</v>
      </c>
      <c r="AF132" s="18">
        <v>22.390297614205075</v>
      </c>
      <c r="AG132" s="18">
        <v>22.187926611160076</v>
      </c>
      <c r="AH132" s="18">
        <v>21.985555608115085</v>
      </c>
      <c r="AI132" s="18">
        <v>21.783184605070087</v>
      </c>
      <c r="AJ132" s="18">
        <v>21.580813602025103</v>
      </c>
      <c r="AK132" s="18">
        <v>21.378442598980104</v>
      </c>
      <c r="AL132" s="18">
        <v>21.176071595935095</v>
      </c>
      <c r="AM132" s="18">
        <v>20.973700592890108</v>
      </c>
      <c r="AN132" s="18">
        <v>20.771329589845102</v>
      </c>
      <c r="AO132" s="18">
        <v>20.568958586800107</v>
      </c>
    </row>
    <row r="133" spans="1:41" x14ac:dyDescent="0.25">
      <c r="B133" t="s">
        <v>38</v>
      </c>
      <c r="C133" s="18">
        <v>66.42036548153871</v>
      </c>
      <c r="D133" s="18">
        <v>67.405879473318592</v>
      </c>
      <c r="E133" s="18">
        <v>64.422201326406551</v>
      </c>
      <c r="F133" s="18">
        <v>61.447467786677329</v>
      </c>
      <c r="G133" s="18">
        <v>61.142610702865952</v>
      </c>
      <c r="H133" s="18">
        <v>61.268075561889901</v>
      </c>
      <c r="I133" s="18">
        <v>60.912459713234377</v>
      </c>
      <c r="J133" s="18">
        <v>60.468556482084786</v>
      </c>
      <c r="K133" s="18">
        <v>58.515171706745178</v>
      </c>
      <c r="L133" s="18">
        <v>58.254298294534607</v>
      </c>
      <c r="M133" s="18">
        <v>58.043794250560346</v>
      </c>
      <c r="N133" s="18">
        <v>58.268510979649157</v>
      </c>
      <c r="O133" s="18">
        <v>58.634403368923351</v>
      </c>
      <c r="P133" s="18">
        <v>59.586142400355428</v>
      </c>
      <c r="Q133" s="18">
        <v>59.40613908356876</v>
      </c>
      <c r="R133" s="18">
        <v>59.339774819221503</v>
      </c>
      <c r="S133" s="18">
        <v>59.635924277118903</v>
      </c>
      <c r="T133" s="18">
        <v>59.8003165606208</v>
      </c>
      <c r="U133" s="18">
        <v>60.405002253054697</v>
      </c>
      <c r="V133" s="18">
        <v>59.924771535685913</v>
      </c>
      <c r="W133" s="18">
        <v>59.693945281900724</v>
      </c>
      <c r="X133" s="18">
        <v>59.46503786708054</v>
      </c>
      <c r="Y133" s="18">
        <v>59.155273715860652</v>
      </c>
      <c r="Z133" s="18">
        <v>58.166723000493484</v>
      </c>
      <c r="AA133" s="18">
        <v>57.190274817346371</v>
      </c>
      <c r="AB133" s="18">
        <v>56.213826634199208</v>
      </c>
      <c r="AC133" s="18">
        <v>55.237378451052074</v>
      </c>
      <c r="AD133" s="18">
        <v>54.260930267904918</v>
      </c>
      <c r="AE133" s="18">
        <v>53.284482084757748</v>
      </c>
      <c r="AF133" s="18">
        <v>52.724292816706132</v>
      </c>
      <c r="AG133" s="18">
        <v>52.164103548654488</v>
      </c>
      <c r="AH133" s="18">
        <v>51.603914280602893</v>
      </c>
      <c r="AI133" s="18">
        <v>51.043725012551292</v>
      </c>
      <c r="AJ133" s="18">
        <v>50.483535744499683</v>
      </c>
      <c r="AK133" s="18">
        <v>49.923346476448074</v>
      </c>
      <c r="AL133" s="18">
        <v>49.363157208396451</v>
      </c>
      <c r="AM133" s="18">
        <v>48.802967940344814</v>
      </c>
      <c r="AN133" s="18">
        <v>48.242778672293184</v>
      </c>
      <c r="AO133" s="18">
        <v>47.682589404241561</v>
      </c>
    </row>
    <row r="134" spans="1:41" x14ac:dyDescent="0.25">
      <c r="C134" s="13"/>
      <c r="D134" s="23"/>
    </row>
    <row r="135" spans="1:41" ht="18" thickBot="1" x14ac:dyDescent="0.35">
      <c r="A135" s="4" t="s">
        <v>143</v>
      </c>
      <c r="B135" s="4"/>
      <c r="C135" s="4"/>
      <c r="D135" s="4"/>
      <c r="E135" s="4"/>
      <c r="F135" s="4"/>
      <c r="G135" s="4"/>
      <c r="H135" s="4"/>
    </row>
    <row r="136" spans="1:41" ht="15.75" thickTop="1" x14ac:dyDescent="0.25">
      <c r="B136" s="3">
        <v>2012</v>
      </c>
      <c r="C136" s="3">
        <v>2013</v>
      </c>
      <c r="D136" s="3">
        <v>2014</v>
      </c>
      <c r="E136" s="3">
        <v>2015</v>
      </c>
      <c r="F136" s="3">
        <v>2016</v>
      </c>
      <c r="G136" s="3">
        <v>2017</v>
      </c>
      <c r="H136" s="3">
        <v>2018</v>
      </c>
      <c r="I136" s="3">
        <v>2019</v>
      </c>
      <c r="J136" s="3">
        <v>2020</v>
      </c>
      <c r="K136" s="3">
        <v>2021</v>
      </c>
      <c r="L136" s="3">
        <v>2022</v>
      </c>
      <c r="M136" s="3">
        <v>2023</v>
      </c>
      <c r="N136" s="3">
        <v>2024</v>
      </c>
      <c r="O136" s="3">
        <v>2025</v>
      </c>
      <c r="P136" s="3">
        <v>2026</v>
      </c>
      <c r="Q136" s="3">
        <v>2027</v>
      </c>
      <c r="R136" s="3">
        <v>2028</v>
      </c>
      <c r="S136" s="3">
        <v>2029</v>
      </c>
      <c r="T136" s="3">
        <v>2030</v>
      </c>
      <c r="U136" s="3">
        <v>2031</v>
      </c>
      <c r="V136" s="3">
        <v>2032</v>
      </c>
      <c r="W136" s="3">
        <v>2033</v>
      </c>
      <c r="X136" s="3">
        <v>2034</v>
      </c>
      <c r="Y136" s="3">
        <v>2035</v>
      </c>
      <c r="Z136" s="3">
        <v>2036</v>
      </c>
      <c r="AA136" s="3">
        <v>2037</v>
      </c>
      <c r="AB136" s="3">
        <v>2038</v>
      </c>
      <c r="AC136">
        <v>2039</v>
      </c>
      <c r="AD136">
        <v>2040</v>
      </c>
      <c r="AE136">
        <v>2041</v>
      </c>
      <c r="AF136">
        <v>2042</v>
      </c>
      <c r="AG136">
        <v>2043</v>
      </c>
      <c r="AH136">
        <v>2044</v>
      </c>
      <c r="AI136">
        <v>2045</v>
      </c>
      <c r="AJ136">
        <v>2046</v>
      </c>
      <c r="AK136">
        <v>2047</v>
      </c>
      <c r="AL136">
        <v>2048</v>
      </c>
      <c r="AM136">
        <v>2049</v>
      </c>
      <c r="AN136">
        <v>2050</v>
      </c>
    </row>
    <row r="137" spans="1:41" x14ac:dyDescent="0.25">
      <c r="A137" s="3" t="s">
        <v>54</v>
      </c>
      <c r="B137" s="12">
        <v>0.5</v>
      </c>
      <c r="C137" s="12">
        <v>0.49361482500619441</v>
      </c>
      <c r="D137" s="12">
        <v>0.48206830798992972</v>
      </c>
      <c r="E137" s="12">
        <v>0.47202613350430117</v>
      </c>
      <c r="F137" s="12">
        <v>0.46557223068394388</v>
      </c>
      <c r="G137" s="12">
        <v>0.45639821843997963</v>
      </c>
      <c r="H137" s="12">
        <v>0.44660476008909161</v>
      </c>
      <c r="I137" s="12">
        <v>0.43972669731095931</v>
      </c>
      <c r="J137" s="12">
        <v>0.44869179830464656</v>
      </c>
      <c r="K137" s="12">
        <v>0.4608685558592584</v>
      </c>
      <c r="L137" s="12">
        <v>0.45293933531025343</v>
      </c>
      <c r="M137" s="12">
        <v>0.44496466333523621</v>
      </c>
      <c r="N137" s="12">
        <v>0.43604395407815993</v>
      </c>
      <c r="O137" s="12">
        <v>0.42640214177595159</v>
      </c>
      <c r="P137" s="12">
        <v>0.41704128628178283</v>
      </c>
      <c r="Q137" s="12">
        <v>0.40736811409437179</v>
      </c>
      <c r="R137" s="12">
        <v>0.39752040531475452</v>
      </c>
      <c r="S137" s="12">
        <v>0.38792623621073147</v>
      </c>
      <c r="T137" s="12">
        <v>0.3786915183200642</v>
      </c>
      <c r="U137" s="12">
        <v>0.3695210575010458</v>
      </c>
      <c r="V137" s="12">
        <v>0.35977357770148527</v>
      </c>
      <c r="W137" s="12">
        <v>0.35010150129371193</v>
      </c>
      <c r="X137" s="12">
        <v>0.34070620489032388</v>
      </c>
      <c r="Y137" s="12">
        <v>0.33256879940716488</v>
      </c>
      <c r="Z137" s="12">
        <v>0.32526196722319101</v>
      </c>
      <c r="AA137" s="12">
        <v>0.31743656623784111</v>
      </c>
      <c r="AB137" s="12">
        <v>0.30944759350189216</v>
      </c>
      <c r="AC137" s="12">
        <v>0.30170210809401976</v>
      </c>
      <c r="AD137" s="12">
        <v>0.29426669588993903</v>
      </c>
      <c r="AE137" s="12">
        <v>0.28705947092480621</v>
      </c>
      <c r="AF137" s="12">
        <v>0.27985912607480135</v>
      </c>
      <c r="AG137" s="12">
        <v>0.27267207752507222</v>
      </c>
      <c r="AH137" s="12">
        <v>0.2655187699863964</v>
      </c>
      <c r="AI137" s="12">
        <v>0.25835683521052188</v>
      </c>
      <c r="AJ137" s="12">
        <v>0.25160847240437884</v>
      </c>
      <c r="AK137" s="12">
        <v>0.24500439781986932</v>
      </c>
      <c r="AL137" s="12">
        <v>0.23870289310099521</v>
      </c>
      <c r="AM137" s="12">
        <v>0.23259738300263871</v>
      </c>
      <c r="AN137" s="12">
        <v>0.2264556984169197</v>
      </c>
    </row>
    <row r="138" spans="1:41" x14ac:dyDescent="0.25">
      <c r="A138" s="3" t="s">
        <v>55</v>
      </c>
      <c r="B138" s="12">
        <v>0.3</v>
      </c>
      <c r="C138" s="12">
        <v>0.29468225957952826</v>
      </c>
      <c r="D138" s="12">
        <v>0.29652686013085344</v>
      </c>
      <c r="E138" s="12">
        <v>0.29778797816876007</v>
      </c>
      <c r="F138" s="12">
        <v>0.29845066012740579</v>
      </c>
      <c r="G138" s="12">
        <v>0.29691592343442441</v>
      </c>
      <c r="H138" s="12">
        <v>0.29765219102063356</v>
      </c>
      <c r="I138" s="12">
        <v>0.298551917090845</v>
      </c>
      <c r="J138" s="12">
        <v>0.30807790666505486</v>
      </c>
      <c r="K138" s="12">
        <v>0.29101084546381101</v>
      </c>
      <c r="L138" s="12">
        <v>0.29254909838976384</v>
      </c>
      <c r="M138" s="12">
        <v>0.29362458379515177</v>
      </c>
      <c r="N138" s="12">
        <v>0.29479545876831015</v>
      </c>
      <c r="O138" s="12">
        <v>0.29612492551474839</v>
      </c>
      <c r="P138" s="12">
        <v>0.29821430926402148</v>
      </c>
      <c r="Q138" s="12">
        <v>0.30025114738936809</v>
      </c>
      <c r="R138" s="12">
        <v>0.30243161805275043</v>
      </c>
      <c r="S138" s="12">
        <v>0.30454490929663142</v>
      </c>
      <c r="T138" s="12">
        <v>0.30672648903867467</v>
      </c>
      <c r="U138" s="12">
        <v>0.30878587056708845</v>
      </c>
      <c r="V138" s="12">
        <v>0.3113776753132933</v>
      </c>
      <c r="W138" s="12">
        <v>0.31391427008417805</v>
      </c>
      <c r="X138" s="12">
        <v>0.31654756766084635</v>
      </c>
      <c r="Y138" s="12">
        <v>0.31943560967325441</v>
      </c>
      <c r="Z138" s="12">
        <v>0.32167854950189212</v>
      </c>
      <c r="AA138" s="12">
        <v>0.32413815716167887</v>
      </c>
      <c r="AB138" s="12">
        <v>0.32667347879243019</v>
      </c>
      <c r="AC138" s="12">
        <v>0.32941478752673903</v>
      </c>
      <c r="AD138" s="12">
        <v>0.33194977862338843</v>
      </c>
      <c r="AE138" s="12">
        <v>0.3347119146565295</v>
      </c>
      <c r="AF138" s="12">
        <v>0.33747750852961228</v>
      </c>
      <c r="AG138" s="12">
        <v>0.34019487891547112</v>
      </c>
      <c r="AH138" s="12">
        <v>0.34290256616818704</v>
      </c>
      <c r="AI138" s="12">
        <v>0.34553441204668883</v>
      </c>
      <c r="AJ138" s="12">
        <v>0.3486358783170348</v>
      </c>
      <c r="AK138" s="12">
        <v>0.35163376928920365</v>
      </c>
      <c r="AL138" s="12">
        <v>0.35473779187508891</v>
      </c>
      <c r="AM138" s="12">
        <v>0.35763130295873286</v>
      </c>
      <c r="AN138" s="12">
        <v>0.36050417317170641</v>
      </c>
    </row>
    <row r="139" spans="1:41" x14ac:dyDescent="0.25">
      <c r="A139" s="3" t="s">
        <v>56</v>
      </c>
      <c r="B139" s="12">
        <v>0.19999999999999998</v>
      </c>
      <c r="C139" s="12">
        <v>0.20613092634999897</v>
      </c>
      <c r="D139" s="12">
        <v>0.20997219853254745</v>
      </c>
      <c r="E139" s="12">
        <v>0.21260669534823909</v>
      </c>
      <c r="F139" s="12">
        <v>0.21196845959615526</v>
      </c>
      <c r="G139" s="12">
        <v>0.21596815697579858</v>
      </c>
      <c r="H139" s="12">
        <v>0.21840570822090161</v>
      </c>
      <c r="I139" s="12">
        <v>0.21780961373237509</v>
      </c>
      <c r="J139" s="12">
        <v>0.19278899154436505</v>
      </c>
      <c r="K139" s="12">
        <v>0.19553669373990809</v>
      </c>
      <c r="L139" s="12">
        <v>0.19978989451661469</v>
      </c>
      <c r="M139" s="12">
        <v>0.20455613793575173</v>
      </c>
      <c r="N139" s="12">
        <v>0.21017784188075633</v>
      </c>
      <c r="O139" s="12">
        <v>0.21636685904947664</v>
      </c>
      <c r="P139" s="12">
        <v>0.22306684325167825</v>
      </c>
      <c r="Q139" s="12">
        <v>0.23013203762505227</v>
      </c>
      <c r="R139" s="12">
        <v>0.23722848369486835</v>
      </c>
      <c r="S139" s="12">
        <v>0.24413891693925951</v>
      </c>
      <c r="T139" s="12">
        <v>0.250621957691326</v>
      </c>
      <c r="U139" s="12">
        <v>0.25838040126580109</v>
      </c>
      <c r="V139" s="12">
        <v>0.26618388831950496</v>
      </c>
      <c r="W139" s="12">
        <v>0.27396762998285962</v>
      </c>
      <c r="X139" s="12">
        <v>0.28137833717201771</v>
      </c>
      <c r="Y139" s="12">
        <v>0.28727685765124816</v>
      </c>
      <c r="Z139" s="12">
        <v>0.29412231319643162</v>
      </c>
      <c r="AA139" s="12">
        <v>0.30127304885663259</v>
      </c>
      <c r="AB139" s="12">
        <v>0.30851502785058504</v>
      </c>
      <c r="AC139" s="12">
        <v>0.31531092438850294</v>
      </c>
      <c r="AD139" s="12">
        <v>0.32200646376955105</v>
      </c>
      <c r="AE139" s="12">
        <v>0.32929830475714733</v>
      </c>
      <c r="AF139" s="12">
        <v>0.33658835430014045</v>
      </c>
      <c r="AG139" s="12">
        <v>0.34392190319885563</v>
      </c>
      <c r="AH139" s="12">
        <v>0.35123999212377366</v>
      </c>
      <c r="AI139" s="12">
        <v>0.35865117337681979</v>
      </c>
      <c r="AJ139" s="12">
        <v>0.36625024275029583</v>
      </c>
      <c r="AK139" s="12">
        <v>0.37382482671382988</v>
      </c>
      <c r="AL139" s="12">
        <v>0.38100700334125265</v>
      </c>
      <c r="AM139" s="12">
        <v>0.38822005789694591</v>
      </c>
      <c r="AN139" s="12">
        <v>0.39550635603522843</v>
      </c>
    </row>
    <row r="140" spans="1:41" x14ac:dyDescent="0.25">
      <c r="A140" s="3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</row>
    <row r="142" spans="1:41" ht="18" thickBot="1" x14ac:dyDescent="0.35">
      <c r="A142" s="4" t="s">
        <v>144</v>
      </c>
      <c r="B142" s="4"/>
      <c r="C142" s="4"/>
      <c r="D142" s="4"/>
      <c r="E142" s="4"/>
      <c r="F142" s="4"/>
      <c r="G142" s="4"/>
      <c r="H142" s="4"/>
    </row>
    <row r="143" spans="1:41" ht="15.75" thickTop="1" x14ac:dyDescent="0.25">
      <c r="A143" s="3">
        <v>2012</v>
      </c>
      <c r="B143" s="3">
        <v>2013</v>
      </c>
      <c r="C143" s="3">
        <v>2014</v>
      </c>
      <c r="D143" s="3">
        <v>2015</v>
      </c>
      <c r="E143" s="3">
        <v>2016</v>
      </c>
      <c r="F143" s="3">
        <v>2017</v>
      </c>
      <c r="G143" s="3">
        <v>2018</v>
      </c>
      <c r="H143" s="3">
        <v>2019</v>
      </c>
      <c r="I143" s="3">
        <v>2020</v>
      </c>
      <c r="J143" s="3">
        <v>2021</v>
      </c>
      <c r="K143" s="3">
        <v>2022</v>
      </c>
      <c r="L143" s="3">
        <v>2023</v>
      </c>
      <c r="M143" s="3">
        <v>2024</v>
      </c>
      <c r="N143" s="3">
        <v>2025</v>
      </c>
      <c r="O143" s="3">
        <v>2026</v>
      </c>
      <c r="P143" s="3">
        <v>2027</v>
      </c>
      <c r="Q143" s="3">
        <v>2028</v>
      </c>
      <c r="R143" s="3">
        <v>2029</v>
      </c>
      <c r="S143" s="3">
        <v>2030</v>
      </c>
      <c r="T143" s="3">
        <v>2031</v>
      </c>
      <c r="U143" s="3">
        <v>2032</v>
      </c>
      <c r="V143" s="3">
        <v>2033</v>
      </c>
      <c r="W143" s="3">
        <v>2034</v>
      </c>
      <c r="X143" s="3">
        <v>2035</v>
      </c>
      <c r="Y143" s="3">
        <v>2036</v>
      </c>
      <c r="Z143">
        <v>2037</v>
      </c>
      <c r="AA143">
        <v>2038</v>
      </c>
      <c r="AB143">
        <v>2039</v>
      </c>
      <c r="AC143">
        <v>2040</v>
      </c>
      <c r="AD143">
        <v>2041</v>
      </c>
      <c r="AE143">
        <v>2042</v>
      </c>
      <c r="AF143">
        <v>2043</v>
      </c>
      <c r="AG143">
        <v>2044</v>
      </c>
      <c r="AH143">
        <v>2045</v>
      </c>
      <c r="AI143">
        <v>2046</v>
      </c>
      <c r="AJ143">
        <v>2047</v>
      </c>
      <c r="AK143">
        <v>2048</v>
      </c>
      <c r="AL143">
        <v>2049</v>
      </c>
      <c r="AM143">
        <v>2050</v>
      </c>
    </row>
    <row r="144" spans="1:41" x14ac:dyDescent="0.25">
      <c r="A144">
        <v>0.30163969294989873</v>
      </c>
      <c r="B144">
        <v>0.30770118876733893</v>
      </c>
      <c r="C144">
        <v>0.31057938732953844</v>
      </c>
      <c r="D144">
        <v>0.31277940101847879</v>
      </c>
      <c r="E144">
        <v>0.31284316327620315</v>
      </c>
      <c r="F144">
        <v>0.31635831555178628</v>
      </c>
      <c r="G144">
        <v>0.31867877236635728</v>
      </c>
      <c r="H144">
        <v>0.31829026462005117</v>
      </c>
      <c r="I144">
        <v>0.29040891806001651</v>
      </c>
      <c r="J144">
        <v>0.29800403265459058</v>
      </c>
      <c r="K144">
        <v>0.30200401780692876</v>
      </c>
      <c r="L144">
        <v>0.30656034625617695</v>
      </c>
      <c r="M144">
        <v>0.31192904187570236</v>
      </c>
      <c r="N144">
        <v>0.31799947261850164</v>
      </c>
      <c r="O144">
        <v>0.32433434766527408</v>
      </c>
      <c r="P144">
        <v>0.33129984849841504</v>
      </c>
      <c r="Q144">
        <v>0.33856860928890536</v>
      </c>
      <c r="R144">
        <v>0.3460220907336497</v>
      </c>
      <c r="S144">
        <v>0.35326945484642069</v>
      </c>
      <c r="T144">
        <v>0.36227316635231788</v>
      </c>
      <c r="U144">
        <v>0.37153100120479132</v>
      </c>
      <c r="V144">
        <v>0.38125213640261274</v>
      </c>
      <c r="W144">
        <v>0.39088366365960481</v>
      </c>
      <c r="X144" s="12">
        <v>0.43438755091144643</v>
      </c>
      <c r="Y144" s="12">
        <v>0.4444480293768564</v>
      </c>
      <c r="Z144" s="12">
        <v>0.45535275868686731</v>
      </c>
      <c r="AA144" s="12">
        <v>0.46694075625504039</v>
      </c>
      <c r="AB144" s="12">
        <v>0.4781300856362905</v>
      </c>
      <c r="AC144" s="12">
        <v>0.48967453302970809</v>
      </c>
      <c r="AD144" s="12">
        <v>0.50224672606058585</v>
      </c>
      <c r="AE144" s="12">
        <v>0.51536971747141613</v>
      </c>
      <c r="AF144" s="12">
        <v>0.52924077512855172</v>
      </c>
      <c r="AG144" s="12">
        <v>0.54376194787755061</v>
      </c>
      <c r="AH144" s="12">
        <v>0.55932663957277284</v>
      </c>
      <c r="AI144" s="12">
        <v>0.57508190051994368</v>
      </c>
      <c r="AJ144" s="12">
        <v>0.59159288253939912</v>
      </c>
      <c r="AK144" s="12">
        <v>0.6076457041478186</v>
      </c>
      <c r="AL144" s="12">
        <v>0.62468417964119827</v>
      </c>
      <c r="AM144" s="12">
        <v>0.68427588534183081</v>
      </c>
    </row>
    <row r="146" spans="1:41" ht="18" thickBot="1" x14ac:dyDescent="0.35">
      <c r="B146" s="24" t="s">
        <v>173</v>
      </c>
      <c r="C146" s="24"/>
      <c r="D146" s="24"/>
      <c r="E146" s="24"/>
    </row>
    <row r="147" spans="1:41" ht="15.75" thickTop="1" x14ac:dyDescent="0.25">
      <c r="C147">
        <v>2012</v>
      </c>
      <c r="D147">
        <v>2013</v>
      </c>
      <c r="E147">
        <v>2014</v>
      </c>
      <c r="F147">
        <v>2015</v>
      </c>
      <c r="G147">
        <v>2016</v>
      </c>
      <c r="H147">
        <v>2017</v>
      </c>
      <c r="I147">
        <v>2018</v>
      </c>
      <c r="J147">
        <v>2019</v>
      </c>
      <c r="K147">
        <v>2020</v>
      </c>
      <c r="L147">
        <v>2021</v>
      </c>
      <c r="M147">
        <v>2022</v>
      </c>
      <c r="N147">
        <v>2023</v>
      </c>
      <c r="O147">
        <v>2024</v>
      </c>
      <c r="P147">
        <v>2025</v>
      </c>
      <c r="Q147">
        <v>2026</v>
      </c>
      <c r="R147">
        <v>2027</v>
      </c>
      <c r="S147">
        <v>2028</v>
      </c>
      <c r="T147">
        <v>2029</v>
      </c>
      <c r="U147">
        <v>2030</v>
      </c>
      <c r="V147">
        <v>2031</v>
      </c>
      <c r="W147">
        <v>2032</v>
      </c>
      <c r="X147">
        <v>2033</v>
      </c>
      <c r="Y147">
        <v>2034</v>
      </c>
      <c r="Z147">
        <v>2035</v>
      </c>
      <c r="AA147">
        <v>2036</v>
      </c>
      <c r="AB147">
        <v>2037</v>
      </c>
      <c r="AC147">
        <v>2038</v>
      </c>
      <c r="AD147">
        <v>2039</v>
      </c>
      <c r="AE147">
        <v>2040</v>
      </c>
      <c r="AF147">
        <v>2041</v>
      </c>
      <c r="AG147">
        <v>2042</v>
      </c>
      <c r="AH147">
        <v>2043</v>
      </c>
      <c r="AI147">
        <v>2044</v>
      </c>
      <c r="AJ147">
        <v>2045</v>
      </c>
      <c r="AK147">
        <v>2046</v>
      </c>
      <c r="AL147">
        <v>2047</v>
      </c>
      <c r="AM147">
        <v>2048</v>
      </c>
      <c r="AN147">
        <v>2049</v>
      </c>
      <c r="AO147">
        <v>2050</v>
      </c>
    </row>
    <row r="148" spans="1:41" x14ac:dyDescent="0.25">
      <c r="A148">
        <f>MATCH(B148,$A$182:$A$200,0)</f>
        <v>4</v>
      </c>
      <c r="B148" t="s">
        <v>21</v>
      </c>
      <c r="C148" cm="1">
        <f t="array" ref="C148">INDEX(C$182:C$200,$A148)</f>
        <v>1833.85</v>
      </c>
      <c r="D148" cm="1">
        <f t="array" ref="D148">INDEX(D$182:D$200,$A148)</f>
        <v>1881.9</v>
      </c>
      <c r="E148" cm="1">
        <f t="array" ref="E148">INDEX(E$182:E$200,$A148)</f>
        <v>1929.34</v>
      </c>
      <c r="F148" cm="1">
        <f t="array" ref="F148">INDEX(F$182:F$200,$A148)</f>
        <v>1956.68</v>
      </c>
      <c r="G148" cm="1">
        <f t="array" ref="G148">INDEX(G$182:G$200,$A148)</f>
        <v>1983.97</v>
      </c>
      <c r="H148" cm="1">
        <f t="array" ref="H148">INDEX(H$182:H$200,$A148)</f>
        <v>2015.63</v>
      </c>
      <c r="I148" cm="1">
        <f t="array" ref="I148">INDEX(I$182:I$200,$A148)</f>
        <v>2048.7199999999998</v>
      </c>
      <c r="J148" cm="1">
        <f t="array" ref="J148">INDEX(J$182:J$200,$A148)</f>
        <v>2068.14</v>
      </c>
      <c r="K148" cm="1">
        <f t="array" ref="K148">INDEX(K$182:K$200,$A148)</f>
        <v>1924.06</v>
      </c>
      <c r="L148" cm="1">
        <f t="array" ref="L148">INDEX(L$182:L$200,$A148)</f>
        <v>1969.68</v>
      </c>
      <c r="M148" cm="1">
        <f t="array" ref="M148">INDEX(M$182:M$200,$A148)</f>
        <v>2013.21</v>
      </c>
      <c r="N148" cm="1">
        <f t="array" ref="N148">INDEX(N$182:N$200,$A148)</f>
        <v>2052.89</v>
      </c>
      <c r="O148" cm="1">
        <f t="array" ref="O148">INDEX(O$182:O$200,$A148)</f>
        <v>2097.59</v>
      </c>
      <c r="P148" cm="1">
        <f t="array" ref="P148">INDEX(P$182:P$200,$A148)</f>
        <v>2142.04</v>
      </c>
      <c r="Q148" cm="1">
        <f t="array" ref="Q148">INDEX(Q$182:Q$200,$A148)</f>
        <v>2187.36</v>
      </c>
      <c r="R148" cm="1">
        <f t="array" ref="R148">INDEX(R$182:R$200,$A148)</f>
        <v>2232.96</v>
      </c>
      <c r="S148" cm="1">
        <f t="array" ref="S148">INDEX(S$182:S$200,$A148)</f>
        <v>2276.1999999999998</v>
      </c>
      <c r="T148" cm="1">
        <f t="array" ref="T148">INDEX(T$182:T$200,$A148)</f>
        <v>2325.7600000000002</v>
      </c>
      <c r="U148" cm="1">
        <f t="array" ref="U148">INDEX(U$182:U$200,$A148)</f>
        <v>2379.34</v>
      </c>
      <c r="V148" cm="1">
        <f t="array" ref="V148">INDEX(V$182:V$200,$A148)</f>
        <v>2444.09</v>
      </c>
      <c r="W148" cm="1">
        <f t="array" ref="W148">INDEX(W$182:W$200,$A148)</f>
        <v>2512.85</v>
      </c>
      <c r="X148" cm="1">
        <f t="array" ref="X148">INDEX(X$182:X$200,$A148)</f>
        <v>2586.39</v>
      </c>
      <c r="Y148" cm="1">
        <f t="array" ref="Y148">INDEX(Y$182:Y$200,$A148)</f>
        <v>2669.29</v>
      </c>
      <c r="Z148" cm="1">
        <f t="array" ref="Z148">INDEX(Z$182:Z$200,$A148)</f>
        <v>2753.03</v>
      </c>
      <c r="AA148" cm="1">
        <f t="array" ref="AA148">INDEX(AA$182:AA$200,$A148)</f>
        <v>2843.24</v>
      </c>
      <c r="AB148" cm="1">
        <f t="array" ref="AB148">INDEX(AB$182:AB$200,$A148)</f>
        <v>2938.39</v>
      </c>
      <c r="AC148" cm="1">
        <f t="array" ref="AC148">INDEX(AC$182:AC$200,$A148)</f>
        <v>3036.29</v>
      </c>
      <c r="AD148" cm="1">
        <f t="array" ref="AD148">INDEX(AD$182:AD$200,$A148)</f>
        <v>3138.34</v>
      </c>
      <c r="AE148" cm="1">
        <f t="array" ref="AE148">INDEX(AE$182:AE$200,$A148)</f>
        <v>3244.95</v>
      </c>
      <c r="AF148" cm="1">
        <f t="array" ref="AF148">INDEX(AF$182:AF$200,$A148)</f>
        <v>3354.92</v>
      </c>
      <c r="AG148" cm="1">
        <f t="array" ref="AG148">INDEX(AG$182:AG$200,$A148)</f>
        <v>3465.43</v>
      </c>
      <c r="AH148" cm="1">
        <f t="array" ref="AH148">INDEX(AH$182:AH$200,$A148)</f>
        <v>3580.36</v>
      </c>
      <c r="AI148" cm="1">
        <f t="array" ref="AI148">INDEX(AI$182:AI$200,$A148)</f>
        <v>3700.03</v>
      </c>
      <c r="AJ148" cm="1">
        <f t="array" ref="AJ148">INDEX(AJ$182:AJ$200,$A148)</f>
        <v>3827.31</v>
      </c>
      <c r="AK148" cm="1">
        <f t="array" ref="AK148">INDEX(AK$182:AK$200,$A148)</f>
        <v>3959.52</v>
      </c>
      <c r="AL148" cm="1">
        <f t="array" ref="AL148">INDEX(AL$182:AL$200,$A148)</f>
        <v>4091.05</v>
      </c>
      <c r="AM148" cm="1">
        <f t="array" ref="AM148">INDEX(AM$182:AM$200,$A148)</f>
        <v>4228.6000000000004</v>
      </c>
      <c r="AN148" cm="1">
        <f t="array" ref="AN148">INDEX(AN$182:AN$200,$A148)</f>
        <v>4373.84</v>
      </c>
      <c r="AO148" cm="1">
        <f t="array" ref="AO148">INDEX(AO$182:AO$200,$A148)</f>
        <v>4547.05</v>
      </c>
    </row>
    <row r="149" spans="1:41" x14ac:dyDescent="0.25">
      <c r="A149">
        <f t="shared" ref="A149:A166" si="26">MATCH(B149,$A$182:$A$200,0)</f>
        <v>1</v>
      </c>
      <c r="B149" t="s">
        <v>73</v>
      </c>
      <c r="C149" cm="1">
        <f t="array" ref="C149">INDEX(C$182:C$200,$A149)</f>
        <v>69.819999999999993</v>
      </c>
      <c r="D149" cm="1">
        <f t="array" ref="D149">INDEX(D$182:D$200,$A149)</f>
        <v>72.86</v>
      </c>
      <c r="E149" cm="1">
        <f t="array" ref="E149">INDEX(E$182:E$200,$A149)</f>
        <v>75.87</v>
      </c>
      <c r="F149" cm="1">
        <f t="array" ref="F149">INDEX(F$182:F$200,$A149)</f>
        <v>74.64</v>
      </c>
      <c r="G149" cm="1">
        <f t="array" ref="G149">INDEX(G$182:G$200,$A149)</f>
        <v>73.959999999999994</v>
      </c>
      <c r="H149" cm="1">
        <f t="array" ref="H149">INDEX(H$182:H$200,$A149)</f>
        <v>76.72</v>
      </c>
      <c r="I149" cm="1">
        <f t="array" ref="I149">INDEX(I$182:I$200,$A149)</f>
        <v>75.61</v>
      </c>
      <c r="J149" cm="1">
        <f t="array" ref="J149">INDEX(J$182:J$200,$A149)</f>
        <v>74.11</v>
      </c>
      <c r="K149" cm="1">
        <f t="array" ref="K149">INDEX(K$182:K$200,$A149)</f>
        <v>73.06</v>
      </c>
      <c r="L149" cm="1">
        <f t="array" ref="L149">INDEX(L$182:L$200,$A149)</f>
        <v>75.239999999999995</v>
      </c>
      <c r="M149" cm="1">
        <f t="array" ref="M149">INDEX(M$182:M$200,$A149)</f>
        <v>77.23</v>
      </c>
      <c r="N149" cm="1">
        <f t="array" ref="N149">INDEX(N$182:N$200,$A149)</f>
        <v>78.58</v>
      </c>
      <c r="O149" cm="1">
        <f t="array" ref="O149">INDEX(O$182:O$200,$A149)</f>
        <v>80.14</v>
      </c>
      <c r="P149" cm="1">
        <f t="array" ref="P149">INDEX(P$182:P$200,$A149)</f>
        <v>81.66</v>
      </c>
      <c r="Q149" cm="1">
        <f t="array" ref="Q149">INDEX(Q$182:Q$200,$A149)</f>
        <v>83.01</v>
      </c>
      <c r="R149" cm="1">
        <f t="array" ref="R149">INDEX(R$182:R$200,$A149)</f>
        <v>84.26</v>
      </c>
      <c r="S149" cm="1">
        <f t="array" ref="S149">INDEX(S$182:S$200,$A149)</f>
        <v>85.97</v>
      </c>
      <c r="T149" cm="1">
        <f t="array" ref="T149">INDEX(T$182:T$200,$A149)</f>
        <v>87.4</v>
      </c>
      <c r="U149" cm="1">
        <f t="array" ref="U149">INDEX(U$182:U$200,$A149)</f>
        <v>88.8</v>
      </c>
      <c r="V149" cm="1">
        <f t="array" ref="V149">INDEX(V$182:V$200,$A149)</f>
        <v>90.44</v>
      </c>
      <c r="W149" cm="1">
        <f t="array" ref="W149">INDEX(W$182:W$200,$A149)</f>
        <v>92.09</v>
      </c>
      <c r="X149" cm="1">
        <f t="array" ref="X149">INDEX(X$182:X$200,$A149)</f>
        <v>93.77</v>
      </c>
      <c r="Y149" cm="1">
        <f t="array" ref="Y149">INDEX(Y$182:Y$200,$A149)</f>
        <v>95.87</v>
      </c>
      <c r="Z149" cm="1">
        <f t="array" ref="Z149">INDEX(Z$182:Z$200,$A149)</f>
        <v>97.95</v>
      </c>
      <c r="AA149" cm="1">
        <f t="array" ref="AA149">INDEX(AA$182:AA$200,$A149)</f>
        <v>100.25</v>
      </c>
      <c r="AB149" cm="1">
        <f t="array" ref="AB149">INDEX(AB$182:AB$200,$A149)</f>
        <v>102.58</v>
      </c>
      <c r="AC149" cm="1">
        <f t="array" ref="AC149">INDEX(AC$182:AC$200,$A149)</f>
        <v>104.93</v>
      </c>
      <c r="AD149" cm="1">
        <f t="array" ref="AD149">INDEX(AD$182:AD$200,$A149)</f>
        <v>107.29</v>
      </c>
      <c r="AE149" cm="1">
        <f t="array" ref="AE149">INDEX(AE$182:AE$200,$A149)</f>
        <v>109.71</v>
      </c>
      <c r="AF149" cm="1">
        <f t="array" ref="AF149">INDEX(AF$182:AF$200,$A149)</f>
        <v>112.22</v>
      </c>
      <c r="AG149" cm="1">
        <f t="array" ref="AG149">INDEX(AG$182:AG$200,$A149)</f>
        <v>114.59</v>
      </c>
      <c r="AH149" cm="1">
        <f t="array" ref="AH149">INDEX(AH$182:AH$200,$A149)</f>
        <v>117.07</v>
      </c>
      <c r="AI149" cm="1">
        <f t="array" ref="AI149">INDEX(AI$182:AI$200,$A149)</f>
        <v>119.7</v>
      </c>
      <c r="AJ149" cm="1">
        <f t="array" ref="AJ149">INDEX(AJ$182:AJ$200,$A149)</f>
        <v>122.57</v>
      </c>
      <c r="AK149" cm="1">
        <f t="array" ref="AK149">INDEX(AK$182:AK$200,$A149)</f>
        <v>125.55</v>
      </c>
      <c r="AL149" cm="1">
        <f t="array" ref="AL149">INDEX(AL$182:AL$200,$A149)</f>
        <v>128.41</v>
      </c>
      <c r="AM149" cm="1">
        <f t="array" ref="AM149">INDEX(AM$182:AM$200,$A149)</f>
        <v>131.38999999999999</v>
      </c>
      <c r="AN149" cm="1">
        <f t="array" ref="AN149">INDEX(AN$182:AN$200,$A149)</f>
        <v>134.63</v>
      </c>
      <c r="AO149" cm="1">
        <f t="array" ref="AO149">INDEX(AO$182:AO$200,$A149)</f>
        <v>138.71</v>
      </c>
    </row>
    <row r="150" spans="1:41" x14ac:dyDescent="0.25">
      <c r="A150">
        <f t="shared" si="26"/>
        <v>12</v>
      </c>
      <c r="B150" t="s">
        <v>23</v>
      </c>
      <c r="C150" cm="1">
        <f t="array" ref="C150">INDEX(C$182:C$200,$A150)</f>
        <v>123.26999999999998</v>
      </c>
      <c r="D150" cm="1">
        <f t="array" ref="D150">INDEX(D$182:D$200,$A150)</f>
        <v>125.80799999999999</v>
      </c>
      <c r="E150" cm="1">
        <f t="array" ref="E150">INDEX(E$182:E$200,$A150)</f>
        <v>125.928</v>
      </c>
      <c r="F150" cm="1">
        <f t="array" ref="F150">INDEX(F$182:F$200,$A150)</f>
        <v>128.83799999999999</v>
      </c>
      <c r="G150" cm="1">
        <f t="array" ref="G150">INDEX(G$182:G$200,$A150)</f>
        <v>126.498</v>
      </c>
      <c r="H150" cm="1">
        <f t="array" ref="H150">INDEX(H$182:H$200,$A150)</f>
        <v>129.738</v>
      </c>
      <c r="I150" cm="1">
        <f t="array" ref="I150">INDEX(I$182:I$200,$A150)</f>
        <v>128.71199999999999</v>
      </c>
      <c r="J150" cm="1">
        <f t="array" ref="J150">INDEX(J$182:J$200,$A150)</f>
        <v>126.50399999999999</v>
      </c>
      <c r="K150" cm="1">
        <f t="array" ref="K150">INDEX(K$182:K$200,$A150)</f>
        <v>118.98</v>
      </c>
      <c r="L150" cm="1">
        <f t="array" ref="L150">INDEX(L$182:L$200,$A150)</f>
        <v>121.03799999999998</v>
      </c>
      <c r="M150" cm="1">
        <f t="array" ref="M150">INDEX(M$182:M$200,$A150)</f>
        <v>122.64599999999999</v>
      </c>
      <c r="N150" cm="1">
        <f t="array" ref="N150">INDEX(N$182:N$200,$A150)</f>
        <v>123.93</v>
      </c>
      <c r="O150" cm="1">
        <f t="array" ref="O150">INDEX(O$182:O$200,$A150)</f>
        <v>125.322</v>
      </c>
      <c r="P150" cm="1">
        <f t="array" ref="P150">INDEX(P$182:P$200,$A150)</f>
        <v>126.78</v>
      </c>
      <c r="Q150" cm="1">
        <f t="array" ref="Q150">INDEX(Q$182:Q$200,$A150)</f>
        <v>127.99199999999999</v>
      </c>
      <c r="R150" cm="1">
        <f t="array" ref="R150">INDEX(R$182:R$200,$A150)</f>
        <v>129.15599999999998</v>
      </c>
      <c r="S150" cm="1">
        <f t="array" ref="S150">INDEX(S$182:S$200,$A150)</f>
        <v>131.04</v>
      </c>
      <c r="T150" cm="1">
        <f t="array" ref="T150">INDEX(T$182:T$200,$A150)</f>
        <v>132.066</v>
      </c>
      <c r="U150" cm="1">
        <f t="array" ref="U150">INDEX(U$182:U$200,$A150)</f>
        <v>132.99599999999998</v>
      </c>
      <c r="V150" cm="1">
        <f t="array" ref="V150">INDEX(V$182:V$200,$A150)</f>
        <v>134.298</v>
      </c>
      <c r="W150" cm="1">
        <f t="array" ref="W150">INDEX(W$182:W$200,$A150)</f>
        <v>135.6</v>
      </c>
      <c r="X150" cm="1">
        <f t="array" ref="X150">INDEX(X$182:X$200,$A150)</f>
        <v>136.94399999999999</v>
      </c>
      <c r="Y150" cm="1">
        <f t="array" ref="Y150">INDEX(Y$182:Y$200,$A150)</f>
        <v>138.828</v>
      </c>
      <c r="Z150" cm="1">
        <f t="array" ref="Z150">INDEX(Z$182:Z$200,$A150)</f>
        <v>140.66999999999999</v>
      </c>
      <c r="AA150" cm="1">
        <f t="array" ref="AA150">INDEX(AA$182:AA$200,$A150)</f>
        <v>142.67399999999998</v>
      </c>
      <c r="AB150" cm="1">
        <f t="array" ref="AB150">INDEX(AB$182:AB$200,$A150)</f>
        <v>144.61199999999999</v>
      </c>
      <c r="AC150" cm="1">
        <f t="array" ref="AC150">INDEX(AC$182:AC$200,$A150)</f>
        <v>146.84399999999999</v>
      </c>
      <c r="AD150" cm="1">
        <f t="array" ref="AD150">INDEX(AD$182:AD$200,$A150)</f>
        <v>149.184</v>
      </c>
      <c r="AE150" cm="1">
        <f t="array" ref="AE150">INDEX(AE$182:AE$200,$A150)</f>
        <v>151.65</v>
      </c>
      <c r="AF150" cm="1">
        <f t="array" ref="AF150">INDEX(AF$182:AF$200,$A150)</f>
        <v>154.33799999999999</v>
      </c>
      <c r="AG150" cm="1">
        <f t="array" ref="AG150">INDEX(AG$182:AG$200,$A150)</f>
        <v>157.03800000000001</v>
      </c>
      <c r="AH150" cm="1">
        <f t="array" ref="AH150">INDEX(AH$182:AH$200,$A150)</f>
        <v>159.93600000000001</v>
      </c>
      <c r="AI150" cm="1">
        <f t="array" ref="AI150">INDEX(AI$182:AI$200,$A150)</f>
        <v>163.05599999999998</v>
      </c>
      <c r="AJ150" cm="1">
        <f t="array" ref="AJ150">INDEX(AJ$182:AJ$200,$A150)</f>
        <v>166.488</v>
      </c>
      <c r="AK150" cm="1">
        <f t="array" ref="AK150">INDEX(AK$182:AK$200,$A150)</f>
        <v>170.28</v>
      </c>
      <c r="AL150" cm="1">
        <f t="array" ref="AL150">INDEX(AL$182:AL$200,$A150)</f>
        <v>174.072</v>
      </c>
      <c r="AM150" cm="1">
        <f t="array" ref="AM150">INDEX(AM$182:AM$200,$A150)</f>
        <v>178.14</v>
      </c>
      <c r="AN150" cm="1">
        <f t="array" ref="AN150">INDEX(AN$182:AN$200,$A150)</f>
        <v>182.57400000000001</v>
      </c>
      <c r="AO150" cm="1">
        <f t="array" ref="AO150">INDEX(AO$182:AO$200,$A150)</f>
        <v>188.22599999999997</v>
      </c>
    </row>
    <row r="151" spans="1:41" x14ac:dyDescent="0.25">
      <c r="A151">
        <f t="shared" si="26"/>
        <v>18</v>
      </c>
      <c r="B151" t="s">
        <v>151</v>
      </c>
      <c r="C151" cm="1">
        <f t="array" ref="C151">INDEX(C$182:C$200,$A151)</f>
        <v>82.18</v>
      </c>
      <c r="D151" cm="1">
        <f t="array" ref="D151">INDEX(D$182:D$200,$A151)</f>
        <v>83.872000000000014</v>
      </c>
      <c r="E151" cm="1">
        <f t="array" ref="E151">INDEX(E$182:E$200,$A151)</f>
        <v>83.951999999999998</v>
      </c>
      <c r="F151" cm="1">
        <f t="array" ref="F151">INDEX(F$182:F$200,$A151)</f>
        <v>85.891999999999996</v>
      </c>
      <c r="G151" cm="1">
        <f t="array" ref="G151">INDEX(G$182:G$200,$A151)</f>
        <v>84.332000000000008</v>
      </c>
      <c r="H151" cm="1">
        <f t="array" ref="H151">INDEX(H$182:H$200,$A151)</f>
        <v>86.492000000000004</v>
      </c>
      <c r="I151" cm="1">
        <f t="array" ref="I151">INDEX(I$182:I$200,$A151)</f>
        <v>85.808000000000007</v>
      </c>
      <c r="J151" cm="1">
        <f t="array" ref="J151">INDEX(J$182:J$200,$A151)</f>
        <v>84.336000000000013</v>
      </c>
      <c r="K151" cm="1">
        <f t="array" ref="K151">INDEX(K$182:K$200,$A151)</f>
        <v>79.320000000000007</v>
      </c>
      <c r="L151" cm="1">
        <f t="array" ref="L151">INDEX(L$182:L$200,$A151)</f>
        <v>80.692000000000007</v>
      </c>
      <c r="M151" cm="1">
        <f t="array" ref="M151">INDEX(M$182:M$200,$A151)</f>
        <v>81.76400000000001</v>
      </c>
      <c r="N151" cm="1">
        <f t="array" ref="N151">INDEX(N$182:N$200,$A151)</f>
        <v>82.62</v>
      </c>
      <c r="O151" cm="1">
        <f t="array" ref="O151">INDEX(O$182:O$200,$A151)</f>
        <v>83.548000000000002</v>
      </c>
      <c r="P151" cm="1">
        <f t="array" ref="P151">INDEX(P$182:P$200,$A151)</f>
        <v>84.52000000000001</v>
      </c>
      <c r="Q151" cm="1">
        <f t="array" ref="Q151">INDEX(Q$182:Q$200,$A151)</f>
        <v>85.328000000000003</v>
      </c>
      <c r="R151" cm="1">
        <f t="array" ref="R151">INDEX(R$182:R$200,$A151)</f>
        <v>86.103999999999999</v>
      </c>
      <c r="S151" cm="1">
        <f t="array" ref="S151">INDEX(S$182:S$200,$A151)</f>
        <v>87.360000000000014</v>
      </c>
      <c r="T151" cm="1">
        <f t="array" ref="T151">INDEX(T$182:T$200,$A151)</f>
        <v>88.044000000000011</v>
      </c>
      <c r="U151" cm="1">
        <f t="array" ref="U151">INDEX(U$182:U$200,$A151)</f>
        <v>88.664000000000001</v>
      </c>
      <c r="V151" cm="1">
        <f t="array" ref="V151">INDEX(V$182:V$200,$A151)</f>
        <v>89.532000000000011</v>
      </c>
      <c r="W151" cm="1">
        <f t="array" ref="W151">INDEX(W$182:W$200,$A151)</f>
        <v>90.4</v>
      </c>
      <c r="X151" cm="1">
        <f t="array" ref="X151">INDEX(X$182:X$200,$A151)</f>
        <v>91.296000000000006</v>
      </c>
      <c r="Y151" cm="1">
        <f t="array" ref="Y151">INDEX(Y$182:Y$200,$A151)</f>
        <v>92.552000000000007</v>
      </c>
      <c r="Z151" cm="1">
        <f t="array" ref="Z151">INDEX(Z$182:Z$200,$A151)</f>
        <v>93.78</v>
      </c>
      <c r="AA151" cm="1">
        <f t="array" ref="AA151">INDEX(AA$182:AA$200,$A151)</f>
        <v>95.116</v>
      </c>
      <c r="AB151" cm="1">
        <f t="array" ref="AB151">INDEX(AB$182:AB$200,$A151)</f>
        <v>96.408000000000015</v>
      </c>
      <c r="AC151" cm="1">
        <f t="array" ref="AC151">INDEX(AC$182:AC$200,$A151)</f>
        <v>97.896000000000015</v>
      </c>
      <c r="AD151" cm="1">
        <f t="array" ref="AD151">INDEX(AD$182:AD$200,$A151)</f>
        <v>99.456000000000003</v>
      </c>
      <c r="AE151" cm="1">
        <f t="array" ref="AE151">INDEX(AE$182:AE$200,$A151)</f>
        <v>101.10000000000001</v>
      </c>
      <c r="AF151" cm="1">
        <f t="array" ref="AF151">INDEX(AF$182:AF$200,$A151)</f>
        <v>102.89200000000001</v>
      </c>
      <c r="AG151" cm="1">
        <f t="array" ref="AG151">INDEX(AG$182:AG$200,$A151)</f>
        <v>104.69200000000001</v>
      </c>
      <c r="AH151" cm="1">
        <f t="array" ref="AH151">INDEX(AH$182:AH$200,$A151)</f>
        <v>106.62400000000001</v>
      </c>
      <c r="AI151" cm="1">
        <f t="array" ref="AI151">INDEX(AI$182:AI$200,$A151)</f>
        <v>108.70400000000001</v>
      </c>
      <c r="AJ151" cm="1">
        <f t="array" ref="AJ151">INDEX(AJ$182:AJ$200,$A151)</f>
        <v>110.99200000000002</v>
      </c>
      <c r="AK151" cm="1">
        <f t="array" ref="AK151">INDEX(AK$182:AK$200,$A151)</f>
        <v>113.52000000000001</v>
      </c>
      <c r="AL151" cm="1">
        <f t="array" ref="AL151">INDEX(AL$182:AL$200,$A151)</f>
        <v>116.048</v>
      </c>
      <c r="AM151" cm="1">
        <f t="array" ref="AM151">INDEX(AM$182:AM$200,$A151)</f>
        <v>118.75999999999999</v>
      </c>
      <c r="AN151" cm="1">
        <f t="array" ref="AN151">INDEX(AN$182:AN$200,$A151)</f>
        <v>121.71600000000001</v>
      </c>
      <c r="AO151" cm="1">
        <f t="array" ref="AO151">INDEX(AO$182:AO$200,$A151)</f>
        <v>125.48399999999999</v>
      </c>
    </row>
    <row r="152" spans="1:41" x14ac:dyDescent="0.25">
      <c r="A152">
        <f t="shared" si="26"/>
        <v>8</v>
      </c>
      <c r="B152" t="s">
        <v>24</v>
      </c>
      <c r="C152" cm="1">
        <f t="array" ref="C152">INDEX(C$182:C$200,$A152)</f>
        <v>93.1</v>
      </c>
      <c r="D152" cm="1">
        <f t="array" ref="D152">INDEX(D$182:D$200,$A152)</f>
        <v>96.24</v>
      </c>
      <c r="E152" cm="1">
        <f t="array" ref="E152">INDEX(E$182:E$200,$A152)</f>
        <v>98.9</v>
      </c>
      <c r="F152" cm="1">
        <f t="array" ref="F152">INDEX(F$182:F$200,$A152)</f>
        <v>99.85</v>
      </c>
      <c r="G152" cm="1">
        <f t="array" ref="G152">INDEX(G$182:G$200,$A152)</f>
        <v>102.21</v>
      </c>
      <c r="H152" cm="1">
        <f t="array" ref="H152">INDEX(H$182:H$200,$A152)</f>
        <v>103.61</v>
      </c>
      <c r="I152" cm="1">
        <f t="array" ref="I152">INDEX(I$182:I$200,$A152)</f>
        <v>105.24</v>
      </c>
      <c r="J152" cm="1">
        <f t="array" ref="J152">INDEX(J$182:J$200,$A152)</f>
        <v>104.54</v>
      </c>
      <c r="K152" cm="1">
        <f t="array" ref="K152">INDEX(K$182:K$200,$A152)</f>
        <v>101.85</v>
      </c>
      <c r="L152" cm="1">
        <f t="array" ref="L152">INDEX(L$182:L$200,$A152)</f>
        <v>104.95</v>
      </c>
      <c r="M152" cm="1">
        <f t="array" ref="M152">INDEX(M$182:M$200,$A152)</f>
        <v>107.71</v>
      </c>
      <c r="N152" cm="1">
        <f t="array" ref="N152">INDEX(N$182:N$200,$A152)</f>
        <v>109.84</v>
      </c>
      <c r="O152" cm="1">
        <f t="array" ref="O152">INDEX(O$182:O$200,$A152)</f>
        <v>112.24</v>
      </c>
      <c r="P152" cm="1">
        <f t="array" ref="P152">INDEX(P$182:P$200,$A152)</f>
        <v>114.63</v>
      </c>
      <c r="Q152" cm="1">
        <f t="array" ref="Q152">INDEX(Q$182:Q$200,$A152)</f>
        <v>116.8</v>
      </c>
      <c r="R152" cm="1">
        <f t="array" ref="R152">INDEX(R$182:R$200,$A152)</f>
        <v>118.95</v>
      </c>
      <c r="S152" cm="1">
        <f t="array" ref="S152">INDEX(S$182:S$200,$A152)</f>
        <v>121.8</v>
      </c>
      <c r="T152" cm="1">
        <f t="array" ref="T152">INDEX(T$182:T$200,$A152)</f>
        <v>124.07</v>
      </c>
      <c r="U152" cm="1">
        <f t="array" ref="U152">INDEX(U$182:U$200,$A152)</f>
        <v>126.27</v>
      </c>
      <c r="V152" cm="1">
        <f t="array" ref="V152">INDEX(V$182:V$200,$A152)</f>
        <v>128.88999999999999</v>
      </c>
      <c r="W152" cm="1">
        <f t="array" ref="W152">INDEX(W$182:W$200,$A152)</f>
        <v>131.65</v>
      </c>
      <c r="X152" cm="1">
        <f t="array" ref="X152">INDEX(X$182:X$200,$A152)</f>
        <v>134.56</v>
      </c>
      <c r="Y152" cm="1">
        <f t="array" ref="Y152">INDEX(Y$182:Y$200,$A152)</f>
        <v>138.11000000000001</v>
      </c>
      <c r="Z152" cm="1">
        <f t="array" ref="Z152">INDEX(Z$182:Z$200,$A152)</f>
        <v>141.66</v>
      </c>
      <c r="AA152" cm="1">
        <f t="array" ref="AA152">INDEX(AA$182:AA$200,$A152)</f>
        <v>145.46</v>
      </c>
      <c r="AB152" cm="1">
        <f t="array" ref="AB152">INDEX(AB$182:AB$200,$A152)</f>
        <v>149.24</v>
      </c>
      <c r="AC152" cm="1">
        <f t="array" ref="AC152">INDEX(AC$182:AC$200,$A152)</f>
        <v>153</v>
      </c>
      <c r="AD152" cm="1">
        <f t="array" ref="AD152">INDEX(AD$182:AD$200,$A152)</f>
        <v>156.83000000000001</v>
      </c>
      <c r="AE152" cm="1">
        <f t="array" ref="AE152">INDEX(AE$182:AE$200,$A152)</f>
        <v>160.74</v>
      </c>
      <c r="AF152" cm="1">
        <f t="array" ref="AF152">INDEX(AF$182:AF$200,$A152)</f>
        <v>164.68</v>
      </c>
      <c r="AG152" cm="1">
        <f t="array" ref="AG152">INDEX(AG$182:AG$200,$A152)</f>
        <v>168.49</v>
      </c>
      <c r="AH152" cm="1">
        <f t="array" ref="AH152">INDEX(AH$182:AH$200,$A152)</f>
        <v>172.54</v>
      </c>
      <c r="AI152" cm="1">
        <f t="array" ref="AI152">INDEX(AI$182:AI$200,$A152)</f>
        <v>176.82</v>
      </c>
      <c r="AJ152" cm="1">
        <f t="array" ref="AJ152">INDEX(AJ$182:AJ$200,$A152)</f>
        <v>181.33</v>
      </c>
      <c r="AK152" cm="1">
        <f t="array" ref="AK152">INDEX(AK$182:AK$200,$A152)</f>
        <v>185.9</v>
      </c>
      <c r="AL152" cm="1">
        <f t="array" ref="AL152">INDEX(AL$182:AL$200,$A152)</f>
        <v>190.27</v>
      </c>
      <c r="AM152" cm="1">
        <f t="array" ref="AM152">INDEX(AM$182:AM$200,$A152)</f>
        <v>194.8</v>
      </c>
      <c r="AN152" cm="1">
        <f t="array" ref="AN152">INDEX(AN$182:AN$200,$A152)</f>
        <v>199.65</v>
      </c>
      <c r="AO152" cm="1">
        <f t="array" ref="AO152">INDEX(AO$182:AO$200,$A152)</f>
        <v>205.62</v>
      </c>
    </row>
    <row r="153" spans="1:41" x14ac:dyDescent="0.25">
      <c r="A153">
        <f t="shared" si="26"/>
        <v>10</v>
      </c>
      <c r="B153" t="s">
        <v>25</v>
      </c>
      <c r="C153" cm="1">
        <f t="array" ref="C153">INDEX(C$182:C$200,$A153)</f>
        <v>235.5</v>
      </c>
      <c r="D153" cm="1">
        <f t="array" ref="D153">INDEX(D$182:D$200,$A153)</f>
        <v>241.59</v>
      </c>
      <c r="E153" cm="1">
        <f t="array" ref="E153">INDEX(E$182:E$200,$A153)</f>
        <v>246.1</v>
      </c>
      <c r="F153" cm="1">
        <f t="array" ref="F153">INDEX(F$182:F$200,$A153)</f>
        <v>248.42</v>
      </c>
      <c r="G153" cm="1">
        <f t="array" ref="G153">INDEX(G$182:G$200,$A153)</f>
        <v>251.09</v>
      </c>
      <c r="H153" cm="1">
        <f t="array" ref="H153">INDEX(H$182:H$200,$A153)</f>
        <v>253.26</v>
      </c>
      <c r="I153" cm="1">
        <f t="array" ref="I153">INDEX(I$182:I$200,$A153)</f>
        <v>255.74</v>
      </c>
      <c r="J153" cm="1">
        <f t="array" ref="J153">INDEX(J$182:J$200,$A153)</f>
        <v>254.07</v>
      </c>
      <c r="K153" cm="1">
        <f t="array" ref="K153">INDEX(K$182:K$200,$A153)</f>
        <v>233.33</v>
      </c>
      <c r="L153" cm="1">
        <f t="array" ref="L153">INDEX(L$182:L$200,$A153)</f>
        <v>239.41</v>
      </c>
      <c r="M153" cm="1">
        <f t="array" ref="M153">INDEX(M$182:M$200,$A153)</f>
        <v>244.91</v>
      </c>
      <c r="N153" cm="1">
        <f t="array" ref="N153">INDEX(N$182:N$200,$A153)</f>
        <v>249.83</v>
      </c>
      <c r="O153" cm="1">
        <f t="array" ref="O153">INDEX(O$182:O$200,$A153)</f>
        <v>255.36</v>
      </c>
      <c r="P153" cm="1">
        <f t="array" ref="P153">INDEX(P$182:P$200,$A153)</f>
        <v>260.81</v>
      </c>
      <c r="Q153" cm="1">
        <f t="array" ref="Q153">INDEX(Q$182:Q$200,$A153)</f>
        <v>266.36</v>
      </c>
      <c r="R153" cm="1">
        <f t="array" ref="R153">INDEX(R$182:R$200,$A153)</f>
        <v>271.74</v>
      </c>
      <c r="S153" cm="1">
        <f t="array" ref="S153">INDEX(S$182:S$200,$A153)</f>
        <v>277.05</v>
      </c>
      <c r="T153" cm="1">
        <f t="array" ref="T153">INDEX(T$182:T$200,$A153)</f>
        <v>282.77999999999997</v>
      </c>
      <c r="U153" cm="1">
        <f t="array" ref="U153">INDEX(U$182:U$200,$A153)</f>
        <v>288.95999999999998</v>
      </c>
      <c r="V153" cm="1">
        <f t="array" ref="V153">INDEX(V$182:V$200,$A153)</f>
        <v>296.33999999999997</v>
      </c>
      <c r="W153" cm="1">
        <f t="array" ref="W153">INDEX(W$182:W$200,$A153)</f>
        <v>304.2</v>
      </c>
      <c r="X153" cm="1">
        <f t="array" ref="X153">INDEX(X$182:X$200,$A153)</f>
        <v>312.55</v>
      </c>
      <c r="Y153" cm="1">
        <f t="array" ref="Y153">INDEX(Y$182:Y$200,$A153)</f>
        <v>321.88</v>
      </c>
      <c r="Z153" cm="1">
        <f t="array" ref="Z153">INDEX(Z$182:Z$200,$A153)</f>
        <v>331.08</v>
      </c>
      <c r="AA153" cm="1">
        <f t="array" ref="AA153">INDEX(AA$182:AA$200,$A153)</f>
        <v>340.86</v>
      </c>
      <c r="AB153" cm="1">
        <f t="array" ref="AB153">INDEX(AB$182:AB$200,$A153)</f>
        <v>351.05</v>
      </c>
      <c r="AC153" cm="1">
        <f t="array" ref="AC153">INDEX(AC$182:AC$200,$A153)</f>
        <v>361.39</v>
      </c>
      <c r="AD153" cm="1">
        <f t="array" ref="AD153">INDEX(AD$182:AD$200,$A153)</f>
        <v>372.08</v>
      </c>
      <c r="AE153" cm="1">
        <f t="array" ref="AE153">INDEX(AE$182:AE$200,$A153)</f>
        <v>383.14</v>
      </c>
      <c r="AF153" cm="1">
        <f t="array" ref="AF153">INDEX(AF$182:AF$200,$A153)</f>
        <v>394.85</v>
      </c>
      <c r="AG153" cm="1">
        <f t="array" ref="AG153">INDEX(AG$182:AG$200,$A153)</f>
        <v>406.53</v>
      </c>
      <c r="AH153" cm="1">
        <f t="array" ref="AH153">INDEX(AH$182:AH$200,$A153)</f>
        <v>418.72</v>
      </c>
      <c r="AI153" cm="1">
        <f t="array" ref="AI153">INDEX(AI$182:AI$200,$A153)</f>
        <v>431.5</v>
      </c>
      <c r="AJ153" cm="1">
        <f t="array" ref="AJ153">INDEX(AJ$182:AJ$200,$A153)</f>
        <v>445.12</v>
      </c>
      <c r="AK153" cm="1">
        <f t="array" ref="AK153">INDEX(AK$182:AK$200,$A153)</f>
        <v>459.51</v>
      </c>
      <c r="AL153" cm="1">
        <f t="array" ref="AL153">INDEX(AL$182:AL$200,$A153)</f>
        <v>473.68</v>
      </c>
      <c r="AM153" cm="1">
        <f t="array" ref="AM153">INDEX(AM$182:AM$200,$A153)</f>
        <v>488.53</v>
      </c>
      <c r="AN153" cm="1">
        <f t="array" ref="AN153">INDEX(AN$182:AN$200,$A153)</f>
        <v>504.28</v>
      </c>
      <c r="AO153" cm="1">
        <f t="array" ref="AO153">INDEX(AO$182:AO$200,$A153)</f>
        <v>523.45000000000005</v>
      </c>
    </row>
    <row r="154" spans="1:41" x14ac:dyDescent="0.25">
      <c r="A154">
        <f t="shared" si="26"/>
        <v>16</v>
      </c>
      <c r="B154" t="s">
        <v>26</v>
      </c>
      <c r="C154" cm="1">
        <f t="array" ref="C154">INDEX(C$182:C$200,$A154)</f>
        <v>17.78</v>
      </c>
      <c r="D154" cm="1">
        <f t="array" ref="D154">INDEX(D$182:D$200,$A154)</f>
        <v>18.170000000000002</v>
      </c>
      <c r="E154" cm="1">
        <f t="array" ref="E154">INDEX(E$182:E$200,$A154)</f>
        <v>18.57</v>
      </c>
      <c r="F154" cm="1">
        <f t="array" ref="F154">INDEX(F$182:F$200,$A154)</f>
        <v>18.72</v>
      </c>
      <c r="G154" cm="1">
        <f t="array" ref="G154">INDEX(G$182:G$200,$A154)</f>
        <v>19.07</v>
      </c>
      <c r="H154" cm="1">
        <f t="array" ref="H154">INDEX(H$182:H$200,$A154)</f>
        <v>19.21</v>
      </c>
      <c r="I154" cm="1">
        <f t="array" ref="I154">INDEX(I$182:I$200,$A154)</f>
        <v>19.559999999999999</v>
      </c>
      <c r="J154" cm="1">
        <f t="array" ref="J154">INDEX(J$182:J$200,$A154)</f>
        <v>19.57</v>
      </c>
      <c r="K154" cm="1">
        <f t="array" ref="K154">INDEX(K$182:K$200,$A154)</f>
        <v>18.440000000000001</v>
      </c>
      <c r="L154" cm="1">
        <f t="array" ref="L154">INDEX(L$182:L$200,$A154)</f>
        <v>18.899999999999999</v>
      </c>
      <c r="M154" cm="1">
        <f t="array" ref="M154">INDEX(M$182:M$200,$A154)</f>
        <v>19.3</v>
      </c>
      <c r="N154" cm="1">
        <f t="array" ref="N154">INDEX(N$182:N$200,$A154)</f>
        <v>19.66</v>
      </c>
      <c r="O154" cm="1">
        <f t="array" ref="O154">INDEX(O$182:O$200,$A154)</f>
        <v>20.07</v>
      </c>
      <c r="P154" cm="1">
        <f t="array" ref="P154">INDEX(P$182:P$200,$A154)</f>
        <v>20.49</v>
      </c>
      <c r="Q154" cm="1">
        <f t="array" ref="Q154">INDEX(Q$182:Q$200,$A154)</f>
        <v>20.88</v>
      </c>
      <c r="R154" cm="1">
        <f t="array" ref="R154">INDEX(R$182:R$200,$A154)</f>
        <v>21.27</v>
      </c>
      <c r="S154" cm="1">
        <f t="array" ref="S154">INDEX(S$182:S$200,$A154)</f>
        <v>21.67</v>
      </c>
      <c r="T154" cm="1">
        <f t="array" ref="T154">INDEX(T$182:T$200,$A154)</f>
        <v>22.05</v>
      </c>
      <c r="U154" cm="1">
        <f t="array" ref="U154">INDEX(U$182:U$200,$A154)</f>
        <v>22.47</v>
      </c>
      <c r="V154" cm="1">
        <f t="array" ref="V154">INDEX(V$182:V$200,$A154)</f>
        <v>22.99</v>
      </c>
      <c r="W154" cm="1">
        <f t="array" ref="W154">INDEX(W$182:W$200,$A154)</f>
        <v>23.54</v>
      </c>
      <c r="X154" cm="1">
        <f t="array" ref="X154">INDEX(X$182:X$200,$A154)</f>
        <v>24.14</v>
      </c>
      <c r="Y154" cm="1">
        <f t="array" ref="Y154">INDEX(Y$182:Y$200,$A154)</f>
        <v>24.83</v>
      </c>
      <c r="Z154" cm="1">
        <f t="array" ref="Z154">INDEX(Z$182:Z$200,$A154)</f>
        <v>25.51</v>
      </c>
      <c r="AA154" cm="1">
        <f t="array" ref="AA154">INDEX(AA$182:AA$200,$A154)</f>
        <v>26.23</v>
      </c>
      <c r="AB154" cm="1">
        <f t="array" ref="AB154">INDEX(AB$182:AB$200,$A154)</f>
        <v>26.97</v>
      </c>
      <c r="AC154" cm="1">
        <f t="array" ref="AC154">INDEX(AC$182:AC$200,$A154)</f>
        <v>27.74</v>
      </c>
      <c r="AD154" cm="1">
        <f t="array" ref="AD154">INDEX(AD$182:AD$200,$A154)</f>
        <v>28.55</v>
      </c>
      <c r="AE154" cm="1">
        <f t="array" ref="AE154">INDEX(AE$182:AE$200,$A154)</f>
        <v>29.38</v>
      </c>
      <c r="AF154" cm="1">
        <f t="array" ref="AF154">INDEX(AF$182:AF$200,$A154)</f>
        <v>30.27</v>
      </c>
      <c r="AG154" cm="1">
        <f t="array" ref="AG154">INDEX(AG$182:AG$200,$A154)</f>
        <v>31.15</v>
      </c>
      <c r="AH154" cm="1">
        <f t="array" ref="AH154">INDEX(AH$182:AH$200,$A154)</f>
        <v>32.07</v>
      </c>
      <c r="AI154" cm="1">
        <f t="array" ref="AI154">INDEX(AI$182:AI$200,$A154)</f>
        <v>33.03</v>
      </c>
      <c r="AJ154" cm="1">
        <f t="array" ref="AJ154">INDEX(AJ$182:AJ$200,$A154)</f>
        <v>34.06</v>
      </c>
      <c r="AK154" cm="1">
        <f t="array" ref="AK154">INDEX(AK$182:AK$200,$A154)</f>
        <v>35.14</v>
      </c>
      <c r="AL154" cm="1">
        <f t="array" ref="AL154">INDEX(AL$182:AL$200,$A154)</f>
        <v>36.200000000000003</v>
      </c>
      <c r="AM154" cm="1">
        <f t="array" ref="AM154">INDEX(AM$182:AM$200,$A154)</f>
        <v>37.31</v>
      </c>
      <c r="AN154" cm="1">
        <f t="array" ref="AN154">INDEX(AN$182:AN$200,$A154)</f>
        <v>38.479999999999997</v>
      </c>
      <c r="AO154" cm="1">
        <f t="array" ref="AO154">INDEX(AO$182:AO$200,$A154)</f>
        <v>39.92</v>
      </c>
    </row>
    <row r="155" spans="1:41" x14ac:dyDescent="0.25">
      <c r="A155">
        <f t="shared" si="26"/>
        <v>3</v>
      </c>
      <c r="B155" t="s">
        <v>27</v>
      </c>
      <c r="C155" cm="1">
        <f t="array" ref="C155">INDEX(C$182:C$200,$A155)</f>
        <v>52.81</v>
      </c>
      <c r="D155" cm="1">
        <f t="array" ref="D155">INDEX(D$182:D$200,$A155)</f>
        <v>54.26</v>
      </c>
      <c r="E155" cm="1">
        <f t="array" ref="E155">INDEX(E$182:E$200,$A155)</f>
        <v>55.41</v>
      </c>
      <c r="F155" cm="1">
        <f t="array" ref="F155">INDEX(F$182:F$200,$A155)</f>
        <v>55.89</v>
      </c>
      <c r="G155" cm="1">
        <f t="array" ref="G155">INDEX(G$182:G$200,$A155)</f>
        <v>56.55</v>
      </c>
      <c r="H155" cm="1">
        <f t="array" ref="H155">INDEX(H$182:H$200,$A155)</f>
        <v>57.1</v>
      </c>
      <c r="I155" cm="1">
        <f t="array" ref="I155">INDEX(I$182:I$200,$A155)</f>
        <v>57.77</v>
      </c>
      <c r="J155" cm="1">
        <f t="array" ref="J155">INDEX(J$182:J$200,$A155)</f>
        <v>57.43</v>
      </c>
      <c r="K155" cm="1">
        <f t="array" ref="K155">INDEX(K$182:K$200,$A155)</f>
        <v>53.7</v>
      </c>
      <c r="L155" cm="1">
        <f t="array" ref="L155">INDEX(L$182:L$200,$A155)</f>
        <v>54.93</v>
      </c>
      <c r="M155" cm="1">
        <f t="array" ref="M155">INDEX(M$182:M$200,$A155)</f>
        <v>56.1</v>
      </c>
      <c r="N155" cm="1">
        <f t="array" ref="N155">INDEX(N$182:N$200,$A155)</f>
        <v>57.1</v>
      </c>
      <c r="O155" cm="1">
        <f t="array" ref="O155">INDEX(O$182:O$200,$A155)</f>
        <v>58.23</v>
      </c>
      <c r="P155" cm="1">
        <f t="array" ref="P155">INDEX(P$182:P$200,$A155)</f>
        <v>59.4</v>
      </c>
      <c r="Q155" cm="1">
        <f t="array" ref="Q155">INDEX(Q$182:Q$200,$A155)</f>
        <v>60.51</v>
      </c>
      <c r="R155" cm="1">
        <f t="array" ref="R155">INDEX(R$182:R$200,$A155)</f>
        <v>61.62</v>
      </c>
      <c r="S155" cm="1">
        <f t="array" ref="S155">INDEX(S$182:S$200,$A155)</f>
        <v>62.89</v>
      </c>
      <c r="T155" cm="1">
        <f t="array" ref="T155">INDEX(T$182:T$200,$A155)</f>
        <v>63.98</v>
      </c>
      <c r="U155" cm="1">
        <f t="array" ref="U155">INDEX(U$182:U$200,$A155)</f>
        <v>65.209999999999994</v>
      </c>
      <c r="V155" cm="1">
        <f t="array" ref="V155">INDEX(V$182:V$200,$A155)</f>
        <v>66.91</v>
      </c>
      <c r="W155" cm="1">
        <f t="array" ref="W155">INDEX(W$182:W$200,$A155)</f>
        <v>68.67</v>
      </c>
      <c r="X155" cm="1">
        <f t="array" ref="X155">INDEX(X$182:X$200,$A155)</f>
        <v>70.540000000000006</v>
      </c>
      <c r="Y155" cm="1">
        <f t="array" ref="Y155">INDEX(Y$182:Y$200,$A155)</f>
        <v>72.73</v>
      </c>
      <c r="Z155" cm="1">
        <f t="array" ref="Z155">INDEX(Z$182:Z$200,$A155)</f>
        <v>74.89</v>
      </c>
      <c r="AA155" cm="1">
        <f t="array" ref="AA155">INDEX(AA$182:AA$200,$A155)</f>
        <v>77.16</v>
      </c>
      <c r="AB155" cm="1">
        <f t="array" ref="AB155">INDEX(AB$182:AB$200,$A155)</f>
        <v>79.62</v>
      </c>
      <c r="AC155" cm="1">
        <f t="array" ref="AC155">INDEX(AC$182:AC$200,$A155)</f>
        <v>82.09</v>
      </c>
      <c r="AD155" cm="1">
        <f t="array" ref="AD155">INDEX(AD$182:AD$200,$A155)</f>
        <v>84.63</v>
      </c>
      <c r="AE155" cm="1">
        <f t="array" ref="AE155">INDEX(AE$182:AE$200,$A155)</f>
        <v>87.27</v>
      </c>
      <c r="AF155" cm="1">
        <f t="array" ref="AF155">INDEX(AF$182:AF$200,$A155)</f>
        <v>89.91</v>
      </c>
      <c r="AG155" cm="1">
        <f t="array" ref="AG155">INDEX(AG$182:AG$200,$A155)</f>
        <v>92.55</v>
      </c>
      <c r="AH155" cm="1">
        <f t="array" ref="AH155">INDEX(AH$182:AH$200,$A155)</f>
        <v>95.31</v>
      </c>
      <c r="AI155" cm="1">
        <f t="array" ref="AI155">INDEX(AI$182:AI$200,$A155)</f>
        <v>98.19</v>
      </c>
      <c r="AJ155" cm="1">
        <f t="array" ref="AJ155">INDEX(AJ$182:AJ$200,$A155)</f>
        <v>101.26</v>
      </c>
      <c r="AK155" cm="1">
        <f t="array" ref="AK155">INDEX(AK$182:AK$200,$A155)</f>
        <v>104.46</v>
      </c>
      <c r="AL155" cm="1">
        <f t="array" ref="AL155">INDEX(AL$182:AL$200,$A155)</f>
        <v>107.63</v>
      </c>
      <c r="AM155" cm="1">
        <f t="array" ref="AM155">INDEX(AM$182:AM$200,$A155)</f>
        <v>110.94</v>
      </c>
      <c r="AN155" cm="1">
        <f t="array" ref="AN155">INDEX(AN$182:AN$200,$A155)</f>
        <v>114.45</v>
      </c>
      <c r="AO155" cm="1">
        <f t="array" ref="AO155">INDEX(AO$182:AO$200,$A155)</f>
        <v>118.69</v>
      </c>
    </row>
    <row r="156" spans="1:41" x14ac:dyDescent="0.25">
      <c r="A156">
        <f t="shared" si="26"/>
        <v>13</v>
      </c>
      <c r="B156" t="s">
        <v>28</v>
      </c>
      <c r="C156" cm="1">
        <f t="array" ref="C156">INDEX(C$182:C$200,$A156)</f>
        <v>14.11</v>
      </c>
      <c r="D156" cm="1">
        <f t="array" ref="D156">INDEX(D$182:D$200,$A156)</f>
        <v>14.44</v>
      </c>
      <c r="E156" cm="1">
        <f t="array" ref="E156">INDEX(E$182:E$200,$A156)</f>
        <v>14.65</v>
      </c>
      <c r="F156" cm="1">
        <f t="array" ref="F156">INDEX(F$182:F$200,$A156)</f>
        <v>14.76</v>
      </c>
      <c r="G156" cm="1">
        <f t="array" ref="G156">INDEX(G$182:G$200,$A156)</f>
        <v>14.92</v>
      </c>
      <c r="H156" cm="1">
        <f t="array" ref="H156">INDEX(H$182:H$200,$A156)</f>
        <v>15.1</v>
      </c>
      <c r="I156" cm="1">
        <f t="array" ref="I156">INDEX(I$182:I$200,$A156)</f>
        <v>15.25</v>
      </c>
      <c r="J156" cm="1">
        <f t="array" ref="J156">INDEX(J$182:J$200,$A156)</f>
        <v>15.19</v>
      </c>
      <c r="K156" cm="1">
        <f t="array" ref="K156">INDEX(K$182:K$200,$A156)</f>
        <v>14.04</v>
      </c>
      <c r="L156" cm="1">
        <f t="array" ref="L156">INDEX(L$182:L$200,$A156)</f>
        <v>14.38</v>
      </c>
      <c r="M156" cm="1">
        <f t="array" ref="M156">INDEX(M$182:M$200,$A156)</f>
        <v>14.69</v>
      </c>
      <c r="N156" cm="1">
        <f t="array" ref="N156">INDEX(N$182:N$200,$A156)</f>
        <v>14.97</v>
      </c>
      <c r="O156" cm="1">
        <f t="array" ref="O156">INDEX(O$182:O$200,$A156)</f>
        <v>15.29</v>
      </c>
      <c r="P156" cm="1">
        <f t="array" ref="P156">INDEX(P$182:P$200,$A156)</f>
        <v>15.6</v>
      </c>
      <c r="Q156" cm="1">
        <f t="array" ref="Q156">INDEX(Q$182:Q$200,$A156)</f>
        <v>15.92</v>
      </c>
      <c r="R156" cm="1">
        <f t="array" ref="R156">INDEX(R$182:R$200,$A156)</f>
        <v>16.239999999999998</v>
      </c>
      <c r="S156" cm="1">
        <f t="array" ref="S156">INDEX(S$182:S$200,$A156)</f>
        <v>16.46</v>
      </c>
      <c r="T156" cm="1">
        <f t="array" ref="T156">INDEX(T$182:T$200,$A156)</f>
        <v>16.8</v>
      </c>
      <c r="U156" cm="1">
        <f t="array" ref="U156">INDEX(U$182:U$200,$A156)</f>
        <v>17.170000000000002</v>
      </c>
      <c r="V156" cm="1">
        <f t="array" ref="V156">INDEX(V$182:V$200,$A156)</f>
        <v>17.61</v>
      </c>
      <c r="W156" cm="1">
        <f t="array" ref="W156">INDEX(W$182:W$200,$A156)</f>
        <v>18.079999999999998</v>
      </c>
      <c r="X156" cm="1">
        <f t="array" ref="X156">INDEX(X$182:X$200,$A156)</f>
        <v>18.579999999999998</v>
      </c>
      <c r="Y156" cm="1">
        <f t="array" ref="Y156">INDEX(Y$182:Y$200,$A156)</f>
        <v>19.100000000000001</v>
      </c>
      <c r="Z156" cm="1">
        <f t="array" ref="Z156">INDEX(Z$182:Z$200,$A156)</f>
        <v>19.61</v>
      </c>
      <c r="AA156" cm="1">
        <f t="array" ref="AA156">INDEX(AA$182:AA$200,$A156)</f>
        <v>20.149999999999999</v>
      </c>
      <c r="AB156" cm="1">
        <f t="array" ref="AB156">INDEX(AB$182:AB$200,$A156)</f>
        <v>20.71</v>
      </c>
      <c r="AC156" cm="1">
        <f t="array" ref="AC156">INDEX(AC$182:AC$200,$A156)</f>
        <v>21.29</v>
      </c>
      <c r="AD156" cm="1">
        <f t="array" ref="AD156">INDEX(AD$182:AD$200,$A156)</f>
        <v>21.89</v>
      </c>
      <c r="AE156" cm="1">
        <f t="array" ref="AE156">INDEX(AE$182:AE$200,$A156)</f>
        <v>22.5</v>
      </c>
      <c r="AF156" cm="1">
        <f t="array" ref="AF156">INDEX(AF$182:AF$200,$A156)</f>
        <v>23.19</v>
      </c>
      <c r="AG156" cm="1">
        <f t="array" ref="AG156">INDEX(AG$182:AG$200,$A156)</f>
        <v>23.88</v>
      </c>
      <c r="AH156" cm="1">
        <f t="array" ref="AH156">INDEX(AH$182:AH$200,$A156)</f>
        <v>24.59</v>
      </c>
      <c r="AI156" cm="1">
        <f t="array" ref="AI156">INDEX(AI$182:AI$200,$A156)</f>
        <v>25.33</v>
      </c>
      <c r="AJ156" cm="1">
        <f t="array" ref="AJ156">INDEX(AJ$182:AJ$200,$A156)</f>
        <v>26.13</v>
      </c>
      <c r="AK156" cm="1">
        <f t="array" ref="AK156">INDEX(AK$182:AK$200,$A156)</f>
        <v>26.98</v>
      </c>
      <c r="AL156" cm="1">
        <f t="array" ref="AL156">INDEX(AL$182:AL$200,$A156)</f>
        <v>27.82</v>
      </c>
      <c r="AM156" cm="1">
        <f t="array" ref="AM156">INDEX(AM$182:AM$200,$A156)</f>
        <v>28.69</v>
      </c>
      <c r="AN156" cm="1">
        <f t="array" ref="AN156">INDEX(AN$182:AN$200,$A156)</f>
        <v>29.62</v>
      </c>
      <c r="AO156" cm="1">
        <f t="array" ref="AO156">INDEX(AO$182:AO$200,$A156)</f>
        <v>30.75</v>
      </c>
    </row>
    <row r="157" spans="1:41" x14ac:dyDescent="0.25">
      <c r="A157">
        <f t="shared" si="26"/>
        <v>11</v>
      </c>
      <c r="B157" t="s">
        <v>29</v>
      </c>
      <c r="C157" cm="1">
        <f t="array" ref="C157">INDEX(C$182:C$200,$A157)</f>
        <v>13.35</v>
      </c>
      <c r="D157" cm="1">
        <f t="array" ref="D157">INDEX(D$182:D$200,$A157)</f>
        <v>13.68</v>
      </c>
      <c r="E157" cm="1">
        <f t="array" ref="E157">INDEX(E$182:E$200,$A157)</f>
        <v>13.89</v>
      </c>
      <c r="F157" cm="1">
        <f t="array" ref="F157">INDEX(F$182:F$200,$A157)</f>
        <v>14.15</v>
      </c>
      <c r="G157" cm="1">
        <f t="array" ref="G157">INDEX(G$182:G$200,$A157)</f>
        <v>14.18</v>
      </c>
      <c r="H157" cm="1">
        <f t="array" ref="H157">INDEX(H$182:H$200,$A157)</f>
        <v>14.29</v>
      </c>
      <c r="I157" cm="1">
        <f t="array" ref="I157">INDEX(I$182:I$200,$A157)</f>
        <v>14.31</v>
      </c>
      <c r="J157" cm="1">
        <f t="array" ref="J157">INDEX(J$182:J$200,$A157)</f>
        <v>14.15</v>
      </c>
      <c r="K157" cm="1">
        <f t="array" ref="K157">INDEX(K$182:K$200,$A157)</f>
        <v>13.1</v>
      </c>
      <c r="L157" cm="1">
        <f t="array" ref="L157">INDEX(L$182:L$200,$A157)</f>
        <v>13.41</v>
      </c>
      <c r="M157" cm="1">
        <f t="array" ref="M157">INDEX(M$182:M$200,$A157)</f>
        <v>13.57</v>
      </c>
      <c r="N157" cm="1">
        <f t="array" ref="N157">INDEX(N$182:N$200,$A157)</f>
        <v>13.73</v>
      </c>
      <c r="O157" cm="1">
        <f t="array" ref="O157">INDEX(O$182:O$200,$A157)</f>
        <v>13.9</v>
      </c>
      <c r="P157" cm="1">
        <f t="array" ref="P157">INDEX(P$182:P$200,$A157)</f>
        <v>14.12</v>
      </c>
      <c r="Q157" cm="1">
        <f t="array" ref="Q157">INDEX(Q$182:Q$200,$A157)</f>
        <v>14.27</v>
      </c>
      <c r="R157" cm="1">
        <f t="array" ref="R157">INDEX(R$182:R$200,$A157)</f>
        <v>14.4</v>
      </c>
      <c r="S157" cm="1">
        <f t="array" ref="S157">INDEX(S$182:S$200,$A157)</f>
        <v>14.75</v>
      </c>
      <c r="T157" cm="1">
        <f t="array" ref="T157">INDEX(T$182:T$200,$A157)</f>
        <v>14.82</v>
      </c>
      <c r="U157" cm="1">
        <f t="array" ref="U157">INDEX(U$182:U$200,$A157)</f>
        <v>14.91</v>
      </c>
      <c r="V157" cm="1">
        <f t="array" ref="V157">INDEX(V$182:V$200,$A157)</f>
        <v>15.03</v>
      </c>
      <c r="W157" cm="1">
        <f t="array" ref="W157">INDEX(W$182:W$200,$A157)</f>
        <v>15.19</v>
      </c>
      <c r="X157" cm="1">
        <f t="array" ref="X157">INDEX(X$182:X$200,$A157)</f>
        <v>15.37</v>
      </c>
      <c r="Y157" cm="1">
        <f t="array" ref="Y157">INDEX(Y$182:Y$200,$A157)</f>
        <v>15.64</v>
      </c>
      <c r="Z157" cm="1">
        <f t="array" ref="Z157">INDEX(Z$182:Z$200,$A157)</f>
        <v>15.88</v>
      </c>
      <c r="AA157" cm="1">
        <f t="array" ref="AA157">INDEX(AA$182:AA$200,$A157)</f>
        <v>16.13</v>
      </c>
      <c r="AB157" cm="1">
        <f t="array" ref="AB157">INDEX(AB$182:AB$200,$A157)</f>
        <v>16.399999999999999</v>
      </c>
      <c r="AC157" cm="1">
        <f t="array" ref="AC157">INDEX(AC$182:AC$200,$A157)</f>
        <v>16.7</v>
      </c>
      <c r="AD157" cm="1">
        <f t="array" ref="AD157">INDEX(AD$182:AD$200,$A157)</f>
        <v>17.010000000000002</v>
      </c>
      <c r="AE157" cm="1">
        <f t="array" ref="AE157">INDEX(AE$182:AE$200,$A157)</f>
        <v>17.329999999999998</v>
      </c>
      <c r="AF157" cm="1">
        <f t="array" ref="AF157">INDEX(AF$182:AF$200,$A157)</f>
        <v>17.66</v>
      </c>
      <c r="AG157" cm="1">
        <f t="array" ref="AG157">INDEX(AG$182:AG$200,$A157)</f>
        <v>17.989999999999998</v>
      </c>
      <c r="AH157" cm="1">
        <f t="array" ref="AH157">INDEX(AH$182:AH$200,$A157)</f>
        <v>18.34</v>
      </c>
      <c r="AI157" cm="1">
        <f t="array" ref="AI157">INDEX(AI$182:AI$200,$A157)</f>
        <v>18.72</v>
      </c>
      <c r="AJ157" cm="1">
        <f t="array" ref="AJ157">INDEX(AJ$182:AJ$200,$A157)</f>
        <v>19.12</v>
      </c>
      <c r="AK157" cm="1">
        <f t="array" ref="AK157">INDEX(AK$182:AK$200,$A157)</f>
        <v>19.579999999999998</v>
      </c>
      <c r="AL157" cm="1">
        <f t="array" ref="AL157">INDEX(AL$182:AL$200,$A157)</f>
        <v>20.03</v>
      </c>
      <c r="AM157" cm="1">
        <f t="array" ref="AM157">INDEX(AM$182:AM$200,$A157)</f>
        <v>20.51</v>
      </c>
      <c r="AN157" cm="1">
        <f t="array" ref="AN157">INDEX(AN$182:AN$200,$A157)</f>
        <v>21.03</v>
      </c>
      <c r="AO157" cm="1">
        <f t="array" ref="AO157">INDEX(AO$182:AO$200,$A157)</f>
        <v>21.68</v>
      </c>
    </row>
    <row r="158" spans="1:41" x14ac:dyDescent="0.25">
      <c r="A158">
        <f t="shared" si="26"/>
        <v>15</v>
      </c>
      <c r="B158" t="s">
        <v>30</v>
      </c>
      <c r="C158" cm="1">
        <f t="array" ref="C158">INDEX(C$182:C$200,$A158)</f>
        <v>10.11</v>
      </c>
      <c r="D158" cm="1">
        <f t="array" ref="D158">INDEX(D$182:D$200,$A158)</f>
        <v>8.49</v>
      </c>
      <c r="E158" cm="1">
        <f t="array" ref="E158">INDEX(E$182:E$200,$A158)</f>
        <v>7.76</v>
      </c>
      <c r="F158" cm="1">
        <f t="array" ref="F158">INDEX(F$182:F$200,$A158)</f>
        <v>7.88</v>
      </c>
      <c r="G158" cm="1">
        <f t="array" ref="G158">INDEX(G$182:G$200,$A158)</f>
        <v>7.62</v>
      </c>
      <c r="H158" cm="1">
        <f t="array" ref="H158">INDEX(H$182:H$200,$A158)</f>
        <v>7.28</v>
      </c>
      <c r="I158" cm="1">
        <f t="array" ref="I158">INDEX(I$182:I$200,$A158)</f>
        <v>7.09</v>
      </c>
      <c r="J158" cm="1">
        <f t="array" ref="J158">INDEX(J$182:J$200,$A158)</f>
        <v>6.72</v>
      </c>
      <c r="K158" cm="1">
        <f t="array" ref="K158">INDEX(K$182:K$200,$A158)</f>
        <v>6.04</v>
      </c>
      <c r="L158" cm="1">
        <f t="array" ref="L158">INDEX(L$182:L$200,$A158)</f>
        <v>6.26</v>
      </c>
      <c r="M158" cm="1">
        <f t="array" ref="M158">INDEX(M$182:M$200,$A158)</f>
        <v>6.38</v>
      </c>
      <c r="N158" cm="1">
        <f t="array" ref="N158">INDEX(N$182:N$200,$A158)</f>
        <v>6.46</v>
      </c>
      <c r="O158" cm="1">
        <f t="array" ref="O158">INDEX(O$182:O$200,$A158)</f>
        <v>6.53</v>
      </c>
      <c r="P158" cm="1">
        <f t="array" ref="P158">INDEX(P$182:P$200,$A158)</f>
        <v>6.63</v>
      </c>
      <c r="Q158" cm="1">
        <f t="array" ref="Q158">INDEX(Q$182:Q$200,$A158)</f>
        <v>6.71</v>
      </c>
      <c r="R158" cm="1">
        <f t="array" ref="R158">INDEX(R$182:R$200,$A158)</f>
        <v>6.74</v>
      </c>
      <c r="S158" cm="1">
        <f t="array" ref="S158">INDEX(S$182:S$200,$A158)</f>
        <v>7.03</v>
      </c>
      <c r="T158" cm="1">
        <f t="array" ref="T158">INDEX(T$182:T$200,$A158)</f>
        <v>7.04</v>
      </c>
      <c r="U158" cm="1">
        <f t="array" ref="U158">INDEX(U$182:U$200,$A158)</f>
        <v>7.01</v>
      </c>
      <c r="V158" cm="1">
        <f t="array" ref="V158">INDEX(V$182:V$200,$A158)</f>
        <v>6.93</v>
      </c>
      <c r="W158" cm="1">
        <f t="array" ref="W158">INDEX(W$182:W$200,$A158)</f>
        <v>6.88</v>
      </c>
      <c r="X158" cm="1">
        <f t="array" ref="X158">INDEX(X$182:X$200,$A158)</f>
        <v>6.81</v>
      </c>
      <c r="Y158" cm="1">
        <f t="array" ref="Y158">INDEX(Y$182:Y$200,$A158)</f>
        <v>6.81</v>
      </c>
      <c r="Z158" cm="1">
        <f t="array" ref="Z158">INDEX(Z$182:Z$200,$A158)</f>
        <v>6.82</v>
      </c>
      <c r="AA158" cm="1">
        <f t="array" ref="AA158">INDEX(AA$182:AA$200,$A158)</f>
        <v>6.82</v>
      </c>
      <c r="AB158" cm="1">
        <f t="array" ref="AB158">INDEX(AB$182:AB$200,$A158)</f>
        <v>6.76</v>
      </c>
      <c r="AC158" cm="1">
        <f t="array" ref="AC158">INDEX(AC$182:AC$200,$A158)</f>
        <v>6.71</v>
      </c>
      <c r="AD158" cm="1">
        <f t="array" ref="AD158">INDEX(AD$182:AD$200,$A158)</f>
        <v>6.66</v>
      </c>
      <c r="AE158" cm="1">
        <f t="array" ref="AE158">INDEX(AE$182:AE$200,$A158)</f>
        <v>6.61</v>
      </c>
      <c r="AF158" cm="1">
        <f t="array" ref="AF158">INDEX(AF$182:AF$200,$A158)</f>
        <v>6.58</v>
      </c>
      <c r="AG158" cm="1">
        <f t="array" ref="AG158">INDEX(AG$182:AG$200,$A158)</f>
        <v>6.55</v>
      </c>
      <c r="AH158" cm="1">
        <f t="array" ref="AH158">INDEX(AH$182:AH$200,$A158)</f>
        <v>6.53</v>
      </c>
      <c r="AI158" cm="1">
        <f t="array" ref="AI158">INDEX(AI$182:AI$200,$A158)</f>
        <v>6.52</v>
      </c>
      <c r="AJ158" cm="1">
        <f t="array" ref="AJ158">INDEX(AJ$182:AJ$200,$A158)</f>
        <v>6.53</v>
      </c>
      <c r="AK158" cm="1">
        <f t="array" ref="AK158">INDEX(AK$182:AK$200,$A158)</f>
        <v>6.59</v>
      </c>
      <c r="AL158" cm="1">
        <f t="array" ref="AL158">INDEX(AL$182:AL$200,$A158)</f>
        <v>6.65</v>
      </c>
      <c r="AM158" cm="1">
        <f t="array" ref="AM158">INDEX(AM$182:AM$200,$A158)</f>
        <v>6.73</v>
      </c>
      <c r="AN158" cm="1">
        <f t="array" ref="AN158">INDEX(AN$182:AN$200,$A158)</f>
        <v>6.83</v>
      </c>
      <c r="AO158" cm="1">
        <f t="array" ref="AO158">INDEX(AO$182:AO$200,$A158)</f>
        <v>6.99</v>
      </c>
    </row>
    <row r="159" spans="1:41" x14ac:dyDescent="0.25">
      <c r="A159">
        <f t="shared" si="26"/>
        <v>19</v>
      </c>
      <c r="B159" t="s">
        <v>31</v>
      </c>
      <c r="C159" cm="1">
        <f t="array" ref="C159">INDEX(C$182:C$200,$A159)</f>
        <v>0</v>
      </c>
      <c r="D159" cm="1">
        <f t="array" ref="D159">INDEX(D$182:D$200,$A159)</f>
        <v>0</v>
      </c>
      <c r="E159" cm="1">
        <f t="array" ref="E159">INDEX(E$182:E$200,$A159)</f>
        <v>0</v>
      </c>
      <c r="F159" cm="1">
        <f t="array" ref="F159">INDEX(F$182:F$200,$A159)</f>
        <v>0</v>
      </c>
      <c r="G159" cm="1">
        <f t="array" ref="G159">INDEX(G$182:G$200,$A159)</f>
        <v>0</v>
      </c>
      <c r="H159" cm="1">
        <f t="array" ref="H159">INDEX(H$182:H$200,$A159)</f>
        <v>0</v>
      </c>
      <c r="I159" cm="1">
        <f t="array" ref="I159">INDEX(I$182:I$200,$A159)</f>
        <v>0</v>
      </c>
      <c r="J159" cm="1">
        <f t="array" ref="J159">INDEX(J$182:J$200,$A159)</f>
        <v>0</v>
      </c>
      <c r="K159" cm="1">
        <f t="array" ref="K159">INDEX(K$182:K$200,$A159)</f>
        <v>0</v>
      </c>
      <c r="L159" cm="1">
        <f t="array" ref="L159">INDEX(L$182:L$200,$A159)</f>
        <v>0</v>
      </c>
      <c r="M159" cm="1">
        <f t="array" ref="M159">INDEX(M$182:M$200,$A159)</f>
        <v>0</v>
      </c>
      <c r="N159" cm="1">
        <f t="array" ref="N159">INDEX(N$182:N$200,$A159)</f>
        <v>0</v>
      </c>
      <c r="O159" cm="1">
        <f t="array" ref="O159">INDEX(O$182:O$200,$A159)</f>
        <v>0</v>
      </c>
      <c r="P159" cm="1">
        <f t="array" ref="P159">INDEX(P$182:P$200,$A159)</f>
        <v>0</v>
      </c>
      <c r="Q159" cm="1">
        <f t="array" ref="Q159">INDEX(Q$182:Q$200,$A159)</f>
        <v>0</v>
      </c>
      <c r="R159" cm="1">
        <f t="array" ref="R159">INDEX(R$182:R$200,$A159)</f>
        <v>0</v>
      </c>
      <c r="S159" cm="1">
        <f t="array" ref="S159">INDEX(S$182:S$200,$A159)</f>
        <v>0</v>
      </c>
      <c r="T159" cm="1">
        <f t="array" ref="T159">INDEX(T$182:T$200,$A159)</f>
        <v>0</v>
      </c>
      <c r="U159" cm="1">
        <f t="array" ref="U159">INDEX(U$182:U$200,$A159)</f>
        <v>0</v>
      </c>
      <c r="V159" cm="1">
        <f t="array" ref="V159">INDEX(V$182:V$200,$A159)</f>
        <v>0</v>
      </c>
      <c r="W159" cm="1">
        <f t="array" ref="W159">INDEX(W$182:W$200,$A159)</f>
        <v>0</v>
      </c>
      <c r="X159" cm="1">
        <f t="array" ref="X159">INDEX(X$182:X$200,$A159)</f>
        <v>0</v>
      </c>
      <c r="Y159" cm="1">
        <f t="array" ref="Y159">INDEX(Y$182:Y$200,$A159)</f>
        <v>0</v>
      </c>
      <c r="Z159" cm="1">
        <f t="array" ref="Z159">INDEX(Z$182:Z$200,$A159)</f>
        <v>0</v>
      </c>
      <c r="AA159" cm="1">
        <f t="array" ref="AA159">INDEX(AA$182:AA$200,$A159)</f>
        <v>0</v>
      </c>
      <c r="AB159" cm="1">
        <f t="array" ref="AB159">INDEX(AB$182:AB$200,$A159)</f>
        <v>0</v>
      </c>
      <c r="AC159" cm="1">
        <f t="array" ref="AC159">INDEX(AC$182:AC$200,$A159)</f>
        <v>0</v>
      </c>
      <c r="AD159" cm="1">
        <f t="array" ref="AD159">INDEX(AD$182:AD$200,$A159)</f>
        <v>0</v>
      </c>
      <c r="AE159" cm="1">
        <f t="array" ref="AE159">INDEX(AE$182:AE$200,$A159)</f>
        <v>0</v>
      </c>
      <c r="AF159" cm="1">
        <f t="array" ref="AF159">INDEX(AF$182:AF$200,$A159)</f>
        <v>0</v>
      </c>
      <c r="AG159" cm="1">
        <f t="array" ref="AG159">INDEX(AG$182:AG$200,$A159)</f>
        <v>0</v>
      </c>
      <c r="AH159" cm="1">
        <f t="array" ref="AH159">INDEX(AH$182:AH$200,$A159)</f>
        <v>0</v>
      </c>
      <c r="AI159" cm="1">
        <f t="array" ref="AI159">INDEX(AI$182:AI$200,$A159)</f>
        <v>0</v>
      </c>
      <c r="AJ159" cm="1">
        <f t="array" ref="AJ159">INDEX(AJ$182:AJ$200,$A159)</f>
        <v>0</v>
      </c>
      <c r="AK159" cm="1">
        <f t="array" ref="AK159">INDEX(AK$182:AK$200,$A159)</f>
        <v>0</v>
      </c>
      <c r="AL159" cm="1">
        <f t="array" ref="AL159">INDEX(AL$182:AL$200,$A159)</f>
        <v>0</v>
      </c>
      <c r="AM159" cm="1">
        <f t="array" ref="AM159">INDEX(AM$182:AM$200,$A159)</f>
        <v>0</v>
      </c>
      <c r="AN159" cm="1">
        <f t="array" ref="AN159">INDEX(AN$182:AN$200,$A159)</f>
        <v>0</v>
      </c>
      <c r="AO159" cm="1">
        <f t="array" ref="AO159">INDEX(AO$182:AO$200,$A159)</f>
        <v>0</v>
      </c>
    </row>
    <row r="160" spans="1:41" x14ac:dyDescent="0.25">
      <c r="A160">
        <f t="shared" si="26"/>
        <v>6</v>
      </c>
      <c r="B160" t="s">
        <v>32</v>
      </c>
      <c r="C160" cm="1">
        <f t="array" ref="C160">INDEX(C$182:C$200,$A160)</f>
        <v>84.25</v>
      </c>
      <c r="D160" cm="1">
        <f t="array" ref="D160">INDEX(D$182:D$200,$A160)</f>
        <v>82.71</v>
      </c>
      <c r="E160" cm="1">
        <f t="array" ref="E160">INDEX(E$182:E$200,$A160)</f>
        <v>79.56</v>
      </c>
      <c r="F160" cm="1">
        <f t="array" ref="F160">INDEX(F$182:F$200,$A160)</f>
        <v>76.53</v>
      </c>
      <c r="G160" cm="1">
        <f t="array" ref="G160">INDEX(G$182:G$200,$A160)</f>
        <v>75.13</v>
      </c>
      <c r="H160" cm="1">
        <f t="array" ref="H160">INDEX(H$182:H$200,$A160)</f>
        <v>74.03</v>
      </c>
      <c r="I160" cm="1">
        <f t="array" ref="I160">INDEX(I$182:I$200,$A160)</f>
        <v>74.44</v>
      </c>
      <c r="J160" cm="1">
        <f t="array" ref="J160">INDEX(J$182:J$200,$A160)</f>
        <v>72.650000000000006</v>
      </c>
      <c r="K160" cm="1">
        <f t="array" ref="K160">INDEX(K$182:K$200,$A160)</f>
        <v>70.260000000000005</v>
      </c>
      <c r="L160" cm="1">
        <f t="array" ref="L160">INDEX(L$182:L$200,$A160)</f>
        <v>74.099999999999994</v>
      </c>
      <c r="M160" cm="1">
        <f t="array" ref="M160">INDEX(M$182:M$200,$A160)</f>
        <v>73.67</v>
      </c>
      <c r="N160" cm="1">
        <f t="array" ref="N160">INDEX(N$182:N$200,$A160)</f>
        <v>74.25</v>
      </c>
      <c r="O160" cm="1">
        <f t="array" ref="O160">INDEX(O$182:O$200,$A160)</f>
        <v>74.66</v>
      </c>
      <c r="P160" cm="1">
        <f t="array" ref="P160">INDEX(P$182:P$200,$A160)</f>
        <v>75.03</v>
      </c>
      <c r="Q160" cm="1">
        <f t="array" ref="Q160">INDEX(Q$182:Q$200,$A160)</f>
        <v>76.28</v>
      </c>
      <c r="R160" cm="1">
        <f t="array" ref="R160">INDEX(R$182:R$200,$A160)</f>
        <v>76.319999999999993</v>
      </c>
      <c r="S160" cm="1">
        <f t="array" ref="S160">INDEX(S$182:S$200,$A160)</f>
        <v>76.67</v>
      </c>
      <c r="T160" cm="1">
        <f t="array" ref="T160">INDEX(T$182:T$200,$A160)</f>
        <v>78.13</v>
      </c>
      <c r="U160" cm="1">
        <f t="array" ref="U160">INDEX(U$182:U$200,$A160)</f>
        <v>79.61</v>
      </c>
      <c r="V160" cm="1">
        <f t="array" ref="V160">INDEX(V$182:V$200,$A160)</f>
        <v>81.23</v>
      </c>
      <c r="W160" cm="1">
        <f t="array" ref="W160">INDEX(W$182:W$200,$A160)</f>
        <v>83.69</v>
      </c>
      <c r="X160" cm="1">
        <f t="array" ref="X160">INDEX(X$182:X$200,$A160)</f>
        <v>85.48</v>
      </c>
      <c r="Y160" cm="1">
        <f t="array" ref="Y160">INDEX(Y$182:Y$200,$A160)</f>
        <v>87.67</v>
      </c>
      <c r="Z160" cm="1">
        <f t="array" ref="Z160">INDEX(Z$182:Z$200,$A160)</f>
        <v>89.95</v>
      </c>
      <c r="AA160" cm="1">
        <f t="array" ref="AA160">INDEX(AA$182:AA$200,$A160)</f>
        <v>91.79</v>
      </c>
      <c r="AB160" cm="1">
        <f t="array" ref="AB160">INDEX(AB$182:AB$200,$A160)</f>
        <v>93.81</v>
      </c>
      <c r="AC160" cm="1">
        <f t="array" ref="AC160">INDEX(AC$182:AC$200,$A160)</f>
        <v>95.03</v>
      </c>
      <c r="AD160" cm="1">
        <f t="array" ref="AD160">INDEX(AD$182:AD$200,$A160)</f>
        <v>96.4</v>
      </c>
      <c r="AE160" cm="1">
        <f t="array" ref="AE160">INDEX(AE$182:AE$200,$A160)</f>
        <v>97.78</v>
      </c>
      <c r="AF160" cm="1">
        <f t="array" ref="AF160">INDEX(AF$182:AF$200,$A160)</f>
        <v>99.48</v>
      </c>
      <c r="AG160" cm="1">
        <f t="array" ref="AG160">INDEX(AG$182:AG$200,$A160)</f>
        <v>101.08</v>
      </c>
      <c r="AH160" cm="1">
        <f t="array" ref="AH160">INDEX(AH$182:AH$200,$A160)</f>
        <v>102.69</v>
      </c>
      <c r="AI160" cm="1">
        <f t="array" ref="AI160">INDEX(AI$182:AI$200,$A160)</f>
        <v>104.32</v>
      </c>
      <c r="AJ160" cm="1">
        <f t="array" ref="AJ160">INDEX(AJ$182:AJ$200,$A160)</f>
        <v>105.99</v>
      </c>
      <c r="AK160" cm="1">
        <f t="array" ref="AK160">INDEX(AK$182:AK$200,$A160)</f>
        <v>108.49</v>
      </c>
      <c r="AL160" cm="1">
        <f t="array" ref="AL160">INDEX(AL$182:AL$200,$A160)</f>
        <v>110.57</v>
      </c>
      <c r="AM160" cm="1">
        <f t="array" ref="AM160">INDEX(AM$182:AM$200,$A160)</f>
        <v>112.67</v>
      </c>
      <c r="AN160" cm="1">
        <f t="array" ref="AN160">INDEX(AN$182:AN$200,$A160)</f>
        <v>114.79</v>
      </c>
      <c r="AO160" cm="1">
        <f t="array" ref="AO160">INDEX(AO$182:AO$200,$A160)</f>
        <v>116.96</v>
      </c>
    </row>
    <row r="161" spans="1:41" x14ac:dyDescent="0.25">
      <c r="A161">
        <f t="shared" si="26"/>
        <v>14</v>
      </c>
      <c r="B161" t="s">
        <v>33</v>
      </c>
      <c r="C161" cm="1">
        <f t="array" ref="C161">INDEX(C$182:C$200,$A161)</f>
        <v>21.15</v>
      </c>
      <c r="D161" cm="1">
        <f t="array" ref="D161">INDEX(D$182:D$200,$A161)</f>
        <v>22.36</v>
      </c>
      <c r="E161" cm="1">
        <f t="array" ref="E161">INDEX(E$182:E$200,$A161)</f>
        <v>23.93</v>
      </c>
      <c r="F161" cm="1">
        <f t="array" ref="F161">INDEX(F$182:F$200,$A161)</f>
        <v>24.86</v>
      </c>
      <c r="G161" cm="1">
        <f t="array" ref="G161">INDEX(G$182:G$200,$A161)</f>
        <v>25.68</v>
      </c>
      <c r="H161" cm="1">
        <f t="array" ref="H161">INDEX(H$182:H$200,$A161)</f>
        <v>27.65</v>
      </c>
      <c r="I161" cm="1">
        <f t="array" ref="I161">INDEX(I$182:I$200,$A161)</f>
        <v>29.64</v>
      </c>
      <c r="J161" cm="1">
        <f t="array" ref="J161">INDEX(J$182:J$200,$A161)</f>
        <v>30.75</v>
      </c>
      <c r="K161" cm="1">
        <f t="array" ref="K161">INDEX(K$182:K$200,$A161)</f>
        <v>30.26</v>
      </c>
      <c r="L161" cm="1">
        <f t="array" ref="L161">INDEX(L$182:L$200,$A161)</f>
        <v>31.64</v>
      </c>
      <c r="M161" cm="1">
        <f t="array" ref="M161">INDEX(M$182:M$200,$A161)</f>
        <v>33.06</v>
      </c>
      <c r="N161" cm="1">
        <f t="array" ref="N161">INDEX(N$182:N$200,$A161)</f>
        <v>34.409999999999997</v>
      </c>
      <c r="O161" cm="1">
        <f t="array" ref="O161">INDEX(O$182:O$200,$A161)</f>
        <v>36.049999999999997</v>
      </c>
      <c r="P161" cm="1">
        <f t="array" ref="P161">INDEX(P$182:P$200,$A161)</f>
        <v>37.840000000000003</v>
      </c>
      <c r="Q161" cm="1">
        <f t="array" ref="Q161">INDEX(Q$182:Q$200,$A161)</f>
        <v>39.71</v>
      </c>
      <c r="R161" cm="1">
        <f t="array" ref="R161">INDEX(R$182:R$200,$A161)</f>
        <v>41.68</v>
      </c>
      <c r="S161" cm="1">
        <f t="array" ref="S161">INDEX(S$182:S$200,$A161)</f>
        <v>44.08</v>
      </c>
      <c r="T161" cm="1">
        <f t="array" ref="T161">INDEX(T$182:T$200,$A161)</f>
        <v>46.58</v>
      </c>
      <c r="U161" cm="1">
        <f t="array" ref="U161">INDEX(U$182:U$200,$A161)</f>
        <v>49.3</v>
      </c>
      <c r="V161" cm="1">
        <f t="array" ref="V161">INDEX(V$182:V$200,$A161)</f>
        <v>52.42</v>
      </c>
      <c r="W161" cm="1">
        <f t="array" ref="W161">INDEX(W$182:W$200,$A161)</f>
        <v>55.71</v>
      </c>
      <c r="X161" cm="1">
        <f t="array" ref="X161">INDEX(X$182:X$200,$A161)</f>
        <v>59.21</v>
      </c>
      <c r="Y161" cm="1">
        <f t="array" ref="Y161">INDEX(Y$182:Y$200,$A161)</f>
        <v>63.34</v>
      </c>
      <c r="Z161" cm="1">
        <f t="array" ref="Z161">INDEX(Z$182:Z$200,$A161)</f>
        <v>67.680000000000007</v>
      </c>
      <c r="AA161" cm="1">
        <f t="array" ref="AA161">INDEX(AA$182:AA$200,$A161)</f>
        <v>72.56</v>
      </c>
      <c r="AB161" cm="1">
        <f t="array" ref="AB161">INDEX(AB$182:AB$200,$A161)</f>
        <v>77.790000000000006</v>
      </c>
      <c r="AC161" cm="1">
        <f t="array" ref="AC161">INDEX(AC$182:AC$200,$A161)</f>
        <v>83.35</v>
      </c>
      <c r="AD161" cm="1">
        <f t="array" ref="AD161">INDEX(AD$182:AD$200,$A161)</f>
        <v>89.31</v>
      </c>
      <c r="AE161" cm="1">
        <f t="array" ref="AE161">INDEX(AE$182:AE$200,$A161)</f>
        <v>95.69</v>
      </c>
      <c r="AF161" cm="1">
        <f t="array" ref="AF161">INDEX(AF$182:AF$200,$A161)</f>
        <v>102.28</v>
      </c>
      <c r="AG161" cm="1">
        <f t="array" ref="AG161">INDEX(AG$182:AG$200,$A161)</f>
        <v>108.82</v>
      </c>
      <c r="AH161" cm="1">
        <f t="array" ref="AH161">INDEX(AH$182:AH$200,$A161)</f>
        <v>115.61</v>
      </c>
      <c r="AI161" cm="1">
        <f t="array" ref="AI161">INDEX(AI$182:AI$200,$A161)</f>
        <v>122.69</v>
      </c>
      <c r="AJ161" cm="1">
        <f t="array" ref="AJ161">INDEX(AJ$182:AJ$200,$A161)</f>
        <v>130.12</v>
      </c>
      <c r="AK161" cm="1">
        <f t="array" ref="AK161">INDEX(AK$182:AK$200,$A161)</f>
        <v>137.75</v>
      </c>
      <c r="AL161" cm="1">
        <f t="array" ref="AL161">INDEX(AL$182:AL$200,$A161)</f>
        <v>145.12</v>
      </c>
      <c r="AM161" cm="1">
        <f t="array" ref="AM161">INDEX(AM$182:AM$200,$A161)</f>
        <v>152.74</v>
      </c>
      <c r="AN161" cm="1">
        <f t="array" ref="AN161">INDEX(AN$182:AN$200,$A161)</f>
        <v>160.78</v>
      </c>
      <c r="AO161" cm="1">
        <f t="array" ref="AO161">INDEX(AO$182:AO$200,$A161)</f>
        <v>170.59</v>
      </c>
    </row>
    <row r="162" spans="1:41" x14ac:dyDescent="0.25">
      <c r="A162">
        <f t="shared" si="26"/>
        <v>9</v>
      </c>
      <c r="B162" t="s">
        <v>34</v>
      </c>
      <c r="C162" cm="1">
        <f t="array" ref="C162">INDEX(C$182:C$200,$A162)</f>
        <v>135.96</v>
      </c>
      <c r="D162" cm="1">
        <f t="array" ref="D162">INDEX(D$182:D$200,$A162)</f>
        <v>139.76</v>
      </c>
      <c r="E162" cm="1">
        <f t="array" ref="E162">INDEX(E$182:E$200,$A162)</f>
        <v>143.13</v>
      </c>
      <c r="F162" cm="1">
        <f t="array" ref="F162">INDEX(F$182:F$200,$A162)</f>
        <v>144.43</v>
      </c>
      <c r="G162" cm="1">
        <f t="array" ref="G162">INDEX(G$182:G$200,$A162)</f>
        <v>145.78</v>
      </c>
      <c r="H162" cm="1">
        <f t="array" ref="H162">INDEX(H$182:H$200,$A162)</f>
        <v>148.19</v>
      </c>
      <c r="I162" cm="1">
        <f t="array" ref="I162">INDEX(I$182:I$200,$A162)</f>
        <v>150.15</v>
      </c>
      <c r="J162" cm="1">
        <f t="array" ref="J162">INDEX(J$182:J$200,$A162)</f>
        <v>149.86000000000001</v>
      </c>
      <c r="K162" cm="1">
        <f t="array" ref="K162">INDEX(K$182:K$200,$A162)</f>
        <v>138.71</v>
      </c>
      <c r="L162" cm="1">
        <f t="array" ref="L162">INDEX(L$182:L$200,$A162)</f>
        <v>141.72999999999999</v>
      </c>
      <c r="M162" cm="1">
        <f t="array" ref="M162">INDEX(M$182:M$200,$A162)</f>
        <v>144.58000000000001</v>
      </c>
      <c r="N162" cm="1">
        <f t="array" ref="N162">INDEX(N$182:N$200,$A162)</f>
        <v>147.09</v>
      </c>
      <c r="O162" cm="1">
        <f t="array" ref="O162">INDEX(O$182:O$200,$A162)</f>
        <v>150.05000000000001</v>
      </c>
      <c r="P162" cm="1">
        <f t="array" ref="P162">INDEX(P$182:P$200,$A162)</f>
        <v>152.99</v>
      </c>
      <c r="Q162" cm="1">
        <f t="array" ref="Q162">INDEX(Q$182:Q$200,$A162)</f>
        <v>155.99</v>
      </c>
      <c r="R162" cm="1">
        <f t="array" ref="R162">INDEX(R$182:R$200,$A162)</f>
        <v>158.99</v>
      </c>
      <c r="S162" cm="1">
        <f t="array" ref="S162">INDEX(S$182:S$200,$A162)</f>
        <v>160.97999999999999</v>
      </c>
      <c r="T162" cm="1">
        <f t="array" ref="T162">INDEX(T$182:T$200,$A162)</f>
        <v>164.16</v>
      </c>
      <c r="U162" cm="1">
        <f t="array" ref="U162">INDEX(U$182:U$200,$A162)</f>
        <v>167.7</v>
      </c>
      <c r="V162" cm="1">
        <f t="array" ref="V162">INDEX(V$182:V$200,$A162)</f>
        <v>172.12</v>
      </c>
      <c r="W162" cm="1">
        <f t="array" ref="W162">INDEX(W$182:W$200,$A162)</f>
        <v>176.73</v>
      </c>
      <c r="X162" cm="1">
        <f t="array" ref="X162">INDEX(X$182:X$200,$A162)</f>
        <v>181.62</v>
      </c>
      <c r="Y162" cm="1">
        <f t="array" ref="Y162">INDEX(Y$182:Y$200,$A162)</f>
        <v>186.95</v>
      </c>
      <c r="Z162" cm="1">
        <f t="array" ref="Z162">INDEX(Z$182:Z$200,$A162)</f>
        <v>192.27</v>
      </c>
      <c r="AA162" cm="1">
        <f t="array" ref="AA162">INDEX(AA$182:AA$200,$A162)</f>
        <v>197.94</v>
      </c>
      <c r="AB162" cm="1">
        <f t="array" ref="AB162">INDEX(AB$182:AB$200,$A162)</f>
        <v>204.15</v>
      </c>
      <c r="AC162" cm="1">
        <f t="array" ref="AC162">INDEX(AC$182:AC$200,$A162)</f>
        <v>210.42</v>
      </c>
      <c r="AD162" cm="1">
        <f t="array" ref="AD162">INDEX(AD$182:AD$200,$A162)</f>
        <v>216.93</v>
      </c>
      <c r="AE162" cm="1">
        <f t="array" ref="AE162">INDEX(AE$182:AE$200,$A162)</f>
        <v>223.69</v>
      </c>
      <c r="AF162" cm="1">
        <f t="array" ref="AF162">INDEX(AF$182:AF$200,$A162)</f>
        <v>230.57</v>
      </c>
      <c r="AG162" cm="1">
        <f t="array" ref="AG162">INDEX(AG$182:AG$200,$A162)</f>
        <v>237.37</v>
      </c>
      <c r="AH162" cm="1">
        <f t="array" ref="AH162">INDEX(AH$182:AH$200,$A162)</f>
        <v>244.47</v>
      </c>
      <c r="AI162" cm="1">
        <f t="array" ref="AI162">INDEX(AI$182:AI$200,$A162)</f>
        <v>251.92</v>
      </c>
      <c r="AJ162" cm="1">
        <f t="array" ref="AJ162">INDEX(AJ$182:AJ$200,$A162)</f>
        <v>259.85000000000002</v>
      </c>
      <c r="AK162" cm="1">
        <f t="array" ref="AK162">INDEX(AK$182:AK$200,$A162)</f>
        <v>268.14999999999998</v>
      </c>
      <c r="AL162" cm="1">
        <f t="array" ref="AL162">INDEX(AL$182:AL$200,$A162)</f>
        <v>276.3</v>
      </c>
      <c r="AM162" cm="1">
        <f t="array" ref="AM162">INDEX(AM$182:AM$200,$A162)</f>
        <v>284.83999999999997</v>
      </c>
      <c r="AN162" cm="1">
        <f t="array" ref="AN162">INDEX(AN$182:AN$200,$A162)</f>
        <v>293.93</v>
      </c>
      <c r="AO162" cm="1">
        <f t="array" ref="AO162">INDEX(AO$182:AO$200,$A162)</f>
        <v>305.06</v>
      </c>
    </row>
    <row r="163" spans="1:41" x14ac:dyDescent="0.25">
      <c r="A163">
        <f t="shared" si="26"/>
        <v>2</v>
      </c>
      <c r="B163" t="s">
        <v>35</v>
      </c>
      <c r="C163" cm="1">
        <f t="array" ref="C163">INDEX(C$182:C$200,$A163)</f>
        <v>11.26</v>
      </c>
      <c r="D163" cm="1">
        <f t="array" ref="D163">INDEX(D$182:D$200,$A163)</f>
        <v>11.58</v>
      </c>
      <c r="E163" cm="1">
        <f t="array" ref="E163">INDEX(E$182:E$200,$A163)</f>
        <v>11.98</v>
      </c>
      <c r="F163" cm="1">
        <f t="array" ref="F163">INDEX(F$182:F$200,$A163)</f>
        <v>12.2</v>
      </c>
      <c r="G163" cm="1">
        <f t="array" ref="G163">INDEX(G$182:G$200,$A163)</f>
        <v>12.33</v>
      </c>
      <c r="H163" cm="1">
        <f t="array" ref="H163">INDEX(H$182:H$200,$A163)</f>
        <v>12.56</v>
      </c>
      <c r="I163" cm="1">
        <f t="array" ref="I163">INDEX(I$182:I$200,$A163)</f>
        <v>12.87</v>
      </c>
      <c r="J163" cm="1">
        <f t="array" ref="J163">INDEX(J$182:J$200,$A163)</f>
        <v>12.94</v>
      </c>
      <c r="K163" cm="1">
        <f t="array" ref="K163">INDEX(K$182:K$200,$A163)</f>
        <v>12.19</v>
      </c>
      <c r="L163" cm="1">
        <f t="array" ref="L163">INDEX(L$182:L$200,$A163)</f>
        <v>12.53</v>
      </c>
      <c r="M163" cm="1">
        <f t="array" ref="M163">INDEX(M$182:M$200,$A163)</f>
        <v>12.82</v>
      </c>
      <c r="N163" cm="1">
        <f t="array" ref="N163">INDEX(N$182:N$200,$A163)</f>
        <v>13.05</v>
      </c>
      <c r="O163" cm="1">
        <f t="array" ref="O163">INDEX(O$182:O$200,$A163)</f>
        <v>13.31</v>
      </c>
      <c r="P163" cm="1">
        <f t="array" ref="P163">INDEX(P$182:P$200,$A163)</f>
        <v>13.56</v>
      </c>
      <c r="Q163" cm="1">
        <f t="array" ref="Q163">INDEX(Q$182:Q$200,$A163)</f>
        <v>13.81</v>
      </c>
      <c r="R163" cm="1">
        <f t="array" ref="R163">INDEX(R$182:R$200,$A163)</f>
        <v>14.05</v>
      </c>
      <c r="S163" cm="1">
        <f t="array" ref="S163">INDEX(S$182:S$200,$A163)</f>
        <v>14.19</v>
      </c>
      <c r="T163" cm="1">
        <f t="array" ref="T163">INDEX(T$182:T$200,$A163)</f>
        <v>14.47</v>
      </c>
      <c r="U163" cm="1">
        <f t="array" ref="U163">INDEX(U$182:U$200,$A163)</f>
        <v>14.75</v>
      </c>
      <c r="V163" cm="1">
        <f t="array" ref="V163">INDEX(V$182:V$200,$A163)</f>
        <v>15.11</v>
      </c>
      <c r="W163" cm="1">
        <f t="array" ref="W163">INDEX(W$182:W$200,$A163)</f>
        <v>15.46</v>
      </c>
      <c r="X163" cm="1">
        <f t="array" ref="X163">INDEX(X$182:X$200,$A163)</f>
        <v>15.82</v>
      </c>
      <c r="Y163" cm="1">
        <f t="array" ref="Y163">INDEX(Y$182:Y$200,$A163)</f>
        <v>16.18</v>
      </c>
      <c r="Z163" cm="1">
        <f t="array" ref="Z163">INDEX(Z$182:Z$200,$A163)</f>
        <v>16.559999999999999</v>
      </c>
      <c r="AA163" cm="1">
        <f t="array" ref="AA163">INDEX(AA$182:AA$200,$A163)</f>
        <v>16.95</v>
      </c>
      <c r="AB163" cm="1">
        <f t="array" ref="AB163">INDEX(AB$182:AB$200,$A163)</f>
        <v>17.38</v>
      </c>
      <c r="AC163" cm="1">
        <f t="array" ref="AC163">INDEX(AC$182:AC$200,$A163)</f>
        <v>17.8</v>
      </c>
      <c r="AD163" cm="1">
        <f t="array" ref="AD163">INDEX(AD$182:AD$200,$A163)</f>
        <v>18.23</v>
      </c>
      <c r="AE163" cm="1">
        <f t="array" ref="AE163">INDEX(AE$182:AE$200,$A163)</f>
        <v>18.670000000000002</v>
      </c>
      <c r="AF163" cm="1">
        <f t="array" ref="AF163">INDEX(AF$182:AF$200,$A163)</f>
        <v>19.12</v>
      </c>
      <c r="AG163" cm="1">
        <f t="array" ref="AG163">INDEX(AG$182:AG$200,$A163)</f>
        <v>19.55</v>
      </c>
      <c r="AH163" cm="1">
        <f t="array" ref="AH163">INDEX(AH$182:AH$200,$A163)</f>
        <v>19.98</v>
      </c>
      <c r="AI163" cm="1">
        <f t="array" ref="AI163">INDEX(AI$182:AI$200,$A163)</f>
        <v>20.420000000000002</v>
      </c>
      <c r="AJ163" cm="1">
        <f t="array" ref="AJ163">INDEX(AJ$182:AJ$200,$A163)</f>
        <v>20.87</v>
      </c>
      <c r="AK163" cm="1">
        <f t="array" ref="AK163">INDEX(AK$182:AK$200,$A163)</f>
        <v>21.33</v>
      </c>
      <c r="AL163" cm="1">
        <f t="array" ref="AL163">INDEX(AL$182:AL$200,$A163)</f>
        <v>21.77</v>
      </c>
      <c r="AM163" cm="1">
        <f t="array" ref="AM163">INDEX(AM$182:AM$200,$A163)</f>
        <v>22.21</v>
      </c>
      <c r="AN163" cm="1">
        <f t="array" ref="AN163">INDEX(AN$182:AN$200,$A163)</f>
        <v>22.68</v>
      </c>
      <c r="AO163" cm="1">
        <f t="array" ref="AO163">INDEX(AO$182:AO$200,$A163)</f>
        <v>23.27</v>
      </c>
    </row>
    <row r="164" spans="1:41" x14ac:dyDescent="0.25">
      <c r="A164">
        <f t="shared" si="26"/>
        <v>17</v>
      </c>
      <c r="B164" t="s">
        <v>36</v>
      </c>
      <c r="C164" cm="1">
        <f t="array" ref="C164">INDEX(C$182:C$200,$A164)</f>
        <v>1.1399999999999999</v>
      </c>
      <c r="D164" cm="1">
        <f t="array" ref="D164">INDEX(D$182:D$200,$A164)</f>
        <v>1.1499999999999999</v>
      </c>
      <c r="E164" cm="1">
        <f t="array" ref="E164">INDEX(E$182:E$200,$A164)</f>
        <v>1.1299999999999999</v>
      </c>
      <c r="F164" cm="1">
        <f t="array" ref="F164">INDEX(F$182:F$200,$A164)</f>
        <v>1.1200000000000001</v>
      </c>
      <c r="G164" cm="1">
        <f t="array" ref="G164">INDEX(G$182:G$200,$A164)</f>
        <v>1.1200000000000001</v>
      </c>
      <c r="H164" cm="1">
        <f t="array" ref="H164">INDEX(H$182:H$200,$A164)</f>
        <v>1.1299999999999999</v>
      </c>
      <c r="I164" cm="1">
        <f t="array" ref="I164">INDEX(I$182:I$200,$A164)</f>
        <v>1.1000000000000001</v>
      </c>
      <c r="J164" cm="1">
        <f t="array" ref="J164">INDEX(J$182:J$200,$A164)</f>
        <v>1.07</v>
      </c>
      <c r="K164" cm="1">
        <f t="array" ref="K164">INDEX(K$182:K$200,$A164)</f>
        <v>0.94</v>
      </c>
      <c r="L164" cm="1">
        <f t="array" ref="L164">INDEX(L$182:L$200,$A164)</f>
        <v>0.94</v>
      </c>
      <c r="M164" cm="1">
        <f t="array" ref="M164">INDEX(M$182:M$200,$A164)</f>
        <v>0.95</v>
      </c>
      <c r="N164" cm="1">
        <f t="array" ref="N164">INDEX(N$182:N$200,$A164)</f>
        <v>0.97</v>
      </c>
      <c r="O164" cm="1">
        <f t="array" ref="O164">INDEX(O$182:O$200,$A164)</f>
        <v>0.98</v>
      </c>
      <c r="P164" cm="1">
        <f t="array" ref="P164">INDEX(P$182:P$200,$A164)</f>
        <v>1</v>
      </c>
      <c r="Q164" cm="1">
        <f t="array" ref="Q164">INDEX(Q$182:Q$200,$A164)</f>
        <v>1.02</v>
      </c>
      <c r="R164" cm="1">
        <f t="array" ref="R164">INDEX(R$182:R$200,$A164)</f>
        <v>1.04</v>
      </c>
      <c r="S164" cm="1">
        <f t="array" ref="S164">INDEX(S$182:S$200,$A164)</f>
        <v>1.05</v>
      </c>
      <c r="T164" cm="1">
        <f t="array" ref="T164">INDEX(T$182:T$200,$A164)</f>
        <v>1.06</v>
      </c>
      <c r="U164" cm="1">
        <f t="array" ref="U164">INDEX(U$182:U$200,$A164)</f>
        <v>1.0900000000000001</v>
      </c>
      <c r="V164" cm="1">
        <f t="array" ref="V164">INDEX(V$182:V$200,$A164)</f>
        <v>1.1200000000000001</v>
      </c>
      <c r="W164" cm="1">
        <f t="array" ref="W164">INDEX(W$182:W$200,$A164)</f>
        <v>1.1599999999999999</v>
      </c>
      <c r="X164" cm="1">
        <f t="array" ref="X164">INDEX(X$182:X$200,$A164)</f>
        <v>1.2</v>
      </c>
      <c r="Y164" cm="1">
        <f t="array" ref="Y164">INDEX(Y$182:Y$200,$A164)</f>
        <v>1.25</v>
      </c>
      <c r="Z164" cm="1">
        <f t="array" ref="Z164">INDEX(Z$182:Z$200,$A164)</f>
        <v>1.29</v>
      </c>
      <c r="AA164" cm="1">
        <f t="array" ref="AA164">INDEX(AA$182:AA$200,$A164)</f>
        <v>1.34</v>
      </c>
      <c r="AB164" cm="1">
        <f t="array" ref="AB164">INDEX(AB$182:AB$200,$A164)</f>
        <v>1.4</v>
      </c>
      <c r="AC164" cm="1">
        <f t="array" ref="AC164">INDEX(AC$182:AC$200,$A164)</f>
        <v>1.46</v>
      </c>
      <c r="AD164" cm="1">
        <f t="array" ref="AD164">INDEX(AD$182:AD$200,$A164)</f>
        <v>1.52</v>
      </c>
      <c r="AE164" cm="1">
        <f t="array" ref="AE164">INDEX(AE$182:AE$200,$A164)</f>
        <v>1.59</v>
      </c>
      <c r="AF164" cm="1">
        <f t="array" ref="AF164">INDEX(AF$182:AF$200,$A164)</f>
        <v>1.67</v>
      </c>
      <c r="AG164" cm="1">
        <f t="array" ref="AG164">INDEX(AG$182:AG$200,$A164)</f>
        <v>1.74</v>
      </c>
      <c r="AH164" cm="1">
        <f t="array" ref="AH164">INDEX(AH$182:AH$200,$A164)</f>
        <v>1.83</v>
      </c>
      <c r="AI164" cm="1">
        <f t="array" ref="AI164">INDEX(AI$182:AI$200,$A164)</f>
        <v>1.92</v>
      </c>
      <c r="AJ164" cm="1">
        <f t="array" ref="AJ164">INDEX(AJ$182:AJ$200,$A164)</f>
        <v>2.02</v>
      </c>
      <c r="AK164" cm="1">
        <f t="array" ref="AK164">INDEX(AK$182:AK$200,$A164)</f>
        <v>2.13</v>
      </c>
      <c r="AL164" cm="1">
        <f t="array" ref="AL164">INDEX(AL$182:AL$200,$A164)</f>
        <v>2.25</v>
      </c>
      <c r="AM164" cm="1">
        <f t="array" ref="AM164">INDEX(AM$182:AM$200,$A164)</f>
        <v>2.38</v>
      </c>
      <c r="AN164" cm="1">
        <f t="array" ref="AN164">INDEX(AN$182:AN$200,$A164)</f>
        <v>2.5099999999999998</v>
      </c>
      <c r="AO164" cm="1">
        <f t="array" ref="AO164">INDEX(AO$182:AO$200,$A164)</f>
        <v>2.67</v>
      </c>
    </row>
    <row r="165" spans="1:41" x14ac:dyDescent="0.25">
      <c r="A165">
        <f t="shared" si="26"/>
        <v>5</v>
      </c>
      <c r="B165" t="s">
        <v>37</v>
      </c>
      <c r="C165" cm="1">
        <f t="array" ref="C165">INDEX(C$182:C$200,$A165)</f>
        <v>27.52</v>
      </c>
      <c r="D165" cm="1">
        <f t="array" ref="D165">INDEX(D$182:D$200,$A165)</f>
        <v>26.89</v>
      </c>
      <c r="E165" cm="1">
        <f t="array" ref="E165">INDEX(E$182:E$200,$A165)</f>
        <v>26.27</v>
      </c>
      <c r="F165" cm="1">
        <f t="array" ref="F165">INDEX(F$182:F$200,$A165)</f>
        <v>25.64</v>
      </c>
      <c r="G165" cm="1">
        <f t="array" ref="G165">INDEX(G$182:G$200,$A165)</f>
        <v>25.62</v>
      </c>
      <c r="H165" cm="1">
        <f t="array" ref="H165">INDEX(H$182:H$200,$A165)</f>
        <v>25.6</v>
      </c>
      <c r="I165" cm="1">
        <f t="array" ref="I165">INDEX(I$182:I$200,$A165)</f>
        <v>25.6</v>
      </c>
      <c r="J165" cm="1">
        <f t="array" ref="J165">INDEX(J$182:J$200,$A165)</f>
        <v>25.55</v>
      </c>
      <c r="K165" cm="1">
        <f t="array" ref="K165">INDEX(K$182:K$200,$A165)</f>
        <v>16.07</v>
      </c>
      <c r="L165" cm="1">
        <f t="array" ref="L165">INDEX(L$182:L$200,$A165)</f>
        <v>16.03</v>
      </c>
      <c r="M165" cm="1">
        <f t="array" ref="M165">INDEX(M$182:M$200,$A165)</f>
        <v>16.03</v>
      </c>
      <c r="N165" cm="1">
        <f t="array" ref="N165">INDEX(N$182:N$200,$A165)</f>
        <v>16.010000000000002</v>
      </c>
      <c r="O165" cm="1">
        <f t="array" ref="O165">INDEX(O$182:O$200,$A165)</f>
        <v>15.99</v>
      </c>
      <c r="P165" cm="1">
        <f t="array" ref="P165">INDEX(P$182:P$200,$A165)</f>
        <v>15.42</v>
      </c>
      <c r="Q165" cm="1">
        <f t="array" ref="Q165">INDEX(Q$182:Q$200,$A165)</f>
        <v>15.4</v>
      </c>
      <c r="R165" cm="1">
        <f t="array" ref="R165">INDEX(R$182:R$200,$A165)</f>
        <v>15.38</v>
      </c>
      <c r="S165" cm="1">
        <f t="array" ref="S165">INDEX(S$182:S$200,$A165)</f>
        <v>10.1</v>
      </c>
      <c r="T165" cm="1">
        <f t="array" ref="T165">INDEX(T$182:T$200,$A165)</f>
        <v>10.08</v>
      </c>
      <c r="U165" cm="1">
        <f t="array" ref="U165">INDEX(U$182:U$200,$A165)</f>
        <v>10.47</v>
      </c>
      <c r="V165" cm="1">
        <f t="array" ref="V165">INDEX(V$182:V$200,$A165)</f>
        <v>10.74</v>
      </c>
      <c r="W165" cm="1">
        <f t="array" ref="W165">INDEX(W$182:W$200,$A165)</f>
        <v>10.75</v>
      </c>
      <c r="X165" cm="1">
        <f t="array" ref="X165">INDEX(X$182:X$200,$A165)</f>
        <v>10.78</v>
      </c>
      <c r="Y165" cm="1">
        <f t="array" ref="Y165">INDEX(Y$182:Y$200,$A165)</f>
        <v>9.3800000000000008</v>
      </c>
      <c r="Z165" cm="1">
        <f t="array" ref="Z165">INDEX(Z$182:Z$200,$A165)</f>
        <v>7.95</v>
      </c>
      <c r="AA165" cm="1">
        <f t="array" ref="AA165">INDEX(AA$182:AA$200,$A165)</f>
        <v>6.61</v>
      </c>
      <c r="AB165" cm="1">
        <f t="array" ref="AB165">INDEX(AB$182:AB$200,$A165)</f>
        <v>5.54</v>
      </c>
      <c r="AC165" cm="1">
        <f t="array" ref="AC165">INDEX(AC$182:AC$200,$A165)</f>
        <v>4.71</v>
      </c>
      <c r="AD165" cm="1">
        <f t="array" ref="AD165">INDEX(AD$182:AD$200,$A165)</f>
        <v>3.88</v>
      </c>
      <c r="AE165" cm="1">
        <f t="array" ref="AE165">INDEX(AE$182:AE$200,$A165)</f>
        <v>3.05</v>
      </c>
      <c r="AF165" cm="1">
        <f t="array" ref="AF165">INDEX(AF$182:AF$200,$A165)</f>
        <v>2.78</v>
      </c>
      <c r="AG165" cm="1">
        <f t="array" ref="AG165">INDEX(AG$182:AG$200,$A165)</f>
        <v>2.5099999999999998</v>
      </c>
      <c r="AH165" cm="1">
        <f t="array" ref="AH165">INDEX(AH$182:AH$200,$A165)</f>
        <v>2.2400000000000002</v>
      </c>
      <c r="AI165" cm="1">
        <f t="array" ref="AI165">INDEX(AI$182:AI$200,$A165)</f>
        <v>1.97</v>
      </c>
      <c r="AJ165" cm="1">
        <f t="array" ref="AJ165">INDEX(AJ$182:AJ$200,$A165)</f>
        <v>1.7</v>
      </c>
      <c r="AK165" cm="1">
        <f t="array" ref="AK165">INDEX(AK$182:AK$200,$A165)</f>
        <v>1.68</v>
      </c>
      <c r="AL165" cm="1">
        <f t="array" ref="AL165">INDEX(AL$182:AL$200,$A165)</f>
        <v>1.65</v>
      </c>
      <c r="AM165" cm="1">
        <f t="array" ref="AM165">INDEX(AM$182:AM$200,$A165)</f>
        <v>1.63</v>
      </c>
      <c r="AN165" cm="1">
        <f t="array" ref="AN165">INDEX(AN$182:AN$200,$A165)</f>
        <v>1.61</v>
      </c>
      <c r="AO165" cm="1">
        <f t="array" ref="AO165">INDEX(AO$182:AO$200,$A165)</f>
        <v>1.58</v>
      </c>
    </row>
    <row r="166" spans="1:41" x14ac:dyDescent="0.25">
      <c r="A166">
        <f t="shared" si="26"/>
        <v>7</v>
      </c>
      <c r="B166" t="s">
        <v>38</v>
      </c>
      <c r="C166" cm="1">
        <f t="array" ref="C166">INDEX(C$182:C$200,$A166)</f>
        <v>66.42</v>
      </c>
      <c r="D166" cm="1">
        <f t="array" ref="D166">INDEX(D$182:D$200,$A166)</f>
        <v>67.81</v>
      </c>
      <c r="E166" cm="1">
        <f t="array" ref="E166">INDEX(E$182:E$200,$A166)</f>
        <v>65.680000000000007</v>
      </c>
      <c r="F166" cm="1">
        <f t="array" ref="F166">INDEX(F$182:F$200,$A166)</f>
        <v>63.54</v>
      </c>
      <c r="G166" cm="1">
        <f t="array" ref="G166">INDEX(G$182:G$200,$A166)</f>
        <v>63.36</v>
      </c>
      <c r="H166" cm="1">
        <f t="array" ref="H166">INDEX(H$182:H$200,$A166)</f>
        <v>63.29</v>
      </c>
      <c r="I166" cm="1">
        <f t="array" ref="I166">INDEX(I$182:I$200,$A166)</f>
        <v>63.16</v>
      </c>
      <c r="J166" cm="1">
        <f t="array" ref="J166">INDEX(J$182:J$200,$A166)</f>
        <v>62.72</v>
      </c>
      <c r="K166" cm="1">
        <f t="array" ref="K166">INDEX(K$182:K$200,$A166)</f>
        <v>60.32</v>
      </c>
      <c r="L166" cm="1">
        <f t="array" ref="L166">INDEX(L$182:L$200,$A166)</f>
        <v>60.32</v>
      </c>
      <c r="M166" cm="1">
        <f t="array" ref="M166">INDEX(M$182:M$200,$A166)</f>
        <v>60.4</v>
      </c>
      <c r="N166" cm="1">
        <f t="array" ref="N166">INDEX(N$182:N$200,$A166)</f>
        <v>60.18</v>
      </c>
      <c r="O166" cm="1">
        <f t="array" ref="O166">INDEX(O$182:O$200,$A166)</f>
        <v>60.35</v>
      </c>
      <c r="P166" cm="1">
        <f t="array" ref="P166">INDEX(P$182:P$200,$A166)</f>
        <v>60.75</v>
      </c>
      <c r="Q166" cm="1">
        <f t="array" ref="Q166">INDEX(Q$182:Q$200,$A166)</f>
        <v>60.82</v>
      </c>
      <c r="R166" cm="1">
        <f t="array" ref="R166">INDEX(R$182:R$200,$A166)</f>
        <v>60.78</v>
      </c>
      <c r="S166" cm="1">
        <f t="array" ref="S166">INDEX(S$182:S$200,$A166)</f>
        <v>60.57</v>
      </c>
      <c r="T166" cm="1">
        <f t="array" ref="T166">INDEX(T$182:T$200,$A166)</f>
        <v>59.99</v>
      </c>
      <c r="U166" cm="1">
        <f t="array" ref="U166">INDEX(U$182:U$200,$A166)</f>
        <v>59.52</v>
      </c>
      <c r="V166" cm="1">
        <f t="array" ref="V166">INDEX(V$182:V$200,$A166)</f>
        <v>59.08</v>
      </c>
      <c r="W166" cm="1">
        <f t="array" ref="W166">INDEX(W$182:W$200,$A166)</f>
        <v>59.01</v>
      </c>
      <c r="X166" cm="1">
        <f t="array" ref="X166">INDEX(X$182:X$200,$A166)</f>
        <v>58.82</v>
      </c>
      <c r="Y166" cm="1">
        <f t="array" ref="Y166">INDEX(Y$182:Y$200,$A166)</f>
        <v>58.76</v>
      </c>
      <c r="Z166" cm="1">
        <f t="array" ref="Z166">INDEX(Z$182:Z$200,$A166)</f>
        <v>58.76</v>
      </c>
      <c r="AA166" cm="1">
        <f t="array" ref="AA166">INDEX(AA$182:AA$200,$A166)</f>
        <v>58.54</v>
      </c>
      <c r="AB166" cm="1">
        <f t="array" ref="AB166">INDEX(AB$182:AB$200,$A166)</f>
        <v>57.86</v>
      </c>
      <c r="AC166" cm="1">
        <f t="array" ref="AC166">INDEX(AC$182:AC$200,$A166)</f>
        <v>56.62</v>
      </c>
      <c r="AD166" cm="1">
        <f t="array" ref="AD166">INDEX(AD$182:AD$200,$A166)</f>
        <v>55.36</v>
      </c>
      <c r="AE166" cm="1">
        <f t="array" ref="AE166">INDEX(AE$182:AE$200,$A166)</f>
        <v>54.1</v>
      </c>
      <c r="AF166" cm="1">
        <f t="array" ref="AF166">INDEX(AF$182:AF$200,$A166)</f>
        <v>53.56</v>
      </c>
      <c r="AG166" cm="1">
        <f t="array" ref="AG166">INDEX(AG$182:AG$200,$A166)</f>
        <v>53.03</v>
      </c>
      <c r="AH166" cm="1">
        <f t="array" ref="AH166">INDEX(AH$182:AH$200,$A166)</f>
        <v>52.5</v>
      </c>
      <c r="AI166" cm="1">
        <f t="array" ref="AI166">INDEX(AI$182:AI$200,$A166)</f>
        <v>51.96</v>
      </c>
      <c r="AJ166" cm="1">
        <f t="array" ref="AJ166">INDEX(AJ$182:AJ$200,$A166)</f>
        <v>51.43</v>
      </c>
      <c r="AK166" cm="1">
        <f t="array" ref="AK166">INDEX(AK$182:AK$200,$A166)</f>
        <v>51.14</v>
      </c>
      <c r="AL166" cm="1">
        <f t="array" ref="AL166">INDEX(AL$182:AL$200,$A166)</f>
        <v>50.86</v>
      </c>
      <c r="AM166" cm="1">
        <f t="array" ref="AM166">INDEX(AM$182:AM$200,$A166)</f>
        <v>50.58</v>
      </c>
      <c r="AN166" cm="1">
        <f t="array" ref="AN166">INDEX(AN$182:AN$200,$A166)</f>
        <v>50.3</v>
      </c>
      <c r="AO166" cm="1">
        <f t="array" ref="AO166">INDEX(AO$182:AO$200,$A166)</f>
        <v>50.03</v>
      </c>
    </row>
    <row r="167" spans="1:41" x14ac:dyDescent="0.25">
      <c r="C167" s="13"/>
      <c r="D167" s="23"/>
    </row>
    <row r="168" spans="1:41" ht="18" thickBot="1" x14ac:dyDescent="0.35">
      <c r="A168" s="4" t="s">
        <v>143</v>
      </c>
      <c r="B168" s="4"/>
      <c r="C168" s="4"/>
      <c r="D168" s="4"/>
      <c r="E168" s="4"/>
      <c r="F168" s="4"/>
      <c r="G168" s="4"/>
      <c r="H168" s="4"/>
    </row>
    <row r="169" spans="1:41" ht="15.75" thickTop="1" x14ac:dyDescent="0.25">
      <c r="B169" s="3">
        <v>2012</v>
      </c>
      <c r="C169" s="3">
        <v>2013</v>
      </c>
      <c r="D169" s="3">
        <v>2014</v>
      </c>
      <c r="E169" s="3">
        <v>2015</v>
      </c>
      <c r="F169" s="3">
        <v>2016</v>
      </c>
      <c r="G169" s="3">
        <v>2017</v>
      </c>
      <c r="H169" s="3">
        <v>2018</v>
      </c>
      <c r="I169" s="3">
        <v>2019</v>
      </c>
      <c r="J169" s="3">
        <v>2020</v>
      </c>
      <c r="K169" s="3">
        <v>2021</v>
      </c>
      <c r="L169" s="3">
        <v>2022</v>
      </c>
      <c r="M169" s="3">
        <v>2023</v>
      </c>
      <c r="N169" s="3">
        <v>2024</v>
      </c>
      <c r="O169" s="3">
        <v>2025</v>
      </c>
      <c r="P169" s="3">
        <v>2026</v>
      </c>
      <c r="Q169" s="3">
        <v>2027</v>
      </c>
      <c r="R169" s="3">
        <v>2028</v>
      </c>
      <c r="S169" s="3">
        <v>2029</v>
      </c>
      <c r="T169" s="3">
        <v>2030</v>
      </c>
      <c r="U169" s="3">
        <v>2031</v>
      </c>
      <c r="V169" s="3">
        <v>2032</v>
      </c>
      <c r="W169" s="3">
        <v>2033</v>
      </c>
      <c r="X169" s="3">
        <v>2034</v>
      </c>
      <c r="Y169" s="3">
        <v>2035</v>
      </c>
      <c r="Z169" s="3">
        <v>2036</v>
      </c>
      <c r="AA169" s="3">
        <v>2037</v>
      </c>
      <c r="AB169" s="3">
        <v>2038</v>
      </c>
      <c r="AC169">
        <v>2039</v>
      </c>
      <c r="AD169">
        <v>2040</v>
      </c>
      <c r="AE169">
        <v>2041</v>
      </c>
      <c r="AF169">
        <v>2042</v>
      </c>
      <c r="AG169">
        <v>2043</v>
      </c>
      <c r="AH169">
        <v>2044</v>
      </c>
      <c r="AI169">
        <v>2045</v>
      </c>
      <c r="AJ169">
        <v>2046</v>
      </c>
      <c r="AK169">
        <v>2047</v>
      </c>
      <c r="AL169">
        <v>2048</v>
      </c>
      <c r="AM169">
        <v>2049</v>
      </c>
      <c r="AN169">
        <v>2050</v>
      </c>
    </row>
    <row r="170" spans="1:41" x14ac:dyDescent="0.25">
      <c r="A170" s="3" t="s">
        <v>54</v>
      </c>
      <c r="B170" s="12">
        <f>B208</f>
        <v>0.5</v>
      </c>
      <c r="C170" s="12">
        <f t="shared" ref="C170:AN170" si="27">C208</f>
        <v>0.49530000000000002</v>
      </c>
      <c r="D170" s="12">
        <f t="shared" si="27"/>
        <v>0.48570000000000002</v>
      </c>
      <c r="E170" s="12">
        <f t="shared" si="27"/>
        <v>0.48010000000000003</v>
      </c>
      <c r="F170" s="12">
        <f t="shared" si="27"/>
        <v>0.4783</v>
      </c>
      <c r="G170" s="12">
        <f t="shared" si="27"/>
        <v>0.47289999999999999</v>
      </c>
      <c r="H170" s="12">
        <f t="shared" si="27"/>
        <v>0.46870000000000001</v>
      </c>
      <c r="I170" s="12">
        <f t="shared" si="27"/>
        <v>0.47139999999999999</v>
      </c>
      <c r="J170" s="12">
        <f t="shared" si="27"/>
        <v>0.48859999999999998</v>
      </c>
      <c r="K170" s="12">
        <f t="shared" si="27"/>
        <v>0.50270000000000004</v>
      </c>
      <c r="L170" s="12">
        <f t="shared" si="27"/>
        <v>0.498</v>
      </c>
      <c r="M170" s="12">
        <f t="shared" si="27"/>
        <v>0.49359999999999998</v>
      </c>
      <c r="N170" s="12">
        <f t="shared" si="27"/>
        <v>0.48820000000000002</v>
      </c>
      <c r="O170" s="12">
        <f t="shared" si="27"/>
        <v>0.48220000000000002</v>
      </c>
      <c r="P170" s="12">
        <f t="shared" si="27"/>
        <v>0.47520000000000001</v>
      </c>
      <c r="Q170" s="12">
        <f t="shared" si="27"/>
        <v>0.46839999999999998</v>
      </c>
      <c r="R170" s="12">
        <f t="shared" si="27"/>
        <v>0.4647</v>
      </c>
      <c r="S170" s="12">
        <f t="shared" si="27"/>
        <v>0.45779999999999998</v>
      </c>
      <c r="T170" s="12">
        <f t="shared" si="27"/>
        <v>0.44979999999999998</v>
      </c>
      <c r="U170" s="12">
        <f t="shared" si="27"/>
        <v>0.44130000000000003</v>
      </c>
      <c r="V170" s="12">
        <f t="shared" si="27"/>
        <v>0.43219999999999997</v>
      </c>
      <c r="W170" s="12">
        <f t="shared" si="27"/>
        <v>0.42320000000000002</v>
      </c>
      <c r="X170" s="12">
        <f t="shared" si="27"/>
        <v>0.4138</v>
      </c>
      <c r="Y170" s="12">
        <f t="shared" si="27"/>
        <v>0.40460000000000002</v>
      </c>
      <c r="Z170" s="12">
        <f t="shared" si="27"/>
        <v>0.39539999999999997</v>
      </c>
      <c r="AA170" s="12">
        <f t="shared" si="27"/>
        <v>0.38550000000000001</v>
      </c>
      <c r="AB170" s="12">
        <f t="shared" si="27"/>
        <v>0.37590000000000001</v>
      </c>
      <c r="AC170" s="12">
        <f t="shared" si="27"/>
        <v>0.36670000000000003</v>
      </c>
      <c r="AD170" s="12">
        <f t="shared" si="27"/>
        <v>0.35759999999999997</v>
      </c>
      <c r="AE170" s="12">
        <f t="shared" si="27"/>
        <v>0.34839999999999999</v>
      </c>
      <c r="AF170" s="12">
        <f t="shared" si="27"/>
        <v>0.33989999999999998</v>
      </c>
      <c r="AG170" s="12">
        <f t="shared" si="27"/>
        <v>0.33169999999999999</v>
      </c>
      <c r="AH170" s="12">
        <f t="shared" si="27"/>
        <v>0.32350000000000001</v>
      </c>
      <c r="AI170" s="12">
        <f t="shared" si="27"/>
        <v>0.31519999999999998</v>
      </c>
      <c r="AJ170" s="12">
        <f t="shared" si="27"/>
        <v>0.30669999999999997</v>
      </c>
      <c r="AK170" s="12">
        <f t="shared" si="27"/>
        <v>0.2989</v>
      </c>
      <c r="AL170" s="12">
        <f t="shared" si="27"/>
        <v>0.29149999999999998</v>
      </c>
      <c r="AM170" s="12">
        <f t="shared" si="27"/>
        <v>0.28389999999999999</v>
      </c>
      <c r="AN170" s="12">
        <f t="shared" si="27"/>
        <v>0.27539999999999998</v>
      </c>
    </row>
    <row r="171" spans="1:41" x14ac:dyDescent="0.25">
      <c r="A171" s="3" t="s">
        <v>55</v>
      </c>
      <c r="B171" s="12">
        <f>B207</f>
        <v>0.3</v>
      </c>
      <c r="C171" s="12">
        <f t="shared" ref="C171:AN171" si="28">C207</f>
        <v>0.29570000000000002</v>
      </c>
      <c r="D171" s="12">
        <f t="shared" si="28"/>
        <v>0.29930000000000001</v>
      </c>
      <c r="E171" s="12">
        <f t="shared" si="28"/>
        <v>0.3029</v>
      </c>
      <c r="F171" s="12">
        <f t="shared" si="28"/>
        <v>0.3044</v>
      </c>
      <c r="G171" s="12">
        <f t="shared" si="28"/>
        <v>0.30480000000000002</v>
      </c>
      <c r="H171" s="12">
        <f t="shared" si="28"/>
        <v>0.30819999999999997</v>
      </c>
      <c r="I171" s="12">
        <f t="shared" si="28"/>
        <v>0.31109999999999999</v>
      </c>
      <c r="J171" s="12">
        <f t="shared" si="28"/>
        <v>0.31140000000000001</v>
      </c>
      <c r="K171" s="12">
        <f t="shared" si="28"/>
        <v>0.29730000000000001</v>
      </c>
      <c r="L171" s="12">
        <f t="shared" si="28"/>
        <v>0.30199999999999999</v>
      </c>
      <c r="M171" s="12">
        <f t="shared" si="28"/>
        <v>0.30640000000000001</v>
      </c>
      <c r="N171" s="12">
        <f t="shared" si="28"/>
        <v>0.30940000000000001</v>
      </c>
      <c r="O171" s="12">
        <f t="shared" si="28"/>
        <v>0.3115</v>
      </c>
      <c r="P171" s="12">
        <f t="shared" si="28"/>
        <v>0.313</v>
      </c>
      <c r="Q171" s="12">
        <f t="shared" si="28"/>
        <v>0.31540000000000001</v>
      </c>
      <c r="R171" s="12">
        <f t="shared" si="28"/>
        <v>0.3175</v>
      </c>
      <c r="S171" s="12">
        <f t="shared" si="28"/>
        <v>0.31859999999999999</v>
      </c>
      <c r="T171" s="12">
        <f t="shared" si="28"/>
        <v>0.32069999999999999</v>
      </c>
      <c r="U171" s="12">
        <f t="shared" si="28"/>
        <v>0.32240000000000002</v>
      </c>
      <c r="V171" s="12">
        <f t="shared" si="28"/>
        <v>0.32469999999999999</v>
      </c>
      <c r="W171" s="12">
        <f t="shared" si="28"/>
        <v>0.32690000000000002</v>
      </c>
      <c r="X171" s="12">
        <f t="shared" si="28"/>
        <v>0.32890000000000003</v>
      </c>
      <c r="Y171" s="12">
        <f t="shared" si="28"/>
        <v>0.33139999999999997</v>
      </c>
      <c r="Z171" s="12">
        <f t="shared" si="28"/>
        <v>0.33339999999999997</v>
      </c>
      <c r="AA171" s="12">
        <f t="shared" si="28"/>
        <v>0.33560000000000001</v>
      </c>
      <c r="AB171" s="12">
        <f t="shared" si="28"/>
        <v>0.33800000000000002</v>
      </c>
      <c r="AC171" s="12">
        <f t="shared" si="28"/>
        <v>0.34010000000000001</v>
      </c>
      <c r="AD171" s="12">
        <f t="shared" si="28"/>
        <v>0.3422</v>
      </c>
      <c r="AE171" s="12">
        <f t="shared" si="28"/>
        <v>0.34439999999999998</v>
      </c>
      <c r="AF171" s="12">
        <f t="shared" si="28"/>
        <v>0.34649999999999997</v>
      </c>
      <c r="AG171" s="12">
        <f t="shared" si="28"/>
        <v>0.34839999999999999</v>
      </c>
      <c r="AH171" s="12">
        <f t="shared" si="28"/>
        <v>0.35020000000000001</v>
      </c>
      <c r="AI171" s="12">
        <f t="shared" si="28"/>
        <v>0.35189999999999999</v>
      </c>
      <c r="AJ171" s="12">
        <f t="shared" si="28"/>
        <v>0.35370000000000001</v>
      </c>
      <c r="AK171" s="12">
        <f t="shared" si="28"/>
        <v>0.35560000000000003</v>
      </c>
      <c r="AL171" s="12">
        <f t="shared" si="28"/>
        <v>0.35720000000000002</v>
      </c>
      <c r="AM171" s="12">
        <f t="shared" si="28"/>
        <v>0.35859999999999997</v>
      </c>
      <c r="AN171" s="12">
        <f t="shared" si="28"/>
        <v>0.35959999999999998</v>
      </c>
    </row>
    <row r="172" spans="1:41" x14ac:dyDescent="0.25">
      <c r="A172" s="3" t="s">
        <v>56</v>
      </c>
      <c r="B172" s="12">
        <f>B206</f>
        <v>0.2</v>
      </c>
      <c r="C172" s="12">
        <f t="shared" ref="C172:AN172" si="29">C206</f>
        <v>0.20899999999999999</v>
      </c>
      <c r="D172" s="12">
        <f t="shared" si="29"/>
        <v>0.215</v>
      </c>
      <c r="E172" s="12">
        <f t="shared" si="29"/>
        <v>0.217</v>
      </c>
      <c r="F172" s="12">
        <f t="shared" si="29"/>
        <v>0.2172</v>
      </c>
      <c r="G172" s="12">
        <f t="shared" si="29"/>
        <v>0.2223</v>
      </c>
      <c r="H172" s="12">
        <f t="shared" si="29"/>
        <v>0.22309999999999999</v>
      </c>
      <c r="I172" s="12">
        <f t="shared" si="29"/>
        <v>0.21759999999999999</v>
      </c>
      <c r="J172" s="12">
        <f t="shared" si="29"/>
        <v>0.2</v>
      </c>
      <c r="K172" s="12">
        <f t="shared" si="29"/>
        <v>0.2</v>
      </c>
      <c r="L172" s="12">
        <f t="shared" si="29"/>
        <v>0.2</v>
      </c>
      <c r="M172" s="12">
        <f t="shared" si="29"/>
        <v>0.2</v>
      </c>
      <c r="N172" s="12">
        <f t="shared" si="29"/>
        <v>0.20230000000000001</v>
      </c>
      <c r="O172" s="12">
        <f t="shared" si="29"/>
        <v>0.20630000000000001</v>
      </c>
      <c r="P172" s="12">
        <f t="shared" si="29"/>
        <v>0.21179999999999999</v>
      </c>
      <c r="Q172" s="12">
        <f t="shared" si="29"/>
        <v>0.2162</v>
      </c>
      <c r="R172" s="12">
        <f t="shared" si="29"/>
        <v>0.21790000000000001</v>
      </c>
      <c r="S172" s="12">
        <f t="shared" si="29"/>
        <v>0.22359999999999999</v>
      </c>
      <c r="T172" s="12">
        <f t="shared" si="29"/>
        <v>0.22939999999999999</v>
      </c>
      <c r="U172" s="12">
        <f t="shared" si="29"/>
        <v>0.23619999999999999</v>
      </c>
      <c r="V172" s="12">
        <f t="shared" si="29"/>
        <v>0.2432</v>
      </c>
      <c r="W172" s="12">
        <f t="shared" si="29"/>
        <v>0.24990000000000001</v>
      </c>
      <c r="X172" s="12">
        <f t="shared" si="29"/>
        <v>0.25719999999999998</v>
      </c>
      <c r="Y172" s="12">
        <f t="shared" si="29"/>
        <v>0.26390000000000002</v>
      </c>
      <c r="Z172" s="12">
        <f t="shared" si="29"/>
        <v>0.2712</v>
      </c>
      <c r="AA172" s="12">
        <f t="shared" si="29"/>
        <v>0.27889999999999998</v>
      </c>
      <c r="AB172" s="12">
        <f t="shared" si="29"/>
        <v>0.28599999999999998</v>
      </c>
      <c r="AC172" s="12">
        <f t="shared" si="29"/>
        <v>0.29310000000000003</v>
      </c>
      <c r="AD172" s="12">
        <f t="shared" si="29"/>
        <v>0.30020000000000002</v>
      </c>
      <c r="AE172" s="12">
        <f t="shared" si="29"/>
        <v>0.30719999999999997</v>
      </c>
      <c r="AF172" s="12">
        <f t="shared" si="29"/>
        <v>0.3135</v>
      </c>
      <c r="AG172" s="12">
        <f t="shared" si="29"/>
        <v>0.31990000000000002</v>
      </c>
      <c r="AH172" s="12">
        <f t="shared" si="29"/>
        <v>0.32629999999999998</v>
      </c>
      <c r="AI172" s="12">
        <f t="shared" si="29"/>
        <v>0.33289999999999997</v>
      </c>
      <c r="AJ172" s="12">
        <f t="shared" si="29"/>
        <v>0.33960000000000001</v>
      </c>
      <c r="AK172" s="12">
        <f t="shared" si="29"/>
        <v>0.34549999999999997</v>
      </c>
      <c r="AL172" s="12">
        <f t="shared" si="29"/>
        <v>0.35139999999999999</v>
      </c>
      <c r="AM172" s="12">
        <f t="shared" si="29"/>
        <v>0.35749999999999998</v>
      </c>
      <c r="AN172" s="12">
        <f t="shared" si="29"/>
        <v>0.36499999999999999</v>
      </c>
    </row>
    <row r="173" spans="1:41" x14ac:dyDescent="0.25">
      <c r="A173" s="3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</row>
    <row r="175" spans="1:41" ht="18" thickBot="1" x14ac:dyDescent="0.35">
      <c r="A175" s="4" t="s">
        <v>144</v>
      </c>
      <c r="B175" s="4"/>
      <c r="C175" s="4"/>
      <c r="D175" s="4"/>
      <c r="E175" s="4"/>
      <c r="F175" s="4"/>
      <c r="G175" s="4"/>
      <c r="H175" s="4"/>
    </row>
    <row r="176" spans="1:41" ht="15.75" thickTop="1" x14ac:dyDescent="0.25">
      <c r="A176" s="3">
        <v>2012</v>
      </c>
      <c r="B176" s="3">
        <v>2013</v>
      </c>
      <c r="C176" s="3">
        <v>2014</v>
      </c>
      <c r="D176" s="3">
        <v>2015</v>
      </c>
      <c r="E176" s="3">
        <v>2016</v>
      </c>
      <c r="F176" s="3">
        <v>2017</v>
      </c>
      <c r="G176" s="3">
        <v>2018</v>
      </c>
      <c r="H176" s="3">
        <v>2019</v>
      </c>
      <c r="I176" s="3">
        <v>2020</v>
      </c>
      <c r="J176" s="3">
        <v>2021</v>
      </c>
      <c r="K176" s="3">
        <v>2022</v>
      </c>
      <c r="L176" s="3">
        <v>2023</v>
      </c>
      <c r="M176" s="3">
        <v>2024</v>
      </c>
      <c r="N176" s="3">
        <v>2025</v>
      </c>
      <c r="O176" s="3">
        <v>2026</v>
      </c>
      <c r="P176" s="3">
        <v>2027</v>
      </c>
      <c r="Q176" s="3">
        <v>2028</v>
      </c>
      <c r="R176" s="3">
        <v>2029</v>
      </c>
      <c r="S176" s="3">
        <v>2030</v>
      </c>
      <c r="T176" s="3">
        <v>2031</v>
      </c>
      <c r="U176" s="3">
        <v>2032</v>
      </c>
      <c r="V176" s="3">
        <v>2033</v>
      </c>
      <c r="W176" s="3">
        <v>2034</v>
      </c>
      <c r="X176" s="3">
        <v>2035</v>
      </c>
      <c r="Y176" s="3">
        <v>2036</v>
      </c>
      <c r="Z176">
        <v>2037</v>
      </c>
      <c r="AA176">
        <v>2038</v>
      </c>
      <c r="AB176">
        <v>2039</v>
      </c>
      <c r="AC176">
        <v>2040</v>
      </c>
      <c r="AD176">
        <v>2041</v>
      </c>
      <c r="AE176">
        <v>2042</v>
      </c>
      <c r="AF176">
        <v>2043</v>
      </c>
      <c r="AG176">
        <v>2044</v>
      </c>
      <c r="AH176">
        <v>2045</v>
      </c>
      <c r="AI176">
        <v>2046</v>
      </c>
      <c r="AJ176">
        <v>2047</v>
      </c>
      <c r="AK176">
        <v>2048</v>
      </c>
      <c r="AL176">
        <v>2049</v>
      </c>
      <c r="AM176">
        <v>2050</v>
      </c>
    </row>
    <row r="177" spans="1:41" x14ac:dyDescent="0.25">
      <c r="A177">
        <v>0.30163969294989873</v>
      </c>
      <c r="B177">
        <v>0.30770118876733893</v>
      </c>
      <c r="C177">
        <v>0.31057938732953844</v>
      </c>
      <c r="D177">
        <v>0.31277940101847879</v>
      </c>
      <c r="E177">
        <v>0.31284316327620315</v>
      </c>
      <c r="F177">
        <v>0.31635831555178628</v>
      </c>
      <c r="G177">
        <v>0.31867877236635728</v>
      </c>
      <c r="H177">
        <v>0.31829026462005117</v>
      </c>
      <c r="I177">
        <v>0.29040891806001651</v>
      </c>
      <c r="J177">
        <v>0.29800403265459058</v>
      </c>
      <c r="K177">
        <v>0.30200401780692876</v>
      </c>
      <c r="L177">
        <v>0.30656034625617695</v>
      </c>
      <c r="M177">
        <v>0.31192904187570236</v>
      </c>
      <c r="N177">
        <v>0.31799947261850164</v>
      </c>
      <c r="O177">
        <v>0.32433434766527408</v>
      </c>
      <c r="P177">
        <v>0.33129984849841504</v>
      </c>
      <c r="Q177">
        <v>0.33856860928890536</v>
      </c>
      <c r="R177">
        <v>0.3460220907336497</v>
      </c>
      <c r="S177">
        <v>0.35326945484642069</v>
      </c>
      <c r="T177">
        <v>0.36227316635231788</v>
      </c>
      <c r="U177">
        <v>0.37153100120479132</v>
      </c>
      <c r="V177">
        <v>0.38125213640261274</v>
      </c>
      <c r="W177">
        <v>0.39088366365960481</v>
      </c>
      <c r="X177" s="12">
        <v>0.43438755091144643</v>
      </c>
      <c r="Y177" s="12">
        <v>0.4444480293768564</v>
      </c>
      <c r="Z177" s="12">
        <v>0.45535275868686731</v>
      </c>
      <c r="AA177" s="12">
        <v>0.46694075625504039</v>
      </c>
      <c r="AB177" s="12">
        <v>0.4781300856362905</v>
      </c>
      <c r="AC177" s="12">
        <v>0.48967453302970809</v>
      </c>
      <c r="AD177" s="12">
        <v>0.50224672606058585</v>
      </c>
      <c r="AE177" s="12">
        <v>0.51536971747141613</v>
      </c>
      <c r="AF177" s="12">
        <v>0.52924077512855172</v>
      </c>
      <c r="AG177" s="12">
        <v>0.54376194787755061</v>
      </c>
      <c r="AH177" s="12">
        <v>0.55932663957277284</v>
      </c>
      <c r="AI177" s="12">
        <v>0.57508190051994368</v>
      </c>
      <c r="AJ177" s="12">
        <v>0.59159288253939912</v>
      </c>
      <c r="AK177" s="12">
        <v>0.6076457041478186</v>
      </c>
      <c r="AL177" s="12">
        <v>0.62468417964119827</v>
      </c>
      <c r="AM177" s="12">
        <v>0.68427588534183081</v>
      </c>
    </row>
    <row r="179" spans="1:41" ht="18" thickBot="1" x14ac:dyDescent="0.35">
      <c r="B179" s="24" t="s">
        <v>174</v>
      </c>
      <c r="C179" s="24"/>
      <c r="D179" s="24"/>
      <c r="E179" s="24"/>
    </row>
    <row r="180" spans="1:41" ht="15.75" thickTop="1" x14ac:dyDescent="0.25">
      <c r="C180" s="13" t="s">
        <v>152</v>
      </c>
      <c r="D180" s="23" t="s">
        <v>152</v>
      </c>
      <c r="E180" t="s">
        <v>152</v>
      </c>
      <c r="F180" t="s">
        <v>152</v>
      </c>
      <c r="G180" t="s">
        <v>152</v>
      </c>
      <c r="H180" t="s">
        <v>152</v>
      </c>
      <c r="I180" t="s">
        <v>152</v>
      </c>
      <c r="J180" t="s">
        <v>152</v>
      </c>
      <c r="K180" t="s">
        <v>152</v>
      </c>
      <c r="L180" t="s">
        <v>152</v>
      </c>
      <c r="M180" t="s">
        <v>152</v>
      </c>
      <c r="N180" t="s">
        <v>152</v>
      </c>
      <c r="O180" t="s">
        <v>152</v>
      </c>
      <c r="P180" t="s">
        <v>152</v>
      </c>
      <c r="Q180" t="s">
        <v>152</v>
      </c>
      <c r="R180" t="s">
        <v>152</v>
      </c>
      <c r="S180" t="s">
        <v>152</v>
      </c>
      <c r="T180" t="s">
        <v>152</v>
      </c>
      <c r="U180" t="s">
        <v>152</v>
      </c>
      <c r="V180" t="s">
        <v>152</v>
      </c>
      <c r="W180" t="s">
        <v>152</v>
      </c>
      <c r="X180" t="s">
        <v>152</v>
      </c>
      <c r="Y180" t="s">
        <v>152</v>
      </c>
      <c r="Z180" t="s">
        <v>152</v>
      </c>
      <c r="AA180" t="s">
        <v>152</v>
      </c>
      <c r="AB180" t="s">
        <v>152</v>
      </c>
      <c r="AC180" t="s">
        <v>152</v>
      </c>
      <c r="AD180" t="s">
        <v>152</v>
      </c>
      <c r="AE180" t="s">
        <v>152</v>
      </c>
      <c r="AF180" t="s">
        <v>152</v>
      </c>
      <c r="AG180" t="s">
        <v>152</v>
      </c>
      <c r="AH180" t="s">
        <v>152</v>
      </c>
      <c r="AI180" t="s">
        <v>152</v>
      </c>
      <c r="AJ180" t="s">
        <v>152</v>
      </c>
      <c r="AK180" t="s">
        <v>152</v>
      </c>
      <c r="AL180" t="s">
        <v>152</v>
      </c>
      <c r="AM180" t="s">
        <v>152</v>
      </c>
      <c r="AN180" t="s">
        <v>152</v>
      </c>
      <c r="AO180" t="s">
        <v>152</v>
      </c>
    </row>
    <row r="181" spans="1:41" x14ac:dyDescent="0.25">
      <c r="B181" t="s">
        <v>153</v>
      </c>
      <c r="C181">
        <v>2012</v>
      </c>
      <c r="D181">
        <v>2013</v>
      </c>
      <c r="E181">
        <v>2014</v>
      </c>
      <c r="F181">
        <v>2015</v>
      </c>
      <c r="G181">
        <v>2016</v>
      </c>
      <c r="H181">
        <v>2017</v>
      </c>
      <c r="I181">
        <v>2018</v>
      </c>
      <c r="J181">
        <v>2019</v>
      </c>
      <c r="K181">
        <v>2020</v>
      </c>
      <c r="L181">
        <v>2021</v>
      </c>
      <c r="M181">
        <v>2022</v>
      </c>
      <c r="N181">
        <v>2023</v>
      </c>
      <c r="O181">
        <v>2024</v>
      </c>
      <c r="P181">
        <v>2025</v>
      </c>
      <c r="Q181">
        <v>2026</v>
      </c>
      <c r="R181">
        <v>2027</v>
      </c>
      <c r="S181">
        <v>2028</v>
      </c>
      <c r="T181">
        <v>2029</v>
      </c>
      <c r="U181">
        <v>2030</v>
      </c>
      <c r="V181">
        <v>2031</v>
      </c>
      <c r="W181">
        <v>2032</v>
      </c>
      <c r="X181">
        <v>2033</v>
      </c>
      <c r="Y181">
        <v>2034</v>
      </c>
      <c r="Z181">
        <v>2035</v>
      </c>
      <c r="AA181">
        <v>2036</v>
      </c>
      <c r="AB181">
        <v>2037</v>
      </c>
      <c r="AC181">
        <v>2038</v>
      </c>
      <c r="AD181">
        <v>2039</v>
      </c>
      <c r="AE181">
        <v>2040</v>
      </c>
      <c r="AF181">
        <v>2041</v>
      </c>
      <c r="AG181">
        <v>2042</v>
      </c>
      <c r="AH181">
        <v>2043</v>
      </c>
      <c r="AI181">
        <v>2044</v>
      </c>
      <c r="AJ181">
        <v>2045</v>
      </c>
      <c r="AK181">
        <v>2046</v>
      </c>
      <c r="AL181">
        <v>2047</v>
      </c>
      <c r="AM181">
        <v>2048</v>
      </c>
      <c r="AN181">
        <v>2049</v>
      </c>
      <c r="AO181">
        <v>2050</v>
      </c>
    </row>
    <row r="182" spans="1:41" x14ac:dyDescent="0.25">
      <c r="A182" t="s">
        <v>73</v>
      </c>
      <c r="B182" t="s">
        <v>154</v>
      </c>
      <c r="C182">
        <v>69.819999999999993</v>
      </c>
      <c r="D182">
        <v>72.86</v>
      </c>
      <c r="E182">
        <v>75.87</v>
      </c>
      <c r="F182">
        <v>74.64</v>
      </c>
      <c r="G182">
        <v>73.959999999999994</v>
      </c>
      <c r="H182">
        <v>76.72</v>
      </c>
      <c r="I182">
        <v>75.61</v>
      </c>
      <c r="J182">
        <v>74.11</v>
      </c>
      <c r="K182">
        <v>73.06</v>
      </c>
      <c r="L182">
        <v>75.239999999999995</v>
      </c>
      <c r="M182">
        <v>77.23</v>
      </c>
      <c r="N182">
        <v>78.58</v>
      </c>
      <c r="O182">
        <v>80.14</v>
      </c>
      <c r="P182">
        <v>81.66</v>
      </c>
      <c r="Q182">
        <v>83.01</v>
      </c>
      <c r="R182">
        <v>84.26</v>
      </c>
      <c r="S182">
        <v>85.97</v>
      </c>
      <c r="T182">
        <v>87.4</v>
      </c>
      <c r="U182">
        <v>88.8</v>
      </c>
      <c r="V182">
        <v>90.44</v>
      </c>
      <c r="W182">
        <v>92.09</v>
      </c>
      <c r="X182">
        <v>93.77</v>
      </c>
      <c r="Y182">
        <v>95.87</v>
      </c>
      <c r="Z182">
        <v>97.95</v>
      </c>
      <c r="AA182">
        <v>100.25</v>
      </c>
      <c r="AB182">
        <v>102.58</v>
      </c>
      <c r="AC182">
        <v>104.93</v>
      </c>
      <c r="AD182">
        <v>107.29</v>
      </c>
      <c r="AE182">
        <v>109.71</v>
      </c>
      <c r="AF182">
        <v>112.22</v>
      </c>
      <c r="AG182">
        <v>114.59</v>
      </c>
      <c r="AH182">
        <v>117.07</v>
      </c>
      <c r="AI182">
        <v>119.7</v>
      </c>
      <c r="AJ182">
        <v>122.57</v>
      </c>
      <c r="AK182">
        <v>125.55</v>
      </c>
      <c r="AL182">
        <v>128.41</v>
      </c>
      <c r="AM182">
        <v>131.38999999999999</v>
      </c>
      <c r="AN182">
        <v>134.63</v>
      </c>
      <c r="AO182">
        <v>138.71</v>
      </c>
    </row>
    <row r="183" spans="1:41" x14ac:dyDescent="0.25">
      <c r="A183" t="s">
        <v>35</v>
      </c>
      <c r="B183" t="s">
        <v>155</v>
      </c>
      <c r="C183">
        <v>11.26</v>
      </c>
      <c r="D183">
        <v>11.58</v>
      </c>
      <c r="E183">
        <v>11.98</v>
      </c>
      <c r="F183">
        <v>12.2</v>
      </c>
      <c r="G183">
        <v>12.33</v>
      </c>
      <c r="H183">
        <v>12.56</v>
      </c>
      <c r="I183">
        <v>12.87</v>
      </c>
      <c r="J183">
        <v>12.94</v>
      </c>
      <c r="K183">
        <v>12.19</v>
      </c>
      <c r="L183">
        <v>12.53</v>
      </c>
      <c r="M183">
        <v>12.82</v>
      </c>
      <c r="N183">
        <v>13.05</v>
      </c>
      <c r="O183">
        <v>13.31</v>
      </c>
      <c r="P183">
        <v>13.56</v>
      </c>
      <c r="Q183">
        <v>13.81</v>
      </c>
      <c r="R183">
        <v>14.05</v>
      </c>
      <c r="S183">
        <v>14.19</v>
      </c>
      <c r="T183">
        <v>14.47</v>
      </c>
      <c r="U183">
        <v>14.75</v>
      </c>
      <c r="V183">
        <v>15.11</v>
      </c>
      <c r="W183">
        <v>15.46</v>
      </c>
      <c r="X183">
        <v>15.82</v>
      </c>
      <c r="Y183">
        <v>16.18</v>
      </c>
      <c r="Z183">
        <v>16.559999999999999</v>
      </c>
      <c r="AA183">
        <v>16.95</v>
      </c>
      <c r="AB183">
        <v>17.38</v>
      </c>
      <c r="AC183">
        <v>17.8</v>
      </c>
      <c r="AD183">
        <v>18.23</v>
      </c>
      <c r="AE183">
        <v>18.670000000000002</v>
      </c>
      <c r="AF183">
        <v>19.12</v>
      </c>
      <c r="AG183">
        <v>19.55</v>
      </c>
      <c r="AH183">
        <v>19.98</v>
      </c>
      <c r="AI183">
        <v>20.420000000000002</v>
      </c>
      <c r="AJ183">
        <v>20.87</v>
      </c>
      <c r="AK183">
        <v>21.33</v>
      </c>
      <c r="AL183">
        <v>21.77</v>
      </c>
      <c r="AM183">
        <v>22.21</v>
      </c>
      <c r="AN183">
        <v>22.68</v>
      </c>
      <c r="AO183">
        <v>23.27</v>
      </c>
    </row>
    <row r="184" spans="1:41" x14ac:dyDescent="0.25">
      <c r="A184" t="s">
        <v>27</v>
      </c>
      <c r="B184" t="s">
        <v>156</v>
      </c>
      <c r="C184">
        <v>52.81</v>
      </c>
      <c r="D184">
        <v>54.26</v>
      </c>
      <c r="E184">
        <v>55.41</v>
      </c>
      <c r="F184">
        <v>55.89</v>
      </c>
      <c r="G184">
        <v>56.55</v>
      </c>
      <c r="H184">
        <v>57.1</v>
      </c>
      <c r="I184">
        <v>57.77</v>
      </c>
      <c r="J184">
        <v>57.43</v>
      </c>
      <c r="K184">
        <v>53.7</v>
      </c>
      <c r="L184">
        <v>54.93</v>
      </c>
      <c r="M184">
        <v>56.1</v>
      </c>
      <c r="N184">
        <v>57.1</v>
      </c>
      <c r="O184">
        <v>58.23</v>
      </c>
      <c r="P184">
        <v>59.4</v>
      </c>
      <c r="Q184">
        <v>60.51</v>
      </c>
      <c r="R184">
        <v>61.62</v>
      </c>
      <c r="S184">
        <v>62.89</v>
      </c>
      <c r="T184">
        <v>63.98</v>
      </c>
      <c r="U184">
        <v>65.209999999999994</v>
      </c>
      <c r="V184">
        <v>66.91</v>
      </c>
      <c r="W184">
        <v>68.67</v>
      </c>
      <c r="X184">
        <v>70.540000000000006</v>
      </c>
      <c r="Y184">
        <v>72.73</v>
      </c>
      <c r="Z184">
        <v>74.89</v>
      </c>
      <c r="AA184">
        <v>77.16</v>
      </c>
      <c r="AB184">
        <v>79.62</v>
      </c>
      <c r="AC184">
        <v>82.09</v>
      </c>
      <c r="AD184">
        <v>84.63</v>
      </c>
      <c r="AE184">
        <v>87.27</v>
      </c>
      <c r="AF184">
        <v>89.91</v>
      </c>
      <c r="AG184">
        <v>92.55</v>
      </c>
      <c r="AH184">
        <v>95.31</v>
      </c>
      <c r="AI184">
        <v>98.19</v>
      </c>
      <c r="AJ184">
        <v>101.26</v>
      </c>
      <c r="AK184">
        <v>104.46</v>
      </c>
      <c r="AL184">
        <v>107.63</v>
      </c>
      <c r="AM184">
        <v>110.94</v>
      </c>
      <c r="AN184">
        <v>114.45</v>
      </c>
      <c r="AO184">
        <v>118.69</v>
      </c>
    </row>
    <row r="185" spans="1:41" x14ac:dyDescent="0.25">
      <c r="A185" t="s">
        <v>21</v>
      </c>
      <c r="B185" t="s">
        <v>157</v>
      </c>
      <c r="C185" s="23">
        <v>1833.85</v>
      </c>
      <c r="D185" s="23">
        <v>1881.9</v>
      </c>
      <c r="E185" s="23">
        <v>1929.34</v>
      </c>
      <c r="F185" s="23">
        <v>1956.68</v>
      </c>
      <c r="G185" s="23">
        <v>1983.97</v>
      </c>
      <c r="H185" s="23">
        <v>2015.63</v>
      </c>
      <c r="I185" s="23">
        <v>2048.7199999999998</v>
      </c>
      <c r="J185" s="23">
        <v>2068.14</v>
      </c>
      <c r="K185" s="23">
        <v>1924.06</v>
      </c>
      <c r="L185" s="23">
        <v>1969.68</v>
      </c>
      <c r="M185" s="23">
        <v>2013.21</v>
      </c>
      <c r="N185" s="23">
        <v>2052.89</v>
      </c>
      <c r="O185" s="23">
        <v>2097.59</v>
      </c>
      <c r="P185" s="23">
        <v>2142.04</v>
      </c>
      <c r="Q185" s="23">
        <v>2187.36</v>
      </c>
      <c r="R185" s="23">
        <v>2232.96</v>
      </c>
      <c r="S185" s="23">
        <v>2276.1999999999998</v>
      </c>
      <c r="T185" s="23">
        <v>2325.7600000000002</v>
      </c>
      <c r="U185" s="23">
        <v>2379.34</v>
      </c>
      <c r="V185" s="23">
        <v>2444.09</v>
      </c>
      <c r="W185" s="23">
        <v>2512.85</v>
      </c>
      <c r="X185" s="23">
        <v>2586.39</v>
      </c>
      <c r="Y185" s="23">
        <v>2669.29</v>
      </c>
      <c r="Z185" s="23">
        <v>2753.03</v>
      </c>
      <c r="AA185" s="23">
        <v>2843.24</v>
      </c>
      <c r="AB185" s="23">
        <v>2938.39</v>
      </c>
      <c r="AC185" s="23">
        <v>3036.29</v>
      </c>
      <c r="AD185" s="23">
        <v>3138.34</v>
      </c>
      <c r="AE185" s="23">
        <v>3244.95</v>
      </c>
      <c r="AF185" s="23">
        <v>3354.92</v>
      </c>
      <c r="AG185" s="23">
        <v>3465.43</v>
      </c>
      <c r="AH185" s="23">
        <v>3580.36</v>
      </c>
      <c r="AI185" s="23">
        <v>3700.03</v>
      </c>
      <c r="AJ185" s="23">
        <v>3827.31</v>
      </c>
      <c r="AK185" s="23">
        <v>3959.52</v>
      </c>
      <c r="AL185" s="23">
        <v>4091.05</v>
      </c>
      <c r="AM185" s="23">
        <v>4228.6000000000004</v>
      </c>
      <c r="AN185" s="23">
        <v>4373.84</v>
      </c>
      <c r="AO185" s="23">
        <v>4547.05</v>
      </c>
    </row>
    <row r="186" spans="1:41" x14ac:dyDescent="0.25">
      <c r="A186" t="s">
        <v>37</v>
      </c>
      <c r="B186" t="s">
        <v>158</v>
      </c>
      <c r="C186">
        <v>27.52</v>
      </c>
      <c r="D186">
        <v>26.89</v>
      </c>
      <c r="E186">
        <v>26.27</v>
      </c>
      <c r="F186">
        <v>25.64</v>
      </c>
      <c r="G186">
        <v>25.62</v>
      </c>
      <c r="H186">
        <v>25.6</v>
      </c>
      <c r="I186">
        <v>25.6</v>
      </c>
      <c r="J186">
        <v>25.55</v>
      </c>
      <c r="K186">
        <v>16.07</v>
      </c>
      <c r="L186">
        <v>16.03</v>
      </c>
      <c r="M186">
        <v>16.03</v>
      </c>
      <c r="N186">
        <v>16.010000000000002</v>
      </c>
      <c r="O186">
        <v>15.99</v>
      </c>
      <c r="P186">
        <v>15.42</v>
      </c>
      <c r="Q186">
        <v>15.4</v>
      </c>
      <c r="R186">
        <v>15.38</v>
      </c>
      <c r="S186">
        <v>10.1</v>
      </c>
      <c r="T186">
        <v>10.08</v>
      </c>
      <c r="U186">
        <v>10.47</v>
      </c>
      <c r="V186">
        <v>10.74</v>
      </c>
      <c r="W186">
        <v>10.75</v>
      </c>
      <c r="X186">
        <v>10.78</v>
      </c>
      <c r="Y186">
        <v>9.3800000000000008</v>
      </c>
      <c r="Z186">
        <v>7.95</v>
      </c>
      <c r="AA186">
        <v>6.61</v>
      </c>
      <c r="AB186">
        <v>5.54</v>
      </c>
      <c r="AC186">
        <v>4.71</v>
      </c>
      <c r="AD186">
        <v>3.88</v>
      </c>
      <c r="AE186">
        <v>3.05</v>
      </c>
      <c r="AF186">
        <v>2.78</v>
      </c>
      <c r="AG186">
        <v>2.5099999999999998</v>
      </c>
      <c r="AH186">
        <v>2.2400000000000002</v>
      </c>
      <c r="AI186">
        <v>1.97</v>
      </c>
      <c r="AJ186">
        <v>1.7</v>
      </c>
      <c r="AK186">
        <v>1.68</v>
      </c>
      <c r="AL186">
        <v>1.65</v>
      </c>
      <c r="AM186">
        <v>1.63</v>
      </c>
      <c r="AN186">
        <v>1.61</v>
      </c>
      <c r="AO186">
        <v>1.58</v>
      </c>
    </row>
    <row r="187" spans="1:41" x14ac:dyDescent="0.25">
      <c r="A187" t="s">
        <v>32</v>
      </c>
      <c r="B187" t="s">
        <v>159</v>
      </c>
      <c r="C187">
        <v>84.25</v>
      </c>
      <c r="D187">
        <v>82.71</v>
      </c>
      <c r="E187">
        <v>79.56</v>
      </c>
      <c r="F187">
        <v>76.53</v>
      </c>
      <c r="G187">
        <v>75.13</v>
      </c>
      <c r="H187">
        <v>74.03</v>
      </c>
      <c r="I187">
        <v>74.44</v>
      </c>
      <c r="J187">
        <v>72.650000000000006</v>
      </c>
      <c r="K187">
        <v>70.260000000000005</v>
      </c>
      <c r="L187">
        <v>74.099999999999994</v>
      </c>
      <c r="M187">
        <v>73.67</v>
      </c>
      <c r="N187">
        <v>74.25</v>
      </c>
      <c r="O187">
        <v>74.66</v>
      </c>
      <c r="P187">
        <v>75.03</v>
      </c>
      <c r="Q187">
        <v>76.28</v>
      </c>
      <c r="R187">
        <v>76.319999999999993</v>
      </c>
      <c r="S187">
        <v>76.67</v>
      </c>
      <c r="T187">
        <v>78.13</v>
      </c>
      <c r="U187">
        <v>79.61</v>
      </c>
      <c r="V187">
        <v>81.23</v>
      </c>
      <c r="W187">
        <v>83.69</v>
      </c>
      <c r="X187">
        <v>85.48</v>
      </c>
      <c r="Y187">
        <v>87.67</v>
      </c>
      <c r="Z187">
        <v>89.95</v>
      </c>
      <c r="AA187">
        <v>91.79</v>
      </c>
      <c r="AB187">
        <v>93.81</v>
      </c>
      <c r="AC187">
        <v>95.03</v>
      </c>
      <c r="AD187">
        <v>96.4</v>
      </c>
      <c r="AE187">
        <v>97.78</v>
      </c>
      <c r="AF187">
        <v>99.48</v>
      </c>
      <c r="AG187">
        <v>101.08</v>
      </c>
      <c r="AH187">
        <v>102.69</v>
      </c>
      <c r="AI187">
        <v>104.32</v>
      </c>
      <c r="AJ187">
        <v>105.99</v>
      </c>
      <c r="AK187">
        <v>108.49</v>
      </c>
      <c r="AL187">
        <v>110.57</v>
      </c>
      <c r="AM187">
        <v>112.67</v>
      </c>
      <c r="AN187">
        <v>114.79</v>
      </c>
      <c r="AO187">
        <v>116.96</v>
      </c>
    </row>
    <row r="188" spans="1:41" x14ac:dyDescent="0.25">
      <c r="A188" t="s">
        <v>38</v>
      </c>
      <c r="B188" t="s">
        <v>160</v>
      </c>
      <c r="C188">
        <v>66.42</v>
      </c>
      <c r="D188">
        <v>67.81</v>
      </c>
      <c r="E188">
        <v>65.680000000000007</v>
      </c>
      <c r="F188">
        <v>63.54</v>
      </c>
      <c r="G188">
        <v>63.36</v>
      </c>
      <c r="H188">
        <v>63.29</v>
      </c>
      <c r="I188">
        <v>63.16</v>
      </c>
      <c r="J188">
        <v>62.72</v>
      </c>
      <c r="K188">
        <v>60.32</v>
      </c>
      <c r="L188">
        <v>60.32</v>
      </c>
      <c r="M188">
        <v>60.4</v>
      </c>
      <c r="N188">
        <v>60.18</v>
      </c>
      <c r="O188">
        <v>60.35</v>
      </c>
      <c r="P188">
        <v>60.75</v>
      </c>
      <c r="Q188">
        <v>60.82</v>
      </c>
      <c r="R188">
        <v>60.78</v>
      </c>
      <c r="S188">
        <v>60.57</v>
      </c>
      <c r="T188">
        <v>59.99</v>
      </c>
      <c r="U188">
        <v>59.52</v>
      </c>
      <c r="V188">
        <v>59.08</v>
      </c>
      <c r="W188">
        <v>59.01</v>
      </c>
      <c r="X188">
        <v>58.82</v>
      </c>
      <c r="Y188">
        <v>58.76</v>
      </c>
      <c r="Z188">
        <v>58.76</v>
      </c>
      <c r="AA188">
        <v>58.54</v>
      </c>
      <c r="AB188">
        <v>57.86</v>
      </c>
      <c r="AC188">
        <v>56.62</v>
      </c>
      <c r="AD188">
        <v>55.36</v>
      </c>
      <c r="AE188">
        <v>54.1</v>
      </c>
      <c r="AF188">
        <v>53.56</v>
      </c>
      <c r="AG188">
        <v>53.03</v>
      </c>
      <c r="AH188">
        <v>52.5</v>
      </c>
      <c r="AI188">
        <v>51.96</v>
      </c>
      <c r="AJ188">
        <v>51.43</v>
      </c>
      <c r="AK188">
        <v>51.14</v>
      </c>
      <c r="AL188">
        <v>50.86</v>
      </c>
      <c r="AM188">
        <v>50.58</v>
      </c>
      <c r="AN188">
        <v>50.3</v>
      </c>
      <c r="AO188">
        <v>50.03</v>
      </c>
    </row>
    <row r="189" spans="1:41" x14ac:dyDescent="0.25">
      <c r="A189" t="s">
        <v>24</v>
      </c>
      <c r="B189" t="s">
        <v>161</v>
      </c>
      <c r="C189">
        <v>93.1</v>
      </c>
      <c r="D189">
        <v>96.24</v>
      </c>
      <c r="E189">
        <v>98.9</v>
      </c>
      <c r="F189">
        <v>99.85</v>
      </c>
      <c r="G189">
        <v>102.21</v>
      </c>
      <c r="H189">
        <v>103.61</v>
      </c>
      <c r="I189">
        <v>105.24</v>
      </c>
      <c r="J189">
        <v>104.54</v>
      </c>
      <c r="K189">
        <v>101.85</v>
      </c>
      <c r="L189">
        <v>104.95</v>
      </c>
      <c r="M189">
        <v>107.71</v>
      </c>
      <c r="N189">
        <v>109.84</v>
      </c>
      <c r="O189">
        <v>112.24</v>
      </c>
      <c r="P189">
        <v>114.63</v>
      </c>
      <c r="Q189">
        <v>116.8</v>
      </c>
      <c r="R189">
        <v>118.95</v>
      </c>
      <c r="S189">
        <v>121.8</v>
      </c>
      <c r="T189">
        <v>124.07</v>
      </c>
      <c r="U189">
        <v>126.27</v>
      </c>
      <c r="V189">
        <v>128.88999999999999</v>
      </c>
      <c r="W189">
        <v>131.65</v>
      </c>
      <c r="X189">
        <v>134.56</v>
      </c>
      <c r="Y189">
        <v>138.11000000000001</v>
      </c>
      <c r="Z189">
        <v>141.66</v>
      </c>
      <c r="AA189">
        <v>145.46</v>
      </c>
      <c r="AB189">
        <v>149.24</v>
      </c>
      <c r="AC189">
        <v>153</v>
      </c>
      <c r="AD189">
        <v>156.83000000000001</v>
      </c>
      <c r="AE189">
        <v>160.74</v>
      </c>
      <c r="AF189">
        <v>164.68</v>
      </c>
      <c r="AG189">
        <v>168.49</v>
      </c>
      <c r="AH189">
        <v>172.54</v>
      </c>
      <c r="AI189">
        <v>176.82</v>
      </c>
      <c r="AJ189">
        <v>181.33</v>
      </c>
      <c r="AK189">
        <v>185.9</v>
      </c>
      <c r="AL189">
        <v>190.27</v>
      </c>
      <c r="AM189">
        <v>194.8</v>
      </c>
      <c r="AN189">
        <v>199.65</v>
      </c>
      <c r="AO189">
        <v>205.62</v>
      </c>
    </row>
    <row r="190" spans="1:41" x14ac:dyDescent="0.25">
      <c r="A190" t="s">
        <v>34</v>
      </c>
      <c r="B190" t="s">
        <v>162</v>
      </c>
      <c r="C190">
        <v>135.96</v>
      </c>
      <c r="D190">
        <v>139.76</v>
      </c>
      <c r="E190">
        <v>143.13</v>
      </c>
      <c r="F190">
        <v>144.43</v>
      </c>
      <c r="G190">
        <v>145.78</v>
      </c>
      <c r="H190">
        <v>148.19</v>
      </c>
      <c r="I190">
        <v>150.15</v>
      </c>
      <c r="J190">
        <v>149.86000000000001</v>
      </c>
      <c r="K190">
        <v>138.71</v>
      </c>
      <c r="L190">
        <v>141.72999999999999</v>
      </c>
      <c r="M190">
        <v>144.58000000000001</v>
      </c>
      <c r="N190">
        <v>147.09</v>
      </c>
      <c r="O190">
        <v>150.05000000000001</v>
      </c>
      <c r="P190">
        <v>152.99</v>
      </c>
      <c r="Q190">
        <v>155.99</v>
      </c>
      <c r="R190">
        <v>158.99</v>
      </c>
      <c r="S190">
        <v>160.97999999999999</v>
      </c>
      <c r="T190">
        <v>164.16</v>
      </c>
      <c r="U190">
        <v>167.7</v>
      </c>
      <c r="V190">
        <v>172.12</v>
      </c>
      <c r="W190">
        <v>176.73</v>
      </c>
      <c r="X190">
        <v>181.62</v>
      </c>
      <c r="Y190">
        <v>186.95</v>
      </c>
      <c r="Z190">
        <v>192.27</v>
      </c>
      <c r="AA190">
        <v>197.94</v>
      </c>
      <c r="AB190">
        <v>204.15</v>
      </c>
      <c r="AC190">
        <v>210.42</v>
      </c>
      <c r="AD190">
        <v>216.93</v>
      </c>
      <c r="AE190">
        <v>223.69</v>
      </c>
      <c r="AF190">
        <v>230.57</v>
      </c>
      <c r="AG190">
        <v>237.37</v>
      </c>
      <c r="AH190">
        <v>244.47</v>
      </c>
      <c r="AI190">
        <v>251.92</v>
      </c>
      <c r="AJ190">
        <v>259.85000000000002</v>
      </c>
      <c r="AK190">
        <v>268.14999999999998</v>
      </c>
      <c r="AL190">
        <v>276.3</v>
      </c>
      <c r="AM190">
        <v>284.83999999999997</v>
      </c>
      <c r="AN190">
        <v>293.93</v>
      </c>
      <c r="AO190">
        <v>305.06</v>
      </c>
    </row>
    <row r="191" spans="1:41" x14ac:dyDescent="0.25">
      <c r="A191" t="s">
        <v>25</v>
      </c>
      <c r="B191" t="s">
        <v>163</v>
      </c>
      <c r="C191">
        <v>235.5</v>
      </c>
      <c r="D191">
        <v>241.59</v>
      </c>
      <c r="E191">
        <v>246.1</v>
      </c>
      <c r="F191">
        <v>248.42</v>
      </c>
      <c r="G191">
        <v>251.09</v>
      </c>
      <c r="H191">
        <v>253.26</v>
      </c>
      <c r="I191">
        <v>255.74</v>
      </c>
      <c r="J191">
        <v>254.07</v>
      </c>
      <c r="K191">
        <v>233.33</v>
      </c>
      <c r="L191">
        <v>239.41</v>
      </c>
      <c r="M191">
        <v>244.91</v>
      </c>
      <c r="N191">
        <v>249.83</v>
      </c>
      <c r="O191">
        <v>255.36</v>
      </c>
      <c r="P191">
        <v>260.81</v>
      </c>
      <c r="Q191">
        <v>266.36</v>
      </c>
      <c r="R191">
        <v>271.74</v>
      </c>
      <c r="S191">
        <v>277.05</v>
      </c>
      <c r="T191">
        <v>282.77999999999997</v>
      </c>
      <c r="U191">
        <v>288.95999999999998</v>
      </c>
      <c r="V191">
        <v>296.33999999999997</v>
      </c>
      <c r="W191">
        <v>304.2</v>
      </c>
      <c r="X191">
        <v>312.55</v>
      </c>
      <c r="Y191">
        <v>321.88</v>
      </c>
      <c r="Z191">
        <v>331.08</v>
      </c>
      <c r="AA191">
        <v>340.86</v>
      </c>
      <c r="AB191">
        <v>351.05</v>
      </c>
      <c r="AC191">
        <v>361.39</v>
      </c>
      <c r="AD191">
        <v>372.08</v>
      </c>
      <c r="AE191">
        <v>383.14</v>
      </c>
      <c r="AF191">
        <v>394.85</v>
      </c>
      <c r="AG191">
        <v>406.53</v>
      </c>
      <c r="AH191">
        <v>418.72</v>
      </c>
      <c r="AI191">
        <v>431.5</v>
      </c>
      <c r="AJ191">
        <v>445.12</v>
      </c>
      <c r="AK191">
        <v>459.51</v>
      </c>
      <c r="AL191">
        <v>473.68</v>
      </c>
      <c r="AM191">
        <v>488.53</v>
      </c>
      <c r="AN191">
        <v>504.28</v>
      </c>
      <c r="AO191">
        <v>523.45000000000005</v>
      </c>
    </row>
    <row r="192" spans="1:41" x14ac:dyDescent="0.25">
      <c r="A192" t="s">
        <v>29</v>
      </c>
      <c r="B192" t="s">
        <v>164</v>
      </c>
      <c r="C192">
        <v>13.35</v>
      </c>
      <c r="D192">
        <v>13.68</v>
      </c>
      <c r="E192">
        <v>13.89</v>
      </c>
      <c r="F192">
        <v>14.15</v>
      </c>
      <c r="G192">
        <v>14.18</v>
      </c>
      <c r="H192">
        <v>14.29</v>
      </c>
      <c r="I192">
        <v>14.31</v>
      </c>
      <c r="J192">
        <v>14.15</v>
      </c>
      <c r="K192">
        <v>13.1</v>
      </c>
      <c r="L192">
        <v>13.41</v>
      </c>
      <c r="M192">
        <v>13.57</v>
      </c>
      <c r="N192">
        <v>13.73</v>
      </c>
      <c r="O192">
        <v>13.9</v>
      </c>
      <c r="P192">
        <v>14.12</v>
      </c>
      <c r="Q192">
        <v>14.27</v>
      </c>
      <c r="R192">
        <v>14.4</v>
      </c>
      <c r="S192">
        <v>14.75</v>
      </c>
      <c r="T192">
        <v>14.82</v>
      </c>
      <c r="U192">
        <v>14.91</v>
      </c>
      <c r="V192">
        <v>15.03</v>
      </c>
      <c r="W192">
        <v>15.19</v>
      </c>
      <c r="X192">
        <v>15.37</v>
      </c>
      <c r="Y192">
        <v>15.64</v>
      </c>
      <c r="Z192">
        <v>15.88</v>
      </c>
      <c r="AA192">
        <v>16.13</v>
      </c>
      <c r="AB192">
        <v>16.399999999999999</v>
      </c>
      <c r="AC192">
        <v>16.7</v>
      </c>
      <c r="AD192">
        <v>17.010000000000002</v>
      </c>
      <c r="AE192">
        <v>17.329999999999998</v>
      </c>
      <c r="AF192">
        <v>17.66</v>
      </c>
      <c r="AG192">
        <v>17.989999999999998</v>
      </c>
      <c r="AH192">
        <v>18.34</v>
      </c>
      <c r="AI192">
        <v>18.72</v>
      </c>
      <c r="AJ192">
        <v>19.12</v>
      </c>
      <c r="AK192">
        <v>19.579999999999998</v>
      </c>
      <c r="AL192">
        <v>20.03</v>
      </c>
      <c r="AM192">
        <v>20.51</v>
      </c>
      <c r="AN192">
        <v>21.03</v>
      </c>
      <c r="AO192">
        <v>21.68</v>
      </c>
    </row>
    <row r="193" spans="1:41" x14ac:dyDescent="0.25">
      <c r="A193" t="s">
        <v>23</v>
      </c>
      <c r="B193" t="s">
        <v>165</v>
      </c>
      <c r="C193" s="23">
        <v>123.26999999999998</v>
      </c>
      <c r="D193" s="23">
        <v>125.80799999999999</v>
      </c>
      <c r="E193" s="23">
        <v>125.928</v>
      </c>
      <c r="F193" s="23">
        <v>128.83799999999999</v>
      </c>
      <c r="G193" s="23">
        <v>126.498</v>
      </c>
      <c r="H193" s="23">
        <v>129.738</v>
      </c>
      <c r="I193" s="23">
        <v>128.71199999999999</v>
      </c>
      <c r="J193" s="23">
        <v>126.50399999999999</v>
      </c>
      <c r="K193" s="23">
        <v>118.98</v>
      </c>
      <c r="L193" s="23">
        <v>121.03799999999998</v>
      </c>
      <c r="M193" s="23">
        <v>122.64599999999999</v>
      </c>
      <c r="N193" s="23">
        <v>123.93</v>
      </c>
      <c r="O193" s="23">
        <v>125.322</v>
      </c>
      <c r="P193" s="23">
        <v>126.78</v>
      </c>
      <c r="Q193" s="23">
        <v>127.99199999999999</v>
      </c>
      <c r="R193" s="23">
        <v>129.15599999999998</v>
      </c>
      <c r="S193" s="23">
        <v>131.04</v>
      </c>
      <c r="T193" s="23">
        <v>132.066</v>
      </c>
      <c r="U193" s="23">
        <v>132.99599999999998</v>
      </c>
      <c r="V193" s="23">
        <v>134.298</v>
      </c>
      <c r="W193" s="23">
        <v>135.6</v>
      </c>
      <c r="X193" s="23">
        <v>136.94399999999999</v>
      </c>
      <c r="Y193" s="23">
        <v>138.828</v>
      </c>
      <c r="Z193" s="23">
        <v>140.66999999999999</v>
      </c>
      <c r="AA193" s="23">
        <v>142.67399999999998</v>
      </c>
      <c r="AB193" s="23">
        <v>144.61199999999999</v>
      </c>
      <c r="AC193" s="23">
        <v>146.84399999999999</v>
      </c>
      <c r="AD193" s="23">
        <v>149.184</v>
      </c>
      <c r="AE193" s="23">
        <v>151.65</v>
      </c>
      <c r="AF193" s="23">
        <v>154.33799999999999</v>
      </c>
      <c r="AG193" s="23">
        <v>157.03800000000001</v>
      </c>
      <c r="AH193" s="23">
        <v>159.93600000000001</v>
      </c>
      <c r="AI193" s="23">
        <v>163.05599999999998</v>
      </c>
      <c r="AJ193" s="23">
        <v>166.488</v>
      </c>
      <c r="AK193" s="23">
        <v>170.28</v>
      </c>
      <c r="AL193" s="23">
        <v>174.072</v>
      </c>
      <c r="AM193" s="23">
        <v>178.14</v>
      </c>
      <c r="AN193" s="23">
        <v>182.57400000000001</v>
      </c>
      <c r="AO193" s="23">
        <v>188.22599999999997</v>
      </c>
    </row>
    <row r="194" spans="1:41" x14ac:dyDescent="0.25">
      <c r="A194" t="s">
        <v>28</v>
      </c>
      <c r="B194" t="s">
        <v>166</v>
      </c>
      <c r="C194">
        <v>14.11</v>
      </c>
      <c r="D194">
        <v>14.44</v>
      </c>
      <c r="E194">
        <v>14.65</v>
      </c>
      <c r="F194">
        <v>14.76</v>
      </c>
      <c r="G194">
        <v>14.92</v>
      </c>
      <c r="H194">
        <v>15.1</v>
      </c>
      <c r="I194">
        <v>15.25</v>
      </c>
      <c r="J194">
        <v>15.19</v>
      </c>
      <c r="K194">
        <v>14.04</v>
      </c>
      <c r="L194">
        <v>14.38</v>
      </c>
      <c r="M194">
        <v>14.69</v>
      </c>
      <c r="N194">
        <v>14.97</v>
      </c>
      <c r="O194">
        <v>15.29</v>
      </c>
      <c r="P194">
        <v>15.6</v>
      </c>
      <c r="Q194">
        <v>15.92</v>
      </c>
      <c r="R194">
        <v>16.239999999999998</v>
      </c>
      <c r="S194">
        <v>16.46</v>
      </c>
      <c r="T194">
        <v>16.8</v>
      </c>
      <c r="U194">
        <v>17.170000000000002</v>
      </c>
      <c r="V194">
        <v>17.61</v>
      </c>
      <c r="W194">
        <v>18.079999999999998</v>
      </c>
      <c r="X194">
        <v>18.579999999999998</v>
      </c>
      <c r="Y194">
        <v>19.100000000000001</v>
      </c>
      <c r="Z194">
        <v>19.61</v>
      </c>
      <c r="AA194">
        <v>20.149999999999999</v>
      </c>
      <c r="AB194">
        <v>20.71</v>
      </c>
      <c r="AC194">
        <v>21.29</v>
      </c>
      <c r="AD194">
        <v>21.89</v>
      </c>
      <c r="AE194">
        <v>22.5</v>
      </c>
      <c r="AF194">
        <v>23.19</v>
      </c>
      <c r="AG194">
        <v>23.88</v>
      </c>
      <c r="AH194">
        <v>24.59</v>
      </c>
      <c r="AI194">
        <v>25.33</v>
      </c>
      <c r="AJ194">
        <v>26.13</v>
      </c>
      <c r="AK194">
        <v>26.98</v>
      </c>
      <c r="AL194">
        <v>27.82</v>
      </c>
      <c r="AM194">
        <v>28.69</v>
      </c>
      <c r="AN194">
        <v>29.62</v>
      </c>
      <c r="AO194">
        <v>30.75</v>
      </c>
    </row>
    <row r="195" spans="1:41" x14ac:dyDescent="0.25">
      <c r="A195" t="s">
        <v>33</v>
      </c>
      <c r="B195" t="s">
        <v>167</v>
      </c>
      <c r="C195">
        <v>21.15</v>
      </c>
      <c r="D195">
        <v>22.36</v>
      </c>
      <c r="E195">
        <v>23.93</v>
      </c>
      <c r="F195">
        <v>24.86</v>
      </c>
      <c r="G195">
        <v>25.68</v>
      </c>
      <c r="H195">
        <v>27.65</v>
      </c>
      <c r="I195">
        <v>29.64</v>
      </c>
      <c r="J195">
        <v>30.75</v>
      </c>
      <c r="K195">
        <v>30.26</v>
      </c>
      <c r="L195">
        <v>31.64</v>
      </c>
      <c r="M195">
        <v>33.06</v>
      </c>
      <c r="N195">
        <v>34.409999999999997</v>
      </c>
      <c r="O195">
        <v>36.049999999999997</v>
      </c>
      <c r="P195">
        <v>37.840000000000003</v>
      </c>
      <c r="Q195">
        <v>39.71</v>
      </c>
      <c r="R195">
        <v>41.68</v>
      </c>
      <c r="S195">
        <v>44.08</v>
      </c>
      <c r="T195">
        <v>46.58</v>
      </c>
      <c r="U195">
        <v>49.3</v>
      </c>
      <c r="V195">
        <v>52.42</v>
      </c>
      <c r="W195">
        <v>55.71</v>
      </c>
      <c r="X195">
        <v>59.21</v>
      </c>
      <c r="Y195">
        <v>63.34</v>
      </c>
      <c r="Z195">
        <v>67.680000000000007</v>
      </c>
      <c r="AA195">
        <v>72.56</v>
      </c>
      <c r="AB195">
        <v>77.790000000000006</v>
      </c>
      <c r="AC195">
        <v>83.35</v>
      </c>
      <c r="AD195">
        <v>89.31</v>
      </c>
      <c r="AE195">
        <v>95.69</v>
      </c>
      <c r="AF195">
        <v>102.28</v>
      </c>
      <c r="AG195">
        <v>108.82</v>
      </c>
      <c r="AH195">
        <v>115.61</v>
      </c>
      <c r="AI195">
        <v>122.69</v>
      </c>
      <c r="AJ195">
        <v>130.12</v>
      </c>
      <c r="AK195">
        <v>137.75</v>
      </c>
      <c r="AL195">
        <v>145.12</v>
      </c>
      <c r="AM195">
        <v>152.74</v>
      </c>
      <c r="AN195">
        <v>160.78</v>
      </c>
      <c r="AO195">
        <v>170.59</v>
      </c>
    </row>
    <row r="196" spans="1:41" x14ac:dyDescent="0.25">
      <c r="A196" t="s">
        <v>30</v>
      </c>
      <c r="B196" t="s">
        <v>168</v>
      </c>
      <c r="C196">
        <v>10.11</v>
      </c>
      <c r="D196">
        <v>8.49</v>
      </c>
      <c r="E196">
        <v>7.76</v>
      </c>
      <c r="F196">
        <v>7.88</v>
      </c>
      <c r="G196">
        <v>7.62</v>
      </c>
      <c r="H196">
        <v>7.28</v>
      </c>
      <c r="I196">
        <v>7.09</v>
      </c>
      <c r="J196">
        <v>6.72</v>
      </c>
      <c r="K196">
        <v>6.04</v>
      </c>
      <c r="L196">
        <v>6.26</v>
      </c>
      <c r="M196">
        <v>6.38</v>
      </c>
      <c r="N196">
        <v>6.46</v>
      </c>
      <c r="O196">
        <v>6.53</v>
      </c>
      <c r="P196">
        <v>6.63</v>
      </c>
      <c r="Q196">
        <v>6.71</v>
      </c>
      <c r="R196">
        <v>6.74</v>
      </c>
      <c r="S196">
        <v>7.03</v>
      </c>
      <c r="T196">
        <v>7.04</v>
      </c>
      <c r="U196">
        <v>7.01</v>
      </c>
      <c r="V196">
        <v>6.93</v>
      </c>
      <c r="W196">
        <v>6.88</v>
      </c>
      <c r="X196">
        <v>6.81</v>
      </c>
      <c r="Y196">
        <v>6.81</v>
      </c>
      <c r="Z196">
        <v>6.82</v>
      </c>
      <c r="AA196">
        <v>6.82</v>
      </c>
      <c r="AB196">
        <v>6.76</v>
      </c>
      <c r="AC196">
        <v>6.71</v>
      </c>
      <c r="AD196">
        <v>6.66</v>
      </c>
      <c r="AE196">
        <v>6.61</v>
      </c>
      <c r="AF196">
        <v>6.58</v>
      </c>
      <c r="AG196">
        <v>6.55</v>
      </c>
      <c r="AH196">
        <v>6.53</v>
      </c>
      <c r="AI196">
        <v>6.52</v>
      </c>
      <c r="AJ196">
        <v>6.53</v>
      </c>
      <c r="AK196">
        <v>6.59</v>
      </c>
      <c r="AL196">
        <v>6.65</v>
      </c>
      <c r="AM196">
        <v>6.73</v>
      </c>
      <c r="AN196">
        <v>6.83</v>
      </c>
      <c r="AO196">
        <v>6.99</v>
      </c>
    </row>
    <row r="197" spans="1:41" x14ac:dyDescent="0.25">
      <c r="A197" t="s">
        <v>26</v>
      </c>
      <c r="B197" t="s">
        <v>169</v>
      </c>
      <c r="C197">
        <v>17.78</v>
      </c>
      <c r="D197">
        <v>18.170000000000002</v>
      </c>
      <c r="E197">
        <v>18.57</v>
      </c>
      <c r="F197">
        <v>18.72</v>
      </c>
      <c r="G197">
        <v>19.07</v>
      </c>
      <c r="H197">
        <v>19.21</v>
      </c>
      <c r="I197">
        <v>19.559999999999999</v>
      </c>
      <c r="J197">
        <v>19.57</v>
      </c>
      <c r="K197">
        <v>18.440000000000001</v>
      </c>
      <c r="L197">
        <v>18.899999999999999</v>
      </c>
      <c r="M197">
        <v>19.3</v>
      </c>
      <c r="N197">
        <v>19.66</v>
      </c>
      <c r="O197">
        <v>20.07</v>
      </c>
      <c r="P197">
        <v>20.49</v>
      </c>
      <c r="Q197">
        <v>20.88</v>
      </c>
      <c r="R197">
        <v>21.27</v>
      </c>
      <c r="S197">
        <v>21.67</v>
      </c>
      <c r="T197">
        <v>22.05</v>
      </c>
      <c r="U197">
        <v>22.47</v>
      </c>
      <c r="V197">
        <v>22.99</v>
      </c>
      <c r="W197">
        <v>23.54</v>
      </c>
      <c r="X197">
        <v>24.14</v>
      </c>
      <c r="Y197">
        <v>24.83</v>
      </c>
      <c r="Z197">
        <v>25.51</v>
      </c>
      <c r="AA197">
        <v>26.23</v>
      </c>
      <c r="AB197">
        <v>26.97</v>
      </c>
      <c r="AC197">
        <v>27.74</v>
      </c>
      <c r="AD197">
        <v>28.55</v>
      </c>
      <c r="AE197">
        <v>29.38</v>
      </c>
      <c r="AF197">
        <v>30.27</v>
      </c>
      <c r="AG197">
        <v>31.15</v>
      </c>
      <c r="AH197">
        <v>32.07</v>
      </c>
      <c r="AI197">
        <v>33.03</v>
      </c>
      <c r="AJ197">
        <v>34.06</v>
      </c>
      <c r="AK197">
        <v>35.14</v>
      </c>
      <c r="AL197">
        <v>36.200000000000003</v>
      </c>
      <c r="AM197">
        <v>37.31</v>
      </c>
      <c r="AN197">
        <v>38.479999999999997</v>
      </c>
      <c r="AO197">
        <v>39.92</v>
      </c>
    </row>
    <row r="198" spans="1:41" x14ac:dyDescent="0.25">
      <c r="A198" t="s">
        <v>36</v>
      </c>
      <c r="B198" t="s">
        <v>170</v>
      </c>
      <c r="C198">
        <v>1.1399999999999999</v>
      </c>
      <c r="D198">
        <v>1.1499999999999999</v>
      </c>
      <c r="E198">
        <v>1.1299999999999999</v>
      </c>
      <c r="F198">
        <v>1.1200000000000001</v>
      </c>
      <c r="G198">
        <v>1.1200000000000001</v>
      </c>
      <c r="H198">
        <v>1.1299999999999999</v>
      </c>
      <c r="I198">
        <v>1.1000000000000001</v>
      </c>
      <c r="J198">
        <v>1.07</v>
      </c>
      <c r="K198">
        <v>0.94</v>
      </c>
      <c r="L198">
        <v>0.94</v>
      </c>
      <c r="M198">
        <v>0.95</v>
      </c>
      <c r="N198">
        <v>0.97</v>
      </c>
      <c r="O198">
        <v>0.98</v>
      </c>
      <c r="P198">
        <v>1</v>
      </c>
      <c r="Q198">
        <v>1.02</v>
      </c>
      <c r="R198">
        <v>1.04</v>
      </c>
      <c r="S198">
        <v>1.05</v>
      </c>
      <c r="T198">
        <v>1.06</v>
      </c>
      <c r="U198">
        <v>1.0900000000000001</v>
      </c>
      <c r="V198">
        <v>1.1200000000000001</v>
      </c>
      <c r="W198">
        <v>1.1599999999999999</v>
      </c>
      <c r="X198">
        <v>1.2</v>
      </c>
      <c r="Y198">
        <v>1.25</v>
      </c>
      <c r="Z198">
        <v>1.29</v>
      </c>
      <c r="AA198">
        <v>1.34</v>
      </c>
      <c r="AB198">
        <v>1.4</v>
      </c>
      <c r="AC198">
        <v>1.46</v>
      </c>
      <c r="AD198">
        <v>1.52</v>
      </c>
      <c r="AE198">
        <v>1.59</v>
      </c>
      <c r="AF198">
        <v>1.67</v>
      </c>
      <c r="AG198">
        <v>1.74</v>
      </c>
      <c r="AH198">
        <v>1.83</v>
      </c>
      <c r="AI198">
        <v>1.92</v>
      </c>
      <c r="AJ198">
        <v>2.02</v>
      </c>
      <c r="AK198">
        <v>2.13</v>
      </c>
      <c r="AL198">
        <v>2.25</v>
      </c>
      <c r="AM198">
        <v>2.38</v>
      </c>
      <c r="AN198">
        <v>2.5099999999999998</v>
      </c>
      <c r="AO198">
        <v>2.67</v>
      </c>
    </row>
    <row r="199" spans="1:41" x14ac:dyDescent="0.25">
      <c r="A199" t="s">
        <v>151</v>
      </c>
      <c r="B199" t="s">
        <v>177</v>
      </c>
      <c r="C199">
        <v>82.18</v>
      </c>
      <c r="D199">
        <v>83.872000000000014</v>
      </c>
      <c r="E199">
        <v>83.951999999999998</v>
      </c>
      <c r="F199">
        <v>85.891999999999996</v>
      </c>
      <c r="G199">
        <v>84.332000000000008</v>
      </c>
      <c r="H199">
        <v>86.492000000000004</v>
      </c>
      <c r="I199">
        <v>85.808000000000007</v>
      </c>
      <c r="J199">
        <v>84.336000000000013</v>
      </c>
      <c r="K199">
        <v>79.320000000000007</v>
      </c>
      <c r="L199">
        <v>80.692000000000007</v>
      </c>
      <c r="M199">
        <v>81.76400000000001</v>
      </c>
      <c r="N199">
        <v>82.62</v>
      </c>
      <c r="O199">
        <v>83.548000000000002</v>
      </c>
      <c r="P199">
        <v>84.52000000000001</v>
      </c>
      <c r="Q199">
        <v>85.328000000000003</v>
      </c>
      <c r="R199">
        <v>86.103999999999999</v>
      </c>
      <c r="S199">
        <v>87.360000000000014</v>
      </c>
      <c r="T199">
        <v>88.044000000000011</v>
      </c>
      <c r="U199">
        <v>88.664000000000001</v>
      </c>
      <c r="V199">
        <v>89.532000000000011</v>
      </c>
      <c r="W199">
        <v>90.4</v>
      </c>
      <c r="X199">
        <v>91.296000000000006</v>
      </c>
      <c r="Y199">
        <v>92.552000000000007</v>
      </c>
      <c r="Z199">
        <v>93.78</v>
      </c>
      <c r="AA199">
        <v>95.116</v>
      </c>
      <c r="AB199">
        <v>96.408000000000015</v>
      </c>
      <c r="AC199">
        <v>97.896000000000015</v>
      </c>
      <c r="AD199">
        <v>99.456000000000003</v>
      </c>
      <c r="AE199">
        <v>101.10000000000001</v>
      </c>
      <c r="AF199">
        <v>102.89200000000001</v>
      </c>
      <c r="AG199">
        <v>104.69200000000001</v>
      </c>
      <c r="AH199">
        <v>106.62400000000001</v>
      </c>
      <c r="AI199">
        <v>108.70400000000001</v>
      </c>
      <c r="AJ199">
        <v>110.99200000000002</v>
      </c>
      <c r="AK199">
        <v>113.52000000000001</v>
      </c>
      <c r="AL199">
        <v>116.048</v>
      </c>
      <c r="AM199">
        <v>118.75999999999999</v>
      </c>
      <c r="AN199">
        <v>121.71600000000001</v>
      </c>
      <c r="AO199">
        <v>125.48399999999999</v>
      </c>
    </row>
    <row r="200" spans="1:41" x14ac:dyDescent="0.25">
      <c r="A200" t="s">
        <v>31</v>
      </c>
      <c r="B200" t="s">
        <v>31</v>
      </c>
    </row>
    <row r="202" spans="1:41" x14ac:dyDescent="0.25">
      <c r="C202" s="13"/>
    </row>
    <row r="203" spans="1:41" x14ac:dyDescent="0.25">
      <c r="B203" t="s">
        <v>178</v>
      </c>
      <c r="C203" s="13" t="s">
        <v>178</v>
      </c>
      <c r="D203" t="s">
        <v>178</v>
      </c>
      <c r="E203" t="s">
        <v>178</v>
      </c>
      <c r="F203" t="s">
        <v>178</v>
      </c>
      <c r="G203" t="s">
        <v>178</v>
      </c>
      <c r="H203" t="s">
        <v>178</v>
      </c>
      <c r="I203" t="s">
        <v>178</v>
      </c>
      <c r="J203" t="s">
        <v>178</v>
      </c>
      <c r="K203" t="s">
        <v>178</v>
      </c>
      <c r="L203" t="s">
        <v>178</v>
      </c>
      <c r="M203" t="s">
        <v>178</v>
      </c>
      <c r="N203" t="s">
        <v>178</v>
      </c>
      <c r="O203" t="s">
        <v>178</v>
      </c>
      <c r="P203" t="s">
        <v>178</v>
      </c>
      <c r="Q203" t="s">
        <v>178</v>
      </c>
      <c r="R203" t="s">
        <v>178</v>
      </c>
      <c r="S203" t="s">
        <v>178</v>
      </c>
      <c r="T203" t="s">
        <v>178</v>
      </c>
      <c r="U203" t="s">
        <v>178</v>
      </c>
      <c r="V203" t="s">
        <v>178</v>
      </c>
      <c r="W203" t="s">
        <v>178</v>
      </c>
      <c r="X203" t="s">
        <v>178</v>
      </c>
      <c r="Y203" t="s">
        <v>178</v>
      </c>
      <c r="Z203" t="s">
        <v>178</v>
      </c>
      <c r="AA203" t="s">
        <v>178</v>
      </c>
      <c r="AB203" t="s">
        <v>178</v>
      </c>
      <c r="AC203" t="s">
        <v>178</v>
      </c>
      <c r="AD203" t="s">
        <v>178</v>
      </c>
      <c r="AE203" t="s">
        <v>178</v>
      </c>
      <c r="AF203" t="s">
        <v>178</v>
      </c>
      <c r="AG203" t="s">
        <v>178</v>
      </c>
      <c r="AH203" t="s">
        <v>178</v>
      </c>
      <c r="AI203" t="s">
        <v>178</v>
      </c>
      <c r="AJ203" t="s">
        <v>178</v>
      </c>
      <c r="AK203" t="s">
        <v>178</v>
      </c>
      <c r="AL203" t="s">
        <v>178</v>
      </c>
      <c r="AM203" t="s">
        <v>178</v>
      </c>
      <c r="AN203" t="s">
        <v>178</v>
      </c>
    </row>
    <row r="204" spans="1:41" x14ac:dyDescent="0.25">
      <c r="B204" t="s">
        <v>172</v>
      </c>
      <c r="C204" s="13" t="s">
        <v>172</v>
      </c>
      <c r="D204" t="s">
        <v>172</v>
      </c>
      <c r="E204" t="s">
        <v>172</v>
      </c>
      <c r="F204" t="s">
        <v>172</v>
      </c>
      <c r="G204" t="s">
        <v>172</v>
      </c>
      <c r="H204" t="s">
        <v>172</v>
      </c>
      <c r="I204" t="s">
        <v>172</v>
      </c>
      <c r="J204" t="s">
        <v>172</v>
      </c>
      <c r="K204" t="s">
        <v>172</v>
      </c>
      <c r="L204" t="s">
        <v>172</v>
      </c>
      <c r="M204" t="s">
        <v>172</v>
      </c>
      <c r="N204" t="s">
        <v>172</v>
      </c>
      <c r="O204" t="s">
        <v>172</v>
      </c>
      <c r="P204" t="s">
        <v>172</v>
      </c>
      <c r="Q204" t="s">
        <v>172</v>
      </c>
      <c r="R204" t="s">
        <v>172</v>
      </c>
      <c r="S204" t="s">
        <v>172</v>
      </c>
      <c r="T204" t="s">
        <v>172</v>
      </c>
      <c r="U204" t="s">
        <v>172</v>
      </c>
      <c r="V204" t="s">
        <v>172</v>
      </c>
      <c r="W204" t="s">
        <v>172</v>
      </c>
      <c r="X204" t="s">
        <v>172</v>
      </c>
      <c r="Y204" t="s">
        <v>172</v>
      </c>
      <c r="Z204" t="s">
        <v>172</v>
      </c>
      <c r="AA204" t="s">
        <v>172</v>
      </c>
      <c r="AB204" t="s">
        <v>172</v>
      </c>
      <c r="AC204" t="s">
        <v>172</v>
      </c>
      <c r="AD204" t="s">
        <v>172</v>
      </c>
      <c r="AE204" t="s">
        <v>172</v>
      </c>
      <c r="AF204" t="s">
        <v>172</v>
      </c>
      <c r="AG204" t="s">
        <v>172</v>
      </c>
      <c r="AH204" t="s">
        <v>172</v>
      </c>
      <c r="AI204" t="s">
        <v>172</v>
      </c>
      <c r="AJ204" t="s">
        <v>172</v>
      </c>
      <c r="AK204" t="s">
        <v>172</v>
      </c>
      <c r="AL204" t="s">
        <v>172</v>
      </c>
      <c r="AM204" t="s">
        <v>172</v>
      </c>
      <c r="AN204" t="s">
        <v>172</v>
      </c>
    </row>
    <row r="205" spans="1:41" x14ac:dyDescent="0.25">
      <c r="A205" t="s">
        <v>179</v>
      </c>
      <c r="B205">
        <v>2012</v>
      </c>
      <c r="C205" s="13">
        <v>2013</v>
      </c>
      <c r="D205">
        <v>2014</v>
      </c>
      <c r="E205">
        <v>2015</v>
      </c>
      <c r="F205">
        <v>2016</v>
      </c>
      <c r="G205">
        <v>2017</v>
      </c>
      <c r="H205">
        <v>2018</v>
      </c>
      <c r="I205">
        <v>2019</v>
      </c>
      <c r="J205">
        <v>2020</v>
      </c>
      <c r="K205">
        <v>2021</v>
      </c>
      <c r="L205">
        <v>2022</v>
      </c>
      <c r="M205">
        <v>2023</v>
      </c>
      <c r="N205">
        <v>2024</v>
      </c>
      <c r="O205">
        <v>2025</v>
      </c>
      <c r="P205">
        <v>2026</v>
      </c>
      <c r="Q205">
        <v>2027</v>
      </c>
      <c r="R205">
        <v>2028</v>
      </c>
      <c r="S205">
        <v>2029</v>
      </c>
      <c r="T205">
        <v>2030</v>
      </c>
      <c r="U205">
        <v>2031</v>
      </c>
      <c r="V205">
        <v>2032</v>
      </c>
      <c r="W205">
        <v>2033</v>
      </c>
      <c r="X205">
        <v>2034</v>
      </c>
      <c r="Y205">
        <v>2035</v>
      </c>
      <c r="Z205">
        <v>2036</v>
      </c>
      <c r="AA205">
        <v>2037</v>
      </c>
      <c r="AB205">
        <v>2038</v>
      </c>
      <c r="AC205">
        <v>2039</v>
      </c>
      <c r="AD205">
        <v>2040</v>
      </c>
      <c r="AE205">
        <v>2041</v>
      </c>
      <c r="AF205">
        <v>2042</v>
      </c>
      <c r="AG205">
        <v>2043</v>
      </c>
      <c r="AH205">
        <v>2044</v>
      </c>
      <c r="AI205">
        <v>2045</v>
      </c>
      <c r="AJ205">
        <v>2046</v>
      </c>
      <c r="AK205">
        <v>2047</v>
      </c>
      <c r="AL205">
        <v>2048</v>
      </c>
      <c r="AM205">
        <v>2049</v>
      </c>
      <c r="AN205">
        <v>2050</v>
      </c>
    </row>
    <row r="206" spans="1:41" x14ac:dyDescent="0.25">
      <c r="A206" t="s">
        <v>180</v>
      </c>
      <c r="B206" s="13">
        <v>0.2</v>
      </c>
      <c r="C206" s="13">
        <v>0.20899999999999999</v>
      </c>
      <c r="D206" s="13">
        <v>0.215</v>
      </c>
      <c r="E206" s="13">
        <v>0.217</v>
      </c>
      <c r="F206" s="13">
        <v>0.2172</v>
      </c>
      <c r="G206" s="13">
        <v>0.2223</v>
      </c>
      <c r="H206" s="13">
        <v>0.22309999999999999</v>
      </c>
      <c r="I206" s="13">
        <v>0.21759999999999999</v>
      </c>
      <c r="J206" s="13">
        <v>0.2</v>
      </c>
      <c r="K206" s="13">
        <v>0.2</v>
      </c>
      <c r="L206" s="13">
        <v>0.2</v>
      </c>
      <c r="M206" s="13">
        <v>0.2</v>
      </c>
      <c r="N206" s="13">
        <v>0.20230000000000001</v>
      </c>
      <c r="O206" s="13">
        <v>0.20630000000000001</v>
      </c>
      <c r="P206" s="13">
        <v>0.21179999999999999</v>
      </c>
      <c r="Q206" s="13">
        <v>0.2162</v>
      </c>
      <c r="R206" s="13">
        <v>0.21790000000000001</v>
      </c>
      <c r="S206" s="13">
        <v>0.22359999999999999</v>
      </c>
      <c r="T206" s="13">
        <v>0.22939999999999999</v>
      </c>
      <c r="U206" s="13">
        <v>0.23619999999999999</v>
      </c>
      <c r="V206" s="13">
        <v>0.2432</v>
      </c>
      <c r="W206" s="13">
        <v>0.24990000000000001</v>
      </c>
      <c r="X206" s="13">
        <v>0.25719999999999998</v>
      </c>
      <c r="Y206" s="13">
        <v>0.26390000000000002</v>
      </c>
      <c r="Z206" s="13">
        <v>0.2712</v>
      </c>
      <c r="AA206" s="13">
        <v>0.27889999999999998</v>
      </c>
      <c r="AB206" s="13">
        <v>0.28599999999999998</v>
      </c>
      <c r="AC206" s="13">
        <v>0.29310000000000003</v>
      </c>
      <c r="AD206" s="13">
        <v>0.30020000000000002</v>
      </c>
      <c r="AE206" s="13">
        <v>0.30719999999999997</v>
      </c>
      <c r="AF206" s="13">
        <v>0.3135</v>
      </c>
      <c r="AG206" s="13">
        <v>0.31990000000000002</v>
      </c>
      <c r="AH206" s="13">
        <v>0.32629999999999998</v>
      </c>
      <c r="AI206" s="13">
        <v>0.33289999999999997</v>
      </c>
      <c r="AJ206" s="13">
        <v>0.33960000000000001</v>
      </c>
      <c r="AK206" s="13">
        <v>0.34549999999999997</v>
      </c>
      <c r="AL206" s="13">
        <v>0.35139999999999999</v>
      </c>
      <c r="AM206" s="13">
        <v>0.35749999999999998</v>
      </c>
      <c r="AN206" s="13">
        <v>0.36499999999999999</v>
      </c>
    </row>
    <row r="207" spans="1:41" x14ac:dyDescent="0.25">
      <c r="A207" t="s">
        <v>181</v>
      </c>
      <c r="B207" s="13">
        <v>0.3</v>
      </c>
      <c r="C207" s="13">
        <v>0.29570000000000002</v>
      </c>
      <c r="D207" s="13">
        <v>0.29930000000000001</v>
      </c>
      <c r="E207" s="13">
        <v>0.3029</v>
      </c>
      <c r="F207" s="13">
        <v>0.3044</v>
      </c>
      <c r="G207" s="13">
        <v>0.30480000000000002</v>
      </c>
      <c r="H207" s="13">
        <v>0.30819999999999997</v>
      </c>
      <c r="I207" s="13">
        <v>0.31109999999999999</v>
      </c>
      <c r="J207" s="13">
        <v>0.31140000000000001</v>
      </c>
      <c r="K207" s="13">
        <v>0.29730000000000001</v>
      </c>
      <c r="L207" s="13">
        <v>0.30199999999999999</v>
      </c>
      <c r="M207" s="13">
        <v>0.30640000000000001</v>
      </c>
      <c r="N207" s="13">
        <v>0.30940000000000001</v>
      </c>
      <c r="O207" s="13">
        <v>0.3115</v>
      </c>
      <c r="P207" s="13">
        <v>0.313</v>
      </c>
      <c r="Q207" s="13">
        <v>0.31540000000000001</v>
      </c>
      <c r="R207" s="13">
        <v>0.3175</v>
      </c>
      <c r="S207" s="13">
        <v>0.31859999999999999</v>
      </c>
      <c r="T207" s="13">
        <v>0.32069999999999999</v>
      </c>
      <c r="U207" s="13">
        <v>0.32240000000000002</v>
      </c>
      <c r="V207" s="13">
        <v>0.32469999999999999</v>
      </c>
      <c r="W207" s="13">
        <v>0.32690000000000002</v>
      </c>
      <c r="X207" s="13">
        <v>0.32890000000000003</v>
      </c>
      <c r="Y207" s="13">
        <v>0.33139999999999997</v>
      </c>
      <c r="Z207" s="13">
        <v>0.33339999999999997</v>
      </c>
      <c r="AA207" s="13">
        <v>0.33560000000000001</v>
      </c>
      <c r="AB207" s="13">
        <v>0.33800000000000002</v>
      </c>
      <c r="AC207" s="13">
        <v>0.34010000000000001</v>
      </c>
      <c r="AD207" s="13">
        <v>0.3422</v>
      </c>
      <c r="AE207" s="13">
        <v>0.34439999999999998</v>
      </c>
      <c r="AF207" s="13">
        <v>0.34649999999999997</v>
      </c>
      <c r="AG207" s="13">
        <v>0.34839999999999999</v>
      </c>
      <c r="AH207" s="13">
        <v>0.35020000000000001</v>
      </c>
      <c r="AI207" s="13">
        <v>0.35189999999999999</v>
      </c>
      <c r="AJ207" s="13">
        <v>0.35370000000000001</v>
      </c>
      <c r="AK207" s="13">
        <v>0.35560000000000003</v>
      </c>
      <c r="AL207" s="13">
        <v>0.35720000000000002</v>
      </c>
      <c r="AM207" s="13">
        <v>0.35859999999999997</v>
      </c>
      <c r="AN207" s="13">
        <v>0.35959999999999998</v>
      </c>
    </row>
    <row r="208" spans="1:41" x14ac:dyDescent="0.25">
      <c r="A208" t="s">
        <v>182</v>
      </c>
      <c r="B208" s="13">
        <v>0.5</v>
      </c>
      <c r="C208" s="13">
        <v>0.49530000000000002</v>
      </c>
      <c r="D208" s="13">
        <v>0.48570000000000002</v>
      </c>
      <c r="E208" s="13">
        <v>0.48010000000000003</v>
      </c>
      <c r="F208" s="13">
        <v>0.4783</v>
      </c>
      <c r="G208" s="13">
        <v>0.47289999999999999</v>
      </c>
      <c r="H208" s="13">
        <v>0.46870000000000001</v>
      </c>
      <c r="I208" s="13">
        <v>0.47139999999999999</v>
      </c>
      <c r="J208" s="13">
        <v>0.48859999999999998</v>
      </c>
      <c r="K208" s="13">
        <v>0.50270000000000004</v>
      </c>
      <c r="L208" s="13">
        <v>0.498</v>
      </c>
      <c r="M208" s="13">
        <v>0.49359999999999998</v>
      </c>
      <c r="N208" s="13">
        <v>0.48820000000000002</v>
      </c>
      <c r="O208" s="13">
        <v>0.48220000000000002</v>
      </c>
      <c r="P208" s="13">
        <v>0.47520000000000001</v>
      </c>
      <c r="Q208" s="13">
        <v>0.46839999999999998</v>
      </c>
      <c r="R208" s="13">
        <v>0.4647</v>
      </c>
      <c r="S208" s="13">
        <v>0.45779999999999998</v>
      </c>
      <c r="T208" s="13">
        <v>0.44979999999999998</v>
      </c>
      <c r="U208" s="13">
        <v>0.44130000000000003</v>
      </c>
      <c r="V208" s="13">
        <v>0.43219999999999997</v>
      </c>
      <c r="W208" s="13">
        <v>0.42320000000000002</v>
      </c>
      <c r="X208" s="13">
        <v>0.4138</v>
      </c>
      <c r="Y208" s="13">
        <v>0.40460000000000002</v>
      </c>
      <c r="Z208" s="13">
        <v>0.39539999999999997</v>
      </c>
      <c r="AA208" s="13">
        <v>0.38550000000000001</v>
      </c>
      <c r="AB208" s="13">
        <v>0.37590000000000001</v>
      </c>
      <c r="AC208" s="13">
        <v>0.36670000000000003</v>
      </c>
      <c r="AD208" s="13">
        <v>0.35759999999999997</v>
      </c>
      <c r="AE208" s="13">
        <v>0.34839999999999999</v>
      </c>
      <c r="AF208" s="13">
        <v>0.33989999999999998</v>
      </c>
      <c r="AG208" s="13">
        <v>0.33169999999999999</v>
      </c>
      <c r="AH208" s="13">
        <v>0.32350000000000001</v>
      </c>
      <c r="AI208" s="13">
        <v>0.31519999999999998</v>
      </c>
      <c r="AJ208" s="13">
        <v>0.30669999999999997</v>
      </c>
      <c r="AK208" s="13">
        <v>0.2989</v>
      </c>
      <c r="AL208" s="13">
        <v>0.29149999999999998</v>
      </c>
      <c r="AM208" s="13">
        <v>0.28389999999999999</v>
      </c>
      <c r="AN208" s="13">
        <v>0.27539999999999998</v>
      </c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  <c r="D227" s="23"/>
    </row>
    <row r="228" spans="3:4" x14ac:dyDescent="0.25">
      <c r="C228" s="13"/>
      <c r="D228" s="23"/>
    </row>
    <row r="229" spans="3:4" x14ac:dyDescent="0.25">
      <c r="C229" s="13"/>
      <c r="D229" s="23"/>
    </row>
    <row r="230" spans="3:4" x14ac:dyDescent="0.25">
      <c r="C230" s="13"/>
      <c r="D230" s="23"/>
    </row>
    <row r="231" spans="3:4" x14ac:dyDescent="0.25">
      <c r="C231" s="13"/>
      <c r="D231" s="23"/>
    </row>
    <row r="232" spans="3:4" x14ac:dyDescent="0.25">
      <c r="C232" s="13"/>
      <c r="D232" s="23"/>
    </row>
    <row r="233" spans="3:4" x14ac:dyDescent="0.25">
      <c r="C233" s="13"/>
      <c r="D233" s="23"/>
    </row>
    <row r="234" spans="3:4" x14ac:dyDescent="0.25">
      <c r="C234" s="13"/>
      <c r="D234" s="23"/>
    </row>
    <row r="235" spans="3:4" x14ac:dyDescent="0.25">
      <c r="C235" s="13"/>
      <c r="D235" s="23"/>
    </row>
    <row r="236" spans="3:4" x14ac:dyDescent="0.25">
      <c r="C236" s="13"/>
      <c r="D236" s="23"/>
    </row>
    <row r="237" spans="3:4" x14ac:dyDescent="0.25">
      <c r="C237" s="13"/>
      <c r="D237" s="23"/>
    </row>
    <row r="238" spans="3:4" x14ac:dyDescent="0.25">
      <c r="C238" s="13"/>
      <c r="D238" s="23"/>
    </row>
    <row r="239" spans="3:4" x14ac:dyDescent="0.25">
      <c r="C239" s="13"/>
      <c r="D239" s="23"/>
    </row>
    <row r="240" spans="3:4" x14ac:dyDescent="0.25">
      <c r="C240" s="13"/>
      <c r="D240" s="23"/>
    </row>
    <row r="241" spans="3:4" x14ac:dyDescent="0.25">
      <c r="C241" s="13"/>
      <c r="D241" s="23"/>
    </row>
    <row r="242" spans="3:4" x14ac:dyDescent="0.25">
      <c r="C242" s="13"/>
      <c r="D242" s="23"/>
    </row>
    <row r="243" spans="3:4" x14ac:dyDescent="0.25">
      <c r="C243" s="13"/>
      <c r="D243" s="23"/>
    </row>
    <row r="244" spans="3:4" x14ac:dyDescent="0.25">
      <c r="C244" s="13"/>
      <c r="D244" s="23"/>
    </row>
    <row r="245" spans="3:4" x14ac:dyDescent="0.25">
      <c r="C245" s="13"/>
      <c r="D245" s="23"/>
    </row>
    <row r="246" spans="3:4" x14ac:dyDescent="0.25">
      <c r="C246" s="13"/>
      <c r="D246" s="23"/>
    </row>
    <row r="247" spans="3:4" x14ac:dyDescent="0.25">
      <c r="C247" s="13"/>
      <c r="D247" s="23"/>
    </row>
    <row r="248" spans="3:4" x14ac:dyDescent="0.25">
      <c r="C248" s="13"/>
      <c r="D248" s="23"/>
    </row>
    <row r="249" spans="3:4" x14ac:dyDescent="0.25">
      <c r="C249" s="13"/>
      <c r="D249" s="23"/>
    </row>
    <row r="250" spans="3:4" x14ac:dyDescent="0.25">
      <c r="C250" s="13"/>
      <c r="D250" s="23"/>
    </row>
    <row r="251" spans="3:4" x14ac:dyDescent="0.25">
      <c r="C251" s="13"/>
      <c r="D251" s="23"/>
    </row>
    <row r="252" spans="3:4" x14ac:dyDescent="0.25">
      <c r="C252" s="13"/>
      <c r="D252" s="23"/>
    </row>
    <row r="253" spans="3:4" x14ac:dyDescent="0.25">
      <c r="C253" s="13"/>
      <c r="D253" s="23"/>
    </row>
    <row r="254" spans="3:4" x14ac:dyDescent="0.25">
      <c r="C254" s="13"/>
      <c r="D254" s="23"/>
    </row>
    <row r="255" spans="3:4" x14ac:dyDescent="0.25">
      <c r="C255" s="13"/>
      <c r="D255" s="23"/>
    </row>
    <row r="256" spans="3:4" x14ac:dyDescent="0.25">
      <c r="C256" s="13"/>
      <c r="D256" s="23"/>
    </row>
    <row r="257" spans="3:4" x14ac:dyDescent="0.25">
      <c r="C257" s="13"/>
      <c r="D257" s="23"/>
    </row>
    <row r="258" spans="3:4" x14ac:dyDescent="0.25">
      <c r="C258" s="13"/>
      <c r="D258" s="23"/>
    </row>
    <row r="261" spans="3:4" x14ac:dyDescent="0.25">
      <c r="C261" s="13"/>
    </row>
    <row r="262" spans="3:4" x14ac:dyDescent="0.25">
      <c r="C262" s="13"/>
    </row>
    <row r="263" spans="3:4" x14ac:dyDescent="0.25">
      <c r="C263" s="13"/>
    </row>
    <row r="264" spans="3:4" x14ac:dyDescent="0.25">
      <c r="C264" s="13"/>
    </row>
    <row r="265" spans="3:4" x14ac:dyDescent="0.25">
      <c r="C265" s="13"/>
    </row>
    <row r="266" spans="3:4" x14ac:dyDescent="0.25">
      <c r="C266" s="13"/>
    </row>
    <row r="267" spans="3:4" x14ac:dyDescent="0.25">
      <c r="C267" s="13"/>
    </row>
    <row r="268" spans="3:4" x14ac:dyDescent="0.25">
      <c r="C268" s="13"/>
    </row>
    <row r="269" spans="3:4" x14ac:dyDescent="0.25">
      <c r="C269" s="13"/>
    </row>
    <row r="270" spans="3:4" x14ac:dyDescent="0.25">
      <c r="C270" s="13"/>
    </row>
    <row r="271" spans="3:4" x14ac:dyDescent="0.25">
      <c r="C271" s="1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8" xr:uid="{CD49A349-9DAD-46E9-865D-E5693E331018}">
      <formula1>$F$37:$F$38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AN131"/>
  <sheetViews>
    <sheetView workbookViewId="0">
      <selection activeCell="K2" sqref="K2:T2"/>
    </sheetView>
  </sheetViews>
  <sheetFormatPr defaultRowHeight="15" x14ac:dyDescent="0.25"/>
  <cols>
    <col min="1" max="1" width="25.28515625" customWidth="1"/>
    <col min="3" max="3" width="12" bestFit="1" customWidth="1"/>
    <col min="12" max="12" width="12" bestFit="1" customWidth="1"/>
  </cols>
  <sheetData>
    <row r="1" spans="1:4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</row>
    <row r="2" spans="1:40" x14ac:dyDescent="0.25">
      <c r="A2" t="s">
        <v>40</v>
      </c>
      <c r="K2" s="14">
        <v>5.3999999999999999E-2</v>
      </c>
      <c r="L2" s="14">
        <v>5.3999999999999999E-2</v>
      </c>
      <c r="M2" s="14">
        <v>5.3999999999999999E-2</v>
      </c>
      <c r="N2" s="14">
        <v>5.3999999999999999E-2</v>
      </c>
      <c r="O2" s="14">
        <v>5.3999999999999999E-2</v>
      </c>
      <c r="P2" s="14">
        <v>5.3999999999999999E-2</v>
      </c>
      <c r="Q2" s="14">
        <v>5.3999999999999999E-2</v>
      </c>
      <c r="R2" s="14">
        <v>5.3999999999999999E-2</v>
      </c>
      <c r="S2" s="14">
        <v>5.3999999999999999E-2</v>
      </c>
      <c r="T2" s="14">
        <v>5.3999999999999999E-2</v>
      </c>
      <c r="U2" s="14">
        <v>0.05</v>
      </c>
      <c r="V2" s="14">
        <v>0.05</v>
      </c>
      <c r="W2" s="14">
        <v>0.05</v>
      </c>
      <c r="X2" s="14">
        <v>0.05</v>
      </c>
      <c r="Y2" s="14">
        <v>0.05</v>
      </c>
      <c r="Z2" s="14">
        <v>4.4999999999999998E-2</v>
      </c>
      <c r="AA2" s="14">
        <v>4.4999999999999998E-2</v>
      </c>
      <c r="AB2" s="14">
        <v>4.4999999999999998E-2</v>
      </c>
      <c r="AC2" s="14">
        <v>4.4999999999999998E-2</v>
      </c>
      <c r="AD2" s="14">
        <v>4.4999999999999998E-2</v>
      </c>
      <c r="AE2" s="14">
        <v>0.04</v>
      </c>
      <c r="AF2" s="14">
        <v>0.04</v>
      </c>
      <c r="AG2" s="14">
        <v>0.04</v>
      </c>
      <c r="AH2" s="14">
        <v>0.04</v>
      </c>
      <c r="AI2" s="14">
        <v>0.04</v>
      </c>
      <c r="AJ2" s="14">
        <v>3.5000000000000003E-2</v>
      </c>
      <c r="AK2" s="14">
        <v>3.5000000000000003E-2</v>
      </c>
      <c r="AL2" s="14">
        <v>3.5000000000000003E-2</v>
      </c>
      <c r="AM2" s="14">
        <v>3.5000000000000003E-2</v>
      </c>
      <c r="AN2" s="14">
        <v>3.5000000000000003E-2</v>
      </c>
    </row>
    <row r="3" spans="1:40" x14ac:dyDescent="0.25">
      <c r="A3" t="s">
        <v>41</v>
      </c>
      <c r="J3" s="19">
        <f>J10/J26</f>
        <v>0.64959374957611604</v>
      </c>
      <c r="K3" s="15">
        <f>($T3-$J3)/10+J3</f>
        <v>0.65213437461850443</v>
      </c>
      <c r="L3" s="15">
        <f t="shared" ref="L3:S3" si="0">($T3-$J3)/10+K3</f>
        <v>0.65467499966089282</v>
      </c>
      <c r="M3" s="15">
        <f t="shared" si="0"/>
        <v>0.65721562470328121</v>
      </c>
      <c r="N3" s="15">
        <f t="shared" si="0"/>
        <v>0.6597562497456696</v>
      </c>
      <c r="O3" s="15">
        <f t="shared" si="0"/>
        <v>0.66229687478805799</v>
      </c>
      <c r="P3" s="15">
        <f t="shared" si="0"/>
        <v>0.66483749983044638</v>
      </c>
      <c r="Q3" s="15">
        <f t="shared" si="0"/>
        <v>0.66737812487283477</v>
      </c>
      <c r="R3" s="15">
        <f t="shared" si="0"/>
        <v>0.66991874991522316</v>
      </c>
      <c r="S3" s="15">
        <f t="shared" si="0"/>
        <v>0.67245937495761154</v>
      </c>
      <c r="T3" s="19">
        <v>0.67500000000000004</v>
      </c>
      <c r="U3" s="15">
        <f>($AD3-$T3)/10+T3</f>
        <v>0.67749999999999999</v>
      </c>
      <c r="V3" s="15">
        <f t="shared" ref="V3:AC3" si="1">($AD3-$T3)/10+U3</f>
        <v>0.67999999999999994</v>
      </c>
      <c r="W3" s="15">
        <f t="shared" si="1"/>
        <v>0.68249999999999988</v>
      </c>
      <c r="X3" s="15">
        <f t="shared" si="1"/>
        <v>0.68499999999999983</v>
      </c>
      <c r="Y3" s="15">
        <f t="shared" si="1"/>
        <v>0.68749999999999978</v>
      </c>
      <c r="Z3" s="15">
        <f t="shared" si="1"/>
        <v>0.68999999999999972</v>
      </c>
      <c r="AA3" s="15">
        <f t="shared" si="1"/>
        <v>0.69249999999999967</v>
      </c>
      <c r="AB3" s="15">
        <f t="shared" si="1"/>
        <v>0.69499999999999962</v>
      </c>
      <c r="AC3" s="15">
        <f t="shared" si="1"/>
        <v>0.69749999999999956</v>
      </c>
      <c r="AD3" s="19">
        <v>0.7</v>
      </c>
      <c r="AE3" s="15">
        <f>($AN3-$AD3)/10+AD3</f>
        <v>0.70199999999999996</v>
      </c>
      <c r="AF3" s="15">
        <f t="shared" ref="AF3:AM3" si="2">($AN3-$AD3)/10+AE3</f>
        <v>0.70399999999999996</v>
      </c>
      <c r="AG3" s="15">
        <f t="shared" si="2"/>
        <v>0.70599999999999996</v>
      </c>
      <c r="AH3" s="15">
        <f t="shared" si="2"/>
        <v>0.70799999999999996</v>
      </c>
      <c r="AI3" s="15">
        <f t="shared" si="2"/>
        <v>0.71</v>
      </c>
      <c r="AJ3" s="15">
        <f t="shared" si="2"/>
        <v>0.71199999999999997</v>
      </c>
      <c r="AK3" s="15">
        <f t="shared" si="2"/>
        <v>0.71399999999999997</v>
      </c>
      <c r="AL3" s="15">
        <f t="shared" si="2"/>
        <v>0.71599999999999997</v>
      </c>
      <c r="AM3" s="15">
        <f t="shared" si="2"/>
        <v>0.71799999999999997</v>
      </c>
      <c r="AN3" s="19">
        <v>0.72</v>
      </c>
    </row>
    <row r="4" spans="1:40" x14ac:dyDescent="0.25">
      <c r="A4" t="s">
        <v>84</v>
      </c>
      <c r="K4" s="19">
        <v>4.9000000000000002E-2</v>
      </c>
      <c r="L4" s="15">
        <f>($T4-$K4)/9+K4</f>
        <v>4.855555555555556E-2</v>
      </c>
      <c r="M4" s="15">
        <f t="shared" ref="M4:S4" si="3">($T4-$K4)/9+L4</f>
        <v>4.8111111111111118E-2</v>
      </c>
      <c r="N4" s="15">
        <f t="shared" si="3"/>
        <v>4.7666666666666677E-2</v>
      </c>
      <c r="O4" s="15">
        <f t="shared" si="3"/>
        <v>4.7222222222222235E-2</v>
      </c>
      <c r="P4" s="15">
        <f t="shared" si="3"/>
        <v>4.6777777777777793E-2</v>
      </c>
      <c r="Q4" s="15">
        <f t="shared" si="3"/>
        <v>4.6333333333333351E-2</v>
      </c>
      <c r="R4" s="15">
        <f t="shared" si="3"/>
        <v>4.588888888888891E-2</v>
      </c>
      <c r="S4" s="15">
        <f t="shared" si="3"/>
        <v>4.5444444444444468E-2</v>
      </c>
      <c r="T4" s="19">
        <v>4.4999999999999998E-2</v>
      </c>
      <c r="U4" s="17">
        <f>U2*U79</f>
        <v>3.9091447603358254E-2</v>
      </c>
      <c r="V4" s="17">
        <f t="shared" ref="V4:AN4" si="4">V2*V79</f>
        <v>3.6723288286949166E-2</v>
      </c>
      <c r="W4" s="17">
        <f t="shared" si="4"/>
        <v>3.485179347181306E-2</v>
      </c>
      <c r="X4" s="17">
        <f t="shared" si="4"/>
        <v>3.3784994327358903E-2</v>
      </c>
      <c r="Y4" s="17">
        <f t="shared" si="4"/>
        <v>3.2422251177108417E-2</v>
      </c>
      <c r="Z4" s="17">
        <f t="shared" si="4"/>
        <v>3.1251548867639277E-2</v>
      </c>
      <c r="AA4" s="17">
        <f t="shared" si="4"/>
        <v>3.1733838683289502E-2</v>
      </c>
      <c r="AB4" s="17">
        <f t="shared" si="4"/>
        <v>3.2122124224363516E-2</v>
      </c>
      <c r="AC4" s="17">
        <f t="shared" si="4"/>
        <v>3.2115111437192284E-2</v>
      </c>
      <c r="AD4" s="17">
        <f t="shared" si="4"/>
        <v>3.1880598458142007E-2</v>
      </c>
      <c r="AE4" s="17">
        <f t="shared" si="4"/>
        <v>2.640317519801684E-2</v>
      </c>
      <c r="AF4" s="17">
        <f t="shared" si="4"/>
        <v>2.6042199268556904E-2</v>
      </c>
      <c r="AG4" s="17">
        <f t="shared" si="4"/>
        <v>2.5682887081564517E-2</v>
      </c>
      <c r="AH4" s="17">
        <f t="shared" si="4"/>
        <v>2.6955414076876939E-2</v>
      </c>
      <c r="AI4" s="17">
        <f t="shared" si="4"/>
        <v>2.7888866747524867E-2</v>
      </c>
      <c r="AJ4" s="17">
        <f t="shared" si="4"/>
        <v>2.4599532725766458E-2</v>
      </c>
      <c r="AK4" s="17">
        <f t="shared" si="4"/>
        <v>2.536635408942722E-2</v>
      </c>
      <c r="AL4" s="17">
        <f t="shared" si="4"/>
        <v>2.4811818567650509E-2</v>
      </c>
      <c r="AM4" s="17">
        <f t="shared" si="4"/>
        <v>2.5700606684070992E-2</v>
      </c>
      <c r="AN4" s="17">
        <f t="shared" si="4"/>
        <v>2.5973599012554471E-2</v>
      </c>
    </row>
    <row r="5" spans="1:40" x14ac:dyDescent="0.25">
      <c r="A5" t="s">
        <v>85</v>
      </c>
      <c r="K5" s="15">
        <f>K107</f>
        <v>-5.2910053079827657E-3</v>
      </c>
      <c r="L5" s="15">
        <f t="shared" ref="L5:AN5" si="5">L107</f>
        <v>-4.1180508063809462E-3</v>
      </c>
      <c r="M5" s="15">
        <f t="shared" si="5"/>
        <v>4.9965540833047939E-3</v>
      </c>
      <c r="N5" s="15">
        <f t="shared" si="5"/>
        <v>7.5432881706234411E-3</v>
      </c>
      <c r="O5" s="15">
        <f t="shared" si="5"/>
        <v>1.3612387255170777E-2</v>
      </c>
      <c r="P5" s="15">
        <f t="shared" si="5"/>
        <v>-6.8826590732435911E-3</v>
      </c>
      <c r="Q5" s="15">
        <f t="shared" si="5"/>
        <v>-2.7045301047546877E-3</v>
      </c>
      <c r="R5" s="15">
        <f t="shared" si="5"/>
        <v>7.11864405072693E-3</v>
      </c>
      <c r="S5" s="15">
        <f t="shared" si="5"/>
        <v>5.5536856108120425E-3</v>
      </c>
      <c r="T5" s="15">
        <f t="shared" si="5"/>
        <v>6.5271966358741995E-3</v>
      </c>
      <c r="U5" s="15">
        <f t="shared" si="5"/>
        <v>-4.4895244595196671E-3</v>
      </c>
      <c r="V5" s="15">
        <f t="shared" si="5"/>
        <v>-1.0021713879905247E-3</v>
      </c>
      <c r="W5" s="15">
        <f t="shared" si="5"/>
        <v>-1.2874101337353672E-2</v>
      </c>
      <c r="X5" s="15">
        <f t="shared" si="5"/>
        <v>-3.8956639735111542E-3</v>
      </c>
      <c r="Y5" s="15">
        <f t="shared" si="5"/>
        <v>-1.853426289715121E-2</v>
      </c>
      <c r="Z5" s="15">
        <f t="shared" si="5"/>
        <v>-1.8711018728019502E-2</v>
      </c>
      <c r="AA5" s="15">
        <f t="shared" si="5"/>
        <v>-1.0416666684138098E-2</v>
      </c>
      <c r="AB5" s="15">
        <f t="shared" si="5"/>
        <v>-1.9803746672260369E-2</v>
      </c>
      <c r="AC5" s="15">
        <f t="shared" si="5"/>
        <v>-2.0203858772839367E-2</v>
      </c>
      <c r="AD5" s="15">
        <f t="shared" si="5"/>
        <v>-2.0992011907467911E-2</v>
      </c>
      <c r="AE5" s="15">
        <f t="shared" si="5"/>
        <v>-1.1195445939066517E-2</v>
      </c>
      <c r="AF5" s="15">
        <f t="shared" si="5"/>
        <v>-1.1130301304718149E-2</v>
      </c>
      <c r="AG5" s="15">
        <f t="shared" si="5"/>
        <v>-1.1255579293396822E-2</v>
      </c>
      <c r="AH5" s="15">
        <f t="shared" si="5"/>
        <v>-1.1187438684765683E-2</v>
      </c>
      <c r="AI5" s="15">
        <f t="shared" si="5"/>
        <v>-1.1512504981907257E-2</v>
      </c>
      <c r="AJ5" s="15">
        <f t="shared" si="5"/>
        <v>-1.144578315238054E-2</v>
      </c>
      <c r="AK5" s="15">
        <f t="shared" si="5"/>
        <v>-1.1578305931107424E-2</v>
      </c>
      <c r="AL5" s="15">
        <f t="shared" si="5"/>
        <v>-1.191944103962328E-2</v>
      </c>
      <c r="AM5" s="15">
        <f t="shared" si="5"/>
        <v>-1.1855241285111062E-2</v>
      </c>
      <c r="AN5" s="15">
        <f t="shared" si="5"/>
        <v>-1.1997474236750127E-2</v>
      </c>
    </row>
    <row r="6" spans="1:40" x14ac:dyDescent="0.25">
      <c r="A6" t="s">
        <v>86</v>
      </c>
      <c r="K6" s="20">
        <v>4.9000000000000002E-2</v>
      </c>
      <c r="L6" s="15">
        <f>($T6-$K6)/9+K6</f>
        <v>4.855555555555556E-2</v>
      </c>
      <c r="M6" s="15">
        <f t="shared" ref="M6:S6" si="6">($T6-$K6)/9+L6</f>
        <v>4.8111111111111118E-2</v>
      </c>
      <c r="N6" s="15">
        <f t="shared" si="6"/>
        <v>4.7666666666666677E-2</v>
      </c>
      <c r="O6" s="15">
        <f t="shared" si="6"/>
        <v>4.7222222222222235E-2</v>
      </c>
      <c r="P6" s="15">
        <f t="shared" si="6"/>
        <v>4.6777777777777793E-2</v>
      </c>
      <c r="Q6" s="15">
        <f t="shared" si="6"/>
        <v>4.6333333333333351E-2</v>
      </c>
      <c r="R6" s="15">
        <f t="shared" si="6"/>
        <v>4.588888888888891E-2</v>
      </c>
      <c r="S6" s="15">
        <f t="shared" si="6"/>
        <v>4.5444444444444468E-2</v>
      </c>
      <c r="T6" s="20">
        <v>4.4999999999999998E-2</v>
      </c>
      <c r="U6" s="17">
        <f>U2*U81</f>
        <v>4.358842333284127E-2</v>
      </c>
      <c r="V6" s="17">
        <f t="shared" ref="V6:AN6" si="7">V2*V81</f>
        <v>4.2558381561019487E-2</v>
      </c>
      <c r="W6" s="17">
        <f t="shared" si="7"/>
        <v>4.0961974106956629E-2</v>
      </c>
      <c r="X6" s="17">
        <f t="shared" si="7"/>
        <v>4.0154112727918398E-2</v>
      </c>
      <c r="Y6" s="17">
        <f t="shared" si="7"/>
        <v>3.849217109081219E-2</v>
      </c>
      <c r="Z6" s="17">
        <f t="shared" si="7"/>
        <v>3.7422123817645071E-2</v>
      </c>
      <c r="AA6" s="17">
        <f t="shared" si="7"/>
        <v>3.7504636667933682E-2</v>
      </c>
      <c r="AB6" s="17">
        <f t="shared" si="7"/>
        <v>3.7177156424609691E-2</v>
      </c>
      <c r="AC6" s="17">
        <f t="shared" si="7"/>
        <v>3.7259921533916676E-2</v>
      </c>
      <c r="AD6" s="17">
        <f t="shared" si="7"/>
        <v>3.7783608202929683E-2</v>
      </c>
      <c r="AE6" s="17">
        <f t="shared" si="7"/>
        <v>2.9416980277739219E-2</v>
      </c>
      <c r="AF6" s="17">
        <f t="shared" si="7"/>
        <v>2.9021700543188988E-2</v>
      </c>
      <c r="AG6" s="17">
        <f t="shared" si="7"/>
        <v>2.894986062951696E-2</v>
      </c>
      <c r="AH6" s="17">
        <f t="shared" si="7"/>
        <v>2.9335474798945729E-2</v>
      </c>
      <c r="AI6" s="17">
        <f t="shared" si="7"/>
        <v>2.9810971264506998E-2</v>
      </c>
      <c r="AJ6" s="17">
        <f t="shared" si="7"/>
        <v>2.5961214441685976E-2</v>
      </c>
      <c r="AK6" s="17">
        <f t="shared" si="7"/>
        <v>2.6363740256564915E-2</v>
      </c>
      <c r="AL6" s="17">
        <f t="shared" si="7"/>
        <v>2.6576117296803637E-2</v>
      </c>
      <c r="AM6" s="17">
        <f t="shared" si="7"/>
        <v>2.7128412156614691E-2</v>
      </c>
      <c r="AN6" s="17">
        <f t="shared" si="7"/>
        <v>2.773916210172854E-2</v>
      </c>
    </row>
    <row r="7" spans="1:40" x14ac:dyDescent="0.25">
      <c r="B7">
        <v>2012</v>
      </c>
      <c r="C7">
        <v>2013</v>
      </c>
      <c r="D7">
        <v>2014</v>
      </c>
      <c r="E7">
        <v>2015</v>
      </c>
      <c r="F7">
        <v>2016</v>
      </c>
      <c r="G7">
        <v>2017</v>
      </c>
      <c r="H7">
        <v>2018</v>
      </c>
      <c r="I7">
        <v>2019</v>
      </c>
      <c r="J7">
        <v>2020</v>
      </c>
      <c r="K7">
        <v>2021</v>
      </c>
      <c r="L7">
        <v>2022</v>
      </c>
      <c r="M7">
        <v>2023</v>
      </c>
      <c r="N7">
        <v>2024</v>
      </c>
      <c r="O7">
        <v>2025</v>
      </c>
      <c r="P7">
        <v>2026</v>
      </c>
      <c r="Q7">
        <v>2027</v>
      </c>
      <c r="R7">
        <v>2028</v>
      </c>
      <c r="S7">
        <v>2029</v>
      </c>
      <c r="T7">
        <v>2030</v>
      </c>
      <c r="U7">
        <v>2031</v>
      </c>
      <c r="V7">
        <v>2032</v>
      </c>
      <c r="W7">
        <v>2033</v>
      </c>
      <c r="X7">
        <v>2034</v>
      </c>
      <c r="Y7">
        <v>2035</v>
      </c>
      <c r="Z7">
        <v>2036</v>
      </c>
      <c r="AA7">
        <v>2037</v>
      </c>
      <c r="AB7">
        <v>2038</v>
      </c>
      <c r="AC7">
        <v>2039</v>
      </c>
      <c r="AD7">
        <v>2040</v>
      </c>
      <c r="AE7">
        <v>2041</v>
      </c>
      <c r="AF7">
        <v>2042</v>
      </c>
      <c r="AG7">
        <v>2043</v>
      </c>
      <c r="AH7">
        <v>2044</v>
      </c>
      <c r="AI7">
        <v>2045</v>
      </c>
      <c r="AJ7">
        <v>2046</v>
      </c>
      <c r="AK7">
        <v>2047</v>
      </c>
      <c r="AL7">
        <v>2048</v>
      </c>
      <c r="AM7">
        <v>2049</v>
      </c>
      <c r="AN7">
        <v>2050</v>
      </c>
    </row>
    <row r="8" spans="1:40" x14ac:dyDescent="0.25">
      <c r="A8" t="s">
        <v>22</v>
      </c>
      <c r="B8">
        <v>69.819999999999993</v>
      </c>
      <c r="C8">
        <v>72.77</v>
      </c>
      <c r="D8">
        <v>75.510000000000005</v>
      </c>
      <c r="E8">
        <v>74.36</v>
      </c>
      <c r="F8">
        <v>73.55</v>
      </c>
      <c r="G8">
        <v>76</v>
      </c>
      <c r="H8">
        <v>74.78</v>
      </c>
      <c r="I8">
        <v>73.53</v>
      </c>
      <c r="J8">
        <v>70.959999999999994</v>
      </c>
      <c r="K8" s="18">
        <f>(1+K4)*J8</f>
        <v>74.437039999999982</v>
      </c>
      <c r="L8" s="18">
        <f t="shared" ref="L8:AN8" si="8">(1+L4)*K8</f>
        <v>78.051371831111084</v>
      </c>
      <c r="M8" s="18">
        <f t="shared" si="8"/>
        <v>81.806510053652332</v>
      </c>
      <c r="N8" s="18">
        <f t="shared" si="8"/>
        <v>85.705953699543102</v>
      </c>
      <c r="O8" s="18">
        <f t="shared" si="8"/>
        <v>89.753179290910424</v>
      </c>
      <c r="P8" s="18">
        <f t="shared" si="8"/>
        <v>93.951633566629681</v>
      </c>
      <c r="Q8" s="18">
        <f t="shared" si="8"/>
        <v>98.304725921883517</v>
      </c>
      <c r="R8" s="18">
        <f t="shared" si="8"/>
        <v>102.8158205669655</v>
      </c>
      <c r="S8" s="18">
        <f t="shared" si="8"/>
        <v>107.48822841273093</v>
      </c>
      <c r="T8" s="18">
        <f t="shared" si="8"/>
        <v>112.32519869130381</v>
      </c>
      <c r="U8" s="18">
        <f t="shared" si="8"/>
        <v>116.71615331048173</v>
      </c>
      <c r="V8" s="18">
        <f t="shared" si="8"/>
        <v>121.00235425624632</v>
      </c>
      <c r="W8" s="18">
        <f t="shared" si="8"/>
        <v>125.21950331638818</v>
      </c>
      <c r="X8" s="18">
        <f t="shared" si="8"/>
        <v>129.45004352560707</v>
      </c>
      <c r="Y8" s="18">
        <f t="shared" si="8"/>
        <v>133.64710535168192</v>
      </c>
      <c r="Z8" s="18">
        <f t="shared" si="8"/>
        <v>137.82378439559852</v>
      </c>
      <c r="AA8" s="18">
        <f t="shared" si="8"/>
        <v>142.19746213632891</v>
      </c>
      <c r="AB8" s="18">
        <f t="shared" si="8"/>
        <v>146.76514667946128</v>
      </c>
      <c r="AC8" s="18">
        <f t="shared" si="8"/>
        <v>151.47852572016805</v>
      </c>
      <c r="AD8" s="18">
        <f t="shared" si="8"/>
        <v>156.30775177368406</v>
      </c>
      <c r="AE8" s="18">
        <f t="shared" si="8"/>
        <v>160.4347727285728</v>
      </c>
      <c r="AF8" s="18">
        <f t="shared" si="8"/>
        <v>164.61284704957592</v>
      </c>
      <c r="AG8" s="18">
        <f t="shared" si="8"/>
        <v>168.840580212525</v>
      </c>
      <c r="AH8" s="18">
        <f t="shared" si="8"/>
        <v>173.39174796513376</v>
      </c>
      <c r="AI8" s="18">
        <f t="shared" si="8"/>
        <v>178.22744731925377</v>
      </c>
      <c r="AJ8" s="18">
        <f t="shared" si="8"/>
        <v>182.61175924221357</v>
      </c>
      <c r="AK8" s="18">
        <f t="shared" si="8"/>
        <v>187.24395378804476</v>
      </c>
      <c r="AL8" s="18">
        <f t="shared" si="8"/>
        <v>191.88981679732325</v>
      </c>
      <c r="AM8" s="18">
        <f t="shared" si="8"/>
        <v>196.8215015055097</v>
      </c>
      <c r="AN8" s="18">
        <f t="shared" si="8"/>
        <v>201.93366426266269</v>
      </c>
    </row>
    <row r="9" spans="1:40" x14ac:dyDescent="0.25">
      <c r="A9" t="s">
        <v>38</v>
      </c>
      <c r="B9">
        <v>66.42</v>
      </c>
      <c r="C9">
        <v>65.98</v>
      </c>
      <c r="D9">
        <v>65.72</v>
      </c>
      <c r="E9">
        <v>65.459999999999994</v>
      </c>
      <c r="F9">
        <v>64.28</v>
      </c>
      <c r="G9">
        <v>63.85</v>
      </c>
      <c r="H9">
        <v>63.13</v>
      </c>
      <c r="I9">
        <v>62.24</v>
      </c>
      <c r="J9">
        <v>61.58</v>
      </c>
      <c r="K9" s="18">
        <f>(1+K5)*J9</f>
        <v>61.25417989313442</v>
      </c>
      <c r="L9" s="18">
        <f t="shared" ref="L9:AN9" si="9">(1+L5)*K9</f>
        <v>61.001932068231298</v>
      </c>
      <c r="M9" s="18">
        <f t="shared" si="9"/>
        <v>61.306731520996301</v>
      </c>
      <c r="N9" s="18">
        <f t="shared" si="9"/>
        <v>61.769185863658223</v>
      </c>
      <c r="O9" s="18">
        <f t="shared" si="9"/>
        <v>62.610011942070962</v>
      </c>
      <c r="P9" s="18">
        <f t="shared" si="9"/>
        <v>62.179088575301975</v>
      </c>
      <c r="Q9" s="18">
        <f t="shared" si="9"/>
        <v>62.010923358363861</v>
      </c>
      <c r="R9" s="18">
        <f t="shared" si="9"/>
        <v>62.45235704900896</v>
      </c>
      <c r="S9" s="18">
        <f t="shared" si="9"/>
        <v>62.799197805713334</v>
      </c>
      <c r="T9" s="18">
        <f t="shared" si="9"/>
        <v>63.209100518366384</v>
      </c>
      <c r="U9" s="18">
        <f t="shared" si="9"/>
        <v>62.925321715524937</v>
      </c>
      <c r="V9" s="18">
        <f t="shared" si="9"/>
        <v>62.862259758521539</v>
      </c>
      <c r="W9" s="18">
        <f t="shared" si="9"/>
        <v>62.052964656095284</v>
      </c>
      <c r="X9" s="18">
        <f t="shared" si="9"/>
        <v>61.811227157234974</v>
      </c>
      <c r="Y9" s="18">
        <f t="shared" si="9"/>
        <v>60.66560162310725</v>
      </c>
      <c r="Z9" s="18">
        <f t="shared" si="9"/>
        <v>59.530486414990719</v>
      </c>
      <c r="AA9" s="18">
        <f t="shared" si="9"/>
        <v>58.910377180461147</v>
      </c>
      <c r="AB9" s="18">
        <f t="shared" si="9"/>
        <v>57.743730994411983</v>
      </c>
      <c r="AC9" s="18">
        <f t="shared" si="9"/>
        <v>56.577084808384058</v>
      </c>
      <c r="AD9" s="18">
        <f t="shared" si="9"/>
        <v>55.389417970396636</v>
      </c>
      <c r="AE9" s="18">
        <f t="shared" si="9"/>
        <v>54.769308735912702</v>
      </c>
      <c r="AF9" s="18">
        <f t="shared" si="9"/>
        <v>54.159709827430859</v>
      </c>
      <c r="AG9" s="18">
        <f t="shared" si="9"/>
        <v>53.550110918960847</v>
      </c>
      <c r="AH9" s="18">
        <f t="shared" si="9"/>
        <v>52.951022336492571</v>
      </c>
      <c r="AI9" s="18">
        <f t="shared" si="9"/>
        <v>52.341423428046618</v>
      </c>
      <c r="AJ9" s="18">
        <f t="shared" si="9"/>
        <v>51.742334845602265</v>
      </c>
      <c r="AK9" s="18">
        <f t="shared" si="9"/>
        <v>51.143246263170084</v>
      </c>
      <c r="AL9" s="18">
        <f t="shared" si="9"/>
        <v>50.533647354761293</v>
      </c>
      <c r="AM9" s="18">
        <f t="shared" si="9"/>
        <v>49.934558772353881</v>
      </c>
      <c r="AN9" s="18">
        <f t="shared" si="9"/>
        <v>49.335470189959082</v>
      </c>
    </row>
    <row r="10" spans="1:40" x14ac:dyDescent="0.25">
      <c r="A10" t="s">
        <v>21</v>
      </c>
      <c r="B10">
        <v>1833.85</v>
      </c>
      <c r="C10">
        <v>1884.55</v>
      </c>
      <c r="D10">
        <v>1927.88</v>
      </c>
      <c r="E10">
        <v>1957.41</v>
      </c>
      <c r="F10">
        <v>1982.72</v>
      </c>
      <c r="G10">
        <v>2007.4</v>
      </c>
      <c r="H10">
        <v>2036.6</v>
      </c>
      <c r="I10">
        <v>2071.14</v>
      </c>
      <c r="J10">
        <v>1915.6</v>
      </c>
      <c r="K10" s="18">
        <f>K3*K26</f>
        <v>2026.9390733999999</v>
      </c>
      <c r="L10" s="18">
        <f t="shared" ref="L10:AN10" si="10">L3*L26</f>
        <v>2144.7168771272</v>
      </c>
      <c r="M10" s="18">
        <f t="shared" si="10"/>
        <v>2269.3041293189031</v>
      </c>
      <c r="N10" s="18">
        <f t="shared" si="10"/>
        <v>2401.0928103336073</v>
      </c>
      <c r="O10" s="18">
        <f t="shared" si="10"/>
        <v>2540.4973780568057</v>
      </c>
      <c r="P10" s="18">
        <f t="shared" si="10"/>
        <v>2687.956052459177</v>
      </c>
      <c r="Q10" s="18">
        <f t="shared" si="10"/>
        <v>2843.93217334259</v>
      </c>
      <c r="R10" s="18">
        <f t="shared" si="10"/>
        <v>3008.9156354324414</v>
      </c>
      <c r="S10" s="18">
        <f t="shared" si="10"/>
        <v>3183.42440521053</v>
      </c>
      <c r="T10" s="18">
        <f t="shared" si="10"/>
        <v>3368.0061241317312</v>
      </c>
      <c r="U10" s="18">
        <f t="shared" si="10"/>
        <v>3549.5042319321628</v>
      </c>
      <c r="V10" s="18">
        <f t="shared" si="10"/>
        <v>3740.7321352023091</v>
      </c>
      <c r="W10" s="18">
        <f t="shared" si="10"/>
        <v>3942.209068219639</v>
      </c>
      <c r="X10" s="18">
        <f t="shared" si="10"/>
        <v>4154.4818642006958</v>
      </c>
      <c r="Y10" s="18">
        <f t="shared" si="10"/>
        <v>4378.1264171093098</v>
      </c>
      <c r="Z10" s="18">
        <f t="shared" si="10"/>
        <v>4591.778986264243</v>
      </c>
      <c r="AA10" s="18">
        <f t="shared" si="10"/>
        <v>4815.7945806484749</v>
      </c>
      <c r="AB10" s="18">
        <f t="shared" si="10"/>
        <v>5050.6732260801018</v>
      </c>
      <c r="AC10" s="18">
        <f t="shared" si="10"/>
        <v>5296.9389655747618</v>
      </c>
      <c r="AD10" s="18">
        <f t="shared" si="10"/>
        <v>5555.1410083411338</v>
      </c>
      <c r="AE10" s="18">
        <f t="shared" si="10"/>
        <v>5793.8533533852778</v>
      </c>
      <c r="AF10" s="18">
        <f t="shared" si="10"/>
        <v>6042.7744604196087</v>
      </c>
      <c r="AG10" s="18">
        <f t="shared" si="10"/>
        <v>6302.3390906512686</v>
      </c>
      <c r="AH10" s="18">
        <f t="shared" si="10"/>
        <v>6573.0004521647916</v>
      </c>
      <c r="AI10" s="18">
        <f t="shared" si="10"/>
        <v>6855.2309800543526</v>
      </c>
      <c r="AJ10" s="18">
        <f t="shared" si="10"/>
        <v>7115.1504420023284</v>
      </c>
      <c r="AK10" s="18">
        <f t="shared" si="10"/>
        <v>7384.8666083360959</v>
      </c>
      <c r="AL10" s="18">
        <f t="shared" si="10"/>
        <v>7664.7468470217746</v>
      </c>
      <c r="AM10" s="18">
        <f t="shared" si="10"/>
        <v>7955.1722408202386</v>
      </c>
      <c r="AN10" s="18">
        <f t="shared" si="10"/>
        <v>8256.5380972969942</v>
      </c>
    </row>
    <row r="11" spans="1:40" x14ac:dyDescent="0.25">
      <c r="A11" t="s">
        <v>27</v>
      </c>
      <c r="B11">
        <v>52.81</v>
      </c>
      <c r="C11">
        <v>54.31</v>
      </c>
      <c r="D11">
        <v>55.26</v>
      </c>
      <c r="E11">
        <v>55.73</v>
      </c>
      <c r="F11">
        <v>56.3</v>
      </c>
      <c r="G11">
        <v>56.6</v>
      </c>
      <c r="H11">
        <v>57.09</v>
      </c>
      <c r="I11">
        <v>56.96</v>
      </c>
      <c r="J11">
        <v>52.37</v>
      </c>
      <c r="K11" s="18">
        <f>$I11/$I$28*K$28</f>
        <v>55.517223300262444</v>
      </c>
      <c r="L11" s="18">
        <f t="shared" ref="L11:AN21" si="11">$I11/$I$28*L$28</f>
        <v>58.271925003665793</v>
      </c>
      <c r="M11" s="18">
        <f t="shared" si="11"/>
        <v>61.114272618209363</v>
      </c>
      <c r="N11" s="18">
        <f t="shared" si="11"/>
        <v>64.080417022873576</v>
      </c>
      <c r="O11" s="18">
        <f t="shared" si="11"/>
        <v>67.160475878394848</v>
      </c>
      <c r="P11" s="18">
        <f t="shared" si="11"/>
        <v>70.484670526988751</v>
      </c>
      <c r="Q11" s="18">
        <f t="shared" si="11"/>
        <v>73.945593254683203</v>
      </c>
      <c r="R11" s="18">
        <f t="shared" si="11"/>
        <v>77.524919763375749</v>
      </c>
      <c r="S11" s="18">
        <f t="shared" si="11"/>
        <v>81.283213605835314</v>
      </c>
      <c r="T11" s="18">
        <f t="shared" si="11"/>
        <v>85.217009490384854</v>
      </c>
      <c r="U11" s="18">
        <f t="shared" si="11"/>
        <v>88.994511675976227</v>
      </c>
      <c r="V11" s="18">
        <f t="shared" si="11"/>
        <v>92.949564155757528</v>
      </c>
      <c r="W11" s="18">
        <f t="shared" si="11"/>
        <v>97.174895873065125</v>
      </c>
      <c r="X11" s="18">
        <f t="shared" si="11"/>
        <v>101.55696006609153</v>
      </c>
      <c r="Y11" s="18">
        <f t="shared" si="11"/>
        <v>106.24135728163974</v>
      </c>
      <c r="Z11" s="18">
        <f t="shared" si="11"/>
        <v>110.41690352739398</v>
      </c>
      <c r="AA11" s="18">
        <f t="shared" si="11"/>
        <v>114.68696611678016</v>
      </c>
      <c r="AB11" s="18">
        <f t="shared" si="11"/>
        <v>119.14768089896477</v>
      </c>
      <c r="AC11" s="18">
        <f t="shared" si="11"/>
        <v>123.75475322287873</v>
      </c>
      <c r="AD11" s="18">
        <f t="shared" si="11"/>
        <v>128.50220033195734</v>
      </c>
      <c r="AE11" s="18">
        <f t="shared" si="11"/>
        <v>133.13487982751161</v>
      </c>
      <c r="AF11" s="18">
        <f t="shared" si="11"/>
        <v>137.93352476874776</v>
      </c>
      <c r="AG11" s="18">
        <f t="shared" si="11"/>
        <v>142.89332739357786</v>
      </c>
      <c r="AH11" s="18">
        <f t="shared" si="11"/>
        <v>147.98128845826344</v>
      </c>
      <c r="AI11" s="18">
        <f t="shared" si="11"/>
        <v>153.20214741099662</v>
      </c>
      <c r="AJ11" s="18">
        <f t="shared" si="11"/>
        <v>157.74158639956141</v>
      </c>
      <c r="AK11" s="18">
        <f t="shared" si="11"/>
        <v>162.37209785933345</v>
      </c>
      <c r="AL11" s="18">
        <f t="shared" si="11"/>
        <v>167.12127703593228</v>
      </c>
      <c r="AM11" s="18">
        <f t="shared" si="11"/>
        <v>171.955086134163</v>
      </c>
      <c r="AN11" s="18">
        <f t="shared" si="11"/>
        <v>176.88062323850141</v>
      </c>
    </row>
    <row r="12" spans="1:40" x14ac:dyDescent="0.25">
      <c r="A12" t="s">
        <v>32</v>
      </c>
      <c r="B12">
        <v>84.25</v>
      </c>
      <c r="C12">
        <v>83.73</v>
      </c>
      <c r="D12">
        <v>83.25</v>
      </c>
      <c r="E12">
        <v>82.69</v>
      </c>
      <c r="F12">
        <v>81.209999999999994</v>
      </c>
      <c r="G12">
        <v>80.83</v>
      </c>
      <c r="H12">
        <v>80.180000000000007</v>
      </c>
      <c r="I12">
        <v>78.209999999999994</v>
      </c>
      <c r="J12">
        <v>76.040000000000006</v>
      </c>
      <c r="K12" s="18">
        <f t="shared" ref="K12:Z25" si="12">$I12/$I$28*K$28</f>
        <v>76.228968299043629</v>
      </c>
      <c r="L12" s="18">
        <f t="shared" si="12"/>
        <v>80.011363317006683</v>
      </c>
      <c r="M12" s="18">
        <f t="shared" si="12"/>
        <v>83.914102202776576</v>
      </c>
      <c r="N12" s="18">
        <f t="shared" si="12"/>
        <v>87.986822601105018</v>
      </c>
      <c r="O12" s="18">
        <f t="shared" si="12"/>
        <v>92.215955380078313</v>
      </c>
      <c r="P12" s="18">
        <f t="shared" si="12"/>
        <v>96.780303404420465</v>
      </c>
      <c r="Q12" s="18">
        <f t="shared" si="12"/>
        <v>101.5323884910248</v>
      </c>
      <c r="R12" s="18">
        <f t="shared" si="12"/>
        <v>106.44705011751435</v>
      </c>
      <c r="S12" s="18">
        <f t="shared" si="12"/>
        <v>111.60744620983812</v>
      </c>
      <c r="T12" s="18">
        <f t="shared" si="12"/>
        <v>117.00881868404142</v>
      </c>
      <c r="U12" s="18">
        <f t="shared" si="12"/>
        <v>122.19558915340767</v>
      </c>
      <c r="V12" s="18">
        <f t="shared" si="12"/>
        <v>127.62614839574782</v>
      </c>
      <c r="W12" s="18">
        <f t="shared" si="12"/>
        <v>133.42781963188943</v>
      </c>
      <c r="X12" s="18">
        <f t="shared" si="12"/>
        <v>139.44469534355721</v>
      </c>
      <c r="Y12" s="18">
        <f t="shared" si="12"/>
        <v>145.87669510177392</v>
      </c>
      <c r="Z12" s="18">
        <f t="shared" si="12"/>
        <v>151.61000745922547</v>
      </c>
      <c r="AA12" s="18">
        <f t="shared" si="11"/>
        <v>157.47309726111965</v>
      </c>
      <c r="AB12" s="18">
        <f t="shared" si="11"/>
        <v>163.59796564445284</v>
      </c>
      <c r="AC12" s="18">
        <f t="shared" si="11"/>
        <v>169.92379300493934</v>
      </c>
      <c r="AD12" s="18">
        <f t="shared" si="11"/>
        <v>176.44236460608116</v>
      </c>
      <c r="AE12" s="18">
        <f t="shared" si="11"/>
        <v>182.80335237552109</v>
      </c>
      <c r="AF12" s="18">
        <f t="shared" si="11"/>
        <v>189.39222212366155</v>
      </c>
      <c r="AG12" s="18">
        <f t="shared" si="11"/>
        <v>196.20237246228447</v>
      </c>
      <c r="AH12" s="18">
        <f t="shared" si="11"/>
        <v>203.18849315872157</v>
      </c>
      <c r="AI12" s="18">
        <f t="shared" si="11"/>
        <v>210.35709180151062</v>
      </c>
      <c r="AJ12" s="18">
        <f t="shared" si="11"/>
        <v>216.59005393802136</v>
      </c>
      <c r="AK12" s="18">
        <f t="shared" si="11"/>
        <v>222.94806484512759</v>
      </c>
      <c r="AL12" s="18">
        <f t="shared" si="11"/>
        <v>229.46901469417594</v>
      </c>
      <c r="AM12" s="18">
        <f t="shared" si="11"/>
        <v>236.10616724987511</v>
      </c>
      <c r="AN12" s="18">
        <f t="shared" si="11"/>
        <v>242.86926867070216</v>
      </c>
    </row>
    <row r="13" spans="1:40" x14ac:dyDescent="0.25">
      <c r="A13" t="s">
        <v>24</v>
      </c>
      <c r="B13">
        <v>93.1</v>
      </c>
      <c r="C13">
        <v>94.81</v>
      </c>
      <c r="D13">
        <v>96.04</v>
      </c>
      <c r="E13">
        <v>96.13</v>
      </c>
      <c r="F13">
        <v>97.44</v>
      </c>
      <c r="G13">
        <v>97.81</v>
      </c>
      <c r="H13">
        <v>98.48</v>
      </c>
      <c r="I13">
        <v>97.71</v>
      </c>
      <c r="J13">
        <v>92.79</v>
      </c>
      <c r="K13" s="18">
        <f t="shared" si="12"/>
        <v>95.235040180278148</v>
      </c>
      <c r="L13" s="18">
        <f t="shared" si="11"/>
        <v>99.960494945719518</v>
      </c>
      <c r="M13" s="18">
        <f t="shared" si="11"/>
        <v>104.83629876273237</v>
      </c>
      <c r="N13" s="18">
        <f t="shared" si="11"/>
        <v>109.92446536701154</v>
      </c>
      <c r="O13" s="18">
        <f t="shared" si="11"/>
        <v>115.20804245221139</v>
      </c>
      <c r="P13" s="18">
        <f t="shared" si="11"/>
        <v>120.91041357429899</v>
      </c>
      <c r="Q13" s="18">
        <f t="shared" si="11"/>
        <v>126.84733000202063</v>
      </c>
      <c r="R13" s="18">
        <f t="shared" si="11"/>
        <v>132.98735797190037</v>
      </c>
      <c r="S13" s="18">
        <f t="shared" si="11"/>
        <v>139.43438906998188</v>
      </c>
      <c r="T13" s="18">
        <f t="shared" si="11"/>
        <v>146.18247888527921</v>
      </c>
      <c r="U13" s="18">
        <f t="shared" si="11"/>
        <v>152.66246025034476</v>
      </c>
      <c r="V13" s="18">
        <f t="shared" si="11"/>
        <v>159.44701393362126</v>
      </c>
      <c r="W13" s="18">
        <f t="shared" si="11"/>
        <v>166.69520849292823</v>
      </c>
      <c r="X13" s="18">
        <f t="shared" si="11"/>
        <v>174.21226418640805</v>
      </c>
      <c r="Y13" s="18">
        <f t="shared" si="11"/>
        <v>182.24794627789709</v>
      </c>
      <c r="Z13" s="18">
        <f t="shared" si="11"/>
        <v>189.41073812608261</v>
      </c>
      <c r="AA13" s="18">
        <f t="shared" si="11"/>
        <v>196.73566466416062</v>
      </c>
      <c r="AB13" s="18">
        <f t="shared" si="11"/>
        <v>204.38763870501836</v>
      </c>
      <c r="AC13" s="18">
        <f t="shared" si="11"/>
        <v>212.29067656965378</v>
      </c>
      <c r="AD13" s="18">
        <f t="shared" si="11"/>
        <v>220.43451535174773</v>
      </c>
      <c r="AE13" s="18">
        <f t="shared" si="11"/>
        <v>228.38148012545923</v>
      </c>
      <c r="AF13" s="18">
        <f t="shared" si="11"/>
        <v>236.61314440228833</v>
      </c>
      <c r="AG13" s="18">
        <f t="shared" si="11"/>
        <v>245.12126087827406</v>
      </c>
      <c r="AH13" s="18">
        <f t="shared" si="11"/>
        <v>253.84922217796554</v>
      </c>
      <c r="AI13" s="18">
        <f t="shared" si="11"/>
        <v>262.80515841868817</v>
      </c>
      <c r="AJ13" s="18">
        <f t="shared" si="11"/>
        <v>270.59217709096106</v>
      </c>
      <c r="AK13" s="18">
        <f t="shared" si="11"/>
        <v>278.53542278503284</v>
      </c>
      <c r="AL13" s="18">
        <f t="shared" si="11"/>
        <v>286.68223278056428</v>
      </c>
      <c r="AM13" s="18">
        <f t="shared" si="11"/>
        <v>294.97421815605804</v>
      </c>
      <c r="AN13" s="18">
        <f t="shared" si="11"/>
        <v>303.42355506730991</v>
      </c>
    </row>
    <row r="14" spans="1:40" x14ac:dyDescent="0.25">
      <c r="A14" t="s">
        <v>31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s="18">
        <f t="shared" si="12"/>
        <v>0</v>
      </c>
      <c r="L14" s="18">
        <f t="shared" si="11"/>
        <v>0</v>
      </c>
      <c r="M14" s="18">
        <f t="shared" si="11"/>
        <v>0</v>
      </c>
      <c r="N14" s="18">
        <f t="shared" si="11"/>
        <v>0</v>
      </c>
      <c r="O14" s="18">
        <f t="shared" si="11"/>
        <v>0</v>
      </c>
      <c r="P14" s="18">
        <f t="shared" si="11"/>
        <v>0</v>
      </c>
      <c r="Q14" s="18">
        <f t="shared" si="11"/>
        <v>0</v>
      </c>
      <c r="R14" s="18">
        <f t="shared" si="11"/>
        <v>0</v>
      </c>
      <c r="S14" s="18">
        <f t="shared" si="11"/>
        <v>0</v>
      </c>
      <c r="T14" s="18">
        <f t="shared" si="11"/>
        <v>0</v>
      </c>
      <c r="U14" s="18">
        <f t="shared" si="11"/>
        <v>0</v>
      </c>
      <c r="V14" s="18">
        <f t="shared" si="11"/>
        <v>0</v>
      </c>
      <c r="W14" s="18">
        <f t="shared" si="11"/>
        <v>0</v>
      </c>
      <c r="X14" s="18">
        <f t="shared" si="11"/>
        <v>0</v>
      </c>
      <c r="Y14" s="18">
        <f t="shared" si="11"/>
        <v>0</v>
      </c>
      <c r="Z14" s="18">
        <f t="shared" si="11"/>
        <v>0</v>
      </c>
      <c r="AA14" s="18">
        <f t="shared" si="11"/>
        <v>0</v>
      </c>
      <c r="AB14" s="18">
        <f t="shared" si="11"/>
        <v>0</v>
      </c>
      <c r="AC14" s="18">
        <f t="shared" si="11"/>
        <v>0</v>
      </c>
      <c r="AD14" s="18">
        <f t="shared" si="11"/>
        <v>0</v>
      </c>
      <c r="AE14" s="18">
        <f t="shared" si="11"/>
        <v>0</v>
      </c>
      <c r="AF14" s="18">
        <f t="shared" si="11"/>
        <v>0</v>
      </c>
      <c r="AG14" s="18">
        <f t="shared" si="11"/>
        <v>0</v>
      </c>
      <c r="AH14" s="18">
        <f t="shared" si="11"/>
        <v>0</v>
      </c>
      <c r="AI14" s="18">
        <f t="shared" si="11"/>
        <v>0</v>
      </c>
      <c r="AJ14" s="18">
        <f t="shared" si="11"/>
        <v>0</v>
      </c>
      <c r="AK14" s="18">
        <f t="shared" si="11"/>
        <v>0</v>
      </c>
      <c r="AL14" s="18">
        <f t="shared" si="11"/>
        <v>0</v>
      </c>
      <c r="AM14" s="18">
        <f t="shared" si="11"/>
        <v>0</v>
      </c>
      <c r="AN14" s="18">
        <f t="shared" si="11"/>
        <v>0</v>
      </c>
    </row>
    <row r="15" spans="1:40" x14ac:dyDescent="0.25">
      <c r="A15" t="s">
        <v>29</v>
      </c>
      <c r="B15">
        <v>13.35</v>
      </c>
      <c r="C15">
        <v>13.74</v>
      </c>
      <c r="D15">
        <v>13.91</v>
      </c>
      <c r="E15">
        <v>14.13</v>
      </c>
      <c r="F15">
        <v>14.15</v>
      </c>
      <c r="G15">
        <v>14.18</v>
      </c>
      <c r="H15">
        <v>14.21</v>
      </c>
      <c r="I15">
        <v>14.08</v>
      </c>
      <c r="J15">
        <v>12.26</v>
      </c>
      <c r="K15" s="18">
        <f t="shared" si="12"/>
        <v>13.723358568604198</v>
      </c>
      <c r="L15" s="18">
        <f t="shared" si="11"/>
        <v>14.404296068321878</v>
      </c>
      <c r="M15" s="18">
        <f t="shared" si="11"/>
        <v>15.106898849445008</v>
      </c>
      <c r="N15" s="18">
        <f t="shared" si="11"/>
        <v>15.840103084305827</v>
      </c>
      <c r="O15" s="18">
        <f t="shared" si="11"/>
        <v>16.601465947468387</v>
      </c>
      <c r="P15" s="18">
        <f t="shared" si="11"/>
        <v>17.423176984199465</v>
      </c>
      <c r="Q15" s="18">
        <f t="shared" si="11"/>
        <v>18.278685973067756</v>
      </c>
      <c r="R15" s="18">
        <f t="shared" si="11"/>
        <v>19.163463312295129</v>
      </c>
      <c r="S15" s="18">
        <f t="shared" si="11"/>
        <v>20.092479767734567</v>
      </c>
      <c r="T15" s="18">
        <f t="shared" si="11"/>
        <v>21.064878750432207</v>
      </c>
      <c r="U15" s="18">
        <f t="shared" si="11"/>
        <v>21.998643335634572</v>
      </c>
      <c r="V15" s="18">
        <f t="shared" si="11"/>
        <v>22.976296757602981</v>
      </c>
      <c r="W15" s="18">
        <f t="shared" si="11"/>
        <v>24.020760777611603</v>
      </c>
      <c r="X15" s="18">
        <f t="shared" si="11"/>
        <v>25.103967656786669</v>
      </c>
      <c r="Y15" s="18">
        <f t="shared" si="11"/>
        <v>26.261908541528921</v>
      </c>
      <c r="Z15" s="18">
        <f t="shared" si="11"/>
        <v>27.294066040479411</v>
      </c>
      <c r="AA15" s="18">
        <f t="shared" si="11"/>
        <v>28.349587129990599</v>
      </c>
      <c r="AB15" s="18">
        <f t="shared" si="11"/>
        <v>29.452235727833983</v>
      </c>
      <c r="AC15" s="18">
        <f t="shared" si="11"/>
        <v>30.591062594419459</v>
      </c>
      <c r="AD15" s="18">
        <f t="shared" si="11"/>
        <v>31.764588846101812</v>
      </c>
      <c r="AE15" s="18">
        <f t="shared" si="11"/>
        <v>32.909745575339947</v>
      </c>
      <c r="AF15" s="18">
        <f t="shared" si="11"/>
        <v>34.095927470926412</v>
      </c>
      <c r="AG15" s="18">
        <f t="shared" si="11"/>
        <v>35.321946097288901</v>
      </c>
      <c r="AH15" s="18">
        <f t="shared" si="11"/>
        <v>36.579644337997699</v>
      </c>
      <c r="AI15" s="18">
        <f t="shared" si="11"/>
        <v>37.870193742044108</v>
      </c>
      <c r="AJ15" s="18">
        <f t="shared" si="11"/>
        <v>38.992302256071355</v>
      </c>
      <c r="AK15" s="18">
        <f t="shared" si="11"/>
        <v>40.136923066352082</v>
      </c>
      <c r="AL15" s="18">
        <f t="shared" si="11"/>
        <v>41.310877469556289</v>
      </c>
      <c r="AM15" s="18">
        <f t="shared" si="11"/>
        <v>42.505751628669501</v>
      </c>
      <c r="AN15" s="18">
        <f t="shared" si="11"/>
        <v>43.723300126371136</v>
      </c>
    </row>
    <row r="16" spans="1:40" x14ac:dyDescent="0.25">
      <c r="A16" t="s">
        <v>23</v>
      </c>
      <c r="B16">
        <v>205.45</v>
      </c>
      <c r="C16">
        <v>210.29</v>
      </c>
      <c r="D16">
        <v>210.09</v>
      </c>
      <c r="E16">
        <v>214.84</v>
      </c>
      <c r="F16">
        <v>210.99</v>
      </c>
      <c r="G16">
        <v>215.85</v>
      </c>
      <c r="H16">
        <v>213.65</v>
      </c>
      <c r="I16">
        <v>210.07</v>
      </c>
      <c r="J16">
        <v>193.07</v>
      </c>
      <c r="K16" s="18">
        <f>(1+K6)*J16</f>
        <v>202.53042999999997</v>
      </c>
      <c r="L16" s="18">
        <f t="shared" ref="L16:AN16" si="13">(1+L6)*K16</f>
        <v>212.36440754555551</v>
      </c>
      <c r="M16" s="18">
        <f t="shared" si="13"/>
        <v>222.58149515302503</v>
      </c>
      <c r="N16" s="18">
        <f t="shared" si="13"/>
        <v>233.19121308865257</v>
      </c>
      <c r="O16" s="18">
        <f t="shared" si="13"/>
        <v>244.20302037339451</v>
      </c>
      <c r="P16" s="18">
        <f t="shared" si="13"/>
        <v>255.62629499308329</v>
      </c>
      <c r="Q16" s="18">
        <f t="shared" si="13"/>
        <v>267.47031332776282</v>
      </c>
      <c r="R16" s="18">
        <f t="shared" si="13"/>
        <v>279.74422881713684</v>
      </c>
      <c r="S16" s="18">
        <f t="shared" si="13"/>
        <v>292.45704988227118</v>
      </c>
      <c r="T16" s="18">
        <f t="shared" si="13"/>
        <v>305.61761712697336</v>
      </c>
      <c r="U16" s="18">
        <f t="shared" si="13"/>
        <v>318.93900720027807</v>
      </c>
      <c r="V16" s="18">
        <f t="shared" si="13"/>
        <v>332.51253516340029</v>
      </c>
      <c r="W16" s="18">
        <f t="shared" si="13"/>
        <v>346.13290501900201</v>
      </c>
      <c r="X16" s="18">
        <f t="shared" si="13"/>
        <v>360.03156470597685</v>
      </c>
      <c r="Y16" s="18">
        <f t="shared" si="13"/>
        <v>373.8899612927321</v>
      </c>
      <c r="Z16" s="18">
        <f t="shared" si="13"/>
        <v>387.88171771840325</v>
      </c>
      <c r="AA16" s="18">
        <f t="shared" si="13"/>
        <v>402.42908061156601</v>
      </c>
      <c r="AB16" s="18">
        <f t="shared" si="13"/>
        <v>417.39024949127406</v>
      </c>
      <c r="AC16" s="18">
        <f t="shared" si="13"/>
        <v>432.94217743634084</v>
      </c>
      <c r="AD16" s="18">
        <f t="shared" si="13"/>
        <v>449.30029504311881</v>
      </c>
      <c r="AE16" s="18">
        <f t="shared" si="13"/>
        <v>462.51735296118471</v>
      </c>
      <c r="AF16" s="18">
        <f t="shared" si="13"/>
        <v>475.94039307485264</v>
      </c>
      <c r="AG16" s="18">
        <f t="shared" si="13"/>
        <v>489.71880112232708</v>
      </c>
      <c r="AH16" s="18">
        <f t="shared" si="13"/>
        <v>504.08493467122105</v>
      </c>
      <c r="AI16" s="18">
        <f t="shared" si="13"/>
        <v>519.11219617357563</v>
      </c>
      <c r="AJ16" s="18">
        <f t="shared" si="13"/>
        <v>532.58897921773234</v>
      </c>
      <c r="AK16" s="18">
        <f t="shared" si="13"/>
        <v>546.63001672933763</v>
      </c>
      <c r="AL16" s="18">
        <f t="shared" si="13"/>
        <v>561.15732017189021</v>
      </c>
      <c r="AM16" s="18">
        <f t="shared" si="13"/>
        <v>576.38062723821463</v>
      </c>
      <c r="AN16" s="18">
        <f t="shared" si="13"/>
        <v>592.36894288947133</v>
      </c>
    </row>
    <row r="17" spans="1:40" x14ac:dyDescent="0.25">
      <c r="A17" t="s">
        <v>30</v>
      </c>
      <c r="B17">
        <v>10.11</v>
      </c>
      <c r="C17">
        <v>8.43</v>
      </c>
      <c r="D17">
        <v>7.26</v>
      </c>
      <c r="E17">
        <v>6.85</v>
      </c>
      <c r="F17">
        <v>6.43</v>
      </c>
      <c r="G17">
        <v>5.96</v>
      </c>
      <c r="H17">
        <v>5.84</v>
      </c>
      <c r="I17">
        <v>5.52</v>
      </c>
      <c r="J17">
        <v>4.53</v>
      </c>
      <c r="K17" s="18">
        <f t="shared" si="12"/>
        <v>5.3801803479186914</v>
      </c>
      <c r="L17" s="18">
        <f t="shared" si="11"/>
        <v>5.6471387995125548</v>
      </c>
      <c r="M17" s="18">
        <f t="shared" si="11"/>
        <v>5.9225910262028725</v>
      </c>
      <c r="N17" s="18">
        <f t="shared" si="11"/>
        <v>6.2100404137335348</v>
      </c>
      <c r="O17" s="18">
        <f t="shared" si="11"/>
        <v>6.5085292634961291</v>
      </c>
      <c r="P17" s="18">
        <f t="shared" si="11"/>
        <v>6.830677340396381</v>
      </c>
      <c r="Q17" s="18">
        <f t="shared" si="11"/>
        <v>7.1660757508049722</v>
      </c>
      <c r="R17" s="18">
        <f t="shared" si="11"/>
        <v>7.5129486849338853</v>
      </c>
      <c r="S17" s="18">
        <f t="shared" si="11"/>
        <v>7.8771653634868475</v>
      </c>
      <c r="T17" s="18">
        <f t="shared" si="11"/>
        <v>8.2583899646580807</v>
      </c>
      <c r="U17" s="18">
        <f t="shared" si="11"/>
        <v>8.6244681259021903</v>
      </c>
      <c r="V17" s="18">
        <f t="shared" si="11"/>
        <v>9.0077527061057143</v>
      </c>
      <c r="W17" s="18">
        <f t="shared" si="11"/>
        <v>9.4172300775863658</v>
      </c>
      <c r="X17" s="18">
        <f t="shared" si="11"/>
        <v>9.8418964108993183</v>
      </c>
      <c r="Y17" s="18">
        <f t="shared" si="11"/>
        <v>10.295861871394861</v>
      </c>
      <c r="Z17" s="18">
        <f t="shared" si="11"/>
        <v>10.700514527233405</v>
      </c>
      <c r="AA17" s="18">
        <f t="shared" si="11"/>
        <v>11.114326772553133</v>
      </c>
      <c r="AB17" s="18">
        <f t="shared" si="11"/>
        <v>11.546615143298551</v>
      </c>
      <c r="AC17" s="18">
        <f t="shared" si="11"/>
        <v>11.993087039857629</v>
      </c>
      <c r="AD17" s="18">
        <f t="shared" si="11"/>
        <v>12.45316267261946</v>
      </c>
      <c r="AE17" s="18">
        <f t="shared" si="11"/>
        <v>12.902116163059409</v>
      </c>
      <c r="AF17" s="18">
        <f t="shared" si="11"/>
        <v>13.367153383488194</v>
      </c>
      <c r="AG17" s="18">
        <f t="shared" si="11"/>
        <v>13.847808413141673</v>
      </c>
      <c r="AH17" s="18">
        <f t="shared" si="11"/>
        <v>14.340883291601369</v>
      </c>
      <c r="AI17" s="18">
        <f t="shared" si="11"/>
        <v>14.846837319324109</v>
      </c>
      <c r="AJ17" s="18">
        <f t="shared" si="11"/>
        <v>15.286754861755247</v>
      </c>
      <c r="AK17" s="18">
        <f t="shared" si="11"/>
        <v>15.735498247603941</v>
      </c>
      <c r="AL17" s="18">
        <f t="shared" si="11"/>
        <v>16.195741735223773</v>
      </c>
      <c r="AM17" s="18">
        <f t="shared" si="11"/>
        <v>16.664186718057927</v>
      </c>
      <c r="AN17" s="18">
        <f t="shared" si="11"/>
        <v>17.1415210722705</v>
      </c>
    </row>
    <row r="18" spans="1:40" x14ac:dyDescent="0.25">
      <c r="A18" t="s">
        <v>28</v>
      </c>
      <c r="B18">
        <v>14.11</v>
      </c>
      <c r="C18">
        <v>14.52</v>
      </c>
      <c r="D18">
        <v>14.79</v>
      </c>
      <c r="E18">
        <v>15.03</v>
      </c>
      <c r="F18">
        <v>15.21</v>
      </c>
      <c r="G18">
        <v>15.35</v>
      </c>
      <c r="H18">
        <v>15.51</v>
      </c>
      <c r="I18">
        <v>15.54</v>
      </c>
      <c r="J18">
        <v>14.21</v>
      </c>
      <c r="K18" s="18">
        <f t="shared" si="12"/>
        <v>15.146377283814578</v>
      </c>
      <c r="L18" s="18">
        <f t="shared" si="11"/>
        <v>15.897923359497302</v>
      </c>
      <c r="M18" s="18">
        <f t="shared" si="11"/>
        <v>16.673381258549394</v>
      </c>
      <c r="N18" s="18">
        <f t="shared" si="11"/>
        <v>17.482613773445497</v>
      </c>
      <c r="O18" s="18">
        <f t="shared" si="11"/>
        <v>18.322924774407582</v>
      </c>
      <c r="P18" s="18">
        <f t="shared" si="11"/>
        <v>19.229841643072422</v>
      </c>
      <c r="Q18" s="18">
        <f t="shared" si="11"/>
        <v>20.174061081070523</v>
      </c>
      <c r="R18" s="18">
        <f t="shared" si="11"/>
        <v>21.150583797803005</v>
      </c>
      <c r="S18" s="18">
        <f t="shared" si="11"/>
        <v>22.175932925468409</v>
      </c>
      <c r="T18" s="18">
        <f t="shared" si="11"/>
        <v>23.249163052678732</v>
      </c>
      <c r="U18" s="18">
        <f t="shared" si="11"/>
        <v>24.279752658789864</v>
      </c>
      <c r="V18" s="18">
        <f t="shared" si="11"/>
        <v>25.35878207479761</v>
      </c>
      <c r="W18" s="18">
        <f t="shared" si="11"/>
        <v>26.511549892335534</v>
      </c>
      <c r="X18" s="18">
        <f t="shared" si="11"/>
        <v>27.707077939379605</v>
      </c>
      <c r="Y18" s="18">
        <f t="shared" si="11"/>
        <v>28.985089398818143</v>
      </c>
      <c r="Z18" s="18">
        <f t="shared" si="11"/>
        <v>30.124274592972306</v>
      </c>
      <c r="AA18" s="18">
        <f t="shared" si="11"/>
        <v>31.289246022731103</v>
      </c>
      <c r="AB18" s="18">
        <f t="shared" si="11"/>
        <v>32.506231762112229</v>
      </c>
      <c r="AC18" s="18">
        <f t="shared" si="11"/>
        <v>33.763147210033978</v>
      </c>
      <c r="AD18" s="18">
        <f t="shared" si="11"/>
        <v>35.058360132700436</v>
      </c>
      <c r="AE18" s="18">
        <f t="shared" si="11"/>
        <v>36.322261806873776</v>
      </c>
      <c r="AF18" s="18">
        <f t="shared" si="11"/>
        <v>37.631442677428723</v>
      </c>
      <c r="AG18" s="18">
        <f t="shared" si="11"/>
        <v>38.984591076127103</v>
      </c>
      <c r="AH18" s="18">
        <f t="shared" si="11"/>
        <v>40.372704049182119</v>
      </c>
      <c r="AI18" s="18">
        <f t="shared" si="11"/>
        <v>41.797074627227659</v>
      </c>
      <c r="AJ18" s="18">
        <f t="shared" si="11"/>
        <v>43.035538143419664</v>
      </c>
      <c r="AK18" s="18">
        <f t="shared" si="11"/>
        <v>44.298848327493708</v>
      </c>
      <c r="AL18" s="18">
        <f t="shared" si="11"/>
        <v>45.594533798075624</v>
      </c>
      <c r="AM18" s="18">
        <f t="shared" si="11"/>
        <v>46.913308260619608</v>
      </c>
      <c r="AN18" s="18">
        <f t="shared" si="11"/>
        <v>48.257108236065875</v>
      </c>
    </row>
    <row r="19" spans="1:40" x14ac:dyDescent="0.25">
      <c r="A19" t="s">
        <v>25</v>
      </c>
      <c r="B19">
        <v>235.5</v>
      </c>
      <c r="C19">
        <v>241.63</v>
      </c>
      <c r="D19">
        <v>245.65</v>
      </c>
      <c r="E19">
        <v>248.47</v>
      </c>
      <c r="F19">
        <v>251.07</v>
      </c>
      <c r="G19">
        <v>252.54</v>
      </c>
      <c r="H19">
        <v>254.74</v>
      </c>
      <c r="I19">
        <v>254.67</v>
      </c>
      <c r="J19">
        <v>230.24</v>
      </c>
      <c r="K19" s="18">
        <f t="shared" si="12"/>
        <v>248.21929876892267</v>
      </c>
      <c r="L19" s="18">
        <f t="shared" si="11"/>
        <v>260.53565907098954</v>
      </c>
      <c r="M19" s="18">
        <f t="shared" si="11"/>
        <v>273.24388707302273</v>
      </c>
      <c r="N19" s="18">
        <f t="shared" si="11"/>
        <v>286.50561452273899</v>
      </c>
      <c r="O19" s="18">
        <f t="shared" si="11"/>
        <v>300.27665716205786</v>
      </c>
      <c r="P19" s="18">
        <f t="shared" si="11"/>
        <v>315.13923881861348</v>
      </c>
      <c r="Q19" s="18">
        <f t="shared" si="11"/>
        <v>330.61313613360551</v>
      </c>
      <c r="R19" s="18">
        <f t="shared" si="11"/>
        <v>346.61642057828129</v>
      </c>
      <c r="S19" s="18">
        <f t="shared" si="11"/>
        <v>363.41987375347748</v>
      </c>
      <c r="T19" s="18">
        <f t="shared" si="11"/>
        <v>381.00800222816554</v>
      </c>
      <c r="U19" s="18">
        <f t="shared" si="11"/>
        <v>397.89733652599836</v>
      </c>
      <c r="V19" s="18">
        <f t="shared" si="11"/>
        <v>415.58050392462724</v>
      </c>
      <c r="W19" s="18">
        <f t="shared" si="11"/>
        <v>434.4720985251667</v>
      </c>
      <c r="X19" s="18">
        <f t="shared" si="11"/>
        <v>454.06444908763217</v>
      </c>
      <c r="Y19" s="18">
        <f t="shared" si="11"/>
        <v>475.00854036016835</v>
      </c>
      <c r="Z19" s="18">
        <f t="shared" si="11"/>
        <v>493.67754250915425</v>
      </c>
      <c r="AA19" s="18">
        <f t="shared" si="11"/>
        <v>512.76913028371496</v>
      </c>
      <c r="AB19" s="18">
        <f t="shared" si="11"/>
        <v>532.71313017098589</v>
      </c>
      <c r="AC19" s="18">
        <f t="shared" si="11"/>
        <v>553.31149935517078</v>
      </c>
      <c r="AD19" s="18">
        <f t="shared" si="11"/>
        <v>574.53748873840539</v>
      </c>
      <c r="AE19" s="18">
        <f t="shared" si="11"/>
        <v>595.25034841419199</v>
      </c>
      <c r="AF19" s="18">
        <f t="shared" si="11"/>
        <v>616.70524495886571</v>
      </c>
      <c r="AG19" s="18">
        <f t="shared" si="11"/>
        <v>638.8806827128243</v>
      </c>
      <c r="AH19" s="18">
        <f t="shared" si="11"/>
        <v>661.6291209913262</v>
      </c>
      <c r="AI19" s="18">
        <f t="shared" si="11"/>
        <v>684.97175002033896</v>
      </c>
      <c r="AJ19" s="18">
        <f t="shared" si="11"/>
        <v>705.26772837739293</v>
      </c>
      <c r="AK19" s="18">
        <f t="shared" si="11"/>
        <v>725.97089469516231</v>
      </c>
      <c r="AL19" s="18">
        <f t="shared" si="11"/>
        <v>747.20462820823161</v>
      </c>
      <c r="AM19" s="18">
        <f t="shared" si="11"/>
        <v>768.81674483474865</v>
      </c>
      <c r="AN19" s="18">
        <f t="shared" si="11"/>
        <v>790.83898033969729</v>
      </c>
    </row>
    <row r="20" spans="1:40" x14ac:dyDescent="0.25">
      <c r="A20" t="s">
        <v>37</v>
      </c>
      <c r="B20">
        <v>27.52</v>
      </c>
      <c r="C20">
        <v>27.49</v>
      </c>
      <c r="D20">
        <v>27.45</v>
      </c>
      <c r="E20">
        <v>27.42</v>
      </c>
      <c r="F20">
        <v>27.39</v>
      </c>
      <c r="G20">
        <v>27.36</v>
      </c>
      <c r="H20">
        <v>27.33</v>
      </c>
      <c r="I20">
        <v>27.24</v>
      </c>
      <c r="J20">
        <v>27.16</v>
      </c>
      <c r="K20" s="18">
        <f t="shared" si="12"/>
        <v>26.550020412555281</v>
      </c>
      <c r="L20" s="18">
        <f t="shared" si="11"/>
        <v>27.867402336724997</v>
      </c>
      <c r="M20" s="18">
        <f t="shared" si="11"/>
        <v>29.226699194522869</v>
      </c>
      <c r="N20" s="18">
        <f t="shared" si="11"/>
        <v>30.645199432989397</v>
      </c>
      <c r="O20" s="18">
        <f t="shared" si="11"/>
        <v>32.118177017687415</v>
      </c>
      <c r="P20" s="18">
        <f t="shared" si="11"/>
        <v>33.707907744999531</v>
      </c>
      <c r="Q20" s="18">
        <f t="shared" si="11"/>
        <v>35.363025987668017</v>
      </c>
      <c r="R20" s="18">
        <f t="shared" si="11"/>
        <v>37.074768510434602</v>
      </c>
      <c r="S20" s="18">
        <f t="shared" si="11"/>
        <v>38.872098641554658</v>
      </c>
      <c r="T20" s="18">
        <f t="shared" si="11"/>
        <v>40.753359173421401</v>
      </c>
      <c r="U20" s="18">
        <f t="shared" si="11"/>
        <v>42.559875316952109</v>
      </c>
      <c r="V20" s="18">
        <f t="shared" si="11"/>
        <v>44.451301397521675</v>
      </c>
      <c r="W20" s="18">
        <f t="shared" si="11"/>
        <v>46.471983208958804</v>
      </c>
      <c r="X20" s="18">
        <f t="shared" si="11"/>
        <v>48.567619245090114</v>
      </c>
      <c r="Y20" s="18">
        <f t="shared" si="11"/>
        <v>50.80784010449203</v>
      </c>
      <c r="Z20" s="18">
        <f t="shared" si="11"/>
        <v>52.804712993086582</v>
      </c>
      <c r="AA20" s="18">
        <f t="shared" si="11"/>
        <v>54.84678646455567</v>
      </c>
      <c r="AB20" s="18">
        <f t="shared" si="11"/>
        <v>56.980035598451536</v>
      </c>
      <c r="AC20" s="18">
        <f t="shared" si="11"/>
        <v>59.183277348862639</v>
      </c>
      <c r="AD20" s="18">
        <f t="shared" si="11"/>
        <v>61.453650580100373</v>
      </c>
      <c r="AE20" s="18">
        <f t="shared" si="11"/>
        <v>63.669138456836649</v>
      </c>
      <c r="AF20" s="18">
        <f t="shared" si="11"/>
        <v>65.963996044604784</v>
      </c>
      <c r="AG20" s="18">
        <f t="shared" si="11"/>
        <v>68.335924125720851</v>
      </c>
      <c r="AH20" s="18">
        <f t="shared" si="11"/>
        <v>70.769141460728491</v>
      </c>
      <c r="AI20" s="18">
        <f t="shared" si="11"/>
        <v>73.265914597534191</v>
      </c>
      <c r="AJ20" s="18">
        <f t="shared" si="11"/>
        <v>75.436812035183493</v>
      </c>
      <c r="AK20" s="18">
        <f t="shared" si="11"/>
        <v>77.651263091436832</v>
      </c>
      <c r="AL20" s="18">
        <f t="shared" si="11"/>
        <v>79.922464649908605</v>
      </c>
      <c r="AM20" s="18">
        <f t="shared" si="11"/>
        <v>82.234138804329334</v>
      </c>
      <c r="AN20" s="18">
        <f t="shared" si="11"/>
        <v>84.589680074030511</v>
      </c>
    </row>
    <row r="21" spans="1:40" x14ac:dyDescent="0.25">
      <c r="A21" t="s">
        <v>26</v>
      </c>
      <c r="B21">
        <v>17.78</v>
      </c>
      <c r="C21">
        <v>18.190000000000001</v>
      </c>
      <c r="D21">
        <v>18.54</v>
      </c>
      <c r="E21">
        <v>18.73</v>
      </c>
      <c r="F21">
        <v>19.13</v>
      </c>
      <c r="G21">
        <v>19.23</v>
      </c>
      <c r="H21">
        <v>19.5</v>
      </c>
      <c r="I21">
        <v>19.52</v>
      </c>
      <c r="J21">
        <v>18.16</v>
      </c>
      <c r="K21" s="18">
        <f t="shared" si="12"/>
        <v>19.025565288292185</v>
      </c>
      <c r="L21" s="18">
        <f t="shared" si="11"/>
        <v>19.969592276537153</v>
      </c>
      <c r="M21" s="18">
        <f t="shared" si="11"/>
        <v>20.943655223094218</v>
      </c>
      <c r="N21" s="18">
        <f t="shared" si="11"/>
        <v>21.96014291233308</v>
      </c>
      <c r="O21" s="18">
        <f t="shared" si="11"/>
        <v>23.015668699899358</v>
      </c>
      <c r="P21" s="18">
        <f t="shared" si="11"/>
        <v>24.154859000821986</v>
      </c>
      <c r="Q21" s="18">
        <f t="shared" si="11"/>
        <v>25.340905553571208</v>
      </c>
      <c r="R21" s="18">
        <f t="shared" si="11"/>
        <v>26.56752868295461</v>
      </c>
      <c r="S21" s="18">
        <f t="shared" si="11"/>
        <v>27.85548331435929</v>
      </c>
      <c r="T21" s="18">
        <f t="shared" si="11"/>
        <v>29.203581904008288</v>
      </c>
      <c r="U21" s="18">
        <f t="shared" ref="L21:AN25" si="14">$I21/$I$28*U$28</f>
        <v>30.49811916985702</v>
      </c>
      <c r="V21" s="18">
        <f t="shared" si="14"/>
        <v>31.853502323040498</v>
      </c>
      <c r="W21" s="18">
        <f t="shared" si="14"/>
        <v>33.301509259870627</v>
      </c>
      <c r="X21" s="18">
        <f t="shared" si="14"/>
        <v>34.803227887817883</v>
      </c>
      <c r="Y21" s="18">
        <f t="shared" si="14"/>
        <v>36.408555023483281</v>
      </c>
      <c r="Z21" s="18">
        <f t="shared" si="14"/>
        <v>37.839500647028274</v>
      </c>
      <c r="AA21" s="18">
        <f t="shared" si="14"/>
        <v>39.302836702941512</v>
      </c>
      <c r="AB21" s="18">
        <f t="shared" si="14"/>
        <v>40.831508622678932</v>
      </c>
      <c r="AC21" s="18">
        <f t="shared" si="14"/>
        <v>42.410336778626977</v>
      </c>
      <c r="AD21" s="18">
        <f t="shared" si="14"/>
        <v>44.037270900277512</v>
      </c>
      <c r="AE21" s="18">
        <f t="shared" si="14"/>
        <v>45.624874547630377</v>
      </c>
      <c r="AF21" s="18">
        <f t="shared" si="14"/>
        <v>47.269353993784343</v>
      </c>
      <c r="AG21" s="18">
        <f t="shared" si="14"/>
        <v>48.969061634877804</v>
      </c>
      <c r="AH21" s="18">
        <f t="shared" si="14"/>
        <v>50.712688741314992</v>
      </c>
      <c r="AI21" s="18">
        <f t="shared" si="14"/>
        <v>52.501859506015691</v>
      </c>
      <c r="AJ21" s="18">
        <f t="shared" si="14"/>
        <v>54.057509945917104</v>
      </c>
      <c r="AK21" s="18">
        <f t="shared" si="14"/>
        <v>55.644370614715385</v>
      </c>
      <c r="AL21" s="18">
        <f t="shared" si="14"/>
        <v>57.271898310066675</v>
      </c>
      <c r="AM21" s="18">
        <f t="shared" si="14"/>
        <v>58.928428394291807</v>
      </c>
      <c r="AN21" s="18">
        <f t="shared" si="14"/>
        <v>60.61639335701453</v>
      </c>
    </row>
    <row r="22" spans="1:40" x14ac:dyDescent="0.25">
      <c r="A22" t="s">
        <v>35</v>
      </c>
      <c r="B22">
        <v>11.26</v>
      </c>
      <c r="C22">
        <v>11.57</v>
      </c>
      <c r="D22">
        <v>11.91</v>
      </c>
      <c r="E22">
        <v>12.12</v>
      </c>
      <c r="F22">
        <v>12.2</v>
      </c>
      <c r="G22">
        <v>12.36</v>
      </c>
      <c r="H22">
        <v>12.64</v>
      </c>
      <c r="I22">
        <v>12.79</v>
      </c>
      <c r="J22">
        <v>12</v>
      </c>
      <c r="K22" s="18">
        <f t="shared" si="12"/>
        <v>12.466033813384069</v>
      </c>
      <c r="L22" s="18">
        <f t="shared" si="14"/>
        <v>13.084584283653184</v>
      </c>
      <c r="M22" s="18">
        <f t="shared" si="14"/>
        <v>13.722815077017163</v>
      </c>
      <c r="N22" s="18">
        <f t="shared" si="14"/>
        <v>14.388843639792011</v>
      </c>
      <c r="O22" s="18">
        <f t="shared" si="14"/>
        <v>15.080450956542661</v>
      </c>
      <c r="P22" s="18">
        <f t="shared" si="14"/>
        <v>15.826877388345963</v>
      </c>
      <c r="Q22" s="18">
        <f t="shared" si="14"/>
        <v>16.604005226955724</v>
      </c>
      <c r="R22" s="18">
        <f t="shared" si="14"/>
        <v>17.407719869620362</v>
      </c>
      <c r="S22" s="18">
        <f t="shared" si="14"/>
        <v>18.251620470832751</v>
      </c>
      <c r="T22" s="18">
        <f t="shared" si="14"/>
        <v>19.134928921734939</v>
      </c>
      <c r="U22" s="18">
        <f t="shared" si="14"/>
        <v>19.983142632298733</v>
      </c>
      <c r="V22" s="18">
        <f t="shared" si="14"/>
        <v>20.871224114328278</v>
      </c>
      <c r="W22" s="18">
        <f t="shared" si="14"/>
        <v>21.819995052958266</v>
      </c>
      <c r="X22" s="18">
        <f t="shared" si="14"/>
        <v>22.803959256413457</v>
      </c>
      <c r="Y22" s="18">
        <f t="shared" si="14"/>
        <v>23.855810386800773</v>
      </c>
      <c r="Z22" s="18">
        <f t="shared" si="14"/>
        <v>24.793402319441167</v>
      </c>
      <c r="AA22" s="18">
        <f t="shared" si="14"/>
        <v>25.752217286404811</v>
      </c>
      <c r="AB22" s="18">
        <f t="shared" si="14"/>
        <v>26.753841971519648</v>
      </c>
      <c r="AC22" s="18">
        <f t="shared" si="14"/>
        <v>27.788330297061425</v>
      </c>
      <c r="AD22" s="18">
        <f t="shared" si="14"/>
        <v>28.854338873696175</v>
      </c>
      <c r="AE22" s="18">
        <f t="shared" si="14"/>
        <v>29.894577124190189</v>
      </c>
      <c r="AF22" s="18">
        <f t="shared" si="14"/>
        <v>30.972081843263407</v>
      </c>
      <c r="AG22" s="18">
        <f t="shared" si="14"/>
        <v>32.085773479000359</v>
      </c>
      <c r="AH22" s="18">
        <f t="shared" si="14"/>
        <v>33.228242264416942</v>
      </c>
      <c r="AI22" s="18">
        <f t="shared" si="14"/>
        <v>34.40055241198467</v>
      </c>
      <c r="AJ22" s="18">
        <f t="shared" si="14"/>
        <v>35.419854109030723</v>
      </c>
      <c r="AK22" s="18">
        <f t="shared" si="14"/>
        <v>36.459605541096813</v>
      </c>
      <c r="AL22" s="18">
        <f t="shared" si="14"/>
        <v>37.526003042302904</v>
      </c>
      <c r="AM22" s="18">
        <f t="shared" si="14"/>
        <v>38.61140364564509</v>
      </c>
      <c r="AN22" s="18">
        <f t="shared" si="14"/>
        <v>39.717401180134004</v>
      </c>
    </row>
    <row r="23" spans="1:40" x14ac:dyDescent="0.25">
      <c r="A23" t="s">
        <v>34</v>
      </c>
      <c r="B23">
        <v>135.96</v>
      </c>
      <c r="C23">
        <v>139.72999999999999</v>
      </c>
      <c r="D23">
        <v>142.69999999999999</v>
      </c>
      <c r="E23">
        <v>144.16</v>
      </c>
      <c r="F23">
        <v>145.31</v>
      </c>
      <c r="G23">
        <v>147.16</v>
      </c>
      <c r="H23">
        <v>148.75</v>
      </c>
      <c r="I23">
        <v>149.16999999999999</v>
      </c>
      <c r="J23">
        <v>138.22</v>
      </c>
      <c r="K23" s="18">
        <f t="shared" si="12"/>
        <v>145.39157653967956</v>
      </c>
      <c r="L23" s="18">
        <f t="shared" si="14"/>
        <v>152.60574179769705</v>
      </c>
      <c r="M23" s="18">
        <f t="shared" si="14"/>
        <v>160.04943901787726</v>
      </c>
      <c r="N23" s="18">
        <f t="shared" si="14"/>
        <v>167.81734212257811</v>
      </c>
      <c r="O23" s="18">
        <f t="shared" si="14"/>
        <v>175.88357069487637</v>
      </c>
      <c r="P23" s="18">
        <f t="shared" si="14"/>
        <v>184.58915559183478</v>
      </c>
      <c r="Q23" s="18">
        <f t="shared" si="14"/>
        <v>193.6528115484742</v>
      </c>
      <c r="R23" s="18">
        <f t="shared" si="14"/>
        <v>203.0265498789108</v>
      </c>
      <c r="S23" s="18">
        <f t="shared" si="14"/>
        <v>212.86897776654584</v>
      </c>
      <c r="T23" s="18">
        <f t="shared" si="14"/>
        <v>223.17102011377642</v>
      </c>
      <c r="U23" s="18">
        <f t="shared" si="14"/>
        <v>233.0637518733387</v>
      </c>
      <c r="V23" s="18">
        <f t="shared" si="14"/>
        <v>243.42146216844009</v>
      </c>
      <c r="W23" s="18">
        <f t="shared" si="14"/>
        <v>254.48699468723879</v>
      </c>
      <c r="X23" s="18">
        <f t="shared" si="14"/>
        <v>265.96298688656725</v>
      </c>
      <c r="Y23" s="18">
        <f t="shared" si="14"/>
        <v>278.23074553550202</v>
      </c>
      <c r="Z23" s="18">
        <f t="shared" si="14"/>
        <v>289.16589710641426</v>
      </c>
      <c r="AA23" s="18">
        <f t="shared" si="14"/>
        <v>300.34857330828817</v>
      </c>
      <c r="AB23" s="18">
        <f t="shared" si="14"/>
        <v>312.03054002279794</v>
      </c>
      <c r="AC23" s="18">
        <f t="shared" si="14"/>
        <v>324.09579596658739</v>
      </c>
      <c r="AD23" s="18">
        <f t="shared" si="14"/>
        <v>336.52867316569649</v>
      </c>
      <c r="AE23" s="18">
        <f t="shared" si="14"/>
        <v>348.66099058760364</v>
      </c>
      <c r="AF23" s="18">
        <f t="shared" si="14"/>
        <v>361.22794750270538</v>
      </c>
      <c r="AG23" s="18">
        <f t="shared" si="14"/>
        <v>374.21695307759836</v>
      </c>
      <c r="AH23" s="18">
        <f t="shared" si="14"/>
        <v>387.54158706669858</v>
      </c>
      <c r="AI23" s="18">
        <f t="shared" si="14"/>
        <v>401.21426139919879</v>
      </c>
      <c r="AJ23" s="18">
        <f t="shared" si="14"/>
        <v>413.10239542174452</v>
      </c>
      <c r="AK23" s="18">
        <f t="shared" si="14"/>
        <v>425.22903507157241</v>
      </c>
      <c r="AL23" s="18">
        <f t="shared" si="14"/>
        <v>437.66644830495107</v>
      </c>
      <c r="AM23" s="18">
        <f t="shared" si="14"/>
        <v>450.32549506027192</v>
      </c>
      <c r="AN23" s="18">
        <f t="shared" si="14"/>
        <v>463.22476419394758</v>
      </c>
    </row>
    <row r="24" spans="1:40" x14ac:dyDescent="0.25">
      <c r="A24" t="s">
        <v>33</v>
      </c>
      <c r="B24">
        <v>21.15</v>
      </c>
      <c r="C24">
        <v>22.37</v>
      </c>
      <c r="D24">
        <v>23.86</v>
      </c>
      <c r="E24">
        <v>24.79</v>
      </c>
      <c r="F24">
        <v>25.39</v>
      </c>
      <c r="G24">
        <v>26.91</v>
      </c>
      <c r="H24">
        <v>28.69</v>
      </c>
      <c r="I24">
        <v>29.81</v>
      </c>
      <c r="J24">
        <v>28.74</v>
      </c>
      <c r="K24" s="18">
        <f t="shared" si="12"/>
        <v>29.054923219466701</v>
      </c>
      <c r="L24" s="18">
        <f t="shared" si="14"/>
        <v>30.496595582150228</v>
      </c>
      <c r="M24" s="18">
        <f t="shared" si="14"/>
        <v>31.984137407809353</v>
      </c>
      <c r="N24" s="18">
        <f t="shared" si="14"/>
        <v>33.536468248803743</v>
      </c>
      <c r="O24" s="18">
        <f t="shared" si="14"/>
        <v>35.148416185655726</v>
      </c>
      <c r="P24" s="18">
        <f t="shared" si="14"/>
        <v>36.888132521234802</v>
      </c>
      <c r="Q24" s="18">
        <f t="shared" si="14"/>
        <v>38.699405458604389</v>
      </c>
      <c r="R24" s="18">
        <f t="shared" si="14"/>
        <v>40.572644981499842</v>
      </c>
      <c r="S24" s="18">
        <f t="shared" si="14"/>
        <v>42.53954700825053</v>
      </c>
      <c r="T24" s="18">
        <f t="shared" si="14"/>
        <v>44.59829797943069</v>
      </c>
      <c r="U24" s="18">
        <f t="shared" si="14"/>
        <v>46.575252687163818</v>
      </c>
      <c r="V24" s="18">
        <f t="shared" si="14"/>
        <v>48.645128291487559</v>
      </c>
      <c r="W24" s="18">
        <f t="shared" si="14"/>
        <v>50.856454458849562</v>
      </c>
      <c r="X24" s="18">
        <f t="shared" si="14"/>
        <v>53.149806523353021</v>
      </c>
      <c r="Y24" s="18">
        <f t="shared" si="14"/>
        <v>55.601384490268259</v>
      </c>
      <c r="Z24" s="18">
        <f t="shared" si="14"/>
        <v>57.7866554450775</v>
      </c>
      <c r="AA24" s="18">
        <f t="shared" si="14"/>
        <v>60.021391501776968</v>
      </c>
      <c r="AB24" s="18">
        <f t="shared" si="14"/>
        <v>62.355905330023511</v>
      </c>
      <c r="AC24" s="18">
        <f t="shared" si="14"/>
        <v>64.76701533662245</v>
      </c>
      <c r="AD24" s="18">
        <f t="shared" si="14"/>
        <v>67.251590447606176</v>
      </c>
      <c r="AE24" s="18">
        <f t="shared" si="14"/>
        <v>69.67610196029004</v>
      </c>
      <c r="AF24" s="18">
        <f t="shared" si="14"/>
        <v>72.187471442352006</v>
      </c>
      <c r="AG24" s="18">
        <f t="shared" si="14"/>
        <v>74.783182752853847</v>
      </c>
      <c r="AH24" s="18">
        <f t="shared" si="14"/>
        <v>77.445965746854498</v>
      </c>
      <c r="AI24" s="18">
        <f t="shared" si="14"/>
        <v>80.178300813234003</v>
      </c>
      <c r="AJ24" s="18">
        <f t="shared" si="14"/>
        <v>82.55401493277607</v>
      </c>
      <c r="AK24" s="18">
        <f t="shared" si="14"/>
        <v>84.977391804542293</v>
      </c>
      <c r="AL24" s="18">
        <f t="shared" si="14"/>
        <v>87.462873392576199</v>
      </c>
      <c r="AM24" s="18">
        <f t="shared" si="14"/>
        <v>89.992646026323698</v>
      </c>
      <c r="AN24" s="18">
        <f t="shared" si="14"/>
        <v>92.570424486301377</v>
      </c>
    </row>
    <row r="25" spans="1:40" x14ac:dyDescent="0.25">
      <c r="A25" t="s">
        <v>36</v>
      </c>
      <c r="B25">
        <v>1.1399999999999999</v>
      </c>
      <c r="C25">
        <v>1.1599999999999999</v>
      </c>
      <c r="D25">
        <v>1.1399999999999999</v>
      </c>
      <c r="E25">
        <v>1.1299999999999999</v>
      </c>
      <c r="F25">
        <v>1.1499999999999999</v>
      </c>
      <c r="G25">
        <v>1.1499999999999999</v>
      </c>
      <c r="H25">
        <v>1.1200000000000001</v>
      </c>
      <c r="I25">
        <v>1.0900000000000001</v>
      </c>
      <c r="J25">
        <v>0.99</v>
      </c>
      <c r="K25" s="18">
        <f t="shared" si="12"/>
        <v>1.0623906846433648</v>
      </c>
      <c r="L25" s="18">
        <f t="shared" si="14"/>
        <v>1.1151053064254866</v>
      </c>
      <c r="M25" s="18">
        <f t="shared" si="14"/>
        <v>1.1694971410436834</v>
      </c>
      <c r="N25" s="18">
        <f t="shared" si="14"/>
        <v>1.2262579802481075</v>
      </c>
      <c r="O25" s="18">
        <f t="shared" si="14"/>
        <v>1.2851987132628229</v>
      </c>
      <c r="P25" s="18">
        <f t="shared" si="14"/>
        <v>1.3488112864188508</v>
      </c>
      <c r="Q25" s="18">
        <f t="shared" si="14"/>
        <v>1.4150403203582285</v>
      </c>
      <c r="R25" s="18">
        <f t="shared" si="14"/>
        <v>1.4835351569887565</v>
      </c>
      <c r="S25" s="18">
        <f t="shared" si="14"/>
        <v>1.5554547547464972</v>
      </c>
      <c r="T25" s="18">
        <f t="shared" si="14"/>
        <v>1.6307328009922664</v>
      </c>
      <c r="U25" s="18">
        <f t="shared" si="14"/>
        <v>1.7030199741364833</v>
      </c>
      <c r="V25" s="18">
        <f t="shared" si="14"/>
        <v>1.7787047916042082</v>
      </c>
      <c r="W25" s="18">
        <f t="shared" si="14"/>
        <v>1.8595617363349892</v>
      </c>
      <c r="X25" s="18">
        <f t="shared" si="14"/>
        <v>1.9434179507029454</v>
      </c>
      <c r="Y25" s="18">
        <f t="shared" si="14"/>
        <v>2.033059681126884</v>
      </c>
      <c r="Z25" s="18">
        <f t="shared" si="14"/>
        <v>2.1129639193268863</v>
      </c>
      <c r="AA25" s="18">
        <f t="shared" si="14"/>
        <v>2.1946768445802385</v>
      </c>
      <c r="AB25" s="18">
        <f t="shared" si="14"/>
        <v>2.2800381351803298</v>
      </c>
      <c r="AC25" s="18">
        <f t="shared" si="14"/>
        <v>2.3682001582327565</v>
      </c>
      <c r="AD25" s="18">
        <f t="shared" si="14"/>
        <v>2.4590484262962344</v>
      </c>
      <c r="AE25" s="18">
        <f t="shared" si="14"/>
        <v>2.5477004742273115</v>
      </c>
      <c r="AF25" s="18">
        <f t="shared" si="14"/>
        <v>2.6395284760873432</v>
      </c>
      <c r="AG25" s="18">
        <f t="shared" si="14"/>
        <v>2.7344404294065985</v>
      </c>
      <c r="AH25" s="18">
        <f t="shared" si="14"/>
        <v>2.8318048528705608</v>
      </c>
      <c r="AI25" s="18">
        <f t="shared" si="14"/>
        <v>2.9317124416781306</v>
      </c>
      <c r="AJ25" s="18">
        <f t="shared" si="14"/>
        <v>3.0185802172668876</v>
      </c>
      <c r="AK25" s="18">
        <f t="shared" si="14"/>
        <v>3.1071907771536771</v>
      </c>
      <c r="AL25" s="18">
        <f t="shared" si="14"/>
        <v>3.1980721904699121</v>
      </c>
      <c r="AM25" s="18">
        <f t="shared" si="14"/>
        <v>3.2905731019353524</v>
      </c>
      <c r="AN25" s="18">
        <f t="shared" si="14"/>
        <v>3.3848293421693567</v>
      </c>
    </row>
    <row r="26" spans="1:40" x14ac:dyDescent="0.25">
      <c r="A26" t="s">
        <v>77</v>
      </c>
      <c r="B26">
        <f>SUM(B8:B25)</f>
        <v>2893.58</v>
      </c>
      <c r="C26">
        <f t="shared" ref="C26:J26" si="15">SUM(C8:C25)</f>
        <v>2965.2699999999995</v>
      </c>
      <c r="D26">
        <f t="shared" si="15"/>
        <v>3020.96</v>
      </c>
      <c r="E26">
        <f t="shared" si="15"/>
        <v>3059.4500000000003</v>
      </c>
      <c r="F26">
        <f t="shared" si="15"/>
        <v>3083.92</v>
      </c>
      <c r="G26">
        <f t="shared" si="15"/>
        <v>3120.5399999999995</v>
      </c>
      <c r="H26">
        <f t="shared" si="15"/>
        <v>3152.24</v>
      </c>
      <c r="I26">
        <f t="shared" si="15"/>
        <v>3179.29</v>
      </c>
      <c r="J26">
        <f t="shared" si="15"/>
        <v>2948.9199999999996</v>
      </c>
      <c r="K26" s="18">
        <f>(1+K2)*J26</f>
        <v>3108.1616799999997</v>
      </c>
      <c r="L26" s="18">
        <f t="shared" ref="L26:AN26" si="16">(1+L2)*K26</f>
        <v>3276.0024107199997</v>
      </c>
      <c r="M26" s="18">
        <f t="shared" si="16"/>
        <v>3452.9065408988799</v>
      </c>
      <c r="N26" s="18">
        <f t="shared" si="16"/>
        <v>3639.3634941074197</v>
      </c>
      <c r="O26" s="18">
        <f t="shared" si="16"/>
        <v>3835.8891227892204</v>
      </c>
      <c r="P26" s="18">
        <f t="shared" si="16"/>
        <v>4043.0271354198385</v>
      </c>
      <c r="Q26" s="18">
        <f t="shared" si="16"/>
        <v>4261.3506007325095</v>
      </c>
      <c r="R26" s="18">
        <f t="shared" si="16"/>
        <v>4491.4635331720656</v>
      </c>
      <c r="S26" s="18">
        <f t="shared" si="16"/>
        <v>4734.0025639633577</v>
      </c>
      <c r="T26" s="18">
        <f t="shared" si="16"/>
        <v>4989.6387024173791</v>
      </c>
      <c r="U26" s="18">
        <f t="shared" si="16"/>
        <v>5239.120637538248</v>
      </c>
      <c r="V26" s="18">
        <f t="shared" si="16"/>
        <v>5501.0766694151607</v>
      </c>
      <c r="W26" s="18">
        <f t="shared" si="16"/>
        <v>5776.1305028859188</v>
      </c>
      <c r="X26" s="18">
        <f t="shared" si="16"/>
        <v>6064.9370280302146</v>
      </c>
      <c r="Y26" s="18">
        <f t="shared" si="16"/>
        <v>6368.1838794317255</v>
      </c>
      <c r="Z26" s="18">
        <f t="shared" si="16"/>
        <v>6654.7521540061525</v>
      </c>
      <c r="AA26" s="18">
        <f t="shared" si="16"/>
        <v>6954.2160009364288</v>
      </c>
      <c r="AB26" s="18">
        <f t="shared" si="16"/>
        <v>7267.1557209785678</v>
      </c>
      <c r="AC26" s="18">
        <f t="shared" si="16"/>
        <v>7594.1777284226027</v>
      </c>
      <c r="AD26" s="18">
        <f t="shared" si="16"/>
        <v>7935.9157262016197</v>
      </c>
      <c r="AE26" s="18">
        <f t="shared" si="16"/>
        <v>8253.3523552496845</v>
      </c>
      <c r="AF26" s="18">
        <f t="shared" si="16"/>
        <v>8583.4864494596713</v>
      </c>
      <c r="AG26" s="18">
        <f t="shared" si="16"/>
        <v>8926.8259074380585</v>
      </c>
      <c r="AH26" s="18">
        <f t="shared" si="16"/>
        <v>9283.8989437355813</v>
      </c>
      <c r="AI26" s="18">
        <f t="shared" si="16"/>
        <v>9655.2549014850047</v>
      </c>
      <c r="AJ26" s="18">
        <f t="shared" si="16"/>
        <v>9993.1888230369786</v>
      </c>
      <c r="AK26" s="18">
        <f t="shared" si="16"/>
        <v>10342.950431843272</v>
      </c>
      <c r="AL26" s="18">
        <f t="shared" si="16"/>
        <v>10704.953696957786</v>
      </c>
      <c r="AM26" s="18">
        <f t="shared" si="16"/>
        <v>11079.627076351308</v>
      </c>
      <c r="AN26" s="18">
        <f t="shared" si="16"/>
        <v>11467.414024023603</v>
      </c>
    </row>
    <row r="27" spans="1:40" x14ac:dyDescent="0.25">
      <c r="A27" t="s">
        <v>78</v>
      </c>
      <c r="C27" s="1">
        <f>C26/B26-1</f>
        <v>2.477553756937767E-2</v>
      </c>
      <c r="D27" s="1">
        <f t="shared" ref="D27:AN27" si="17">D26/C26-1</f>
        <v>1.878075183710104E-2</v>
      </c>
      <c r="E27" s="1">
        <f t="shared" si="17"/>
        <v>1.2740982998781902E-2</v>
      </c>
      <c r="F27" s="1">
        <f t="shared" si="17"/>
        <v>7.9981696056479201E-3</v>
      </c>
      <c r="G27" s="1">
        <f t="shared" si="17"/>
        <v>1.187449739292834E-2</v>
      </c>
      <c r="H27" s="1">
        <f t="shared" si="17"/>
        <v>1.0158498208643563E-2</v>
      </c>
      <c r="I27" s="1">
        <f t="shared" si="17"/>
        <v>8.581199401060946E-3</v>
      </c>
      <c r="J27" s="1">
        <f t="shared" si="17"/>
        <v>-7.2459574307471297E-2</v>
      </c>
      <c r="K27" s="1">
        <f t="shared" si="17"/>
        <v>5.4000000000000048E-2</v>
      </c>
      <c r="L27" s="1">
        <f t="shared" si="17"/>
        <v>5.4000000000000048E-2</v>
      </c>
      <c r="M27" s="1">
        <f t="shared" si="17"/>
        <v>5.4000000000000048E-2</v>
      </c>
      <c r="N27" s="1">
        <f t="shared" si="17"/>
        <v>5.4000000000000048E-2</v>
      </c>
      <c r="O27" s="1">
        <f t="shared" si="17"/>
        <v>5.4000000000000048E-2</v>
      </c>
      <c r="P27" s="1">
        <f t="shared" si="17"/>
        <v>5.4000000000000048E-2</v>
      </c>
      <c r="Q27" s="1">
        <f t="shared" si="17"/>
        <v>5.4000000000000048E-2</v>
      </c>
      <c r="R27" s="1">
        <f t="shared" si="17"/>
        <v>5.4000000000000048E-2</v>
      </c>
      <c r="S27" s="1">
        <f t="shared" si="17"/>
        <v>5.4000000000000048E-2</v>
      </c>
      <c r="T27" s="1">
        <f t="shared" si="17"/>
        <v>5.4000000000000048E-2</v>
      </c>
      <c r="U27" s="1">
        <f t="shared" si="17"/>
        <v>5.0000000000000044E-2</v>
      </c>
      <c r="V27" s="1">
        <f t="shared" si="17"/>
        <v>5.0000000000000044E-2</v>
      </c>
      <c r="W27" s="1">
        <f t="shared" si="17"/>
        <v>5.0000000000000044E-2</v>
      </c>
      <c r="X27" s="1">
        <f t="shared" si="17"/>
        <v>5.0000000000000044E-2</v>
      </c>
      <c r="Y27" s="1">
        <f t="shared" si="17"/>
        <v>5.0000000000000044E-2</v>
      </c>
      <c r="Z27" s="1">
        <f t="shared" si="17"/>
        <v>4.4999999999999929E-2</v>
      </c>
      <c r="AA27" s="1">
        <f t="shared" si="17"/>
        <v>4.4999999999999929E-2</v>
      </c>
      <c r="AB27" s="1">
        <f t="shared" si="17"/>
        <v>4.4999999999999929E-2</v>
      </c>
      <c r="AC27" s="1">
        <f t="shared" si="17"/>
        <v>4.4999999999999929E-2</v>
      </c>
      <c r="AD27" s="1">
        <f t="shared" si="17"/>
        <v>4.4999999999999929E-2</v>
      </c>
      <c r="AE27" s="1">
        <f t="shared" si="17"/>
        <v>4.0000000000000036E-2</v>
      </c>
      <c r="AF27" s="1">
        <f t="shared" si="17"/>
        <v>4.0000000000000036E-2</v>
      </c>
      <c r="AG27" s="1">
        <f t="shared" si="17"/>
        <v>4.0000000000000036E-2</v>
      </c>
      <c r="AH27" s="1">
        <f t="shared" si="17"/>
        <v>4.0000000000000036E-2</v>
      </c>
      <c r="AI27" s="1">
        <f t="shared" si="17"/>
        <v>4.0000000000000036E-2</v>
      </c>
      <c r="AJ27" s="1">
        <f t="shared" si="17"/>
        <v>3.499999999999992E-2</v>
      </c>
      <c r="AK27" s="1">
        <f t="shared" si="17"/>
        <v>3.499999999999992E-2</v>
      </c>
      <c r="AL27" s="1">
        <f t="shared" si="17"/>
        <v>3.499999999999992E-2</v>
      </c>
      <c r="AM27" s="1">
        <f t="shared" si="17"/>
        <v>3.499999999999992E-2</v>
      </c>
      <c r="AN27" s="1">
        <f t="shared" si="17"/>
        <v>3.499999999999992E-2</v>
      </c>
    </row>
    <row r="28" spans="1:40" x14ac:dyDescent="0.25">
      <c r="A28" t="s">
        <v>89</v>
      </c>
      <c r="I28" s="18">
        <f>I26-I8-I9-I10-I16</f>
        <v>762.31000000000017</v>
      </c>
      <c r="J28" s="18">
        <f>J26-J8-J9-J10-J16</f>
        <v>707.70999999999981</v>
      </c>
      <c r="K28" s="18">
        <f>K26-K8-K9-K10-K16</f>
        <v>743.00095670686574</v>
      </c>
      <c r="L28" s="18">
        <f t="shared" ref="L28:AN28" si="18">L26-L8-L9-L10-L16</f>
        <v>779.86782214790162</v>
      </c>
      <c r="M28" s="18">
        <f t="shared" si="18"/>
        <v>817.9076748523031</v>
      </c>
      <c r="N28" s="18">
        <f t="shared" si="18"/>
        <v>857.60433112195869</v>
      </c>
      <c r="O28" s="18">
        <f t="shared" si="18"/>
        <v>898.82553312603909</v>
      </c>
      <c r="P28" s="18">
        <f t="shared" si="18"/>
        <v>943.31406582564614</v>
      </c>
      <c r="Q28" s="18">
        <f t="shared" si="18"/>
        <v>989.63246478190945</v>
      </c>
      <c r="R28" s="18">
        <f t="shared" si="18"/>
        <v>1037.535491306513</v>
      </c>
      <c r="S28" s="18">
        <f t="shared" si="18"/>
        <v>1087.8336826521124</v>
      </c>
      <c r="T28" s="18">
        <f t="shared" si="18"/>
        <v>1140.4806619490043</v>
      </c>
      <c r="U28" s="18">
        <f t="shared" si="18"/>
        <v>1191.0359233798008</v>
      </c>
      <c r="V28" s="18">
        <f t="shared" si="18"/>
        <v>1243.9673850346828</v>
      </c>
      <c r="W28" s="18">
        <f t="shared" si="18"/>
        <v>1300.5160616747944</v>
      </c>
      <c r="X28" s="18">
        <f t="shared" si="18"/>
        <v>1359.1623284406996</v>
      </c>
      <c r="Y28" s="18">
        <f t="shared" si="18"/>
        <v>1421.8547940548947</v>
      </c>
      <c r="Z28" s="18">
        <f t="shared" si="18"/>
        <v>1477.7371792129165</v>
      </c>
      <c r="AA28" s="18">
        <f t="shared" si="18"/>
        <v>1534.884500359598</v>
      </c>
      <c r="AB28" s="18">
        <f t="shared" si="18"/>
        <v>1594.5833677333189</v>
      </c>
      <c r="AC28" s="18">
        <f t="shared" si="18"/>
        <v>1656.2409748829477</v>
      </c>
      <c r="AD28" s="18">
        <f t="shared" si="18"/>
        <v>1719.7772530732868</v>
      </c>
      <c r="AE28" s="18">
        <f t="shared" si="18"/>
        <v>1781.7775674387358</v>
      </c>
      <c r="AF28" s="18">
        <f t="shared" si="18"/>
        <v>1845.9990390882044</v>
      </c>
      <c r="AG28" s="18">
        <f t="shared" si="18"/>
        <v>1912.3773245329767</v>
      </c>
      <c r="AH28" s="18">
        <f t="shared" si="18"/>
        <v>1980.4707865979426</v>
      </c>
      <c r="AI28" s="18">
        <f t="shared" si="18"/>
        <v>2050.3428545097763</v>
      </c>
      <c r="AJ28" s="18">
        <f t="shared" si="18"/>
        <v>2111.0953077291024</v>
      </c>
      <c r="AK28" s="18">
        <f t="shared" si="18"/>
        <v>2173.0666067266238</v>
      </c>
      <c r="AL28" s="18">
        <f t="shared" si="18"/>
        <v>2236.6260656120357</v>
      </c>
      <c r="AM28" s="18">
        <f t="shared" si="18"/>
        <v>2301.3181480149897</v>
      </c>
      <c r="AN28" s="18">
        <f t="shared" si="18"/>
        <v>2367.2378493845163</v>
      </c>
    </row>
    <row r="29" spans="1:40" x14ac:dyDescent="0.25">
      <c r="A29" t="s">
        <v>91</v>
      </c>
      <c r="I29" s="18"/>
      <c r="J29" s="18"/>
      <c r="K29" s="18"/>
      <c r="L29" s="1">
        <f>L28/K28-1</f>
        <v>4.9618866716454102E-2</v>
      </c>
      <c r="M29" s="1">
        <f t="shared" ref="M29:AN29" si="19">M28/L28-1</f>
        <v>4.8777307672000836E-2</v>
      </c>
      <c r="N29" s="1">
        <f t="shared" si="19"/>
        <v>4.8534397573447352E-2</v>
      </c>
      <c r="O29" s="1">
        <f t="shared" si="19"/>
        <v>4.8065524517760805E-2</v>
      </c>
      <c r="P29" s="1">
        <f t="shared" si="19"/>
        <v>4.9496293841230443E-2</v>
      </c>
      <c r="Q29" s="1">
        <f t="shared" si="19"/>
        <v>4.910177917862657E-2</v>
      </c>
      <c r="R29" s="1">
        <f t="shared" si="19"/>
        <v>4.8404865674207764E-2</v>
      </c>
      <c r="S29" s="1">
        <f t="shared" si="19"/>
        <v>4.8478526052406767E-2</v>
      </c>
      <c r="T29" s="1">
        <f t="shared" si="19"/>
        <v>4.8396165826139814E-2</v>
      </c>
      <c r="U29" s="1">
        <f t="shared" si="19"/>
        <v>4.4328030380103911E-2</v>
      </c>
      <c r="V29" s="1">
        <f t="shared" si="19"/>
        <v>4.4441532464174927E-2</v>
      </c>
      <c r="W29" s="1">
        <f t="shared" si="19"/>
        <v>4.5458327380934582E-2</v>
      </c>
      <c r="X29" s="1">
        <f t="shared" si="19"/>
        <v>4.5094611665450035E-2</v>
      </c>
      <c r="Y29" s="1">
        <f t="shared" si="19"/>
        <v>4.6125811687349305E-2</v>
      </c>
      <c r="Z29" s="1">
        <f t="shared" si="19"/>
        <v>3.9302455772332712E-2</v>
      </c>
      <c r="AA29" s="1">
        <f t="shared" si="19"/>
        <v>3.867218200270206E-2</v>
      </c>
      <c r="AB29" s="1">
        <f t="shared" si="19"/>
        <v>3.889469687115521E-2</v>
      </c>
      <c r="AC29" s="1">
        <f t="shared" si="19"/>
        <v>3.8666907229362613E-2</v>
      </c>
      <c r="AD29" s="1">
        <f t="shared" si="19"/>
        <v>3.8361735492523641E-2</v>
      </c>
      <c r="AE29" s="1">
        <f t="shared" si="19"/>
        <v>3.6051363195235275E-2</v>
      </c>
      <c r="AF29" s="1">
        <f t="shared" si="19"/>
        <v>3.6043484227823885E-2</v>
      </c>
      <c r="AG29" s="1">
        <f t="shared" si="19"/>
        <v>3.5957919825114537E-2</v>
      </c>
      <c r="AH29" s="1">
        <f t="shared" si="19"/>
        <v>3.560670856709458E-2</v>
      </c>
      <c r="AI29" s="1">
        <f t="shared" si="19"/>
        <v>3.5280534499506633E-2</v>
      </c>
      <c r="AJ29" s="1">
        <f t="shared" si="19"/>
        <v>2.9630387467003194E-2</v>
      </c>
      <c r="AK29" s="1">
        <f t="shared" si="19"/>
        <v>2.9355045587299289E-2</v>
      </c>
      <c r="AL29" s="1">
        <f t="shared" si="19"/>
        <v>2.924873940295547E-2</v>
      </c>
      <c r="AM29" s="1">
        <f t="shared" si="19"/>
        <v>2.8923959797120258E-2</v>
      </c>
      <c r="AN29" s="1">
        <f t="shared" si="19"/>
        <v>2.8644323439758201E-2</v>
      </c>
    </row>
    <row r="30" spans="1:40" x14ac:dyDescent="0.25">
      <c r="A30" t="s">
        <v>90</v>
      </c>
      <c r="K30" s="18">
        <f>SUM(K8:K25)</f>
        <v>3108.1616799999993</v>
      </c>
      <c r="L30" s="18">
        <f t="shared" ref="L30:AN30" si="20">SUM(L8:L25)</f>
        <v>3276.0024107199993</v>
      </c>
      <c r="M30" s="18">
        <f t="shared" si="20"/>
        <v>3452.9065408988799</v>
      </c>
      <c r="N30" s="18">
        <f t="shared" si="20"/>
        <v>3639.3634941074192</v>
      </c>
      <c r="O30" s="18">
        <f t="shared" si="20"/>
        <v>3835.88912278922</v>
      </c>
      <c r="P30" s="18">
        <f t="shared" si="20"/>
        <v>4043.027135419838</v>
      </c>
      <c r="Q30" s="18">
        <f t="shared" si="20"/>
        <v>4261.3506007325095</v>
      </c>
      <c r="R30" s="18">
        <f t="shared" si="20"/>
        <v>4491.4635331720656</v>
      </c>
      <c r="S30" s="18">
        <f t="shared" si="20"/>
        <v>4734.0025639633568</v>
      </c>
      <c r="T30" s="18">
        <f t="shared" si="20"/>
        <v>4989.6387024173791</v>
      </c>
      <c r="U30" s="18">
        <f t="shared" si="20"/>
        <v>5239.120637538248</v>
      </c>
      <c r="V30" s="18">
        <f t="shared" si="20"/>
        <v>5501.0766694151607</v>
      </c>
      <c r="W30" s="18">
        <f t="shared" si="20"/>
        <v>5776.1305028859188</v>
      </c>
      <c r="X30" s="18">
        <f t="shared" si="20"/>
        <v>6064.9370280302146</v>
      </c>
      <c r="Y30" s="18">
        <f t="shared" si="20"/>
        <v>6368.1838794317264</v>
      </c>
      <c r="Z30" s="18">
        <f t="shared" si="20"/>
        <v>6654.7521540061525</v>
      </c>
      <c r="AA30" s="18">
        <f t="shared" si="20"/>
        <v>6954.2160009364288</v>
      </c>
      <c r="AB30" s="18">
        <f t="shared" si="20"/>
        <v>7267.155720978566</v>
      </c>
      <c r="AC30" s="18">
        <f t="shared" si="20"/>
        <v>7594.1777284226027</v>
      </c>
      <c r="AD30" s="18">
        <f t="shared" si="20"/>
        <v>7935.9157262016197</v>
      </c>
      <c r="AE30" s="18">
        <f t="shared" si="20"/>
        <v>8253.3523552496845</v>
      </c>
      <c r="AF30" s="18">
        <f t="shared" si="20"/>
        <v>8583.4864494596732</v>
      </c>
      <c r="AG30" s="18">
        <f t="shared" si="20"/>
        <v>8926.8259074380585</v>
      </c>
      <c r="AH30" s="18">
        <f t="shared" si="20"/>
        <v>9283.8989437355795</v>
      </c>
      <c r="AI30" s="18">
        <f t="shared" si="20"/>
        <v>9655.254901485001</v>
      </c>
      <c r="AJ30" s="18">
        <f t="shared" si="20"/>
        <v>9993.1888230369786</v>
      </c>
      <c r="AK30" s="18">
        <f t="shared" si="20"/>
        <v>10342.950431843268</v>
      </c>
      <c r="AL30" s="18">
        <f t="shared" si="20"/>
        <v>10704.953696957784</v>
      </c>
      <c r="AM30" s="18">
        <f t="shared" si="20"/>
        <v>11079.627076351306</v>
      </c>
      <c r="AN30" s="18">
        <f t="shared" si="20"/>
        <v>11467.414024023599</v>
      </c>
    </row>
    <row r="33" spans="1:40" ht="18" thickBot="1" x14ac:dyDescent="0.35">
      <c r="A33" s="4" t="s">
        <v>68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B34" s="3">
        <v>2012</v>
      </c>
      <c r="C34" s="3">
        <v>2013</v>
      </c>
      <c r="D34" s="3">
        <v>2014</v>
      </c>
      <c r="E34" s="3">
        <v>2015</v>
      </c>
      <c r="F34" s="3">
        <v>2016</v>
      </c>
      <c r="G34" s="3">
        <v>2017</v>
      </c>
      <c r="H34" s="3">
        <v>2018</v>
      </c>
      <c r="I34" s="3">
        <v>2019</v>
      </c>
      <c r="J34" s="3">
        <v>2020</v>
      </c>
      <c r="K34" s="3">
        <v>2021</v>
      </c>
      <c r="L34" s="3">
        <v>2022</v>
      </c>
      <c r="M34" s="3">
        <v>2023</v>
      </c>
      <c r="N34" s="3">
        <v>2024</v>
      </c>
      <c r="O34" s="3">
        <v>2025</v>
      </c>
      <c r="P34" s="3">
        <v>2026</v>
      </c>
      <c r="Q34" s="3">
        <v>2027</v>
      </c>
      <c r="R34" s="3">
        <v>2028</v>
      </c>
      <c r="S34" s="3">
        <v>2029</v>
      </c>
      <c r="T34" s="3">
        <v>2030</v>
      </c>
      <c r="U34" s="3">
        <v>2031</v>
      </c>
      <c r="V34" s="3">
        <v>2032</v>
      </c>
      <c r="W34" s="3">
        <v>2033</v>
      </c>
      <c r="X34" s="3">
        <v>2034</v>
      </c>
      <c r="Y34" s="3">
        <v>2035</v>
      </c>
      <c r="Z34" s="3">
        <v>2036</v>
      </c>
      <c r="AA34" s="3">
        <v>2037</v>
      </c>
      <c r="AB34" s="3">
        <v>2038</v>
      </c>
      <c r="AC34">
        <v>2039</v>
      </c>
      <c r="AD34">
        <v>2040</v>
      </c>
      <c r="AE34">
        <v>2041</v>
      </c>
      <c r="AF34">
        <v>2042</v>
      </c>
      <c r="AG34">
        <v>2043</v>
      </c>
      <c r="AH34">
        <v>2044</v>
      </c>
      <c r="AI34">
        <v>2045</v>
      </c>
      <c r="AJ34">
        <v>2046</v>
      </c>
      <c r="AK34">
        <v>2047</v>
      </c>
      <c r="AL34">
        <v>2048</v>
      </c>
      <c r="AM34">
        <v>2049</v>
      </c>
      <c r="AN34">
        <v>2050</v>
      </c>
    </row>
    <row r="35" spans="1:40" x14ac:dyDescent="0.25">
      <c r="A35" s="3" t="s">
        <v>54</v>
      </c>
      <c r="B35" s="12">
        <v>0.5</v>
      </c>
      <c r="C35" s="12">
        <v>0.49195171026156947</v>
      </c>
      <c r="D35" s="12">
        <v>0.47874493927125505</v>
      </c>
      <c r="E35" s="12">
        <v>0.46897253306205494</v>
      </c>
      <c r="F35" s="12">
        <v>0.46311475409836067</v>
      </c>
      <c r="G35" s="12">
        <v>0.4556701030927835</v>
      </c>
      <c r="H35" s="12">
        <v>0.44755970924195226</v>
      </c>
      <c r="I35" s="12">
        <v>0.44456066945606693</v>
      </c>
      <c r="J35" s="12">
        <v>0.45521601685985247</v>
      </c>
      <c r="K35" s="12">
        <f>1-K36-K37</f>
        <v>0.46331668558690731</v>
      </c>
      <c r="L35" s="12">
        <f t="shared" ref="L35:AN35" si="21">1-L36-L37</f>
        <v>0.43950622644182569</v>
      </c>
      <c r="M35" s="12">
        <f t="shared" si="21"/>
        <v>0.41755497064164165</v>
      </c>
      <c r="N35" s="12">
        <f t="shared" si="21"/>
        <v>0.39531788525967493</v>
      </c>
      <c r="O35" s="12">
        <f t="shared" si="21"/>
        <v>0.37273475076904922</v>
      </c>
      <c r="P35" s="12">
        <f t="shared" si="21"/>
        <v>0.35240700392161667</v>
      </c>
      <c r="Q35" s="12">
        <f t="shared" si="21"/>
        <v>0.33198186505318855</v>
      </c>
      <c r="R35" s="12">
        <f t="shared" si="21"/>
        <v>0.31232480742341773</v>
      </c>
      <c r="S35" s="12">
        <f t="shared" si="21"/>
        <v>0.29341187202135643</v>
      </c>
      <c r="T35" s="12">
        <f t="shared" si="21"/>
        <v>0.27489964981477283</v>
      </c>
      <c r="U35" s="12">
        <f t="shared" si="21"/>
        <v>0.25852155997082432</v>
      </c>
      <c r="V35" s="12">
        <f t="shared" si="21"/>
        <v>0.24287842967917583</v>
      </c>
      <c r="W35" s="12">
        <f t="shared" si="21"/>
        <v>0.22797561718163545</v>
      </c>
      <c r="X35" s="12">
        <f t="shared" si="21"/>
        <v>0.21376027140033943</v>
      </c>
      <c r="Y35" s="12">
        <f t="shared" si="21"/>
        <v>0.19982505356561586</v>
      </c>
      <c r="Z35" s="12">
        <f t="shared" si="21"/>
        <v>0.1881405799733783</v>
      </c>
      <c r="AA35" s="12">
        <f t="shared" si="21"/>
        <v>0.17657463727863226</v>
      </c>
      <c r="AB35" s="12">
        <f t="shared" si="21"/>
        <v>0.16560266484509373</v>
      </c>
      <c r="AC35" s="12">
        <f t="shared" si="21"/>
        <v>0.15541325102585446</v>
      </c>
      <c r="AD35" s="12">
        <f t="shared" si="21"/>
        <v>0.14557843741325166</v>
      </c>
      <c r="AE35" s="12">
        <f t="shared" si="21"/>
        <v>0.13735023113905231</v>
      </c>
      <c r="AF35" s="12">
        <f t="shared" si="21"/>
        <v>0.12962280760131445</v>
      </c>
      <c r="AG35" s="12">
        <f t="shared" si="21"/>
        <v>0.12225101678580558</v>
      </c>
      <c r="AH35" s="12">
        <f t="shared" si="21"/>
        <v>0.11519809208461268</v>
      </c>
      <c r="AI35" s="12">
        <f t="shared" si="21"/>
        <v>0.10842452729022672</v>
      </c>
      <c r="AJ35" s="12">
        <f t="shared" si="21"/>
        <v>0.10286681901533012</v>
      </c>
      <c r="AK35" s="12">
        <f t="shared" si="21"/>
        <v>9.7658816406466842E-2</v>
      </c>
      <c r="AL35" s="12">
        <f t="shared" si="21"/>
        <v>9.2671299632086035E-2</v>
      </c>
      <c r="AM35" s="12">
        <f t="shared" si="21"/>
        <v>8.78877433069854E-2</v>
      </c>
      <c r="AN35" s="12">
        <f t="shared" si="21"/>
        <v>8.330105002578575E-2</v>
      </c>
    </row>
    <row r="36" spans="1:40" x14ac:dyDescent="0.25">
      <c r="A36" s="3" t="s">
        <v>55</v>
      </c>
      <c r="B36" s="12">
        <v>0.3</v>
      </c>
      <c r="C36" s="12">
        <v>0.29577464788732394</v>
      </c>
      <c r="D36" s="12">
        <v>0.30060728744939269</v>
      </c>
      <c r="E36" s="12">
        <v>0.3041709053916582</v>
      </c>
      <c r="F36" s="12">
        <v>0.30737704918032788</v>
      </c>
      <c r="G36" s="12">
        <v>0.30824742268041239</v>
      </c>
      <c r="H36" s="12">
        <v>0.3115264797507788</v>
      </c>
      <c r="I36" s="12">
        <v>0.31485355648535562</v>
      </c>
      <c r="J36" s="12">
        <v>0.32560590094836672</v>
      </c>
      <c r="K36" s="22">
        <f>J36*(1+K123*K$27)</f>
        <v>0.30695285688881768</v>
      </c>
      <c r="L36" s="22">
        <f t="shared" ref="L36:AN36" si="22">K36*(1+L123*L$27)</f>
        <v>0.31870418677079881</v>
      </c>
      <c r="M36" s="22">
        <f t="shared" si="22"/>
        <v>0.32796842703151902</v>
      </c>
      <c r="N36" s="22">
        <f t="shared" si="22"/>
        <v>0.3367202545416651</v>
      </c>
      <c r="O36" s="22">
        <f t="shared" si="22"/>
        <v>0.34605264527354018</v>
      </c>
      <c r="P36" s="22">
        <f t="shared" si="22"/>
        <v>0.35283887412727355</v>
      </c>
      <c r="Q36" s="22">
        <f t="shared" si="22"/>
        <v>0.36014458590349308</v>
      </c>
      <c r="R36" s="22">
        <f t="shared" si="22"/>
        <v>0.36695050242240257</v>
      </c>
      <c r="S36" s="22">
        <f t="shared" si="22"/>
        <v>0.37298696792379721</v>
      </c>
      <c r="T36" s="22">
        <f t="shared" si="22"/>
        <v>0.37955591527005661</v>
      </c>
      <c r="U36" s="22">
        <f t="shared" si="22"/>
        <v>0.38441895495928602</v>
      </c>
      <c r="V36" s="22">
        <f t="shared" si="22"/>
        <v>0.38922947167731137</v>
      </c>
      <c r="W36" s="22">
        <f t="shared" si="22"/>
        <v>0.39370730822489686</v>
      </c>
      <c r="X36" s="22">
        <f t="shared" si="22"/>
        <v>0.39794498771513898</v>
      </c>
      <c r="Y36" s="22">
        <f t="shared" si="22"/>
        <v>0.40241942117297608</v>
      </c>
      <c r="Z36" s="22">
        <f t="shared" si="22"/>
        <v>0.40517045558508452</v>
      </c>
      <c r="AA36" s="22">
        <f t="shared" si="22"/>
        <v>0.40752537916382414</v>
      </c>
      <c r="AB36" s="22">
        <f t="shared" si="22"/>
        <v>0.41022742356468705</v>
      </c>
      <c r="AC36" s="22">
        <f t="shared" si="22"/>
        <v>0.41245642036809138</v>
      </c>
      <c r="AD36" s="22">
        <f t="shared" si="22"/>
        <v>0.41462131597911556</v>
      </c>
      <c r="AE36" s="22">
        <f t="shared" si="22"/>
        <v>0.41589703185435323</v>
      </c>
      <c r="AF36" s="22">
        <f t="shared" si="22"/>
        <v>0.41691856843403019</v>
      </c>
      <c r="AG36" s="22">
        <f t="shared" si="22"/>
        <v>0.41780551049292119</v>
      </c>
      <c r="AH36" s="22">
        <f t="shared" si="22"/>
        <v>0.41859350721393634</v>
      </c>
      <c r="AI36" s="22">
        <f t="shared" si="22"/>
        <v>0.41930662489279935</v>
      </c>
      <c r="AJ36" s="22">
        <f t="shared" si="22"/>
        <v>0.41941163469291221</v>
      </c>
      <c r="AK36" s="22">
        <f t="shared" si="22"/>
        <v>0.41933407827109515</v>
      </c>
      <c r="AL36" s="22">
        <f t="shared" si="22"/>
        <v>0.41917825134529846</v>
      </c>
      <c r="AM36" s="22">
        <f t="shared" si="22"/>
        <v>0.41894715556474332</v>
      </c>
      <c r="AN36" s="22">
        <f t="shared" si="22"/>
        <v>0.41865258328248606</v>
      </c>
    </row>
    <row r="37" spans="1:40" x14ac:dyDescent="0.25">
      <c r="A37" s="3" t="s">
        <v>56</v>
      </c>
      <c r="B37" s="12">
        <v>0.2</v>
      </c>
      <c r="C37" s="12">
        <v>0.21227364185110667</v>
      </c>
      <c r="D37" s="12">
        <v>0.22064777327935223</v>
      </c>
      <c r="E37" s="12">
        <v>0.22685656154628689</v>
      </c>
      <c r="F37" s="12">
        <v>0.22950819672131148</v>
      </c>
      <c r="G37" s="12">
        <v>0.23608247422680415</v>
      </c>
      <c r="H37" s="12">
        <v>0.24091381100726897</v>
      </c>
      <c r="I37" s="12">
        <v>0.24058577405857742</v>
      </c>
      <c r="J37" s="12">
        <v>0.21917808219178081</v>
      </c>
      <c r="K37" s="22">
        <f>J37*(1+K124*K$27)</f>
        <v>0.22973045752427501</v>
      </c>
      <c r="L37" s="22">
        <f t="shared" ref="L37:AN37" si="23">K37*(1+L124*L$27)</f>
        <v>0.2417895867873755</v>
      </c>
      <c r="M37" s="22">
        <f t="shared" si="23"/>
        <v>0.25447660232683927</v>
      </c>
      <c r="N37" s="22">
        <f t="shared" si="23"/>
        <v>0.26796186019865997</v>
      </c>
      <c r="O37" s="22">
        <f t="shared" si="23"/>
        <v>0.2812126039574106</v>
      </c>
      <c r="P37" s="22">
        <f t="shared" si="23"/>
        <v>0.29475412195110978</v>
      </c>
      <c r="Q37" s="22">
        <f t="shared" si="23"/>
        <v>0.30787354904331837</v>
      </c>
      <c r="R37" s="22">
        <f t="shared" si="23"/>
        <v>0.3207246901541797</v>
      </c>
      <c r="S37" s="22">
        <f t="shared" si="23"/>
        <v>0.33360116005484641</v>
      </c>
      <c r="T37" s="22">
        <f t="shared" si="23"/>
        <v>0.34554443491517056</v>
      </c>
      <c r="U37" s="22">
        <f t="shared" si="23"/>
        <v>0.35705948506988966</v>
      </c>
      <c r="V37" s="22">
        <f t="shared" si="23"/>
        <v>0.3678920986435128</v>
      </c>
      <c r="W37" s="22">
        <f t="shared" si="23"/>
        <v>0.37831707459346769</v>
      </c>
      <c r="X37" s="22">
        <f t="shared" si="23"/>
        <v>0.38829474088452159</v>
      </c>
      <c r="Y37" s="22">
        <f t="shared" si="23"/>
        <v>0.39775552526140801</v>
      </c>
      <c r="Z37" s="22">
        <f t="shared" si="23"/>
        <v>0.40668896444153713</v>
      </c>
      <c r="AA37" s="22">
        <f t="shared" si="23"/>
        <v>0.4158999835575436</v>
      </c>
      <c r="AB37" s="22">
        <f t="shared" si="23"/>
        <v>0.42416991159021927</v>
      </c>
      <c r="AC37" s="22">
        <f t="shared" si="23"/>
        <v>0.43213032860605416</v>
      </c>
      <c r="AD37" s="22">
        <f t="shared" si="23"/>
        <v>0.43980024660763278</v>
      </c>
      <c r="AE37" s="22">
        <f t="shared" si="23"/>
        <v>0.44675273700659446</v>
      </c>
      <c r="AF37" s="22">
        <f t="shared" si="23"/>
        <v>0.45345862396465536</v>
      </c>
      <c r="AG37" s="22">
        <f t="shared" si="23"/>
        <v>0.45994347272127317</v>
      </c>
      <c r="AH37" s="22">
        <f t="shared" si="23"/>
        <v>0.46620840070145092</v>
      </c>
      <c r="AI37" s="22">
        <f t="shared" si="23"/>
        <v>0.47226884781697392</v>
      </c>
      <c r="AJ37" s="22">
        <f t="shared" si="23"/>
        <v>0.47772154629175767</v>
      </c>
      <c r="AK37" s="22">
        <f t="shared" si="23"/>
        <v>0.48300710532243801</v>
      </c>
      <c r="AL37" s="22">
        <f t="shared" si="23"/>
        <v>0.48815044902261556</v>
      </c>
      <c r="AM37" s="22">
        <f t="shared" si="23"/>
        <v>0.49316510112827133</v>
      </c>
      <c r="AN37" s="22">
        <f t="shared" si="23"/>
        <v>0.49804636669172814</v>
      </c>
    </row>
    <row r="38" spans="1:40" x14ac:dyDescent="0.25">
      <c r="A38" s="3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</row>
    <row r="40" spans="1:40" ht="18" thickBot="1" x14ac:dyDescent="0.35">
      <c r="A40" s="4" t="s">
        <v>69</v>
      </c>
      <c r="B40" s="4"/>
      <c r="C40" s="4"/>
      <c r="D40" s="4"/>
      <c r="E40" s="4"/>
      <c r="F40" s="4"/>
      <c r="G40" s="4"/>
      <c r="H40" s="4"/>
    </row>
    <row r="41" spans="1:40" ht="15.75" thickTop="1" x14ac:dyDescent="0.25">
      <c r="A41" s="3">
        <v>2012</v>
      </c>
      <c r="B41" s="3">
        <v>2013</v>
      </c>
      <c r="C41" s="3">
        <v>2014</v>
      </c>
      <c r="D41" s="3">
        <v>2015</v>
      </c>
      <c r="E41" s="3">
        <v>2016</v>
      </c>
      <c r="F41" s="3">
        <v>2017</v>
      </c>
      <c r="G41" s="3">
        <v>2018</v>
      </c>
      <c r="H41" s="3">
        <v>2019</v>
      </c>
      <c r="I41" s="3">
        <v>2020</v>
      </c>
      <c r="J41" s="3">
        <v>2021</v>
      </c>
      <c r="K41" s="3">
        <v>2022</v>
      </c>
      <c r="L41" s="3">
        <v>2023</v>
      </c>
      <c r="M41" s="3">
        <v>2024</v>
      </c>
      <c r="N41" s="3">
        <v>2025</v>
      </c>
      <c r="O41" s="3">
        <v>2026</v>
      </c>
      <c r="P41" s="3">
        <v>2027</v>
      </c>
      <c r="Q41" s="3">
        <v>2028</v>
      </c>
      <c r="R41" s="3">
        <v>2029</v>
      </c>
      <c r="S41" s="3">
        <v>2030</v>
      </c>
      <c r="T41" s="3">
        <v>2031</v>
      </c>
      <c r="U41" s="3">
        <v>2032</v>
      </c>
      <c r="V41" s="3">
        <v>2033</v>
      </c>
      <c r="W41" s="3">
        <v>2034</v>
      </c>
      <c r="X41" s="3">
        <v>2035</v>
      </c>
      <c r="Y41" s="3">
        <v>2036</v>
      </c>
      <c r="Z41">
        <v>2037</v>
      </c>
      <c r="AA41">
        <v>2038</v>
      </c>
      <c r="AB41">
        <v>2039</v>
      </c>
      <c r="AC41">
        <v>2040</v>
      </c>
      <c r="AD41">
        <v>2041</v>
      </c>
      <c r="AE41">
        <v>2042</v>
      </c>
      <c r="AF41">
        <v>2043</v>
      </c>
      <c r="AG41">
        <v>2044</v>
      </c>
      <c r="AH41">
        <v>2045</v>
      </c>
      <c r="AI41">
        <v>2046</v>
      </c>
      <c r="AJ41">
        <v>2047</v>
      </c>
      <c r="AK41">
        <v>2048</v>
      </c>
      <c r="AL41">
        <v>2049</v>
      </c>
      <c r="AM41">
        <v>2050</v>
      </c>
    </row>
    <row r="42" spans="1:40" x14ac:dyDescent="0.25">
      <c r="A42">
        <v>0.30159999999999998</v>
      </c>
      <c r="B42">
        <v>0.31040000000000001</v>
      </c>
      <c r="C42">
        <v>0.31530000000000002</v>
      </c>
      <c r="D42">
        <v>0.31869999999999998</v>
      </c>
      <c r="E42">
        <v>0.31979999999999997</v>
      </c>
      <c r="F42">
        <v>0.3246</v>
      </c>
      <c r="G42">
        <v>0.3276</v>
      </c>
      <c r="H42">
        <v>0.32619999999999999</v>
      </c>
      <c r="I42">
        <v>0.2994</v>
      </c>
      <c r="J42" s="22">
        <f>I42*(1+J131*K$27)</f>
        <v>0.31908756999762528</v>
      </c>
      <c r="K42" s="22">
        <f t="shared" ref="K42:AM42" si="24">J42*(1+K131*L$27)</f>
        <v>0.3374095802387328</v>
      </c>
      <c r="L42" s="22">
        <f t="shared" si="24"/>
        <v>0.34982862029200112</v>
      </c>
      <c r="M42" s="22">
        <f t="shared" si="24"/>
        <v>0.36394178264347127</v>
      </c>
      <c r="N42" s="22">
        <f t="shared" si="24"/>
        <v>0.37957250195349712</v>
      </c>
      <c r="O42" s="22">
        <f t="shared" si="24"/>
        <v>0.3956860221852927</v>
      </c>
      <c r="P42" s="22">
        <f t="shared" si="24"/>
        <v>0.41260443864438567</v>
      </c>
      <c r="Q42" s="22">
        <f t="shared" si="24"/>
        <v>0.42981703612981137</v>
      </c>
      <c r="R42" s="22">
        <f t="shared" si="24"/>
        <v>0.4947443512713115</v>
      </c>
      <c r="S42" s="22">
        <f t="shared" si="24"/>
        <v>0.5167576932929373</v>
      </c>
      <c r="T42" s="22">
        <f t="shared" si="24"/>
        <v>0.53690329464423669</v>
      </c>
      <c r="U42" s="22">
        <f t="shared" si="24"/>
        <v>0.55895801991966088</v>
      </c>
      <c r="V42" s="22">
        <f t="shared" si="24"/>
        <v>0.58114647027727317</v>
      </c>
      <c r="W42" s="22">
        <f t="shared" si="24"/>
        <v>0.60401746825188807</v>
      </c>
      <c r="X42" s="22">
        <f t="shared" si="24"/>
        <v>0.62782067333592118</v>
      </c>
      <c r="Y42" s="22">
        <f t="shared" si="24"/>
        <v>0.6491232069177364</v>
      </c>
      <c r="Z42" s="22">
        <f t="shared" si="24"/>
        <v>0.67228985612439651</v>
      </c>
      <c r="AA42" s="22">
        <f t="shared" si="24"/>
        <v>0.69864588266735428</v>
      </c>
      <c r="AB42" s="22">
        <f t="shared" si="24"/>
        <v>0.76440413212672464</v>
      </c>
      <c r="AC42" s="22">
        <f t="shared" si="24"/>
        <v>0.79194422661477326</v>
      </c>
      <c r="AD42" s="22">
        <f t="shared" si="24"/>
        <v>0.81718474695363985</v>
      </c>
      <c r="AE42" s="22">
        <f t="shared" si="24"/>
        <v>0.84287161150362733</v>
      </c>
      <c r="AF42" s="22">
        <f t="shared" si="24"/>
        <v>0.86953423097304317</v>
      </c>
      <c r="AG42" s="22">
        <f t="shared" si="24"/>
        <v>0.89713357902422419</v>
      </c>
      <c r="AH42" s="22">
        <f t="shared" si="24"/>
        <v>0.92576301438869346</v>
      </c>
      <c r="AI42" s="22">
        <f t="shared" si="24"/>
        <v>0.95156549501353271</v>
      </c>
      <c r="AJ42" s="22">
        <f t="shared" si="24"/>
        <v>0.97757824106708191</v>
      </c>
      <c r="AK42" s="22">
        <f t="shared" si="24"/>
        <v>1.0043730502706039</v>
      </c>
      <c r="AL42" s="22">
        <f t="shared" si="24"/>
        <v>1.0320285942398442</v>
      </c>
      <c r="AM42" s="22">
        <f t="shared" si="24"/>
        <v>1.0605910621711372</v>
      </c>
    </row>
    <row r="54" spans="1:40" x14ac:dyDescent="0.25">
      <c r="A54" s="21" t="s">
        <v>79</v>
      </c>
    </row>
    <row r="55" spans="1:40" x14ac:dyDescent="0.25">
      <c r="B55">
        <v>2012</v>
      </c>
      <c r="C55">
        <v>2013</v>
      </c>
      <c r="D55">
        <v>2014</v>
      </c>
      <c r="E55">
        <v>2015</v>
      </c>
      <c r="F55">
        <v>2016</v>
      </c>
      <c r="G55">
        <v>2017</v>
      </c>
      <c r="H55">
        <v>2018</v>
      </c>
      <c r="I55">
        <v>2019</v>
      </c>
      <c r="J55">
        <v>2020</v>
      </c>
      <c r="K55">
        <v>2021</v>
      </c>
      <c r="L55">
        <v>2022</v>
      </c>
      <c r="M55">
        <v>2023</v>
      </c>
      <c r="N55">
        <v>2024</v>
      </c>
      <c r="O55">
        <v>2025</v>
      </c>
      <c r="P55">
        <v>2026</v>
      </c>
      <c r="Q55">
        <v>2027</v>
      </c>
      <c r="R55">
        <v>2028</v>
      </c>
      <c r="S55">
        <v>2029</v>
      </c>
      <c r="T55">
        <v>2030</v>
      </c>
      <c r="U55">
        <v>2031</v>
      </c>
      <c r="V55">
        <v>2032</v>
      </c>
      <c r="W55">
        <v>2033</v>
      </c>
      <c r="X55">
        <v>2034</v>
      </c>
      <c r="Y55">
        <v>2035</v>
      </c>
      <c r="Z55">
        <v>2036</v>
      </c>
      <c r="AA55">
        <v>2037</v>
      </c>
      <c r="AB55">
        <v>2038</v>
      </c>
      <c r="AC55">
        <v>2039</v>
      </c>
      <c r="AD55">
        <v>2040</v>
      </c>
      <c r="AE55">
        <v>2041</v>
      </c>
      <c r="AF55">
        <v>2042</v>
      </c>
      <c r="AG55">
        <v>2043</v>
      </c>
      <c r="AH55">
        <v>2044</v>
      </c>
      <c r="AI55">
        <v>2045</v>
      </c>
      <c r="AJ55">
        <v>2046</v>
      </c>
      <c r="AK55">
        <v>2047</v>
      </c>
      <c r="AL55">
        <v>2048</v>
      </c>
      <c r="AM55">
        <v>2049</v>
      </c>
      <c r="AN55">
        <v>2050</v>
      </c>
    </row>
    <row r="56" spans="1:40" x14ac:dyDescent="0.25">
      <c r="A56" t="s">
        <v>22</v>
      </c>
      <c r="B56">
        <v>69.819999999999993</v>
      </c>
      <c r="C56">
        <v>72.77</v>
      </c>
      <c r="D56">
        <v>75.510000000000005</v>
      </c>
      <c r="E56">
        <v>74.36</v>
      </c>
      <c r="F56">
        <v>73.55</v>
      </c>
      <c r="G56">
        <v>76</v>
      </c>
      <c r="H56">
        <v>74.78</v>
      </c>
      <c r="I56">
        <v>73.53</v>
      </c>
      <c r="J56">
        <v>70.959999999999994</v>
      </c>
      <c r="K56">
        <v>72.959999999999994</v>
      </c>
      <c r="L56">
        <v>75</v>
      </c>
      <c r="M56">
        <v>76.52</v>
      </c>
      <c r="N56">
        <v>77.900000000000006</v>
      </c>
      <c r="O56">
        <v>79.13</v>
      </c>
      <c r="P56">
        <v>81.150000000000006</v>
      </c>
      <c r="Q56">
        <v>83.06</v>
      </c>
      <c r="R56">
        <v>85</v>
      </c>
      <c r="S56">
        <v>86.79</v>
      </c>
      <c r="T56">
        <v>88.61</v>
      </c>
      <c r="U56">
        <v>90.52</v>
      </c>
      <c r="V56">
        <v>92.22</v>
      </c>
      <c r="W56">
        <v>94</v>
      </c>
      <c r="X56">
        <v>95.83</v>
      </c>
      <c r="Y56">
        <v>97.69</v>
      </c>
      <c r="Z56">
        <v>99.72</v>
      </c>
      <c r="AA56">
        <v>101.85</v>
      </c>
      <c r="AB56">
        <v>104.02</v>
      </c>
      <c r="AC56">
        <v>106.26</v>
      </c>
      <c r="AD56">
        <v>108.6</v>
      </c>
      <c r="AE56">
        <v>110.85</v>
      </c>
      <c r="AF56">
        <v>113.14</v>
      </c>
      <c r="AG56">
        <v>115.46</v>
      </c>
      <c r="AH56">
        <v>117.97</v>
      </c>
      <c r="AI56">
        <v>120.7</v>
      </c>
      <c r="AJ56">
        <v>123.56</v>
      </c>
      <c r="AK56">
        <v>126.62</v>
      </c>
      <c r="AL56">
        <v>129.62</v>
      </c>
      <c r="AM56">
        <v>132.85</v>
      </c>
      <c r="AN56">
        <v>136.25</v>
      </c>
    </row>
    <row r="57" spans="1:40" x14ac:dyDescent="0.25">
      <c r="A57" t="s">
        <v>38</v>
      </c>
      <c r="B57">
        <v>66.42</v>
      </c>
      <c r="C57">
        <v>65.98</v>
      </c>
      <c r="D57">
        <v>65.72</v>
      </c>
      <c r="E57">
        <v>65.459999999999994</v>
      </c>
      <c r="F57">
        <v>64.28</v>
      </c>
      <c r="G57">
        <v>63.85</v>
      </c>
      <c r="H57">
        <v>63.13</v>
      </c>
      <c r="I57">
        <v>62.24</v>
      </c>
      <c r="J57">
        <v>61.58</v>
      </c>
      <c r="K57">
        <v>60.37</v>
      </c>
      <c r="L57">
        <v>60.1</v>
      </c>
      <c r="M57">
        <v>59.84</v>
      </c>
      <c r="N57">
        <v>59.34</v>
      </c>
      <c r="O57">
        <v>58.75</v>
      </c>
      <c r="P57">
        <v>56.4</v>
      </c>
      <c r="Q57">
        <v>53.36</v>
      </c>
      <c r="R57">
        <v>50.36</v>
      </c>
      <c r="S57">
        <v>46.96</v>
      </c>
      <c r="T57">
        <v>43.51</v>
      </c>
      <c r="U57">
        <v>43.76</v>
      </c>
      <c r="V57">
        <v>42.68</v>
      </c>
      <c r="W57">
        <v>42.31</v>
      </c>
      <c r="X57">
        <v>41.94</v>
      </c>
      <c r="Y57">
        <v>41.15</v>
      </c>
      <c r="Z57">
        <v>39.86</v>
      </c>
      <c r="AA57">
        <v>38.57</v>
      </c>
      <c r="AB57">
        <v>37.28</v>
      </c>
      <c r="AC57">
        <v>36</v>
      </c>
      <c r="AD57">
        <v>34.71</v>
      </c>
      <c r="AE57">
        <v>34.86</v>
      </c>
      <c r="AF57">
        <v>35.01</v>
      </c>
      <c r="AG57">
        <v>35.15</v>
      </c>
      <c r="AH57">
        <v>35.299999999999997</v>
      </c>
      <c r="AI57">
        <v>35.450000000000003</v>
      </c>
      <c r="AJ57">
        <v>35.75</v>
      </c>
      <c r="AK57">
        <v>36.04</v>
      </c>
      <c r="AL57">
        <v>36.340000000000003</v>
      </c>
      <c r="AM57">
        <v>36.64</v>
      </c>
      <c r="AN57">
        <v>36.93</v>
      </c>
    </row>
    <row r="58" spans="1:40" x14ac:dyDescent="0.25">
      <c r="A58" t="s">
        <v>21</v>
      </c>
      <c r="B58">
        <v>1833.85</v>
      </c>
      <c r="C58">
        <v>1884.55</v>
      </c>
      <c r="D58">
        <v>1927.88</v>
      </c>
      <c r="E58">
        <v>1957.41</v>
      </c>
      <c r="F58">
        <v>1982.72</v>
      </c>
      <c r="G58">
        <v>2007.4</v>
      </c>
      <c r="H58">
        <v>2036.6</v>
      </c>
      <c r="I58">
        <v>2071.14</v>
      </c>
      <c r="J58">
        <v>1915.6</v>
      </c>
      <c r="K58">
        <v>1960.19</v>
      </c>
      <c r="L58">
        <v>2004.23</v>
      </c>
      <c r="M58">
        <v>2048.11</v>
      </c>
      <c r="N58">
        <v>2091.16</v>
      </c>
      <c r="O58">
        <v>2135.91</v>
      </c>
      <c r="P58">
        <v>2188.48</v>
      </c>
      <c r="Q58">
        <v>2240.58</v>
      </c>
      <c r="R58">
        <v>2295.15</v>
      </c>
      <c r="S58">
        <v>2351.59</v>
      </c>
      <c r="T58">
        <v>2409.79</v>
      </c>
      <c r="U58">
        <v>2477.56</v>
      </c>
      <c r="V58">
        <v>2544.31</v>
      </c>
      <c r="W58">
        <v>2617.34</v>
      </c>
      <c r="X58">
        <v>2695.68</v>
      </c>
      <c r="Y58">
        <v>2779.08</v>
      </c>
      <c r="Z58">
        <v>2866.42</v>
      </c>
      <c r="AA58">
        <v>2957.38</v>
      </c>
      <c r="AB58">
        <v>3050.01</v>
      </c>
      <c r="AC58">
        <v>3146.53</v>
      </c>
      <c r="AD58">
        <v>3249.04</v>
      </c>
      <c r="AE58">
        <v>3355.38</v>
      </c>
      <c r="AF58">
        <v>3466.6</v>
      </c>
      <c r="AG58">
        <v>3582.52</v>
      </c>
      <c r="AH58">
        <v>3703.15</v>
      </c>
      <c r="AI58">
        <v>3831.42</v>
      </c>
      <c r="AJ58">
        <v>3966.01</v>
      </c>
      <c r="AK58">
        <v>4107.3999999999996</v>
      </c>
      <c r="AL58">
        <v>4251</v>
      </c>
      <c r="AM58">
        <v>4401.6400000000003</v>
      </c>
      <c r="AN58">
        <v>4560.04</v>
      </c>
    </row>
    <row r="59" spans="1:40" x14ac:dyDescent="0.25">
      <c r="A59" t="s">
        <v>27</v>
      </c>
      <c r="B59">
        <v>52.81</v>
      </c>
      <c r="C59">
        <v>54.31</v>
      </c>
      <c r="D59">
        <v>55.26</v>
      </c>
      <c r="E59">
        <v>55.73</v>
      </c>
      <c r="F59">
        <v>56.3</v>
      </c>
      <c r="G59">
        <v>56.6</v>
      </c>
      <c r="H59">
        <v>57.09</v>
      </c>
      <c r="I59">
        <v>56.96</v>
      </c>
      <c r="J59">
        <v>52.37</v>
      </c>
      <c r="K59">
        <v>53.76</v>
      </c>
      <c r="L59">
        <v>55.02</v>
      </c>
      <c r="M59">
        <v>56.21</v>
      </c>
      <c r="N59">
        <v>57.35</v>
      </c>
      <c r="O59">
        <v>58.59</v>
      </c>
      <c r="P59">
        <v>60.17</v>
      </c>
      <c r="Q59">
        <v>61.72</v>
      </c>
      <c r="R59">
        <v>63.31</v>
      </c>
      <c r="S59">
        <v>65.09</v>
      </c>
      <c r="T59">
        <v>66.930000000000007</v>
      </c>
      <c r="U59">
        <v>68.83</v>
      </c>
      <c r="V59">
        <v>70.67</v>
      </c>
      <c r="W59">
        <v>72.69</v>
      </c>
      <c r="X59">
        <v>74.849999999999994</v>
      </c>
      <c r="Y59">
        <v>77.23</v>
      </c>
      <c r="Z59">
        <v>79.680000000000007</v>
      </c>
      <c r="AA59">
        <v>82.2</v>
      </c>
      <c r="AB59">
        <v>84.75</v>
      </c>
      <c r="AC59">
        <v>87.38</v>
      </c>
      <c r="AD59">
        <v>90.15</v>
      </c>
      <c r="AE59">
        <v>92.83</v>
      </c>
      <c r="AF59">
        <v>95.65</v>
      </c>
      <c r="AG59">
        <v>98.6</v>
      </c>
      <c r="AH59">
        <v>101.7</v>
      </c>
      <c r="AI59">
        <v>105</v>
      </c>
      <c r="AJ59">
        <v>108.37</v>
      </c>
      <c r="AK59">
        <v>111.9</v>
      </c>
      <c r="AL59">
        <v>115.47</v>
      </c>
      <c r="AM59">
        <v>119.23</v>
      </c>
      <c r="AN59">
        <v>123.19</v>
      </c>
    </row>
    <row r="60" spans="1:40" x14ac:dyDescent="0.25">
      <c r="A60" t="s">
        <v>32</v>
      </c>
      <c r="B60">
        <v>84.25</v>
      </c>
      <c r="C60">
        <v>83.73</v>
      </c>
      <c r="D60">
        <v>83.25</v>
      </c>
      <c r="E60">
        <v>82.69</v>
      </c>
      <c r="F60">
        <v>81.209999999999994</v>
      </c>
      <c r="G60">
        <v>80.83</v>
      </c>
      <c r="H60">
        <v>80.180000000000007</v>
      </c>
      <c r="I60">
        <v>78.209999999999994</v>
      </c>
      <c r="J60">
        <v>76.040000000000006</v>
      </c>
      <c r="K60">
        <v>77.260000000000005</v>
      </c>
      <c r="L60">
        <v>76.540000000000006</v>
      </c>
      <c r="M60">
        <v>77.84</v>
      </c>
      <c r="N60">
        <v>78.83</v>
      </c>
      <c r="O60">
        <v>79.89</v>
      </c>
      <c r="P60">
        <v>81.33</v>
      </c>
      <c r="Q60">
        <v>83.16</v>
      </c>
      <c r="R60">
        <v>84.74</v>
      </c>
      <c r="S60">
        <v>87.09</v>
      </c>
      <c r="T60">
        <v>89.18</v>
      </c>
      <c r="U60">
        <v>91.58</v>
      </c>
      <c r="V60">
        <v>93.3</v>
      </c>
      <c r="W60">
        <v>95.88</v>
      </c>
      <c r="X60">
        <v>98.58</v>
      </c>
      <c r="Y60">
        <v>102.12</v>
      </c>
      <c r="Z60">
        <v>104.15</v>
      </c>
      <c r="AA60">
        <v>106.44</v>
      </c>
      <c r="AB60">
        <v>108.7</v>
      </c>
      <c r="AC60">
        <v>110.96</v>
      </c>
      <c r="AD60">
        <v>113.25</v>
      </c>
      <c r="AE60">
        <v>116.13</v>
      </c>
      <c r="AF60">
        <v>119.11</v>
      </c>
      <c r="AG60">
        <v>122.09</v>
      </c>
      <c r="AH60">
        <v>125.09</v>
      </c>
      <c r="AI60">
        <v>128.13</v>
      </c>
      <c r="AJ60">
        <v>131.97</v>
      </c>
      <c r="AK60">
        <v>135.72</v>
      </c>
      <c r="AL60">
        <v>139.46</v>
      </c>
      <c r="AM60">
        <v>143.13999999999999</v>
      </c>
      <c r="AN60">
        <v>146.85</v>
      </c>
    </row>
    <row r="61" spans="1:40" x14ac:dyDescent="0.25">
      <c r="A61" t="s">
        <v>24</v>
      </c>
      <c r="B61">
        <v>93.1</v>
      </c>
      <c r="C61">
        <v>94.81</v>
      </c>
      <c r="D61">
        <v>96.04</v>
      </c>
      <c r="E61">
        <v>96.13</v>
      </c>
      <c r="F61">
        <v>97.44</v>
      </c>
      <c r="G61">
        <v>97.81</v>
      </c>
      <c r="H61">
        <v>98.48</v>
      </c>
      <c r="I61">
        <v>97.71</v>
      </c>
      <c r="J61">
        <v>92.79</v>
      </c>
      <c r="K61">
        <v>95.58</v>
      </c>
      <c r="L61">
        <v>98.13</v>
      </c>
      <c r="M61">
        <v>100.22</v>
      </c>
      <c r="N61">
        <v>102.18</v>
      </c>
      <c r="O61">
        <v>104.28</v>
      </c>
      <c r="P61">
        <v>107.16</v>
      </c>
      <c r="Q61">
        <v>109.9</v>
      </c>
      <c r="R61">
        <v>112.65</v>
      </c>
      <c r="S61">
        <v>115.22</v>
      </c>
      <c r="T61">
        <v>117.84</v>
      </c>
      <c r="U61">
        <v>120.44</v>
      </c>
      <c r="V61">
        <v>122.85</v>
      </c>
      <c r="W61">
        <v>125.47</v>
      </c>
      <c r="X61">
        <v>128.21</v>
      </c>
      <c r="Y61">
        <v>131.01</v>
      </c>
      <c r="Z61">
        <v>134.12</v>
      </c>
      <c r="AA61">
        <v>137.33000000000001</v>
      </c>
      <c r="AB61">
        <v>140.49</v>
      </c>
      <c r="AC61">
        <v>143.72</v>
      </c>
      <c r="AD61">
        <v>147.09</v>
      </c>
      <c r="AE61">
        <v>150.19</v>
      </c>
      <c r="AF61">
        <v>153.37</v>
      </c>
      <c r="AG61">
        <v>156.65</v>
      </c>
      <c r="AH61">
        <v>160.22</v>
      </c>
      <c r="AI61">
        <v>164.01</v>
      </c>
      <c r="AJ61">
        <v>167.91</v>
      </c>
      <c r="AK61">
        <v>171.93</v>
      </c>
      <c r="AL61">
        <v>175.86</v>
      </c>
      <c r="AM61">
        <v>180.05</v>
      </c>
      <c r="AN61">
        <v>184.39</v>
      </c>
    </row>
    <row r="62" spans="1:40" x14ac:dyDescent="0.25">
      <c r="A62" t="s">
        <v>31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0.63</v>
      </c>
      <c r="T62">
        <v>1.1000000000000001</v>
      </c>
      <c r="U62">
        <v>1.62</v>
      </c>
      <c r="V62">
        <v>2.14</v>
      </c>
      <c r="W62">
        <v>2.65</v>
      </c>
      <c r="X62">
        <v>3.15</v>
      </c>
      <c r="Y62">
        <v>3.95</v>
      </c>
      <c r="Z62">
        <v>4.43</v>
      </c>
      <c r="AA62">
        <v>4.9000000000000004</v>
      </c>
      <c r="AB62">
        <v>5.38</v>
      </c>
      <c r="AC62">
        <v>5.86</v>
      </c>
      <c r="AD62">
        <v>6.34</v>
      </c>
      <c r="AE62">
        <v>6.79</v>
      </c>
      <c r="AF62">
        <v>7.25</v>
      </c>
      <c r="AG62">
        <v>7.7</v>
      </c>
      <c r="AH62">
        <v>8.15</v>
      </c>
      <c r="AI62">
        <v>8.6</v>
      </c>
      <c r="AJ62">
        <v>8.86</v>
      </c>
      <c r="AK62">
        <v>9.1199999999999992</v>
      </c>
      <c r="AL62">
        <v>9.3800000000000008</v>
      </c>
      <c r="AM62">
        <v>9.64</v>
      </c>
      <c r="AN62">
        <v>9.9</v>
      </c>
    </row>
    <row r="63" spans="1:40" x14ac:dyDescent="0.25">
      <c r="A63" t="s">
        <v>29</v>
      </c>
      <c r="B63">
        <v>13.35</v>
      </c>
      <c r="C63">
        <v>13.74</v>
      </c>
      <c r="D63">
        <v>13.91</v>
      </c>
      <c r="E63">
        <v>14.13</v>
      </c>
      <c r="F63">
        <v>14.15</v>
      </c>
      <c r="G63">
        <v>14.18</v>
      </c>
      <c r="H63">
        <v>14.21</v>
      </c>
      <c r="I63">
        <v>14.08</v>
      </c>
      <c r="J63">
        <v>12.26</v>
      </c>
      <c r="K63">
        <v>12.65</v>
      </c>
      <c r="L63">
        <v>12.9</v>
      </c>
      <c r="M63">
        <v>13.13</v>
      </c>
      <c r="N63">
        <v>13.34</v>
      </c>
      <c r="O63">
        <v>13.63</v>
      </c>
      <c r="P63">
        <v>14.12</v>
      </c>
      <c r="Q63">
        <v>14.6</v>
      </c>
      <c r="R63">
        <v>15.08</v>
      </c>
      <c r="S63">
        <v>15.43</v>
      </c>
      <c r="T63">
        <v>15.88</v>
      </c>
      <c r="U63">
        <v>16.239999999999998</v>
      </c>
      <c r="V63">
        <v>16.559999999999999</v>
      </c>
      <c r="W63">
        <v>16.93</v>
      </c>
      <c r="X63">
        <v>17.34</v>
      </c>
      <c r="Y63">
        <v>17.73</v>
      </c>
      <c r="Z63">
        <v>18.190000000000001</v>
      </c>
      <c r="AA63">
        <v>18.670000000000002</v>
      </c>
      <c r="AB63">
        <v>19.14</v>
      </c>
      <c r="AC63">
        <v>19.63</v>
      </c>
      <c r="AD63">
        <v>20.14</v>
      </c>
      <c r="AE63">
        <v>20.57</v>
      </c>
      <c r="AF63">
        <v>21.03</v>
      </c>
      <c r="AG63">
        <v>21.51</v>
      </c>
      <c r="AH63">
        <v>22.03</v>
      </c>
      <c r="AI63">
        <v>22.59</v>
      </c>
      <c r="AJ63">
        <v>23.19</v>
      </c>
      <c r="AK63">
        <v>23.82</v>
      </c>
      <c r="AL63">
        <v>24.47</v>
      </c>
      <c r="AM63">
        <v>25.16</v>
      </c>
      <c r="AN63">
        <v>25.89</v>
      </c>
    </row>
    <row r="64" spans="1:40" x14ac:dyDescent="0.25">
      <c r="A64" t="s">
        <v>23</v>
      </c>
      <c r="B64">
        <v>205.45</v>
      </c>
      <c r="C64">
        <v>210.29</v>
      </c>
      <c r="D64">
        <v>210.09</v>
      </c>
      <c r="E64">
        <v>214.84</v>
      </c>
      <c r="F64">
        <v>210.99</v>
      </c>
      <c r="G64">
        <v>215.85</v>
      </c>
      <c r="H64">
        <v>213.65</v>
      </c>
      <c r="I64">
        <v>210.07</v>
      </c>
      <c r="J64">
        <v>193.07</v>
      </c>
      <c r="K64">
        <v>196.38</v>
      </c>
      <c r="L64">
        <v>199.05</v>
      </c>
      <c r="M64">
        <v>201.54</v>
      </c>
      <c r="N64">
        <v>203.91</v>
      </c>
      <c r="O64">
        <v>207.14</v>
      </c>
      <c r="P64">
        <v>212.19</v>
      </c>
      <c r="Q64">
        <v>217.65</v>
      </c>
      <c r="R64">
        <v>223.52</v>
      </c>
      <c r="S64">
        <v>228.69</v>
      </c>
      <c r="T64">
        <v>234.66</v>
      </c>
      <c r="U64">
        <v>240.3</v>
      </c>
      <c r="V64">
        <v>245.53</v>
      </c>
      <c r="W64">
        <v>251.1</v>
      </c>
      <c r="X64">
        <v>256.91000000000003</v>
      </c>
      <c r="Y64">
        <v>262.83</v>
      </c>
      <c r="Z64">
        <v>269.37</v>
      </c>
      <c r="AA64">
        <v>276.17</v>
      </c>
      <c r="AB64">
        <v>282.98</v>
      </c>
      <c r="AC64">
        <v>290.05</v>
      </c>
      <c r="AD64">
        <v>297.62</v>
      </c>
      <c r="AE64">
        <v>304.49</v>
      </c>
      <c r="AF64">
        <v>311.5</v>
      </c>
      <c r="AG64">
        <v>318.7</v>
      </c>
      <c r="AH64">
        <v>326.24</v>
      </c>
      <c r="AI64">
        <v>334.31</v>
      </c>
      <c r="AJ64">
        <v>342.67</v>
      </c>
      <c r="AK64">
        <v>351.49</v>
      </c>
      <c r="AL64">
        <v>360.41</v>
      </c>
      <c r="AM64">
        <v>369.89</v>
      </c>
      <c r="AN64">
        <v>380</v>
      </c>
    </row>
    <row r="65" spans="1:40" x14ac:dyDescent="0.25">
      <c r="A65" t="s">
        <v>30</v>
      </c>
      <c r="B65">
        <v>10.11</v>
      </c>
      <c r="C65">
        <v>8.43</v>
      </c>
      <c r="D65">
        <v>7.26</v>
      </c>
      <c r="E65">
        <v>6.85</v>
      </c>
      <c r="F65">
        <v>6.43</v>
      </c>
      <c r="G65">
        <v>5.96</v>
      </c>
      <c r="H65">
        <v>5.84</v>
      </c>
      <c r="I65">
        <v>5.52</v>
      </c>
      <c r="J65">
        <v>4.53</v>
      </c>
      <c r="K65">
        <v>4.6900000000000004</v>
      </c>
      <c r="L65">
        <v>4.71</v>
      </c>
      <c r="M65">
        <v>4.74</v>
      </c>
      <c r="N65">
        <v>4.7699999999999996</v>
      </c>
      <c r="O65">
        <v>4.84</v>
      </c>
      <c r="P65">
        <v>5.01</v>
      </c>
      <c r="Q65">
        <v>5.21</v>
      </c>
      <c r="R65">
        <v>5.45</v>
      </c>
      <c r="S65">
        <v>5.64</v>
      </c>
      <c r="T65">
        <v>5.88</v>
      </c>
      <c r="U65">
        <v>6.08</v>
      </c>
      <c r="V65">
        <v>6.21</v>
      </c>
      <c r="W65">
        <v>6.36</v>
      </c>
      <c r="X65">
        <v>6.52</v>
      </c>
      <c r="Y65">
        <v>6.66</v>
      </c>
      <c r="Z65">
        <v>6.83</v>
      </c>
      <c r="AA65">
        <v>7</v>
      </c>
      <c r="AB65">
        <v>7.17</v>
      </c>
      <c r="AC65">
        <v>7.34</v>
      </c>
      <c r="AD65">
        <v>7.52</v>
      </c>
      <c r="AE65">
        <v>7.63</v>
      </c>
      <c r="AF65">
        <v>7.74</v>
      </c>
      <c r="AG65">
        <v>7.85</v>
      </c>
      <c r="AH65">
        <v>7.96</v>
      </c>
      <c r="AI65">
        <v>8.08</v>
      </c>
      <c r="AJ65">
        <v>8.2100000000000009</v>
      </c>
      <c r="AK65">
        <v>8.35</v>
      </c>
      <c r="AL65">
        <v>8.49</v>
      </c>
      <c r="AM65">
        <v>8.65</v>
      </c>
      <c r="AN65">
        <v>8.82</v>
      </c>
    </row>
    <row r="66" spans="1:40" x14ac:dyDescent="0.25">
      <c r="A66" t="s">
        <v>28</v>
      </c>
      <c r="B66">
        <v>14.11</v>
      </c>
      <c r="C66">
        <v>14.52</v>
      </c>
      <c r="D66">
        <v>14.79</v>
      </c>
      <c r="E66">
        <v>15.03</v>
      </c>
      <c r="F66">
        <v>15.21</v>
      </c>
      <c r="G66">
        <v>15.35</v>
      </c>
      <c r="H66">
        <v>15.51</v>
      </c>
      <c r="I66">
        <v>15.54</v>
      </c>
      <c r="J66">
        <v>14.21</v>
      </c>
      <c r="K66">
        <v>14.6</v>
      </c>
      <c r="L66">
        <v>14.95</v>
      </c>
      <c r="M66">
        <v>15.3</v>
      </c>
      <c r="N66">
        <v>15.64</v>
      </c>
      <c r="O66">
        <v>16</v>
      </c>
      <c r="P66">
        <v>16.440000000000001</v>
      </c>
      <c r="Q66">
        <v>16.88</v>
      </c>
      <c r="R66">
        <v>17.34</v>
      </c>
      <c r="S66">
        <v>17.8</v>
      </c>
      <c r="T66">
        <v>18.27</v>
      </c>
      <c r="U66">
        <v>18.809999999999999</v>
      </c>
      <c r="V66">
        <v>19.32</v>
      </c>
      <c r="W66">
        <v>19.88</v>
      </c>
      <c r="X66">
        <v>20.49</v>
      </c>
      <c r="Y66">
        <v>21.14</v>
      </c>
      <c r="Z66">
        <v>21.81</v>
      </c>
      <c r="AA66">
        <v>22.5</v>
      </c>
      <c r="AB66">
        <v>23.19</v>
      </c>
      <c r="AC66">
        <v>23.92</v>
      </c>
      <c r="AD66">
        <v>24.68</v>
      </c>
      <c r="AE66">
        <v>25.46</v>
      </c>
      <c r="AF66">
        <v>26.29</v>
      </c>
      <c r="AG66">
        <v>27.15</v>
      </c>
      <c r="AH66">
        <v>28.04</v>
      </c>
      <c r="AI66">
        <v>28.99</v>
      </c>
      <c r="AJ66">
        <v>30</v>
      </c>
      <c r="AK66">
        <v>31.06</v>
      </c>
      <c r="AL66">
        <v>32.130000000000003</v>
      </c>
      <c r="AM66">
        <v>33.26</v>
      </c>
      <c r="AN66">
        <v>34.44</v>
      </c>
    </row>
    <row r="67" spans="1:40" x14ac:dyDescent="0.25">
      <c r="A67" t="s">
        <v>25</v>
      </c>
      <c r="B67">
        <v>235.5</v>
      </c>
      <c r="C67">
        <v>241.63</v>
      </c>
      <c r="D67">
        <v>245.65</v>
      </c>
      <c r="E67">
        <v>248.47</v>
      </c>
      <c r="F67">
        <v>251.07</v>
      </c>
      <c r="G67">
        <v>252.54</v>
      </c>
      <c r="H67">
        <v>254.74</v>
      </c>
      <c r="I67">
        <v>254.67</v>
      </c>
      <c r="J67">
        <v>230.24</v>
      </c>
      <c r="K67">
        <v>236.69</v>
      </c>
      <c r="L67">
        <v>242.59</v>
      </c>
      <c r="M67">
        <v>248.33</v>
      </c>
      <c r="N67">
        <v>253.83</v>
      </c>
      <c r="O67">
        <v>259.61</v>
      </c>
      <c r="P67">
        <v>266.92</v>
      </c>
      <c r="Q67">
        <v>274.13</v>
      </c>
      <c r="R67">
        <v>281.63</v>
      </c>
      <c r="S67">
        <v>289.23</v>
      </c>
      <c r="T67">
        <v>297.02</v>
      </c>
      <c r="U67">
        <v>305.64</v>
      </c>
      <c r="V67">
        <v>313.91000000000003</v>
      </c>
      <c r="W67">
        <v>323.06</v>
      </c>
      <c r="X67">
        <v>332.87</v>
      </c>
      <c r="Y67">
        <v>343.27</v>
      </c>
      <c r="Z67">
        <v>354.09</v>
      </c>
      <c r="AA67">
        <v>365.3</v>
      </c>
      <c r="AB67">
        <v>376.62</v>
      </c>
      <c r="AC67">
        <v>388.36</v>
      </c>
      <c r="AD67">
        <v>400.79</v>
      </c>
      <c r="AE67">
        <v>413.32</v>
      </c>
      <c r="AF67">
        <v>426.43</v>
      </c>
      <c r="AG67">
        <v>440.09</v>
      </c>
      <c r="AH67">
        <v>454.44</v>
      </c>
      <c r="AI67">
        <v>469.74</v>
      </c>
      <c r="AJ67">
        <v>485.82</v>
      </c>
      <c r="AK67">
        <v>502.71</v>
      </c>
      <c r="AL67">
        <v>519.79999999999995</v>
      </c>
      <c r="AM67">
        <v>537.78</v>
      </c>
      <c r="AN67">
        <v>556.72</v>
      </c>
    </row>
    <row r="68" spans="1:40" x14ac:dyDescent="0.25">
      <c r="A68" t="s">
        <v>37</v>
      </c>
      <c r="B68">
        <v>27.52</v>
      </c>
      <c r="C68">
        <v>27.49</v>
      </c>
      <c r="D68">
        <v>27.45</v>
      </c>
      <c r="E68">
        <v>27.42</v>
      </c>
      <c r="F68">
        <v>27.39</v>
      </c>
      <c r="G68">
        <v>27.36</v>
      </c>
      <c r="H68">
        <v>27.33</v>
      </c>
      <c r="I68">
        <v>27.24</v>
      </c>
      <c r="J68">
        <v>27.16</v>
      </c>
      <c r="K68">
        <v>26.07</v>
      </c>
      <c r="L68">
        <v>25.79</v>
      </c>
      <c r="M68">
        <v>25.7</v>
      </c>
      <c r="N68">
        <v>25.62</v>
      </c>
      <c r="O68">
        <v>24.83</v>
      </c>
      <c r="P68">
        <v>22.54</v>
      </c>
      <c r="Q68">
        <v>20.239999999999998</v>
      </c>
      <c r="R68">
        <v>17.95</v>
      </c>
      <c r="S68">
        <v>15.66</v>
      </c>
      <c r="T68">
        <v>13.37</v>
      </c>
      <c r="U68">
        <v>12.37</v>
      </c>
      <c r="V68">
        <v>11.37</v>
      </c>
      <c r="W68">
        <v>10.37</v>
      </c>
      <c r="X68">
        <v>9.3699999999999992</v>
      </c>
      <c r="Y68">
        <v>8.41</v>
      </c>
      <c r="Z68">
        <v>7.24</v>
      </c>
      <c r="AA68">
        <v>6.06</v>
      </c>
      <c r="AB68">
        <v>4.88</v>
      </c>
      <c r="AC68">
        <v>3.7</v>
      </c>
      <c r="AD68">
        <v>2.52</v>
      </c>
      <c r="AE68">
        <v>2.52</v>
      </c>
      <c r="AF68">
        <v>2.52</v>
      </c>
      <c r="AG68">
        <v>2.52</v>
      </c>
      <c r="AH68">
        <v>2.52</v>
      </c>
      <c r="AI68">
        <v>2.52</v>
      </c>
      <c r="AJ68">
        <v>2.52</v>
      </c>
      <c r="AK68">
        <v>2.52</v>
      </c>
      <c r="AL68">
        <v>2.52</v>
      </c>
      <c r="AM68">
        <v>2.52</v>
      </c>
      <c r="AN68">
        <v>2.52</v>
      </c>
    </row>
    <row r="69" spans="1:40" x14ac:dyDescent="0.25">
      <c r="A69" t="s">
        <v>26</v>
      </c>
      <c r="B69">
        <v>17.78</v>
      </c>
      <c r="C69">
        <v>18.190000000000001</v>
      </c>
      <c r="D69">
        <v>18.54</v>
      </c>
      <c r="E69">
        <v>18.73</v>
      </c>
      <c r="F69">
        <v>19.13</v>
      </c>
      <c r="G69">
        <v>19.23</v>
      </c>
      <c r="H69">
        <v>19.5</v>
      </c>
      <c r="I69">
        <v>19.52</v>
      </c>
      <c r="J69">
        <v>18.16</v>
      </c>
      <c r="K69">
        <v>18.68</v>
      </c>
      <c r="L69">
        <v>19.149999999999999</v>
      </c>
      <c r="M69">
        <v>19.61</v>
      </c>
      <c r="N69">
        <v>20.04</v>
      </c>
      <c r="O69">
        <v>20.51</v>
      </c>
      <c r="P69">
        <v>21.11</v>
      </c>
      <c r="Q69">
        <v>21.69</v>
      </c>
      <c r="R69">
        <v>22.28</v>
      </c>
      <c r="S69">
        <v>22.83</v>
      </c>
      <c r="T69">
        <v>23.42</v>
      </c>
      <c r="U69">
        <v>24.02</v>
      </c>
      <c r="V69">
        <v>24.61</v>
      </c>
      <c r="W69">
        <v>25.26</v>
      </c>
      <c r="X69">
        <v>25.94</v>
      </c>
      <c r="Y69">
        <v>26.65</v>
      </c>
      <c r="Z69">
        <v>27.42</v>
      </c>
      <c r="AA69">
        <v>28.22</v>
      </c>
      <c r="AB69">
        <v>29.03</v>
      </c>
      <c r="AC69">
        <v>29.88</v>
      </c>
      <c r="AD69">
        <v>30.78</v>
      </c>
      <c r="AE69">
        <v>31.65</v>
      </c>
      <c r="AF69">
        <v>32.57</v>
      </c>
      <c r="AG69">
        <v>33.53</v>
      </c>
      <c r="AH69">
        <v>34.54</v>
      </c>
      <c r="AI69">
        <v>35.619999999999997</v>
      </c>
      <c r="AJ69">
        <v>36.75</v>
      </c>
      <c r="AK69">
        <v>37.93</v>
      </c>
      <c r="AL69">
        <v>39.130000000000003</v>
      </c>
      <c r="AM69">
        <v>40.380000000000003</v>
      </c>
      <c r="AN69">
        <v>41.7</v>
      </c>
    </row>
    <row r="70" spans="1:40" x14ac:dyDescent="0.25">
      <c r="A70" t="s">
        <v>35</v>
      </c>
      <c r="B70">
        <v>11.26</v>
      </c>
      <c r="C70">
        <v>11.57</v>
      </c>
      <c r="D70">
        <v>11.91</v>
      </c>
      <c r="E70">
        <v>12.12</v>
      </c>
      <c r="F70">
        <v>12.2</v>
      </c>
      <c r="G70">
        <v>12.36</v>
      </c>
      <c r="H70">
        <v>12.64</v>
      </c>
      <c r="I70">
        <v>12.79</v>
      </c>
      <c r="J70">
        <v>12</v>
      </c>
      <c r="K70">
        <v>12.34</v>
      </c>
      <c r="L70">
        <v>12.61</v>
      </c>
      <c r="M70">
        <v>12.86</v>
      </c>
      <c r="N70">
        <v>13.09</v>
      </c>
      <c r="O70">
        <v>13.32</v>
      </c>
      <c r="P70">
        <v>13.6</v>
      </c>
      <c r="Q70">
        <v>13.87</v>
      </c>
      <c r="R70">
        <v>14.15</v>
      </c>
      <c r="S70">
        <v>14.45</v>
      </c>
      <c r="T70">
        <v>14.74</v>
      </c>
      <c r="U70">
        <v>15.11</v>
      </c>
      <c r="V70">
        <v>15.46</v>
      </c>
      <c r="W70">
        <v>15.83</v>
      </c>
      <c r="X70">
        <v>16.22</v>
      </c>
      <c r="Y70">
        <v>16.63</v>
      </c>
      <c r="Z70">
        <v>17.04</v>
      </c>
      <c r="AA70">
        <v>17.47</v>
      </c>
      <c r="AB70">
        <v>17.89</v>
      </c>
      <c r="AC70">
        <v>18.329999999999998</v>
      </c>
      <c r="AD70">
        <v>18.8</v>
      </c>
      <c r="AE70">
        <v>19.29</v>
      </c>
      <c r="AF70">
        <v>19.79</v>
      </c>
      <c r="AG70">
        <v>20.29</v>
      </c>
      <c r="AH70">
        <v>20.8</v>
      </c>
      <c r="AI70">
        <v>21.32</v>
      </c>
      <c r="AJ70">
        <v>21.84</v>
      </c>
      <c r="AK70">
        <v>22.38</v>
      </c>
      <c r="AL70">
        <v>22.91</v>
      </c>
      <c r="AM70">
        <v>23.46</v>
      </c>
      <c r="AN70">
        <v>24.05</v>
      </c>
    </row>
    <row r="71" spans="1:40" x14ac:dyDescent="0.25">
      <c r="A71" t="s">
        <v>34</v>
      </c>
      <c r="B71">
        <v>135.96</v>
      </c>
      <c r="C71">
        <v>139.72999999999999</v>
      </c>
      <c r="D71">
        <v>142.69999999999999</v>
      </c>
      <c r="E71">
        <v>144.16</v>
      </c>
      <c r="F71">
        <v>145.31</v>
      </c>
      <c r="G71">
        <v>147.16</v>
      </c>
      <c r="H71">
        <v>148.75</v>
      </c>
      <c r="I71">
        <v>149.16999999999999</v>
      </c>
      <c r="J71">
        <v>138.22</v>
      </c>
      <c r="K71">
        <v>141.11000000000001</v>
      </c>
      <c r="L71">
        <v>144.02000000000001</v>
      </c>
      <c r="M71">
        <v>146.85</v>
      </c>
      <c r="N71">
        <v>149.56</v>
      </c>
      <c r="O71">
        <v>152.32</v>
      </c>
      <c r="P71">
        <v>155.71</v>
      </c>
      <c r="Q71">
        <v>158.9</v>
      </c>
      <c r="R71">
        <v>162.26</v>
      </c>
      <c r="S71">
        <v>165.94</v>
      </c>
      <c r="T71">
        <v>169.63</v>
      </c>
      <c r="U71">
        <v>174.19</v>
      </c>
      <c r="V71">
        <v>178.43</v>
      </c>
      <c r="W71">
        <v>183.19</v>
      </c>
      <c r="X71">
        <v>188.3</v>
      </c>
      <c r="Y71">
        <v>193.91</v>
      </c>
      <c r="Z71">
        <v>199.62</v>
      </c>
      <c r="AA71">
        <v>205.55</v>
      </c>
      <c r="AB71">
        <v>211.53</v>
      </c>
      <c r="AC71">
        <v>217.76</v>
      </c>
      <c r="AD71">
        <v>224.36</v>
      </c>
      <c r="AE71">
        <v>231.21</v>
      </c>
      <c r="AF71">
        <v>238.37</v>
      </c>
      <c r="AG71">
        <v>245.82</v>
      </c>
      <c r="AH71">
        <v>253.64</v>
      </c>
      <c r="AI71">
        <v>261.98</v>
      </c>
      <c r="AJ71">
        <v>270.7</v>
      </c>
      <c r="AK71">
        <v>279.86</v>
      </c>
      <c r="AL71">
        <v>289.08</v>
      </c>
      <c r="AM71">
        <v>298.81</v>
      </c>
      <c r="AN71">
        <v>309.06</v>
      </c>
    </row>
    <row r="72" spans="1:40" x14ac:dyDescent="0.25">
      <c r="A72" t="s">
        <v>33</v>
      </c>
      <c r="B72">
        <v>21.15</v>
      </c>
      <c r="C72">
        <v>22.37</v>
      </c>
      <c r="D72">
        <v>23.86</v>
      </c>
      <c r="E72">
        <v>24.79</v>
      </c>
      <c r="F72">
        <v>25.39</v>
      </c>
      <c r="G72">
        <v>26.91</v>
      </c>
      <c r="H72">
        <v>28.69</v>
      </c>
      <c r="I72">
        <v>29.81</v>
      </c>
      <c r="J72">
        <v>28.74</v>
      </c>
      <c r="K72">
        <v>30.06</v>
      </c>
      <c r="L72">
        <v>31.41</v>
      </c>
      <c r="M72">
        <v>32.79</v>
      </c>
      <c r="N72">
        <v>34.18</v>
      </c>
      <c r="O72">
        <v>35.74</v>
      </c>
      <c r="P72">
        <v>37.880000000000003</v>
      </c>
      <c r="Q72">
        <v>40.24</v>
      </c>
      <c r="R72">
        <v>42.9</v>
      </c>
      <c r="S72">
        <v>45.9</v>
      </c>
      <c r="T72">
        <v>49.13</v>
      </c>
      <c r="U72">
        <v>52.76</v>
      </c>
      <c r="V72">
        <v>56.4</v>
      </c>
      <c r="W72">
        <v>60.42</v>
      </c>
      <c r="X72">
        <v>64.709999999999994</v>
      </c>
      <c r="Y72">
        <v>69.47</v>
      </c>
      <c r="Z72">
        <v>74.56</v>
      </c>
      <c r="AA72">
        <v>79.92</v>
      </c>
      <c r="AB72">
        <v>85.44</v>
      </c>
      <c r="AC72">
        <v>91.27</v>
      </c>
      <c r="AD72">
        <v>97.47</v>
      </c>
      <c r="AE72">
        <v>103.66</v>
      </c>
      <c r="AF72">
        <v>109.94</v>
      </c>
      <c r="AG72">
        <v>116.29</v>
      </c>
      <c r="AH72">
        <v>122.76</v>
      </c>
      <c r="AI72">
        <v>129.41999999999999</v>
      </c>
      <c r="AJ72">
        <v>136.13999999999999</v>
      </c>
      <c r="AK72">
        <v>142.99</v>
      </c>
      <c r="AL72">
        <v>149.66</v>
      </c>
      <c r="AM72">
        <v>156.57</v>
      </c>
      <c r="AN72">
        <v>163.72</v>
      </c>
    </row>
    <row r="73" spans="1:40" x14ac:dyDescent="0.25">
      <c r="A73" t="s">
        <v>36</v>
      </c>
      <c r="B73">
        <v>1.1399999999999999</v>
      </c>
      <c r="C73">
        <v>1.1599999999999999</v>
      </c>
      <c r="D73">
        <v>1.1399999999999999</v>
      </c>
      <c r="E73">
        <v>1.1299999999999999</v>
      </c>
      <c r="F73">
        <v>1.1499999999999999</v>
      </c>
      <c r="G73">
        <v>1.1499999999999999</v>
      </c>
      <c r="H73">
        <v>1.1200000000000001</v>
      </c>
      <c r="I73">
        <v>1.0900000000000001</v>
      </c>
      <c r="J73">
        <v>0.99</v>
      </c>
      <c r="K73">
        <v>0.99</v>
      </c>
      <c r="L73">
        <v>1</v>
      </c>
      <c r="M73">
        <v>1.02</v>
      </c>
      <c r="N73">
        <v>1.03</v>
      </c>
      <c r="O73">
        <v>1.05</v>
      </c>
      <c r="P73">
        <v>1.07</v>
      </c>
      <c r="Q73">
        <v>1.0900000000000001</v>
      </c>
      <c r="R73">
        <v>1.1100000000000001</v>
      </c>
      <c r="S73">
        <v>1.1399999999999999</v>
      </c>
      <c r="T73">
        <v>1.1599999999999999</v>
      </c>
      <c r="U73">
        <v>1.2</v>
      </c>
      <c r="V73">
        <v>1.23</v>
      </c>
      <c r="W73">
        <v>1.27</v>
      </c>
      <c r="X73">
        <v>1.31</v>
      </c>
      <c r="Y73">
        <v>1.36</v>
      </c>
      <c r="Z73">
        <v>1.42</v>
      </c>
      <c r="AA73">
        <v>1.47</v>
      </c>
      <c r="AB73">
        <v>1.53</v>
      </c>
      <c r="AC73">
        <v>1.58</v>
      </c>
      <c r="AD73">
        <v>1.65</v>
      </c>
      <c r="AE73">
        <v>1.71</v>
      </c>
      <c r="AF73">
        <v>1.79</v>
      </c>
      <c r="AG73">
        <v>1.87</v>
      </c>
      <c r="AH73">
        <v>1.95</v>
      </c>
      <c r="AI73">
        <v>2.0499999999999998</v>
      </c>
      <c r="AJ73">
        <v>2.16</v>
      </c>
      <c r="AK73">
        <v>2.2799999999999998</v>
      </c>
      <c r="AL73">
        <v>2.4</v>
      </c>
      <c r="AM73">
        <v>2.5299999999999998</v>
      </c>
      <c r="AN73">
        <v>2.66</v>
      </c>
    </row>
    <row r="74" spans="1:40" x14ac:dyDescent="0.25">
      <c r="A74" t="s">
        <v>77</v>
      </c>
      <c r="B74">
        <f>SUM(B56:B73)</f>
        <v>2893.58</v>
      </c>
      <c r="C74">
        <f t="shared" ref="C74" si="25">SUM(C56:C73)</f>
        <v>2965.2699999999995</v>
      </c>
      <c r="D74">
        <f t="shared" ref="D74" si="26">SUM(D56:D73)</f>
        <v>3020.96</v>
      </c>
      <c r="E74">
        <f t="shared" ref="E74" si="27">SUM(E56:E73)</f>
        <v>3059.4500000000003</v>
      </c>
      <c r="F74">
        <f t="shared" ref="F74" si="28">SUM(F56:F73)</f>
        <v>3083.92</v>
      </c>
      <c r="G74">
        <f t="shared" ref="G74" si="29">SUM(G56:G73)</f>
        <v>3120.5399999999995</v>
      </c>
      <c r="H74">
        <f t="shared" ref="H74" si="30">SUM(H56:H73)</f>
        <v>3152.24</v>
      </c>
      <c r="I74">
        <f t="shared" ref="I74" si="31">SUM(I56:I73)</f>
        <v>3179.29</v>
      </c>
      <c r="J74">
        <f t="shared" ref="J74" si="32">SUM(J56:J73)</f>
        <v>2948.9199999999996</v>
      </c>
      <c r="K74">
        <f t="shared" ref="K74" si="33">SUM(K56:K73)</f>
        <v>3014.3800000000006</v>
      </c>
      <c r="L74">
        <f t="shared" ref="L74" si="34">SUM(L56:L73)</f>
        <v>3077.2000000000003</v>
      </c>
      <c r="M74">
        <f t="shared" ref="M74" si="35">SUM(M56:M73)</f>
        <v>3140.61</v>
      </c>
      <c r="N74">
        <f t="shared" ref="N74" si="36">SUM(N56:N73)</f>
        <v>3201.7699999999991</v>
      </c>
      <c r="O74">
        <f t="shared" ref="O74" si="37">SUM(O56:O73)</f>
        <v>3265.5400000000009</v>
      </c>
      <c r="P74">
        <f t="shared" ref="P74" si="38">SUM(P56:P73)</f>
        <v>3341.2800000000007</v>
      </c>
      <c r="Q74">
        <f t="shared" ref="Q74" si="39">SUM(Q56:Q73)</f>
        <v>3416.2799999999997</v>
      </c>
      <c r="R74">
        <f t="shared" ref="R74" si="40">SUM(R56:R73)</f>
        <v>3494.88</v>
      </c>
      <c r="S74">
        <f t="shared" ref="S74" si="41">SUM(S56:S73)</f>
        <v>3576.08</v>
      </c>
      <c r="T74">
        <f t="shared" ref="T74" si="42">SUM(T56:T73)</f>
        <v>3660.1199999999994</v>
      </c>
      <c r="U74">
        <f t="shared" ref="U74" si="43">SUM(U56:U73)</f>
        <v>3761.0299999999997</v>
      </c>
      <c r="V74">
        <f t="shared" ref="V74" si="44">SUM(V56:V73)</f>
        <v>3857.2000000000003</v>
      </c>
      <c r="W74">
        <f t="shared" ref="W74" si="45">SUM(W56:W73)</f>
        <v>3964.01</v>
      </c>
      <c r="X74">
        <f t="shared" ref="X74" si="46">SUM(X56:X73)</f>
        <v>4078.2199999999993</v>
      </c>
      <c r="Y74">
        <f t="shared" ref="Y74" si="47">SUM(Y56:Y73)</f>
        <v>4200.2899999999991</v>
      </c>
      <c r="Z74">
        <f t="shared" ref="Z74" si="48">SUM(Z56:Z73)</f>
        <v>4325.97</v>
      </c>
      <c r="AA74">
        <f t="shared" ref="AA74" si="49">SUM(AA56:AA73)</f>
        <v>4457.0000000000018</v>
      </c>
      <c r="AB74">
        <f t="shared" ref="AB74" si="50">SUM(AB56:AB73)</f>
        <v>4590.03</v>
      </c>
      <c r="AC74">
        <f t="shared" ref="AC74" si="51">SUM(AC56:AC73)</f>
        <v>4728.5300000000007</v>
      </c>
      <c r="AD74">
        <f t="shared" ref="AD74" si="52">SUM(AD56:AD73)</f>
        <v>4875.51</v>
      </c>
      <c r="AE74">
        <f t="shared" ref="AE74" si="53">SUM(AE56:AE73)</f>
        <v>5028.54</v>
      </c>
      <c r="AF74">
        <f t="shared" ref="AF74" si="54">SUM(AF56:AF73)</f>
        <v>5188.0999999999995</v>
      </c>
      <c r="AG74">
        <f t="shared" ref="AG74" si="55">SUM(AG56:AG73)</f>
        <v>5353.79</v>
      </c>
      <c r="AH74">
        <f t="shared" ref="AH74" si="56">SUM(AH56:AH73)</f>
        <v>5526.5</v>
      </c>
      <c r="AI74">
        <f t="shared" ref="AI74" si="57">SUM(AI56:AI73)</f>
        <v>5709.9300000000012</v>
      </c>
      <c r="AJ74">
        <f t="shared" ref="AJ74" si="58">SUM(AJ56:AJ73)</f>
        <v>5902.43</v>
      </c>
      <c r="AK74">
        <f t="shared" ref="AK74" si="59">SUM(AK56:AK73)</f>
        <v>6104.12</v>
      </c>
      <c r="AL74">
        <f t="shared" ref="AL74" si="60">SUM(AL56:AL73)</f>
        <v>6308.13</v>
      </c>
      <c r="AM74">
        <f t="shared" ref="AM74" si="61">SUM(AM56:AM73)</f>
        <v>6522.2000000000007</v>
      </c>
      <c r="AN74">
        <f t="shared" ref="AN74" si="62">SUM(AN56:AN73)</f>
        <v>6747.130000000001</v>
      </c>
    </row>
    <row r="75" spans="1:40" x14ac:dyDescent="0.25">
      <c r="A75" t="s">
        <v>78</v>
      </c>
      <c r="C75" s="1">
        <f>C74/B74-1</f>
        <v>2.477553756937767E-2</v>
      </c>
      <c r="D75" s="1">
        <f t="shared" ref="D75:AN75" si="63">D74/C74-1</f>
        <v>1.878075183710104E-2</v>
      </c>
      <c r="E75" s="1">
        <f t="shared" si="63"/>
        <v>1.2740982998781902E-2</v>
      </c>
      <c r="F75" s="1">
        <f t="shared" si="63"/>
        <v>7.9981696056479201E-3</v>
      </c>
      <c r="G75" s="1">
        <f t="shared" si="63"/>
        <v>1.187449739292834E-2</v>
      </c>
      <c r="H75" s="1">
        <f t="shared" si="63"/>
        <v>1.0158498208643563E-2</v>
      </c>
      <c r="I75" s="1">
        <f t="shared" si="63"/>
        <v>8.581199401060946E-3</v>
      </c>
      <c r="J75" s="1">
        <f t="shared" si="63"/>
        <v>-7.2459574307471297E-2</v>
      </c>
      <c r="K75" s="1">
        <f t="shared" si="63"/>
        <v>2.2197957218236253E-2</v>
      </c>
      <c r="L75" s="1">
        <f t="shared" si="63"/>
        <v>2.0840106423211324E-2</v>
      </c>
      <c r="M75" s="1">
        <f t="shared" si="63"/>
        <v>2.0606395424411783E-2</v>
      </c>
      <c r="N75" s="1">
        <f t="shared" si="63"/>
        <v>1.9473923855556352E-2</v>
      </c>
      <c r="O75" s="1">
        <f t="shared" si="63"/>
        <v>1.9917108349444712E-2</v>
      </c>
      <c r="P75" s="1">
        <f t="shared" si="63"/>
        <v>2.3193713750252476E-2</v>
      </c>
      <c r="Q75" s="1">
        <f t="shared" si="63"/>
        <v>2.2446487573624108E-2</v>
      </c>
      <c r="R75" s="1">
        <f t="shared" si="63"/>
        <v>2.3007481822333142E-2</v>
      </c>
      <c r="S75" s="1">
        <f t="shared" si="63"/>
        <v>2.3233988005310513E-2</v>
      </c>
      <c r="T75" s="1">
        <f t="shared" si="63"/>
        <v>2.3500592827900846E-2</v>
      </c>
      <c r="U75" s="1">
        <f t="shared" si="63"/>
        <v>2.7570134312536299E-2</v>
      </c>
      <c r="V75" s="1">
        <f t="shared" si="63"/>
        <v>2.5570123077986784E-2</v>
      </c>
      <c r="W75" s="1">
        <f t="shared" si="63"/>
        <v>2.7691071243388876E-2</v>
      </c>
      <c r="X75" s="1">
        <f t="shared" si="63"/>
        <v>2.8811733572821296E-2</v>
      </c>
      <c r="Y75" s="1">
        <f t="shared" si="63"/>
        <v>2.9932176292598145E-2</v>
      </c>
      <c r="Z75" s="1">
        <f t="shared" si="63"/>
        <v>2.9921743498663389E-2</v>
      </c>
      <c r="AA75" s="1">
        <f t="shared" si="63"/>
        <v>3.0289160581326691E-2</v>
      </c>
      <c r="AB75" s="1">
        <f t="shared" si="63"/>
        <v>2.9847431007403502E-2</v>
      </c>
      <c r="AC75" s="1">
        <f t="shared" si="63"/>
        <v>3.0174094722692724E-2</v>
      </c>
      <c r="AD75" s="1">
        <f t="shared" si="63"/>
        <v>3.1083656019947004E-2</v>
      </c>
      <c r="AE75" s="1">
        <f t="shared" si="63"/>
        <v>3.1387485616889199E-2</v>
      </c>
      <c r="AF75" s="1">
        <f t="shared" si="63"/>
        <v>3.1730880136182638E-2</v>
      </c>
      <c r="AG75" s="1">
        <f t="shared" si="63"/>
        <v>3.1936547098166956E-2</v>
      </c>
      <c r="AH75" s="1">
        <f t="shared" si="63"/>
        <v>3.2259390076936123E-2</v>
      </c>
      <c r="AI75" s="1">
        <f t="shared" si="63"/>
        <v>3.3190988871799831E-2</v>
      </c>
      <c r="AJ75" s="1">
        <f t="shared" si="63"/>
        <v>3.3713197885087753E-2</v>
      </c>
      <c r="AK75" s="1">
        <f t="shared" si="63"/>
        <v>3.4170672079126607E-2</v>
      </c>
      <c r="AL75" s="1">
        <f t="shared" si="63"/>
        <v>3.3421688957622209E-2</v>
      </c>
      <c r="AM75" s="1">
        <f t="shared" si="63"/>
        <v>3.3935572031648098E-2</v>
      </c>
      <c r="AN75" s="1">
        <f t="shared" si="63"/>
        <v>3.4486829597375257E-2</v>
      </c>
    </row>
    <row r="76" spans="1:40" x14ac:dyDescent="0.25">
      <c r="A76" t="s">
        <v>83</v>
      </c>
      <c r="C76" s="1">
        <f>C58/C74</f>
        <v>0.63554077706245982</v>
      </c>
      <c r="D76" s="1">
        <f t="shared" ref="D76:AN76" si="64">D58/D74</f>
        <v>0.63816799957629367</v>
      </c>
      <c r="E76" s="1">
        <f t="shared" si="64"/>
        <v>0.63979146578633417</v>
      </c>
      <c r="F76" s="1">
        <f t="shared" si="64"/>
        <v>0.64292199538250017</v>
      </c>
      <c r="G76" s="1">
        <f t="shared" si="64"/>
        <v>0.64328609791895008</v>
      </c>
      <c r="H76" s="1">
        <f t="shared" si="64"/>
        <v>0.64608024769687589</v>
      </c>
      <c r="I76" s="1">
        <f t="shared" si="64"/>
        <v>0.65144733572590108</v>
      </c>
      <c r="J76" s="1">
        <f t="shared" si="64"/>
        <v>0.64959374957611604</v>
      </c>
      <c r="K76" s="1">
        <f t="shared" si="64"/>
        <v>0.65027965949880229</v>
      </c>
      <c r="L76" s="1">
        <f t="shared" si="64"/>
        <v>0.65131613154816059</v>
      </c>
      <c r="M76" s="1">
        <f t="shared" si="64"/>
        <v>0.65213764205042968</v>
      </c>
      <c r="N76" s="1">
        <f t="shared" si="64"/>
        <v>0.65312623954874971</v>
      </c>
      <c r="O76" s="1">
        <f t="shared" si="64"/>
        <v>0.65407558933591359</v>
      </c>
      <c r="P76" s="1">
        <f t="shared" si="64"/>
        <v>0.65498252166834259</v>
      </c>
      <c r="Q76" s="1">
        <f t="shared" si="64"/>
        <v>0.65585373564227756</v>
      </c>
      <c r="R76" s="1">
        <f t="shared" si="64"/>
        <v>0.65671782722153549</v>
      </c>
      <c r="S76" s="1">
        <f t="shared" si="64"/>
        <v>0.65758875640365988</v>
      </c>
      <c r="T76" s="1">
        <f t="shared" si="64"/>
        <v>0.6583909817164465</v>
      </c>
      <c r="U76" s="1">
        <f t="shared" si="64"/>
        <v>0.65874507781113156</v>
      </c>
      <c r="V76" s="1">
        <f t="shared" si="64"/>
        <v>0.65962615368661204</v>
      </c>
      <c r="W76" s="1">
        <f t="shared" si="64"/>
        <v>0.66027583179658977</v>
      </c>
      <c r="X76" s="1">
        <f t="shared" si="64"/>
        <v>0.66099425729852734</v>
      </c>
      <c r="Y76" s="1">
        <f t="shared" si="64"/>
        <v>0.66164002961700275</v>
      </c>
      <c r="Z76" s="1">
        <f t="shared" si="64"/>
        <v>0.66260746144795268</v>
      </c>
      <c r="AA76" s="1">
        <f t="shared" si="64"/>
        <v>0.66353601076957569</v>
      </c>
      <c r="AB76" s="1">
        <f t="shared" si="64"/>
        <v>0.66448585303364038</v>
      </c>
      <c r="AC76" s="1">
        <f t="shared" si="64"/>
        <v>0.66543513523230258</v>
      </c>
      <c r="AD76" s="1">
        <f t="shared" si="64"/>
        <v>0.66640002789451769</v>
      </c>
      <c r="AE76" s="1">
        <f t="shared" si="64"/>
        <v>0.6672672386020595</v>
      </c>
      <c r="AF76" s="1">
        <f t="shared" si="64"/>
        <v>0.66818295715194398</v>
      </c>
      <c r="AG76" s="1">
        <f t="shared" si="64"/>
        <v>0.66915586901989055</v>
      </c>
      <c r="AH76" s="1">
        <f t="shared" si="64"/>
        <v>0.6700714738080159</v>
      </c>
      <c r="AI76" s="1">
        <f t="shared" si="64"/>
        <v>0.67100997735523893</v>
      </c>
      <c r="AJ76" s="1">
        <f t="shared" si="64"/>
        <v>0.67192834137804258</v>
      </c>
      <c r="AK76" s="1">
        <f t="shared" si="64"/>
        <v>0.67288978591508686</v>
      </c>
      <c r="AL76" s="1">
        <f t="shared" si="64"/>
        <v>0.67389226284176129</v>
      </c>
      <c r="AM76" s="1">
        <f t="shared" si="64"/>
        <v>0.67487044248873074</v>
      </c>
      <c r="AN76" s="1">
        <f t="shared" si="64"/>
        <v>0.67584884239669296</v>
      </c>
    </row>
    <row r="77" spans="1:40" x14ac:dyDescent="0.25">
      <c r="A77" t="s">
        <v>80</v>
      </c>
      <c r="C77" s="1">
        <f>C57/B57-1</f>
        <v>-6.6245106895512773E-3</v>
      </c>
      <c r="D77" s="1">
        <f t="shared" ref="D77:AN77" si="65">D57/C57-1</f>
        <v>-3.9405880569870488E-3</v>
      </c>
      <c r="E77" s="1">
        <f t="shared" si="65"/>
        <v>-3.9561777236762907E-3</v>
      </c>
      <c r="F77" s="1">
        <f t="shared" si="65"/>
        <v>-1.8026275588145291E-2</v>
      </c>
      <c r="G77" s="1">
        <f t="shared" si="65"/>
        <v>-6.6894835096452665E-3</v>
      </c>
      <c r="H77" s="1">
        <f t="shared" si="65"/>
        <v>-1.1276429130775201E-2</v>
      </c>
      <c r="I77" s="1">
        <f t="shared" si="65"/>
        <v>-1.4097893236179271E-2</v>
      </c>
      <c r="J77" s="1">
        <f t="shared" si="65"/>
        <v>-1.0604113110539881E-2</v>
      </c>
      <c r="K77" s="1">
        <f t="shared" si="65"/>
        <v>-1.9649236765183486E-2</v>
      </c>
      <c r="L77" s="1">
        <f t="shared" si="65"/>
        <v>-4.4724200761967481E-3</v>
      </c>
      <c r="M77" s="1">
        <f t="shared" si="65"/>
        <v>-4.3261231281197521E-3</v>
      </c>
      <c r="N77" s="1">
        <f t="shared" si="65"/>
        <v>-8.3556149732619822E-3</v>
      </c>
      <c r="O77" s="1">
        <f t="shared" si="65"/>
        <v>-9.9427030670711236E-3</v>
      </c>
      <c r="P77" s="1">
        <f t="shared" si="65"/>
        <v>-4.0000000000000036E-2</v>
      </c>
      <c r="Q77" s="1">
        <f t="shared" si="65"/>
        <v>-5.3900709219858123E-2</v>
      </c>
      <c r="R77" s="1">
        <f t="shared" si="65"/>
        <v>-5.6221889055472318E-2</v>
      </c>
      <c r="S77" s="1">
        <f t="shared" si="65"/>
        <v>-6.7513899920571885E-2</v>
      </c>
      <c r="T77" s="1">
        <f t="shared" si="65"/>
        <v>-7.3466780238500951E-2</v>
      </c>
      <c r="U77" s="1">
        <f t="shared" si="65"/>
        <v>5.7458055619397097E-3</v>
      </c>
      <c r="V77" s="1">
        <f t="shared" si="65"/>
        <v>-2.468007312614251E-2</v>
      </c>
      <c r="W77" s="1">
        <f t="shared" si="65"/>
        <v>-8.6691658856606901E-3</v>
      </c>
      <c r="X77" s="1">
        <f t="shared" si="65"/>
        <v>-8.7449775466793556E-3</v>
      </c>
      <c r="Y77" s="1">
        <f t="shared" si="65"/>
        <v>-1.8836432999523089E-2</v>
      </c>
      <c r="Z77" s="1">
        <f t="shared" si="65"/>
        <v>-3.1348724179829923E-2</v>
      </c>
      <c r="AA77" s="1">
        <f t="shared" si="65"/>
        <v>-3.2363271450075226E-2</v>
      </c>
      <c r="AB77" s="1">
        <f t="shared" si="65"/>
        <v>-3.3445683173450869E-2</v>
      </c>
      <c r="AC77" s="1">
        <f t="shared" si="65"/>
        <v>-3.4334763948497882E-2</v>
      </c>
      <c r="AD77" s="1">
        <f t="shared" si="65"/>
        <v>-3.5833333333333273E-2</v>
      </c>
      <c r="AE77" s="1">
        <f t="shared" si="65"/>
        <v>4.321521175453702E-3</v>
      </c>
      <c r="AF77" s="1">
        <f t="shared" si="65"/>
        <v>4.3029259896729677E-3</v>
      </c>
      <c r="AG77" s="1">
        <f t="shared" si="65"/>
        <v>3.9988574692944034E-3</v>
      </c>
      <c r="AH77" s="1">
        <f t="shared" si="65"/>
        <v>4.2674253200567502E-3</v>
      </c>
      <c r="AI77" s="1">
        <f t="shared" si="65"/>
        <v>4.2492917847027911E-3</v>
      </c>
      <c r="AJ77" s="1">
        <f t="shared" si="65"/>
        <v>8.4626234132580969E-3</v>
      </c>
      <c r="AK77" s="1">
        <f t="shared" si="65"/>
        <v>8.1118881118880104E-3</v>
      </c>
      <c r="AL77" s="1">
        <f t="shared" si="65"/>
        <v>8.3240843507215168E-3</v>
      </c>
      <c r="AM77" s="1">
        <f t="shared" si="65"/>
        <v>8.255365987892116E-3</v>
      </c>
      <c r="AN77" s="1">
        <f t="shared" si="65"/>
        <v>7.9148471615719806E-3</v>
      </c>
    </row>
    <row r="78" spans="1:40" x14ac:dyDescent="0.25">
      <c r="A78" t="s">
        <v>81</v>
      </c>
      <c r="C78" s="1">
        <f>C56/B56-1</f>
        <v>4.2251503867086759E-2</v>
      </c>
      <c r="D78" s="1">
        <f t="shared" ref="D78:AN78" si="66">D56/C56-1</f>
        <v>3.7652878933626566E-2</v>
      </c>
      <c r="E78" s="1">
        <f t="shared" si="66"/>
        <v>-1.5229770891272754E-2</v>
      </c>
      <c r="F78" s="1">
        <f t="shared" si="66"/>
        <v>-1.0892953200645539E-2</v>
      </c>
      <c r="G78" s="1">
        <f t="shared" si="66"/>
        <v>3.3310673011556879E-2</v>
      </c>
      <c r="H78" s="1">
        <f t="shared" si="66"/>
        <v>-1.6052631578947318E-2</v>
      </c>
      <c r="I78" s="1">
        <f t="shared" si="66"/>
        <v>-1.6715699384862281E-2</v>
      </c>
      <c r="J78" s="1">
        <f t="shared" si="66"/>
        <v>-3.4951720386237062E-2</v>
      </c>
      <c r="K78" s="1">
        <f t="shared" si="66"/>
        <v>2.8184892897406888E-2</v>
      </c>
      <c r="L78" s="1">
        <f t="shared" si="66"/>
        <v>2.7960526315789602E-2</v>
      </c>
      <c r="M78" s="1">
        <f t="shared" si="66"/>
        <v>2.0266666666666655E-2</v>
      </c>
      <c r="N78" s="1">
        <f t="shared" si="66"/>
        <v>1.8034500784108953E-2</v>
      </c>
      <c r="O78" s="1">
        <f t="shared" si="66"/>
        <v>1.5789473684210353E-2</v>
      </c>
      <c r="P78" s="1">
        <f t="shared" si="66"/>
        <v>2.5527612789081333E-2</v>
      </c>
      <c r="Q78" s="1">
        <f t="shared" si="66"/>
        <v>2.3536660505237172E-2</v>
      </c>
      <c r="R78" s="1">
        <f t="shared" si="66"/>
        <v>2.3356609679749507E-2</v>
      </c>
      <c r="S78" s="1">
        <f t="shared" si="66"/>
        <v>2.1058823529411796E-2</v>
      </c>
      <c r="T78" s="1">
        <f t="shared" si="66"/>
        <v>2.0970157852286953E-2</v>
      </c>
      <c r="U78" s="1">
        <f t="shared" si="66"/>
        <v>2.1555129217921243E-2</v>
      </c>
      <c r="V78" s="1">
        <f t="shared" si="66"/>
        <v>1.878038002651361E-2</v>
      </c>
      <c r="W78" s="1">
        <f t="shared" si="66"/>
        <v>1.9301669919757014E-2</v>
      </c>
      <c r="X78" s="1">
        <f t="shared" si="66"/>
        <v>1.9468085106382871E-2</v>
      </c>
      <c r="Y78" s="1">
        <f t="shared" si="66"/>
        <v>1.9409370760722133E-2</v>
      </c>
      <c r="Z78" s="1">
        <f t="shared" si="66"/>
        <v>2.0780018425632152E-2</v>
      </c>
      <c r="AA78" s="1">
        <f t="shared" si="66"/>
        <v>2.1359807460890501E-2</v>
      </c>
      <c r="AB78" s="1">
        <f t="shared" si="66"/>
        <v>2.130584192439855E-2</v>
      </c>
      <c r="AC78" s="1">
        <f t="shared" si="66"/>
        <v>2.1534320323014944E-2</v>
      </c>
      <c r="AD78" s="1">
        <f t="shared" si="66"/>
        <v>2.2021456804065309E-2</v>
      </c>
      <c r="AE78" s="1">
        <f t="shared" si="66"/>
        <v>2.0718232044198981E-2</v>
      </c>
      <c r="AF78" s="1">
        <f t="shared" si="66"/>
        <v>2.0658547586829057E-2</v>
      </c>
      <c r="AG78" s="1">
        <f t="shared" si="66"/>
        <v>2.0505568322432222E-2</v>
      </c>
      <c r="AH78" s="1">
        <f t="shared" si="66"/>
        <v>2.1739130434782705E-2</v>
      </c>
      <c r="AI78" s="1">
        <f t="shared" si="66"/>
        <v>2.3141476646605152E-2</v>
      </c>
      <c r="AJ78" s="1">
        <f t="shared" si="66"/>
        <v>2.3695111847555905E-2</v>
      </c>
      <c r="AK78" s="1">
        <f t="shared" si="66"/>
        <v>2.4765296212366561E-2</v>
      </c>
      <c r="AL78" s="1">
        <f t="shared" si="66"/>
        <v>2.3692939504027732E-2</v>
      </c>
      <c r="AM78" s="1">
        <f t="shared" si="66"/>
        <v>2.4918993982409932E-2</v>
      </c>
      <c r="AN78" s="1">
        <f t="shared" si="66"/>
        <v>2.5592773805043434E-2</v>
      </c>
    </row>
    <row r="79" spans="1:40" x14ac:dyDescent="0.25">
      <c r="A79" t="s">
        <v>87</v>
      </c>
      <c r="C79" s="16">
        <f t="shared" ref="C79:J79" si="67">C78/C75</f>
        <v>1.7053718309349306</v>
      </c>
      <c r="D79" s="16">
        <f t="shared" si="67"/>
        <v>2.0048653674899199</v>
      </c>
      <c r="E79" s="16">
        <f t="shared" si="67"/>
        <v>-1.1953371959391823</v>
      </c>
      <c r="F79" s="16">
        <f t="shared" si="67"/>
        <v>-1.3619307588768139</v>
      </c>
      <c r="G79" s="16">
        <f t="shared" si="67"/>
        <v>2.805228036968916</v>
      </c>
      <c r="H79" s="16">
        <f t="shared" si="67"/>
        <v>-1.580217001494238</v>
      </c>
      <c r="I79" s="16">
        <f t="shared" si="67"/>
        <v>-1.947944407724125</v>
      </c>
      <c r="J79" s="16">
        <f t="shared" si="67"/>
        <v>0.48236165779728013</v>
      </c>
      <c r="K79" s="16">
        <f>K78/K75</f>
        <v>1.2697066049957155</v>
      </c>
      <c r="L79" s="16">
        <f t="shared" ref="L79:AN79" si="68">L78/L75</f>
        <v>1.3416690753866634</v>
      </c>
      <c r="M79" s="16">
        <f t="shared" si="68"/>
        <v>0.98351343110970968</v>
      </c>
      <c r="N79" s="16">
        <f t="shared" si="68"/>
        <v>0.92608458972500818</v>
      </c>
      <c r="O79" s="16">
        <f t="shared" si="68"/>
        <v>0.79275934072279941</v>
      </c>
      <c r="P79" s="16">
        <f t="shared" si="68"/>
        <v>1.1006263621238084</v>
      </c>
      <c r="Q79" s="16">
        <f t="shared" si="68"/>
        <v>1.0485676401725355</v>
      </c>
      <c r="R79" s="16">
        <f t="shared" si="68"/>
        <v>1.0151745358363151</v>
      </c>
      <c r="S79" s="16">
        <f t="shared" si="68"/>
        <v>0.90638006374964353</v>
      </c>
      <c r="T79" s="16">
        <f t="shared" si="68"/>
        <v>0.89232463222758962</v>
      </c>
      <c r="U79" s="16">
        <f t="shared" si="68"/>
        <v>0.78182895206716496</v>
      </c>
      <c r="V79" s="16">
        <f t="shared" si="68"/>
        <v>0.73446576573898326</v>
      </c>
      <c r="W79" s="16">
        <f t="shared" si="68"/>
        <v>0.69703586943626117</v>
      </c>
      <c r="X79" s="16">
        <f t="shared" si="68"/>
        <v>0.67569988654717805</v>
      </c>
      <c r="Y79" s="16">
        <f t="shared" si="68"/>
        <v>0.64844502354216826</v>
      </c>
      <c r="Z79" s="16">
        <f t="shared" si="68"/>
        <v>0.69447886372531731</v>
      </c>
      <c r="AA79" s="16">
        <f t="shared" si="68"/>
        <v>0.70519641518421117</v>
      </c>
      <c r="AB79" s="16">
        <f t="shared" si="68"/>
        <v>0.71382498276363371</v>
      </c>
      <c r="AC79" s="16">
        <f t="shared" si="68"/>
        <v>0.71366914304871742</v>
      </c>
      <c r="AD79" s="16">
        <f t="shared" si="68"/>
        <v>0.70845774351426682</v>
      </c>
      <c r="AE79" s="16">
        <f t="shared" si="68"/>
        <v>0.66007937995042099</v>
      </c>
      <c r="AF79" s="16">
        <f t="shared" si="68"/>
        <v>0.65105498171392262</v>
      </c>
      <c r="AG79" s="16">
        <f t="shared" si="68"/>
        <v>0.6420721770391129</v>
      </c>
      <c r="AH79" s="16">
        <f t="shared" si="68"/>
        <v>0.67388535192192345</v>
      </c>
      <c r="AI79" s="16">
        <f t="shared" si="68"/>
        <v>0.69722166868812163</v>
      </c>
      <c r="AJ79" s="16">
        <f t="shared" si="68"/>
        <v>0.7028437921647559</v>
      </c>
      <c r="AK79" s="16">
        <f t="shared" si="68"/>
        <v>0.72475297398363481</v>
      </c>
      <c r="AL79" s="16">
        <f t="shared" si="68"/>
        <v>0.7089091019328716</v>
      </c>
      <c r="AM79" s="16">
        <f t="shared" si="68"/>
        <v>0.73430304811631397</v>
      </c>
      <c r="AN79" s="16">
        <f t="shared" si="68"/>
        <v>0.74210282893012769</v>
      </c>
    </row>
    <row r="80" spans="1:40" x14ac:dyDescent="0.25">
      <c r="A80" t="s">
        <v>82</v>
      </c>
      <c r="C80" s="1">
        <f>C64/B64-1</f>
        <v>2.3558043319542588E-2</v>
      </c>
      <c r="D80" s="1">
        <f t="shared" ref="D80:AN80" si="69">D64/C64-1</f>
        <v>-9.5106757335106096E-4</v>
      </c>
      <c r="E80" s="1">
        <f t="shared" si="69"/>
        <v>2.2609357894235904E-2</v>
      </c>
      <c r="F80" s="1">
        <f t="shared" si="69"/>
        <v>-1.7920312790914106E-2</v>
      </c>
      <c r="G80" s="1">
        <f t="shared" si="69"/>
        <v>2.3034267026873279E-2</v>
      </c>
      <c r="H80" s="1">
        <f t="shared" si="69"/>
        <v>-1.0192263145702984E-2</v>
      </c>
      <c r="I80" s="1">
        <f t="shared" si="69"/>
        <v>-1.6756377252515886E-2</v>
      </c>
      <c r="J80" s="1">
        <f t="shared" si="69"/>
        <v>-8.0925405817108609E-2</v>
      </c>
      <c r="K80" s="1">
        <f t="shared" si="69"/>
        <v>1.7144041021391221E-2</v>
      </c>
      <c r="L80" s="1">
        <f t="shared" si="69"/>
        <v>1.3596089214787721E-2</v>
      </c>
      <c r="M80" s="1">
        <f t="shared" si="69"/>
        <v>1.2509419743782946E-2</v>
      </c>
      <c r="N80" s="1">
        <f t="shared" si="69"/>
        <v>1.1759452217922073E-2</v>
      </c>
      <c r="O80" s="1">
        <f t="shared" si="69"/>
        <v>1.5840321710558491E-2</v>
      </c>
      <c r="P80" s="1">
        <f t="shared" si="69"/>
        <v>2.4379646615815487E-2</v>
      </c>
      <c r="Q80" s="1">
        <f t="shared" si="69"/>
        <v>2.5731655591686664E-2</v>
      </c>
      <c r="R80" s="1">
        <f t="shared" si="69"/>
        <v>2.6969905812083583E-2</v>
      </c>
      <c r="S80" s="1">
        <f t="shared" si="69"/>
        <v>2.3129921259842368E-2</v>
      </c>
      <c r="T80" s="1">
        <f t="shared" si="69"/>
        <v>2.6105207923389662E-2</v>
      </c>
      <c r="U80" s="1">
        <f t="shared" si="69"/>
        <v>2.4034773715162494E-2</v>
      </c>
      <c r="V80" s="1">
        <f t="shared" si="69"/>
        <v>2.1764461090303833E-2</v>
      </c>
      <c r="W80" s="1">
        <f t="shared" si="69"/>
        <v>2.268561886531173E-2</v>
      </c>
      <c r="X80" s="1">
        <f t="shared" si="69"/>
        <v>2.3138191955396348E-2</v>
      </c>
      <c r="Y80" s="1">
        <f t="shared" si="69"/>
        <v>2.3043089019500806E-2</v>
      </c>
      <c r="Z80" s="1">
        <f t="shared" si="69"/>
        <v>2.4883004223262173E-2</v>
      </c>
      <c r="AA80" s="1">
        <f t="shared" si="69"/>
        <v>2.5244088057319036E-2</v>
      </c>
      <c r="AB80" s="1">
        <f t="shared" si="69"/>
        <v>2.4658724698555234E-2</v>
      </c>
      <c r="AC80" s="1">
        <f t="shared" si="69"/>
        <v>2.4984097816100004E-2</v>
      </c>
      <c r="AD80" s="1">
        <f t="shared" si="69"/>
        <v>2.6098948457162541E-2</v>
      </c>
      <c r="AE80" s="1">
        <f t="shared" si="69"/>
        <v>2.3083126133996323E-2</v>
      </c>
      <c r="AF80" s="1">
        <f t="shared" si="69"/>
        <v>2.3022102532102906E-2</v>
      </c>
      <c r="AG80" s="1">
        <f t="shared" si="69"/>
        <v>2.3113964686998445E-2</v>
      </c>
      <c r="AH80" s="1">
        <f t="shared" si="69"/>
        <v>2.3658613115782989E-2</v>
      </c>
      <c r="AI80" s="1">
        <f t="shared" si="69"/>
        <v>2.4736390387444906E-2</v>
      </c>
      <c r="AJ80" s="1">
        <f t="shared" si="69"/>
        <v>2.5006730280278777E-2</v>
      </c>
      <c r="AK80" s="1">
        <f t="shared" si="69"/>
        <v>2.5739049231038535E-2</v>
      </c>
      <c r="AL80" s="1">
        <f t="shared" si="69"/>
        <v>2.5377677885572991E-2</v>
      </c>
      <c r="AM80" s="1">
        <f t="shared" si="69"/>
        <v>2.6303376709858162E-2</v>
      </c>
      <c r="AN80" s="1">
        <f t="shared" si="69"/>
        <v>2.7332450187893764E-2</v>
      </c>
    </row>
    <row r="81" spans="1:40" x14ac:dyDescent="0.25">
      <c r="A81" t="s">
        <v>88</v>
      </c>
      <c r="C81" s="16">
        <f t="shared" ref="C81:J81" si="70">C80/C75</f>
        <v>0.95085901783459603</v>
      </c>
      <c r="D81" s="16">
        <f t="shared" si="70"/>
        <v>-5.064054845090088E-2</v>
      </c>
      <c r="E81" s="16">
        <f t="shared" si="70"/>
        <v>1.7745379533429615</v>
      </c>
      <c r="F81" s="16">
        <f t="shared" si="70"/>
        <v>-2.240551735519543</v>
      </c>
      <c r="G81" s="16">
        <f t="shared" si="70"/>
        <v>1.9398098517071514</v>
      </c>
      <c r="H81" s="16">
        <f t="shared" si="70"/>
        <v>-1.0033238118830097</v>
      </c>
      <c r="I81" s="16">
        <f t="shared" si="70"/>
        <v>-1.9526847552853968</v>
      </c>
      <c r="J81" s="16">
        <f t="shared" si="70"/>
        <v>1.1168352366205441</v>
      </c>
      <c r="K81" s="16">
        <f>K80/K75</f>
        <v>0.7723251672593956</v>
      </c>
      <c r="L81" s="16">
        <f t="shared" ref="L81:AN81" si="71">L80/L75</f>
        <v>0.65240018158662805</v>
      </c>
      <c r="M81" s="16">
        <f t="shared" si="71"/>
        <v>0.60706491776642357</v>
      </c>
      <c r="N81" s="16">
        <f t="shared" si="71"/>
        <v>0.60385633142787676</v>
      </c>
      <c r="O81" s="16">
        <f t="shared" si="71"/>
        <v>0.79531232308630373</v>
      </c>
      <c r="P81" s="16">
        <f t="shared" si="71"/>
        <v>1.0511316505124195</v>
      </c>
      <c r="Q81" s="16">
        <f t="shared" si="71"/>
        <v>1.1463555492718966</v>
      </c>
      <c r="R81" s="16">
        <f t="shared" si="71"/>
        <v>1.1722232802506944</v>
      </c>
      <c r="S81" s="16">
        <f t="shared" si="71"/>
        <v>0.99552092626352573</v>
      </c>
      <c r="T81" s="16">
        <f t="shared" si="71"/>
        <v>1.1108318889894775</v>
      </c>
      <c r="U81" s="16">
        <f t="shared" si="71"/>
        <v>0.87176846665682528</v>
      </c>
      <c r="V81" s="16">
        <f t="shared" si="71"/>
        <v>0.85116763122038974</v>
      </c>
      <c r="W81" s="16">
        <f t="shared" si="71"/>
        <v>0.81923948213913256</v>
      </c>
      <c r="X81" s="16">
        <f t="shared" si="71"/>
        <v>0.8030822545583679</v>
      </c>
      <c r="Y81" s="16">
        <f t="shared" si="71"/>
        <v>0.76984342181624377</v>
      </c>
      <c r="Z81" s="16">
        <f t="shared" si="71"/>
        <v>0.83160275150322382</v>
      </c>
      <c r="AA81" s="16">
        <f t="shared" si="71"/>
        <v>0.83343637039852636</v>
      </c>
      <c r="AB81" s="16">
        <f t="shared" si="71"/>
        <v>0.82615903165799309</v>
      </c>
      <c r="AC81" s="16">
        <f t="shared" si="71"/>
        <v>0.82799825630925949</v>
      </c>
      <c r="AD81" s="16">
        <f t="shared" si="71"/>
        <v>0.83963573784288192</v>
      </c>
      <c r="AE81" s="16">
        <f t="shared" si="71"/>
        <v>0.73542450694348049</v>
      </c>
      <c r="AF81" s="16">
        <f t="shared" si="71"/>
        <v>0.72554251357972466</v>
      </c>
      <c r="AG81" s="16">
        <f t="shared" si="71"/>
        <v>0.72374651573792403</v>
      </c>
      <c r="AH81" s="16">
        <f t="shared" si="71"/>
        <v>0.73338686997364322</v>
      </c>
      <c r="AI81" s="16">
        <f t="shared" si="71"/>
        <v>0.74527428161267495</v>
      </c>
      <c r="AJ81" s="16">
        <f t="shared" si="71"/>
        <v>0.74174898404817069</v>
      </c>
      <c r="AK81" s="16">
        <f t="shared" si="71"/>
        <v>0.75324972161614034</v>
      </c>
      <c r="AL81" s="16">
        <f t="shared" si="71"/>
        <v>0.75931763705153243</v>
      </c>
      <c r="AM81" s="16">
        <f t="shared" si="71"/>
        <v>0.7750974901889911</v>
      </c>
      <c r="AN81" s="16">
        <f t="shared" si="71"/>
        <v>0.79254748862081537</v>
      </c>
    </row>
    <row r="84" spans="1:40" x14ac:dyDescent="0.25">
      <c r="A84" s="21" t="s">
        <v>131</v>
      </c>
    </row>
    <row r="85" spans="1:40" x14ac:dyDescent="0.25">
      <c r="B85" s="3" t="s">
        <v>92</v>
      </c>
      <c r="C85" s="3" t="s">
        <v>93</v>
      </c>
      <c r="D85" s="3" t="s">
        <v>94</v>
      </c>
      <c r="E85" s="3" t="s">
        <v>95</v>
      </c>
      <c r="F85" s="3" t="s">
        <v>96</v>
      </c>
      <c r="G85" s="3" t="s">
        <v>97</v>
      </c>
      <c r="H85" s="3" t="s">
        <v>98</v>
      </c>
      <c r="I85" s="3" t="s">
        <v>99</v>
      </c>
      <c r="J85" s="3" t="s">
        <v>100</v>
      </c>
      <c r="K85" s="3" t="s">
        <v>101</v>
      </c>
      <c r="L85" s="3" t="s">
        <v>102</v>
      </c>
      <c r="M85" s="3" t="s">
        <v>103</v>
      </c>
      <c r="N85" s="3" t="s">
        <v>104</v>
      </c>
      <c r="O85" s="3" t="s">
        <v>105</v>
      </c>
      <c r="P85" s="3" t="s">
        <v>106</v>
      </c>
      <c r="Q85" s="3" t="s">
        <v>107</v>
      </c>
      <c r="R85" s="3" t="s">
        <v>108</v>
      </c>
      <c r="S85" s="3" t="s">
        <v>109</v>
      </c>
      <c r="T85" s="3" t="s">
        <v>110</v>
      </c>
      <c r="U85" s="3" t="s">
        <v>111</v>
      </c>
      <c r="V85" s="3" t="s">
        <v>112</v>
      </c>
      <c r="W85" s="3" t="s">
        <v>113</v>
      </c>
      <c r="X85" s="3" t="s">
        <v>114</v>
      </c>
      <c r="Y85" s="3" t="s">
        <v>115</v>
      </c>
      <c r="Z85" s="3" t="s">
        <v>116</v>
      </c>
      <c r="AA85" s="3" t="s">
        <v>117</v>
      </c>
      <c r="AB85" s="3" t="s">
        <v>118</v>
      </c>
      <c r="AC85" s="3" t="s">
        <v>119</v>
      </c>
      <c r="AD85" s="3" t="s">
        <v>120</v>
      </c>
      <c r="AE85" s="3" t="s">
        <v>121</v>
      </c>
      <c r="AF85" s="3" t="s">
        <v>122</v>
      </c>
      <c r="AG85" s="3" t="s">
        <v>123</v>
      </c>
      <c r="AH85" s="3" t="s">
        <v>124</v>
      </c>
      <c r="AI85" s="3" t="s">
        <v>125</v>
      </c>
      <c r="AJ85" s="3" t="s">
        <v>126</v>
      </c>
      <c r="AK85" s="3" t="s">
        <v>127</v>
      </c>
      <c r="AL85" s="3" t="s">
        <v>128</v>
      </c>
      <c r="AM85" s="3" t="s">
        <v>129</v>
      </c>
      <c r="AN85" s="3" t="s">
        <v>130</v>
      </c>
    </row>
    <row r="86" spans="1:40" x14ac:dyDescent="0.25">
      <c r="A86" s="3" t="s">
        <v>21</v>
      </c>
      <c r="B86">
        <v>1833.85</v>
      </c>
      <c r="C86">
        <v>1884.55</v>
      </c>
      <c r="D86">
        <v>1927.88</v>
      </c>
      <c r="E86">
        <v>1957.41</v>
      </c>
      <c r="F86">
        <v>1982.72</v>
      </c>
      <c r="G86">
        <v>2007.4</v>
      </c>
      <c r="H86">
        <v>2036.6</v>
      </c>
      <c r="I86">
        <v>2071.14</v>
      </c>
      <c r="J86">
        <v>1915.6</v>
      </c>
      <c r="K86">
        <v>1994.8603392660509</v>
      </c>
      <c r="L86">
        <v>2066.85982042161</v>
      </c>
      <c r="M86">
        <v>2144.8246137664132</v>
      </c>
      <c r="N86">
        <v>2234.7683727554477</v>
      </c>
      <c r="O86">
        <v>2333.0848389663406</v>
      </c>
      <c r="P86">
        <v>2443.4189438340218</v>
      </c>
      <c r="Q86">
        <v>2562.8702114155644</v>
      </c>
      <c r="R86">
        <v>2692.5214860629872</v>
      </c>
      <c r="S86">
        <v>2839.2275592547094</v>
      </c>
      <c r="T86">
        <v>2995.6115538425747</v>
      </c>
      <c r="U86">
        <v>3156.1625655350422</v>
      </c>
      <c r="V86">
        <v>3327.9094143671055</v>
      </c>
      <c r="W86">
        <v>3509.788592493026</v>
      </c>
      <c r="X86">
        <v>3702.8829442648207</v>
      </c>
      <c r="Y86">
        <v>3895.6002341639869</v>
      </c>
      <c r="Z86">
        <v>4097.2219852078397</v>
      </c>
      <c r="AA86">
        <v>4322.2119040983498</v>
      </c>
      <c r="AB86">
        <v>4563.8988961668201</v>
      </c>
      <c r="AC86">
        <v>4820.8520599480789</v>
      </c>
      <c r="AD86">
        <v>5090.7896877003686</v>
      </c>
      <c r="AE86">
        <v>5373.5377508671127</v>
      </c>
      <c r="AF86">
        <v>5673.833693488391</v>
      </c>
      <c r="AG86">
        <v>5992.0932504493467</v>
      </c>
      <c r="AH86">
        <v>6329.727986708861</v>
      </c>
      <c r="AI86">
        <v>6683.1123073382978</v>
      </c>
      <c r="AJ86">
        <v>7044.7919891643905</v>
      </c>
      <c r="AK86">
        <v>7425.3344328724534</v>
      </c>
      <c r="AL86">
        <v>7825.890160586503</v>
      </c>
      <c r="AM86">
        <v>8248.3251451631404</v>
      </c>
      <c r="AN86">
        <v>8695.7332276081215</v>
      </c>
    </row>
    <row r="87" spans="1:40" x14ac:dyDescent="0.25">
      <c r="A87" s="3" t="s">
        <v>73</v>
      </c>
      <c r="B87">
        <v>69.819999999999993</v>
      </c>
      <c r="C87">
        <v>72.77</v>
      </c>
      <c r="D87">
        <v>75.510000000000005</v>
      </c>
      <c r="E87">
        <v>74.36</v>
      </c>
      <c r="F87">
        <v>73.55</v>
      </c>
      <c r="G87">
        <v>76</v>
      </c>
      <c r="H87">
        <v>74.78</v>
      </c>
      <c r="I87">
        <v>73.53</v>
      </c>
      <c r="J87">
        <v>70.959999999999994</v>
      </c>
      <c r="K87">
        <v>73.969354882249334</v>
      </c>
      <c r="L87">
        <v>76.547401572731289</v>
      </c>
      <c r="M87">
        <v>78.949004002930323</v>
      </c>
      <c r="N87">
        <v>81.644680200179067</v>
      </c>
      <c r="O87">
        <v>84.605022787763843</v>
      </c>
      <c r="P87">
        <v>87.75161209446027</v>
      </c>
      <c r="Q87">
        <v>90.996225990144666</v>
      </c>
      <c r="R87">
        <v>94.231037426891902</v>
      </c>
      <c r="S87">
        <v>97.887354596395895</v>
      </c>
      <c r="T87">
        <v>101.55347422476528</v>
      </c>
      <c r="U87">
        <v>105.19018647639355</v>
      </c>
      <c r="V87">
        <v>108.90531839920246</v>
      </c>
      <c r="W87">
        <v>112.62045032197796</v>
      </c>
      <c r="X87">
        <v>116.58064371726222</v>
      </c>
      <c r="Y87">
        <v>120.24676334546632</v>
      </c>
      <c r="Z87">
        <v>124.06972231606426</v>
      </c>
      <c r="AA87">
        <v>128.60826078643456</v>
      </c>
      <c r="AB87">
        <v>133.53889761282349</v>
      </c>
      <c r="AC87">
        <v>138.763608206214</v>
      </c>
      <c r="AD87">
        <v>144.32160240220801</v>
      </c>
      <c r="AE87">
        <v>150.1442629884946</v>
      </c>
      <c r="AF87">
        <v>156.3590219307855</v>
      </c>
      <c r="AG87">
        <v>163.05410135918632</v>
      </c>
      <c r="AH87">
        <v>170.20989635589095</v>
      </c>
      <c r="AI87">
        <v>177.66956757848172</v>
      </c>
      <c r="AJ87">
        <v>185.12923880103136</v>
      </c>
      <c r="AK87">
        <v>193.16725509868724</v>
      </c>
      <c r="AL87">
        <v>201.74440663584227</v>
      </c>
      <c r="AM87">
        <v>210.77247128238685</v>
      </c>
      <c r="AN87">
        <v>220.27105395611983</v>
      </c>
    </row>
    <row r="88" spans="1:40" x14ac:dyDescent="0.25">
      <c r="A88" s="3" t="s">
        <v>23</v>
      </c>
      <c r="B88">
        <v>205.45</v>
      </c>
      <c r="C88">
        <v>210.29</v>
      </c>
      <c r="D88">
        <v>210.09</v>
      </c>
      <c r="E88">
        <v>214.84</v>
      </c>
      <c r="F88">
        <v>210.99</v>
      </c>
      <c r="G88">
        <v>215.85</v>
      </c>
      <c r="H88">
        <v>213.65</v>
      </c>
      <c r="I88">
        <v>210.07</v>
      </c>
      <c r="J88">
        <v>193.07</v>
      </c>
      <c r="K88">
        <v>198.29404481500649</v>
      </c>
      <c r="L88">
        <v>202.649007220024</v>
      </c>
      <c r="M88">
        <v>207.25227888500945</v>
      </c>
      <c r="N88">
        <v>212.74373367223615</v>
      </c>
      <c r="O88">
        <v>218.7031559109507</v>
      </c>
      <c r="P88">
        <v>225.76086910726582</v>
      </c>
      <c r="Q88">
        <v>233.64946328888254</v>
      </c>
      <c r="R88">
        <v>242.36893845579499</v>
      </c>
      <c r="S88">
        <v>251.96704638876358</v>
      </c>
      <c r="T88">
        <v>261.95671892397382</v>
      </c>
      <c r="U88">
        <v>271.64078006224878</v>
      </c>
      <c r="V88">
        <v>282.06021862427485</v>
      </c>
      <c r="W88">
        <v>292.79481893931535</v>
      </c>
      <c r="X88">
        <v>303.90188314428747</v>
      </c>
      <c r="Y88">
        <v>314.89434307538914</v>
      </c>
      <c r="Z88">
        <v>325.60029232186952</v>
      </c>
      <c r="AA88">
        <v>336.6309536775172</v>
      </c>
      <c r="AB88">
        <v>349.23742379835801</v>
      </c>
      <c r="AC88">
        <v>362.74162739753228</v>
      </c>
      <c r="AD88">
        <v>376.895255215063</v>
      </c>
      <c r="AE88">
        <v>392.33818111318595</v>
      </c>
      <c r="AF88">
        <v>409.09905616035451</v>
      </c>
      <c r="AG88">
        <v>427.37843783577188</v>
      </c>
      <c r="AH88">
        <v>447.26227934480767</v>
      </c>
      <c r="AI88">
        <v>468.55002320824985</v>
      </c>
      <c r="AJ88">
        <v>490.64954734462754</v>
      </c>
      <c r="AK88">
        <v>514.5922902184285</v>
      </c>
      <c r="AL88">
        <v>540.52150717193774</v>
      </c>
      <c r="AM88">
        <v>568.59955425974522</v>
      </c>
      <c r="AN88">
        <v>599.16069394718772</v>
      </c>
    </row>
    <row r="89" spans="1:40" x14ac:dyDescent="0.25">
      <c r="A89" s="3" t="s">
        <v>24</v>
      </c>
      <c r="B89">
        <v>93.1</v>
      </c>
      <c r="C89">
        <v>94.81</v>
      </c>
      <c r="D89">
        <v>96.04</v>
      </c>
      <c r="E89">
        <v>96.13</v>
      </c>
      <c r="F89">
        <v>97.44</v>
      </c>
      <c r="G89">
        <v>97.81</v>
      </c>
      <c r="H89">
        <v>98.48</v>
      </c>
      <c r="I89">
        <v>97.71</v>
      </c>
      <c r="J89">
        <v>92.79</v>
      </c>
      <c r="K89">
        <v>97.164896707550014</v>
      </c>
      <c r="L89">
        <v>100.84274488289863</v>
      </c>
      <c r="M89">
        <v>104.4472195285134</v>
      </c>
      <c r="N89">
        <v>108.53779380835738</v>
      </c>
      <c r="O89">
        <v>112.95854897181287</v>
      </c>
      <c r="P89">
        <v>117.53522288584188</v>
      </c>
      <c r="Q89">
        <v>122.34118908014129</v>
      </c>
      <c r="R89">
        <v>127.38561924592128</v>
      </c>
      <c r="S89">
        <v>133.12709794378537</v>
      </c>
      <c r="T89">
        <v>139.06118215706289</v>
      </c>
      <c r="U89">
        <v>144.60088364818583</v>
      </c>
      <c r="V89">
        <v>150.38822080199571</v>
      </c>
      <c r="W89">
        <v>156.07466935243968</v>
      </c>
      <c r="X89">
        <v>162.24721753707666</v>
      </c>
      <c r="Y89">
        <v>168.09875652926692</v>
      </c>
      <c r="Z89">
        <v>173.98698228627208</v>
      </c>
      <c r="AA89">
        <v>180.59977164896804</v>
      </c>
      <c r="AB89">
        <v>187.60694373373019</v>
      </c>
      <c r="AC89">
        <v>195.19193236478739</v>
      </c>
      <c r="AD89">
        <v>203.3914243069818</v>
      </c>
      <c r="AE89">
        <v>211.8935820591185</v>
      </c>
      <c r="AF89">
        <v>220.95521297511701</v>
      </c>
      <c r="AG89">
        <v>230.658862275877</v>
      </c>
      <c r="AH89">
        <v>240.93115643170387</v>
      </c>
      <c r="AI89">
        <v>251.47860132383192</v>
      </c>
      <c r="AJ89">
        <v>261.95267268623104</v>
      </c>
      <c r="AK89">
        <v>273.07793412459421</v>
      </c>
      <c r="AL89">
        <v>284.77184041801735</v>
      </c>
      <c r="AM89">
        <v>296.91515958075252</v>
      </c>
      <c r="AN89">
        <v>309.58126514248795</v>
      </c>
    </row>
    <row r="90" spans="1:40" x14ac:dyDescent="0.25">
      <c r="A90" s="3" t="s">
        <v>25</v>
      </c>
      <c r="B90">
        <v>235.5</v>
      </c>
      <c r="C90">
        <v>241.63</v>
      </c>
      <c r="D90">
        <v>245.65</v>
      </c>
      <c r="E90">
        <v>248.47</v>
      </c>
      <c r="F90">
        <v>251.07</v>
      </c>
      <c r="G90">
        <v>252.54</v>
      </c>
      <c r="H90">
        <v>254.74</v>
      </c>
      <c r="I90">
        <v>254.67</v>
      </c>
      <c r="J90">
        <v>230.24</v>
      </c>
      <c r="K90">
        <v>240.59417139393693</v>
      </c>
      <c r="L90">
        <v>249.7968040999923</v>
      </c>
      <c r="M90">
        <v>259.56069095638566</v>
      </c>
      <c r="N90">
        <v>270.67932921019093</v>
      </c>
      <c r="O90">
        <v>282.67855587229479</v>
      </c>
      <c r="P90">
        <v>295.97447315762054</v>
      </c>
      <c r="Q90">
        <v>310.18000923832312</v>
      </c>
      <c r="R90">
        <v>325.51773041540525</v>
      </c>
      <c r="S90">
        <v>342.87790189288529</v>
      </c>
      <c r="T90">
        <v>361.07995459585732</v>
      </c>
      <c r="U90">
        <v>379.78520067496476</v>
      </c>
      <c r="V90">
        <v>399.56457107626096</v>
      </c>
      <c r="W90">
        <v>420.26323706861029</v>
      </c>
      <c r="X90">
        <v>442.34568484540824</v>
      </c>
      <c r="Y90">
        <v>464.31201107380878</v>
      </c>
      <c r="Z90">
        <v>487.28472405452015</v>
      </c>
      <c r="AA90">
        <v>513.10241496972685</v>
      </c>
      <c r="AB90">
        <v>540.24582689519559</v>
      </c>
      <c r="AC90">
        <v>568.79237419648973</v>
      </c>
      <c r="AD90">
        <v>598.4033690242585</v>
      </c>
      <c r="AE90">
        <v>629.46588320632691</v>
      </c>
      <c r="AF90">
        <v>662.53149409734397</v>
      </c>
      <c r="AG90">
        <v>697.65826247147993</v>
      </c>
      <c r="AH90">
        <v>734.91392589860072</v>
      </c>
      <c r="AI90">
        <v>773.82432138961917</v>
      </c>
      <c r="AJ90">
        <v>813.38306219219305</v>
      </c>
      <c r="AK90">
        <v>855.11908202622328</v>
      </c>
      <c r="AL90">
        <v>899.1581792357498</v>
      </c>
      <c r="AM90">
        <v>945.59712177772496</v>
      </c>
      <c r="AN90">
        <v>994.85201186705478</v>
      </c>
    </row>
    <row r="91" spans="1:40" x14ac:dyDescent="0.25">
      <c r="A91" s="3" t="s">
        <v>26</v>
      </c>
      <c r="B91">
        <v>17.78</v>
      </c>
      <c r="C91">
        <v>18.190000000000001</v>
      </c>
      <c r="D91">
        <v>18.54</v>
      </c>
      <c r="E91">
        <v>18.73</v>
      </c>
      <c r="F91">
        <v>19.13</v>
      </c>
      <c r="G91">
        <v>19.23</v>
      </c>
      <c r="H91">
        <v>19.5</v>
      </c>
      <c r="I91">
        <v>19.52</v>
      </c>
      <c r="J91">
        <v>18.16</v>
      </c>
      <c r="K91">
        <v>18.941916037731868</v>
      </c>
      <c r="L91">
        <v>19.626092570589773</v>
      </c>
      <c r="M91">
        <v>20.359138855827979</v>
      </c>
      <c r="N91">
        <v>21.199698596337456</v>
      </c>
      <c r="O91">
        <v>22.186867594037498</v>
      </c>
      <c r="P91">
        <v>23.183810542175578</v>
      </c>
      <c r="Q91">
        <v>24.258945094120527</v>
      </c>
      <c r="R91">
        <v>25.412271249867906</v>
      </c>
      <c r="S91">
        <v>26.68288481133504</v>
      </c>
      <c r="T91">
        <v>28.012142075635538</v>
      </c>
      <c r="U91">
        <v>29.312077488450718</v>
      </c>
      <c r="V91">
        <v>30.690204505057096</v>
      </c>
      <c r="W91">
        <v>32.12697522449362</v>
      </c>
      <c r="X91">
        <v>33.622389646758698</v>
      </c>
      <c r="Y91">
        <v>34.951646910847074</v>
      </c>
      <c r="Z91">
        <v>36.43728738254871</v>
      </c>
      <c r="AA91">
        <v>38.079311061856721</v>
      </c>
      <c r="AB91">
        <v>39.848396097331893</v>
      </c>
      <c r="AC91">
        <v>41.724994588015043</v>
      </c>
      <c r="AD91">
        <v>43.70910653390311</v>
      </c>
      <c r="AE91">
        <v>45.849601687378026</v>
      </c>
      <c r="AF91">
        <v>48.146480048435208</v>
      </c>
      <c r="AG91">
        <v>50.589967666593921</v>
      </c>
      <c r="AH91">
        <v>53.189838492327119</v>
      </c>
      <c r="AI91">
        <v>55.887448822774303</v>
      </c>
      <c r="AJ91">
        <v>58.614381004602329</v>
      </c>
      <c r="AK91">
        <v>61.497696393998346</v>
      </c>
      <c r="AL91">
        <v>64.537394990959541</v>
      </c>
      <c r="AM91">
        <v>67.743250745958846</v>
      </c>
      <c r="AN91">
        <v>71.134811559944438</v>
      </c>
    </row>
    <row r="92" spans="1:40" x14ac:dyDescent="0.25">
      <c r="A92" s="3" t="s">
        <v>27</v>
      </c>
      <c r="B92">
        <v>52.81</v>
      </c>
      <c r="C92">
        <v>54.31</v>
      </c>
      <c r="D92">
        <v>55.26</v>
      </c>
      <c r="E92">
        <v>55.73</v>
      </c>
      <c r="F92">
        <v>56.3</v>
      </c>
      <c r="G92">
        <v>56.6</v>
      </c>
      <c r="H92">
        <v>57.09</v>
      </c>
      <c r="I92">
        <v>56.96</v>
      </c>
      <c r="J92">
        <v>52.37</v>
      </c>
      <c r="K92">
        <v>54.620084822891016</v>
      </c>
      <c r="L92">
        <v>56.570802136994082</v>
      </c>
      <c r="M92">
        <v>58.62774663158558</v>
      </c>
      <c r="N92">
        <v>61.003372667703147</v>
      </c>
      <c r="O92">
        <v>63.610767097641222</v>
      </c>
      <c r="P92">
        <v>66.391987822930645</v>
      </c>
      <c r="Q92">
        <v>69.376005892799427</v>
      </c>
      <c r="R92">
        <v>72.611106389295344</v>
      </c>
      <c r="S92">
        <v>76.26145859138704</v>
      </c>
      <c r="T92">
        <v>80.124265154454321</v>
      </c>
      <c r="U92">
        <v>83.871187520555438</v>
      </c>
      <c r="V92">
        <v>87.840221264040096</v>
      </c>
      <c r="W92">
        <v>91.96376727003711</v>
      </c>
      <c r="X92">
        <v>96.338395702641634</v>
      </c>
      <c r="Y92">
        <v>100.59713993828771</v>
      </c>
      <c r="Z92">
        <v>105.00073942003478</v>
      </c>
      <c r="AA92">
        <v>109.91616077143787</v>
      </c>
      <c r="AB92">
        <v>115.15026366430418</v>
      </c>
      <c r="AC92">
        <v>120.7127051150395</v>
      </c>
      <c r="AD92">
        <v>126.54554302518582</v>
      </c>
      <c r="AE92">
        <v>132.82260369010405</v>
      </c>
      <c r="AF92">
        <v>139.5535441261988</v>
      </c>
      <c r="AG92">
        <v>146.75767836628384</v>
      </c>
      <c r="AH92">
        <v>154.44466342676407</v>
      </c>
      <c r="AI92">
        <v>162.48895809432148</v>
      </c>
      <c r="AJ92">
        <v>170.71673607359702</v>
      </c>
      <c r="AK92">
        <v>179.42736487326002</v>
      </c>
      <c r="AL92">
        <v>188.66912957535061</v>
      </c>
      <c r="AM92">
        <v>198.43237316345707</v>
      </c>
      <c r="AN92">
        <v>208.83297983447909</v>
      </c>
    </row>
    <row r="93" spans="1:40" x14ac:dyDescent="0.25">
      <c r="A93" s="3" t="s">
        <v>28</v>
      </c>
      <c r="B93">
        <v>14.11</v>
      </c>
      <c r="C93">
        <v>14.52</v>
      </c>
      <c r="D93">
        <v>14.79</v>
      </c>
      <c r="E93">
        <v>15.03</v>
      </c>
      <c r="F93">
        <v>15.21</v>
      </c>
      <c r="G93">
        <v>15.35</v>
      </c>
      <c r="H93">
        <v>15.51</v>
      </c>
      <c r="I93">
        <v>15.54</v>
      </c>
      <c r="J93">
        <v>14.21</v>
      </c>
      <c r="K93">
        <v>14.824012344662277</v>
      </c>
      <c r="L93">
        <v>15.369801095329013</v>
      </c>
      <c r="M93">
        <v>15.964320984497457</v>
      </c>
      <c r="N93">
        <v>16.636810695282954</v>
      </c>
      <c r="O93">
        <v>17.358031544559537</v>
      </c>
      <c r="P93">
        <v>18.166968443145585</v>
      </c>
      <c r="Q93">
        <v>19.034382707918397</v>
      </c>
      <c r="R93">
        <v>19.960274338873962</v>
      </c>
      <c r="S93">
        <v>21.012866929936997</v>
      </c>
      <c r="T93">
        <v>22.123936887172817</v>
      </c>
      <c r="U93">
        <v>23.254499299766032</v>
      </c>
      <c r="V93">
        <v>24.443539078528438</v>
      </c>
      <c r="W93">
        <v>25.710548678862427</v>
      </c>
      <c r="X93">
        <v>27.045781873062417</v>
      </c>
      <c r="Y93">
        <v>28.381015067214289</v>
      </c>
      <c r="Z93">
        <v>29.764979399826899</v>
      </c>
      <c r="AA93">
        <v>31.32437583101219</v>
      </c>
      <c r="AB93">
        <v>32.951995856053834</v>
      </c>
      <c r="AC93">
        <v>34.6575857026506</v>
      </c>
      <c r="AD93">
        <v>36.431399143100343</v>
      </c>
      <c r="AE93">
        <v>38.312421088201233</v>
      </c>
      <c r="AF93">
        <v>40.300651537950152</v>
      </c>
      <c r="AG93">
        <v>42.415582947743054</v>
      </c>
      <c r="AH93">
        <v>44.64746908987734</v>
      </c>
      <c r="AI93">
        <v>46.976817508952436</v>
      </c>
      <c r="AJ93">
        <v>49.345150838774209</v>
      </c>
      <c r="AK93">
        <v>51.840185128630452</v>
      </c>
      <c r="AL93">
        <v>54.452174150820298</v>
      </c>
      <c r="AM93">
        <v>57.210356588436404</v>
      </c>
      <c r="AN93">
        <v>60.124478669174067</v>
      </c>
    </row>
    <row r="94" spans="1:40" x14ac:dyDescent="0.25">
      <c r="A94" s="3" t="s">
        <v>29</v>
      </c>
      <c r="B94">
        <v>13.35</v>
      </c>
      <c r="C94">
        <v>13.74</v>
      </c>
      <c r="D94">
        <v>13.91</v>
      </c>
      <c r="E94">
        <v>14.13</v>
      </c>
      <c r="F94">
        <v>14.15</v>
      </c>
      <c r="G94">
        <v>14.18</v>
      </c>
      <c r="H94">
        <v>14.21</v>
      </c>
      <c r="I94">
        <v>14.08</v>
      </c>
      <c r="J94">
        <v>12.26</v>
      </c>
      <c r="K94">
        <v>12.778840124390374</v>
      </c>
      <c r="L94">
        <v>13.163166142179319</v>
      </c>
      <c r="M94">
        <v>13.557100310408256</v>
      </c>
      <c r="N94">
        <v>14.018291531880806</v>
      </c>
      <c r="O94">
        <v>14.517915355188556</v>
      </c>
      <c r="P94">
        <v>15.055971780327514</v>
      </c>
      <c r="Q94">
        <v>15.632460807293949</v>
      </c>
      <c r="R94">
        <v>16.23777428561954</v>
      </c>
      <c r="S94">
        <v>16.919952967623679</v>
      </c>
      <c r="T94">
        <v>17.621347950516579</v>
      </c>
      <c r="U94">
        <v>18.274702181055108</v>
      </c>
      <c r="V94">
        <v>18.947272712484722</v>
      </c>
      <c r="W94">
        <v>19.64866769526693</v>
      </c>
      <c r="X94">
        <v>20.359670828476606</v>
      </c>
      <c r="Y94">
        <v>21.032241359807486</v>
      </c>
      <c r="Z94">
        <v>21.695203740646768</v>
      </c>
      <c r="AA94">
        <v>22.34855797099625</v>
      </c>
      <c r="AB94">
        <v>23.136426307758093</v>
      </c>
      <c r="AC94">
        <v>23.962727246325755</v>
      </c>
      <c r="AD94">
        <v>24.817852636238026</v>
      </c>
      <c r="AE94">
        <v>25.845924734376961</v>
      </c>
      <c r="AF94">
        <v>26.970078337062869</v>
      </c>
      <c r="AG94">
        <v>28.180705293832322</v>
      </c>
      <c r="AH94">
        <v>29.487413755138995</v>
      </c>
      <c r="AI94">
        <v>30.870987420063372</v>
      </c>
      <c r="AJ94">
        <v>32.302601837230874</v>
      </c>
      <c r="AK94">
        <v>33.83990590938226</v>
      </c>
      <c r="AL94">
        <v>35.492507786970137</v>
      </c>
      <c r="AM94">
        <v>37.260407469990298</v>
      </c>
      <c r="AN94">
        <v>39.182037560263602</v>
      </c>
    </row>
    <row r="95" spans="1:40" x14ac:dyDescent="0.25">
      <c r="A95" s="3" t="s">
        <v>30</v>
      </c>
      <c r="B95">
        <v>10.11</v>
      </c>
      <c r="C95">
        <v>8.43</v>
      </c>
      <c r="D95">
        <v>7.26</v>
      </c>
      <c r="E95">
        <v>6.85</v>
      </c>
      <c r="F95">
        <v>6.43</v>
      </c>
      <c r="G95">
        <v>5.96</v>
      </c>
      <c r="H95">
        <v>5.84</v>
      </c>
      <c r="I95">
        <v>5.52</v>
      </c>
      <c r="J95">
        <v>4.53</v>
      </c>
      <c r="K95">
        <v>4.7307978715016317</v>
      </c>
      <c r="L95">
        <v>4.8191489344975622</v>
      </c>
      <c r="M95">
        <v>4.9074999974787676</v>
      </c>
      <c r="N95">
        <v>5.0520744646627449</v>
      </c>
      <c r="O95">
        <v>5.228776591371334</v>
      </c>
      <c r="P95">
        <v>5.421542547824111</v>
      </c>
      <c r="Q95">
        <v>5.6384042489017565</v>
      </c>
      <c r="R95">
        <v>5.863297864831841</v>
      </c>
      <c r="S95">
        <v>6.1363829700245045</v>
      </c>
      <c r="T95">
        <v>6.4415957347061434</v>
      </c>
      <c r="U95">
        <v>6.7146808398290121</v>
      </c>
      <c r="V95">
        <v>6.9797340300399977</v>
      </c>
      <c r="W95">
        <v>7.2046276458290173</v>
      </c>
      <c r="X95">
        <v>7.4054255169607703</v>
      </c>
      <c r="Y95">
        <v>7.5740957285646378</v>
      </c>
      <c r="Z95">
        <v>7.7026063657722439</v>
      </c>
      <c r="AA95">
        <v>7.8070212583419396</v>
      </c>
      <c r="AB95">
        <v>7.8873404062788577</v>
      </c>
      <c r="AC95">
        <v>7.9756914690807896</v>
      </c>
      <c r="AD95">
        <v>8.0640425318738256</v>
      </c>
      <c r="AE95">
        <v>8.232712743373904</v>
      </c>
      <c r="AF95">
        <v>8.4415425292115298</v>
      </c>
      <c r="AG95">
        <v>8.6985638042495044</v>
      </c>
      <c r="AH95">
        <v>9.0118084833488119</v>
      </c>
      <c r="AI95">
        <v>9.3652127367630946</v>
      </c>
      <c r="AJ95">
        <v>9.7507446496186301</v>
      </c>
      <c r="AK95">
        <v>10.192499966513008</v>
      </c>
      <c r="AL95">
        <v>10.69851060230534</v>
      </c>
      <c r="AM95">
        <v>11.268776556987625</v>
      </c>
      <c r="AN95">
        <v>11.927393575148884</v>
      </c>
    </row>
    <row r="96" spans="1:40" x14ac:dyDescent="0.25">
      <c r="A96" s="3" t="s">
        <v>31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</row>
    <row r="97" spans="1:40" x14ac:dyDescent="0.25">
      <c r="A97" s="3" t="s">
        <v>32</v>
      </c>
      <c r="B97">
        <v>84.25</v>
      </c>
      <c r="C97">
        <v>83.73</v>
      </c>
      <c r="D97">
        <v>83.25</v>
      </c>
      <c r="E97">
        <v>82.69</v>
      </c>
      <c r="F97">
        <v>81.209999999999994</v>
      </c>
      <c r="G97">
        <v>80.83</v>
      </c>
      <c r="H97">
        <v>80.180000000000007</v>
      </c>
      <c r="I97">
        <v>78.209999999999994</v>
      </c>
      <c r="J97">
        <v>76.040000000000006</v>
      </c>
      <c r="K97">
        <v>79.868832789361164</v>
      </c>
      <c r="L97">
        <v>80.787339845850937</v>
      </c>
      <c r="M97">
        <v>82.128979367024627</v>
      </c>
      <c r="N97">
        <v>82.882361559221735</v>
      </c>
      <c r="O97">
        <v>81.035027139198789</v>
      </c>
      <c r="P97">
        <v>84.110477735106869</v>
      </c>
      <c r="Q97">
        <v>85.957812153019546</v>
      </c>
      <c r="R97">
        <v>87.26849076206102</v>
      </c>
      <c r="S97">
        <v>89.67312159680472</v>
      </c>
      <c r="T97">
        <v>91.210846894169521</v>
      </c>
      <c r="U97">
        <v>95.359609107557191</v>
      </c>
      <c r="V97">
        <v>98.011927238600578</v>
      </c>
      <c r="W97">
        <v>100.65392506560029</v>
      </c>
      <c r="X97">
        <v>103.37848532469806</v>
      </c>
      <c r="Y97">
        <v>106.47457652832807</v>
      </c>
      <c r="Z97">
        <v>111.34576002258379</v>
      </c>
      <c r="AA97">
        <v>117.16641148620606</v>
      </c>
      <c r="AB97">
        <v>120.41730724997892</v>
      </c>
      <c r="AC97">
        <v>125.30913135213515</v>
      </c>
      <c r="AD97">
        <v>130.2112757582662</v>
      </c>
      <c r="AE97">
        <v>133.67889790627359</v>
      </c>
      <c r="AF97">
        <v>136.31057542904583</v>
      </c>
      <c r="AG97">
        <v>139.06609659997619</v>
      </c>
      <c r="AH97">
        <v>141.8628989869452</v>
      </c>
      <c r="AI97">
        <v>144.72162319798196</v>
      </c>
      <c r="AJ97">
        <v>147.57002710498378</v>
      </c>
      <c r="AK97">
        <v>150.4081107079511</v>
      </c>
      <c r="AL97">
        <v>153.33907704702921</v>
      </c>
      <c r="AM97">
        <v>156.32164490615958</v>
      </c>
      <c r="AN97">
        <v>159.35581428534195</v>
      </c>
    </row>
    <row r="98" spans="1:40" x14ac:dyDescent="0.25">
      <c r="A98" s="3" t="s">
        <v>33</v>
      </c>
      <c r="B98">
        <v>21.15</v>
      </c>
      <c r="C98">
        <v>22.37</v>
      </c>
      <c r="D98">
        <v>23.86</v>
      </c>
      <c r="E98">
        <v>24.79</v>
      </c>
      <c r="F98">
        <v>25.39</v>
      </c>
      <c r="G98">
        <v>26.91</v>
      </c>
      <c r="H98">
        <v>28.69</v>
      </c>
      <c r="I98">
        <v>29.81</v>
      </c>
      <c r="J98">
        <v>28.74</v>
      </c>
      <c r="K98">
        <v>30.22671499076683</v>
      </c>
      <c r="L98">
        <v>31.552448103408469</v>
      </c>
      <c r="M98">
        <v>33.010754527365201</v>
      </c>
      <c r="N98">
        <v>34.724738051742897</v>
      </c>
      <c r="O98">
        <v>36.628112020855937</v>
      </c>
      <c r="P98">
        <v>38.853449746041001</v>
      </c>
      <c r="Q98">
        <v>41.306056004898913</v>
      </c>
      <c r="R98">
        <v>43.96699175294566</v>
      </c>
      <c r="S98">
        <v>47.129812179560112</v>
      </c>
      <c r="T98">
        <v>50.718761106821802</v>
      </c>
      <c r="U98">
        <v>54.648612834578742</v>
      </c>
      <c r="V98">
        <v>59.070879718626777</v>
      </c>
      <c r="W98">
        <v>63.90033605881748</v>
      </c>
      <c r="X98">
        <v>69.127512332906761</v>
      </c>
      <c r="Y98">
        <v>74.468322873771484</v>
      </c>
      <c r="Z98">
        <v>80.017462903785244</v>
      </c>
      <c r="AA98">
        <v>86.267347579272993</v>
      </c>
      <c r="AB98">
        <v>93.056995022196489</v>
      </c>
      <c r="AC98">
        <v>100.39587475478656</v>
      </c>
      <c r="AD98">
        <v>108.2839867770379</v>
      </c>
      <c r="AE98">
        <v>116.48459303302971</v>
      </c>
      <c r="AF98">
        <v>125.06398017841776</v>
      </c>
      <c r="AG98">
        <v>134.06002630214692</v>
      </c>
      <c r="AH98">
        <v>143.52007901539781</v>
      </c>
      <c r="AI98">
        <v>153.33997357356841</v>
      </c>
      <c r="AJ98">
        <v>163.13145956496945</v>
      </c>
      <c r="AK98">
        <v>173.43429975707159</v>
      </c>
      <c r="AL98">
        <v>184.30531128328985</v>
      </c>
      <c r="AM98">
        <v>195.76343318809407</v>
      </c>
      <c r="AN98">
        <v>207.94123878278739</v>
      </c>
    </row>
    <row r="99" spans="1:40" x14ac:dyDescent="0.25">
      <c r="A99" s="3" t="s">
        <v>34</v>
      </c>
      <c r="B99">
        <v>135.96</v>
      </c>
      <c r="C99">
        <v>139.72999999999999</v>
      </c>
      <c r="D99">
        <v>142.69999999999999</v>
      </c>
      <c r="E99">
        <v>144.16</v>
      </c>
      <c r="F99">
        <v>145.31</v>
      </c>
      <c r="G99">
        <v>147.16</v>
      </c>
      <c r="H99">
        <v>148.75</v>
      </c>
      <c r="I99">
        <v>149.16999999999999</v>
      </c>
      <c r="J99">
        <v>138.22</v>
      </c>
      <c r="K99">
        <v>143.53280403176132</v>
      </c>
      <c r="L99">
        <v>148.17787859489698</v>
      </c>
      <c r="M99">
        <v>153.21971994368354</v>
      </c>
      <c r="N99">
        <v>159.08412657982095</v>
      </c>
      <c r="O99">
        <v>165.34530000159904</v>
      </c>
      <c r="P99">
        <v>172.24517117588886</v>
      </c>
      <c r="Q99">
        <v>179.65793599991073</v>
      </c>
      <c r="R99">
        <v>187.67068962173454</v>
      </c>
      <c r="S99">
        <v>196.75761673642197</v>
      </c>
      <c r="T99">
        <v>206.20260168203126</v>
      </c>
      <c r="U99">
        <v>215.62823215024673</v>
      </c>
      <c r="V99">
        <v>225.62481970022623</v>
      </c>
      <c r="W99">
        <v>236.14397813859347</v>
      </c>
      <c r="X99">
        <v>247.17603022667146</v>
      </c>
      <c r="Y99">
        <v>257.95647410916763</v>
      </c>
      <c r="Z99">
        <v>269.17239373197702</v>
      </c>
      <c r="AA99">
        <v>282.04312116808433</v>
      </c>
      <c r="AB99">
        <v>295.60093255003414</v>
      </c>
      <c r="AC99">
        <v>309.96195474191705</v>
      </c>
      <c r="AD99">
        <v>325.04876983433491</v>
      </c>
      <c r="AE99">
        <v>341.29685356763213</v>
      </c>
      <c r="AF99">
        <v>358.68685146445546</v>
      </c>
      <c r="AG99">
        <v>377.24779524082408</v>
      </c>
      <c r="AH99">
        <v>397.01839385143137</v>
      </c>
      <c r="AI99">
        <v>417.71800737472</v>
      </c>
      <c r="AJ99">
        <v>438.75632425155931</v>
      </c>
      <c r="AK99">
        <v>461.08171387202378</v>
      </c>
      <c r="AL99">
        <v>484.71353071345879</v>
      </c>
      <c r="AM99">
        <v>509.7195154465806</v>
      </c>
      <c r="AN99">
        <v>536.30289008354384</v>
      </c>
    </row>
    <row r="100" spans="1:40" x14ac:dyDescent="0.25">
      <c r="A100" s="3" t="s">
        <v>35</v>
      </c>
      <c r="B100">
        <v>11.26</v>
      </c>
      <c r="C100">
        <v>11.57</v>
      </c>
      <c r="D100">
        <v>11.91</v>
      </c>
      <c r="E100">
        <v>12.12</v>
      </c>
      <c r="F100">
        <v>12.2</v>
      </c>
      <c r="G100">
        <v>12.36</v>
      </c>
      <c r="H100">
        <v>12.64</v>
      </c>
      <c r="I100">
        <v>12.79</v>
      </c>
      <c r="J100">
        <v>12</v>
      </c>
      <c r="K100">
        <v>12.53097345031931</v>
      </c>
      <c r="L100">
        <v>12.936444084849176</v>
      </c>
      <c r="M100">
        <v>13.341914719348784</v>
      </c>
      <c r="N100">
        <v>13.795655667561395</v>
      </c>
      <c r="O100">
        <v>14.268704741237839</v>
      </c>
      <c r="P100">
        <v>14.790024128617974</v>
      </c>
      <c r="Q100">
        <v>15.340305704203608</v>
      </c>
      <c r="R100">
        <v>15.890587279754614</v>
      </c>
      <c r="S100">
        <v>16.508447294489393</v>
      </c>
      <c r="T100">
        <v>17.155269497422296</v>
      </c>
      <c r="U100">
        <v>17.763475449341964</v>
      </c>
      <c r="V100">
        <v>18.419951714946997</v>
      </c>
      <c r="W100">
        <v>19.115044231490334</v>
      </c>
      <c r="X100">
        <v>19.800482685255876</v>
      </c>
      <c r="Y100">
        <v>20.45695895076134</v>
      </c>
      <c r="Z100">
        <v>21.084473028010532</v>
      </c>
      <c r="AA100">
        <v>21.798873669902882</v>
      </c>
      <c r="AB100">
        <v>22.580852750949852</v>
      </c>
      <c r="AC100">
        <v>23.411102145665787</v>
      </c>
      <c r="AD100">
        <v>24.299275916787984</v>
      </c>
      <c r="AE100">
        <v>25.264682189792484</v>
      </c>
      <c r="AF100">
        <v>26.268704713717415</v>
      </c>
      <c r="AG100">
        <v>27.359613802256224</v>
      </c>
      <c r="AH100">
        <v>28.489139141711082</v>
      </c>
      <c r="AI100">
        <v>29.686242920295815</v>
      </c>
      <c r="AJ100">
        <v>30.854384510627639</v>
      </c>
      <c r="AK100">
        <v>32.099758602824444</v>
      </c>
      <c r="AL100">
        <v>33.393403008670809</v>
      </c>
      <c r="AM100">
        <v>34.764279916376736</v>
      </c>
      <c r="AN100">
        <v>36.173773074992027</v>
      </c>
    </row>
    <row r="101" spans="1:40" x14ac:dyDescent="0.25">
      <c r="A101" s="3" t="s">
        <v>36</v>
      </c>
      <c r="B101">
        <v>1.1399999999999999</v>
      </c>
      <c r="C101">
        <v>1.1599999999999999</v>
      </c>
      <c r="D101">
        <v>1.1399999999999999</v>
      </c>
      <c r="E101">
        <v>1.1299999999999999</v>
      </c>
      <c r="F101">
        <v>1.1499999999999999</v>
      </c>
      <c r="G101">
        <v>1.1499999999999999</v>
      </c>
      <c r="H101">
        <v>1.1200000000000001</v>
      </c>
      <c r="I101">
        <v>1.0900000000000001</v>
      </c>
      <c r="J101">
        <v>0.99</v>
      </c>
      <c r="K101">
        <v>0.99980197920811664</v>
      </c>
      <c r="L101">
        <v>1.0292079187640339</v>
      </c>
      <c r="M101">
        <v>1.0684158384613154</v>
      </c>
      <c r="N101">
        <v>1.1174257382830033</v>
      </c>
      <c r="O101">
        <v>1.1664356380617003</v>
      </c>
      <c r="P101">
        <v>1.2252475179427544</v>
      </c>
      <c r="Q101">
        <v>1.2938613779124597</v>
      </c>
      <c r="R101">
        <v>1.382079198086734</v>
      </c>
      <c r="S101">
        <v>1.4800989983197652</v>
      </c>
      <c r="T101">
        <v>1.5781187984878831</v>
      </c>
      <c r="U101">
        <v>1.6957425588126054</v>
      </c>
      <c r="V101">
        <v>1.8133663190693374</v>
      </c>
      <c r="W101">
        <v>1.9407920593602679</v>
      </c>
      <c r="X101">
        <v>2.0780197796796709</v>
      </c>
      <c r="Y101">
        <v>2.2250494800225482</v>
      </c>
      <c r="Z101">
        <v>2.3916831404684293</v>
      </c>
      <c r="AA101">
        <v>2.5681187809258881</v>
      </c>
      <c r="AB101">
        <v>2.7641583814682615</v>
      </c>
      <c r="AC101">
        <v>2.96999996201377</v>
      </c>
      <c r="AD101">
        <v>3.1758415424913444</v>
      </c>
      <c r="AE101">
        <v>3.4012870830381723</v>
      </c>
      <c r="AF101">
        <v>3.646336583647166</v>
      </c>
      <c r="AG101">
        <v>3.9109900443121512</v>
      </c>
      <c r="AH101">
        <v>4.1952474650277596</v>
      </c>
      <c r="AI101">
        <v>4.4893068657331385</v>
      </c>
      <c r="AJ101">
        <v>4.8029702264824037</v>
      </c>
      <c r="AK101">
        <v>5.1362375472717465</v>
      </c>
      <c r="AL101">
        <v>5.4989108081480129</v>
      </c>
      <c r="AM101">
        <v>5.881188029056486</v>
      </c>
      <c r="AN101">
        <v>6.2928711900416285</v>
      </c>
    </row>
    <row r="102" spans="1:40" x14ac:dyDescent="0.25">
      <c r="A102" s="3" t="s">
        <v>37</v>
      </c>
      <c r="B102">
        <v>27.52</v>
      </c>
      <c r="C102">
        <v>27.49</v>
      </c>
      <c r="D102">
        <v>27.45</v>
      </c>
      <c r="E102">
        <v>27.42</v>
      </c>
      <c r="F102">
        <v>27.39</v>
      </c>
      <c r="G102">
        <v>27.36</v>
      </c>
      <c r="H102">
        <v>27.33</v>
      </c>
      <c r="I102">
        <v>27.24</v>
      </c>
      <c r="J102">
        <v>27.16</v>
      </c>
      <c r="K102">
        <v>27.12836956416427</v>
      </c>
      <c r="L102">
        <v>27.128369563109924</v>
      </c>
      <c r="M102">
        <v>27.117826083795933</v>
      </c>
      <c r="N102">
        <v>27.117826082741587</v>
      </c>
      <c r="O102">
        <v>26.527391299193273</v>
      </c>
      <c r="P102">
        <v>26.527391298138923</v>
      </c>
      <c r="Q102">
        <v>26.516847818826591</v>
      </c>
      <c r="R102">
        <v>26.516847817772245</v>
      </c>
      <c r="S102">
        <v>26.537934773232188</v>
      </c>
      <c r="T102">
        <v>26.506304337407663</v>
      </c>
      <c r="U102">
        <v>25.778804336668198</v>
      </c>
      <c r="V102">
        <v>25.051304335958491</v>
      </c>
      <c r="W102">
        <v>25.662826073719142</v>
      </c>
      <c r="X102">
        <v>25.082934768639912</v>
      </c>
      <c r="Y102">
        <v>24.513586941839613</v>
      </c>
      <c r="Z102">
        <v>23.817717376014585</v>
      </c>
      <c r="AA102">
        <v>22.700108680074987</v>
      </c>
      <c r="AB102">
        <v>21.392717375630689</v>
      </c>
      <c r="AC102">
        <v>20.095869549503451</v>
      </c>
      <c r="AD102">
        <v>18.788478245192184</v>
      </c>
      <c r="AE102">
        <v>19.062608678676323</v>
      </c>
      <c r="AF102">
        <v>19.347282590396201</v>
      </c>
      <c r="AG102">
        <v>19.621413023850234</v>
      </c>
      <c r="AH102">
        <v>19.906086935539296</v>
      </c>
      <c r="AI102">
        <v>20.19076084721328</v>
      </c>
      <c r="AJ102">
        <v>20.475434758872403</v>
      </c>
      <c r="AK102">
        <v>20.749565192268761</v>
      </c>
      <c r="AL102">
        <v>21.034239103898756</v>
      </c>
      <c r="AM102">
        <v>21.318913015514482</v>
      </c>
      <c r="AN102">
        <v>21.603586927116126</v>
      </c>
    </row>
    <row r="103" spans="1:40" x14ac:dyDescent="0.25">
      <c r="A103" s="3" t="s">
        <v>38</v>
      </c>
      <c r="B103">
        <v>66.42</v>
      </c>
      <c r="C103">
        <v>65.98</v>
      </c>
      <c r="D103">
        <v>65.72</v>
      </c>
      <c r="E103">
        <v>65.459999999999994</v>
      </c>
      <c r="F103">
        <v>64.28</v>
      </c>
      <c r="G103">
        <v>63.85</v>
      </c>
      <c r="H103">
        <v>63.13</v>
      </c>
      <c r="I103">
        <v>62.24</v>
      </c>
      <c r="J103">
        <v>61.58</v>
      </c>
      <c r="K103">
        <v>61.25417989313442</v>
      </c>
      <c r="L103">
        <v>61.001932068231298</v>
      </c>
      <c r="M103">
        <v>61.306731520996301</v>
      </c>
      <c r="N103">
        <v>61.769185863658223</v>
      </c>
      <c r="O103">
        <v>62.610011942070962</v>
      </c>
      <c r="P103">
        <v>62.179088575301975</v>
      </c>
      <c r="Q103">
        <v>62.010923358363861</v>
      </c>
      <c r="R103">
        <v>62.45235704900896</v>
      </c>
      <c r="S103">
        <v>62.799197805713334</v>
      </c>
      <c r="T103">
        <v>63.209100518366384</v>
      </c>
      <c r="U103">
        <v>62.925321715524937</v>
      </c>
      <c r="V103">
        <v>62.862259758521539</v>
      </c>
      <c r="W103">
        <v>62.052964656095284</v>
      </c>
      <c r="X103">
        <v>61.811227157234974</v>
      </c>
      <c r="Y103">
        <v>60.66560162310725</v>
      </c>
      <c r="Z103">
        <v>59.530486414990719</v>
      </c>
      <c r="AA103">
        <v>58.910377180461147</v>
      </c>
      <c r="AB103">
        <v>57.743730994411983</v>
      </c>
      <c r="AC103">
        <v>56.577084808384058</v>
      </c>
      <c r="AD103">
        <v>55.389417970396636</v>
      </c>
      <c r="AE103">
        <v>54.769308735912702</v>
      </c>
      <c r="AF103">
        <v>54.159709827430859</v>
      </c>
      <c r="AG103">
        <v>53.550110918960847</v>
      </c>
      <c r="AH103">
        <v>52.951022336492571</v>
      </c>
      <c r="AI103">
        <v>52.341423428046618</v>
      </c>
      <c r="AJ103">
        <v>51.742334845602265</v>
      </c>
      <c r="AK103">
        <v>51.143246263170084</v>
      </c>
      <c r="AL103">
        <v>50.533647354761293</v>
      </c>
      <c r="AM103">
        <v>49.934558772353881</v>
      </c>
      <c r="AN103">
        <v>49.335470189959082</v>
      </c>
    </row>
    <row r="104" spans="1:40" x14ac:dyDescent="0.25">
      <c r="A104" t="s">
        <v>77</v>
      </c>
      <c r="B104">
        <f>SUM(B86:B103)</f>
        <v>2893.5800000000004</v>
      </c>
      <c r="C104">
        <f t="shared" ref="C104" si="72">SUM(C86:C103)</f>
        <v>2965.2699999999995</v>
      </c>
      <c r="D104">
        <f t="shared" ref="D104" si="73">SUM(D86:D103)</f>
        <v>3020.9599999999996</v>
      </c>
      <c r="E104">
        <f t="shared" ref="E104" si="74">SUM(E86:E103)</f>
        <v>3059.4500000000003</v>
      </c>
      <c r="F104">
        <f t="shared" ref="F104" si="75">SUM(F86:F103)</f>
        <v>3083.9200000000005</v>
      </c>
      <c r="G104">
        <f t="shared" ref="G104" si="76">SUM(G86:G103)</f>
        <v>3120.5399999999995</v>
      </c>
      <c r="H104">
        <f t="shared" ref="H104" si="77">SUM(H86:H103)</f>
        <v>3152.2400000000002</v>
      </c>
      <c r="I104">
        <f t="shared" ref="I104" si="78">SUM(I86:I103)</f>
        <v>3179.29</v>
      </c>
      <c r="J104">
        <f t="shared" ref="J104" si="79">SUM(J86:J103)</f>
        <v>2948.9199999999992</v>
      </c>
      <c r="K104">
        <f t="shared" ref="K104" si="80">SUM(K86:K103)</f>
        <v>3066.3201349646861</v>
      </c>
      <c r="L104">
        <f t="shared" ref="L104" si="81">SUM(L86:L103)</f>
        <v>3168.8584092559568</v>
      </c>
      <c r="M104">
        <f t="shared" ref="M104" si="82">SUM(M86:M103)</f>
        <v>3279.6439559197274</v>
      </c>
      <c r="N104">
        <f t="shared" ref="N104" si="83">SUM(N86:N103)</f>
        <v>3406.7754771453078</v>
      </c>
      <c r="O104">
        <f t="shared" ref="O104" si="84">SUM(O86:O103)</f>
        <v>3542.5134634741785</v>
      </c>
      <c r="P104">
        <f t="shared" ref="P104" si="85">SUM(P86:P103)</f>
        <v>3698.5922523926524</v>
      </c>
      <c r="Q104">
        <f t="shared" ref="Q104" si="86">SUM(Q86:Q103)</f>
        <v>3866.061040181226</v>
      </c>
      <c r="R104">
        <f t="shared" ref="R104" si="87">SUM(R86:R103)</f>
        <v>4047.2575792168536</v>
      </c>
      <c r="S104">
        <f t="shared" ref="S104" si="88">SUM(S86:S103)</f>
        <v>4252.9867357313888</v>
      </c>
      <c r="T104">
        <f t="shared" ref="T104" si="89">SUM(T86:T103)</f>
        <v>4470.1671743814259</v>
      </c>
      <c r="U104">
        <f t="shared" ref="U104" si="90">SUM(U86:U103)</f>
        <v>4692.6065618792227</v>
      </c>
      <c r="V104">
        <f t="shared" ref="V104" si="91">SUM(V86:V103)</f>
        <v>4928.5832236449414</v>
      </c>
      <c r="W104">
        <f t="shared" ref="W104" si="92">SUM(W86:W103)</f>
        <v>5177.666220973535</v>
      </c>
      <c r="X104">
        <f t="shared" ref="X104" si="93">SUM(X86:X103)</f>
        <v>5441.1847293518413</v>
      </c>
      <c r="Y104">
        <f t="shared" ref="Y104" si="94">SUM(Y86:Y103)</f>
        <v>5702.4488176996365</v>
      </c>
      <c r="Z104">
        <f t="shared" ref="Z104" si="95">SUM(Z86:Z103)</f>
        <v>5976.1244991132244</v>
      </c>
      <c r="AA104">
        <f t="shared" ref="AA104" si="96">SUM(AA86:AA103)</f>
        <v>6282.0830906195679</v>
      </c>
      <c r="AB104">
        <f t="shared" ref="AB104" si="97">SUM(AB86:AB103)</f>
        <v>6607.059104863325</v>
      </c>
      <c r="AC104">
        <f t="shared" ref="AC104" si="98">SUM(AC86:AC103)</f>
        <v>6954.0963235486188</v>
      </c>
      <c r="AD104">
        <f t="shared" ref="AD104" si="99">SUM(AD86:AD103)</f>
        <v>7318.5663285636874</v>
      </c>
      <c r="AE104">
        <f t="shared" ref="AE104" si="100">SUM(AE86:AE103)</f>
        <v>7702.4011553720284</v>
      </c>
      <c r="AF104">
        <f t="shared" ref="AF104" si="101">SUM(AF86:AF103)</f>
        <v>8109.6742160179629</v>
      </c>
      <c r="AG104">
        <f t="shared" ref="AG104" si="102">SUM(AG86:AG103)</f>
        <v>8542.3014584026914</v>
      </c>
      <c r="AH104">
        <f t="shared" ref="AH104" si="103">SUM(AH86:AH103)</f>
        <v>9001.7693057198649</v>
      </c>
      <c r="AI104">
        <f t="shared" ref="AI104" si="104">SUM(AI86:AI103)</f>
        <v>9482.7115836289122</v>
      </c>
      <c r="AJ104">
        <f t="shared" ref="AJ104" si="105">SUM(AJ86:AJ103)</f>
        <v>9973.9690598553916</v>
      </c>
      <c r="AK104">
        <f t="shared" ref="AK104" si="106">SUM(AK86:AK103)</f>
        <v>10492.141578554751</v>
      </c>
      <c r="AL104">
        <f t="shared" ref="AL104" si="107">SUM(AL86:AL103)</f>
        <v>11038.753930473713</v>
      </c>
      <c r="AM104">
        <f t="shared" ref="AM104" si="108">SUM(AM86:AM103)</f>
        <v>11615.828149862718</v>
      </c>
      <c r="AN104">
        <f t="shared" ref="AN104" si="109">SUM(AN86:AN103)</f>
        <v>12227.805598253761</v>
      </c>
    </row>
    <row r="105" spans="1:40" x14ac:dyDescent="0.25">
      <c r="A105" t="s">
        <v>78</v>
      </c>
      <c r="C105" s="1">
        <f>C104/B104-1</f>
        <v>2.4775537569377448E-2</v>
      </c>
      <c r="D105" s="1">
        <f t="shared" ref="D105:AN105" si="110">D104/C104-1</f>
        <v>1.8780751837100818E-2</v>
      </c>
      <c r="E105" s="1">
        <f t="shared" si="110"/>
        <v>1.2740982998782124E-2</v>
      </c>
      <c r="F105" s="1">
        <f t="shared" si="110"/>
        <v>7.9981696056481422E-3</v>
      </c>
      <c r="G105" s="1">
        <f t="shared" si="110"/>
        <v>1.1874497392928118E-2</v>
      </c>
      <c r="H105" s="1">
        <f t="shared" si="110"/>
        <v>1.0158498208643563E-2</v>
      </c>
      <c r="I105" s="1">
        <f t="shared" si="110"/>
        <v>8.581199401060724E-3</v>
      </c>
      <c r="J105" s="1">
        <f t="shared" si="110"/>
        <v>-7.2459574307471408E-2</v>
      </c>
      <c r="K105" s="1">
        <f t="shared" si="110"/>
        <v>3.9811230879334358E-2</v>
      </c>
      <c r="L105" s="1">
        <f t="shared" si="110"/>
        <v>3.3440172512336774E-2</v>
      </c>
      <c r="M105" s="1">
        <f t="shared" si="110"/>
        <v>3.4960712141689942E-2</v>
      </c>
      <c r="N105" s="1">
        <f t="shared" si="110"/>
        <v>3.8763817943136436E-2</v>
      </c>
      <c r="O105" s="1">
        <f t="shared" si="110"/>
        <v>3.9843537456307976E-2</v>
      </c>
      <c r="P105" s="1">
        <f t="shared" si="110"/>
        <v>4.4058770849499052E-2</v>
      </c>
      <c r="Q105" s="1">
        <f t="shared" si="110"/>
        <v>4.5279061967492318E-2</v>
      </c>
      <c r="R105" s="1">
        <f t="shared" si="110"/>
        <v>4.686851478866827E-2</v>
      </c>
      <c r="S105" s="1">
        <f t="shared" si="110"/>
        <v>5.0831742850017347E-2</v>
      </c>
      <c r="T105" s="1">
        <f t="shared" si="110"/>
        <v>5.1065392897983841E-2</v>
      </c>
      <c r="U105" s="1">
        <f t="shared" si="110"/>
        <v>4.976086549348735E-2</v>
      </c>
      <c r="V105" s="1">
        <f t="shared" si="110"/>
        <v>5.0286905295384265E-2</v>
      </c>
      <c r="W105" s="1">
        <f t="shared" si="110"/>
        <v>5.0538458219314464E-2</v>
      </c>
      <c r="X105" s="1">
        <f t="shared" si="110"/>
        <v>5.0895229072676296E-2</v>
      </c>
      <c r="Y105" s="1">
        <f t="shared" si="110"/>
        <v>4.8016029843360508E-2</v>
      </c>
      <c r="Z105" s="1">
        <f t="shared" si="110"/>
        <v>4.7992658972078051E-2</v>
      </c>
      <c r="AA105" s="1">
        <f t="shared" si="110"/>
        <v>5.1196823552076776E-2</v>
      </c>
      <c r="AB105" s="1">
        <f t="shared" si="110"/>
        <v>5.17306138037259E-2</v>
      </c>
      <c r="AC105" s="1">
        <f t="shared" si="110"/>
        <v>5.2525217827981363E-2</v>
      </c>
      <c r="AD105" s="1">
        <f t="shared" si="110"/>
        <v>5.2410836441949549E-2</v>
      </c>
      <c r="AE105" s="1">
        <f t="shared" si="110"/>
        <v>5.2446723794832506E-2</v>
      </c>
      <c r="AF105" s="1">
        <f t="shared" si="110"/>
        <v>5.2876116477247104E-2</v>
      </c>
      <c r="AG105" s="1">
        <f t="shared" si="110"/>
        <v>5.3347055733782511E-2</v>
      </c>
      <c r="AH105" s="1">
        <f t="shared" si="110"/>
        <v>5.3787360415057162E-2</v>
      </c>
      <c r="AI105" s="1">
        <f t="shared" si="110"/>
        <v>5.3427527586543455E-2</v>
      </c>
      <c r="AJ105" s="1">
        <f t="shared" si="110"/>
        <v>5.1805590826424996E-2</v>
      </c>
      <c r="AK105" s="1">
        <f t="shared" si="110"/>
        <v>5.1952489083304965E-2</v>
      </c>
      <c r="AL105" s="1">
        <f t="shared" si="110"/>
        <v>5.209730995588191E-2</v>
      </c>
      <c r="AM105" s="1">
        <f t="shared" si="110"/>
        <v>5.2277115970121191E-2</v>
      </c>
      <c r="AN105" s="1">
        <f t="shared" si="110"/>
        <v>5.2684788419349537E-2</v>
      </c>
    </row>
    <row r="106" spans="1:40" x14ac:dyDescent="0.25">
      <c r="A106" t="s">
        <v>83</v>
      </c>
      <c r="C106" s="1">
        <f>C86/C104</f>
        <v>0.63554077706245982</v>
      </c>
      <c r="D106" s="1">
        <f t="shared" ref="D106:AN106" si="111">D86/D104</f>
        <v>0.63816799957629378</v>
      </c>
      <c r="E106" s="1">
        <f t="shared" si="111"/>
        <v>0.63979146578633417</v>
      </c>
      <c r="F106" s="1">
        <f t="shared" si="111"/>
        <v>0.64292199538250006</v>
      </c>
      <c r="G106" s="1">
        <f t="shared" si="111"/>
        <v>0.64328609791895008</v>
      </c>
      <c r="H106" s="1">
        <f t="shared" si="111"/>
        <v>0.64608024769687578</v>
      </c>
      <c r="I106" s="1">
        <f t="shared" si="111"/>
        <v>0.65144733572590108</v>
      </c>
      <c r="J106" s="1">
        <f t="shared" si="111"/>
        <v>0.64959374957611615</v>
      </c>
      <c r="K106" s="1">
        <f t="shared" si="111"/>
        <v>0.65057145094506752</v>
      </c>
      <c r="L106" s="1">
        <f t="shared" si="111"/>
        <v>0.65224113970649311</v>
      </c>
      <c r="M106" s="1">
        <f t="shared" si="111"/>
        <v>0.65398093286773529</v>
      </c>
      <c r="N106" s="1">
        <f t="shared" si="111"/>
        <v>0.6559775916398406</v>
      </c>
      <c r="O106" s="1">
        <f t="shared" si="111"/>
        <v>0.65859589893506321</v>
      </c>
      <c r="P106" s="1">
        <f t="shared" si="111"/>
        <v>0.66063485161235391</v>
      </c>
      <c r="Q106" s="1">
        <f t="shared" si="111"/>
        <v>0.66291509233269297</v>
      </c>
      <c r="R106" s="1">
        <f t="shared" si="111"/>
        <v>0.66527060197240806</v>
      </c>
      <c r="S106" s="1">
        <f t="shared" si="111"/>
        <v>0.66758439084725851</v>
      </c>
      <c r="T106" s="1">
        <f t="shared" si="111"/>
        <v>0.67013412183116006</v>
      </c>
      <c r="U106" s="1">
        <f t="shared" si="111"/>
        <v>0.67258196993849639</v>
      </c>
      <c r="V106" s="1">
        <f t="shared" si="111"/>
        <v>0.67522638116394529</v>
      </c>
      <c r="W106" s="1">
        <f t="shared" si="111"/>
        <v>0.67787077086500469</v>
      </c>
      <c r="X106" s="1">
        <f t="shared" si="111"/>
        <v>0.68052880548055039</v>
      </c>
      <c r="Y106" s="1">
        <f t="shared" si="111"/>
        <v>0.6831451467082994</v>
      </c>
      <c r="Z106" s="1">
        <f t="shared" si="111"/>
        <v>0.6855984987956345</v>
      </c>
      <c r="AA106" s="1">
        <f t="shared" si="111"/>
        <v>0.68802208467320247</v>
      </c>
      <c r="AB106" s="1">
        <f t="shared" si="111"/>
        <v>0.6907610214667862</v>
      </c>
      <c r="AC106" s="1">
        <f t="shared" si="111"/>
        <v>0.69323918387832129</v>
      </c>
      <c r="AD106" s="1">
        <f t="shared" si="111"/>
        <v>0.69559930991285646</v>
      </c>
      <c r="AE106" s="1">
        <f t="shared" si="111"/>
        <v>0.69764449325251598</v>
      </c>
      <c r="AF106" s="1">
        <f t="shared" si="111"/>
        <v>0.69963768486305167</v>
      </c>
      <c r="AG106" s="1">
        <f t="shared" si="111"/>
        <v>0.70146122559924229</v>
      </c>
      <c r="AH106" s="1">
        <f t="shared" si="111"/>
        <v>0.70316487478598821</v>
      </c>
      <c r="AI106" s="1">
        <f t="shared" si="111"/>
        <v>0.70476806643324652</v>
      </c>
      <c r="AJ106" s="1">
        <f t="shared" si="111"/>
        <v>0.70631781058147081</v>
      </c>
      <c r="AK106" s="1">
        <f t="shared" si="111"/>
        <v>0.70770436876770226</v>
      </c>
      <c r="AL106" s="1">
        <f t="shared" si="111"/>
        <v>0.70894688022551711</v>
      </c>
      <c r="AM106" s="1">
        <f t="shared" si="111"/>
        <v>0.71009359287573681</v>
      </c>
      <c r="AN106" s="1">
        <f t="shared" si="111"/>
        <v>0.7111442161666317</v>
      </c>
    </row>
    <row r="107" spans="1:40" x14ac:dyDescent="0.25">
      <c r="A107" t="s">
        <v>80</v>
      </c>
      <c r="C107" s="1">
        <f>C103/B103-1</f>
        <v>-6.6245106895512773E-3</v>
      </c>
      <c r="D107" s="1">
        <f t="shared" ref="D107:AN107" si="112">D103/C103-1</f>
        <v>-3.9405880569870488E-3</v>
      </c>
      <c r="E107" s="1">
        <f t="shared" si="112"/>
        <v>-3.9561777236762907E-3</v>
      </c>
      <c r="F107" s="1">
        <f t="shared" si="112"/>
        <v>-1.8026275588145291E-2</v>
      </c>
      <c r="G107" s="1">
        <f t="shared" si="112"/>
        <v>-6.6894835096452665E-3</v>
      </c>
      <c r="H107" s="1">
        <f t="shared" si="112"/>
        <v>-1.1276429130775201E-2</v>
      </c>
      <c r="I107" s="1">
        <f t="shared" si="112"/>
        <v>-1.4097893236179271E-2</v>
      </c>
      <c r="J107" s="1">
        <f t="shared" si="112"/>
        <v>-1.0604113110539881E-2</v>
      </c>
      <c r="K107" s="1">
        <f t="shared" si="112"/>
        <v>-5.2910053079827657E-3</v>
      </c>
      <c r="L107" s="1">
        <f t="shared" si="112"/>
        <v>-4.1180508063809462E-3</v>
      </c>
      <c r="M107" s="1">
        <f t="shared" si="112"/>
        <v>4.9965540833047939E-3</v>
      </c>
      <c r="N107" s="1">
        <f t="shared" si="112"/>
        <v>7.5432881706234411E-3</v>
      </c>
      <c r="O107" s="1">
        <f t="shared" si="112"/>
        <v>1.3612387255170777E-2</v>
      </c>
      <c r="P107" s="1">
        <f t="shared" si="112"/>
        <v>-6.8826590732435911E-3</v>
      </c>
      <c r="Q107" s="1">
        <f t="shared" si="112"/>
        <v>-2.7045301047546877E-3</v>
      </c>
      <c r="R107" s="1">
        <f t="shared" si="112"/>
        <v>7.11864405072693E-3</v>
      </c>
      <c r="S107" s="1">
        <f t="shared" si="112"/>
        <v>5.5536856108120425E-3</v>
      </c>
      <c r="T107" s="1">
        <f t="shared" si="112"/>
        <v>6.5271966358741995E-3</v>
      </c>
      <c r="U107" s="1">
        <f t="shared" si="112"/>
        <v>-4.4895244595196671E-3</v>
      </c>
      <c r="V107" s="1">
        <f t="shared" si="112"/>
        <v>-1.0021713879905247E-3</v>
      </c>
      <c r="W107" s="1">
        <f t="shared" si="112"/>
        <v>-1.2874101337353672E-2</v>
      </c>
      <c r="X107" s="1">
        <f t="shared" si="112"/>
        <v>-3.8956639735111542E-3</v>
      </c>
      <c r="Y107" s="1">
        <f t="shared" si="112"/>
        <v>-1.853426289715121E-2</v>
      </c>
      <c r="Z107" s="1">
        <f t="shared" si="112"/>
        <v>-1.8711018728019502E-2</v>
      </c>
      <c r="AA107" s="1">
        <f t="shared" si="112"/>
        <v>-1.0416666684138098E-2</v>
      </c>
      <c r="AB107" s="1">
        <f t="shared" si="112"/>
        <v>-1.9803746672260369E-2</v>
      </c>
      <c r="AC107" s="1">
        <f t="shared" si="112"/>
        <v>-2.0203858772839367E-2</v>
      </c>
      <c r="AD107" s="1">
        <f t="shared" si="112"/>
        <v>-2.0992011907467911E-2</v>
      </c>
      <c r="AE107" s="1">
        <f t="shared" si="112"/>
        <v>-1.1195445939066517E-2</v>
      </c>
      <c r="AF107" s="1">
        <f t="shared" si="112"/>
        <v>-1.1130301304718149E-2</v>
      </c>
      <c r="AG107" s="1">
        <f t="shared" si="112"/>
        <v>-1.1255579293396822E-2</v>
      </c>
      <c r="AH107" s="1">
        <f t="shared" si="112"/>
        <v>-1.1187438684765683E-2</v>
      </c>
      <c r="AI107" s="1">
        <f t="shared" si="112"/>
        <v>-1.1512504981907257E-2</v>
      </c>
      <c r="AJ107" s="1">
        <f t="shared" si="112"/>
        <v>-1.144578315238054E-2</v>
      </c>
      <c r="AK107" s="1">
        <f t="shared" si="112"/>
        <v>-1.1578305931107424E-2</v>
      </c>
      <c r="AL107" s="1">
        <f t="shared" si="112"/>
        <v>-1.191944103962328E-2</v>
      </c>
      <c r="AM107" s="1">
        <f t="shared" si="112"/>
        <v>-1.1855241285111062E-2</v>
      </c>
      <c r="AN107" s="1">
        <f t="shared" si="112"/>
        <v>-1.1997474236750127E-2</v>
      </c>
    </row>
    <row r="108" spans="1:40" x14ac:dyDescent="0.25">
      <c r="A108" t="s">
        <v>81</v>
      </c>
      <c r="C108" s="1">
        <f>C87/B87-1</f>
        <v>4.2251503867086759E-2</v>
      </c>
      <c r="D108" s="1">
        <f t="shared" ref="D108:AN108" si="113">D87/C87-1</f>
        <v>3.7652878933626566E-2</v>
      </c>
      <c r="E108" s="1">
        <f t="shared" si="113"/>
        <v>-1.5229770891272754E-2</v>
      </c>
      <c r="F108" s="1">
        <f t="shared" si="113"/>
        <v>-1.0892953200645539E-2</v>
      </c>
      <c r="G108" s="1">
        <f t="shared" si="113"/>
        <v>3.3310673011556879E-2</v>
      </c>
      <c r="H108" s="1">
        <f t="shared" si="113"/>
        <v>-1.6052631578947318E-2</v>
      </c>
      <c r="I108" s="1">
        <f t="shared" si="113"/>
        <v>-1.6715699384862281E-2</v>
      </c>
      <c r="J108" s="1">
        <f t="shared" si="113"/>
        <v>-3.4951720386237062E-2</v>
      </c>
      <c r="K108" s="1">
        <f t="shared" si="113"/>
        <v>4.2409172523243166E-2</v>
      </c>
      <c r="L108" s="1">
        <f t="shared" si="113"/>
        <v>3.4852902186127022E-2</v>
      </c>
      <c r="M108" s="1">
        <f t="shared" si="113"/>
        <v>3.1374055563690995E-2</v>
      </c>
      <c r="N108" s="1">
        <f t="shared" si="113"/>
        <v>3.4144524447055513E-2</v>
      </c>
      <c r="O108" s="1">
        <f t="shared" si="113"/>
        <v>3.6258854591952661E-2</v>
      </c>
      <c r="P108" s="1">
        <f t="shared" si="113"/>
        <v>3.719151893132655E-2</v>
      </c>
      <c r="Q108" s="1">
        <f t="shared" si="113"/>
        <v>3.6974977647040053E-2</v>
      </c>
      <c r="R108" s="1">
        <f t="shared" si="113"/>
        <v>3.5548852730415303E-2</v>
      </c>
      <c r="S108" s="1">
        <f t="shared" si="113"/>
        <v>3.8801622791648782E-2</v>
      </c>
      <c r="T108" s="1">
        <f t="shared" si="113"/>
        <v>3.745243339638038E-2</v>
      </c>
      <c r="U108" s="1">
        <f t="shared" si="113"/>
        <v>3.5810810800812609E-2</v>
      </c>
      <c r="V108" s="1">
        <f t="shared" si="113"/>
        <v>3.531823687414648E-2</v>
      </c>
      <c r="W108" s="1">
        <f t="shared" si="113"/>
        <v>3.4113411331826216E-2</v>
      </c>
      <c r="X108" s="1">
        <f t="shared" si="113"/>
        <v>3.5164069970970768E-2</v>
      </c>
      <c r="Y108" s="1">
        <f t="shared" si="113"/>
        <v>3.1447069696195706E-2</v>
      </c>
      <c r="Z108" s="1">
        <f t="shared" si="113"/>
        <v>3.179261432272118E-2</v>
      </c>
      <c r="AA108" s="1">
        <f t="shared" si="113"/>
        <v>3.6580548304996574E-2</v>
      </c>
      <c r="AB108" s="1">
        <f t="shared" si="113"/>
        <v>3.833841462623222E-2</v>
      </c>
      <c r="AC108" s="1">
        <f t="shared" si="113"/>
        <v>3.9125009168031299E-2</v>
      </c>
      <c r="AD108" s="1">
        <f t="shared" si="113"/>
        <v>4.0053687474992605E-2</v>
      </c>
      <c r="AE108" s="1">
        <f t="shared" si="113"/>
        <v>4.0345038368265085E-2</v>
      </c>
      <c r="AF108" s="1">
        <f t="shared" si="113"/>
        <v>4.1391917470513961E-2</v>
      </c>
      <c r="AG108" s="1">
        <f t="shared" si="113"/>
        <v>4.2818632054148376E-2</v>
      </c>
      <c r="AH108" s="1">
        <f t="shared" si="113"/>
        <v>4.388601658624558E-2</v>
      </c>
      <c r="AI108" s="1">
        <f t="shared" si="113"/>
        <v>4.3826307296453537E-2</v>
      </c>
      <c r="AJ108" s="1">
        <f t="shared" si="113"/>
        <v>4.1986206890803013E-2</v>
      </c>
      <c r="AK108" s="1">
        <f t="shared" si="113"/>
        <v>4.3418405162324314E-2</v>
      </c>
      <c r="AL108" s="1">
        <f t="shared" si="113"/>
        <v>4.4402719978461347E-2</v>
      </c>
      <c r="AM108" s="1">
        <f t="shared" si="113"/>
        <v>4.4750012142049878E-2</v>
      </c>
      <c r="AN108" s="1">
        <f t="shared" si="113"/>
        <v>4.5065575290461179E-2</v>
      </c>
    </row>
    <row r="109" spans="1:40" x14ac:dyDescent="0.25">
      <c r="A109" t="s">
        <v>87</v>
      </c>
      <c r="C109" s="16">
        <f t="shared" ref="C109" si="114">C108/C105</f>
        <v>1.7053718309349459</v>
      </c>
      <c r="D109" s="16">
        <f t="shared" ref="D109" si="115">D108/D105</f>
        <v>2.0048653674899435</v>
      </c>
      <c r="E109" s="16">
        <f t="shared" ref="E109" si="116">E108/E105</f>
        <v>-1.1953371959391614</v>
      </c>
      <c r="F109" s="16">
        <f t="shared" ref="F109" si="117">F108/F105</f>
        <v>-1.3619307588767759</v>
      </c>
      <c r="G109" s="16">
        <f t="shared" ref="G109" si="118">G108/G105</f>
        <v>2.8052280369689684</v>
      </c>
      <c r="H109" s="16">
        <f t="shared" ref="H109" si="119">H108/H105</f>
        <v>-1.580217001494238</v>
      </c>
      <c r="I109" s="16">
        <f t="shared" ref="I109" si="120">I108/I105</f>
        <v>-1.9479444077241754</v>
      </c>
      <c r="J109" s="16">
        <f t="shared" ref="J109" si="121">J108/J105</f>
        <v>0.48236165779727941</v>
      </c>
      <c r="K109" s="16">
        <f t="shared" ref="K109" si="122">K108/K105</f>
        <v>1.06525650140743</v>
      </c>
      <c r="L109" s="16">
        <f t="shared" ref="L109" si="123">L108/L105</f>
        <v>1.0422464828274753</v>
      </c>
      <c r="M109" s="16">
        <f t="shared" ref="M109" si="124">M108/M105</f>
        <v>0.89740893825438028</v>
      </c>
      <c r="N109" s="16">
        <f t="shared" ref="N109" si="125">N108/N105</f>
        <v>0.88083491923171564</v>
      </c>
      <c r="O109" s="16">
        <f t="shared" ref="O109" si="126">O108/O105</f>
        <v>0.91003100896133426</v>
      </c>
      <c r="P109" s="16">
        <f t="shared" ref="P109" si="127">P108/P105</f>
        <v>0.84413428278263958</v>
      </c>
      <c r="Q109" s="16">
        <f t="shared" ref="Q109" si="128">Q108/Q105</f>
        <v>0.81660211233143243</v>
      </c>
      <c r="R109" s="16">
        <f t="shared" ref="R109" si="129">R108/R105</f>
        <v>0.75848046157865878</v>
      </c>
      <c r="S109" s="16">
        <f t="shared" ref="S109" si="130">S108/S105</f>
        <v>0.76333449565433387</v>
      </c>
      <c r="T109" s="16">
        <f t="shared" ref="T109" si="131">T108/T105</f>
        <v>0.73342103665394642</v>
      </c>
      <c r="U109" s="16">
        <f t="shared" ref="U109" si="132">U108/U105</f>
        <v>0.71965811779337907</v>
      </c>
      <c r="V109" s="16">
        <f t="shared" ref="V109" si="133">V108/V105</f>
        <v>0.70233466678229395</v>
      </c>
      <c r="W109" s="16">
        <f t="shared" ref="W109" si="134">W108/W105</f>
        <v>0.6749990508968271</v>
      </c>
      <c r="X109" s="16">
        <f t="shared" ref="X109" si="135">X108/X105</f>
        <v>0.69091092842431112</v>
      </c>
      <c r="Y109" s="16">
        <f t="shared" ref="Y109" si="136">Y108/Y105</f>
        <v>0.65492856862142468</v>
      </c>
      <c r="Z109" s="16">
        <f t="shared" ref="Z109" si="137">Z108/Z105</f>
        <v>0.66244744516485332</v>
      </c>
      <c r="AA109" s="16">
        <f t="shared" ref="AA109" si="138">AA108/AA105</f>
        <v>0.71450816216727375</v>
      </c>
      <c r="AB109" s="16">
        <f t="shared" ref="AB109" si="139">AB108/AB105</f>
        <v>0.74111656149478922</v>
      </c>
      <c r="AC109" s="16">
        <f t="shared" ref="AC109" si="140">AC108/AC105</f>
        <v>0.74488047429264592</v>
      </c>
      <c r="AD109" s="16">
        <f t="shared" ref="AD109" si="141">AD108/AD105</f>
        <v>0.76422530518772069</v>
      </c>
      <c r="AE109" s="16">
        <f t="shared" ref="AE109" si="142">AE108/AE105</f>
        <v>0.76925755221797509</v>
      </c>
      <c r="AF109" s="16">
        <f t="shared" ref="AF109" si="143">AF108/AF105</f>
        <v>0.78280933298732602</v>
      </c>
      <c r="AG109" s="16">
        <f t="shared" ref="AG109" si="144">AG108/AG105</f>
        <v>0.80264283502028555</v>
      </c>
      <c r="AH109" s="16">
        <f t="shared" ref="AH109" si="145">AH108/AH105</f>
        <v>0.81591690403829864</v>
      </c>
      <c r="AI109" s="16">
        <f t="shared" ref="AI109" si="146">AI108/AI105</f>
        <v>0.8202945050276268</v>
      </c>
      <c r="AJ109" s="16">
        <f t="shared" ref="AJ109" si="147">AJ108/AJ105</f>
        <v>0.81045706112064431</v>
      </c>
      <c r="AK109" s="16">
        <f t="shared" ref="AK109" si="148">AK108/AK105</f>
        <v>0.83573291537011085</v>
      </c>
      <c r="AL109" s="16">
        <f t="shared" ref="AL109" si="149">AL108/AL105</f>
        <v>0.85230350695771717</v>
      </c>
      <c r="AM109" s="16">
        <f t="shared" ref="AM109" si="150">AM108/AM105</f>
        <v>0.85601531973620348</v>
      </c>
      <c r="AN109" s="16">
        <f t="shared" ref="AN109" si="151">AN108/AN105</f>
        <v>0.8553811573040303</v>
      </c>
    </row>
    <row r="110" spans="1:40" x14ac:dyDescent="0.25">
      <c r="A110" t="s">
        <v>82</v>
      </c>
      <c r="C110" s="1">
        <f>C94/B94-1</f>
        <v>2.9213483146067531E-2</v>
      </c>
      <c r="D110" s="1">
        <f t="shared" ref="D110:AN110" si="152">D94/C94-1</f>
        <v>1.2372634643377012E-2</v>
      </c>
      <c r="E110" s="1">
        <f t="shared" si="152"/>
        <v>1.5815959741193542E-2</v>
      </c>
      <c r="F110" s="1">
        <f t="shared" si="152"/>
        <v>1.4154281670204494E-3</v>
      </c>
      <c r="G110" s="1">
        <f t="shared" si="152"/>
        <v>2.1201413427560656E-3</v>
      </c>
      <c r="H110" s="1">
        <f t="shared" si="152"/>
        <v>2.1156558533146352E-3</v>
      </c>
      <c r="I110" s="1">
        <f t="shared" si="152"/>
        <v>-9.1484869809993485E-3</v>
      </c>
      <c r="J110" s="1">
        <f t="shared" si="152"/>
        <v>-0.12926136363636365</v>
      </c>
      <c r="K110" s="1">
        <f t="shared" si="152"/>
        <v>4.2319749134614559E-2</v>
      </c>
      <c r="L110" s="1">
        <f t="shared" si="152"/>
        <v>3.007518789247543E-2</v>
      </c>
      <c r="M110" s="1">
        <f t="shared" si="152"/>
        <v>2.9927007224092916E-2</v>
      </c>
      <c r="N110" s="1">
        <f t="shared" si="152"/>
        <v>3.401842657448495E-2</v>
      </c>
      <c r="O110" s="1">
        <f t="shared" si="152"/>
        <v>3.5640849826206855E-2</v>
      </c>
      <c r="P110" s="1">
        <f t="shared" si="152"/>
        <v>3.7061548574648606E-2</v>
      </c>
      <c r="Q110" s="1">
        <f t="shared" si="152"/>
        <v>3.8289725524040197E-2</v>
      </c>
      <c r="R110" s="1">
        <f t="shared" si="152"/>
        <v>3.8721573384220997E-2</v>
      </c>
      <c r="S110" s="1">
        <f t="shared" si="152"/>
        <v>4.2011834257869252E-2</v>
      </c>
      <c r="T110" s="1">
        <f t="shared" si="152"/>
        <v>4.145371941842968E-2</v>
      </c>
      <c r="U110" s="1">
        <f t="shared" si="152"/>
        <v>3.7077426333856245E-2</v>
      </c>
      <c r="V110" s="1">
        <f t="shared" si="152"/>
        <v>3.6803364824563367E-2</v>
      </c>
      <c r="W110" s="1">
        <f t="shared" si="152"/>
        <v>3.7018255525506083E-2</v>
      </c>
      <c r="X110" s="1">
        <f t="shared" si="152"/>
        <v>3.6185819020235543E-2</v>
      </c>
      <c r="Y110" s="1">
        <f t="shared" si="152"/>
        <v>3.3034450163613283E-2</v>
      </c>
      <c r="Z110" s="1">
        <f t="shared" si="152"/>
        <v>3.152124252939581E-2</v>
      </c>
      <c r="AA110" s="1">
        <f t="shared" si="152"/>
        <v>3.0115146101412194E-2</v>
      </c>
      <c r="AB110" s="1">
        <f t="shared" si="152"/>
        <v>3.5253654297710435E-2</v>
      </c>
      <c r="AC110" s="1">
        <f t="shared" si="152"/>
        <v>3.5714285671274437E-2</v>
      </c>
      <c r="AD110" s="1">
        <f t="shared" si="152"/>
        <v>3.5685645507791186E-2</v>
      </c>
      <c r="AE110" s="1">
        <f t="shared" si="152"/>
        <v>4.1424699920966868E-2</v>
      </c>
      <c r="AF110" s="1">
        <f t="shared" si="152"/>
        <v>4.349442375302992E-2</v>
      </c>
      <c r="AG110" s="1">
        <f t="shared" si="152"/>
        <v>4.4887780511404074E-2</v>
      </c>
      <c r="AH110" s="1">
        <f t="shared" si="152"/>
        <v>4.6368905521774195E-2</v>
      </c>
      <c r="AI110" s="1">
        <f t="shared" si="152"/>
        <v>4.6920821080256747E-2</v>
      </c>
      <c r="AJ110" s="1">
        <f t="shared" si="152"/>
        <v>4.6374105165067681E-2</v>
      </c>
      <c r="AK110" s="1">
        <f t="shared" si="152"/>
        <v>4.7590719778477508E-2</v>
      </c>
      <c r="AL110" s="1">
        <f t="shared" si="152"/>
        <v>4.8835888669823024E-2</v>
      </c>
      <c r="AM110" s="1">
        <f t="shared" si="152"/>
        <v>4.9810503490801183E-2</v>
      </c>
      <c r="AN110" s="1">
        <f t="shared" si="152"/>
        <v>5.1572975733585213E-2</v>
      </c>
    </row>
    <row r="111" spans="1:40" x14ac:dyDescent="0.25">
      <c r="A111" t="s">
        <v>88</v>
      </c>
      <c r="C111" s="16">
        <f t="shared" ref="C111" si="153">C110/C105</f>
        <v>1.1791261063160696</v>
      </c>
      <c r="D111" s="16">
        <f t="shared" ref="D111" si="154">D110/D105</f>
        <v>0.65879336198539395</v>
      </c>
      <c r="E111" s="16">
        <f t="shared" ref="E111" si="155">E110/E105</f>
        <v>1.2413453296896595</v>
      </c>
      <c r="F111" s="16">
        <f t="shared" ref="F111" si="156">F110/F105</f>
        <v>0.17696901126238973</v>
      </c>
      <c r="G111" s="16">
        <f t="shared" ref="G111" si="157">G110/G105</f>
        <v>0.17854577525266208</v>
      </c>
      <c r="H111" s="16">
        <f t="shared" ref="H111" si="158">H110/H105</f>
        <v>0.20826462828083062</v>
      </c>
      <c r="I111" s="16">
        <f t="shared" ref="I111" si="159">I110/I105</f>
        <v>-1.0661081922730407</v>
      </c>
      <c r="J111" s="16">
        <f t="shared" ref="J111" si="160">J110/J105</f>
        <v>1.7839100611861491</v>
      </c>
      <c r="K111" s="16">
        <f t="shared" ref="K111" si="161">K110/K105</f>
        <v>1.0630103164326514</v>
      </c>
      <c r="L111" s="16">
        <f t="shared" ref="L111" si="162">L110/L105</f>
        <v>0.89937298862259363</v>
      </c>
      <c r="M111" s="16">
        <f t="shared" ref="M111" si="163">M110/M105</f>
        <v>0.85601823849593628</v>
      </c>
      <c r="N111" s="16">
        <f t="shared" ref="N111" si="164">N110/N105</f>
        <v>0.87758194057116323</v>
      </c>
      <c r="O111" s="16">
        <f t="shared" ref="O111" si="165">O110/O105</f>
        <v>0.89452021837393969</v>
      </c>
      <c r="P111" s="16">
        <f t="shared" ref="P111" si="166">P110/P105</f>
        <v>0.84118435126680335</v>
      </c>
      <c r="Q111" s="16">
        <f t="shared" ref="Q111" si="167">Q110/Q105</f>
        <v>0.84563866520755115</v>
      </c>
      <c r="R111" s="16">
        <f t="shared" ref="R111" si="168">R110/R105</f>
        <v>0.8261745344143695</v>
      </c>
      <c r="S111" s="16">
        <f t="shared" ref="S111" si="169">S110/S105</f>
        <v>0.82648817259380891</v>
      </c>
      <c r="T111" s="16">
        <f t="shared" ref="T111" si="170">T110/T105</f>
        <v>0.81177715603293343</v>
      </c>
      <c r="U111" s="16">
        <f t="shared" ref="U111" si="171">U110/U105</f>
        <v>0.74511216728553287</v>
      </c>
      <c r="V111" s="16">
        <f t="shared" ref="V111" si="172">V110/V105</f>
        <v>0.73186776176384583</v>
      </c>
      <c r="W111" s="16">
        <f t="shared" ref="W111" si="173">W110/W105</f>
        <v>0.73247694587087109</v>
      </c>
      <c r="X111" s="16">
        <f t="shared" ref="X111" si="174">X110/X105</f>
        <v>0.71098646532396348</v>
      </c>
      <c r="Y111" s="16">
        <f t="shared" ref="Y111" si="175">Y110/Y105</f>
        <v>0.68798795467637297</v>
      </c>
      <c r="Z111" s="16">
        <f t="shared" ref="Z111" si="176">Z110/Z105</f>
        <v>0.65679300135745244</v>
      </c>
      <c r="AA111" s="16">
        <f t="shared" ref="AA111" si="177">AA110/AA105</f>
        <v>0.5882229406435624</v>
      </c>
      <c r="AB111" s="16">
        <f t="shared" ref="AB111" si="178">AB110/AB105</f>
        <v>0.68148532765275804</v>
      </c>
      <c r="AC111" s="16">
        <f t="shared" ref="AC111" si="179">AC110/AC105</f>
        <v>0.67994550328639736</v>
      </c>
      <c r="AD111" s="16">
        <f t="shared" ref="AD111" si="180">AD110/AD105</f>
        <v>0.68088296105170443</v>
      </c>
      <c r="AE111" s="16">
        <f t="shared" ref="AE111" si="181">AE110/AE105</f>
        <v>0.78984342440563238</v>
      </c>
      <c r="AF111" s="16">
        <f t="shared" ref="AF111" si="182">AF110/AF105</f>
        <v>0.82257220557689448</v>
      </c>
      <c r="AG111" s="16">
        <f t="shared" ref="AG111" si="183">AG110/AG105</f>
        <v>0.84142938900709519</v>
      </c>
      <c r="AH111" s="16">
        <f t="shared" ref="AH111" si="184">AH110/AH105</f>
        <v>0.86207810095090198</v>
      </c>
      <c r="AI111" s="16">
        <f t="shared" ref="AI111" si="185">AI110/AI105</f>
        <v>0.8782143437997022</v>
      </c>
      <c r="AJ111" s="16">
        <f t="shared" ref="AJ111" si="186">AJ110/AJ105</f>
        <v>0.89515638033054101</v>
      </c>
      <c r="AK111" s="16">
        <f t="shared" ref="AK111" si="187">AK110/AK105</f>
        <v>0.91604311204736633</v>
      </c>
      <c r="AL111" s="16">
        <f t="shared" ref="AL111" si="188">AL110/AL105</f>
        <v>0.93739751075783395</v>
      </c>
      <c r="AM111" s="16">
        <f t="shared" ref="AM111" si="189">AM110/AM105</f>
        <v>0.95281659224028747</v>
      </c>
      <c r="AN111" s="16">
        <f t="shared" ref="AN111" si="190">AN110/AN105</f>
        <v>0.97889689378811306</v>
      </c>
    </row>
    <row r="115" spans="1:40" x14ac:dyDescent="0.25">
      <c r="A115" t="s">
        <v>132</v>
      </c>
    </row>
    <row r="116" spans="1:40" x14ac:dyDescent="0.25">
      <c r="B116" s="3" t="s">
        <v>92</v>
      </c>
      <c r="C116" s="3" t="s">
        <v>93</v>
      </c>
      <c r="D116" s="3" t="s">
        <v>94</v>
      </c>
      <c r="E116" s="3" t="s">
        <v>95</v>
      </c>
      <c r="F116" s="3" t="s">
        <v>96</v>
      </c>
      <c r="G116" s="3" t="s">
        <v>97</v>
      </c>
      <c r="H116" s="3" t="s">
        <v>98</v>
      </c>
      <c r="I116" s="3" t="s">
        <v>99</v>
      </c>
      <c r="J116" s="3" t="s">
        <v>100</v>
      </c>
      <c r="K116" s="3" t="s">
        <v>101</v>
      </c>
      <c r="L116" s="3" t="s">
        <v>102</v>
      </c>
      <c r="M116" s="3" t="s">
        <v>103</v>
      </c>
      <c r="N116" s="3" t="s">
        <v>104</v>
      </c>
      <c r="O116" s="3" t="s">
        <v>105</v>
      </c>
      <c r="P116" s="3" t="s">
        <v>106</v>
      </c>
      <c r="Q116" s="3" t="s">
        <v>107</v>
      </c>
      <c r="R116" s="3" t="s">
        <v>108</v>
      </c>
      <c r="S116" s="3" t="s">
        <v>109</v>
      </c>
      <c r="T116" s="3" t="s">
        <v>110</v>
      </c>
      <c r="U116" s="3" t="s">
        <v>111</v>
      </c>
      <c r="V116" s="3" t="s">
        <v>112</v>
      </c>
      <c r="W116" s="3" t="s">
        <v>113</v>
      </c>
      <c r="X116" s="3" t="s">
        <v>114</v>
      </c>
      <c r="Y116" s="3" t="s">
        <v>115</v>
      </c>
      <c r="Z116" s="3" t="s">
        <v>116</v>
      </c>
      <c r="AA116" s="3" t="s">
        <v>117</v>
      </c>
      <c r="AB116" s="3" t="s">
        <v>118</v>
      </c>
      <c r="AC116" s="3" t="s">
        <v>119</v>
      </c>
      <c r="AD116" s="3" t="s">
        <v>120</v>
      </c>
      <c r="AE116" s="3" t="s">
        <v>121</v>
      </c>
      <c r="AF116" s="3" t="s">
        <v>122</v>
      </c>
      <c r="AG116" s="3" t="s">
        <v>123</v>
      </c>
      <c r="AH116" s="3" t="s">
        <v>124</v>
      </c>
      <c r="AI116" s="3" t="s">
        <v>125</v>
      </c>
      <c r="AJ116" s="3" t="s">
        <v>126</v>
      </c>
      <c r="AK116" s="3" t="s">
        <v>127</v>
      </c>
      <c r="AL116" s="3" t="s">
        <v>128</v>
      </c>
      <c r="AM116" s="3" t="s">
        <v>129</v>
      </c>
      <c r="AN116" s="3" t="s">
        <v>130</v>
      </c>
    </row>
    <row r="117" spans="1:40" x14ac:dyDescent="0.25">
      <c r="A117" s="3" t="s">
        <v>54</v>
      </c>
      <c r="B117">
        <v>0.50003199863472492</v>
      </c>
      <c r="C117">
        <v>0.49674335943460585</v>
      </c>
      <c r="D117">
        <v>0.48822868689454441</v>
      </c>
      <c r="E117">
        <v>0.48147500627885365</v>
      </c>
      <c r="F117">
        <v>0.47737656478533347</v>
      </c>
      <c r="G117">
        <v>0.47023794558911891</v>
      </c>
      <c r="H117">
        <v>0.46353394236211087</v>
      </c>
      <c r="I117">
        <v>0.46108769196199162</v>
      </c>
      <c r="J117">
        <v>0.47398769619141334</v>
      </c>
      <c r="K117">
        <v>0.48048204001899236</v>
      </c>
      <c r="L117">
        <v>0.46632260330648179</v>
      </c>
      <c r="M117">
        <v>0.45300257157848828</v>
      </c>
      <c r="N117">
        <v>0.4383019395470128</v>
      </c>
      <c r="O117">
        <v>0.42309324660385594</v>
      </c>
      <c r="P117">
        <v>0.40826007694324618</v>
      </c>
      <c r="Q117">
        <v>0.39299615998795007</v>
      </c>
      <c r="R117">
        <v>0.37789791506907178</v>
      </c>
      <c r="S117">
        <v>0.36226951963365644</v>
      </c>
      <c r="T117">
        <v>0.34685097544437032</v>
      </c>
      <c r="U117">
        <v>0.33263631471972044</v>
      </c>
      <c r="V117">
        <v>0.31889658049946834</v>
      </c>
      <c r="W117">
        <v>0.30575326561032051</v>
      </c>
      <c r="X117">
        <v>0.29312905643528181</v>
      </c>
      <c r="Y117">
        <v>0.28141052105932723</v>
      </c>
      <c r="Z117">
        <v>0.27064183869216824</v>
      </c>
      <c r="AA117">
        <v>0.25930987140118861</v>
      </c>
      <c r="AB117">
        <v>0.24835342739275609</v>
      </c>
      <c r="AC117">
        <v>0.23803758192513916</v>
      </c>
      <c r="AD117">
        <v>0.22807517013521361</v>
      </c>
      <c r="AE117">
        <v>0.2187533568861037</v>
      </c>
      <c r="AF117">
        <v>0.20991751494381938</v>
      </c>
      <c r="AG117">
        <v>0.20139092746951501</v>
      </c>
      <c r="AH117">
        <v>0.19314046005590704</v>
      </c>
      <c r="AI117">
        <v>0.18524342631999047</v>
      </c>
      <c r="AJ117">
        <v>0.17810848395159587</v>
      </c>
      <c r="AK117">
        <v>0.17139324407545983</v>
      </c>
      <c r="AL117">
        <v>0.16492098985273657</v>
      </c>
      <c r="AM117">
        <v>0.15866963167857043</v>
      </c>
      <c r="AN117">
        <v>0.1526060351456778</v>
      </c>
    </row>
    <row r="118" spans="1:40" x14ac:dyDescent="0.25">
      <c r="A118" s="3" t="s">
        <v>55</v>
      </c>
      <c r="B118">
        <v>0.30001919918083497</v>
      </c>
      <c r="C118">
        <v>0.29644362454654938</v>
      </c>
      <c r="D118">
        <v>0.29989890368726985</v>
      </c>
      <c r="E118">
        <v>0.30319595185227072</v>
      </c>
      <c r="F118">
        <v>0.30522800836475233</v>
      </c>
      <c r="G118">
        <v>0.30605482173653453</v>
      </c>
      <c r="H118">
        <v>0.30932373575545163</v>
      </c>
      <c r="I118">
        <v>0.31228368417755731</v>
      </c>
      <c r="J118">
        <v>0.32375163521226069</v>
      </c>
      <c r="K118">
        <v>0.31007808577642904</v>
      </c>
      <c r="L118">
        <v>0.31742933525837452</v>
      </c>
      <c r="M118">
        <v>0.32340320310815612</v>
      </c>
      <c r="N118">
        <v>0.32959823883114625</v>
      </c>
      <c r="O118">
        <v>0.33633843730358653</v>
      </c>
      <c r="P118">
        <v>0.34171991379260791</v>
      </c>
      <c r="Q118">
        <v>0.34765271854906404</v>
      </c>
      <c r="R118">
        <v>0.35335492305300714</v>
      </c>
      <c r="S118">
        <v>0.35882669039922782</v>
      </c>
      <c r="T118">
        <v>0.3648028168763679</v>
      </c>
      <c r="U118">
        <v>0.36945447891612304</v>
      </c>
      <c r="V118">
        <v>0.37410426288303206</v>
      </c>
      <c r="W118">
        <v>0.37845444222098673</v>
      </c>
      <c r="X118">
        <v>0.38260088146586674</v>
      </c>
      <c r="Y118">
        <v>0.38673209101811257</v>
      </c>
      <c r="Z118">
        <v>0.38955170464331734</v>
      </c>
      <c r="AA118">
        <v>0.39212763822087277</v>
      </c>
      <c r="AB118">
        <v>0.39511646256846666</v>
      </c>
      <c r="AC118">
        <v>0.39762237118576232</v>
      </c>
      <c r="AD118">
        <v>0.40005310990863213</v>
      </c>
      <c r="AE118">
        <v>0.40166701636128477</v>
      </c>
      <c r="AF118">
        <v>0.40297118523651337</v>
      </c>
      <c r="AG118">
        <v>0.40411450699483698</v>
      </c>
      <c r="AH118">
        <v>0.40513939150298151</v>
      </c>
      <c r="AI118">
        <v>0.40606127973837347</v>
      </c>
      <c r="AJ118">
        <v>0.4062118011468015</v>
      </c>
      <c r="AK118">
        <v>0.40610030287348792</v>
      </c>
      <c r="AL118">
        <v>0.40587567537895236</v>
      </c>
      <c r="AM118">
        <v>0.40554145734916591</v>
      </c>
      <c r="AN118">
        <v>0.40511223227252768</v>
      </c>
    </row>
    <row r="119" spans="1:40" x14ac:dyDescent="0.25">
      <c r="A119" s="3" t="s">
        <v>56</v>
      </c>
      <c r="B119">
        <v>0.19994880218444011</v>
      </c>
      <c r="C119">
        <v>0.20681301601884478</v>
      </c>
      <c r="D119">
        <v>0.21187240941818569</v>
      </c>
      <c r="E119">
        <v>0.21532904186887569</v>
      </c>
      <c r="F119">
        <v>0.21739542684991425</v>
      </c>
      <c r="G119">
        <v>0.22370723267434656</v>
      </c>
      <c r="H119">
        <v>0.22714232188243744</v>
      </c>
      <c r="I119">
        <v>0.22662862386045102</v>
      </c>
      <c r="J119">
        <v>0.20226066859632597</v>
      </c>
      <c r="K119">
        <v>0.20943987420457857</v>
      </c>
      <c r="L119">
        <v>0.21624806143514369</v>
      </c>
      <c r="M119">
        <v>0.22359422531335565</v>
      </c>
      <c r="N119">
        <v>0.23209982162184098</v>
      </c>
      <c r="O119">
        <v>0.24056831609255752</v>
      </c>
      <c r="P119">
        <v>0.25002000926414591</v>
      </c>
      <c r="Q119">
        <v>0.25935112146298583</v>
      </c>
      <c r="R119">
        <v>0.26874716187792108</v>
      </c>
      <c r="S119">
        <v>0.27890378996711568</v>
      </c>
      <c r="T119">
        <v>0.28834620767926183</v>
      </c>
      <c r="U119">
        <v>0.29790920636415652</v>
      </c>
      <c r="V119">
        <v>0.3069991566174996</v>
      </c>
      <c r="W119">
        <v>0.3157922921686927</v>
      </c>
      <c r="X119">
        <v>0.32427006209885151</v>
      </c>
      <c r="Y119">
        <v>0.33185738792256025</v>
      </c>
      <c r="Z119">
        <v>0.33980645666451437</v>
      </c>
      <c r="AA119">
        <v>0.34856249037793868</v>
      </c>
      <c r="AB119">
        <v>0.35653011003877721</v>
      </c>
      <c r="AC119">
        <v>0.36434004688909855</v>
      </c>
      <c r="AD119">
        <v>0.37187171995615426</v>
      </c>
      <c r="AE119">
        <v>0.37957962675261148</v>
      </c>
      <c r="AF119">
        <v>0.38711129981966724</v>
      </c>
      <c r="AG119">
        <v>0.39449456553564799</v>
      </c>
      <c r="AH119">
        <v>0.40172014844111148</v>
      </c>
      <c r="AI119">
        <v>0.40869529394163606</v>
      </c>
      <c r="AJ119">
        <v>0.41567971490160266</v>
      </c>
      <c r="AK119">
        <v>0.42250645305105222</v>
      </c>
      <c r="AL119">
        <v>0.42920333476831102</v>
      </c>
      <c r="AM119">
        <v>0.43578891097226369</v>
      </c>
      <c r="AN119">
        <v>0.44228173258179448</v>
      </c>
    </row>
    <row r="120" spans="1:40" x14ac:dyDescent="0.25">
      <c r="A120" s="3"/>
    </row>
    <row r="121" spans="1:40" x14ac:dyDescent="0.25">
      <c r="A121" s="3" t="s">
        <v>134</v>
      </c>
      <c r="C121" s="1">
        <f>C118/B118-1</f>
        <v>-1.1917819406385477E-2</v>
      </c>
      <c r="D121" s="1">
        <f t="shared" ref="D121:AN121" si="191">D118/C118-1</f>
        <v>1.1655771467528719E-2</v>
      </c>
      <c r="E121" s="1">
        <f t="shared" si="191"/>
        <v>1.0993865347500575E-2</v>
      </c>
      <c r="F121" s="1">
        <f t="shared" si="191"/>
        <v>6.7021228353065787E-3</v>
      </c>
      <c r="G121" s="1">
        <f t="shared" si="191"/>
        <v>2.7088384719731184E-3</v>
      </c>
      <c r="H121" s="1">
        <f t="shared" si="191"/>
        <v>1.0680812020439578E-2</v>
      </c>
      <c r="I121" s="1">
        <f t="shared" si="191"/>
        <v>9.5690956753664569E-3</v>
      </c>
      <c r="J121" s="1">
        <f t="shared" si="191"/>
        <v>3.6722863267435235E-2</v>
      </c>
      <c r="K121" s="1">
        <f t="shared" si="191"/>
        <v>-4.2234688411278309E-2</v>
      </c>
      <c r="L121" s="1">
        <f t="shared" si="191"/>
        <v>2.3707736274035884E-2</v>
      </c>
      <c r="M121" s="1">
        <f t="shared" si="191"/>
        <v>1.8819520397883593E-2</v>
      </c>
      <c r="N121" s="1">
        <f t="shared" si="191"/>
        <v>1.9155764888693083E-2</v>
      </c>
      <c r="O121" s="1">
        <f t="shared" si="191"/>
        <v>2.0449740557907825E-2</v>
      </c>
      <c r="P121" s="1">
        <f t="shared" si="191"/>
        <v>1.6000182828238341E-2</v>
      </c>
      <c r="Q121" s="1">
        <f t="shared" si="191"/>
        <v>1.736160088129024E-2</v>
      </c>
      <c r="R121" s="1">
        <f t="shared" si="191"/>
        <v>1.6402013272732052E-2</v>
      </c>
      <c r="S121" s="1">
        <f t="shared" si="191"/>
        <v>1.5485187807613654E-2</v>
      </c>
      <c r="T121" s="1">
        <f t="shared" si="191"/>
        <v>1.6654631990979052E-2</v>
      </c>
      <c r="U121" s="1">
        <f t="shared" si="191"/>
        <v>1.2751168095644472E-2</v>
      </c>
      <c r="V121" s="1">
        <f t="shared" si="191"/>
        <v>1.2585539578651828E-2</v>
      </c>
      <c r="W121" s="1">
        <f t="shared" si="191"/>
        <v>1.1628253857440818E-2</v>
      </c>
      <c r="X121" s="1">
        <f t="shared" si="191"/>
        <v>1.0956244087257483E-2</v>
      </c>
      <c r="Y121" s="1">
        <f t="shared" si="191"/>
        <v>1.0797700037746383E-2</v>
      </c>
      <c r="Z121" s="1">
        <f t="shared" si="191"/>
        <v>7.2908705811867147E-3</v>
      </c>
      <c r="AA121" s="1">
        <f t="shared" si="191"/>
        <v>6.6125588640768562E-3</v>
      </c>
      <c r="AB121" s="1">
        <f t="shared" si="191"/>
        <v>7.6220701023639315E-3</v>
      </c>
      <c r="AC121" s="1">
        <f t="shared" si="191"/>
        <v>6.3422025015256178E-3</v>
      </c>
      <c r="AD121" s="1">
        <f t="shared" si="191"/>
        <v>6.1131840133166193E-3</v>
      </c>
      <c r="AE121" s="1">
        <f t="shared" si="191"/>
        <v>4.0342304875999879E-3</v>
      </c>
      <c r="AF121" s="1">
        <f t="shared" si="191"/>
        <v>3.2468906385272334E-3</v>
      </c>
      <c r="AG121" s="1">
        <f t="shared" si="191"/>
        <v>2.8372295593606101E-3</v>
      </c>
      <c r="AH121" s="1">
        <f t="shared" si="191"/>
        <v>2.536124020307895E-3</v>
      </c>
      <c r="AI121" s="1">
        <f t="shared" si="191"/>
        <v>2.2754840796199716E-3</v>
      </c>
      <c r="AJ121" s="1">
        <f t="shared" si="191"/>
        <v>3.7068643561632975E-4</v>
      </c>
      <c r="AK121" s="1">
        <f t="shared" si="191"/>
        <v>-2.7448309723843156E-4</v>
      </c>
      <c r="AL121" s="1">
        <f t="shared" si="191"/>
        <v>-5.5313303867576824E-4</v>
      </c>
      <c r="AM121" s="1">
        <f t="shared" si="191"/>
        <v>-8.234492729193299E-4</v>
      </c>
      <c r="AN121" s="1">
        <f t="shared" si="191"/>
        <v>-1.0583999955118273E-3</v>
      </c>
    </row>
    <row r="122" spans="1:40" x14ac:dyDescent="0.25">
      <c r="A122" s="3" t="s">
        <v>136</v>
      </c>
      <c r="C122" s="1">
        <f>C119/B119-1</f>
        <v>3.432985724051929E-2</v>
      </c>
      <c r="D122" s="1">
        <f t="shared" ref="D122:AN122" si="192">D119/C119-1</f>
        <v>2.4463612091416564E-2</v>
      </c>
      <c r="E122" s="1">
        <f t="shared" si="192"/>
        <v>1.6314688921422738E-2</v>
      </c>
      <c r="F122" s="1">
        <f t="shared" si="192"/>
        <v>9.596406332857299E-3</v>
      </c>
      <c r="G122" s="1">
        <f t="shared" si="192"/>
        <v>2.9033756210473882E-2</v>
      </c>
      <c r="H122" s="1">
        <f t="shared" si="192"/>
        <v>1.5355288995467564E-2</v>
      </c>
      <c r="I122" s="1">
        <f t="shared" si="192"/>
        <v>-2.2615689481781942E-3</v>
      </c>
      <c r="J122" s="1">
        <f t="shared" si="192"/>
        <v>-0.1075237313320575</v>
      </c>
      <c r="K122" s="1">
        <f t="shared" si="192"/>
        <v>3.5494817940016521E-2</v>
      </c>
      <c r="L122" s="1">
        <f t="shared" si="192"/>
        <v>3.2506643046944061E-2</v>
      </c>
      <c r="M122" s="1">
        <f t="shared" si="192"/>
        <v>3.3971004546624384E-2</v>
      </c>
      <c r="N122" s="1">
        <f t="shared" si="192"/>
        <v>3.8040321911557262E-2</v>
      </c>
      <c r="O122" s="1">
        <f t="shared" si="192"/>
        <v>3.648643248211636E-2</v>
      </c>
      <c r="P122" s="1">
        <f t="shared" si="192"/>
        <v>3.9289019123997626E-2</v>
      </c>
      <c r="Q122" s="1">
        <f t="shared" si="192"/>
        <v>3.7321461695418279E-2</v>
      </c>
      <c r="R122" s="1">
        <f t="shared" si="192"/>
        <v>3.6229033296377056E-2</v>
      </c>
      <c r="S122" s="1">
        <f t="shared" si="192"/>
        <v>3.7792503623938822E-2</v>
      </c>
      <c r="T122" s="1">
        <f t="shared" si="192"/>
        <v>3.3855465762080428E-2</v>
      </c>
      <c r="U122" s="1">
        <f t="shared" si="192"/>
        <v>3.3164988580435706E-2</v>
      </c>
      <c r="V122" s="1">
        <f t="shared" si="192"/>
        <v>3.0512485210785201E-2</v>
      </c>
      <c r="W122" s="1">
        <f t="shared" si="192"/>
        <v>2.8642214031059154E-2</v>
      </c>
      <c r="X122" s="1">
        <f t="shared" si="192"/>
        <v>2.6846031839276474E-2</v>
      </c>
      <c r="Y122" s="1">
        <f t="shared" si="192"/>
        <v>2.3398169336384278E-2</v>
      </c>
      <c r="Z122" s="1">
        <f t="shared" si="192"/>
        <v>2.3953267371010112E-2</v>
      </c>
      <c r="AA122" s="1">
        <f t="shared" si="192"/>
        <v>2.5767708475501472E-2</v>
      </c>
      <c r="AB122" s="1">
        <f t="shared" si="192"/>
        <v>2.2858511402645165E-2</v>
      </c>
      <c r="AC122" s="1">
        <f t="shared" si="192"/>
        <v>2.1905406108538417E-2</v>
      </c>
      <c r="AD122" s="1">
        <f t="shared" si="192"/>
        <v>2.0672097759674157E-2</v>
      </c>
      <c r="AE122" s="1">
        <f t="shared" si="192"/>
        <v>2.0727327147560537E-2</v>
      </c>
      <c r="AF122" s="1">
        <f t="shared" si="192"/>
        <v>1.9842142560418496E-2</v>
      </c>
      <c r="AG122" s="1">
        <f t="shared" si="192"/>
        <v>1.9072720737989712E-2</v>
      </c>
      <c r="AH122" s="1">
        <f t="shared" si="192"/>
        <v>1.8316051821024582E-2</v>
      </c>
      <c r="AI122" s="1">
        <f t="shared" si="192"/>
        <v>1.7363195566843848E-2</v>
      </c>
      <c r="AJ122" s="1">
        <f t="shared" si="192"/>
        <v>1.7089555626162989E-2</v>
      </c>
      <c r="AK122" s="1">
        <f t="shared" si="192"/>
        <v>1.6423072631931435E-2</v>
      </c>
      <c r="AL122" s="1">
        <f t="shared" si="192"/>
        <v>1.5850365524357146E-2</v>
      </c>
      <c r="AM122" s="1">
        <f t="shared" si="192"/>
        <v>1.5343720960387275E-2</v>
      </c>
      <c r="AN122" s="1">
        <f t="shared" si="192"/>
        <v>1.4899006023455286E-2</v>
      </c>
    </row>
    <row r="123" spans="1:40" x14ac:dyDescent="0.25">
      <c r="A123" t="s">
        <v>135</v>
      </c>
      <c r="K123" s="18">
        <f>K121/K105</f>
        <v>-1.0608737152410412</v>
      </c>
      <c r="L123" s="18">
        <f>L121/L105</f>
        <v>0.70895974789871696</v>
      </c>
      <c r="M123" s="18">
        <f t="shared" ref="M123:AN123" si="193">M121/M105</f>
        <v>0.53830483548536456</v>
      </c>
      <c r="N123" s="18">
        <f t="shared" si="193"/>
        <v>0.49416610398885708</v>
      </c>
      <c r="O123" s="18">
        <f t="shared" si="193"/>
        <v>0.51325112837515507</v>
      </c>
      <c r="P123" s="18">
        <f t="shared" si="193"/>
        <v>0.36315545167824997</v>
      </c>
      <c r="Q123" s="18">
        <f t="shared" si="193"/>
        <v>0.38343552465275982</v>
      </c>
      <c r="R123" s="18">
        <f t="shared" si="193"/>
        <v>0.34995803359012523</v>
      </c>
      <c r="S123" s="18">
        <f t="shared" si="193"/>
        <v>0.30463617691220612</v>
      </c>
      <c r="T123" s="18">
        <f t="shared" si="193"/>
        <v>0.32614322627950659</v>
      </c>
      <c r="U123" s="18">
        <f t="shared" si="193"/>
        <v>0.25624892109871622</v>
      </c>
      <c r="V123" s="18">
        <f t="shared" si="193"/>
        <v>0.2502746889021033</v>
      </c>
      <c r="W123" s="18">
        <f t="shared" si="193"/>
        <v>0.23008722994633829</v>
      </c>
      <c r="X123" s="18">
        <f t="shared" si="193"/>
        <v>0.21527055260154968</v>
      </c>
      <c r="Y123" s="18">
        <f t="shared" si="193"/>
        <v>0.22487698531034322</v>
      </c>
      <c r="Z123" s="18">
        <f t="shared" si="193"/>
        <v>0.15191637090640292</v>
      </c>
      <c r="AA123" s="18">
        <f t="shared" si="193"/>
        <v>0.12915955337249865</v>
      </c>
      <c r="AB123" s="18">
        <f t="shared" si="193"/>
        <v>0.14734157478361395</v>
      </c>
      <c r="AC123" s="18">
        <f t="shared" si="193"/>
        <v>0.1207458581570505</v>
      </c>
      <c r="AD123" s="18">
        <f t="shared" si="193"/>
        <v>0.11663969568750551</v>
      </c>
      <c r="AE123" s="18">
        <f t="shared" si="193"/>
        <v>7.6920543280865034E-2</v>
      </c>
      <c r="AF123" s="18">
        <f t="shared" si="193"/>
        <v>6.140561854470513E-2</v>
      </c>
      <c r="AG123" s="18">
        <f t="shared" si="193"/>
        <v>5.3184370165041898E-2</v>
      </c>
      <c r="AH123" s="18">
        <f t="shared" si="193"/>
        <v>4.7150929153941819E-2</v>
      </c>
      <c r="AI123" s="18">
        <f t="shared" si="193"/>
        <v>4.2590106306792441E-2</v>
      </c>
      <c r="AJ123" s="18">
        <f t="shared" si="193"/>
        <v>7.1553365129705272E-3</v>
      </c>
      <c r="AK123" s="18">
        <f t="shared" si="193"/>
        <v>-5.2833483454142573E-3</v>
      </c>
      <c r="AL123" s="18">
        <f t="shared" si="193"/>
        <v>-1.0617305176489601E-2</v>
      </c>
      <c r="AM123" s="18">
        <f t="shared" si="193"/>
        <v>-1.5751620142740268E-2</v>
      </c>
      <c r="AN123" s="18">
        <f t="shared" si="193"/>
        <v>-2.0089290044925164E-2</v>
      </c>
    </row>
    <row r="124" spans="1:40" x14ac:dyDescent="0.25">
      <c r="A124" t="s">
        <v>137</v>
      </c>
      <c r="K124" s="18">
        <f>K122/K105</f>
        <v>0.89157800841675439</v>
      </c>
      <c r="L124" s="18">
        <f>L122/L105</f>
        <v>0.97208359301829816</v>
      </c>
      <c r="M124" s="18">
        <f t="shared" ref="M124:AN124" si="194">M122/M105</f>
        <v>0.9716908628447144</v>
      </c>
      <c r="N124" s="18">
        <f t="shared" si="194"/>
        <v>0.98133579017834394</v>
      </c>
      <c r="O124" s="18">
        <f t="shared" si="194"/>
        <v>0.91574279824242555</v>
      </c>
      <c r="P124" s="18">
        <f t="shared" si="194"/>
        <v>0.89174115315666691</v>
      </c>
      <c r="Q124" s="18">
        <f t="shared" si="194"/>
        <v>0.82425430372680586</v>
      </c>
      <c r="R124" s="18">
        <f t="shared" si="194"/>
        <v>0.77299298814427986</v>
      </c>
      <c r="S124" s="18">
        <f t="shared" si="194"/>
        <v>0.74348234990581141</v>
      </c>
      <c r="T124" s="18">
        <f t="shared" si="194"/>
        <v>0.66298257666822158</v>
      </c>
      <c r="U124" s="18">
        <f t="shared" si="194"/>
        <v>0.66648737419521586</v>
      </c>
      <c r="V124" s="18">
        <f t="shared" si="194"/>
        <v>0.60676800514081108</v>
      </c>
      <c r="W124" s="18">
        <f t="shared" si="194"/>
        <v>0.56674095412180292</v>
      </c>
      <c r="X124" s="18">
        <f t="shared" si="194"/>
        <v>0.52747639274678271</v>
      </c>
      <c r="Y124" s="18">
        <f t="shared" si="194"/>
        <v>0.48729912516121315</v>
      </c>
      <c r="Z124" s="18">
        <f t="shared" si="194"/>
        <v>0.49910273537763417</v>
      </c>
      <c r="AA124" s="18">
        <f t="shared" si="194"/>
        <v>0.50330678131409612</v>
      </c>
      <c r="AB124" s="18">
        <f t="shared" si="194"/>
        <v>0.44187589749802619</v>
      </c>
      <c r="AC124" s="18">
        <f t="shared" si="194"/>
        <v>0.41704550717482058</v>
      </c>
      <c r="AD124" s="18">
        <f t="shared" si="194"/>
        <v>0.39442411461169208</v>
      </c>
      <c r="AE124" s="18">
        <f t="shared" si="194"/>
        <v>0.3952072817483171</v>
      </c>
      <c r="AF124" s="18">
        <f t="shared" si="194"/>
        <v>0.3752571838167556</v>
      </c>
      <c r="AG124" s="18">
        <f t="shared" si="194"/>
        <v>0.35752152533343534</v>
      </c>
      <c r="AH124" s="18">
        <f t="shared" si="194"/>
        <v>0.34052706211434036</v>
      </c>
      <c r="AI124" s="18">
        <f t="shared" si="194"/>
        <v>0.32498594547012194</v>
      </c>
      <c r="AJ124" s="18">
        <f t="shared" si="194"/>
        <v>0.32987859714642898</v>
      </c>
      <c r="AK124" s="18">
        <f t="shared" si="194"/>
        <v>0.31611714706483662</v>
      </c>
      <c r="AL124" s="18">
        <f t="shared" si="194"/>
        <v>0.30424537347091185</v>
      </c>
      <c r="AM124" s="18">
        <f t="shared" si="194"/>
        <v>0.29350741095122629</v>
      </c>
      <c r="AN124" s="18">
        <f t="shared" si="194"/>
        <v>0.28279521414920078</v>
      </c>
    </row>
    <row r="127" spans="1:40" x14ac:dyDescent="0.25">
      <c r="A127" t="s">
        <v>133</v>
      </c>
    </row>
    <row r="128" spans="1:40" x14ac:dyDescent="0.25">
      <c r="B128" s="3" t="s">
        <v>92</v>
      </c>
      <c r="C128" s="3" t="s">
        <v>93</v>
      </c>
      <c r="D128" s="3" t="s">
        <v>94</v>
      </c>
      <c r="E128" s="3" t="s">
        <v>95</v>
      </c>
      <c r="F128" s="3" t="s">
        <v>96</v>
      </c>
      <c r="G128" s="3" t="s">
        <v>97</v>
      </c>
      <c r="H128" s="3" t="s">
        <v>98</v>
      </c>
      <c r="I128" s="3" t="s">
        <v>99</v>
      </c>
      <c r="J128" s="3" t="s">
        <v>100</v>
      </c>
      <c r="K128" s="3" t="s">
        <v>101</v>
      </c>
      <c r="L128" s="3" t="s">
        <v>102</v>
      </c>
      <c r="M128" s="3" t="s">
        <v>103</v>
      </c>
      <c r="N128" s="3" t="s">
        <v>104</v>
      </c>
      <c r="O128" s="3" t="s">
        <v>105</v>
      </c>
      <c r="P128" s="3" t="s">
        <v>106</v>
      </c>
      <c r="Q128" s="3" t="s">
        <v>107</v>
      </c>
      <c r="R128" s="3" t="s">
        <v>108</v>
      </c>
      <c r="S128" s="3" t="s">
        <v>109</v>
      </c>
      <c r="T128" s="3" t="s">
        <v>110</v>
      </c>
      <c r="U128" s="3" t="s">
        <v>111</v>
      </c>
      <c r="V128" s="3" t="s">
        <v>112</v>
      </c>
      <c r="W128" s="3" t="s">
        <v>113</v>
      </c>
      <c r="X128" s="3" t="s">
        <v>114</v>
      </c>
      <c r="Y128" s="3" t="s">
        <v>115</v>
      </c>
      <c r="Z128" s="3" t="s">
        <v>116</v>
      </c>
      <c r="AA128" s="3" t="s">
        <v>117</v>
      </c>
      <c r="AB128" s="3" t="s">
        <v>118</v>
      </c>
      <c r="AC128" s="3" t="s">
        <v>119</v>
      </c>
      <c r="AD128" s="3" t="s">
        <v>120</v>
      </c>
      <c r="AE128" s="3" t="s">
        <v>121</v>
      </c>
      <c r="AF128" s="3" t="s">
        <v>122</v>
      </c>
      <c r="AG128" s="3" t="s">
        <v>123</v>
      </c>
      <c r="AH128" s="3" t="s">
        <v>124</v>
      </c>
      <c r="AI128" s="3" t="s">
        <v>125</v>
      </c>
      <c r="AJ128" s="3" t="s">
        <v>126</v>
      </c>
      <c r="AK128" s="3" t="s">
        <v>127</v>
      </c>
      <c r="AL128" s="3" t="s">
        <v>128</v>
      </c>
      <c r="AM128" s="3" t="s">
        <v>129</v>
      </c>
      <c r="AN128" s="3" t="s">
        <v>130</v>
      </c>
    </row>
    <row r="129" spans="1:40" x14ac:dyDescent="0.25">
      <c r="B129">
        <v>0.29299999999999998</v>
      </c>
      <c r="C129">
        <v>0.29799999999999999</v>
      </c>
      <c r="D129">
        <v>0.30099999999999999</v>
      </c>
      <c r="E129">
        <v>0.30299999999999999</v>
      </c>
      <c r="F129">
        <v>0.30299999999999999</v>
      </c>
      <c r="G129">
        <v>0.307</v>
      </c>
      <c r="H129">
        <v>0.308</v>
      </c>
      <c r="I129">
        <v>0.30599999999999999</v>
      </c>
      <c r="J129">
        <v>0.27900000000000003</v>
      </c>
      <c r="K129">
        <v>0.29081079913606916</v>
      </c>
      <c r="L129">
        <v>0.29743930885529163</v>
      </c>
      <c r="M129">
        <v>0.30520810765907963</v>
      </c>
      <c r="N129">
        <v>0.31461781026748631</v>
      </c>
      <c r="O129">
        <v>0.3244725037381625</v>
      </c>
      <c r="P129">
        <v>0.33579195879714235</v>
      </c>
      <c r="Q129">
        <v>0.34753786343246384</v>
      </c>
      <c r="R129">
        <v>0.39310307360026581</v>
      </c>
      <c r="S129">
        <v>0.40956773550423659</v>
      </c>
      <c r="T129">
        <v>0.42587479647782017</v>
      </c>
      <c r="U129">
        <v>0.4432850639641136</v>
      </c>
      <c r="V129">
        <v>0.46098272138228935</v>
      </c>
      <c r="W129">
        <v>0.4793200531649775</v>
      </c>
      <c r="X129">
        <v>0.49854736667220462</v>
      </c>
      <c r="Y129">
        <v>0.51659730852301033</v>
      </c>
      <c r="Z129">
        <v>0.536260342249543</v>
      </c>
      <c r="AA129">
        <v>0.5601786010965274</v>
      </c>
      <c r="AB129">
        <v>0.62079006479481613</v>
      </c>
      <c r="AC129">
        <v>0.64689619538129239</v>
      </c>
      <c r="AD129">
        <v>0.67391084897823539</v>
      </c>
      <c r="AE129">
        <v>0.701685695298222</v>
      </c>
      <c r="AF129">
        <v>0.7310272802791159</v>
      </c>
      <c r="AG129">
        <v>0.76197268649277261</v>
      </c>
      <c r="AH129">
        <v>0.79467024422661536</v>
      </c>
      <c r="AI129">
        <v>0.82848027911613187</v>
      </c>
      <c r="AJ129">
        <v>0.862002924073766</v>
      </c>
      <c r="AK129">
        <v>0.89707376640637937</v>
      </c>
      <c r="AL129">
        <v>0.9338411364013951</v>
      </c>
      <c r="AM129">
        <v>0.97244409370327267</v>
      </c>
      <c r="AN129">
        <v>1.0131607576009301</v>
      </c>
    </row>
    <row r="130" spans="1:40" x14ac:dyDescent="0.25">
      <c r="A130" t="s">
        <v>78</v>
      </c>
      <c r="C130" s="1">
        <f>C129/B129-1</f>
        <v>1.7064846416382284E-2</v>
      </c>
      <c r="D130" s="1">
        <f t="shared" ref="D130:AN130" si="195">D129/C129-1</f>
        <v>1.0067114093959662E-2</v>
      </c>
      <c r="E130" s="1">
        <f t="shared" si="195"/>
        <v>6.6445182724252927E-3</v>
      </c>
      <c r="F130" s="1">
        <f t="shared" si="195"/>
        <v>0</v>
      </c>
      <c r="G130" s="1">
        <f t="shared" si="195"/>
        <v>1.3201320132013139E-2</v>
      </c>
      <c r="H130" s="1">
        <f t="shared" si="195"/>
        <v>3.2573289902280145E-3</v>
      </c>
      <c r="I130" s="1">
        <f t="shared" si="195"/>
        <v>-6.4935064935065512E-3</v>
      </c>
      <c r="J130" s="1">
        <f t="shared" si="195"/>
        <v>-8.8235294117646967E-2</v>
      </c>
      <c r="K130" s="1">
        <f t="shared" si="195"/>
        <v>4.2332613390928753E-2</v>
      </c>
      <c r="L130" s="1">
        <f t="shared" si="195"/>
        <v>2.2793203481143776E-2</v>
      </c>
      <c r="M130" s="1">
        <f t="shared" si="195"/>
        <v>2.6118937788305763E-2</v>
      </c>
      <c r="N130" s="1">
        <f t="shared" si="195"/>
        <v>3.0830447724925492E-2</v>
      </c>
      <c r="O130" s="1">
        <f t="shared" si="195"/>
        <v>3.1322745086483694E-2</v>
      </c>
      <c r="P130" s="1">
        <f t="shared" si="195"/>
        <v>3.4885714285714187E-2</v>
      </c>
      <c r="Q130" s="1">
        <f t="shared" si="195"/>
        <v>3.497970790425442E-2</v>
      </c>
      <c r="R130" s="1">
        <f t="shared" si="195"/>
        <v>0.13110862142552282</v>
      </c>
      <c r="S130" s="1">
        <f t="shared" si="195"/>
        <v>4.1883828974365045E-2</v>
      </c>
      <c r="T130" s="1">
        <f t="shared" si="195"/>
        <v>3.9815296860499227E-2</v>
      </c>
      <c r="U130" s="1">
        <f t="shared" si="195"/>
        <v>4.0881187687753062E-2</v>
      </c>
      <c r="V130" s="1">
        <f t="shared" si="195"/>
        <v>3.992387485360549E-2</v>
      </c>
      <c r="W130" s="1">
        <f t="shared" si="195"/>
        <v>3.9778783308195065E-2</v>
      </c>
      <c r="X130" s="1">
        <f t="shared" si="195"/>
        <v>4.0113726476219913E-2</v>
      </c>
      <c r="Y130" s="1">
        <f t="shared" si="195"/>
        <v>3.6205069081577612E-2</v>
      </c>
      <c r="Z130" s="1">
        <f t="shared" si="195"/>
        <v>3.8062594214342216E-2</v>
      </c>
      <c r="AA130" s="1">
        <f t="shared" si="195"/>
        <v>4.4601953496412605E-2</v>
      </c>
      <c r="AB130" s="1">
        <f t="shared" si="195"/>
        <v>0.10820024824162178</v>
      </c>
      <c r="AC130" s="1">
        <f t="shared" si="195"/>
        <v>4.2053074085689257E-2</v>
      </c>
      <c r="AD130" s="1">
        <f t="shared" si="195"/>
        <v>4.1760415024577613E-2</v>
      </c>
      <c r="AE130" s="1">
        <f t="shared" si="195"/>
        <v>4.121442229650718E-2</v>
      </c>
      <c r="AF130" s="1">
        <f t="shared" si="195"/>
        <v>4.1815851708967067E-2</v>
      </c>
      <c r="AG130" s="1">
        <f t="shared" si="195"/>
        <v>4.2331397265833015E-2</v>
      </c>
      <c r="AH130" s="1">
        <f t="shared" si="195"/>
        <v>4.2911718902082896E-2</v>
      </c>
      <c r="AI130" s="1">
        <f t="shared" si="195"/>
        <v>4.2545993303701568E-2</v>
      </c>
      <c r="AJ130" s="1">
        <f t="shared" si="195"/>
        <v>4.046281583600031E-2</v>
      </c>
      <c r="AK130" s="1">
        <f t="shared" si="195"/>
        <v>4.0685293927857025E-2</v>
      </c>
      <c r="AL130" s="1">
        <f t="shared" si="195"/>
        <v>4.0985893659897688E-2</v>
      </c>
      <c r="AM130" s="1">
        <f t="shared" si="195"/>
        <v>4.1337820531911929E-2</v>
      </c>
      <c r="AN130" s="1">
        <f t="shared" si="195"/>
        <v>4.1870441870441866E-2</v>
      </c>
    </row>
    <row r="131" spans="1:40" x14ac:dyDescent="0.25">
      <c r="A131" t="s">
        <v>138</v>
      </c>
      <c r="C131" s="18">
        <f>C130/C105</f>
        <v>0.68877804845189017</v>
      </c>
      <c r="D131" s="18">
        <f t="shared" ref="D131:AN131" si="196">D130/D105</f>
        <v>0.5360336040473298</v>
      </c>
      <c r="E131" s="18">
        <f t="shared" si="196"/>
        <v>0.52150750637218679</v>
      </c>
      <c r="F131" s="18">
        <f t="shared" si="196"/>
        <v>0</v>
      </c>
      <c r="G131" s="18">
        <f t="shared" si="196"/>
        <v>1.1117371704401748</v>
      </c>
      <c r="H131" s="18">
        <f t="shared" si="196"/>
        <v>0.32065064375917796</v>
      </c>
      <c r="I131" s="18">
        <f t="shared" si="196"/>
        <v>-0.7567131574525453</v>
      </c>
      <c r="J131" s="18">
        <f t="shared" si="196"/>
        <v>1.2177175336862129</v>
      </c>
      <c r="K131" s="18">
        <f t="shared" si="196"/>
        <v>1.0633334477709711</v>
      </c>
      <c r="L131" s="18">
        <f t="shared" si="196"/>
        <v>0.68161142029799304</v>
      </c>
      <c r="M131" s="18">
        <f t="shared" si="196"/>
        <v>0.74709398602780341</v>
      </c>
      <c r="N131" s="18">
        <f t="shared" si="196"/>
        <v>0.79534084517039594</v>
      </c>
      <c r="O131" s="18">
        <f t="shared" si="196"/>
        <v>0.78614367815186847</v>
      </c>
      <c r="P131" s="18">
        <f t="shared" si="196"/>
        <v>0.79179953532704683</v>
      </c>
      <c r="Q131" s="18">
        <f t="shared" si="196"/>
        <v>0.77253605495113342</v>
      </c>
      <c r="R131" s="18">
        <f t="shared" si="196"/>
        <v>2.7973709433016185</v>
      </c>
      <c r="S131" s="18">
        <f t="shared" si="196"/>
        <v>0.82396995707871445</v>
      </c>
      <c r="T131" s="18">
        <f t="shared" si="196"/>
        <v>0.77969236308512202</v>
      </c>
      <c r="U131" s="18">
        <f t="shared" si="196"/>
        <v>0.82155298711803049</v>
      </c>
      <c r="V131" s="18">
        <f t="shared" si="196"/>
        <v>0.79392188918951079</v>
      </c>
      <c r="W131" s="18">
        <f t="shared" si="196"/>
        <v>0.78709926479301784</v>
      </c>
      <c r="X131" s="18">
        <f t="shared" si="196"/>
        <v>0.78816280439447794</v>
      </c>
      <c r="Y131" s="18">
        <f t="shared" si="196"/>
        <v>0.75402046357616392</v>
      </c>
      <c r="Z131" s="18">
        <f t="shared" si="196"/>
        <v>0.79309200676892877</v>
      </c>
      <c r="AA131" s="18">
        <f t="shared" si="196"/>
        <v>0.87118595260200171</v>
      </c>
      <c r="AB131" s="18">
        <f t="shared" si="196"/>
        <v>2.0916095960537135</v>
      </c>
      <c r="AC131" s="18">
        <f t="shared" si="196"/>
        <v>0.80062636243436269</v>
      </c>
      <c r="AD131" s="18">
        <f t="shared" si="196"/>
        <v>0.79678970723605247</v>
      </c>
      <c r="AE131" s="18">
        <f t="shared" si="196"/>
        <v>0.78583406768618735</v>
      </c>
      <c r="AF131" s="18">
        <f t="shared" si="196"/>
        <v>0.79082683250689689</v>
      </c>
      <c r="AG131" s="18">
        <f t="shared" si="196"/>
        <v>0.79350953269247193</v>
      </c>
      <c r="AH131" s="18">
        <f t="shared" si="196"/>
        <v>0.79780302604457698</v>
      </c>
      <c r="AI131" s="18">
        <f t="shared" si="196"/>
        <v>0.79633094072684418</v>
      </c>
      <c r="AJ131" s="18">
        <f t="shared" si="196"/>
        <v>0.7810511412092811</v>
      </c>
      <c r="AK131" s="18">
        <f t="shared" si="196"/>
        <v>0.78312501760250264</v>
      </c>
      <c r="AL131" s="18">
        <f t="shared" si="196"/>
        <v>0.78671804157654557</v>
      </c>
      <c r="AM131" s="18">
        <f t="shared" si="196"/>
        <v>0.79074409069426133</v>
      </c>
      <c r="AN131" s="18">
        <f t="shared" si="196"/>
        <v>0.79473493444009191</v>
      </c>
    </row>
  </sheetData>
  <sortState xmlns:xlrd2="http://schemas.microsoft.com/office/spreadsheetml/2017/richdata2" ref="B8:AE26">
    <sortCondition ref="B8"/>
  </sortState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54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55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56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2023-03-30T15:23:09Z</dcterms:modified>
</cp:coreProperties>
</file>