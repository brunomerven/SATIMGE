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C9D0B63-9869-4070-A0C9-E54D7E950F89}" xr6:coauthVersionLast="47" xr6:coauthVersionMax="47" xr10:uidLastSave="{00000000-0000-0000-0000-000000000000}"/>
  <bookViews>
    <workbookView xWindow="-120" yWindow="-1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B35" i="6"/>
  <c r="C35" i="6" s="1"/>
  <c r="D35" i="6" s="1"/>
  <c r="E35" i="6" s="1"/>
  <c r="F35" i="6" s="1"/>
  <c r="G35" i="6" s="1"/>
  <c r="H35" i="6" s="1"/>
  <c r="I35" i="6" s="1"/>
  <c r="J35" i="6" s="1"/>
  <c r="K35" i="6" s="1"/>
  <c r="L35" i="6" s="1"/>
  <c r="M35" i="6" s="1"/>
  <c r="N35" i="6" s="1"/>
  <c r="O35" i="6" s="1"/>
  <c r="P35" i="6" s="1"/>
  <c r="Q35" i="6" s="1"/>
  <c r="R35" i="6" s="1"/>
  <c r="S35" i="6" s="1"/>
  <c r="T35" i="6" s="1"/>
  <c r="U35" i="6" s="1"/>
  <c r="V35" i="6" s="1"/>
  <c r="W35" i="6" s="1"/>
  <c r="X35" i="6" s="1"/>
  <c r="Y35" i="6" s="1"/>
  <c r="Z35" i="6" s="1"/>
  <c r="AA35" i="6" s="1"/>
  <c r="AB35" i="6" s="1"/>
  <c r="AC35" i="6" s="1"/>
  <c r="AD35" i="6" s="1"/>
  <c r="AE35" i="6" s="1"/>
  <c r="AF35" i="6" s="1"/>
  <c r="C13" i="1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B21" i="6"/>
  <c r="B25" i="6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C170" i="2" l="1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C14" i="6" s="1"/>
  <c r="D7" i="2"/>
  <c r="D14" i="6" s="1"/>
  <c r="E7" i="2"/>
  <c r="E14" i="6" s="1"/>
  <c r="F7" i="2"/>
  <c r="F14" i="6" s="1"/>
  <c r="G7" i="2"/>
  <c r="G14" i="6" s="1"/>
  <c r="H7" i="2"/>
  <c r="H14" i="6" s="1"/>
  <c r="I7" i="2"/>
  <c r="I14" i="6" s="1"/>
  <c r="J7" i="2"/>
  <c r="J14" i="6" s="1"/>
  <c r="K7" i="2"/>
  <c r="K14" i="6" s="1"/>
  <c r="L7" i="2"/>
  <c r="L14" i="6" s="1"/>
  <c r="M7" i="2"/>
  <c r="M14" i="6" s="1"/>
  <c r="N7" i="2"/>
  <c r="N14" i="6" s="1"/>
  <c r="O7" i="2"/>
  <c r="O14" i="6" s="1"/>
  <c r="P7" i="2"/>
  <c r="P14" i="6" s="1"/>
  <c r="Q7" i="2"/>
  <c r="Q14" i="6" s="1"/>
  <c r="R7" i="2"/>
  <c r="R14" i="6" s="1"/>
  <c r="S7" i="2"/>
  <c r="S14" i="6" s="1"/>
  <c r="T7" i="2"/>
  <c r="T14" i="6" s="1"/>
  <c r="U7" i="2"/>
  <c r="U14" i="6" s="1"/>
  <c r="V7" i="2"/>
  <c r="V14" i="6" s="1"/>
  <c r="W7" i="2"/>
  <c r="W14" i="6" s="1"/>
  <c r="X7" i="2"/>
  <c r="X14" i="6" s="1"/>
  <c r="Y7" i="2"/>
  <c r="Y14" i="6" s="1"/>
  <c r="Z7" i="2"/>
  <c r="Z14" i="6" s="1"/>
  <c r="AA7" i="2"/>
  <c r="AA14" i="6" s="1"/>
  <c r="AB7" i="2"/>
  <c r="AB14" i="6" s="1"/>
  <c r="AC7" i="2"/>
  <c r="AC14" i="6" s="1"/>
  <c r="AD7" i="2"/>
  <c r="AD14" i="6" s="1"/>
  <c r="AE7" i="2"/>
  <c r="AE14" i="6" s="1"/>
  <c r="AF7" i="2"/>
  <c r="AF14" i="6" s="1"/>
  <c r="AG7" i="2"/>
  <c r="AG14" i="6" s="1"/>
  <c r="B7" i="2"/>
  <c r="B14" i="6" s="1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N38" i="6" l="1"/>
  <c r="AN40" i="6" s="1"/>
  <c r="AO38" i="6"/>
  <c r="AP38" i="6"/>
  <c r="AP40" i="6" l="1"/>
  <c r="AO40" i="6"/>
  <c r="G38" i="6" l="1"/>
  <c r="G49" i="6"/>
  <c r="G41" i="6" s="1"/>
  <c r="G43" i="6" s="1"/>
  <c r="H49" i="6"/>
  <c r="I49" i="6"/>
  <c r="J49" i="6"/>
  <c r="K49" i="6"/>
  <c r="L49" i="6"/>
  <c r="M49" i="6"/>
  <c r="N49" i="6"/>
  <c r="O49" i="6"/>
  <c r="P49" i="6"/>
  <c r="Q49" i="6"/>
  <c r="AN41" i="6" l="1"/>
  <c r="AP41" i="6"/>
  <c r="AO41" i="6"/>
  <c r="AN39" i="6"/>
  <c r="AP39" i="6"/>
  <c r="AO39" i="6"/>
  <c r="B61" i="6"/>
  <c r="A61" i="6"/>
  <c r="C56" i="6"/>
  <c r="B56" i="6"/>
  <c r="C55" i="6"/>
  <c r="B55" i="6"/>
  <c r="C54" i="6"/>
  <c r="B54" i="6"/>
  <c r="C4" i="2"/>
  <c r="C11" i="6" s="1"/>
  <c r="D4" i="2"/>
  <c r="D11" i="6" s="1"/>
  <c r="E4" i="2"/>
  <c r="E11" i="6" s="1"/>
  <c r="F4" i="2"/>
  <c r="F11" i="6" s="1"/>
  <c r="G4" i="2"/>
  <c r="G11" i="6" s="1"/>
  <c r="H4" i="2"/>
  <c r="H11" i="6" s="1"/>
  <c r="I4" i="2"/>
  <c r="I11" i="6" s="1"/>
  <c r="J4" i="2"/>
  <c r="J11" i="6" s="1"/>
  <c r="K4" i="2"/>
  <c r="K11" i="6" s="1"/>
  <c r="L4" i="2"/>
  <c r="L11" i="6" s="1"/>
  <c r="M4" i="2"/>
  <c r="M11" i="6" s="1"/>
  <c r="N4" i="2"/>
  <c r="N11" i="6" s="1"/>
  <c r="O4" i="2"/>
  <c r="O11" i="6" s="1"/>
  <c r="P4" i="2"/>
  <c r="P11" i="6" s="1"/>
  <c r="Q4" i="2"/>
  <c r="Q11" i="6" s="1"/>
  <c r="R4" i="2"/>
  <c r="R11" i="6" s="1"/>
  <c r="S4" i="2"/>
  <c r="S11" i="6" s="1"/>
  <c r="T4" i="2"/>
  <c r="T11" i="6" s="1"/>
  <c r="U4" i="2"/>
  <c r="U11" i="6" s="1"/>
  <c r="V4" i="2"/>
  <c r="V11" i="6" s="1"/>
  <c r="W4" i="2"/>
  <c r="W11" i="6" s="1"/>
  <c r="X4" i="2"/>
  <c r="X11" i="6" s="1"/>
  <c r="Y4" i="2"/>
  <c r="Y11" i="6" s="1"/>
  <c r="Z4" i="2"/>
  <c r="Z11" i="6" s="1"/>
  <c r="AA4" i="2"/>
  <c r="AA11" i="6" s="1"/>
  <c r="AB4" i="2"/>
  <c r="AB11" i="6" s="1"/>
  <c r="AC4" i="2"/>
  <c r="AC11" i="6" s="1"/>
  <c r="AD4" i="2"/>
  <c r="AD11" i="6" s="1"/>
  <c r="AE4" i="2"/>
  <c r="AE11" i="6" s="1"/>
  <c r="AF4" i="2"/>
  <c r="AF11" i="6" s="1"/>
  <c r="AG4" i="2"/>
  <c r="AG11" i="6" s="1"/>
  <c r="C5" i="2"/>
  <c r="C10" i="6" s="1"/>
  <c r="D5" i="2"/>
  <c r="D10" i="6" s="1"/>
  <c r="E5" i="2"/>
  <c r="E10" i="6" s="1"/>
  <c r="F5" i="2"/>
  <c r="F10" i="6" s="1"/>
  <c r="G5" i="2"/>
  <c r="G10" i="6" s="1"/>
  <c r="H5" i="2"/>
  <c r="H10" i="6" s="1"/>
  <c r="I5" i="2"/>
  <c r="I10" i="6" s="1"/>
  <c r="J5" i="2"/>
  <c r="J10" i="6" s="1"/>
  <c r="K5" i="2"/>
  <c r="K10" i="6" s="1"/>
  <c r="L5" i="2"/>
  <c r="L10" i="6" s="1"/>
  <c r="M5" i="2"/>
  <c r="M10" i="6" s="1"/>
  <c r="N5" i="2"/>
  <c r="N10" i="6" s="1"/>
  <c r="O5" i="2"/>
  <c r="O10" i="6" s="1"/>
  <c r="P5" i="2"/>
  <c r="P10" i="6" s="1"/>
  <c r="Q5" i="2"/>
  <c r="Q10" i="6" s="1"/>
  <c r="R5" i="2"/>
  <c r="R10" i="6" s="1"/>
  <c r="S5" i="2"/>
  <c r="S10" i="6" s="1"/>
  <c r="T5" i="2"/>
  <c r="T10" i="6" s="1"/>
  <c r="U5" i="2"/>
  <c r="U10" i="6" s="1"/>
  <c r="V5" i="2"/>
  <c r="V10" i="6" s="1"/>
  <c r="W5" i="2"/>
  <c r="W10" i="6" s="1"/>
  <c r="X5" i="2"/>
  <c r="X10" i="6" s="1"/>
  <c r="Y5" i="2"/>
  <c r="Y10" i="6" s="1"/>
  <c r="Z5" i="2"/>
  <c r="Z10" i="6" s="1"/>
  <c r="AA5" i="2"/>
  <c r="AA10" i="6" s="1"/>
  <c r="AB5" i="2"/>
  <c r="AB10" i="6" s="1"/>
  <c r="AC5" i="2"/>
  <c r="AC10" i="6" s="1"/>
  <c r="AD5" i="2"/>
  <c r="AD10" i="6" s="1"/>
  <c r="AE5" i="2"/>
  <c r="AE10" i="6" s="1"/>
  <c r="AF5" i="2"/>
  <c r="AF10" i="6" s="1"/>
  <c r="AG5" i="2"/>
  <c r="AG10" i="6" s="1"/>
  <c r="C6" i="2"/>
  <c r="C17" i="6" s="1"/>
  <c r="D6" i="2"/>
  <c r="D17" i="6" s="1"/>
  <c r="E6" i="2"/>
  <c r="E17" i="6" s="1"/>
  <c r="F6" i="2"/>
  <c r="F17" i="6" s="1"/>
  <c r="G6" i="2"/>
  <c r="G17" i="6" s="1"/>
  <c r="H6" i="2"/>
  <c r="H17" i="6" s="1"/>
  <c r="I6" i="2"/>
  <c r="I17" i="6" s="1"/>
  <c r="J6" i="2"/>
  <c r="J17" i="6" s="1"/>
  <c r="K6" i="2"/>
  <c r="K17" i="6" s="1"/>
  <c r="L6" i="2"/>
  <c r="L17" i="6" s="1"/>
  <c r="M6" i="2"/>
  <c r="M17" i="6" s="1"/>
  <c r="N6" i="2"/>
  <c r="N17" i="6" s="1"/>
  <c r="O6" i="2"/>
  <c r="O17" i="6" s="1"/>
  <c r="P6" i="2"/>
  <c r="P17" i="6" s="1"/>
  <c r="Q6" i="2"/>
  <c r="Q17" i="6" s="1"/>
  <c r="R6" i="2"/>
  <c r="R17" i="6" s="1"/>
  <c r="S6" i="2"/>
  <c r="S17" i="6" s="1"/>
  <c r="T6" i="2"/>
  <c r="T17" i="6" s="1"/>
  <c r="U6" i="2"/>
  <c r="U17" i="6" s="1"/>
  <c r="V6" i="2"/>
  <c r="V17" i="6" s="1"/>
  <c r="W6" i="2"/>
  <c r="W17" i="6" s="1"/>
  <c r="X6" i="2"/>
  <c r="X17" i="6" s="1"/>
  <c r="Y6" i="2"/>
  <c r="Y17" i="6" s="1"/>
  <c r="Z6" i="2"/>
  <c r="Z17" i="6" s="1"/>
  <c r="AA6" i="2"/>
  <c r="AA17" i="6" s="1"/>
  <c r="AB6" i="2"/>
  <c r="AB17" i="6" s="1"/>
  <c r="AC6" i="2"/>
  <c r="AC17" i="6" s="1"/>
  <c r="AD6" i="2"/>
  <c r="AD17" i="6" s="1"/>
  <c r="AE6" i="2"/>
  <c r="AE17" i="6" s="1"/>
  <c r="AF6" i="2"/>
  <c r="AF17" i="6" s="1"/>
  <c r="AG6" i="2"/>
  <c r="AG17" i="6" s="1"/>
  <c r="C8" i="2"/>
  <c r="C22" i="6" s="1"/>
  <c r="D8" i="2"/>
  <c r="D22" i="6" s="1"/>
  <c r="E8" i="2"/>
  <c r="E22" i="6" s="1"/>
  <c r="F8" i="2"/>
  <c r="F22" i="6" s="1"/>
  <c r="G8" i="2"/>
  <c r="G22" i="6" s="1"/>
  <c r="H8" i="2"/>
  <c r="H22" i="6" s="1"/>
  <c r="I8" i="2"/>
  <c r="I22" i="6" s="1"/>
  <c r="J8" i="2"/>
  <c r="J22" i="6" s="1"/>
  <c r="K8" i="2"/>
  <c r="K22" i="6" s="1"/>
  <c r="L8" i="2"/>
  <c r="L22" i="6" s="1"/>
  <c r="M8" i="2"/>
  <c r="M22" i="6" s="1"/>
  <c r="N8" i="2"/>
  <c r="N22" i="6" s="1"/>
  <c r="O8" i="2"/>
  <c r="O22" i="6" s="1"/>
  <c r="P8" i="2"/>
  <c r="P22" i="6" s="1"/>
  <c r="Q8" i="2"/>
  <c r="Q22" i="6" s="1"/>
  <c r="R8" i="2"/>
  <c r="R22" i="6" s="1"/>
  <c r="S8" i="2"/>
  <c r="S22" i="6" s="1"/>
  <c r="T8" i="2"/>
  <c r="T22" i="6" s="1"/>
  <c r="U8" i="2"/>
  <c r="U22" i="6" s="1"/>
  <c r="V8" i="2"/>
  <c r="V22" i="6" s="1"/>
  <c r="W8" i="2"/>
  <c r="W22" i="6" s="1"/>
  <c r="X8" i="2"/>
  <c r="X22" i="6" s="1"/>
  <c r="Y8" i="2"/>
  <c r="Y22" i="6" s="1"/>
  <c r="Z8" i="2"/>
  <c r="Z22" i="6" s="1"/>
  <c r="AA8" i="2"/>
  <c r="AA22" i="6" s="1"/>
  <c r="AB8" i="2"/>
  <c r="AB22" i="6" s="1"/>
  <c r="AC8" i="2"/>
  <c r="AC22" i="6" s="1"/>
  <c r="AD8" i="2"/>
  <c r="AD22" i="6" s="1"/>
  <c r="AE8" i="2"/>
  <c r="AE22" i="6" s="1"/>
  <c r="AF8" i="2"/>
  <c r="AF22" i="6" s="1"/>
  <c r="AG8" i="2"/>
  <c r="AG22" i="6" s="1"/>
  <c r="C9" i="2"/>
  <c r="C24" i="6" s="1"/>
  <c r="D9" i="2"/>
  <c r="D24" i="6" s="1"/>
  <c r="E9" i="2"/>
  <c r="E24" i="6" s="1"/>
  <c r="F9" i="2"/>
  <c r="F24" i="6" s="1"/>
  <c r="G9" i="2"/>
  <c r="G24" i="6" s="1"/>
  <c r="H9" i="2"/>
  <c r="H24" i="6" s="1"/>
  <c r="I9" i="2"/>
  <c r="I24" i="6" s="1"/>
  <c r="J9" i="2"/>
  <c r="J24" i="6" s="1"/>
  <c r="K9" i="2"/>
  <c r="K24" i="6" s="1"/>
  <c r="L9" i="2"/>
  <c r="L24" i="6" s="1"/>
  <c r="M9" i="2"/>
  <c r="M24" i="6" s="1"/>
  <c r="N9" i="2"/>
  <c r="N24" i="6" s="1"/>
  <c r="O9" i="2"/>
  <c r="O24" i="6" s="1"/>
  <c r="P9" i="2"/>
  <c r="P24" i="6" s="1"/>
  <c r="Q9" i="2"/>
  <c r="Q24" i="6" s="1"/>
  <c r="R9" i="2"/>
  <c r="R24" i="6" s="1"/>
  <c r="S9" i="2"/>
  <c r="S24" i="6" s="1"/>
  <c r="T9" i="2"/>
  <c r="T24" i="6" s="1"/>
  <c r="U9" i="2"/>
  <c r="U24" i="6" s="1"/>
  <c r="V9" i="2"/>
  <c r="V24" i="6" s="1"/>
  <c r="W9" i="2"/>
  <c r="W24" i="6" s="1"/>
  <c r="X9" i="2"/>
  <c r="X24" i="6" s="1"/>
  <c r="Y9" i="2"/>
  <c r="Y24" i="6" s="1"/>
  <c r="Z9" i="2"/>
  <c r="Z24" i="6" s="1"/>
  <c r="AA9" i="2"/>
  <c r="AA24" i="6" s="1"/>
  <c r="AB9" i="2"/>
  <c r="AB24" i="6" s="1"/>
  <c r="AC9" i="2"/>
  <c r="AC24" i="6" s="1"/>
  <c r="AD9" i="2"/>
  <c r="AD24" i="6" s="1"/>
  <c r="AE9" i="2"/>
  <c r="AE24" i="6" s="1"/>
  <c r="AF9" i="2"/>
  <c r="AF24" i="6" s="1"/>
  <c r="AG9" i="2"/>
  <c r="AG24" i="6" s="1"/>
  <c r="C10" i="2"/>
  <c r="C12" i="6" s="1"/>
  <c r="D10" i="2"/>
  <c r="D12" i="6" s="1"/>
  <c r="E10" i="2"/>
  <c r="E12" i="6" s="1"/>
  <c r="F10" i="2"/>
  <c r="F12" i="6" s="1"/>
  <c r="G10" i="2"/>
  <c r="G12" i="6" s="1"/>
  <c r="H10" i="2"/>
  <c r="H12" i="6" s="1"/>
  <c r="I10" i="2"/>
  <c r="I12" i="6" s="1"/>
  <c r="J10" i="2"/>
  <c r="J12" i="6" s="1"/>
  <c r="K10" i="2"/>
  <c r="K12" i="6" s="1"/>
  <c r="L10" i="2"/>
  <c r="L12" i="6" s="1"/>
  <c r="M10" i="2"/>
  <c r="M12" i="6" s="1"/>
  <c r="N10" i="2"/>
  <c r="N12" i="6" s="1"/>
  <c r="O10" i="2"/>
  <c r="O12" i="6" s="1"/>
  <c r="P10" i="2"/>
  <c r="P12" i="6" s="1"/>
  <c r="Q10" i="2"/>
  <c r="Q12" i="6" s="1"/>
  <c r="R10" i="2"/>
  <c r="R12" i="6" s="1"/>
  <c r="S10" i="2"/>
  <c r="S12" i="6" s="1"/>
  <c r="T10" i="2"/>
  <c r="T12" i="6" s="1"/>
  <c r="U10" i="2"/>
  <c r="U12" i="6" s="1"/>
  <c r="V10" i="2"/>
  <c r="V12" i="6" s="1"/>
  <c r="W10" i="2"/>
  <c r="W12" i="6" s="1"/>
  <c r="X10" i="2"/>
  <c r="X12" i="6" s="1"/>
  <c r="Y10" i="2"/>
  <c r="Y12" i="6" s="1"/>
  <c r="Z10" i="2"/>
  <c r="Z12" i="6" s="1"/>
  <c r="AA10" i="2"/>
  <c r="AA12" i="6" s="1"/>
  <c r="AB10" i="2"/>
  <c r="AB12" i="6" s="1"/>
  <c r="AC10" i="2"/>
  <c r="AC12" i="6" s="1"/>
  <c r="AD10" i="2"/>
  <c r="AD12" i="6" s="1"/>
  <c r="AE10" i="2"/>
  <c r="AE12" i="6" s="1"/>
  <c r="AF10" i="2"/>
  <c r="AF12" i="6" s="1"/>
  <c r="AG10" i="2"/>
  <c r="AG12" i="6" s="1"/>
  <c r="C11" i="2"/>
  <c r="C20" i="6" s="1"/>
  <c r="D11" i="2"/>
  <c r="D20" i="6" s="1"/>
  <c r="E11" i="2"/>
  <c r="E20" i="6" s="1"/>
  <c r="F11" i="2"/>
  <c r="F20" i="6" s="1"/>
  <c r="G11" i="2"/>
  <c r="G20" i="6" s="1"/>
  <c r="H11" i="2"/>
  <c r="H20" i="6" s="1"/>
  <c r="I11" i="2"/>
  <c r="I20" i="6" s="1"/>
  <c r="J11" i="2"/>
  <c r="J20" i="6" s="1"/>
  <c r="K11" i="2"/>
  <c r="K20" i="6" s="1"/>
  <c r="L11" i="2"/>
  <c r="L20" i="6" s="1"/>
  <c r="M11" i="2"/>
  <c r="M20" i="6" s="1"/>
  <c r="N11" i="2"/>
  <c r="N20" i="6" s="1"/>
  <c r="O11" i="2"/>
  <c r="O20" i="6" s="1"/>
  <c r="P11" i="2"/>
  <c r="P20" i="6" s="1"/>
  <c r="Q11" i="2"/>
  <c r="Q20" i="6" s="1"/>
  <c r="R11" i="2"/>
  <c r="R20" i="6" s="1"/>
  <c r="S11" i="2"/>
  <c r="S20" i="6" s="1"/>
  <c r="T11" i="2"/>
  <c r="T20" i="6" s="1"/>
  <c r="U11" i="2"/>
  <c r="U20" i="6" s="1"/>
  <c r="V11" i="2"/>
  <c r="V20" i="6" s="1"/>
  <c r="W11" i="2"/>
  <c r="W20" i="6" s="1"/>
  <c r="X11" i="2"/>
  <c r="X20" i="6" s="1"/>
  <c r="Y11" i="2"/>
  <c r="Y20" i="6" s="1"/>
  <c r="Z11" i="2"/>
  <c r="Z20" i="6" s="1"/>
  <c r="AA11" i="2"/>
  <c r="AA20" i="6" s="1"/>
  <c r="AB11" i="2"/>
  <c r="AB20" i="6" s="1"/>
  <c r="AC11" i="2"/>
  <c r="AC20" i="6" s="1"/>
  <c r="AD11" i="2"/>
  <c r="AD20" i="6" s="1"/>
  <c r="AE11" i="2"/>
  <c r="AE20" i="6" s="1"/>
  <c r="AF11" i="2"/>
  <c r="AF20" i="6" s="1"/>
  <c r="AG11" i="2"/>
  <c r="AG20" i="6" s="1"/>
  <c r="C12" i="2"/>
  <c r="C16" i="6" s="1"/>
  <c r="D12" i="2"/>
  <c r="D16" i="6" s="1"/>
  <c r="E12" i="2"/>
  <c r="E16" i="6" s="1"/>
  <c r="F12" i="2"/>
  <c r="F16" i="6" s="1"/>
  <c r="G12" i="2"/>
  <c r="G16" i="6" s="1"/>
  <c r="H12" i="2"/>
  <c r="H16" i="6" s="1"/>
  <c r="I12" i="2"/>
  <c r="I16" i="6" s="1"/>
  <c r="J12" i="2"/>
  <c r="J16" i="6" s="1"/>
  <c r="K12" i="2"/>
  <c r="K16" i="6" s="1"/>
  <c r="L12" i="2"/>
  <c r="L16" i="6" s="1"/>
  <c r="M12" i="2"/>
  <c r="M16" i="6" s="1"/>
  <c r="N12" i="2"/>
  <c r="N16" i="6" s="1"/>
  <c r="O12" i="2"/>
  <c r="O16" i="6" s="1"/>
  <c r="P12" i="2"/>
  <c r="P16" i="6" s="1"/>
  <c r="Q12" i="2"/>
  <c r="Q16" i="6" s="1"/>
  <c r="R12" i="2"/>
  <c r="R16" i="6" s="1"/>
  <c r="S12" i="2"/>
  <c r="S16" i="6" s="1"/>
  <c r="T12" i="2"/>
  <c r="T16" i="6" s="1"/>
  <c r="U12" i="2"/>
  <c r="U16" i="6" s="1"/>
  <c r="V12" i="2"/>
  <c r="V16" i="6" s="1"/>
  <c r="W12" i="2"/>
  <c r="W16" i="6" s="1"/>
  <c r="X12" i="2"/>
  <c r="X16" i="6" s="1"/>
  <c r="Y12" i="2"/>
  <c r="Y16" i="6" s="1"/>
  <c r="Z12" i="2"/>
  <c r="Z16" i="6" s="1"/>
  <c r="AA12" i="2"/>
  <c r="AA16" i="6" s="1"/>
  <c r="AB12" i="2"/>
  <c r="AB16" i="6" s="1"/>
  <c r="AC12" i="2"/>
  <c r="AC16" i="6" s="1"/>
  <c r="AD12" i="2"/>
  <c r="AD16" i="6" s="1"/>
  <c r="AE12" i="2"/>
  <c r="AE16" i="6" s="1"/>
  <c r="AF12" i="2"/>
  <c r="AF16" i="6" s="1"/>
  <c r="AG12" i="2"/>
  <c r="AG16" i="6" s="1"/>
  <c r="C13" i="2"/>
  <c r="C19" i="6" s="1"/>
  <c r="D13" i="2"/>
  <c r="D19" i="6" s="1"/>
  <c r="E13" i="2"/>
  <c r="E19" i="6" s="1"/>
  <c r="F13" i="2"/>
  <c r="F19" i="6" s="1"/>
  <c r="G13" i="2"/>
  <c r="G19" i="6" s="1"/>
  <c r="H13" i="2"/>
  <c r="H19" i="6" s="1"/>
  <c r="I13" i="2"/>
  <c r="I19" i="6" s="1"/>
  <c r="J13" i="2"/>
  <c r="J19" i="6" s="1"/>
  <c r="K13" i="2"/>
  <c r="K19" i="6" s="1"/>
  <c r="L13" i="2"/>
  <c r="L19" i="6" s="1"/>
  <c r="M13" i="2"/>
  <c r="M19" i="6" s="1"/>
  <c r="N13" i="2"/>
  <c r="N19" i="6" s="1"/>
  <c r="O13" i="2"/>
  <c r="O19" i="6" s="1"/>
  <c r="P13" i="2"/>
  <c r="P19" i="6" s="1"/>
  <c r="Q13" i="2"/>
  <c r="Q19" i="6" s="1"/>
  <c r="R13" i="2"/>
  <c r="R19" i="6" s="1"/>
  <c r="S13" i="2"/>
  <c r="S19" i="6" s="1"/>
  <c r="T13" i="2"/>
  <c r="T19" i="6" s="1"/>
  <c r="U13" i="2"/>
  <c r="U19" i="6" s="1"/>
  <c r="V13" i="2"/>
  <c r="V19" i="6" s="1"/>
  <c r="W13" i="2"/>
  <c r="W19" i="6" s="1"/>
  <c r="X13" i="2"/>
  <c r="X19" i="6" s="1"/>
  <c r="Y13" i="2"/>
  <c r="Y19" i="6" s="1"/>
  <c r="Z13" i="2"/>
  <c r="Z19" i="6" s="1"/>
  <c r="AA13" i="2"/>
  <c r="AA19" i="6" s="1"/>
  <c r="AB13" i="2"/>
  <c r="AB19" i="6" s="1"/>
  <c r="AC13" i="2"/>
  <c r="AC19" i="6" s="1"/>
  <c r="AD13" i="2"/>
  <c r="AD19" i="6" s="1"/>
  <c r="AE13" i="2"/>
  <c r="AE19" i="6" s="1"/>
  <c r="AF13" i="2"/>
  <c r="AF19" i="6" s="1"/>
  <c r="AG13" i="2"/>
  <c r="AG19" i="6" s="1"/>
  <c r="C14" i="2"/>
  <c r="C15" i="6" s="1"/>
  <c r="D14" i="2"/>
  <c r="D15" i="6" s="1"/>
  <c r="E14" i="2"/>
  <c r="E15" i="6" s="1"/>
  <c r="F14" i="2"/>
  <c r="F15" i="6" s="1"/>
  <c r="G14" i="2"/>
  <c r="G15" i="6" s="1"/>
  <c r="H14" i="2"/>
  <c r="H15" i="6" s="1"/>
  <c r="I14" i="2"/>
  <c r="I15" i="6" s="1"/>
  <c r="J14" i="2"/>
  <c r="J15" i="6" s="1"/>
  <c r="K14" i="2"/>
  <c r="K15" i="6" s="1"/>
  <c r="L14" i="2"/>
  <c r="L15" i="6" s="1"/>
  <c r="M14" i="2"/>
  <c r="M15" i="6" s="1"/>
  <c r="N14" i="2"/>
  <c r="N15" i="6" s="1"/>
  <c r="O14" i="2"/>
  <c r="O15" i="6" s="1"/>
  <c r="P14" i="2"/>
  <c r="P15" i="6" s="1"/>
  <c r="Q14" i="2"/>
  <c r="Q15" i="6" s="1"/>
  <c r="R14" i="2"/>
  <c r="R15" i="6" s="1"/>
  <c r="S14" i="2"/>
  <c r="S15" i="6" s="1"/>
  <c r="T14" i="2"/>
  <c r="T15" i="6" s="1"/>
  <c r="U14" i="2"/>
  <c r="U15" i="6" s="1"/>
  <c r="V14" i="2"/>
  <c r="V15" i="6" s="1"/>
  <c r="W14" i="2"/>
  <c r="W15" i="6" s="1"/>
  <c r="X14" i="2"/>
  <c r="X15" i="6" s="1"/>
  <c r="Y14" i="2"/>
  <c r="Y15" i="6" s="1"/>
  <c r="Z14" i="2"/>
  <c r="Z15" i="6" s="1"/>
  <c r="AA14" i="2"/>
  <c r="AA15" i="6" s="1"/>
  <c r="AB14" i="2"/>
  <c r="AB15" i="6" s="1"/>
  <c r="AC14" i="2"/>
  <c r="AC15" i="6" s="1"/>
  <c r="AD14" i="2"/>
  <c r="AD15" i="6" s="1"/>
  <c r="AE14" i="2"/>
  <c r="AE15" i="6" s="1"/>
  <c r="AF14" i="2"/>
  <c r="AF15" i="6" s="1"/>
  <c r="AG14" i="2"/>
  <c r="AG15" i="6" s="1"/>
  <c r="C15" i="2"/>
  <c r="C30" i="6" s="1"/>
  <c r="D15" i="2"/>
  <c r="D30" i="6" s="1"/>
  <c r="E15" i="2"/>
  <c r="E30" i="6" s="1"/>
  <c r="F15" i="2"/>
  <c r="F30" i="6" s="1"/>
  <c r="G15" i="2"/>
  <c r="G30" i="6" s="1"/>
  <c r="H15" i="2"/>
  <c r="H30" i="6" s="1"/>
  <c r="I15" i="2"/>
  <c r="I30" i="6" s="1"/>
  <c r="J15" i="2"/>
  <c r="J30" i="6" s="1"/>
  <c r="K15" i="2"/>
  <c r="K30" i="6" s="1"/>
  <c r="L15" i="2"/>
  <c r="L30" i="6" s="1"/>
  <c r="M15" i="2"/>
  <c r="M30" i="6" s="1"/>
  <c r="N15" i="2"/>
  <c r="N30" i="6" s="1"/>
  <c r="O15" i="2"/>
  <c r="O30" i="6" s="1"/>
  <c r="P15" i="2"/>
  <c r="P30" i="6" s="1"/>
  <c r="Q15" i="2"/>
  <c r="Q30" i="6" s="1"/>
  <c r="R15" i="2"/>
  <c r="R30" i="6" s="1"/>
  <c r="S15" i="2"/>
  <c r="S30" i="6" s="1"/>
  <c r="T15" i="2"/>
  <c r="T30" i="6" s="1"/>
  <c r="U15" i="2"/>
  <c r="U30" i="6" s="1"/>
  <c r="V15" i="2"/>
  <c r="V30" i="6" s="1"/>
  <c r="W15" i="2"/>
  <c r="W30" i="6" s="1"/>
  <c r="X15" i="2"/>
  <c r="X30" i="6" s="1"/>
  <c r="Y15" i="2"/>
  <c r="Y30" i="6" s="1"/>
  <c r="Z15" i="2"/>
  <c r="Z30" i="6" s="1"/>
  <c r="AA15" i="2"/>
  <c r="AA30" i="6" s="1"/>
  <c r="AB15" i="2"/>
  <c r="AB30" i="6" s="1"/>
  <c r="AC15" i="2"/>
  <c r="AC30" i="6" s="1"/>
  <c r="AD15" i="2"/>
  <c r="AD30" i="6" s="1"/>
  <c r="AE15" i="2"/>
  <c r="AE30" i="6" s="1"/>
  <c r="AF15" i="2"/>
  <c r="AF30" i="6" s="1"/>
  <c r="AG15" i="2"/>
  <c r="AG30" i="6" s="1"/>
  <c r="C16" i="2"/>
  <c r="C27" i="6" s="1"/>
  <c r="D16" i="2"/>
  <c r="D27" i="6" s="1"/>
  <c r="E16" i="2"/>
  <c r="E27" i="6" s="1"/>
  <c r="F16" i="2"/>
  <c r="F27" i="6" s="1"/>
  <c r="G16" i="2"/>
  <c r="G27" i="6" s="1"/>
  <c r="H16" i="2"/>
  <c r="H27" i="6" s="1"/>
  <c r="I16" i="2"/>
  <c r="I27" i="6" s="1"/>
  <c r="J16" i="2"/>
  <c r="J27" i="6" s="1"/>
  <c r="K16" i="2"/>
  <c r="K27" i="6" s="1"/>
  <c r="L16" i="2"/>
  <c r="L27" i="6" s="1"/>
  <c r="M16" i="2"/>
  <c r="M27" i="6" s="1"/>
  <c r="N16" i="2"/>
  <c r="N27" i="6" s="1"/>
  <c r="O16" i="2"/>
  <c r="O27" i="6" s="1"/>
  <c r="P16" i="2"/>
  <c r="P27" i="6" s="1"/>
  <c r="Q16" i="2"/>
  <c r="Q27" i="6" s="1"/>
  <c r="R16" i="2"/>
  <c r="R27" i="6" s="1"/>
  <c r="S16" i="2"/>
  <c r="S27" i="6" s="1"/>
  <c r="T16" i="2"/>
  <c r="T27" i="6" s="1"/>
  <c r="U16" i="2"/>
  <c r="U27" i="6" s="1"/>
  <c r="V16" i="2"/>
  <c r="V27" i="6" s="1"/>
  <c r="W16" i="2"/>
  <c r="W27" i="6" s="1"/>
  <c r="X16" i="2"/>
  <c r="X27" i="6" s="1"/>
  <c r="Y16" i="2"/>
  <c r="Y27" i="6" s="1"/>
  <c r="Z16" i="2"/>
  <c r="Z27" i="6" s="1"/>
  <c r="AA16" i="2"/>
  <c r="AA27" i="6" s="1"/>
  <c r="AB16" i="2"/>
  <c r="AB27" i="6" s="1"/>
  <c r="AC16" i="2"/>
  <c r="AC27" i="6" s="1"/>
  <c r="AD16" i="2"/>
  <c r="AD27" i="6" s="1"/>
  <c r="AE16" i="2"/>
  <c r="AE27" i="6" s="1"/>
  <c r="AF16" i="2"/>
  <c r="AF27" i="6" s="1"/>
  <c r="AG16" i="2"/>
  <c r="AG27" i="6" s="1"/>
  <c r="C17" i="2"/>
  <c r="C26" i="6" s="1"/>
  <c r="D17" i="2"/>
  <c r="D26" i="6" s="1"/>
  <c r="E17" i="2"/>
  <c r="E26" i="6" s="1"/>
  <c r="F17" i="2"/>
  <c r="F26" i="6" s="1"/>
  <c r="G17" i="2"/>
  <c r="G26" i="6" s="1"/>
  <c r="H17" i="2"/>
  <c r="H26" i="6" s="1"/>
  <c r="I17" i="2"/>
  <c r="I26" i="6" s="1"/>
  <c r="J17" i="2"/>
  <c r="J26" i="6" s="1"/>
  <c r="K17" i="2"/>
  <c r="K26" i="6" s="1"/>
  <c r="L17" i="2"/>
  <c r="L26" i="6" s="1"/>
  <c r="M17" i="2"/>
  <c r="M26" i="6" s="1"/>
  <c r="N17" i="2"/>
  <c r="N26" i="6" s="1"/>
  <c r="O17" i="2"/>
  <c r="O26" i="6" s="1"/>
  <c r="P17" i="2"/>
  <c r="P26" i="6" s="1"/>
  <c r="Q17" i="2"/>
  <c r="Q26" i="6" s="1"/>
  <c r="R17" i="2"/>
  <c r="R26" i="6" s="1"/>
  <c r="S17" i="2"/>
  <c r="S26" i="6" s="1"/>
  <c r="T17" i="2"/>
  <c r="T26" i="6" s="1"/>
  <c r="U17" i="2"/>
  <c r="U26" i="6" s="1"/>
  <c r="V17" i="2"/>
  <c r="V26" i="6" s="1"/>
  <c r="W17" i="2"/>
  <c r="W26" i="6" s="1"/>
  <c r="X17" i="2"/>
  <c r="X26" i="6" s="1"/>
  <c r="Y17" i="2"/>
  <c r="Y26" i="6" s="1"/>
  <c r="Z17" i="2"/>
  <c r="Z26" i="6" s="1"/>
  <c r="AA17" i="2"/>
  <c r="AA26" i="6" s="1"/>
  <c r="AB17" i="2"/>
  <c r="AB26" i="6" s="1"/>
  <c r="AC17" i="2"/>
  <c r="AC26" i="6" s="1"/>
  <c r="AD17" i="2"/>
  <c r="AD26" i="6" s="1"/>
  <c r="AE17" i="2"/>
  <c r="AE26" i="6" s="1"/>
  <c r="AF17" i="2"/>
  <c r="AF26" i="6" s="1"/>
  <c r="AG17" i="2"/>
  <c r="AG26" i="6" s="1"/>
  <c r="C18" i="2"/>
  <c r="C28" i="6" s="1"/>
  <c r="D18" i="2"/>
  <c r="D28" i="6" s="1"/>
  <c r="E18" i="2"/>
  <c r="E28" i="6" s="1"/>
  <c r="F18" i="2"/>
  <c r="F28" i="6" s="1"/>
  <c r="G18" i="2"/>
  <c r="G28" i="6" s="1"/>
  <c r="H18" i="2"/>
  <c r="H28" i="6" s="1"/>
  <c r="I18" i="2"/>
  <c r="I28" i="6" s="1"/>
  <c r="J18" i="2"/>
  <c r="J28" i="6" s="1"/>
  <c r="K18" i="2"/>
  <c r="K28" i="6" s="1"/>
  <c r="L18" i="2"/>
  <c r="L28" i="6" s="1"/>
  <c r="M18" i="2"/>
  <c r="M28" i="6" s="1"/>
  <c r="N18" i="2"/>
  <c r="N28" i="6" s="1"/>
  <c r="O18" i="2"/>
  <c r="O28" i="6" s="1"/>
  <c r="P18" i="2"/>
  <c r="P28" i="6" s="1"/>
  <c r="Q18" i="2"/>
  <c r="Q28" i="6" s="1"/>
  <c r="R18" i="2"/>
  <c r="R28" i="6" s="1"/>
  <c r="S18" i="2"/>
  <c r="S28" i="6" s="1"/>
  <c r="T18" i="2"/>
  <c r="T28" i="6" s="1"/>
  <c r="U18" i="2"/>
  <c r="U28" i="6" s="1"/>
  <c r="V18" i="2"/>
  <c r="V28" i="6" s="1"/>
  <c r="W18" i="2"/>
  <c r="W28" i="6" s="1"/>
  <c r="X18" i="2"/>
  <c r="X28" i="6" s="1"/>
  <c r="Y18" i="2"/>
  <c r="Y28" i="6" s="1"/>
  <c r="Z18" i="2"/>
  <c r="Z28" i="6" s="1"/>
  <c r="AA18" i="2"/>
  <c r="AA28" i="6" s="1"/>
  <c r="AB18" i="2"/>
  <c r="AB28" i="6" s="1"/>
  <c r="AC18" i="2"/>
  <c r="AC28" i="6" s="1"/>
  <c r="AD18" i="2"/>
  <c r="AD28" i="6" s="1"/>
  <c r="AE18" i="2"/>
  <c r="AE28" i="6" s="1"/>
  <c r="AF18" i="2"/>
  <c r="AF28" i="6" s="1"/>
  <c r="AG18" i="2"/>
  <c r="AG28" i="6" s="1"/>
  <c r="C19" i="2"/>
  <c r="C23" i="6" s="1"/>
  <c r="D19" i="2"/>
  <c r="D23" i="6" s="1"/>
  <c r="E19" i="2"/>
  <c r="E23" i="6" s="1"/>
  <c r="F19" i="2"/>
  <c r="F23" i="6" s="1"/>
  <c r="G19" i="2"/>
  <c r="G23" i="6" s="1"/>
  <c r="H19" i="2"/>
  <c r="H23" i="6" s="1"/>
  <c r="I19" i="2"/>
  <c r="I23" i="6" s="1"/>
  <c r="J19" i="2"/>
  <c r="J23" i="6" s="1"/>
  <c r="K19" i="2"/>
  <c r="K23" i="6" s="1"/>
  <c r="L19" i="2"/>
  <c r="L23" i="6" s="1"/>
  <c r="M19" i="2"/>
  <c r="M23" i="6" s="1"/>
  <c r="N19" i="2"/>
  <c r="N23" i="6" s="1"/>
  <c r="O19" i="2"/>
  <c r="O23" i="6" s="1"/>
  <c r="P19" i="2"/>
  <c r="P23" i="6" s="1"/>
  <c r="Q19" i="2"/>
  <c r="Q23" i="6" s="1"/>
  <c r="R19" i="2"/>
  <c r="R23" i="6" s="1"/>
  <c r="S19" i="2"/>
  <c r="S23" i="6" s="1"/>
  <c r="T19" i="2"/>
  <c r="T23" i="6" s="1"/>
  <c r="U19" i="2"/>
  <c r="U23" i="6" s="1"/>
  <c r="V19" i="2"/>
  <c r="V23" i="6" s="1"/>
  <c r="W19" i="2"/>
  <c r="W23" i="6" s="1"/>
  <c r="X19" i="2"/>
  <c r="X23" i="6" s="1"/>
  <c r="Y19" i="2"/>
  <c r="Y23" i="6" s="1"/>
  <c r="Z19" i="2"/>
  <c r="Z23" i="6" s="1"/>
  <c r="AA19" i="2"/>
  <c r="AA23" i="6" s="1"/>
  <c r="AB19" i="2"/>
  <c r="AB23" i="6" s="1"/>
  <c r="AC19" i="2"/>
  <c r="AC23" i="6" s="1"/>
  <c r="AD19" i="2"/>
  <c r="AD23" i="6" s="1"/>
  <c r="AE19" i="2"/>
  <c r="AE23" i="6" s="1"/>
  <c r="AF19" i="2"/>
  <c r="AF23" i="6" s="1"/>
  <c r="AG19" i="2"/>
  <c r="AG23" i="6" s="1"/>
  <c r="C20" i="2"/>
  <c r="C29" i="6" s="1"/>
  <c r="D20" i="2"/>
  <c r="D29" i="6" s="1"/>
  <c r="E20" i="2"/>
  <c r="E29" i="6" s="1"/>
  <c r="F20" i="2"/>
  <c r="F29" i="6" s="1"/>
  <c r="G20" i="2"/>
  <c r="G29" i="6" s="1"/>
  <c r="H20" i="2"/>
  <c r="H29" i="6" s="1"/>
  <c r="I20" i="2"/>
  <c r="I29" i="6" s="1"/>
  <c r="J20" i="2"/>
  <c r="J29" i="6" s="1"/>
  <c r="K20" i="2"/>
  <c r="K29" i="6" s="1"/>
  <c r="L20" i="2"/>
  <c r="L29" i="6" s="1"/>
  <c r="M20" i="2"/>
  <c r="M29" i="6" s="1"/>
  <c r="N20" i="2"/>
  <c r="N29" i="6" s="1"/>
  <c r="O20" i="2"/>
  <c r="O29" i="6" s="1"/>
  <c r="P20" i="2"/>
  <c r="P29" i="6" s="1"/>
  <c r="Q20" i="2"/>
  <c r="Q29" i="6" s="1"/>
  <c r="R20" i="2"/>
  <c r="R29" i="6" s="1"/>
  <c r="S20" i="2"/>
  <c r="S29" i="6" s="1"/>
  <c r="T20" i="2"/>
  <c r="T29" i="6" s="1"/>
  <c r="U20" i="2"/>
  <c r="U29" i="6" s="1"/>
  <c r="V20" i="2"/>
  <c r="V29" i="6" s="1"/>
  <c r="W20" i="2"/>
  <c r="W29" i="6" s="1"/>
  <c r="X20" i="2"/>
  <c r="X29" i="6" s="1"/>
  <c r="Y20" i="2"/>
  <c r="Y29" i="6" s="1"/>
  <c r="Z20" i="2"/>
  <c r="Z29" i="6" s="1"/>
  <c r="AA20" i="2"/>
  <c r="AA29" i="6" s="1"/>
  <c r="AB20" i="2"/>
  <c r="AB29" i="6" s="1"/>
  <c r="AC20" i="2"/>
  <c r="AC29" i="6" s="1"/>
  <c r="AD20" i="2"/>
  <c r="AD29" i="6" s="1"/>
  <c r="AE20" i="2"/>
  <c r="AE29" i="6" s="1"/>
  <c r="AF20" i="2"/>
  <c r="AF29" i="6" s="1"/>
  <c r="AG20" i="2"/>
  <c r="AG29" i="6" s="1"/>
  <c r="C21" i="2"/>
  <c r="C18" i="6" s="1"/>
  <c r="D21" i="2"/>
  <c r="D18" i="6" s="1"/>
  <c r="E21" i="2"/>
  <c r="E18" i="6" s="1"/>
  <c r="F21" i="2"/>
  <c r="F18" i="6" s="1"/>
  <c r="G21" i="2"/>
  <c r="G18" i="6" s="1"/>
  <c r="H21" i="2"/>
  <c r="H18" i="6" s="1"/>
  <c r="I21" i="2"/>
  <c r="I18" i="6" s="1"/>
  <c r="J21" i="2"/>
  <c r="J18" i="6" s="1"/>
  <c r="K21" i="2"/>
  <c r="K18" i="6" s="1"/>
  <c r="L21" i="2"/>
  <c r="L18" i="6" s="1"/>
  <c r="M21" i="2"/>
  <c r="M18" i="6" s="1"/>
  <c r="N21" i="2"/>
  <c r="N18" i="6" s="1"/>
  <c r="O21" i="2"/>
  <c r="O18" i="6" s="1"/>
  <c r="P21" i="2"/>
  <c r="P18" i="6" s="1"/>
  <c r="Q21" i="2"/>
  <c r="Q18" i="6" s="1"/>
  <c r="R21" i="2"/>
  <c r="R18" i="6" s="1"/>
  <c r="S21" i="2"/>
  <c r="S18" i="6" s="1"/>
  <c r="T21" i="2"/>
  <c r="T18" i="6" s="1"/>
  <c r="U21" i="2"/>
  <c r="U18" i="6" s="1"/>
  <c r="V21" i="2"/>
  <c r="V18" i="6" s="1"/>
  <c r="W21" i="2"/>
  <c r="W18" i="6" s="1"/>
  <c r="X21" i="2"/>
  <c r="X18" i="6" s="1"/>
  <c r="Y21" i="2"/>
  <c r="Y18" i="6" s="1"/>
  <c r="Z21" i="2"/>
  <c r="Z18" i="6" s="1"/>
  <c r="AA21" i="2"/>
  <c r="AA18" i="6" s="1"/>
  <c r="AB21" i="2"/>
  <c r="AB18" i="6" s="1"/>
  <c r="AC21" i="2"/>
  <c r="AC18" i="6" s="1"/>
  <c r="AD21" i="2"/>
  <c r="AD18" i="6" s="1"/>
  <c r="AE21" i="2"/>
  <c r="AE18" i="6" s="1"/>
  <c r="AF21" i="2"/>
  <c r="AF18" i="6" s="1"/>
  <c r="AG21" i="2"/>
  <c r="AG18" i="6" s="1"/>
  <c r="C22" i="2"/>
  <c r="C13" i="6" s="1"/>
  <c r="D22" i="2"/>
  <c r="D13" i="6" s="1"/>
  <c r="E22" i="2"/>
  <c r="E13" i="6" s="1"/>
  <c r="F22" i="2"/>
  <c r="F13" i="6" s="1"/>
  <c r="G22" i="2"/>
  <c r="G13" i="6" s="1"/>
  <c r="H22" i="2"/>
  <c r="H13" i="6" s="1"/>
  <c r="I22" i="2"/>
  <c r="I13" i="6" s="1"/>
  <c r="J22" i="2"/>
  <c r="J13" i="6" s="1"/>
  <c r="K22" i="2"/>
  <c r="K13" i="6" s="1"/>
  <c r="L22" i="2"/>
  <c r="L13" i="6" s="1"/>
  <c r="M22" i="2"/>
  <c r="M13" i="6" s="1"/>
  <c r="N22" i="2"/>
  <c r="N13" i="6" s="1"/>
  <c r="O22" i="2"/>
  <c r="O13" i="6" s="1"/>
  <c r="P22" i="2"/>
  <c r="P13" i="6" s="1"/>
  <c r="Q22" i="2"/>
  <c r="Q13" i="6" s="1"/>
  <c r="R22" i="2"/>
  <c r="R13" i="6" s="1"/>
  <c r="S22" i="2"/>
  <c r="S13" i="6" s="1"/>
  <c r="T22" i="2"/>
  <c r="T13" i="6" s="1"/>
  <c r="U22" i="2"/>
  <c r="U13" i="6" s="1"/>
  <c r="V22" i="2"/>
  <c r="V13" i="6" s="1"/>
  <c r="W22" i="2"/>
  <c r="W13" i="6" s="1"/>
  <c r="X22" i="2"/>
  <c r="X13" i="6" s="1"/>
  <c r="Y22" i="2"/>
  <c r="Y13" i="6" s="1"/>
  <c r="Z22" i="2"/>
  <c r="Z13" i="6" s="1"/>
  <c r="AA22" i="2"/>
  <c r="AA13" i="6" s="1"/>
  <c r="AB22" i="2"/>
  <c r="AB13" i="6" s="1"/>
  <c r="AC22" i="2"/>
  <c r="AC13" i="6" s="1"/>
  <c r="AD22" i="2"/>
  <c r="AD13" i="6" s="1"/>
  <c r="AE22" i="2"/>
  <c r="AE13" i="6" s="1"/>
  <c r="AF22" i="2"/>
  <c r="AF13" i="6" s="1"/>
  <c r="AG22" i="2"/>
  <c r="AG13" i="6" s="1"/>
  <c r="B5" i="2"/>
  <c r="B10" i="6" s="1"/>
  <c r="B6" i="2"/>
  <c r="B17" i="6" s="1"/>
  <c r="B8" i="2"/>
  <c r="B22" i="6" s="1"/>
  <c r="B9" i="2"/>
  <c r="B24" i="6" s="1"/>
  <c r="B10" i="2"/>
  <c r="B12" i="6" s="1"/>
  <c r="B11" i="2"/>
  <c r="B20" i="6" s="1"/>
  <c r="B12" i="2"/>
  <c r="B16" i="6" s="1"/>
  <c r="B13" i="2"/>
  <c r="B19" i="6" s="1"/>
  <c r="B14" i="2"/>
  <c r="B15" i="6" s="1"/>
  <c r="B15" i="2"/>
  <c r="B30" i="6" s="1"/>
  <c r="B16" i="2"/>
  <c r="B27" i="6" s="1"/>
  <c r="B17" i="2"/>
  <c r="B26" i="6" s="1"/>
  <c r="B18" i="2"/>
  <c r="B28" i="6" s="1"/>
  <c r="B19" i="2"/>
  <c r="B23" i="6" s="1"/>
  <c r="B20" i="2"/>
  <c r="B29" i="6" s="1"/>
  <c r="B21" i="2"/>
  <c r="B18" i="6" s="1"/>
  <c r="B22" i="2"/>
  <c r="B13" i="6" s="1"/>
  <c r="B4" i="2"/>
  <c r="B11" i="6" s="1"/>
  <c r="D61" i="6" l="1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C61" i="6"/>
  <c r="E54" i="6"/>
  <c r="F54" i="6"/>
  <c r="H54" i="6"/>
  <c r="I54" i="6"/>
  <c r="K54" i="6"/>
  <c r="L54" i="6"/>
  <c r="Q54" i="6"/>
  <c r="R54" i="6"/>
  <c r="T54" i="6"/>
  <c r="U54" i="6"/>
  <c r="V54" i="6"/>
  <c r="W54" i="6"/>
  <c r="X54" i="6"/>
  <c r="Z54" i="6"/>
  <c r="AC54" i="6"/>
  <c r="AD54" i="6"/>
  <c r="AF54" i="6"/>
  <c r="AG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D55" i="6"/>
  <c r="D56" i="6"/>
  <c r="D54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8" i="6"/>
  <c r="AM40" i="6" s="1"/>
  <c r="AL38" i="6"/>
  <c r="AL40" i="6" s="1"/>
  <c r="AK38" i="6"/>
  <c r="AK40" i="6" s="1"/>
  <c r="AJ38" i="6"/>
  <c r="AJ40" i="6" s="1"/>
  <c r="AI38" i="6"/>
  <c r="AH38" i="6"/>
  <c r="AG38" i="6"/>
  <c r="AF38" i="6"/>
  <c r="AF40" i="6" s="1"/>
  <c r="AE38" i="6"/>
  <c r="AE40" i="6" s="1"/>
  <c r="AD38" i="6"/>
  <c r="AD40" i="6" s="1"/>
  <c r="AC38" i="6"/>
  <c r="AB38" i="6"/>
  <c r="AB40" i="6" s="1"/>
  <c r="AA38" i="6"/>
  <c r="AA40" i="6" s="1"/>
  <c r="Z38" i="6"/>
  <c r="Z40" i="6" s="1"/>
  <c r="Y38" i="6"/>
  <c r="Y40" i="6" s="1"/>
  <c r="X38" i="6"/>
  <c r="X40" i="6" s="1"/>
  <c r="W38" i="6"/>
  <c r="W40" i="6" s="1"/>
  <c r="V38" i="6"/>
  <c r="V40" i="6" s="1"/>
  <c r="U38" i="6"/>
  <c r="U40" i="6" s="1"/>
  <c r="T38" i="6"/>
  <c r="T40" i="6" s="1"/>
  <c r="S38" i="6"/>
  <c r="S40" i="6" s="1"/>
  <c r="R38" i="6"/>
  <c r="R40" i="6" s="1"/>
  <c r="Q38" i="6"/>
  <c r="P38" i="6"/>
  <c r="P40" i="6" s="1"/>
  <c r="O38" i="6"/>
  <c r="O40" i="6" s="1"/>
  <c r="N38" i="6"/>
  <c r="N40" i="6" s="1"/>
  <c r="M38" i="6"/>
  <c r="M40" i="6" s="1"/>
  <c r="L38" i="6"/>
  <c r="L40" i="6" s="1"/>
  <c r="K38" i="6"/>
  <c r="J38" i="6"/>
  <c r="I38" i="6"/>
  <c r="H38" i="6"/>
  <c r="K37" i="5" l="1"/>
  <c r="K36" i="5"/>
  <c r="J42" i="5"/>
  <c r="Q40" i="6"/>
  <c r="K40" i="6"/>
  <c r="J40" i="6"/>
  <c r="AI40" i="6"/>
  <c r="AH40" i="6"/>
  <c r="AG40" i="6"/>
  <c r="AC40" i="6"/>
  <c r="M26" i="5"/>
  <c r="L27" i="5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0" i="1"/>
  <c r="C8" i="1"/>
  <c r="O36" i="5" l="1"/>
  <c r="N35" i="5"/>
  <c r="G54" i="6" s="1"/>
  <c r="O37" i="5"/>
  <c r="Q26" i="5"/>
  <c r="P27" i="5"/>
  <c r="O42" i="5" s="1"/>
  <c r="C49" i="6"/>
  <c r="C43" i="6" s="1"/>
  <c r="D49" i="6"/>
  <c r="D43" i="6" s="1"/>
  <c r="E49" i="6"/>
  <c r="E43" i="6" s="1"/>
  <c r="F49" i="6"/>
  <c r="F43" i="6" s="1"/>
  <c r="B49" i="6"/>
  <c r="B43" i="6" s="1"/>
  <c r="B47" i="6"/>
  <c r="C47" i="6" s="1"/>
  <c r="D47" i="6" s="1"/>
  <c r="E47" i="6" s="1"/>
  <c r="F47" i="6" s="1"/>
  <c r="C7" i="1"/>
  <c r="P37" i="5" l="1"/>
  <c r="P36" i="5"/>
  <c r="O35" i="5"/>
  <c r="AM39" i="6"/>
  <c r="AI39" i="6"/>
  <c r="AL39" i="6"/>
  <c r="AK39" i="6"/>
  <c r="AJ39" i="6"/>
  <c r="AA39" i="6"/>
  <c r="AC39" i="6"/>
  <c r="AE41" i="6"/>
  <c r="Z39" i="6"/>
  <c r="AD41" i="6"/>
  <c r="Y39" i="6"/>
  <c r="AB39" i="6"/>
  <c r="AF41" i="6"/>
  <c r="AG41" i="6"/>
  <c r="AH41" i="6"/>
  <c r="H39" i="6"/>
  <c r="L41" i="6"/>
  <c r="G39" i="6"/>
  <c r="M41" i="6"/>
  <c r="I39" i="6"/>
  <c r="N41" i="6"/>
  <c r="K41" i="6"/>
  <c r="J41" i="6"/>
  <c r="AG39" i="6"/>
  <c r="AD39" i="6"/>
  <c r="AM41" i="6"/>
  <c r="AJ41" i="6"/>
  <c r="AK41" i="6"/>
  <c r="AL41" i="6"/>
  <c r="AF39" i="6"/>
  <c r="AH39" i="6"/>
  <c r="AE39" i="6"/>
  <c r="AI41" i="6"/>
  <c r="Y41" i="6"/>
  <c r="X39" i="6"/>
  <c r="AA41" i="6"/>
  <c r="Z41" i="6"/>
  <c r="W39" i="6"/>
  <c r="V39" i="6"/>
  <c r="U39" i="6"/>
  <c r="AB41" i="6"/>
  <c r="T39" i="6"/>
  <c r="AC41" i="6"/>
  <c r="W41" i="6"/>
  <c r="S39" i="6"/>
  <c r="X41" i="6"/>
  <c r="Q39" i="6"/>
  <c r="R39" i="6"/>
  <c r="O39" i="6"/>
  <c r="V41" i="6"/>
  <c r="U41" i="6"/>
  <c r="T41" i="6"/>
  <c r="P39" i="6"/>
  <c r="S41" i="6"/>
  <c r="L39" i="6"/>
  <c r="K39" i="6"/>
  <c r="J39" i="6"/>
  <c r="O41" i="6"/>
  <c r="R41" i="6"/>
  <c r="N39" i="6"/>
  <c r="P41" i="6"/>
  <c r="M39" i="6"/>
  <c r="Q41" i="6"/>
  <c r="R26" i="5"/>
  <c r="Q27" i="5"/>
  <c r="P42" i="5" s="1"/>
  <c r="Q37" i="5" l="1"/>
  <c r="Q36" i="5"/>
  <c r="P35" i="5"/>
  <c r="S26" i="5"/>
  <c r="R27" i="5"/>
  <c r="Q42" i="5" s="1"/>
  <c r="R36" i="5" l="1"/>
  <c r="Q35" i="5"/>
  <c r="J54" i="6" s="1"/>
  <c r="R37" i="5"/>
  <c r="T26" i="5"/>
  <c r="S27" i="5"/>
  <c r="R42" i="5" s="1"/>
  <c r="Z7" i="6"/>
  <c r="M7" i="6"/>
  <c r="Y7" i="6"/>
  <c r="L7" i="6"/>
  <c r="R7" i="6"/>
  <c r="T7" i="6"/>
  <c r="S7" i="6"/>
  <c r="AG7" i="6"/>
  <c r="H7" i="6"/>
  <c r="G7" i="6"/>
  <c r="AE7" i="6"/>
  <c r="U7" i="6"/>
  <c r="B7" i="6"/>
  <c r="V7" i="6"/>
  <c r="I7" i="6"/>
  <c r="J7" i="6"/>
  <c r="AF7" i="6"/>
  <c r="W7" i="6"/>
  <c r="AB7" i="6"/>
  <c r="AA7" i="6"/>
  <c r="K7" i="6"/>
  <c r="AC7" i="6"/>
  <c r="P7" i="6"/>
  <c r="O7" i="6"/>
  <c r="F7" i="6"/>
  <c r="Q7" i="6"/>
  <c r="D7" i="6"/>
  <c r="C7" i="6"/>
  <c r="N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N6" i="6"/>
  <c r="U6" i="6"/>
  <c r="W6" i="6"/>
  <c r="AE6" i="6"/>
  <c r="M6" i="6"/>
  <c r="P6" i="6"/>
  <c r="AD6" i="6"/>
  <c r="F6" i="6"/>
  <c r="J6" i="6"/>
  <c r="S6" i="6"/>
  <c r="L6" i="6"/>
  <c r="H6" i="6"/>
  <c r="AB6" i="6"/>
  <c r="AG6" i="6"/>
  <c r="AF6" i="6"/>
  <c r="T6" i="6"/>
  <c r="D6" i="6"/>
  <c r="O6" i="6"/>
  <c r="R6" i="6"/>
  <c r="I6" i="6"/>
  <c r="E6" i="6"/>
  <c r="V6" i="6"/>
  <c r="Y6" i="6"/>
  <c r="AC6" i="6"/>
  <c r="X6" i="6"/>
  <c r="K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M54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N54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O54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P54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S54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Y54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A54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B54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E54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41" i="6"/>
  <c r="I41" i="6" s="1"/>
  <c r="H43" i="6" l="1"/>
  <c r="I43" i="6" l="1"/>
  <c r="J43" i="6" s="1"/>
  <c r="K43" i="6" s="1"/>
  <c r="L43" i="6" s="1"/>
  <c r="M43" i="6" s="1"/>
  <c r="N43" i="6" s="1"/>
  <c r="O43" i="6" s="1"/>
  <c r="P43" i="6" s="1"/>
  <c r="Q43" i="6" s="1"/>
  <c r="R43" i="6" s="1"/>
  <c r="S43" i="6" s="1"/>
  <c r="T43" i="6" s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N43" i="6" s="1"/>
  <c r="AO43" i="6" s="1"/>
  <c r="AP43" i="6" s="1"/>
  <c r="H50" i="6" l="1"/>
  <c r="H51" i="6" s="1"/>
  <c r="I50" i="6" l="1"/>
  <c r="I51" i="6" s="1"/>
  <c r="J50" i="6" l="1"/>
  <c r="J51" i="6" s="1"/>
  <c r="K50" i="6" l="1"/>
  <c r="K51" i="6" s="1"/>
  <c r="M50" i="6" l="1"/>
  <c r="M51" i="6" s="1"/>
  <c r="L50" i="6"/>
  <c r="L5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<sst xmlns="http://schemas.openxmlformats.org/spreadsheetml/2006/main" count="994" uniqueCount="190">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</sst>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0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Drivers!$B$43:$AM$43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38</xdr:row>
      <xdr:rowOff>71437</xdr:rowOff>
    </xdr:from>
    <xdr:to>
      <xdr:col>27</xdr:col>
      <xdr:colOff>0</xdr:colOff>
      <xdr:row>52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86"/>
  <sheetViews>
    <sheetView tabSelected="1" topLeftCell="A31" workbookViewId="0">
      <selection activeCell="AG34" sqref="AG34:AM35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-6.3008295013975091E-2</v>
      </c>
      <c r="D6" s="1">
        <f t="shared" ref="D6:AG6" si="0">D7/C7-1</f>
        <v>3.3527630164041922E-2</v>
      </c>
      <c r="E6" s="1">
        <f t="shared" si="0"/>
        <v>2.6046030947991961E-2</v>
      </c>
      <c r="F6" s="1">
        <f t="shared" si="0"/>
        <v>2.3404429078930589E-2</v>
      </c>
      <c r="G6" s="1">
        <f t="shared" si="0"/>
        <v>2.4542760306873745E-2</v>
      </c>
      <c r="H6" s="1">
        <f t="shared" si="0"/>
        <v>2.2671856305562788E-2</v>
      </c>
      <c r="I6" s="1">
        <f t="shared" si="0"/>
        <v>1.9268768432053607E-2</v>
      </c>
      <c r="J6" s="1">
        <f t="shared" si="0"/>
        <v>1.8767512816787013E-2</v>
      </c>
      <c r="K6" s="1">
        <f t="shared" si="0"/>
        <v>1.8829253186426698E-2</v>
      </c>
      <c r="L6" s="1">
        <f t="shared" si="0"/>
        <v>2.4552366249794844E-2</v>
      </c>
      <c r="M6" s="1">
        <f t="shared" si="0"/>
        <v>2.1245159577790274E-2</v>
      </c>
      <c r="N6" s="1">
        <f t="shared" si="0"/>
        <v>2.4927518504998858E-2</v>
      </c>
      <c r="O6" s="1">
        <f t="shared" si="0"/>
        <v>2.542142164540917E-2</v>
      </c>
      <c r="P6" s="1">
        <f t="shared" si="0"/>
        <v>2.9339186380391347E-2</v>
      </c>
      <c r="Q6" s="1">
        <f t="shared" si="0"/>
        <v>3.0863161539589123E-2</v>
      </c>
      <c r="R6" s="1">
        <f t="shared" si="0"/>
        <v>2.3918754723512459E-2</v>
      </c>
      <c r="S6" s="1">
        <f t="shared" si="0"/>
        <v>2.3497256784395626E-2</v>
      </c>
      <c r="T6" s="1">
        <f t="shared" si="0"/>
        <v>2.5261932289256661E-2</v>
      </c>
      <c r="U6" s="1">
        <f t="shared" si="0"/>
        <v>2.4637896137079895E-2</v>
      </c>
      <c r="V6" s="1">
        <f t="shared" si="0"/>
        <v>2.6466046500044138E-2</v>
      </c>
      <c r="W6" s="1">
        <f t="shared" si="0"/>
        <v>2.5260460108278426E-2</v>
      </c>
      <c r="X6" s="1">
        <f t="shared" si="0"/>
        <v>2.8303407798339064E-2</v>
      </c>
      <c r="Y6" s="1">
        <f t="shared" si="0"/>
        <v>2.7963095618252387E-2</v>
      </c>
      <c r="Z6" s="1">
        <f t="shared" si="0"/>
        <v>2.8037814738008482E-2</v>
      </c>
      <c r="AA6" s="1">
        <f t="shared" si="0"/>
        <v>2.822184927022553E-2</v>
      </c>
      <c r="AB6" s="1">
        <f t="shared" si="0"/>
        <v>2.8618782043729807E-2</v>
      </c>
      <c r="AC6" s="1">
        <f t="shared" si="0"/>
        <v>3.017250254815762E-2</v>
      </c>
      <c r="AD6" s="1">
        <f t="shared" si="0"/>
        <v>1.822038609479093E-2</v>
      </c>
      <c r="AE6" s="1">
        <f t="shared" si="0"/>
        <v>1.628219693716515E-2</v>
      </c>
      <c r="AF6" s="1">
        <f t="shared" si="0"/>
        <v>1.6348497524546479E-2</v>
      </c>
      <c r="AG6" s="1">
        <f t="shared" si="0"/>
        <v>1.572917594654788E-2</v>
      </c>
      <c r="AH6" s="1"/>
      <c r="AI6" s="1"/>
      <c r="AJ6" s="1"/>
      <c r="AK6" s="1"/>
      <c r="AL6" s="1"/>
      <c r="AM6" s="1"/>
      <c r="AN6" s="1"/>
    </row>
    <row r="7" spans="1:40" x14ac:dyDescent="0.25">
      <c r="A7" t="s">
        <v>72</v>
      </c>
      <c r="B7">
        <f>SUM(B10:B28)</f>
        <v>4436.3999999999987</v>
      </c>
      <c r="C7">
        <f t="shared" ref="C7:AG7" si="1">SUM(C10:C28)</f>
        <v>4156.87</v>
      </c>
      <c r="D7">
        <f t="shared" si="1"/>
        <v>4296.2400000000007</v>
      </c>
      <c r="E7">
        <f t="shared" si="1"/>
        <v>4408.1400000000012</v>
      </c>
      <c r="F7">
        <f t="shared" si="1"/>
        <v>4511.3099999999986</v>
      </c>
      <c r="G7">
        <f t="shared" si="1"/>
        <v>4622.0300000000007</v>
      </c>
      <c r="H7">
        <f t="shared" si="1"/>
        <v>4726.8200000000006</v>
      </c>
      <c r="I7">
        <f t="shared" si="1"/>
        <v>4817.9000000000005</v>
      </c>
      <c r="J7">
        <f t="shared" si="1"/>
        <v>4908.3199999999988</v>
      </c>
      <c r="K7">
        <f t="shared" si="1"/>
        <v>5000.7400000000007</v>
      </c>
      <c r="L7">
        <f t="shared" si="1"/>
        <v>5123.5199999999995</v>
      </c>
      <c r="M7">
        <f t="shared" si="1"/>
        <v>5232.37</v>
      </c>
      <c r="N7">
        <f t="shared" si="1"/>
        <v>5362.8</v>
      </c>
      <c r="O7">
        <f t="shared" si="1"/>
        <v>5499.13</v>
      </c>
      <c r="P7">
        <f t="shared" si="1"/>
        <v>5660.4700000000021</v>
      </c>
      <c r="Q7">
        <f t="shared" si="1"/>
        <v>5835.17</v>
      </c>
      <c r="R7">
        <f t="shared" si="1"/>
        <v>5974.739999999998</v>
      </c>
      <c r="S7">
        <f t="shared" si="1"/>
        <v>6115.1299999999983</v>
      </c>
      <c r="T7">
        <f t="shared" si="1"/>
        <v>6269.6100000000006</v>
      </c>
      <c r="U7">
        <f t="shared" si="1"/>
        <v>6424.0799999999981</v>
      </c>
      <c r="V7">
        <f t="shared" si="1"/>
        <v>6594.1000000000022</v>
      </c>
      <c r="W7">
        <f t="shared" si="1"/>
        <v>6760.670000000001</v>
      </c>
      <c r="X7">
        <f t="shared" si="1"/>
        <v>6952.0199999999986</v>
      </c>
      <c r="Y7">
        <f t="shared" si="1"/>
        <v>7146.4200000000019</v>
      </c>
      <c r="Z7">
        <f t="shared" si="1"/>
        <v>7346.79</v>
      </c>
      <c r="AA7">
        <f t="shared" si="1"/>
        <v>7554.13</v>
      </c>
      <c r="AB7">
        <f t="shared" si="1"/>
        <v>7770.3200000000006</v>
      </c>
      <c r="AC7">
        <f t="shared" si="1"/>
        <v>8004.77</v>
      </c>
      <c r="AD7">
        <f t="shared" si="1"/>
        <v>8150.6200000000008</v>
      </c>
      <c r="AE7">
        <f t="shared" si="1"/>
        <v>8283.3299999999981</v>
      </c>
      <c r="AF7">
        <f t="shared" si="1"/>
        <v>8418.75</v>
      </c>
      <c r="AG7">
        <f t="shared" si="1"/>
        <v>8551.17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</row>
    <row r="10" spans="1:40" x14ac:dyDescent="0.25">
      <c r="A10" s="3" t="s">
        <v>21</v>
      </c>
      <c r="B10">
        <f>IF($C$3="CGE",INDEX(GDP_CGE!$A$3:$AN$24,MATCH($A10,GDP_CGE!$A$3:$A$24,0),MATCH(B$9,GDP_CGE!$A$3:$AN$3,0)),GDP_Simple!B8)</f>
        <v>2742.7</v>
      </c>
      <c r="C10">
        <f>IF($C$3="CGE",INDEX(GDP_CGE!$A$3:$AN$24,MATCH($A10,GDP_CGE!$A$3:$A$24,0),MATCH(C$9,GDP_CGE!$A$3:$AN$3,0)),GDP_Simple!C8)</f>
        <v>2570.23</v>
      </c>
      <c r="D10">
        <f>IF($C$3="CGE",INDEX(GDP_CGE!$A$3:$AN$24,MATCH($A10,GDP_CGE!$A$3:$A$24,0),MATCH(D$9,GDP_CGE!$A$3:$AN$3,0)),GDP_Simple!D8)</f>
        <v>2663.51</v>
      </c>
      <c r="E10">
        <f>IF($C$3="CGE",INDEX(GDP_CGE!$A$3:$AN$24,MATCH($A10,GDP_CGE!$A$3:$A$24,0),MATCH(E$9,GDP_CGE!$A$3:$AN$3,0)),GDP_Simple!E8)</f>
        <v>2738.96</v>
      </c>
      <c r="F10">
        <f>IF($C$3="CGE",INDEX(GDP_CGE!$A$3:$AN$24,MATCH($A10,GDP_CGE!$A$3:$A$24,0),MATCH(F$9,GDP_CGE!$A$3:$AN$3,0)),GDP_Simple!F8)</f>
        <v>2812.95</v>
      </c>
      <c r="G10">
        <f>IF($C$3="CGE",INDEX(GDP_CGE!$A$3:$AN$24,MATCH($A10,GDP_CGE!$A$3:$A$24,0),MATCH(G$9,GDP_CGE!$A$3:$AN$3,0)),GDP_Simple!G8)</f>
        <v>2890.84</v>
      </c>
      <c r="H10">
        <f>IF($C$3="CGE",INDEX(GDP_CGE!$A$3:$AN$24,MATCH($A10,GDP_CGE!$A$3:$A$24,0),MATCH(H$9,GDP_CGE!$A$3:$AN$3,0)),GDP_Simple!H8)</f>
        <v>2963.9</v>
      </c>
      <c r="I10">
        <f>IF($C$3="CGE",INDEX(GDP_CGE!$A$3:$AN$24,MATCH($A10,GDP_CGE!$A$3:$A$24,0),MATCH(I$9,GDP_CGE!$A$3:$AN$3,0)),GDP_Simple!I8)</f>
        <v>3029.24</v>
      </c>
      <c r="J10">
        <f>IF($C$3="CGE",INDEX(GDP_CGE!$A$3:$AN$24,MATCH($A10,GDP_CGE!$A$3:$A$24,0),MATCH(J$9,GDP_CGE!$A$3:$AN$3,0)),GDP_Simple!J8)</f>
        <v>3094.44</v>
      </c>
      <c r="K10">
        <f>IF($C$3="CGE",INDEX(GDP_CGE!$A$3:$AN$24,MATCH($A10,GDP_CGE!$A$3:$A$24,0),MATCH(K$9,GDP_CGE!$A$3:$AN$3,0)),GDP_Simple!K8)</f>
        <v>3162.18</v>
      </c>
      <c r="L10">
        <f>IF($C$3="CGE",INDEX(GDP_CGE!$A$3:$AN$24,MATCH($A10,GDP_CGE!$A$3:$A$24,0),MATCH(L$9,GDP_CGE!$A$3:$AN$3,0)),GDP_Simple!L8)</f>
        <v>3245.03</v>
      </c>
      <c r="M10">
        <f>IF($C$3="CGE",INDEX(GDP_CGE!$A$3:$AN$24,MATCH($A10,GDP_CGE!$A$3:$A$24,0),MATCH(M$9,GDP_CGE!$A$3:$AN$3,0)),GDP_Simple!M8)</f>
        <v>3323.15</v>
      </c>
      <c r="N10">
        <f>IF($C$3="CGE",INDEX(GDP_CGE!$A$3:$AN$24,MATCH($A10,GDP_CGE!$A$3:$A$24,0),MATCH(N$9,GDP_CGE!$A$3:$AN$3,0)),GDP_Simple!N8)</f>
        <v>3413.55</v>
      </c>
      <c r="O10">
        <f>IF($C$3="CGE",INDEX(GDP_CGE!$A$3:$AN$24,MATCH($A10,GDP_CGE!$A$3:$A$24,0),MATCH(O$9,GDP_CGE!$A$3:$AN$3,0)),GDP_Simple!O8)</f>
        <v>3506.82</v>
      </c>
      <c r="P10">
        <f>IF($C$3="CGE",INDEX(GDP_CGE!$A$3:$AN$24,MATCH($A10,GDP_CGE!$A$3:$A$24,0),MATCH(P$9,GDP_CGE!$A$3:$AN$3,0)),GDP_Simple!P8)</f>
        <v>3618.29</v>
      </c>
      <c r="Q10">
        <f>IF($C$3="CGE",INDEX(GDP_CGE!$A$3:$AN$24,MATCH($A10,GDP_CGE!$A$3:$A$24,0),MATCH(Q$9,GDP_CGE!$A$3:$AN$3,0)),GDP_Simple!Q8)</f>
        <v>3735.21</v>
      </c>
      <c r="R10">
        <f>IF($C$3="CGE",INDEX(GDP_CGE!$A$3:$AN$24,MATCH($A10,GDP_CGE!$A$3:$A$24,0),MATCH(R$9,GDP_CGE!$A$3:$AN$3,0)),GDP_Simple!R8)</f>
        <v>3846.98</v>
      </c>
      <c r="S10">
        <f>IF($C$3="CGE",INDEX(GDP_CGE!$A$3:$AN$24,MATCH($A10,GDP_CGE!$A$3:$A$24,0),MATCH(S$9,GDP_CGE!$A$3:$AN$3,0)),GDP_Simple!S8)</f>
        <v>3952.74</v>
      </c>
      <c r="T10">
        <f>IF($C$3="CGE",INDEX(GDP_CGE!$A$3:$AN$24,MATCH($A10,GDP_CGE!$A$3:$A$24,0),MATCH(T$9,GDP_CGE!$A$3:$AN$3,0)),GDP_Simple!T8)</f>
        <v>4036.91</v>
      </c>
      <c r="U10">
        <f>IF($C$3="CGE",INDEX(GDP_CGE!$A$3:$AN$24,MATCH($A10,GDP_CGE!$A$3:$A$24,0),MATCH(U$9,GDP_CGE!$A$3:$AN$3,0)),GDP_Simple!U8)</f>
        <v>4137.6000000000004</v>
      </c>
      <c r="V10">
        <f>IF($C$3="CGE",INDEX(GDP_CGE!$A$3:$AN$24,MATCH($A10,GDP_CGE!$A$3:$A$24,0),MATCH(V$9,GDP_CGE!$A$3:$AN$3,0)),GDP_Simple!V8)</f>
        <v>4257.1000000000004</v>
      </c>
      <c r="W10">
        <f>IF($C$3="CGE",INDEX(GDP_CGE!$A$3:$AN$24,MATCH($A10,GDP_CGE!$A$3:$A$24,0),MATCH(W$9,GDP_CGE!$A$3:$AN$3,0)),GDP_Simple!W8)</f>
        <v>4369.76</v>
      </c>
      <c r="X10">
        <f>IF($C$3="CGE",INDEX(GDP_CGE!$A$3:$AN$24,MATCH($A10,GDP_CGE!$A$3:$A$24,0),MATCH(X$9,GDP_CGE!$A$3:$AN$3,0)),GDP_Simple!X8)</f>
        <v>4496.03</v>
      </c>
      <c r="Y10">
        <f>IF($C$3="CGE",INDEX(GDP_CGE!$A$3:$AN$24,MATCH($A10,GDP_CGE!$A$3:$A$24,0),MATCH(Y$9,GDP_CGE!$A$3:$AN$3,0)),GDP_Simple!Y8)</f>
        <v>4622.3</v>
      </c>
      <c r="Z10">
        <f>IF($C$3="CGE",INDEX(GDP_CGE!$A$3:$AN$24,MATCH($A10,GDP_CGE!$A$3:$A$24,0),MATCH(Z$9,GDP_CGE!$A$3:$AN$3,0)),GDP_Simple!Z8)</f>
        <v>4749.76</v>
      </c>
      <c r="AA10">
        <f>IF($C$3="CGE",INDEX(GDP_CGE!$A$3:$AN$24,MATCH($A10,GDP_CGE!$A$3:$A$24,0),MATCH(AA$9,GDP_CGE!$A$3:$AN$3,0)),GDP_Simple!AA8)</f>
        <v>4882.6899999999996</v>
      </c>
      <c r="AB10">
        <f>IF($C$3="CGE",INDEX(GDP_CGE!$A$3:$AN$24,MATCH($A10,GDP_CGE!$A$3:$A$24,0),MATCH(AB$9,GDP_CGE!$A$3:$AN$3,0)),GDP_Simple!AB8)</f>
        <v>5022.43</v>
      </c>
      <c r="AC10">
        <f>IF($C$3="CGE",INDEX(GDP_CGE!$A$3:$AN$24,MATCH($A10,GDP_CGE!$A$3:$A$24,0),MATCH(AC$9,GDP_CGE!$A$3:$AN$3,0)),GDP_Simple!AC8)</f>
        <v>5173.28</v>
      </c>
      <c r="AD10">
        <f>IF($C$3="CGE",INDEX(GDP_CGE!$A$3:$AN$24,MATCH($A10,GDP_CGE!$A$3:$A$24,0),MATCH(AD$9,GDP_CGE!$A$3:$AN$3,0)),GDP_Simple!AD8)</f>
        <v>5269.79</v>
      </c>
      <c r="AE10">
        <f>IF($C$3="CGE",INDEX(GDP_CGE!$A$3:$AN$24,MATCH($A10,GDP_CGE!$A$3:$A$24,0),MATCH(AE$9,GDP_CGE!$A$3:$AN$3,0)),GDP_Simple!AE8)</f>
        <v>5354.74</v>
      </c>
      <c r="AF10">
        <f>IF($C$3="CGE",INDEX(GDP_CGE!$A$3:$AN$24,MATCH($A10,GDP_CGE!$A$3:$A$24,0),MATCH(AF$9,GDP_CGE!$A$3:$AN$3,0)),GDP_Simple!AF8)</f>
        <v>5438.42</v>
      </c>
      <c r="AG10">
        <f>IF($C$3="CGE",INDEX(GDP_CGE!$A$3:$AN$24,MATCH($A10,GDP_CGE!$A$3:$A$24,0),MATCH(AG$9,GDP_CGE!$A$3:$AN$3,0)),GDP_Simple!AG8)</f>
        <v>5519.16</v>
      </c>
    </row>
    <row r="11" spans="1:40" x14ac:dyDescent="0.25">
      <c r="A11" s="3" t="s">
        <v>73</v>
      </c>
      <c r="B11">
        <f>IF($C$3="CGE",INDEX(GDP_CGE!$A$3:$AN$24,MATCH($A11,GDP_CGE!$A$3:$A$24,0),MATCH(B$9,GDP_CGE!$A$3:$AN$3,0)),GDP_Simple!B9)</f>
        <v>102.77</v>
      </c>
      <c r="C11">
        <f>IF($C$3="CGE",INDEX(GDP_CGE!$A$3:$AN$24,MATCH($A11,GDP_CGE!$A$3:$A$24,0),MATCH(C$9,GDP_CGE!$A$3:$AN$3,0)),GDP_Simple!C9)</f>
        <v>101.85</v>
      </c>
      <c r="D11">
        <f>IF($C$3="CGE",INDEX(GDP_CGE!$A$3:$AN$24,MATCH($A11,GDP_CGE!$A$3:$A$24,0),MATCH(D$9,GDP_CGE!$A$3:$AN$3,0)),GDP_Simple!D9)</f>
        <v>104.68</v>
      </c>
      <c r="E11">
        <f>IF($C$3="CGE",INDEX(GDP_CGE!$A$3:$AN$24,MATCH($A11,GDP_CGE!$A$3:$A$24,0),MATCH(E$9,GDP_CGE!$A$3:$AN$3,0)),GDP_Simple!E9)</f>
        <v>107.17</v>
      </c>
      <c r="F11">
        <f>IF($C$3="CGE",INDEX(GDP_CGE!$A$3:$AN$24,MATCH($A11,GDP_CGE!$A$3:$A$24,0),MATCH(F$9,GDP_CGE!$A$3:$AN$3,0)),GDP_Simple!F9)</f>
        <v>109.35</v>
      </c>
      <c r="G11">
        <f>IF($C$3="CGE",INDEX(GDP_CGE!$A$3:$AN$24,MATCH($A11,GDP_CGE!$A$3:$A$24,0),MATCH(G$9,GDP_CGE!$A$3:$AN$3,0)),GDP_Simple!G9)</f>
        <v>111.59</v>
      </c>
      <c r="H11">
        <f>IF($C$3="CGE",INDEX(GDP_CGE!$A$3:$AN$24,MATCH($A11,GDP_CGE!$A$3:$A$24,0),MATCH(H$9,GDP_CGE!$A$3:$AN$3,0)),GDP_Simple!H9)</f>
        <v>113.61</v>
      </c>
      <c r="I11">
        <f>IF($C$3="CGE",INDEX(GDP_CGE!$A$3:$AN$24,MATCH($A11,GDP_CGE!$A$3:$A$24,0),MATCH(I$9,GDP_CGE!$A$3:$AN$3,0)),GDP_Simple!I9)</f>
        <v>115.3</v>
      </c>
      <c r="J11">
        <f>IF($C$3="CGE",INDEX(GDP_CGE!$A$3:$AN$24,MATCH($A11,GDP_CGE!$A$3:$A$24,0),MATCH(J$9,GDP_CGE!$A$3:$AN$3,0)),GDP_Simple!J9)</f>
        <v>116.94</v>
      </c>
      <c r="K11">
        <f>IF($C$3="CGE",INDEX(GDP_CGE!$A$3:$AN$24,MATCH($A11,GDP_CGE!$A$3:$A$24,0),MATCH(K$9,GDP_CGE!$A$3:$AN$3,0)),GDP_Simple!K9)</f>
        <v>120.33</v>
      </c>
      <c r="L11">
        <f>IF($C$3="CGE",INDEX(GDP_CGE!$A$3:$AN$24,MATCH($A11,GDP_CGE!$A$3:$A$24,0),MATCH(L$9,GDP_CGE!$A$3:$AN$3,0)),GDP_Simple!L9)</f>
        <v>123.7</v>
      </c>
      <c r="M11">
        <f>IF($C$3="CGE",INDEX(GDP_CGE!$A$3:$AN$24,MATCH($A11,GDP_CGE!$A$3:$A$24,0),MATCH(M$9,GDP_CGE!$A$3:$AN$3,0)),GDP_Simple!M9)</f>
        <v>126.03</v>
      </c>
      <c r="N11">
        <f>IF($C$3="CGE",INDEX(GDP_CGE!$A$3:$AN$24,MATCH($A11,GDP_CGE!$A$3:$A$24,0),MATCH(N$9,GDP_CGE!$A$3:$AN$3,0)),GDP_Simple!N9)</f>
        <v>128.57</v>
      </c>
      <c r="O11">
        <f>IF($C$3="CGE",INDEX(GDP_CGE!$A$3:$AN$24,MATCH($A11,GDP_CGE!$A$3:$A$24,0),MATCH(O$9,GDP_CGE!$A$3:$AN$3,0)),GDP_Simple!O9)</f>
        <v>130.74</v>
      </c>
      <c r="P11">
        <f>IF($C$3="CGE",INDEX(GDP_CGE!$A$3:$AN$24,MATCH($A11,GDP_CGE!$A$3:$A$24,0),MATCH(P$9,GDP_CGE!$A$3:$AN$3,0)),GDP_Simple!P9)</f>
        <v>133.47999999999999</v>
      </c>
      <c r="Q11">
        <f>IF($C$3="CGE",INDEX(GDP_CGE!$A$3:$AN$24,MATCH($A11,GDP_CGE!$A$3:$A$24,0),MATCH(Q$9,GDP_CGE!$A$3:$AN$3,0)),GDP_Simple!Q9)</f>
        <v>136.05000000000001</v>
      </c>
      <c r="R11">
        <f>IF($C$3="CGE",INDEX(GDP_CGE!$A$3:$AN$24,MATCH($A11,GDP_CGE!$A$3:$A$24,0),MATCH(R$9,GDP_CGE!$A$3:$AN$3,0)),GDP_Simple!R9)</f>
        <v>140.6</v>
      </c>
      <c r="S11">
        <f>IF($C$3="CGE",INDEX(GDP_CGE!$A$3:$AN$24,MATCH($A11,GDP_CGE!$A$3:$A$24,0),MATCH(S$9,GDP_CGE!$A$3:$AN$3,0)),GDP_Simple!S9)</f>
        <v>145.51</v>
      </c>
      <c r="T11">
        <f>IF($C$3="CGE",INDEX(GDP_CGE!$A$3:$AN$24,MATCH($A11,GDP_CGE!$A$3:$A$24,0),MATCH(T$9,GDP_CGE!$A$3:$AN$3,0)),GDP_Simple!T9)</f>
        <v>147.41999999999999</v>
      </c>
      <c r="U11">
        <f>IF($C$3="CGE",INDEX(GDP_CGE!$A$3:$AN$24,MATCH($A11,GDP_CGE!$A$3:$A$24,0),MATCH(U$9,GDP_CGE!$A$3:$AN$3,0)),GDP_Simple!U9)</f>
        <v>149.72999999999999</v>
      </c>
      <c r="V11">
        <f>IF($C$3="CGE",INDEX(GDP_CGE!$A$3:$AN$24,MATCH($A11,GDP_CGE!$A$3:$A$24,0),MATCH(V$9,GDP_CGE!$A$3:$AN$3,0)),GDP_Simple!V9)</f>
        <v>151.53</v>
      </c>
      <c r="W11">
        <f>IF($C$3="CGE",INDEX(GDP_CGE!$A$3:$AN$24,MATCH($A11,GDP_CGE!$A$3:$A$24,0),MATCH(W$9,GDP_CGE!$A$3:$AN$3,0)),GDP_Simple!W9)</f>
        <v>154.26</v>
      </c>
      <c r="X11">
        <f>IF($C$3="CGE",INDEX(GDP_CGE!$A$3:$AN$24,MATCH($A11,GDP_CGE!$A$3:$A$24,0),MATCH(X$9,GDP_CGE!$A$3:$AN$3,0)),GDP_Simple!X9)</f>
        <v>157.19</v>
      </c>
      <c r="Y11">
        <f>IF($C$3="CGE",INDEX(GDP_CGE!$A$3:$AN$24,MATCH($A11,GDP_CGE!$A$3:$A$24,0),MATCH(Y$9,GDP_CGE!$A$3:$AN$3,0)),GDP_Simple!Y9)</f>
        <v>159.76</v>
      </c>
      <c r="Z11">
        <f>IF($C$3="CGE",INDEX(GDP_CGE!$A$3:$AN$24,MATCH($A11,GDP_CGE!$A$3:$A$24,0),MATCH(Z$9,GDP_CGE!$A$3:$AN$3,0)),GDP_Simple!Z9)</f>
        <v>161.96</v>
      </c>
      <c r="AA11">
        <f>IF($C$3="CGE",INDEX(GDP_CGE!$A$3:$AN$24,MATCH($A11,GDP_CGE!$A$3:$A$24,0),MATCH(AA$9,GDP_CGE!$A$3:$AN$3,0)),GDP_Simple!AA9)</f>
        <v>164.13</v>
      </c>
      <c r="AB11">
        <f>IF($C$3="CGE",INDEX(GDP_CGE!$A$3:$AN$24,MATCH($A11,GDP_CGE!$A$3:$A$24,0),MATCH(AB$9,GDP_CGE!$A$3:$AN$3,0)),GDP_Simple!AB9)</f>
        <v>166.38</v>
      </c>
      <c r="AC11">
        <f>IF($C$3="CGE",INDEX(GDP_CGE!$A$3:$AN$24,MATCH($A11,GDP_CGE!$A$3:$A$24,0),MATCH(AC$9,GDP_CGE!$A$3:$AN$3,0)),GDP_Simple!AC9)</f>
        <v>168.75</v>
      </c>
      <c r="AD11">
        <f>IF($C$3="CGE",INDEX(GDP_CGE!$A$3:$AN$24,MATCH($A11,GDP_CGE!$A$3:$A$24,0),MATCH(AD$9,GDP_CGE!$A$3:$AN$3,0)),GDP_Simple!AD9)</f>
        <v>169.19</v>
      </c>
      <c r="AE11">
        <f>IF($C$3="CGE",INDEX(GDP_CGE!$A$3:$AN$24,MATCH($A11,GDP_CGE!$A$3:$A$24,0),MATCH(AE$9,GDP_CGE!$A$3:$AN$3,0)),GDP_Simple!AE9)</f>
        <v>169.4</v>
      </c>
      <c r="AF11">
        <f>IF($C$3="CGE",INDEX(GDP_CGE!$A$3:$AN$24,MATCH($A11,GDP_CGE!$A$3:$A$24,0),MATCH(AF$9,GDP_CGE!$A$3:$AN$3,0)),GDP_Simple!AF9)</f>
        <v>169.79</v>
      </c>
      <c r="AG11">
        <f>IF($C$3="CGE",INDEX(GDP_CGE!$A$3:$AN$24,MATCH($A11,GDP_CGE!$A$3:$A$24,0),MATCH(AG$9,GDP_CGE!$A$3:$AN$3,0)),GDP_Simple!AG9)</f>
        <v>170.18</v>
      </c>
    </row>
    <row r="12" spans="1:40" x14ac:dyDescent="0.25">
      <c r="A12" s="3" t="s">
        <v>23</v>
      </c>
      <c r="B12">
        <f>IF($C$3="CGE",INDEX(GDP_CGE!$A$3:$AN$24,MATCH($A12,GDP_CGE!$A$3:$A$24,0),MATCH(B$9,GDP_CGE!$A$3:$AN$3,0)),GDP_Simple!B10)</f>
        <v>197.32</v>
      </c>
      <c r="C12">
        <f>IF($C$3="CGE",INDEX(GDP_CGE!$A$3:$AN$24,MATCH($A12,GDP_CGE!$A$3:$A$24,0),MATCH(C$9,GDP_CGE!$A$3:$AN$3,0)),GDP_Simple!C10)</f>
        <v>188.75</v>
      </c>
      <c r="D12">
        <f>IF($C$3="CGE",INDEX(GDP_CGE!$A$3:$AN$24,MATCH($A12,GDP_CGE!$A$3:$A$24,0),MATCH(D$9,GDP_CGE!$A$3:$AN$3,0)),GDP_Simple!D10)</f>
        <v>193.27</v>
      </c>
      <c r="E12">
        <f>IF($C$3="CGE",INDEX(GDP_CGE!$A$3:$AN$24,MATCH($A12,GDP_CGE!$A$3:$A$24,0),MATCH(E$9,GDP_CGE!$A$3:$AN$3,0)),GDP_Simple!E10)</f>
        <v>196.31</v>
      </c>
      <c r="F12">
        <f>IF($C$3="CGE",INDEX(GDP_CGE!$A$3:$AN$24,MATCH($A12,GDP_CGE!$A$3:$A$24,0),MATCH(F$9,GDP_CGE!$A$3:$AN$3,0)),GDP_Simple!F10)</f>
        <v>199.37</v>
      </c>
      <c r="G12">
        <f>IF($C$3="CGE",INDEX(GDP_CGE!$A$3:$AN$24,MATCH($A12,GDP_CGE!$A$3:$A$24,0),MATCH(G$9,GDP_CGE!$A$3:$AN$3,0)),GDP_Simple!G10)</f>
        <v>202.51</v>
      </c>
      <c r="H12">
        <f>IF($C$3="CGE",INDEX(GDP_CGE!$A$3:$AN$24,MATCH($A12,GDP_CGE!$A$3:$A$24,0),MATCH(H$9,GDP_CGE!$A$3:$AN$3,0)),GDP_Simple!H10)</f>
        <v>205.34</v>
      </c>
      <c r="I12">
        <f>IF($C$3="CGE",INDEX(GDP_CGE!$A$3:$AN$24,MATCH($A12,GDP_CGE!$A$3:$A$24,0),MATCH(I$9,GDP_CGE!$A$3:$AN$3,0)),GDP_Simple!I10)</f>
        <v>207.91</v>
      </c>
      <c r="J12">
        <f>IF($C$3="CGE",INDEX(GDP_CGE!$A$3:$AN$24,MATCH($A12,GDP_CGE!$A$3:$A$24,0),MATCH(J$9,GDP_CGE!$A$3:$AN$3,0)),GDP_Simple!J10)</f>
        <v>210.39</v>
      </c>
      <c r="K12">
        <f>IF($C$3="CGE",INDEX(GDP_CGE!$A$3:$AN$24,MATCH($A12,GDP_CGE!$A$3:$A$24,0),MATCH(K$9,GDP_CGE!$A$3:$AN$3,0)),GDP_Simple!K10)</f>
        <v>216.65</v>
      </c>
      <c r="L12">
        <f>IF($C$3="CGE",INDEX(GDP_CGE!$A$3:$AN$24,MATCH($A12,GDP_CGE!$A$3:$A$24,0),MATCH(L$9,GDP_CGE!$A$3:$AN$3,0)),GDP_Simple!L10)</f>
        <v>221.84</v>
      </c>
      <c r="M12">
        <f>IF($C$3="CGE",INDEX(GDP_CGE!$A$3:$AN$24,MATCH($A12,GDP_CGE!$A$3:$A$24,0),MATCH(M$9,GDP_CGE!$A$3:$AN$3,0)),GDP_Simple!M10)</f>
        <v>224.93</v>
      </c>
      <c r="N12">
        <f>IF($C$3="CGE",INDEX(GDP_CGE!$A$3:$AN$24,MATCH($A12,GDP_CGE!$A$3:$A$24,0),MATCH(N$9,GDP_CGE!$A$3:$AN$3,0)),GDP_Simple!N10)</f>
        <v>227.79</v>
      </c>
      <c r="O12">
        <f>IF($C$3="CGE",INDEX(GDP_CGE!$A$3:$AN$24,MATCH($A12,GDP_CGE!$A$3:$A$24,0),MATCH(O$9,GDP_CGE!$A$3:$AN$3,0)),GDP_Simple!O10)</f>
        <v>230</v>
      </c>
      <c r="P12">
        <f>IF($C$3="CGE",INDEX(GDP_CGE!$A$3:$AN$24,MATCH($A12,GDP_CGE!$A$3:$A$24,0),MATCH(P$9,GDP_CGE!$A$3:$AN$3,0)),GDP_Simple!P10)</f>
        <v>232.79</v>
      </c>
      <c r="Q12">
        <f>IF($C$3="CGE",INDEX(GDP_CGE!$A$3:$AN$24,MATCH($A12,GDP_CGE!$A$3:$A$24,0),MATCH(Q$9,GDP_CGE!$A$3:$AN$3,0)),GDP_Simple!Q10)</f>
        <v>235.36</v>
      </c>
      <c r="R12">
        <f>IF($C$3="CGE",INDEX(GDP_CGE!$A$3:$AN$24,MATCH($A12,GDP_CGE!$A$3:$A$24,0),MATCH(R$9,GDP_CGE!$A$3:$AN$3,0)),GDP_Simple!R10)</f>
        <v>242.48</v>
      </c>
      <c r="S12">
        <f>IF($C$3="CGE",INDEX(GDP_CGE!$A$3:$AN$24,MATCH($A12,GDP_CGE!$A$3:$A$24,0),MATCH(S$9,GDP_CGE!$A$3:$AN$3,0)),GDP_Simple!S10)</f>
        <v>250.03</v>
      </c>
      <c r="T12">
        <f>IF($C$3="CGE",INDEX(GDP_CGE!$A$3:$AN$24,MATCH($A12,GDP_CGE!$A$3:$A$24,0),MATCH(T$9,GDP_CGE!$A$3:$AN$3,0)),GDP_Simple!T10)</f>
        <v>252.13</v>
      </c>
      <c r="U12">
        <f>IF($C$3="CGE",INDEX(GDP_CGE!$A$3:$AN$24,MATCH($A12,GDP_CGE!$A$3:$A$24,0),MATCH(U$9,GDP_CGE!$A$3:$AN$3,0)),GDP_Simple!U10)</f>
        <v>254.81</v>
      </c>
      <c r="V12">
        <f>IF($C$3="CGE",INDEX(GDP_CGE!$A$3:$AN$24,MATCH($A12,GDP_CGE!$A$3:$A$24,0),MATCH(V$9,GDP_CGE!$A$3:$AN$3,0)),GDP_Simple!V10)</f>
        <v>254.84</v>
      </c>
      <c r="W12">
        <f>IF($C$3="CGE",INDEX(GDP_CGE!$A$3:$AN$24,MATCH($A12,GDP_CGE!$A$3:$A$24,0),MATCH(W$9,GDP_CGE!$A$3:$AN$3,0)),GDP_Simple!W10)</f>
        <v>258.02</v>
      </c>
      <c r="X12">
        <f>IF($C$3="CGE",INDEX(GDP_CGE!$A$3:$AN$24,MATCH($A12,GDP_CGE!$A$3:$A$24,0),MATCH(X$9,GDP_CGE!$A$3:$AN$3,0)),GDP_Simple!X10)</f>
        <v>260.3</v>
      </c>
      <c r="Y12">
        <f>IF($C$3="CGE",INDEX(GDP_CGE!$A$3:$AN$24,MATCH($A12,GDP_CGE!$A$3:$A$24,0),MATCH(Y$9,GDP_CGE!$A$3:$AN$3,0)),GDP_Simple!Y10)</f>
        <v>261.68</v>
      </c>
      <c r="Z12">
        <f>IF($C$3="CGE",INDEX(GDP_CGE!$A$3:$AN$24,MATCH($A12,GDP_CGE!$A$3:$A$24,0),MATCH(Z$9,GDP_CGE!$A$3:$AN$3,0)),GDP_Simple!Z10)</f>
        <v>262.60000000000002</v>
      </c>
      <c r="AA12">
        <f>IF($C$3="CGE",INDEX(GDP_CGE!$A$3:$AN$24,MATCH($A12,GDP_CGE!$A$3:$A$24,0),MATCH(AA$9,GDP_CGE!$A$3:$AN$3,0)),GDP_Simple!AA10)</f>
        <v>263.49</v>
      </c>
      <c r="AB12">
        <f>IF($C$3="CGE",INDEX(GDP_CGE!$A$3:$AN$24,MATCH($A12,GDP_CGE!$A$3:$A$24,0),MATCH(AB$9,GDP_CGE!$A$3:$AN$3,0)),GDP_Simple!AB10)</f>
        <v>264.62</v>
      </c>
      <c r="AC12">
        <f>IF($C$3="CGE",INDEX(GDP_CGE!$A$3:$AN$24,MATCH($A12,GDP_CGE!$A$3:$A$24,0),MATCH(AC$9,GDP_CGE!$A$3:$AN$3,0)),GDP_Simple!AC10)</f>
        <v>266.10000000000002</v>
      </c>
      <c r="AD12">
        <f>IF($C$3="CGE",INDEX(GDP_CGE!$A$3:$AN$24,MATCH($A12,GDP_CGE!$A$3:$A$24,0),MATCH(AD$9,GDP_CGE!$A$3:$AN$3,0)),GDP_Simple!AD10)</f>
        <v>265.45999999999998</v>
      </c>
      <c r="AE12">
        <f>IF($C$3="CGE",INDEX(GDP_CGE!$A$3:$AN$24,MATCH($A12,GDP_CGE!$A$3:$A$24,0),MATCH(AE$9,GDP_CGE!$A$3:$AN$3,0)),GDP_Simple!AE10)</f>
        <v>264.17</v>
      </c>
      <c r="AF12">
        <f>IF($C$3="CGE",INDEX(GDP_CGE!$A$3:$AN$24,MATCH($A12,GDP_CGE!$A$3:$A$24,0),MATCH(AF$9,GDP_CGE!$A$3:$AN$3,0)),GDP_Simple!AF10)</f>
        <v>263.06</v>
      </c>
      <c r="AG12">
        <f>IF($C$3="CGE",INDEX(GDP_CGE!$A$3:$AN$24,MATCH($A12,GDP_CGE!$A$3:$A$24,0),MATCH(AG$9,GDP_CGE!$A$3:$AN$3,0)),GDP_Simple!AG10)</f>
        <v>261.68</v>
      </c>
    </row>
    <row r="13" spans="1:40" x14ac:dyDescent="0.25">
      <c r="A13" s="3" t="s">
        <v>24</v>
      </c>
      <c r="B13">
        <f>IF($C$3="CGE",INDEX(GDP_CGE!$A$3:$AN$24,MATCH($A13,GDP_CGE!$A$3:$A$24,0),MATCH(B$9,GDP_CGE!$A$3:$AN$3,0)),GDP_Simple!B11)</f>
        <v>155.19999999999999</v>
      </c>
      <c r="C13">
        <f>IF($C$3="CGE",INDEX(GDP_CGE!$A$3:$AN$24,MATCH($A13,GDP_CGE!$A$3:$A$24,0),MATCH(C$9,GDP_CGE!$A$3:$AN$3,0)),GDP_Simple!C11)</f>
        <v>154.51</v>
      </c>
      <c r="D13">
        <f>IF($C$3="CGE",INDEX(GDP_CGE!$A$3:$AN$24,MATCH($A13,GDP_CGE!$A$3:$A$24,0),MATCH(D$9,GDP_CGE!$A$3:$AN$3,0)),GDP_Simple!D11)</f>
        <v>161.34</v>
      </c>
      <c r="E13">
        <f>IF($C$3="CGE",INDEX(GDP_CGE!$A$3:$AN$24,MATCH($A13,GDP_CGE!$A$3:$A$24,0),MATCH(E$9,GDP_CGE!$A$3:$AN$3,0)),GDP_Simple!E11)</f>
        <v>167.36</v>
      </c>
      <c r="F13">
        <f>IF($C$3="CGE",INDEX(GDP_CGE!$A$3:$AN$24,MATCH($A13,GDP_CGE!$A$3:$A$24,0),MATCH(F$9,GDP_CGE!$A$3:$AN$3,0)),GDP_Simple!F11)</f>
        <v>172.82</v>
      </c>
      <c r="G13">
        <f>IF($C$3="CGE",INDEX(GDP_CGE!$A$3:$AN$24,MATCH($A13,GDP_CGE!$A$3:$A$24,0),MATCH(G$9,GDP_CGE!$A$3:$AN$3,0)),GDP_Simple!G11)</f>
        <v>178.36</v>
      </c>
      <c r="H13">
        <f>IF($C$3="CGE",INDEX(GDP_CGE!$A$3:$AN$24,MATCH($A13,GDP_CGE!$A$3:$A$24,0),MATCH(H$9,GDP_CGE!$A$3:$AN$3,0)),GDP_Simple!H11)</f>
        <v>183.29</v>
      </c>
      <c r="I13">
        <f>IF($C$3="CGE",INDEX(GDP_CGE!$A$3:$AN$24,MATCH($A13,GDP_CGE!$A$3:$A$24,0),MATCH(I$9,GDP_CGE!$A$3:$AN$3,0)),GDP_Simple!I11)</f>
        <v>187.41</v>
      </c>
      <c r="J13">
        <f>IF($C$3="CGE",INDEX(GDP_CGE!$A$3:$AN$24,MATCH($A13,GDP_CGE!$A$3:$A$24,0),MATCH(J$9,GDP_CGE!$A$3:$AN$3,0)),GDP_Simple!J11)</f>
        <v>191.52</v>
      </c>
      <c r="K13">
        <f>IF($C$3="CGE",INDEX(GDP_CGE!$A$3:$AN$24,MATCH($A13,GDP_CGE!$A$3:$A$24,0),MATCH(K$9,GDP_CGE!$A$3:$AN$3,0)),GDP_Simple!K11)</f>
        <v>198.84</v>
      </c>
      <c r="L13">
        <f>IF($C$3="CGE",INDEX(GDP_CGE!$A$3:$AN$24,MATCH($A13,GDP_CGE!$A$3:$A$24,0),MATCH(L$9,GDP_CGE!$A$3:$AN$3,0)),GDP_Simple!L11)</f>
        <v>205.18</v>
      </c>
      <c r="M13">
        <f>IF($C$3="CGE",INDEX(GDP_CGE!$A$3:$AN$24,MATCH($A13,GDP_CGE!$A$3:$A$24,0),MATCH(M$9,GDP_CGE!$A$3:$AN$3,0)),GDP_Simple!M11)</f>
        <v>209.75</v>
      </c>
      <c r="N13">
        <f>IF($C$3="CGE",INDEX(GDP_CGE!$A$3:$AN$24,MATCH($A13,GDP_CGE!$A$3:$A$24,0),MATCH(N$9,GDP_CGE!$A$3:$AN$3,0)),GDP_Simple!N11)</f>
        <v>214.9</v>
      </c>
      <c r="O13">
        <f>IF($C$3="CGE",INDEX(GDP_CGE!$A$3:$AN$24,MATCH($A13,GDP_CGE!$A$3:$A$24,0),MATCH(O$9,GDP_CGE!$A$3:$AN$3,0)),GDP_Simple!O11)</f>
        <v>219.47</v>
      </c>
      <c r="P13">
        <f>IF($C$3="CGE",INDEX(GDP_CGE!$A$3:$AN$24,MATCH($A13,GDP_CGE!$A$3:$A$24,0),MATCH(P$9,GDP_CGE!$A$3:$AN$3,0)),GDP_Simple!P11)</f>
        <v>225.07</v>
      </c>
      <c r="Q13">
        <f>IF($C$3="CGE",INDEX(GDP_CGE!$A$3:$AN$24,MATCH($A13,GDP_CGE!$A$3:$A$24,0),MATCH(Q$9,GDP_CGE!$A$3:$AN$3,0)),GDP_Simple!Q11)</f>
        <v>230.49</v>
      </c>
      <c r="R13">
        <f>IF($C$3="CGE",INDEX(GDP_CGE!$A$3:$AN$24,MATCH($A13,GDP_CGE!$A$3:$A$24,0),MATCH(R$9,GDP_CGE!$A$3:$AN$3,0)),GDP_Simple!R11)</f>
        <v>241.08</v>
      </c>
      <c r="S13">
        <f>IF($C$3="CGE",INDEX(GDP_CGE!$A$3:$AN$24,MATCH($A13,GDP_CGE!$A$3:$A$24,0),MATCH(S$9,GDP_CGE!$A$3:$AN$3,0)),GDP_Simple!S11)</f>
        <v>251.92</v>
      </c>
      <c r="T13">
        <f>IF($C$3="CGE",INDEX(GDP_CGE!$A$3:$AN$24,MATCH($A13,GDP_CGE!$A$3:$A$24,0),MATCH(T$9,GDP_CGE!$A$3:$AN$3,0)),GDP_Simple!T11)</f>
        <v>255.45</v>
      </c>
      <c r="U13">
        <f>IF($C$3="CGE",INDEX(GDP_CGE!$A$3:$AN$24,MATCH($A13,GDP_CGE!$A$3:$A$24,0),MATCH(U$9,GDP_CGE!$A$3:$AN$3,0)),GDP_Simple!U11)</f>
        <v>259.19</v>
      </c>
      <c r="V13">
        <f>IF($C$3="CGE",INDEX(GDP_CGE!$A$3:$AN$24,MATCH($A13,GDP_CGE!$A$3:$A$24,0),MATCH(V$9,GDP_CGE!$A$3:$AN$3,0)),GDP_Simple!V11)</f>
        <v>261.45999999999998</v>
      </c>
      <c r="W13">
        <f>IF($C$3="CGE",INDEX(GDP_CGE!$A$3:$AN$24,MATCH($A13,GDP_CGE!$A$3:$A$24,0),MATCH(W$9,GDP_CGE!$A$3:$AN$3,0)),GDP_Simple!W11)</f>
        <v>266.93</v>
      </c>
      <c r="X13">
        <f>IF($C$3="CGE",INDEX(GDP_CGE!$A$3:$AN$24,MATCH($A13,GDP_CGE!$A$3:$A$24,0),MATCH(X$9,GDP_CGE!$A$3:$AN$3,0)),GDP_Simple!X11)</f>
        <v>272.95999999999998</v>
      </c>
      <c r="Y13">
        <f>IF($C$3="CGE",INDEX(GDP_CGE!$A$3:$AN$24,MATCH($A13,GDP_CGE!$A$3:$A$24,0),MATCH(Y$9,GDP_CGE!$A$3:$AN$3,0)),GDP_Simple!Y11)</f>
        <v>277.56</v>
      </c>
      <c r="Z13">
        <f>IF($C$3="CGE",INDEX(GDP_CGE!$A$3:$AN$24,MATCH($A13,GDP_CGE!$A$3:$A$24,0),MATCH(Z$9,GDP_CGE!$A$3:$AN$3,0)),GDP_Simple!Z11)</f>
        <v>281.05</v>
      </c>
      <c r="AA13">
        <f>IF($C$3="CGE",INDEX(GDP_CGE!$A$3:$AN$24,MATCH($A13,GDP_CGE!$A$3:$A$24,0),MATCH(AA$9,GDP_CGE!$A$3:$AN$3,0)),GDP_Simple!AA11)</f>
        <v>284.37</v>
      </c>
      <c r="AB13">
        <f>IF($C$3="CGE",INDEX(GDP_CGE!$A$3:$AN$24,MATCH($A13,GDP_CGE!$A$3:$A$24,0),MATCH(AB$9,GDP_CGE!$A$3:$AN$3,0)),GDP_Simple!AB11)</f>
        <v>287.97000000000003</v>
      </c>
      <c r="AC13">
        <f>IF($C$3="CGE",INDEX(GDP_CGE!$A$3:$AN$24,MATCH($A13,GDP_CGE!$A$3:$A$24,0),MATCH(AC$9,GDP_CGE!$A$3:$AN$3,0)),GDP_Simple!AC11)</f>
        <v>291.79000000000002</v>
      </c>
      <c r="AD13">
        <f>IF($C$3="CGE",INDEX(GDP_CGE!$A$3:$AN$24,MATCH($A13,GDP_CGE!$A$3:$A$24,0),MATCH(AD$9,GDP_CGE!$A$3:$AN$3,0)),GDP_Simple!AD11)</f>
        <v>292.86</v>
      </c>
      <c r="AE13">
        <f>IF($C$3="CGE",INDEX(GDP_CGE!$A$3:$AN$24,MATCH($A13,GDP_CGE!$A$3:$A$24,0),MATCH(AE$9,GDP_CGE!$A$3:$AN$3,0)),GDP_Simple!AE11)</f>
        <v>293.20999999999998</v>
      </c>
      <c r="AF13">
        <f>IF($C$3="CGE",INDEX(GDP_CGE!$A$3:$AN$24,MATCH($A13,GDP_CGE!$A$3:$A$24,0),MATCH(AF$9,GDP_CGE!$A$3:$AN$3,0)),GDP_Simple!AF11)</f>
        <v>293.61</v>
      </c>
      <c r="AG13">
        <f>IF($C$3="CGE",INDEX(GDP_CGE!$A$3:$AN$24,MATCH($A13,GDP_CGE!$A$3:$A$24,0),MATCH(AG$9,GDP_CGE!$A$3:$AN$3,0)),GDP_Simple!AG11)</f>
        <v>293.94</v>
      </c>
    </row>
    <row r="14" spans="1:40" x14ac:dyDescent="0.25">
      <c r="A14" s="3" t="s">
        <v>25</v>
      </c>
      <c r="B14">
        <f>IF($C$3="CGE",INDEX(GDP_CGE!$A$3:$AN$24,MATCH($A14,GDP_CGE!$A$3:$A$24,0),MATCH(B$9,GDP_CGE!$A$3:$AN$3,0)),GDP_Simple!B12)</f>
        <v>366.71</v>
      </c>
      <c r="C14">
        <f>IF($C$3="CGE",INDEX(GDP_CGE!$A$3:$AN$24,MATCH($A14,GDP_CGE!$A$3:$A$24,0),MATCH(C$9,GDP_CGE!$A$3:$AN$3,0)),GDP_Simple!C12)</f>
        <v>339.03</v>
      </c>
      <c r="D14">
        <f>IF($C$3="CGE",INDEX(GDP_CGE!$A$3:$AN$24,MATCH($A14,GDP_CGE!$A$3:$A$24,0),MATCH(D$9,GDP_CGE!$A$3:$AN$3,0)),GDP_Simple!D12)</f>
        <v>349.62</v>
      </c>
      <c r="E14">
        <f>IF($C$3="CGE",INDEX(GDP_CGE!$A$3:$AN$24,MATCH($A14,GDP_CGE!$A$3:$A$24,0),MATCH(E$9,GDP_CGE!$A$3:$AN$3,0)),GDP_Simple!E12)</f>
        <v>356.97</v>
      </c>
      <c r="F14">
        <f>IF($C$3="CGE",INDEX(GDP_CGE!$A$3:$AN$24,MATCH($A14,GDP_CGE!$A$3:$A$24,0),MATCH(F$9,GDP_CGE!$A$3:$AN$3,0)),GDP_Simple!F12)</f>
        <v>365</v>
      </c>
      <c r="G14">
        <f>IF($C$3="CGE",INDEX(GDP_CGE!$A$3:$AN$24,MATCH($A14,GDP_CGE!$A$3:$A$24,0),MATCH(G$9,GDP_CGE!$A$3:$AN$3,0)),GDP_Simple!G12)</f>
        <v>374.06</v>
      </c>
      <c r="H14">
        <f>IF($C$3="CGE",INDEX(GDP_CGE!$A$3:$AN$24,MATCH($A14,GDP_CGE!$A$3:$A$24,0),MATCH(H$9,GDP_CGE!$A$3:$AN$3,0)),GDP_Simple!H12)</f>
        <v>382.81</v>
      </c>
      <c r="I14">
        <f>IF($C$3="CGE",INDEX(GDP_CGE!$A$3:$AN$24,MATCH($A14,GDP_CGE!$A$3:$A$24,0),MATCH(I$9,GDP_CGE!$A$3:$AN$3,0)),GDP_Simple!I12)</f>
        <v>391.7</v>
      </c>
      <c r="J14">
        <f>IF($C$3="CGE",INDEX(GDP_CGE!$A$3:$AN$24,MATCH($A14,GDP_CGE!$A$3:$A$24,0),MATCH(J$9,GDP_CGE!$A$3:$AN$3,0)),GDP_Simple!J12)</f>
        <v>400.21</v>
      </c>
      <c r="K14">
        <f>IF($C$3="CGE",INDEX(GDP_CGE!$A$3:$AN$24,MATCH($A14,GDP_CGE!$A$3:$A$24,0),MATCH(K$9,GDP_CGE!$A$3:$AN$3,0)),GDP_Simple!K12)</f>
        <v>413.95</v>
      </c>
      <c r="L14">
        <f>IF($C$3="CGE",INDEX(GDP_CGE!$A$3:$AN$24,MATCH($A14,GDP_CGE!$A$3:$A$24,0),MATCH(L$9,GDP_CGE!$A$3:$AN$3,0)),GDP_Simple!L12)</f>
        <v>426.7</v>
      </c>
      <c r="M14">
        <f>IF($C$3="CGE",INDEX(GDP_CGE!$A$3:$AN$24,MATCH($A14,GDP_CGE!$A$3:$A$24,0),MATCH(M$9,GDP_CGE!$A$3:$AN$3,0)),GDP_Simple!M12)</f>
        <v>436.52</v>
      </c>
      <c r="N14">
        <f>IF($C$3="CGE",INDEX(GDP_CGE!$A$3:$AN$24,MATCH($A14,GDP_CGE!$A$3:$A$24,0),MATCH(N$9,GDP_CGE!$A$3:$AN$3,0)),GDP_Simple!N12)</f>
        <v>446.99</v>
      </c>
      <c r="O14">
        <f>IF($C$3="CGE",INDEX(GDP_CGE!$A$3:$AN$24,MATCH($A14,GDP_CGE!$A$3:$A$24,0),MATCH(O$9,GDP_CGE!$A$3:$AN$3,0)),GDP_Simple!O12)</f>
        <v>457.85</v>
      </c>
      <c r="P14">
        <f>IF($C$3="CGE",INDEX(GDP_CGE!$A$3:$AN$24,MATCH($A14,GDP_CGE!$A$3:$A$24,0),MATCH(P$9,GDP_CGE!$A$3:$AN$3,0)),GDP_Simple!P12)</f>
        <v>471.4</v>
      </c>
      <c r="Q14">
        <f>IF($C$3="CGE",INDEX(GDP_CGE!$A$3:$AN$24,MATCH($A14,GDP_CGE!$A$3:$A$24,0),MATCH(Q$9,GDP_CGE!$A$3:$AN$3,0)),GDP_Simple!Q12)</f>
        <v>485.51</v>
      </c>
      <c r="R14">
        <f>IF($C$3="CGE",INDEX(GDP_CGE!$A$3:$AN$24,MATCH($A14,GDP_CGE!$A$3:$A$24,0),MATCH(R$9,GDP_CGE!$A$3:$AN$3,0)),GDP_Simple!R12)</f>
        <v>505.43</v>
      </c>
      <c r="S14">
        <f>IF($C$3="CGE",INDEX(GDP_CGE!$A$3:$AN$24,MATCH($A14,GDP_CGE!$A$3:$A$24,0),MATCH(S$9,GDP_CGE!$A$3:$AN$3,0)),GDP_Simple!S12)</f>
        <v>522.92999999999995</v>
      </c>
      <c r="T14">
        <f>IF($C$3="CGE",INDEX(GDP_CGE!$A$3:$AN$24,MATCH($A14,GDP_CGE!$A$3:$A$24,0),MATCH(T$9,GDP_CGE!$A$3:$AN$3,0)),GDP_Simple!T12)</f>
        <v>530.27</v>
      </c>
      <c r="U14">
        <f>IF($C$3="CGE",INDEX(GDP_CGE!$A$3:$AN$24,MATCH($A14,GDP_CGE!$A$3:$A$24,0),MATCH(U$9,GDP_CGE!$A$3:$AN$3,0)),GDP_Simple!U12)</f>
        <v>539.78</v>
      </c>
      <c r="V14">
        <f>IF($C$3="CGE",INDEX(GDP_CGE!$A$3:$AN$24,MATCH($A14,GDP_CGE!$A$3:$A$24,0),MATCH(V$9,GDP_CGE!$A$3:$AN$3,0)),GDP_Simple!V12)</f>
        <v>550.91</v>
      </c>
      <c r="W14">
        <f>IF($C$3="CGE",INDEX(GDP_CGE!$A$3:$AN$24,MATCH($A14,GDP_CGE!$A$3:$A$24,0),MATCH(W$9,GDP_CGE!$A$3:$AN$3,0)),GDP_Simple!W12)</f>
        <v>563.9</v>
      </c>
      <c r="X14">
        <f>IF($C$3="CGE",INDEX(GDP_CGE!$A$3:$AN$24,MATCH($A14,GDP_CGE!$A$3:$A$24,0),MATCH(X$9,GDP_CGE!$A$3:$AN$3,0)),GDP_Simple!X12)</f>
        <v>571.30999999999995</v>
      </c>
      <c r="Y14">
        <f>IF($C$3="CGE",INDEX(GDP_CGE!$A$3:$AN$24,MATCH($A14,GDP_CGE!$A$3:$A$24,0),MATCH(Y$9,GDP_CGE!$A$3:$AN$3,0)),GDP_Simple!Y12)</f>
        <v>581.63</v>
      </c>
      <c r="Z14">
        <f>IF($C$3="CGE",INDEX(GDP_CGE!$A$3:$AN$24,MATCH($A14,GDP_CGE!$A$3:$A$24,0),MATCH(Z$9,GDP_CGE!$A$3:$AN$3,0)),GDP_Simple!Z12)</f>
        <v>595.29999999999995</v>
      </c>
      <c r="AA14">
        <f>IF($C$3="CGE",INDEX(GDP_CGE!$A$3:$AN$24,MATCH($A14,GDP_CGE!$A$3:$A$24,0),MATCH(AA$9,GDP_CGE!$A$3:$AN$3,0)),GDP_Simple!AA12)</f>
        <v>610.46</v>
      </c>
      <c r="AB14">
        <f>IF($C$3="CGE",INDEX(GDP_CGE!$A$3:$AN$24,MATCH($A14,GDP_CGE!$A$3:$A$24,0),MATCH(AB$9,GDP_CGE!$A$3:$AN$3,0)),GDP_Simple!AB12)</f>
        <v>626.64</v>
      </c>
      <c r="AC14">
        <f>IF($C$3="CGE",INDEX(GDP_CGE!$A$3:$AN$24,MATCH($A14,GDP_CGE!$A$3:$A$24,0),MATCH(AC$9,GDP_CGE!$A$3:$AN$3,0)),GDP_Simple!AC12)</f>
        <v>644.64</v>
      </c>
      <c r="AD14">
        <f>IF($C$3="CGE",INDEX(GDP_CGE!$A$3:$AN$24,MATCH($A14,GDP_CGE!$A$3:$A$24,0),MATCH(AD$9,GDP_CGE!$A$3:$AN$3,0)),GDP_Simple!AD12)</f>
        <v>650.41999999999996</v>
      </c>
      <c r="AE14">
        <f>IF($C$3="CGE",INDEX(GDP_CGE!$A$3:$AN$24,MATCH($A14,GDP_CGE!$A$3:$A$24,0),MATCH(AE$9,GDP_CGE!$A$3:$AN$3,0)),GDP_Simple!AE12)</f>
        <v>656.26</v>
      </c>
      <c r="AF14">
        <f>IF($C$3="CGE",INDEX(GDP_CGE!$A$3:$AN$24,MATCH($A14,GDP_CGE!$A$3:$A$24,0),MATCH(AF$9,GDP_CGE!$A$3:$AN$3,0)),GDP_Simple!AF12)</f>
        <v>663.56</v>
      </c>
      <c r="AG14">
        <f>IF($C$3="CGE",INDEX(GDP_CGE!$A$3:$AN$24,MATCH($A14,GDP_CGE!$A$3:$A$24,0),MATCH(AG$9,GDP_CGE!$A$3:$AN$3,0)),GDP_Simple!AG12)</f>
        <v>670.82</v>
      </c>
    </row>
    <row r="15" spans="1:40" x14ac:dyDescent="0.25">
      <c r="A15" s="3" t="s">
        <v>26</v>
      </c>
      <c r="B15">
        <f>IF($C$3="CGE",INDEX(GDP_CGE!$A$3:$AN$24,MATCH($A15,GDP_CGE!$A$3:$A$24,0),MATCH(B$9,GDP_CGE!$A$3:$AN$3,0)),GDP_Simple!B13)</f>
        <v>24.02</v>
      </c>
      <c r="C15">
        <f>IF($C$3="CGE",INDEX(GDP_CGE!$A$3:$AN$24,MATCH($A15,GDP_CGE!$A$3:$A$24,0),MATCH(C$9,GDP_CGE!$A$3:$AN$3,0)),GDP_Simple!C13)</f>
        <v>22.83</v>
      </c>
      <c r="D15">
        <f>IF($C$3="CGE",INDEX(GDP_CGE!$A$3:$AN$24,MATCH($A15,GDP_CGE!$A$3:$A$24,0),MATCH(D$9,GDP_CGE!$A$3:$AN$3,0)),GDP_Simple!D13)</f>
        <v>23.64</v>
      </c>
      <c r="E15">
        <f>IF($C$3="CGE",INDEX(GDP_CGE!$A$3:$AN$24,MATCH($A15,GDP_CGE!$A$3:$A$24,0),MATCH(E$9,GDP_CGE!$A$3:$AN$3,0)),GDP_Simple!E13)</f>
        <v>24.06</v>
      </c>
      <c r="F15">
        <f>IF($C$3="CGE",INDEX(GDP_CGE!$A$3:$AN$24,MATCH($A15,GDP_CGE!$A$3:$A$24,0),MATCH(F$9,GDP_CGE!$A$3:$AN$3,0)),GDP_Simple!F13)</f>
        <v>24.57</v>
      </c>
      <c r="G15">
        <f>IF($C$3="CGE",INDEX(GDP_CGE!$A$3:$AN$24,MATCH($A15,GDP_CGE!$A$3:$A$24,0),MATCH(G$9,GDP_CGE!$A$3:$AN$3,0)),GDP_Simple!G13)</f>
        <v>25.29</v>
      </c>
      <c r="H15">
        <f>IF($C$3="CGE",INDEX(GDP_CGE!$A$3:$AN$24,MATCH($A15,GDP_CGE!$A$3:$A$24,0),MATCH(H$9,GDP_CGE!$A$3:$AN$3,0)),GDP_Simple!H13)</f>
        <v>25.8</v>
      </c>
      <c r="I15">
        <f>IF($C$3="CGE",INDEX(GDP_CGE!$A$3:$AN$24,MATCH($A15,GDP_CGE!$A$3:$A$24,0),MATCH(I$9,GDP_CGE!$A$3:$AN$3,0)),GDP_Simple!I13)</f>
        <v>26.15</v>
      </c>
      <c r="J15">
        <f>IF($C$3="CGE",INDEX(GDP_CGE!$A$3:$AN$24,MATCH($A15,GDP_CGE!$A$3:$A$24,0),MATCH(J$9,GDP_CGE!$A$3:$AN$3,0)),GDP_Simple!J13)</f>
        <v>26.59</v>
      </c>
      <c r="K15">
        <f>IF($C$3="CGE",INDEX(GDP_CGE!$A$3:$AN$24,MATCH($A15,GDP_CGE!$A$3:$A$24,0),MATCH(K$9,GDP_CGE!$A$3:$AN$3,0)),GDP_Simple!K13)</f>
        <v>27.06</v>
      </c>
      <c r="L15">
        <f>IF($C$3="CGE",INDEX(GDP_CGE!$A$3:$AN$24,MATCH($A15,GDP_CGE!$A$3:$A$24,0),MATCH(L$9,GDP_CGE!$A$3:$AN$3,0)),GDP_Simple!L13)</f>
        <v>27.52</v>
      </c>
      <c r="M15">
        <f>IF($C$3="CGE",INDEX(GDP_CGE!$A$3:$AN$24,MATCH($A15,GDP_CGE!$A$3:$A$24,0),MATCH(M$9,GDP_CGE!$A$3:$AN$3,0)),GDP_Simple!M13)</f>
        <v>27.94</v>
      </c>
      <c r="N15">
        <f>IF($C$3="CGE",INDEX(GDP_CGE!$A$3:$AN$24,MATCH($A15,GDP_CGE!$A$3:$A$24,0),MATCH(N$9,GDP_CGE!$A$3:$AN$3,0)),GDP_Simple!N13)</f>
        <v>28.91</v>
      </c>
      <c r="O15">
        <f>IF($C$3="CGE",INDEX(GDP_CGE!$A$3:$AN$24,MATCH($A15,GDP_CGE!$A$3:$A$24,0),MATCH(O$9,GDP_CGE!$A$3:$AN$3,0)),GDP_Simple!O13)</f>
        <v>29.53</v>
      </c>
      <c r="P15">
        <f>IF($C$3="CGE",INDEX(GDP_CGE!$A$3:$AN$24,MATCH($A15,GDP_CGE!$A$3:$A$24,0),MATCH(P$9,GDP_CGE!$A$3:$AN$3,0)),GDP_Simple!P13)</f>
        <v>30.31</v>
      </c>
      <c r="Q15">
        <f>IF($C$3="CGE",INDEX(GDP_CGE!$A$3:$AN$24,MATCH($A15,GDP_CGE!$A$3:$A$24,0),MATCH(Q$9,GDP_CGE!$A$3:$AN$3,0)),GDP_Simple!Q13)</f>
        <v>31.13</v>
      </c>
      <c r="R15">
        <f>IF($C$3="CGE",INDEX(GDP_CGE!$A$3:$AN$24,MATCH($A15,GDP_CGE!$A$3:$A$24,0),MATCH(R$9,GDP_CGE!$A$3:$AN$3,0)),GDP_Simple!R13)</f>
        <v>31.92</v>
      </c>
      <c r="S15">
        <f>IF($C$3="CGE",INDEX(GDP_CGE!$A$3:$AN$24,MATCH($A15,GDP_CGE!$A$3:$A$24,0),MATCH(S$9,GDP_CGE!$A$3:$AN$3,0)),GDP_Simple!S13)</f>
        <v>32.54</v>
      </c>
      <c r="T15">
        <f>IF($C$3="CGE",INDEX(GDP_CGE!$A$3:$AN$24,MATCH($A15,GDP_CGE!$A$3:$A$24,0),MATCH(T$9,GDP_CGE!$A$3:$AN$3,0)),GDP_Simple!T13)</f>
        <v>32.880000000000003</v>
      </c>
      <c r="U15">
        <f>IF($C$3="CGE",INDEX(GDP_CGE!$A$3:$AN$24,MATCH($A15,GDP_CGE!$A$3:$A$24,0),MATCH(U$9,GDP_CGE!$A$3:$AN$3,0)),GDP_Simple!U13)</f>
        <v>33.47</v>
      </c>
      <c r="V15">
        <f>IF($C$3="CGE",INDEX(GDP_CGE!$A$3:$AN$24,MATCH($A15,GDP_CGE!$A$3:$A$24,0),MATCH(V$9,GDP_CGE!$A$3:$AN$3,0)),GDP_Simple!V13)</f>
        <v>33.89</v>
      </c>
      <c r="W15">
        <f>IF($C$3="CGE",INDEX(GDP_CGE!$A$3:$AN$24,MATCH($A15,GDP_CGE!$A$3:$A$24,0),MATCH(W$9,GDP_CGE!$A$3:$AN$3,0)),GDP_Simple!W13)</f>
        <v>34.57</v>
      </c>
      <c r="X15">
        <f>IF($C$3="CGE",INDEX(GDP_CGE!$A$3:$AN$24,MATCH($A15,GDP_CGE!$A$3:$A$24,0),MATCH(X$9,GDP_CGE!$A$3:$AN$3,0)),GDP_Simple!X13)</f>
        <v>35.28</v>
      </c>
      <c r="Y15">
        <f>IF($C$3="CGE",INDEX(GDP_CGE!$A$3:$AN$24,MATCH($A15,GDP_CGE!$A$3:$A$24,0),MATCH(Y$9,GDP_CGE!$A$3:$AN$3,0)),GDP_Simple!Y13)</f>
        <v>35.96</v>
      </c>
      <c r="Z15">
        <f>IF($C$3="CGE",INDEX(GDP_CGE!$A$3:$AN$24,MATCH($A15,GDP_CGE!$A$3:$A$24,0),MATCH(Z$9,GDP_CGE!$A$3:$AN$3,0)),GDP_Simple!Z13)</f>
        <v>36.619999999999997</v>
      </c>
      <c r="AA15">
        <f>IF($C$3="CGE",INDEX(GDP_CGE!$A$3:$AN$24,MATCH($A15,GDP_CGE!$A$3:$A$24,0),MATCH(AA$9,GDP_CGE!$A$3:$AN$3,0)),GDP_Simple!AA13)</f>
        <v>37.33</v>
      </c>
      <c r="AB15">
        <f>IF($C$3="CGE",INDEX(GDP_CGE!$A$3:$AN$24,MATCH($A15,GDP_CGE!$A$3:$A$24,0),MATCH(AB$9,GDP_CGE!$A$3:$AN$3,0)),GDP_Simple!AB13)</f>
        <v>38.1</v>
      </c>
      <c r="AC15">
        <f>IF($C$3="CGE",INDEX(GDP_CGE!$A$3:$AN$24,MATCH($A15,GDP_CGE!$A$3:$A$24,0),MATCH(AC$9,GDP_CGE!$A$3:$AN$3,0)),GDP_Simple!AC13)</f>
        <v>38.950000000000003</v>
      </c>
      <c r="AD15">
        <f>IF($C$3="CGE",INDEX(GDP_CGE!$A$3:$AN$24,MATCH($A15,GDP_CGE!$A$3:$A$24,0),MATCH(AD$9,GDP_CGE!$A$3:$AN$3,0)),GDP_Simple!AD13)</f>
        <v>39.33</v>
      </c>
      <c r="AE15">
        <f>IF($C$3="CGE",INDEX(GDP_CGE!$A$3:$AN$24,MATCH($A15,GDP_CGE!$A$3:$A$24,0),MATCH(AE$9,GDP_CGE!$A$3:$AN$3,0)),GDP_Simple!AE13)</f>
        <v>39.630000000000003</v>
      </c>
      <c r="AF15">
        <f>IF($C$3="CGE",INDEX(GDP_CGE!$A$3:$AN$24,MATCH($A15,GDP_CGE!$A$3:$A$24,0),MATCH(AF$9,GDP_CGE!$A$3:$AN$3,0)),GDP_Simple!AF13)</f>
        <v>39.950000000000003</v>
      </c>
      <c r="AG15">
        <f>IF($C$3="CGE",INDEX(GDP_CGE!$A$3:$AN$24,MATCH($A15,GDP_CGE!$A$3:$A$24,0),MATCH(AG$9,GDP_CGE!$A$3:$AN$3,0)),GDP_Simple!AG13)</f>
        <v>40.26</v>
      </c>
    </row>
    <row r="16" spans="1:40" x14ac:dyDescent="0.25">
      <c r="A16" s="3" t="s">
        <v>27</v>
      </c>
      <c r="B16">
        <f>IF($C$3="CGE",INDEX(GDP_CGE!$A$3:$AN$24,MATCH($A16,GDP_CGE!$A$3:$A$24,0),MATCH(B$9,GDP_CGE!$A$3:$AN$3,0)),GDP_Simple!B14)</f>
        <v>78.8</v>
      </c>
      <c r="C16">
        <f>IF($C$3="CGE",INDEX(GDP_CGE!$A$3:$AN$24,MATCH($A16,GDP_CGE!$A$3:$A$24,0),MATCH(C$9,GDP_CGE!$A$3:$AN$3,0)),GDP_Simple!C14)</f>
        <v>77.650000000000006</v>
      </c>
      <c r="D16">
        <f>IF($C$3="CGE",INDEX(GDP_CGE!$A$3:$AN$24,MATCH($A16,GDP_CGE!$A$3:$A$24,0),MATCH(D$9,GDP_CGE!$A$3:$AN$3,0)),GDP_Simple!D14)</f>
        <v>76.69</v>
      </c>
      <c r="E16">
        <f>IF($C$3="CGE",INDEX(GDP_CGE!$A$3:$AN$24,MATCH($A16,GDP_CGE!$A$3:$A$24,0),MATCH(E$9,GDP_CGE!$A$3:$AN$3,0)),GDP_Simple!E14)</f>
        <v>77.209999999999994</v>
      </c>
      <c r="F16">
        <f>IF($C$3="CGE",INDEX(GDP_CGE!$A$3:$AN$24,MATCH($A16,GDP_CGE!$A$3:$A$24,0),MATCH(F$9,GDP_CGE!$A$3:$AN$3,0)),GDP_Simple!F14)</f>
        <v>78.11</v>
      </c>
      <c r="G16">
        <f>IF($C$3="CGE",INDEX(GDP_CGE!$A$3:$AN$24,MATCH($A16,GDP_CGE!$A$3:$A$24,0),MATCH(G$9,GDP_CGE!$A$3:$AN$3,0)),GDP_Simple!G14)</f>
        <v>78.900000000000006</v>
      </c>
      <c r="H16">
        <f>IF($C$3="CGE",INDEX(GDP_CGE!$A$3:$AN$24,MATCH($A16,GDP_CGE!$A$3:$A$24,0),MATCH(H$9,GDP_CGE!$A$3:$AN$3,0)),GDP_Simple!H14)</f>
        <v>79.64</v>
      </c>
      <c r="I16">
        <f>IF($C$3="CGE",INDEX(GDP_CGE!$A$3:$AN$24,MATCH($A16,GDP_CGE!$A$3:$A$24,0),MATCH(I$9,GDP_CGE!$A$3:$AN$3,0)),GDP_Simple!I14)</f>
        <v>80.319999999999993</v>
      </c>
      <c r="J16">
        <f>IF($C$3="CGE",INDEX(GDP_CGE!$A$3:$AN$24,MATCH($A16,GDP_CGE!$A$3:$A$24,0),MATCH(J$9,GDP_CGE!$A$3:$AN$3,0)),GDP_Simple!J14)</f>
        <v>81</v>
      </c>
      <c r="K16">
        <f>IF($C$3="CGE",INDEX(GDP_CGE!$A$3:$AN$24,MATCH($A16,GDP_CGE!$A$3:$A$24,0),MATCH(K$9,GDP_CGE!$A$3:$AN$3,0)),GDP_Simple!K14)</f>
        <v>82.01</v>
      </c>
      <c r="L16">
        <f>IF($C$3="CGE",INDEX(GDP_CGE!$A$3:$AN$24,MATCH($A16,GDP_CGE!$A$3:$A$24,0),MATCH(L$9,GDP_CGE!$A$3:$AN$3,0)),GDP_Simple!L14)</f>
        <v>82.46</v>
      </c>
      <c r="M16">
        <f>IF($C$3="CGE",INDEX(GDP_CGE!$A$3:$AN$24,MATCH($A16,GDP_CGE!$A$3:$A$24,0),MATCH(M$9,GDP_CGE!$A$3:$AN$3,0)),GDP_Simple!M14)</f>
        <v>83.04</v>
      </c>
      <c r="N16">
        <f>IF($C$3="CGE",INDEX(GDP_CGE!$A$3:$AN$24,MATCH($A16,GDP_CGE!$A$3:$A$24,0),MATCH(N$9,GDP_CGE!$A$3:$AN$3,0)),GDP_Simple!N14)</f>
        <v>83.83</v>
      </c>
      <c r="O16">
        <f>IF($C$3="CGE",INDEX(GDP_CGE!$A$3:$AN$24,MATCH($A16,GDP_CGE!$A$3:$A$24,0),MATCH(O$9,GDP_CGE!$A$3:$AN$3,0)),GDP_Simple!O14)</f>
        <v>84.67</v>
      </c>
      <c r="P16">
        <f>IF($C$3="CGE",INDEX(GDP_CGE!$A$3:$AN$24,MATCH($A16,GDP_CGE!$A$3:$A$24,0),MATCH(P$9,GDP_CGE!$A$3:$AN$3,0)),GDP_Simple!P14)</f>
        <v>85.85</v>
      </c>
      <c r="Q16">
        <f>IF($C$3="CGE",INDEX(GDP_CGE!$A$3:$AN$24,MATCH($A16,GDP_CGE!$A$3:$A$24,0),MATCH(Q$9,GDP_CGE!$A$3:$AN$3,0)),GDP_Simple!Q14)</f>
        <v>87.08</v>
      </c>
      <c r="R16">
        <f>IF($C$3="CGE",INDEX(GDP_CGE!$A$3:$AN$24,MATCH($A16,GDP_CGE!$A$3:$A$24,0),MATCH(R$9,GDP_CGE!$A$3:$AN$3,0)),GDP_Simple!R14)</f>
        <v>68.459999999999994</v>
      </c>
      <c r="S16">
        <f>IF($C$3="CGE",INDEX(GDP_CGE!$A$3:$AN$24,MATCH($A16,GDP_CGE!$A$3:$A$24,0),MATCH(S$9,GDP_CGE!$A$3:$AN$3,0)),GDP_Simple!S14)</f>
        <v>52.9</v>
      </c>
      <c r="T16">
        <f>IF($C$3="CGE",INDEX(GDP_CGE!$A$3:$AN$24,MATCH($A16,GDP_CGE!$A$3:$A$24,0),MATCH(T$9,GDP_CGE!$A$3:$AN$3,0)),GDP_Simple!T14)</f>
        <v>50.58</v>
      </c>
      <c r="U16">
        <f>IF($C$3="CGE",INDEX(GDP_CGE!$A$3:$AN$24,MATCH($A16,GDP_CGE!$A$3:$A$24,0),MATCH(U$9,GDP_CGE!$A$3:$AN$3,0)),GDP_Simple!U14)</f>
        <v>54.24</v>
      </c>
      <c r="V16">
        <f>IF($C$3="CGE",INDEX(GDP_CGE!$A$3:$AN$24,MATCH($A16,GDP_CGE!$A$3:$A$24,0),MATCH(V$9,GDP_CGE!$A$3:$AN$3,0)),GDP_Simple!V14)</f>
        <v>56.85</v>
      </c>
      <c r="W16">
        <f>IF($C$3="CGE",INDEX(GDP_CGE!$A$3:$AN$24,MATCH($A16,GDP_CGE!$A$3:$A$24,0),MATCH(W$9,GDP_CGE!$A$3:$AN$3,0)),GDP_Simple!W14)</f>
        <v>51.03</v>
      </c>
      <c r="X16">
        <f>IF($C$3="CGE",INDEX(GDP_CGE!$A$3:$AN$24,MATCH($A16,GDP_CGE!$A$3:$A$24,0),MATCH(X$9,GDP_CGE!$A$3:$AN$3,0)),GDP_Simple!X14)</f>
        <v>50.88</v>
      </c>
      <c r="Y16">
        <f>IF($C$3="CGE",INDEX(GDP_CGE!$A$3:$AN$24,MATCH($A16,GDP_CGE!$A$3:$A$24,0),MATCH(Y$9,GDP_CGE!$A$3:$AN$3,0)),GDP_Simple!Y14)</f>
        <v>51.46</v>
      </c>
      <c r="Z16">
        <f>IF($C$3="CGE",INDEX(GDP_CGE!$A$3:$AN$24,MATCH($A16,GDP_CGE!$A$3:$A$24,0),MATCH(Z$9,GDP_CGE!$A$3:$AN$3,0)),GDP_Simple!Z14)</f>
        <v>52.38</v>
      </c>
      <c r="AA16">
        <f>IF($C$3="CGE",INDEX(GDP_CGE!$A$3:$AN$24,MATCH($A16,GDP_CGE!$A$3:$A$24,0),MATCH(AA$9,GDP_CGE!$A$3:$AN$3,0)),GDP_Simple!AA14)</f>
        <v>53.51</v>
      </c>
      <c r="AB16">
        <f>IF($C$3="CGE",INDEX(GDP_CGE!$A$3:$AN$24,MATCH($A16,GDP_CGE!$A$3:$A$24,0),MATCH(AB$9,GDP_CGE!$A$3:$AN$3,0)),GDP_Simple!AB14)</f>
        <v>54.78</v>
      </c>
      <c r="AC16">
        <f>IF($C$3="CGE",INDEX(GDP_CGE!$A$3:$AN$24,MATCH($A16,GDP_CGE!$A$3:$A$24,0),MATCH(AC$9,GDP_CGE!$A$3:$AN$3,0)),GDP_Simple!AC14)</f>
        <v>56.14</v>
      </c>
      <c r="AD16">
        <f>IF($C$3="CGE",INDEX(GDP_CGE!$A$3:$AN$24,MATCH($A16,GDP_CGE!$A$3:$A$24,0),MATCH(AD$9,GDP_CGE!$A$3:$AN$3,0)),GDP_Simple!AD14)</f>
        <v>57.05</v>
      </c>
      <c r="AE16">
        <f>IF($C$3="CGE",INDEX(GDP_CGE!$A$3:$AN$24,MATCH($A16,GDP_CGE!$A$3:$A$24,0),MATCH(AE$9,GDP_CGE!$A$3:$AN$3,0)),GDP_Simple!AE14)</f>
        <v>57.61</v>
      </c>
      <c r="AF16">
        <f>IF($C$3="CGE",INDEX(GDP_CGE!$A$3:$AN$24,MATCH($A16,GDP_CGE!$A$3:$A$24,0),MATCH(AF$9,GDP_CGE!$A$3:$AN$3,0)),GDP_Simple!AF14)</f>
        <v>58.16</v>
      </c>
      <c r="AG16">
        <f>IF($C$3="CGE",INDEX(GDP_CGE!$A$3:$AN$24,MATCH($A16,GDP_CGE!$A$3:$A$24,0),MATCH(AG$9,GDP_CGE!$A$3:$AN$3,0)),GDP_Simple!AG14)</f>
        <v>58.71</v>
      </c>
    </row>
    <row r="17" spans="1:33" x14ac:dyDescent="0.25">
      <c r="A17" s="3" t="s">
        <v>28</v>
      </c>
      <c r="B17">
        <f>IF($C$3="CGE",INDEX(GDP_CGE!$A$3:$AN$24,MATCH($A17,GDP_CGE!$A$3:$A$24,0),MATCH(B$9,GDP_CGE!$A$3:$AN$3,0)),GDP_Simple!B15)</f>
        <v>17.63</v>
      </c>
      <c r="C17">
        <f>IF($C$3="CGE",INDEX(GDP_CGE!$A$3:$AN$24,MATCH($A17,GDP_CGE!$A$3:$A$24,0),MATCH(C$9,GDP_CGE!$A$3:$AN$3,0)),GDP_Simple!C15)</f>
        <v>16.38</v>
      </c>
      <c r="D17">
        <f>IF($C$3="CGE",INDEX(GDP_CGE!$A$3:$AN$24,MATCH($A17,GDP_CGE!$A$3:$A$24,0),MATCH(D$9,GDP_CGE!$A$3:$AN$3,0)),GDP_Simple!D15)</f>
        <v>16.91</v>
      </c>
      <c r="E17">
        <f>IF($C$3="CGE",INDEX(GDP_CGE!$A$3:$AN$24,MATCH($A17,GDP_CGE!$A$3:$A$24,0),MATCH(E$9,GDP_CGE!$A$3:$AN$3,0)),GDP_Simple!E15)</f>
        <v>17.3</v>
      </c>
      <c r="F17">
        <f>IF($C$3="CGE",INDEX(GDP_CGE!$A$3:$AN$24,MATCH($A17,GDP_CGE!$A$3:$A$24,0),MATCH(F$9,GDP_CGE!$A$3:$AN$3,0)),GDP_Simple!F15)</f>
        <v>17.72</v>
      </c>
      <c r="G17">
        <f>IF($C$3="CGE",INDEX(GDP_CGE!$A$3:$AN$24,MATCH($A17,GDP_CGE!$A$3:$A$24,0),MATCH(G$9,GDP_CGE!$A$3:$AN$3,0)),GDP_Simple!G15)</f>
        <v>18.170000000000002</v>
      </c>
      <c r="H17">
        <f>IF($C$3="CGE",INDEX(GDP_CGE!$A$3:$AN$24,MATCH($A17,GDP_CGE!$A$3:$A$24,0),MATCH(H$9,GDP_CGE!$A$3:$AN$3,0)),GDP_Simple!H15)</f>
        <v>18.600000000000001</v>
      </c>
      <c r="I17">
        <f>IF($C$3="CGE",INDEX(GDP_CGE!$A$3:$AN$24,MATCH($A17,GDP_CGE!$A$3:$A$24,0),MATCH(I$9,GDP_CGE!$A$3:$AN$3,0)),GDP_Simple!I15)</f>
        <v>19</v>
      </c>
      <c r="J17">
        <f>IF($C$3="CGE",INDEX(GDP_CGE!$A$3:$AN$24,MATCH($A17,GDP_CGE!$A$3:$A$24,0),MATCH(J$9,GDP_CGE!$A$3:$AN$3,0)),GDP_Simple!J15)</f>
        <v>19.399999999999999</v>
      </c>
      <c r="K17">
        <f>IF($C$3="CGE",INDEX(GDP_CGE!$A$3:$AN$24,MATCH($A17,GDP_CGE!$A$3:$A$24,0),MATCH(K$9,GDP_CGE!$A$3:$AN$3,0)),GDP_Simple!K15)</f>
        <v>19.97</v>
      </c>
      <c r="L17">
        <f>IF($C$3="CGE",INDEX(GDP_CGE!$A$3:$AN$24,MATCH($A17,GDP_CGE!$A$3:$A$24,0),MATCH(L$9,GDP_CGE!$A$3:$AN$3,0)),GDP_Simple!L15)</f>
        <v>20.53</v>
      </c>
      <c r="M17">
        <f>IF($C$3="CGE",INDEX(GDP_CGE!$A$3:$AN$24,MATCH($A17,GDP_CGE!$A$3:$A$24,0),MATCH(M$9,GDP_CGE!$A$3:$AN$3,0)),GDP_Simple!M15)</f>
        <v>20.99</v>
      </c>
      <c r="N17">
        <f>IF($C$3="CGE",INDEX(GDP_CGE!$A$3:$AN$24,MATCH($A17,GDP_CGE!$A$3:$A$24,0),MATCH(N$9,GDP_CGE!$A$3:$AN$3,0)),GDP_Simple!N15)</f>
        <v>21.51</v>
      </c>
      <c r="O17">
        <f>IF($C$3="CGE",INDEX(GDP_CGE!$A$3:$AN$24,MATCH($A17,GDP_CGE!$A$3:$A$24,0),MATCH(O$9,GDP_CGE!$A$3:$AN$3,0)),GDP_Simple!O15)</f>
        <v>22.03</v>
      </c>
      <c r="P17">
        <f>IF($C$3="CGE",INDEX(GDP_CGE!$A$3:$AN$24,MATCH($A17,GDP_CGE!$A$3:$A$24,0),MATCH(P$9,GDP_CGE!$A$3:$AN$3,0)),GDP_Simple!P15)</f>
        <v>22.68</v>
      </c>
      <c r="Q17">
        <f>IF($C$3="CGE",INDEX(GDP_CGE!$A$3:$AN$24,MATCH($A17,GDP_CGE!$A$3:$A$24,0),MATCH(Q$9,GDP_CGE!$A$3:$AN$3,0)),GDP_Simple!Q15)</f>
        <v>23.35</v>
      </c>
      <c r="R17">
        <f>IF($C$3="CGE",INDEX(GDP_CGE!$A$3:$AN$24,MATCH($A17,GDP_CGE!$A$3:$A$24,0),MATCH(R$9,GDP_CGE!$A$3:$AN$3,0)),GDP_Simple!R15)</f>
        <v>24.11</v>
      </c>
      <c r="S17">
        <f>IF($C$3="CGE",INDEX(GDP_CGE!$A$3:$AN$24,MATCH($A17,GDP_CGE!$A$3:$A$24,0),MATCH(S$9,GDP_CGE!$A$3:$AN$3,0)),GDP_Simple!S15)</f>
        <v>24.74</v>
      </c>
      <c r="T17">
        <f>IF($C$3="CGE",INDEX(GDP_CGE!$A$3:$AN$24,MATCH($A17,GDP_CGE!$A$3:$A$24,0),MATCH(T$9,GDP_CGE!$A$3:$AN$3,0)),GDP_Simple!T15)</f>
        <v>25.06</v>
      </c>
      <c r="U17">
        <f>IF($C$3="CGE",INDEX(GDP_CGE!$A$3:$AN$24,MATCH($A17,GDP_CGE!$A$3:$A$24,0),MATCH(U$9,GDP_CGE!$A$3:$AN$3,0)),GDP_Simple!U15)</f>
        <v>25.51</v>
      </c>
      <c r="V17">
        <f>IF($C$3="CGE",INDEX(GDP_CGE!$A$3:$AN$24,MATCH($A17,GDP_CGE!$A$3:$A$24,0),MATCH(V$9,GDP_CGE!$A$3:$AN$3,0)),GDP_Simple!V15)</f>
        <v>26.07</v>
      </c>
      <c r="W17">
        <f>IF($C$3="CGE",INDEX(GDP_CGE!$A$3:$AN$24,MATCH($A17,GDP_CGE!$A$3:$A$24,0),MATCH(W$9,GDP_CGE!$A$3:$AN$3,0)),GDP_Simple!W15)</f>
        <v>26.65</v>
      </c>
      <c r="X17">
        <f>IF($C$3="CGE",INDEX(GDP_CGE!$A$3:$AN$24,MATCH($A17,GDP_CGE!$A$3:$A$24,0),MATCH(X$9,GDP_CGE!$A$3:$AN$3,0)),GDP_Simple!X15)</f>
        <v>27.19</v>
      </c>
      <c r="Y17">
        <f>IF($C$3="CGE",INDEX(GDP_CGE!$A$3:$AN$24,MATCH($A17,GDP_CGE!$A$3:$A$24,0),MATCH(Y$9,GDP_CGE!$A$3:$AN$3,0)),GDP_Simple!Y15)</f>
        <v>27.76</v>
      </c>
      <c r="Z17">
        <f>IF($C$3="CGE",INDEX(GDP_CGE!$A$3:$AN$24,MATCH($A17,GDP_CGE!$A$3:$A$24,0),MATCH(Z$9,GDP_CGE!$A$3:$AN$3,0)),GDP_Simple!Z15)</f>
        <v>28.37</v>
      </c>
      <c r="AA17">
        <f>IF($C$3="CGE",INDEX(GDP_CGE!$A$3:$AN$24,MATCH($A17,GDP_CGE!$A$3:$A$24,0),MATCH(AA$9,GDP_CGE!$A$3:$AN$3,0)),GDP_Simple!AA15)</f>
        <v>29.02</v>
      </c>
      <c r="AB17">
        <f>IF($C$3="CGE",INDEX(GDP_CGE!$A$3:$AN$24,MATCH($A17,GDP_CGE!$A$3:$A$24,0),MATCH(AB$9,GDP_CGE!$A$3:$AN$3,0)),GDP_Simple!AB15)</f>
        <v>29.72</v>
      </c>
      <c r="AC17">
        <f>IF($C$3="CGE",INDEX(GDP_CGE!$A$3:$AN$24,MATCH($A17,GDP_CGE!$A$3:$A$24,0),MATCH(AC$9,GDP_CGE!$A$3:$AN$3,0)),GDP_Simple!AC15)</f>
        <v>30.49</v>
      </c>
      <c r="AD17">
        <f>IF($C$3="CGE",INDEX(GDP_CGE!$A$3:$AN$24,MATCH($A17,GDP_CGE!$A$3:$A$24,0),MATCH(AD$9,GDP_CGE!$A$3:$AN$3,0)),GDP_Simple!AD15)</f>
        <v>30.81</v>
      </c>
      <c r="AE17">
        <f>IF($C$3="CGE",INDEX(GDP_CGE!$A$3:$AN$24,MATCH($A17,GDP_CGE!$A$3:$A$24,0),MATCH(AE$9,GDP_CGE!$A$3:$AN$3,0)),GDP_Simple!AE15)</f>
        <v>31.08</v>
      </c>
      <c r="AF17">
        <f>IF($C$3="CGE",INDEX(GDP_CGE!$A$3:$AN$24,MATCH($A17,GDP_CGE!$A$3:$A$24,0),MATCH(AF$9,GDP_CGE!$A$3:$AN$3,0)),GDP_Simple!AF15)</f>
        <v>31.37</v>
      </c>
      <c r="AG17">
        <f>IF($C$3="CGE",INDEX(GDP_CGE!$A$3:$AN$24,MATCH($A17,GDP_CGE!$A$3:$A$24,0),MATCH(AG$9,GDP_CGE!$A$3:$AN$3,0)),GDP_Simple!AG15)</f>
        <v>31.64</v>
      </c>
    </row>
    <row r="18" spans="1:33" x14ac:dyDescent="0.25">
      <c r="A18" s="3" t="s">
        <v>29</v>
      </c>
      <c r="B18">
        <f>IF($C$3="CGE",INDEX(GDP_CGE!$A$3:$AN$24,MATCH($A18,GDP_CGE!$A$3:$A$24,0),MATCH(B$9,GDP_CGE!$A$3:$AN$3,0)),GDP_Simple!B16)</f>
        <v>20.84</v>
      </c>
      <c r="C18">
        <f>IF($C$3="CGE",INDEX(GDP_CGE!$A$3:$AN$24,MATCH($A18,GDP_CGE!$A$3:$A$24,0),MATCH(C$9,GDP_CGE!$A$3:$AN$3,0)),GDP_Simple!C16)</f>
        <v>19.72</v>
      </c>
      <c r="D18">
        <f>IF($C$3="CGE",INDEX(GDP_CGE!$A$3:$AN$24,MATCH($A18,GDP_CGE!$A$3:$A$24,0),MATCH(D$9,GDP_CGE!$A$3:$AN$3,0)),GDP_Simple!D16)</f>
        <v>19.940000000000001</v>
      </c>
      <c r="E18">
        <f>IF($C$3="CGE",INDEX(GDP_CGE!$A$3:$AN$24,MATCH($A18,GDP_CGE!$A$3:$A$24,0),MATCH(E$9,GDP_CGE!$A$3:$AN$3,0)),GDP_Simple!E16)</f>
        <v>20.03</v>
      </c>
      <c r="F18">
        <f>IF($C$3="CGE",INDEX(GDP_CGE!$A$3:$AN$24,MATCH($A18,GDP_CGE!$A$3:$A$24,0),MATCH(F$9,GDP_CGE!$A$3:$AN$3,0)),GDP_Simple!F16)</f>
        <v>20.239999999999998</v>
      </c>
      <c r="G18">
        <f>IF($C$3="CGE",INDEX(GDP_CGE!$A$3:$AN$24,MATCH($A18,GDP_CGE!$A$3:$A$24,0),MATCH(G$9,GDP_CGE!$A$3:$AN$3,0)),GDP_Simple!G16)</f>
        <v>20.52</v>
      </c>
      <c r="H18">
        <f>IF($C$3="CGE",INDEX(GDP_CGE!$A$3:$AN$24,MATCH($A18,GDP_CGE!$A$3:$A$24,0),MATCH(H$9,GDP_CGE!$A$3:$AN$3,0)),GDP_Simple!H16)</f>
        <v>20.81</v>
      </c>
      <c r="I18">
        <f>IF($C$3="CGE",INDEX(GDP_CGE!$A$3:$AN$24,MATCH($A18,GDP_CGE!$A$3:$A$24,0),MATCH(I$9,GDP_CGE!$A$3:$AN$3,0)),GDP_Simple!I16)</f>
        <v>21.19</v>
      </c>
      <c r="J18">
        <f>IF($C$3="CGE",INDEX(GDP_CGE!$A$3:$AN$24,MATCH($A18,GDP_CGE!$A$3:$A$24,0),MATCH(J$9,GDP_CGE!$A$3:$AN$3,0)),GDP_Simple!J16)</f>
        <v>21.52</v>
      </c>
      <c r="K18">
        <f>IF($C$3="CGE",INDEX(GDP_CGE!$A$3:$AN$24,MATCH($A18,GDP_CGE!$A$3:$A$24,0),MATCH(K$9,GDP_CGE!$A$3:$AN$3,0)),GDP_Simple!K16)</f>
        <v>22.23</v>
      </c>
      <c r="L18">
        <f>IF($C$3="CGE",INDEX(GDP_CGE!$A$3:$AN$24,MATCH($A18,GDP_CGE!$A$3:$A$24,0),MATCH(L$9,GDP_CGE!$A$3:$AN$3,0)),GDP_Simple!L16)</f>
        <v>22.78</v>
      </c>
      <c r="M18">
        <f>IF($C$3="CGE",INDEX(GDP_CGE!$A$3:$AN$24,MATCH($A18,GDP_CGE!$A$3:$A$24,0),MATCH(M$9,GDP_CGE!$A$3:$AN$3,0)),GDP_Simple!M16)</f>
        <v>23.14</v>
      </c>
      <c r="N18">
        <f>IF($C$3="CGE",INDEX(GDP_CGE!$A$3:$AN$24,MATCH($A18,GDP_CGE!$A$3:$A$24,0),MATCH(N$9,GDP_CGE!$A$3:$AN$3,0)),GDP_Simple!N16)</f>
        <v>23.45</v>
      </c>
      <c r="O18">
        <f>IF($C$3="CGE",INDEX(GDP_CGE!$A$3:$AN$24,MATCH($A18,GDP_CGE!$A$3:$A$24,0),MATCH(O$9,GDP_CGE!$A$3:$AN$3,0)),GDP_Simple!O16)</f>
        <v>23.78</v>
      </c>
      <c r="P18">
        <f>IF($C$3="CGE",INDEX(GDP_CGE!$A$3:$AN$24,MATCH($A18,GDP_CGE!$A$3:$A$24,0),MATCH(P$9,GDP_CGE!$A$3:$AN$3,0)),GDP_Simple!P16)</f>
        <v>24.2</v>
      </c>
      <c r="Q18">
        <f>IF($C$3="CGE",INDEX(GDP_CGE!$A$3:$AN$24,MATCH($A18,GDP_CGE!$A$3:$A$24,0),MATCH(Q$9,GDP_CGE!$A$3:$AN$3,0)),GDP_Simple!Q16)</f>
        <v>24.71</v>
      </c>
      <c r="R18">
        <f>IF($C$3="CGE",INDEX(GDP_CGE!$A$3:$AN$24,MATCH($A18,GDP_CGE!$A$3:$A$24,0),MATCH(R$9,GDP_CGE!$A$3:$AN$3,0)),GDP_Simple!R16)</f>
        <v>25.82</v>
      </c>
      <c r="S18">
        <f>IF($C$3="CGE",INDEX(GDP_CGE!$A$3:$AN$24,MATCH($A18,GDP_CGE!$A$3:$A$24,0),MATCH(S$9,GDP_CGE!$A$3:$AN$3,0)),GDP_Simple!S16)</f>
        <v>26.77</v>
      </c>
      <c r="T18">
        <f>IF($C$3="CGE",INDEX(GDP_CGE!$A$3:$AN$24,MATCH($A18,GDP_CGE!$A$3:$A$24,0),MATCH(T$9,GDP_CGE!$A$3:$AN$3,0)),GDP_Simple!T16)</f>
        <v>27.15</v>
      </c>
      <c r="U18">
        <f>IF($C$3="CGE",INDEX(GDP_CGE!$A$3:$AN$24,MATCH($A18,GDP_CGE!$A$3:$A$24,0),MATCH(U$9,GDP_CGE!$A$3:$AN$3,0)),GDP_Simple!U16)</f>
        <v>27.58</v>
      </c>
      <c r="V18">
        <f>IF($C$3="CGE",INDEX(GDP_CGE!$A$3:$AN$24,MATCH($A18,GDP_CGE!$A$3:$A$24,0),MATCH(V$9,GDP_CGE!$A$3:$AN$3,0)),GDP_Simple!V16)</f>
        <v>27.84</v>
      </c>
      <c r="W18">
        <f>IF($C$3="CGE",INDEX(GDP_CGE!$A$3:$AN$24,MATCH($A18,GDP_CGE!$A$3:$A$24,0),MATCH(W$9,GDP_CGE!$A$3:$AN$3,0)),GDP_Simple!W16)</f>
        <v>28.57</v>
      </c>
      <c r="X18">
        <f>IF($C$3="CGE",INDEX(GDP_CGE!$A$3:$AN$24,MATCH($A18,GDP_CGE!$A$3:$A$24,0),MATCH(X$9,GDP_CGE!$A$3:$AN$3,0)),GDP_Simple!X16)</f>
        <v>28.41</v>
      </c>
      <c r="Y18">
        <f>IF($C$3="CGE",INDEX(GDP_CGE!$A$3:$AN$24,MATCH($A18,GDP_CGE!$A$3:$A$24,0),MATCH(Y$9,GDP_CGE!$A$3:$AN$3,0)),GDP_Simple!Y16)</f>
        <v>28.67</v>
      </c>
      <c r="Z18">
        <f>IF($C$3="CGE",INDEX(GDP_CGE!$A$3:$AN$24,MATCH($A18,GDP_CGE!$A$3:$A$24,0),MATCH(Z$9,GDP_CGE!$A$3:$AN$3,0)),GDP_Simple!Z16)</f>
        <v>29.23</v>
      </c>
      <c r="AA18">
        <f>IF($C$3="CGE",INDEX(GDP_CGE!$A$3:$AN$24,MATCH($A18,GDP_CGE!$A$3:$A$24,0),MATCH(AA$9,GDP_CGE!$A$3:$AN$3,0)),GDP_Simple!AA16)</f>
        <v>29.91</v>
      </c>
      <c r="AB18">
        <f>IF($C$3="CGE",INDEX(GDP_CGE!$A$3:$AN$24,MATCH($A18,GDP_CGE!$A$3:$A$24,0),MATCH(AB$9,GDP_CGE!$A$3:$AN$3,0)),GDP_Simple!AB16)</f>
        <v>30.63</v>
      </c>
      <c r="AC18">
        <f>IF($C$3="CGE",INDEX(GDP_CGE!$A$3:$AN$24,MATCH($A18,GDP_CGE!$A$3:$A$24,0),MATCH(AC$9,GDP_CGE!$A$3:$AN$3,0)),GDP_Simple!AC16)</f>
        <v>31.33</v>
      </c>
      <c r="AD18">
        <f>IF($C$3="CGE",INDEX(GDP_CGE!$A$3:$AN$24,MATCH($A18,GDP_CGE!$A$3:$A$24,0),MATCH(AD$9,GDP_CGE!$A$3:$AN$3,0)),GDP_Simple!AD16)</f>
        <v>31.4</v>
      </c>
      <c r="AE18">
        <f>IF($C$3="CGE",INDEX(GDP_CGE!$A$3:$AN$24,MATCH($A18,GDP_CGE!$A$3:$A$24,0),MATCH(AE$9,GDP_CGE!$A$3:$AN$3,0)),GDP_Simple!AE16)</f>
        <v>31.65</v>
      </c>
      <c r="AF18">
        <f>IF($C$3="CGE",INDEX(GDP_CGE!$A$3:$AN$24,MATCH($A18,GDP_CGE!$A$3:$A$24,0),MATCH(AF$9,GDP_CGE!$A$3:$AN$3,0)),GDP_Simple!AF16)</f>
        <v>31.93</v>
      </c>
      <c r="AG18">
        <f>IF($C$3="CGE",INDEX(GDP_CGE!$A$3:$AN$24,MATCH($A18,GDP_CGE!$A$3:$A$24,0),MATCH(AG$9,GDP_CGE!$A$3:$AN$3,0)),GDP_Simple!AG16)</f>
        <v>32.22</v>
      </c>
    </row>
    <row r="19" spans="1:33" x14ac:dyDescent="0.25">
      <c r="A19" s="3" t="s">
        <v>30</v>
      </c>
      <c r="B19">
        <f>IF($C$3="CGE",INDEX(GDP_CGE!$A$3:$AN$24,MATCH($A19,GDP_CGE!$A$3:$A$24,0),MATCH(B$9,GDP_CGE!$A$3:$AN$3,0)),GDP_Simple!B17)</f>
        <v>13.07</v>
      </c>
      <c r="C19">
        <f>IF($C$3="CGE",INDEX(GDP_CGE!$A$3:$AN$24,MATCH($A19,GDP_CGE!$A$3:$A$24,0),MATCH(C$9,GDP_CGE!$A$3:$AN$3,0)),GDP_Simple!C17)</f>
        <v>12</v>
      </c>
      <c r="D19">
        <f>IF($C$3="CGE",INDEX(GDP_CGE!$A$3:$AN$24,MATCH($A19,GDP_CGE!$A$3:$A$24,0),MATCH(D$9,GDP_CGE!$A$3:$AN$3,0)),GDP_Simple!D17)</f>
        <v>11.38</v>
      </c>
      <c r="E19">
        <f>IF($C$3="CGE",INDEX(GDP_CGE!$A$3:$AN$24,MATCH($A19,GDP_CGE!$A$3:$A$24,0),MATCH(E$9,GDP_CGE!$A$3:$AN$3,0)),GDP_Simple!E17)</f>
        <v>10.67</v>
      </c>
      <c r="F19">
        <f>IF($C$3="CGE",INDEX(GDP_CGE!$A$3:$AN$24,MATCH($A19,GDP_CGE!$A$3:$A$24,0),MATCH(F$9,GDP_CGE!$A$3:$AN$3,0)),GDP_Simple!F17)</f>
        <v>10.46</v>
      </c>
      <c r="G19">
        <f>IF($C$3="CGE",INDEX(GDP_CGE!$A$3:$AN$24,MATCH($A19,GDP_CGE!$A$3:$A$24,0),MATCH(G$9,GDP_CGE!$A$3:$AN$3,0)),GDP_Simple!G17)</f>
        <v>10.46</v>
      </c>
      <c r="H19">
        <f>IF($C$3="CGE",INDEX(GDP_CGE!$A$3:$AN$24,MATCH($A19,GDP_CGE!$A$3:$A$24,0),MATCH(H$9,GDP_CGE!$A$3:$AN$3,0)),GDP_Simple!H17)</f>
        <v>10.61</v>
      </c>
      <c r="I19">
        <f>IF($C$3="CGE",INDEX(GDP_CGE!$A$3:$AN$24,MATCH($A19,GDP_CGE!$A$3:$A$24,0),MATCH(I$9,GDP_CGE!$A$3:$AN$3,0)),GDP_Simple!I17)</f>
        <v>11.26</v>
      </c>
      <c r="J19">
        <f>IF($C$3="CGE",INDEX(GDP_CGE!$A$3:$AN$24,MATCH($A19,GDP_CGE!$A$3:$A$24,0),MATCH(J$9,GDP_CGE!$A$3:$AN$3,0)),GDP_Simple!J17)</f>
        <v>11.73</v>
      </c>
      <c r="K19">
        <f>IF($C$3="CGE",INDEX(GDP_CGE!$A$3:$AN$24,MATCH($A19,GDP_CGE!$A$3:$A$24,0),MATCH(K$9,GDP_CGE!$A$3:$AN$3,0)),GDP_Simple!K17)</f>
        <v>13.44</v>
      </c>
      <c r="L19">
        <f>IF($C$3="CGE",INDEX(GDP_CGE!$A$3:$AN$24,MATCH($A19,GDP_CGE!$A$3:$A$24,0),MATCH(L$9,GDP_CGE!$A$3:$AN$3,0)),GDP_Simple!L17)</f>
        <v>14.48</v>
      </c>
      <c r="M19">
        <f>IF($C$3="CGE",INDEX(GDP_CGE!$A$3:$AN$24,MATCH($A19,GDP_CGE!$A$3:$A$24,0),MATCH(M$9,GDP_CGE!$A$3:$AN$3,0)),GDP_Simple!M17)</f>
        <v>14.77</v>
      </c>
      <c r="N19">
        <f>IF($C$3="CGE",INDEX(GDP_CGE!$A$3:$AN$24,MATCH($A19,GDP_CGE!$A$3:$A$24,0),MATCH(N$9,GDP_CGE!$A$3:$AN$3,0)),GDP_Simple!N17)</f>
        <v>14.73</v>
      </c>
      <c r="O19">
        <f>IF($C$3="CGE",INDEX(GDP_CGE!$A$3:$AN$24,MATCH($A19,GDP_CGE!$A$3:$A$24,0),MATCH(O$9,GDP_CGE!$A$3:$AN$3,0)),GDP_Simple!O17)</f>
        <v>14.66</v>
      </c>
      <c r="P19">
        <f>IF($C$3="CGE",INDEX(GDP_CGE!$A$3:$AN$24,MATCH($A19,GDP_CGE!$A$3:$A$24,0),MATCH(P$9,GDP_CGE!$A$3:$AN$3,0)),GDP_Simple!P17)</f>
        <v>14.74</v>
      </c>
      <c r="Q19">
        <f>IF($C$3="CGE",INDEX(GDP_CGE!$A$3:$AN$24,MATCH($A19,GDP_CGE!$A$3:$A$24,0),MATCH(Q$9,GDP_CGE!$A$3:$AN$3,0)),GDP_Simple!Q17)</f>
        <v>15.04</v>
      </c>
      <c r="R19">
        <f>IF($C$3="CGE",INDEX(GDP_CGE!$A$3:$AN$24,MATCH($A19,GDP_CGE!$A$3:$A$24,0),MATCH(R$9,GDP_CGE!$A$3:$AN$3,0)),GDP_Simple!R17)</f>
        <v>17.91</v>
      </c>
      <c r="S19">
        <f>IF($C$3="CGE",INDEX(GDP_CGE!$A$3:$AN$24,MATCH($A19,GDP_CGE!$A$3:$A$24,0),MATCH(S$9,GDP_CGE!$A$3:$AN$3,0)),GDP_Simple!S17)</f>
        <v>20.67</v>
      </c>
      <c r="T19">
        <f>IF($C$3="CGE",INDEX(GDP_CGE!$A$3:$AN$24,MATCH($A19,GDP_CGE!$A$3:$A$24,0),MATCH(T$9,GDP_CGE!$A$3:$AN$3,0)),GDP_Simple!T17)</f>
        <v>20.25</v>
      </c>
      <c r="U19">
        <f>IF($C$3="CGE",INDEX(GDP_CGE!$A$3:$AN$24,MATCH($A19,GDP_CGE!$A$3:$A$24,0),MATCH(U$9,GDP_CGE!$A$3:$AN$3,0)),GDP_Simple!U17)</f>
        <v>20.36</v>
      </c>
      <c r="V19">
        <f>IF($C$3="CGE",INDEX(GDP_CGE!$A$3:$AN$24,MATCH($A19,GDP_CGE!$A$3:$A$24,0),MATCH(V$9,GDP_CGE!$A$3:$AN$3,0)),GDP_Simple!V17)</f>
        <v>19.59</v>
      </c>
      <c r="W19">
        <f>IF($C$3="CGE",INDEX(GDP_CGE!$A$3:$AN$24,MATCH($A19,GDP_CGE!$A$3:$A$24,0),MATCH(W$9,GDP_CGE!$A$3:$AN$3,0)),GDP_Simple!W17)</f>
        <v>20.77</v>
      </c>
      <c r="X19">
        <f>IF($C$3="CGE",INDEX(GDP_CGE!$A$3:$AN$24,MATCH($A19,GDP_CGE!$A$3:$A$24,0),MATCH(X$9,GDP_CGE!$A$3:$AN$3,0)),GDP_Simple!X17)</f>
        <v>17.77</v>
      </c>
      <c r="Y19">
        <f>IF($C$3="CGE",INDEX(GDP_CGE!$A$3:$AN$24,MATCH($A19,GDP_CGE!$A$3:$A$24,0),MATCH(Y$9,GDP_CGE!$A$3:$AN$3,0)),GDP_Simple!Y17)</f>
        <v>16.77</v>
      </c>
      <c r="Z19">
        <f>IF($C$3="CGE",INDEX(GDP_CGE!$A$3:$AN$24,MATCH($A19,GDP_CGE!$A$3:$A$24,0),MATCH(Z$9,GDP_CGE!$A$3:$AN$3,0)),GDP_Simple!Z17)</f>
        <v>16.95</v>
      </c>
      <c r="AA19">
        <f>IF($C$3="CGE",INDEX(GDP_CGE!$A$3:$AN$24,MATCH($A19,GDP_CGE!$A$3:$A$24,0),MATCH(AA$9,GDP_CGE!$A$3:$AN$3,0)),GDP_Simple!AA17)</f>
        <v>17.420000000000002</v>
      </c>
      <c r="AB19">
        <f>IF($C$3="CGE",INDEX(GDP_CGE!$A$3:$AN$24,MATCH($A19,GDP_CGE!$A$3:$A$24,0),MATCH(AB$9,GDP_CGE!$A$3:$AN$3,0)),GDP_Simple!AB17)</f>
        <v>17.989999999999998</v>
      </c>
      <c r="AC19">
        <f>IF($C$3="CGE",INDEX(GDP_CGE!$A$3:$AN$24,MATCH($A19,GDP_CGE!$A$3:$A$24,0),MATCH(AC$9,GDP_CGE!$A$3:$AN$3,0)),GDP_Simple!AC17)</f>
        <v>18.420000000000002</v>
      </c>
      <c r="AD19">
        <f>IF($C$3="CGE",INDEX(GDP_CGE!$A$3:$AN$24,MATCH($A19,GDP_CGE!$A$3:$A$24,0),MATCH(AD$9,GDP_CGE!$A$3:$AN$3,0)),GDP_Simple!AD17)</f>
        <v>17.350000000000001</v>
      </c>
      <c r="AE19">
        <f>IF($C$3="CGE",INDEX(GDP_CGE!$A$3:$AN$24,MATCH($A19,GDP_CGE!$A$3:$A$24,0),MATCH(AE$9,GDP_CGE!$A$3:$AN$3,0)),GDP_Simple!AE17)</f>
        <v>16.91</v>
      </c>
      <c r="AF19">
        <f>IF($C$3="CGE",INDEX(GDP_CGE!$A$3:$AN$24,MATCH($A19,GDP_CGE!$A$3:$A$24,0),MATCH(AF$9,GDP_CGE!$A$3:$AN$3,0)),GDP_Simple!AF17)</f>
        <v>16.760000000000002</v>
      </c>
      <c r="AG19">
        <f>IF($C$3="CGE",INDEX(GDP_CGE!$A$3:$AN$24,MATCH($A19,GDP_CGE!$A$3:$A$24,0),MATCH(AG$9,GDP_CGE!$A$3:$AN$3,0)),GDP_Simple!AG17)</f>
        <v>16.690000000000001</v>
      </c>
    </row>
    <row r="20" spans="1:33" x14ac:dyDescent="0.25">
      <c r="A20" s="3" t="s">
        <v>31</v>
      </c>
      <c r="B20">
        <f>IF($C$3="CGE",INDEX(GDP_CGE!$A$3:$AN$24,MATCH($A20,GDP_CGE!$A$3:$A$24,0),MATCH(B$9,GDP_CGE!$A$3:$AN$3,0)),GDP_Simple!B18)</f>
        <v>0.12</v>
      </c>
      <c r="C20">
        <f>IF($C$3="CGE",INDEX(GDP_CGE!$A$3:$AN$24,MATCH($A20,GDP_CGE!$A$3:$A$24,0),MATCH(C$9,GDP_CGE!$A$3:$AN$3,0)),GDP_Simple!C18)</f>
        <v>0.13</v>
      </c>
      <c r="D20">
        <f>IF($C$3="CGE",INDEX(GDP_CGE!$A$3:$AN$24,MATCH($A20,GDP_CGE!$A$3:$A$24,0),MATCH(D$9,GDP_CGE!$A$3:$AN$3,0)),GDP_Simple!D18)</f>
        <v>0.31</v>
      </c>
      <c r="E20">
        <f>IF($C$3="CGE",INDEX(GDP_CGE!$A$3:$AN$24,MATCH($A20,GDP_CGE!$A$3:$A$24,0),MATCH(E$9,GDP_CGE!$A$3:$AN$3,0)),GDP_Simple!E18)</f>
        <v>0.73</v>
      </c>
      <c r="F20">
        <f>IF($C$3="CGE",INDEX(GDP_CGE!$A$3:$AN$24,MATCH($A20,GDP_CGE!$A$3:$A$24,0),MATCH(F$9,GDP_CGE!$A$3:$AN$3,0)),GDP_Simple!F18)</f>
        <v>0.73</v>
      </c>
      <c r="G20">
        <f>IF($C$3="CGE",INDEX(GDP_CGE!$A$3:$AN$24,MATCH($A20,GDP_CGE!$A$3:$A$24,0),MATCH(G$9,GDP_CGE!$A$3:$AN$3,0)),GDP_Simple!G18)</f>
        <v>0.73</v>
      </c>
      <c r="H20">
        <f>IF($C$3="CGE",INDEX(GDP_CGE!$A$3:$AN$24,MATCH($A20,GDP_CGE!$A$3:$A$24,0),MATCH(H$9,GDP_CGE!$A$3:$AN$3,0)),GDP_Simple!H18)</f>
        <v>0.73</v>
      </c>
      <c r="I20">
        <f>IF($C$3="CGE",INDEX(GDP_CGE!$A$3:$AN$24,MATCH($A20,GDP_CGE!$A$3:$A$24,0),MATCH(I$9,GDP_CGE!$A$3:$AN$3,0)),GDP_Simple!I18)</f>
        <v>0.73</v>
      </c>
      <c r="J20">
        <f>IF($C$3="CGE",INDEX(GDP_CGE!$A$3:$AN$24,MATCH($A20,GDP_CGE!$A$3:$A$24,0),MATCH(J$9,GDP_CGE!$A$3:$AN$3,0)),GDP_Simple!J18)</f>
        <v>0.73</v>
      </c>
      <c r="K20">
        <f>IF($C$3="CGE",INDEX(GDP_CGE!$A$3:$AN$24,MATCH($A20,GDP_CGE!$A$3:$A$24,0),MATCH(K$9,GDP_CGE!$A$3:$AN$3,0)),GDP_Simple!K18)</f>
        <v>0.73</v>
      </c>
      <c r="L20">
        <f>IF($C$3="CGE",INDEX(GDP_CGE!$A$3:$AN$24,MATCH($A20,GDP_CGE!$A$3:$A$24,0),MATCH(L$9,GDP_CGE!$A$3:$AN$3,0)),GDP_Simple!L18)</f>
        <v>0.73</v>
      </c>
      <c r="M20">
        <f>IF($C$3="CGE",INDEX(GDP_CGE!$A$3:$AN$24,MATCH($A20,GDP_CGE!$A$3:$A$24,0),MATCH(M$9,GDP_CGE!$A$3:$AN$3,0)),GDP_Simple!M18)</f>
        <v>0.73</v>
      </c>
      <c r="N20">
        <f>IF($C$3="CGE",INDEX(GDP_CGE!$A$3:$AN$24,MATCH($A20,GDP_CGE!$A$3:$A$24,0),MATCH(N$9,GDP_CGE!$A$3:$AN$3,0)),GDP_Simple!N18)</f>
        <v>0.97</v>
      </c>
      <c r="O20">
        <f>IF($C$3="CGE",INDEX(GDP_CGE!$A$3:$AN$24,MATCH($A20,GDP_CGE!$A$3:$A$24,0),MATCH(O$9,GDP_CGE!$A$3:$AN$3,0)),GDP_Simple!O18)</f>
        <v>2.31</v>
      </c>
      <c r="P20">
        <f>IF($C$3="CGE",INDEX(GDP_CGE!$A$3:$AN$24,MATCH($A20,GDP_CGE!$A$3:$A$24,0),MATCH(P$9,GDP_CGE!$A$3:$AN$3,0)),GDP_Simple!P18)</f>
        <v>3.55</v>
      </c>
      <c r="Q20">
        <f>IF($C$3="CGE",INDEX(GDP_CGE!$A$3:$AN$24,MATCH($A20,GDP_CGE!$A$3:$A$24,0),MATCH(Q$9,GDP_CGE!$A$3:$AN$3,0)),GDP_Simple!Q18)</f>
        <v>5</v>
      </c>
      <c r="R20">
        <f>IF($C$3="CGE",INDEX(GDP_CGE!$A$3:$AN$24,MATCH($A20,GDP_CGE!$A$3:$A$24,0),MATCH(R$9,GDP_CGE!$A$3:$AN$3,0)),GDP_Simple!R18)</f>
        <v>6.69</v>
      </c>
      <c r="S20">
        <f>IF($C$3="CGE",INDEX(GDP_CGE!$A$3:$AN$24,MATCH($A20,GDP_CGE!$A$3:$A$24,0),MATCH(S$9,GDP_CGE!$A$3:$AN$3,0)),GDP_Simple!S18)</f>
        <v>8.19</v>
      </c>
      <c r="T20">
        <f>IF($C$3="CGE",INDEX(GDP_CGE!$A$3:$AN$24,MATCH($A20,GDP_CGE!$A$3:$A$24,0),MATCH(T$9,GDP_CGE!$A$3:$AN$3,0)),GDP_Simple!T18)</f>
        <v>20.63</v>
      </c>
      <c r="U20">
        <f>IF($C$3="CGE",INDEX(GDP_CGE!$A$3:$AN$24,MATCH($A20,GDP_CGE!$A$3:$A$24,0),MATCH(U$9,GDP_CGE!$A$3:$AN$3,0)),GDP_Simple!U18)</f>
        <v>25.37</v>
      </c>
      <c r="V20">
        <f>IF($C$3="CGE",INDEX(GDP_CGE!$A$3:$AN$24,MATCH($A20,GDP_CGE!$A$3:$A$24,0),MATCH(V$9,GDP_CGE!$A$3:$AN$3,0)),GDP_Simple!V18)</f>
        <v>30.06</v>
      </c>
      <c r="W20">
        <f>IF($C$3="CGE",INDEX(GDP_CGE!$A$3:$AN$24,MATCH($A20,GDP_CGE!$A$3:$A$24,0),MATCH(W$9,GDP_CGE!$A$3:$AN$3,0)),GDP_Simple!W18)</f>
        <v>34.76</v>
      </c>
      <c r="X20">
        <f>IF($C$3="CGE",INDEX(GDP_CGE!$A$3:$AN$24,MATCH($A20,GDP_CGE!$A$3:$A$24,0),MATCH(X$9,GDP_CGE!$A$3:$AN$3,0)),GDP_Simple!X18)</f>
        <v>37.130000000000003</v>
      </c>
      <c r="Y20">
        <f>IF($C$3="CGE",INDEX(GDP_CGE!$A$3:$AN$24,MATCH($A20,GDP_CGE!$A$3:$A$24,0),MATCH(Y$9,GDP_CGE!$A$3:$AN$3,0)),GDP_Simple!Y18)</f>
        <v>39.5</v>
      </c>
      <c r="Z20">
        <f>IF($C$3="CGE",INDEX(GDP_CGE!$A$3:$AN$24,MATCH($A20,GDP_CGE!$A$3:$A$24,0),MATCH(Z$9,GDP_CGE!$A$3:$AN$3,0)),GDP_Simple!Z18)</f>
        <v>41.85</v>
      </c>
      <c r="AA20">
        <f>IF($C$3="CGE",INDEX(GDP_CGE!$A$3:$AN$24,MATCH($A20,GDP_CGE!$A$3:$A$24,0),MATCH(AA$9,GDP_CGE!$A$3:$AN$3,0)),GDP_Simple!AA18)</f>
        <v>44.2</v>
      </c>
      <c r="AB20">
        <f>IF($C$3="CGE",INDEX(GDP_CGE!$A$3:$AN$24,MATCH($A20,GDP_CGE!$A$3:$A$24,0),MATCH(AB$9,GDP_CGE!$A$3:$AN$3,0)),GDP_Simple!AB18)</f>
        <v>46.55</v>
      </c>
      <c r="AC20">
        <f>IF($C$3="CGE",INDEX(GDP_CGE!$A$3:$AN$24,MATCH($A20,GDP_CGE!$A$3:$A$24,0),MATCH(AC$9,GDP_CGE!$A$3:$AN$3,0)),GDP_Simple!AC18)</f>
        <v>49.02</v>
      </c>
      <c r="AD20">
        <f>IF($C$3="CGE",INDEX(GDP_CGE!$A$3:$AN$24,MATCH($A20,GDP_CGE!$A$3:$A$24,0),MATCH(AD$9,GDP_CGE!$A$3:$AN$3,0)),GDP_Simple!AD18)</f>
        <v>51.48</v>
      </c>
      <c r="AE20">
        <f>IF($C$3="CGE",INDEX(GDP_CGE!$A$3:$AN$24,MATCH($A20,GDP_CGE!$A$3:$A$24,0),MATCH(AE$9,GDP_CGE!$A$3:$AN$3,0)),GDP_Simple!AE18)</f>
        <v>53.95</v>
      </c>
      <c r="AF20">
        <f>IF($C$3="CGE",INDEX(GDP_CGE!$A$3:$AN$24,MATCH($A20,GDP_CGE!$A$3:$A$24,0),MATCH(AF$9,GDP_CGE!$A$3:$AN$3,0)),GDP_Simple!AF18)</f>
        <v>56.41</v>
      </c>
      <c r="AG20">
        <f>IF($C$3="CGE",INDEX(GDP_CGE!$A$3:$AN$24,MATCH($A20,GDP_CGE!$A$3:$A$24,0),MATCH(AG$9,GDP_CGE!$A$3:$AN$3,0)),GDP_Simple!AG18)</f>
        <v>58.88</v>
      </c>
    </row>
    <row r="21" spans="1:33" x14ac:dyDescent="0.25">
      <c r="A21" s="3" t="s">
        <v>32</v>
      </c>
      <c r="B21">
        <f>IF($C$3="CGE",INDEX(GDP_CGE!$A$3:$AN$24,MATCH($A21,GDP_CGE!$A$3:$A$24,0),MATCH(B$9,GDP_CGE!$A$3:$AN$3,0)),GDP_Simple!B19)</f>
        <v>142.19999999999999</v>
      </c>
      <c r="C21">
        <f>IF($C$3="CGE",INDEX(GDP_CGE!$A$3:$AN$24,MATCH($A21,GDP_CGE!$A$3:$A$24,0),MATCH(C$9,GDP_CGE!$A$3:$AN$3,0)),GDP_Simple!C19)</f>
        <v>137.66999999999999</v>
      </c>
      <c r="D21">
        <f>IF($C$3="CGE",INDEX(GDP_CGE!$A$3:$AN$24,MATCH($A21,GDP_CGE!$A$3:$A$24,0),MATCH(D$9,GDP_CGE!$A$3:$AN$3,0)),GDP_Simple!D19)</f>
        <v>143.4</v>
      </c>
      <c r="E21">
        <f>IF($C$3="CGE",INDEX(GDP_CGE!$A$3:$AN$24,MATCH($A21,GDP_CGE!$A$3:$A$24,0),MATCH(E$9,GDP_CGE!$A$3:$AN$3,0)),GDP_Simple!E19)</f>
        <v>144.38999999999999</v>
      </c>
      <c r="F21">
        <f>IF($C$3="CGE",INDEX(GDP_CGE!$A$3:$AN$24,MATCH($A21,GDP_CGE!$A$3:$A$24,0),MATCH(F$9,GDP_CGE!$A$3:$AN$3,0)),GDP_Simple!F19)</f>
        <v>144.57</v>
      </c>
      <c r="G21">
        <f>IF($C$3="CGE",INDEX(GDP_CGE!$A$3:$AN$24,MATCH($A21,GDP_CGE!$A$3:$A$24,0),MATCH(G$9,GDP_CGE!$A$3:$AN$3,0)),GDP_Simple!G19)</f>
        <v>145.81</v>
      </c>
      <c r="H21">
        <f>IF($C$3="CGE",INDEX(GDP_CGE!$A$3:$AN$24,MATCH($A21,GDP_CGE!$A$3:$A$24,0),MATCH(H$9,GDP_CGE!$A$3:$AN$3,0)),GDP_Simple!H19)</f>
        <v>147.94999999999999</v>
      </c>
      <c r="I21">
        <f>IF($C$3="CGE",INDEX(GDP_CGE!$A$3:$AN$24,MATCH($A21,GDP_CGE!$A$3:$A$24,0),MATCH(I$9,GDP_CGE!$A$3:$AN$3,0)),GDP_Simple!I19)</f>
        <v>149.13</v>
      </c>
      <c r="J21">
        <f>IF($C$3="CGE",INDEX(GDP_CGE!$A$3:$AN$24,MATCH($A21,GDP_CGE!$A$3:$A$24,0),MATCH(J$9,GDP_CGE!$A$3:$AN$3,0)),GDP_Simple!J19)</f>
        <v>150.59</v>
      </c>
      <c r="K21">
        <f>IF($C$3="CGE",INDEX(GDP_CGE!$A$3:$AN$24,MATCH($A21,GDP_CGE!$A$3:$A$24,0),MATCH(K$9,GDP_CGE!$A$3:$AN$3,0)),GDP_Simple!K19)</f>
        <v>152.97</v>
      </c>
      <c r="L21">
        <f>IF($C$3="CGE",INDEX(GDP_CGE!$A$3:$AN$24,MATCH($A21,GDP_CGE!$A$3:$A$24,0),MATCH(L$9,GDP_CGE!$A$3:$AN$3,0)),GDP_Simple!L19)</f>
        <v>156.79</v>
      </c>
      <c r="M21">
        <f>IF($C$3="CGE",INDEX(GDP_CGE!$A$3:$AN$24,MATCH($A21,GDP_CGE!$A$3:$A$24,0),MATCH(M$9,GDP_CGE!$A$3:$AN$3,0)),GDP_Simple!M19)</f>
        <v>158.83000000000001</v>
      </c>
      <c r="N21">
        <f>IF($C$3="CGE",INDEX(GDP_CGE!$A$3:$AN$24,MATCH($A21,GDP_CGE!$A$3:$A$24,0),MATCH(N$9,GDP_CGE!$A$3:$AN$3,0)),GDP_Simple!N19)</f>
        <v>165.7</v>
      </c>
      <c r="O21">
        <f>IF($C$3="CGE",INDEX(GDP_CGE!$A$3:$AN$24,MATCH($A21,GDP_CGE!$A$3:$A$24,0),MATCH(O$9,GDP_CGE!$A$3:$AN$3,0)),GDP_Simple!O19)</f>
        <v>174.21</v>
      </c>
      <c r="P21">
        <f>IF($C$3="CGE",INDEX(GDP_CGE!$A$3:$AN$24,MATCH($A21,GDP_CGE!$A$3:$A$24,0),MATCH(P$9,GDP_CGE!$A$3:$AN$3,0)),GDP_Simple!P19)</f>
        <v>181.55</v>
      </c>
      <c r="Q21">
        <f>IF($C$3="CGE",INDEX(GDP_CGE!$A$3:$AN$24,MATCH($A21,GDP_CGE!$A$3:$A$24,0),MATCH(Q$9,GDP_CGE!$A$3:$AN$3,0)),GDP_Simple!Q19)</f>
        <v>191.62</v>
      </c>
      <c r="R21">
        <f>IF($C$3="CGE",INDEX(GDP_CGE!$A$3:$AN$24,MATCH($A21,GDP_CGE!$A$3:$A$24,0),MATCH(R$9,GDP_CGE!$A$3:$AN$3,0)),GDP_Simple!R19)</f>
        <v>191.16</v>
      </c>
      <c r="S21">
        <f>IF($C$3="CGE",INDEX(GDP_CGE!$A$3:$AN$24,MATCH($A21,GDP_CGE!$A$3:$A$24,0),MATCH(S$9,GDP_CGE!$A$3:$AN$3,0)),GDP_Simple!S19)</f>
        <v>195.15</v>
      </c>
      <c r="T21">
        <f>IF($C$3="CGE",INDEX(GDP_CGE!$A$3:$AN$24,MATCH($A21,GDP_CGE!$A$3:$A$24,0),MATCH(T$9,GDP_CGE!$A$3:$AN$3,0)),GDP_Simple!T19)</f>
        <v>233.38</v>
      </c>
      <c r="U21">
        <f>IF($C$3="CGE",INDEX(GDP_CGE!$A$3:$AN$24,MATCH($A21,GDP_CGE!$A$3:$A$24,0),MATCH(U$9,GDP_CGE!$A$3:$AN$3,0)),GDP_Simple!U19)</f>
        <v>246.79</v>
      </c>
      <c r="V21">
        <f>IF($C$3="CGE",INDEX(GDP_CGE!$A$3:$AN$24,MATCH($A21,GDP_CGE!$A$3:$A$24,0),MATCH(V$9,GDP_CGE!$A$3:$AN$3,0)),GDP_Simple!V19)</f>
        <v>262.18</v>
      </c>
      <c r="W21">
        <f>IF($C$3="CGE",INDEX(GDP_CGE!$A$3:$AN$24,MATCH($A21,GDP_CGE!$A$3:$A$24,0),MATCH(W$9,GDP_CGE!$A$3:$AN$3,0)),GDP_Simple!W19)</f>
        <v>276.33</v>
      </c>
      <c r="X21">
        <f>IF($C$3="CGE",INDEX(GDP_CGE!$A$3:$AN$24,MATCH($A21,GDP_CGE!$A$3:$A$24,0),MATCH(X$9,GDP_CGE!$A$3:$AN$3,0)),GDP_Simple!X19)</f>
        <v>285.33999999999997</v>
      </c>
      <c r="Y21">
        <f>IF($C$3="CGE",INDEX(GDP_CGE!$A$3:$AN$24,MATCH($A21,GDP_CGE!$A$3:$A$24,0),MATCH(Y$9,GDP_CGE!$A$3:$AN$3,0)),GDP_Simple!Y19)</f>
        <v>294.49</v>
      </c>
      <c r="Z21">
        <f>IF($C$3="CGE",INDEX(GDP_CGE!$A$3:$AN$24,MATCH($A21,GDP_CGE!$A$3:$A$24,0),MATCH(Z$9,GDP_CGE!$A$3:$AN$3,0)),GDP_Simple!Z19)</f>
        <v>304.62</v>
      </c>
      <c r="AA21">
        <f>IF($C$3="CGE",INDEX(GDP_CGE!$A$3:$AN$24,MATCH($A21,GDP_CGE!$A$3:$A$24,0),MATCH(AA$9,GDP_CGE!$A$3:$AN$3,0)),GDP_Simple!AA19)</f>
        <v>314.81</v>
      </c>
      <c r="AB21">
        <f>IF($C$3="CGE",INDEX(GDP_CGE!$A$3:$AN$24,MATCH($A21,GDP_CGE!$A$3:$A$24,0),MATCH(AB$9,GDP_CGE!$A$3:$AN$3,0)),GDP_Simple!AB19)</f>
        <v>325.05</v>
      </c>
      <c r="AC21">
        <f>IF($C$3="CGE",INDEX(GDP_CGE!$A$3:$AN$24,MATCH($A21,GDP_CGE!$A$3:$A$24,0),MATCH(AC$9,GDP_CGE!$A$3:$AN$3,0)),GDP_Simple!AC19)</f>
        <v>341.29</v>
      </c>
      <c r="AD21">
        <f>IF($C$3="CGE",INDEX(GDP_CGE!$A$3:$AN$24,MATCH($A21,GDP_CGE!$A$3:$A$24,0),MATCH(AD$9,GDP_CGE!$A$3:$AN$3,0)),GDP_Simple!AD19)</f>
        <v>356.6</v>
      </c>
      <c r="AE21">
        <f>IF($C$3="CGE",INDEX(GDP_CGE!$A$3:$AN$24,MATCH($A21,GDP_CGE!$A$3:$A$24,0),MATCH(AE$9,GDP_CGE!$A$3:$AN$3,0)),GDP_Simple!AE19)</f>
        <v>371.17</v>
      </c>
      <c r="AF21">
        <f>IF($C$3="CGE",INDEX(GDP_CGE!$A$3:$AN$24,MATCH($A21,GDP_CGE!$A$3:$A$24,0),MATCH(AF$9,GDP_CGE!$A$3:$AN$3,0)),GDP_Simple!AF19)</f>
        <v>386.66</v>
      </c>
      <c r="AG21">
        <f>IF($C$3="CGE",INDEX(GDP_CGE!$A$3:$AN$24,MATCH($A21,GDP_CGE!$A$3:$A$24,0),MATCH(AG$9,GDP_CGE!$A$3:$AN$3,0)),GDP_Simple!AG19)</f>
        <v>402.21</v>
      </c>
    </row>
    <row r="22" spans="1:33" x14ac:dyDescent="0.25">
      <c r="A22" s="3" t="s">
        <v>33</v>
      </c>
      <c r="B22">
        <f>IF($C$3="CGE",INDEX(GDP_CGE!$A$3:$AN$24,MATCH($A22,GDP_CGE!$A$3:$A$24,0),MATCH(B$9,GDP_CGE!$A$3:$AN$3,0)),GDP_Simple!B20)</f>
        <v>60.68</v>
      </c>
      <c r="C22">
        <f>IF($C$3="CGE",INDEX(GDP_CGE!$A$3:$AN$24,MATCH($A22,GDP_CGE!$A$3:$A$24,0),MATCH(C$9,GDP_CGE!$A$3:$AN$3,0)),GDP_Simple!C20)</f>
        <v>58.58</v>
      </c>
      <c r="D22">
        <f>IF($C$3="CGE",INDEX(GDP_CGE!$A$3:$AN$24,MATCH($A22,GDP_CGE!$A$3:$A$24,0),MATCH(D$9,GDP_CGE!$A$3:$AN$3,0)),GDP_Simple!D20)</f>
        <v>60.09</v>
      </c>
      <c r="E22">
        <f>IF($C$3="CGE",INDEX(GDP_CGE!$A$3:$AN$24,MATCH($A22,GDP_CGE!$A$3:$A$24,0),MATCH(E$9,GDP_CGE!$A$3:$AN$3,0)),GDP_Simple!E20)</f>
        <v>61.48</v>
      </c>
      <c r="F22">
        <f>IF($C$3="CGE",INDEX(GDP_CGE!$A$3:$AN$24,MATCH($A22,GDP_CGE!$A$3:$A$24,0),MATCH(F$9,GDP_CGE!$A$3:$AN$3,0)),GDP_Simple!F20)</f>
        <v>62.68</v>
      </c>
      <c r="G22">
        <f>IF($C$3="CGE",INDEX(GDP_CGE!$A$3:$AN$24,MATCH($A22,GDP_CGE!$A$3:$A$24,0),MATCH(G$9,GDP_CGE!$A$3:$AN$3,0)),GDP_Simple!G20)</f>
        <v>64.05</v>
      </c>
      <c r="H22">
        <f>IF($C$3="CGE",INDEX(GDP_CGE!$A$3:$AN$24,MATCH($A22,GDP_CGE!$A$3:$A$24,0),MATCH(H$9,GDP_CGE!$A$3:$AN$3,0)),GDP_Simple!H20)</f>
        <v>65.23</v>
      </c>
      <c r="I22">
        <f>IF($C$3="CGE",INDEX(GDP_CGE!$A$3:$AN$24,MATCH($A22,GDP_CGE!$A$3:$A$24,0),MATCH(I$9,GDP_CGE!$A$3:$AN$3,0)),GDP_Simple!I20)</f>
        <v>66.2</v>
      </c>
      <c r="J22">
        <f>IF($C$3="CGE",INDEX(GDP_CGE!$A$3:$AN$24,MATCH($A22,GDP_CGE!$A$3:$A$24,0),MATCH(J$9,GDP_CGE!$A$3:$AN$3,0)),GDP_Simple!J20)</f>
        <v>67.41</v>
      </c>
      <c r="K22">
        <f>IF($C$3="CGE",INDEX(GDP_CGE!$A$3:$AN$24,MATCH($A22,GDP_CGE!$A$3:$A$24,0),MATCH(K$9,GDP_CGE!$A$3:$AN$3,0)),GDP_Simple!K20)</f>
        <v>69.67</v>
      </c>
      <c r="L22">
        <f>IF($C$3="CGE",INDEX(GDP_CGE!$A$3:$AN$24,MATCH($A22,GDP_CGE!$A$3:$A$24,0),MATCH(L$9,GDP_CGE!$A$3:$AN$3,0)),GDP_Simple!L20)</f>
        <v>72.37</v>
      </c>
      <c r="M22">
        <f>IF($C$3="CGE",INDEX(GDP_CGE!$A$3:$AN$24,MATCH($A22,GDP_CGE!$A$3:$A$24,0),MATCH(M$9,GDP_CGE!$A$3:$AN$3,0)),GDP_Simple!M20)</f>
        <v>74.66</v>
      </c>
      <c r="N22">
        <f>IF($C$3="CGE",INDEX(GDP_CGE!$A$3:$AN$24,MATCH($A22,GDP_CGE!$A$3:$A$24,0),MATCH(N$9,GDP_CGE!$A$3:$AN$3,0)),GDP_Simple!N20)</f>
        <v>77.239999999999995</v>
      </c>
      <c r="O22">
        <f>IF($C$3="CGE",INDEX(GDP_CGE!$A$3:$AN$24,MATCH($A22,GDP_CGE!$A$3:$A$24,0),MATCH(O$9,GDP_CGE!$A$3:$AN$3,0)),GDP_Simple!O20)</f>
        <v>79.61</v>
      </c>
      <c r="P22">
        <f>IF($C$3="CGE",INDEX(GDP_CGE!$A$3:$AN$24,MATCH($A22,GDP_CGE!$A$3:$A$24,0),MATCH(P$9,GDP_CGE!$A$3:$AN$3,0)),GDP_Simple!P20)</f>
        <v>82.52</v>
      </c>
      <c r="Q22">
        <f>IF($C$3="CGE",INDEX(GDP_CGE!$A$3:$AN$24,MATCH($A22,GDP_CGE!$A$3:$A$24,0),MATCH(Q$9,GDP_CGE!$A$3:$AN$3,0)),GDP_Simple!Q20)</f>
        <v>85.37</v>
      </c>
      <c r="R22">
        <f>IF($C$3="CGE",INDEX(GDP_CGE!$A$3:$AN$24,MATCH($A22,GDP_CGE!$A$3:$A$24,0),MATCH(R$9,GDP_CGE!$A$3:$AN$3,0)),GDP_Simple!R20)</f>
        <v>89.15</v>
      </c>
      <c r="S22">
        <f>IF($C$3="CGE",INDEX(GDP_CGE!$A$3:$AN$24,MATCH($A22,GDP_CGE!$A$3:$A$24,0),MATCH(S$9,GDP_CGE!$A$3:$AN$3,0)),GDP_Simple!S20)</f>
        <v>93.56</v>
      </c>
      <c r="T22">
        <f>IF($C$3="CGE",INDEX(GDP_CGE!$A$3:$AN$24,MATCH($A22,GDP_CGE!$A$3:$A$24,0),MATCH(T$9,GDP_CGE!$A$3:$AN$3,0)),GDP_Simple!T20)</f>
        <v>96.22</v>
      </c>
      <c r="U22">
        <f>IF($C$3="CGE",INDEX(GDP_CGE!$A$3:$AN$24,MATCH($A22,GDP_CGE!$A$3:$A$24,0),MATCH(U$9,GDP_CGE!$A$3:$AN$3,0)),GDP_Simple!U20)</f>
        <v>99.16</v>
      </c>
      <c r="V22">
        <f>IF($C$3="CGE",INDEX(GDP_CGE!$A$3:$AN$24,MATCH($A22,GDP_CGE!$A$3:$A$24,0),MATCH(V$9,GDP_CGE!$A$3:$AN$3,0)),GDP_Simple!V20)</f>
        <v>101.85</v>
      </c>
      <c r="W22">
        <f>IF($C$3="CGE",INDEX(GDP_CGE!$A$3:$AN$24,MATCH($A22,GDP_CGE!$A$3:$A$24,0),MATCH(W$9,GDP_CGE!$A$3:$AN$3,0)),GDP_Simple!W20)</f>
        <v>104.7</v>
      </c>
      <c r="X22">
        <f>IF($C$3="CGE",INDEX(GDP_CGE!$A$3:$AN$24,MATCH($A22,GDP_CGE!$A$3:$A$24,0),MATCH(X$9,GDP_CGE!$A$3:$AN$3,0)),GDP_Simple!X20)</f>
        <v>107.63</v>
      </c>
      <c r="Y22">
        <f>IF($C$3="CGE",INDEX(GDP_CGE!$A$3:$AN$24,MATCH($A22,GDP_CGE!$A$3:$A$24,0),MATCH(Y$9,GDP_CGE!$A$3:$AN$3,0)),GDP_Simple!Y20)</f>
        <v>110.21</v>
      </c>
      <c r="Z22">
        <f>IF($C$3="CGE",INDEX(GDP_CGE!$A$3:$AN$24,MATCH($A22,GDP_CGE!$A$3:$A$24,0),MATCH(Z$9,GDP_CGE!$A$3:$AN$3,0)),GDP_Simple!Z20)</f>
        <v>112.46</v>
      </c>
      <c r="AA22">
        <f>IF($C$3="CGE",INDEX(GDP_CGE!$A$3:$AN$24,MATCH($A22,GDP_CGE!$A$3:$A$24,0),MATCH(AA$9,GDP_CGE!$A$3:$AN$3,0)),GDP_Simple!AA20)</f>
        <v>114.47</v>
      </c>
      <c r="AB22">
        <f>IF($C$3="CGE",INDEX(GDP_CGE!$A$3:$AN$24,MATCH($A22,GDP_CGE!$A$3:$A$24,0),MATCH(AB$9,GDP_CGE!$A$3:$AN$3,0)),GDP_Simple!AB20)</f>
        <v>116.38</v>
      </c>
      <c r="AC22">
        <f>IF($C$3="CGE",INDEX(GDP_CGE!$A$3:$AN$24,MATCH($A22,GDP_CGE!$A$3:$A$24,0),MATCH(AC$9,GDP_CGE!$A$3:$AN$3,0)),GDP_Simple!AC20)</f>
        <v>118.34</v>
      </c>
      <c r="AD22">
        <f>IF($C$3="CGE",INDEX(GDP_CGE!$A$3:$AN$24,MATCH($A22,GDP_CGE!$A$3:$A$24,0),MATCH(AD$9,GDP_CGE!$A$3:$AN$3,0)),GDP_Simple!AD20)</f>
        <v>118.47</v>
      </c>
      <c r="AE22">
        <f>IF($C$3="CGE",INDEX(GDP_CGE!$A$3:$AN$24,MATCH($A22,GDP_CGE!$A$3:$A$24,0),MATCH(AE$9,GDP_CGE!$A$3:$AN$3,0)),GDP_Simple!AE20)</f>
        <v>118.4</v>
      </c>
      <c r="AF22">
        <f>IF($C$3="CGE",INDEX(GDP_CGE!$A$3:$AN$24,MATCH($A22,GDP_CGE!$A$3:$A$24,0),MATCH(AF$9,GDP_CGE!$A$3:$AN$3,0)),GDP_Simple!AF20)</f>
        <v>118.4</v>
      </c>
      <c r="AG22">
        <f>IF($C$3="CGE",INDEX(GDP_CGE!$A$3:$AN$24,MATCH($A22,GDP_CGE!$A$3:$A$24,0),MATCH(AG$9,GDP_CGE!$A$3:$AN$3,0)),GDP_Simple!AG20)</f>
        <v>118.36</v>
      </c>
    </row>
    <row r="23" spans="1:33" x14ac:dyDescent="0.25">
      <c r="A23" s="3" t="s">
        <v>34</v>
      </c>
      <c r="B23">
        <f>IF($C$3="CGE",INDEX(GDP_CGE!$A$3:$AN$24,MATCH($A23,GDP_CGE!$A$3:$A$24,0),MATCH(B$9,GDP_CGE!$A$3:$AN$3,0)),GDP_Simple!B21)</f>
        <v>247.43</v>
      </c>
      <c r="C23">
        <f>IF($C$3="CGE",INDEX(GDP_CGE!$A$3:$AN$24,MATCH($A23,GDP_CGE!$A$3:$A$24,0),MATCH(C$9,GDP_CGE!$A$3:$AN$3,0)),GDP_Simple!C21)</f>
        <v>235.95</v>
      </c>
      <c r="D23">
        <f>IF($C$3="CGE",INDEX(GDP_CGE!$A$3:$AN$24,MATCH($A23,GDP_CGE!$A$3:$A$24,0),MATCH(D$9,GDP_CGE!$A$3:$AN$3,0)),GDP_Simple!D21)</f>
        <v>242.5</v>
      </c>
      <c r="E23">
        <f>IF($C$3="CGE",INDEX(GDP_CGE!$A$3:$AN$24,MATCH($A23,GDP_CGE!$A$3:$A$24,0),MATCH(E$9,GDP_CGE!$A$3:$AN$3,0)),GDP_Simple!E21)</f>
        <v>248.63</v>
      </c>
      <c r="F23">
        <f>IF($C$3="CGE",INDEX(GDP_CGE!$A$3:$AN$24,MATCH($A23,GDP_CGE!$A$3:$A$24,0),MATCH(F$9,GDP_CGE!$A$3:$AN$3,0)),GDP_Simple!F21)</f>
        <v>253.33</v>
      </c>
      <c r="G23">
        <f>IF($C$3="CGE",INDEX(GDP_CGE!$A$3:$AN$24,MATCH($A23,GDP_CGE!$A$3:$A$24,0),MATCH(G$9,GDP_CGE!$A$3:$AN$3,0)),GDP_Simple!G21)</f>
        <v>258.23</v>
      </c>
      <c r="H23">
        <f>IF($C$3="CGE",INDEX(GDP_CGE!$A$3:$AN$24,MATCH($A23,GDP_CGE!$A$3:$A$24,0),MATCH(H$9,GDP_CGE!$A$3:$AN$3,0)),GDP_Simple!H21)</f>
        <v>263.17</v>
      </c>
      <c r="I23">
        <f>IF($C$3="CGE",INDEX(GDP_CGE!$A$3:$AN$24,MATCH($A23,GDP_CGE!$A$3:$A$24,0),MATCH(I$9,GDP_CGE!$A$3:$AN$3,0)),GDP_Simple!I21)</f>
        <v>268.76</v>
      </c>
      <c r="J23">
        <f>IF($C$3="CGE",INDEX(GDP_CGE!$A$3:$AN$24,MATCH($A23,GDP_CGE!$A$3:$A$24,0),MATCH(J$9,GDP_CGE!$A$3:$AN$3,0)),GDP_Simple!J21)</f>
        <v>274.67</v>
      </c>
      <c r="K23">
        <f>IF($C$3="CGE",INDEX(GDP_CGE!$A$3:$AN$24,MATCH($A23,GDP_CGE!$A$3:$A$24,0),MATCH(K$9,GDP_CGE!$A$3:$AN$3,0)),GDP_Simple!K21)</f>
        <v>282.06</v>
      </c>
      <c r="L23">
        <f>IF($C$3="CGE",INDEX(GDP_CGE!$A$3:$AN$24,MATCH($A23,GDP_CGE!$A$3:$A$24,0),MATCH(L$9,GDP_CGE!$A$3:$AN$3,0)),GDP_Simple!L21)</f>
        <v>291.58999999999997</v>
      </c>
      <c r="M23">
        <f>IF($C$3="CGE",INDEX(GDP_CGE!$A$3:$AN$24,MATCH($A23,GDP_CGE!$A$3:$A$24,0),MATCH(M$9,GDP_CGE!$A$3:$AN$3,0)),GDP_Simple!M21)</f>
        <v>299.91000000000003</v>
      </c>
      <c r="N23">
        <f>IF($C$3="CGE",INDEX(GDP_CGE!$A$3:$AN$24,MATCH($A23,GDP_CGE!$A$3:$A$24,0),MATCH(N$9,GDP_CGE!$A$3:$AN$3,0)),GDP_Simple!N21)</f>
        <v>308.88</v>
      </c>
      <c r="O23">
        <f>IF($C$3="CGE",INDEX(GDP_CGE!$A$3:$AN$24,MATCH($A23,GDP_CGE!$A$3:$A$24,0),MATCH(O$9,GDP_CGE!$A$3:$AN$3,0)),GDP_Simple!O21)</f>
        <v>317.89</v>
      </c>
      <c r="P23">
        <f>IF($C$3="CGE",INDEX(GDP_CGE!$A$3:$AN$24,MATCH($A23,GDP_CGE!$A$3:$A$24,0),MATCH(P$9,GDP_CGE!$A$3:$AN$3,0)),GDP_Simple!P21)</f>
        <v>330.19</v>
      </c>
      <c r="Q23">
        <f>IF($C$3="CGE",INDEX(GDP_CGE!$A$3:$AN$24,MATCH($A23,GDP_CGE!$A$3:$A$24,0),MATCH(Q$9,GDP_CGE!$A$3:$AN$3,0)),GDP_Simple!Q21)</f>
        <v>343.29</v>
      </c>
      <c r="R23">
        <f>IF($C$3="CGE",INDEX(GDP_CGE!$A$3:$AN$24,MATCH($A23,GDP_CGE!$A$3:$A$24,0),MATCH(R$9,GDP_CGE!$A$3:$AN$3,0)),GDP_Simple!R21)</f>
        <v>353.76</v>
      </c>
      <c r="S23">
        <f>IF($C$3="CGE",INDEX(GDP_CGE!$A$3:$AN$24,MATCH($A23,GDP_CGE!$A$3:$A$24,0),MATCH(S$9,GDP_CGE!$A$3:$AN$3,0)),GDP_Simple!S21)</f>
        <v>364</v>
      </c>
      <c r="T23">
        <f>IF($C$3="CGE",INDEX(GDP_CGE!$A$3:$AN$24,MATCH($A23,GDP_CGE!$A$3:$A$24,0),MATCH(T$9,GDP_CGE!$A$3:$AN$3,0)),GDP_Simple!T21)</f>
        <v>373.36</v>
      </c>
      <c r="U23">
        <f>IF($C$3="CGE",INDEX(GDP_CGE!$A$3:$AN$24,MATCH($A23,GDP_CGE!$A$3:$A$24,0),MATCH(U$9,GDP_CGE!$A$3:$AN$3,0)),GDP_Simple!U21)</f>
        <v>384.36</v>
      </c>
      <c r="V23">
        <f>IF($C$3="CGE",INDEX(GDP_CGE!$A$3:$AN$24,MATCH($A23,GDP_CGE!$A$3:$A$24,0),MATCH(V$9,GDP_CGE!$A$3:$AN$3,0)),GDP_Simple!V21)</f>
        <v>395.7</v>
      </c>
      <c r="W23">
        <f>IF($C$3="CGE",INDEX(GDP_CGE!$A$3:$AN$24,MATCH($A23,GDP_CGE!$A$3:$A$24,0),MATCH(W$9,GDP_CGE!$A$3:$AN$3,0)),GDP_Simple!W21)</f>
        <v>407.99</v>
      </c>
      <c r="X23">
        <f>IF($C$3="CGE",INDEX(GDP_CGE!$A$3:$AN$24,MATCH($A23,GDP_CGE!$A$3:$A$24,0),MATCH(X$9,GDP_CGE!$A$3:$AN$3,0)),GDP_Simple!X21)</f>
        <v>420.62</v>
      </c>
      <c r="Y23">
        <f>IF($C$3="CGE",INDEX(GDP_CGE!$A$3:$AN$24,MATCH($A23,GDP_CGE!$A$3:$A$24,0),MATCH(Y$9,GDP_CGE!$A$3:$AN$3,0)),GDP_Simple!Y21)</f>
        <v>432.8</v>
      </c>
      <c r="Z23">
        <f>IF($C$3="CGE",INDEX(GDP_CGE!$A$3:$AN$24,MATCH($A23,GDP_CGE!$A$3:$A$24,0),MATCH(Z$9,GDP_CGE!$A$3:$AN$3,0)),GDP_Simple!Z21)</f>
        <v>445.63</v>
      </c>
      <c r="AA23">
        <f>IF($C$3="CGE",INDEX(GDP_CGE!$A$3:$AN$24,MATCH($A23,GDP_CGE!$A$3:$A$24,0),MATCH(AA$9,GDP_CGE!$A$3:$AN$3,0)),GDP_Simple!AA21)</f>
        <v>458.11</v>
      </c>
      <c r="AB23">
        <f>IF($C$3="CGE",INDEX(GDP_CGE!$A$3:$AN$24,MATCH($A23,GDP_CGE!$A$3:$A$24,0),MATCH(AB$9,GDP_CGE!$A$3:$AN$3,0)),GDP_Simple!AB21)</f>
        <v>470.64</v>
      </c>
      <c r="AC23">
        <f>IF($C$3="CGE",INDEX(GDP_CGE!$A$3:$AN$24,MATCH($A23,GDP_CGE!$A$3:$A$24,0),MATCH(AC$9,GDP_CGE!$A$3:$AN$3,0)),GDP_Simple!AC21)</f>
        <v>482.18</v>
      </c>
      <c r="AD23">
        <f>IF($C$3="CGE",INDEX(GDP_CGE!$A$3:$AN$24,MATCH($A23,GDP_CGE!$A$3:$A$24,0),MATCH(AD$9,GDP_CGE!$A$3:$AN$3,0)),GDP_Simple!AD21)</f>
        <v>485.3</v>
      </c>
      <c r="AE23">
        <f>IF($C$3="CGE",INDEX(GDP_CGE!$A$3:$AN$24,MATCH($A23,GDP_CGE!$A$3:$A$24,0),MATCH(AE$9,GDP_CGE!$A$3:$AN$3,0)),GDP_Simple!AE21)</f>
        <v>488.87</v>
      </c>
      <c r="AF23">
        <f>IF($C$3="CGE",INDEX(GDP_CGE!$A$3:$AN$24,MATCH($A23,GDP_CGE!$A$3:$A$24,0),MATCH(AF$9,GDP_CGE!$A$3:$AN$3,0)),GDP_Simple!AF21)</f>
        <v>493.16</v>
      </c>
      <c r="AG23">
        <f>IF($C$3="CGE",INDEX(GDP_CGE!$A$3:$AN$24,MATCH($A23,GDP_CGE!$A$3:$A$24,0),MATCH(AG$9,GDP_CGE!$A$3:$AN$3,0)),GDP_Simple!AG21)</f>
        <v>497.65</v>
      </c>
    </row>
    <row r="24" spans="1:33" x14ac:dyDescent="0.25">
      <c r="A24" s="3" t="s">
        <v>36</v>
      </c>
      <c r="B24">
        <f>IF($C$3="CGE",INDEX(GDP_CGE!$A$3:$AN$24,MATCH($A24,GDP_CGE!$A$3:$A$24,0),MATCH(B$9,GDP_CGE!$A$3:$AN$3,0)),GDP_Simple!B22)</f>
        <v>7.29</v>
      </c>
      <c r="C24">
        <f>IF($C$3="CGE",INDEX(GDP_CGE!$A$3:$AN$24,MATCH($A24,GDP_CGE!$A$3:$A$24,0),MATCH(C$9,GDP_CGE!$A$3:$AN$3,0)),GDP_Simple!C22)</f>
        <v>7.02</v>
      </c>
      <c r="D24">
        <f>IF($C$3="CGE",INDEX(GDP_CGE!$A$3:$AN$24,MATCH($A24,GDP_CGE!$A$3:$A$24,0),MATCH(D$9,GDP_CGE!$A$3:$AN$3,0)),GDP_Simple!D22)</f>
        <v>7.35</v>
      </c>
      <c r="E24">
        <f>IF($C$3="CGE",INDEX(GDP_CGE!$A$3:$AN$24,MATCH($A24,GDP_CGE!$A$3:$A$24,0),MATCH(E$9,GDP_CGE!$A$3:$AN$3,0)),GDP_Simple!E22)</f>
        <v>7.62</v>
      </c>
      <c r="F24">
        <f>IF($C$3="CGE",INDEX(GDP_CGE!$A$3:$AN$24,MATCH($A24,GDP_CGE!$A$3:$A$24,0),MATCH(F$9,GDP_CGE!$A$3:$AN$3,0)),GDP_Simple!F22)</f>
        <v>7.82</v>
      </c>
      <c r="G24">
        <f>IF($C$3="CGE",INDEX(GDP_CGE!$A$3:$AN$24,MATCH($A24,GDP_CGE!$A$3:$A$24,0),MATCH(G$9,GDP_CGE!$A$3:$AN$3,0)),GDP_Simple!G22)</f>
        <v>8.02</v>
      </c>
      <c r="H24">
        <f>IF($C$3="CGE",INDEX(GDP_CGE!$A$3:$AN$24,MATCH($A24,GDP_CGE!$A$3:$A$24,0),MATCH(H$9,GDP_CGE!$A$3:$AN$3,0)),GDP_Simple!H22)</f>
        <v>8.2200000000000006</v>
      </c>
      <c r="I24">
        <f>IF($C$3="CGE",INDEX(GDP_CGE!$A$3:$AN$24,MATCH($A24,GDP_CGE!$A$3:$A$24,0),MATCH(I$9,GDP_CGE!$A$3:$AN$3,0)),GDP_Simple!I22)</f>
        <v>8.42</v>
      </c>
      <c r="J24">
        <f>IF($C$3="CGE",INDEX(GDP_CGE!$A$3:$AN$24,MATCH($A24,GDP_CGE!$A$3:$A$24,0),MATCH(J$9,GDP_CGE!$A$3:$AN$3,0)),GDP_Simple!J22)</f>
        <v>8.6199999999999992</v>
      </c>
      <c r="K24">
        <f>IF($C$3="CGE",INDEX(GDP_CGE!$A$3:$AN$24,MATCH($A24,GDP_CGE!$A$3:$A$24,0),MATCH(K$9,GDP_CGE!$A$3:$AN$3,0)),GDP_Simple!K22)</f>
        <v>8.77</v>
      </c>
      <c r="L24">
        <f>IF($C$3="CGE",INDEX(GDP_CGE!$A$3:$AN$24,MATCH($A24,GDP_CGE!$A$3:$A$24,0),MATCH(L$9,GDP_CGE!$A$3:$AN$3,0)),GDP_Simple!L22)</f>
        <v>9</v>
      </c>
      <c r="M24">
        <f>IF($C$3="CGE",INDEX(GDP_CGE!$A$3:$AN$24,MATCH($A24,GDP_CGE!$A$3:$A$24,0),MATCH(M$9,GDP_CGE!$A$3:$AN$3,0)),GDP_Simple!M22)</f>
        <v>9.2200000000000006</v>
      </c>
      <c r="N24">
        <f>IF($C$3="CGE",INDEX(GDP_CGE!$A$3:$AN$24,MATCH($A24,GDP_CGE!$A$3:$A$24,0),MATCH(N$9,GDP_CGE!$A$3:$AN$3,0)),GDP_Simple!N22)</f>
        <v>9.42</v>
      </c>
      <c r="O24">
        <f>IF($C$3="CGE",INDEX(GDP_CGE!$A$3:$AN$24,MATCH($A24,GDP_CGE!$A$3:$A$24,0),MATCH(O$9,GDP_CGE!$A$3:$AN$3,0)),GDP_Simple!O22)</f>
        <v>9.61</v>
      </c>
      <c r="P24">
        <f>IF($C$3="CGE",INDEX(GDP_CGE!$A$3:$AN$24,MATCH($A24,GDP_CGE!$A$3:$A$24,0),MATCH(P$9,GDP_CGE!$A$3:$AN$3,0)),GDP_Simple!P22)</f>
        <v>9.89</v>
      </c>
      <c r="Q24">
        <f>IF($C$3="CGE",INDEX(GDP_CGE!$A$3:$AN$24,MATCH($A24,GDP_CGE!$A$3:$A$24,0),MATCH(Q$9,GDP_CGE!$A$3:$AN$3,0)),GDP_Simple!Q22)</f>
        <v>10.19</v>
      </c>
      <c r="R24">
        <f>IF($C$3="CGE",INDEX(GDP_CGE!$A$3:$AN$24,MATCH($A24,GDP_CGE!$A$3:$A$24,0),MATCH(R$9,GDP_CGE!$A$3:$AN$3,0)),GDP_Simple!R22)</f>
        <v>10.35</v>
      </c>
      <c r="S24">
        <f>IF($C$3="CGE",INDEX(GDP_CGE!$A$3:$AN$24,MATCH($A24,GDP_CGE!$A$3:$A$24,0),MATCH(S$9,GDP_CGE!$A$3:$AN$3,0)),GDP_Simple!S22)</f>
        <v>10.48</v>
      </c>
      <c r="T24">
        <f>IF($C$3="CGE",INDEX(GDP_CGE!$A$3:$AN$24,MATCH($A24,GDP_CGE!$A$3:$A$24,0),MATCH(T$9,GDP_CGE!$A$3:$AN$3,0)),GDP_Simple!T22)</f>
        <v>10.64</v>
      </c>
      <c r="U24">
        <f>IF($C$3="CGE",INDEX(GDP_CGE!$A$3:$AN$24,MATCH($A24,GDP_CGE!$A$3:$A$24,0),MATCH(U$9,GDP_CGE!$A$3:$AN$3,0)),GDP_Simple!U22)</f>
        <v>10.89</v>
      </c>
      <c r="V24">
        <f>IF($C$3="CGE",INDEX(GDP_CGE!$A$3:$AN$24,MATCH($A24,GDP_CGE!$A$3:$A$24,0),MATCH(V$9,GDP_CGE!$A$3:$AN$3,0)),GDP_Simple!V22)</f>
        <v>11.16</v>
      </c>
      <c r="W24">
        <f>IF($C$3="CGE",INDEX(GDP_CGE!$A$3:$AN$24,MATCH($A24,GDP_CGE!$A$3:$A$24,0),MATCH(W$9,GDP_CGE!$A$3:$AN$3,0)),GDP_Simple!W22)</f>
        <v>11.43</v>
      </c>
      <c r="X24">
        <f>IF($C$3="CGE",INDEX(GDP_CGE!$A$3:$AN$24,MATCH($A24,GDP_CGE!$A$3:$A$24,0),MATCH(X$9,GDP_CGE!$A$3:$AN$3,0)),GDP_Simple!X22)</f>
        <v>11.7</v>
      </c>
      <c r="Y24">
        <f>IF($C$3="CGE",INDEX(GDP_CGE!$A$3:$AN$24,MATCH($A24,GDP_CGE!$A$3:$A$24,0),MATCH(Y$9,GDP_CGE!$A$3:$AN$3,0)),GDP_Simple!Y22)</f>
        <v>11.97</v>
      </c>
      <c r="Z24">
        <f>IF($C$3="CGE",INDEX(GDP_CGE!$A$3:$AN$24,MATCH($A24,GDP_CGE!$A$3:$A$24,0),MATCH(Z$9,GDP_CGE!$A$3:$AN$3,0)),GDP_Simple!Z22)</f>
        <v>12.28</v>
      </c>
      <c r="AA24">
        <f>IF($C$3="CGE",INDEX(GDP_CGE!$A$3:$AN$24,MATCH($A24,GDP_CGE!$A$3:$A$24,0),MATCH(AA$9,GDP_CGE!$A$3:$AN$3,0)),GDP_Simple!AA22)</f>
        <v>12.58</v>
      </c>
      <c r="AB24">
        <f>IF($C$3="CGE",INDEX(GDP_CGE!$A$3:$AN$24,MATCH($A24,GDP_CGE!$A$3:$A$24,0),MATCH(AB$9,GDP_CGE!$A$3:$AN$3,0)),GDP_Simple!AB22)</f>
        <v>12.88</v>
      </c>
      <c r="AC24">
        <f>IF($C$3="CGE",INDEX(GDP_CGE!$A$3:$AN$24,MATCH($A24,GDP_CGE!$A$3:$A$24,0),MATCH(AC$9,GDP_CGE!$A$3:$AN$3,0)),GDP_Simple!AC22)</f>
        <v>13.16</v>
      </c>
      <c r="AD24">
        <f>IF($C$3="CGE",INDEX(GDP_CGE!$A$3:$AN$24,MATCH($A24,GDP_CGE!$A$3:$A$24,0),MATCH(AD$9,GDP_CGE!$A$3:$AN$3,0)),GDP_Simple!AD22)</f>
        <v>13.25</v>
      </c>
      <c r="AE24">
        <f>IF($C$3="CGE",INDEX(GDP_CGE!$A$3:$AN$24,MATCH($A24,GDP_CGE!$A$3:$A$24,0),MATCH(AE$9,GDP_CGE!$A$3:$AN$3,0)),GDP_Simple!AE22)</f>
        <v>13.36</v>
      </c>
      <c r="AF24">
        <f>IF($C$3="CGE",INDEX(GDP_CGE!$A$3:$AN$24,MATCH($A24,GDP_CGE!$A$3:$A$24,0),MATCH(AF$9,GDP_CGE!$A$3:$AN$3,0)),GDP_Simple!AF22)</f>
        <v>13.48</v>
      </c>
      <c r="AG24">
        <f>IF($C$3="CGE",INDEX(GDP_CGE!$A$3:$AN$24,MATCH($A24,GDP_CGE!$A$3:$A$24,0),MATCH(AG$9,GDP_CGE!$A$3:$AN$3,0)),GDP_Simple!AG22)</f>
        <v>13.61</v>
      </c>
    </row>
    <row r="25" spans="1:33" x14ac:dyDescent="0.25">
      <c r="A25" s="3" t="s">
        <v>37</v>
      </c>
      <c r="B25">
        <f>IF($C$3="CGE",INDEX(GDP_CGE!$A$3:$AN$24,MATCH($A25,GDP_CGE!$A$3:$A$24,0),MATCH(B$9,GDP_CGE!$A$3:$AN$3,0)),GDP_Simple!B23)</f>
        <v>46.32</v>
      </c>
      <c r="C25">
        <f>IF($C$3="CGE",INDEX(GDP_CGE!$A$3:$AN$24,MATCH($A25,GDP_CGE!$A$3:$A$24,0),MATCH(C$9,GDP_CGE!$A$3:$AN$3,0)),GDP_Simple!C23)</f>
        <v>29.08</v>
      </c>
      <c r="D25">
        <f>IF($C$3="CGE",INDEX(GDP_CGE!$A$3:$AN$24,MATCH($A25,GDP_CGE!$A$3:$A$24,0),MATCH(D$9,GDP_CGE!$A$3:$AN$3,0)),GDP_Simple!D23)</f>
        <v>33.340000000000003</v>
      </c>
      <c r="E25">
        <f>IF($C$3="CGE",INDEX(GDP_CGE!$A$3:$AN$24,MATCH($A25,GDP_CGE!$A$3:$A$24,0),MATCH(E$9,GDP_CGE!$A$3:$AN$3,0)),GDP_Simple!E23)</f>
        <v>38.270000000000003</v>
      </c>
      <c r="F25">
        <f>IF($C$3="CGE",INDEX(GDP_CGE!$A$3:$AN$24,MATCH($A25,GDP_CGE!$A$3:$A$24,0),MATCH(F$9,GDP_CGE!$A$3:$AN$3,0)),GDP_Simple!F23)</f>
        <v>38.229999999999997</v>
      </c>
      <c r="G25">
        <f>IF($C$3="CGE",INDEX(GDP_CGE!$A$3:$AN$24,MATCH($A25,GDP_CGE!$A$3:$A$24,0),MATCH(G$9,GDP_CGE!$A$3:$AN$3,0)),GDP_Simple!G23)</f>
        <v>38.19</v>
      </c>
      <c r="H25">
        <f>IF($C$3="CGE",INDEX(GDP_CGE!$A$3:$AN$24,MATCH($A25,GDP_CGE!$A$3:$A$24,0),MATCH(H$9,GDP_CGE!$A$3:$AN$3,0)),GDP_Simple!H23)</f>
        <v>38.159999999999997</v>
      </c>
      <c r="I25">
        <f>IF($C$3="CGE",INDEX(GDP_CGE!$A$3:$AN$24,MATCH($A25,GDP_CGE!$A$3:$A$24,0),MATCH(I$9,GDP_CGE!$A$3:$AN$3,0)),GDP_Simple!I23)</f>
        <v>38.119999999999997</v>
      </c>
      <c r="J25">
        <f>IF($C$3="CGE",INDEX(GDP_CGE!$A$3:$AN$24,MATCH($A25,GDP_CGE!$A$3:$A$24,0),MATCH(J$9,GDP_CGE!$A$3:$AN$3,0)),GDP_Simple!J23)</f>
        <v>38.08</v>
      </c>
      <c r="K25">
        <f>IF($C$3="CGE",INDEX(GDP_CGE!$A$3:$AN$24,MATCH($A25,GDP_CGE!$A$3:$A$24,0),MATCH(K$9,GDP_CGE!$A$3:$AN$3,0)),GDP_Simple!K23)</f>
        <v>16.8</v>
      </c>
      <c r="L25">
        <f>IF($C$3="CGE",INDEX(GDP_CGE!$A$3:$AN$24,MATCH($A25,GDP_CGE!$A$3:$A$24,0),MATCH(L$9,GDP_CGE!$A$3:$AN$3,0)),GDP_Simple!L23)</f>
        <v>10.85</v>
      </c>
      <c r="M25">
        <f>IF($C$3="CGE",INDEX(GDP_CGE!$A$3:$AN$24,MATCH($A25,GDP_CGE!$A$3:$A$24,0),MATCH(M$9,GDP_CGE!$A$3:$AN$3,0)),GDP_Simple!M23)</f>
        <v>10.81</v>
      </c>
      <c r="N25">
        <f>IF($C$3="CGE",INDEX(GDP_CGE!$A$3:$AN$24,MATCH($A25,GDP_CGE!$A$3:$A$24,0),MATCH(N$9,GDP_CGE!$A$3:$AN$3,0)),GDP_Simple!N23)</f>
        <v>10.81</v>
      </c>
      <c r="O25">
        <f>IF($C$3="CGE",INDEX(GDP_CGE!$A$3:$AN$24,MATCH($A25,GDP_CGE!$A$3:$A$24,0),MATCH(O$9,GDP_CGE!$A$3:$AN$3,0)),GDP_Simple!O23)</f>
        <v>10.81</v>
      </c>
      <c r="P25">
        <f>IF($C$3="CGE",INDEX(GDP_CGE!$A$3:$AN$24,MATCH($A25,GDP_CGE!$A$3:$A$24,0),MATCH(P$9,GDP_CGE!$A$3:$AN$3,0)),GDP_Simple!P23)</f>
        <v>10.81</v>
      </c>
      <c r="Q25">
        <f>IF($C$3="CGE",INDEX(GDP_CGE!$A$3:$AN$24,MATCH($A25,GDP_CGE!$A$3:$A$24,0),MATCH(Q$9,GDP_CGE!$A$3:$AN$3,0)),GDP_Simple!Q23)</f>
        <v>10.79</v>
      </c>
      <c r="R25">
        <f>IF($C$3="CGE",INDEX(GDP_CGE!$A$3:$AN$24,MATCH($A25,GDP_CGE!$A$3:$A$24,0),MATCH(R$9,GDP_CGE!$A$3:$AN$3,0)),GDP_Simple!R23)</f>
        <v>6.07</v>
      </c>
      <c r="S25">
        <f>IF($C$3="CGE",INDEX(GDP_CGE!$A$3:$AN$24,MATCH($A25,GDP_CGE!$A$3:$A$24,0),MATCH(S$9,GDP_CGE!$A$3:$AN$3,0)),GDP_Simple!S23)</f>
        <v>1.4</v>
      </c>
      <c r="T25">
        <f>IF($C$3="CGE",INDEX(GDP_CGE!$A$3:$AN$24,MATCH($A25,GDP_CGE!$A$3:$A$24,0),MATCH(T$9,GDP_CGE!$A$3:$AN$3,0)),GDP_Simple!T23)</f>
        <v>1.38</v>
      </c>
      <c r="U25">
        <f>IF($C$3="CGE",INDEX(GDP_CGE!$A$3:$AN$24,MATCH($A25,GDP_CGE!$A$3:$A$24,0),MATCH(U$9,GDP_CGE!$A$3:$AN$3,0)),GDP_Simple!U23)</f>
        <v>1.28</v>
      </c>
      <c r="V25">
        <f>IF($C$3="CGE",INDEX(GDP_CGE!$A$3:$AN$24,MATCH($A25,GDP_CGE!$A$3:$A$24,0),MATCH(V$9,GDP_CGE!$A$3:$AN$3,0)),GDP_Simple!V23)</f>
        <v>1.17</v>
      </c>
      <c r="W25">
        <f>IF($C$3="CGE",INDEX(GDP_CGE!$A$3:$AN$24,MATCH($A25,GDP_CGE!$A$3:$A$24,0),MATCH(W$9,GDP_CGE!$A$3:$AN$3,0)),GDP_Simple!W23)</f>
        <v>1.06</v>
      </c>
      <c r="X25">
        <f>IF($C$3="CGE",INDEX(GDP_CGE!$A$3:$AN$24,MATCH($A25,GDP_CGE!$A$3:$A$24,0),MATCH(X$9,GDP_CGE!$A$3:$AN$3,0)),GDP_Simple!X23)</f>
        <v>0.97</v>
      </c>
      <c r="Y25">
        <f>IF($C$3="CGE",INDEX(GDP_CGE!$A$3:$AN$24,MATCH($A25,GDP_CGE!$A$3:$A$24,0),MATCH(Y$9,GDP_CGE!$A$3:$AN$3,0)),GDP_Simple!Y23)</f>
        <v>0.88</v>
      </c>
      <c r="Z25">
        <f>IF($C$3="CGE",INDEX(GDP_CGE!$A$3:$AN$24,MATCH($A25,GDP_CGE!$A$3:$A$24,0),MATCH(Z$9,GDP_CGE!$A$3:$AN$3,0)),GDP_Simple!Z23)</f>
        <v>0.79</v>
      </c>
      <c r="AA25">
        <f>IF($C$3="CGE",INDEX(GDP_CGE!$A$3:$AN$24,MATCH($A25,GDP_CGE!$A$3:$A$24,0),MATCH(AA$9,GDP_CGE!$A$3:$AN$3,0)),GDP_Simple!AA23)</f>
        <v>0.7</v>
      </c>
      <c r="AB25">
        <f>IF($C$3="CGE",INDEX(GDP_CGE!$A$3:$AN$24,MATCH($A25,GDP_CGE!$A$3:$A$24,0),MATCH(AB$9,GDP_CGE!$A$3:$AN$3,0)),GDP_Simple!AB23)</f>
        <v>0.61</v>
      </c>
      <c r="AC25">
        <f>IF($C$3="CGE",INDEX(GDP_CGE!$A$3:$AN$24,MATCH($A25,GDP_CGE!$A$3:$A$24,0),MATCH(AC$9,GDP_CGE!$A$3:$AN$3,0)),GDP_Simple!AC23)</f>
        <v>0.62</v>
      </c>
      <c r="AD25">
        <f>IF($C$3="CGE",INDEX(GDP_CGE!$A$3:$AN$24,MATCH($A25,GDP_CGE!$A$3:$A$24,0),MATCH(AD$9,GDP_CGE!$A$3:$AN$3,0)),GDP_Simple!AD23)</f>
        <v>0.63</v>
      </c>
      <c r="AE25">
        <f>IF($C$3="CGE",INDEX(GDP_CGE!$A$3:$AN$24,MATCH($A25,GDP_CGE!$A$3:$A$24,0),MATCH(AE$9,GDP_CGE!$A$3:$AN$3,0)),GDP_Simple!AE23)</f>
        <v>0.63</v>
      </c>
      <c r="AF25">
        <f>IF($C$3="CGE",INDEX(GDP_CGE!$A$3:$AN$24,MATCH($A25,GDP_CGE!$A$3:$A$24,0),MATCH(AF$9,GDP_CGE!$A$3:$AN$3,0)),GDP_Simple!AF23)</f>
        <v>0.64</v>
      </c>
      <c r="AG25">
        <f>IF($C$3="CGE",INDEX(GDP_CGE!$A$3:$AN$24,MATCH($A25,GDP_CGE!$A$3:$A$24,0),MATCH(AG$9,GDP_CGE!$A$3:$AN$3,0)),GDP_Simple!AG23)</f>
        <v>0.65</v>
      </c>
    </row>
    <row r="26" spans="1:33" x14ac:dyDescent="0.25">
      <c r="A26" s="3" t="s">
        <v>38</v>
      </c>
      <c r="B26">
        <f>IF($C$3="CGE",INDEX(GDP_CGE!$A$3:$AN$24,MATCH($A26,GDP_CGE!$A$3:$A$24,0),MATCH(B$9,GDP_CGE!$A$3:$AN$3,0)),GDP_Simple!B24)</f>
        <v>112.99</v>
      </c>
      <c r="C26">
        <f>IF($C$3="CGE",INDEX(GDP_CGE!$A$3:$AN$24,MATCH($A26,GDP_CGE!$A$3:$A$24,0),MATCH(C$9,GDP_CGE!$A$3:$AN$3,0)),GDP_Simple!C24)</f>
        <v>109.03</v>
      </c>
      <c r="D26">
        <f>IF($C$3="CGE",INDEX(GDP_CGE!$A$3:$AN$24,MATCH($A26,GDP_CGE!$A$3:$A$24,0),MATCH(D$9,GDP_CGE!$A$3:$AN$3,0)),GDP_Simple!D24)</f>
        <v>107.81</v>
      </c>
      <c r="E26">
        <f>IF($C$3="CGE",INDEX(GDP_CGE!$A$3:$AN$24,MATCH($A26,GDP_CGE!$A$3:$A$24,0),MATCH(E$9,GDP_CGE!$A$3:$AN$3,0)),GDP_Simple!E24)</f>
        <v>106.54</v>
      </c>
      <c r="F26">
        <f>IF($C$3="CGE",INDEX(GDP_CGE!$A$3:$AN$24,MATCH($A26,GDP_CGE!$A$3:$A$24,0),MATCH(F$9,GDP_CGE!$A$3:$AN$3,0)),GDP_Simple!F24)</f>
        <v>104.86</v>
      </c>
      <c r="G26">
        <f>IF($C$3="CGE",INDEX(GDP_CGE!$A$3:$AN$24,MATCH($A26,GDP_CGE!$A$3:$A$24,0),MATCH(G$9,GDP_CGE!$A$3:$AN$3,0)),GDP_Simple!G24)</f>
        <v>103.71</v>
      </c>
      <c r="H26">
        <f>IF($C$3="CGE",INDEX(GDP_CGE!$A$3:$AN$24,MATCH($A26,GDP_CGE!$A$3:$A$24,0),MATCH(H$9,GDP_CGE!$A$3:$AN$3,0)),GDP_Simple!H24)</f>
        <v>102.26</v>
      </c>
      <c r="I26">
        <f>IF($C$3="CGE",INDEX(GDP_CGE!$A$3:$AN$24,MATCH($A26,GDP_CGE!$A$3:$A$24,0),MATCH(I$9,GDP_CGE!$A$3:$AN$3,0)),GDP_Simple!I24)</f>
        <v>99.81</v>
      </c>
      <c r="J26">
        <f>IF($C$3="CGE",INDEX(GDP_CGE!$A$3:$AN$24,MATCH($A26,GDP_CGE!$A$3:$A$24,0),MATCH(J$9,GDP_CGE!$A$3:$AN$3,0)),GDP_Simple!J24)</f>
        <v>96.7</v>
      </c>
      <c r="K26">
        <f>IF($C$3="CGE",INDEX(GDP_CGE!$A$3:$AN$24,MATCH($A26,GDP_CGE!$A$3:$A$24,0),MATCH(K$9,GDP_CGE!$A$3:$AN$3,0)),GDP_Simple!K24)</f>
        <v>94.63</v>
      </c>
      <c r="L26">
        <f>IF($C$3="CGE",INDEX(GDP_CGE!$A$3:$AN$24,MATCH($A26,GDP_CGE!$A$3:$A$24,0),MATCH(L$9,GDP_CGE!$A$3:$AN$3,0)),GDP_Simple!L24)</f>
        <v>92.91</v>
      </c>
      <c r="M26">
        <f>IF($C$3="CGE",INDEX(GDP_CGE!$A$3:$AN$24,MATCH($A26,GDP_CGE!$A$3:$A$24,0),MATCH(M$9,GDP_CGE!$A$3:$AN$3,0)),GDP_Simple!M24)</f>
        <v>88.38</v>
      </c>
      <c r="N26">
        <f>IF($C$3="CGE",INDEX(GDP_CGE!$A$3:$AN$24,MATCH($A26,GDP_CGE!$A$3:$A$24,0),MATCH(N$9,GDP_CGE!$A$3:$AN$3,0)),GDP_Simple!N24)</f>
        <v>84.01</v>
      </c>
      <c r="O26">
        <f>IF($C$3="CGE",INDEX(GDP_CGE!$A$3:$AN$24,MATCH($A26,GDP_CGE!$A$3:$A$24,0),MATCH(O$9,GDP_CGE!$A$3:$AN$3,0)),GDP_Simple!O24)</f>
        <v>81.599999999999994</v>
      </c>
      <c r="P26">
        <f>IF($C$3="CGE",INDEX(GDP_CGE!$A$3:$AN$24,MATCH($A26,GDP_CGE!$A$3:$A$24,0),MATCH(P$9,GDP_CGE!$A$3:$AN$3,0)),GDP_Simple!P24)</f>
        <v>77.55</v>
      </c>
      <c r="Q26">
        <f>IF($C$3="CGE",INDEX(GDP_CGE!$A$3:$AN$24,MATCH($A26,GDP_CGE!$A$3:$A$24,0),MATCH(Q$9,GDP_CGE!$A$3:$AN$3,0)),GDP_Simple!Q24)</f>
        <v>77.3</v>
      </c>
      <c r="R26">
        <f>IF($C$3="CGE",INDEX(GDP_CGE!$A$3:$AN$24,MATCH($A26,GDP_CGE!$A$3:$A$24,0),MATCH(R$9,GDP_CGE!$A$3:$AN$3,0)),GDP_Simple!R24)</f>
        <v>63.1</v>
      </c>
      <c r="S26">
        <f>IF($C$3="CGE",INDEX(GDP_CGE!$A$3:$AN$24,MATCH($A26,GDP_CGE!$A$3:$A$24,0),MATCH(S$9,GDP_CGE!$A$3:$AN$3,0)),GDP_Simple!S24)</f>
        <v>49.91</v>
      </c>
      <c r="T26">
        <f>IF($C$3="CGE",INDEX(GDP_CGE!$A$3:$AN$24,MATCH($A26,GDP_CGE!$A$3:$A$24,0),MATCH(T$9,GDP_CGE!$A$3:$AN$3,0)),GDP_Simple!T24)</f>
        <v>42.41</v>
      </c>
      <c r="U26">
        <f>IF($C$3="CGE",INDEX(GDP_CGE!$A$3:$AN$24,MATCH($A26,GDP_CGE!$A$3:$A$24,0),MATCH(U$9,GDP_CGE!$A$3:$AN$3,0)),GDP_Simple!U24)</f>
        <v>38.44</v>
      </c>
      <c r="V26">
        <f>IF($C$3="CGE",INDEX(GDP_CGE!$A$3:$AN$24,MATCH($A26,GDP_CGE!$A$3:$A$24,0),MATCH(V$9,GDP_CGE!$A$3:$AN$3,0)),GDP_Simple!V24)</f>
        <v>34.46</v>
      </c>
      <c r="W26">
        <f>IF($C$3="CGE",INDEX(GDP_CGE!$A$3:$AN$24,MATCH($A26,GDP_CGE!$A$3:$A$24,0),MATCH(W$9,GDP_CGE!$A$3:$AN$3,0)),GDP_Simple!W24)</f>
        <v>30.51</v>
      </c>
      <c r="X26">
        <f>IF($C$3="CGE",INDEX(GDP_CGE!$A$3:$AN$24,MATCH($A26,GDP_CGE!$A$3:$A$24,0),MATCH(X$9,GDP_CGE!$A$3:$AN$3,0)),GDP_Simple!X24)</f>
        <v>29.19</v>
      </c>
      <c r="Y26">
        <f>IF($C$3="CGE",INDEX(GDP_CGE!$A$3:$AN$24,MATCH($A26,GDP_CGE!$A$3:$A$24,0),MATCH(Y$9,GDP_CGE!$A$3:$AN$3,0)),GDP_Simple!Y24)</f>
        <v>27.86</v>
      </c>
      <c r="Z26">
        <f>IF($C$3="CGE",INDEX(GDP_CGE!$A$3:$AN$24,MATCH($A26,GDP_CGE!$A$3:$A$24,0),MATCH(Z$9,GDP_CGE!$A$3:$AN$3,0)),GDP_Simple!Z24)</f>
        <v>26.53</v>
      </c>
      <c r="AA26">
        <f>IF($C$3="CGE",INDEX(GDP_CGE!$A$3:$AN$24,MATCH($A26,GDP_CGE!$A$3:$A$24,0),MATCH(AA$9,GDP_CGE!$A$3:$AN$3,0)),GDP_Simple!AA24)</f>
        <v>25.19</v>
      </c>
      <c r="AB26">
        <f>IF($C$3="CGE",INDEX(GDP_CGE!$A$3:$AN$24,MATCH($A26,GDP_CGE!$A$3:$A$24,0),MATCH(AB$9,GDP_CGE!$A$3:$AN$3,0)),GDP_Simple!AB24)</f>
        <v>23.86</v>
      </c>
      <c r="AC26">
        <f>IF($C$3="CGE",INDEX(GDP_CGE!$A$3:$AN$24,MATCH($A26,GDP_CGE!$A$3:$A$24,0),MATCH(AC$9,GDP_CGE!$A$3:$AN$3,0)),GDP_Simple!AC24)</f>
        <v>21.82</v>
      </c>
      <c r="AD26">
        <f>IF($C$3="CGE",INDEX(GDP_CGE!$A$3:$AN$24,MATCH($A26,GDP_CGE!$A$3:$A$24,0),MATCH(AD$9,GDP_CGE!$A$3:$AN$3,0)),GDP_Simple!AD24)</f>
        <v>19.77</v>
      </c>
      <c r="AE26">
        <f>IF($C$3="CGE",INDEX(GDP_CGE!$A$3:$AN$24,MATCH($A26,GDP_CGE!$A$3:$A$24,0),MATCH(AE$9,GDP_CGE!$A$3:$AN$3,0)),GDP_Simple!AE24)</f>
        <v>17.73</v>
      </c>
      <c r="AF26">
        <f>IF($C$3="CGE",INDEX(GDP_CGE!$A$3:$AN$24,MATCH($A26,GDP_CGE!$A$3:$A$24,0),MATCH(AF$9,GDP_CGE!$A$3:$AN$3,0)),GDP_Simple!AF24)</f>
        <v>15.68</v>
      </c>
      <c r="AG26">
        <f>IF($C$3="CGE",INDEX(GDP_CGE!$A$3:$AN$24,MATCH($A26,GDP_CGE!$A$3:$A$24,0),MATCH(AG$9,GDP_CGE!$A$3:$AN$3,0)),GDP_Simple!AG24)</f>
        <v>13.64</v>
      </c>
    </row>
    <row r="27" spans="1:33" x14ac:dyDescent="0.25">
      <c r="A27" s="3" t="s">
        <v>183</v>
      </c>
      <c r="B27">
        <f>IF($C$3="CGE",INDEX(GDP_CGE!$A$3:$AN$24,MATCH($A27,GDP_CGE!$A$3:$A$24,0),MATCH(B$9,GDP_CGE!$A$3:$AN$3,0)),GDP_Simple!B25)</f>
        <v>97.82</v>
      </c>
      <c r="C27">
        <f>IF($C$3="CGE",INDEX(GDP_CGE!$A$3:$AN$24,MATCH($A27,GDP_CGE!$A$3:$A$24,0),MATCH(C$9,GDP_CGE!$A$3:$AN$3,0)),GDP_Simple!C25)</f>
        <v>74.11</v>
      </c>
      <c r="D27">
        <f>IF($C$3="CGE",INDEX(GDP_CGE!$A$3:$AN$24,MATCH($A27,GDP_CGE!$A$3:$A$24,0),MATCH(D$9,GDP_CGE!$A$3:$AN$3,0)),GDP_Simple!D25)</f>
        <v>78.11</v>
      </c>
      <c r="E27">
        <f>IF($C$3="CGE",INDEX(GDP_CGE!$A$3:$AN$24,MATCH($A27,GDP_CGE!$A$3:$A$24,0),MATCH(E$9,GDP_CGE!$A$3:$AN$3,0)),GDP_Simple!E25)</f>
        <v>82.05</v>
      </c>
      <c r="F27">
        <f>IF($C$3="CGE",INDEX(GDP_CGE!$A$3:$AN$24,MATCH($A27,GDP_CGE!$A$3:$A$24,0),MATCH(F$9,GDP_CGE!$A$3:$AN$3,0)),GDP_Simple!F25)</f>
        <v>86.08</v>
      </c>
      <c r="G27">
        <f>IF($C$3="CGE",INDEX(GDP_CGE!$A$3:$AN$24,MATCH($A27,GDP_CGE!$A$3:$A$24,0),MATCH(G$9,GDP_CGE!$A$3:$AN$3,0)),GDP_Simple!G25)</f>
        <v>90.14</v>
      </c>
      <c r="H27">
        <f>IF($C$3="CGE",INDEX(GDP_CGE!$A$3:$AN$24,MATCH($A27,GDP_CGE!$A$3:$A$24,0),MATCH(H$9,GDP_CGE!$A$3:$AN$3,0)),GDP_Simple!H25)</f>
        <v>94.22</v>
      </c>
      <c r="I27">
        <f>IF($C$3="CGE",INDEX(GDP_CGE!$A$3:$AN$24,MATCH($A27,GDP_CGE!$A$3:$A$24,0),MATCH(I$9,GDP_CGE!$A$3:$AN$3,0)),GDP_Simple!I25)</f>
        <v>94.74</v>
      </c>
      <c r="J27">
        <f>IF($C$3="CGE",INDEX(GDP_CGE!$A$3:$AN$24,MATCH($A27,GDP_CGE!$A$3:$A$24,0),MATCH(J$9,GDP_CGE!$A$3:$AN$3,0)),GDP_Simple!J25)</f>
        <v>95.24</v>
      </c>
      <c r="K27">
        <f>IF($C$3="CGE",INDEX(GDP_CGE!$A$3:$AN$24,MATCH($A27,GDP_CGE!$A$3:$A$24,0),MATCH(K$9,GDP_CGE!$A$3:$AN$3,0)),GDP_Simple!K25)</f>
        <v>95.95</v>
      </c>
      <c r="L27">
        <f>IF($C$3="CGE",INDEX(GDP_CGE!$A$3:$AN$24,MATCH($A27,GDP_CGE!$A$3:$A$24,0),MATCH(L$9,GDP_CGE!$A$3:$AN$3,0)),GDP_Simple!L25)</f>
        <v>96.56</v>
      </c>
      <c r="M27">
        <f>IF($C$3="CGE",INDEX(GDP_CGE!$A$3:$AN$24,MATCH($A27,GDP_CGE!$A$3:$A$24,0),MATCH(M$9,GDP_CGE!$A$3:$AN$3,0)),GDP_Simple!M25)</f>
        <v>97.04</v>
      </c>
      <c r="N27">
        <f>IF($C$3="CGE",INDEX(GDP_CGE!$A$3:$AN$24,MATCH($A27,GDP_CGE!$A$3:$A$24,0),MATCH(N$9,GDP_CGE!$A$3:$AN$3,0)),GDP_Simple!N25)</f>
        <v>98.98</v>
      </c>
      <c r="O27">
        <f>IF($C$3="CGE",INDEX(GDP_CGE!$A$3:$AN$24,MATCH($A27,GDP_CGE!$A$3:$A$24,0),MATCH(O$9,GDP_CGE!$A$3:$AN$3,0)),GDP_Simple!O25)</f>
        <v>100.95</v>
      </c>
      <c r="P27">
        <f>IF($C$3="CGE",INDEX(GDP_CGE!$A$3:$AN$24,MATCH($A27,GDP_CGE!$A$3:$A$24,0),MATCH(P$9,GDP_CGE!$A$3:$AN$3,0)),GDP_Simple!P25)</f>
        <v>102.96</v>
      </c>
      <c r="Q27">
        <f>IF($C$3="CGE",INDEX(GDP_CGE!$A$3:$AN$24,MATCH($A27,GDP_CGE!$A$3:$A$24,0),MATCH(Q$9,GDP_CGE!$A$3:$AN$3,0)),GDP_Simple!Q25)</f>
        <v>105</v>
      </c>
      <c r="R27">
        <f>IF($C$3="CGE",INDEX(GDP_CGE!$A$3:$AN$24,MATCH($A27,GDP_CGE!$A$3:$A$24,0),MATCH(R$9,GDP_CGE!$A$3:$AN$3,0)),GDP_Simple!R25)</f>
        <v>107.44</v>
      </c>
      <c r="S27">
        <f>IF($C$3="CGE",INDEX(GDP_CGE!$A$3:$AN$24,MATCH($A27,GDP_CGE!$A$3:$A$24,0),MATCH(S$9,GDP_CGE!$A$3:$AN$3,0)),GDP_Simple!S25)</f>
        <v>109.83</v>
      </c>
      <c r="T27">
        <f>IF($C$3="CGE",INDEX(GDP_CGE!$A$3:$AN$24,MATCH($A27,GDP_CGE!$A$3:$A$24,0),MATCH(T$9,GDP_CGE!$A$3:$AN$3,0)),GDP_Simple!T25)</f>
        <v>111.69</v>
      </c>
      <c r="U27">
        <f>IF($C$3="CGE",INDEX(GDP_CGE!$A$3:$AN$24,MATCH($A27,GDP_CGE!$A$3:$A$24,0),MATCH(U$9,GDP_CGE!$A$3:$AN$3,0)),GDP_Simple!U25)</f>
        <v>113.62</v>
      </c>
      <c r="V27">
        <f>IF($C$3="CGE",INDEX(GDP_CGE!$A$3:$AN$24,MATCH($A27,GDP_CGE!$A$3:$A$24,0),MATCH(V$9,GDP_CGE!$A$3:$AN$3,0)),GDP_Simple!V25)</f>
        <v>115.47</v>
      </c>
      <c r="W27">
        <f>IF($C$3="CGE",INDEX(GDP_CGE!$A$3:$AN$24,MATCH($A27,GDP_CGE!$A$3:$A$24,0),MATCH(W$9,GDP_CGE!$A$3:$AN$3,0)),GDP_Simple!W25)</f>
        <v>117.58</v>
      </c>
      <c r="X27">
        <f>IF($C$3="CGE",INDEX(GDP_CGE!$A$3:$AN$24,MATCH($A27,GDP_CGE!$A$3:$A$24,0),MATCH(X$9,GDP_CGE!$A$3:$AN$3,0)),GDP_Simple!X25)</f>
        <v>140.30000000000001</v>
      </c>
      <c r="Y27">
        <f>IF($C$3="CGE",INDEX(GDP_CGE!$A$3:$AN$24,MATCH($A27,GDP_CGE!$A$3:$A$24,0),MATCH(Y$9,GDP_CGE!$A$3:$AN$3,0)),GDP_Simple!Y25)</f>
        <v>163.32</v>
      </c>
      <c r="Z27">
        <f>IF($C$3="CGE",INDEX(GDP_CGE!$A$3:$AN$24,MATCH($A27,GDP_CGE!$A$3:$A$24,0),MATCH(Z$9,GDP_CGE!$A$3:$AN$3,0)),GDP_Simple!Z25)</f>
        <v>186.53</v>
      </c>
      <c r="AA27">
        <f>IF($C$3="CGE",INDEX(GDP_CGE!$A$3:$AN$24,MATCH($A27,GDP_CGE!$A$3:$A$24,0),MATCH(AA$9,GDP_CGE!$A$3:$AN$3,0)),GDP_Simple!AA25)</f>
        <v>209.81</v>
      </c>
      <c r="AB27">
        <f>IF($C$3="CGE",INDEX(GDP_CGE!$A$3:$AN$24,MATCH($A27,GDP_CGE!$A$3:$A$24,0),MATCH(AB$9,GDP_CGE!$A$3:$AN$3,0)),GDP_Simple!AB25)</f>
        <v>233.11</v>
      </c>
      <c r="AC27">
        <f>IF($C$3="CGE",INDEX(GDP_CGE!$A$3:$AN$24,MATCH($A27,GDP_CGE!$A$3:$A$24,0),MATCH(AC$9,GDP_CGE!$A$3:$AN$3,0)),GDP_Simple!AC25)</f>
        <v>256.42</v>
      </c>
      <c r="AD27">
        <f>IF($C$3="CGE",INDEX(GDP_CGE!$A$3:$AN$24,MATCH($A27,GDP_CGE!$A$3:$A$24,0),MATCH(AD$9,GDP_CGE!$A$3:$AN$3,0)),GDP_Simple!AD25)</f>
        <v>279.41000000000003</v>
      </c>
      <c r="AE27">
        <f>IF($C$3="CGE",INDEX(GDP_CGE!$A$3:$AN$24,MATCH($A27,GDP_CGE!$A$3:$A$24,0),MATCH(AE$9,GDP_CGE!$A$3:$AN$3,0)),GDP_Simple!AE25)</f>
        <v>302.49</v>
      </c>
      <c r="AF27">
        <f>IF($C$3="CGE",INDEX(GDP_CGE!$A$3:$AN$24,MATCH($A27,GDP_CGE!$A$3:$A$24,0),MATCH(AF$9,GDP_CGE!$A$3:$AN$3,0)),GDP_Simple!AF25)</f>
        <v>325.62</v>
      </c>
      <c r="AG27">
        <f>IF($C$3="CGE",INDEX(GDP_CGE!$A$3:$AN$24,MATCH($A27,GDP_CGE!$A$3:$A$24,0),MATCH(AG$9,GDP_CGE!$A$3:$AN$3,0)),GDP_Simple!AG25)</f>
        <v>348.76</v>
      </c>
    </row>
    <row r="28" spans="1:33" x14ac:dyDescent="0.25">
      <c r="A28" s="3" t="s">
        <v>184</v>
      </c>
      <c r="B28">
        <f>IF($C$3="CGE",INDEX(GDP_CGE!$A$3:$AN$24,MATCH($A28,GDP_CGE!$A$3:$A$24,0),MATCH(B$9,GDP_CGE!$A$3:$AN$3,0)),GDP_Simple!B26)</f>
        <v>2.4900000000000002</v>
      </c>
      <c r="C28">
        <f>IF($C$3="CGE",INDEX(GDP_CGE!$A$3:$AN$24,MATCH($A28,GDP_CGE!$A$3:$A$24,0),MATCH(C$9,GDP_CGE!$A$3:$AN$3,0)),GDP_Simple!C26)</f>
        <v>2.35</v>
      </c>
      <c r="D28">
        <f>IF($C$3="CGE",INDEX(GDP_CGE!$A$3:$AN$24,MATCH($A28,GDP_CGE!$A$3:$A$24,0),MATCH(D$9,GDP_CGE!$A$3:$AN$3,0)),GDP_Simple!D26)</f>
        <v>2.35</v>
      </c>
      <c r="E28">
        <f>IF($C$3="CGE",INDEX(GDP_CGE!$A$3:$AN$24,MATCH($A28,GDP_CGE!$A$3:$A$24,0),MATCH(E$9,GDP_CGE!$A$3:$AN$3,0)),GDP_Simple!E26)</f>
        <v>2.39</v>
      </c>
      <c r="F28">
        <f>IF($C$3="CGE",INDEX(GDP_CGE!$A$3:$AN$24,MATCH($A28,GDP_CGE!$A$3:$A$24,0),MATCH(F$9,GDP_CGE!$A$3:$AN$3,0)),GDP_Simple!F26)</f>
        <v>2.42</v>
      </c>
      <c r="G28">
        <f>IF($C$3="CGE",INDEX(GDP_CGE!$A$3:$AN$24,MATCH($A28,GDP_CGE!$A$3:$A$24,0),MATCH(G$9,GDP_CGE!$A$3:$AN$3,0)),GDP_Simple!G26)</f>
        <v>2.4500000000000002</v>
      </c>
      <c r="H28">
        <f>IF($C$3="CGE",INDEX(GDP_CGE!$A$3:$AN$24,MATCH($A28,GDP_CGE!$A$3:$A$24,0),MATCH(H$9,GDP_CGE!$A$3:$AN$3,0)),GDP_Simple!H26)</f>
        <v>2.4700000000000002</v>
      </c>
      <c r="I28">
        <f>IF($C$3="CGE",INDEX(GDP_CGE!$A$3:$AN$24,MATCH($A28,GDP_CGE!$A$3:$A$24,0),MATCH(I$9,GDP_CGE!$A$3:$AN$3,0)),GDP_Simple!I26)</f>
        <v>2.5099999999999998</v>
      </c>
      <c r="J28">
        <f>IF($C$3="CGE",INDEX(GDP_CGE!$A$3:$AN$24,MATCH($A28,GDP_CGE!$A$3:$A$24,0),MATCH(J$9,GDP_CGE!$A$3:$AN$3,0)),GDP_Simple!J26)</f>
        <v>2.54</v>
      </c>
      <c r="K28">
        <f>IF($C$3="CGE",INDEX(GDP_CGE!$A$3:$AN$24,MATCH($A28,GDP_CGE!$A$3:$A$24,0),MATCH(K$9,GDP_CGE!$A$3:$AN$3,0)),GDP_Simple!K26)</f>
        <v>2.5</v>
      </c>
      <c r="L28">
        <f>IF($C$3="CGE",INDEX(GDP_CGE!$A$3:$AN$24,MATCH($A28,GDP_CGE!$A$3:$A$24,0),MATCH(L$9,GDP_CGE!$A$3:$AN$3,0)),GDP_Simple!L26)</f>
        <v>2.5</v>
      </c>
      <c r="M28">
        <f>IF($C$3="CGE",INDEX(GDP_CGE!$A$3:$AN$24,MATCH($A28,GDP_CGE!$A$3:$A$24,0),MATCH(M$9,GDP_CGE!$A$3:$AN$3,0)),GDP_Simple!M26)</f>
        <v>2.5299999999999998</v>
      </c>
      <c r="N28">
        <f>IF($C$3="CGE",INDEX(GDP_CGE!$A$3:$AN$24,MATCH($A28,GDP_CGE!$A$3:$A$24,0),MATCH(N$9,GDP_CGE!$A$3:$AN$3,0)),GDP_Simple!N26)</f>
        <v>2.56</v>
      </c>
      <c r="O28">
        <f>IF($C$3="CGE",INDEX(GDP_CGE!$A$3:$AN$24,MATCH($A28,GDP_CGE!$A$3:$A$24,0),MATCH(O$9,GDP_CGE!$A$3:$AN$3,0)),GDP_Simple!O26)</f>
        <v>2.59</v>
      </c>
      <c r="P28">
        <f>IF($C$3="CGE",INDEX(GDP_CGE!$A$3:$AN$24,MATCH($A28,GDP_CGE!$A$3:$A$24,0),MATCH(P$9,GDP_CGE!$A$3:$AN$3,0)),GDP_Simple!P26)</f>
        <v>2.64</v>
      </c>
      <c r="Q28">
        <f>IF($C$3="CGE",INDEX(GDP_CGE!$A$3:$AN$24,MATCH($A28,GDP_CGE!$A$3:$A$24,0),MATCH(Q$9,GDP_CGE!$A$3:$AN$3,0)),GDP_Simple!Q26)</f>
        <v>2.68</v>
      </c>
      <c r="R28">
        <f>IF($C$3="CGE",INDEX(GDP_CGE!$A$3:$AN$24,MATCH($A28,GDP_CGE!$A$3:$A$24,0),MATCH(R$9,GDP_CGE!$A$3:$AN$3,0)),GDP_Simple!R26)</f>
        <v>2.23</v>
      </c>
      <c r="S28">
        <f>IF($C$3="CGE",INDEX(GDP_CGE!$A$3:$AN$24,MATCH($A28,GDP_CGE!$A$3:$A$24,0),MATCH(S$9,GDP_CGE!$A$3:$AN$3,0)),GDP_Simple!S26)</f>
        <v>1.86</v>
      </c>
      <c r="T28">
        <f>IF($C$3="CGE",INDEX(GDP_CGE!$A$3:$AN$24,MATCH($A28,GDP_CGE!$A$3:$A$24,0),MATCH(T$9,GDP_CGE!$A$3:$AN$3,0)),GDP_Simple!T26)</f>
        <v>1.8</v>
      </c>
      <c r="U28">
        <f>IF($C$3="CGE",INDEX(GDP_CGE!$A$3:$AN$24,MATCH($A28,GDP_CGE!$A$3:$A$24,0),MATCH(U$9,GDP_CGE!$A$3:$AN$3,0)),GDP_Simple!U26)</f>
        <v>1.9</v>
      </c>
      <c r="V28">
        <f>IF($C$3="CGE",INDEX(GDP_CGE!$A$3:$AN$24,MATCH($A28,GDP_CGE!$A$3:$A$24,0),MATCH(V$9,GDP_CGE!$A$3:$AN$3,0)),GDP_Simple!V26)</f>
        <v>1.97</v>
      </c>
      <c r="W28">
        <f>IF($C$3="CGE",INDEX(GDP_CGE!$A$3:$AN$24,MATCH($A28,GDP_CGE!$A$3:$A$24,0),MATCH(W$9,GDP_CGE!$A$3:$AN$3,0)),GDP_Simple!W26)</f>
        <v>1.85</v>
      </c>
      <c r="X28">
        <f>IF($C$3="CGE",INDEX(GDP_CGE!$A$3:$AN$24,MATCH($A28,GDP_CGE!$A$3:$A$24,0),MATCH(X$9,GDP_CGE!$A$3:$AN$3,0)),GDP_Simple!X26)</f>
        <v>1.82</v>
      </c>
      <c r="Y28">
        <f>IF($C$3="CGE",INDEX(GDP_CGE!$A$3:$AN$24,MATCH($A28,GDP_CGE!$A$3:$A$24,0),MATCH(Y$9,GDP_CGE!$A$3:$AN$3,0)),GDP_Simple!Y26)</f>
        <v>1.84</v>
      </c>
      <c r="Z28">
        <f>IF($C$3="CGE",INDEX(GDP_CGE!$A$3:$AN$24,MATCH($A28,GDP_CGE!$A$3:$A$24,0),MATCH(Z$9,GDP_CGE!$A$3:$AN$3,0)),GDP_Simple!Z26)</f>
        <v>1.88</v>
      </c>
      <c r="AA28">
        <f>IF($C$3="CGE",INDEX(GDP_CGE!$A$3:$AN$24,MATCH($A28,GDP_CGE!$A$3:$A$24,0),MATCH(AA$9,GDP_CGE!$A$3:$AN$3,0)),GDP_Simple!AA26)</f>
        <v>1.93</v>
      </c>
      <c r="AB28">
        <f>IF($C$3="CGE",INDEX(GDP_CGE!$A$3:$AN$24,MATCH($A28,GDP_CGE!$A$3:$A$24,0),MATCH(AB$9,GDP_CGE!$A$3:$AN$3,0)),GDP_Simple!AB26)</f>
        <v>1.98</v>
      </c>
      <c r="AC28">
        <f>IF($C$3="CGE",INDEX(GDP_CGE!$A$3:$AN$24,MATCH($A28,GDP_CGE!$A$3:$A$24,0),MATCH(AC$9,GDP_CGE!$A$3:$AN$3,0)),GDP_Simple!AC26)</f>
        <v>2.0299999999999998</v>
      </c>
      <c r="AD28">
        <f>IF($C$3="CGE",INDEX(GDP_CGE!$A$3:$AN$24,MATCH($A28,GDP_CGE!$A$3:$A$24,0),MATCH(AD$9,GDP_CGE!$A$3:$AN$3,0)),GDP_Simple!AD26)</f>
        <v>2.0499999999999998</v>
      </c>
      <c r="AE28">
        <f>IF($C$3="CGE",INDEX(GDP_CGE!$A$3:$AN$24,MATCH($A28,GDP_CGE!$A$3:$A$24,0),MATCH(AE$9,GDP_CGE!$A$3:$AN$3,0)),GDP_Simple!AE26)</f>
        <v>2.0699999999999998</v>
      </c>
      <c r="AF28">
        <f>IF($C$3="CGE",INDEX(GDP_CGE!$A$3:$AN$24,MATCH($A28,GDP_CGE!$A$3:$A$24,0),MATCH(AF$9,GDP_CGE!$A$3:$AN$3,0)),GDP_Simple!AF26)</f>
        <v>2.09</v>
      </c>
      <c r="AG28">
        <f>IF($C$3="CGE",INDEX(GDP_CGE!$A$3:$AN$24,MATCH($A28,GDP_CGE!$A$3:$A$24,0),MATCH(AG$9,GDP_CGE!$A$3:$AN$3,0)),GDP_Simple!AG26)</f>
        <v>2.11</v>
      </c>
    </row>
    <row r="29" spans="1:33" x14ac:dyDescent="0.25">
      <c r="A29" s="3" t="s">
        <v>188</v>
      </c>
      <c r="B29">
        <f>IF($C$3="CGE",INDEX(GDP_CGE!$A$3:$AN$24,MATCH($A29,GDP_CGE!$A$3:$A$24,0),MATCH(B$9,GDP_CGE!$A$3:$AN$3,0)),GDP_Simple!B27)</f>
        <v>0.28999999999999998</v>
      </c>
      <c r="C29">
        <f>IF($C$3="CGE",INDEX(GDP_CGE!$A$3:$AN$24,MATCH($A29,GDP_CGE!$A$3:$A$24,0),MATCH(C$9,GDP_CGE!$A$3:$AN$3,0)),GDP_Simple!C27)</f>
        <v>0.28999999999999998</v>
      </c>
      <c r="D29">
        <f>IF($C$3="CGE",INDEX(GDP_CGE!$A$3:$AN$24,MATCH($A29,GDP_CGE!$A$3:$A$24,0),MATCH(D$9,GDP_CGE!$A$3:$AN$3,0)),GDP_Simple!D27)</f>
        <v>0.28999999999999998</v>
      </c>
      <c r="E29">
        <f>IF($C$3="CGE",INDEX(GDP_CGE!$A$3:$AN$24,MATCH($A29,GDP_CGE!$A$3:$A$24,0),MATCH(E$9,GDP_CGE!$A$3:$AN$3,0)),GDP_Simple!E27)</f>
        <v>0.28999999999999998</v>
      </c>
      <c r="F29">
        <f>IF($C$3="CGE",INDEX(GDP_CGE!$A$3:$AN$24,MATCH($A29,GDP_CGE!$A$3:$A$24,0),MATCH(F$9,GDP_CGE!$A$3:$AN$3,0)),GDP_Simple!F27)</f>
        <v>0.28999999999999998</v>
      </c>
      <c r="G29">
        <f>IF($C$3="CGE",INDEX(GDP_CGE!$A$3:$AN$24,MATCH($A29,GDP_CGE!$A$3:$A$24,0),MATCH(G$9,GDP_CGE!$A$3:$AN$3,0)),GDP_Simple!G27)</f>
        <v>0.28999999999999998</v>
      </c>
      <c r="H29">
        <f>IF($C$3="CGE",INDEX(GDP_CGE!$A$3:$AN$24,MATCH($A29,GDP_CGE!$A$3:$A$24,0),MATCH(H$9,GDP_CGE!$A$3:$AN$3,0)),GDP_Simple!H27)</f>
        <v>0.28999999999999998</v>
      </c>
      <c r="I29">
        <f>IF($C$3="CGE",INDEX(GDP_CGE!$A$3:$AN$24,MATCH($A29,GDP_CGE!$A$3:$A$24,0),MATCH(I$9,GDP_CGE!$A$3:$AN$3,0)),GDP_Simple!I27)</f>
        <v>0.28999999999999998</v>
      </c>
      <c r="J29">
        <f>IF($C$3="CGE",INDEX(GDP_CGE!$A$3:$AN$24,MATCH($A29,GDP_CGE!$A$3:$A$24,0),MATCH(J$9,GDP_CGE!$A$3:$AN$3,0)),GDP_Simple!J27)</f>
        <v>0.28999999999999998</v>
      </c>
      <c r="K29">
        <f>IF($C$3="CGE",INDEX(GDP_CGE!$A$3:$AN$24,MATCH($A29,GDP_CGE!$A$3:$A$24,0),MATCH(K$9,GDP_CGE!$A$3:$AN$3,0)),GDP_Simple!K27)</f>
        <v>0.28999999999999998</v>
      </c>
      <c r="L29">
        <f>IF($C$3="CGE",INDEX(GDP_CGE!$A$3:$AN$24,MATCH($A29,GDP_CGE!$A$3:$A$24,0),MATCH(L$9,GDP_CGE!$A$3:$AN$3,0)),GDP_Simple!L27)</f>
        <v>0.28999999999999998</v>
      </c>
      <c r="M29">
        <f>IF($C$3="CGE",INDEX(GDP_CGE!$A$3:$AN$24,MATCH($A29,GDP_CGE!$A$3:$A$24,0),MATCH(M$9,GDP_CGE!$A$3:$AN$3,0)),GDP_Simple!M27)</f>
        <v>0.28999999999999998</v>
      </c>
      <c r="N29">
        <f>IF($C$3="CGE",INDEX(GDP_CGE!$A$3:$AN$24,MATCH($A29,GDP_CGE!$A$3:$A$24,0),MATCH(N$9,GDP_CGE!$A$3:$AN$3,0)),GDP_Simple!N27)</f>
        <v>1.63</v>
      </c>
      <c r="O29">
        <f>IF($C$3="CGE",INDEX(GDP_CGE!$A$3:$AN$24,MATCH($A29,GDP_CGE!$A$3:$A$24,0),MATCH(O$9,GDP_CGE!$A$3:$AN$3,0)),GDP_Simple!O27)</f>
        <v>1.77</v>
      </c>
      <c r="P29">
        <f>IF($C$3="CGE",INDEX(GDP_CGE!$A$3:$AN$24,MATCH($A29,GDP_CGE!$A$3:$A$24,0),MATCH(P$9,GDP_CGE!$A$3:$AN$3,0)),GDP_Simple!P27)</f>
        <v>1.5</v>
      </c>
      <c r="Q29">
        <f>IF($C$3="CGE",INDEX(GDP_CGE!$A$3:$AN$24,MATCH($A29,GDP_CGE!$A$3:$A$24,0),MATCH(Q$9,GDP_CGE!$A$3:$AN$3,0)),GDP_Simple!Q27)</f>
        <v>1.96</v>
      </c>
      <c r="R29">
        <f>IF($C$3="CGE",INDEX(GDP_CGE!$A$3:$AN$24,MATCH($A29,GDP_CGE!$A$3:$A$24,0),MATCH(R$9,GDP_CGE!$A$3:$AN$3,0)),GDP_Simple!R27)</f>
        <v>2.0499999999999998</v>
      </c>
      <c r="S29">
        <f>IF($C$3="CGE",INDEX(GDP_CGE!$A$3:$AN$24,MATCH($A29,GDP_CGE!$A$3:$A$24,0),MATCH(S$9,GDP_CGE!$A$3:$AN$3,0)),GDP_Simple!S27)</f>
        <v>2.16</v>
      </c>
      <c r="T29">
        <f>IF($C$3="CGE",INDEX(GDP_CGE!$A$3:$AN$24,MATCH($A29,GDP_CGE!$A$3:$A$24,0),MATCH(T$9,GDP_CGE!$A$3:$AN$3,0)),GDP_Simple!T27)</f>
        <v>5.39</v>
      </c>
      <c r="U29">
        <f>IF($C$3="CGE",INDEX(GDP_CGE!$A$3:$AN$24,MATCH($A29,GDP_CGE!$A$3:$A$24,0),MATCH(U$9,GDP_CGE!$A$3:$AN$3,0)),GDP_Simple!U27)</f>
        <v>11.2</v>
      </c>
      <c r="V29">
        <f>IF($C$3="CGE",INDEX(GDP_CGE!$A$3:$AN$24,MATCH($A29,GDP_CGE!$A$3:$A$24,0),MATCH(V$9,GDP_CGE!$A$3:$AN$3,0)),GDP_Simple!V27)</f>
        <v>16.98</v>
      </c>
      <c r="W29">
        <f>IF($C$3="CGE",INDEX(GDP_CGE!$A$3:$AN$24,MATCH($A29,GDP_CGE!$A$3:$A$24,0),MATCH(W$9,GDP_CGE!$A$3:$AN$3,0)),GDP_Simple!W27)</f>
        <v>22.75</v>
      </c>
      <c r="X29">
        <f>IF($C$3="CGE",INDEX(GDP_CGE!$A$3:$AN$24,MATCH($A29,GDP_CGE!$A$3:$A$24,0),MATCH(X$9,GDP_CGE!$A$3:$AN$3,0)),GDP_Simple!X27)</f>
        <v>25.18</v>
      </c>
      <c r="Y29">
        <f>IF($C$3="CGE",INDEX(GDP_CGE!$A$3:$AN$24,MATCH($A29,GDP_CGE!$A$3:$A$24,0),MATCH(Y$9,GDP_CGE!$A$3:$AN$3,0)),GDP_Simple!Y27)</f>
        <v>27.62</v>
      </c>
      <c r="Z29">
        <f>IF($C$3="CGE",INDEX(GDP_CGE!$A$3:$AN$24,MATCH($A29,GDP_CGE!$A$3:$A$24,0),MATCH(Z$9,GDP_CGE!$A$3:$AN$3,0)),GDP_Simple!Z27)</f>
        <v>30.04</v>
      </c>
      <c r="AA29">
        <f>IF($C$3="CGE",INDEX(GDP_CGE!$A$3:$AN$24,MATCH($A29,GDP_CGE!$A$3:$A$24,0),MATCH(AA$9,GDP_CGE!$A$3:$AN$3,0)),GDP_Simple!AA27)</f>
        <v>32.450000000000003</v>
      </c>
      <c r="AB29">
        <f>IF($C$3="CGE",INDEX(GDP_CGE!$A$3:$AN$24,MATCH($A29,GDP_CGE!$A$3:$A$24,0),MATCH(AB$9,GDP_CGE!$A$3:$AN$3,0)),GDP_Simple!AB27)</f>
        <v>34.869999999999997</v>
      </c>
      <c r="AC29">
        <f>IF($C$3="CGE",INDEX(GDP_CGE!$A$3:$AN$24,MATCH($A29,GDP_CGE!$A$3:$A$24,0),MATCH(AC$9,GDP_CGE!$A$3:$AN$3,0)),GDP_Simple!AC27)</f>
        <v>34.19</v>
      </c>
      <c r="AD29">
        <f>IF($C$3="CGE",INDEX(GDP_CGE!$A$3:$AN$24,MATCH($A29,GDP_CGE!$A$3:$A$24,0),MATCH(AD$9,GDP_CGE!$A$3:$AN$3,0)),GDP_Simple!AD27)</f>
        <v>33.5</v>
      </c>
      <c r="AE29">
        <f>IF($C$3="CGE",INDEX(GDP_CGE!$A$3:$AN$24,MATCH($A29,GDP_CGE!$A$3:$A$24,0),MATCH(AE$9,GDP_CGE!$A$3:$AN$3,0)),GDP_Simple!AE27)</f>
        <v>32.82</v>
      </c>
      <c r="AF29">
        <f>IF($C$3="CGE",INDEX(GDP_CGE!$A$3:$AN$24,MATCH($A29,GDP_CGE!$A$3:$A$24,0),MATCH(AF$9,GDP_CGE!$A$3:$AN$3,0)),GDP_Simple!AF27)</f>
        <v>32.14</v>
      </c>
      <c r="AG29">
        <f>IF($C$3="CGE",INDEX(GDP_CGE!$A$3:$AN$24,MATCH($A29,GDP_CGE!$A$3:$A$24,0),MATCH(AG$9,GDP_CGE!$A$3:$AN$3,0)),GDP_Simple!AG27)</f>
        <v>31.46</v>
      </c>
    </row>
    <row r="30" spans="1:33" x14ac:dyDescent="0.25">
      <c r="A30" s="3" t="s">
        <v>189</v>
      </c>
      <c r="B30">
        <f>IF($C$3="CGE",INDEX(GDP_CGE!$A$3:$AN$24,MATCH($A30,GDP_CGE!$A$3:$A$24,0),MATCH(B$9,GDP_CGE!$A$3:$AN$3,0)),GDP_Simple!B28)</f>
        <v>0.08</v>
      </c>
      <c r="C30">
        <f>IF($C$3="CGE",INDEX(GDP_CGE!$A$3:$AN$24,MATCH($A30,GDP_CGE!$A$3:$A$24,0),MATCH(C$9,GDP_CGE!$A$3:$AN$3,0)),GDP_Simple!C28)</f>
        <v>0.08</v>
      </c>
      <c r="D30">
        <f>IF($C$3="CGE",INDEX(GDP_CGE!$A$3:$AN$24,MATCH($A30,GDP_CGE!$A$3:$A$24,0),MATCH(D$9,GDP_CGE!$A$3:$AN$3,0)),GDP_Simple!D28)</f>
        <v>0.08</v>
      </c>
      <c r="E30">
        <f>IF($C$3="CGE",INDEX(GDP_CGE!$A$3:$AN$24,MATCH($A30,GDP_CGE!$A$3:$A$24,0),MATCH(E$9,GDP_CGE!$A$3:$AN$3,0)),GDP_Simple!E28)</f>
        <v>0.08</v>
      </c>
      <c r="F30">
        <f>IF($C$3="CGE",INDEX(GDP_CGE!$A$3:$AN$24,MATCH($A30,GDP_CGE!$A$3:$A$24,0),MATCH(F$9,GDP_CGE!$A$3:$AN$3,0)),GDP_Simple!F28)</f>
        <v>0.12</v>
      </c>
      <c r="G30">
        <f>IF($C$3="CGE",INDEX(GDP_CGE!$A$3:$AN$24,MATCH($A30,GDP_CGE!$A$3:$A$24,0),MATCH(G$9,GDP_CGE!$A$3:$AN$3,0)),GDP_Simple!G28)</f>
        <v>0.16</v>
      </c>
      <c r="H30">
        <f>IF($C$3="CGE",INDEX(GDP_CGE!$A$3:$AN$24,MATCH($A30,GDP_CGE!$A$3:$A$24,0),MATCH(H$9,GDP_CGE!$A$3:$AN$3,0)),GDP_Simple!H28)</f>
        <v>0.2</v>
      </c>
      <c r="I30">
        <f>IF($C$3="CGE",INDEX(GDP_CGE!$A$3:$AN$24,MATCH($A30,GDP_CGE!$A$3:$A$24,0),MATCH(I$9,GDP_CGE!$A$3:$AN$3,0)),GDP_Simple!I28)</f>
        <v>0.23</v>
      </c>
      <c r="J30">
        <f>IF($C$3="CGE",INDEX(GDP_CGE!$A$3:$AN$24,MATCH($A30,GDP_CGE!$A$3:$A$24,0),MATCH(J$9,GDP_CGE!$A$3:$AN$3,0)),GDP_Simple!J28)</f>
        <v>0.27</v>
      </c>
      <c r="K30">
        <f>IF($C$3="CGE",INDEX(GDP_CGE!$A$3:$AN$24,MATCH($A30,GDP_CGE!$A$3:$A$24,0),MATCH(K$9,GDP_CGE!$A$3:$AN$3,0)),GDP_Simple!K28)</f>
        <v>0.31</v>
      </c>
      <c r="L30">
        <f>IF($C$3="CGE",INDEX(GDP_CGE!$A$3:$AN$24,MATCH($A30,GDP_CGE!$A$3:$A$24,0),MATCH(L$9,GDP_CGE!$A$3:$AN$3,0)),GDP_Simple!L28)</f>
        <v>0.35</v>
      </c>
      <c r="M30">
        <f>IF($C$3="CGE",INDEX(GDP_CGE!$A$3:$AN$24,MATCH($A30,GDP_CGE!$A$3:$A$24,0),MATCH(M$9,GDP_CGE!$A$3:$AN$3,0)),GDP_Simple!M28)</f>
        <v>1.99</v>
      </c>
      <c r="N30">
        <f>IF($C$3="CGE",INDEX(GDP_CGE!$A$3:$AN$24,MATCH($A30,GDP_CGE!$A$3:$A$24,0),MATCH(N$9,GDP_CGE!$A$3:$AN$3,0)),GDP_Simple!N28)</f>
        <v>1.01</v>
      </c>
      <c r="O30">
        <f>IF($C$3="CGE",INDEX(GDP_CGE!$A$3:$AN$24,MATCH($A30,GDP_CGE!$A$3:$A$24,0),MATCH(O$9,GDP_CGE!$A$3:$AN$3,0)),GDP_Simple!O28)</f>
        <v>1.4</v>
      </c>
      <c r="P30">
        <f>IF($C$3="CGE",INDEX(GDP_CGE!$A$3:$AN$24,MATCH($A30,GDP_CGE!$A$3:$A$24,0),MATCH(P$9,GDP_CGE!$A$3:$AN$3,0)),GDP_Simple!P28)</f>
        <v>1.29</v>
      </c>
      <c r="Q30">
        <f>IF($C$3="CGE",INDEX(GDP_CGE!$A$3:$AN$24,MATCH($A30,GDP_CGE!$A$3:$A$24,0),MATCH(Q$9,GDP_CGE!$A$3:$AN$3,0)),GDP_Simple!Q28)</f>
        <v>1.66</v>
      </c>
      <c r="R30">
        <f>IF($C$3="CGE",INDEX(GDP_CGE!$A$3:$AN$24,MATCH($A30,GDP_CGE!$A$3:$A$24,0),MATCH(R$9,GDP_CGE!$A$3:$AN$3,0)),GDP_Simple!R28)</f>
        <v>2.08</v>
      </c>
      <c r="S30">
        <f>IF($C$3="CGE",INDEX(GDP_CGE!$A$3:$AN$24,MATCH($A30,GDP_CGE!$A$3:$A$24,0),MATCH(S$9,GDP_CGE!$A$3:$AN$3,0)),GDP_Simple!S28)</f>
        <v>1.84</v>
      </c>
      <c r="T30">
        <f>IF($C$3="CGE",INDEX(GDP_CGE!$A$3:$AN$24,MATCH($A30,GDP_CGE!$A$3:$A$24,0),MATCH(T$9,GDP_CGE!$A$3:$AN$3,0)),GDP_Simple!T28)</f>
        <v>8.24</v>
      </c>
      <c r="U30">
        <f>IF($C$3="CGE",INDEX(GDP_CGE!$A$3:$AN$24,MATCH($A30,GDP_CGE!$A$3:$A$24,0),MATCH(U$9,GDP_CGE!$A$3:$AN$3,0)),GDP_Simple!U28)</f>
        <v>8.2200000000000006</v>
      </c>
      <c r="V30">
        <f>IF($C$3="CGE",INDEX(GDP_CGE!$A$3:$AN$24,MATCH($A30,GDP_CGE!$A$3:$A$24,0),MATCH(V$9,GDP_CGE!$A$3:$AN$3,0)),GDP_Simple!V28)</f>
        <v>4.18</v>
      </c>
      <c r="W30">
        <f>IF($C$3="CGE",INDEX(GDP_CGE!$A$3:$AN$24,MATCH($A30,GDP_CGE!$A$3:$A$24,0),MATCH(W$9,GDP_CGE!$A$3:$AN$3,0)),GDP_Simple!W28)</f>
        <v>4.18</v>
      </c>
      <c r="X30">
        <f>IF($C$3="CGE",INDEX(GDP_CGE!$A$3:$AN$24,MATCH($A30,GDP_CGE!$A$3:$A$24,0),MATCH(X$9,GDP_CGE!$A$3:$AN$3,0)),GDP_Simple!X28)</f>
        <v>4.18</v>
      </c>
      <c r="Y30">
        <f>IF($C$3="CGE",INDEX(GDP_CGE!$A$3:$AN$24,MATCH($A30,GDP_CGE!$A$3:$A$24,0),MATCH(Y$9,GDP_CGE!$A$3:$AN$3,0)),GDP_Simple!Y28)</f>
        <v>4.17</v>
      </c>
      <c r="Z30">
        <f>IF($C$3="CGE",INDEX(GDP_CGE!$A$3:$AN$24,MATCH($A30,GDP_CGE!$A$3:$A$24,0),MATCH(Z$9,GDP_CGE!$A$3:$AN$3,0)),GDP_Simple!Z28)</f>
        <v>3.29</v>
      </c>
      <c r="AA30">
        <f>IF($C$3="CGE",INDEX(GDP_CGE!$A$3:$AN$24,MATCH($A30,GDP_CGE!$A$3:$A$24,0),MATCH(AA$9,GDP_CGE!$A$3:$AN$3,0)),GDP_Simple!AA28)</f>
        <v>3.29</v>
      </c>
      <c r="AB30">
        <f>IF($C$3="CGE",INDEX(GDP_CGE!$A$3:$AN$24,MATCH($A30,GDP_CGE!$A$3:$A$24,0),MATCH(AB$9,GDP_CGE!$A$3:$AN$3,0)),GDP_Simple!AB28)</f>
        <v>3.29</v>
      </c>
      <c r="AC30">
        <f>IF($C$3="CGE",INDEX(GDP_CGE!$A$3:$AN$24,MATCH($A30,GDP_CGE!$A$3:$A$24,0),MATCH(AC$9,GDP_CGE!$A$3:$AN$3,0)),GDP_Simple!AC28)</f>
        <v>3.29</v>
      </c>
      <c r="AD30">
        <f>IF($C$3="CGE",INDEX(GDP_CGE!$A$3:$AN$24,MATCH($A30,GDP_CGE!$A$3:$A$24,0),MATCH(AD$9,GDP_CGE!$A$3:$AN$3,0)),GDP_Simple!AD28)</f>
        <v>3.29</v>
      </c>
      <c r="AE30">
        <f>IF($C$3="CGE",INDEX(GDP_CGE!$A$3:$AN$24,MATCH($A30,GDP_CGE!$A$3:$A$24,0),MATCH(AE$9,GDP_CGE!$A$3:$AN$3,0)),GDP_Simple!AE28)</f>
        <v>6.49</v>
      </c>
      <c r="AF30">
        <f>IF($C$3="CGE",INDEX(GDP_CGE!$A$3:$AN$24,MATCH($A30,GDP_CGE!$A$3:$A$24,0),MATCH(AF$9,GDP_CGE!$A$3:$AN$3,0)),GDP_Simple!AF28)</f>
        <v>6.49</v>
      </c>
      <c r="AG30">
        <f>IF($C$3="CGE",INDEX(GDP_CGE!$A$3:$AN$24,MATCH($A30,GDP_CGE!$A$3:$A$24,0),MATCH(AG$9,GDP_CGE!$A$3:$AN$3,0)),GDP_Simple!AG28)</f>
        <v>6.49</v>
      </c>
    </row>
    <row r="33" spans="1:42" ht="18" thickBot="1" x14ac:dyDescent="0.35">
      <c r="A33" s="4" t="s">
        <v>47</v>
      </c>
      <c r="B33" s="4"/>
      <c r="C33" s="4"/>
      <c r="G33" t="s">
        <v>148</v>
      </c>
      <c r="I33" s="25">
        <v>0.99993015571903376</v>
      </c>
    </row>
    <row r="34" spans="1:42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2" x14ac:dyDescent="0.25">
      <c r="A35" s="9">
        <v>58364.834921819442</v>
      </c>
      <c r="B35" s="9">
        <f>A35*(1+B43)</f>
        <v>59233.695328537608</v>
      </c>
      <c r="C35" s="9">
        <f t="shared" ref="C35:AF35" si="2">B35*(1+E43)*$I$33</f>
        <v>60170.135702880638</v>
      </c>
      <c r="D35" s="9">
        <f t="shared" si="2"/>
        <v>61141.664651048479</v>
      </c>
      <c r="E35" s="9">
        <f t="shared" si="2"/>
        <v>62126.086164056695</v>
      </c>
      <c r="F35" s="9">
        <f t="shared" si="2"/>
        <v>63126.357518916688</v>
      </c>
      <c r="G35" s="9">
        <f t="shared" si="2"/>
        <v>64142.733908636139</v>
      </c>
      <c r="H35" s="9">
        <f t="shared" si="2"/>
        <v>65115.73026470167</v>
      </c>
      <c r="I35" s="9">
        <f t="shared" si="2"/>
        <v>66042.835586617308</v>
      </c>
      <c r="J35" s="9">
        <f t="shared" si="2"/>
        <v>66921.626677758162</v>
      </c>
      <c r="K35" s="9">
        <f t="shared" si="2"/>
        <v>67749.778587208697</v>
      </c>
      <c r="L35" s="9">
        <f t="shared" si="2"/>
        <v>68525.074762177479</v>
      </c>
      <c r="M35" s="9">
        <f t="shared" si="2"/>
        <v>69286.388472916427</v>
      </c>
      <c r="N35" s="9">
        <f t="shared" si="2"/>
        <v>70033.051881823092</v>
      </c>
      <c r="O35" s="9">
        <f t="shared" si="2"/>
        <v>70764.404167450688</v>
      </c>
      <c r="P35" s="9">
        <f t="shared" si="2"/>
        <v>71479.792486390259</v>
      </c>
      <c r="Q35" s="9">
        <f t="shared" si="2"/>
        <v>72178.572932855866</v>
      </c>
      <c r="R35" s="9">
        <f t="shared" si="2"/>
        <v>72865.243718484664</v>
      </c>
      <c r="S35" s="9">
        <f t="shared" si="2"/>
        <v>73539.326072165728</v>
      </c>
      <c r="T35" s="9">
        <f t="shared" si="2"/>
        <v>74200.346452615137</v>
      </c>
      <c r="U35" s="9">
        <f t="shared" si="2"/>
        <v>74847.837096563293</v>
      </c>
      <c r="V35" s="9">
        <f t="shared" si="2"/>
        <v>75481.33656472007</v>
      </c>
      <c r="W35" s="9">
        <f t="shared" si="2"/>
        <v>76101.885632753023</v>
      </c>
      <c r="X35" s="9">
        <f t="shared" si="2"/>
        <v>76709.073592680114</v>
      </c>
      <c r="Y35" s="9">
        <f t="shared" si="2"/>
        <v>77302.495984815265</v>
      </c>
      <c r="Z35" s="9">
        <f t="shared" si="2"/>
        <v>77881.755043150377</v>
      </c>
      <c r="AA35" s="9">
        <f t="shared" si="2"/>
        <v>78446.460136387468</v>
      </c>
      <c r="AB35" s="9">
        <f t="shared" si="2"/>
        <v>78997.842335977519</v>
      </c>
      <c r="AC35" s="9">
        <f t="shared" si="2"/>
        <v>79535.560193629761</v>
      </c>
      <c r="AD35" s="9">
        <f t="shared" si="2"/>
        <v>80059.278886956381</v>
      </c>
      <c r="AE35" s="9">
        <f t="shared" si="2"/>
        <v>80568.670564877786</v>
      </c>
      <c r="AF35" s="9">
        <f t="shared" si="2"/>
        <v>81063.414687793367</v>
      </c>
      <c r="AG35" s="9"/>
      <c r="AH35" s="9"/>
      <c r="AI35" s="9"/>
      <c r="AJ35" s="9"/>
      <c r="AK35" s="9"/>
      <c r="AL35" s="9"/>
      <c r="AM35" s="9"/>
    </row>
    <row r="36" spans="1:42" x14ac:dyDescent="0.25">
      <c r="J36" s="6"/>
      <c r="K36" s="6"/>
      <c r="L36" s="6"/>
      <c r="M36" s="6"/>
      <c r="N36" s="6"/>
      <c r="S36" s="6"/>
    </row>
    <row r="38" spans="1:42" ht="18" thickBot="1" x14ac:dyDescent="0.35">
      <c r="A38" s="4" t="s">
        <v>74</v>
      </c>
      <c r="B38" s="4"/>
      <c r="C38" s="4"/>
      <c r="F38" t="s">
        <v>53</v>
      </c>
      <c r="G38">
        <f t="shared" ref="G38:AM38" si="3">ROUNDUP((G42-2000)/5,0)*5+2000</f>
        <v>2020</v>
      </c>
      <c r="H38">
        <f t="shared" si="3"/>
        <v>2020</v>
      </c>
      <c r="I38">
        <f t="shared" si="3"/>
        <v>2020</v>
      </c>
      <c r="J38">
        <f t="shared" si="3"/>
        <v>2025</v>
      </c>
      <c r="K38">
        <f t="shared" si="3"/>
        <v>2025</v>
      </c>
      <c r="L38">
        <f t="shared" si="3"/>
        <v>2025</v>
      </c>
      <c r="M38">
        <f t="shared" si="3"/>
        <v>2025</v>
      </c>
      <c r="N38">
        <f t="shared" si="3"/>
        <v>2025</v>
      </c>
      <c r="O38">
        <f t="shared" si="3"/>
        <v>2030</v>
      </c>
      <c r="P38">
        <f t="shared" si="3"/>
        <v>2030</v>
      </c>
      <c r="Q38">
        <f t="shared" si="3"/>
        <v>2030</v>
      </c>
      <c r="R38">
        <f t="shared" si="3"/>
        <v>2030</v>
      </c>
      <c r="S38">
        <f t="shared" si="3"/>
        <v>2030</v>
      </c>
      <c r="T38">
        <f t="shared" si="3"/>
        <v>2035</v>
      </c>
      <c r="U38">
        <f t="shared" si="3"/>
        <v>2035</v>
      </c>
      <c r="V38">
        <f t="shared" si="3"/>
        <v>2035</v>
      </c>
      <c r="W38">
        <f t="shared" si="3"/>
        <v>2035</v>
      </c>
      <c r="X38">
        <f t="shared" si="3"/>
        <v>2035</v>
      </c>
      <c r="Y38">
        <f t="shared" si="3"/>
        <v>2040</v>
      </c>
      <c r="Z38">
        <f t="shared" si="3"/>
        <v>2040</v>
      </c>
      <c r="AA38">
        <f t="shared" si="3"/>
        <v>2040</v>
      </c>
      <c r="AB38">
        <f t="shared" si="3"/>
        <v>2040</v>
      </c>
      <c r="AC38">
        <f t="shared" si="3"/>
        <v>2040</v>
      </c>
      <c r="AD38">
        <f t="shared" si="3"/>
        <v>2045</v>
      </c>
      <c r="AE38">
        <f t="shared" si="3"/>
        <v>2045</v>
      </c>
      <c r="AF38">
        <f t="shared" si="3"/>
        <v>2045</v>
      </c>
      <c r="AG38">
        <f t="shared" si="3"/>
        <v>2045</v>
      </c>
      <c r="AH38">
        <f t="shared" si="3"/>
        <v>2045</v>
      </c>
      <c r="AI38">
        <f t="shared" si="3"/>
        <v>2050</v>
      </c>
      <c r="AJ38">
        <f t="shared" si="3"/>
        <v>2050</v>
      </c>
      <c r="AK38">
        <f t="shared" si="3"/>
        <v>2050</v>
      </c>
      <c r="AL38">
        <f t="shared" si="3"/>
        <v>2050</v>
      </c>
      <c r="AM38">
        <f t="shared" si="3"/>
        <v>2050</v>
      </c>
      <c r="AN38">
        <f t="shared" ref="AN38:AP38" si="4">ROUNDUP((AN42-2000)/5,0)*5+2000</f>
        <v>2055</v>
      </c>
      <c r="AO38">
        <f t="shared" si="4"/>
        <v>2055</v>
      </c>
      <c r="AP38">
        <f t="shared" si="4"/>
        <v>2055</v>
      </c>
    </row>
    <row r="39" spans="1:42" ht="15.75" thickTop="1" x14ac:dyDescent="0.25">
      <c r="G39" s="6">
        <f>INDEX($G$49:$Q$49,1,MATCH(G38,$G$47:$Q$47,0))</f>
        <v>1.6171639643029367E-2</v>
      </c>
      <c r="H39" s="6">
        <f t="shared" ref="H39:AM39" si="5">INDEX($G$49:$Q$49,1,MATCH(H38,$G$47:$Q$47,0))</f>
        <v>1.6171639643029367E-2</v>
      </c>
      <c r="I39" s="6">
        <f t="shared" si="5"/>
        <v>1.6171639643029367E-2</v>
      </c>
      <c r="J39" s="6">
        <f t="shared" si="5"/>
        <v>1.1514171855832034E-2</v>
      </c>
      <c r="K39" s="6">
        <f t="shared" si="5"/>
        <v>1.1514171855832034E-2</v>
      </c>
      <c r="L39" s="6">
        <f t="shared" si="5"/>
        <v>1.1514171855832034E-2</v>
      </c>
      <c r="M39" s="6">
        <f t="shared" si="5"/>
        <v>1.1514171855832034E-2</v>
      </c>
      <c r="N39" s="6">
        <f t="shared" si="5"/>
        <v>1.1514171855832034E-2</v>
      </c>
      <c r="O39" s="6">
        <f t="shared" si="5"/>
        <v>9.8464479909492475E-3</v>
      </c>
      <c r="P39" s="6">
        <f t="shared" si="5"/>
        <v>9.8464479909492475E-3</v>
      </c>
      <c r="Q39" s="6">
        <f t="shared" si="5"/>
        <v>9.8464479909492475E-3</v>
      </c>
      <c r="R39" s="6">
        <f t="shared" si="5"/>
        <v>9.8464479909492475E-3</v>
      </c>
      <c r="S39" s="6">
        <f t="shared" si="5"/>
        <v>9.8464479909492475E-3</v>
      </c>
      <c r="T39" s="6">
        <f t="shared" si="5"/>
        <v>8.5342716751048986E-3</v>
      </c>
      <c r="U39" s="6">
        <f t="shared" si="5"/>
        <v>8.5342716751048986E-3</v>
      </c>
      <c r="V39" s="6">
        <f t="shared" si="5"/>
        <v>8.5342716751048986E-3</v>
      </c>
      <c r="W39" s="6">
        <f t="shared" si="5"/>
        <v>8.5342716751048986E-3</v>
      </c>
      <c r="X39" s="6">
        <f t="shared" si="5"/>
        <v>8.5342716751048986E-3</v>
      </c>
      <c r="Y39" s="6">
        <f t="shared" si="5"/>
        <v>7.3211564406818752E-3</v>
      </c>
      <c r="Z39" s="6">
        <f t="shared" si="5"/>
        <v>7.3211564406818752E-3</v>
      </c>
      <c r="AA39" s="6">
        <f t="shared" si="5"/>
        <v>7.3211564406818752E-3</v>
      </c>
      <c r="AB39" s="6">
        <f t="shared" si="5"/>
        <v>7.3211564406818752E-3</v>
      </c>
      <c r="AC39" s="6">
        <f t="shared" si="5"/>
        <v>7.3211564406818752E-3</v>
      </c>
      <c r="AD39" s="6">
        <f t="shared" si="5"/>
        <v>6.210929518779329E-3</v>
      </c>
      <c r="AE39" s="6">
        <f t="shared" si="5"/>
        <v>6.210929518779329E-3</v>
      </c>
      <c r="AF39" s="6">
        <f t="shared" si="5"/>
        <v>6.210929518779329E-3</v>
      </c>
      <c r="AG39" s="6">
        <f t="shared" si="5"/>
        <v>6.210929518779329E-3</v>
      </c>
      <c r="AH39" s="6">
        <f t="shared" si="5"/>
        <v>6.210929518779329E-3</v>
      </c>
      <c r="AI39" s="6">
        <f t="shared" si="5"/>
        <v>5.1048399806699063E-3</v>
      </c>
      <c r="AJ39" s="6">
        <f t="shared" si="5"/>
        <v>5.1048399806699063E-3</v>
      </c>
      <c r="AK39" s="6">
        <f t="shared" si="5"/>
        <v>5.1048399806699063E-3</v>
      </c>
      <c r="AL39" s="6">
        <f t="shared" si="5"/>
        <v>5.1048399806699063E-3</v>
      </c>
      <c r="AM39" s="6">
        <f t="shared" si="5"/>
        <v>5.1048399806699063E-3</v>
      </c>
      <c r="AN39" s="6">
        <f t="shared" ref="AN39:AP39" si="6">INDEX($G$49:$Q$49,1,MATCH(AN38,$G$47:$Q$47,0))</f>
        <v>3.9852485744564792E-3</v>
      </c>
      <c r="AO39" s="6">
        <f t="shared" si="6"/>
        <v>3.9852485744564792E-3</v>
      </c>
      <c r="AP39" s="6">
        <f t="shared" si="6"/>
        <v>3.9852485744564792E-3</v>
      </c>
    </row>
    <row r="40" spans="1:42" x14ac:dyDescent="0.25">
      <c r="F40" t="s">
        <v>75</v>
      </c>
      <c r="G40">
        <v>2017</v>
      </c>
      <c r="H40">
        <v>2017</v>
      </c>
      <c r="I40">
        <v>2017</v>
      </c>
      <c r="J40">
        <f t="shared" ref="J40:AM40" si="7">J38-5</f>
        <v>2020</v>
      </c>
      <c r="K40">
        <f t="shared" si="7"/>
        <v>2020</v>
      </c>
      <c r="L40">
        <f t="shared" si="7"/>
        <v>2020</v>
      </c>
      <c r="M40">
        <f t="shared" si="7"/>
        <v>2020</v>
      </c>
      <c r="N40">
        <f t="shared" si="7"/>
        <v>2020</v>
      </c>
      <c r="O40">
        <f t="shared" si="7"/>
        <v>2025</v>
      </c>
      <c r="P40">
        <f t="shared" si="7"/>
        <v>2025</v>
      </c>
      <c r="Q40">
        <f t="shared" si="7"/>
        <v>2025</v>
      </c>
      <c r="R40">
        <f t="shared" si="7"/>
        <v>2025</v>
      </c>
      <c r="S40">
        <f t="shared" si="7"/>
        <v>2025</v>
      </c>
      <c r="T40">
        <f t="shared" si="7"/>
        <v>2030</v>
      </c>
      <c r="U40">
        <f t="shared" si="7"/>
        <v>2030</v>
      </c>
      <c r="V40">
        <f t="shared" si="7"/>
        <v>2030</v>
      </c>
      <c r="W40">
        <f t="shared" si="7"/>
        <v>2030</v>
      </c>
      <c r="X40">
        <f t="shared" si="7"/>
        <v>2030</v>
      </c>
      <c r="Y40">
        <f t="shared" si="7"/>
        <v>2035</v>
      </c>
      <c r="Z40">
        <f t="shared" si="7"/>
        <v>2035</v>
      </c>
      <c r="AA40">
        <f t="shared" si="7"/>
        <v>2035</v>
      </c>
      <c r="AB40">
        <f t="shared" si="7"/>
        <v>2035</v>
      </c>
      <c r="AC40">
        <f t="shared" si="7"/>
        <v>2035</v>
      </c>
      <c r="AD40">
        <f t="shared" si="7"/>
        <v>2040</v>
      </c>
      <c r="AE40">
        <f t="shared" si="7"/>
        <v>2040</v>
      </c>
      <c r="AF40">
        <f t="shared" si="7"/>
        <v>2040</v>
      </c>
      <c r="AG40">
        <f t="shared" si="7"/>
        <v>2040</v>
      </c>
      <c r="AH40">
        <f t="shared" si="7"/>
        <v>2040</v>
      </c>
      <c r="AI40">
        <f t="shared" si="7"/>
        <v>2045</v>
      </c>
      <c r="AJ40">
        <f t="shared" si="7"/>
        <v>2045</v>
      </c>
      <c r="AK40">
        <f t="shared" si="7"/>
        <v>2045</v>
      </c>
      <c r="AL40">
        <f t="shared" si="7"/>
        <v>2045</v>
      </c>
      <c r="AM40">
        <f t="shared" si="7"/>
        <v>2045</v>
      </c>
      <c r="AN40">
        <f t="shared" ref="AN40:AP40" si="8">AN38-5</f>
        <v>2050</v>
      </c>
      <c r="AO40">
        <f t="shared" si="8"/>
        <v>2050</v>
      </c>
      <c r="AP40">
        <f t="shared" si="8"/>
        <v>2050</v>
      </c>
    </row>
    <row r="41" spans="1:42" x14ac:dyDescent="0.25">
      <c r="G41" s="13">
        <f>G49</f>
        <v>1.6171639643029367E-2</v>
      </c>
      <c r="H41" s="13">
        <f>G41</f>
        <v>1.6171639643029367E-2</v>
      </c>
      <c r="I41" s="13">
        <f>H41</f>
        <v>1.6171639643029367E-2</v>
      </c>
      <c r="J41" s="13">
        <f t="shared" ref="J41" si="9">INDEX($G$49:$Q$49,1,MATCH(J40,$G$47:$Q$47,0))</f>
        <v>1.6171639643029367E-2</v>
      </c>
      <c r="K41" s="13">
        <f t="shared" ref="K41" si="10">INDEX($G$49:$Q$49,1,MATCH(K40,$G$47:$Q$47,0))</f>
        <v>1.6171639643029367E-2</v>
      </c>
      <c r="L41" s="13">
        <f t="shared" ref="L41" si="11">INDEX($G$49:$Q$49,1,MATCH(L40,$G$47:$Q$47,0))</f>
        <v>1.6171639643029367E-2</v>
      </c>
      <c r="M41" s="13">
        <f t="shared" ref="M41" si="12">INDEX($G$49:$Q$49,1,MATCH(M40,$G$47:$Q$47,0))</f>
        <v>1.6171639643029367E-2</v>
      </c>
      <c r="N41" s="13">
        <f t="shared" ref="N41" si="13">INDEX($G$49:$Q$49,1,MATCH(N40,$G$47:$Q$47,0))</f>
        <v>1.6171639643029367E-2</v>
      </c>
      <c r="O41" s="13">
        <f t="shared" ref="O41" si="14">INDEX($G$49:$Q$49,1,MATCH(O40,$G$47:$Q$47,0))</f>
        <v>1.1514171855832034E-2</v>
      </c>
      <c r="P41" s="13">
        <f t="shared" ref="P41" si="15">INDEX($G$49:$Q$49,1,MATCH(P40,$G$47:$Q$47,0))</f>
        <v>1.1514171855832034E-2</v>
      </c>
      <c r="Q41" s="13">
        <f t="shared" ref="Q41" si="16">INDEX($G$49:$Q$49,1,MATCH(Q40,$G$47:$Q$47,0))</f>
        <v>1.1514171855832034E-2</v>
      </c>
      <c r="R41" s="13">
        <f t="shared" ref="R41" si="17">INDEX($G$49:$Q$49,1,MATCH(R40,$G$47:$Q$47,0))</f>
        <v>1.1514171855832034E-2</v>
      </c>
      <c r="S41" s="13">
        <f t="shared" ref="S41" si="18">INDEX($G$49:$Q$49,1,MATCH(S40,$G$47:$Q$47,0))</f>
        <v>1.1514171855832034E-2</v>
      </c>
      <c r="T41" s="13">
        <f t="shared" ref="T41" si="19">INDEX($G$49:$Q$49,1,MATCH(T40,$G$47:$Q$47,0))</f>
        <v>9.8464479909492475E-3</v>
      </c>
      <c r="U41" s="13">
        <f t="shared" ref="U41" si="20">INDEX($G$49:$Q$49,1,MATCH(U40,$G$47:$Q$47,0))</f>
        <v>9.8464479909492475E-3</v>
      </c>
      <c r="V41" s="13">
        <f t="shared" ref="V41" si="21">INDEX($G$49:$Q$49,1,MATCH(V40,$G$47:$Q$47,0))</f>
        <v>9.8464479909492475E-3</v>
      </c>
      <c r="W41" s="13">
        <f t="shared" ref="W41" si="22">INDEX($G$49:$Q$49,1,MATCH(W40,$G$47:$Q$47,0))</f>
        <v>9.8464479909492475E-3</v>
      </c>
      <c r="X41" s="13">
        <f t="shared" ref="X41" si="23">INDEX($G$49:$Q$49,1,MATCH(X40,$G$47:$Q$47,0))</f>
        <v>9.8464479909492475E-3</v>
      </c>
      <c r="Y41" s="13">
        <f t="shared" ref="Y41" si="24">INDEX($G$49:$Q$49,1,MATCH(Y40,$G$47:$Q$47,0))</f>
        <v>8.5342716751048986E-3</v>
      </c>
      <c r="Z41" s="13">
        <f t="shared" ref="Z41" si="25">INDEX($G$49:$Q$49,1,MATCH(Z40,$G$47:$Q$47,0))</f>
        <v>8.5342716751048986E-3</v>
      </c>
      <c r="AA41" s="13">
        <f t="shared" ref="AA41" si="26">INDEX($G$49:$Q$49,1,MATCH(AA40,$G$47:$Q$47,0))</f>
        <v>8.5342716751048986E-3</v>
      </c>
      <c r="AB41" s="13">
        <f t="shared" ref="AB41" si="27">INDEX($G$49:$Q$49,1,MATCH(AB40,$G$47:$Q$47,0))</f>
        <v>8.5342716751048986E-3</v>
      </c>
      <c r="AC41" s="13">
        <f t="shared" ref="AC41" si="28">INDEX($G$49:$Q$49,1,MATCH(AC40,$G$47:$Q$47,0))</f>
        <v>8.5342716751048986E-3</v>
      </c>
      <c r="AD41" s="13">
        <f t="shared" ref="AD41" si="29">INDEX($G$49:$Q$49,1,MATCH(AD40,$G$47:$Q$47,0))</f>
        <v>7.3211564406818752E-3</v>
      </c>
      <c r="AE41" s="13">
        <f t="shared" ref="AE41" si="30">INDEX($G$49:$Q$49,1,MATCH(AE40,$G$47:$Q$47,0))</f>
        <v>7.3211564406818752E-3</v>
      </c>
      <c r="AF41" s="13">
        <f t="shared" ref="AF41" si="31">INDEX($G$49:$Q$49,1,MATCH(AF40,$G$47:$Q$47,0))</f>
        <v>7.3211564406818752E-3</v>
      </c>
      <c r="AG41" s="13">
        <f t="shared" ref="AG41" si="32">INDEX($G$49:$Q$49,1,MATCH(AG40,$G$47:$Q$47,0))</f>
        <v>7.3211564406818752E-3</v>
      </c>
      <c r="AH41" s="13">
        <f t="shared" ref="AH41" si="33">INDEX($G$49:$Q$49,1,MATCH(AH40,$G$47:$Q$47,0))</f>
        <v>7.3211564406818752E-3</v>
      </c>
      <c r="AI41" s="13">
        <f t="shared" ref="AI41" si="34">INDEX($G$49:$Q$49,1,MATCH(AI40,$G$47:$Q$47,0))</f>
        <v>6.210929518779329E-3</v>
      </c>
      <c r="AJ41" s="13">
        <f t="shared" ref="AJ41" si="35">INDEX($G$49:$Q$49,1,MATCH(AJ40,$G$47:$Q$47,0))</f>
        <v>6.210929518779329E-3</v>
      </c>
      <c r="AK41" s="13">
        <f t="shared" ref="AK41" si="36">INDEX($G$49:$Q$49,1,MATCH(AK40,$G$47:$Q$47,0))</f>
        <v>6.210929518779329E-3</v>
      </c>
      <c r="AL41" s="13">
        <f t="shared" ref="AL41" si="37">INDEX($G$49:$Q$49,1,MATCH(AL40,$G$47:$Q$47,0))</f>
        <v>6.210929518779329E-3</v>
      </c>
      <c r="AM41" s="13">
        <f t="shared" ref="AM41:AP41" si="38">INDEX($G$49:$Q$49,1,MATCH(AM40,$G$47:$Q$47,0))</f>
        <v>6.210929518779329E-3</v>
      </c>
      <c r="AN41" s="13">
        <f t="shared" si="38"/>
        <v>5.1048399806699063E-3</v>
      </c>
      <c r="AO41" s="13">
        <f t="shared" si="38"/>
        <v>5.1048399806699063E-3</v>
      </c>
      <c r="AP41" s="13">
        <f t="shared" si="38"/>
        <v>5.1048399806699063E-3</v>
      </c>
    </row>
    <row r="42" spans="1:42" x14ac:dyDescent="0.25">
      <c r="A42" s="3"/>
      <c r="B42" s="3">
        <v>2013</v>
      </c>
      <c r="C42" s="3">
        <v>2014</v>
      </c>
      <c r="D42" s="3">
        <v>2015</v>
      </c>
      <c r="E42" s="3">
        <v>2016</v>
      </c>
      <c r="F42" s="3">
        <v>2017</v>
      </c>
      <c r="G42" s="3">
        <v>2018</v>
      </c>
      <c r="H42" s="3">
        <v>2019</v>
      </c>
      <c r="I42" s="3">
        <v>2020</v>
      </c>
      <c r="J42" s="3">
        <v>2021</v>
      </c>
      <c r="K42" s="3">
        <v>2022</v>
      </c>
      <c r="L42" s="3">
        <v>2023</v>
      </c>
      <c r="M42" s="3">
        <v>2024</v>
      </c>
      <c r="N42" s="3">
        <v>2025</v>
      </c>
      <c r="O42" s="3">
        <v>2026</v>
      </c>
      <c r="P42" s="3">
        <v>2027</v>
      </c>
      <c r="Q42" s="3">
        <v>2028</v>
      </c>
      <c r="R42" s="3">
        <v>2029</v>
      </c>
      <c r="S42" s="3">
        <v>2030</v>
      </c>
      <c r="T42" s="3">
        <v>2031</v>
      </c>
      <c r="U42" s="3">
        <v>2032</v>
      </c>
      <c r="V42" s="3">
        <v>2033</v>
      </c>
      <c r="W42" s="3">
        <v>2034</v>
      </c>
      <c r="X42" s="3">
        <v>2035</v>
      </c>
      <c r="Y42" s="3">
        <v>2036</v>
      </c>
      <c r="Z42" s="3">
        <v>2037</v>
      </c>
      <c r="AA42">
        <v>2038</v>
      </c>
      <c r="AB42">
        <v>2039</v>
      </c>
      <c r="AC42">
        <v>2040</v>
      </c>
      <c r="AD42">
        <v>2041</v>
      </c>
      <c r="AE42">
        <v>2042</v>
      </c>
      <c r="AF42">
        <v>2043</v>
      </c>
      <c r="AG42">
        <v>2044</v>
      </c>
      <c r="AH42">
        <v>2045</v>
      </c>
      <c r="AI42">
        <v>2046</v>
      </c>
      <c r="AJ42">
        <v>2047</v>
      </c>
      <c r="AK42">
        <v>2048</v>
      </c>
      <c r="AL42">
        <v>2049</v>
      </c>
      <c r="AM42">
        <v>2050</v>
      </c>
      <c r="AN42">
        <v>2051</v>
      </c>
      <c r="AO42">
        <v>2052</v>
      </c>
      <c r="AP42">
        <v>2053</v>
      </c>
    </row>
    <row r="43" spans="1:42" x14ac:dyDescent="0.25">
      <c r="A43" s="9"/>
      <c r="B43" s="6">
        <f>B49</f>
        <v>1.4886710600347186E-2</v>
      </c>
      <c r="C43" s="6">
        <f t="shared" ref="C43:F43" si="39">C49</f>
        <v>1.5214924545611908E-2</v>
      </c>
      <c r="D43" s="6">
        <f t="shared" si="39"/>
        <v>1.5546076584524338E-2</v>
      </c>
      <c r="E43" s="6">
        <f t="shared" si="39"/>
        <v>1.5880204713440094E-2</v>
      </c>
      <c r="F43" s="6">
        <f t="shared" si="39"/>
        <v>1.6217341554197295E-2</v>
      </c>
      <c r="G43" s="6">
        <f>G41</f>
        <v>1.6171639643029367E-2</v>
      </c>
      <c r="H43" s="6">
        <f t="shared" ref="H43:R43" si="40">G43+(H39-H41)/(H38-H40)</f>
        <v>1.6171639643029367E-2</v>
      </c>
      <c r="I43" s="6">
        <f t="shared" si="40"/>
        <v>1.6171639643029367E-2</v>
      </c>
      <c r="J43" s="6">
        <f t="shared" si="40"/>
        <v>1.5240146085589901E-2</v>
      </c>
      <c r="K43" s="6">
        <f t="shared" si="40"/>
        <v>1.4308652528150435E-2</v>
      </c>
      <c r="L43" s="6">
        <f t="shared" si="40"/>
        <v>1.3377158970710968E-2</v>
      </c>
      <c r="M43" s="6">
        <f t="shared" si="40"/>
        <v>1.2445665413271502E-2</v>
      </c>
      <c r="N43" s="6">
        <f t="shared" si="40"/>
        <v>1.1514171855832036E-2</v>
      </c>
      <c r="O43" s="6">
        <f>N43+(O39-O41)/(O38-O40)</f>
        <v>1.1180627082855478E-2</v>
      </c>
      <c r="P43" s="6">
        <f t="shared" si="40"/>
        <v>1.084708230987892E-2</v>
      </c>
      <c r="Q43" s="6">
        <f t="shared" si="40"/>
        <v>1.0513537536902363E-2</v>
      </c>
      <c r="R43" s="6">
        <f t="shared" si="40"/>
        <v>1.0179992763925805E-2</v>
      </c>
      <c r="S43" s="6">
        <f>R43+(S39-S41)/(S38-S40)</f>
        <v>9.8464479909492475E-3</v>
      </c>
      <c r="T43" s="6">
        <f t="shared" ref="T43:AM43" si="41">S43+(T39-T41)/(T38-T40)</f>
        <v>9.584012727780377E-3</v>
      </c>
      <c r="U43" s="6">
        <f t="shared" si="41"/>
        <v>9.3215774646115065E-3</v>
      </c>
      <c r="V43" s="6">
        <f t="shared" si="41"/>
        <v>9.0591422014426361E-3</v>
      </c>
      <c r="W43" s="6">
        <f t="shared" si="41"/>
        <v>8.7967069382737656E-3</v>
      </c>
      <c r="X43" s="6">
        <f t="shared" si="41"/>
        <v>8.5342716751048951E-3</v>
      </c>
      <c r="Y43" s="6">
        <f t="shared" si="41"/>
        <v>8.2916486282202904E-3</v>
      </c>
      <c r="Z43" s="6">
        <f t="shared" si="41"/>
        <v>8.0490255813356858E-3</v>
      </c>
      <c r="AA43" s="6">
        <f t="shared" si="41"/>
        <v>7.8064025344510811E-3</v>
      </c>
      <c r="AB43" s="6">
        <f t="shared" si="41"/>
        <v>7.5637794875664764E-3</v>
      </c>
      <c r="AC43" s="6">
        <f t="shared" si="41"/>
        <v>7.3211564406818717E-3</v>
      </c>
      <c r="AD43" s="6">
        <f t="shared" si="41"/>
        <v>7.0991110563013628E-3</v>
      </c>
      <c r="AE43" s="6">
        <f t="shared" si="41"/>
        <v>6.8770656719208539E-3</v>
      </c>
      <c r="AF43" s="6">
        <f t="shared" si="41"/>
        <v>6.655020287540345E-3</v>
      </c>
      <c r="AG43" s="6">
        <f t="shared" si="41"/>
        <v>6.4329749031598361E-3</v>
      </c>
      <c r="AH43" s="6">
        <f t="shared" si="41"/>
        <v>6.2109295187793272E-3</v>
      </c>
      <c r="AI43" s="6">
        <f t="shared" si="41"/>
        <v>5.9897116111574424E-3</v>
      </c>
      <c r="AJ43" s="6">
        <f t="shared" si="41"/>
        <v>5.7684937035355575E-3</v>
      </c>
      <c r="AK43" s="6">
        <f t="shared" si="41"/>
        <v>5.5472757959136726E-3</v>
      </c>
      <c r="AL43" s="6">
        <f t="shared" si="41"/>
        <v>5.3260578882917877E-3</v>
      </c>
      <c r="AM43" s="6">
        <f t="shared" si="41"/>
        <v>5.1048399806699028E-3</v>
      </c>
      <c r="AN43" s="6">
        <f t="shared" ref="AN43" si="42">AM43+(AN39-AN41)/(AN38-AN40)</f>
        <v>4.8809216994272174E-3</v>
      </c>
      <c r="AO43" s="6">
        <f t="shared" ref="AO43" si="43">AN43+(AO39-AO41)/(AO38-AO40)</f>
        <v>4.657003418184532E-3</v>
      </c>
      <c r="AP43" s="6">
        <f t="shared" ref="AP43" si="44">AO43+(AP39-AP41)/(AP38-AP40)</f>
        <v>4.4330851369418466E-3</v>
      </c>
    </row>
    <row r="46" spans="1:42" x14ac:dyDescent="0.25">
      <c r="A46" t="s">
        <v>51</v>
      </c>
      <c r="G46" t="s">
        <v>52</v>
      </c>
      <c r="K46" t="s">
        <v>48</v>
      </c>
      <c r="L46" s="5" t="s">
        <v>49</v>
      </c>
      <c r="S46" t="s">
        <v>50</v>
      </c>
    </row>
    <row r="47" spans="1:42" x14ac:dyDescent="0.25">
      <c r="A47" s="8">
        <v>2012</v>
      </c>
      <c r="B47" s="8">
        <f>A47+1</f>
        <v>2013</v>
      </c>
      <c r="C47" s="8">
        <f t="shared" ref="C47:F47" si="45">B47+1</f>
        <v>2014</v>
      </c>
      <c r="D47" s="8">
        <f t="shared" si="45"/>
        <v>2015</v>
      </c>
      <c r="E47" s="8">
        <f t="shared" si="45"/>
        <v>2016</v>
      </c>
      <c r="F47" s="8">
        <f t="shared" si="45"/>
        <v>2017</v>
      </c>
      <c r="G47" s="7">
        <v>2020</v>
      </c>
      <c r="H47" s="7">
        <v>2025</v>
      </c>
      <c r="I47" s="7">
        <v>2030</v>
      </c>
      <c r="J47" s="7">
        <v>2035</v>
      </c>
      <c r="K47" s="7">
        <v>2040</v>
      </c>
      <c r="L47" s="7">
        <v>2045</v>
      </c>
      <c r="M47" s="7">
        <v>2050</v>
      </c>
      <c r="N47" s="7">
        <v>2055</v>
      </c>
      <c r="O47" s="7">
        <v>2060</v>
      </c>
      <c r="P47" s="7">
        <v>2065</v>
      </c>
      <c r="Q47" s="7">
        <v>2070</v>
      </c>
    </row>
    <row r="48" spans="1:42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10">
        <v>59308.69</v>
      </c>
      <c r="H48" s="10">
        <v>62802.682000000001</v>
      </c>
      <c r="I48" s="10">
        <v>65956.09</v>
      </c>
      <c r="J48" s="10">
        <v>68818.975999999995</v>
      </c>
      <c r="K48" s="10">
        <v>71375.305999999997</v>
      </c>
      <c r="L48" s="10">
        <v>73619.546000000002</v>
      </c>
      <c r="M48" s="10">
        <v>75517.909</v>
      </c>
      <c r="N48" s="10">
        <v>77034.739000000001</v>
      </c>
      <c r="O48" s="10">
        <v>78172.047999999995</v>
      </c>
      <c r="P48" s="10">
        <v>78973.285999999993</v>
      </c>
      <c r="Q48" s="10">
        <v>79498.839000000007</v>
      </c>
    </row>
    <row r="49" spans="1:40" x14ac:dyDescent="0.25">
      <c r="B49" s="6">
        <f>B48/A48-1</f>
        <v>1.4886710600347186E-2</v>
      </c>
      <c r="C49" s="6">
        <f t="shared" ref="C49:F49" si="46">C48/B48-1</f>
        <v>1.5214924545611908E-2</v>
      </c>
      <c r="D49" s="6">
        <f t="shared" si="46"/>
        <v>1.5546076584524338E-2</v>
      </c>
      <c r="E49" s="6">
        <f t="shared" si="46"/>
        <v>1.5880204713440094E-2</v>
      </c>
      <c r="F49" s="6">
        <f t="shared" si="46"/>
        <v>1.6217341554197295E-2</v>
      </c>
      <c r="G49" s="6">
        <f>(G48/F48)^(1/3)-1</f>
        <v>1.6171639643029367E-2</v>
      </c>
      <c r="H49" s="6">
        <f>(H48/G48)^(1/5)-1</f>
        <v>1.1514171855832034E-2</v>
      </c>
      <c r="I49" s="6">
        <f t="shared" ref="I49:Q49" si="47">(I48/H48)^(1/5)-1</f>
        <v>9.8464479909492475E-3</v>
      </c>
      <c r="J49" s="6">
        <f t="shared" si="47"/>
        <v>8.5342716751048986E-3</v>
      </c>
      <c r="K49" s="6">
        <f t="shared" si="47"/>
        <v>7.3211564406818752E-3</v>
      </c>
      <c r="L49" s="6">
        <f t="shared" si="47"/>
        <v>6.210929518779329E-3</v>
      </c>
      <c r="M49" s="6">
        <f t="shared" si="47"/>
        <v>5.1048399806699063E-3</v>
      </c>
      <c r="N49" s="6">
        <f t="shared" si="47"/>
        <v>3.9852485744564792E-3</v>
      </c>
      <c r="O49" s="6">
        <f t="shared" si="47"/>
        <v>2.9354330188284816E-3</v>
      </c>
      <c r="P49" s="6">
        <f t="shared" si="47"/>
        <v>2.0415816324019787E-3</v>
      </c>
      <c r="Q49" s="6">
        <f t="shared" si="47"/>
        <v>1.3274351427250419E-3</v>
      </c>
    </row>
    <row r="50" spans="1:40" x14ac:dyDescent="0.25">
      <c r="G50" t="s">
        <v>149</v>
      </c>
      <c r="H50" s="9" t="e">
        <f t="shared" ref="H50:M50" si="48">INDEX($I$35:$AM$35,1,MATCH(H47,$I$34:$AM$34,0))</f>
        <v>#N/A</v>
      </c>
      <c r="I50" s="9">
        <f t="shared" si="48"/>
        <v>68525.074762177479</v>
      </c>
      <c r="J50" s="9">
        <f t="shared" si="48"/>
        <v>72178.572932855866</v>
      </c>
      <c r="K50" s="9">
        <f t="shared" si="48"/>
        <v>75481.33656472007</v>
      </c>
      <c r="L50" s="9">
        <f t="shared" si="48"/>
        <v>78446.460136387468</v>
      </c>
      <c r="M50" s="9">
        <f t="shared" si="48"/>
        <v>81063.414687793367</v>
      </c>
    </row>
    <row r="51" spans="1:40" x14ac:dyDescent="0.25">
      <c r="G51" t="s">
        <v>150</v>
      </c>
      <c r="H51" s="6" t="e">
        <f>H50/H48-1</f>
        <v>#N/A</v>
      </c>
      <c r="I51" s="6">
        <f t="shared" ref="I51:M51" si="49">I50/I48-1</f>
        <v>3.8949925051310341E-2</v>
      </c>
      <c r="J51" s="6">
        <f t="shared" si="49"/>
        <v>4.8817886114083775E-2</v>
      </c>
      <c r="K51" s="6">
        <f t="shared" si="49"/>
        <v>5.752732695422802E-2</v>
      </c>
      <c r="L51" s="6">
        <f t="shared" si="49"/>
        <v>6.556566019012755E-2</v>
      </c>
      <c r="M51" s="6">
        <f t="shared" si="49"/>
        <v>7.3432987767092062E-2</v>
      </c>
    </row>
    <row r="52" spans="1:40" ht="18" thickBot="1" x14ac:dyDescent="0.35">
      <c r="A52" s="4" t="s">
        <v>68</v>
      </c>
      <c r="B52" s="4"/>
      <c r="C52" s="4"/>
      <c r="D52" s="4"/>
      <c r="E52" s="4"/>
      <c r="F52" s="4"/>
      <c r="G52" s="4"/>
      <c r="H52" s="4"/>
      <c r="M52" s="9"/>
    </row>
    <row r="53" spans="1:40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40" x14ac:dyDescent="0.25">
      <c r="A54" s="3" t="s">
        <v>54</v>
      </c>
      <c r="B54" s="12">
        <f>IF($C$3="CGE",GDP_CGE!B28,GDP_Simple!I35)</f>
        <v>0.5</v>
      </c>
      <c r="C54" s="12">
        <f>IF($C$3="CGE",GDP_CGE!C28,GDP_Simple!J35)</f>
        <v>0.51400000000000001</v>
      </c>
      <c r="D54" s="12">
        <f>IF($C$3="CGE",GDP_CGE!D28,GDP_Simple!K35)</f>
        <v>0.52100000000000002</v>
      </c>
      <c r="E54" s="12">
        <f>IF($C$3="CGE",GDP_CGE!E28,GDP_Simple!L35)</f>
        <v>0.50900000000000001</v>
      </c>
      <c r="F54" s="12">
        <f>IF($C$3="CGE",GDP_CGE!F28,GDP_Simple!M35)</f>
        <v>0.5</v>
      </c>
      <c r="G54" s="12">
        <f>IF($C$3="CGE",GDP_CGE!G28,GDP_Simple!N35)</f>
        <v>0.49099999999999999</v>
      </c>
      <c r="H54" s="12">
        <f>IF($C$3="CGE",GDP_CGE!H28,GDP_Simple!O35)</f>
        <v>0.48199999999999998</v>
      </c>
      <c r="I54" s="12">
        <f>IF($C$3="CGE",GDP_CGE!I28,GDP_Simple!P35)</f>
        <v>0.47499999999999998</v>
      </c>
      <c r="J54" s="12">
        <f>IF($C$3="CGE",GDP_CGE!J28,GDP_Simple!Q35)</f>
        <v>0.46800000000000003</v>
      </c>
      <c r="K54" s="12">
        <f>IF($C$3="CGE",GDP_CGE!K28,GDP_Simple!R35)</f>
        <v>0.46400000000000002</v>
      </c>
      <c r="L54" s="12">
        <f>IF($C$3="CGE",GDP_CGE!L28,GDP_Simple!S35)</f>
        <v>0.45700000000000002</v>
      </c>
      <c r="M54" s="12">
        <f>IF($C$3="CGE",GDP_CGE!M28,GDP_Simple!T35)</f>
        <v>0.44900000000000001</v>
      </c>
      <c r="N54" s="12">
        <f>IF($C$3="CGE",GDP_CGE!N28,GDP_Simple!U35)</f>
        <v>0.439</v>
      </c>
      <c r="O54" s="12">
        <f>IF($C$3="CGE",GDP_CGE!O28,GDP_Simple!V35)</f>
        <v>0.42799999999999999</v>
      </c>
      <c r="P54" s="12">
        <f>IF($C$3="CGE",GDP_CGE!P28,GDP_Simple!W35)</f>
        <v>0.41699999999999998</v>
      </c>
      <c r="Q54" s="12">
        <f>IF($C$3="CGE",GDP_CGE!Q28,GDP_Simple!X35)</f>
        <v>0.40500000000000003</v>
      </c>
      <c r="R54" s="12">
        <f>IF($C$3="CGE",GDP_CGE!R28,GDP_Simple!Y35)</f>
        <v>0.39600000000000002</v>
      </c>
      <c r="S54" s="12">
        <f>IF($C$3="CGE",GDP_CGE!S28,GDP_Simple!Z35)</f>
        <v>0.39100000000000001</v>
      </c>
      <c r="T54" s="12">
        <f>IF($C$3="CGE",GDP_CGE!T28,GDP_Simple!AA35)</f>
        <v>0.38400000000000001</v>
      </c>
      <c r="U54" s="12">
        <f>IF($C$3="CGE",GDP_CGE!U28,GDP_Simple!AB35)</f>
        <v>0.377</v>
      </c>
      <c r="V54" s="12">
        <f>IF($C$3="CGE",GDP_CGE!V28,GDP_Simple!AC35)</f>
        <v>0.36799999999999999</v>
      </c>
      <c r="W54" s="12">
        <f>IF($C$3="CGE",GDP_CGE!W28,GDP_Simple!AD35)</f>
        <v>0.35899999999999999</v>
      </c>
      <c r="X54" s="12">
        <f>IF($C$3="CGE",GDP_CGE!X28,GDP_Simple!AE35)</f>
        <v>0.35199999999999998</v>
      </c>
      <c r="Y54" s="12">
        <f>IF($C$3="CGE",GDP_CGE!Y28,GDP_Simple!AF35)</f>
        <v>0.34399999999999997</v>
      </c>
      <c r="Z54" s="12">
        <f>IF($C$3="CGE",GDP_CGE!Z28,GDP_Simple!AG35)</f>
        <v>0.33600000000000002</v>
      </c>
      <c r="AA54" s="12">
        <f>IF($C$3="CGE",GDP_CGE!AA28,GDP_Simple!AH35)</f>
        <v>0.32800000000000001</v>
      </c>
      <c r="AB54" s="12">
        <f>IF($C$3="CGE",GDP_CGE!AB28,GDP_Simple!AI35)</f>
        <v>0.32</v>
      </c>
      <c r="AC54" s="12">
        <f>IF($C$3="CGE",GDP_CGE!AC28,GDP_Simple!AJ35)</f>
        <v>0.312</v>
      </c>
      <c r="AD54" s="12">
        <f>IF($C$3="CGE",GDP_CGE!AD28,GDP_Simple!AK35)</f>
        <v>0.30599999999999999</v>
      </c>
      <c r="AE54" s="12">
        <f>IF($C$3="CGE",GDP_CGE!AE28,GDP_Simple!AL35)</f>
        <v>0.30299999999999999</v>
      </c>
      <c r="AF54" s="12">
        <f>IF($C$3="CGE",GDP_CGE!AF28,GDP_Simple!AM35)</f>
        <v>0.3</v>
      </c>
      <c r="AG54" s="12">
        <f>IF($C$3="CGE",GDP_CGE!AG28,GDP_Simple!AN35)</f>
        <v>0.29599999999999999</v>
      </c>
    </row>
    <row r="55" spans="1:40" x14ac:dyDescent="0.25">
      <c r="A55" s="3" t="s">
        <v>55</v>
      </c>
      <c r="B55" s="12">
        <f>IF($C$3="CGE",GDP_CGE!B29,GDP_Simple!I36)</f>
        <v>0.3</v>
      </c>
      <c r="C55" s="12">
        <f>IF($C$3="CGE",GDP_CGE!C29,GDP_Simple!J36)</f>
        <v>0.28599999999999998</v>
      </c>
      <c r="D55" s="12">
        <f>IF($C$3="CGE",GDP_CGE!D29,GDP_Simple!K36)</f>
        <v>0.27900000000000003</v>
      </c>
      <c r="E55" s="12">
        <f>IF($C$3="CGE",GDP_CGE!E29,GDP_Simple!L36)</f>
        <v>0.29099999999999998</v>
      </c>
      <c r="F55" s="12">
        <f>IF($C$3="CGE",GDP_CGE!F29,GDP_Simple!M36)</f>
        <v>0.29899999999999999</v>
      </c>
      <c r="G55" s="12">
        <f>IF($C$3="CGE",GDP_CGE!G29,GDP_Simple!N36)</f>
        <v>0.30199999999999999</v>
      </c>
      <c r="H55" s="12">
        <f>IF($C$3="CGE",GDP_CGE!H29,GDP_Simple!O36)</f>
        <v>0.30499999999999999</v>
      </c>
      <c r="I55" s="12">
        <f>IF($C$3="CGE",GDP_CGE!I29,GDP_Simple!P36)</f>
        <v>0.307</v>
      </c>
      <c r="J55" s="12">
        <f>IF($C$3="CGE",GDP_CGE!J29,GDP_Simple!Q36)</f>
        <v>0.31</v>
      </c>
      <c r="K55" s="12">
        <f>IF($C$3="CGE",GDP_CGE!K29,GDP_Simple!R36)</f>
        <v>0.312</v>
      </c>
      <c r="L55" s="12">
        <f>IF($C$3="CGE",GDP_CGE!L29,GDP_Simple!S36)</f>
        <v>0.313</v>
      </c>
      <c r="M55" s="12">
        <f>IF($C$3="CGE",GDP_CGE!M29,GDP_Simple!T36)</f>
        <v>0.316</v>
      </c>
      <c r="N55" s="12">
        <f>IF($C$3="CGE",GDP_CGE!N29,GDP_Simple!U36)</f>
        <v>0.318</v>
      </c>
      <c r="O55" s="12">
        <f>IF($C$3="CGE",GDP_CGE!O29,GDP_Simple!V36)</f>
        <v>0.32</v>
      </c>
      <c r="P55" s="12">
        <f>IF($C$3="CGE",GDP_CGE!P29,GDP_Simple!W36)</f>
        <v>0.32300000000000001</v>
      </c>
      <c r="Q55" s="12">
        <f>IF($C$3="CGE",GDP_CGE!Q29,GDP_Simple!X36)</f>
        <v>0.32600000000000001</v>
      </c>
      <c r="R55" s="12">
        <f>IF($C$3="CGE",GDP_CGE!R29,GDP_Simple!Y36)</f>
        <v>0.33</v>
      </c>
      <c r="S55" s="12">
        <f>IF($C$3="CGE",GDP_CGE!S29,GDP_Simple!Z36)</f>
        <v>0.33200000000000002</v>
      </c>
      <c r="T55" s="12">
        <f>IF($C$3="CGE",GDP_CGE!T29,GDP_Simple!AA36)</f>
        <v>0.33400000000000002</v>
      </c>
      <c r="U55" s="12">
        <f>IF($C$3="CGE",GDP_CGE!U29,GDP_Simple!AB36)</f>
        <v>0.33700000000000002</v>
      </c>
      <c r="V55" s="12">
        <f>IF($C$3="CGE",GDP_CGE!V29,GDP_Simple!AC36)</f>
        <v>0.33700000000000002</v>
      </c>
      <c r="W55" s="12">
        <f>IF($C$3="CGE",GDP_CGE!W29,GDP_Simple!AD36)</f>
        <v>0.34100000000000003</v>
      </c>
      <c r="X55" s="12">
        <f>IF($C$3="CGE",GDP_CGE!X29,GDP_Simple!AE36)</f>
        <v>0.34300000000000003</v>
      </c>
      <c r="Y55" s="12">
        <f>IF($C$3="CGE",GDP_CGE!Y29,GDP_Simple!AF36)</f>
        <v>0.34499999999999997</v>
      </c>
      <c r="Z55" s="12">
        <f>IF($C$3="CGE",GDP_CGE!Z29,GDP_Simple!AG36)</f>
        <v>0.34699999999999998</v>
      </c>
      <c r="AA55" s="12">
        <f>IF($C$3="CGE",GDP_CGE!AA29,GDP_Simple!AH36)</f>
        <v>0.34799999999999998</v>
      </c>
      <c r="AB55" s="12">
        <f>IF($C$3="CGE",GDP_CGE!AB29,GDP_Simple!AI36)</f>
        <v>0.35</v>
      </c>
      <c r="AC55" s="12">
        <f>IF($C$3="CGE",GDP_CGE!AC29,GDP_Simple!AJ36)</f>
        <v>0.35199999999999998</v>
      </c>
      <c r="AD55" s="12">
        <f>IF($C$3="CGE",GDP_CGE!AD29,GDP_Simple!AK36)</f>
        <v>0.35499999999999998</v>
      </c>
      <c r="AE55" s="12">
        <f>IF($C$3="CGE",GDP_CGE!AE29,GDP_Simple!AL36)</f>
        <v>0.35599999999999998</v>
      </c>
      <c r="AF55" s="12">
        <f>IF($C$3="CGE",GDP_CGE!AF29,GDP_Simple!AM36)</f>
        <v>0.35799999999999998</v>
      </c>
      <c r="AG55" s="12">
        <f>IF($C$3="CGE",GDP_CGE!AG29,GDP_Simple!AN36)</f>
        <v>0.35899999999999999</v>
      </c>
    </row>
    <row r="56" spans="1:40" x14ac:dyDescent="0.25">
      <c r="A56" s="3" t="s">
        <v>56</v>
      </c>
      <c r="B56" s="12">
        <f>IF($C$3="CGE",GDP_CGE!B30,GDP_Simple!I37)</f>
        <v>0.2</v>
      </c>
      <c r="C56" s="12">
        <f>IF($C$3="CGE",GDP_CGE!C30,GDP_Simple!J37)</f>
        <v>0.2</v>
      </c>
      <c r="D56" s="12">
        <f>IF($C$3="CGE",GDP_CGE!D30,GDP_Simple!K37)</f>
        <v>0.2</v>
      </c>
      <c r="E56" s="12">
        <f>IF($C$3="CGE",GDP_CGE!E30,GDP_Simple!L37)</f>
        <v>0.2</v>
      </c>
      <c r="F56" s="12">
        <f>IF($C$3="CGE",GDP_CGE!F30,GDP_Simple!M37)</f>
        <v>0.20100000000000001</v>
      </c>
      <c r="G56" s="12">
        <f>IF($C$3="CGE",GDP_CGE!G30,GDP_Simple!N37)</f>
        <v>0.20699999999999999</v>
      </c>
      <c r="H56" s="12">
        <f>IF($C$3="CGE",GDP_CGE!H30,GDP_Simple!O37)</f>
        <v>0.21299999999999999</v>
      </c>
      <c r="I56" s="12">
        <f>IF($C$3="CGE",GDP_CGE!I30,GDP_Simple!P37)</f>
        <v>0.218</v>
      </c>
      <c r="J56" s="12">
        <f>IF($C$3="CGE",GDP_CGE!J30,GDP_Simple!Q37)</f>
        <v>0.222</v>
      </c>
      <c r="K56" s="12">
        <f>IF($C$3="CGE",GDP_CGE!K30,GDP_Simple!R37)</f>
        <v>0.224</v>
      </c>
      <c r="L56" s="12">
        <f>IF($C$3="CGE",GDP_CGE!L30,GDP_Simple!S37)</f>
        <v>0.23</v>
      </c>
      <c r="M56" s="12">
        <f>IF($C$3="CGE",GDP_CGE!M30,GDP_Simple!T37)</f>
        <v>0.23599999999999999</v>
      </c>
      <c r="N56" s="12">
        <f>IF($C$3="CGE",GDP_CGE!N30,GDP_Simple!U37)</f>
        <v>0.24399999999999999</v>
      </c>
      <c r="O56" s="12">
        <f>IF($C$3="CGE",GDP_CGE!O30,GDP_Simple!V37)</f>
        <v>0.251</v>
      </c>
      <c r="P56" s="12">
        <f>IF($C$3="CGE",GDP_CGE!P30,GDP_Simple!W37)</f>
        <v>0.26</v>
      </c>
      <c r="Q56" s="12">
        <f>IF($C$3="CGE",GDP_CGE!Q30,GDP_Simple!X37)</f>
        <v>0.26900000000000002</v>
      </c>
      <c r="R56" s="12">
        <f>IF($C$3="CGE",GDP_CGE!R30,GDP_Simple!Y37)</f>
        <v>0.27400000000000002</v>
      </c>
      <c r="S56" s="12">
        <f>IF($C$3="CGE",GDP_CGE!S30,GDP_Simple!Z37)</f>
        <v>0.27700000000000002</v>
      </c>
      <c r="T56" s="12">
        <f>IF($C$3="CGE",GDP_CGE!T30,GDP_Simple!AA37)</f>
        <v>0.28199999999999997</v>
      </c>
      <c r="U56" s="12">
        <f>IF($C$3="CGE",GDP_CGE!U30,GDP_Simple!AB37)</f>
        <v>0.28699999999999998</v>
      </c>
      <c r="V56" s="12">
        <f>IF($C$3="CGE",GDP_CGE!V30,GDP_Simple!AC37)</f>
        <v>0.29399999999999998</v>
      </c>
      <c r="W56" s="12">
        <f>IF($C$3="CGE",GDP_CGE!W30,GDP_Simple!AD37)</f>
        <v>0.29899999999999999</v>
      </c>
      <c r="X56" s="12">
        <f>IF($C$3="CGE",GDP_CGE!X30,GDP_Simple!AE37)</f>
        <v>0.30599999999999999</v>
      </c>
      <c r="Y56" s="12">
        <f>IF($C$3="CGE",GDP_CGE!Y30,GDP_Simple!AF37)</f>
        <v>0.312</v>
      </c>
      <c r="Z56" s="12">
        <f>IF($C$3="CGE",GDP_CGE!Z30,GDP_Simple!AG37)</f>
        <v>0.318</v>
      </c>
      <c r="AA56" s="12">
        <f>IF($C$3="CGE",GDP_CGE!AA30,GDP_Simple!AH37)</f>
        <v>0.32400000000000001</v>
      </c>
      <c r="AB56" s="12">
        <f>IF($C$3="CGE",GDP_CGE!AB30,GDP_Simple!AI37)</f>
        <v>0.33</v>
      </c>
      <c r="AC56" s="12">
        <f>IF($C$3="CGE",GDP_CGE!AC30,GDP_Simple!AJ37)</f>
        <v>0.33600000000000002</v>
      </c>
      <c r="AD56" s="12">
        <f>IF($C$3="CGE",GDP_CGE!AD30,GDP_Simple!AK37)</f>
        <v>0.33900000000000002</v>
      </c>
      <c r="AE56" s="12">
        <f>IF($C$3="CGE",GDP_CGE!AE30,GDP_Simple!AL37)</f>
        <v>0.34100000000000003</v>
      </c>
      <c r="AF56" s="12">
        <f>IF($C$3="CGE",GDP_CGE!AF30,GDP_Simple!AM37)</f>
        <v>0.34300000000000003</v>
      </c>
      <c r="AG56" s="12">
        <f>IF($C$3="CGE",GDP_CGE!AG30,GDP_Simple!AN37)</f>
        <v>0.34499999999999997</v>
      </c>
    </row>
    <row r="57" spans="1:40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40" ht="18" thickBot="1" x14ac:dyDescent="0.35">
      <c r="A59" s="4" t="s">
        <v>69</v>
      </c>
      <c r="B59" s="4"/>
      <c r="C59" s="4"/>
      <c r="D59" s="4"/>
      <c r="E59" s="4"/>
      <c r="F59" s="4"/>
      <c r="G59" s="4"/>
      <c r="H59" s="4"/>
    </row>
    <row r="60" spans="1:40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40" x14ac:dyDescent="0.25">
      <c r="A61" s="12">
        <f>IF($C$3="CGE",GDP_CGE!A35,GDP_Simple!H42)</f>
        <v>0.36699999999999999</v>
      </c>
      <c r="B61" s="12">
        <f>IF($C$3="CGE",GDP_CGE!B35,GDP_Simple!I42)</f>
        <v>0.34200000000000003</v>
      </c>
      <c r="C61" s="12">
        <f>IF($C$3="CGE",GDP_CGE!C35,GDP_Simple!J42)</f>
        <v>0.41299999999999998</v>
      </c>
      <c r="D61" s="12">
        <f>IF($C$3="CGE",GDP_CGE!D35,GDP_Simple!K42)</f>
        <v>0.36099999999999999</v>
      </c>
      <c r="E61" s="12">
        <f>IF($C$3="CGE",GDP_CGE!E35,GDP_Simple!L42)</f>
        <v>0.42599999999999999</v>
      </c>
      <c r="F61" s="12">
        <f>IF($C$3="CGE",GDP_CGE!F35,GDP_Simple!M42)</f>
        <v>0.432</v>
      </c>
      <c r="G61" s="12">
        <f>IF($C$3="CGE",GDP_CGE!G35,GDP_Simple!N42)</f>
        <v>0.438</v>
      </c>
      <c r="H61" s="12">
        <f>IF($C$3="CGE",GDP_CGE!H35,GDP_Simple!O42)</f>
        <v>0.442</v>
      </c>
      <c r="I61" s="12">
        <f>IF($C$3="CGE",GDP_CGE!I35,GDP_Simple!P42)</f>
        <v>0.44700000000000001</v>
      </c>
      <c r="J61" s="12">
        <f>IF($C$3="CGE",GDP_CGE!J35,GDP_Simple!Q42)</f>
        <v>0.44800000000000001</v>
      </c>
      <c r="K61" s="12">
        <f>IF($C$3="CGE",GDP_CGE!K35,GDP_Simple!R42)</f>
        <v>0.45600000000000002</v>
      </c>
      <c r="L61" s="12">
        <f>IF($C$3="CGE",GDP_CGE!L35,GDP_Simple!S42)</f>
        <v>0.46300000000000002</v>
      </c>
      <c r="M61" s="12">
        <f>IF($C$3="CGE",GDP_CGE!M35,GDP_Simple!T42)</f>
        <v>0.47299999999999998</v>
      </c>
      <c r="N61" s="12">
        <f>IF($C$3="CGE",GDP_CGE!N35,GDP_Simple!U42)</f>
        <v>0.48299999999999998</v>
      </c>
      <c r="O61" s="12">
        <f>IF($C$3="CGE",GDP_CGE!O35,GDP_Simple!V42)</f>
        <v>0.496</v>
      </c>
      <c r="P61" s="12">
        <f>IF($C$3="CGE",GDP_CGE!P35,GDP_Simple!W42)</f>
        <v>0.50900000000000001</v>
      </c>
      <c r="Q61" s="12">
        <f>IF($C$3="CGE",GDP_CGE!Q35,GDP_Simple!X42)</f>
        <v>0.51400000000000001</v>
      </c>
      <c r="R61" s="12">
        <f>IF($C$3="CGE",GDP_CGE!R35,GDP_Simple!Y42)</f>
        <v>0.51800000000000002</v>
      </c>
      <c r="S61" s="12">
        <f>IF($C$3="CGE",GDP_CGE!S35,GDP_Simple!Z42)</f>
        <v>0.52500000000000002</v>
      </c>
      <c r="T61" s="12">
        <f>IF($C$3="CGE",GDP_CGE!T35,GDP_Simple!AA42)</f>
        <v>0.53300000000000003</v>
      </c>
      <c r="U61" s="12">
        <f>IF($C$3="CGE",GDP_CGE!U35,GDP_Simple!AB42)</f>
        <v>0.54800000000000004</v>
      </c>
      <c r="V61" s="12">
        <f>IF($C$3="CGE",GDP_CGE!V35,GDP_Simple!AC42)</f>
        <v>0.55400000000000005</v>
      </c>
      <c r="W61" s="12">
        <f>IF($C$3="CGE",GDP_CGE!W35,GDP_Simple!AD42)</f>
        <v>0.623</v>
      </c>
      <c r="X61" s="12">
        <f>IF($C$3="CGE",GDP_CGE!X35,GDP_Simple!AE42)</f>
        <v>0.63500000000000001</v>
      </c>
      <c r="Y61" s="12">
        <f>IF($C$3="CGE",GDP_CGE!Y35,GDP_Simple!AF42)</f>
        <v>0.64800000000000002</v>
      </c>
      <c r="Z61" s="12">
        <f>IF($C$3="CGE",GDP_CGE!Z35,GDP_Simple!AG42)</f>
        <v>0.66100000000000003</v>
      </c>
      <c r="AA61" s="12">
        <f>IF($C$3="CGE",GDP_CGE!AA35,GDP_Simple!AH42)</f>
        <v>0.67600000000000005</v>
      </c>
      <c r="AB61" s="12">
        <f>IF($C$3="CGE",GDP_CGE!AB35,GDP_Simple!AI42)</f>
        <v>0.69099999999999995</v>
      </c>
      <c r="AC61" s="12">
        <f>IF($C$3="CGE",GDP_CGE!AC35,GDP_Simple!AJ42)</f>
        <v>0.69499999999999995</v>
      </c>
      <c r="AD61" s="12">
        <f>IF($C$3="CGE",GDP_CGE!AD35,GDP_Simple!AK42)</f>
        <v>0.69799999999999995</v>
      </c>
      <c r="AE61" s="12">
        <f>IF($C$3="CGE",GDP_CGE!AE35,GDP_Simple!AL42)</f>
        <v>0.70199999999999996</v>
      </c>
      <c r="AF61" s="12">
        <f>IF($C$3="CGE",GDP_CGE!AF35,GDP_Simple!AM42)</f>
        <v>0.70599999999999996</v>
      </c>
      <c r="AN61" s="12"/>
    </row>
    <row r="64" spans="1:40" ht="18" thickBot="1" x14ac:dyDescent="0.35">
      <c r="A64" s="4" t="s">
        <v>70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99</v>
      </c>
      <c r="D65" s="3" t="s">
        <v>100</v>
      </c>
      <c r="E65" s="3" t="s">
        <v>101</v>
      </c>
      <c r="F65" s="3" t="s">
        <v>102</v>
      </c>
      <c r="G65" s="3" t="s">
        <v>103</v>
      </c>
      <c r="H65" s="3" t="s">
        <v>104</v>
      </c>
      <c r="I65" s="3" t="s">
        <v>105</v>
      </c>
      <c r="J65" s="3" t="s">
        <v>106</v>
      </c>
      <c r="K65" s="3" t="s">
        <v>107</v>
      </c>
      <c r="L65" s="3" t="s">
        <v>108</v>
      </c>
      <c r="M65" s="3" t="s">
        <v>109</v>
      </c>
      <c r="N65" s="3" t="s">
        <v>110</v>
      </c>
      <c r="O65" s="3" t="s">
        <v>111</v>
      </c>
      <c r="P65" s="3" t="s">
        <v>112</v>
      </c>
      <c r="Q65" s="3" t="s">
        <v>113</v>
      </c>
      <c r="R65" s="3" t="s">
        <v>114</v>
      </c>
      <c r="S65" s="3" t="s">
        <v>115</v>
      </c>
      <c r="T65" s="3" t="s">
        <v>116</v>
      </c>
      <c r="U65" s="3" t="s">
        <v>117</v>
      </c>
      <c r="V65" s="3" t="s">
        <v>118</v>
      </c>
      <c r="W65" s="3" t="s">
        <v>119</v>
      </c>
      <c r="X65" s="3" t="s">
        <v>120</v>
      </c>
      <c r="Y65" s="3" t="s">
        <v>121</v>
      </c>
      <c r="Z65" s="3" t="s">
        <v>122</v>
      </c>
      <c r="AA65" s="3" t="s">
        <v>123</v>
      </c>
      <c r="AB65" s="3" t="s">
        <v>124</v>
      </c>
      <c r="AC65" s="3" t="s">
        <v>125</v>
      </c>
      <c r="AD65" s="3" t="s">
        <v>126</v>
      </c>
      <c r="AE65" s="3" t="s">
        <v>127</v>
      </c>
      <c r="AF65" s="3" t="s">
        <v>128</v>
      </c>
      <c r="AG65" s="3" t="s">
        <v>129</v>
      </c>
      <c r="AH65" s="3" t="s">
        <v>130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54</v>
      </c>
      <c r="B66" s="3" t="s">
        <v>57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  <c r="AA66" t="s">
        <v>58</v>
      </c>
      <c r="AB66" t="s">
        <v>58</v>
      </c>
      <c r="AC66" t="s">
        <v>58</v>
      </c>
      <c r="AD66" t="s">
        <v>58</v>
      </c>
      <c r="AE66" t="s">
        <v>58</v>
      </c>
      <c r="AF66" t="s">
        <v>58</v>
      </c>
      <c r="AG66" t="s">
        <v>58</v>
      </c>
      <c r="AH66" t="s">
        <v>58</v>
      </c>
    </row>
    <row r="67" spans="1:42" x14ac:dyDescent="0.25">
      <c r="A67" s="3" t="s">
        <v>54</v>
      </c>
      <c r="B67" s="3" t="s">
        <v>59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  <c r="S67" t="s">
        <v>58</v>
      </c>
      <c r="T67" t="s">
        <v>58</v>
      </c>
      <c r="U67" t="s">
        <v>58</v>
      </c>
      <c r="V67" t="s">
        <v>58</v>
      </c>
      <c r="W67" t="s">
        <v>58</v>
      </c>
      <c r="X67" t="s">
        <v>58</v>
      </c>
      <c r="Y67" t="s">
        <v>58</v>
      </c>
      <c r="Z67" t="s">
        <v>58</v>
      </c>
      <c r="AA67" t="s">
        <v>58</v>
      </c>
      <c r="AB67" t="s">
        <v>58</v>
      </c>
      <c r="AC67" t="s">
        <v>58</v>
      </c>
      <c r="AD67" t="s">
        <v>58</v>
      </c>
      <c r="AE67" t="s">
        <v>58</v>
      </c>
      <c r="AF67" t="s">
        <v>58</v>
      </c>
      <c r="AG67" t="s">
        <v>58</v>
      </c>
      <c r="AH67" t="s">
        <v>58</v>
      </c>
    </row>
    <row r="68" spans="1:42" x14ac:dyDescent="0.25">
      <c r="A68" s="3" t="s">
        <v>54</v>
      </c>
      <c r="B68" s="3" t="s">
        <v>60</v>
      </c>
      <c r="C68" t="s">
        <v>58</v>
      </c>
      <c r="D68" t="s">
        <v>58</v>
      </c>
      <c r="E68" t="s">
        <v>58</v>
      </c>
      <c r="F68" t="s">
        <v>58</v>
      </c>
      <c r="G68" t="s">
        <v>58</v>
      </c>
      <c r="H68" t="s">
        <v>58</v>
      </c>
      <c r="I68" t="s">
        <v>58</v>
      </c>
      <c r="J68" t="s">
        <v>58</v>
      </c>
      <c r="K68" t="s">
        <v>58</v>
      </c>
      <c r="L68" t="s">
        <v>58</v>
      </c>
      <c r="M68" t="s">
        <v>58</v>
      </c>
      <c r="N68" t="s">
        <v>58</v>
      </c>
      <c r="O68" t="s">
        <v>58</v>
      </c>
      <c r="P68" t="s">
        <v>58</v>
      </c>
      <c r="Q68" t="s">
        <v>58</v>
      </c>
      <c r="R68" t="s">
        <v>58</v>
      </c>
      <c r="S68" t="s">
        <v>58</v>
      </c>
      <c r="T68" t="s">
        <v>58</v>
      </c>
      <c r="U68" t="s">
        <v>58</v>
      </c>
      <c r="V68" t="s">
        <v>58</v>
      </c>
      <c r="W68" t="s">
        <v>58</v>
      </c>
      <c r="X68" t="s">
        <v>58</v>
      </c>
      <c r="Y68" t="s">
        <v>58</v>
      </c>
      <c r="Z68" t="s">
        <v>58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</row>
    <row r="69" spans="1:42" x14ac:dyDescent="0.25">
      <c r="A69" s="3" t="s">
        <v>54</v>
      </c>
      <c r="B69" s="3" t="s">
        <v>61</v>
      </c>
      <c r="C69" t="s">
        <v>58</v>
      </c>
      <c r="D69" t="s">
        <v>58</v>
      </c>
      <c r="E69" t="s">
        <v>58</v>
      </c>
      <c r="F69" t="s">
        <v>58</v>
      </c>
      <c r="G69" t="s">
        <v>58</v>
      </c>
      <c r="H69" t="s">
        <v>58</v>
      </c>
      <c r="I69" t="s">
        <v>58</v>
      </c>
      <c r="J69" t="s">
        <v>58</v>
      </c>
      <c r="K69" t="s">
        <v>58</v>
      </c>
      <c r="L69" t="s">
        <v>58</v>
      </c>
      <c r="M69" t="s">
        <v>58</v>
      </c>
      <c r="N69" t="s">
        <v>58</v>
      </c>
      <c r="O69" t="s">
        <v>58</v>
      </c>
      <c r="P69" t="s">
        <v>58</v>
      </c>
      <c r="Q69" t="s">
        <v>58</v>
      </c>
      <c r="R69" t="s">
        <v>58</v>
      </c>
    </row>
    <row r="70" spans="1:42" x14ac:dyDescent="0.25">
      <c r="A70" s="3" t="s">
        <v>54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</row>
    <row r="71" spans="1:42" x14ac:dyDescent="0.25">
      <c r="A71" s="3" t="s">
        <v>55</v>
      </c>
      <c r="B71" s="3" t="s">
        <v>60</v>
      </c>
      <c r="AG71" t="s">
        <v>58</v>
      </c>
      <c r="AH71" t="s">
        <v>58</v>
      </c>
    </row>
    <row r="72" spans="1:42" x14ac:dyDescent="0.25">
      <c r="A72" s="3" t="s">
        <v>55</v>
      </c>
      <c r="B72" s="3" t="s">
        <v>61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  <c r="AH72" t="s">
        <v>58</v>
      </c>
    </row>
    <row r="73" spans="1:42" x14ac:dyDescent="0.25">
      <c r="A73" s="3" t="s">
        <v>55</v>
      </c>
      <c r="B73" s="3" t="s">
        <v>62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  <c r="U73" t="s">
        <v>58</v>
      </c>
      <c r="V73" t="s">
        <v>58</v>
      </c>
      <c r="W73" t="s">
        <v>58</v>
      </c>
      <c r="X73" t="s">
        <v>58</v>
      </c>
      <c r="Y73" t="s">
        <v>58</v>
      </c>
      <c r="Z73" t="s">
        <v>58</v>
      </c>
      <c r="AA73" t="s">
        <v>58</v>
      </c>
      <c r="AB73" t="s">
        <v>58</v>
      </c>
      <c r="AC73" t="s">
        <v>58</v>
      </c>
      <c r="AD73" t="s">
        <v>58</v>
      </c>
      <c r="AE73" t="s">
        <v>58</v>
      </c>
      <c r="AF73" t="s">
        <v>58</v>
      </c>
      <c r="AG73" t="s">
        <v>58</v>
      </c>
      <c r="AH73" t="s">
        <v>58</v>
      </c>
    </row>
    <row r="74" spans="1:42" x14ac:dyDescent="0.25">
      <c r="A74" s="3" t="s">
        <v>55</v>
      </c>
      <c r="B74" s="3" t="s">
        <v>63</v>
      </c>
      <c r="C74" t="s">
        <v>58</v>
      </c>
      <c r="D74" t="s">
        <v>58</v>
      </c>
      <c r="E74" t="s">
        <v>58</v>
      </c>
      <c r="F74" t="s">
        <v>58</v>
      </c>
      <c r="G74" t="s">
        <v>58</v>
      </c>
      <c r="H74" t="s">
        <v>58</v>
      </c>
      <c r="I74" t="s">
        <v>58</v>
      </c>
      <c r="J74" t="s">
        <v>58</v>
      </c>
      <c r="K74" t="s">
        <v>58</v>
      </c>
      <c r="L74" t="s">
        <v>58</v>
      </c>
      <c r="M74" t="s">
        <v>58</v>
      </c>
      <c r="N74" t="s">
        <v>58</v>
      </c>
      <c r="O74" t="s">
        <v>58</v>
      </c>
      <c r="P74" t="s">
        <v>58</v>
      </c>
      <c r="Q74" t="s">
        <v>58</v>
      </c>
      <c r="R74" t="s">
        <v>58</v>
      </c>
      <c r="S74" t="s">
        <v>58</v>
      </c>
      <c r="T74" t="s">
        <v>58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</row>
    <row r="75" spans="1:42" x14ac:dyDescent="0.25">
      <c r="A75" s="3" t="s">
        <v>55</v>
      </c>
      <c r="B75" s="3" t="s">
        <v>64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</row>
    <row r="76" spans="1:42" x14ac:dyDescent="0.25">
      <c r="A76" s="3" t="s">
        <v>55</v>
      </c>
      <c r="B76" s="3" t="s">
        <v>65</v>
      </c>
      <c r="C76" t="s">
        <v>58</v>
      </c>
      <c r="D76" t="s">
        <v>58</v>
      </c>
      <c r="F76" t="s">
        <v>58</v>
      </c>
    </row>
    <row r="77" spans="1:42" x14ac:dyDescent="0.25">
      <c r="A77" s="3" t="s">
        <v>56</v>
      </c>
      <c r="B77" s="3" t="s">
        <v>64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</row>
    <row r="78" spans="1:42" x14ac:dyDescent="0.25">
      <c r="A78" s="3" t="s">
        <v>56</v>
      </c>
      <c r="B78" s="3" t="s">
        <v>65</v>
      </c>
      <c r="E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</row>
    <row r="79" spans="1:42" x14ac:dyDescent="0.25">
      <c r="A79" s="3" t="s">
        <v>56</v>
      </c>
      <c r="B79" s="3" t="s">
        <v>66</v>
      </c>
      <c r="C79" t="s">
        <v>58</v>
      </c>
      <c r="D79" t="s">
        <v>58</v>
      </c>
      <c r="E79" t="s">
        <v>58</v>
      </c>
      <c r="F79" t="s">
        <v>58</v>
      </c>
      <c r="G79" t="s">
        <v>58</v>
      </c>
      <c r="H79" t="s">
        <v>58</v>
      </c>
      <c r="I79" t="s">
        <v>58</v>
      </c>
      <c r="J79" t="s">
        <v>58</v>
      </c>
      <c r="K79" t="s">
        <v>58</v>
      </c>
      <c r="L79" t="s">
        <v>58</v>
      </c>
      <c r="M79" t="s">
        <v>58</v>
      </c>
      <c r="N79" t="s">
        <v>58</v>
      </c>
      <c r="O79" t="s">
        <v>58</v>
      </c>
      <c r="P79" t="s">
        <v>58</v>
      </c>
      <c r="Q79" t="s">
        <v>58</v>
      </c>
      <c r="R79" t="s">
        <v>58</v>
      </c>
      <c r="S79" t="s">
        <v>58</v>
      </c>
      <c r="T79" t="s">
        <v>58</v>
      </c>
      <c r="U79" t="s">
        <v>58</v>
      </c>
      <c r="V79" t="s">
        <v>58</v>
      </c>
      <c r="W79" t="s">
        <v>58</v>
      </c>
      <c r="X79" t="s">
        <v>58</v>
      </c>
      <c r="Y79" t="s">
        <v>58</v>
      </c>
      <c r="Z79" t="s">
        <v>58</v>
      </c>
      <c r="AA79" t="s">
        <v>58</v>
      </c>
      <c r="AB79" t="s">
        <v>58</v>
      </c>
      <c r="AC79" t="s">
        <v>58</v>
      </c>
      <c r="AD79" t="s">
        <v>58</v>
      </c>
      <c r="AE79" t="s">
        <v>58</v>
      </c>
      <c r="AF79" t="s">
        <v>58</v>
      </c>
      <c r="AG79" t="s">
        <v>58</v>
      </c>
      <c r="AH79" t="s">
        <v>58</v>
      </c>
    </row>
    <row r="80" spans="1:42" x14ac:dyDescent="0.25">
      <c r="A80" s="3" t="s">
        <v>56</v>
      </c>
      <c r="B80" s="3" t="s">
        <v>67</v>
      </c>
      <c r="C80" t="s">
        <v>58</v>
      </c>
      <c r="D80" t="s">
        <v>58</v>
      </c>
      <c r="E80" t="s">
        <v>58</v>
      </c>
      <c r="F80" t="s">
        <v>58</v>
      </c>
      <c r="G80" t="s">
        <v>58</v>
      </c>
      <c r="H80" t="s">
        <v>58</v>
      </c>
      <c r="I80" t="s">
        <v>58</v>
      </c>
      <c r="J80" t="s">
        <v>58</v>
      </c>
      <c r="K80" t="s">
        <v>58</v>
      </c>
      <c r="L80" t="s">
        <v>58</v>
      </c>
      <c r="M80" t="s">
        <v>58</v>
      </c>
      <c r="N80" t="s">
        <v>58</v>
      </c>
      <c r="O80" t="s">
        <v>58</v>
      </c>
      <c r="P80" t="s">
        <v>58</v>
      </c>
      <c r="Q80" t="s">
        <v>58</v>
      </c>
      <c r="R80" t="s">
        <v>58</v>
      </c>
      <c r="S80" t="s">
        <v>58</v>
      </c>
      <c r="T80" t="s">
        <v>58</v>
      </c>
      <c r="U80" t="s">
        <v>58</v>
      </c>
      <c r="V80" t="s">
        <v>58</v>
      </c>
      <c r="W80" t="s">
        <v>58</v>
      </c>
      <c r="X80" t="s">
        <v>58</v>
      </c>
      <c r="Y80" t="s">
        <v>58</v>
      </c>
      <c r="Z80" t="s">
        <v>58</v>
      </c>
      <c r="AA80" t="s">
        <v>58</v>
      </c>
      <c r="AB80" t="s">
        <v>58</v>
      </c>
      <c r="AC80" t="s">
        <v>58</v>
      </c>
      <c r="AD80" t="s">
        <v>58</v>
      </c>
      <c r="AE80" t="s">
        <v>58</v>
      </c>
      <c r="AF80" t="s">
        <v>58</v>
      </c>
      <c r="AG80" t="s">
        <v>58</v>
      </c>
      <c r="AH80" t="s">
        <v>58</v>
      </c>
    </row>
    <row r="83" spans="1:33" ht="18" thickBot="1" x14ac:dyDescent="0.35">
      <c r="A83" s="4" t="s">
        <v>185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184</v>
      </c>
      <c r="B86" s="28">
        <v>9.1050000000000004</v>
      </c>
      <c r="C86" s="28">
        <v>8.6709999999999994</v>
      </c>
      <c r="D86" s="28">
        <v>8.7420000000000009</v>
      </c>
      <c r="E86" s="3">
        <v>8.8580000000000005</v>
      </c>
      <c r="F86" s="28">
        <v>8.9559999999999995</v>
      </c>
      <c r="G86" s="29">
        <v>9.0570000000000004</v>
      </c>
      <c r="H86" s="29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186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186</v>
      </c>
      <c r="C15" t="s">
        <v>187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28" zoomScale="70" zoomScaleNormal="70" workbookViewId="0">
      <selection activeCell="A35" sqref="A35:AF35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141</v>
      </c>
    </row>
    <row r="4" spans="1:43" x14ac:dyDescent="0.25">
      <c r="A4" s="3" t="s">
        <v>21</v>
      </c>
      <c r="B4" s="18">
        <f t="shared" ref="B4:AG4" si="0">IF($B$1="Reference",B40,B78)</f>
        <v>2742.7</v>
      </c>
      <c r="C4" s="18">
        <f t="shared" si="0"/>
        <v>2570.23</v>
      </c>
      <c r="D4" s="18">
        <f t="shared" si="0"/>
        <v>2663.51</v>
      </c>
      <c r="E4" s="18">
        <f t="shared" si="0"/>
        <v>2738.96</v>
      </c>
      <c r="F4" s="18">
        <f t="shared" si="0"/>
        <v>2812.95</v>
      </c>
      <c r="G4" s="18">
        <f t="shared" si="0"/>
        <v>2890.84</v>
      </c>
      <c r="H4" s="18">
        <f t="shared" si="0"/>
        <v>2963.9</v>
      </c>
      <c r="I4" s="18">
        <f t="shared" si="0"/>
        <v>3029.24</v>
      </c>
      <c r="J4" s="18">
        <f t="shared" si="0"/>
        <v>3094.44</v>
      </c>
      <c r="K4" s="18">
        <f t="shared" si="0"/>
        <v>3162.18</v>
      </c>
      <c r="L4" s="18">
        <f t="shared" si="0"/>
        <v>3245.03</v>
      </c>
      <c r="M4" s="18">
        <f t="shared" si="0"/>
        <v>3323.15</v>
      </c>
      <c r="N4" s="18">
        <f t="shared" si="0"/>
        <v>3413.55</v>
      </c>
      <c r="O4" s="18">
        <f t="shared" si="0"/>
        <v>3506.82</v>
      </c>
      <c r="P4" s="18">
        <f t="shared" si="0"/>
        <v>3618.29</v>
      </c>
      <c r="Q4" s="18">
        <f t="shared" si="0"/>
        <v>3735.21</v>
      </c>
      <c r="R4" s="18">
        <f t="shared" si="0"/>
        <v>3846.98</v>
      </c>
      <c r="S4" s="18">
        <f t="shared" si="0"/>
        <v>3952.74</v>
      </c>
      <c r="T4" s="18">
        <f t="shared" si="0"/>
        <v>4036.91</v>
      </c>
      <c r="U4" s="18">
        <f t="shared" si="0"/>
        <v>4137.6000000000004</v>
      </c>
      <c r="V4" s="18">
        <f t="shared" si="0"/>
        <v>4257.1000000000004</v>
      </c>
      <c r="W4" s="18">
        <f t="shared" si="0"/>
        <v>4369.76</v>
      </c>
      <c r="X4" s="18">
        <f t="shared" si="0"/>
        <v>4496.03</v>
      </c>
      <c r="Y4" s="18">
        <f t="shared" si="0"/>
        <v>4622.3</v>
      </c>
      <c r="Z4" s="18">
        <f t="shared" si="0"/>
        <v>4749.76</v>
      </c>
      <c r="AA4" s="18">
        <f t="shared" si="0"/>
        <v>4882.6899999999996</v>
      </c>
      <c r="AB4" s="18">
        <f t="shared" si="0"/>
        <v>5022.43</v>
      </c>
      <c r="AC4" s="18">
        <f t="shared" si="0"/>
        <v>5173.28</v>
      </c>
      <c r="AD4" s="18">
        <f t="shared" si="0"/>
        <v>5269.79</v>
      </c>
      <c r="AE4" s="18">
        <f t="shared" si="0"/>
        <v>5354.74</v>
      </c>
      <c r="AF4" s="18">
        <f t="shared" si="0"/>
        <v>5438.42</v>
      </c>
      <c r="AG4" s="18">
        <f t="shared" si="0"/>
        <v>5519.16</v>
      </c>
      <c r="AH4" s="18"/>
      <c r="AI4" s="18"/>
      <c r="AJ4" s="18"/>
      <c r="AK4" s="18"/>
      <c r="AL4" s="18"/>
      <c r="AM4" s="18"/>
      <c r="AN4" s="18"/>
      <c r="AQ4" t="s">
        <v>140</v>
      </c>
    </row>
    <row r="5" spans="1:43" x14ac:dyDescent="0.25">
      <c r="A5" s="3" t="s">
        <v>73</v>
      </c>
      <c r="B5" s="18">
        <f t="shared" ref="B5:AG5" si="1">IF($B$1="Reference",B41,B79)</f>
        <v>102.77</v>
      </c>
      <c r="C5" s="18">
        <f t="shared" si="1"/>
        <v>101.85</v>
      </c>
      <c r="D5" s="18">
        <f t="shared" si="1"/>
        <v>104.68</v>
      </c>
      <c r="E5" s="18">
        <f t="shared" si="1"/>
        <v>107.17</v>
      </c>
      <c r="F5" s="18">
        <f t="shared" si="1"/>
        <v>109.35</v>
      </c>
      <c r="G5" s="18">
        <f t="shared" si="1"/>
        <v>111.59</v>
      </c>
      <c r="H5" s="18">
        <f t="shared" si="1"/>
        <v>113.61</v>
      </c>
      <c r="I5" s="18">
        <f t="shared" si="1"/>
        <v>115.3</v>
      </c>
      <c r="J5" s="18">
        <f t="shared" si="1"/>
        <v>116.94</v>
      </c>
      <c r="K5" s="18">
        <f t="shared" si="1"/>
        <v>120.33</v>
      </c>
      <c r="L5" s="18">
        <f t="shared" si="1"/>
        <v>123.7</v>
      </c>
      <c r="M5" s="18">
        <f t="shared" si="1"/>
        <v>126.03</v>
      </c>
      <c r="N5" s="18">
        <f t="shared" si="1"/>
        <v>128.57</v>
      </c>
      <c r="O5" s="18">
        <f t="shared" si="1"/>
        <v>130.74</v>
      </c>
      <c r="P5" s="18">
        <f t="shared" si="1"/>
        <v>133.47999999999999</v>
      </c>
      <c r="Q5" s="18">
        <f t="shared" si="1"/>
        <v>136.05000000000001</v>
      </c>
      <c r="R5" s="18">
        <f t="shared" si="1"/>
        <v>140.6</v>
      </c>
      <c r="S5" s="18">
        <f t="shared" si="1"/>
        <v>145.51</v>
      </c>
      <c r="T5" s="18">
        <f t="shared" si="1"/>
        <v>147.41999999999999</v>
      </c>
      <c r="U5" s="18">
        <f t="shared" si="1"/>
        <v>149.72999999999999</v>
      </c>
      <c r="V5" s="18">
        <f t="shared" si="1"/>
        <v>151.53</v>
      </c>
      <c r="W5" s="18">
        <f t="shared" si="1"/>
        <v>154.26</v>
      </c>
      <c r="X5" s="18">
        <f t="shared" si="1"/>
        <v>157.19</v>
      </c>
      <c r="Y5" s="18">
        <f t="shared" si="1"/>
        <v>159.76</v>
      </c>
      <c r="Z5" s="18">
        <f t="shared" si="1"/>
        <v>161.96</v>
      </c>
      <c r="AA5" s="18">
        <f t="shared" si="1"/>
        <v>164.13</v>
      </c>
      <c r="AB5" s="18">
        <f t="shared" si="1"/>
        <v>166.38</v>
      </c>
      <c r="AC5" s="18">
        <f t="shared" si="1"/>
        <v>168.75</v>
      </c>
      <c r="AD5" s="18">
        <f t="shared" si="1"/>
        <v>169.19</v>
      </c>
      <c r="AE5" s="18">
        <f t="shared" si="1"/>
        <v>169.4</v>
      </c>
      <c r="AF5" s="18">
        <f t="shared" si="1"/>
        <v>169.79</v>
      </c>
      <c r="AG5" s="18">
        <f t="shared" si="1"/>
        <v>170.18</v>
      </c>
      <c r="AH5" s="18"/>
      <c r="AI5" s="18"/>
      <c r="AJ5" s="18"/>
      <c r="AK5" s="18"/>
      <c r="AL5" s="18"/>
      <c r="AM5" s="18"/>
      <c r="AN5" s="18"/>
    </row>
    <row r="6" spans="1:43" x14ac:dyDescent="0.25">
      <c r="A6" s="3" t="s">
        <v>23</v>
      </c>
      <c r="B6" s="18">
        <f t="shared" ref="B6:AG6" si="2">IF($B$1="Reference",B42,B80)</f>
        <v>197.32</v>
      </c>
      <c r="C6" s="18">
        <f t="shared" si="2"/>
        <v>188.75</v>
      </c>
      <c r="D6" s="18">
        <f t="shared" si="2"/>
        <v>193.27</v>
      </c>
      <c r="E6" s="18">
        <f t="shared" si="2"/>
        <v>196.31</v>
      </c>
      <c r="F6" s="18">
        <f t="shared" si="2"/>
        <v>199.37</v>
      </c>
      <c r="G6" s="18">
        <f t="shared" si="2"/>
        <v>202.51</v>
      </c>
      <c r="H6" s="18">
        <f t="shared" si="2"/>
        <v>205.34</v>
      </c>
      <c r="I6" s="18">
        <f t="shared" si="2"/>
        <v>207.91</v>
      </c>
      <c r="J6" s="18">
        <f t="shared" si="2"/>
        <v>210.39</v>
      </c>
      <c r="K6" s="18">
        <f t="shared" si="2"/>
        <v>216.65</v>
      </c>
      <c r="L6" s="18">
        <f t="shared" si="2"/>
        <v>221.84</v>
      </c>
      <c r="M6" s="18">
        <f t="shared" si="2"/>
        <v>224.93</v>
      </c>
      <c r="N6" s="18">
        <f t="shared" si="2"/>
        <v>227.79</v>
      </c>
      <c r="O6" s="18">
        <f t="shared" si="2"/>
        <v>230</v>
      </c>
      <c r="P6" s="18">
        <f t="shared" si="2"/>
        <v>232.79</v>
      </c>
      <c r="Q6" s="18">
        <f t="shared" si="2"/>
        <v>235.36</v>
      </c>
      <c r="R6" s="18">
        <f t="shared" si="2"/>
        <v>242.48</v>
      </c>
      <c r="S6" s="18">
        <f t="shared" si="2"/>
        <v>250.03</v>
      </c>
      <c r="T6" s="18">
        <f t="shared" si="2"/>
        <v>252.13</v>
      </c>
      <c r="U6" s="18">
        <f t="shared" si="2"/>
        <v>254.81</v>
      </c>
      <c r="V6" s="18">
        <f t="shared" si="2"/>
        <v>254.84</v>
      </c>
      <c r="W6" s="18">
        <f t="shared" si="2"/>
        <v>258.02</v>
      </c>
      <c r="X6" s="18">
        <f t="shared" si="2"/>
        <v>260.3</v>
      </c>
      <c r="Y6" s="18">
        <f t="shared" si="2"/>
        <v>261.68</v>
      </c>
      <c r="Z6" s="18">
        <f t="shared" si="2"/>
        <v>262.60000000000002</v>
      </c>
      <c r="AA6" s="18">
        <f t="shared" si="2"/>
        <v>263.49</v>
      </c>
      <c r="AB6" s="18">
        <f t="shared" si="2"/>
        <v>264.62</v>
      </c>
      <c r="AC6" s="18">
        <f t="shared" si="2"/>
        <v>266.10000000000002</v>
      </c>
      <c r="AD6" s="18">
        <f t="shared" si="2"/>
        <v>265.45999999999998</v>
      </c>
      <c r="AE6" s="18">
        <f t="shared" si="2"/>
        <v>264.17</v>
      </c>
      <c r="AF6" s="18">
        <f t="shared" si="2"/>
        <v>263.06</v>
      </c>
      <c r="AG6" s="18">
        <f t="shared" si="2"/>
        <v>261.68</v>
      </c>
      <c r="AH6" s="18"/>
      <c r="AI6" s="18"/>
      <c r="AJ6" s="18"/>
      <c r="AK6" s="18"/>
      <c r="AL6" s="18"/>
      <c r="AM6" s="18"/>
      <c r="AN6" s="18"/>
    </row>
    <row r="7" spans="1:43" x14ac:dyDescent="0.25">
      <c r="A7" s="3" t="s">
        <v>24</v>
      </c>
      <c r="B7" s="18">
        <f t="shared" ref="B7:AG7" si="3">IF($B$1="Reference",B43,B81)</f>
        <v>155.19999999999999</v>
      </c>
      <c r="C7" s="18">
        <f t="shared" si="3"/>
        <v>154.51</v>
      </c>
      <c r="D7" s="18">
        <f t="shared" si="3"/>
        <v>161.34</v>
      </c>
      <c r="E7" s="18">
        <f t="shared" si="3"/>
        <v>167.36</v>
      </c>
      <c r="F7" s="18">
        <f t="shared" si="3"/>
        <v>172.82</v>
      </c>
      <c r="G7" s="18">
        <f t="shared" si="3"/>
        <v>178.36</v>
      </c>
      <c r="H7" s="18">
        <f t="shared" si="3"/>
        <v>183.29</v>
      </c>
      <c r="I7" s="18">
        <f t="shared" si="3"/>
        <v>187.41</v>
      </c>
      <c r="J7" s="18">
        <f t="shared" si="3"/>
        <v>191.52</v>
      </c>
      <c r="K7" s="18">
        <f t="shared" si="3"/>
        <v>198.84</v>
      </c>
      <c r="L7" s="18">
        <f t="shared" si="3"/>
        <v>205.18</v>
      </c>
      <c r="M7" s="18">
        <f t="shared" si="3"/>
        <v>209.75</v>
      </c>
      <c r="N7" s="18">
        <f t="shared" si="3"/>
        <v>214.9</v>
      </c>
      <c r="O7" s="18">
        <f t="shared" si="3"/>
        <v>219.47</v>
      </c>
      <c r="P7" s="18">
        <f t="shared" si="3"/>
        <v>225.07</v>
      </c>
      <c r="Q7" s="18">
        <f t="shared" si="3"/>
        <v>230.49</v>
      </c>
      <c r="R7" s="18">
        <f t="shared" si="3"/>
        <v>241.08</v>
      </c>
      <c r="S7" s="18">
        <f t="shared" si="3"/>
        <v>251.92</v>
      </c>
      <c r="T7" s="18">
        <f t="shared" si="3"/>
        <v>255.45</v>
      </c>
      <c r="U7" s="18">
        <f t="shared" si="3"/>
        <v>259.19</v>
      </c>
      <c r="V7" s="18">
        <f t="shared" si="3"/>
        <v>261.45999999999998</v>
      </c>
      <c r="W7" s="18">
        <f t="shared" si="3"/>
        <v>266.93</v>
      </c>
      <c r="X7" s="18">
        <f t="shared" si="3"/>
        <v>272.95999999999998</v>
      </c>
      <c r="Y7" s="18">
        <f t="shared" si="3"/>
        <v>277.56</v>
      </c>
      <c r="Z7" s="18">
        <f t="shared" si="3"/>
        <v>281.05</v>
      </c>
      <c r="AA7" s="18">
        <f t="shared" si="3"/>
        <v>284.37</v>
      </c>
      <c r="AB7" s="18">
        <f t="shared" si="3"/>
        <v>287.97000000000003</v>
      </c>
      <c r="AC7" s="18">
        <f t="shared" si="3"/>
        <v>291.79000000000002</v>
      </c>
      <c r="AD7" s="18">
        <f t="shared" si="3"/>
        <v>292.86</v>
      </c>
      <c r="AE7" s="18">
        <f t="shared" si="3"/>
        <v>293.20999999999998</v>
      </c>
      <c r="AF7" s="18">
        <f t="shared" si="3"/>
        <v>293.61</v>
      </c>
      <c r="AG7" s="18">
        <f t="shared" si="3"/>
        <v>293.94</v>
      </c>
      <c r="AH7" s="18"/>
      <c r="AI7" s="18"/>
      <c r="AJ7" s="18"/>
      <c r="AK7" s="18"/>
      <c r="AL7" s="18"/>
      <c r="AM7" s="18"/>
      <c r="AN7" s="18"/>
    </row>
    <row r="8" spans="1:43" x14ac:dyDescent="0.25">
      <c r="A8" s="3" t="s">
        <v>25</v>
      </c>
      <c r="B8" s="18">
        <f t="shared" ref="B8:AG8" si="4">IF($B$1="Reference",B44,B82)</f>
        <v>366.71</v>
      </c>
      <c r="C8" s="18">
        <f t="shared" si="4"/>
        <v>339.03</v>
      </c>
      <c r="D8" s="18">
        <f t="shared" si="4"/>
        <v>349.62</v>
      </c>
      <c r="E8" s="18">
        <f t="shared" si="4"/>
        <v>356.97</v>
      </c>
      <c r="F8" s="18">
        <f t="shared" si="4"/>
        <v>365</v>
      </c>
      <c r="G8" s="18">
        <f t="shared" si="4"/>
        <v>374.06</v>
      </c>
      <c r="H8" s="18">
        <f t="shared" si="4"/>
        <v>382.81</v>
      </c>
      <c r="I8" s="18">
        <f t="shared" si="4"/>
        <v>391.7</v>
      </c>
      <c r="J8" s="18">
        <f t="shared" si="4"/>
        <v>400.21</v>
      </c>
      <c r="K8" s="18">
        <f t="shared" si="4"/>
        <v>413.95</v>
      </c>
      <c r="L8" s="18">
        <f t="shared" si="4"/>
        <v>426.7</v>
      </c>
      <c r="M8" s="18">
        <f t="shared" si="4"/>
        <v>436.52</v>
      </c>
      <c r="N8" s="18">
        <f t="shared" si="4"/>
        <v>446.99</v>
      </c>
      <c r="O8" s="18">
        <f t="shared" si="4"/>
        <v>457.85</v>
      </c>
      <c r="P8" s="18">
        <f t="shared" si="4"/>
        <v>471.4</v>
      </c>
      <c r="Q8" s="18">
        <f t="shared" si="4"/>
        <v>485.51</v>
      </c>
      <c r="R8" s="18">
        <f t="shared" si="4"/>
        <v>505.43</v>
      </c>
      <c r="S8" s="18">
        <f t="shared" si="4"/>
        <v>522.92999999999995</v>
      </c>
      <c r="T8" s="18">
        <f t="shared" si="4"/>
        <v>530.27</v>
      </c>
      <c r="U8" s="18">
        <f t="shared" si="4"/>
        <v>539.78</v>
      </c>
      <c r="V8" s="18">
        <f t="shared" si="4"/>
        <v>550.91</v>
      </c>
      <c r="W8" s="18">
        <f t="shared" si="4"/>
        <v>563.9</v>
      </c>
      <c r="X8" s="18">
        <f t="shared" si="4"/>
        <v>571.30999999999995</v>
      </c>
      <c r="Y8" s="18">
        <f t="shared" si="4"/>
        <v>581.63</v>
      </c>
      <c r="Z8" s="18">
        <f t="shared" si="4"/>
        <v>595.29999999999995</v>
      </c>
      <c r="AA8" s="18">
        <f t="shared" si="4"/>
        <v>610.46</v>
      </c>
      <c r="AB8" s="18">
        <f t="shared" si="4"/>
        <v>626.64</v>
      </c>
      <c r="AC8" s="18">
        <f t="shared" si="4"/>
        <v>644.64</v>
      </c>
      <c r="AD8" s="18">
        <f t="shared" si="4"/>
        <v>650.41999999999996</v>
      </c>
      <c r="AE8" s="18">
        <f t="shared" si="4"/>
        <v>656.26</v>
      </c>
      <c r="AF8" s="18">
        <f t="shared" si="4"/>
        <v>663.56</v>
      </c>
      <c r="AG8" s="18">
        <f t="shared" si="4"/>
        <v>670.82</v>
      </c>
      <c r="AH8" s="18"/>
      <c r="AI8" s="18"/>
      <c r="AJ8" s="18"/>
      <c r="AK8" s="18"/>
      <c r="AL8" s="18"/>
      <c r="AM8" s="18"/>
      <c r="AN8" s="18"/>
    </row>
    <row r="9" spans="1:43" x14ac:dyDescent="0.25">
      <c r="A9" s="3" t="s">
        <v>26</v>
      </c>
      <c r="B9" s="18">
        <f t="shared" ref="B9:AG9" si="5">IF($B$1="Reference",B45,B83)</f>
        <v>24.02</v>
      </c>
      <c r="C9" s="18">
        <f t="shared" si="5"/>
        <v>22.83</v>
      </c>
      <c r="D9" s="18">
        <f t="shared" si="5"/>
        <v>23.64</v>
      </c>
      <c r="E9" s="18">
        <f t="shared" si="5"/>
        <v>24.06</v>
      </c>
      <c r="F9" s="18">
        <f t="shared" si="5"/>
        <v>24.57</v>
      </c>
      <c r="G9" s="18">
        <f t="shared" si="5"/>
        <v>25.29</v>
      </c>
      <c r="H9" s="18">
        <f t="shared" si="5"/>
        <v>25.8</v>
      </c>
      <c r="I9" s="18">
        <f t="shared" si="5"/>
        <v>26.15</v>
      </c>
      <c r="J9" s="18">
        <f t="shared" si="5"/>
        <v>26.59</v>
      </c>
      <c r="K9" s="18">
        <f t="shared" si="5"/>
        <v>27.06</v>
      </c>
      <c r="L9" s="18">
        <f t="shared" si="5"/>
        <v>27.52</v>
      </c>
      <c r="M9" s="18">
        <f t="shared" si="5"/>
        <v>27.94</v>
      </c>
      <c r="N9" s="18">
        <f t="shared" si="5"/>
        <v>28.91</v>
      </c>
      <c r="O9" s="18">
        <f t="shared" si="5"/>
        <v>29.53</v>
      </c>
      <c r="P9" s="18">
        <f t="shared" si="5"/>
        <v>30.31</v>
      </c>
      <c r="Q9" s="18">
        <f t="shared" si="5"/>
        <v>31.13</v>
      </c>
      <c r="R9" s="18">
        <f t="shared" si="5"/>
        <v>31.92</v>
      </c>
      <c r="S9" s="18">
        <f t="shared" si="5"/>
        <v>32.54</v>
      </c>
      <c r="T9" s="18">
        <f t="shared" si="5"/>
        <v>32.880000000000003</v>
      </c>
      <c r="U9" s="18">
        <f t="shared" si="5"/>
        <v>33.47</v>
      </c>
      <c r="V9" s="18">
        <f t="shared" si="5"/>
        <v>33.89</v>
      </c>
      <c r="W9" s="18">
        <f t="shared" si="5"/>
        <v>34.57</v>
      </c>
      <c r="X9" s="18">
        <f t="shared" si="5"/>
        <v>35.28</v>
      </c>
      <c r="Y9" s="18">
        <f t="shared" si="5"/>
        <v>35.96</v>
      </c>
      <c r="Z9" s="18">
        <f t="shared" si="5"/>
        <v>36.619999999999997</v>
      </c>
      <c r="AA9" s="18">
        <f t="shared" si="5"/>
        <v>37.33</v>
      </c>
      <c r="AB9" s="18">
        <f t="shared" si="5"/>
        <v>38.1</v>
      </c>
      <c r="AC9" s="18">
        <f t="shared" si="5"/>
        <v>38.950000000000003</v>
      </c>
      <c r="AD9" s="18">
        <f t="shared" si="5"/>
        <v>39.33</v>
      </c>
      <c r="AE9" s="18">
        <f t="shared" si="5"/>
        <v>39.630000000000003</v>
      </c>
      <c r="AF9" s="18">
        <f t="shared" si="5"/>
        <v>39.950000000000003</v>
      </c>
      <c r="AG9" s="18">
        <f t="shared" si="5"/>
        <v>40.26</v>
      </c>
      <c r="AH9" s="18"/>
      <c r="AI9" s="18"/>
      <c r="AJ9" s="18"/>
      <c r="AK9" s="18"/>
      <c r="AL9" s="18"/>
      <c r="AM9" s="18"/>
      <c r="AN9" s="18"/>
    </row>
    <row r="10" spans="1:43" x14ac:dyDescent="0.25">
      <c r="A10" s="3" t="s">
        <v>27</v>
      </c>
      <c r="B10" s="18">
        <f t="shared" ref="B10:AG10" si="6">IF($B$1="Reference",B46,B84)</f>
        <v>78.8</v>
      </c>
      <c r="C10" s="18">
        <f t="shared" si="6"/>
        <v>77.650000000000006</v>
      </c>
      <c r="D10" s="18">
        <f t="shared" si="6"/>
        <v>76.69</v>
      </c>
      <c r="E10" s="18">
        <f t="shared" si="6"/>
        <v>77.209999999999994</v>
      </c>
      <c r="F10" s="18">
        <f t="shared" si="6"/>
        <v>78.11</v>
      </c>
      <c r="G10" s="18">
        <f t="shared" si="6"/>
        <v>78.900000000000006</v>
      </c>
      <c r="H10" s="18">
        <f t="shared" si="6"/>
        <v>79.64</v>
      </c>
      <c r="I10" s="18">
        <f t="shared" si="6"/>
        <v>80.319999999999993</v>
      </c>
      <c r="J10" s="18">
        <f t="shared" si="6"/>
        <v>81</v>
      </c>
      <c r="K10" s="18">
        <f t="shared" si="6"/>
        <v>82.01</v>
      </c>
      <c r="L10" s="18">
        <f t="shared" si="6"/>
        <v>82.46</v>
      </c>
      <c r="M10" s="18">
        <f t="shared" si="6"/>
        <v>83.04</v>
      </c>
      <c r="N10" s="18">
        <f t="shared" si="6"/>
        <v>83.83</v>
      </c>
      <c r="O10" s="18">
        <f t="shared" si="6"/>
        <v>84.67</v>
      </c>
      <c r="P10" s="18">
        <f t="shared" si="6"/>
        <v>85.85</v>
      </c>
      <c r="Q10" s="18">
        <f t="shared" si="6"/>
        <v>87.08</v>
      </c>
      <c r="R10" s="18">
        <f t="shared" si="6"/>
        <v>68.459999999999994</v>
      </c>
      <c r="S10" s="18">
        <f t="shared" si="6"/>
        <v>52.9</v>
      </c>
      <c r="T10" s="18">
        <f t="shared" si="6"/>
        <v>50.58</v>
      </c>
      <c r="U10" s="18">
        <f t="shared" si="6"/>
        <v>54.24</v>
      </c>
      <c r="V10" s="18">
        <f t="shared" si="6"/>
        <v>56.85</v>
      </c>
      <c r="W10" s="18">
        <f t="shared" si="6"/>
        <v>51.03</v>
      </c>
      <c r="X10" s="18">
        <f t="shared" si="6"/>
        <v>50.88</v>
      </c>
      <c r="Y10" s="18">
        <f t="shared" si="6"/>
        <v>51.46</v>
      </c>
      <c r="Z10" s="18">
        <f t="shared" si="6"/>
        <v>52.38</v>
      </c>
      <c r="AA10" s="18">
        <f t="shared" si="6"/>
        <v>53.51</v>
      </c>
      <c r="AB10" s="18">
        <f t="shared" si="6"/>
        <v>54.78</v>
      </c>
      <c r="AC10" s="18">
        <f t="shared" si="6"/>
        <v>56.14</v>
      </c>
      <c r="AD10" s="18">
        <f t="shared" si="6"/>
        <v>57.05</v>
      </c>
      <c r="AE10" s="18">
        <f t="shared" si="6"/>
        <v>57.61</v>
      </c>
      <c r="AF10" s="18">
        <f t="shared" si="6"/>
        <v>58.16</v>
      </c>
      <c r="AG10" s="18">
        <f t="shared" si="6"/>
        <v>58.71</v>
      </c>
      <c r="AH10" s="18"/>
      <c r="AI10" s="18"/>
      <c r="AJ10" s="18"/>
      <c r="AK10" s="18"/>
      <c r="AL10" s="18"/>
      <c r="AM10" s="18"/>
      <c r="AN10" s="18"/>
    </row>
    <row r="11" spans="1:43" x14ac:dyDescent="0.25">
      <c r="A11" s="3" t="s">
        <v>28</v>
      </c>
      <c r="B11" s="18">
        <f t="shared" ref="B11:AG11" si="7">IF($B$1="Reference",B47,B85)</f>
        <v>17.63</v>
      </c>
      <c r="C11" s="18">
        <f t="shared" si="7"/>
        <v>16.38</v>
      </c>
      <c r="D11" s="18">
        <f t="shared" si="7"/>
        <v>16.91</v>
      </c>
      <c r="E11" s="18">
        <f t="shared" si="7"/>
        <v>17.3</v>
      </c>
      <c r="F11" s="18">
        <f t="shared" si="7"/>
        <v>17.72</v>
      </c>
      <c r="G11" s="18">
        <f t="shared" si="7"/>
        <v>18.170000000000002</v>
      </c>
      <c r="H11" s="18">
        <f t="shared" si="7"/>
        <v>18.600000000000001</v>
      </c>
      <c r="I11" s="18">
        <f t="shared" si="7"/>
        <v>19</v>
      </c>
      <c r="J11" s="18">
        <f t="shared" si="7"/>
        <v>19.399999999999999</v>
      </c>
      <c r="K11" s="18">
        <f t="shared" si="7"/>
        <v>19.97</v>
      </c>
      <c r="L11" s="18">
        <f t="shared" si="7"/>
        <v>20.53</v>
      </c>
      <c r="M11" s="18">
        <f t="shared" si="7"/>
        <v>20.99</v>
      </c>
      <c r="N11" s="18">
        <f t="shared" si="7"/>
        <v>21.51</v>
      </c>
      <c r="O11" s="18">
        <f t="shared" si="7"/>
        <v>22.03</v>
      </c>
      <c r="P11" s="18">
        <f t="shared" si="7"/>
        <v>22.68</v>
      </c>
      <c r="Q11" s="18">
        <f t="shared" si="7"/>
        <v>23.35</v>
      </c>
      <c r="R11" s="18">
        <f t="shared" si="7"/>
        <v>24.11</v>
      </c>
      <c r="S11" s="18">
        <f t="shared" si="7"/>
        <v>24.74</v>
      </c>
      <c r="T11" s="18">
        <f t="shared" si="7"/>
        <v>25.06</v>
      </c>
      <c r="U11" s="18">
        <f t="shared" si="7"/>
        <v>25.51</v>
      </c>
      <c r="V11" s="18">
        <f t="shared" si="7"/>
        <v>26.07</v>
      </c>
      <c r="W11" s="18">
        <f t="shared" si="7"/>
        <v>26.65</v>
      </c>
      <c r="X11" s="18">
        <f t="shared" si="7"/>
        <v>27.19</v>
      </c>
      <c r="Y11" s="18">
        <f t="shared" si="7"/>
        <v>27.76</v>
      </c>
      <c r="Z11" s="18">
        <f t="shared" si="7"/>
        <v>28.37</v>
      </c>
      <c r="AA11" s="18">
        <f t="shared" si="7"/>
        <v>29.02</v>
      </c>
      <c r="AB11" s="18">
        <f t="shared" si="7"/>
        <v>29.72</v>
      </c>
      <c r="AC11" s="18">
        <f t="shared" si="7"/>
        <v>30.49</v>
      </c>
      <c r="AD11" s="18">
        <f t="shared" si="7"/>
        <v>30.81</v>
      </c>
      <c r="AE11" s="18">
        <f t="shared" si="7"/>
        <v>31.08</v>
      </c>
      <c r="AF11" s="18">
        <f t="shared" si="7"/>
        <v>31.37</v>
      </c>
      <c r="AG11" s="18">
        <f t="shared" si="7"/>
        <v>31.64</v>
      </c>
      <c r="AH11" s="18"/>
      <c r="AI11" s="18"/>
      <c r="AJ11" s="18"/>
      <c r="AK11" s="18"/>
      <c r="AL11" s="18"/>
      <c r="AM11" s="18"/>
      <c r="AN11" s="18"/>
    </row>
    <row r="12" spans="1:43" x14ac:dyDescent="0.25">
      <c r="A12" s="3" t="s">
        <v>29</v>
      </c>
      <c r="B12" s="18">
        <f t="shared" ref="B12:AG12" si="8">IF($B$1="Reference",B48,B86)</f>
        <v>20.84</v>
      </c>
      <c r="C12" s="18">
        <f t="shared" si="8"/>
        <v>19.72</v>
      </c>
      <c r="D12" s="18">
        <f t="shared" si="8"/>
        <v>19.940000000000001</v>
      </c>
      <c r="E12" s="18">
        <f t="shared" si="8"/>
        <v>20.03</v>
      </c>
      <c r="F12" s="18">
        <f t="shared" si="8"/>
        <v>20.239999999999998</v>
      </c>
      <c r="G12" s="18">
        <f t="shared" si="8"/>
        <v>20.52</v>
      </c>
      <c r="H12" s="18">
        <f t="shared" si="8"/>
        <v>20.81</v>
      </c>
      <c r="I12" s="18">
        <f t="shared" si="8"/>
        <v>21.19</v>
      </c>
      <c r="J12" s="18">
        <f t="shared" si="8"/>
        <v>21.52</v>
      </c>
      <c r="K12" s="18">
        <f t="shared" si="8"/>
        <v>22.23</v>
      </c>
      <c r="L12" s="18">
        <f t="shared" si="8"/>
        <v>22.78</v>
      </c>
      <c r="M12" s="18">
        <f t="shared" si="8"/>
        <v>23.14</v>
      </c>
      <c r="N12" s="18">
        <f t="shared" si="8"/>
        <v>23.45</v>
      </c>
      <c r="O12" s="18">
        <f t="shared" si="8"/>
        <v>23.78</v>
      </c>
      <c r="P12" s="18">
        <f t="shared" si="8"/>
        <v>24.2</v>
      </c>
      <c r="Q12" s="18">
        <f t="shared" si="8"/>
        <v>24.71</v>
      </c>
      <c r="R12" s="18">
        <f t="shared" si="8"/>
        <v>25.82</v>
      </c>
      <c r="S12" s="18">
        <f t="shared" si="8"/>
        <v>26.77</v>
      </c>
      <c r="T12" s="18">
        <f t="shared" si="8"/>
        <v>27.15</v>
      </c>
      <c r="U12" s="18">
        <f t="shared" si="8"/>
        <v>27.58</v>
      </c>
      <c r="V12" s="18">
        <f t="shared" si="8"/>
        <v>27.84</v>
      </c>
      <c r="W12" s="18">
        <f t="shared" si="8"/>
        <v>28.57</v>
      </c>
      <c r="X12" s="18">
        <f t="shared" si="8"/>
        <v>28.41</v>
      </c>
      <c r="Y12" s="18">
        <f t="shared" si="8"/>
        <v>28.67</v>
      </c>
      <c r="Z12" s="18">
        <f t="shared" si="8"/>
        <v>29.23</v>
      </c>
      <c r="AA12" s="18">
        <f t="shared" si="8"/>
        <v>29.91</v>
      </c>
      <c r="AB12" s="18">
        <f t="shared" si="8"/>
        <v>30.63</v>
      </c>
      <c r="AC12" s="18">
        <f t="shared" si="8"/>
        <v>31.33</v>
      </c>
      <c r="AD12" s="18">
        <f t="shared" si="8"/>
        <v>31.4</v>
      </c>
      <c r="AE12" s="18">
        <f t="shared" si="8"/>
        <v>31.65</v>
      </c>
      <c r="AF12" s="18">
        <f t="shared" si="8"/>
        <v>31.93</v>
      </c>
      <c r="AG12" s="18">
        <f t="shared" si="8"/>
        <v>32.22</v>
      </c>
      <c r="AH12" s="18"/>
      <c r="AI12" s="18"/>
      <c r="AJ12" s="18"/>
      <c r="AK12" s="18"/>
      <c r="AL12" s="18"/>
      <c r="AM12" s="18"/>
      <c r="AN12" s="18"/>
    </row>
    <row r="13" spans="1:43" x14ac:dyDescent="0.25">
      <c r="A13" s="3" t="s">
        <v>30</v>
      </c>
      <c r="B13" s="18">
        <f t="shared" ref="B13:AG13" si="9">IF($B$1="Reference",B49,B87)</f>
        <v>13.07</v>
      </c>
      <c r="C13" s="18">
        <f t="shared" si="9"/>
        <v>12</v>
      </c>
      <c r="D13" s="18">
        <f t="shared" si="9"/>
        <v>11.38</v>
      </c>
      <c r="E13" s="18">
        <f t="shared" si="9"/>
        <v>10.67</v>
      </c>
      <c r="F13" s="18">
        <f t="shared" si="9"/>
        <v>10.46</v>
      </c>
      <c r="G13" s="18">
        <f t="shared" si="9"/>
        <v>10.46</v>
      </c>
      <c r="H13" s="18">
        <f t="shared" si="9"/>
        <v>10.61</v>
      </c>
      <c r="I13" s="18">
        <f t="shared" si="9"/>
        <v>11.26</v>
      </c>
      <c r="J13" s="18">
        <f t="shared" si="9"/>
        <v>11.73</v>
      </c>
      <c r="K13" s="18">
        <f t="shared" si="9"/>
        <v>13.44</v>
      </c>
      <c r="L13" s="18">
        <f t="shared" si="9"/>
        <v>14.48</v>
      </c>
      <c r="M13" s="18">
        <f t="shared" si="9"/>
        <v>14.77</v>
      </c>
      <c r="N13" s="18">
        <f t="shared" si="9"/>
        <v>14.73</v>
      </c>
      <c r="O13" s="18">
        <f t="shared" si="9"/>
        <v>14.66</v>
      </c>
      <c r="P13" s="18">
        <f t="shared" si="9"/>
        <v>14.74</v>
      </c>
      <c r="Q13" s="18">
        <f t="shared" si="9"/>
        <v>15.04</v>
      </c>
      <c r="R13" s="18">
        <f t="shared" si="9"/>
        <v>17.91</v>
      </c>
      <c r="S13" s="18">
        <f t="shared" si="9"/>
        <v>20.67</v>
      </c>
      <c r="T13" s="18">
        <f t="shared" si="9"/>
        <v>20.25</v>
      </c>
      <c r="U13" s="18">
        <f t="shared" si="9"/>
        <v>20.36</v>
      </c>
      <c r="V13" s="18">
        <f t="shared" si="9"/>
        <v>19.59</v>
      </c>
      <c r="W13" s="18">
        <f t="shared" si="9"/>
        <v>20.77</v>
      </c>
      <c r="X13" s="18">
        <f t="shared" si="9"/>
        <v>17.77</v>
      </c>
      <c r="Y13" s="18">
        <f t="shared" si="9"/>
        <v>16.77</v>
      </c>
      <c r="Z13" s="18">
        <f t="shared" si="9"/>
        <v>16.95</v>
      </c>
      <c r="AA13" s="18">
        <f t="shared" si="9"/>
        <v>17.420000000000002</v>
      </c>
      <c r="AB13" s="18">
        <f t="shared" si="9"/>
        <v>17.989999999999998</v>
      </c>
      <c r="AC13" s="18">
        <f t="shared" si="9"/>
        <v>18.420000000000002</v>
      </c>
      <c r="AD13" s="18">
        <f t="shared" si="9"/>
        <v>17.350000000000001</v>
      </c>
      <c r="AE13" s="18">
        <f t="shared" si="9"/>
        <v>16.91</v>
      </c>
      <c r="AF13" s="18">
        <f t="shared" si="9"/>
        <v>16.760000000000002</v>
      </c>
      <c r="AG13" s="18">
        <f t="shared" si="9"/>
        <v>16.690000000000001</v>
      </c>
      <c r="AH13" s="18"/>
      <c r="AI13" s="18"/>
      <c r="AJ13" s="18"/>
      <c r="AK13" s="18"/>
      <c r="AL13" s="18"/>
      <c r="AM13" s="18"/>
      <c r="AN13" s="18"/>
    </row>
    <row r="14" spans="1:43" x14ac:dyDescent="0.25">
      <c r="A14" s="3" t="s">
        <v>31</v>
      </c>
      <c r="B14" s="18">
        <f t="shared" ref="B14:AG14" si="10">IF($B$1="Reference",B50,B88)</f>
        <v>0.12</v>
      </c>
      <c r="C14" s="18">
        <f t="shared" si="10"/>
        <v>0.13</v>
      </c>
      <c r="D14" s="18">
        <f t="shared" si="10"/>
        <v>0.31</v>
      </c>
      <c r="E14" s="18">
        <f t="shared" si="10"/>
        <v>0.73</v>
      </c>
      <c r="F14" s="18">
        <f t="shared" si="10"/>
        <v>0.73</v>
      </c>
      <c r="G14" s="18">
        <f t="shared" si="10"/>
        <v>0.73</v>
      </c>
      <c r="H14" s="18">
        <f t="shared" si="10"/>
        <v>0.73</v>
      </c>
      <c r="I14" s="18">
        <f t="shared" si="10"/>
        <v>0.73</v>
      </c>
      <c r="J14" s="18">
        <f t="shared" si="10"/>
        <v>0.73</v>
      </c>
      <c r="K14" s="18">
        <f t="shared" si="10"/>
        <v>0.73</v>
      </c>
      <c r="L14" s="18">
        <f t="shared" si="10"/>
        <v>0.73</v>
      </c>
      <c r="M14" s="18">
        <f t="shared" si="10"/>
        <v>0.73</v>
      </c>
      <c r="N14" s="18">
        <f t="shared" si="10"/>
        <v>0.97</v>
      </c>
      <c r="O14" s="18">
        <f t="shared" si="10"/>
        <v>2.31</v>
      </c>
      <c r="P14" s="18">
        <f t="shared" si="10"/>
        <v>3.55</v>
      </c>
      <c r="Q14" s="18">
        <f t="shared" si="10"/>
        <v>5</v>
      </c>
      <c r="R14" s="18">
        <f t="shared" si="10"/>
        <v>6.69</v>
      </c>
      <c r="S14" s="18">
        <f t="shared" si="10"/>
        <v>8.19</v>
      </c>
      <c r="T14" s="18">
        <f t="shared" si="10"/>
        <v>20.63</v>
      </c>
      <c r="U14" s="18">
        <f t="shared" si="10"/>
        <v>25.37</v>
      </c>
      <c r="V14" s="18">
        <f t="shared" si="10"/>
        <v>30.06</v>
      </c>
      <c r="W14" s="18">
        <f t="shared" si="10"/>
        <v>34.76</v>
      </c>
      <c r="X14" s="18">
        <f t="shared" si="10"/>
        <v>37.130000000000003</v>
      </c>
      <c r="Y14" s="18">
        <f t="shared" si="10"/>
        <v>39.5</v>
      </c>
      <c r="Z14" s="18">
        <f t="shared" si="10"/>
        <v>41.85</v>
      </c>
      <c r="AA14" s="18">
        <f t="shared" si="10"/>
        <v>44.2</v>
      </c>
      <c r="AB14" s="18">
        <f t="shared" si="10"/>
        <v>46.55</v>
      </c>
      <c r="AC14" s="18">
        <f t="shared" si="10"/>
        <v>49.02</v>
      </c>
      <c r="AD14" s="18">
        <f t="shared" si="10"/>
        <v>51.48</v>
      </c>
      <c r="AE14" s="18">
        <f t="shared" si="10"/>
        <v>53.95</v>
      </c>
      <c r="AF14" s="18">
        <f t="shared" si="10"/>
        <v>56.41</v>
      </c>
      <c r="AG14" s="18">
        <f t="shared" si="10"/>
        <v>58.88</v>
      </c>
      <c r="AH14" s="18"/>
      <c r="AI14" s="18"/>
      <c r="AJ14" s="18"/>
      <c r="AK14" s="18"/>
      <c r="AL14" s="18"/>
      <c r="AM14" s="18"/>
      <c r="AN14" s="18"/>
    </row>
    <row r="15" spans="1:43" x14ac:dyDescent="0.25">
      <c r="A15" s="3" t="s">
        <v>32</v>
      </c>
      <c r="B15" s="18">
        <f t="shared" ref="B15:AG15" si="11">IF($B$1="Reference",B51,B89)</f>
        <v>142.19999999999999</v>
      </c>
      <c r="C15" s="18">
        <f t="shared" si="11"/>
        <v>137.66999999999999</v>
      </c>
      <c r="D15" s="18">
        <f t="shared" si="11"/>
        <v>143.4</v>
      </c>
      <c r="E15" s="18">
        <f t="shared" si="11"/>
        <v>144.38999999999999</v>
      </c>
      <c r="F15" s="18">
        <f t="shared" si="11"/>
        <v>144.57</v>
      </c>
      <c r="G15" s="18">
        <f t="shared" si="11"/>
        <v>145.81</v>
      </c>
      <c r="H15" s="18">
        <f t="shared" si="11"/>
        <v>147.94999999999999</v>
      </c>
      <c r="I15" s="18">
        <f t="shared" si="11"/>
        <v>149.13</v>
      </c>
      <c r="J15" s="18">
        <f t="shared" si="11"/>
        <v>150.59</v>
      </c>
      <c r="K15" s="18">
        <f t="shared" si="11"/>
        <v>152.97</v>
      </c>
      <c r="L15" s="18">
        <f t="shared" si="11"/>
        <v>156.79</v>
      </c>
      <c r="M15" s="18">
        <f t="shared" si="11"/>
        <v>158.83000000000001</v>
      </c>
      <c r="N15" s="18">
        <f t="shared" si="11"/>
        <v>165.7</v>
      </c>
      <c r="O15" s="18">
        <f t="shared" si="11"/>
        <v>174.21</v>
      </c>
      <c r="P15" s="18">
        <f t="shared" si="11"/>
        <v>181.55</v>
      </c>
      <c r="Q15" s="18">
        <f t="shared" si="11"/>
        <v>191.62</v>
      </c>
      <c r="R15" s="18">
        <f t="shared" si="11"/>
        <v>191.16</v>
      </c>
      <c r="S15" s="18">
        <f t="shared" si="11"/>
        <v>195.15</v>
      </c>
      <c r="T15" s="18">
        <f t="shared" si="11"/>
        <v>233.38</v>
      </c>
      <c r="U15" s="18">
        <f t="shared" si="11"/>
        <v>246.79</v>
      </c>
      <c r="V15" s="18">
        <f t="shared" si="11"/>
        <v>262.18</v>
      </c>
      <c r="W15" s="18">
        <f t="shared" si="11"/>
        <v>276.33</v>
      </c>
      <c r="X15" s="18">
        <f t="shared" si="11"/>
        <v>285.33999999999997</v>
      </c>
      <c r="Y15" s="18">
        <f t="shared" si="11"/>
        <v>294.49</v>
      </c>
      <c r="Z15" s="18">
        <f t="shared" si="11"/>
        <v>304.62</v>
      </c>
      <c r="AA15" s="18">
        <f t="shared" si="11"/>
        <v>314.81</v>
      </c>
      <c r="AB15" s="18">
        <f t="shared" si="11"/>
        <v>325.05</v>
      </c>
      <c r="AC15" s="18">
        <f t="shared" si="11"/>
        <v>341.29</v>
      </c>
      <c r="AD15" s="18">
        <f t="shared" si="11"/>
        <v>356.6</v>
      </c>
      <c r="AE15" s="18">
        <f t="shared" si="11"/>
        <v>371.17</v>
      </c>
      <c r="AF15" s="18">
        <f t="shared" si="11"/>
        <v>386.66</v>
      </c>
      <c r="AG15" s="18">
        <f t="shared" si="11"/>
        <v>402.21</v>
      </c>
      <c r="AH15" s="18"/>
      <c r="AI15" s="18"/>
      <c r="AJ15" s="18"/>
      <c r="AK15" s="18"/>
      <c r="AL15" s="18"/>
      <c r="AM15" s="18"/>
      <c r="AN15" s="18"/>
    </row>
    <row r="16" spans="1:43" x14ac:dyDescent="0.25">
      <c r="A16" s="3" t="s">
        <v>33</v>
      </c>
      <c r="B16" s="18">
        <f t="shared" ref="B16:AG16" si="12">IF($B$1="Reference",B52,B90)</f>
        <v>60.68</v>
      </c>
      <c r="C16" s="18">
        <f t="shared" si="12"/>
        <v>58.58</v>
      </c>
      <c r="D16" s="18">
        <f t="shared" si="12"/>
        <v>60.09</v>
      </c>
      <c r="E16" s="18">
        <f t="shared" si="12"/>
        <v>61.48</v>
      </c>
      <c r="F16" s="18">
        <f t="shared" si="12"/>
        <v>62.68</v>
      </c>
      <c r="G16" s="18">
        <f t="shared" si="12"/>
        <v>64.05</v>
      </c>
      <c r="H16" s="18">
        <f t="shared" si="12"/>
        <v>65.23</v>
      </c>
      <c r="I16" s="18">
        <f t="shared" si="12"/>
        <v>66.2</v>
      </c>
      <c r="J16" s="18">
        <f t="shared" si="12"/>
        <v>67.41</v>
      </c>
      <c r="K16" s="18">
        <f t="shared" si="12"/>
        <v>69.67</v>
      </c>
      <c r="L16" s="18">
        <f t="shared" si="12"/>
        <v>72.37</v>
      </c>
      <c r="M16" s="18">
        <f t="shared" si="12"/>
        <v>74.66</v>
      </c>
      <c r="N16" s="18">
        <f t="shared" si="12"/>
        <v>77.239999999999995</v>
      </c>
      <c r="O16" s="18">
        <f t="shared" si="12"/>
        <v>79.61</v>
      </c>
      <c r="P16" s="18">
        <f t="shared" si="12"/>
        <v>82.52</v>
      </c>
      <c r="Q16" s="18">
        <f t="shared" si="12"/>
        <v>85.37</v>
      </c>
      <c r="R16" s="18">
        <f t="shared" si="12"/>
        <v>89.15</v>
      </c>
      <c r="S16" s="18">
        <f t="shared" si="12"/>
        <v>93.56</v>
      </c>
      <c r="T16" s="18">
        <f t="shared" si="12"/>
        <v>96.22</v>
      </c>
      <c r="U16" s="18">
        <f t="shared" si="12"/>
        <v>99.16</v>
      </c>
      <c r="V16" s="18">
        <f t="shared" si="12"/>
        <v>101.85</v>
      </c>
      <c r="W16" s="18">
        <f t="shared" si="12"/>
        <v>104.7</v>
      </c>
      <c r="X16" s="18">
        <f t="shared" si="12"/>
        <v>107.63</v>
      </c>
      <c r="Y16" s="18">
        <f t="shared" si="12"/>
        <v>110.21</v>
      </c>
      <c r="Z16" s="18">
        <f t="shared" si="12"/>
        <v>112.46</v>
      </c>
      <c r="AA16" s="18">
        <f t="shared" si="12"/>
        <v>114.47</v>
      </c>
      <c r="AB16" s="18">
        <f t="shared" si="12"/>
        <v>116.38</v>
      </c>
      <c r="AC16" s="18">
        <f t="shared" si="12"/>
        <v>118.34</v>
      </c>
      <c r="AD16" s="18">
        <f t="shared" si="12"/>
        <v>118.47</v>
      </c>
      <c r="AE16" s="18">
        <f t="shared" si="12"/>
        <v>118.4</v>
      </c>
      <c r="AF16" s="18">
        <f t="shared" si="12"/>
        <v>118.4</v>
      </c>
      <c r="AG16" s="18">
        <f t="shared" si="12"/>
        <v>118.36</v>
      </c>
      <c r="AH16" s="18"/>
      <c r="AI16" s="18"/>
      <c r="AJ16" s="18"/>
      <c r="AK16" s="18"/>
      <c r="AL16" s="18"/>
      <c r="AM16" s="18"/>
      <c r="AN16" s="18"/>
    </row>
    <row r="17" spans="1:40" x14ac:dyDescent="0.25">
      <c r="A17" s="3" t="s">
        <v>34</v>
      </c>
      <c r="B17" s="18">
        <f t="shared" ref="B17:AG17" si="13">IF($B$1="Reference",B53,B91)</f>
        <v>247.43</v>
      </c>
      <c r="C17" s="18">
        <f t="shared" si="13"/>
        <v>235.95</v>
      </c>
      <c r="D17" s="18">
        <f t="shared" si="13"/>
        <v>242.5</v>
      </c>
      <c r="E17" s="18">
        <f t="shared" si="13"/>
        <v>248.63</v>
      </c>
      <c r="F17" s="18">
        <f t="shared" si="13"/>
        <v>253.33</v>
      </c>
      <c r="G17" s="18">
        <f t="shared" si="13"/>
        <v>258.23</v>
      </c>
      <c r="H17" s="18">
        <f t="shared" si="13"/>
        <v>263.17</v>
      </c>
      <c r="I17" s="18">
        <f t="shared" si="13"/>
        <v>268.76</v>
      </c>
      <c r="J17" s="18">
        <f t="shared" si="13"/>
        <v>274.67</v>
      </c>
      <c r="K17" s="18">
        <f t="shared" si="13"/>
        <v>282.06</v>
      </c>
      <c r="L17" s="18">
        <f t="shared" si="13"/>
        <v>291.58999999999997</v>
      </c>
      <c r="M17" s="18">
        <f t="shared" si="13"/>
        <v>299.91000000000003</v>
      </c>
      <c r="N17" s="18">
        <f t="shared" si="13"/>
        <v>308.88</v>
      </c>
      <c r="O17" s="18">
        <f t="shared" si="13"/>
        <v>317.89</v>
      </c>
      <c r="P17" s="18">
        <f t="shared" si="13"/>
        <v>330.19</v>
      </c>
      <c r="Q17" s="18">
        <f t="shared" si="13"/>
        <v>343.29</v>
      </c>
      <c r="R17" s="18">
        <f t="shared" si="13"/>
        <v>353.76</v>
      </c>
      <c r="S17" s="18">
        <f t="shared" si="13"/>
        <v>364</v>
      </c>
      <c r="T17" s="18">
        <f t="shared" si="13"/>
        <v>373.36</v>
      </c>
      <c r="U17" s="18">
        <f t="shared" si="13"/>
        <v>384.36</v>
      </c>
      <c r="V17" s="18">
        <f t="shared" si="13"/>
        <v>395.7</v>
      </c>
      <c r="W17" s="18">
        <f t="shared" si="13"/>
        <v>407.99</v>
      </c>
      <c r="X17" s="18">
        <f t="shared" si="13"/>
        <v>420.62</v>
      </c>
      <c r="Y17" s="18">
        <f t="shared" si="13"/>
        <v>432.8</v>
      </c>
      <c r="Z17" s="18">
        <f t="shared" si="13"/>
        <v>445.63</v>
      </c>
      <c r="AA17" s="18">
        <f t="shared" si="13"/>
        <v>458.11</v>
      </c>
      <c r="AB17" s="18">
        <f t="shared" si="13"/>
        <v>470.64</v>
      </c>
      <c r="AC17" s="18">
        <f t="shared" si="13"/>
        <v>482.18</v>
      </c>
      <c r="AD17" s="18">
        <f t="shared" si="13"/>
        <v>485.3</v>
      </c>
      <c r="AE17" s="18">
        <f t="shared" si="13"/>
        <v>488.87</v>
      </c>
      <c r="AF17" s="18">
        <f t="shared" si="13"/>
        <v>493.16</v>
      </c>
      <c r="AG17" s="18">
        <f t="shared" si="13"/>
        <v>497.65</v>
      </c>
      <c r="AH17" s="18"/>
      <c r="AI17" s="18"/>
      <c r="AJ17" s="18"/>
      <c r="AK17" s="18"/>
      <c r="AL17" s="18"/>
      <c r="AM17" s="18"/>
      <c r="AN17" s="18"/>
    </row>
    <row r="18" spans="1:40" x14ac:dyDescent="0.25">
      <c r="A18" s="3" t="s">
        <v>36</v>
      </c>
      <c r="B18" s="18">
        <f t="shared" ref="B18:AG18" si="14">IF($B$1="Reference",B54,B92)</f>
        <v>7.29</v>
      </c>
      <c r="C18" s="18">
        <f t="shared" si="14"/>
        <v>7.02</v>
      </c>
      <c r="D18" s="18">
        <f t="shared" si="14"/>
        <v>7.35</v>
      </c>
      <c r="E18" s="18">
        <f t="shared" si="14"/>
        <v>7.62</v>
      </c>
      <c r="F18" s="18">
        <f t="shared" si="14"/>
        <v>7.82</v>
      </c>
      <c r="G18" s="18">
        <f t="shared" si="14"/>
        <v>8.02</v>
      </c>
      <c r="H18" s="18">
        <f t="shared" si="14"/>
        <v>8.2200000000000006</v>
      </c>
      <c r="I18" s="18">
        <f t="shared" si="14"/>
        <v>8.42</v>
      </c>
      <c r="J18" s="18">
        <f t="shared" si="14"/>
        <v>8.6199999999999992</v>
      </c>
      <c r="K18" s="18">
        <f t="shared" si="14"/>
        <v>8.77</v>
      </c>
      <c r="L18" s="18">
        <f t="shared" si="14"/>
        <v>9</v>
      </c>
      <c r="M18" s="18">
        <f t="shared" si="14"/>
        <v>9.2200000000000006</v>
      </c>
      <c r="N18" s="18">
        <f t="shared" si="14"/>
        <v>9.42</v>
      </c>
      <c r="O18" s="18">
        <f t="shared" si="14"/>
        <v>9.61</v>
      </c>
      <c r="P18" s="18">
        <f t="shared" si="14"/>
        <v>9.89</v>
      </c>
      <c r="Q18" s="18">
        <f t="shared" si="14"/>
        <v>10.19</v>
      </c>
      <c r="R18" s="18">
        <f t="shared" si="14"/>
        <v>10.35</v>
      </c>
      <c r="S18" s="18">
        <f t="shared" si="14"/>
        <v>10.48</v>
      </c>
      <c r="T18" s="18">
        <f t="shared" si="14"/>
        <v>10.64</v>
      </c>
      <c r="U18" s="18">
        <f t="shared" si="14"/>
        <v>10.89</v>
      </c>
      <c r="V18" s="18">
        <f t="shared" si="14"/>
        <v>11.16</v>
      </c>
      <c r="W18" s="18">
        <f t="shared" si="14"/>
        <v>11.43</v>
      </c>
      <c r="X18" s="18">
        <f t="shared" si="14"/>
        <v>11.7</v>
      </c>
      <c r="Y18" s="18">
        <f t="shared" si="14"/>
        <v>11.97</v>
      </c>
      <c r="Z18" s="18">
        <f t="shared" si="14"/>
        <v>12.28</v>
      </c>
      <c r="AA18" s="18">
        <f t="shared" si="14"/>
        <v>12.58</v>
      </c>
      <c r="AB18" s="18">
        <f t="shared" si="14"/>
        <v>12.88</v>
      </c>
      <c r="AC18" s="18">
        <f t="shared" si="14"/>
        <v>13.16</v>
      </c>
      <c r="AD18" s="18">
        <f t="shared" si="14"/>
        <v>13.25</v>
      </c>
      <c r="AE18" s="18">
        <f t="shared" si="14"/>
        <v>13.36</v>
      </c>
      <c r="AF18" s="18">
        <f t="shared" si="14"/>
        <v>13.48</v>
      </c>
      <c r="AG18" s="18">
        <f t="shared" si="14"/>
        <v>13.61</v>
      </c>
      <c r="AH18" s="18"/>
      <c r="AI18" s="18"/>
      <c r="AJ18" s="18"/>
      <c r="AK18" s="18"/>
      <c r="AL18" s="18"/>
      <c r="AM18" s="18"/>
      <c r="AN18" s="18"/>
    </row>
    <row r="19" spans="1:40" x14ac:dyDescent="0.25">
      <c r="A19" s="3" t="s">
        <v>37</v>
      </c>
      <c r="B19" s="18">
        <f t="shared" ref="B19:AG19" si="15">IF($B$1="Reference",B55,B93)</f>
        <v>46.32</v>
      </c>
      <c r="C19" s="18">
        <f t="shared" si="15"/>
        <v>29.08</v>
      </c>
      <c r="D19" s="18">
        <f t="shared" si="15"/>
        <v>33.340000000000003</v>
      </c>
      <c r="E19" s="18">
        <f t="shared" si="15"/>
        <v>38.270000000000003</v>
      </c>
      <c r="F19" s="18">
        <f t="shared" si="15"/>
        <v>38.229999999999997</v>
      </c>
      <c r="G19" s="18">
        <f t="shared" si="15"/>
        <v>38.19</v>
      </c>
      <c r="H19" s="18">
        <f t="shared" si="15"/>
        <v>38.159999999999997</v>
      </c>
      <c r="I19" s="18">
        <f t="shared" si="15"/>
        <v>38.119999999999997</v>
      </c>
      <c r="J19" s="18">
        <f t="shared" si="15"/>
        <v>38.08</v>
      </c>
      <c r="K19" s="18">
        <f t="shared" si="15"/>
        <v>16.8</v>
      </c>
      <c r="L19" s="18">
        <f t="shared" si="15"/>
        <v>10.85</v>
      </c>
      <c r="M19" s="18">
        <f t="shared" si="15"/>
        <v>10.81</v>
      </c>
      <c r="N19" s="18">
        <f t="shared" si="15"/>
        <v>10.81</v>
      </c>
      <c r="O19" s="18">
        <f t="shared" si="15"/>
        <v>10.81</v>
      </c>
      <c r="P19" s="18">
        <f t="shared" si="15"/>
        <v>10.81</v>
      </c>
      <c r="Q19" s="18">
        <f t="shared" si="15"/>
        <v>10.79</v>
      </c>
      <c r="R19" s="18">
        <f t="shared" si="15"/>
        <v>6.07</v>
      </c>
      <c r="S19" s="18">
        <f t="shared" si="15"/>
        <v>1.4</v>
      </c>
      <c r="T19" s="18">
        <f t="shared" si="15"/>
        <v>1.38</v>
      </c>
      <c r="U19" s="18">
        <f t="shared" si="15"/>
        <v>1.28</v>
      </c>
      <c r="V19" s="18">
        <f t="shared" si="15"/>
        <v>1.17</v>
      </c>
      <c r="W19" s="18">
        <f t="shared" si="15"/>
        <v>1.06</v>
      </c>
      <c r="X19" s="18">
        <f t="shared" si="15"/>
        <v>0.97</v>
      </c>
      <c r="Y19" s="18">
        <f t="shared" si="15"/>
        <v>0.88</v>
      </c>
      <c r="Z19" s="18">
        <f t="shared" si="15"/>
        <v>0.79</v>
      </c>
      <c r="AA19" s="18">
        <f t="shared" si="15"/>
        <v>0.7</v>
      </c>
      <c r="AB19" s="18">
        <f t="shared" si="15"/>
        <v>0.61</v>
      </c>
      <c r="AC19" s="18">
        <f t="shared" si="15"/>
        <v>0.62</v>
      </c>
      <c r="AD19" s="18">
        <f t="shared" si="15"/>
        <v>0.63</v>
      </c>
      <c r="AE19" s="18">
        <f t="shared" si="15"/>
        <v>0.63</v>
      </c>
      <c r="AF19" s="18">
        <f t="shared" si="15"/>
        <v>0.64</v>
      </c>
      <c r="AG19" s="18">
        <f t="shared" si="15"/>
        <v>0.65</v>
      </c>
      <c r="AH19" s="18"/>
      <c r="AI19" s="18"/>
      <c r="AJ19" s="18"/>
      <c r="AK19" s="18"/>
      <c r="AL19" s="18"/>
      <c r="AM19" s="18"/>
      <c r="AN19" s="18"/>
    </row>
    <row r="20" spans="1:40" x14ac:dyDescent="0.25">
      <c r="A20" s="3" t="s">
        <v>38</v>
      </c>
      <c r="B20" s="18">
        <f t="shared" ref="B20:AG20" si="16">IF($B$1="Reference",B56,B94)</f>
        <v>112.99</v>
      </c>
      <c r="C20" s="18">
        <f t="shared" si="16"/>
        <v>109.03</v>
      </c>
      <c r="D20" s="18">
        <f t="shared" si="16"/>
        <v>107.81</v>
      </c>
      <c r="E20" s="18">
        <f t="shared" si="16"/>
        <v>106.54</v>
      </c>
      <c r="F20" s="18">
        <f t="shared" si="16"/>
        <v>104.86</v>
      </c>
      <c r="G20" s="18">
        <f t="shared" si="16"/>
        <v>103.71</v>
      </c>
      <c r="H20" s="18">
        <f t="shared" si="16"/>
        <v>102.26</v>
      </c>
      <c r="I20" s="18">
        <f t="shared" si="16"/>
        <v>99.81</v>
      </c>
      <c r="J20" s="18">
        <f t="shared" si="16"/>
        <v>96.7</v>
      </c>
      <c r="K20" s="18">
        <f t="shared" si="16"/>
        <v>94.63</v>
      </c>
      <c r="L20" s="18">
        <f t="shared" si="16"/>
        <v>92.91</v>
      </c>
      <c r="M20" s="18">
        <f t="shared" si="16"/>
        <v>88.38</v>
      </c>
      <c r="N20" s="18">
        <f t="shared" si="16"/>
        <v>84.01</v>
      </c>
      <c r="O20" s="18">
        <f t="shared" si="16"/>
        <v>81.599999999999994</v>
      </c>
      <c r="P20" s="18">
        <f t="shared" si="16"/>
        <v>77.55</v>
      </c>
      <c r="Q20" s="18">
        <f t="shared" si="16"/>
        <v>77.3</v>
      </c>
      <c r="R20" s="18">
        <f t="shared" si="16"/>
        <v>63.1</v>
      </c>
      <c r="S20" s="18">
        <f t="shared" si="16"/>
        <v>49.91</v>
      </c>
      <c r="T20" s="18">
        <f t="shared" si="16"/>
        <v>42.41</v>
      </c>
      <c r="U20" s="18">
        <f t="shared" si="16"/>
        <v>38.44</v>
      </c>
      <c r="V20" s="18">
        <f t="shared" si="16"/>
        <v>34.46</v>
      </c>
      <c r="W20" s="18">
        <f t="shared" si="16"/>
        <v>30.51</v>
      </c>
      <c r="X20" s="18">
        <f t="shared" si="16"/>
        <v>29.19</v>
      </c>
      <c r="Y20" s="18">
        <f t="shared" si="16"/>
        <v>27.86</v>
      </c>
      <c r="Z20" s="18">
        <f t="shared" si="16"/>
        <v>26.53</v>
      </c>
      <c r="AA20" s="18">
        <f t="shared" si="16"/>
        <v>25.19</v>
      </c>
      <c r="AB20" s="18">
        <f t="shared" si="16"/>
        <v>23.86</v>
      </c>
      <c r="AC20" s="18">
        <f t="shared" si="16"/>
        <v>21.82</v>
      </c>
      <c r="AD20" s="18">
        <f t="shared" si="16"/>
        <v>19.77</v>
      </c>
      <c r="AE20" s="18">
        <f t="shared" si="16"/>
        <v>17.73</v>
      </c>
      <c r="AF20" s="18">
        <f t="shared" si="16"/>
        <v>15.68</v>
      </c>
      <c r="AG20" s="18">
        <f t="shared" si="16"/>
        <v>13.64</v>
      </c>
      <c r="AH20" s="18"/>
      <c r="AI20" s="18"/>
      <c r="AJ20" s="18"/>
      <c r="AK20" s="18"/>
      <c r="AL20" s="18"/>
      <c r="AM20" s="18"/>
      <c r="AN20" s="18"/>
    </row>
    <row r="21" spans="1:40" x14ac:dyDescent="0.25">
      <c r="A21" s="3" t="s">
        <v>183</v>
      </c>
      <c r="B21" s="18">
        <f t="shared" ref="B21:AG21" si="17">IF($B$1="Reference",B57,B95)</f>
        <v>97.82</v>
      </c>
      <c r="C21" s="18">
        <f t="shared" si="17"/>
        <v>74.11</v>
      </c>
      <c r="D21" s="18">
        <f t="shared" si="17"/>
        <v>78.11</v>
      </c>
      <c r="E21" s="18">
        <f t="shared" si="17"/>
        <v>82.05</v>
      </c>
      <c r="F21" s="18">
        <f t="shared" si="17"/>
        <v>86.08</v>
      </c>
      <c r="G21" s="18">
        <f t="shared" si="17"/>
        <v>90.14</v>
      </c>
      <c r="H21" s="18">
        <f t="shared" si="17"/>
        <v>94.22</v>
      </c>
      <c r="I21" s="18">
        <f t="shared" si="17"/>
        <v>94.74</v>
      </c>
      <c r="J21" s="18">
        <f t="shared" si="17"/>
        <v>95.24</v>
      </c>
      <c r="K21" s="18">
        <f t="shared" si="17"/>
        <v>95.95</v>
      </c>
      <c r="L21" s="18">
        <f t="shared" si="17"/>
        <v>96.56</v>
      </c>
      <c r="M21" s="18">
        <f t="shared" si="17"/>
        <v>97.04</v>
      </c>
      <c r="N21" s="18">
        <f t="shared" si="17"/>
        <v>98.98</v>
      </c>
      <c r="O21" s="18">
        <f t="shared" si="17"/>
        <v>100.95</v>
      </c>
      <c r="P21" s="18">
        <f t="shared" si="17"/>
        <v>102.96</v>
      </c>
      <c r="Q21" s="18">
        <f t="shared" si="17"/>
        <v>105</v>
      </c>
      <c r="R21" s="18">
        <f t="shared" si="17"/>
        <v>107.44</v>
      </c>
      <c r="S21" s="18">
        <f t="shared" si="17"/>
        <v>109.83</v>
      </c>
      <c r="T21" s="18">
        <f t="shared" si="17"/>
        <v>111.69</v>
      </c>
      <c r="U21" s="18">
        <f t="shared" si="17"/>
        <v>113.62</v>
      </c>
      <c r="V21" s="18">
        <f t="shared" si="17"/>
        <v>115.47</v>
      </c>
      <c r="W21" s="18">
        <f t="shared" si="17"/>
        <v>117.58</v>
      </c>
      <c r="X21" s="18">
        <f t="shared" si="17"/>
        <v>140.30000000000001</v>
      </c>
      <c r="Y21" s="18">
        <f t="shared" si="17"/>
        <v>163.32</v>
      </c>
      <c r="Z21" s="18">
        <f t="shared" si="17"/>
        <v>186.53</v>
      </c>
      <c r="AA21" s="18">
        <f t="shared" si="17"/>
        <v>209.81</v>
      </c>
      <c r="AB21" s="18">
        <f t="shared" si="17"/>
        <v>233.11</v>
      </c>
      <c r="AC21" s="18">
        <f t="shared" si="17"/>
        <v>256.42</v>
      </c>
      <c r="AD21" s="18">
        <f t="shared" si="17"/>
        <v>279.41000000000003</v>
      </c>
      <c r="AE21" s="18">
        <f t="shared" si="17"/>
        <v>302.49</v>
      </c>
      <c r="AF21" s="18">
        <f t="shared" si="17"/>
        <v>325.62</v>
      </c>
      <c r="AG21" s="18">
        <f t="shared" si="17"/>
        <v>348.76</v>
      </c>
      <c r="AH21" s="18"/>
      <c r="AI21" s="18"/>
      <c r="AJ21" s="18"/>
      <c r="AK21" s="18"/>
      <c r="AL21" s="18"/>
      <c r="AM21" s="18"/>
      <c r="AN21" s="18"/>
    </row>
    <row r="22" spans="1:40" x14ac:dyDescent="0.25">
      <c r="A22" s="3" t="s">
        <v>184</v>
      </c>
      <c r="B22" s="18">
        <f t="shared" ref="B22:AG22" si="18">IF($B$1="Reference",B58,B96)</f>
        <v>2.4900000000000002</v>
      </c>
      <c r="C22" s="18">
        <f t="shared" si="18"/>
        <v>2.35</v>
      </c>
      <c r="D22" s="18">
        <f t="shared" si="18"/>
        <v>2.35</v>
      </c>
      <c r="E22" s="18">
        <f t="shared" si="18"/>
        <v>2.39</v>
      </c>
      <c r="F22" s="18">
        <f t="shared" si="18"/>
        <v>2.42</v>
      </c>
      <c r="G22" s="18">
        <f t="shared" si="18"/>
        <v>2.4500000000000002</v>
      </c>
      <c r="H22" s="18">
        <f t="shared" si="18"/>
        <v>2.4700000000000002</v>
      </c>
      <c r="I22" s="18">
        <f t="shared" si="18"/>
        <v>2.5099999999999998</v>
      </c>
      <c r="J22" s="18">
        <f t="shared" si="18"/>
        <v>2.54</v>
      </c>
      <c r="K22" s="18">
        <f t="shared" si="18"/>
        <v>2.5</v>
      </c>
      <c r="L22" s="18">
        <f t="shared" si="18"/>
        <v>2.5</v>
      </c>
      <c r="M22" s="18">
        <f t="shared" si="18"/>
        <v>2.5299999999999998</v>
      </c>
      <c r="N22" s="18">
        <f t="shared" si="18"/>
        <v>2.56</v>
      </c>
      <c r="O22" s="18">
        <f t="shared" si="18"/>
        <v>2.59</v>
      </c>
      <c r="P22" s="18">
        <f t="shared" si="18"/>
        <v>2.64</v>
      </c>
      <c r="Q22" s="18">
        <f t="shared" si="18"/>
        <v>2.68</v>
      </c>
      <c r="R22" s="18">
        <f t="shared" si="18"/>
        <v>2.23</v>
      </c>
      <c r="S22" s="18">
        <f t="shared" si="18"/>
        <v>1.86</v>
      </c>
      <c r="T22" s="18">
        <f t="shared" si="18"/>
        <v>1.8</v>
      </c>
      <c r="U22" s="18">
        <f t="shared" si="18"/>
        <v>1.9</v>
      </c>
      <c r="V22" s="18">
        <f t="shared" si="18"/>
        <v>1.97</v>
      </c>
      <c r="W22" s="18">
        <f t="shared" si="18"/>
        <v>1.85</v>
      </c>
      <c r="X22" s="18">
        <f t="shared" si="18"/>
        <v>1.82</v>
      </c>
      <c r="Y22" s="18">
        <f t="shared" si="18"/>
        <v>1.84</v>
      </c>
      <c r="Z22" s="18">
        <f t="shared" si="18"/>
        <v>1.88</v>
      </c>
      <c r="AA22" s="18">
        <f t="shared" si="18"/>
        <v>1.93</v>
      </c>
      <c r="AB22" s="18">
        <f t="shared" si="18"/>
        <v>1.98</v>
      </c>
      <c r="AC22" s="18">
        <f t="shared" si="18"/>
        <v>2.0299999999999998</v>
      </c>
      <c r="AD22" s="18">
        <f t="shared" si="18"/>
        <v>2.0499999999999998</v>
      </c>
      <c r="AE22" s="18">
        <f t="shared" si="18"/>
        <v>2.0699999999999998</v>
      </c>
      <c r="AF22" s="18">
        <f t="shared" si="18"/>
        <v>2.09</v>
      </c>
      <c r="AG22" s="18">
        <f t="shared" si="18"/>
        <v>2.11</v>
      </c>
      <c r="AH22" s="18"/>
      <c r="AI22" s="18"/>
      <c r="AJ22" s="18"/>
      <c r="AK22" s="18"/>
      <c r="AL22" s="18"/>
      <c r="AM22" s="18"/>
      <c r="AN22" s="18"/>
    </row>
    <row r="23" spans="1:40" x14ac:dyDescent="0.25">
      <c r="A23" s="3" t="s">
        <v>188</v>
      </c>
      <c r="B23" s="18">
        <f t="shared" ref="B23:AG23" si="19">IF($B$1="Reference",B59,B99)</f>
        <v>0.28999999999999998</v>
      </c>
      <c r="C23" s="18">
        <f t="shared" si="19"/>
        <v>0.28999999999999998</v>
      </c>
      <c r="D23" s="18">
        <f t="shared" si="19"/>
        <v>0.28999999999999998</v>
      </c>
      <c r="E23" s="18">
        <f t="shared" si="19"/>
        <v>0.28999999999999998</v>
      </c>
      <c r="F23" s="18">
        <f t="shared" si="19"/>
        <v>0.28999999999999998</v>
      </c>
      <c r="G23" s="18">
        <f t="shared" si="19"/>
        <v>0.28999999999999998</v>
      </c>
      <c r="H23" s="18">
        <f t="shared" si="19"/>
        <v>0.28999999999999998</v>
      </c>
      <c r="I23" s="18">
        <f t="shared" si="19"/>
        <v>0.28999999999999998</v>
      </c>
      <c r="J23" s="18">
        <f t="shared" si="19"/>
        <v>0.28999999999999998</v>
      </c>
      <c r="K23" s="18">
        <f t="shared" si="19"/>
        <v>0.28999999999999998</v>
      </c>
      <c r="L23" s="18">
        <f t="shared" si="19"/>
        <v>0.28999999999999998</v>
      </c>
      <c r="M23" s="18">
        <f t="shared" si="19"/>
        <v>0.28999999999999998</v>
      </c>
      <c r="N23" s="18">
        <f t="shared" si="19"/>
        <v>1.63</v>
      </c>
      <c r="O23" s="18">
        <f t="shared" si="19"/>
        <v>1.77</v>
      </c>
      <c r="P23" s="18">
        <f t="shared" si="19"/>
        <v>1.5</v>
      </c>
      <c r="Q23" s="18">
        <f t="shared" si="19"/>
        <v>1.96</v>
      </c>
      <c r="R23" s="18">
        <f t="shared" si="19"/>
        <v>2.0499999999999998</v>
      </c>
      <c r="S23" s="18">
        <f t="shared" si="19"/>
        <v>2.16</v>
      </c>
      <c r="T23" s="18">
        <f t="shared" si="19"/>
        <v>5.39</v>
      </c>
      <c r="U23" s="18">
        <f t="shared" si="19"/>
        <v>11.2</v>
      </c>
      <c r="V23" s="18">
        <f t="shared" si="19"/>
        <v>16.98</v>
      </c>
      <c r="W23" s="18">
        <f t="shared" si="19"/>
        <v>22.75</v>
      </c>
      <c r="X23" s="18">
        <f t="shared" si="19"/>
        <v>25.18</v>
      </c>
      <c r="Y23" s="18">
        <f t="shared" si="19"/>
        <v>27.62</v>
      </c>
      <c r="Z23" s="18">
        <f t="shared" si="19"/>
        <v>30.04</v>
      </c>
      <c r="AA23" s="18">
        <f t="shared" si="19"/>
        <v>32.450000000000003</v>
      </c>
      <c r="AB23" s="18">
        <f t="shared" si="19"/>
        <v>34.869999999999997</v>
      </c>
      <c r="AC23" s="18">
        <f t="shared" si="19"/>
        <v>34.19</v>
      </c>
      <c r="AD23" s="18">
        <f t="shared" si="19"/>
        <v>33.5</v>
      </c>
      <c r="AE23" s="18">
        <f t="shared" si="19"/>
        <v>32.82</v>
      </c>
      <c r="AF23" s="18">
        <f t="shared" si="19"/>
        <v>32.14</v>
      </c>
      <c r="AG23" s="18">
        <f t="shared" si="19"/>
        <v>31.46</v>
      </c>
      <c r="AH23" s="18"/>
      <c r="AI23" s="18"/>
      <c r="AJ23" s="18"/>
      <c r="AK23" s="18"/>
      <c r="AL23" s="18"/>
      <c r="AM23" s="18"/>
      <c r="AN23" s="18"/>
    </row>
    <row r="24" spans="1:40" x14ac:dyDescent="0.25">
      <c r="A24" s="3" t="s">
        <v>189</v>
      </c>
      <c r="B24" s="18">
        <f t="shared" ref="B24:AG24" si="20">IF($B$1="Reference",B60,B100)</f>
        <v>0.08</v>
      </c>
      <c r="C24" s="18">
        <f t="shared" si="20"/>
        <v>0.08</v>
      </c>
      <c r="D24" s="18">
        <f t="shared" si="20"/>
        <v>0.08</v>
      </c>
      <c r="E24" s="18">
        <f t="shared" si="20"/>
        <v>0.08</v>
      </c>
      <c r="F24" s="18">
        <f t="shared" si="20"/>
        <v>0.12</v>
      </c>
      <c r="G24" s="18">
        <f t="shared" si="20"/>
        <v>0.16</v>
      </c>
      <c r="H24" s="18">
        <f t="shared" si="20"/>
        <v>0.2</v>
      </c>
      <c r="I24" s="18">
        <f t="shared" si="20"/>
        <v>0.23</v>
      </c>
      <c r="J24" s="18">
        <f t="shared" si="20"/>
        <v>0.27</v>
      </c>
      <c r="K24" s="18">
        <f t="shared" si="20"/>
        <v>0.31</v>
      </c>
      <c r="L24" s="18">
        <f t="shared" si="20"/>
        <v>0.35</v>
      </c>
      <c r="M24" s="18">
        <f t="shared" si="20"/>
        <v>1.99</v>
      </c>
      <c r="N24" s="18">
        <f t="shared" si="20"/>
        <v>1.01</v>
      </c>
      <c r="O24" s="18">
        <f t="shared" si="20"/>
        <v>1.4</v>
      </c>
      <c r="P24" s="18">
        <f t="shared" si="20"/>
        <v>1.29</v>
      </c>
      <c r="Q24" s="18">
        <f t="shared" si="20"/>
        <v>1.66</v>
      </c>
      <c r="R24" s="18">
        <f t="shared" si="20"/>
        <v>2.08</v>
      </c>
      <c r="S24" s="18">
        <f t="shared" si="20"/>
        <v>1.84</v>
      </c>
      <c r="T24" s="18">
        <f t="shared" si="20"/>
        <v>8.24</v>
      </c>
      <c r="U24" s="18">
        <f t="shared" si="20"/>
        <v>8.2200000000000006</v>
      </c>
      <c r="V24" s="18">
        <f t="shared" si="20"/>
        <v>4.18</v>
      </c>
      <c r="W24" s="18">
        <f t="shared" si="20"/>
        <v>4.18</v>
      </c>
      <c r="X24" s="18">
        <f t="shared" si="20"/>
        <v>4.18</v>
      </c>
      <c r="Y24" s="18">
        <f t="shared" si="20"/>
        <v>4.17</v>
      </c>
      <c r="Z24" s="18">
        <f t="shared" si="20"/>
        <v>3.29</v>
      </c>
      <c r="AA24" s="18">
        <f t="shared" si="20"/>
        <v>3.29</v>
      </c>
      <c r="AB24" s="18">
        <f t="shared" si="20"/>
        <v>3.29</v>
      </c>
      <c r="AC24" s="18">
        <f t="shared" si="20"/>
        <v>3.29</v>
      </c>
      <c r="AD24" s="18">
        <f t="shared" si="20"/>
        <v>3.29</v>
      </c>
      <c r="AE24" s="18">
        <f t="shared" si="20"/>
        <v>6.49</v>
      </c>
      <c r="AF24" s="18">
        <f t="shared" si="20"/>
        <v>6.49</v>
      </c>
      <c r="AG24" s="18">
        <f t="shared" si="20"/>
        <v>6.49</v>
      </c>
      <c r="AH24" s="18"/>
      <c r="AI24" s="18"/>
      <c r="AJ24" s="18"/>
      <c r="AK24" s="18"/>
      <c r="AL24" s="18"/>
      <c r="AM24" s="18"/>
      <c r="AN24" s="18"/>
    </row>
    <row r="26" spans="1:40" ht="18" thickBot="1" x14ac:dyDescent="0.35">
      <c r="A26" s="4" t="s">
        <v>68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54</v>
      </c>
      <c r="B28" s="18">
        <f t="shared" ref="B28:K30" si="21">IF($B$1="Reference",B64,I102)</f>
        <v>0.5</v>
      </c>
      <c r="C28" s="18">
        <f t="shared" si="21"/>
        <v>0.51400000000000001</v>
      </c>
      <c r="D28" s="18">
        <f t="shared" si="21"/>
        <v>0.52100000000000002</v>
      </c>
      <c r="E28" s="18">
        <f t="shared" si="21"/>
        <v>0.50900000000000001</v>
      </c>
      <c r="F28" s="18">
        <f t="shared" si="21"/>
        <v>0.5</v>
      </c>
      <c r="G28" s="18">
        <f t="shared" si="21"/>
        <v>0.49099999999999999</v>
      </c>
      <c r="H28" s="18">
        <f t="shared" si="21"/>
        <v>0.48199999999999998</v>
      </c>
      <c r="I28" s="18">
        <f t="shared" si="21"/>
        <v>0.47499999999999998</v>
      </c>
      <c r="J28" s="18">
        <f t="shared" si="21"/>
        <v>0.46800000000000003</v>
      </c>
      <c r="K28" s="18">
        <f t="shared" si="21"/>
        <v>0.46400000000000002</v>
      </c>
      <c r="L28" s="18">
        <f t="shared" ref="L28:U30" si="22">IF($B$1="Reference",L64,S102)</f>
        <v>0.45700000000000002</v>
      </c>
      <c r="M28" s="18">
        <f t="shared" si="22"/>
        <v>0.44900000000000001</v>
      </c>
      <c r="N28" s="18">
        <f t="shared" si="22"/>
        <v>0.439</v>
      </c>
      <c r="O28" s="18">
        <f t="shared" si="22"/>
        <v>0.42799999999999999</v>
      </c>
      <c r="P28" s="18">
        <f t="shared" si="22"/>
        <v>0.41699999999999998</v>
      </c>
      <c r="Q28" s="18">
        <f t="shared" si="22"/>
        <v>0.40500000000000003</v>
      </c>
      <c r="R28" s="18">
        <f t="shared" si="22"/>
        <v>0.39600000000000002</v>
      </c>
      <c r="S28" s="18">
        <f t="shared" si="22"/>
        <v>0.39100000000000001</v>
      </c>
      <c r="T28" s="18">
        <f t="shared" si="22"/>
        <v>0.38400000000000001</v>
      </c>
      <c r="U28" s="18">
        <f t="shared" si="22"/>
        <v>0.377</v>
      </c>
      <c r="V28" s="18">
        <f t="shared" ref="V28:AE30" si="23">IF($B$1="Reference",V64,AC102)</f>
        <v>0.36799999999999999</v>
      </c>
      <c r="W28" s="18">
        <f t="shared" si="23"/>
        <v>0.35899999999999999</v>
      </c>
      <c r="X28" s="18">
        <f t="shared" si="23"/>
        <v>0.35199999999999998</v>
      </c>
      <c r="Y28" s="18">
        <f t="shared" si="23"/>
        <v>0.34399999999999997</v>
      </c>
      <c r="Z28" s="18">
        <f t="shared" si="23"/>
        <v>0.33600000000000002</v>
      </c>
      <c r="AA28" s="18">
        <f t="shared" si="23"/>
        <v>0.32800000000000001</v>
      </c>
      <c r="AB28" s="18">
        <f t="shared" si="23"/>
        <v>0.32</v>
      </c>
      <c r="AC28" s="18">
        <f t="shared" si="23"/>
        <v>0.312</v>
      </c>
      <c r="AD28" s="18">
        <f t="shared" si="23"/>
        <v>0.30599999999999999</v>
      </c>
      <c r="AE28" s="18">
        <f t="shared" si="23"/>
        <v>0.30299999999999999</v>
      </c>
      <c r="AF28" s="18">
        <f t="shared" ref="AF28:AG30" si="24">IF($B$1="Reference",AF64,AM102)</f>
        <v>0.3</v>
      </c>
      <c r="AG28" s="18">
        <f t="shared" si="24"/>
        <v>0.29599999999999999</v>
      </c>
    </row>
    <row r="29" spans="1:40" x14ac:dyDescent="0.25">
      <c r="A29" s="3" t="s">
        <v>55</v>
      </c>
      <c r="B29" s="18">
        <f t="shared" si="21"/>
        <v>0.3</v>
      </c>
      <c r="C29" s="18">
        <f t="shared" si="21"/>
        <v>0.28599999999999998</v>
      </c>
      <c r="D29" s="18">
        <f t="shared" si="21"/>
        <v>0.27900000000000003</v>
      </c>
      <c r="E29" s="18">
        <f t="shared" si="21"/>
        <v>0.29099999999999998</v>
      </c>
      <c r="F29" s="18">
        <f t="shared" si="21"/>
        <v>0.29899999999999999</v>
      </c>
      <c r="G29" s="18">
        <f t="shared" si="21"/>
        <v>0.30199999999999999</v>
      </c>
      <c r="H29" s="18">
        <f t="shared" si="21"/>
        <v>0.30499999999999999</v>
      </c>
      <c r="I29" s="18">
        <f t="shared" si="21"/>
        <v>0.307</v>
      </c>
      <c r="J29" s="18">
        <f t="shared" si="21"/>
        <v>0.31</v>
      </c>
      <c r="K29" s="18">
        <f t="shared" si="21"/>
        <v>0.312</v>
      </c>
      <c r="L29" s="18">
        <f t="shared" si="22"/>
        <v>0.313</v>
      </c>
      <c r="M29" s="18">
        <f t="shared" si="22"/>
        <v>0.316</v>
      </c>
      <c r="N29" s="18">
        <f t="shared" si="22"/>
        <v>0.318</v>
      </c>
      <c r="O29" s="18">
        <f t="shared" si="22"/>
        <v>0.32</v>
      </c>
      <c r="P29" s="18">
        <f t="shared" si="22"/>
        <v>0.32300000000000001</v>
      </c>
      <c r="Q29" s="18">
        <f t="shared" si="22"/>
        <v>0.32600000000000001</v>
      </c>
      <c r="R29" s="18">
        <f t="shared" si="22"/>
        <v>0.33</v>
      </c>
      <c r="S29" s="18">
        <f t="shared" si="22"/>
        <v>0.33200000000000002</v>
      </c>
      <c r="T29" s="18">
        <f t="shared" si="22"/>
        <v>0.33400000000000002</v>
      </c>
      <c r="U29" s="18">
        <f t="shared" si="22"/>
        <v>0.33700000000000002</v>
      </c>
      <c r="V29" s="18">
        <f t="shared" si="23"/>
        <v>0.33700000000000002</v>
      </c>
      <c r="W29" s="18">
        <f t="shared" si="23"/>
        <v>0.34100000000000003</v>
      </c>
      <c r="X29" s="18">
        <f t="shared" si="23"/>
        <v>0.34300000000000003</v>
      </c>
      <c r="Y29" s="18">
        <f t="shared" si="23"/>
        <v>0.34499999999999997</v>
      </c>
      <c r="Z29" s="18">
        <f t="shared" si="23"/>
        <v>0.34699999999999998</v>
      </c>
      <c r="AA29" s="18">
        <f t="shared" si="23"/>
        <v>0.34799999999999998</v>
      </c>
      <c r="AB29" s="18">
        <f t="shared" si="23"/>
        <v>0.35</v>
      </c>
      <c r="AC29" s="18">
        <f t="shared" si="23"/>
        <v>0.35199999999999998</v>
      </c>
      <c r="AD29" s="18">
        <f t="shared" si="23"/>
        <v>0.35499999999999998</v>
      </c>
      <c r="AE29" s="18">
        <f t="shared" si="23"/>
        <v>0.35599999999999998</v>
      </c>
      <c r="AF29" s="18">
        <f t="shared" si="24"/>
        <v>0.35799999999999998</v>
      </c>
      <c r="AG29" s="18">
        <f t="shared" si="24"/>
        <v>0.35899999999999999</v>
      </c>
    </row>
    <row r="30" spans="1:40" x14ac:dyDescent="0.25">
      <c r="A30" s="3" t="s">
        <v>56</v>
      </c>
      <c r="B30" s="18">
        <f t="shared" si="21"/>
        <v>0.2</v>
      </c>
      <c r="C30" s="18">
        <f t="shared" si="21"/>
        <v>0.2</v>
      </c>
      <c r="D30" s="18">
        <f t="shared" si="21"/>
        <v>0.2</v>
      </c>
      <c r="E30" s="18">
        <f t="shared" si="21"/>
        <v>0.2</v>
      </c>
      <c r="F30" s="18">
        <f t="shared" si="21"/>
        <v>0.20100000000000001</v>
      </c>
      <c r="G30" s="18">
        <f t="shared" si="21"/>
        <v>0.20699999999999999</v>
      </c>
      <c r="H30" s="18">
        <f t="shared" si="21"/>
        <v>0.21299999999999999</v>
      </c>
      <c r="I30" s="18">
        <f t="shared" si="21"/>
        <v>0.218</v>
      </c>
      <c r="J30" s="18">
        <f t="shared" si="21"/>
        <v>0.222</v>
      </c>
      <c r="K30" s="18">
        <f t="shared" si="21"/>
        <v>0.224</v>
      </c>
      <c r="L30" s="18">
        <f t="shared" si="22"/>
        <v>0.23</v>
      </c>
      <c r="M30" s="18">
        <f t="shared" si="22"/>
        <v>0.23599999999999999</v>
      </c>
      <c r="N30" s="18">
        <f t="shared" si="22"/>
        <v>0.24399999999999999</v>
      </c>
      <c r="O30" s="18">
        <f t="shared" si="22"/>
        <v>0.251</v>
      </c>
      <c r="P30" s="18">
        <f t="shared" si="22"/>
        <v>0.26</v>
      </c>
      <c r="Q30" s="18">
        <f t="shared" si="22"/>
        <v>0.26900000000000002</v>
      </c>
      <c r="R30" s="18">
        <f t="shared" si="22"/>
        <v>0.27400000000000002</v>
      </c>
      <c r="S30" s="18">
        <f t="shared" si="22"/>
        <v>0.27700000000000002</v>
      </c>
      <c r="T30" s="18">
        <f t="shared" si="22"/>
        <v>0.28199999999999997</v>
      </c>
      <c r="U30" s="18">
        <f t="shared" si="22"/>
        <v>0.28699999999999998</v>
      </c>
      <c r="V30" s="18">
        <f t="shared" si="23"/>
        <v>0.29399999999999998</v>
      </c>
      <c r="W30" s="18">
        <f t="shared" si="23"/>
        <v>0.29899999999999999</v>
      </c>
      <c r="X30" s="18">
        <f t="shared" si="23"/>
        <v>0.30599999999999999</v>
      </c>
      <c r="Y30" s="18">
        <f t="shared" si="23"/>
        <v>0.312</v>
      </c>
      <c r="Z30" s="18">
        <f t="shared" si="23"/>
        <v>0.318</v>
      </c>
      <c r="AA30" s="18">
        <f t="shared" si="23"/>
        <v>0.32400000000000001</v>
      </c>
      <c r="AB30" s="18">
        <f t="shared" si="23"/>
        <v>0.33</v>
      </c>
      <c r="AC30" s="18">
        <f t="shared" si="23"/>
        <v>0.33600000000000002</v>
      </c>
      <c r="AD30" s="18">
        <f t="shared" si="23"/>
        <v>0.33900000000000002</v>
      </c>
      <c r="AE30" s="18">
        <f t="shared" si="23"/>
        <v>0.34100000000000003</v>
      </c>
      <c r="AF30" s="18">
        <f t="shared" si="24"/>
        <v>0.34300000000000003</v>
      </c>
      <c r="AG30" s="18">
        <f t="shared" si="24"/>
        <v>0.34499999999999997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69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8">
        <f>IF($B$1="Reference",A71,H109)</f>
        <v>0.36699999999999999</v>
      </c>
      <c r="B35" s="18">
        <f t="shared" ref="B35:AF35" si="25">IF($B$1="Reference",B71,I109)</f>
        <v>0.34200000000000003</v>
      </c>
      <c r="C35" s="18">
        <f t="shared" si="25"/>
        <v>0.41299999999999998</v>
      </c>
      <c r="D35" s="18">
        <f t="shared" si="25"/>
        <v>0.36099999999999999</v>
      </c>
      <c r="E35" s="18">
        <f t="shared" si="25"/>
        <v>0.42599999999999999</v>
      </c>
      <c r="F35" s="18">
        <f t="shared" si="25"/>
        <v>0.432</v>
      </c>
      <c r="G35" s="18">
        <f t="shared" si="25"/>
        <v>0.438</v>
      </c>
      <c r="H35" s="18">
        <f t="shared" si="25"/>
        <v>0.442</v>
      </c>
      <c r="I35" s="18">
        <f t="shared" si="25"/>
        <v>0.44700000000000001</v>
      </c>
      <c r="J35" s="18">
        <f t="shared" si="25"/>
        <v>0.44800000000000001</v>
      </c>
      <c r="K35" s="18">
        <f t="shared" si="25"/>
        <v>0.45600000000000002</v>
      </c>
      <c r="L35" s="18">
        <f t="shared" si="25"/>
        <v>0.46300000000000002</v>
      </c>
      <c r="M35" s="18">
        <f t="shared" si="25"/>
        <v>0.47299999999999998</v>
      </c>
      <c r="N35" s="18">
        <f t="shared" si="25"/>
        <v>0.48299999999999998</v>
      </c>
      <c r="O35" s="18">
        <f t="shared" si="25"/>
        <v>0.496</v>
      </c>
      <c r="P35" s="18">
        <f t="shared" si="25"/>
        <v>0.50900000000000001</v>
      </c>
      <c r="Q35" s="18">
        <f t="shared" si="25"/>
        <v>0.51400000000000001</v>
      </c>
      <c r="R35" s="18">
        <f t="shared" si="25"/>
        <v>0.51800000000000002</v>
      </c>
      <c r="S35" s="18">
        <f t="shared" si="25"/>
        <v>0.52500000000000002</v>
      </c>
      <c r="T35" s="18">
        <f t="shared" si="25"/>
        <v>0.53300000000000003</v>
      </c>
      <c r="U35" s="18">
        <f t="shared" si="25"/>
        <v>0.54800000000000004</v>
      </c>
      <c r="V35" s="18">
        <f t="shared" si="25"/>
        <v>0.55400000000000005</v>
      </c>
      <c r="W35" s="18">
        <f t="shared" si="25"/>
        <v>0.623</v>
      </c>
      <c r="X35" s="18">
        <f t="shared" si="25"/>
        <v>0.63500000000000001</v>
      </c>
      <c r="Y35" s="18">
        <f t="shared" si="25"/>
        <v>0.64800000000000002</v>
      </c>
      <c r="Z35" s="18">
        <f t="shared" si="25"/>
        <v>0.66100000000000003</v>
      </c>
      <c r="AA35" s="18">
        <f t="shared" si="25"/>
        <v>0.67600000000000005</v>
      </c>
      <c r="AB35" s="18">
        <f t="shared" si="25"/>
        <v>0.69099999999999995</v>
      </c>
      <c r="AC35" s="18">
        <f t="shared" si="25"/>
        <v>0.69499999999999995</v>
      </c>
      <c r="AD35" s="18">
        <f t="shared" si="25"/>
        <v>0.69799999999999995</v>
      </c>
      <c r="AE35" s="18">
        <f t="shared" si="25"/>
        <v>0.70199999999999996</v>
      </c>
      <c r="AF35" s="18">
        <f t="shared" si="25"/>
        <v>0.70599999999999996</v>
      </c>
    </row>
    <row r="37" spans="1:40" x14ac:dyDescent="0.25">
      <c r="F37" t="s">
        <v>175</v>
      </c>
    </row>
    <row r="38" spans="1:40" ht="18" thickBot="1" x14ac:dyDescent="0.35">
      <c r="A38" s="24" t="s">
        <v>142</v>
      </c>
      <c r="B38" s="24"/>
      <c r="C38" s="24"/>
      <c r="D38" s="2" t="s">
        <v>175</v>
      </c>
      <c r="F38" t="s">
        <v>176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2742.7</v>
      </c>
      <c r="C40">
        <v>2570.23</v>
      </c>
      <c r="D40">
        <v>2663.51</v>
      </c>
      <c r="E40">
        <v>2738.96</v>
      </c>
      <c r="F40">
        <v>2812.95</v>
      </c>
      <c r="G40">
        <v>2890.84</v>
      </c>
      <c r="H40">
        <v>2963.9</v>
      </c>
      <c r="I40">
        <v>3029.24</v>
      </c>
      <c r="J40">
        <v>3094.44</v>
      </c>
      <c r="K40">
        <v>3162.18</v>
      </c>
      <c r="L40">
        <v>3245.03</v>
      </c>
      <c r="M40">
        <v>3323.15</v>
      </c>
      <c r="N40">
        <v>3413.55</v>
      </c>
      <c r="O40">
        <v>3506.82</v>
      </c>
      <c r="P40">
        <v>3618.29</v>
      </c>
      <c r="Q40">
        <v>3735.21</v>
      </c>
      <c r="R40">
        <v>3846.98</v>
      </c>
      <c r="S40">
        <v>3952.74</v>
      </c>
      <c r="T40">
        <v>4036.91</v>
      </c>
      <c r="U40">
        <v>4137.6000000000004</v>
      </c>
      <c r="V40">
        <v>4257.1000000000004</v>
      </c>
      <c r="W40">
        <v>4369.76</v>
      </c>
      <c r="X40">
        <v>4496.03</v>
      </c>
      <c r="Y40">
        <v>4622.3</v>
      </c>
      <c r="Z40">
        <v>4749.76</v>
      </c>
      <c r="AA40">
        <v>4882.6899999999996</v>
      </c>
      <c r="AB40">
        <v>5022.43</v>
      </c>
      <c r="AC40">
        <v>5173.28</v>
      </c>
      <c r="AD40">
        <v>5269.79</v>
      </c>
      <c r="AE40">
        <v>5354.74</v>
      </c>
      <c r="AF40">
        <v>5438.42</v>
      </c>
      <c r="AG40">
        <v>5519.16</v>
      </c>
      <c r="AH40" s="18"/>
      <c r="AI40" s="18"/>
      <c r="AJ40" s="18"/>
      <c r="AK40" s="18"/>
      <c r="AL40" s="18"/>
      <c r="AM40" s="18"/>
      <c r="AN40" s="18"/>
    </row>
    <row r="41" spans="1:40" x14ac:dyDescent="0.25">
      <c r="A41" s="3" t="s">
        <v>73</v>
      </c>
      <c r="B41">
        <v>102.77</v>
      </c>
      <c r="C41">
        <v>101.85</v>
      </c>
      <c r="D41">
        <v>104.68</v>
      </c>
      <c r="E41">
        <v>107.17</v>
      </c>
      <c r="F41">
        <v>109.35</v>
      </c>
      <c r="G41">
        <v>111.59</v>
      </c>
      <c r="H41">
        <v>113.61</v>
      </c>
      <c r="I41">
        <v>115.3</v>
      </c>
      <c r="J41">
        <v>116.94</v>
      </c>
      <c r="K41">
        <v>120.33</v>
      </c>
      <c r="L41">
        <v>123.7</v>
      </c>
      <c r="M41">
        <v>126.03</v>
      </c>
      <c r="N41">
        <v>128.57</v>
      </c>
      <c r="O41">
        <v>130.74</v>
      </c>
      <c r="P41">
        <v>133.47999999999999</v>
      </c>
      <c r="Q41">
        <v>136.05000000000001</v>
      </c>
      <c r="R41">
        <v>140.6</v>
      </c>
      <c r="S41">
        <v>145.51</v>
      </c>
      <c r="T41">
        <v>147.41999999999999</v>
      </c>
      <c r="U41">
        <v>149.72999999999999</v>
      </c>
      <c r="V41">
        <v>151.53</v>
      </c>
      <c r="W41">
        <v>154.26</v>
      </c>
      <c r="X41">
        <v>157.19</v>
      </c>
      <c r="Y41">
        <v>159.76</v>
      </c>
      <c r="Z41">
        <v>161.96</v>
      </c>
      <c r="AA41">
        <v>164.13</v>
      </c>
      <c r="AB41">
        <v>166.38</v>
      </c>
      <c r="AC41">
        <v>168.75</v>
      </c>
      <c r="AD41">
        <v>169.19</v>
      </c>
      <c r="AE41">
        <v>169.4</v>
      </c>
      <c r="AF41">
        <v>169.79</v>
      </c>
      <c r="AG41">
        <v>170.18</v>
      </c>
      <c r="AH41" s="18"/>
      <c r="AI41" s="18"/>
      <c r="AJ41" s="18"/>
      <c r="AK41" s="18"/>
      <c r="AL41" s="18"/>
      <c r="AM41" s="18"/>
      <c r="AN41" s="18"/>
    </row>
    <row r="42" spans="1:40" x14ac:dyDescent="0.25">
      <c r="A42" s="3" t="s">
        <v>23</v>
      </c>
      <c r="B42">
        <v>197.32</v>
      </c>
      <c r="C42">
        <v>188.75</v>
      </c>
      <c r="D42">
        <v>193.27</v>
      </c>
      <c r="E42">
        <v>196.31</v>
      </c>
      <c r="F42">
        <v>199.37</v>
      </c>
      <c r="G42">
        <v>202.51</v>
      </c>
      <c r="H42">
        <v>205.34</v>
      </c>
      <c r="I42">
        <v>207.91</v>
      </c>
      <c r="J42">
        <v>210.39</v>
      </c>
      <c r="K42">
        <v>216.65</v>
      </c>
      <c r="L42">
        <v>221.84</v>
      </c>
      <c r="M42">
        <v>224.93</v>
      </c>
      <c r="N42">
        <v>227.79</v>
      </c>
      <c r="O42">
        <v>230</v>
      </c>
      <c r="P42">
        <v>232.79</v>
      </c>
      <c r="Q42">
        <v>235.36</v>
      </c>
      <c r="R42">
        <v>242.48</v>
      </c>
      <c r="S42">
        <v>250.03</v>
      </c>
      <c r="T42">
        <v>252.13</v>
      </c>
      <c r="U42">
        <v>254.81</v>
      </c>
      <c r="V42">
        <v>254.84</v>
      </c>
      <c r="W42">
        <v>258.02</v>
      </c>
      <c r="X42">
        <v>260.3</v>
      </c>
      <c r="Y42">
        <v>261.68</v>
      </c>
      <c r="Z42">
        <v>262.60000000000002</v>
      </c>
      <c r="AA42">
        <v>263.49</v>
      </c>
      <c r="AB42">
        <v>264.62</v>
      </c>
      <c r="AC42">
        <v>266.10000000000002</v>
      </c>
      <c r="AD42">
        <v>265.45999999999998</v>
      </c>
      <c r="AE42">
        <v>264.17</v>
      </c>
      <c r="AF42">
        <v>263.06</v>
      </c>
      <c r="AG42">
        <v>261.68</v>
      </c>
      <c r="AH42" s="18"/>
      <c r="AI42" s="18"/>
      <c r="AJ42" s="18"/>
      <c r="AK42" s="18"/>
      <c r="AL42" s="18"/>
      <c r="AM42" s="18"/>
      <c r="AN42" s="18"/>
    </row>
    <row r="43" spans="1:40" x14ac:dyDescent="0.25">
      <c r="A43" s="3" t="s">
        <v>24</v>
      </c>
      <c r="B43">
        <v>155.19999999999999</v>
      </c>
      <c r="C43">
        <v>154.51</v>
      </c>
      <c r="D43">
        <v>161.34</v>
      </c>
      <c r="E43">
        <v>167.36</v>
      </c>
      <c r="F43">
        <v>172.82</v>
      </c>
      <c r="G43">
        <v>178.36</v>
      </c>
      <c r="H43">
        <v>183.29</v>
      </c>
      <c r="I43">
        <v>187.41</v>
      </c>
      <c r="J43">
        <v>191.52</v>
      </c>
      <c r="K43">
        <v>198.84</v>
      </c>
      <c r="L43">
        <v>205.18</v>
      </c>
      <c r="M43">
        <v>209.75</v>
      </c>
      <c r="N43">
        <v>214.9</v>
      </c>
      <c r="O43">
        <v>219.47</v>
      </c>
      <c r="P43">
        <v>225.07</v>
      </c>
      <c r="Q43">
        <v>230.49</v>
      </c>
      <c r="R43">
        <v>241.08</v>
      </c>
      <c r="S43">
        <v>251.92</v>
      </c>
      <c r="T43">
        <v>255.45</v>
      </c>
      <c r="U43">
        <v>259.19</v>
      </c>
      <c r="V43">
        <v>261.45999999999998</v>
      </c>
      <c r="W43">
        <v>266.93</v>
      </c>
      <c r="X43">
        <v>272.95999999999998</v>
      </c>
      <c r="Y43">
        <v>277.56</v>
      </c>
      <c r="Z43">
        <v>281.05</v>
      </c>
      <c r="AA43">
        <v>284.37</v>
      </c>
      <c r="AB43">
        <v>287.97000000000003</v>
      </c>
      <c r="AC43">
        <v>291.79000000000002</v>
      </c>
      <c r="AD43">
        <v>292.86</v>
      </c>
      <c r="AE43">
        <v>293.20999999999998</v>
      </c>
      <c r="AF43">
        <v>293.61</v>
      </c>
      <c r="AG43">
        <v>293.94</v>
      </c>
      <c r="AH43" s="18"/>
      <c r="AI43" s="18"/>
      <c r="AJ43" s="18"/>
      <c r="AK43" s="18"/>
      <c r="AL43" s="18"/>
      <c r="AM43" s="18"/>
      <c r="AN43" s="18"/>
    </row>
    <row r="44" spans="1:40" x14ac:dyDescent="0.25">
      <c r="A44" s="3" t="s">
        <v>25</v>
      </c>
      <c r="B44">
        <v>366.71</v>
      </c>
      <c r="C44">
        <v>339.03</v>
      </c>
      <c r="D44">
        <v>349.62</v>
      </c>
      <c r="E44">
        <v>356.97</v>
      </c>
      <c r="F44">
        <v>365</v>
      </c>
      <c r="G44">
        <v>374.06</v>
      </c>
      <c r="H44">
        <v>382.81</v>
      </c>
      <c r="I44">
        <v>391.7</v>
      </c>
      <c r="J44">
        <v>400.21</v>
      </c>
      <c r="K44">
        <v>413.95</v>
      </c>
      <c r="L44">
        <v>426.7</v>
      </c>
      <c r="M44">
        <v>436.52</v>
      </c>
      <c r="N44">
        <v>446.99</v>
      </c>
      <c r="O44">
        <v>457.85</v>
      </c>
      <c r="P44">
        <v>471.4</v>
      </c>
      <c r="Q44">
        <v>485.51</v>
      </c>
      <c r="R44">
        <v>505.43</v>
      </c>
      <c r="S44">
        <v>522.92999999999995</v>
      </c>
      <c r="T44">
        <v>530.27</v>
      </c>
      <c r="U44">
        <v>539.78</v>
      </c>
      <c r="V44">
        <v>550.91</v>
      </c>
      <c r="W44">
        <v>563.9</v>
      </c>
      <c r="X44">
        <v>571.30999999999995</v>
      </c>
      <c r="Y44">
        <v>581.63</v>
      </c>
      <c r="Z44">
        <v>595.29999999999995</v>
      </c>
      <c r="AA44">
        <v>610.46</v>
      </c>
      <c r="AB44">
        <v>626.64</v>
      </c>
      <c r="AC44">
        <v>644.64</v>
      </c>
      <c r="AD44">
        <v>650.41999999999996</v>
      </c>
      <c r="AE44">
        <v>656.26</v>
      </c>
      <c r="AF44">
        <v>663.56</v>
      </c>
      <c r="AG44">
        <v>670.82</v>
      </c>
      <c r="AH44" s="18"/>
      <c r="AI44" s="18"/>
      <c r="AJ44" s="18"/>
      <c r="AK44" s="18"/>
      <c r="AL44" s="18"/>
      <c r="AM44" s="18"/>
      <c r="AN44" s="18"/>
    </row>
    <row r="45" spans="1:40" x14ac:dyDescent="0.25">
      <c r="A45" s="3" t="s">
        <v>26</v>
      </c>
      <c r="B45">
        <v>24.02</v>
      </c>
      <c r="C45">
        <v>22.83</v>
      </c>
      <c r="D45">
        <v>23.64</v>
      </c>
      <c r="E45">
        <v>24.06</v>
      </c>
      <c r="F45">
        <v>24.57</v>
      </c>
      <c r="G45">
        <v>25.29</v>
      </c>
      <c r="H45">
        <v>25.8</v>
      </c>
      <c r="I45">
        <v>26.15</v>
      </c>
      <c r="J45">
        <v>26.59</v>
      </c>
      <c r="K45">
        <v>27.06</v>
      </c>
      <c r="L45">
        <v>27.52</v>
      </c>
      <c r="M45">
        <v>27.94</v>
      </c>
      <c r="N45">
        <v>28.91</v>
      </c>
      <c r="O45">
        <v>29.53</v>
      </c>
      <c r="P45">
        <v>30.31</v>
      </c>
      <c r="Q45">
        <v>31.13</v>
      </c>
      <c r="R45">
        <v>31.92</v>
      </c>
      <c r="S45">
        <v>32.54</v>
      </c>
      <c r="T45">
        <v>32.880000000000003</v>
      </c>
      <c r="U45">
        <v>33.47</v>
      </c>
      <c r="V45">
        <v>33.89</v>
      </c>
      <c r="W45">
        <v>34.57</v>
      </c>
      <c r="X45">
        <v>35.28</v>
      </c>
      <c r="Y45">
        <v>35.96</v>
      </c>
      <c r="Z45">
        <v>36.619999999999997</v>
      </c>
      <c r="AA45">
        <v>37.33</v>
      </c>
      <c r="AB45">
        <v>38.1</v>
      </c>
      <c r="AC45">
        <v>38.950000000000003</v>
      </c>
      <c r="AD45">
        <v>39.33</v>
      </c>
      <c r="AE45">
        <v>39.630000000000003</v>
      </c>
      <c r="AF45">
        <v>39.950000000000003</v>
      </c>
      <c r="AG45">
        <v>40.26</v>
      </c>
      <c r="AH45" s="18"/>
      <c r="AI45" s="18"/>
      <c r="AJ45" s="18"/>
      <c r="AK45" s="18"/>
      <c r="AL45" s="18"/>
      <c r="AM45" s="18"/>
      <c r="AN45" s="18"/>
    </row>
    <row r="46" spans="1:40" x14ac:dyDescent="0.25">
      <c r="A46" s="3" t="s">
        <v>27</v>
      </c>
      <c r="B46">
        <v>78.8</v>
      </c>
      <c r="C46">
        <v>77.650000000000006</v>
      </c>
      <c r="D46">
        <v>76.69</v>
      </c>
      <c r="E46">
        <v>77.209999999999994</v>
      </c>
      <c r="F46">
        <v>78.11</v>
      </c>
      <c r="G46">
        <v>78.900000000000006</v>
      </c>
      <c r="H46">
        <v>79.64</v>
      </c>
      <c r="I46">
        <v>80.319999999999993</v>
      </c>
      <c r="J46">
        <v>81</v>
      </c>
      <c r="K46">
        <v>82.01</v>
      </c>
      <c r="L46">
        <v>82.46</v>
      </c>
      <c r="M46">
        <v>83.04</v>
      </c>
      <c r="N46">
        <v>83.83</v>
      </c>
      <c r="O46">
        <v>84.67</v>
      </c>
      <c r="P46">
        <v>85.85</v>
      </c>
      <c r="Q46">
        <v>87.08</v>
      </c>
      <c r="R46">
        <v>68.459999999999994</v>
      </c>
      <c r="S46">
        <v>52.9</v>
      </c>
      <c r="T46">
        <v>50.58</v>
      </c>
      <c r="U46">
        <v>54.24</v>
      </c>
      <c r="V46">
        <v>56.85</v>
      </c>
      <c r="W46">
        <v>51.03</v>
      </c>
      <c r="X46">
        <v>50.88</v>
      </c>
      <c r="Y46">
        <v>51.46</v>
      </c>
      <c r="Z46">
        <v>52.38</v>
      </c>
      <c r="AA46">
        <v>53.51</v>
      </c>
      <c r="AB46">
        <v>54.78</v>
      </c>
      <c r="AC46">
        <v>56.14</v>
      </c>
      <c r="AD46">
        <v>57.05</v>
      </c>
      <c r="AE46">
        <v>57.61</v>
      </c>
      <c r="AF46">
        <v>58.16</v>
      </c>
      <c r="AG46">
        <v>58.71</v>
      </c>
      <c r="AH46" s="18"/>
      <c r="AI46" s="18"/>
      <c r="AJ46" s="18"/>
      <c r="AK46" s="18"/>
      <c r="AL46" s="18"/>
      <c r="AM46" s="18"/>
      <c r="AN46" s="18"/>
    </row>
    <row r="47" spans="1:40" x14ac:dyDescent="0.25">
      <c r="A47" s="3" t="s">
        <v>28</v>
      </c>
      <c r="B47">
        <v>17.63</v>
      </c>
      <c r="C47">
        <v>16.38</v>
      </c>
      <c r="D47">
        <v>16.91</v>
      </c>
      <c r="E47">
        <v>17.3</v>
      </c>
      <c r="F47">
        <v>17.72</v>
      </c>
      <c r="G47">
        <v>18.170000000000002</v>
      </c>
      <c r="H47">
        <v>18.600000000000001</v>
      </c>
      <c r="I47">
        <v>19</v>
      </c>
      <c r="J47">
        <v>19.399999999999999</v>
      </c>
      <c r="K47">
        <v>19.97</v>
      </c>
      <c r="L47">
        <v>20.53</v>
      </c>
      <c r="M47">
        <v>20.99</v>
      </c>
      <c r="N47">
        <v>21.51</v>
      </c>
      <c r="O47">
        <v>22.03</v>
      </c>
      <c r="P47">
        <v>22.68</v>
      </c>
      <c r="Q47">
        <v>23.35</v>
      </c>
      <c r="R47">
        <v>24.11</v>
      </c>
      <c r="S47">
        <v>24.74</v>
      </c>
      <c r="T47">
        <v>25.06</v>
      </c>
      <c r="U47">
        <v>25.51</v>
      </c>
      <c r="V47">
        <v>26.07</v>
      </c>
      <c r="W47">
        <v>26.65</v>
      </c>
      <c r="X47">
        <v>27.19</v>
      </c>
      <c r="Y47">
        <v>27.76</v>
      </c>
      <c r="Z47">
        <v>28.37</v>
      </c>
      <c r="AA47">
        <v>29.02</v>
      </c>
      <c r="AB47">
        <v>29.72</v>
      </c>
      <c r="AC47">
        <v>30.49</v>
      </c>
      <c r="AD47">
        <v>30.81</v>
      </c>
      <c r="AE47">
        <v>31.08</v>
      </c>
      <c r="AF47">
        <v>31.37</v>
      </c>
      <c r="AG47">
        <v>31.64</v>
      </c>
      <c r="AH47" s="18"/>
      <c r="AI47" s="18"/>
      <c r="AJ47" s="18"/>
      <c r="AK47" s="18"/>
      <c r="AL47" s="18"/>
      <c r="AM47" s="18"/>
      <c r="AN47" s="18"/>
    </row>
    <row r="48" spans="1:40" x14ac:dyDescent="0.25">
      <c r="A48" s="3" t="s">
        <v>29</v>
      </c>
      <c r="B48">
        <v>20.84</v>
      </c>
      <c r="C48">
        <v>19.72</v>
      </c>
      <c r="D48">
        <v>19.940000000000001</v>
      </c>
      <c r="E48">
        <v>20.03</v>
      </c>
      <c r="F48">
        <v>20.239999999999998</v>
      </c>
      <c r="G48">
        <v>20.52</v>
      </c>
      <c r="H48">
        <v>20.81</v>
      </c>
      <c r="I48">
        <v>21.19</v>
      </c>
      <c r="J48">
        <v>21.52</v>
      </c>
      <c r="K48">
        <v>22.23</v>
      </c>
      <c r="L48">
        <v>22.78</v>
      </c>
      <c r="M48">
        <v>23.14</v>
      </c>
      <c r="N48">
        <v>23.45</v>
      </c>
      <c r="O48">
        <v>23.78</v>
      </c>
      <c r="P48">
        <v>24.2</v>
      </c>
      <c r="Q48">
        <v>24.71</v>
      </c>
      <c r="R48">
        <v>25.82</v>
      </c>
      <c r="S48">
        <v>26.77</v>
      </c>
      <c r="T48">
        <v>27.15</v>
      </c>
      <c r="U48">
        <v>27.58</v>
      </c>
      <c r="V48">
        <v>27.84</v>
      </c>
      <c r="W48">
        <v>28.57</v>
      </c>
      <c r="X48">
        <v>28.41</v>
      </c>
      <c r="Y48">
        <v>28.67</v>
      </c>
      <c r="Z48">
        <v>29.23</v>
      </c>
      <c r="AA48">
        <v>29.91</v>
      </c>
      <c r="AB48">
        <v>30.63</v>
      </c>
      <c r="AC48">
        <v>31.33</v>
      </c>
      <c r="AD48">
        <v>31.4</v>
      </c>
      <c r="AE48">
        <v>31.65</v>
      </c>
      <c r="AF48">
        <v>31.93</v>
      </c>
      <c r="AG48">
        <v>32.22</v>
      </c>
      <c r="AH48" s="18"/>
      <c r="AI48" s="18"/>
      <c r="AJ48" s="18"/>
      <c r="AK48" s="18"/>
      <c r="AL48" s="18"/>
      <c r="AM48" s="18"/>
      <c r="AN48" s="18"/>
    </row>
    <row r="49" spans="1:40" x14ac:dyDescent="0.25">
      <c r="A49" s="3" t="s">
        <v>30</v>
      </c>
      <c r="B49">
        <v>13.07</v>
      </c>
      <c r="C49">
        <v>12</v>
      </c>
      <c r="D49">
        <v>11.38</v>
      </c>
      <c r="E49">
        <v>10.67</v>
      </c>
      <c r="F49">
        <v>10.46</v>
      </c>
      <c r="G49">
        <v>10.46</v>
      </c>
      <c r="H49">
        <v>10.61</v>
      </c>
      <c r="I49">
        <v>11.26</v>
      </c>
      <c r="J49">
        <v>11.73</v>
      </c>
      <c r="K49">
        <v>13.44</v>
      </c>
      <c r="L49">
        <v>14.48</v>
      </c>
      <c r="M49">
        <v>14.77</v>
      </c>
      <c r="N49">
        <v>14.73</v>
      </c>
      <c r="O49">
        <v>14.66</v>
      </c>
      <c r="P49">
        <v>14.74</v>
      </c>
      <c r="Q49">
        <v>15.04</v>
      </c>
      <c r="R49">
        <v>17.91</v>
      </c>
      <c r="S49">
        <v>20.67</v>
      </c>
      <c r="T49">
        <v>20.25</v>
      </c>
      <c r="U49">
        <v>20.36</v>
      </c>
      <c r="V49">
        <v>19.59</v>
      </c>
      <c r="W49">
        <v>20.77</v>
      </c>
      <c r="X49">
        <v>17.77</v>
      </c>
      <c r="Y49">
        <v>16.77</v>
      </c>
      <c r="Z49">
        <v>16.95</v>
      </c>
      <c r="AA49">
        <v>17.420000000000002</v>
      </c>
      <c r="AB49">
        <v>17.989999999999998</v>
      </c>
      <c r="AC49">
        <v>18.420000000000002</v>
      </c>
      <c r="AD49">
        <v>17.350000000000001</v>
      </c>
      <c r="AE49">
        <v>16.91</v>
      </c>
      <c r="AF49">
        <v>16.760000000000002</v>
      </c>
      <c r="AG49">
        <v>16.690000000000001</v>
      </c>
      <c r="AH49" s="18"/>
      <c r="AI49" s="18"/>
      <c r="AJ49" s="18"/>
      <c r="AK49" s="18"/>
      <c r="AL49" s="18"/>
      <c r="AM49" s="18"/>
      <c r="AN49" s="18"/>
    </row>
    <row r="50" spans="1:40" x14ac:dyDescent="0.25">
      <c r="A50" s="3" t="s">
        <v>31</v>
      </c>
      <c r="B50">
        <v>0.12</v>
      </c>
      <c r="C50">
        <v>0.13</v>
      </c>
      <c r="D50">
        <v>0.31</v>
      </c>
      <c r="E50">
        <v>0.73</v>
      </c>
      <c r="F50">
        <v>0.73</v>
      </c>
      <c r="G50">
        <v>0.73</v>
      </c>
      <c r="H50">
        <v>0.73</v>
      </c>
      <c r="I50">
        <v>0.73</v>
      </c>
      <c r="J50">
        <v>0.73</v>
      </c>
      <c r="K50">
        <v>0.73</v>
      </c>
      <c r="L50">
        <v>0.73</v>
      </c>
      <c r="M50">
        <v>0.73</v>
      </c>
      <c r="N50">
        <v>0.97</v>
      </c>
      <c r="O50">
        <v>2.31</v>
      </c>
      <c r="P50">
        <v>3.55</v>
      </c>
      <c r="Q50">
        <v>5</v>
      </c>
      <c r="R50">
        <v>6.69</v>
      </c>
      <c r="S50">
        <v>8.19</v>
      </c>
      <c r="T50">
        <v>20.63</v>
      </c>
      <c r="U50">
        <v>25.37</v>
      </c>
      <c r="V50">
        <v>30.06</v>
      </c>
      <c r="W50">
        <v>34.76</v>
      </c>
      <c r="X50">
        <v>37.130000000000003</v>
      </c>
      <c r="Y50">
        <v>39.5</v>
      </c>
      <c r="Z50">
        <v>41.85</v>
      </c>
      <c r="AA50">
        <v>44.2</v>
      </c>
      <c r="AB50">
        <v>46.55</v>
      </c>
      <c r="AC50">
        <v>49.02</v>
      </c>
      <c r="AD50">
        <v>51.48</v>
      </c>
      <c r="AE50">
        <v>53.95</v>
      </c>
      <c r="AF50">
        <v>56.41</v>
      </c>
      <c r="AG50">
        <v>58.88</v>
      </c>
      <c r="AH50" s="18"/>
      <c r="AI50" s="18"/>
      <c r="AJ50" s="18"/>
      <c r="AK50" s="18"/>
      <c r="AL50" s="18"/>
      <c r="AM50" s="18"/>
      <c r="AN50" s="18"/>
    </row>
    <row r="51" spans="1:40" x14ac:dyDescent="0.25">
      <c r="A51" s="3" t="s">
        <v>32</v>
      </c>
      <c r="B51">
        <v>142.19999999999999</v>
      </c>
      <c r="C51">
        <v>137.66999999999999</v>
      </c>
      <c r="D51">
        <v>143.4</v>
      </c>
      <c r="E51">
        <v>144.38999999999999</v>
      </c>
      <c r="F51">
        <v>144.57</v>
      </c>
      <c r="G51">
        <v>145.81</v>
      </c>
      <c r="H51">
        <v>147.94999999999999</v>
      </c>
      <c r="I51">
        <v>149.13</v>
      </c>
      <c r="J51">
        <v>150.59</v>
      </c>
      <c r="K51">
        <v>152.97</v>
      </c>
      <c r="L51">
        <v>156.79</v>
      </c>
      <c r="M51">
        <v>158.83000000000001</v>
      </c>
      <c r="N51">
        <v>165.7</v>
      </c>
      <c r="O51">
        <v>174.21</v>
      </c>
      <c r="P51">
        <v>181.55</v>
      </c>
      <c r="Q51">
        <v>191.62</v>
      </c>
      <c r="R51">
        <v>191.16</v>
      </c>
      <c r="S51">
        <v>195.15</v>
      </c>
      <c r="T51">
        <v>233.38</v>
      </c>
      <c r="U51">
        <v>246.79</v>
      </c>
      <c r="V51">
        <v>262.18</v>
      </c>
      <c r="W51">
        <v>276.33</v>
      </c>
      <c r="X51">
        <v>285.33999999999997</v>
      </c>
      <c r="Y51">
        <v>294.49</v>
      </c>
      <c r="Z51">
        <v>304.62</v>
      </c>
      <c r="AA51">
        <v>314.81</v>
      </c>
      <c r="AB51">
        <v>325.05</v>
      </c>
      <c r="AC51">
        <v>341.29</v>
      </c>
      <c r="AD51">
        <v>356.6</v>
      </c>
      <c r="AE51">
        <v>371.17</v>
      </c>
      <c r="AF51">
        <v>386.66</v>
      </c>
      <c r="AG51">
        <v>402.21</v>
      </c>
      <c r="AH51" s="18"/>
      <c r="AI51" s="18"/>
      <c r="AJ51" s="18"/>
      <c r="AK51" s="18"/>
      <c r="AL51" s="18"/>
      <c r="AM51" s="18"/>
      <c r="AN51" s="18"/>
    </row>
    <row r="52" spans="1:40" x14ac:dyDescent="0.25">
      <c r="A52" s="3" t="s">
        <v>33</v>
      </c>
      <c r="B52">
        <v>60.68</v>
      </c>
      <c r="C52">
        <v>58.58</v>
      </c>
      <c r="D52">
        <v>60.09</v>
      </c>
      <c r="E52">
        <v>61.48</v>
      </c>
      <c r="F52">
        <v>62.68</v>
      </c>
      <c r="G52">
        <v>64.05</v>
      </c>
      <c r="H52">
        <v>65.23</v>
      </c>
      <c r="I52">
        <v>66.2</v>
      </c>
      <c r="J52">
        <v>67.41</v>
      </c>
      <c r="K52">
        <v>69.67</v>
      </c>
      <c r="L52">
        <v>72.37</v>
      </c>
      <c r="M52">
        <v>74.66</v>
      </c>
      <c r="N52">
        <v>77.239999999999995</v>
      </c>
      <c r="O52">
        <v>79.61</v>
      </c>
      <c r="P52">
        <v>82.52</v>
      </c>
      <c r="Q52">
        <v>85.37</v>
      </c>
      <c r="R52">
        <v>89.15</v>
      </c>
      <c r="S52">
        <v>93.56</v>
      </c>
      <c r="T52">
        <v>96.22</v>
      </c>
      <c r="U52">
        <v>99.16</v>
      </c>
      <c r="V52">
        <v>101.85</v>
      </c>
      <c r="W52">
        <v>104.7</v>
      </c>
      <c r="X52">
        <v>107.63</v>
      </c>
      <c r="Y52">
        <v>110.21</v>
      </c>
      <c r="Z52">
        <v>112.46</v>
      </c>
      <c r="AA52">
        <v>114.47</v>
      </c>
      <c r="AB52">
        <v>116.38</v>
      </c>
      <c r="AC52">
        <v>118.34</v>
      </c>
      <c r="AD52">
        <v>118.47</v>
      </c>
      <c r="AE52">
        <v>118.4</v>
      </c>
      <c r="AF52">
        <v>118.4</v>
      </c>
      <c r="AG52">
        <v>118.36</v>
      </c>
      <c r="AH52" s="18"/>
      <c r="AI52" s="18"/>
      <c r="AJ52" s="18"/>
      <c r="AK52" s="18"/>
      <c r="AL52" s="18"/>
      <c r="AM52" s="18"/>
      <c r="AN52" s="18"/>
    </row>
    <row r="53" spans="1:40" x14ac:dyDescent="0.25">
      <c r="A53" s="3" t="s">
        <v>34</v>
      </c>
      <c r="B53">
        <v>247.43</v>
      </c>
      <c r="C53">
        <v>235.95</v>
      </c>
      <c r="D53">
        <v>242.5</v>
      </c>
      <c r="E53">
        <v>248.63</v>
      </c>
      <c r="F53">
        <v>253.33</v>
      </c>
      <c r="G53">
        <v>258.23</v>
      </c>
      <c r="H53">
        <v>263.17</v>
      </c>
      <c r="I53">
        <v>268.76</v>
      </c>
      <c r="J53">
        <v>274.67</v>
      </c>
      <c r="K53">
        <v>282.06</v>
      </c>
      <c r="L53">
        <v>291.58999999999997</v>
      </c>
      <c r="M53">
        <v>299.91000000000003</v>
      </c>
      <c r="N53">
        <v>308.88</v>
      </c>
      <c r="O53">
        <v>317.89</v>
      </c>
      <c r="P53">
        <v>330.19</v>
      </c>
      <c r="Q53">
        <v>343.29</v>
      </c>
      <c r="R53">
        <v>353.76</v>
      </c>
      <c r="S53">
        <v>364</v>
      </c>
      <c r="T53">
        <v>373.36</v>
      </c>
      <c r="U53">
        <v>384.36</v>
      </c>
      <c r="V53">
        <v>395.7</v>
      </c>
      <c r="W53">
        <v>407.99</v>
      </c>
      <c r="X53">
        <v>420.62</v>
      </c>
      <c r="Y53">
        <v>432.8</v>
      </c>
      <c r="Z53">
        <v>445.63</v>
      </c>
      <c r="AA53">
        <v>458.11</v>
      </c>
      <c r="AB53">
        <v>470.64</v>
      </c>
      <c r="AC53">
        <v>482.18</v>
      </c>
      <c r="AD53">
        <v>485.3</v>
      </c>
      <c r="AE53">
        <v>488.87</v>
      </c>
      <c r="AF53">
        <v>493.16</v>
      </c>
      <c r="AG53">
        <v>497.65</v>
      </c>
      <c r="AH53" s="18"/>
      <c r="AI53" s="18"/>
      <c r="AJ53" s="18"/>
      <c r="AK53" s="18"/>
      <c r="AL53" s="18"/>
      <c r="AM53" s="18"/>
      <c r="AN53" s="18"/>
    </row>
    <row r="54" spans="1:40" x14ac:dyDescent="0.25">
      <c r="A54" s="3" t="s">
        <v>36</v>
      </c>
      <c r="B54">
        <v>7.29</v>
      </c>
      <c r="C54">
        <v>7.02</v>
      </c>
      <c r="D54">
        <v>7.35</v>
      </c>
      <c r="E54">
        <v>7.62</v>
      </c>
      <c r="F54">
        <v>7.82</v>
      </c>
      <c r="G54">
        <v>8.02</v>
      </c>
      <c r="H54">
        <v>8.2200000000000006</v>
      </c>
      <c r="I54">
        <v>8.42</v>
      </c>
      <c r="J54">
        <v>8.6199999999999992</v>
      </c>
      <c r="K54">
        <v>8.77</v>
      </c>
      <c r="L54">
        <v>9</v>
      </c>
      <c r="M54">
        <v>9.2200000000000006</v>
      </c>
      <c r="N54">
        <v>9.42</v>
      </c>
      <c r="O54">
        <v>9.61</v>
      </c>
      <c r="P54">
        <v>9.89</v>
      </c>
      <c r="Q54">
        <v>10.19</v>
      </c>
      <c r="R54">
        <v>10.35</v>
      </c>
      <c r="S54">
        <v>10.48</v>
      </c>
      <c r="T54">
        <v>10.64</v>
      </c>
      <c r="U54">
        <v>10.89</v>
      </c>
      <c r="V54">
        <v>11.16</v>
      </c>
      <c r="W54">
        <v>11.43</v>
      </c>
      <c r="X54">
        <v>11.7</v>
      </c>
      <c r="Y54">
        <v>11.97</v>
      </c>
      <c r="Z54">
        <v>12.28</v>
      </c>
      <c r="AA54">
        <v>12.58</v>
      </c>
      <c r="AB54">
        <v>12.88</v>
      </c>
      <c r="AC54">
        <v>13.16</v>
      </c>
      <c r="AD54">
        <v>13.25</v>
      </c>
      <c r="AE54">
        <v>13.36</v>
      </c>
      <c r="AF54">
        <v>13.48</v>
      </c>
      <c r="AG54">
        <v>13.61</v>
      </c>
      <c r="AH54" s="18"/>
      <c r="AI54" s="18"/>
      <c r="AJ54" s="18"/>
      <c r="AK54" s="18"/>
      <c r="AL54" s="18"/>
      <c r="AM54" s="18"/>
      <c r="AN54" s="18"/>
    </row>
    <row r="55" spans="1:40" x14ac:dyDescent="0.25">
      <c r="A55" s="3" t="s">
        <v>37</v>
      </c>
      <c r="B55">
        <v>46.32</v>
      </c>
      <c r="C55">
        <v>29.08</v>
      </c>
      <c r="D55">
        <v>33.340000000000003</v>
      </c>
      <c r="E55">
        <v>38.270000000000003</v>
      </c>
      <c r="F55">
        <v>38.229999999999997</v>
      </c>
      <c r="G55">
        <v>38.19</v>
      </c>
      <c r="H55">
        <v>38.159999999999997</v>
      </c>
      <c r="I55">
        <v>38.119999999999997</v>
      </c>
      <c r="J55">
        <v>38.08</v>
      </c>
      <c r="K55">
        <v>16.8</v>
      </c>
      <c r="L55">
        <v>10.85</v>
      </c>
      <c r="M55">
        <v>10.81</v>
      </c>
      <c r="N55">
        <v>10.81</v>
      </c>
      <c r="O55">
        <v>10.81</v>
      </c>
      <c r="P55">
        <v>10.81</v>
      </c>
      <c r="Q55">
        <v>10.79</v>
      </c>
      <c r="R55">
        <v>6.07</v>
      </c>
      <c r="S55">
        <v>1.4</v>
      </c>
      <c r="T55">
        <v>1.38</v>
      </c>
      <c r="U55">
        <v>1.28</v>
      </c>
      <c r="V55">
        <v>1.17</v>
      </c>
      <c r="W55">
        <v>1.06</v>
      </c>
      <c r="X55">
        <v>0.97</v>
      </c>
      <c r="Y55">
        <v>0.88</v>
      </c>
      <c r="Z55">
        <v>0.79</v>
      </c>
      <c r="AA55">
        <v>0.7</v>
      </c>
      <c r="AB55">
        <v>0.61</v>
      </c>
      <c r="AC55">
        <v>0.62</v>
      </c>
      <c r="AD55">
        <v>0.63</v>
      </c>
      <c r="AE55">
        <v>0.63</v>
      </c>
      <c r="AF55">
        <v>0.64</v>
      </c>
      <c r="AG55">
        <v>0.65</v>
      </c>
      <c r="AH55" s="18"/>
      <c r="AI55" s="18"/>
      <c r="AJ55" s="18"/>
      <c r="AK55" s="18"/>
      <c r="AL55" s="18"/>
      <c r="AM55" s="18"/>
      <c r="AN55" s="18"/>
    </row>
    <row r="56" spans="1:40" x14ac:dyDescent="0.25">
      <c r="A56" s="3" t="s">
        <v>38</v>
      </c>
      <c r="B56">
        <v>112.99</v>
      </c>
      <c r="C56">
        <v>109.03</v>
      </c>
      <c r="D56">
        <v>107.81</v>
      </c>
      <c r="E56">
        <v>106.54</v>
      </c>
      <c r="F56">
        <v>104.86</v>
      </c>
      <c r="G56">
        <v>103.71</v>
      </c>
      <c r="H56">
        <v>102.26</v>
      </c>
      <c r="I56">
        <v>99.81</v>
      </c>
      <c r="J56">
        <v>96.7</v>
      </c>
      <c r="K56">
        <v>94.63</v>
      </c>
      <c r="L56">
        <v>92.91</v>
      </c>
      <c r="M56">
        <v>88.38</v>
      </c>
      <c r="N56">
        <v>84.01</v>
      </c>
      <c r="O56">
        <v>81.599999999999994</v>
      </c>
      <c r="P56">
        <v>77.55</v>
      </c>
      <c r="Q56">
        <v>77.3</v>
      </c>
      <c r="R56">
        <v>63.1</v>
      </c>
      <c r="S56">
        <v>49.91</v>
      </c>
      <c r="T56">
        <v>42.41</v>
      </c>
      <c r="U56">
        <v>38.44</v>
      </c>
      <c r="V56">
        <v>34.46</v>
      </c>
      <c r="W56">
        <v>30.51</v>
      </c>
      <c r="X56">
        <v>29.19</v>
      </c>
      <c r="Y56">
        <v>27.86</v>
      </c>
      <c r="Z56">
        <v>26.53</v>
      </c>
      <c r="AA56">
        <v>25.19</v>
      </c>
      <c r="AB56">
        <v>23.86</v>
      </c>
      <c r="AC56">
        <v>21.82</v>
      </c>
      <c r="AD56">
        <v>19.77</v>
      </c>
      <c r="AE56">
        <v>17.73</v>
      </c>
      <c r="AF56">
        <v>15.68</v>
      </c>
      <c r="AG56">
        <v>13.64</v>
      </c>
      <c r="AH56" s="18"/>
      <c r="AI56" s="18"/>
      <c r="AJ56" s="18"/>
      <c r="AK56" s="18"/>
      <c r="AL56" s="18"/>
      <c r="AM56" s="18"/>
      <c r="AN56" s="18"/>
    </row>
    <row r="57" spans="1:40" x14ac:dyDescent="0.25">
      <c r="A57" s="3" t="s">
        <v>183</v>
      </c>
      <c r="B57">
        <v>97.82</v>
      </c>
      <c r="C57">
        <v>74.11</v>
      </c>
      <c r="D57">
        <v>78.11</v>
      </c>
      <c r="E57">
        <v>82.05</v>
      </c>
      <c r="F57">
        <v>86.08</v>
      </c>
      <c r="G57">
        <v>90.14</v>
      </c>
      <c r="H57">
        <v>94.22</v>
      </c>
      <c r="I57">
        <v>94.74</v>
      </c>
      <c r="J57">
        <v>95.24</v>
      </c>
      <c r="K57">
        <v>95.95</v>
      </c>
      <c r="L57">
        <v>96.56</v>
      </c>
      <c r="M57">
        <v>97.04</v>
      </c>
      <c r="N57">
        <v>98.98</v>
      </c>
      <c r="O57">
        <v>100.95</v>
      </c>
      <c r="P57">
        <v>102.96</v>
      </c>
      <c r="Q57">
        <v>105</v>
      </c>
      <c r="R57">
        <v>107.44</v>
      </c>
      <c r="S57">
        <v>109.83</v>
      </c>
      <c r="T57">
        <v>111.69</v>
      </c>
      <c r="U57">
        <v>113.62</v>
      </c>
      <c r="V57">
        <v>115.47</v>
      </c>
      <c r="W57">
        <v>117.58</v>
      </c>
      <c r="X57">
        <v>140.30000000000001</v>
      </c>
      <c r="Y57">
        <v>163.32</v>
      </c>
      <c r="Z57">
        <v>186.53</v>
      </c>
      <c r="AA57">
        <v>209.81</v>
      </c>
      <c r="AB57">
        <v>233.11</v>
      </c>
      <c r="AC57">
        <v>256.42</v>
      </c>
      <c r="AD57">
        <v>279.41000000000003</v>
      </c>
      <c r="AE57">
        <v>302.49</v>
      </c>
      <c r="AF57">
        <v>325.62</v>
      </c>
      <c r="AG57">
        <v>348.76</v>
      </c>
      <c r="AH57" s="18"/>
      <c r="AI57" s="18"/>
      <c r="AJ57" s="18"/>
      <c r="AK57" s="18"/>
      <c r="AL57" s="18"/>
      <c r="AM57" s="18"/>
      <c r="AN57" s="18"/>
    </row>
    <row r="58" spans="1:40" x14ac:dyDescent="0.25">
      <c r="A58" s="3" t="s">
        <v>184</v>
      </c>
      <c r="B58">
        <v>2.4900000000000002</v>
      </c>
      <c r="C58">
        <v>2.35</v>
      </c>
      <c r="D58">
        <v>2.35</v>
      </c>
      <c r="E58">
        <v>2.39</v>
      </c>
      <c r="F58">
        <v>2.42</v>
      </c>
      <c r="G58">
        <v>2.4500000000000002</v>
      </c>
      <c r="H58">
        <v>2.4700000000000002</v>
      </c>
      <c r="I58">
        <v>2.5099999999999998</v>
      </c>
      <c r="J58">
        <v>2.54</v>
      </c>
      <c r="K58">
        <v>2.5</v>
      </c>
      <c r="L58">
        <v>2.5</v>
      </c>
      <c r="M58">
        <v>2.5299999999999998</v>
      </c>
      <c r="N58">
        <v>2.56</v>
      </c>
      <c r="O58">
        <v>2.59</v>
      </c>
      <c r="P58">
        <v>2.64</v>
      </c>
      <c r="Q58">
        <v>2.68</v>
      </c>
      <c r="R58">
        <v>2.23</v>
      </c>
      <c r="S58">
        <v>1.86</v>
      </c>
      <c r="T58">
        <v>1.8</v>
      </c>
      <c r="U58">
        <v>1.9</v>
      </c>
      <c r="V58">
        <v>1.97</v>
      </c>
      <c r="W58">
        <v>1.85</v>
      </c>
      <c r="X58">
        <v>1.82</v>
      </c>
      <c r="Y58">
        <v>1.84</v>
      </c>
      <c r="Z58">
        <v>1.88</v>
      </c>
      <c r="AA58">
        <v>1.93</v>
      </c>
      <c r="AB58">
        <v>1.98</v>
      </c>
      <c r="AC58">
        <v>2.0299999999999998</v>
      </c>
      <c r="AD58">
        <v>2.0499999999999998</v>
      </c>
      <c r="AE58">
        <v>2.0699999999999998</v>
      </c>
      <c r="AF58">
        <v>2.09</v>
      </c>
      <c r="AG58">
        <v>2.11</v>
      </c>
      <c r="AH58" s="18"/>
      <c r="AI58" s="18"/>
      <c r="AJ58" s="18"/>
      <c r="AK58" s="18"/>
      <c r="AL58" s="18"/>
      <c r="AM58" s="18"/>
      <c r="AN58" s="18"/>
    </row>
    <row r="59" spans="1:40" x14ac:dyDescent="0.25">
      <c r="A59" s="3" t="s">
        <v>188</v>
      </c>
      <c r="B59">
        <v>0.28999999999999998</v>
      </c>
      <c r="C59">
        <v>0.28999999999999998</v>
      </c>
      <c r="D59">
        <v>0.28999999999999998</v>
      </c>
      <c r="E59">
        <v>0.28999999999999998</v>
      </c>
      <c r="F59">
        <v>0.28999999999999998</v>
      </c>
      <c r="G59">
        <v>0.28999999999999998</v>
      </c>
      <c r="H59">
        <v>0.28999999999999998</v>
      </c>
      <c r="I59">
        <v>0.28999999999999998</v>
      </c>
      <c r="J59">
        <v>0.28999999999999998</v>
      </c>
      <c r="K59">
        <v>0.28999999999999998</v>
      </c>
      <c r="L59">
        <v>0.28999999999999998</v>
      </c>
      <c r="M59">
        <v>0.28999999999999998</v>
      </c>
      <c r="N59">
        <v>1.63</v>
      </c>
      <c r="O59">
        <v>1.77</v>
      </c>
      <c r="P59">
        <v>1.5</v>
      </c>
      <c r="Q59">
        <v>1.96</v>
      </c>
      <c r="R59">
        <v>2.0499999999999998</v>
      </c>
      <c r="S59">
        <v>2.16</v>
      </c>
      <c r="T59">
        <v>5.39</v>
      </c>
      <c r="U59">
        <v>11.2</v>
      </c>
      <c r="V59">
        <v>16.98</v>
      </c>
      <c r="W59">
        <v>22.75</v>
      </c>
      <c r="X59">
        <v>25.18</v>
      </c>
      <c r="Y59">
        <v>27.62</v>
      </c>
      <c r="Z59">
        <v>30.04</v>
      </c>
      <c r="AA59">
        <v>32.450000000000003</v>
      </c>
      <c r="AB59">
        <v>34.869999999999997</v>
      </c>
      <c r="AC59">
        <v>34.19</v>
      </c>
      <c r="AD59">
        <v>33.5</v>
      </c>
      <c r="AE59">
        <v>32.82</v>
      </c>
      <c r="AF59">
        <v>32.14</v>
      </c>
      <c r="AG59">
        <v>31.46</v>
      </c>
      <c r="AH59" s="18"/>
      <c r="AI59" s="18"/>
      <c r="AJ59" s="18"/>
      <c r="AK59" s="18"/>
      <c r="AL59" s="18"/>
      <c r="AM59" s="18"/>
      <c r="AN59" s="18"/>
    </row>
    <row r="60" spans="1:40" x14ac:dyDescent="0.25">
      <c r="A60" s="3" t="s">
        <v>189</v>
      </c>
      <c r="B60">
        <v>0.08</v>
      </c>
      <c r="C60">
        <v>0.08</v>
      </c>
      <c r="D60">
        <v>0.08</v>
      </c>
      <c r="E60">
        <v>0.08</v>
      </c>
      <c r="F60">
        <v>0.12</v>
      </c>
      <c r="G60">
        <v>0.16</v>
      </c>
      <c r="H60">
        <v>0.2</v>
      </c>
      <c r="I60">
        <v>0.23</v>
      </c>
      <c r="J60">
        <v>0.27</v>
      </c>
      <c r="K60">
        <v>0.31</v>
      </c>
      <c r="L60">
        <v>0.35</v>
      </c>
      <c r="M60">
        <v>1.99</v>
      </c>
      <c r="N60">
        <v>1.01</v>
      </c>
      <c r="O60">
        <v>1.4</v>
      </c>
      <c r="P60">
        <v>1.29</v>
      </c>
      <c r="Q60">
        <v>1.66</v>
      </c>
      <c r="R60">
        <v>2.08</v>
      </c>
      <c r="S60">
        <v>1.84</v>
      </c>
      <c r="T60">
        <v>8.24</v>
      </c>
      <c r="U60">
        <v>8.2200000000000006</v>
      </c>
      <c r="V60">
        <v>4.18</v>
      </c>
      <c r="W60">
        <v>4.18</v>
      </c>
      <c r="X60">
        <v>4.18</v>
      </c>
      <c r="Y60">
        <v>4.17</v>
      </c>
      <c r="Z60">
        <v>3.29</v>
      </c>
      <c r="AA60">
        <v>3.29</v>
      </c>
      <c r="AB60">
        <v>3.29</v>
      </c>
      <c r="AC60">
        <v>3.29</v>
      </c>
      <c r="AD60">
        <v>3.29</v>
      </c>
      <c r="AE60">
        <v>6.49</v>
      </c>
      <c r="AF60">
        <v>6.49</v>
      </c>
      <c r="AG60">
        <v>6.49</v>
      </c>
      <c r="AH60" s="18"/>
      <c r="AI60" s="18"/>
      <c r="AJ60" s="18"/>
      <c r="AK60" s="18"/>
      <c r="AL60" s="18"/>
      <c r="AM60" s="18"/>
      <c r="AN60" s="18"/>
    </row>
    <row r="62" spans="1:40" ht="18" thickBot="1" x14ac:dyDescent="0.35">
      <c r="A62" s="4" t="s">
        <v>143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54</v>
      </c>
      <c r="B64">
        <v>0.5</v>
      </c>
      <c r="C64">
        <v>0.51400000000000001</v>
      </c>
      <c r="D64">
        <v>0.52100000000000002</v>
      </c>
      <c r="E64">
        <v>0.50900000000000001</v>
      </c>
      <c r="F64">
        <v>0.5</v>
      </c>
      <c r="G64">
        <v>0.49099999999999999</v>
      </c>
      <c r="H64">
        <v>0.48199999999999998</v>
      </c>
      <c r="I64">
        <v>0.47499999999999998</v>
      </c>
      <c r="J64">
        <v>0.46800000000000003</v>
      </c>
      <c r="K64">
        <v>0.46400000000000002</v>
      </c>
      <c r="L64">
        <v>0.45700000000000002</v>
      </c>
      <c r="M64">
        <v>0.44900000000000001</v>
      </c>
      <c r="N64">
        <v>0.439</v>
      </c>
      <c r="O64">
        <v>0.42799999999999999</v>
      </c>
      <c r="P64">
        <v>0.41699999999999998</v>
      </c>
      <c r="Q64">
        <v>0.40500000000000003</v>
      </c>
      <c r="R64">
        <v>0.39600000000000002</v>
      </c>
      <c r="S64">
        <v>0.39100000000000001</v>
      </c>
      <c r="T64">
        <v>0.38400000000000001</v>
      </c>
      <c r="U64">
        <v>0.377</v>
      </c>
      <c r="V64">
        <v>0.36799999999999999</v>
      </c>
      <c r="W64">
        <v>0.35899999999999999</v>
      </c>
      <c r="X64">
        <v>0.35199999999999998</v>
      </c>
      <c r="Y64">
        <v>0.34399999999999997</v>
      </c>
      <c r="Z64">
        <v>0.33600000000000002</v>
      </c>
      <c r="AA64">
        <v>0.32800000000000001</v>
      </c>
      <c r="AB64">
        <v>0.32</v>
      </c>
      <c r="AC64">
        <v>0.312</v>
      </c>
      <c r="AD64">
        <v>0.30599999999999999</v>
      </c>
      <c r="AE64">
        <v>0.30299999999999999</v>
      </c>
      <c r="AF64">
        <v>0.3</v>
      </c>
      <c r="AG64">
        <v>0.29599999999999999</v>
      </c>
    </row>
    <row r="65" spans="1:40" x14ac:dyDescent="0.25">
      <c r="A65" s="3" t="s">
        <v>55</v>
      </c>
      <c r="B65">
        <v>0.3</v>
      </c>
      <c r="C65">
        <v>0.28599999999999998</v>
      </c>
      <c r="D65">
        <v>0.27900000000000003</v>
      </c>
      <c r="E65">
        <v>0.29099999999999998</v>
      </c>
      <c r="F65">
        <v>0.29899999999999999</v>
      </c>
      <c r="G65">
        <v>0.30199999999999999</v>
      </c>
      <c r="H65">
        <v>0.30499999999999999</v>
      </c>
      <c r="I65">
        <v>0.307</v>
      </c>
      <c r="J65">
        <v>0.31</v>
      </c>
      <c r="K65">
        <v>0.312</v>
      </c>
      <c r="L65">
        <v>0.313</v>
      </c>
      <c r="M65">
        <v>0.316</v>
      </c>
      <c r="N65">
        <v>0.318</v>
      </c>
      <c r="O65">
        <v>0.32</v>
      </c>
      <c r="P65">
        <v>0.32300000000000001</v>
      </c>
      <c r="Q65">
        <v>0.32600000000000001</v>
      </c>
      <c r="R65">
        <v>0.33</v>
      </c>
      <c r="S65">
        <v>0.33200000000000002</v>
      </c>
      <c r="T65">
        <v>0.33400000000000002</v>
      </c>
      <c r="U65">
        <v>0.33700000000000002</v>
      </c>
      <c r="V65">
        <v>0.33700000000000002</v>
      </c>
      <c r="W65">
        <v>0.34100000000000003</v>
      </c>
      <c r="X65">
        <v>0.34300000000000003</v>
      </c>
      <c r="Y65">
        <v>0.34499999999999997</v>
      </c>
      <c r="Z65">
        <v>0.34699999999999998</v>
      </c>
      <c r="AA65">
        <v>0.34799999999999998</v>
      </c>
      <c r="AB65">
        <v>0.35</v>
      </c>
      <c r="AC65">
        <v>0.35199999999999998</v>
      </c>
      <c r="AD65">
        <v>0.35499999999999998</v>
      </c>
      <c r="AE65">
        <v>0.35599999999999998</v>
      </c>
      <c r="AF65">
        <v>0.35799999999999998</v>
      </c>
      <c r="AG65">
        <v>0.35899999999999999</v>
      </c>
    </row>
    <row r="66" spans="1:40" x14ac:dyDescent="0.25">
      <c r="A66" s="3" t="s">
        <v>56</v>
      </c>
      <c r="B66">
        <v>0.2</v>
      </c>
      <c r="C66">
        <v>0.2</v>
      </c>
      <c r="D66">
        <v>0.2</v>
      </c>
      <c r="E66">
        <v>0.2</v>
      </c>
      <c r="F66">
        <v>0.20100000000000001</v>
      </c>
      <c r="G66">
        <v>0.20699999999999999</v>
      </c>
      <c r="H66">
        <v>0.21299999999999999</v>
      </c>
      <c r="I66">
        <v>0.218</v>
      </c>
      <c r="J66">
        <v>0.222</v>
      </c>
      <c r="K66">
        <v>0.224</v>
      </c>
      <c r="L66">
        <v>0.23</v>
      </c>
      <c r="M66">
        <v>0.23599999999999999</v>
      </c>
      <c r="N66">
        <v>0.24399999999999999</v>
      </c>
      <c r="O66">
        <v>0.251</v>
      </c>
      <c r="P66">
        <v>0.26</v>
      </c>
      <c r="Q66">
        <v>0.26900000000000002</v>
      </c>
      <c r="R66">
        <v>0.27400000000000002</v>
      </c>
      <c r="S66">
        <v>0.27700000000000002</v>
      </c>
      <c r="T66">
        <v>0.28199999999999997</v>
      </c>
      <c r="U66">
        <v>0.28699999999999998</v>
      </c>
      <c r="V66">
        <v>0.29399999999999998</v>
      </c>
      <c r="W66">
        <v>0.29899999999999999</v>
      </c>
      <c r="X66">
        <v>0.30599999999999999</v>
      </c>
      <c r="Y66">
        <v>0.312</v>
      </c>
      <c r="Z66">
        <v>0.318</v>
      </c>
      <c r="AA66">
        <v>0.32400000000000001</v>
      </c>
      <c r="AB66">
        <v>0.33</v>
      </c>
      <c r="AC66">
        <v>0.33600000000000002</v>
      </c>
      <c r="AD66">
        <v>0.33900000000000002</v>
      </c>
      <c r="AE66">
        <v>0.34100000000000003</v>
      </c>
      <c r="AF66">
        <v>0.34300000000000003</v>
      </c>
      <c r="AG66">
        <v>0.34499999999999997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144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0.36699999999999999</v>
      </c>
      <c r="B71">
        <v>0.34200000000000003</v>
      </c>
      <c r="C71">
        <v>0.41299999999999998</v>
      </c>
      <c r="D71">
        <v>0.36099999999999999</v>
      </c>
      <c r="E71">
        <v>0.42599999999999999</v>
      </c>
      <c r="F71">
        <v>0.432</v>
      </c>
      <c r="G71">
        <v>0.438</v>
      </c>
      <c r="H71">
        <v>0.442</v>
      </c>
      <c r="I71">
        <v>0.44700000000000001</v>
      </c>
      <c r="J71">
        <v>0.44800000000000001</v>
      </c>
      <c r="K71">
        <v>0.45600000000000002</v>
      </c>
      <c r="L71">
        <v>0.46300000000000002</v>
      </c>
      <c r="M71">
        <v>0.47299999999999998</v>
      </c>
      <c r="N71">
        <v>0.48299999999999998</v>
      </c>
      <c r="O71">
        <v>0.496</v>
      </c>
      <c r="P71">
        <v>0.50900000000000001</v>
      </c>
      <c r="Q71">
        <v>0.51400000000000001</v>
      </c>
      <c r="R71">
        <v>0.51800000000000002</v>
      </c>
      <c r="S71">
        <v>0.52500000000000002</v>
      </c>
      <c r="T71">
        <v>0.53300000000000003</v>
      </c>
      <c r="U71">
        <v>0.54800000000000004</v>
      </c>
      <c r="V71">
        <v>0.55400000000000005</v>
      </c>
      <c r="W71">
        <v>0.623</v>
      </c>
      <c r="X71">
        <v>0.63500000000000001</v>
      </c>
      <c r="Y71">
        <v>0.64800000000000002</v>
      </c>
      <c r="Z71">
        <v>0.66100000000000003</v>
      </c>
      <c r="AA71">
        <v>0.67600000000000005</v>
      </c>
      <c r="AB71">
        <v>0.69099999999999995</v>
      </c>
      <c r="AC71">
        <v>0.69499999999999995</v>
      </c>
      <c r="AD71">
        <v>0.69799999999999995</v>
      </c>
      <c r="AE71">
        <v>0.70199999999999996</v>
      </c>
      <c r="AF71">
        <v>0.70599999999999996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 s="26">
        <v>0.4</v>
      </c>
    </row>
    <row r="75" spans="1:40" x14ac:dyDescent="0.25">
      <c r="C75" s="13"/>
    </row>
    <row r="76" spans="1:40" ht="18" thickBot="1" x14ac:dyDescent="0.35">
      <c r="A76" s="24" t="s">
        <v>146</v>
      </c>
      <c r="B76" s="24"/>
      <c r="C76" s="24"/>
      <c r="D76" s="24"/>
      <c r="E76" s="24"/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8">
        <v>1833.848514865675</v>
      </c>
      <c r="C78" s="18">
        <v>1885.3290641564624</v>
      </c>
      <c r="D78" s="18">
        <v>1928.39620119141</v>
      </c>
      <c r="E78" s="18">
        <v>1958.8493088941718</v>
      </c>
      <c r="F78" s="18">
        <v>1982.0850018792316</v>
      </c>
      <c r="G78" s="18">
        <v>2007.4248614758401</v>
      </c>
      <c r="H78" s="18">
        <v>2039.0412178243319</v>
      </c>
      <c r="I78" s="18">
        <v>2076.6421719562941</v>
      </c>
      <c r="J78" s="18">
        <v>1915.2315943142085</v>
      </c>
      <c r="K78" s="18">
        <v>1962.8101861547837</v>
      </c>
      <c r="L78" s="18">
        <v>2010.404875841102</v>
      </c>
      <c r="M78" s="18">
        <v>2059.207287688243</v>
      </c>
      <c r="N78" s="18">
        <v>2112.2911331940809</v>
      </c>
      <c r="O78" s="18">
        <v>2171.0739010622037</v>
      </c>
      <c r="P78" s="18">
        <v>2233.2299533244782</v>
      </c>
      <c r="Q78" s="18">
        <v>2300.2295467964586</v>
      </c>
      <c r="R78" s="18">
        <v>2371.3354894212043</v>
      </c>
      <c r="S78" s="18">
        <v>2450.3349917862779</v>
      </c>
      <c r="T78" s="18">
        <v>2531.7763216952389</v>
      </c>
      <c r="U78" s="18">
        <v>2623.0585462739341</v>
      </c>
      <c r="V78" s="18">
        <v>2719.8418952674906</v>
      </c>
      <c r="W78" s="18">
        <v>2822.4039676299853</v>
      </c>
      <c r="X78" s="18">
        <v>2927.6319924343343</v>
      </c>
      <c r="Y78" s="18">
        <v>3026.8908242379207</v>
      </c>
      <c r="Z78" s="18">
        <v>3129.3674890644361</v>
      </c>
      <c r="AA78" s="18">
        <v>3239.55378643735</v>
      </c>
      <c r="AB78" s="18">
        <v>3356.039411088097</v>
      </c>
      <c r="AC78" s="18">
        <v>3473.409555132459</v>
      </c>
      <c r="AD78" s="18">
        <v>3594.5289479496564</v>
      </c>
      <c r="AE78" s="18">
        <v>3720.9148035269563</v>
      </c>
      <c r="AF78" s="18">
        <v>3854.2956536683641</v>
      </c>
      <c r="AG78" s="18">
        <v>3995.7589124767237</v>
      </c>
      <c r="AH78" s="18">
        <v>4145.2991878494995</v>
      </c>
      <c r="AI78" s="18">
        <v>4305.728859646254</v>
      </c>
      <c r="AJ78" s="18">
        <v>4474.4706584146988</v>
      </c>
      <c r="AK78" s="18">
        <v>4651.827306349981</v>
      </c>
      <c r="AL78" s="18">
        <v>4830.5177051699948</v>
      </c>
      <c r="AM78" s="18">
        <v>5018.1870129939944</v>
      </c>
      <c r="AN78" s="18">
        <v>5216.725367304326</v>
      </c>
    </row>
    <row r="79" spans="1:40" x14ac:dyDescent="0.25">
      <c r="A79" t="s">
        <v>73</v>
      </c>
      <c r="B79" s="18">
        <v>69.817113338467777</v>
      </c>
      <c r="C79" s="18">
        <v>72.761066221971831</v>
      </c>
      <c r="D79" s="18">
        <v>75.417786274230096</v>
      </c>
      <c r="E79" s="18">
        <v>74.228063644953139</v>
      </c>
      <c r="F79" s="18">
        <v>73.253912583403391</v>
      </c>
      <c r="G79" s="18">
        <v>75.624260765221052</v>
      </c>
      <c r="H79" s="18">
        <v>74.442603519421056</v>
      </c>
      <c r="I79" s="18">
        <v>73.338661295724094</v>
      </c>
      <c r="J79" s="18">
        <v>70.375961777614208</v>
      </c>
      <c r="K79" s="18">
        <v>72.305075641796904</v>
      </c>
      <c r="L79" s="18">
        <v>74.371442907353909</v>
      </c>
      <c r="M79" s="18">
        <v>76.048826811658941</v>
      </c>
      <c r="N79" s="18">
        <v>77.801170864347739</v>
      </c>
      <c r="O79" s="18">
        <v>79.755069595965793</v>
      </c>
      <c r="P79" s="18">
        <v>81.643762512249495</v>
      </c>
      <c r="Q79" s="18">
        <v>83.518599074190277</v>
      </c>
      <c r="R79" s="18">
        <v>85.406273095829633</v>
      </c>
      <c r="S79" s="18">
        <v>87.515360564125572</v>
      </c>
      <c r="T79" s="18">
        <v>89.644668344577482</v>
      </c>
      <c r="U79" s="18">
        <v>92.074258386859</v>
      </c>
      <c r="V79" s="18">
        <v>94.467109235476059</v>
      </c>
      <c r="W79" s="18">
        <v>96.900524693578546</v>
      </c>
      <c r="X79" s="18">
        <v>99.449848341332199</v>
      </c>
      <c r="Y79" s="18">
        <v>101.58253196976366</v>
      </c>
      <c r="Z79" s="18">
        <v>103.81481786586789</v>
      </c>
      <c r="AA79" s="18">
        <v>106.29138004793593</v>
      </c>
      <c r="AB79" s="18">
        <v>108.94541199133269</v>
      </c>
      <c r="AC79" s="18">
        <v>111.52402257339763</v>
      </c>
      <c r="AD79" s="18">
        <v>114.08413621905542</v>
      </c>
      <c r="AE79" s="18">
        <v>116.66136699777962</v>
      </c>
      <c r="AF79" s="18">
        <v>119.42230056034572</v>
      </c>
      <c r="AG79" s="18">
        <v>122.4108523280607</v>
      </c>
      <c r="AH79" s="18">
        <v>125.6282721642884</v>
      </c>
      <c r="AI79" s="18">
        <v>129.0904668169519</v>
      </c>
      <c r="AJ79" s="18">
        <v>132.77592532882883</v>
      </c>
      <c r="AK79" s="18">
        <v>136.63731853615764</v>
      </c>
      <c r="AL79" s="18">
        <v>140.52207915499699</v>
      </c>
      <c r="AM79" s="18">
        <v>144.57664789311821</v>
      </c>
      <c r="AN79" s="18">
        <v>148.89999948370686</v>
      </c>
    </row>
    <row r="80" spans="1:40" x14ac:dyDescent="0.25">
      <c r="A80" t="s">
        <v>23</v>
      </c>
      <c r="B80" s="27">
        <v>123.2692368267648</v>
      </c>
      <c r="C80" s="27">
        <v>126.6845991055519</v>
      </c>
      <c r="D80" s="27">
        <v>127.52463678443432</v>
      </c>
      <c r="E80" s="27">
        <v>131.73277495808907</v>
      </c>
      <c r="F80" s="27">
        <v>129.91819475444953</v>
      </c>
      <c r="G80" s="27">
        <v>133.91893616252753</v>
      </c>
      <c r="H80" s="27">
        <v>133.1583190218615</v>
      </c>
      <c r="I80" s="27">
        <v>131.43894998775974</v>
      </c>
      <c r="J80" s="27">
        <v>120.28537088063834</v>
      </c>
      <c r="K80" s="27">
        <v>122.18845484351343</v>
      </c>
      <c r="L80" s="27">
        <v>123.94700863537518</v>
      </c>
      <c r="M80" s="27">
        <v>125.68777893924542</v>
      </c>
      <c r="N80" s="27">
        <v>127.64407947093463</v>
      </c>
      <c r="O80" s="27">
        <v>129.98831762953361</v>
      </c>
      <c r="P80" s="27">
        <v>132.45594613273045</v>
      </c>
      <c r="Q80" s="27">
        <v>135.07304974634042</v>
      </c>
      <c r="R80" s="27">
        <v>137.90253620238548</v>
      </c>
      <c r="S80" s="27">
        <v>141.47736692280355</v>
      </c>
      <c r="T80" s="27">
        <v>145.28841789644645</v>
      </c>
      <c r="U80" s="27">
        <v>149.79895254222379</v>
      </c>
      <c r="V80" s="27">
        <v>154.64188805095469</v>
      </c>
      <c r="W80" s="27">
        <v>159.90153643428582</v>
      </c>
      <c r="X80" s="27">
        <v>165.17928999845921</v>
      </c>
      <c r="Y80" s="27">
        <v>170.59426790947836</v>
      </c>
      <c r="Z80" s="27">
        <v>175.57059167292519</v>
      </c>
      <c r="AA80" s="27">
        <v>180.94176531655955</v>
      </c>
      <c r="AB80" s="27">
        <v>186.68028911367384</v>
      </c>
      <c r="AC80" s="27">
        <v>192.31753526931348</v>
      </c>
      <c r="AD80" s="27">
        <v>198.04149186947072</v>
      </c>
      <c r="AE80" s="27">
        <v>203.43988232241091</v>
      </c>
      <c r="AF80" s="27">
        <v>208.95885886699676</v>
      </c>
      <c r="AG80" s="27">
        <v>214.67351343900046</v>
      </c>
      <c r="AH80" s="27">
        <v>220.57450838685693</v>
      </c>
      <c r="AI80" s="27">
        <v>226.82030044627388</v>
      </c>
      <c r="AJ80" s="27">
        <v>233.72661814650394</v>
      </c>
      <c r="AK80" s="27">
        <v>241.01957701759684</v>
      </c>
      <c r="AL80" s="27">
        <v>248.21855932620224</v>
      </c>
      <c r="AM80" s="27">
        <v>255.75284504117138</v>
      </c>
      <c r="AN80" s="27">
        <v>263.7579496831184</v>
      </c>
    </row>
    <row r="81" spans="1:40" x14ac:dyDescent="0.25">
      <c r="A81" t="s">
        <v>151</v>
      </c>
      <c r="B81" s="27">
        <v>82.179491217843207</v>
      </c>
      <c r="C81" s="27">
        <v>84.456399403701269</v>
      </c>
      <c r="D81" s="27">
        <v>85.016424522956228</v>
      </c>
      <c r="E81" s="27">
        <v>87.821849972059397</v>
      </c>
      <c r="F81" s="27">
        <v>86.612129836299687</v>
      </c>
      <c r="G81" s="27">
        <v>89.279290775018353</v>
      </c>
      <c r="H81" s="27">
        <v>88.772212681241015</v>
      </c>
      <c r="I81" s="27">
        <v>87.625966658506499</v>
      </c>
      <c r="J81" s="27">
        <v>80.190247253758912</v>
      </c>
      <c r="K81" s="27">
        <v>81.458969895675637</v>
      </c>
      <c r="L81" s="27">
        <v>82.631339090250137</v>
      </c>
      <c r="M81" s="27">
        <v>83.791852626163632</v>
      </c>
      <c r="N81" s="27">
        <v>85.096052980623085</v>
      </c>
      <c r="O81" s="27">
        <v>86.658878419689074</v>
      </c>
      <c r="P81" s="27">
        <v>88.303964088486964</v>
      </c>
      <c r="Q81" s="27">
        <v>90.048699830893625</v>
      </c>
      <c r="R81" s="27">
        <v>91.935024134923651</v>
      </c>
      <c r="S81" s="27">
        <v>94.318244615202374</v>
      </c>
      <c r="T81" s="27">
        <v>96.858945264297645</v>
      </c>
      <c r="U81" s="27">
        <v>99.865968361482544</v>
      </c>
      <c r="V81" s="27">
        <v>103.0945920339698</v>
      </c>
      <c r="W81" s="27">
        <v>106.60102428952389</v>
      </c>
      <c r="X81" s="27">
        <v>110.11952666563948</v>
      </c>
      <c r="Y81" s="27">
        <v>113.72951193965226</v>
      </c>
      <c r="Z81" s="27">
        <v>117.04706111528347</v>
      </c>
      <c r="AA81" s="27">
        <v>120.62784354437304</v>
      </c>
      <c r="AB81" s="27">
        <v>124.45352607578258</v>
      </c>
      <c r="AC81" s="27">
        <v>128.21169017954233</v>
      </c>
      <c r="AD81" s="27">
        <v>132.02766124631384</v>
      </c>
      <c r="AE81" s="27">
        <v>135.6265882149406</v>
      </c>
      <c r="AF81" s="27">
        <v>139.30590591133119</v>
      </c>
      <c r="AG81" s="27">
        <v>143.1156756260003</v>
      </c>
      <c r="AH81" s="27">
        <v>147.04967225790463</v>
      </c>
      <c r="AI81" s="27">
        <v>151.21353363084924</v>
      </c>
      <c r="AJ81" s="27">
        <v>155.81774543100266</v>
      </c>
      <c r="AK81" s="27">
        <v>160.67971801173124</v>
      </c>
      <c r="AL81" s="27">
        <v>165.47903955080153</v>
      </c>
      <c r="AM81" s="27">
        <v>170.50189669411429</v>
      </c>
      <c r="AN81" s="27">
        <v>175.83863312207893</v>
      </c>
    </row>
    <row r="82" spans="1:40" x14ac:dyDescent="0.25">
      <c r="A82" t="s">
        <v>24</v>
      </c>
      <c r="B82" s="18">
        <v>93.09690942833106</v>
      </c>
      <c r="C82" s="18">
        <v>94.993446234646797</v>
      </c>
      <c r="D82" s="18">
        <v>96.334376455091899</v>
      </c>
      <c r="E82" s="18">
        <v>96.558459479520835</v>
      </c>
      <c r="F82" s="18">
        <v>97.644967398178593</v>
      </c>
      <c r="G82" s="18">
        <v>97.997517901418121</v>
      </c>
      <c r="H82" s="18">
        <v>98.770585701709422</v>
      </c>
      <c r="I82" s="18">
        <v>98.119583228591793</v>
      </c>
      <c r="J82" s="18">
        <v>92.704310909525347</v>
      </c>
      <c r="K82" s="18">
        <v>95.302015170250399</v>
      </c>
      <c r="L82" s="18">
        <v>97.873951127403927</v>
      </c>
      <c r="M82" s="18">
        <v>100.12304266959772</v>
      </c>
      <c r="N82" s="18">
        <v>102.48999010149339</v>
      </c>
      <c r="O82" s="18">
        <v>105.13398818583012</v>
      </c>
      <c r="P82" s="18">
        <v>107.75894250019913</v>
      </c>
      <c r="Q82" s="18">
        <v>110.43921652400797</v>
      </c>
      <c r="R82" s="18">
        <v>113.19311523175173</v>
      </c>
      <c r="S82" s="18">
        <v>116.19313454817348</v>
      </c>
      <c r="T82" s="18">
        <v>119.23091943008865</v>
      </c>
      <c r="U82" s="18">
        <v>122.76632748694639</v>
      </c>
      <c r="V82" s="18">
        <v>126.32151836598254</v>
      </c>
      <c r="W82" s="18">
        <v>129.99892814021447</v>
      </c>
      <c r="X82" s="18">
        <v>133.68380546488083</v>
      </c>
      <c r="Y82" s="18">
        <v>136.8905028847235</v>
      </c>
      <c r="Z82" s="18">
        <v>140.13262803543526</v>
      </c>
      <c r="AA82" s="18">
        <v>143.70523135706333</v>
      </c>
      <c r="AB82" s="18">
        <v>147.55938741644732</v>
      </c>
      <c r="AC82" s="18">
        <v>151.2430267254413</v>
      </c>
      <c r="AD82" s="18">
        <v>154.93056846812195</v>
      </c>
      <c r="AE82" s="18">
        <v>158.63092160480687</v>
      </c>
      <c r="AF82" s="18">
        <v>162.59199205284796</v>
      </c>
      <c r="AG82" s="18">
        <v>166.74722658664146</v>
      </c>
      <c r="AH82" s="18">
        <v>171.06846318621436</v>
      </c>
      <c r="AI82" s="18">
        <v>175.62977545331631</v>
      </c>
      <c r="AJ82" s="18">
        <v>180.47592934772433</v>
      </c>
      <c r="AK82" s="18">
        <v>185.50041239958938</v>
      </c>
      <c r="AL82" s="18">
        <v>190.83749920687805</v>
      </c>
      <c r="AM82" s="18">
        <v>196.44758768505764</v>
      </c>
      <c r="AN82" s="18">
        <v>202.48030442577863</v>
      </c>
    </row>
    <row r="83" spans="1:40" x14ac:dyDescent="0.25">
      <c r="A83" t="s">
        <v>25</v>
      </c>
      <c r="B83" s="18">
        <v>235.49802282756241</v>
      </c>
      <c r="C83" s="18">
        <v>241.94953807611751</v>
      </c>
      <c r="D83" s="18">
        <v>246.10207883069049</v>
      </c>
      <c r="E83" s="18">
        <v>249.26808877833665</v>
      </c>
      <c r="F83" s="18">
        <v>251.54882204993891</v>
      </c>
      <c r="G83" s="18">
        <v>253.07599948298898</v>
      </c>
      <c r="H83" s="18">
        <v>255.77309263879329</v>
      </c>
      <c r="I83" s="18">
        <v>256.23572258235538</v>
      </c>
      <c r="J83" s="18">
        <v>231.28138030647995</v>
      </c>
      <c r="K83" s="18">
        <v>237.95223439188939</v>
      </c>
      <c r="L83" s="18">
        <v>244.39448085745738</v>
      </c>
      <c r="M83" s="18">
        <v>250.91023744131132</v>
      </c>
      <c r="N83" s="18">
        <v>257.90899781538928</v>
      </c>
      <c r="O83" s="18">
        <v>265.6989056250797</v>
      </c>
      <c r="P83" s="18">
        <v>273.7401089972098</v>
      </c>
      <c r="Q83" s="18">
        <v>282.31823624896856</v>
      </c>
      <c r="R83" s="18">
        <v>291.33525297704807</v>
      </c>
      <c r="S83" s="18">
        <v>301.11957791504847</v>
      </c>
      <c r="T83" s="18">
        <v>311.0814313326411</v>
      </c>
      <c r="U83" s="18">
        <v>322.48376378096827</v>
      </c>
      <c r="V83" s="18">
        <v>334.43472148589382</v>
      </c>
      <c r="W83" s="18">
        <v>347.05083056743183</v>
      </c>
      <c r="X83" s="18">
        <v>359.8365174716975</v>
      </c>
      <c r="Y83" s="18">
        <v>371.51150356847677</v>
      </c>
      <c r="Z83" s="18">
        <v>383.8079346198117</v>
      </c>
      <c r="AA83" s="18">
        <v>397.22959296384062</v>
      </c>
      <c r="AB83" s="18">
        <v>411.58997837708171</v>
      </c>
      <c r="AC83" s="18">
        <v>425.94796779644503</v>
      </c>
      <c r="AD83" s="18">
        <v>440.74900411880907</v>
      </c>
      <c r="AE83" s="18">
        <v>455.86997686754319</v>
      </c>
      <c r="AF83" s="18">
        <v>471.87371914278049</v>
      </c>
      <c r="AG83" s="18">
        <v>488.83584467351818</v>
      </c>
      <c r="AH83" s="18">
        <v>506.72022872761801</v>
      </c>
      <c r="AI83" s="18">
        <v>525.87420201505483</v>
      </c>
      <c r="AJ83" s="18">
        <v>546.07585540462924</v>
      </c>
      <c r="AK83" s="18">
        <v>567.29726712327658</v>
      </c>
      <c r="AL83" s="18">
        <v>588.40836182194505</v>
      </c>
      <c r="AM83" s="18">
        <v>610.59115744265955</v>
      </c>
      <c r="AN83" s="18">
        <v>634.10648718903576</v>
      </c>
    </row>
    <row r="84" spans="1:40" x14ac:dyDescent="0.25">
      <c r="A84" t="s">
        <v>26</v>
      </c>
      <c r="B84" s="18">
        <v>17.781500762507285</v>
      </c>
      <c r="C84" s="18">
        <v>18.189599532275118</v>
      </c>
      <c r="D84" s="18">
        <v>18.519494173147685</v>
      </c>
      <c r="E84" s="18">
        <v>18.692324513083456</v>
      </c>
      <c r="F84" s="18">
        <v>18.990365626538715</v>
      </c>
      <c r="G84" s="18">
        <v>19.082967766641026</v>
      </c>
      <c r="H84" s="18">
        <v>19.374189074838732</v>
      </c>
      <c r="I84" s="18">
        <v>19.413900420182642</v>
      </c>
      <c r="J84" s="18">
        <v>17.944003758260617</v>
      </c>
      <c r="K84" s="18">
        <v>18.435100578531209</v>
      </c>
      <c r="L84" s="18">
        <v>18.907868430352945</v>
      </c>
      <c r="M84" s="18">
        <v>19.407017680170156</v>
      </c>
      <c r="N84" s="18">
        <v>19.925075221594977</v>
      </c>
      <c r="O84" s="18">
        <v>20.502240282253414</v>
      </c>
      <c r="P84" s="18">
        <v>21.132006843043495</v>
      </c>
      <c r="Q84" s="18">
        <v>21.781675172171447</v>
      </c>
      <c r="R84" s="18">
        <v>22.442962656122312</v>
      </c>
      <c r="S84" s="18">
        <v>23.189338930232626</v>
      </c>
      <c r="T84" s="18">
        <v>23.9533665831209</v>
      </c>
      <c r="U84" s="18">
        <v>24.81049190716378</v>
      </c>
      <c r="V84" s="18">
        <v>25.691187591926983</v>
      </c>
      <c r="W84" s="18">
        <v>26.587351472537012</v>
      </c>
      <c r="X84" s="18">
        <v>27.495469643756088</v>
      </c>
      <c r="Y84" s="18">
        <v>27.916764265085412</v>
      </c>
      <c r="Z84" s="18">
        <v>28.799944714158059</v>
      </c>
      <c r="AA84" s="18">
        <v>29.731851075810045</v>
      </c>
      <c r="AB84" s="18">
        <v>30.723433081292058</v>
      </c>
      <c r="AC84" s="18">
        <v>31.70480445277974</v>
      </c>
      <c r="AD84" s="18">
        <v>32.70552444689114</v>
      </c>
      <c r="AE84" s="18">
        <v>33.725394497516078</v>
      </c>
      <c r="AF84" s="18">
        <v>34.811384430668774</v>
      </c>
      <c r="AG84" s="18">
        <v>35.962542885195298</v>
      </c>
      <c r="AH84" s="18">
        <v>37.177908897611594</v>
      </c>
      <c r="AI84" s="18">
        <v>38.482911477928582</v>
      </c>
      <c r="AJ84" s="18">
        <v>39.852267972425778</v>
      </c>
      <c r="AK84" s="18">
        <v>41.285346907622447</v>
      </c>
      <c r="AL84" s="18">
        <v>42.729995212034616</v>
      </c>
      <c r="AM84" s="18">
        <v>44.252236985534118</v>
      </c>
      <c r="AN84" s="18">
        <v>45.862569254611302</v>
      </c>
    </row>
    <row r="85" spans="1:40" x14ac:dyDescent="0.25">
      <c r="A85" t="s">
        <v>27</v>
      </c>
      <c r="B85" s="18">
        <v>52.810230956689715</v>
      </c>
      <c r="C85" s="18">
        <v>54.245119171813215</v>
      </c>
      <c r="D85" s="18">
        <v>55.18306790095383</v>
      </c>
      <c r="E85" s="18">
        <v>55.676327175452201</v>
      </c>
      <c r="F85" s="18">
        <v>56.133957764403732</v>
      </c>
      <c r="G85" s="18">
        <v>56.466694909022188</v>
      </c>
      <c r="H85" s="18">
        <v>57.032194159691336</v>
      </c>
      <c r="I85" s="18">
        <v>57.003629108320098</v>
      </c>
      <c r="J85" s="18">
        <v>52.255194601806359</v>
      </c>
      <c r="K85" s="18">
        <v>53.62355966559889</v>
      </c>
      <c r="L85" s="18">
        <v>54.966221313123441</v>
      </c>
      <c r="M85" s="18">
        <v>56.279539490650862</v>
      </c>
      <c r="N85" s="18">
        <v>57.699574969640054</v>
      </c>
      <c r="O85" s="18">
        <v>59.302932577207542</v>
      </c>
      <c r="P85" s="18">
        <v>60.948400502738096</v>
      </c>
      <c r="Q85" s="18">
        <v>62.674516435258795</v>
      </c>
      <c r="R85" s="18">
        <v>64.500156359871809</v>
      </c>
      <c r="S85" s="18">
        <v>66.540037042527302</v>
      </c>
      <c r="T85" s="18">
        <v>68.617005000770646</v>
      </c>
      <c r="U85" s="18">
        <v>70.974904755369693</v>
      </c>
      <c r="V85" s="18">
        <v>73.425239401493684</v>
      </c>
      <c r="W85" s="18">
        <v>75.997213183651027</v>
      </c>
      <c r="X85" s="18">
        <v>78.594699331415796</v>
      </c>
      <c r="Y85" s="18">
        <v>80.959331818107628</v>
      </c>
      <c r="Z85" s="18">
        <v>83.425132814381897</v>
      </c>
      <c r="AA85" s="18">
        <v>86.073823732962524</v>
      </c>
      <c r="AB85" s="18">
        <v>88.909499209733525</v>
      </c>
      <c r="AC85" s="18">
        <v>91.711372118068766</v>
      </c>
      <c r="AD85" s="18">
        <v>94.5770877473757</v>
      </c>
      <c r="AE85" s="18">
        <v>97.476691137003115</v>
      </c>
      <c r="AF85" s="18">
        <v>100.56625787510568</v>
      </c>
      <c r="AG85" s="18">
        <v>103.8467132857627</v>
      </c>
      <c r="AH85" s="18">
        <v>107.30747576555298</v>
      </c>
      <c r="AI85" s="18">
        <v>111.01926991252481</v>
      </c>
      <c r="AJ85" s="18">
        <v>114.98756274097082</v>
      </c>
      <c r="AK85" s="18">
        <v>119.14641325192684</v>
      </c>
      <c r="AL85" s="18">
        <v>123.32639329043802</v>
      </c>
      <c r="AM85" s="18">
        <v>127.70966554090654</v>
      </c>
      <c r="AN85" s="18">
        <v>132.36719475450298</v>
      </c>
    </row>
    <row r="86" spans="1:40" x14ac:dyDescent="0.25">
      <c r="A86" t="s">
        <v>28</v>
      </c>
      <c r="B86" s="18">
        <v>14.11335055811956</v>
      </c>
      <c r="C86" s="18">
        <v>14.529285948229166</v>
      </c>
      <c r="D86" s="18">
        <v>14.792917934511397</v>
      </c>
      <c r="E86" s="18">
        <v>15.037620245798024</v>
      </c>
      <c r="F86" s="18">
        <v>15.211889470186245</v>
      </c>
      <c r="G86" s="18">
        <v>15.372585006286357</v>
      </c>
      <c r="H86" s="18">
        <v>15.57343100248616</v>
      </c>
      <c r="I86" s="18">
        <v>15.632663118419302</v>
      </c>
      <c r="J86" s="18">
        <v>14.281790439496202</v>
      </c>
      <c r="K86" s="18">
        <v>14.678591596985113</v>
      </c>
      <c r="L86" s="18">
        <v>15.06461521129952</v>
      </c>
      <c r="M86" s="18">
        <v>15.46083557534152</v>
      </c>
      <c r="N86" s="18">
        <v>15.890762760607563</v>
      </c>
      <c r="O86" s="18">
        <v>16.370572396708098</v>
      </c>
      <c r="P86" s="18">
        <v>16.864063367703142</v>
      </c>
      <c r="Q86" s="18">
        <v>17.3952194321595</v>
      </c>
      <c r="R86" s="18">
        <v>17.952401379573427</v>
      </c>
      <c r="S86" s="18">
        <v>18.559266429108813</v>
      </c>
      <c r="T86" s="18">
        <v>19.177459569098534</v>
      </c>
      <c r="U86" s="18">
        <v>19.877574709061882</v>
      </c>
      <c r="V86" s="18">
        <v>20.61069469066333</v>
      </c>
      <c r="W86" s="18">
        <v>21.382940226614938</v>
      </c>
      <c r="X86" s="18">
        <v>22.163541490088175</v>
      </c>
      <c r="Y86" s="18">
        <v>22.879945957790131</v>
      </c>
      <c r="Z86" s="18">
        <v>23.637355820597676</v>
      </c>
      <c r="AA86" s="18">
        <v>24.460798193899048</v>
      </c>
      <c r="AB86" s="18">
        <v>25.343805679701738</v>
      </c>
      <c r="AC86" s="18">
        <v>26.232665727560232</v>
      </c>
      <c r="AD86" s="18">
        <v>27.155103698050855</v>
      </c>
      <c r="AE86" s="18">
        <v>28.094159252556153</v>
      </c>
      <c r="AF86" s="18">
        <v>29.084906230815911</v>
      </c>
      <c r="AG86" s="18">
        <v>30.143829470957463</v>
      </c>
      <c r="AH86" s="18">
        <v>31.260506113270068</v>
      </c>
      <c r="AI86" s="18">
        <v>32.456430029256332</v>
      </c>
      <c r="AJ86" s="18">
        <v>33.714449511721448</v>
      </c>
      <c r="AK86" s="18">
        <v>35.03400388217112</v>
      </c>
      <c r="AL86" s="18">
        <v>36.353176091755827</v>
      </c>
      <c r="AM86" s="18">
        <v>37.73572981913145</v>
      </c>
      <c r="AN86" s="18">
        <v>39.194910433110081</v>
      </c>
    </row>
    <row r="87" spans="1:40" x14ac:dyDescent="0.25">
      <c r="A87" t="s">
        <v>29</v>
      </c>
      <c r="B87" s="18">
        <v>13.345629432701729</v>
      </c>
      <c r="C87" s="18">
        <v>13.88856633822615</v>
      </c>
      <c r="D87" s="18">
        <v>14.23042630100378</v>
      </c>
      <c r="E87" s="18">
        <v>14.650080326208252</v>
      </c>
      <c r="F87" s="18">
        <v>14.737373657407572</v>
      </c>
      <c r="G87" s="18">
        <v>14.865669908290192</v>
      </c>
      <c r="H87" s="18">
        <v>14.890586998774422</v>
      </c>
      <c r="I87" s="18">
        <v>14.775538776469551</v>
      </c>
      <c r="J87" s="18">
        <v>12.847283577010501</v>
      </c>
      <c r="K87" s="18">
        <v>13.20942691569933</v>
      </c>
      <c r="L87" s="18">
        <v>13.489589011782209</v>
      </c>
      <c r="M87" s="18">
        <v>13.773528288625783</v>
      </c>
      <c r="N87" s="18">
        <v>14.078274783100348</v>
      </c>
      <c r="O87" s="18">
        <v>14.470582529453081</v>
      </c>
      <c r="P87" s="18">
        <v>14.825189683200671</v>
      </c>
      <c r="Q87" s="18">
        <v>15.189003854507641</v>
      </c>
      <c r="R87" s="18">
        <v>15.574353325980528</v>
      </c>
      <c r="S87" s="18">
        <v>16.059010445012778</v>
      </c>
      <c r="T87" s="18">
        <v>16.545121416580706</v>
      </c>
      <c r="U87" s="18">
        <v>17.139271863896138</v>
      </c>
      <c r="V87" s="18">
        <v>17.740782754841227</v>
      </c>
      <c r="W87" s="18">
        <v>18.375930295126619</v>
      </c>
      <c r="X87" s="18">
        <v>18.985030537859622</v>
      </c>
      <c r="Y87" s="18">
        <v>19.522983188324005</v>
      </c>
      <c r="Z87" s="18">
        <v>20.050091930418269</v>
      </c>
      <c r="AA87" s="18">
        <v>20.746246324700902</v>
      </c>
      <c r="AB87" s="18">
        <v>21.36292428421223</v>
      </c>
      <c r="AC87" s="18">
        <v>21.959544985491799</v>
      </c>
      <c r="AD87" s="18">
        <v>22.56015403253036</v>
      </c>
      <c r="AE87" s="18">
        <v>23.116520568045249</v>
      </c>
      <c r="AF87" s="18">
        <v>23.706573048006632</v>
      </c>
      <c r="AG87" s="18">
        <v>24.330010177173204</v>
      </c>
      <c r="AH87" s="18">
        <v>24.981849403465421</v>
      </c>
      <c r="AI87" s="18">
        <v>25.67805925953359</v>
      </c>
      <c r="AJ87" s="18">
        <v>26.484367100883127</v>
      </c>
      <c r="AK87" s="18">
        <v>27.32545250660927</v>
      </c>
      <c r="AL87" s="18">
        <v>28.139565213567323</v>
      </c>
      <c r="AM87" s="18">
        <v>28.984092527487629</v>
      </c>
      <c r="AN87" s="18">
        <v>29.878966996482575</v>
      </c>
    </row>
    <row r="88" spans="1:40" x14ac:dyDescent="0.25">
      <c r="A88" t="s">
        <v>30</v>
      </c>
      <c r="B88" s="18">
        <v>10.112362730184675</v>
      </c>
      <c r="C88" s="18">
        <v>8.5040411249539964</v>
      </c>
      <c r="D88" s="18">
        <v>7.784491547386529</v>
      </c>
      <c r="E88" s="18">
        <v>7.8869957375456359</v>
      </c>
      <c r="F88" s="18">
        <v>7.6498178254625797</v>
      </c>
      <c r="G88" s="18">
        <v>7.3431413818304856</v>
      </c>
      <c r="H88" s="18">
        <v>7.1864565939413234</v>
      </c>
      <c r="I88" s="18">
        <v>6.8812332740651714</v>
      </c>
      <c r="J88" s="18">
        <v>5.5992862977534568</v>
      </c>
      <c r="K88" s="18">
        <v>5.7341894840445793</v>
      </c>
      <c r="L88" s="18">
        <v>5.7866222491391648</v>
      </c>
      <c r="M88" s="18">
        <v>5.840496142866928</v>
      </c>
      <c r="N88" s="18">
        <v>5.9286574884635952</v>
      </c>
      <c r="O88" s="18">
        <v>6.0812507942852525</v>
      </c>
      <c r="P88" s="18">
        <v>6.2192974202882096</v>
      </c>
      <c r="Q88" s="18">
        <v>6.3662963283424023</v>
      </c>
      <c r="R88" s="18">
        <v>6.5276887149857554</v>
      </c>
      <c r="S88" s="18">
        <v>6.7871544589385726</v>
      </c>
      <c r="T88" s="18">
        <v>7.0701556814234481</v>
      </c>
      <c r="U88" s="18">
        <v>7.4309073946525315</v>
      </c>
      <c r="V88" s="18">
        <v>7.8155635114134849</v>
      </c>
      <c r="W88" s="18">
        <v>8.2355530532491592</v>
      </c>
      <c r="X88" s="18">
        <v>8.6546524623416072</v>
      </c>
      <c r="Y88" s="18">
        <v>9.0576796935178692</v>
      </c>
      <c r="Z88" s="18">
        <v>9.4348472755690143</v>
      </c>
      <c r="AA88" s="18">
        <v>9.8425637018627921</v>
      </c>
      <c r="AB88" s="18">
        <v>10.285140631781458</v>
      </c>
      <c r="AC88" s="18">
        <v>10.710157672238857</v>
      </c>
      <c r="AD88" s="18">
        <v>11.128823515036686</v>
      </c>
      <c r="AE88" s="18">
        <v>11.46733687246021</v>
      </c>
      <c r="AF88" s="18">
        <v>11.783562378235207</v>
      </c>
      <c r="AG88" s="18">
        <v>12.081804636314359</v>
      </c>
      <c r="AH88" s="18">
        <v>12.360430121812234</v>
      </c>
      <c r="AI88" s="18">
        <v>12.630138347688771</v>
      </c>
      <c r="AJ88" s="18">
        <v>12.960341207680875</v>
      </c>
      <c r="AK88" s="18">
        <v>13.300477852696885</v>
      </c>
      <c r="AL88" s="18">
        <v>13.620251502395988</v>
      </c>
      <c r="AM88" s="18">
        <v>13.940449308014085</v>
      </c>
      <c r="AN88" s="18">
        <v>14.271458563899428</v>
      </c>
    </row>
    <row r="89" spans="1:40" x14ac:dyDescent="0.25">
      <c r="A89" t="s">
        <v>31</v>
      </c>
      <c r="B89" s="18">
        <v>1.2396211872289537E-4</v>
      </c>
      <c r="C89" s="18">
        <v>1.3695422009881513E-4</v>
      </c>
      <c r="D89" s="18">
        <v>1.4914555552202771E-4</v>
      </c>
      <c r="E89" s="18">
        <v>1.4546157642812341E-4</v>
      </c>
      <c r="F89" s="18">
        <v>1.4279518961318394E-4</v>
      </c>
      <c r="G89" s="18">
        <v>1.3966781494797052E-4</v>
      </c>
      <c r="H89" s="18">
        <v>1.4671108490655016E-4</v>
      </c>
      <c r="I89" s="18">
        <v>1.4680049685268729E-4</v>
      </c>
      <c r="J89" s="18">
        <v>1.1252323073074771E-4</v>
      </c>
      <c r="K89" s="18">
        <v>1.2307790272328019E-4</v>
      </c>
      <c r="L89" s="18">
        <v>1.2639716564333281E-4</v>
      </c>
      <c r="M89" s="18">
        <v>1.2948644109559701E-4</v>
      </c>
      <c r="N89" s="18">
        <v>1.3374558197776801E-4</v>
      </c>
      <c r="O89" s="18">
        <v>1.4220168231537909E-4</v>
      </c>
      <c r="P89" s="18">
        <v>1.4584764604876969E-4</v>
      </c>
      <c r="Q89" s="18">
        <v>1.4860971012578352E-4</v>
      </c>
      <c r="R89" s="18">
        <v>1.512850982669578E-4</v>
      </c>
      <c r="S89" s="18">
        <v>1.2381549819444655E-4</v>
      </c>
      <c r="T89" s="18">
        <v>1.2379249864902822E-4</v>
      </c>
      <c r="U89" s="18">
        <v>1.2370521753358654E-4</v>
      </c>
      <c r="V89" s="18">
        <v>1.2362748054182927E-4</v>
      </c>
      <c r="W89" s="18">
        <v>1.2354349043632777E-4</v>
      </c>
      <c r="X89" s="18">
        <v>1.2350315089133343E-4</v>
      </c>
      <c r="Y89" s="18">
        <v>1.2350315089133343E-4</v>
      </c>
      <c r="Z89" s="18">
        <v>1.2350315089133332E-4</v>
      </c>
      <c r="AA89" s="18">
        <v>1.2350315089133332E-4</v>
      </c>
      <c r="AB89" s="18">
        <v>1.2349298139864001E-4</v>
      </c>
      <c r="AC89" s="18">
        <v>1.2348359525330571E-4</v>
      </c>
      <c r="AD89" s="18">
        <v>1.2347692682499546E-4</v>
      </c>
      <c r="AE89" s="18">
        <v>1.2346318171867763E-4</v>
      </c>
      <c r="AF89" s="18">
        <v>1.2346318171867763E-4</v>
      </c>
      <c r="AG89" s="18">
        <v>1.2346318171867766E-4</v>
      </c>
      <c r="AH89" s="18">
        <v>1.2346318171867766E-4</v>
      </c>
      <c r="AI89" s="18">
        <v>1.2346318171867771E-4</v>
      </c>
      <c r="AJ89" s="18">
        <v>1.2346318171867768E-4</v>
      </c>
      <c r="AK89" s="18">
        <v>1.2346318171867771E-4</v>
      </c>
      <c r="AL89" s="18">
        <v>1.234437818749194E-4</v>
      </c>
      <c r="AM89" s="18">
        <v>1.2341340744386161E-4</v>
      </c>
      <c r="AN89" s="18">
        <v>1.2337477954072176E-4</v>
      </c>
    </row>
    <row r="90" spans="1:40" x14ac:dyDescent="0.25">
      <c r="A90" t="s">
        <v>32</v>
      </c>
      <c r="B90" s="18">
        <v>84.250557323843438</v>
      </c>
      <c r="C90" s="18">
        <v>82.81129596603968</v>
      </c>
      <c r="D90" s="18">
        <v>81.075741423201265</v>
      </c>
      <c r="E90" s="18">
        <v>79.093845627180855</v>
      </c>
      <c r="F90" s="18">
        <v>77.164041185730042</v>
      </c>
      <c r="G90" s="18">
        <v>76.937717608149342</v>
      </c>
      <c r="H90" s="18">
        <v>76.724427192604097</v>
      </c>
      <c r="I90" s="18">
        <v>76.425620376368414</v>
      </c>
      <c r="J90" s="18">
        <v>70.183029353302913</v>
      </c>
      <c r="K90" s="18">
        <v>73.006988976034165</v>
      </c>
      <c r="L90" s="18">
        <v>72.820938025181761</v>
      </c>
      <c r="M90" s="18">
        <v>73.775854201320513</v>
      </c>
      <c r="N90" s="18">
        <v>74.923675022788373</v>
      </c>
      <c r="O90" s="18">
        <v>76.474595932696758</v>
      </c>
      <c r="P90" s="18">
        <v>77.320112773260362</v>
      </c>
      <c r="Q90" s="18">
        <v>78.659217596876843</v>
      </c>
      <c r="R90" s="18">
        <v>80.001452073539056</v>
      </c>
      <c r="S90" s="18">
        <v>82.191264176921962</v>
      </c>
      <c r="T90" s="18">
        <v>84.396391236931905</v>
      </c>
      <c r="U90" s="18">
        <v>86.558480898584037</v>
      </c>
      <c r="V90" s="18">
        <v>89.123317463689006</v>
      </c>
      <c r="W90" s="18">
        <v>91.908065300654314</v>
      </c>
      <c r="X90" s="18">
        <v>94.365506481626667</v>
      </c>
      <c r="Y90" s="18">
        <v>94.653432936841739</v>
      </c>
      <c r="Z90" s="18">
        <v>96.801149280843958</v>
      </c>
      <c r="AA90" s="18">
        <v>99.034931126986663</v>
      </c>
      <c r="AB90" s="18">
        <v>102.8787753256952</v>
      </c>
      <c r="AC90" s="18">
        <v>106.67814364081399</v>
      </c>
      <c r="AD90" s="18">
        <v>110.42833075004675</v>
      </c>
      <c r="AE90" s="18">
        <v>113.43078156980397</v>
      </c>
      <c r="AF90" s="18">
        <v>116.12339815187033</v>
      </c>
      <c r="AG90" s="18">
        <v>118.74876225606278</v>
      </c>
      <c r="AH90" s="18">
        <v>121.22944464966906</v>
      </c>
      <c r="AI90" s="18">
        <v>123.62815260112532</v>
      </c>
      <c r="AJ90" s="18">
        <v>126.78322335532275</v>
      </c>
      <c r="AK90" s="18">
        <v>129.84827947131691</v>
      </c>
      <c r="AL90" s="18">
        <v>133.19576547496635</v>
      </c>
      <c r="AM90" s="18">
        <v>136.8948281006675</v>
      </c>
      <c r="AN90" s="18">
        <v>140.91072639414494</v>
      </c>
    </row>
    <row r="91" spans="1:40" x14ac:dyDescent="0.25">
      <c r="A91" t="s">
        <v>33</v>
      </c>
      <c r="B91" s="18">
        <v>21.151207305916373</v>
      </c>
      <c r="C91" s="18">
        <v>22.499179969510678</v>
      </c>
      <c r="D91" s="18">
        <v>24.191488148884012</v>
      </c>
      <c r="E91" s="18">
        <v>25.430939271439531</v>
      </c>
      <c r="F91" s="18">
        <v>26.280374840429307</v>
      </c>
      <c r="G91" s="18">
        <v>28.213837417598356</v>
      </c>
      <c r="H91" s="18">
        <v>30.418235084806355</v>
      </c>
      <c r="I91" s="18">
        <v>31.872600449723471</v>
      </c>
      <c r="J91" s="18">
        <v>30.529693994834542</v>
      </c>
      <c r="K91" s="18">
        <v>31.84833808160041</v>
      </c>
      <c r="L91" s="18">
        <v>33.274928910999627</v>
      </c>
      <c r="M91" s="18">
        <v>34.81258853979967</v>
      </c>
      <c r="N91" s="18">
        <v>36.53258422607145</v>
      </c>
      <c r="O91" s="18">
        <v>38.475879371516619</v>
      </c>
      <c r="P91" s="18">
        <v>40.547758380242612</v>
      </c>
      <c r="Q91" s="18">
        <v>42.781868056686605</v>
      </c>
      <c r="R91" s="18">
        <v>45.171605268573586</v>
      </c>
      <c r="S91" s="18">
        <v>47.86493181279122</v>
      </c>
      <c r="T91" s="18">
        <v>50.736754810090829</v>
      </c>
      <c r="U91" s="18">
        <v>53.912589397002129</v>
      </c>
      <c r="V91" s="18">
        <v>57.281748620919018</v>
      </c>
      <c r="W91" s="18">
        <v>60.894907069687825</v>
      </c>
      <c r="X91" s="18">
        <v>64.610396047378245</v>
      </c>
      <c r="Y91" s="18">
        <v>68.379717303480916</v>
      </c>
      <c r="Z91" s="18">
        <v>72.259899929069761</v>
      </c>
      <c r="AA91" s="18">
        <v>76.493819486757786</v>
      </c>
      <c r="AB91" s="18">
        <v>81.444864101084079</v>
      </c>
      <c r="AC91" s="18">
        <v>86.710409160072842</v>
      </c>
      <c r="AD91" s="18">
        <v>92.434945700919826</v>
      </c>
      <c r="AE91" s="18">
        <v>98.268590350568573</v>
      </c>
      <c r="AF91" s="18">
        <v>104.34467658007476</v>
      </c>
      <c r="AG91" s="18">
        <v>110.67746380976553</v>
      </c>
      <c r="AH91" s="18">
        <v>117.27237330302799</v>
      </c>
      <c r="AI91" s="18">
        <v>124.19735283808427</v>
      </c>
      <c r="AJ91" s="18">
        <v>131.34077150611236</v>
      </c>
      <c r="AK91" s="18">
        <v>138.71734173085727</v>
      </c>
      <c r="AL91" s="18">
        <v>145.97369717802786</v>
      </c>
      <c r="AM91" s="18">
        <v>153.43314131796552</v>
      </c>
      <c r="AN91" s="18">
        <v>161.24078849811681</v>
      </c>
    </row>
    <row r="92" spans="1:40" x14ac:dyDescent="0.25">
      <c r="A92" t="s">
        <v>34</v>
      </c>
      <c r="B92" s="18">
        <v>135.95535691221784</v>
      </c>
      <c r="C92" s="18">
        <v>139.6930871386345</v>
      </c>
      <c r="D92" s="18">
        <v>142.53185682907349</v>
      </c>
      <c r="E92" s="18">
        <v>143.97840508252531</v>
      </c>
      <c r="F92" s="18">
        <v>144.89697158831373</v>
      </c>
      <c r="G92" s="18">
        <v>146.66852466159426</v>
      </c>
      <c r="H92" s="18">
        <v>148.40851369632202</v>
      </c>
      <c r="I92" s="18">
        <v>149.18900118137717</v>
      </c>
      <c r="J92" s="18">
        <v>137.77801358505732</v>
      </c>
      <c r="K92" s="18">
        <v>140.97100285380822</v>
      </c>
      <c r="L92" s="18">
        <v>144.15772666023415</v>
      </c>
      <c r="M92" s="18">
        <v>147.43807262661258</v>
      </c>
      <c r="N92" s="18">
        <v>151.04633792655628</v>
      </c>
      <c r="O92" s="18">
        <v>154.98715479368963</v>
      </c>
      <c r="P92" s="18">
        <v>159.09021555154268</v>
      </c>
      <c r="Q92" s="18">
        <v>163.47787995346616</v>
      </c>
      <c r="R92" s="18">
        <v>168.18100936864192</v>
      </c>
      <c r="S92" s="18">
        <v>173.26383315772949</v>
      </c>
      <c r="T92" s="18">
        <v>178.43307881829242</v>
      </c>
      <c r="U92" s="18">
        <v>184.05669939314808</v>
      </c>
      <c r="V92" s="18">
        <v>190.00615924048742</v>
      </c>
      <c r="W92" s="18">
        <v>196.27368424773437</v>
      </c>
      <c r="X92" s="18">
        <v>202.66173951495387</v>
      </c>
      <c r="Y92" s="18">
        <v>208.71731760101491</v>
      </c>
      <c r="Z92" s="18">
        <v>215.00842614463681</v>
      </c>
      <c r="AA92" s="18">
        <v>221.66434795418635</v>
      </c>
      <c r="AB92" s="18">
        <v>228.53362975270883</v>
      </c>
      <c r="AC92" s="18">
        <v>235.33652123064408</v>
      </c>
      <c r="AD92" s="18">
        <v>242.33227034357745</v>
      </c>
      <c r="AE92" s="18">
        <v>249.91204902037566</v>
      </c>
      <c r="AF92" s="18">
        <v>257.97422216610948</v>
      </c>
      <c r="AG92" s="18">
        <v>266.54247647722758</v>
      </c>
      <c r="AH92" s="18">
        <v>275.60146219383819</v>
      </c>
      <c r="AI92" s="18">
        <v>285.31671044817875</v>
      </c>
      <c r="AJ92" s="18">
        <v>295.37254285875559</v>
      </c>
      <c r="AK92" s="18">
        <v>305.9265384512945</v>
      </c>
      <c r="AL92" s="18">
        <v>316.4520934069472</v>
      </c>
      <c r="AM92" s="18">
        <v>327.51114587494573</v>
      </c>
      <c r="AN92" s="18">
        <v>339.27051298002249</v>
      </c>
    </row>
    <row r="93" spans="1:40" x14ac:dyDescent="0.25">
      <c r="A93" t="s">
        <v>35</v>
      </c>
      <c r="B93" s="18">
        <v>11.263564724197595</v>
      </c>
      <c r="C93" s="18">
        <v>11.564880744073186</v>
      </c>
      <c r="D93" s="18">
        <v>11.895169876208239</v>
      </c>
      <c r="E93" s="18">
        <v>12.101680341615882</v>
      </c>
      <c r="F93" s="18">
        <v>12.16381438507412</v>
      </c>
      <c r="G93" s="18">
        <v>12.307235497004221</v>
      </c>
      <c r="H93" s="18">
        <v>12.581022932216117</v>
      </c>
      <c r="I93" s="18">
        <v>12.733958410018209</v>
      </c>
      <c r="J93" s="18">
        <v>11.93755402627886</v>
      </c>
      <c r="K93" s="18">
        <v>12.277780237899368</v>
      </c>
      <c r="L93" s="18">
        <v>12.557250687384618</v>
      </c>
      <c r="M93" s="18">
        <v>12.793378222995578</v>
      </c>
      <c r="N93" s="18">
        <v>13.036322519292622</v>
      </c>
      <c r="O93" s="18">
        <v>13.286940771538248</v>
      </c>
      <c r="P93" s="18">
        <v>13.545669961198996</v>
      </c>
      <c r="Q93" s="18">
        <v>13.80676545376984</v>
      </c>
      <c r="R93" s="18">
        <v>14.076101661490402</v>
      </c>
      <c r="S93" s="18">
        <v>14.371453847552608</v>
      </c>
      <c r="T93" s="18">
        <v>14.760588271266236</v>
      </c>
      <c r="U93" s="18">
        <v>15.23474583861146</v>
      </c>
      <c r="V93" s="18">
        <v>15.647120386483884</v>
      </c>
      <c r="W93" s="18">
        <v>16.067124524632394</v>
      </c>
      <c r="X93" s="18">
        <v>16.478844045197746</v>
      </c>
      <c r="Y93" s="18">
        <v>16.842332375876932</v>
      </c>
      <c r="Z93" s="18">
        <v>17.219856768272415</v>
      </c>
      <c r="AA93" s="18">
        <v>17.622715561748304</v>
      </c>
      <c r="AB93" s="18">
        <v>18.046476500857466</v>
      </c>
      <c r="AC93" s="18">
        <v>18.480843075922849</v>
      </c>
      <c r="AD93" s="18">
        <v>18.909599207781124</v>
      </c>
      <c r="AE93" s="18">
        <v>19.370893478603456</v>
      </c>
      <c r="AF93" s="18">
        <v>19.835461372348842</v>
      </c>
      <c r="AG93" s="18">
        <v>20.319691314309026</v>
      </c>
      <c r="AH93" s="18">
        <v>20.817050191681421</v>
      </c>
      <c r="AI93" s="18">
        <v>21.351716835967462</v>
      </c>
      <c r="AJ93" s="18">
        <v>21.902618208704439</v>
      </c>
      <c r="AK93" s="18">
        <v>22.488150657253883</v>
      </c>
      <c r="AL93" s="18">
        <v>23.084221928358826</v>
      </c>
      <c r="AM93" s="18">
        <v>23.714998418964051</v>
      </c>
      <c r="AN93" s="18">
        <v>24.392267247387995</v>
      </c>
    </row>
    <row r="94" spans="1:40" x14ac:dyDescent="0.25">
      <c r="A94" t="s">
        <v>36</v>
      </c>
      <c r="B94" s="18">
        <v>1.1351531206547518</v>
      </c>
      <c r="C94" s="18">
        <v>1.15711322653161</v>
      </c>
      <c r="D94" s="18">
        <v>1.1451248217776735</v>
      </c>
      <c r="E94" s="18">
        <v>1.1378630326698174</v>
      </c>
      <c r="F94" s="18">
        <v>1.1554757657258468</v>
      </c>
      <c r="G94" s="18">
        <v>1.1680831266552429</v>
      </c>
      <c r="H94" s="18">
        <v>1.1385096642845971</v>
      </c>
      <c r="I94" s="18">
        <v>1.1200910087074947</v>
      </c>
      <c r="J94" s="18">
        <v>1.0052776357125583</v>
      </c>
      <c r="K94" s="18">
        <v>1.0086047682286392</v>
      </c>
      <c r="L94" s="18">
        <v>1.0285622829568837</v>
      </c>
      <c r="M94" s="18">
        <v>1.0596104386301191</v>
      </c>
      <c r="N94" s="18">
        <v>1.0970488295753977</v>
      </c>
      <c r="O94" s="18">
        <v>1.1409256218859241</v>
      </c>
      <c r="P94" s="18">
        <v>1.1888806263921556</v>
      </c>
      <c r="Q94" s="18">
        <v>1.2443560856314992</v>
      </c>
      <c r="R94" s="18">
        <v>1.3049653794885572</v>
      </c>
      <c r="S94" s="18">
        <v>1.3739870860164407</v>
      </c>
      <c r="T94" s="18">
        <v>1.4215948304483781</v>
      </c>
      <c r="U94" s="18">
        <v>1.4599646535277526</v>
      </c>
      <c r="V94" s="18">
        <v>1.5254299501304966</v>
      </c>
      <c r="W94" s="18">
        <v>1.5983183277509556</v>
      </c>
      <c r="X94" s="18">
        <v>1.6791177476062575</v>
      </c>
      <c r="Y94" s="18">
        <v>1.7631138939586875</v>
      </c>
      <c r="Z94" s="18">
        <v>1.8514135032974266</v>
      </c>
      <c r="AA94" s="18">
        <v>1.9449441678624204</v>
      </c>
      <c r="AB94" s="18">
        <v>2.0367871108946805</v>
      </c>
      <c r="AC94" s="18">
        <v>2.1242136295758245</v>
      </c>
      <c r="AD94" s="18">
        <v>2.2192618437892073</v>
      </c>
      <c r="AE94" s="18">
        <v>2.3215790404376215</v>
      </c>
      <c r="AF94" s="18">
        <v>2.4375591895254227</v>
      </c>
      <c r="AG94" s="18">
        <v>2.5631913825599111</v>
      </c>
      <c r="AH94" s="18">
        <v>2.7005819522225809</v>
      </c>
      <c r="AI94" s="18">
        <v>2.8476016149860821</v>
      </c>
      <c r="AJ94" s="18">
        <v>3.004329210704201</v>
      </c>
      <c r="AK94" s="18">
        <v>3.1671461042106963</v>
      </c>
      <c r="AL94" s="18">
        <v>3.3269267323454805</v>
      </c>
      <c r="AM94" s="18">
        <v>3.4931501747013538</v>
      </c>
      <c r="AN94" s="18">
        <v>3.6678480252546395</v>
      </c>
    </row>
    <row r="95" spans="1:40" x14ac:dyDescent="0.25">
      <c r="A95" t="s">
        <v>37</v>
      </c>
      <c r="B95" s="18">
        <v>27.51630822473156</v>
      </c>
      <c r="C95" s="18">
        <v>26.900456320201634</v>
      </c>
      <c r="D95" s="18">
        <v>26.289001015653074</v>
      </c>
      <c r="E95" s="18">
        <v>25.681026904731798</v>
      </c>
      <c r="F95" s="18">
        <v>25.681026904731795</v>
      </c>
      <c r="G95" s="18">
        <v>25.681026904731802</v>
      </c>
      <c r="H95" s="18">
        <v>25.677334449984691</v>
      </c>
      <c r="I95" s="18">
        <v>25.673641995237581</v>
      </c>
      <c r="J95" s="18">
        <v>25.677334449984961</v>
      </c>
      <c r="K95" s="18">
        <v>25.677334449984979</v>
      </c>
      <c r="L95" s="18">
        <v>25.677334449984979</v>
      </c>
      <c r="M95" s="18">
        <v>25.677334449984972</v>
      </c>
      <c r="N95" s="18">
        <v>25.677334449984969</v>
      </c>
      <c r="O95" s="18">
        <v>25.120332772771796</v>
      </c>
      <c r="P95" s="18">
        <v>25.120332772771782</v>
      </c>
      <c r="Q95" s="18">
        <v>25.120332772771778</v>
      </c>
      <c r="R95" s="18">
        <v>25.120332772771778</v>
      </c>
      <c r="S95" s="18">
        <v>25.115291275296332</v>
      </c>
      <c r="T95" s="18">
        <v>25.110625944293314</v>
      </c>
      <c r="U95" s="18">
        <v>24.152708560313343</v>
      </c>
      <c r="V95" s="18">
        <v>23.489379235295221</v>
      </c>
      <c r="W95" s="18">
        <v>22.778695998903089</v>
      </c>
      <c r="X95" s="18">
        <v>22.349243348614582</v>
      </c>
      <c r="Y95" s="18">
        <v>23.000161826004469</v>
      </c>
      <c r="Z95" s="18">
        <v>23.610743972709912</v>
      </c>
      <c r="AA95" s="18">
        <v>23.298125324424117</v>
      </c>
      <c r="AB95" s="18">
        <v>22.005628077297999</v>
      </c>
      <c r="AC95" s="18">
        <v>20.713474786100985</v>
      </c>
      <c r="AD95" s="18">
        <v>19.421945152491961</v>
      </c>
      <c r="AE95" s="18">
        <v>19.337063542372636</v>
      </c>
      <c r="AF95" s="18">
        <v>19.254343928894187</v>
      </c>
      <c r="AG95" s="18">
        <v>19.171624315415741</v>
      </c>
      <c r="AH95" s="18">
        <v>19.088904701937288</v>
      </c>
      <c r="AI95" s="18">
        <v>19.006185088458832</v>
      </c>
      <c r="AJ95" s="18">
        <v>18.638275745498611</v>
      </c>
      <c r="AK95" s="18">
        <v>18.270366402538393</v>
      </c>
      <c r="AL95" s="18">
        <v>17.899644035768073</v>
      </c>
      <c r="AM95" s="18">
        <v>17.527478650482823</v>
      </c>
      <c r="AN95" s="18">
        <v>17.154346707435558</v>
      </c>
    </row>
    <row r="96" spans="1:40" x14ac:dyDescent="0.25">
      <c r="A96" t="s">
        <v>38</v>
      </c>
      <c r="B96" s="18">
        <v>66.420365481469858</v>
      </c>
      <c r="C96" s="18">
        <v>67.349104545774196</v>
      </c>
      <c r="D96" s="18">
        <v>64.271865378659513</v>
      </c>
      <c r="E96" s="18">
        <v>61.203956366290036</v>
      </c>
      <c r="F96" s="18">
        <v>61.09576125595531</v>
      </c>
      <c r="G96" s="18">
        <v>60.977920555313688</v>
      </c>
      <c r="H96" s="18">
        <v>60.314891871173977</v>
      </c>
      <c r="I96" s="18">
        <v>60.095393567609911</v>
      </c>
      <c r="J96" s="18">
        <v>58.443716682751955</v>
      </c>
      <c r="K96" s="18">
        <v>58.26035937168762</v>
      </c>
      <c r="L96" s="18">
        <v>58.228585550981975</v>
      </c>
      <c r="M96" s="18">
        <v>58.491098078246964</v>
      </c>
      <c r="N96" s="18">
        <v>58.950504913566036</v>
      </c>
      <c r="O96" s="18">
        <v>59.241005432837952</v>
      </c>
      <c r="P96" s="18">
        <v>59.115594723835905</v>
      </c>
      <c r="Q96" s="18">
        <v>58.820403454768829</v>
      </c>
      <c r="R96" s="18">
        <v>59.160264117011302</v>
      </c>
      <c r="S96" s="18">
        <v>59.554930317101956</v>
      </c>
      <c r="T96" s="18">
        <v>59.911928080433661</v>
      </c>
      <c r="U96" s="18">
        <v>59.645550263735302</v>
      </c>
      <c r="V96" s="18">
        <v>59.503106096137991</v>
      </c>
      <c r="W96" s="18">
        <v>59.33824424913238</v>
      </c>
      <c r="X96" s="18">
        <v>59.099205776468253</v>
      </c>
      <c r="Y96" s="18">
        <v>58.21118967336151</v>
      </c>
      <c r="Z96" s="18">
        <v>57.963584061211357</v>
      </c>
      <c r="AA96" s="18">
        <v>57.207978417301902</v>
      </c>
      <c r="AB96" s="18">
        <v>55.843741287603805</v>
      </c>
      <c r="AC96" s="18">
        <v>54.480073675742425</v>
      </c>
      <c r="AD96" s="18">
        <v>53.117781844873782</v>
      </c>
      <c r="AE96" s="18">
        <v>52.080916463252649</v>
      </c>
      <c r="AF96" s="18">
        <v>51.049964004617202</v>
      </c>
      <c r="AG96" s="18">
        <v>50.019011545981762</v>
      </c>
      <c r="AH96" s="18">
        <v>48.988059087346336</v>
      </c>
      <c r="AI96" s="18">
        <v>47.95710662871091</v>
      </c>
      <c r="AJ96" s="18">
        <v>47.524282571642132</v>
      </c>
      <c r="AK96" s="18">
        <v>47.091458514573375</v>
      </c>
      <c r="AL96" s="18">
        <v>46.65130295830096</v>
      </c>
      <c r="AM96" s="18">
        <v>46.207174430113042</v>
      </c>
      <c r="AN96" s="18">
        <v>45.760197623106457</v>
      </c>
    </row>
    <row r="97" spans="1:4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100" spans="1:40" ht="18" thickBot="1" x14ac:dyDescent="0.35">
      <c r="A100" s="4" t="s">
        <v>143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54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55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56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144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 s="26">
        <v>0.4</v>
      </c>
      <c r="D112" s="23">
        <v>0.6</v>
      </c>
    </row>
    <row r="113" spans="2:41" ht="18" thickBot="1" x14ac:dyDescent="0.35">
      <c r="B113" s="24" t="s">
        <v>171</v>
      </c>
      <c r="C113" s="24"/>
      <c r="D113" s="24"/>
      <c r="E113" s="24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8">
        <v>1833.8485148656705</v>
      </c>
      <c r="D115" s="18">
        <v>1886.6121543778552</v>
      </c>
      <c r="E115" s="18">
        <v>1929.9088596734236</v>
      </c>
      <c r="F115" s="18">
        <v>1960.4923036365474</v>
      </c>
      <c r="G115" s="18">
        <v>1983.2547710242566</v>
      </c>
      <c r="H115" s="18">
        <v>2006.0789129735178</v>
      </c>
      <c r="I115" s="18">
        <v>2036.972183160904</v>
      </c>
      <c r="J115" s="18">
        <v>2074.2003059734261</v>
      </c>
      <c r="K115" s="18">
        <v>1914.545399528301</v>
      </c>
      <c r="L115" s="18">
        <v>1957.2610773816891</v>
      </c>
      <c r="M115" s="18">
        <v>2002.2872838168787</v>
      </c>
      <c r="N115" s="18">
        <v>2051.2769335000403</v>
      </c>
      <c r="O115" s="18">
        <v>2104.0245070320266</v>
      </c>
      <c r="P115" s="18">
        <v>2157.2000988773989</v>
      </c>
      <c r="Q115" s="18">
        <v>2216.2386918503116</v>
      </c>
      <c r="R115" s="18">
        <v>2277.0866520702075</v>
      </c>
      <c r="S115" s="18">
        <v>2342.1075393790215</v>
      </c>
      <c r="T115" s="18">
        <v>2408.995487304207</v>
      </c>
      <c r="U115" s="18">
        <v>2468.4881674022527</v>
      </c>
      <c r="V115" s="18">
        <v>2539.0431946322601</v>
      </c>
      <c r="W115" s="18">
        <v>2611.6181489313612</v>
      </c>
      <c r="X115" s="18">
        <v>2686.3644340512401</v>
      </c>
      <c r="Y115" s="18">
        <v>2759.0891878804987</v>
      </c>
      <c r="Z115" s="18">
        <v>2835.9490382924259</v>
      </c>
      <c r="AA115" s="18">
        <v>2915.3222561629782</v>
      </c>
      <c r="AB115" s="18">
        <v>2997.7985510673598</v>
      </c>
      <c r="AC115" s="18">
        <v>3079.8807643862083</v>
      </c>
      <c r="AD115" s="18">
        <v>3164.7988750291743</v>
      </c>
      <c r="AE115" s="18">
        <v>3254.7047790794968</v>
      </c>
      <c r="AF115" s="18">
        <v>3348.9964072010525</v>
      </c>
      <c r="AG115" s="18">
        <v>3447.4307579315109</v>
      </c>
      <c r="AH115" s="18">
        <v>3549.9976521140461</v>
      </c>
      <c r="AI115" s="18">
        <v>3656.5174335620486</v>
      </c>
      <c r="AJ115" s="18">
        <v>3767.7621351917451</v>
      </c>
      <c r="AK115" s="18">
        <v>3873.7774921325872</v>
      </c>
      <c r="AL115" s="18">
        <v>3984.0902474336522</v>
      </c>
      <c r="AM115" s="18">
        <v>4099.5151623032189</v>
      </c>
      <c r="AN115" s="18">
        <v>4220.6813951424811</v>
      </c>
      <c r="AO115" s="18">
        <v>4350.0492909027143</v>
      </c>
    </row>
    <row r="116" spans="2:41" x14ac:dyDescent="0.25">
      <c r="B116" t="s">
        <v>73</v>
      </c>
      <c r="C116" s="18">
        <v>69.817113338466598</v>
      </c>
      <c r="D116" s="18">
        <v>72.819731017164969</v>
      </c>
      <c r="E116" s="18">
        <v>75.472008813799022</v>
      </c>
      <c r="F116" s="18">
        <v>74.274927600037842</v>
      </c>
      <c r="G116" s="18">
        <v>73.26059197587216</v>
      </c>
      <c r="H116" s="18">
        <v>75.493823257911487</v>
      </c>
      <c r="I116" s="18">
        <v>74.303648694490207</v>
      </c>
      <c r="J116" s="18">
        <v>73.1945218840509</v>
      </c>
      <c r="K116" s="18">
        <v>70.325700988606158</v>
      </c>
      <c r="L116" s="18">
        <v>72.079600677576877</v>
      </c>
      <c r="M116" s="18">
        <v>74.097267383773996</v>
      </c>
      <c r="N116" s="18">
        <v>75.83751945163533</v>
      </c>
      <c r="O116" s="18">
        <v>77.576110521025043</v>
      </c>
      <c r="P116" s="18">
        <v>79.396606124967263</v>
      </c>
      <c r="Q116" s="18">
        <v>81.224836721269554</v>
      </c>
      <c r="R116" s="18">
        <v>83.015421229038807</v>
      </c>
      <c r="S116" s="18">
        <v>84.71879762829046</v>
      </c>
      <c r="T116" s="18">
        <v>86.40947079839232</v>
      </c>
      <c r="U116" s="18">
        <v>87.917074260425011</v>
      </c>
      <c r="V116" s="18">
        <v>89.948274996445477</v>
      </c>
      <c r="W116" s="18">
        <v>91.858597961990753</v>
      </c>
      <c r="X116" s="18">
        <v>93.636661953392263</v>
      </c>
      <c r="Y116" s="18">
        <v>95.295599787555759</v>
      </c>
      <c r="Z116" s="18">
        <v>97.196418455885137</v>
      </c>
      <c r="AA116" s="18">
        <v>99.048946074573934</v>
      </c>
      <c r="AB116" s="18">
        <v>100.96742638628118</v>
      </c>
      <c r="AC116" s="18">
        <v>102.82399638424677</v>
      </c>
      <c r="AD116" s="18">
        <v>104.72881393465261</v>
      </c>
      <c r="AE116" s="18">
        <v>106.73410403014014</v>
      </c>
      <c r="AF116" s="18">
        <v>108.83032335584873</v>
      </c>
      <c r="AG116" s="18">
        <v>110.98712564413881</v>
      </c>
      <c r="AH116" s="18">
        <v>113.13803634297587</v>
      </c>
      <c r="AI116" s="18">
        <v>115.35753088013288</v>
      </c>
      <c r="AJ116" s="18">
        <v>117.7224288535422</v>
      </c>
      <c r="AK116" s="18">
        <v>119.86545963689662</v>
      </c>
      <c r="AL116" s="18">
        <v>122.16956564028087</v>
      </c>
      <c r="AM116" s="18">
        <v>124.66155698786915</v>
      </c>
      <c r="AN116" s="18">
        <v>127.27859211459484</v>
      </c>
      <c r="AO116" s="18">
        <v>130.07284907210411</v>
      </c>
    </row>
    <row r="117" spans="2:41" x14ac:dyDescent="0.25">
      <c r="B117" t="s">
        <v>23</v>
      </c>
      <c r="C117" s="23">
        <v>123.26923682676239</v>
      </c>
      <c r="D117" s="23">
        <v>126.76200665956938</v>
      </c>
      <c r="E117" s="23">
        <v>127.59930057711011</v>
      </c>
      <c r="F117" s="23">
        <v>131.79428653766271</v>
      </c>
      <c r="G117" s="23">
        <v>129.89446862274485</v>
      </c>
      <c r="H117" s="23">
        <v>133.66360252732119</v>
      </c>
      <c r="I117" s="23">
        <v>132.75230325518885</v>
      </c>
      <c r="J117" s="23">
        <v>131.0963621488545</v>
      </c>
      <c r="K117" s="23">
        <v>120.18809993708842</v>
      </c>
      <c r="L117" s="23">
        <v>121.9324954300825</v>
      </c>
      <c r="M117" s="23">
        <v>123.62702359051755</v>
      </c>
      <c r="N117" s="23">
        <v>125.50520057825962</v>
      </c>
      <c r="O117" s="23">
        <v>127.62005379029763</v>
      </c>
      <c r="P117" s="23">
        <v>129.71571417226133</v>
      </c>
      <c r="Q117" s="23">
        <v>132.08338347170783</v>
      </c>
      <c r="R117" s="23">
        <v>134.45700006708503</v>
      </c>
      <c r="S117" s="23">
        <v>137.09836521296253</v>
      </c>
      <c r="T117" s="23">
        <v>140.19130736183189</v>
      </c>
      <c r="U117" s="23">
        <v>142.89883193627665</v>
      </c>
      <c r="V117" s="23">
        <v>146.416830091278</v>
      </c>
      <c r="W117" s="23">
        <v>150.32704805551441</v>
      </c>
      <c r="X117" s="23">
        <v>154.27326576870362</v>
      </c>
      <c r="Y117" s="23">
        <v>158.27859136568114</v>
      </c>
      <c r="Z117" s="23">
        <v>163.20085651583867</v>
      </c>
      <c r="AA117" s="23">
        <v>167.64829971739297</v>
      </c>
      <c r="AB117" s="23">
        <v>172.15985376506998</v>
      </c>
      <c r="AC117" s="23">
        <v>176.52673826725913</v>
      </c>
      <c r="AD117" s="23">
        <v>180.99322799680004</v>
      </c>
      <c r="AE117" s="23">
        <v>185.67685214636796</v>
      </c>
      <c r="AF117" s="23">
        <v>190.335369547695</v>
      </c>
      <c r="AG117" s="23">
        <v>195.07355032108669</v>
      </c>
      <c r="AH117" s="23">
        <v>199.91629899726939</v>
      </c>
      <c r="AI117" s="23">
        <v>204.89623723508205</v>
      </c>
      <c r="AJ117" s="23">
        <v>210.08114775468417</v>
      </c>
      <c r="AK117" s="23">
        <v>214.87946388846953</v>
      </c>
      <c r="AL117" s="23">
        <v>219.8677393720516</v>
      </c>
      <c r="AM117" s="23">
        <v>225.09673017509809</v>
      </c>
      <c r="AN117" s="23">
        <v>230.59324313003228</v>
      </c>
      <c r="AO117" s="23">
        <v>236.52589767309942</v>
      </c>
    </row>
    <row r="118" spans="2:41" x14ac:dyDescent="0.25">
      <c r="B118" t="s">
        <v>151</v>
      </c>
      <c r="C118" s="18">
        <v>82.179491217841601</v>
      </c>
      <c r="D118" s="18">
        <v>84.50800443971292</v>
      </c>
      <c r="E118" s="18">
        <v>85.066200384740085</v>
      </c>
      <c r="F118" s="18">
        <v>87.862857691775162</v>
      </c>
      <c r="G118" s="18">
        <v>86.596312415163254</v>
      </c>
      <c r="H118" s="18">
        <v>89.109068351547464</v>
      </c>
      <c r="I118" s="18">
        <v>88.501535503459252</v>
      </c>
      <c r="J118" s="18">
        <v>87.397574765903016</v>
      </c>
      <c r="K118" s="18">
        <v>80.125399958058949</v>
      </c>
      <c r="L118" s="18">
        <v>81.288330286721674</v>
      </c>
      <c r="M118" s="18">
        <v>82.418015727011721</v>
      </c>
      <c r="N118" s="18">
        <v>83.67013371883975</v>
      </c>
      <c r="O118" s="18">
        <v>85.080035860198436</v>
      </c>
      <c r="P118" s="18">
        <v>86.477142781507553</v>
      </c>
      <c r="Q118" s="18">
        <v>88.05558898113857</v>
      </c>
      <c r="R118" s="18">
        <v>89.638000044723356</v>
      </c>
      <c r="S118" s="18">
        <v>91.398910141975037</v>
      </c>
      <c r="T118" s="18">
        <v>93.460871574554602</v>
      </c>
      <c r="U118" s="18">
        <v>95.265887957517776</v>
      </c>
      <c r="V118" s="18">
        <v>97.611220060852006</v>
      </c>
      <c r="W118" s="18">
        <v>100.21803203700961</v>
      </c>
      <c r="X118" s="18">
        <v>102.84884384580242</v>
      </c>
      <c r="Y118" s="18">
        <v>105.5190609104541</v>
      </c>
      <c r="Z118" s="18">
        <v>108.80057101055911</v>
      </c>
      <c r="AA118" s="18">
        <v>111.76553314492865</v>
      </c>
      <c r="AB118" s="18">
        <v>114.77323584337999</v>
      </c>
      <c r="AC118" s="18">
        <v>117.68449217817277</v>
      </c>
      <c r="AD118" s="18">
        <v>120.66215199786672</v>
      </c>
      <c r="AE118" s="18">
        <v>123.78456809757866</v>
      </c>
      <c r="AF118" s="18">
        <v>126.89024636513</v>
      </c>
      <c r="AG118" s="18">
        <v>130.04903354739113</v>
      </c>
      <c r="AH118" s="18">
        <v>133.27753266484626</v>
      </c>
      <c r="AI118" s="18">
        <v>136.59749149005469</v>
      </c>
      <c r="AJ118" s="18">
        <v>140.05409850312279</v>
      </c>
      <c r="AK118" s="18">
        <v>143.25297592564638</v>
      </c>
      <c r="AL118" s="18">
        <v>146.57849291470106</v>
      </c>
      <c r="AM118" s="18">
        <v>150.06448678339873</v>
      </c>
      <c r="AN118" s="18">
        <v>153.72882875335486</v>
      </c>
      <c r="AO118" s="18">
        <v>157.68393178206631</v>
      </c>
    </row>
    <row r="119" spans="2:41" x14ac:dyDescent="0.25">
      <c r="B119" t="s">
        <v>24</v>
      </c>
      <c r="C119" s="18">
        <v>93.09690942833015</v>
      </c>
      <c r="D119" s="18">
        <v>95.064855171375669</v>
      </c>
      <c r="E119" s="18">
        <v>96.400077661477354</v>
      </c>
      <c r="F119" s="18">
        <v>96.617861286112102</v>
      </c>
      <c r="G119" s="18">
        <v>97.654818305582012</v>
      </c>
      <c r="H119" s="18">
        <v>97.862455274201025</v>
      </c>
      <c r="I119" s="18">
        <v>98.609954424293107</v>
      </c>
      <c r="J119" s="18">
        <v>97.964584789862243</v>
      </c>
      <c r="K119" s="18">
        <v>92.646489203328827</v>
      </c>
      <c r="L119" s="18">
        <v>95.03041242813778</v>
      </c>
      <c r="M119" s="18">
        <v>97.485838278771098</v>
      </c>
      <c r="N119" s="18">
        <v>99.77593398947829</v>
      </c>
      <c r="O119" s="18">
        <v>102.1635426368112</v>
      </c>
      <c r="P119" s="18">
        <v>104.60035225495045</v>
      </c>
      <c r="Q119" s="18">
        <v>107.07694947006603</v>
      </c>
      <c r="R119" s="18">
        <v>109.49041679677798</v>
      </c>
      <c r="S119" s="18">
        <v>112.02696547098452</v>
      </c>
      <c r="T119" s="18">
        <v>114.5350089727569</v>
      </c>
      <c r="U119" s="18">
        <v>116.72534002734352</v>
      </c>
      <c r="V119" s="18">
        <v>119.41291133682695</v>
      </c>
      <c r="W119" s="18">
        <v>122.13561690535352</v>
      </c>
      <c r="X119" s="18">
        <v>124.73806971931842</v>
      </c>
      <c r="Y119" s="18">
        <v>127.26382097220295</v>
      </c>
      <c r="Z119" s="18">
        <v>130.22505419824279</v>
      </c>
      <c r="AA119" s="18">
        <v>132.95638539516673</v>
      </c>
      <c r="AB119" s="18">
        <v>135.74521610666449</v>
      </c>
      <c r="AC119" s="18">
        <v>138.39843779341157</v>
      </c>
      <c r="AD119" s="18">
        <v>141.11496840750539</v>
      </c>
      <c r="AE119" s="18">
        <v>143.96077026055309</v>
      </c>
      <c r="AF119" s="18">
        <v>146.92167586011277</v>
      </c>
      <c r="AG119" s="18">
        <v>149.90266826654346</v>
      </c>
      <c r="AH119" s="18">
        <v>152.92006309932941</v>
      </c>
      <c r="AI119" s="18">
        <v>156.0911313412185</v>
      </c>
      <c r="AJ119" s="18">
        <v>159.46543030187945</v>
      </c>
      <c r="AK119" s="18">
        <v>162.50807836854915</v>
      </c>
      <c r="AL119" s="18">
        <v>165.69750350631548</v>
      </c>
      <c r="AM119" s="18">
        <v>169.0152244595489</v>
      </c>
      <c r="AN119" s="18">
        <v>172.44314538089333</v>
      </c>
      <c r="AO119" s="18">
        <v>176.11001666062612</v>
      </c>
    </row>
    <row r="120" spans="2:41" x14ac:dyDescent="0.25">
      <c r="B120" t="s">
        <v>25</v>
      </c>
      <c r="C120" s="18">
        <v>235.49802282756352</v>
      </c>
      <c r="D120" s="18">
        <v>242.13307836562956</v>
      </c>
      <c r="E120" s="18">
        <v>246.28265922314233</v>
      </c>
      <c r="F120" s="18">
        <v>249.43440425835786</v>
      </c>
      <c r="G120" s="18">
        <v>251.65581640876391</v>
      </c>
      <c r="H120" s="18">
        <v>252.75021516356861</v>
      </c>
      <c r="I120" s="18">
        <v>255.36564207593528</v>
      </c>
      <c r="J120" s="18">
        <v>255.83896455730644</v>
      </c>
      <c r="K120" s="18">
        <v>231.21220107940408</v>
      </c>
      <c r="L120" s="18">
        <v>237.27430963578766</v>
      </c>
      <c r="M120" s="18">
        <v>243.43820579760768</v>
      </c>
      <c r="N120" s="18">
        <v>250.0252729216615</v>
      </c>
      <c r="O120" s="18">
        <v>257.0393389716665</v>
      </c>
      <c r="P120" s="18">
        <v>264.01983750733473</v>
      </c>
      <c r="Q120" s="18">
        <v>271.72429020362813</v>
      </c>
      <c r="R120" s="18">
        <v>279.56215318997283</v>
      </c>
      <c r="S120" s="18">
        <v>287.85104341651504</v>
      </c>
      <c r="T120" s="18">
        <v>296.17218841670399</v>
      </c>
      <c r="U120" s="18">
        <v>303.16223965681729</v>
      </c>
      <c r="V120" s="18">
        <v>311.91377494075573</v>
      </c>
      <c r="W120" s="18">
        <v>320.90515779680265</v>
      </c>
      <c r="X120" s="18">
        <v>329.99635652965821</v>
      </c>
      <c r="Y120" s="18">
        <v>338.83792660845495</v>
      </c>
      <c r="Z120" s="18">
        <v>348.33269322166962</v>
      </c>
      <c r="AA120" s="18">
        <v>357.99703019358316</v>
      </c>
      <c r="AB120" s="18">
        <v>368.00188053319943</v>
      </c>
      <c r="AC120" s="18">
        <v>377.85666663181792</v>
      </c>
      <c r="AD120" s="18">
        <v>388.05037117851231</v>
      </c>
      <c r="AE120" s="18">
        <v>398.85002792330147</v>
      </c>
      <c r="AF120" s="18">
        <v>410.15688477532797</v>
      </c>
      <c r="AG120" s="18">
        <v>421.90224250085339</v>
      </c>
      <c r="AH120" s="18">
        <v>434.10875218597869</v>
      </c>
      <c r="AI120" s="18">
        <v>446.80324447498771</v>
      </c>
      <c r="AJ120" s="18">
        <v>460.1203754889417</v>
      </c>
      <c r="AK120" s="18">
        <v>472.65691554047356</v>
      </c>
      <c r="AL120" s="18">
        <v>485.73312943754831</v>
      </c>
      <c r="AM120" s="18">
        <v>499.4515636810321</v>
      </c>
      <c r="AN120" s="18">
        <v>513.88566194585428</v>
      </c>
      <c r="AO120" s="18">
        <v>529.36224934657764</v>
      </c>
    </row>
    <row r="121" spans="2:41" x14ac:dyDescent="0.25">
      <c r="B121" t="s">
        <v>26</v>
      </c>
      <c r="C121" s="18">
        <v>17.781500762507015</v>
      </c>
      <c r="D121" s="18">
        <v>18.21809145789609</v>
      </c>
      <c r="E121" s="18">
        <v>18.567420658015568</v>
      </c>
      <c r="F121" s="18">
        <v>18.762769995550013</v>
      </c>
      <c r="G121" s="18">
        <v>19.037714230270431</v>
      </c>
      <c r="H121" s="18">
        <v>19.074701766994909</v>
      </c>
      <c r="I121" s="18">
        <v>19.42407343994682</v>
      </c>
      <c r="J121" s="18">
        <v>19.472300898786198</v>
      </c>
      <c r="K121" s="18">
        <v>17.978595103875868</v>
      </c>
      <c r="L121" s="18">
        <v>18.425580854596319</v>
      </c>
      <c r="M121" s="18">
        <v>18.875393382474392</v>
      </c>
      <c r="N121" s="18">
        <v>19.37593948814931</v>
      </c>
      <c r="O121" s="18">
        <v>19.904043035124161</v>
      </c>
      <c r="P121" s="18">
        <v>20.434676476954504</v>
      </c>
      <c r="Q121" s="18">
        <v>21.051358228285224</v>
      </c>
      <c r="R121" s="18">
        <v>21.647594038894049</v>
      </c>
      <c r="S121" s="18">
        <v>22.266043235160069</v>
      </c>
      <c r="T121" s="18">
        <v>22.909699710557216</v>
      </c>
      <c r="U121" s="18">
        <v>23.472167600372124</v>
      </c>
      <c r="V121" s="18">
        <v>24.141799581503221</v>
      </c>
      <c r="W121" s="18">
        <v>24.822594807412035</v>
      </c>
      <c r="X121" s="18">
        <v>25.49556340544002</v>
      </c>
      <c r="Y121" s="18">
        <v>26.15349331496332</v>
      </c>
      <c r="Z121" s="18">
        <v>26.767784324168478</v>
      </c>
      <c r="AA121" s="18">
        <v>27.460886584388707</v>
      </c>
      <c r="AB121" s="18">
        <v>28.180547175783659</v>
      </c>
      <c r="AC121" s="18">
        <v>28.889625610088803</v>
      </c>
      <c r="AD121" s="18">
        <v>29.626578795924523</v>
      </c>
      <c r="AE121" s="18">
        <v>30.409324222456782</v>
      </c>
      <c r="AF121" s="18">
        <v>31.215558283358291</v>
      </c>
      <c r="AG121" s="18">
        <v>32.049998427479558</v>
      </c>
      <c r="AH121" s="18">
        <v>32.910738887097288</v>
      </c>
      <c r="AI121" s="18">
        <v>33.807840745570964</v>
      </c>
      <c r="AJ121" s="18">
        <v>34.749774821046124</v>
      </c>
      <c r="AK121" s="18">
        <v>35.625703852026675</v>
      </c>
      <c r="AL121" s="18">
        <v>36.542469856907495</v>
      </c>
      <c r="AM121" s="18">
        <v>37.50409193622648</v>
      </c>
      <c r="AN121" s="18">
        <v>38.516268854629871</v>
      </c>
      <c r="AO121" s="18">
        <v>39.601164848584354</v>
      </c>
    </row>
    <row r="122" spans="2:41" x14ac:dyDescent="0.25">
      <c r="B122" t="s">
        <v>27</v>
      </c>
      <c r="C122" s="18">
        <v>52.810230956688748</v>
      </c>
      <c r="D122" s="18">
        <v>54.282362311943913</v>
      </c>
      <c r="E122" s="18">
        <v>55.219691955007207</v>
      </c>
      <c r="F122" s="18">
        <v>55.71177904843772</v>
      </c>
      <c r="G122" s="18">
        <v>56.147972175388119</v>
      </c>
      <c r="H122" s="18">
        <v>56.388632981353197</v>
      </c>
      <c r="I122" s="18">
        <v>56.935742268541119</v>
      </c>
      <c r="J122" s="18">
        <v>56.915851520215952</v>
      </c>
      <c r="K122" s="18">
        <v>52.222577111314017</v>
      </c>
      <c r="L122" s="18">
        <v>53.485625534148674</v>
      </c>
      <c r="M122" s="18">
        <v>54.772963618611712</v>
      </c>
      <c r="N122" s="18">
        <v>56.124869079913438</v>
      </c>
      <c r="O122" s="18">
        <v>57.585957657715895</v>
      </c>
      <c r="P122" s="18">
        <v>59.079383283398805</v>
      </c>
      <c r="Q122" s="18">
        <v>60.65927250258617</v>
      </c>
      <c r="R122" s="18">
        <v>62.260045747357402</v>
      </c>
      <c r="S122" s="18">
        <v>63.990528518902622</v>
      </c>
      <c r="T122" s="18">
        <v>65.756685063171986</v>
      </c>
      <c r="U122" s="18">
        <v>67.302359421755469</v>
      </c>
      <c r="V122" s="18">
        <v>69.094850913797686</v>
      </c>
      <c r="W122" s="18">
        <v>70.970000633313632</v>
      </c>
      <c r="X122" s="18">
        <v>72.841272605878572</v>
      </c>
      <c r="Y122" s="18">
        <v>74.680009801299036</v>
      </c>
      <c r="Z122" s="18">
        <v>76.689487549255745</v>
      </c>
      <c r="AA122" s="18">
        <v>78.645651568328219</v>
      </c>
      <c r="AB122" s="18">
        <v>80.680897902695563</v>
      </c>
      <c r="AC122" s="18">
        <v>82.683267359520102</v>
      </c>
      <c r="AD122" s="18">
        <v>84.755595279062305</v>
      </c>
      <c r="AE122" s="18">
        <v>86.95293734444499</v>
      </c>
      <c r="AF122" s="18">
        <v>89.222401499368857</v>
      </c>
      <c r="AG122" s="18">
        <v>91.58017263387822</v>
      </c>
      <c r="AH122" s="18">
        <v>94.032631642963366</v>
      </c>
      <c r="AI122" s="18">
        <v>96.593962146369691</v>
      </c>
      <c r="AJ122" s="18">
        <v>99.287066617144006</v>
      </c>
      <c r="AK122" s="18">
        <v>101.82505005183501</v>
      </c>
      <c r="AL122" s="18">
        <v>104.47034535027582</v>
      </c>
      <c r="AM122" s="18">
        <v>107.23725071589587</v>
      </c>
      <c r="AN122" s="18">
        <v>110.14119878132441</v>
      </c>
      <c r="AO122" s="18">
        <v>113.25676411935609</v>
      </c>
    </row>
    <row r="123" spans="2:41" x14ac:dyDescent="0.25">
      <c r="B123" t="s">
        <v>28</v>
      </c>
      <c r="C123" s="18">
        <v>14.113350558119752</v>
      </c>
      <c r="D123" s="18">
        <v>14.548721789119966</v>
      </c>
      <c r="E123" s="18">
        <v>14.815418697580203</v>
      </c>
      <c r="F123" s="18">
        <v>15.061372702819703</v>
      </c>
      <c r="G123" s="18">
        <v>15.235873493159337</v>
      </c>
      <c r="H123" s="18">
        <v>15.371374502079824</v>
      </c>
      <c r="I123" s="18">
        <v>15.552383515448332</v>
      </c>
      <c r="J123" s="18">
        <v>15.609153497571331</v>
      </c>
      <c r="K123" s="18">
        <v>14.275724652406321</v>
      </c>
      <c r="L123" s="18">
        <v>14.632592738141414</v>
      </c>
      <c r="M123" s="18">
        <v>14.998829546275548</v>
      </c>
      <c r="N123" s="18">
        <v>15.396795523093482</v>
      </c>
      <c r="O123" s="18">
        <v>15.823820610150811</v>
      </c>
      <c r="P123" s="18">
        <v>16.253232567458738</v>
      </c>
      <c r="Q123" s="18">
        <v>16.7257349793129</v>
      </c>
      <c r="R123" s="18">
        <v>17.201748391427138</v>
      </c>
      <c r="S123" s="18">
        <v>17.708895194433161</v>
      </c>
      <c r="T123" s="18">
        <v>18.240242131053403</v>
      </c>
      <c r="U123" s="18">
        <v>18.673472788437888</v>
      </c>
      <c r="V123" s="18">
        <v>19.209896031686849</v>
      </c>
      <c r="W123" s="18">
        <v>19.759109345897627</v>
      </c>
      <c r="X123" s="18">
        <v>20.315924153008183</v>
      </c>
      <c r="Y123" s="18">
        <v>20.85546661362639</v>
      </c>
      <c r="Z123" s="18">
        <v>21.431818706447395</v>
      </c>
      <c r="AA123" s="18">
        <v>22.024541155299971</v>
      </c>
      <c r="AB123" s="18">
        <v>22.636627065976988</v>
      </c>
      <c r="AC123" s="18">
        <v>23.238211464117626</v>
      </c>
      <c r="AD123" s="18">
        <v>23.860936149160427</v>
      </c>
      <c r="AE123" s="18">
        <v>24.521037099566129</v>
      </c>
      <c r="AF123" s="18">
        <v>25.21661964013013</v>
      </c>
      <c r="AG123" s="18">
        <v>25.945207485839877</v>
      </c>
      <c r="AH123" s="18">
        <v>26.705694433212486</v>
      </c>
      <c r="AI123" s="18">
        <v>27.488632120441018</v>
      </c>
      <c r="AJ123" s="18">
        <v>28.306253513157241</v>
      </c>
      <c r="AK123" s="18">
        <v>29.07899575807043</v>
      </c>
      <c r="AL123" s="18">
        <v>29.886726463920347</v>
      </c>
      <c r="AM123" s="18">
        <v>30.734199731905431</v>
      </c>
      <c r="AN123" s="18">
        <v>31.62665662555618</v>
      </c>
      <c r="AO123" s="18">
        <v>32.582524336641313</v>
      </c>
    </row>
    <row r="124" spans="2:41" x14ac:dyDescent="0.25">
      <c r="B124" t="s">
        <v>29</v>
      </c>
      <c r="C124" s="18">
        <v>13.345629432701433</v>
      </c>
      <c r="D124" s="18">
        <v>13.899973861744526</v>
      </c>
      <c r="E124" s="18">
        <v>14.241400522629307</v>
      </c>
      <c r="F124" s="18">
        <v>14.660228740858253</v>
      </c>
      <c r="G124" s="18">
        <v>14.734307821369407</v>
      </c>
      <c r="H124" s="18">
        <v>14.820136538356026</v>
      </c>
      <c r="I124" s="18">
        <v>14.834474809054743</v>
      </c>
      <c r="J124" s="18">
        <v>14.739267553174583</v>
      </c>
      <c r="K124" s="18">
        <v>12.850963128301911</v>
      </c>
      <c r="L124" s="18">
        <v>13.194214531253461</v>
      </c>
      <c r="M124" s="18">
        <v>13.463306784285843</v>
      </c>
      <c r="N124" s="18">
        <v>13.76702952833095</v>
      </c>
      <c r="O124" s="18">
        <v>14.094770559289131</v>
      </c>
      <c r="P124" s="18">
        <v>14.441316908885499</v>
      </c>
      <c r="Q124" s="18">
        <v>14.774137977640024</v>
      </c>
      <c r="R124" s="18">
        <v>15.111490993070266</v>
      </c>
      <c r="S124" s="18">
        <v>15.48015276320328</v>
      </c>
      <c r="T124" s="18">
        <v>15.903436587208263</v>
      </c>
      <c r="U124" s="18">
        <v>16.2345529006253</v>
      </c>
      <c r="V124" s="18">
        <v>16.68332773177854</v>
      </c>
      <c r="W124" s="18">
        <v>17.177801343588126</v>
      </c>
      <c r="X124" s="18">
        <v>17.632404747738843</v>
      </c>
      <c r="Y124" s="18">
        <v>18.108047442152905</v>
      </c>
      <c r="Z124" s="18">
        <v>18.687220599592028</v>
      </c>
      <c r="AA124" s="18">
        <v>19.123335619478652</v>
      </c>
      <c r="AB124" s="18">
        <v>19.574212861738804</v>
      </c>
      <c r="AC124" s="18">
        <v>20.016445254151499</v>
      </c>
      <c r="AD124" s="18">
        <v>20.474336821456458</v>
      </c>
      <c r="AE124" s="18">
        <v>20.962217277389243</v>
      </c>
      <c r="AF124" s="18">
        <v>21.465139347092094</v>
      </c>
      <c r="AG124" s="18">
        <v>21.98329495211933</v>
      </c>
      <c r="AH124" s="18">
        <v>22.520032154344616</v>
      </c>
      <c r="AI124" s="18">
        <v>23.078435912261451</v>
      </c>
      <c r="AJ124" s="18">
        <v>23.667355045881628</v>
      </c>
      <c r="AK124" s="18">
        <v>24.216532537303461</v>
      </c>
      <c r="AL124" s="18">
        <v>24.785962003570585</v>
      </c>
      <c r="AM124" s="18">
        <v>25.381861674959502</v>
      </c>
      <c r="AN124" s="18">
        <v>26.007023223198622</v>
      </c>
      <c r="AO124" s="18">
        <v>26.682114624908355</v>
      </c>
    </row>
    <row r="125" spans="2:41" x14ac:dyDescent="0.25">
      <c r="B125" t="s">
        <v>30</v>
      </c>
      <c r="C125" s="18">
        <v>10.112362730183554</v>
      </c>
      <c r="D125" s="18">
        <v>8.5007203734218884</v>
      </c>
      <c r="E125" s="18">
        <v>7.7653014266725382</v>
      </c>
      <c r="F125" s="18">
        <v>7.8585582183696561</v>
      </c>
      <c r="G125" s="18">
        <v>7.6166575811777113</v>
      </c>
      <c r="H125" s="18">
        <v>7.2676899905857173</v>
      </c>
      <c r="I125" s="18">
        <v>7.0928076077901956</v>
      </c>
      <c r="J125" s="18">
        <v>6.7895805384473107</v>
      </c>
      <c r="K125" s="18">
        <v>5.5395441341179819</v>
      </c>
      <c r="L125" s="18">
        <v>5.6650824418180408</v>
      </c>
      <c r="M125" s="18">
        <v>5.7151179539530679</v>
      </c>
      <c r="N125" s="18">
        <v>5.7834214959080672</v>
      </c>
      <c r="O125" s="18">
        <v>5.891744250290798</v>
      </c>
      <c r="P125" s="18">
        <v>6.0386177502028104</v>
      </c>
      <c r="Q125" s="18">
        <v>6.1810468439326582</v>
      </c>
      <c r="R125" s="18">
        <v>6.3307968903523228</v>
      </c>
      <c r="S125" s="18">
        <v>6.5005469605789363</v>
      </c>
      <c r="T125" s="18">
        <v>6.7469701193181173</v>
      </c>
      <c r="U125" s="18">
        <v>6.9645438930507204</v>
      </c>
      <c r="V125" s="18">
        <v>7.2642905837274876</v>
      </c>
      <c r="W125" s="18">
        <v>7.6165217660109006</v>
      </c>
      <c r="X125" s="18">
        <v>7.9708467351610119</v>
      </c>
      <c r="Y125" s="18">
        <v>8.3506559498367015</v>
      </c>
      <c r="Z125" s="18">
        <v>8.8308793056775485</v>
      </c>
      <c r="AA125" s="18">
        <v>9.2631119812253129</v>
      </c>
      <c r="AB125" s="18">
        <v>9.7001657965888324</v>
      </c>
      <c r="AC125" s="18">
        <v>10.122199009055521</v>
      </c>
      <c r="AD125" s="18">
        <v>10.548860068139749</v>
      </c>
      <c r="AE125" s="18">
        <v>10.988663855455595</v>
      </c>
      <c r="AF125" s="18">
        <v>11.419316718040559</v>
      </c>
      <c r="AG125" s="18">
        <v>11.842864946898526</v>
      </c>
      <c r="AH125" s="18">
        <v>12.260957333092508</v>
      </c>
      <c r="AI125" s="18">
        <v>12.67630003107922</v>
      </c>
      <c r="AJ125" s="18">
        <v>13.093477295435996</v>
      </c>
      <c r="AK125" s="18">
        <v>13.462828088563523</v>
      </c>
      <c r="AL125" s="18">
        <v>13.83089229550253</v>
      </c>
      <c r="AM125" s="18">
        <v>14.201888568407229</v>
      </c>
      <c r="AN125" s="18">
        <v>14.577737580063628</v>
      </c>
      <c r="AO125" s="18">
        <v>14.97305467762345</v>
      </c>
    </row>
    <row r="126" spans="2:41" x14ac:dyDescent="0.25">
      <c r="B126" t="s">
        <v>31</v>
      </c>
      <c r="C126" s="18">
        <v>1.2396211872289537E-4</v>
      </c>
      <c r="D126" s="18">
        <v>1.3639597438124391E-4</v>
      </c>
      <c r="E126" s="18">
        <v>1.4782778941609218E-4</v>
      </c>
      <c r="F126" s="18">
        <v>1.433373755900728E-4</v>
      </c>
      <c r="G126" s="18">
        <v>1.4102836937202948E-4</v>
      </c>
      <c r="H126" s="18">
        <v>1.3573729608291313E-4</v>
      </c>
      <c r="I126" s="18">
        <v>1.4250803609018416E-4</v>
      </c>
      <c r="J126" s="18">
        <v>1.4349767581431678E-4</v>
      </c>
      <c r="K126" s="18">
        <v>1.1077458554618781E-4</v>
      </c>
      <c r="L126" s="18">
        <v>1.2272309954097676E-4</v>
      </c>
      <c r="M126" s="18">
        <v>1.265790961958254E-4</v>
      </c>
      <c r="N126" s="18">
        <v>1.3088259036532032E-4</v>
      </c>
      <c r="O126" s="18">
        <v>1.3647595294192876E-4</v>
      </c>
      <c r="P126" s="18">
        <v>1.4444262285271943E-4</v>
      </c>
      <c r="Q126" s="18">
        <v>1.4909047543167897E-4</v>
      </c>
      <c r="R126" s="18">
        <v>1.5384452910483781E-4</v>
      </c>
      <c r="S126" s="18">
        <v>1.5903968594170402E-4</v>
      </c>
      <c r="T126" s="18">
        <v>1.2376511719270039E-4</v>
      </c>
      <c r="U126" s="18">
        <v>1.2376511719270041E-4</v>
      </c>
      <c r="V126" s="18">
        <v>1.2376511719270044E-4</v>
      </c>
      <c r="W126" s="18">
        <v>1.2376511719270041E-4</v>
      </c>
      <c r="X126" s="18">
        <v>1.2376511719270041E-4</v>
      </c>
      <c r="Y126" s="18">
        <v>1.2376511719270041E-4</v>
      </c>
      <c r="Z126" s="18">
        <v>1.2376511719270041E-4</v>
      </c>
      <c r="AA126" s="18">
        <v>1.2376511719270047E-4</v>
      </c>
      <c r="AB126" s="18">
        <v>1.2376511719270047E-4</v>
      </c>
      <c r="AC126" s="18">
        <v>1.2376511719270041E-4</v>
      </c>
      <c r="AD126" s="18">
        <v>1.2376511719270041E-4</v>
      </c>
      <c r="AE126" s="18">
        <v>1.2376511719270039E-4</v>
      </c>
      <c r="AF126" s="18">
        <v>1.2376511719270041E-4</v>
      </c>
      <c r="AG126" s="18">
        <v>1.2376511719270039E-4</v>
      </c>
      <c r="AH126" s="18">
        <v>1.2376511719270047E-4</v>
      </c>
      <c r="AI126" s="18">
        <v>1.2376511719270052E-4</v>
      </c>
      <c r="AJ126" s="18">
        <v>1.2376511719270058E-4</v>
      </c>
      <c r="AK126" s="18">
        <v>1.2376511719270058E-4</v>
      </c>
      <c r="AL126" s="18">
        <v>1.2376511719270052E-4</v>
      </c>
      <c r="AM126" s="18">
        <v>1.2376511719270052E-4</v>
      </c>
      <c r="AN126" s="18">
        <v>1.237651171927005E-4</v>
      </c>
      <c r="AO126" s="18">
        <v>1.2376511719270052E-4</v>
      </c>
    </row>
    <row r="127" spans="2:41" x14ac:dyDescent="0.25">
      <c r="B127" t="s">
        <v>32</v>
      </c>
      <c r="C127" s="18">
        <v>84.250557323845101</v>
      </c>
      <c r="D127" s="18">
        <v>82.451215835678212</v>
      </c>
      <c r="E127" s="18">
        <v>80.166243478069532</v>
      </c>
      <c r="F127" s="18">
        <v>77.626015719858643</v>
      </c>
      <c r="G127" s="18">
        <v>76.22541754695969</v>
      </c>
      <c r="H127" s="18">
        <v>74.388929903020184</v>
      </c>
      <c r="I127" s="18">
        <v>74.661627930767523</v>
      </c>
      <c r="J127" s="18">
        <v>74.775428105381266</v>
      </c>
      <c r="K127" s="18">
        <v>70.522195251866989</v>
      </c>
      <c r="L127" s="18">
        <v>73.094492492143644</v>
      </c>
      <c r="M127" s="18">
        <v>73.214968744367397</v>
      </c>
      <c r="N127" s="18">
        <v>74.270210908090405</v>
      </c>
      <c r="O127" s="18">
        <v>74.302275677412496</v>
      </c>
      <c r="P127" s="18">
        <v>72.946609309788073</v>
      </c>
      <c r="Q127" s="18">
        <v>74.534785437994302</v>
      </c>
      <c r="R127" s="18">
        <v>76.951376992110681</v>
      </c>
      <c r="S127" s="18">
        <v>77.843900415805521</v>
      </c>
      <c r="T127" s="18">
        <v>79.070428521803947</v>
      </c>
      <c r="U127" s="18">
        <v>77.488568884480685</v>
      </c>
      <c r="V127" s="18">
        <v>80.001746636610036</v>
      </c>
      <c r="W127" s="18">
        <v>81.615727730669292</v>
      </c>
      <c r="X127" s="18">
        <v>83.144940101381721</v>
      </c>
      <c r="Y127" s="18">
        <v>84.082398572093226</v>
      </c>
      <c r="Z127" s="18">
        <v>84.304176107667672</v>
      </c>
      <c r="AA127" s="18">
        <v>86.706826920772002</v>
      </c>
      <c r="AB127" s="18">
        <v>88.824376735822355</v>
      </c>
      <c r="AC127" s="18">
        <v>90.953130838479012</v>
      </c>
      <c r="AD127" s="18">
        <v>93.067176333633881</v>
      </c>
      <c r="AE127" s="18">
        <v>95.21376631469569</v>
      </c>
      <c r="AF127" s="18">
        <v>96.850170559997039</v>
      </c>
      <c r="AG127" s="18">
        <v>98.234253996043691</v>
      </c>
      <c r="AH127" s="18">
        <v>99.652597349120313</v>
      </c>
      <c r="AI127" s="18">
        <v>101.07044472386205</v>
      </c>
      <c r="AJ127" s="18">
        <v>102.5096778995579</v>
      </c>
      <c r="AK127" s="18">
        <v>103.8756184684088</v>
      </c>
      <c r="AL127" s="18">
        <v>105.22907993312295</v>
      </c>
      <c r="AM127" s="18">
        <v>106.64135677829437</v>
      </c>
      <c r="AN127" s="18">
        <v>108.08092477062478</v>
      </c>
      <c r="AO127" s="18">
        <v>109.5489131273044</v>
      </c>
    </row>
    <row r="128" spans="2:41" x14ac:dyDescent="0.25">
      <c r="B128" t="s">
        <v>33</v>
      </c>
      <c r="C128" s="18">
        <v>21.151207305916397</v>
      </c>
      <c r="D128" s="18">
        <v>22.521282491755183</v>
      </c>
      <c r="E128" s="18">
        <v>24.217986565765905</v>
      </c>
      <c r="F128" s="18">
        <v>25.461135067347364</v>
      </c>
      <c r="G128" s="18">
        <v>26.297310750693875</v>
      </c>
      <c r="H128" s="18">
        <v>28.16300470040489</v>
      </c>
      <c r="I128" s="18">
        <v>30.348501189694851</v>
      </c>
      <c r="J128" s="18">
        <v>31.793574952699373</v>
      </c>
      <c r="K128" s="18">
        <v>30.484415949333048</v>
      </c>
      <c r="L128" s="18">
        <v>31.715305188613026</v>
      </c>
      <c r="M128" s="18">
        <v>33.102158131950326</v>
      </c>
      <c r="N128" s="18">
        <v>34.659094884560439</v>
      </c>
      <c r="O128" s="18">
        <v>36.39067919900473</v>
      </c>
      <c r="P128" s="18">
        <v>38.204349046553844</v>
      </c>
      <c r="Q128" s="18">
        <v>40.242752534029108</v>
      </c>
      <c r="R128" s="18">
        <v>42.352494691702802</v>
      </c>
      <c r="S128" s="18">
        <v>44.62959349611431</v>
      </c>
      <c r="T128" s="18">
        <v>47.059568403454492</v>
      </c>
      <c r="U128" s="18">
        <v>49.336141685836502</v>
      </c>
      <c r="V128" s="18">
        <v>52.129708803872987</v>
      </c>
      <c r="W128" s="18">
        <v>55.076493025987219</v>
      </c>
      <c r="X128" s="18">
        <v>58.127939356488781</v>
      </c>
      <c r="Y128" s="18">
        <v>61.165718763166645</v>
      </c>
      <c r="Z128" s="18">
        <v>64.743710634723442</v>
      </c>
      <c r="AA128" s="18">
        <v>68.410556921662561</v>
      </c>
      <c r="AB128" s="18">
        <v>72.216463325601225</v>
      </c>
      <c r="AC128" s="18">
        <v>76.013255310377787</v>
      </c>
      <c r="AD128" s="18">
        <v>79.97978335920952</v>
      </c>
      <c r="AE128" s="18">
        <v>84.167229780771748</v>
      </c>
      <c r="AF128" s="18">
        <v>88.703651014964663</v>
      </c>
      <c r="AG128" s="18">
        <v>93.495987804506427</v>
      </c>
      <c r="AH128" s="18">
        <v>98.513167089164398</v>
      </c>
      <c r="AI128" s="18">
        <v>103.74106028177358</v>
      </c>
      <c r="AJ128" s="18">
        <v>109.17954792194922</v>
      </c>
      <c r="AK128" s="18">
        <v>114.28179559976975</v>
      </c>
      <c r="AL128" s="18">
        <v>119.64957820111283</v>
      </c>
      <c r="AM128" s="18">
        <v>125.31986083075584</v>
      </c>
      <c r="AN128" s="18">
        <v>131.28607556652435</v>
      </c>
      <c r="AO128" s="18">
        <v>137.69966432544891</v>
      </c>
    </row>
    <row r="129" spans="1:41" x14ac:dyDescent="0.25">
      <c r="B129" t="s">
        <v>34</v>
      </c>
      <c r="C129" s="18">
        <v>135.95535691221758</v>
      </c>
      <c r="D129" s="18">
        <v>139.80351127853945</v>
      </c>
      <c r="E129" s="18">
        <v>142.66409200833968</v>
      </c>
      <c r="F129" s="18">
        <v>144.13036048331253</v>
      </c>
      <c r="G129" s="18">
        <v>145.0014302833948</v>
      </c>
      <c r="H129" s="18">
        <v>146.55585903275639</v>
      </c>
      <c r="I129" s="18">
        <v>148.28569594981948</v>
      </c>
      <c r="J129" s="18">
        <v>149.06461652943278</v>
      </c>
      <c r="K129" s="18">
        <v>137.82766079356369</v>
      </c>
      <c r="L129" s="18">
        <v>140.70394471007126</v>
      </c>
      <c r="M129" s="18">
        <v>143.76714641829912</v>
      </c>
      <c r="N129" s="18">
        <v>147.12848647576391</v>
      </c>
      <c r="O129" s="18">
        <v>150.76049449915379</v>
      </c>
      <c r="P129" s="18">
        <v>154.33485001807401</v>
      </c>
      <c r="Q129" s="18">
        <v>158.36097525088041</v>
      </c>
      <c r="R129" s="18">
        <v>162.47821309092055</v>
      </c>
      <c r="S129" s="18">
        <v>166.85402227556517</v>
      </c>
      <c r="T129" s="18">
        <v>171.19273800324726</v>
      </c>
      <c r="U129" s="18">
        <v>174.84705057564088</v>
      </c>
      <c r="V129" s="18">
        <v>179.31069111024703</v>
      </c>
      <c r="W129" s="18">
        <v>183.8200659769339</v>
      </c>
      <c r="X129" s="18">
        <v>188.45915175381029</v>
      </c>
      <c r="Y129" s="18">
        <v>192.83647380242422</v>
      </c>
      <c r="Z129" s="18">
        <v>197.4490556385359</v>
      </c>
      <c r="AA129" s="18">
        <v>202.3032772288403</v>
      </c>
      <c r="AB129" s="18">
        <v>207.34778110170382</v>
      </c>
      <c r="AC129" s="18">
        <v>212.31258981749002</v>
      </c>
      <c r="AD129" s="18">
        <v>217.46651232501361</v>
      </c>
      <c r="AE129" s="18">
        <v>222.94594056097739</v>
      </c>
      <c r="AF129" s="18">
        <v>228.74169932221261</v>
      </c>
      <c r="AG129" s="18">
        <v>234.76776055763202</v>
      </c>
      <c r="AH129" s="18">
        <v>241.02171215001968</v>
      </c>
      <c r="AI129" s="18">
        <v>247.53264718985847</v>
      </c>
      <c r="AJ129" s="18">
        <v>254.37037860613714</v>
      </c>
      <c r="AK129" s="18">
        <v>260.75466562266104</v>
      </c>
      <c r="AL129" s="18">
        <v>267.45156625352439</v>
      </c>
      <c r="AM129" s="18">
        <v>274.50343300227337</v>
      </c>
      <c r="AN129" s="18">
        <v>281.92696162795829</v>
      </c>
      <c r="AO129" s="18">
        <v>289.90858523747522</v>
      </c>
    </row>
    <row r="130" spans="1:41" x14ac:dyDescent="0.25">
      <c r="B130" t="s">
        <v>35</v>
      </c>
      <c r="C130" s="18">
        <v>11.263564724197627</v>
      </c>
      <c r="D130" s="18">
        <v>11.573114330999795</v>
      </c>
      <c r="E130" s="18">
        <v>11.904421804272397</v>
      </c>
      <c r="F130" s="18">
        <v>12.110094606966681</v>
      </c>
      <c r="G130" s="18">
        <v>12.166932788027333</v>
      </c>
      <c r="H130" s="18">
        <v>12.293711060955006</v>
      </c>
      <c r="I130" s="18">
        <v>12.562958323284702</v>
      </c>
      <c r="J130" s="18">
        <v>12.711588758003899</v>
      </c>
      <c r="K130" s="18">
        <v>11.921653112246329</v>
      </c>
      <c r="L130" s="18">
        <v>12.235304710288451</v>
      </c>
      <c r="M130" s="18">
        <v>12.501281403627599</v>
      </c>
      <c r="N130" s="18">
        <v>12.741742363348116</v>
      </c>
      <c r="O130" s="18">
        <v>12.98624838026327</v>
      </c>
      <c r="P130" s="18">
        <v>13.214479448270467</v>
      </c>
      <c r="Q130" s="18">
        <v>13.465168709241487</v>
      </c>
      <c r="R130" s="18">
        <v>13.703477984695741</v>
      </c>
      <c r="S130" s="18">
        <v>13.943442716705752</v>
      </c>
      <c r="T130" s="18">
        <v>14.18613399699187</v>
      </c>
      <c r="U130" s="18">
        <v>14.466589529547347</v>
      </c>
      <c r="V130" s="18">
        <v>14.845840463025313</v>
      </c>
      <c r="W130" s="18">
        <v>15.167896365378041</v>
      </c>
      <c r="X130" s="18">
        <v>15.482175648100521</v>
      </c>
      <c r="Y130" s="18">
        <v>15.753527531290876</v>
      </c>
      <c r="Z130" s="18">
        <v>16.029022897704866</v>
      </c>
      <c r="AA130" s="18">
        <v>16.344022280745968</v>
      </c>
      <c r="AB130" s="18">
        <v>16.653030576959534</v>
      </c>
      <c r="AC130" s="18">
        <v>16.95834435079685</v>
      </c>
      <c r="AD130" s="18">
        <v>17.270783697210387</v>
      </c>
      <c r="AE130" s="18">
        <v>17.605624985872634</v>
      </c>
      <c r="AF130" s="18">
        <v>17.958545368952624</v>
      </c>
      <c r="AG130" s="18">
        <v>18.326368122704476</v>
      </c>
      <c r="AH130" s="18">
        <v>18.695411513294513</v>
      </c>
      <c r="AI130" s="18">
        <v>19.063846336311084</v>
      </c>
      <c r="AJ130" s="18">
        <v>19.436090482310849</v>
      </c>
      <c r="AK130" s="18">
        <v>19.764024399763979</v>
      </c>
      <c r="AL130" s="18">
        <v>20.084817159876348</v>
      </c>
      <c r="AM130" s="18">
        <v>20.430774533226025</v>
      </c>
      <c r="AN130" s="18">
        <v>20.793147678228024</v>
      </c>
      <c r="AO130" s="18">
        <v>21.18512097954352</v>
      </c>
    </row>
    <row r="131" spans="1:41" x14ac:dyDescent="0.25">
      <c r="B131" t="s">
        <v>36</v>
      </c>
      <c r="C131" s="18">
        <v>1.1351531206547518</v>
      </c>
      <c r="D131" s="18">
        <v>1.1581435930988344</v>
      </c>
      <c r="E131" s="18">
        <v>1.1466897745006903</v>
      </c>
      <c r="F131" s="18">
        <v>1.1404041486992398</v>
      </c>
      <c r="G131" s="18">
        <v>1.158082223645845</v>
      </c>
      <c r="H131" s="18">
        <v>1.1690400702239674</v>
      </c>
      <c r="I131" s="18">
        <v>1.1399086849076014</v>
      </c>
      <c r="J131" s="18">
        <v>1.1221637155461712</v>
      </c>
      <c r="K131" s="18">
        <v>1.0096297710191362</v>
      </c>
      <c r="L131" s="18">
        <v>1.0106492879161646</v>
      </c>
      <c r="M131" s="18">
        <v>1.0302529717942739</v>
      </c>
      <c r="N131" s="18">
        <v>1.0620864750479064</v>
      </c>
      <c r="O131" s="18">
        <v>1.0998118752864574</v>
      </c>
      <c r="P131" s="18">
        <v>1.1401523216394778</v>
      </c>
      <c r="Q131" s="18">
        <v>1.1865134987803243</v>
      </c>
      <c r="R131" s="18">
        <v>1.2382503590157974</v>
      </c>
      <c r="S131" s="18">
        <v>1.2967453569894312</v>
      </c>
      <c r="T131" s="18">
        <v>1.3581112576656127</v>
      </c>
      <c r="U131" s="18">
        <v>1.393039840277065</v>
      </c>
      <c r="V131" s="18">
        <v>1.4236346020613615</v>
      </c>
      <c r="W131" s="18">
        <v>1.4718356260352397</v>
      </c>
      <c r="X131" s="18">
        <v>1.526684010572724</v>
      </c>
      <c r="Y131" s="18">
        <v>1.5859732062358185</v>
      </c>
      <c r="Z131" s="18">
        <v>1.6511561750372967</v>
      </c>
      <c r="AA131" s="18">
        <v>1.7137906368871529</v>
      </c>
      <c r="AB131" s="18">
        <v>1.7838412023456807</v>
      </c>
      <c r="AC131" s="18">
        <v>1.852760928004608</v>
      </c>
      <c r="AD131" s="18">
        <v>1.9252952057275514</v>
      </c>
      <c r="AE131" s="18">
        <v>2.0011863599229782</v>
      </c>
      <c r="AF131" s="18">
        <v>2.0799279842080454</v>
      </c>
      <c r="AG131" s="18">
        <v>2.161300898584174</v>
      </c>
      <c r="AH131" s="18">
        <v>2.2491417997344558</v>
      </c>
      <c r="AI131" s="18">
        <v>2.3449152122731407</v>
      </c>
      <c r="AJ131" s="18">
        <v>2.4496740414846618</v>
      </c>
      <c r="AK131" s="18">
        <v>2.553957149593189</v>
      </c>
      <c r="AL131" s="18">
        <v>2.6701459219060015</v>
      </c>
      <c r="AM131" s="18">
        <v>2.7900071780000926</v>
      </c>
      <c r="AN131" s="18">
        <v>2.9167674131821033</v>
      </c>
      <c r="AO131" s="18">
        <v>3.0523121519180978</v>
      </c>
    </row>
    <row r="132" spans="1:41" x14ac:dyDescent="0.25">
      <c r="B132" t="s">
        <v>37</v>
      </c>
      <c r="C132" s="18">
        <v>27.516308224731535</v>
      </c>
      <c r="D132" s="18">
        <v>26.933321910754717</v>
      </c>
      <c r="E132" s="18">
        <v>26.357240851505608</v>
      </c>
      <c r="F132" s="18">
        <v>25.784669574259389</v>
      </c>
      <c r="G132" s="18">
        <v>25.784669574259372</v>
      </c>
      <c r="H132" s="18">
        <v>25.792154377886234</v>
      </c>
      <c r="I132" s="18">
        <v>25.78096221762112</v>
      </c>
      <c r="J132" s="18">
        <v>25.777254860982886</v>
      </c>
      <c r="K132" s="18">
        <v>25.780962217621408</v>
      </c>
      <c r="L132" s="18">
        <v>25.780962217621408</v>
      </c>
      <c r="M132" s="18">
        <v>25.780962217621404</v>
      </c>
      <c r="N132" s="18">
        <v>25.780962217621397</v>
      </c>
      <c r="O132" s="18">
        <v>25.780962217621397</v>
      </c>
      <c r="P132" s="18">
        <v>25.221712610799649</v>
      </c>
      <c r="Q132" s="18">
        <v>25.221712610799649</v>
      </c>
      <c r="R132" s="18">
        <v>25.198560689428401</v>
      </c>
      <c r="S132" s="18">
        <v>25.198154966054339</v>
      </c>
      <c r="T132" s="18">
        <v>25.22443266858593</v>
      </c>
      <c r="U132" s="18">
        <v>25.198154966054339</v>
      </c>
      <c r="V132" s="18">
        <v>24.729363674487423</v>
      </c>
      <c r="W132" s="18">
        <v>24.107340422025779</v>
      </c>
      <c r="X132" s="18">
        <v>24.068889189911349</v>
      </c>
      <c r="Y132" s="18">
        <v>23.566180013629189</v>
      </c>
      <c r="Z132" s="18">
        <v>22.355593289542004</v>
      </c>
      <c r="AA132" s="18">
        <v>22.403008355083625</v>
      </c>
      <c r="AB132" s="18">
        <v>22.450423420625238</v>
      </c>
      <c r="AC132" s="18">
        <v>22.497838486166845</v>
      </c>
      <c r="AD132" s="18">
        <v>22.545253551708463</v>
      </c>
      <c r="AE132" s="18">
        <v>22.592668617250066</v>
      </c>
      <c r="AF132" s="18">
        <v>22.390297614205075</v>
      </c>
      <c r="AG132" s="18">
        <v>22.187926611160076</v>
      </c>
      <c r="AH132" s="18">
        <v>21.985555608115085</v>
      </c>
      <c r="AI132" s="18">
        <v>21.783184605070087</v>
      </c>
      <c r="AJ132" s="18">
        <v>21.580813602025103</v>
      </c>
      <c r="AK132" s="18">
        <v>21.378442598980104</v>
      </c>
      <c r="AL132" s="18">
        <v>21.176071595935095</v>
      </c>
      <c r="AM132" s="18">
        <v>20.973700592890108</v>
      </c>
      <c r="AN132" s="18">
        <v>20.771329589845102</v>
      </c>
      <c r="AO132" s="18">
        <v>20.568958586800107</v>
      </c>
    </row>
    <row r="133" spans="1:41" x14ac:dyDescent="0.25">
      <c r="B133" t="s">
        <v>38</v>
      </c>
      <c r="C133" s="18">
        <v>66.42036548153871</v>
      </c>
      <c r="D133" s="18">
        <v>67.405879473318592</v>
      </c>
      <c r="E133" s="18">
        <v>64.422201326406551</v>
      </c>
      <c r="F133" s="18">
        <v>61.447467786677329</v>
      </c>
      <c r="G133" s="18">
        <v>61.142610702865952</v>
      </c>
      <c r="H133" s="18">
        <v>61.268075561889901</v>
      </c>
      <c r="I133" s="18">
        <v>60.912459713234377</v>
      </c>
      <c r="J133" s="18">
        <v>60.468556482084786</v>
      </c>
      <c r="K133" s="18">
        <v>58.515171706745178</v>
      </c>
      <c r="L133" s="18">
        <v>58.254298294534607</v>
      </c>
      <c r="M133" s="18">
        <v>58.043794250560346</v>
      </c>
      <c r="N133" s="18">
        <v>58.268510979649157</v>
      </c>
      <c r="O133" s="18">
        <v>58.634403368923351</v>
      </c>
      <c r="P133" s="18">
        <v>59.586142400355428</v>
      </c>
      <c r="Q133" s="18">
        <v>59.40613908356876</v>
      </c>
      <c r="R133" s="18">
        <v>59.339774819221503</v>
      </c>
      <c r="S133" s="18">
        <v>59.635924277118903</v>
      </c>
      <c r="T133" s="18">
        <v>59.8003165606208</v>
      </c>
      <c r="U133" s="18">
        <v>60.405002253054697</v>
      </c>
      <c r="V133" s="18">
        <v>59.924771535685913</v>
      </c>
      <c r="W133" s="18">
        <v>59.693945281900724</v>
      </c>
      <c r="X133" s="18">
        <v>59.46503786708054</v>
      </c>
      <c r="Y133" s="18">
        <v>59.155273715860652</v>
      </c>
      <c r="Z133" s="18">
        <v>58.166723000493484</v>
      </c>
      <c r="AA133" s="18">
        <v>57.190274817346371</v>
      </c>
      <c r="AB133" s="18">
        <v>56.213826634199208</v>
      </c>
      <c r="AC133" s="18">
        <v>55.237378451052074</v>
      </c>
      <c r="AD133" s="18">
        <v>54.260930267904918</v>
      </c>
      <c r="AE133" s="18">
        <v>53.284482084757748</v>
      </c>
      <c r="AF133" s="18">
        <v>52.724292816706132</v>
      </c>
      <c r="AG133" s="18">
        <v>52.164103548654488</v>
      </c>
      <c r="AH133" s="18">
        <v>51.603914280602893</v>
      </c>
      <c r="AI133" s="18">
        <v>51.043725012551292</v>
      </c>
      <c r="AJ133" s="18">
        <v>50.483535744499683</v>
      </c>
      <c r="AK133" s="18">
        <v>49.923346476448074</v>
      </c>
      <c r="AL133" s="18">
        <v>49.363157208396451</v>
      </c>
      <c r="AM133" s="18">
        <v>48.802967940344814</v>
      </c>
      <c r="AN133" s="18">
        <v>48.242778672293184</v>
      </c>
      <c r="AO133" s="18">
        <v>47.682589404241561</v>
      </c>
    </row>
    <row r="134" spans="1:41" x14ac:dyDescent="0.25">
      <c r="C134" s="13"/>
      <c r="D134" s="23"/>
    </row>
    <row r="135" spans="1:41" ht="18" thickBot="1" x14ac:dyDescent="0.35">
      <c r="A135" s="4" t="s">
        <v>143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54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55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56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144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4" t="s">
        <v>173</v>
      </c>
      <c r="C146" s="24"/>
      <c r="D146" s="24"/>
      <c r="E146" s="24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6">MATCH(B149,$A$182:$A$200,0)</f>
        <v>1</v>
      </c>
      <c r="B149" t="s">
        <v>73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6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6"/>
        <v>18</v>
      </c>
      <c r="B151" t="s">
        <v>151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6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6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6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6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6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6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6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6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6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6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6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6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6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6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6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3"/>
    </row>
    <row r="168" spans="1:41" ht="18" thickBot="1" x14ac:dyDescent="0.35">
      <c r="A168" s="4" t="s">
        <v>143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54</v>
      </c>
      <c r="B170" s="12">
        <f>B208</f>
        <v>0.5</v>
      </c>
      <c r="C170" s="12">
        <f t="shared" ref="C170:AN170" si="27">C208</f>
        <v>0.49530000000000002</v>
      </c>
      <c r="D170" s="12">
        <f t="shared" si="27"/>
        <v>0.48570000000000002</v>
      </c>
      <c r="E170" s="12">
        <f t="shared" si="27"/>
        <v>0.48010000000000003</v>
      </c>
      <c r="F170" s="12">
        <f t="shared" si="27"/>
        <v>0.4783</v>
      </c>
      <c r="G170" s="12">
        <f t="shared" si="27"/>
        <v>0.47289999999999999</v>
      </c>
      <c r="H170" s="12">
        <f t="shared" si="27"/>
        <v>0.46870000000000001</v>
      </c>
      <c r="I170" s="12">
        <f t="shared" si="27"/>
        <v>0.47139999999999999</v>
      </c>
      <c r="J170" s="12">
        <f t="shared" si="27"/>
        <v>0.48859999999999998</v>
      </c>
      <c r="K170" s="12">
        <f t="shared" si="27"/>
        <v>0.50270000000000004</v>
      </c>
      <c r="L170" s="12">
        <f t="shared" si="27"/>
        <v>0.498</v>
      </c>
      <c r="M170" s="12">
        <f t="shared" si="27"/>
        <v>0.49359999999999998</v>
      </c>
      <c r="N170" s="12">
        <f t="shared" si="27"/>
        <v>0.48820000000000002</v>
      </c>
      <c r="O170" s="12">
        <f t="shared" si="27"/>
        <v>0.48220000000000002</v>
      </c>
      <c r="P170" s="12">
        <f t="shared" si="27"/>
        <v>0.47520000000000001</v>
      </c>
      <c r="Q170" s="12">
        <f t="shared" si="27"/>
        <v>0.46839999999999998</v>
      </c>
      <c r="R170" s="12">
        <f t="shared" si="27"/>
        <v>0.4647</v>
      </c>
      <c r="S170" s="12">
        <f t="shared" si="27"/>
        <v>0.45779999999999998</v>
      </c>
      <c r="T170" s="12">
        <f t="shared" si="27"/>
        <v>0.44979999999999998</v>
      </c>
      <c r="U170" s="12">
        <f t="shared" si="27"/>
        <v>0.44130000000000003</v>
      </c>
      <c r="V170" s="12">
        <f t="shared" si="27"/>
        <v>0.43219999999999997</v>
      </c>
      <c r="W170" s="12">
        <f t="shared" si="27"/>
        <v>0.42320000000000002</v>
      </c>
      <c r="X170" s="12">
        <f t="shared" si="27"/>
        <v>0.4138</v>
      </c>
      <c r="Y170" s="12">
        <f t="shared" si="27"/>
        <v>0.40460000000000002</v>
      </c>
      <c r="Z170" s="12">
        <f t="shared" si="27"/>
        <v>0.39539999999999997</v>
      </c>
      <c r="AA170" s="12">
        <f t="shared" si="27"/>
        <v>0.38550000000000001</v>
      </c>
      <c r="AB170" s="12">
        <f t="shared" si="27"/>
        <v>0.37590000000000001</v>
      </c>
      <c r="AC170" s="12">
        <f t="shared" si="27"/>
        <v>0.36670000000000003</v>
      </c>
      <c r="AD170" s="12">
        <f t="shared" si="27"/>
        <v>0.35759999999999997</v>
      </c>
      <c r="AE170" s="12">
        <f t="shared" si="27"/>
        <v>0.34839999999999999</v>
      </c>
      <c r="AF170" s="12">
        <f t="shared" si="27"/>
        <v>0.33989999999999998</v>
      </c>
      <c r="AG170" s="12">
        <f t="shared" si="27"/>
        <v>0.33169999999999999</v>
      </c>
      <c r="AH170" s="12">
        <f t="shared" si="27"/>
        <v>0.32350000000000001</v>
      </c>
      <c r="AI170" s="12">
        <f t="shared" si="27"/>
        <v>0.31519999999999998</v>
      </c>
      <c r="AJ170" s="12">
        <f t="shared" si="27"/>
        <v>0.30669999999999997</v>
      </c>
      <c r="AK170" s="12">
        <f t="shared" si="27"/>
        <v>0.2989</v>
      </c>
      <c r="AL170" s="12">
        <f t="shared" si="27"/>
        <v>0.29149999999999998</v>
      </c>
      <c r="AM170" s="12">
        <f t="shared" si="27"/>
        <v>0.28389999999999999</v>
      </c>
      <c r="AN170" s="12">
        <f t="shared" si="27"/>
        <v>0.27539999999999998</v>
      </c>
    </row>
    <row r="171" spans="1:41" x14ac:dyDescent="0.25">
      <c r="A171" s="3" t="s">
        <v>55</v>
      </c>
      <c r="B171" s="12">
        <f>B207</f>
        <v>0.3</v>
      </c>
      <c r="C171" s="12">
        <f t="shared" ref="C171:AN171" si="28">C207</f>
        <v>0.29570000000000002</v>
      </c>
      <c r="D171" s="12">
        <f t="shared" si="28"/>
        <v>0.29930000000000001</v>
      </c>
      <c r="E171" s="12">
        <f t="shared" si="28"/>
        <v>0.3029</v>
      </c>
      <c r="F171" s="12">
        <f t="shared" si="28"/>
        <v>0.3044</v>
      </c>
      <c r="G171" s="12">
        <f t="shared" si="28"/>
        <v>0.30480000000000002</v>
      </c>
      <c r="H171" s="12">
        <f t="shared" si="28"/>
        <v>0.30819999999999997</v>
      </c>
      <c r="I171" s="12">
        <f t="shared" si="28"/>
        <v>0.31109999999999999</v>
      </c>
      <c r="J171" s="12">
        <f t="shared" si="28"/>
        <v>0.31140000000000001</v>
      </c>
      <c r="K171" s="12">
        <f t="shared" si="28"/>
        <v>0.29730000000000001</v>
      </c>
      <c r="L171" s="12">
        <f t="shared" si="28"/>
        <v>0.30199999999999999</v>
      </c>
      <c r="M171" s="12">
        <f t="shared" si="28"/>
        <v>0.30640000000000001</v>
      </c>
      <c r="N171" s="12">
        <f t="shared" si="28"/>
        <v>0.30940000000000001</v>
      </c>
      <c r="O171" s="12">
        <f t="shared" si="28"/>
        <v>0.3115</v>
      </c>
      <c r="P171" s="12">
        <f t="shared" si="28"/>
        <v>0.313</v>
      </c>
      <c r="Q171" s="12">
        <f t="shared" si="28"/>
        <v>0.31540000000000001</v>
      </c>
      <c r="R171" s="12">
        <f t="shared" si="28"/>
        <v>0.3175</v>
      </c>
      <c r="S171" s="12">
        <f t="shared" si="28"/>
        <v>0.31859999999999999</v>
      </c>
      <c r="T171" s="12">
        <f t="shared" si="28"/>
        <v>0.32069999999999999</v>
      </c>
      <c r="U171" s="12">
        <f t="shared" si="28"/>
        <v>0.32240000000000002</v>
      </c>
      <c r="V171" s="12">
        <f t="shared" si="28"/>
        <v>0.32469999999999999</v>
      </c>
      <c r="W171" s="12">
        <f t="shared" si="28"/>
        <v>0.32690000000000002</v>
      </c>
      <c r="X171" s="12">
        <f t="shared" si="28"/>
        <v>0.32890000000000003</v>
      </c>
      <c r="Y171" s="12">
        <f t="shared" si="28"/>
        <v>0.33139999999999997</v>
      </c>
      <c r="Z171" s="12">
        <f t="shared" si="28"/>
        <v>0.33339999999999997</v>
      </c>
      <c r="AA171" s="12">
        <f t="shared" si="28"/>
        <v>0.33560000000000001</v>
      </c>
      <c r="AB171" s="12">
        <f t="shared" si="28"/>
        <v>0.33800000000000002</v>
      </c>
      <c r="AC171" s="12">
        <f t="shared" si="28"/>
        <v>0.34010000000000001</v>
      </c>
      <c r="AD171" s="12">
        <f t="shared" si="28"/>
        <v>0.3422</v>
      </c>
      <c r="AE171" s="12">
        <f t="shared" si="28"/>
        <v>0.34439999999999998</v>
      </c>
      <c r="AF171" s="12">
        <f t="shared" si="28"/>
        <v>0.34649999999999997</v>
      </c>
      <c r="AG171" s="12">
        <f t="shared" si="28"/>
        <v>0.34839999999999999</v>
      </c>
      <c r="AH171" s="12">
        <f t="shared" si="28"/>
        <v>0.35020000000000001</v>
      </c>
      <c r="AI171" s="12">
        <f t="shared" si="28"/>
        <v>0.35189999999999999</v>
      </c>
      <c r="AJ171" s="12">
        <f t="shared" si="28"/>
        <v>0.35370000000000001</v>
      </c>
      <c r="AK171" s="12">
        <f t="shared" si="28"/>
        <v>0.35560000000000003</v>
      </c>
      <c r="AL171" s="12">
        <f t="shared" si="28"/>
        <v>0.35720000000000002</v>
      </c>
      <c r="AM171" s="12">
        <f t="shared" si="28"/>
        <v>0.35859999999999997</v>
      </c>
      <c r="AN171" s="12">
        <f t="shared" si="28"/>
        <v>0.35959999999999998</v>
      </c>
    </row>
    <row r="172" spans="1:41" x14ac:dyDescent="0.25">
      <c r="A172" s="3" t="s">
        <v>56</v>
      </c>
      <c r="B172" s="12">
        <f>B206</f>
        <v>0.2</v>
      </c>
      <c r="C172" s="12">
        <f t="shared" ref="C172:AN172" si="29">C206</f>
        <v>0.20899999999999999</v>
      </c>
      <c r="D172" s="12">
        <f t="shared" si="29"/>
        <v>0.215</v>
      </c>
      <c r="E172" s="12">
        <f t="shared" si="29"/>
        <v>0.217</v>
      </c>
      <c r="F172" s="12">
        <f t="shared" si="29"/>
        <v>0.2172</v>
      </c>
      <c r="G172" s="12">
        <f t="shared" si="29"/>
        <v>0.2223</v>
      </c>
      <c r="H172" s="12">
        <f t="shared" si="29"/>
        <v>0.22309999999999999</v>
      </c>
      <c r="I172" s="12">
        <f t="shared" si="29"/>
        <v>0.21759999999999999</v>
      </c>
      <c r="J172" s="12">
        <f t="shared" si="29"/>
        <v>0.2</v>
      </c>
      <c r="K172" s="12">
        <f t="shared" si="29"/>
        <v>0.2</v>
      </c>
      <c r="L172" s="12">
        <f t="shared" si="29"/>
        <v>0.2</v>
      </c>
      <c r="M172" s="12">
        <f t="shared" si="29"/>
        <v>0.2</v>
      </c>
      <c r="N172" s="12">
        <f t="shared" si="29"/>
        <v>0.20230000000000001</v>
      </c>
      <c r="O172" s="12">
        <f t="shared" si="29"/>
        <v>0.20630000000000001</v>
      </c>
      <c r="P172" s="12">
        <f t="shared" si="29"/>
        <v>0.21179999999999999</v>
      </c>
      <c r="Q172" s="12">
        <f t="shared" si="29"/>
        <v>0.2162</v>
      </c>
      <c r="R172" s="12">
        <f t="shared" si="29"/>
        <v>0.21790000000000001</v>
      </c>
      <c r="S172" s="12">
        <f t="shared" si="29"/>
        <v>0.22359999999999999</v>
      </c>
      <c r="T172" s="12">
        <f t="shared" si="29"/>
        <v>0.22939999999999999</v>
      </c>
      <c r="U172" s="12">
        <f t="shared" si="29"/>
        <v>0.23619999999999999</v>
      </c>
      <c r="V172" s="12">
        <f t="shared" si="29"/>
        <v>0.2432</v>
      </c>
      <c r="W172" s="12">
        <f t="shared" si="29"/>
        <v>0.24990000000000001</v>
      </c>
      <c r="X172" s="12">
        <f t="shared" si="29"/>
        <v>0.25719999999999998</v>
      </c>
      <c r="Y172" s="12">
        <f t="shared" si="29"/>
        <v>0.26390000000000002</v>
      </c>
      <c r="Z172" s="12">
        <f t="shared" si="29"/>
        <v>0.2712</v>
      </c>
      <c r="AA172" s="12">
        <f t="shared" si="29"/>
        <v>0.27889999999999998</v>
      </c>
      <c r="AB172" s="12">
        <f t="shared" si="29"/>
        <v>0.28599999999999998</v>
      </c>
      <c r="AC172" s="12">
        <f t="shared" si="29"/>
        <v>0.29310000000000003</v>
      </c>
      <c r="AD172" s="12">
        <f t="shared" si="29"/>
        <v>0.30020000000000002</v>
      </c>
      <c r="AE172" s="12">
        <f t="shared" si="29"/>
        <v>0.30719999999999997</v>
      </c>
      <c r="AF172" s="12">
        <f t="shared" si="29"/>
        <v>0.3135</v>
      </c>
      <c r="AG172" s="12">
        <f t="shared" si="29"/>
        <v>0.31990000000000002</v>
      </c>
      <c r="AH172" s="12">
        <f t="shared" si="29"/>
        <v>0.32629999999999998</v>
      </c>
      <c r="AI172" s="12">
        <f t="shared" si="29"/>
        <v>0.33289999999999997</v>
      </c>
      <c r="AJ172" s="12">
        <f t="shared" si="29"/>
        <v>0.33960000000000001</v>
      </c>
      <c r="AK172" s="12">
        <f t="shared" si="29"/>
        <v>0.34549999999999997</v>
      </c>
      <c r="AL172" s="12">
        <f t="shared" si="29"/>
        <v>0.35139999999999999</v>
      </c>
      <c r="AM172" s="12">
        <f t="shared" si="29"/>
        <v>0.35749999999999998</v>
      </c>
      <c r="AN172" s="12">
        <f t="shared" si="29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144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4" t="s">
        <v>174</v>
      </c>
      <c r="C179" s="24"/>
      <c r="D179" s="24"/>
      <c r="E179" s="24"/>
    </row>
    <row r="180" spans="1:41" ht="15.75" thickTop="1" x14ac:dyDescent="0.25">
      <c r="C180" s="13" t="s">
        <v>152</v>
      </c>
      <c r="D180" s="23" t="s">
        <v>152</v>
      </c>
      <c r="E180" t="s">
        <v>152</v>
      </c>
      <c r="F180" t="s">
        <v>152</v>
      </c>
      <c r="G180" t="s">
        <v>152</v>
      </c>
      <c r="H180" t="s">
        <v>152</v>
      </c>
      <c r="I180" t="s">
        <v>152</v>
      </c>
      <c r="J180" t="s">
        <v>152</v>
      </c>
      <c r="K180" t="s">
        <v>152</v>
      </c>
      <c r="L180" t="s">
        <v>152</v>
      </c>
      <c r="M180" t="s">
        <v>152</v>
      </c>
      <c r="N180" t="s">
        <v>152</v>
      </c>
      <c r="O180" t="s">
        <v>152</v>
      </c>
      <c r="P180" t="s">
        <v>152</v>
      </c>
      <c r="Q180" t="s">
        <v>152</v>
      </c>
      <c r="R180" t="s">
        <v>152</v>
      </c>
      <c r="S180" t="s">
        <v>152</v>
      </c>
      <c r="T180" t="s">
        <v>152</v>
      </c>
      <c r="U180" t="s">
        <v>152</v>
      </c>
      <c r="V180" t="s">
        <v>152</v>
      </c>
      <c r="W180" t="s">
        <v>152</v>
      </c>
      <c r="X180" t="s">
        <v>152</v>
      </c>
      <c r="Y180" t="s">
        <v>152</v>
      </c>
      <c r="Z180" t="s">
        <v>152</v>
      </c>
      <c r="AA180" t="s">
        <v>152</v>
      </c>
      <c r="AB180" t="s">
        <v>152</v>
      </c>
      <c r="AC180" t="s">
        <v>152</v>
      </c>
      <c r="AD180" t="s">
        <v>152</v>
      </c>
      <c r="AE180" t="s">
        <v>152</v>
      </c>
      <c r="AF180" t="s">
        <v>152</v>
      </c>
      <c r="AG180" t="s">
        <v>152</v>
      </c>
      <c r="AH180" t="s">
        <v>152</v>
      </c>
      <c r="AI180" t="s">
        <v>152</v>
      </c>
      <c r="AJ180" t="s">
        <v>152</v>
      </c>
      <c r="AK180" t="s">
        <v>152</v>
      </c>
      <c r="AL180" t="s">
        <v>152</v>
      </c>
      <c r="AM180" t="s">
        <v>152</v>
      </c>
      <c r="AN180" t="s">
        <v>152</v>
      </c>
      <c r="AO180" t="s">
        <v>152</v>
      </c>
    </row>
    <row r="181" spans="1:41" x14ac:dyDescent="0.25">
      <c r="B181" t="s">
        <v>153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73</v>
      </c>
      <c r="B182" t="s">
        <v>154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155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156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157</v>
      </c>
      <c r="C185" s="23">
        <v>1833.85</v>
      </c>
      <c r="D185" s="23">
        <v>1881.9</v>
      </c>
      <c r="E185" s="23">
        <v>1929.34</v>
      </c>
      <c r="F185" s="23">
        <v>1956.68</v>
      </c>
      <c r="G185" s="23">
        <v>1983.97</v>
      </c>
      <c r="H185" s="23">
        <v>2015.63</v>
      </c>
      <c r="I185" s="23">
        <v>2048.7199999999998</v>
      </c>
      <c r="J185" s="23">
        <v>2068.14</v>
      </c>
      <c r="K185" s="23">
        <v>1924.06</v>
      </c>
      <c r="L185" s="23">
        <v>1969.68</v>
      </c>
      <c r="M185" s="23">
        <v>2013.21</v>
      </c>
      <c r="N185" s="23">
        <v>2052.89</v>
      </c>
      <c r="O185" s="23">
        <v>2097.59</v>
      </c>
      <c r="P185" s="23">
        <v>2142.04</v>
      </c>
      <c r="Q185" s="23">
        <v>2187.36</v>
      </c>
      <c r="R185" s="23">
        <v>2232.96</v>
      </c>
      <c r="S185" s="23">
        <v>2276.1999999999998</v>
      </c>
      <c r="T185" s="23">
        <v>2325.7600000000002</v>
      </c>
      <c r="U185" s="23">
        <v>2379.34</v>
      </c>
      <c r="V185" s="23">
        <v>2444.09</v>
      </c>
      <c r="W185" s="23">
        <v>2512.85</v>
      </c>
      <c r="X185" s="23">
        <v>2586.39</v>
      </c>
      <c r="Y185" s="23">
        <v>2669.29</v>
      </c>
      <c r="Z185" s="23">
        <v>2753.03</v>
      </c>
      <c r="AA185" s="23">
        <v>2843.24</v>
      </c>
      <c r="AB185" s="23">
        <v>2938.39</v>
      </c>
      <c r="AC185" s="23">
        <v>3036.29</v>
      </c>
      <c r="AD185" s="23">
        <v>3138.34</v>
      </c>
      <c r="AE185" s="23">
        <v>3244.95</v>
      </c>
      <c r="AF185" s="23">
        <v>3354.92</v>
      </c>
      <c r="AG185" s="23">
        <v>3465.43</v>
      </c>
      <c r="AH185" s="23">
        <v>3580.36</v>
      </c>
      <c r="AI185" s="23">
        <v>3700.03</v>
      </c>
      <c r="AJ185" s="23">
        <v>3827.31</v>
      </c>
      <c r="AK185" s="23">
        <v>3959.52</v>
      </c>
      <c r="AL185" s="23">
        <v>4091.05</v>
      </c>
      <c r="AM185" s="23">
        <v>4228.6000000000004</v>
      </c>
      <c r="AN185" s="23">
        <v>4373.84</v>
      </c>
      <c r="AO185" s="23">
        <v>4547.05</v>
      </c>
    </row>
    <row r="186" spans="1:41" x14ac:dyDescent="0.25">
      <c r="A186" t="s">
        <v>37</v>
      </c>
      <c r="B186" t="s">
        <v>158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159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160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161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162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163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164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165</v>
      </c>
      <c r="C193" s="23">
        <v>123.26999999999998</v>
      </c>
      <c r="D193" s="23">
        <v>125.80799999999999</v>
      </c>
      <c r="E193" s="23">
        <v>125.928</v>
      </c>
      <c r="F193" s="23">
        <v>128.83799999999999</v>
      </c>
      <c r="G193" s="23">
        <v>126.498</v>
      </c>
      <c r="H193" s="23">
        <v>129.738</v>
      </c>
      <c r="I193" s="23">
        <v>128.71199999999999</v>
      </c>
      <c r="J193" s="23">
        <v>126.50399999999999</v>
      </c>
      <c r="K193" s="23">
        <v>118.98</v>
      </c>
      <c r="L193" s="23">
        <v>121.03799999999998</v>
      </c>
      <c r="M193" s="23">
        <v>122.64599999999999</v>
      </c>
      <c r="N193" s="23">
        <v>123.93</v>
      </c>
      <c r="O193" s="23">
        <v>125.322</v>
      </c>
      <c r="P193" s="23">
        <v>126.78</v>
      </c>
      <c r="Q193" s="23">
        <v>127.99199999999999</v>
      </c>
      <c r="R193" s="23">
        <v>129.15599999999998</v>
      </c>
      <c r="S193" s="23">
        <v>131.04</v>
      </c>
      <c r="T193" s="23">
        <v>132.066</v>
      </c>
      <c r="U193" s="23">
        <v>132.99599999999998</v>
      </c>
      <c r="V193" s="23">
        <v>134.298</v>
      </c>
      <c r="W193" s="23">
        <v>135.6</v>
      </c>
      <c r="X193" s="23">
        <v>136.94399999999999</v>
      </c>
      <c r="Y193" s="23">
        <v>138.828</v>
      </c>
      <c r="Z193" s="23">
        <v>140.66999999999999</v>
      </c>
      <c r="AA193" s="23">
        <v>142.67399999999998</v>
      </c>
      <c r="AB193" s="23">
        <v>144.61199999999999</v>
      </c>
      <c r="AC193" s="23">
        <v>146.84399999999999</v>
      </c>
      <c r="AD193" s="23">
        <v>149.184</v>
      </c>
      <c r="AE193" s="23">
        <v>151.65</v>
      </c>
      <c r="AF193" s="23">
        <v>154.33799999999999</v>
      </c>
      <c r="AG193" s="23">
        <v>157.03800000000001</v>
      </c>
      <c r="AH193" s="23">
        <v>159.93600000000001</v>
      </c>
      <c r="AI193" s="23">
        <v>163.05599999999998</v>
      </c>
      <c r="AJ193" s="23">
        <v>166.488</v>
      </c>
      <c r="AK193" s="23">
        <v>170.28</v>
      </c>
      <c r="AL193" s="23">
        <v>174.072</v>
      </c>
      <c r="AM193" s="23">
        <v>178.14</v>
      </c>
      <c r="AN193" s="23">
        <v>182.57400000000001</v>
      </c>
      <c r="AO193" s="23">
        <v>188.22599999999997</v>
      </c>
    </row>
    <row r="194" spans="1:41" x14ac:dyDescent="0.25">
      <c r="A194" t="s">
        <v>28</v>
      </c>
      <c r="B194" t="s">
        <v>166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167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168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169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170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151</v>
      </c>
      <c r="B199" t="s">
        <v>177</v>
      </c>
      <c r="C199" s="26">
        <v>82.18</v>
      </c>
      <c r="D199" s="26">
        <v>83.872000000000014</v>
      </c>
      <c r="E199" s="26">
        <v>83.951999999999998</v>
      </c>
      <c r="F199" s="26">
        <v>85.891999999999996</v>
      </c>
      <c r="G199" s="26">
        <v>84.332000000000008</v>
      </c>
      <c r="H199" s="26">
        <v>86.492000000000004</v>
      </c>
      <c r="I199" s="26">
        <v>85.808000000000007</v>
      </c>
      <c r="J199" s="26">
        <v>84.336000000000013</v>
      </c>
      <c r="K199" s="26">
        <v>79.320000000000007</v>
      </c>
      <c r="L199" s="26">
        <v>80.692000000000007</v>
      </c>
      <c r="M199" s="26">
        <v>81.76400000000001</v>
      </c>
      <c r="N199" s="26">
        <v>82.62</v>
      </c>
      <c r="O199" s="26">
        <v>83.548000000000002</v>
      </c>
      <c r="P199" s="26">
        <v>84.52000000000001</v>
      </c>
      <c r="Q199" s="26">
        <v>85.328000000000003</v>
      </c>
      <c r="R199" s="26">
        <v>86.103999999999999</v>
      </c>
      <c r="S199" s="26">
        <v>87.360000000000014</v>
      </c>
      <c r="T199" s="26">
        <v>88.044000000000011</v>
      </c>
      <c r="U199" s="26">
        <v>88.664000000000001</v>
      </c>
      <c r="V199" s="26">
        <v>89.532000000000011</v>
      </c>
      <c r="W199" s="26">
        <v>90.4</v>
      </c>
      <c r="X199" s="26">
        <v>91.296000000000006</v>
      </c>
      <c r="Y199" s="26">
        <v>92.552000000000007</v>
      </c>
      <c r="Z199" s="26">
        <v>93.78</v>
      </c>
      <c r="AA199" s="26">
        <v>95.116</v>
      </c>
      <c r="AB199" s="26">
        <v>96.408000000000015</v>
      </c>
      <c r="AC199" s="26">
        <v>97.896000000000015</v>
      </c>
      <c r="AD199" s="26">
        <v>99.456000000000003</v>
      </c>
      <c r="AE199" s="26">
        <v>101.10000000000001</v>
      </c>
      <c r="AF199" s="26">
        <v>102.89200000000001</v>
      </c>
      <c r="AG199" s="26">
        <v>104.69200000000001</v>
      </c>
      <c r="AH199" s="26">
        <v>106.62400000000001</v>
      </c>
      <c r="AI199" s="26">
        <v>108.70400000000001</v>
      </c>
      <c r="AJ199" s="26">
        <v>110.99200000000002</v>
      </c>
      <c r="AK199" s="26">
        <v>113.52000000000001</v>
      </c>
      <c r="AL199" s="26">
        <v>116.048</v>
      </c>
      <c r="AM199" s="26">
        <v>118.75999999999999</v>
      </c>
      <c r="AN199" s="26">
        <v>121.71600000000001</v>
      </c>
      <c r="AO199" s="26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178</v>
      </c>
      <c r="C203" s="13" t="s">
        <v>178</v>
      </c>
      <c r="D203" t="s">
        <v>178</v>
      </c>
      <c r="E203" t="s">
        <v>178</v>
      </c>
      <c r="F203" t="s">
        <v>178</v>
      </c>
      <c r="G203" t="s">
        <v>178</v>
      </c>
      <c r="H203" t="s">
        <v>178</v>
      </c>
      <c r="I203" t="s">
        <v>178</v>
      </c>
      <c r="J203" t="s">
        <v>178</v>
      </c>
      <c r="K203" t="s">
        <v>178</v>
      </c>
      <c r="L203" t="s">
        <v>178</v>
      </c>
      <c r="M203" t="s">
        <v>178</v>
      </c>
      <c r="N203" t="s">
        <v>178</v>
      </c>
      <c r="O203" t="s">
        <v>178</v>
      </c>
      <c r="P203" t="s">
        <v>178</v>
      </c>
      <c r="Q203" t="s">
        <v>178</v>
      </c>
      <c r="R203" t="s">
        <v>178</v>
      </c>
      <c r="S203" t="s">
        <v>178</v>
      </c>
      <c r="T203" t="s">
        <v>178</v>
      </c>
      <c r="U203" t="s">
        <v>178</v>
      </c>
      <c r="V203" t="s">
        <v>178</v>
      </c>
      <c r="W203" t="s">
        <v>178</v>
      </c>
      <c r="X203" t="s">
        <v>178</v>
      </c>
      <c r="Y203" t="s">
        <v>178</v>
      </c>
      <c r="Z203" t="s">
        <v>178</v>
      </c>
      <c r="AA203" t="s">
        <v>178</v>
      </c>
      <c r="AB203" t="s">
        <v>178</v>
      </c>
      <c r="AC203" t="s">
        <v>178</v>
      </c>
      <c r="AD203" t="s">
        <v>178</v>
      </c>
      <c r="AE203" t="s">
        <v>178</v>
      </c>
      <c r="AF203" t="s">
        <v>178</v>
      </c>
      <c r="AG203" t="s">
        <v>178</v>
      </c>
      <c r="AH203" t="s">
        <v>178</v>
      </c>
      <c r="AI203" t="s">
        <v>178</v>
      </c>
      <c r="AJ203" t="s">
        <v>178</v>
      </c>
      <c r="AK203" t="s">
        <v>178</v>
      </c>
      <c r="AL203" t="s">
        <v>178</v>
      </c>
      <c r="AM203" t="s">
        <v>178</v>
      </c>
      <c r="AN203" t="s">
        <v>178</v>
      </c>
    </row>
    <row r="204" spans="1:41" x14ac:dyDescent="0.25">
      <c r="B204" t="s">
        <v>172</v>
      </c>
      <c r="C204" s="13" t="s">
        <v>172</v>
      </c>
      <c r="D204" t="s">
        <v>172</v>
      </c>
      <c r="E204" t="s">
        <v>172</v>
      </c>
      <c r="F204" t="s">
        <v>172</v>
      </c>
      <c r="G204" t="s">
        <v>172</v>
      </c>
      <c r="H204" t="s">
        <v>172</v>
      </c>
      <c r="I204" t="s">
        <v>172</v>
      </c>
      <c r="J204" t="s">
        <v>172</v>
      </c>
      <c r="K204" t="s">
        <v>172</v>
      </c>
      <c r="L204" t="s">
        <v>172</v>
      </c>
      <c r="M204" t="s">
        <v>172</v>
      </c>
      <c r="N204" t="s">
        <v>172</v>
      </c>
      <c r="O204" t="s">
        <v>172</v>
      </c>
      <c r="P204" t="s">
        <v>172</v>
      </c>
      <c r="Q204" t="s">
        <v>172</v>
      </c>
      <c r="R204" t="s">
        <v>172</v>
      </c>
      <c r="S204" t="s">
        <v>172</v>
      </c>
      <c r="T204" t="s">
        <v>172</v>
      </c>
      <c r="U204" t="s">
        <v>172</v>
      </c>
      <c r="V204" t="s">
        <v>172</v>
      </c>
      <c r="W204" t="s">
        <v>172</v>
      </c>
      <c r="X204" t="s">
        <v>172</v>
      </c>
      <c r="Y204" t="s">
        <v>172</v>
      </c>
      <c r="Z204" t="s">
        <v>172</v>
      </c>
      <c r="AA204" t="s">
        <v>172</v>
      </c>
      <c r="AB204" t="s">
        <v>172</v>
      </c>
      <c r="AC204" t="s">
        <v>172</v>
      </c>
      <c r="AD204" t="s">
        <v>172</v>
      </c>
      <c r="AE204" t="s">
        <v>172</v>
      </c>
      <c r="AF204" t="s">
        <v>172</v>
      </c>
      <c r="AG204" t="s">
        <v>172</v>
      </c>
      <c r="AH204" t="s">
        <v>172</v>
      </c>
      <c r="AI204" t="s">
        <v>172</v>
      </c>
      <c r="AJ204" t="s">
        <v>172</v>
      </c>
      <c r="AK204" t="s">
        <v>172</v>
      </c>
      <c r="AL204" t="s">
        <v>172</v>
      </c>
      <c r="AM204" t="s">
        <v>172</v>
      </c>
      <c r="AN204" t="s">
        <v>172</v>
      </c>
    </row>
    <row r="205" spans="1:41" x14ac:dyDescent="0.25">
      <c r="A205" t="s">
        <v>179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180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181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182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2022-06-30T20:26:07Z</dcterms:modified>
</cp:coreProperties>
</file>