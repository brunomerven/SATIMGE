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78179581-5C1B-4169-A22F-C03CB096EB40}" xr6:coauthVersionLast="45" xr6:coauthVersionMax="45" xr10:uidLastSave="{00000000-0000-0000-0000-000000000000}"/>
  <bookViews>
    <workbookView xWindow="-120" yWindow="-120" windowWidth="29040" windowHeight="158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Households_CGE" sheetId="4" r:id="rId5"/>
    <sheet name="GDP_Simple" sheetId="5" r:id="rId6"/>
    <sheet name="Sheet1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H32" i="6" l="1"/>
  <c r="I32" i="6"/>
  <c r="J32" i="6"/>
  <c r="K32" i="6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G32" i="6"/>
  <c r="T40" i="6"/>
  <c r="U40" i="6" s="1"/>
  <c r="V40" i="6" s="1"/>
  <c r="W40" i="6" s="1"/>
  <c r="X40" i="6" s="1"/>
  <c r="Y40" i="6" s="1"/>
  <c r="Z40" i="6" s="1"/>
  <c r="AA40" i="6" s="1"/>
  <c r="AB40" i="6" s="1"/>
  <c r="AC40" i="6" s="1"/>
  <c r="AD40" i="6" s="1"/>
  <c r="AE40" i="6" s="1"/>
  <c r="AF40" i="6" s="1"/>
  <c r="AG40" i="6" s="1"/>
  <c r="AH40" i="6" s="1"/>
  <c r="AI40" i="6" s="1"/>
  <c r="AJ40" i="6" s="1"/>
  <c r="AK40" i="6" s="1"/>
  <c r="AL40" i="6" s="1"/>
  <c r="AM40" i="6" s="1"/>
  <c r="S40" i="6"/>
  <c r="O40" i="6"/>
  <c r="P40" i="6" s="1"/>
  <c r="Q40" i="6" s="1"/>
  <c r="R40" i="6" s="1"/>
  <c r="H40" i="6"/>
  <c r="I40" i="6" s="1"/>
  <c r="J40" i="6" s="1"/>
  <c r="K40" i="6" s="1"/>
  <c r="L40" i="6" s="1"/>
  <c r="M40" i="6" s="1"/>
  <c r="N40" i="6" s="1"/>
  <c r="G40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I38" i="6"/>
  <c r="H38" i="6"/>
  <c r="G38" i="6"/>
  <c r="J38" i="6"/>
  <c r="G36" i="6"/>
  <c r="J37" i="6"/>
  <c r="K37" i="6"/>
  <c r="Q37" i="6"/>
  <c r="U37" i="6"/>
  <c r="V37" i="6"/>
  <c r="W37" i="6"/>
  <c r="AC37" i="6"/>
  <c r="AG37" i="6"/>
  <c r="AH37" i="6"/>
  <c r="AI37" i="6"/>
  <c r="AM35" i="6"/>
  <c r="AM37" i="6" s="1"/>
  <c r="AL35" i="6"/>
  <c r="AL37" i="6" s="1"/>
  <c r="AK35" i="6"/>
  <c r="AK37" i="6" s="1"/>
  <c r="AJ35" i="6"/>
  <c r="AJ37" i="6" s="1"/>
  <c r="AI35" i="6"/>
  <c r="AH35" i="6"/>
  <c r="AG35" i="6"/>
  <c r="AF35" i="6"/>
  <c r="AF37" i="6" s="1"/>
  <c r="AE35" i="6"/>
  <c r="AE37" i="6" s="1"/>
  <c r="AD35" i="6"/>
  <c r="AD37" i="6" s="1"/>
  <c r="AC35" i="6"/>
  <c r="AB35" i="6"/>
  <c r="AB37" i="6" s="1"/>
  <c r="AA35" i="6"/>
  <c r="AA37" i="6" s="1"/>
  <c r="Z35" i="6"/>
  <c r="Z37" i="6" s="1"/>
  <c r="Y35" i="6"/>
  <c r="Y37" i="6" s="1"/>
  <c r="X35" i="6"/>
  <c r="X37" i="6" s="1"/>
  <c r="W35" i="6"/>
  <c r="V35" i="6"/>
  <c r="U35" i="6"/>
  <c r="T35" i="6"/>
  <c r="T37" i="6" s="1"/>
  <c r="S35" i="6"/>
  <c r="S37" i="6" s="1"/>
  <c r="R35" i="6"/>
  <c r="R37" i="6" s="1"/>
  <c r="Q35" i="6"/>
  <c r="P35" i="6"/>
  <c r="P37" i="6" s="1"/>
  <c r="O35" i="6"/>
  <c r="O37" i="6" s="1"/>
  <c r="N35" i="6"/>
  <c r="N37" i="6" s="1"/>
  <c r="M35" i="6"/>
  <c r="M37" i="6" s="1"/>
  <c r="L35" i="6"/>
  <c r="L37" i="6" s="1"/>
  <c r="K35" i="6"/>
  <c r="J35" i="6"/>
  <c r="I35" i="6"/>
  <c r="H35" i="6"/>
  <c r="G35" i="6"/>
  <c r="B16" i="6" l="1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G14" i="7" l="1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J12" i="7" l="1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C12" i="1" l="1"/>
  <c r="C11" i="1"/>
  <c r="C10" i="1"/>
  <c r="C8" i="1"/>
  <c r="B32" i="6" l="1"/>
  <c r="C32" i="6"/>
  <c r="D32" i="6"/>
  <c r="E32" i="6"/>
  <c r="F32" i="6"/>
  <c r="A32" i="6"/>
  <c r="G46" i="6"/>
  <c r="C46" i="6"/>
  <c r="C40" i="6" s="1"/>
  <c r="D46" i="6"/>
  <c r="D40" i="6" s="1"/>
  <c r="E46" i="6"/>
  <c r="E40" i="6" s="1"/>
  <c r="F46" i="6"/>
  <c r="F40" i="6" s="1"/>
  <c r="B46" i="6"/>
  <c r="B40" i="6" s="1"/>
  <c r="B44" i="6"/>
  <c r="C44" i="6" s="1"/>
  <c r="D44" i="6" s="1"/>
  <c r="E44" i="6" s="1"/>
  <c r="F44" i="6" s="1"/>
  <c r="I46" i="6"/>
  <c r="J46" i="6"/>
  <c r="K46" i="6"/>
  <c r="L46" i="6"/>
  <c r="M46" i="6"/>
  <c r="N46" i="6"/>
  <c r="O46" i="6"/>
  <c r="P46" i="6"/>
  <c r="Q46" i="6"/>
  <c r="H46" i="6"/>
  <c r="C7" i="1"/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B89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B96" i="2"/>
  <c r="Z97" i="2"/>
  <c r="E97" i="2" l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Q97" i="2"/>
  <c r="M97" i="2"/>
  <c r="AG99" i="2"/>
  <c r="U99" i="2"/>
  <c r="I99" i="2"/>
  <c r="B97" i="2"/>
  <c r="AC97" i="2"/>
  <c r="AJ97" i="2"/>
  <c r="X97" i="2"/>
  <c r="L97" i="2"/>
  <c r="AI97" i="2"/>
  <c r="W97" i="2"/>
  <c r="K97" i="2"/>
  <c r="AG97" i="2"/>
  <c r="U97" i="2"/>
  <c r="I97" i="2"/>
  <c r="J97" i="2"/>
  <c r="AF97" i="2"/>
  <c r="T97" i="2"/>
  <c r="H97" i="2"/>
  <c r="V97" i="2"/>
  <c r="AE97" i="2"/>
  <c r="S97" i="2"/>
  <c r="G97" i="2"/>
  <c r="AH97" i="2"/>
  <c r="AD97" i="2"/>
  <c r="R97" i="2"/>
  <c r="F97" i="2"/>
  <c r="D97" i="2"/>
  <c r="E98" i="2" s="1"/>
  <c r="AN97" i="2"/>
  <c r="AB97" i="2"/>
  <c r="P97" i="2"/>
  <c r="AM97" i="2"/>
  <c r="AA97" i="2"/>
  <c r="AA98" i="2" s="1"/>
  <c r="O97" i="2"/>
  <c r="C97" i="2"/>
  <c r="N97" i="2"/>
  <c r="AL97" i="2"/>
  <c r="AK97" i="2"/>
  <c r="Y97" i="2"/>
  <c r="Z98" i="2" s="1"/>
  <c r="AM99" i="2"/>
  <c r="O99" i="2"/>
  <c r="AF99" i="2"/>
  <c r="T99" i="2"/>
  <c r="H99" i="2"/>
  <c r="AK99" i="2"/>
  <c r="Y99" i="2"/>
  <c r="M99" i="2"/>
  <c r="AC99" i="2"/>
  <c r="Q99" i="2"/>
  <c r="E99" i="2"/>
  <c r="N99" i="2"/>
  <c r="AN99" i="2"/>
  <c r="AB99" i="2"/>
  <c r="AA99" i="2"/>
  <c r="AI99" i="2"/>
  <c r="W99" i="2"/>
  <c r="K99" i="2"/>
  <c r="AE99" i="2"/>
  <c r="S99" i="2"/>
  <c r="G99" i="2"/>
  <c r="P99" i="2"/>
  <c r="D99" i="2"/>
  <c r="AL99" i="2"/>
  <c r="Z99" i="2"/>
  <c r="C99" i="2"/>
  <c r="AH99" i="2"/>
  <c r="V99" i="2"/>
  <c r="J99" i="2"/>
  <c r="AJ99" i="2"/>
  <c r="L99" i="2"/>
  <c r="X99" i="2"/>
  <c r="AD99" i="2"/>
  <c r="R99" i="2"/>
  <c r="F99" i="2"/>
  <c r="AC98" i="2" l="1"/>
  <c r="Z7" i="6"/>
  <c r="Z6" i="6" s="1"/>
  <c r="M7" i="6"/>
  <c r="AL7" i="6"/>
  <c r="Y7" i="6"/>
  <c r="L7" i="6"/>
  <c r="R7" i="6"/>
  <c r="T7" i="6"/>
  <c r="S7" i="6"/>
  <c r="AG7" i="6"/>
  <c r="H7" i="6"/>
  <c r="G7" i="6"/>
  <c r="G6" i="6" s="1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AA6" i="6" s="1"/>
  <c r="K7" i="6"/>
  <c r="AC7" i="6"/>
  <c r="P7" i="6"/>
  <c r="O7" i="6"/>
  <c r="F7" i="6"/>
  <c r="AJ7" i="6"/>
  <c r="Q7" i="6"/>
  <c r="Q6" i="6" s="1"/>
  <c r="D7" i="6"/>
  <c r="C7" i="6"/>
  <c r="N7" i="6"/>
  <c r="AK7" i="6"/>
  <c r="X7" i="6"/>
  <c r="AD7" i="6"/>
  <c r="E7" i="6"/>
  <c r="C98" i="2"/>
  <c r="AK98" i="2"/>
  <c r="R98" i="2"/>
  <c r="N98" i="2"/>
  <c r="AI98" i="2"/>
  <c r="Q98" i="2"/>
  <c r="AD98" i="2"/>
  <c r="AG98" i="2"/>
  <c r="AH98" i="2"/>
  <c r="J98" i="2"/>
  <c r="G98" i="2"/>
  <c r="AL98" i="2"/>
  <c r="O98" i="2"/>
  <c r="S98" i="2"/>
  <c r="V98" i="2"/>
  <c r="X98" i="2"/>
  <c r="H98" i="2"/>
  <c r="U98" i="2"/>
  <c r="Y98" i="2"/>
  <c r="I98" i="2"/>
  <c r="AF98" i="2"/>
  <c r="L98" i="2"/>
  <c r="AM98" i="2"/>
  <c r="P98" i="2"/>
  <c r="AE98" i="2"/>
  <c r="AN98" i="2"/>
  <c r="M98" i="2"/>
  <c r="AB98" i="2"/>
  <c r="W98" i="2"/>
  <c r="F98" i="2"/>
  <c r="T98" i="2"/>
  <c r="D98" i="2"/>
  <c r="K98" i="2"/>
  <c r="AJ98" i="2"/>
  <c r="C6" i="6" l="1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</calcChain>
</file>

<file path=xl/sharedStrings.xml><?xml version="1.0" encoding="utf-8"?>
<sst xmlns="http://schemas.openxmlformats.org/spreadsheetml/2006/main" count="574" uniqueCount="89">
  <si>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</si>
  <si>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</si>
  <si>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</si>
  <si>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</si>
  <si>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</si>
  <si>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</si>
  <si>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</si>
  <si>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</si>
  <si>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</si>
  <si>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</si>
  <si>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</si>
  <si>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</si>
  <si>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</si>
  <si>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</si>
  <si>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</si>
  <si>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</si>
  <si>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</si>
  <si>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</si>
  <si>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</si>
  <si>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</si>
  <si>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</si>
  <si>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</si>
  <si>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</si>
  <si>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</si>
  <si>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</si>
  <si>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</si>
  <si>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</si>
  <si>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</si>
  <si>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</si>
  <si>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</si>
  <si>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</si>
  <si>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</si>
  <si>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</si>
  <si>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</si>
  <si>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</si>
  <si>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</si>
  <si>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</si>
  <si>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</si>
  <si>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</si>
  <si>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GVA</t>
  </si>
  <si>
    <t>QA</t>
  </si>
  <si>
    <t>QA_FS(FS)</t>
  </si>
  <si>
    <t>GVA_FS(FS)</t>
  </si>
  <si>
    <t>QA(growth)</t>
  </si>
  <si>
    <t>GVA(growth)</t>
  </si>
  <si>
    <t>GVA total</t>
  </si>
  <si>
    <t>Use CGE or Simple</t>
  </si>
  <si>
    <t>Overal GDP Growth</t>
  </si>
  <si>
    <t>2025-2030</t>
  </si>
  <si>
    <t>2030-2040</t>
  </si>
  <si>
    <t>2040-2050</t>
  </si>
  <si>
    <t>Commerce Share of GDP</t>
  </si>
  <si>
    <t>Agriculture</t>
  </si>
  <si>
    <t>Coal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</si>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</sst>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Drivers!$B$40:$AM$40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1.6202107583807985E-2</c:v>
                </c:pt>
                <c:pt idx="6">
                  <c:v>1.6186873613418674E-2</c:v>
                </c:pt>
                <c:pt idx="7">
                  <c:v>1.6171639643029364E-2</c:v>
                </c:pt>
                <c:pt idx="8">
                  <c:v>1.5240146085589898E-2</c:v>
                </c:pt>
                <c:pt idx="9">
                  <c:v>1.4308652528150431E-2</c:v>
                </c:pt>
                <c:pt idx="10">
                  <c:v>1.3377158970710965E-2</c:v>
                </c:pt>
                <c:pt idx="11">
                  <c:v>1.2445665413271498E-2</c:v>
                </c:pt>
                <c:pt idx="12">
                  <c:v>1.1514171855832032E-2</c:v>
                </c:pt>
                <c:pt idx="13">
                  <c:v>1.1180627082855474E-2</c:v>
                </c:pt>
                <c:pt idx="14">
                  <c:v>1.0847082309878917E-2</c:v>
                </c:pt>
                <c:pt idx="15">
                  <c:v>1.0513537536902359E-2</c:v>
                </c:pt>
                <c:pt idx="16">
                  <c:v>1.0179992763925802E-2</c:v>
                </c:pt>
                <c:pt idx="17">
                  <c:v>9.846447990949244E-3</c:v>
                </c:pt>
                <c:pt idx="18">
                  <c:v>9.5840127277803736E-3</c:v>
                </c:pt>
                <c:pt idx="19">
                  <c:v>9.3215774646115031E-3</c:v>
                </c:pt>
                <c:pt idx="20">
                  <c:v>9.0591422014426326E-3</c:v>
                </c:pt>
                <c:pt idx="21">
                  <c:v>8.7967069382737621E-3</c:v>
                </c:pt>
                <c:pt idx="22">
                  <c:v>8.5342716751048917E-3</c:v>
                </c:pt>
                <c:pt idx="23">
                  <c:v>8.291648628220287E-3</c:v>
                </c:pt>
                <c:pt idx="24">
                  <c:v>8.0490255813356823E-3</c:v>
                </c:pt>
                <c:pt idx="25">
                  <c:v>7.8064025344510776E-3</c:v>
                </c:pt>
                <c:pt idx="26">
                  <c:v>7.5637794875664729E-3</c:v>
                </c:pt>
                <c:pt idx="27">
                  <c:v>7.3211564406818683E-3</c:v>
                </c:pt>
                <c:pt idx="28">
                  <c:v>7.0991110563013594E-3</c:v>
                </c:pt>
                <c:pt idx="29">
                  <c:v>6.8770656719208505E-3</c:v>
                </c:pt>
                <c:pt idx="30">
                  <c:v>6.6550202875403416E-3</c:v>
                </c:pt>
                <c:pt idx="31">
                  <c:v>6.4329749031598327E-3</c:v>
                </c:pt>
                <c:pt idx="32">
                  <c:v>6.2109295187793238E-3</c:v>
                </c:pt>
                <c:pt idx="33">
                  <c:v>5.9897116111574389E-3</c:v>
                </c:pt>
                <c:pt idx="34">
                  <c:v>5.768493703535554E-3</c:v>
                </c:pt>
                <c:pt idx="35">
                  <c:v>5.5472757959136691E-3</c:v>
                </c:pt>
                <c:pt idx="36">
                  <c:v>5.3260578882917842E-3</c:v>
                </c:pt>
                <c:pt idx="37">
                  <c:v>5.1048399806698994E-3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GDP_CGE!$A$94</c:f>
          <c:strCache>
            <c:ptCount val="1"/>
            <c:pt idx="0">
              <c:v>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GDP_CGE!$A$98</c:f>
              <c:strCache>
                <c:ptCount val="1"/>
                <c:pt idx="0">
                  <c:v>QA(growth)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GDP_CGE!$B$98:$AN$98</c:f>
              <c:numCache>
                <c:formatCode>0.0%</c:formatCode>
                <c:ptCount val="39"/>
                <c:pt idx="1">
                  <c:v>4.6808083991005001E-2</c:v>
                </c:pt>
                <c:pt idx="2">
                  <c:v>4.069234453034154E-2</c:v>
                </c:pt>
                <c:pt idx="3">
                  <c:v>-1.345008480258747E-2</c:v>
                </c:pt>
                <c:pt idx="4">
                  <c:v>-1.1181299642838094E-2</c:v>
                </c:pt>
                <c:pt idx="5">
                  <c:v>3.4839683545156763E-2</c:v>
                </c:pt>
                <c:pt idx="6">
                  <c:v>-1.5224922507879435E-2</c:v>
                </c:pt>
                <c:pt idx="7">
                  <c:v>-1.5671908269741963E-2</c:v>
                </c:pt>
                <c:pt idx="8">
                  <c:v>-3.6303541677863094E-2</c:v>
                </c:pt>
                <c:pt idx="9">
                  <c:v>3.564955525193092E-2</c:v>
                </c:pt>
                <c:pt idx="10">
                  <c:v>2.7260611445418359E-2</c:v>
                </c:pt>
                <c:pt idx="11">
                  <c:v>2.1557372752529114E-2</c:v>
                </c:pt>
                <c:pt idx="12">
                  <c:v>2.3591138249971166E-2</c:v>
                </c:pt>
                <c:pt idx="13">
                  <c:v>3.512883497092445E-2</c:v>
                </c:pt>
                <c:pt idx="14">
                  <c:v>3.1817906652945149E-2</c:v>
                </c:pt>
                <c:pt idx="15">
                  <c:v>3.2890182227802267E-2</c:v>
                </c:pt>
                <c:pt idx="16">
                  <c:v>3.4262604230568261E-2</c:v>
                </c:pt>
                <c:pt idx="17">
                  <c:v>3.8290019990773638E-2</c:v>
                </c:pt>
                <c:pt idx="18">
                  <c:v>3.804163845633024E-2</c:v>
                </c:pt>
                <c:pt idx="19">
                  <c:v>3.5383800089682449E-2</c:v>
                </c:pt>
                <c:pt idx="20">
                  <c:v>3.4351746131737526E-2</c:v>
                </c:pt>
                <c:pt idx="21">
                  <c:v>3.5504253658907858E-2</c:v>
                </c:pt>
                <c:pt idx="22">
                  <c:v>3.4084747787570091E-2</c:v>
                </c:pt>
                <c:pt idx="23">
                  <c:v>2.7984643549046506E-2</c:v>
                </c:pt>
                <c:pt idx="24">
                  <c:v>2.7447590231251429E-2</c:v>
                </c:pt>
                <c:pt idx="25">
                  <c:v>2.9541438788388774E-2</c:v>
                </c:pt>
                <c:pt idx="26">
                  <c:v>2.9151445313457591E-2</c:v>
                </c:pt>
                <c:pt idx="27">
                  <c:v>2.6761323931135284E-2</c:v>
                </c:pt>
                <c:pt idx="28">
                  <c:v>2.9072375442775522E-2</c:v>
                </c:pt>
                <c:pt idx="29">
                  <c:v>2.9100310393290307E-2</c:v>
                </c:pt>
                <c:pt idx="30">
                  <c:v>2.9986343287397021E-2</c:v>
                </c:pt>
                <c:pt idx="31">
                  <c:v>3.0240720388556186E-2</c:v>
                </c:pt>
                <c:pt idx="32">
                  <c:v>3.0956641431520993E-2</c:v>
                </c:pt>
                <c:pt idx="33">
                  <c:v>3.3451714976167946E-2</c:v>
                </c:pt>
                <c:pt idx="34">
                  <c:v>3.4242195221208194E-2</c:v>
                </c:pt>
                <c:pt idx="35">
                  <c:v>3.4982199737680242E-2</c:v>
                </c:pt>
                <c:pt idx="36">
                  <c:v>3.389032713579665E-2</c:v>
                </c:pt>
                <c:pt idx="37">
                  <c:v>3.4618011171619223E-2</c:v>
                </c:pt>
                <c:pt idx="38">
                  <c:v>3.488135937447101E-2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1DF-B6EB-CA5934105C87}"/>
            </c:ext>
          </c:extLst>
        </c:ser>
        <c:ser>
          <c:idx val="3"/>
          <c:order val="1"/>
          <c:tx>
            <c:strRef>
              <c:f>GDP_CGE!$A$99</c:f>
              <c:strCache>
                <c:ptCount val="1"/>
                <c:pt idx="0">
                  <c:v>GVA(growth)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GDP_CGE!$B$99:$AN$99</c:f>
              <c:numCache>
                <c:formatCode>0.0%</c:formatCode>
                <c:ptCount val="39"/>
                <c:pt idx="1">
                  <c:v>4.4444444444444509E-2</c:v>
                </c:pt>
                <c:pt idx="2">
                  <c:v>3.7234042553191404E-2</c:v>
                </c:pt>
                <c:pt idx="3">
                  <c:v>-1.538461538461533E-2</c:v>
                </c:pt>
                <c:pt idx="4">
                  <c:v>-1.041666666666663E-2</c:v>
                </c:pt>
                <c:pt idx="5">
                  <c:v>3.1578947368421151E-2</c:v>
                </c:pt>
                <c:pt idx="6">
                  <c:v>-1.5306122448979553E-2</c:v>
                </c:pt>
                <c:pt idx="7">
                  <c:v>-1.5544041450777257E-2</c:v>
                </c:pt>
                <c:pt idx="8">
                  <c:v>-3.6842105263157898E-2</c:v>
                </c:pt>
                <c:pt idx="9">
                  <c:v>2.732240437158473E-2</c:v>
                </c:pt>
                <c:pt idx="10">
                  <c:v>3.1914893617021267E-2</c:v>
                </c:pt>
                <c:pt idx="11">
                  <c:v>2.0618556701030855E-2</c:v>
                </c:pt>
                <c:pt idx="12">
                  <c:v>1.5151515151515138E-2</c:v>
                </c:pt>
                <c:pt idx="13">
                  <c:v>1.4925373134328401E-2</c:v>
                </c:pt>
                <c:pt idx="14">
                  <c:v>2.450980392156854E-2</c:v>
                </c:pt>
                <c:pt idx="15">
                  <c:v>2.3923444976076569E-2</c:v>
                </c:pt>
                <c:pt idx="16">
                  <c:v>2.3364485981308469E-2</c:v>
                </c:pt>
                <c:pt idx="17">
                  <c:v>2.2831050228310446E-2</c:v>
                </c:pt>
                <c:pt idx="18">
                  <c:v>2.2321428571428603E-2</c:v>
                </c:pt>
                <c:pt idx="19">
                  <c:v>2.1834061135371119E-2</c:v>
                </c:pt>
                <c:pt idx="20">
                  <c:v>1.7094017094017033E-2</c:v>
                </c:pt>
                <c:pt idx="21">
                  <c:v>2.1008403361344463E-2</c:v>
                </c:pt>
                <c:pt idx="22">
                  <c:v>1.6460905349794164E-2</c:v>
                </c:pt>
                <c:pt idx="23">
                  <c:v>2.0242914979757165E-2</c:v>
                </c:pt>
                <c:pt idx="24">
                  <c:v>1.9841269841269771E-2</c:v>
                </c:pt>
                <c:pt idx="25">
                  <c:v>2.3346303501945442E-2</c:v>
                </c:pt>
                <c:pt idx="26">
                  <c:v>1.9011406844106515E-2</c:v>
                </c:pt>
                <c:pt idx="27">
                  <c:v>2.2388059701492491E-2</c:v>
                </c:pt>
                <c:pt idx="28">
                  <c:v>2.1897810218978186E-2</c:v>
                </c:pt>
                <c:pt idx="29">
                  <c:v>2.1428571428571352E-2</c:v>
                </c:pt>
                <c:pt idx="30">
                  <c:v>2.0979020979021046E-2</c:v>
                </c:pt>
                <c:pt idx="31">
                  <c:v>2.0547945205479534E-2</c:v>
                </c:pt>
                <c:pt idx="32">
                  <c:v>2.0134228187919545E-2</c:v>
                </c:pt>
                <c:pt idx="33">
                  <c:v>2.3026315789473673E-2</c:v>
                </c:pt>
                <c:pt idx="34">
                  <c:v>2.5723472668810254E-2</c:v>
                </c:pt>
                <c:pt idx="35">
                  <c:v>2.1943573667711602E-2</c:v>
                </c:pt>
                <c:pt idx="36">
                  <c:v>2.4539877300613577E-2</c:v>
                </c:pt>
                <c:pt idx="37">
                  <c:v>2.39520958083832E-2</c:v>
                </c:pt>
                <c:pt idx="38">
                  <c:v>2.6315789473684292E-2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1DF-B6EB-CA593410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71920"/>
        <c:axId val="556240800"/>
      </c:lineChart>
      <c:catAx>
        <c:axId val="93067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40800"/>
        <c:crosses val="autoZero"/>
        <c:auto val="1"/>
        <c:lblAlgn val="ctr"/>
        <c:lblOffset val="100"/>
        <c:noMultiLvlLbl val="0"/>
      </c:catAx>
      <c:valAx>
        <c:axId val="556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7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533400</xdr:colOff>
      <xdr:row>31</xdr:row>
      <xdr:rowOff>23812</xdr:rowOff>
    </xdr:from>
    <xdr:to>
      <xdr:col>28</xdr:col>
      <xdr:colOff>228600</xdr:colOff>
      <xdr:row>45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99</xdr:row>
      <xdr:rowOff>123825</xdr:rowOff>
    </xdr:from>
    <xdr:to>
      <xdr:col>8</xdr:col>
      <xdr:colOff>442912</xdr:colOff>
      <xdr:row>114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0E8159-0B1B-4514-BB4D-3900A9218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77"/>
  <sheetViews>
    <sheetView tabSelected="1" topLeftCell="A21" workbookViewId="0">
      <selection activeCell="I32" sqref="I32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46</v>
      </c>
      <c r="C3" s="2" t="s">
        <v>55</v>
      </c>
    </row>
    <row r="4" spans="1:40" x14ac:dyDescent="0.25">
      <c r="A4" t="s">
        <v>55</v>
      </c>
    </row>
    <row r="5" spans="1:40" x14ac:dyDescent="0.25">
      <c r="A5" t="s">
        <v>56</v>
      </c>
    </row>
    <row r="6" spans="1:40" x14ac:dyDescent="0.25">
      <c r="C6" s="1">
        <f>C7/B7-1</f>
        <v>2.6436246414500708E-2</v>
      </c>
      <c r="D6" s="1">
        <f t="shared" ref="D6:AN6" si="0">D7/C7-1</f>
        <v>2.0165921894981231E-2</v>
      </c>
      <c r="E6" s="1">
        <f t="shared" si="0"/>
        <v>1.407744097509589E-2</v>
      </c>
      <c r="F6" s="1">
        <f t="shared" si="0"/>
        <v>8.9337784405372211E-3</v>
      </c>
      <c r="G6" s="1">
        <f t="shared" si="0"/>
        <v>1.4827464040109817E-2</v>
      </c>
      <c r="H6" s="1">
        <f t="shared" si="0"/>
        <v>1.2732896737821964E-2</v>
      </c>
      <c r="I6" s="1">
        <f t="shared" si="0"/>
        <v>7.2531087632676794E-3</v>
      </c>
      <c r="J6" s="1">
        <f t="shared" si="0"/>
        <v>-7.2462496857853442E-2</v>
      </c>
      <c r="K6" s="1">
        <f t="shared" si="0"/>
        <v>3.3393970950718943E-2</v>
      </c>
      <c r="L6" s="1">
        <f t="shared" si="0"/>
        <v>2.3865044199095964E-2</v>
      </c>
      <c r="M6" s="1">
        <f t="shared" si="0"/>
        <v>2.3000472049611309E-2</v>
      </c>
      <c r="N6" s="1">
        <f t="shared" si="0"/>
        <v>2.4639528257910159E-2</v>
      </c>
      <c r="O6" s="1">
        <f t="shared" si="0"/>
        <v>3.3378849992855786E-2</v>
      </c>
      <c r="P6" s="1">
        <f t="shared" si="0"/>
        <v>3.3516000160751291E-2</v>
      </c>
      <c r="Q6" s="1">
        <f t="shared" si="0"/>
        <v>3.5941486534982303E-2</v>
      </c>
      <c r="R6" s="1">
        <f t="shared" si="0"/>
        <v>3.8249851041896044E-2</v>
      </c>
      <c r="S6" s="1">
        <f t="shared" si="0"/>
        <v>4.3394863007440776E-2</v>
      </c>
      <c r="T6" s="1">
        <f t="shared" si="0"/>
        <v>4.3727395459286722E-2</v>
      </c>
      <c r="U6" s="1">
        <f t="shared" si="0"/>
        <v>4.4236433785391549E-2</v>
      </c>
      <c r="V6" s="1">
        <f t="shared" si="0"/>
        <v>4.3109132407290085E-2</v>
      </c>
      <c r="W6" s="1">
        <f t="shared" si="0"/>
        <v>4.3974906706876649E-2</v>
      </c>
      <c r="X6" s="1">
        <f t="shared" si="0"/>
        <v>4.3950200150243424E-2</v>
      </c>
      <c r="Y6" s="1">
        <f t="shared" si="0"/>
        <v>3.9571471588997653E-2</v>
      </c>
      <c r="Z6" s="1">
        <f t="shared" si="0"/>
        <v>3.9039345251886459E-2</v>
      </c>
      <c r="AA6" s="1">
        <f t="shared" si="0"/>
        <v>3.9691079978860566E-2</v>
      </c>
      <c r="AB6" s="1">
        <f t="shared" si="0"/>
        <v>3.914663197460011E-2</v>
      </c>
      <c r="AC6" s="1">
        <f t="shared" si="0"/>
        <v>3.6815636795683337E-2</v>
      </c>
      <c r="AD6" s="1">
        <f t="shared" si="0"/>
        <v>3.7921226687657406E-2</v>
      </c>
      <c r="AE6" s="1">
        <f t="shared" si="0"/>
        <v>3.7980947352471706E-2</v>
      </c>
      <c r="AF6" s="1">
        <f t="shared" si="0"/>
        <v>3.8341828051498883E-2</v>
      </c>
      <c r="AG6" s="1">
        <f t="shared" si="0"/>
        <v>3.8136419566379365E-2</v>
      </c>
      <c r="AH6" s="1">
        <f t="shared" si="0"/>
        <v>3.8440528555961029E-2</v>
      </c>
      <c r="AI6" s="1">
        <f t="shared" si="0"/>
        <v>4.0071224250219473E-2</v>
      </c>
      <c r="AJ6" s="1">
        <f t="shared" si="0"/>
        <v>4.0764243685987411E-2</v>
      </c>
      <c r="AK6" s="1">
        <f t="shared" si="0"/>
        <v>4.104320858444388E-2</v>
      </c>
      <c r="AL6" s="1">
        <f t="shared" si="0"/>
        <v>3.9752684749816192E-2</v>
      </c>
      <c r="AM6" s="1">
        <f t="shared" si="0"/>
        <v>4.0096836372984113E-2</v>
      </c>
      <c r="AN6" s="1">
        <f t="shared" si="0"/>
        <v>4.0727701298210794E-2</v>
      </c>
    </row>
    <row r="7" spans="1:40" x14ac:dyDescent="0.25">
      <c r="A7" t="s">
        <v>84</v>
      </c>
      <c r="B7">
        <f>SUM(B10:B27)</f>
        <v>2893.5651000000007</v>
      </c>
      <c r="C7">
        <f t="shared" ref="C7:AN7" si="1">SUM(C10:C27)</f>
        <v>2970.0601000000001</v>
      </c>
      <c r="D7">
        <f t="shared" si="1"/>
        <v>3029.9541000000004</v>
      </c>
      <c r="E7">
        <f t="shared" si="1"/>
        <v>3072.6080999999999</v>
      </c>
      <c r="F7">
        <f t="shared" si="1"/>
        <v>3100.0580999999997</v>
      </c>
      <c r="G7">
        <f t="shared" si="1"/>
        <v>3146.024100000001</v>
      </c>
      <c r="H7">
        <f t="shared" si="1"/>
        <v>3186.0821000000005</v>
      </c>
      <c r="I7">
        <f t="shared" si="1"/>
        <v>3209.1911000000009</v>
      </c>
      <c r="J7">
        <f t="shared" si="1"/>
        <v>2976.6450999999997</v>
      </c>
      <c r="K7">
        <f t="shared" si="1"/>
        <v>3076.0470999999998</v>
      </c>
      <c r="L7">
        <f t="shared" si="1"/>
        <v>3149.4571000000005</v>
      </c>
      <c r="M7">
        <f t="shared" si="1"/>
        <v>3221.8961000000004</v>
      </c>
      <c r="N7">
        <f t="shared" si="1"/>
        <v>3301.2821000000008</v>
      </c>
      <c r="O7">
        <f t="shared" si="1"/>
        <v>3411.4751000000006</v>
      </c>
      <c r="P7">
        <f t="shared" si="1"/>
        <v>3525.8140999999996</v>
      </c>
      <c r="Q7">
        <f t="shared" si="1"/>
        <v>3652.5371000000005</v>
      </c>
      <c r="R7">
        <f t="shared" si="1"/>
        <v>3792.2460999999994</v>
      </c>
      <c r="S7">
        <f t="shared" si="1"/>
        <v>3956.8101000000006</v>
      </c>
      <c r="T7">
        <f t="shared" si="1"/>
        <v>4129.8311000000003</v>
      </c>
      <c r="U7">
        <f t="shared" si="1"/>
        <v>4312.5201000000006</v>
      </c>
      <c r="V7">
        <f t="shared" si="1"/>
        <v>4498.4291000000003</v>
      </c>
      <c r="W7">
        <f t="shared" si="1"/>
        <v>4696.2470999999996</v>
      </c>
      <c r="X7">
        <f t="shared" si="1"/>
        <v>4902.6480999999994</v>
      </c>
      <c r="Y7">
        <f t="shared" si="1"/>
        <v>5096.6531000000023</v>
      </c>
      <c r="Z7">
        <f t="shared" si="1"/>
        <v>5295.6230999999998</v>
      </c>
      <c r="AA7">
        <f t="shared" si="1"/>
        <v>5505.812100000001</v>
      </c>
      <c r="AB7">
        <f t="shared" si="1"/>
        <v>5721.3461000000007</v>
      </c>
      <c r="AC7">
        <f t="shared" si="1"/>
        <v>5931.9811</v>
      </c>
      <c r="AD7">
        <f t="shared" si="1"/>
        <v>6156.9290999999994</v>
      </c>
      <c r="AE7">
        <f t="shared" si="1"/>
        <v>6390.7750999999998</v>
      </c>
      <c r="AF7">
        <f t="shared" si="1"/>
        <v>6635.8091000000004</v>
      </c>
      <c r="AG7">
        <f t="shared" si="1"/>
        <v>6888.8750999999993</v>
      </c>
      <c r="AH7">
        <f t="shared" si="1"/>
        <v>7153.6870999999983</v>
      </c>
      <c r="AI7">
        <f t="shared" si="1"/>
        <v>7440.3441000000003</v>
      </c>
      <c r="AJ7">
        <f t="shared" si="1"/>
        <v>7743.6440999999995</v>
      </c>
      <c r="AK7">
        <f t="shared" si="1"/>
        <v>8061.4680999999982</v>
      </c>
      <c r="AL7">
        <f t="shared" si="1"/>
        <v>8381.9330999999984</v>
      </c>
      <c r="AM7">
        <f t="shared" si="1"/>
        <v>8718.0220999999983</v>
      </c>
      <c r="AN7">
        <f t="shared" si="1"/>
        <v>9073.0870999999988</v>
      </c>
    </row>
    <row r="8" spans="1:40" ht="18" thickBot="1" x14ac:dyDescent="0.35">
      <c r="A8" s="4" t="s">
        <v>54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69.816999999999993</v>
      </c>
      <c r="C10">
        <f>IF($C$3="CGE",INDEX(GDP_CGE!$A$3:$AN$21,MATCH($A10,GDP_CGE!$A$3:$A$21,0),MATCH(C$9,GDP_CGE!$A$3:$AN$3,0)),GDP_Simple!C8)</f>
        <v>73.084999999999994</v>
      </c>
      <c r="D10">
        <f>IF($C$3="CGE",INDEX(GDP_CGE!$A$3:$AN$21,MATCH($A10,GDP_CGE!$A$3:$A$21,0),MATCH(D$9,GDP_CGE!$A$3:$AN$3,0)),GDP_Simple!D8)</f>
        <v>76.058999999999997</v>
      </c>
      <c r="E10">
        <f>IF($C$3="CGE",INDEX(GDP_CGE!$A$3:$AN$21,MATCH($A10,GDP_CGE!$A$3:$A$21,0),MATCH(E$9,GDP_CGE!$A$3:$AN$3,0)),GDP_Simple!E8)</f>
        <v>75.036000000000001</v>
      </c>
      <c r="F10">
        <f>IF($C$3="CGE",INDEX(GDP_CGE!$A$3:$AN$21,MATCH($A10,GDP_CGE!$A$3:$A$21,0),MATCH(F$9,GDP_CGE!$A$3:$AN$3,0)),GDP_Simple!F8)</f>
        <v>74.197000000000003</v>
      </c>
      <c r="G10">
        <f>IF($C$3="CGE",INDEX(GDP_CGE!$A$3:$AN$21,MATCH($A10,GDP_CGE!$A$3:$A$21,0),MATCH(G$9,GDP_CGE!$A$3:$AN$3,0)),GDP_Simple!G8)</f>
        <v>76.781999999999996</v>
      </c>
      <c r="H10">
        <f>IF($C$3="CGE",INDEX(GDP_CGE!$A$3:$AN$21,MATCH($A10,GDP_CGE!$A$3:$A$21,0),MATCH(H$9,GDP_CGE!$A$3:$AN$3,0)),GDP_Simple!H8)</f>
        <v>75.613</v>
      </c>
      <c r="I10">
        <f>IF($C$3="CGE",INDEX(GDP_CGE!$A$3:$AN$21,MATCH($A10,GDP_CGE!$A$3:$A$21,0),MATCH(I$9,GDP_CGE!$A$3:$AN$3,0)),GDP_Simple!I8)</f>
        <v>74.427999999999997</v>
      </c>
      <c r="J10">
        <f>IF($C$3="CGE",INDEX(GDP_CGE!$A$3:$AN$21,MATCH($A10,GDP_CGE!$A$3:$A$21,0),MATCH(J$9,GDP_CGE!$A$3:$AN$3,0)),GDP_Simple!J8)</f>
        <v>71.725999999999999</v>
      </c>
      <c r="K10">
        <f>IF($C$3="CGE",INDEX(GDP_CGE!$A$3:$AN$21,MATCH($A10,GDP_CGE!$A$3:$A$21,0),MATCH(K$9,GDP_CGE!$A$3:$AN$3,0)),GDP_Simple!K8)</f>
        <v>74.283000000000001</v>
      </c>
      <c r="L10">
        <f>IF($C$3="CGE",INDEX(GDP_CGE!$A$3:$AN$21,MATCH($A10,GDP_CGE!$A$3:$A$21,0),MATCH(L$9,GDP_CGE!$A$3:$AN$3,0)),GDP_Simple!L8)</f>
        <v>76.308000000000007</v>
      </c>
      <c r="M10">
        <f>IF($C$3="CGE",INDEX(GDP_CGE!$A$3:$AN$21,MATCH($A10,GDP_CGE!$A$3:$A$21,0),MATCH(M$9,GDP_CGE!$A$3:$AN$3,0)),GDP_Simple!M8)</f>
        <v>77.953000000000003</v>
      </c>
      <c r="N10">
        <f>IF($C$3="CGE",INDEX(GDP_CGE!$A$3:$AN$21,MATCH($A10,GDP_CGE!$A$3:$A$21,0),MATCH(N$9,GDP_CGE!$A$3:$AN$3,0)),GDP_Simple!N8)</f>
        <v>79.792000000000002</v>
      </c>
      <c r="O10">
        <f>IF($C$3="CGE",INDEX(GDP_CGE!$A$3:$AN$21,MATCH($A10,GDP_CGE!$A$3:$A$21,0),MATCH(O$9,GDP_CGE!$A$3:$AN$3,0)),GDP_Simple!O8)</f>
        <v>82.594999999999999</v>
      </c>
      <c r="P10">
        <f>IF($C$3="CGE",INDEX(GDP_CGE!$A$3:$AN$21,MATCH($A10,GDP_CGE!$A$3:$A$21,0),MATCH(P$9,GDP_CGE!$A$3:$AN$3,0)),GDP_Simple!P8)</f>
        <v>85.222999999999999</v>
      </c>
      <c r="Q10">
        <f>IF($C$3="CGE",INDEX(GDP_CGE!$A$3:$AN$21,MATCH($A10,GDP_CGE!$A$3:$A$21,0),MATCH(Q$9,GDP_CGE!$A$3:$AN$3,0)),GDP_Simple!Q8)</f>
        <v>88.025999999999996</v>
      </c>
      <c r="R10">
        <f>IF($C$3="CGE",INDEX(GDP_CGE!$A$3:$AN$21,MATCH($A10,GDP_CGE!$A$3:$A$21,0),MATCH(R$9,GDP_CGE!$A$3:$AN$3,0)),GDP_Simple!R8)</f>
        <v>91.042000000000002</v>
      </c>
      <c r="S10">
        <f>IF($C$3="CGE",INDEX(GDP_CGE!$A$3:$AN$21,MATCH($A10,GDP_CGE!$A$3:$A$21,0),MATCH(S$9,GDP_CGE!$A$3:$AN$3,0)),GDP_Simple!S8)</f>
        <v>94.528000000000006</v>
      </c>
      <c r="T10">
        <f>IF($C$3="CGE",INDEX(GDP_CGE!$A$3:$AN$21,MATCH($A10,GDP_CGE!$A$3:$A$21,0),MATCH(T$9,GDP_CGE!$A$3:$AN$3,0)),GDP_Simple!T8)</f>
        <v>98.123999999999995</v>
      </c>
      <c r="U10">
        <f>IF($C$3="CGE",INDEX(GDP_CGE!$A$3:$AN$21,MATCH($A10,GDP_CGE!$A$3:$A$21,0),MATCH(U$9,GDP_CGE!$A$3:$AN$3,0)),GDP_Simple!U8)</f>
        <v>101.596</v>
      </c>
      <c r="V10">
        <f>IF($C$3="CGE",INDEX(GDP_CGE!$A$3:$AN$21,MATCH($A10,GDP_CGE!$A$3:$A$21,0),MATCH(V$9,GDP_CGE!$A$3:$AN$3,0)),GDP_Simple!V8)</f>
        <v>105.086</v>
      </c>
      <c r="W10">
        <f>IF($C$3="CGE",INDEX(GDP_CGE!$A$3:$AN$21,MATCH($A10,GDP_CGE!$A$3:$A$21,0),MATCH(W$9,GDP_CGE!$A$3:$AN$3,0)),GDP_Simple!W8)</f>
        <v>108.81699999999999</v>
      </c>
      <c r="X10">
        <f>IF($C$3="CGE",INDEX(GDP_CGE!$A$3:$AN$21,MATCH($A10,GDP_CGE!$A$3:$A$21,0),MATCH(X$9,GDP_CGE!$A$3:$AN$3,0)),GDP_Simple!X8)</f>
        <v>112.526</v>
      </c>
      <c r="Y10">
        <f>IF($C$3="CGE",INDEX(GDP_CGE!$A$3:$AN$21,MATCH($A10,GDP_CGE!$A$3:$A$21,0),MATCH(Y$9,GDP_CGE!$A$3:$AN$3,0)),GDP_Simple!Y8)</f>
        <v>115.675</v>
      </c>
      <c r="Z10">
        <f>IF($C$3="CGE",INDEX(GDP_CGE!$A$3:$AN$21,MATCH($A10,GDP_CGE!$A$3:$A$21,0),MATCH(Z$9,GDP_CGE!$A$3:$AN$3,0)),GDP_Simple!Z8)</f>
        <v>118.85</v>
      </c>
      <c r="AA10">
        <f>IF($C$3="CGE",INDEX(GDP_CGE!$A$3:$AN$21,MATCH($A10,GDP_CGE!$A$3:$A$21,0),MATCH(AA$9,GDP_CGE!$A$3:$AN$3,0)),GDP_Simple!AA8)</f>
        <v>122.361</v>
      </c>
      <c r="AB10">
        <f>IF($C$3="CGE",INDEX(GDP_CGE!$A$3:$AN$21,MATCH($A10,GDP_CGE!$A$3:$A$21,0),MATCH(AB$9,GDP_CGE!$A$3:$AN$3,0)),GDP_Simple!AB8)</f>
        <v>125.928</v>
      </c>
      <c r="AC10">
        <f>IF($C$3="CGE",INDEX(GDP_CGE!$A$3:$AN$21,MATCH($A10,GDP_CGE!$A$3:$A$21,0),MATCH(AC$9,GDP_CGE!$A$3:$AN$3,0)),GDP_Simple!AC8)</f>
        <v>129.298</v>
      </c>
      <c r="AD10">
        <f>IF($C$3="CGE",INDEX(GDP_CGE!$A$3:$AN$21,MATCH($A10,GDP_CGE!$A$3:$A$21,0),MATCH(AD$9,GDP_CGE!$A$3:$AN$3,0)),GDP_Simple!AD8)</f>
        <v>133.05699999999999</v>
      </c>
      <c r="AE10">
        <f>IF($C$3="CGE",INDEX(GDP_CGE!$A$3:$AN$21,MATCH($A10,GDP_CGE!$A$3:$A$21,0),MATCH(AE$9,GDP_CGE!$A$3:$AN$3,0)),GDP_Simple!AE8)</f>
        <v>136.929</v>
      </c>
      <c r="AF10">
        <f>IF($C$3="CGE",INDEX(GDP_CGE!$A$3:$AN$21,MATCH($A10,GDP_CGE!$A$3:$A$21,0),MATCH(AF$9,GDP_CGE!$A$3:$AN$3,0)),GDP_Simple!AF8)</f>
        <v>141.035</v>
      </c>
      <c r="AG10">
        <f>IF($C$3="CGE",INDEX(GDP_CGE!$A$3:$AN$21,MATCH($A10,GDP_CGE!$A$3:$A$21,0),MATCH(AG$9,GDP_CGE!$A$3:$AN$3,0)),GDP_Simple!AG8)</f>
        <v>145.30000000000001</v>
      </c>
      <c r="AH10">
        <f>IF($C$3="CGE",INDEX(GDP_CGE!$A$3:$AN$21,MATCH($A10,GDP_CGE!$A$3:$A$21,0),MATCH(AH$9,GDP_CGE!$A$3:$AN$3,0)),GDP_Simple!AH8)</f>
        <v>149.798</v>
      </c>
      <c r="AI10">
        <f>IF($C$3="CGE",INDEX(GDP_CGE!$A$3:$AN$21,MATCH($A10,GDP_CGE!$A$3:$A$21,0),MATCH(AI$9,GDP_CGE!$A$3:$AN$3,0)),GDP_Simple!AI8)</f>
        <v>154.809</v>
      </c>
      <c r="AJ10">
        <f>IF($C$3="CGE",INDEX(GDP_CGE!$A$3:$AN$21,MATCH($A10,GDP_CGE!$A$3:$A$21,0),MATCH(AJ$9,GDP_CGE!$A$3:$AN$3,0)),GDP_Simple!AJ8)</f>
        <v>160.11000000000001</v>
      </c>
      <c r="AK10">
        <f>IF($C$3="CGE",INDEX(GDP_CGE!$A$3:$AN$21,MATCH($A10,GDP_CGE!$A$3:$A$21,0),MATCH(AK$9,GDP_CGE!$A$3:$AN$3,0)),GDP_Simple!AK8)</f>
        <v>165.71100000000001</v>
      </c>
      <c r="AL10">
        <f>IF($C$3="CGE",INDEX(GDP_CGE!$A$3:$AN$21,MATCH($A10,GDP_CGE!$A$3:$A$21,0),MATCH(AL$9,GDP_CGE!$A$3:$AN$3,0)),GDP_Simple!AL8)</f>
        <v>171.327</v>
      </c>
      <c r="AM10">
        <f>IF($C$3="CGE",INDEX(GDP_CGE!$A$3:$AN$21,MATCH($A10,GDP_CGE!$A$3:$A$21,0),MATCH(AM$9,GDP_CGE!$A$3:$AN$3,0)),GDP_Simple!AM8)</f>
        <v>177.25800000000001</v>
      </c>
      <c r="AN10">
        <f>IF($C$3="CGE",INDEX(GDP_CGE!$A$3:$AN$21,MATCH($A10,GDP_CGE!$A$3:$A$21,0),MATCH(AN$9,GDP_CGE!$A$3:$AN$3,0)),GDP_Simple!AN8)</f>
        <v>183.441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67.322999999999993</v>
      </c>
      <c r="D11">
        <f>IF($C$3="CGE",INDEX(GDP_CGE!$A$3:$AN$21,MATCH($A11,GDP_CGE!$A$3:$A$21,0),MATCH(D$9,GDP_CGE!$A$3:$AN$3,0)),GDP_Simple!D9)</f>
        <v>64.224999999999994</v>
      </c>
      <c r="E11">
        <f>IF($C$3="CGE",INDEX(GDP_CGE!$A$3:$AN$21,MATCH($A11,GDP_CGE!$A$3:$A$21,0),MATCH(E$9,GDP_CGE!$A$3:$AN$3,0)),GDP_Simple!E9)</f>
        <v>61.13</v>
      </c>
      <c r="F11">
        <f>IF($C$3="CGE",INDEX(GDP_CGE!$A$3:$AN$21,MATCH($A11,GDP_CGE!$A$3:$A$21,0),MATCH(F$9,GDP_CGE!$A$3:$AN$3,0)),GDP_Simple!F9)</f>
        <v>61.030999999999999</v>
      </c>
      <c r="G11">
        <f>IF($C$3="CGE",INDEX(GDP_CGE!$A$3:$AN$21,MATCH($A11,GDP_CGE!$A$3:$A$21,0),MATCH(G$9,GDP_CGE!$A$3:$AN$3,0)),GDP_Simple!G9)</f>
        <v>60.957000000000001</v>
      </c>
      <c r="H11">
        <f>IF($C$3="CGE",INDEX(GDP_CGE!$A$3:$AN$21,MATCH($A11,GDP_CGE!$A$3:$A$21,0),MATCH(H$9,GDP_CGE!$A$3:$AN$3,0)),GDP_Simple!H9)</f>
        <v>60.158000000000001</v>
      </c>
      <c r="I11">
        <f>IF($C$3="CGE",INDEX(GDP_CGE!$A$3:$AN$21,MATCH($A11,GDP_CGE!$A$3:$A$21,0),MATCH(I$9,GDP_CGE!$A$3:$AN$3,0)),GDP_Simple!I9)</f>
        <v>59.899000000000001</v>
      </c>
      <c r="J11">
        <f>IF($C$3="CGE",INDEX(GDP_CGE!$A$3:$AN$21,MATCH($A11,GDP_CGE!$A$3:$A$21,0),MATCH(J$9,GDP_CGE!$A$3:$AN$3,0)),GDP_Simple!J9)</f>
        <v>58.298999999999999</v>
      </c>
      <c r="K11">
        <f>IF($C$3="CGE",INDEX(GDP_CGE!$A$3:$AN$21,MATCH($A11,GDP_CGE!$A$3:$A$21,0),MATCH(K$9,GDP_CGE!$A$3:$AN$3,0)),GDP_Simple!K9)</f>
        <v>58.155000000000001</v>
      </c>
      <c r="L11">
        <f>IF($C$3="CGE",INDEX(GDP_CGE!$A$3:$AN$21,MATCH($A11,GDP_CGE!$A$3:$A$21,0),MATCH(L$9,GDP_CGE!$A$3:$AN$3,0)),GDP_Simple!L9)</f>
        <v>57.762999999999998</v>
      </c>
      <c r="M11">
        <f>IF($C$3="CGE",INDEX(GDP_CGE!$A$3:$AN$21,MATCH($A11,GDP_CGE!$A$3:$A$21,0),MATCH(M$9,GDP_CGE!$A$3:$AN$3,0)),GDP_Simple!M9)</f>
        <v>57.247999999999998</v>
      </c>
      <c r="N11">
        <f>IF($C$3="CGE",INDEX(GDP_CGE!$A$3:$AN$21,MATCH($A11,GDP_CGE!$A$3:$A$21,0),MATCH(N$9,GDP_CGE!$A$3:$AN$3,0)),GDP_Simple!N9)</f>
        <v>57.018000000000001</v>
      </c>
      <c r="O11">
        <f>IF($C$3="CGE",INDEX(GDP_CGE!$A$3:$AN$21,MATCH($A11,GDP_CGE!$A$3:$A$21,0),MATCH(O$9,GDP_CGE!$A$3:$AN$3,0)),GDP_Simple!O9)</f>
        <v>56.558999999999997</v>
      </c>
      <c r="P11">
        <f>IF($C$3="CGE",INDEX(GDP_CGE!$A$3:$AN$21,MATCH($A11,GDP_CGE!$A$3:$A$21,0),MATCH(P$9,GDP_CGE!$A$3:$AN$3,0)),GDP_Simple!P9)</f>
        <v>55.872</v>
      </c>
      <c r="Q11">
        <f>IF($C$3="CGE",INDEX(GDP_CGE!$A$3:$AN$21,MATCH($A11,GDP_CGE!$A$3:$A$21,0),MATCH(Q$9,GDP_CGE!$A$3:$AN$3,0)),GDP_Simple!Q9)</f>
        <v>55.134</v>
      </c>
      <c r="R11">
        <f>IF($C$3="CGE",INDEX(GDP_CGE!$A$3:$AN$21,MATCH($A11,GDP_CGE!$A$3:$A$21,0),MATCH(R$9,GDP_CGE!$A$3:$AN$3,0)),GDP_Simple!R9)</f>
        <v>54.899000000000001</v>
      </c>
      <c r="S11">
        <f>IF($C$3="CGE",INDEX(GDP_CGE!$A$3:$AN$21,MATCH($A11,GDP_CGE!$A$3:$A$21,0),MATCH(S$9,GDP_CGE!$A$3:$AN$3,0)),GDP_Simple!S9)</f>
        <v>54.563000000000002</v>
      </c>
      <c r="T11">
        <f>IF($C$3="CGE",INDEX(GDP_CGE!$A$3:$AN$21,MATCH($A11,GDP_CGE!$A$3:$A$21,0),MATCH(T$9,GDP_CGE!$A$3:$AN$3,0)),GDP_Simple!T9)</f>
        <v>53.569000000000003</v>
      </c>
      <c r="U11">
        <f>IF($C$3="CGE",INDEX(GDP_CGE!$A$3:$AN$21,MATCH($A11,GDP_CGE!$A$3:$A$21,0),MATCH(U$9,GDP_CGE!$A$3:$AN$3,0)),GDP_Simple!U9)</f>
        <v>53.064999999999998</v>
      </c>
      <c r="V11">
        <f>IF($C$3="CGE",INDEX(GDP_CGE!$A$3:$AN$21,MATCH($A11,GDP_CGE!$A$3:$A$21,0),MATCH(V$9,GDP_CGE!$A$3:$AN$3,0)),GDP_Simple!V9)</f>
        <v>53.677</v>
      </c>
      <c r="W11">
        <f>IF($C$3="CGE",INDEX(GDP_CGE!$A$3:$AN$21,MATCH($A11,GDP_CGE!$A$3:$A$21,0),MATCH(W$9,GDP_CGE!$A$3:$AN$3,0)),GDP_Simple!W9)</f>
        <v>54.825000000000003</v>
      </c>
      <c r="X11">
        <f>IF($C$3="CGE",INDEX(GDP_CGE!$A$3:$AN$21,MATCH($A11,GDP_CGE!$A$3:$A$21,0),MATCH(X$9,GDP_CGE!$A$3:$AN$3,0)),GDP_Simple!X9)</f>
        <v>56.220999999999997</v>
      </c>
      <c r="Y11">
        <f>IF($C$3="CGE",INDEX(GDP_CGE!$A$3:$AN$21,MATCH($A11,GDP_CGE!$A$3:$A$21,0),MATCH(Y$9,GDP_CGE!$A$3:$AN$3,0)),GDP_Simple!Y9)</f>
        <v>56.314999999999998</v>
      </c>
      <c r="Z11">
        <f>IF($C$3="CGE",INDEX(GDP_CGE!$A$3:$AN$21,MATCH($A11,GDP_CGE!$A$3:$A$21,0),MATCH(Z$9,GDP_CGE!$A$3:$AN$3,0)),GDP_Simple!Z9)</f>
        <v>56.472000000000001</v>
      </c>
      <c r="AA11">
        <f>IF($C$3="CGE",INDEX(GDP_CGE!$A$3:$AN$21,MATCH($A11,GDP_CGE!$A$3:$A$21,0),MATCH(AA$9,GDP_CGE!$A$3:$AN$3,0)),GDP_Simple!AA9)</f>
        <v>56.677999999999997</v>
      </c>
      <c r="AB11">
        <f>IF($C$3="CGE",INDEX(GDP_CGE!$A$3:$AN$21,MATCH($A11,GDP_CGE!$A$3:$A$21,0),MATCH(AB$9,GDP_CGE!$A$3:$AN$3,0)),GDP_Simple!AB9)</f>
        <v>55.841000000000001</v>
      </c>
      <c r="AC11">
        <f>IF($C$3="CGE",INDEX(GDP_CGE!$A$3:$AN$21,MATCH($A11,GDP_CGE!$A$3:$A$21,0),MATCH(AC$9,GDP_CGE!$A$3:$AN$3,0)),GDP_Simple!AC9)</f>
        <v>55.003</v>
      </c>
      <c r="AD11">
        <f>IF($C$3="CGE",INDEX(GDP_CGE!$A$3:$AN$21,MATCH($A11,GDP_CGE!$A$3:$A$21,0),MATCH(AD$9,GDP_CGE!$A$3:$AN$3,0)),GDP_Simple!AD9)</f>
        <v>54.165999999999997</v>
      </c>
      <c r="AE11">
        <f>IF($C$3="CGE",INDEX(GDP_CGE!$A$3:$AN$21,MATCH($A11,GDP_CGE!$A$3:$A$21,0),MATCH(AE$9,GDP_CGE!$A$3:$AN$3,0)),GDP_Simple!AE9)</f>
        <v>53.222000000000001</v>
      </c>
      <c r="AF11">
        <f>IF($C$3="CGE",INDEX(GDP_CGE!$A$3:$AN$21,MATCH($A11,GDP_CGE!$A$3:$A$21,0),MATCH(AF$9,GDP_CGE!$A$3:$AN$3,0)),GDP_Simple!AF9)</f>
        <v>52.277999999999999</v>
      </c>
      <c r="AG11">
        <f>IF($C$3="CGE",INDEX(GDP_CGE!$A$3:$AN$21,MATCH($A11,GDP_CGE!$A$3:$A$21,0),MATCH(AG$9,GDP_CGE!$A$3:$AN$3,0)),GDP_Simple!AG9)</f>
        <v>51.332999999999998</v>
      </c>
      <c r="AH11">
        <f>IF($C$3="CGE",INDEX(GDP_CGE!$A$3:$AN$21,MATCH($A11,GDP_CGE!$A$3:$A$21,0),MATCH(AH$9,GDP_CGE!$A$3:$AN$3,0)),GDP_Simple!AH9)</f>
        <v>50.389000000000003</v>
      </c>
      <c r="AI11">
        <f>IF($C$3="CGE",INDEX(GDP_CGE!$A$3:$AN$21,MATCH($A11,GDP_CGE!$A$3:$A$21,0),MATCH(AI$9,GDP_CGE!$A$3:$AN$3,0)),GDP_Simple!AI9)</f>
        <v>49.444000000000003</v>
      </c>
      <c r="AJ11">
        <f>IF($C$3="CGE",INDEX(GDP_CGE!$A$3:$AN$21,MATCH($A11,GDP_CGE!$A$3:$A$21,0),MATCH(AJ$9,GDP_CGE!$A$3:$AN$3,0)),GDP_Simple!AJ9)</f>
        <v>49.481000000000002</v>
      </c>
      <c r="AK11">
        <f>IF($C$3="CGE",INDEX(GDP_CGE!$A$3:$AN$21,MATCH($A11,GDP_CGE!$A$3:$A$21,0),MATCH(AK$9,GDP_CGE!$A$3:$AN$3,0)),GDP_Simple!AK9)</f>
        <v>49.517000000000003</v>
      </c>
      <c r="AL11">
        <f>IF($C$3="CGE",INDEX(GDP_CGE!$A$3:$AN$21,MATCH($A11,GDP_CGE!$A$3:$A$21,0),MATCH(AL$9,GDP_CGE!$A$3:$AN$3,0)),GDP_Simple!AL9)</f>
        <v>49.552999999999997</v>
      </c>
      <c r="AM11">
        <f>IF($C$3="CGE",INDEX(GDP_CGE!$A$3:$AN$21,MATCH($A11,GDP_CGE!$A$3:$A$21,0),MATCH(AM$9,GDP_CGE!$A$3:$AN$3,0)),GDP_Simple!AM9)</f>
        <v>49.588999999999999</v>
      </c>
      <c r="AN11">
        <f>IF($C$3="CGE",INDEX(GDP_CGE!$A$3:$AN$21,MATCH($A11,GDP_CGE!$A$3:$A$21,0),MATCH(AN$9,GDP_CGE!$A$3:$AN$3,0)),GDP_Simple!AN9)</f>
        <v>49.625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1833.8489999999999</v>
      </c>
      <c r="C12">
        <f>IF($C$3="CGE",INDEX(GDP_CGE!$A$3:$AN$21,MATCH($A12,GDP_CGE!$A$3:$A$21,0),MATCH(C$9,GDP_CGE!$A$3:$AN$3,0)),GDP_Simple!C10)</f>
        <v>1885.8209999999999</v>
      </c>
      <c r="D12">
        <f>IF($C$3="CGE",INDEX(GDP_CGE!$A$3:$AN$21,MATCH($A12,GDP_CGE!$A$3:$A$21,0),MATCH(D$9,GDP_CGE!$A$3:$AN$3,0)),GDP_Simple!D10)</f>
        <v>1933.1679999999999</v>
      </c>
      <c r="E12">
        <f>IF($C$3="CGE",INDEX(GDP_CGE!$A$3:$AN$21,MATCH($A12,GDP_CGE!$A$3:$A$21,0),MATCH(E$9,GDP_CGE!$A$3:$AN$3,0)),GDP_Simple!E10)</f>
        <v>1966.174</v>
      </c>
      <c r="F12">
        <f>IF($C$3="CGE",INDEX(GDP_CGE!$A$3:$AN$21,MATCH($A12,GDP_CGE!$A$3:$A$21,0),MATCH(F$9,GDP_CGE!$A$3:$AN$3,0)),GDP_Simple!F10)</f>
        <v>1991.546</v>
      </c>
      <c r="G12">
        <f>IF($C$3="CGE",INDEX(GDP_CGE!$A$3:$AN$21,MATCH($A12,GDP_CGE!$A$3:$A$21,0),MATCH(G$9,GDP_CGE!$A$3:$AN$3,0)),GDP_Simple!G10)</f>
        <v>2020.6990000000001</v>
      </c>
      <c r="H12">
        <f>IF($C$3="CGE",INDEX(GDP_CGE!$A$3:$AN$21,MATCH($A12,GDP_CGE!$A$3:$A$21,0),MATCH(H$9,GDP_CGE!$A$3:$AN$3,0)),GDP_Simple!H10)</f>
        <v>2053.4989999999998</v>
      </c>
      <c r="I12">
        <f>IF($C$3="CGE",INDEX(GDP_CGE!$A$3:$AN$21,MATCH($A12,GDP_CGE!$A$3:$A$21,0),MATCH(I$9,GDP_CGE!$A$3:$AN$3,0)),GDP_Simple!I10)</f>
        <v>2080.7860000000001</v>
      </c>
      <c r="J12">
        <f>IF($C$3="CGE",INDEX(GDP_CGE!$A$3:$AN$21,MATCH($A12,GDP_CGE!$A$3:$A$21,0),MATCH(J$9,GDP_CGE!$A$3:$AN$3,0)),GDP_Simple!J10)</f>
        <v>1927.731</v>
      </c>
      <c r="K12">
        <f>IF($C$3="CGE",INDEX(GDP_CGE!$A$3:$AN$21,MATCH($A12,GDP_CGE!$A$3:$A$21,0),MATCH(K$9,GDP_CGE!$A$3:$AN$3,0)),GDP_Simple!K10)</f>
        <v>1994.6189999999999</v>
      </c>
      <c r="L12">
        <f>IF($C$3="CGE",INDEX(GDP_CGE!$A$3:$AN$21,MATCH($A12,GDP_CGE!$A$3:$A$21,0),MATCH(L$9,GDP_CGE!$A$3:$AN$3,0)),GDP_Simple!L10)</f>
        <v>2046.299</v>
      </c>
      <c r="M12">
        <f>IF($C$3="CGE",INDEX(GDP_CGE!$A$3:$AN$21,MATCH($A12,GDP_CGE!$A$3:$A$21,0),MATCH(M$9,GDP_CGE!$A$3:$AN$3,0)),GDP_Simple!M10)</f>
        <v>2097.1950000000002</v>
      </c>
      <c r="N12">
        <f>IF($C$3="CGE",INDEX(GDP_CGE!$A$3:$AN$21,MATCH($A12,GDP_CGE!$A$3:$A$21,0),MATCH(N$9,GDP_CGE!$A$3:$AN$3,0)),GDP_Simple!N10)</f>
        <v>2152.4</v>
      </c>
      <c r="O12">
        <f>IF($C$3="CGE",INDEX(GDP_CGE!$A$3:$AN$21,MATCH($A12,GDP_CGE!$A$3:$A$21,0),MATCH(O$9,GDP_CGE!$A$3:$AN$3,0)),GDP_Simple!O10)</f>
        <v>2229.7919999999999</v>
      </c>
      <c r="P12">
        <f>IF($C$3="CGE",INDEX(GDP_CGE!$A$3:$AN$21,MATCH($A12,GDP_CGE!$A$3:$A$21,0),MATCH(P$9,GDP_CGE!$A$3:$AN$3,0)),GDP_Simple!P10)</f>
        <v>2311.3209999999999</v>
      </c>
      <c r="Q12">
        <f>IF($C$3="CGE",INDEX(GDP_CGE!$A$3:$AN$21,MATCH($A12,GDP_CGE!$A$3:$A$21,0),MATCH(Q$9,GDP_CGE!$A$3:$AN$3,0)),GDP_Simple!Q10)</f>
        <v>2402.0340000000001</v>
      </c>
      <c r="R12">
        <f>IF($C$3="CGE",INDEX(GDP_CGE!$A$3:$AN$21,MATCH($A12,GDP_CGE!$A$3:$A$21,0),MATCH(R$9,GDP_CGE!$A$3:$AN$3,0)),GDP_Simple!R10)</f>
        <v>2501.047</v>
      </c>
      <c r="S12">
        <f>IF($C$3="CGE",INDEX(GDP_CGE!$A$3:$AN$21,MATCH($A12,GDP_CGE!$A$3:$A$21,0),MATCH(S$9,GDP_CGE!$A$3:$AN$3,0)),GDP_Simple!S10)</f>
        <v>2617.3760000000002</v>
      </c>
      <c r="T12">
        <f>IF($C$3="CGE",INDEX(GDP_CGE!$A$3:$AN$21,MATCH($A12,GDP_CGE!$A$3:$A$21,0),MATCH(T$9,GDP_CGE!$A$3:$AN$3,0)),GDP_Simple!T10)</f>
        <v>2745.3519999999999</v>
      </c>
      <c r="U12">
        <f>IF($C$3="CGE",INDEX(GDP_CGE!$A$3:$AN$21,MATCH($A12,GDP_CGE!$A$3:$A$21,0),MATCH(U$9,GDP_CGE!$A$3:$AN$3,0)),GDP_Simple!U10)</f>
        <v>2872.4549999999999</v>
      </c>
      <c r="V12">
        <f>IF($C$3="CGE",INDEX(GDP_CGE!$A$3:$AN$21,MATCH($A12,GDP_CGE!$A$3:$A$21,0),MATCH(V$9,GDP_CGE!$A$3:$AN$3,0)),GDP_Simple!V10)</f>
        <v>3004.4920000000002</v>
      </c>
      <c r="W12">
        <f>IF($C$3="CGE",INDEX(GDP_CGE!$A$3:$AN$21,MATCH($A12,GDP_CGE!$A$3:$A$21,0),MATCH(W$9,GDP_CGE!$A$3:$AN$3,0)),GDP_Simple!W10)</f>
        <v>3143.1190000000001</v>
      </c>
      <c r="X12">
        <f>IF($C$3="CGE",INDEX(GDP_CGE!$A$3:$AN$21,MATCH($A12,GDP_CGE!$A$3:$A$21,0),MATCH(X$9,GDP_CGE!$A$3:$AN$3,0)),GDP_Simple!X10)</f>
        <v>3288.0230000000001</v>
      </c>
      <c r="Y12">
        <f>IF($C$3="CGE",INDEX(GDP_CGE!$A$3:$AN$21,MATCH($A12,GDP_CGE!$A$3:$A$21,0),MATCH(Y$9,GDP_CGE!$A$3:$AN$3,0)),GDP_Simple!Y10)</f>
        <v>3425.64</v>
      </c>
      <c r="Z12">
        <f>IF($C$3="CGE",INDEX(GDP_CGE!$A$3:$AN$21,MATCH($A12,GDP_CGE!$A$3:$A$21,0),MATCH(Z$9,GDP_CGE!$A$3:$AN$3,0)),GDP_Simple!Z10)</f>
        <v>3566.1210000000001</v>
      </c>
      <c r="AA12">
        <f>IF($C$3="CGE",INDEX(GDP_CGE!$A$3:$AN$21,MATCH($A12,GDP_CGE!$A$3:$A$21,0),MATCH(AA$9,GDP_CGE!$A$3:$AN$3,0)),GDP_Simple!AA10)</f>
        <v>3713.8209999999999</v>
      </c>
      <c r="AB12">
        <f>IF($C$3="CGE",INDEX(GDP_CGE!$A$3:$AN$21,MATCH($A12,GDP_CGE!$A$3:$A$21,0),MATCH(AB$9,GDP_CGE!$A$3:$AN$3,0)),GDP_Simple!AB10)</f>
        <v>3866.4189999999999</v>
      </c>
      <c r="AC12">
        <f>IF($C$3="CGE",INDEX(GDP_CGE!$A$3:$AN$21,MATCH($A12,GDP_CGE!$A$3:$A$21,0),MATCH(AC$9,GDP_CGE!$A$3:$AN$3,0)),GDP_Simple!AC10)</f>
        <v>4015.931</v>
      </c>
      <c r="AD12">
        <f>IF($C$3="CGE",INDEX(GDP_CGE!$A$3:$AN$21,MATCH($A12,GDP_CGE!$A$3:$A$21,0),MATCH(AD$9,GDP_CGE!$A$3:$AN$3,0)),GDP_Simple!AD10)</f>
        <v>4175.4629999999997</v>
      </c>
      <c r="AE12">
        <f>IF($C$3="CGE",INDEX(GDP_CGE!$A$3:$AN$21,MATCH($A12,GDP_CGE!$A$3:$A$21,0),MATCH(AE$9,GDP_CGE!$A$3:$AN$3,0)),GDP_Simple!AE10)</f>
        <v>4340.5870000000004</v>
      </c>
      <c r="AF12">
        <f>IF($C$3="CGE",INDEX(GDP_CGE!$A$3:$AN$21,MATCH($A12,GDP_CGE!$A$3:$A$21,0),MATCH(AF$9,GDP_CGE!$A$3:$AN$3,0)),GDP_Simple!AF10)</f>
        <v>4513.5140000000001</v>
      </c>
      <c r="AG12">
        <f>IF($C$3="CGE",INDEX(GDP_CGE!$A$3:$AN$21,MATCH($A12,GDP_CGE!$A$3:$A$21,0),MATCH(AG$9,GDP_CGE!$A$3:$AN$3,0)),GDP_Simple!AG10)</f>
        <v>4692.0060000000003</v>
      </c>
      <c r="AH12">
        <f>IF($C$3="CGE",INDEX(GDP_CGE!$A$3:$AN$21,MATCH($A12,GDP_CGE!$A$3:$A$21,0),MATCH(AH$9,GDP_CGE!$A$3:$AN$3,0)),GDP_Simple!AH10)</f>
        <v>4878.7669999999998</v>
      </c>
      <c r="AI12">
        <f>IF($C$3="CGE",INDEX(GDP_CGE!$A$3:$AN$21,MATCH($A12,GDP_CGE!$A$3:$A$21,0),MATCH(AI$9,GDP_CGE!$A$3:$AN$3,0)),GDP_Simple!AI10)</f>
        <v>5080.5860000000002</v>
      </c>
      <c r="AJ12">
        <f>IF($C$3="CGE",INDEX(GDP_CGE!$A$3:$AN$21,MATCH($A12,GDP_CGE!$A$3:$A$21,0),MATCH(AJ$9,GDP_CGE!$A$3:$AN$3,0)),GDP_Simple!AJ10)</f>
        <v>5292.6189999999997</v>
      </c>
      <c r="AK12">
        <f>IF($C$3="CGE",INDEX(GDP_CGE!$A$3:$AN$21,MATCH($A12,GDP_CGE!$A$3:$A$21,0),MATCH(AK$9,GDP_CGE!$A$3:$AN$3,0)),GDP_Simple!AK10)</f>
        <v>5514.7179999999998</v>
      </c>
      <c r="AL12">
        <f>IF($C$3="CGE",INDEX(GDP_CGE!$A$3:$AN$21,MATCH($A12,GDP_CGE!$A$3:$A$21,0),MATCH(AL$9,GDP_CGE!$A$3:$AN$3,0)),GDP_Simple!AL10)</f>
        <v>5738.9250000000002</v>
      </c>
      <c r="AM12">
        <f>IF($C$3="CGE",INDEX(GDP_CGE!$A$3:$AN$21,MATCH($A12,GDP_CGE!$A$3:$A$21,0),MATCH(AM$9,GDP_CGE!$A$3:$AN$3,0)),GDP_Simple!AM10)</f>
        <v>5973.8630000000003</v>
      </c>
      <c r="AN12">
        <f>IF($C$3="CGE",INDEX(GDP_CGE!$A$3:$AN$21,MATCH($A12,GDP_CGE!$A$3:$A$21,0),MATCH(AN$9,GDP_CGE!$A$3:$AN$3,0)),GDP_Simple!AN10)</f>
        <v>6221.9889999999996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54.390999999999998</v>
      </c>
      <c r="D13">
        <f>IF($C$3="CGE",INDEX(GDP_CGE!$A$3:$AN$21,MATCH($A13,GDP_CGE!$A$3:$A$21,0),MATCH(D$9,GDP_CGE!$A$3:$AN$3,0)),GDP_Simple!D11)</f>
        <v>55.515000000000001</v>
      </c>
      <c r="E13">
        <f>IF($C$3="CGE",INDEX(GDP_CGE!$A$3:$AN$21,MATCH($A13,GDP_CGE!$A$3:$A$21,0),MATCH(E$9,GDP_CGE!$A$3:$AN$3,0)),GDP_Simple!E11)</f>
        <v>56.133000000000003</v>
      </c>
      <c r="F13">
        <f>IF($C$3="CGE",INDEX(GDP_CGE!$A$3:$AN$21,MATCH($A13,GDP_CGE!$A$3:$A$21,0),MATCH(F$9,GDP_CGE!$A$3:$AN$3,0)),GDP_Simple!F11)</f>
        <v>56.734999999999999</v>
      </c>
      <c r="G13">
        <f>IF($C$3="CGE",INDEX(GDP_CGE!$A$3:$AN$21,MATCH($A13,GDP_CGE!$A$3:$A$21,0),MATCH(G$9,GDP_CGE!$A$3:$AN$3,0)),GDP_Simple!G11)</f>
        <v>57.222000000000001</v>
      </c>
      <c r="H13">
        <f>IF($C$3="CGE",INDEX(GDP_CGE!$A$3:$AN$21,MATCH($A13,GDP_CGE!$A$3:$A$21,0),MATCH(H$9,GDP_CGE!$A$3:$AN$3,0)),GDP_Simple!H11)</f>
        <v>57.87</v>
      </c>
      <c r="I13">
        <f>IF($C$3="CGE",INDEX(GDP_CGE!$A$3:$AN$21,MATCH($A13,GDP_CGE!$A$3:$A$21,0),MATCH(I$9,GDP_CGE!$A$3:$AN$3,0)),GDP_Simple!I11)</f>
        <v>57.747999999999998</v>
      </c>
      <c r="J13">
        <f>IF($C$3="CGE",INDEX(GDP_CGE!$A$3:$AN$21,MATCH($A13,GDP_CGE!$A$3:$A$21,0),MATCH(J$9,GDP_CGE!$A$3:$AN$3,0)),GDP_Simple!J11)</f>
        <v>53.228999999999999</v>
      </c>
      <c r="K13">
        <f>IF($C$3="CGE",INDEX(GDP_CGE!$A$3:$AN$21,MATCH($A13,GDP_CGE!$A$3:$A$21,0),MATCH(K$9,GDP_CGE!$A$3:$AN$3,0)),GDP_Simple!K11)</f>
        <v>55.156999999999996</v>
      </c>
      <c r="L13">
        <f>IF($C$3="CGE",INDEX(GDP_CGE!$A$3:$AN$21,MATCH($A13,GDP_CGE!$A$3:$A$21,0),MATCH(L$9,GDP_CGE!$A$3:$AN$3,0)),GDP_Simple!L11)</f>
        <v>56.634</v>
      </c>
      <c r="M13">
        <f>IF($C$3="CGE",INDEX(GDP_CGE!$A$3:$AN$21,MATCH($A13,GDP_CGE!$A$3:$A$21,0),MATCH(M$9,GDP_CGE!$A$3:$AN$3,0)),GDP_Simple!M11)</f>
        <v>58.034999999999997</v>
      </c>
      <c r="N13">
        <f>IF($C$3="CGE",INDEX(GDP_CGE!$A$3:$AN$21,MATCH($A13,GDP_CGE!$A$3:$A$21,0),MATCH(N$9,GDP_CGE!$A$3:$AN$3,0)),GDP_Simple!N11)</f>
        <v>59.587000000000003</v>
      </c>
      <c r="O13">
        <f>IF($C$3="CGE",INDEX(GDP_CGE!$A$3:$AN$21,MATCH($A13,GDP_CGE!$A$3:$A$21,0),MATCH(O$9,GDP_CGE!$A$3:$AN$3,0)),GDP_Simple!O11)</f>
        <v>61.716000000000001</v>
      </c>
      <c r="P13">
        <f>IF($C$3="CGE",INDEX(GDP_CGE!$A$3:$AN$21,MATCH($A13,GDP_CGE!$A$3:$A$21,0),MATCH(P$9,GDP_CGE!$A$3:$AN$3,0)),GDP_Simple!P11)</f>
        <v>63.9</v>
      </c>
      <c r="Q13">
        <f>IF($C$3="CGE",INDEX(GDP_CGE!$A$3:$AN$21,MATCH($A13,GDP_CGE!$A$3:$A$21,0),MATCH(Q$9,GDP_CGE!$A$3:$AN$3,0)),GDP_Simple!Q11)</f>
        <v>66.284999999999997</v>
      </c>
      <c r="R13">
        <f>IF($C$3="CGE",INDEX(GDP_CGE!$A$3:$AN$21,MATCH($A13,GDP_CGE!$A$3:$A$21,0),MATCH(R$9,GDP_CGE!$A$3:$AN$3,0)),GDP_Simple!R11)</f>
        <v>68.873999999999995</v>
      </c>
      <c r="S13">
        <f>IF($C$3="CGE",INDEX(GDP_CGE!$A$3:$AN$21,MATCH($A13,GDP_CGE!$A$3:$A$21,0),MATCH(S$9,GDP_CGE!$A$3:$AN$3,0)),GDP_Simple!S11)</f>
        <v>71.921999999999997</v>
      </c>
      <c r="T13">
        <f>IF($C$3="CGE",INDEX(GDP_CGE!$A$3:$AN$21,MATCH($A13,GDP_CGE!$A$3:$A$21,0),MATCH(T$9,GDP_CGE!$A$3:$AN$3,0)),GDP_Simple!T11)</f>
        <v>75.180000000000007</v>
      </c>
      <c r="U13">
        <f>IF($C$3="CGE",INDEX(GDP_CGE!$A$3:$AN$21,MATCH($A13,GDP_CGE!$A$3:$A$21,0),MATCH(U$9,GDP_CGE!$A$3:$AN$3,0)),GDP_Simple!U11)</f>
        <v>78.507999999999996</v>
      </c>
      <c r="V13">
        <f>IF($C$3="CGE",INDEX(GDP_CGE!$A$3:$AN$21,MATCH($A13,GDP_CGE!$A$3:$A$21,0),MATCH(V$9,GDP_CGE!$A$3:$AN$3,0)),GDP_Simple!V11)</f>
        <v>81.834000000000003</v>
      </c>
      <c r="W13">
        <f>IF($C$3="CGE",INDEX(GDP_CGE!$A$3:$AN$21,MATCH($A13,GDP_CGE!$A$3:$A$21,0),MATCH(W$9,GDP_CGE!$A$3:$AN$3,0)),GDP_Simple!W11)</f>
        <v>85.197000000000003</v>
      </c>
      <c r="X13">
        <f>IF($C$3="CGE",INDEX(GDP_CGE!$A$3:$AN$21,MATCH($A13,GDP_CGE!$A$3:$A$21,0),MATCH(X$9,GDP_CGE!$A$3:$AN$3,0)),GDP_Simple!X11)</f>
        <v>88.741</v>
      </c>
      <c r="Y13">
        <f>IF($C$3="CGE",INDEX(GDP_CGE!$A$3:$AN$21,MATCH($A13,GDP_CGE!$A$3:$A$21,0),MATCH(Y$9,GDP_CGE!$A$3:$AN$3,0)),GDP_Simple!Y11)</f>
        <v>91.994</v>
      </c>
      <c r="Z13">
        <f>IF($C$3="CGE",INDEX(GDP_CGE!$A$3:$AN$21,MATCH($A13,GDP_CGE!$A$3:$A$21,0),MATCH(Z$9,GDP_CGE!$A$3:$AN$3,0)),GDP_Simple!Z11)</f>
        <v>95.308999999999997</v>
      </c>
      <c r="AA13">
        <f>IF($C$3="CGE",INDEX(GDP_CGE!$A$3:$AN$21,MATCH($A13,GDP_CGE!$A$3:$A$21,0),MATCH(AA$9,GDP_CGE!$A$3:$AN$3,0)),GDP_Simple!AA11)</f>
        <v>98.796000000000006</v>
      </c>
      <c r="AB13">
        <f>IF($C$3="CGE",INDEX(GDP_CGE!$A$3:$AN$21,MATCH($A13,GDP_CGE!$A$3:$A$21,0),MATCH(AB$9,GDP_CGE!$A$3:$AN$3,0)),GDP_Simple!AB11)</f>
        <v>102.387</v>
      </c>
      <c r="AC13">
        <f>IF($C$3="CGE",INDEX(GDP_CGE!$A$3:$AN$21,MATCH($A13,GDP_CGE!$A$3:$A$21,0),MATCH(AC$9,GDP_CGE!$A$3:$AN$3,0)),GDP_Simple!AC11)</f>
        <v>105.86499999999999</v>
      </c>
      <c r="AD13">
        <f>IF($C$3="CGE",INDEX(GDP_CGE!$A$3:$AN$21,MATCH($A13,GDP_CGE!$A$3:$A$21,0),MATCH(AD$9,GDP_CGE!$A$3:$AN$3,0)),GDP_Simple!AD11)</f>
        <v>109.574</v>
      </c>
      <c r="AE13">
        <f>IF($C$3="CGE",INDEX(GDP_CGE!$A$3:$AN$21,MATCH($A13,GDP_CGE!$A$3:$A$21,0),MATCH(AE$9,GDP_CGE!$A$3:$AN$3,0)),GDP_Simple!AE11)</f>
        <v>113.44</v>
      </c>
      <c r="AF13">
        <f>IF($C$3="CGE",INDEX(GDP_CGE!$A$3:$AN$21,MATCH($A13,GDP_CGE!$A$3:$A$21,0),MATCH(AF$9,GDP_CGE!$A$3:$AN$3,0)),GDP_Simple!AF11)</f>
        <v>117.53700000000001</v>
      </c>
      <c r="AG13">
        <f>IF($C$3="CGE",INDEX(GDP_CGE!$A$3:$AN$21,MATCH($A13,GDP_CGE!$A$3:$A$21,0),MATCH(AG$9,GDP_CGE!$A$3:$AN$3,0)),GDP_Simple!AG11)</f>
        <v>121.788</v>
      </c>
      <c r="AH13">
        <f>IF($C$3="CGE",INDEX(GDP_CGE!$A$3:$AN$21,MATCH($A13,GDP_CGE!$A$3:$A$21,0),MATCH(AH$9,GDP_CGE!$A$3:$AN$3,0)),GDP_Simple!AH11)</f>
        <v>126.242</v>
      </c>
      <c r="AI13">
        <f>IF($C$3="CGE",INDEX(GDP_CGE!$A$3:$AN$21,MATCH($A13,GDP_CGE!$A$3:$A$21,0),MATCH(AI$9,GDP_CGE!$A$3:$AN$3,0)),GDP_Simple!AI11)</f>
        <v>131.10300000000001</v>
      </c>
      <c r="AJ13">
        <f>IF($C$3="CGE",INDEX(GDP_CGE!$A$3:$AN$21,MATCH($A13,GDP_CGE!$A$3:$A$21,0),MATCH(AJ$9,GDP_CGE!$A$3:$AN$3,0)),GDP_Simple!AJ11)</f>
        <v>136.24600000000001</v>
      </c>
      <c r="AK13">
        <f>IF($C$3="CGE",INDEX(GDP_CGE!$A$3:$AN$21,MATCH($A13,GDP_CGE!$A$3:$A$21,0),MATCH(AK$9,GDP_CGE!$A$3:$AN$3,0)),GDP_Simple!AK11)</f>
        <v>141.62799999999999</v>
      </c>
      <c r="AL13">
        <f>IF($C$3="CGE",INDEX(GDP_CGE!$A$3:$AN$21,MATCH($A13,GDP_CGE!$A$3:$A$21,0),MATCH(AL$9,GDP_CGE!$A$3:$AN$3,0)),GDP_Simple!AL11)</f>
        <v>147.054</v>
      </c>
      <c r="AM13">
        <f>IF($C$3="CGE",INDEX(GDP_CGE!$A$3:$AN$21,MATCH($A13,GDP_CGE!$A$3:$A$21,0),MATCH(AM$9,GDP_CGE!$A$3:$AN$3,0)),GDP_Simple!AM11)</f>
        <v>152.74</v>
      </c>
      <c r="AN13">
        <f>IF($C$3="CGE",INDEX(GDP_CGE!$A$3:$AN$21,MATCH($A13,GDP_CGE!$A$3:$A$21,0),MATCH(AN$9,GDP_CGE!$A$3:$AN$3,0)),GDP_Simple!AN11)</f>
        <v>158.73400000000001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84.251000000000005</v>
      </c>
      <c r="C14">
        <f>IF($C$3="CGE",INDEX(GDP_CGE!$A$3:$AN$21,MATCH($A14,GDP_CGE!$A$3:$A$21,0),MATCH(C$9,GDP_CGE!$A$3:$AN$3,0)),GDP_Simple!C12)</f>
        <v>82.983999999999995</v>
      </c>
      <c r="D14">
        <f>IF($C$3="CGE",INDEX(GDP_CGE!$A$3:$AN$21,MATCH($A14,GDP_CGE!$A$3:$A$21,0),MATCH(D$9,GDP_CGE!$A$3:$AN$3,0)),GDP_Simple!D12)</f>
        <v>81.257999999999996</v>
      </c>
      <c r="E14">
        <f>IF($C$3="CGE",INDEX(GDP_CGE!$A$3:$AN$21,MATCH($A14,GDP_CGE!$A$3:$A$21,0),MATCH(E$9,GDP_CGE!$A$3:$AN$3,0)),GDP_Simple!E12)</f>
        <v>79.501999999999995</v>
      </c>
      <c r="F14">
        <f>IF($C$3="CGE",INDEX(GDP_CGE!$A$3:$AN$21,MATCH($A14,GDP_CGE!$A$3:$A$21,0),MATCH(F$9,GDP_CGE!$A$3:$AN$3,0)),GDP_Simple!F12)</f>
        <v>77.766999999999996</v>
      </c>
      <c r="G14">
        <f>IF($C$3="CGE",INDEX(GDP_CGE!$A$3:$AN$21,MATCH($A14,GDP_CGE!$A$3:$A$21,0),MATCH(G$9,GDP_CGE!$A$3:$AN$3,0)),GDP_Simple!G12)</f>
        <v>77.397000000000006</v>
      </c>
      <c r="H14">
        <f>IF($C$3="CGE",INDEX(GDP_CGE!$A$3:$AN$21,MATCH($A14,GDP_CGE!$A$3:$A$21,0),MATCH(H$9,GDP_CGE!$A$3:$AN$3,0)),GDP_Simple!H12)</f>
        <v>78.260000000000005</v>
      </c>
      <c r="I14">
        <f>IF($C$3="CGE",INDEX(GDP_CGE!$A$3:$AN$21,MATCH($A14,GDP_CGE!$A$3:$A$21,0),MATCH(I$9,GDP_CGE!$A$3:$AN$3,0)),GDP_Simple!I12)</f>
        <v>77.688999999999993</v>
      </c>
      <c r="J14">
        <f>IF($C$3="CGE",INDEX(GDP_CGE!$A$3:$AN$21,MATCH($A14,GDP_CGE!$A$3:$A$21,0),MATCH(J$9,GDP_CGE!$A$3:$AN$3,0)),GDP_Simple!J12)</f>
        <v>72.408000000000001</v>
      </c>
      <c r="K14">
        <f>IF($C$3="CGE",INDEX(GDP_CGE!$A$3:$AN$21,MATCH($A14,GDP_CGE!$A$3:$A$21,0),MATCH(K$9,GDP_CGE!$A$3:$AN$3,0)),GDP_Simple!K12)</f>
        <v>74.578000000000003</v>
      </c>
      <c r="L14">
        <f>IF($C$3="CGE",INDEX(GDP_CGE!$A$3:$AN$21,MATCH($A14,GDP_CGE!$A$3:$A$21,0),MATCH(L$9,GDP_CGE!$A$3:$AN$3,0)),GDP_Simple!L12)</f>
        <v>73.956999999999994</v>
      </c>
      <c r="M14">
        <f>IF($C$3="CGE",INDEX(GDP_CGE!$A$3:$AN$21,MATCH($A14,GDP_CGE!$A$3:$A$21,0),MATCH(M$9,GDP_CGE!$A$3:$AN$3,0)),GDP_Simple!M12)</f>
        <v>74.710999999999999</v>
      </c>
      <c r="N14">
        <f>IF($C$3="CGE",INDEX(GDP_CGE!$A$3:$AN$21,MATCH($A14,GDP_CGE!$A$3:$A$21,0),MATCH(N$9,GDP_CGE!$A$3:$AN$3,0)),GDP_Simple!N12)</f>
        <v>75.474000000000004</v>
      </c>
      <c r="O14">
        <f>IF($C$3="CGE",INDEX(GDP_CGE!$A$3:$AN$21,MATCH($A14,GDP_CGE!$A$3:$A$21,0),MATCH(O$9,GDP_CGE!$A$3:$AN$3,0)),GDP_Simple!O12)</f>
        <v>76.706999999999994</v>
      </c>
      <c r="P14">
        <f>IF($C$3="CGE",INDEX(GDP_CGE!$A$3:$AN$21,MATCH($A14,GDP_CGE!$A$3:$A$21,0),MATCH(P$9,GDP_CGE!$A$3:$AN$3,0)),GDP_Simple!P12)</f>
        <v>77.498999999999995</v>
      </c>
      <c r="Q14">
        <f>IF($C$3="CGE",INDEX(GDP_CGE!$A$3:$AN$21,MATCH($A14,GDP_CGE!$A$3:$A$21,0),MATCH(Q$9,GDP_CGE!$A$3:$AN$3,0)),GDP_Simple!Q12)</f>
        <v>78.093000000000004</v>
      </c>
      <c r="R14">
        <f>IF($C$3="CGE",INDEX(GDP_CGE!$A$3:$AN$21,MATCH($A14,GDP_CGE!$A$3:$A$21,0),MATCH(R$9,GDP_CGE!$A$3:$AN$3,0)),GDP_Simple!R12)</f>
        <v>79.268000000000001</v>
      </c>
      <c r="S14">
        <f>IF($C$3="CGE",INDEX(GDP_CGE!$A$3:$AN$21,MATCH($A14,GDP_CGE!$A$3:$A$21,0),MATCH(S$9,GDP_CGE!$A$3:$AN$3,0)),GDP_Simple!S12)</f>
        <v>81.134</v>
      </c>
      <c r="T14">
        <f>IF($C$3="CGE",INDEX(GDP_CGE!$A$3:$AN$21,MATCH($A14,GDP_CGE!$A$3:$A$21,0),MATCH(T$9,GDP_CGE!$A$3:$AN$3,0)),GDP_Simple!T12)</f>
        <v>76.468000000000004</v>
      </c>
      <c r="U14">
        <f>IF($C$3="CGE",INDEX(GDP_CGE!$A$3:$AN$21,MATCH($A14,GDP_CGE!$A$3:$A$21,0),MATCH(U$9,GDP_CGE!$A$3:$AN$3,0)),GDP_Simple!U12)</f>
        <v>81.566000000000003</v>
      </c>
      <c r="V14">
        <f>IF($C$3="CGE",INDEX(GDP_CGE!$A$3:$AN$21,MATCH($A14,GDP_CGE!$A$3:$A$21,0),MATCH(V$9,GDP_CGE!$A$3:$AN$3,0)),GDP_Simple!V12)</f>
        <v>81.472999999999999</v>
      </c>
      <c r="W14">
        <f>IF($C$3="CGE",INDEX(GDP_CGE!$A$3:$AN$21,MATCH($A14,GDP_CGE!$A$3:$A$21,0),MATCH(W$9,GDP_CGE!$A$3:$AN$3,0)),GDP_Simple!W12)</f>
        <v>83.906000000000006</v>
      </c>
      <c r="X14">
        <f>IF($C$3="CGE",INDEX(GDP_CGE!$A$3:$AN$21,MATCH($A14,GDP_CGE!$A$3:$A$21,0),MATCH(X$9,GDP_CGE!$A$3:$AN$3,0)),GDP_Simple!X12)</f>
        <v>85.825999999999993</v>
      </c>
      <c r="Y14">
        <f>IF($C$3="CGE",INDEX(GDP_CGE!$A$3:$AN$21,MATCH($A14,GDP_CGE!$A$3:$A$21,0),MATCH(Y$9,GDP_CGE!$A$3:$AN$3,0)),GDP_Simple!Y12)</f>
        <v>87.171999999999997</v>
      </c>
      <c r="Z14">
        <f>IF($C$3="CGE",INDEX(GDP_CGE!$A$3:$AN$21,MATCH($A14,GDP_CGE!$A$3:$A$21,0),MATCH(Z$9,GDP_CGE!$A$3:$AN$3,0)),GDP_Simple!Z12)</f>
        <v>89.263000000000005</v>
      </c>
      <c r="AA14">
        <f>IF($C$3="CGE",INDEX(GDP_CGE!$A$3:$AN$21,MATCH($A14,GDP_CGE!$A$3:$A$21,0),MATCH(AA$9,GDP_CGE!$A$3:$AN$3,0)),GDP_Simple!AA12)</f>
        <v>92.037000000000006</v>
      </c>
      <c r="AB14">
        <f>IF($C$3="CGE",INDEX(GDP_CGE!$A$3:$AN$21,MATCH($A14,GDP_CGE!$A$3:$A$21,0),MATCH(AB$9,GDP_CGE!$A$3:$AN$3,0)),GDP_Simple!AB12)</f>
        <v>93.850999999999999</v>
      </c>
      <c r="AC14">
        <f>IF($C$3="CGE",INDEX(GDP_CGE!$A$3:$AN$21,MATCH($A14,GDP_CGE!$A$3:$A$21,0),MATCH(AC$9,GDP_CGE!$A$3:$AN$3,0)),GDP_Simple!AC12)</f>
        <v>95.924999999999997</v>
      </c>
      <c r="AD14">
        <f>IF($C$3="CGE",INDEX(GDP_CGE!$A$3:$AN$21,MATCH($A14,GDP_CGE!$A$3:$A$21,0),MATCH(AD$9,GDP_CGE!$A$3:$AN$3,0)),GDP_Simple!AD12)</f>
        <v>98.024000000000001</v>
      </c>
      <c r="AE14">
        <f>IF($C$3="CGE",INDEX(GDP_CGE!$A$3:$AN$21,MATCH($A14,GDP_CGE!$A$3:$A$21,0),MATCH(AE$9,GDP_CGE!$A$3:$AN$3,0)),GDP_Simple!AE12)</f>
        <v>99.995000000000005</v>
      </c>
      <c r="AF14">
        <f>IF($C$3="CGE",INDEX(GDP_CGE!$A$3:$AN$21,MATCH($A14,GDP_CGE!$A$3:$A$21,0),MATCH(AF$9,GDP_CGE!$A$3:$AN$3,0)),GDP_Simple!AF12)</f>
        <v>101.90600000000001</v>
      </c>
      <c r="AG14">
        <f>IF($C$3="CGE",INDEX(GDP_CGE!$A$3:$AN$21,MATCH($A14,GDP_CGE!$A$3:$A$21,0),MATCH(AG$9,GDP_CGE!$A$3:$AN$3,0)),GDP_Simple!AG12)</f>
        <v>103.929</v>
      </c>
      <c r="AH14">
        <f>IF($C$3="CGE",INDEX(GDP_CGE!$A$3:$AN$21,MATCH($A14,GDP_CGE!$A$3:$A$21,0),MATCH(AH$9,GDP_CGE!$A$3:$AN$3,0)),GDP_Simple!AH12)</f>
        <v>105.99299999999999</v>
      </c>
      <c r="AI14">
        <f>IF($C$3="CGE",INDEX(GDP_CGE!$A$3:$AN$21,MATCH($A14,GDP_CGE!$A$3:$A$21,0),MATCH(AI$9,GDP_CGE!$A$3:$AN$3,0)),GDP_Simple!AI12)</f>
        <v>108.089</v>
      </c>
      <c r="AJ14">
        <f>IF($C$3="CGE",INDEX(GDP_CGE!$A$3:$AN$21,MATCH($A14,GDP_CGE!$A$3:$A$21,0),MATCH(AJ$9,GDP_CGE!$A$3:$AN$3,0)),GDP_Simple!AJ12)</f>
        <v>111.218</v>
      </c>
      <c r="AK14">
        <f>IF($C$3="CGE",INDEX(GDP_CGE!$A$3:$AN$21,MATCH($A14,GDP_CGE!$A$3:$A$21,0),MATCH(AK$9,GDP_CGE!$A$3:$AN$3,0)),GDP_Simple!AK12)</f>
        <v>114.173</v>
      </c>
      <c r="AL14">
        <f>IF($C$3="CGE",INDEX(GDP_CGE!$A$3:$AN$21,MATCH($A14,GDP_CGE!$A$3:$A$21,0),MATCH(AL$9,GDP_CGE!$A$3:$AN$3,0)),GDP_Simple!AL12)</f>
        <v>117.081</v>
      </c>
      <c r="AM14">
        <f>IF($C$3="CGE",INDEX(GDP_CGE!$A$3:$AN$21,MATCH($A14,GDP_CGE!$A$3:$A$21,0),MATCH(AM$9,GDP_CGE!$A$3:$AN$3,0)),GDP_Simple!AM12)</f>
        <v>119.968</v>
      </c>
      <c r="AN14">
        <f>IF($C$3="CGE",INDEX(GDP_CGE!$A$3:$AN$21,MATCH($A14,GDP_CGE!$A$3:$A$21,0),MATCH(AN$9,GDP_CGE!$A$3:$AN$3,0)),GDP_Simple!AN12)</f>
        <v>122.893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93.096999999999994</v>
      </c>
      <c r="C15">
        <f>IF($C$3="CGE",INDEX(GDP_CGE!$A$3:$AN$21,MATCH($A15,GDP_CGE!$A$3:$A$21,0),MATCH(C$9,GDP_CGE!$A$3:$AN$3,0)),GDP_Simple!C13)</f>
        <v>96.522000000000006</v>
      </c>
      <c r="D15">
        <f>IF($C$3="CGE",INDEX(GDP_CGE!$A$3:$AN$21,MATCH($A15,GDP_CGE!$A$3:$A$21,0),MATCH(D$9,GDP_CGE!$A$3:$AN$3,0)),GDP_Simple!D13)</f>
        <v>99.097999999999999</v>
      </c>
      <c r="E15">
        <f>IF($C$3="CGE",INDEX(GDP_CGE!$A$3:$AN$21,MATCH($A15,GDP_CGE!$A$3:$A$21,0),MATCH(E$9,GDP_CGE!$A$3:$AN$3,0)),GDP_Simple!E13)</f>
        <v>100.31</v>
      </c>
      <c r="F15">
        <f>IF($C$3="CGE",INDEX(GDP_CGE!$A$3:$AN$21,MATCH($A15,GDP_CGE!$A$3:$A$21,0),MATCH(F$9,GDP_CGE!$A$3:$AN$3,0)),GDP_Simple!F13)</f>
        <v>102.387</v>
      </c>
      <c r="G15">
        <f>IF($C$3="CGE",INDEX(GDP_CGE!$A$3:$AN$21,MATCH($A15,GDP_CGE!$A$3:$A$21,0),MATCH(G$9,GDP_CGE!$A$3:$AN$3,0)),GDP_Simple!G13)</f>
        <v>103.53100000000001</v>
      </c>
      <c r="H15">
        <f>IF($C$3="CGE",INDEX(GDP_CGE!$A$3:$AN$21,MATCH($A15,GDP_CGE!$A$3:$A$21,0),MATCH(H$9,GDP_CGE!$A$3:$AN$3,0)),GDP_Simple!H13)</f>
        <v>105.003</v>
      </c>
      <c r="I15">
        <f>IF($C$3="CGE",INDEX(GDP_CGE!$A$3:$AN$21,MATCH($A15,GDP_CGE!$A$3:$A$21,0),MATCH(I$9,GDP_CGE!$A$3:$AN$3,0)),GDP_Simple!I13)</f>
        <v>104.664</v>
      </c>
      <c r="J15">
        <f>IF($C$3="CGE",INDEX(GDP_CGE!$A$3:$AN$21,MATCH($A15,GDP_CGE!$A$3:$A$21,0),MATCH(J$9,GDP_CGE!$A$3:$AN$3,0)),GDP_Simple!J13)</f>
        <v>99.796999999999997</v>
      </c>
      <c r="K15">
        <f>IF($C$3="CGE",INDEX(GDP_CGE!$A$3:$AN$21,MATCH($A15,GDP_CGE!$A$3:$A$21,0),MATCH(K$9,GDP_CGE!$A$3:$AN$3,0)),GDP_Simple!K13)</f>
        <v>103.718</v>
      </c>
      <c r="L15">
        <f>IF($C$3="CGE",INDEX(GDP_CGE!$A$3:$AN$21,MATCH($A15,GDP_CGE!$A$3:$A$21,0),MATCH(L$9,GDP_CGE!$A$3:$AN$3,0)),GDP_Simple!L13)</f>
        <v>106.78700000000001</v>
      </c>
      <c r="M15">
        <f>IF($C$3="CGE",INDEX(GDP_CGE!$A$3:$AN$21,MATCH($A15,GDP_CGE!$A$3:$A$21,0),MATCH(M$9,GDP_CGE!$A$3:$AN$3,0)),GDP_Simple!M13)</f>
        <v>109.468</v>
      </c>
      <c r="N15">
        <f>IF($C$3="CGE",INDEX(GDP_CGE!$A$3:$AN$21,MATCH($A15,GDP_CGE!$A$3:$A$21,0),MATCH(N$9,GDP_CGE!$A$3:$AN$3,0)),GDP_Simple!N13)</f>
        <v>112.39100000000001</v>
      </c>
      <c r="O15">
        <f>IF($C$3="CGE",INDEX(GDP_CGE!$A$3:$AN$21,MATCH($A15,GDP_CGE!$A$3:$A$21,0),MATCH(O$9,GDP_CGE!$A$3:$AN$3,0)),GDP_Simple!O13)</f>
        <v>116.327</v>
      </c>
      <c r="P15">
        <f>IF($C$3="CGE",INDEX(GDP_CGE!$A$3:$AN$21,MATCH($A15,GDP_CGE!$A$3:$A$21,0),MATCH(P$9,GDP_CGE!$A$3:$AN$3,0)),GDP_Simple!P13)</f>
        <v>120.154</v>
      </c>
      <c r="Q15">
        <f>IF($C$3="CGE",INDEX(GDP_CGE!$A$3:$AN$21,MATCH($A15,GDP_CGE!$A$3:$A$21,0),MATCH(Q$9,GDP_CGE!$A$3:$AN$3,0)),GDP_Simple!Q13)</f>
        <v>124.29300000000001</v>
      </c>
      <c r="R15">
        <f>IF($C$3="CGE",INDEX(GDP_CGE!$A$3:$AN$21,MATCH($A15,GDP_CGE!$A$3:$A$21,0),MATCH(R$9,GDP_CGE!$A$3:$AN$3,0)),GDP_Simple!R13)</f>
        <v>128.69900000000001</v>
      </c>
      <c r="S15">
        <f>IF($C$3="CGE",INDEX(GDP_CGE!$A$3:$AN$21,MATCH($A15,GDP_CGE!$A$3:$A$21,0),MATCH(S$9,GDP_CGE!$A$3:$AN$3,0)),GDP_Simple!S13)</f>
        <v>133.76400000000001</v>
      </c>
      <c r="T15">
        <f>IF($C$3="CGE",INDEX(GDP_CGE!$A$3:$AN$21,MATCH($A15,GDP_CGE!$A$3:$A$21,0),MATCH(T$9,GDP_CGE!$A$3:$AN$3,0)),GDP_Simple!T13)</f>
        <v>139.172</v>
      </c>
      <c r="U15">
        <f>IF($C$3="CGE",INDEX(GDP_CGE!$A$3:$AN$21,MATCH($A15,GDP_CGE!$A$3:$A$21,0),MATCH(U$9,GDP_CGE!$A$3:$AN$3,0)),GDP_Simple!U13)</f>
        <v>144.79300000000001</v>
      </c>
      <c r="V15">
        <f>IF($C$3="CGE",INDEX(GDP_CGE!$A$3:$AN$21,MATCH($A15,GDP_CGE!$A$3:$A$21,0),MATCH(V$9,GDP_CGE!$A$3:$AN$3,0)),GDP_Simple!V13)</f>
        <v>150.32499999999999</v>
      </c>
      <c r="W15">
        <f>IF($C$3="CGE",INDEX(GDP_CGE!$A$3:$AN$21,MATCH($A15,GDP_CGE!$A$3:$A$21,0),MATCH(W$9,GDP_CGE!$A$3:$AN$3,0)),GDP_Simple!W13)</f>
        <v>155.80600000000001</v>
      </c>
      <c r="X15">
        <f>IF($C$3="CGE",INDEX(GDP_CGE!$A$3:$AN$21,MATCH($A15,GDP_CGE!$A$3:$A$21,0),MATCH(X$9,GDP_CGE!$A$3:$AN$3,0)),GDP_Simple!X13)</f>
        <v>161.35499999999999</v>
      </c>
      <c r="Y15">
        <f>IF($C$3="CGE",INDEX(GDP_CGE!$A$3:$AN$21,MATCH($A15,GDP_CGE!$A$3:$A$21,0),MATCH(Y$9,GDP_CGE!$A$3:$AN$3,0)),GDP_Simple!Y13)</f>
        <v>166.32900000000001</v>
      </c>
      <c r="Z15">
        <f>IF($C$3="CGE",INDEX(GDP_CGE!$A$3:$AN$21,MATCH($A15,GDP_CGE!$A$3:$A$21,0),MATCH(Z$9,GDP_CGE!$A$3:$AN$3,0)),GDP_Simple!Z13)</f>
        <v>171.274</v>
      </c>
      <c r="AA15">
        <f>IF($C$3="CGE",INDEX(GDP_CGE!$A$3:$AN$21,MATCH($A15,GDP_CGE!$A$3:$A$21,0),MATCH(AA$9,GDP_CGE!$A$3:$AN$3,0)),GDP_Simple!AA13)</f>
        <v>176.667</v>
      </c>
      <c r="AB15">
        <f>IF($C$3="CGE",INDEX(GDP_CGE!$A$3:$AN$21,MATCH($A15,GDP_CGE!$A$3:$A$21,0),MATCH(AB$9,GDP_CGE!$A$3:$AN$3,0)),GDP_Simple!AB13)</f>
        <v>182.06899999999999</v>
      </c>
      <c r="AC15">
        <f>IF($C$3="CGE",INDEX(GDP_CGE!$A$3:$AN$21,MATCH($A15,GDP_CGE!$A$3:$A$21,0),MATCH(AC$9,GDP_CGE!$A$3:$AN$3,0)),GDP_Simple!AC13)</f>
        <v>187.11699999999999</v>
      </c>
      <c r="AD15">
        <f>IF($C$3="CGE",INDEX(GDP_CGE!$A$3:$AN$21,MATCH($A15,GDP_CGE!$A$3:$A$21,0),MATCH(AD$9,GDP_CGE!$A$3:$AN$3,0)),GDP_Simple!AD13)</f>
        <v>192.48500000000001</v>
      </c>
      <c r="AE15">
        <f>IF($C$3="CGE",INDEX(GDP_CGE!$A$3:$AN$21,MATCH($A15,GDP_CGE!$A$3:$A$21,0),MATCH(AE$9,GDP_CGE!$A$3:$AN$3,0)),GDP_Simple!AE13)</f>
        <v>197.82499999999999</v>
      </c>
      <c r="AF15">
        <f>IF($C$3="CGE",INDEX(GDP_CGE!$A$3:$AN$21,MATCH($A15,GDP_CGE!$A$3:$A$21,0),MATCH(AF$9,GDP_CGE!$A$3:$AN$3,0)),GDP_Simple!AF13)</f>
        <v>203.60300000000001</v>
      </c>
      <c r="AG15">
        <f>IF($C$3="CGE",INDEX(GDP_CGE!$A$3:$AN$21,MATCH($A15,GDP_CGE!$A$3:$A$21,0),MATCH(AG$9,GDP_CGE!$A$3:$AN$3,0)),GDP_Simple!AG13)</f>
        <v>209.82</v>
      </c>
      <c r="AH15">
        <f>IF($C$3="CGE",INDEX(GDP_CGE!$A$3:$AN$21,MATCH($A15,GDP_CGE!$A$3:$A$21,0),MATCH(AH$9,GDP_CGE!$A$3:$AN$3,0)),GDP_Simple!AH13)</f>
        <v>216.29400000000001</v>
      </c>
      <c r="AI15">
        <f>IF($C$3="CGE",INDEX(GDP_CGE!$A$3:$AN$21,MATCH($A15,GDP_CGE!$A$3:$A$21,0),MATCH(AI$9,GDP_CGE!$A$3:$AN$3,0)),GDP_Simple!AI13)</f>
        <v>223.447</v>
      </c>
      <c r="AJ15">
        <f>IF($C$3="CGE",INDEX(GDP_CGE!$A$3:$AN$21,MATCH($A15,GDP_CGE!$A$3:$A$21,0),MATCH(AJ$9,GDP_CGE!$A$3:$AN$3,0)),GDP_Simple!AJ13)</f>
        <v>230.988</v>
      </c>
      <c r="AK15">
        <f>IF($C$3="CGE",INDEX(GDP_CGE!$A$3:$AN$21,MATCH($A15,GDP_CGE!$A$3:$A$21,0),MATCH(AK$9,GDP_CGE!$A$3:$AN$3,0)),GDP_Simple!AK13)</f>
        <v>238.89099999999999</v>
      </c>
      <c r="AL15">
        <f>IF($C$3="CGE",INDEX(GDP_CGE!$A$3:$AN$21,MATCH($A15,GDP_CGE!$A$3:$A$21,0),MATCH(AL$9,GDP_CGE!$A$3:$AN$3,0)),GDP_Simple!AL13)</f>
        <v>246.791</v>
      </c>
      <c r="AM15">
        <f>IF($C$3="CGE",INDEX(GDP_CGE!$A$3:$AN$21,MATCH($A15,GDP_CGE!$A$3:$A$21,0),MATCH(AM$9,GDP_CGE!$A$3:$AN$3,0)),GDP_Simple!AM13)</f>
        <v>255.07</v>
      </c>
      <c r="AN15">
        <f>IF($C$3="CGE",INDEX(GDP_CGE!$A$3:$AN$21,MATCH($A15,GDP_CGE!$A$3:$A$21,0),MATCH(AN$9,GDP_CGE!$A$3:$AN$3,0)),GDP_Simple!AN13)</f>
        <v>263.714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1E-4</v>
      </c>
      <c r="C16">
        <f>IF($C$3="CGE",INDEX(GDP_CGE!$A$3:$AN$21,MATCH($A16,GDP_CGE!$A$3:$A$21,0),MATCH(C$9,GDP_CGE!$A$3:$AN$3,0)),GDP_Simple!C14)</f>
        <v>1E-4</v>
      </c>
      <c r="D16">
        <f>IF($C$3="CGE",INDEX(GDP_CGE!$A$3:$AN$21,MATCH($A16,GDP_CGE!$A$3:$A$21,0),MATCH(D$9,GDP_CGE!$A$3:$AN$3,0)),GDP_Simple!D14)</f>
        <v>1E-4</v>
      </c>
      <c r="E16">
        <f>IF($C$3="CGE",INDEX(GDP_CGE!$A$3:$AN$21,MATCH($A16,GDP_CGE!$A$3:$A$21,0),MATCH(E$9,GDP_CGE!$A$3:$AN$3,0)),GDP_Simple!E14)</f>
        <v>1E-4</v>
      </c>
      <c r="F16">
        <f>IF($C$3="CGE",INDEX(GDP_CGE!$A$3:$AN$21,MATCH($A16,GDP_CGE!$A$3:$A$21,0),MATCH(F$9,GDP_CGE!$A$3:$AN$3,0)),GDP_Simple!F14)</f>
        <v>1E-4</v>
      </c>
      <c r="G16">
        <f>IF($C$3="CGE",INDEX(GDP_CGE!$A$3:$AN$21,MATCH($A16,GDP_CGE!$A$3:$A$21,0),MATCH(G$9,GDP_CGE!$A$3:$AN$3,0)),GDP_Simple!G14)</f>
        <v>1E-4</v>
      </c>
      <c r="H16">
        <f>IF($C$3="CGE",INDEX(GDP_CGE!$A$3:$AN$21,MATCH($A16,GDP_CGE!$A$3:$A$21,0),MATCH(H$9,GDP_CGE!$A$3:$AN$3,0)),GDP_Simple!H14)</f>
        <v>1E-4</v>
      </c>
      <c r="I16">
        <f>IF($C$3="CGE",INDEX(GDP_CGE!$A$3:$AN$21,MATCH($A16,GDP_CGE!$A$3:$A$21,0),MATCH(I$9,GDP_CGE!$A$3:$AN$3,0)),GDP_Simple!I14)</f>
        <v>1E-4</v>
      </c>
      <c r="J16">
        <f>IF($C$3="CGE",INDEX(GDP_CGE!$A$3:$AN$21,MATCH($A16,GDP_CGE!$A$3:$A$21,0),MATCH(J$9,GDP_CGE!$A$3:$AN$3,0)),GDP_Simple!J14)</f>
        <v>1E-4</v>
      </c>
      <c r="K16">
        <f>IF($C$3="CGE",INDEX(GDP_CGE!$A$3:$AN$21,MATCH($A16,GDP_CGE!$A$3:$A$21,0),MATCH(K$9,GDP_CGE!$A$3:$AN$3,0)),GDP_Simple!K14)</f>
        <v>1E-4</v>
      </c>
      <c r="L16">
        <f>IF($C$3="CGE",INDEX(GDP_CGE!$A$3:$AN$21,MATCH($A16,GDP_CGE!$A$3:$A$21,0),MATCH(L$9,GDP_CGE!$A$3:$AN$3,0)),GDP_Simple!L14)</f>
        <v>1E-4</v>
      </c>
      <c r="M16">
        <f>IF($C$3="CGE",INDEX(GDP_CGE!$A$3:$AN$21,MATCH($A16,GDP_CGE!$A$3:$A$21,0),MATCH(M$9,GDP_CGE!$A$3:$AN$3,0)),GDP_Simple!M14)</f>
        <v>1E-4</v>
      </c>
      <c r="N16">
        <f>IF($C$3="CGE",INDEX(GDP_CGE!$A$3:$AN$21,MATCH($A16,GDP_CGE!$A$3:$A$21,0),MATCH(N$9,GDP_CGE!$A$3:$AN$3,0)),GDP_Simple!N14)</f>
        <v>1E-4</v>
      </c>
      <c r="O16">
        <f>IF($C$3="CGE",INDEX(GDP_CGE!$A$3:$AN$21,MATCH($A16,GDP_CGE!$A$3:$A$21,0),MATCH(O$9,GDP_CGE!$A$3:$AN$3,0)),GDP_Simple!O14)</f>
        <v>1E-4</v>
      </c>
      <c r="P16">
        <f>IF($C$3="CGE",INDEX(GDP_CGE!$A$3:$AN$21,MATCH($A16,GDP_CGE!$A$3:$A$21,0),MATCH(P$9,GDP_CGE!$A$3:$AN$3,0)),GDP_Simple!P14)</f>
        <v>1E-4</v>
      </c>
      <c r="Q16">
        <f>IF($C$3="CGE",INDEX(GDP_CGE!$A$3:$AN$21,MATCH($A16,GDP_CGE!$A$3:$A$21,0),MATCH(Q$9,GDP_CGE!$A$3:$AN$3,0)),GDP_Simple!Q14)</f>
        <v>1E-4</v>
      </c>
      <c r="R16">
        <f>IF($C$3="CGE",INDEX(GDP_CGE!$A$3:$AN$21,MATCH($A16,GDP_CGE!$A$3:$A$21,0),MATCH(R$9,GDP_CGE!$A$3:$AN$3,0)),GDP_Simple!R14)</f>
        <v>1E-4</v>
      </c>
      <c r="S16">
        <f>IF($C$3="CGE",INDEX(GDP_CGE!$A$3:$AN$21,MATCH($A16,GDP_CGE!$A$3:$A$21,0),MATCH(S$9,GDP_CGE!$A$3:$AN$3,0)),GDP_Simple!S14)</f>
        <v>1E-4</v>
      </c>
      <c r="T16">
        <f>IF($C$3="CGE",INDEX(GDP_CGE!$A$3:$AN$21,MATCH($A16,GDP_CGE!$A$3:$A$21,0),MATCH(T$9,GDP_CGE!$A$3:$AN$3,0)),GDP_Simple!T14)</f>
        <v>1E-4</v>
      </c>
      <c r="U16">
        <f>IF($C$3="CGE",INDEX(GDP_CGE!$A$3:$AN$21,MATCH($A16,GDP_CGE!$A$3:$A$21,0),MATCH(U$9,GDP_CGE!$A$3:$AN$3,0)),GDP_Simple!U14)</f>
        <v>1E-4</v>
      </c>
      <c r="V16">
        <f>IF($C$3="CGE",INDEX(GDP_CGE!$A$3:$AN$21,MATCH($A16,GDP_CGE!$A$3:$A$21,0),MATCH(V$9,GDP_CGE!$A$3:$AN$3,0)),GDP_Simple!V14)</f>
        <v>1E-4</v>
      </c>
      <c r="W16">
        <f>IF($C$3="CGE",INDEX(GDP_CGE!$A$3:$AN$21,MATCH($A16,GDP_CGE!$A$3:$A$21,0),MATCH(W$9,GDP_CGE!$A$3:$AN$3,0)),GDP_Simple!W14)</f>
        <v>1E-4</v>
      </c>
      <c r="X16">
        <f>IF($C$3="CGE",INDEX(GDP_CGE!$A$3:$AN$21,MATCH($A16,GDP_CGE!$A$3:$A$21,0),MATCH(X$9,GDP_CGE!$A$3:$AN$3,0)),GDP_Simple!X14)</f>
        <v>1E-4</v>
      </c>
      <c r="Y16">
        <f>IF($C$3="CGE",INDEX(GDP_CGE!$A$3:$AN$21,MATCH($A16,GDP_CGE!$A$3:$A$21,0),MATCH(Y$9,GDP_CGE!$A$3:$AN$3,0)),GDP_Simple!Y14)</f>
        <v>1E-4</v>
      </c>
      <c r="Z16">
        <f>IF($C$3="CGE",INDEX(GDP_CGE!$A$3:$AN$21,MATCH($A16,GDP_CGE!$A$3:$A$21,0),MATCH(Z$9,GDP_CGE!$A$3:$AN$3,0)),GDP_Simple!Z14)</f>
        <v>1E-4</v>
      </c>
      <c r="AA16">
        <f>IF($C$3="CGE",INDEX(GDP_CGE!$A$3:$AN$21,MATCH($A16,GDP_CGE!$A$3:$A$21,0),MATCH(AA$9,GDP_CGE!$A$3:$AN$3,0)),GDP_Simple!AA14)</f>
        <v>1E-4</v>
      </c>
      <c r="AB16">
        <f>IF($C$3="CGE",INDEX(GDP_CGE!$A$3:$AN$21,MATCH($A16,GDP_CGE!$A$3:$A$21,0),MATCH(AB$9,GDP_CGE!$A$3:$AN$3,0)),GDP_Simple!AB14)</f>
        <v>1E-4</v>
      </c>
      <c r="AC16">
        <f>IF($C$3="CGE",INDEX(GDP_CGE!$A$3:$AN$21,MATCH($A16,GDP_CGE!$A$3:$A$21,0),MATCH(AC$9,GDP_CGE!$A$3:$AN$3,0)),GDP_Simple!AC14)</f>
        <v>1E-4</v>
      </c>
      <c r="AD16">
        <f>IF($C$3="CGE",INDEX(GDP_CGE!$A$3:$AN$21,MATCH($A16,GDP_CGE!$A$3:$A$21,0),MATCH(AD$9,GDP_CGE!$A$3:$AN$3,0)),GDP_Simple!AD14)</f>
        <v>1E-4</v>
      </c>
      <c r="AE16">
        <f>IF($C$3="CGE",INDEX(GDP_CGE!$A$3:$AN$21,MATCH($A16,GDP_CGE!$A$3:$A$21,0),MATCH(AE$9,GDP_CGE!$A$3:$AN$3,0)),GDP_Simple!AE14)</f>
        <v>1E-4</v>
      </c>
      <c r="AF16">
        <f>IF($C$3="CGE",INDEX(GDP_CGE!$A$3:$AN$21,MATCH($A16,GDP_CGE!$A$3:$A$21,0),MATCH(AF$9,GDP_CGE!$A$3:$AN$3,0)),GDP_Simple!AF14)</f>
        <v>1E-4</v>
      </c>
      <c r="AG16">
        <f>IF($C$3="CGE",INDEX(GDP_CGE!$A$3:$AN$21,MATCH($A16,GDP_CGE!$A$3:$A$21,0),MATCH(AG$9,GDP_CGE!$A$3:$AN$3,0)),GDP_Simple!AG14)</f>
        <v>1E-4</v>
      </c>
      <c r="AH16">
        <f>IF($C$3="CGE",INDEX(GDP_CGE!$A$3:$AN$21,MATCH($A16,GDP_CGE!$A$3:$A$21,0),MATCH(AH$9,GDP_CGE!$A$3:$AN$3,0)),GDP_Simple!AH14)</f>
        <v>1E-4</v>
      </c>
      <c r="AI16">
        <f>IF($C$3="CGE",INDEX(GDP_CGE!$A$3:$AN$21,MATCH($A16,GDP_CGE!$A$3:$A$21,0),MATCH(AI$9,GDP_CGE!$A$3:$AN$3,0)),GDP_Simple!AI14)</f>
        <v>1E-4</v>
      </c>
      <c r="AJ16">
        <f>IF($C$3="CGE",INDEX(GDP_CGE!$A$3:$AN$21,MATCH($A16,GDP_CGE!$A$3:$A$21,0),MATCH(AJ$9,GDP_CGE!$A$3:$AN$3,0)),GDP_Simple!AJ14)</f>
        <v>1E-4</v>
      </c>
      <c r="AK16">
        <f>IF($C$3="CGE",INDEX(GDP_CGE!$A$3:$AN$21,MATCH($A16,GDP_CGE!$A$3:$A$21,0),MATCH(AK$9,GDP_CGE!$A$3:$AN$3,0)),GDP_Simple!AK14)</f>
        <v>1E-4</v>
      </c>
      <c r="AL16">
        <f>IF($C$3="CGE",INDEX(GDP_CGE!$A$3:$AN$21,MATCH($A16,GDP_CGE!$A$3:$A$21,0),MATCH(AL$9,GDP_CGE!$A$3:$AN$3,0)),GDP_Simple!AL14)</f>
        <v>1E-4</v>
      </c>
      <c r="AM16">
        <f>IF($C$3="CGE",INDEX(GDP_CGE!$A$3:$AN$21,MATCH($A16,GDP_CGE!$A$3:$A$21,0),MATCH(AM$9,GDP_CGE!$A$3:$AN$3,0)),GDP_Simple!AM14)</f>
        <v>1E-4</v>
      </c>
      <c r="AN16">
        <f>IF($C$3="CGE",INDEX(GDP_CGE!$A$3:$AN$21,MATCH($A16,GDP_CGE!$A$3:$A$21,0),MATCH(AN$9,GDP_CGE!$A$3:$AN$3,0)),GDP_Simple!AN14)</f>
        <v>1E-4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13.346</v>
      </c>
      <c r="C17">
        <f>IF($C$3="CGE",INDEX(GDP_CGE!$A$3:$AN$21,MATCH($A17,GDP_CGE!$A$3:$A$21,0),MATCH(C$9,GDP_CGE!$A$3:$AN$3,0)),GDP_Simple!C15)</f>
        <v>13.752000000000001</v>
      </c>
      <c r="D17">
        <f>IF($C$3="CGE",INDEX(GDP_CGE!$A$3:$AN$21,MATCH($A17,GDP_CGE!$A$3:$A$21,0),MATCH(D$9,GDP_CGE!$A$3:$AN$3,0)),GDP_Simple!D15)</f>
        <v>14.013999999999999</v>
      </c>
      <c r="E17">
        <f>IF($C$3="CGE",INDEX(GDP_CGE!$A$3:$AN$21,MATCH($A17,GDP_CGE!$A$3:$A$21,0),MATCH(E$9,GDP_CGE!$A$3:$AN$3,0)),GDP_Simple!E15)</f>
        <v>14.365</v>
      </c>
      <c r="F17">
        <f>IF($C$3="CGE",INDEX(GDP_CGE!$A$3:$AN$21,MATCH($A17,GDP_CGE!$A$3:$A$21,0),MATCH(F$9,GDP_CGE!$A$3:$AN$3,0)),GDP_Simple!F15)</f>
        <v>14.41</v>
      </c>
      <c r="G17">
        <f>IF($C$3="CGE",INDEX(GDP_CGE!$A$3:$AN$21,MATCH($A17,GDP_CGE!$A$3:$A$21,0),MATCH(G$9,GDP_CGE!$A$3:$AN$3,0)),GDP_Simple!G15)</f>
        <v>14.513</v>
      </c>
      <c r="H17">
        <f>IF($C$3="CGE",INDEX(GDP_CGE!$A$3:$AN$21,MATCH($A17,GDP_CGE!$A$3:$A$21,0),MATCH(H$9,GDP_CGE!$A$3:$AN$3,0)),GDP_Simple!H15)</f>
        <v>14.522</v>
      </c>
      <c r="I17">
        <f>IF($C$3="CGE",INDEX(GDP_CGE!$A$3:$AN$21,MATCH($A17,GDP_CGE!$A$3:$A$21,0),MATCH(I$9,GDP_CGE!$A$3:$AN$3,0)),GDP_Simple!I15)</f>
        <v>14.384</v>
      </c>
      <c r="J17">
        <f>IF($C$3="CGE",INDEX(GDP_CGE!$A$3:$AN$21,MATCH($A17,GDP_CGE!$A$3:$A$21,0),MATCH(J$9,GDP_CGE!$A$3:$AN$3,0)),GDP_Simple!J15)</f>
        <v>12.598000000000001</v>
      </c>
      <c r="K17">
        <f>IF($C$3="CGE",INDEX(GDP_CGE!$A$3:$AN$21,MATCH($A17,GDP_CGE!$A$3:$A$21,0),MATCH(K$9,GDP_CGE!$A$3:$AN$3,0)),GDP_Simple!K15)</f>
        <v>13.069000000000001</v>
      </c>
      <c r="L17">
        <f>IF($C$3="CGE",INDEX(GDP_CGE!$A$3:$AN$21,MATCH($A17,GDP_CGE!$A$3:$A$21,0),MATCH(L$9,GDP_CGE!$A$3:$AN$3,0)),GDP_Simple!L15)</f>
        <v>13.349</v>
      </c>
      <c r="M17">
        <f>IF($C$3="CGE",INDEX(GDP_CGE!$A$3:$AN$21,MATCH($A17,GDP_CGE!$A$3:$A$21,0),MATCH(M$9,GDP_CGE!$A$3:$AN$3,0)),GDP_Simple!M15)</f>
        <v>13.621</v>
      </c>
      <c r="N17">
        <f>IF($C$3="CGE",INDEX(GDP_CGE!$A$3:$AN$21,MATCH($A17,GDP_CGE!$A$3:$A$21,0),MATCH(N$9,GDP_CGE!$A$3:$AN$3,0)),GDP_Simple!N15)</f>
        <v>13.933</v>
      </c>
      <c r="O17">
        <f>IF($C$3="CGE",INDEX(GDP_CGE!$A$3:$AN$21,MATCH($A17,GDP_CGE!$A$3:$A$21,0),MATCH(O$9,GDP_CGE!$A$3:$AN$3,0)),GDP_Simple!O15)</f>
        <v>14.372</v>
      </c>
      <c r="P17">
        <f>IF($C$3="CGE",INDEX(GDP_CGE!$A$3:$AN$21,MATCH($A17,GDP_CGE!$A$3:$A$21,0),MATCH(P$9,GDP_CGE!$A$3:$AN$3,0)),GDP_Simple!P15)</f>
        <v>14.757999999999999</v>
      </c>
      <c r="Q17">
        <f>IF($C$3="CGE",INDEX(GDP_CGE!$A$3:$AN$21,MATCH($A17,GDP_CGE!$A$3:$A$21,0),MATCH(Q$9,GDP_CGE!$A$3:$AN$3,0)),GDP_Simple!Q15)</f>
        <v>15.183999999999999</v>
      </c>
      <c r="R17">
        <f>IF($C$3="CGE",INDEX(GDP_CGE!$A$3:$AN$21,MATCH($A17,GDP_CGE!$A$3:$A$21,0),MATCH(R$9,GDP_CGE!$A$3:$AN$3,0)),GDP_Simple!R15)</f>
        <v>15.683</v>
      </c>
      <c r="S17">
        <f>IF($C$3="CGE",INDEX(GDP_CGE!$A$3:$AN$21,MATCH($A17,GDP_CGE!$A$3:$A$21,0),MATCH(S$9,GDP_CGE!$A$3:$AN$3,0)),GDP_Simple!S15)</f>
        <v>16.28</v>
      </c>
      <c r="T17">
        <f>IF($C$3="CGE",INDEX(GDP_CGE!$A$3:$AN$21,MATCH($A17,GDP_CGE!$A$3:$A$21,0),MATCH(T$9,GDP_CGE!$A$3:$AN$3,0)),GDP_Simple!T15)</f>
        <v>16.878</v>
      </c>
      <c r="U17">
        <f>IF($C$3="CGE",INDEX(GDP_CGE!$A$3:$AN$21,MATCH($A17,GDP_CGE!$A$3:$A$21,0),MATCH(U$9,GDP_CGE!$A$3:$AN$3,0)),GDP_Simple!U15)</f>
        <v>17.408999999999999</v>
      </c>
      <c r="V17">
        <f>IF($C$3="CGE",INDEX(GDP_CGE!$A$3:$AN$21,MATCH($A17,GDP_CGE!$A$3:$A$21,0),MATCH(V$9,GDP_CGE!$A$3:$AN$3,0)),GDP_Simple!V15)</f>
        <v>18.071999999999999</v>
      </c>
      <c r="W17">
        <f>IF($C$3="CGE",INDEX(GDP_CGE!$A$3:$AN$21,MATCH($A17,GDP_CGE!$A$3:$A$21,0),MATCH(W$9,GDP_CGE!$A$3:$AN$3,0)),GDP_Simple!W15)</f>
        <v>18.716999999999999</v>
      </c>
      <c r="X17">
        <f>IF($C$3="CGE",INDEX(GDP_CGE!$A$3:$AN$21,MATCH($A17,GDP_CGE!$A$3:$A$21,0),MATCH(X$9,GDP_CGE!$A$3:$AN$3,0)),GDP_Simple!X15)</f>
        <v>19.405999999999999</v>
      </c>
      <c r="Y17">
        <f>IF($C$3="CGE",INDEX(GDP_CGE!$A$3:$AN$21,MATCH($A17,GDP_CGE!$A$3:$A$21,0),MATCH(Y$9,GDP_CGE!$A$3:$AN$3,0)),GDP_Simple!Y15)</f>
        <v>20.032</v>
      </c>
      <c r="Z17">
        <f>IF($C$3="CGE",INDEX(GDP_CGE!$A$3:$AN$21,MATCH($A17,GDP_CGE!$A$3:$A$21,0),MATCH(Z$9,GDP_CGE!$A$3:$AN$3,0)),GDP_Simple!Z15)</f>
        <v>20.667999999999999</v>
      </c>
      <c r="AA17">
        <f>IF($C$3="CGE",INDEX(GDP_CGE!$A$3:$AN$21,MATCH($A17,GDP_CGE!$A$3:$A$21,0),MATCH(AA$9,GDP_CGE!$A$3:$AN$3,0)),GDP_Simple!AA15)</f>
        <v>21.327000000000002</v>
      </c>
      <c r="AB17">
        <f>IF($C$3="CGE",INDEX(GDP_CGE!$A$3:$AN$21,MATCH($A17,GDP_CGE!$A$3:$A$21,0),MATCH(AB$9,GDP_CGE!$A$3:$AN$3,0)),GDP_Simple!AB15)</f>
        <v>21.986999999999998</v>
      </c>
      <c r="AC17">
        <f>IF($C$3="CGE",INDEX(GDP_CGE!$A$3:$AN$21,MATCH($A17,GDP_CGE!$A$3:$A$21,0),MATCH(AC$9,GDP_CGE!$A$3:$AN$3,0)),GDP_Simple!AC15)</f>
        <v>22.623000000000001</v>
      </c>
      <c r="AD17">
        <f>IF($C$3="CGE",INDEX(GDP_CGE!$A$3:$AN$21,MATCH($A17,GDP_CGE!$A$3:$A$21,0),MATCH(AD$9,GDP_CGE!$A$3:$AN$3,0)),GDP_Simple!AD15)</f>
        <v>23.295999999999999</v>
      </c>
      <c r="AE17">
        <f>IF($C$3="CGE",INDEX(GDP_CGE!$A$3:$AN$21,MATCH($A17,GDP_CGE!$A$3:$A$21,0),MATCH(AE$9,GDP_CGE!$A$3:$AN$3,0)),GDP_Simple!AE15)</f>
        <v>24.016999999999999</v>
      </c>
      <c r="AF17">
        <f>IF($C$3="CGE",INDEX(GDP_CGE!$A$3:$AN$21,MATCH($A17,GDP_CGE!$A$3:$A$21,0),MATCH(AF$9,GDP_CGE!$A$3:$AN$3,0)),GDP_Simple!AF15)</f>
        <v>24.771999999999998</v>
      </c>
      <c r="AG17">
        <f>IF($C$3="CGE",INDEX(GDP_CGE!$A$3:$AN$21,MATCH($A17,GDP_CGE!$A$3:$A$21,0),MATCH(AG$9,GDP_CGE!$A$3:$AN$3,0)),GDP_Simple!AG15)</f>
        <v>25.538</v>
      </c>
      <c r="AH17">
        <f>IF($C$3="CGE",INDEX(GDP_CGE!$A$3:$AN$21,MATCH($A17,GDP_CGE!$A$3:$A$21,0),MATCH(AH$9,GDP_CGE!$A$3:$AN$3,0)),GDP_Simple!AH15)</f>
        <v>26.338000000000001</v>
      </c>
      <c r="AI17">
        <f>IF($C$3="CGE",INDEX(GDP_CGE!$A$3:$AN$21,MATCH($A17,GDP_CGE!$A$3:$A$21,0),MATCH(AI$9,GDP_CGE!$A$3:$AN$3,0)),GDP_Simple!AI15)</f>
        <v>27.21</v>
      </c>
      <c r="AJ17">
        <f>IF($C$3="CGE",INDEX(GDP_CGE!$A$3:$AN$21,MATCH($A17,GDP_CGE!$A$3:$A$21,0),MATCH(AJ$9,GDP_CGE!$A$3:$AN$3,0)),GDP_Simple!AJ15)</f>
        <v>28.164999999999999</v>
      </c>
      <c r="AK17">
        <f>IF($C$3="CGE",INDEX(GDP_CGE!$A$3:$AN$21,MATCH($A17,GDP_CGE!$A$3:$A$21,0),MATCH(AK$9,GDP_CGE!$A$3:$AN$3,0)),GDP_Simple!AK15)</f>
        <v>29.167999999999999</v>
      </c>
      <c r="AL17">
        <f>IF($C$3="CGE",INDEX(GDP_CGE!$A$3:$AN$21,MATCH($A17,GDP_CGE!$A$3:$A$21,0),MATCH(AL$9,GDP_CGE!$A$3:$AN$3,0)),GDP_Simple!AL15)</f>
        <v>30.178000000000001</v>
      </c>
      <c r="AM17">
        <f>IF($C$3="CGE",INDEX(GDP_CGE!$A$3:$AN$21,MATCH($A17,GDP_CGE!$A$3:$A$21,0),MATCH(AM$9,GDP_CGE!$A$3:$AN$3,0)),GDP_Simple!AM15)</f>
        <v>31.236999999999998</v>
      </c>
      <c r="AN17">
        <f>IF($C$3="CGE",INDEX(GDP_CGE!$A$3:$AN$21,MATCH($A17,GDP_CGE!$A$3:$A$21,0),MATCH(AN$9,GDP_CGE!$A$3:$AN$3,0)),GDP_Simple!AN15)</f>
        <v>32.36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205.44900000000001</v>
      </c>
      <c r="C18">
        <f>IF($C$3="CGE",INDEX(GDP_CGE!$A$3:$AN$21,MATCH($A18,GDP_CGE!$A$3:$A$21,0),MATCH(C$9,GDP_CGE!$A$3:$AN$3,0)),GDP_Simple!C16)</f>
        <v>210.61199999999999</v>
      </c>
      <c r="D18">
        <f>IF($C$3="CGE",INDEX(GDP_CGE!$A$3:$AN$21,MATCH($A18,GDP_CGE!$A$3:$A$21,0),MATCH(D$9,GDP_CGE!$A$3:$AN$3,0)),GDP_Simple!D16)</f>
        <v>211.703</v>
      </c>
      <c r="E18">
        <f>IF($C$3="CGE",INDEX(GDP_CGE!$A$3:$AN$21,MATCH($A18,GDP_CGE!$A$3:$A$21,0),MATCH(E$9,GDP_CGE!$A$3:$AN$3,0)),GDP_Simple!E16)</f>
        <v>218.495</v>
      </c>
      <c r="F18">
        <f>IF($C$3="CGE",INDEX(GDP_CGE!$A$3:$AN$21,MATCH($A18,GDP_CGE!$A$3:$A$21,0),MATCH(F$9,GDP_CGE!$A$3:$AN$3,0)),GDP_Simple!F16)</f>
        <v>215.50700000000001</v>
      </c>
      <c r="G18">
        <f>IF($C$3="CGE",INDEX(GDP_CGE!$A$3:$AN$21,MATCH($A18,GDP_CGE!$A$3:$A$21,0),MATCH(G$9,GDP_CGE!$A$3:$AN$3,0)),GDP_Simple!G16)</f>
        <v>222.273</v>
      </c>
      <c r="H18">
        <f>IF($C$3="CGE",INDEX(GDP_CGE!$A$3:$AN$21,MATCH($A18,GDP_CGE!$A$3:$A$21,0),MATCH(H$9,GDP_CGE!$A$3:$AN$3,0)),GDP_Simple!H16)</f>
        <v>220.99700000000001</v>
      </c>
      <c r="I18">
        <f>IF($C$3="CGE",INDEX(GDP_CGE!$A$3:$AN$21,MATCH($A18,GDP_CGE!$A$3:$A$21,0),MATCH(I$9,GDP_CGE!$A$3:$AN$3,0)),GDP_Simple!I16)</f>
        <v>218.15700000000001</v>
      </c>
      <c r="J18">
        <f>IF($C$3="CGE",INDEX(GDP_CGE!$A$3:$AN$21,MATCH($A18,GDP_CGE!$A$3:$A$21,0),MATCH(J$9,GDP_CGE!$A$3:$AN$3,0)),GDP_Simple!J16)</f>
        <v>200.386</v>
      </c>
      <c r="K18">
        <f>IF($C$3="CGE",INDEX(GDP_CGE!$A$3:$AN$21,MATCH($A18,GDP_CGE!$A$3:$A$21,0),MATCH(K$9,GDP_CGE!$A$3:$AN$3,0)),GDP_Simple!K16)</f>
        <v>205.16499999999999</v>
      </c>
      <c r="L18">
        <f>IF($C$3="CGE",INDEX(GDP_CGE!$A$3:$AN$21,MATCH($A18,GDP_CGE!$A$3:$A$21,0),MATCH(L$9,GDP_CGE!$A$3:$AN$3,0)),GDP_Simple!L16)</f>
        <v>208.32599999999999</v>
      </c>
      <c r="M18">
        <f>IF($C$3="CGE",INDEX(GDP_CGE!$A$3:$AN$21,MATCH($A18,GDP_CGE!$A$3:$A$21,0),MATCH(M$9,GDP_CGE!$A$3:$AN$3,0)),GDP_Simple!M16)</f>
        <v>211.357</v>
      </c>
      <c r="N18">
        <f>IF($C$3="CGE",INDEX(GDP_CGE!$A$3:$AN$21,MATCH($A18,GDP_CGE!$A$3:$A$21,0),MATCH(N$9,GDP_CGE!$A$3:$AN$3,0)),GDP_Simple!N16)</f>
        <v>214.93799999999999</v>
      </c>
      <c r="O18">
        <f>IF($C$3="CGE",INDEX(GDP_CGE!$A$3:$AN$21,MATCH($A18,GDP_CGE!$A$3:$A$21,0),MATCH(O$9,GDP_CGE!$A$3:$AN$3,0)),GDP_Simple!O16)</f>
        <v>219.39599999999999</v>
      </c>
      <c r="P18">
        <f>IF($C$3="CGE",INDEX(GDP_CGE!$A$3:$AN$21,MATCH($A18,GDP_CGE!$A$3:$A$21,0),MATCH(P$9,GDP_CGE!$A$3:$AN$3,0)),GDP_Simple!P16)</f>
        <v>223.834</v>
      </c>
      <c r="Q18">
        <f>IF($C$3="CGE",INDEX(GDP_CGE!$A$3:$AN$21,MATCH($A18,GDP_CGE!$A$3:$A$21,0),MATCH(Q$9,GDP_CGE!$A$3:$AN$3,0)),GDP_Simple!Q16)</f>
        <v>228.92500000000001</v>
      </c>
      <c r="R18">
        <f>IF($C$3="CGE",INDEX(GDP_CGE!$A$3:$AN$21,MATCH($A18,GDP_CGE!$A$3:$A$21,0),MATCH(R$9,GDP_CGE!$A$3:$AN$3,0)),GDP_Simple!R16)</f>
        <v>234.98</v>
      </c>
      <c r="S18">
        <f>IF($C$3="CGE",INDEX(GDP_CGE!$A$3:$AN$21,MATCH($A18,GDP_CGE!$A$3:$A$21,0),MATCH(S$9,GDP_CGE!$A$3:$AN$3,0)),GDP_Simple!S16)</f>
        <v>242.12100000000001</v>
      </c>
      <c r="T18">
        <f>IF($C$3="CGE",INDEX(GDP_CGE!$A$3:$AN$21,MATCH($A18,GDP_CGE!$A$3:$A$21,0),MATCH(T$9,GDP_CGE!$A$3:$AN$3,0)),GDP_Simple!T16)</f>
        <v>249.917</v>
      </c>
      <c r="U18">
        <f>IF($C$3="CGE",INDEX(GDP_CGE!$A$3:$AN$21,MATCH($A18,GDP_CGE!$A$3:$A$21,0),MATCH(U$9,GDP_CGE!$A$3:$AN$3,0)),GDP_Simple!U16)</f>
        <v>258.95400000000001</v>
      </c>
      <c r="V18">
        <f>IF($C$3="CGE",INDEX(GDP_CGE!$A$3:$AN$21,MATCH($A18,GDP_CGE!$A$3:$A$21,0),MATCH(V$9,GDP_CGE!$A$3:$AN$3,0)),GDP_Simple!V16)</f>
        <v>268.33999999999997</v>
      </c>
      <c r="W18">
        <f>IF($C$3="CGE",INDEX(GDP_CGE!$A$3:$AN$21,MATCH($A18,GDP_CGE!$A$3:$A$21,0),MATCH(W$9,GDP_CGE!$A$3:$AN$3,0)),GDP_Simple!W16)</f>
        <v>277.798</v>
      </c>
      <c r="X18">
        <f>IF($C$3="CGE",INDEX(GDP_CGE!$A$3:$AN$21,MATCH($A18,GDP_CGE!$A$3:$A$21,0),MATCH(X$9,GDP_CGE!$A$3:$AN$3,0)),GDP_Simple!X16)</f>
        <v>287.74400000000003</v>
      </c>
      <c r="Y18">
        <f>IF($C$3="CGE",INDEX(GDP_CGE!$A$3:$AN$21,MATCH($A18,GDP_CGE!$A$3:$A$21,0),MATCH(Y$9,GDP_CGE!$A$3:$AN$3,0)),GDP_Simple!Y16)</f>
        <v>297.70100000000002</v>
      </c>
      <c r="Z18">
        <f>IF($C$3="CGE",INDEX(GDP_CGE!$A$3:$AN$21,MATCH($A18,GDP_CGE!$A$3:$A$21,0),MATCH(Z$9,GDP_CGE!$A$3:$AN$3,0)),GDP_Simple!Z16)</f>
        <v>307.60599999999999</v>
      </c>
      <c r="AA18">
        <f>IF($C$3="CGE",INDEX(GDP_CGE!$A$3:$AN$21,MATCH($A18,GDP_CGE!$A$3:$A$21,0),MATCH(AA$9,GDP_CGE!$A$3:$AN$3,0)),GDP_Simple!AA16)</f>
        <v>317.99200000000002</v>
      </c>
      <c r="AB18">
        <f>IF($C$3="CGE",INDEX(GDP_CGE!$A$3:$AN$21,MATCH($A18,GDP_CGE!$A$3:$A$21,0),MATCH(AB$9,GDP_CGE!$A$3:$AN$3,0)),GDP_Simple!AB16)</f>
        <v>328.66300000000001</v>
      </c>
      <c r="AC18">
        <f>IF($C$3="CGE",INDEX(GDP_CGE!$A$3:$AN$21,MATCH($A18,GDP_CGE!$A$3:$A$21,0),MATCH(AC$9,GDP_CGE!$A$3:$AN$3,0)),GDP_Simple!AC16)</f>
        <v>338.89400000000001</v>
      </c>
      <c r="AD18">
        <f>IF($C$3="CGE",INDEX(GDP_CGE!$A$3:$AN$21,MATCH($A18,GDP_CGE!$A$3:$A$21,0),MATCH(AD$9,GDP_CGE!$A$3:$AN$3,0)),GDP_Simple!AD16)</f>
        <v>349.66</v>
      </c>
      <c r="AE18">
        <f>IF($C$3="CGE",INDEX(GDP_CGE!$A$3:$AN$21,MATCH($A18,GDP_CGE!$A$3:$A$21,0),MATCH(AE$9,GDP_CGE!$A$3:$AN$3,0)),GDP_Simple!AE16)</f>
        <v>360.58300000000003</v>
      </c>
      <c r="AF18">
        <f>IF($C$3="CGE",INDEX(GDP_CGE!$A$3:$AN$21,MATCH($A18,GDP_CGE!$A$3:$A$21,0),MATCH(AF$9,GDP_CGE!$A$3:$AN$3,0)),GDP_Simple!AF16)</f>
        <v>371.91899999999998</v>
      </c>
      <c r="AG18">
        <f>IF($C$3="CGE",INDEX(GDP_CGE!$A$3:$AN$21,MATCH($A18,GDP_CGE!$A$3:$A$21,0),MATCH(AG$9,GDP_CGE!$A$3:$AN$3,0)),GDP_Simple!AG16)</f>
        <v>383.49</v>
      </c>
      <c r="AH18">
        <f>IF($C$3="CGE",INDEX(GDP_CGE!$A$3:$AN$21,MATCH($A18,GDP_CGE!$A$3:$A$21,0),MATCH(AH$9,GDP_CGE!$A$3:$AN$3,0)),GDP_Simple!AH16)</f>
        <v>395.577</v>
      </c>
      <c r="AI18">
        <f>IF($C$3="CGE",INDEX(GDP_CGE!$A$3:$AN$21,MATCH($A18,GDP_CGE!$A$3:$A$21,0),MATCH(AI$9,GDP_CGE!$A$3:$AN$3,0)),GDP_Simple!AI16)</f>
        <v>408.75299999999999</v>
      </c>
      <c r="AJ18">
        <f>IF($C$3="CGE",INDEX(GDP_CGE!$A$3:$AN$21,MATCH($A18,GDP_CGE!$A$3:$A$21,0),MATCH(AJ$9,GDP_CGE!$A$3:$AN$3,0)),GDP_Simple!AJ16)</f>
        <v>422.87400000000002</v>
      </c>
      <c r="AK18">
        <f>IF($C$3="CGE",INDEX(GDP_CGE!$A$3:$AN$21,MATCH($A18,GDP_CGE!$A$3:$A$21,0),MATCH(AK$9,GDP_CGE!$A$3:$AN$3,0)),GDP_Simple!AK16)</f>
        <v>437.85</v>
      </c>
      <c r="AL18">
        <f>IF($C$3="CGE",INDEX(GDP_CGE!$A$3:$AN$21,MATCH($A18,GDP_CGE!$A$3:$A$21,0),MATCH(AL$9,GDP_CGE!$A$3:$AN$3,0)),GDP_Simple!AL16)</f>
        <v>452.97800000000001</v>
      </c>
      <c r="AM18">
        <f>IF($C$3="CGE",INDEX(GDP_CGE!$A$3:$AN$21,MATCH($A18,GDP_CGE!$A$3:$A$21,0),MATCH(AM$9,GDP_CGE!$A$3:$AN$3,0)),GDP_Simple!AM16)</f>
        <v>468.97199999999998</v>
      </c>
      <c r="AN18">
        <f>IF($C$3="CGE",INDEX(GDP_CGE!$A$3:$AN$21,MATCH($A18,GDP_CGE!$A$3:$A$21,0),MATCH(AN$9,GDP_CGE!$A$3:$AN$3,0)),GDP_Simple!AN16)</f>
        <v>486.041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10.112</v>
      </c>
      <c r="C19">
        <f>IF($C$3="CGE",INDEX(GDP_CGE!$A$3:$AN$21,MATCH($A19,GDP_CGE!$A$3:$A$21,0),MATCH(C$9,GDP_CGE!$A$3:$AN$3,0)),GDP_Simple!C17)</f>
        <v>8.5809999999999995</v>
      </c>
      <c r="D19">
        <f>IF($C$3="CGE",INDEX(GDP_CGE!$A$3:$AN$21,MATCH($A19,GDP_CGE!$A$3:$A$21,0),MATCH(D$9,GDP_CGE!$A$3:$AN$3,0)),GDP_Simple!D17)</f>
        <v>7.8769999999999998</v>
      </c>
      <c r="E19">
        <f>IF($C$3="CGE",INDEX(GDP_CGE!$A$3:$AN$21,MATCH($A19,GDP_CGE!$A$3:$A$21,0),MATCH(E$9,GDP_CGE!$A$3:$AN$3,0)),GDP_Simple!E17)</f>
        <v>7.9880000000000004</v>
      </c>
      <c r="F19">
        <f>IF($C$3="CGE",INDEX(GDP_CGE!$A$3:$AN$21,MATCH($A19,GDP_CGE!$A$3:$A$21,0),MATCH(F$9,GDP_CGE!$A$3:$AN$3,0)),GDP_Simple!F17)</f>
        <v>7.7750000000000004</v>
      </c>
      <c r="G19">
        <f>IF($C$3="CGE",INDEX(GDP_CGE!$A$3:$AN$21,MATCH($A19,GDP_CGE!$A$3:$A$21,0),MATCH(G$9,GDP_CGE!$A$3:$AN$3,0)),GDP_Simple!G17)</f>
        <v>7.4850000000000003</v>
      </c>
      <c r="H19">
        <f>IF($C$3="CGE",INDEX(GDP_CGE!$A$3:$AN$21,MATCH($A19,GDP_CGE!$A$3:$A$21,0),MATCH(H$9,GDP_CGE!$A$3:$AN$3,0)),GDP_Simple!H17)</f>
        <v>7.3470000000000004</v>
      </c>
      <c r="I19">
        <f>IF($C$3="CGE",INDEX(GDP_CGE!$A$3:$AN$21,MATCH($A19,GDP_CGE!$A$3:$A$21,0),MATCH(I$9,GDP_CGE!$A$3:$AN$3,0)),GDP_Simple!I17)</f>
        <v>7.0549999999999997</v>
      </c>
      <c r="J19">
        <f>IF($C$3="CGE",INDEX(GDP_CGE!$A$3:$AN$21,MATCH($A19,GDP_CGE!$A$3:$A$21,0),MATCH(J$9,GDP_CGE!$A$3:$AN$3,0)),GDP_Simple!J17)</f>
        <v>5.7949999999999999</v>
      </c>
      <c r="K19">
        <f>IF($C$3="CGE",INDEX(GDP_CGE!$A$3:$AN$21,MATCH($A19,GDP_CGE!$A$3:$A$21,0),MATCH(K$9,GDP_CGE!$A$3:$AN$3,0)),GDP_Simple!K17)</f>
        <v>6.0140000000000002</v>
      </c>
      <c r="L19">
        <f>IF($C$3="CGE",INDEX(GDP_CGE!$A$3:$AN$21,MATCH($A19,GDP_CGE!$A$3:$A$21,0),MATCH(L$9,GDP_CGE!$A$3:$AN$3,0)),GDP_Simple!L17)</f>
        <v>6.077</v>
      </c>
      <c r="M19">
        <f>IF($C$3="CGE",INDEX(GDP_CGE!$A$3:$AN$21,MATCH($A19,GDP_CGE!$A$3:$A$21,0),MATCH(M$9,GDP_CGE!$A$3:$AN$3,0)),GDP_Simple!M17)</f>
        <v>6.1369999999999996</v>
      </c>
      <c r="N19">
        <f>IF($C$3="CGE",INDEX(GDP_CGE!$A$3:$AN$21,MATCH($A19,GDP_CGE!$A$3:$A$21,0),MATCH(N$9,GDP_CGE!$A$3:$AN$3,0)),GDP_Simple!N17)</f>
        <v>6.2460000000000004</v>
      </c>
      <c r="O19">
        <f>IF($C$3="CGE",INDEX(GDP_CGE!$A$3:$AN$21,MATCH($A19,GDP_CGE!$A$3:$A$21,0),MATCH(O$9,GDP_CGE!$A$3:$AN$3,0)),GDP_Simple!O17)</f>
        <v>6.4130000000000003</v>
      </c>
      <c r="P19">
        <f>IF($C$3="CGE",INDEX(GDP_CGE!$A$3:$AN$21,MATCH($A19,GDP_CGE!$A$3:$A$21,0),MATCH(P$9,GDP_CGE!$A$3:$AN$3,0)),GDP_Simple!P17)</f>
        <v>6.5439999999999996</v>
      </c>
      <c r="Q19">
        <f>IF($C$3="CGE",INDEX(GDP_CGE!$A$3:$AN$21,MATCH($A19,GDP_CGE!$A$3:$A$21,0),MATCH(Q$9,GDP_CGE!$A$3:$AN$3,0)),GDP_Simple!Q17)</f>
        <v>6.6820000000000004</v>
      </c>
      <c r="R19">
        <f>IF($C$3="CGE",INDEX(GDP_CGE!$A$3:$AN$21,MATCH($A19,GDP_CGE!$A$3:$A$21,0),MATCH(R$9,GDP_CGE!$A$3:$AN$3,0)),GDP_Simple!R17)</f>
        <v>6.8940000000000001</v>
      </c>
      <c r="S19">
        <f>IF($C$3="CGE",INDEX(GDP_CGE!$A$3:$AN$21,MATCH($A19,GDP_CGE!$A$3:$A$21,0),MATCH(S$9,GDP_CGE!$A$3:$AN$3,0)),GDP_Simple!S17)</f>
        <v>7.1589999999999998</v>
      </c>
      <c r="T19">
        <f>IF($C$3="CGE",INDEX(GDP_CGE!$A$3:$AN$21,MATCH($A19,GDP_CGE!$A$3:$A$21,0),MATCH(T$9,GDP_CGE!$A$3:$AN$3,0)),GDP_Simple!T17)</f>
        <v>7.46</v>
      </c>
      <c r="U19">
        <f>IF($C$3="CGE",INDEX(GDP_CGE!$A$3:$AN$21,MATCH($A19,GDP_CGE!$A$3:$A$21,0),MATCH(U$9,GDP_CGE!$A$3:$AN$3,0)),GDP_Simple!U17)</f>
        <v>7.9039999999999999</v>
      </c>
      <c r="V19">
        <f>IF($C$3="CGE",INDEX(GDP_CGE!$A$3:$AN$21,MATCH($A19,GDP_CGE!$A$3:$A$21,0),MATCH(V$9,GDP_CGE!$A$3:$AN$3,0)),GDP_Simple!V17)</f>
        <v>8.3369999999999997</v>
      </c>
      <c r="W19">
        <f>IF($C$3="CGE",INDEX(GDP_CGE!$A$3:$AN$21,MATCH($A19,GDP_CGE!$A$3:$A$21,0),MATCH(W$9,GDP_CGE!$A$3:$AN$3,0)),GDP_Simple!W17)</f>
        <v>8.7669999999999995</v>
      </c>
      <c r="X19">
        <f>IF($C$3="CGE",INDEX(GDP_CGE!$A$3:$AN$21,MATCH($A19,GDP_CGE!$A$3:$A$21,0),MATCH(X$9,GDP_CGE!$A$3:$AN$3,0)),GDP_Simple!X17)</f>
        <v>9.2249999999999996</v>
      </c>
      <c r="Y19">
        <f>IF($C$3="CGE",INDEX(GDP_CGE!$A$3:$AN$21,MATCH($A19,GDP_CGE!$A$3:$A$21,0),MATCH(Y$9,GDP_CGE!$A$3:$AN$3,0)),GDP_Simple!Y17)</f>
        <v>9.6590000000000007</v>
      </c>
      <c r="Z19">
        <f>IF($C$3="CGE",INDEX(GDP_CGE!$A$3:$AN$21,MATCH($A19,GDP_CGE!$A$3:$A$21,0),MATCH(Z$9,GDP_CGE!$A$3:$AN$3,0)),GDP_Simple!Z17)</f>
        <v>10.090999999999999</v>
      </c>
      <c r="AA19">
        <f>IF($C$3="CGE",INDEX(GDP_CGE!$A$3:$AN$21,MATCH($A19,GDP_CGE!$A$3:$A$21,0),MATCH(AA$9,GDP_CGE!$A$3:$AN$3,0)),GDP_Simple!AA17)</f>
        <v>10.539</v>
      </c>
      <c r="AB19">
        <f>IF($C$3="CGE",INDEX(GDP_CGE!$A$3:$AN$21,MATCH($A19,GDP_CGE!$A$3:$A$21,0),MATCH(AB$9,GDP_CGE!$A$3:$AN$3,0)),GDP_Simple!AB17)</f>
        <v>10.962</v>
      </c>
      <c r="AC19">
        <f>IF($C$3="CGE",INDEX(GDP_CGE!$A$3:$AN$21,MATCH($A19,GDP_CGE!$A$3:$A$21,0),MATCH(AC$9,GDP_CGE!$A$3:$AN$3,0)),GDP_Simple!AC17)</f>
        <v>11.346</v>
      </c>
      <c r="AD19">
        <f>IF($C$3="CGE",INDEX(GDP_CGE!$A$3:$AN$21,MATCH($A19,GDP_CGE!$A$3:$A$21,0),MATCH(AD$9,GDP_CGE!$A$3:$AN$3,0)),GDP_Simple!AD17)</f>
        <v>11.728</v>
      </c>
      <c r="AE19">
        <f>IF($C$3="CGE",INDEX(GDP_CGE!$A$3:$AN$21,MATCH($A19,GDP_CGE!$A$3:$A$21,0),MATCH(AE$9,GDP_CGE!$A$3:$AN$3,0)),GDP_Simple!AE17)</f>
        <v>12.086</v>
      </c>
      <c r="AF19">
        <f>IF($C$3="CGE",INDEX(GDP_CGE!$A$3:$AN$21,MATCH($A19,GDP_CGE!$A$3:$A$21,0),MATCH(AF$9,GDP_CGE!$A$3:$AN$3,0)),GDP_Simple!AF17)</f>
        <v>12.439</v>
      </c>
      <c r="AG19">
        <f>IF($C$3="CGE",INDEX(GDP_CGE!$A$3:$AN$21,MATCH($A19,GDP_CGE!$A$3:$A$21,0),MATCH(AG$9,GDP_CGE!$A$3:$AN$3,0)),GDP_Simple!AG17)</f>
        <v>12.782</v>
      </c>
      <c r="AH19">
        <f>IF($C$3="CGE",INDEX(GDP_CGE!$A$3:$AN$21,MATCH($A19,GDP_CGE!$A$3:$A$21,0),MATCH(AH$9,GDP_CGE!$A$3:$AN$3,0)),GDP_Simple!AH17)</f>
        <v>13.122999999999999</v>
      </c>
      <c r="AI19">
        <f>IF($C$3="CGE",INDEX(GDP_CGE!$A$3:$AN$21,MATCH($A19,GDP_CGE!$A$3:$A$21,0),MATCH(AI$9,GDP_CGE!$A$3:$AN$3,0)),GDP_Simple!AI17)</f>
        <v>13.483000000000001</v>
      </c>
      <c r="AJ19">
        <f>IF($C$3="CGE",INDEX(GDP_CGE!$A$3:$AN$21,MATCH($A19,GDP_CGE!$A$3:$A$21,0),MATCH(AJ$9,GDP_CGE!$A$3:$AN$3,0)),GDP_Simple!AJ17)</f>
        <v>13.91</v>
      </c>
      <c r="AK19">
        <f>IF($C$3="CGE",INDEX(GDP_CGE!$A$3:$AN$21,MATCH($A19,GDP_CGE!$A$3:$A$21,0),MATCH(AK$9,GDP_CGE!$A$3:$AN$3,0)),GDP_Simple!AK17)</f>
        <v>14.369</v>
      </c>
      <c r="AL19">
        <f>IF($C$3="CGE",INDEX(GDP_CGE!$A$3:$AN$21,MATCH($A19,GDP_CGE!$A$3:$A$21,0),MATCH(AL$9,GDP_CGE!$A$3:$AN$3,0)),GDP_Simple!AL17)</f>
        <v>14.834</v>
      </c>
      <c r="AM19">
        <f>IF($C$3="CGE",INDEX(GDP_CGE!$A$3:$AN$21,MATCH($A19,GDP_CGE!$A$3:$A$21,0),MATCH(AM$9,GDP_CGE!$A$3:$AN$3,0)),GDP_Simple!AM17)</f>
        <v>15.324999999999999</v>
      </c>
      <c r="AN19">
        <f>IF($C$3="CGE",INDEX(GDP_CGE!$A$3:$AN$21,MATCH($A19,GDP_CGE!$A$3:$A$21,0),MATCH(AN$9,GDP_CGE!$A$3:$AN$3,0)),GDP_Simple!AN17)</f>
        <v>15.853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14.113</v>
      </c>
      <c r="C20">
        <f>IF($C$3="CGE",INDEX(GDP_CGE!$A$3:$AN$21,MATCH($A20,GDP_CGE!$A$3:$A$21,0),MATCH(C$9,GDP_CGE!$A$3:$AN$3,0)),GDP_Simple!C18)</f>
        <v>14.494999999999999</v>
      </c>
      <c r="D20">
        <f>IF($C$3="CGE",INDEX(GDP_CGE!$A$3:$AN$21,MATCH($A20,GDP_CGE!$A$3:$A$21,0),MATCH(D$9,GDP_CGE!$A$3:$AN$3,0)),GDP_Simple!D18)</f>
        <v>14.76</v>
      </c>
      <c r="E20">
        <f>IF($C$3="CGE",INDEX(GDP_CGE!$A$3:$AN$21,MATCH($A20,GDP_CGE!$A$3:$A$21,0),MATCH(E$9,GDP_CGE!$A$3:$AN$3,0)),GDP_Simple!E18)</f>
        <v>14.999000000000001</v>
      </c>
      <c r="F20">
        <f>IF($C$3="CGE",INDEX(GDP_CGE!$A$3:$AN$21,MATCH($A20,GDP_CGE!$A$3:$A$21,0),MATCH(F$9,GDP_CGE!$A$3:$AN$3,0)),GDP_Simple!F18)</f>
        <v>15.18</v>
      </c>
      <c r="G20">
        <f>IF($C$3="CGE",INDEX(GDP_CGE!$A$3:$AN$21,MATCH($A20,GDP_CGE!$A$3:$A$21,0),MATCH(G$9,GDP_CGE!$A$3:$AN$3,0)),GDP_Simple!G18)</f>
        <v>15.356</v>
      </c>
      <c r="H20">
        <f>IF($C$3="CGE",INDEX(GDP_CGE!$A$3:$AN$21,MATCH($A20,GDP_CGE!$A$3:$A$21,0),MATCH(H$9,GDP_CGE!$A$3:$AN$3,0)),GDP_Simple!H18)</f>
        <v>15.564</v>
      </c>
      <c r="I20">
        <f>IF($C$3="CGE",INDEX(GDP_CGE!$A$3:$AN$21,MATCH($A20,GDP_CGE!$A$3:$A$21,0),MATCH(I$9,GDP_CGE!$A$3:$AN$3,0)),GDP_Simple!I18)</f>
        <v>15.58</v>
      </c>
      <c r="J20">
        <f>IF($C$3="CGE",INDEX(GDP_CGE!$A$3:$AN$21,MATCH($A20,GDP_CGE!$A$3:$A$21,0),MATCH(J$9,GDP_CGE!$A$3:$AN$3,0)),GDP_Simple!J18)</f>
        <v>14.3</v>
      </c>
      <c r="K20">
        <f>IF($C$3="CGE",INDEX(GDP_CGE!$A$3:$AN$21,MATCH($A20,GDP_CGE!$A$3:$A$21,0),MATCH(K$9,GDP_CGE!$A$3:$AN$3,0)),GDP_Simple!K18)</f>
        <v>14.823</v>
      </c>
      <c r="L20">
        <f>IF($C$3="CGE",INDEX(GDP_CGE!$A$3:$AN$21,MATCH($A20,GDP_CGE!$A$3:$A$21,0),MATCH(L$9,GDP_CGE!$A$3:$AN$3,0)),GDP_Simple!L18)</f>
        <v>15.223000000000001</v>
      </c>
      <c r="M20">
        <f>IF($C$3="CGE",INDEX(GDP_CGE!$A$3:$AN$21,MATCH($A20,GDP_CGE!$A$3:$A$21,0),MATCH(M$9,GDP_CGE!$A$3:$AN$3,0)),GDP_Simple!M18)</f>
        <v>15.616</v>
      </c>
      <c r="N20">
        <f>IF($C$3="CGE",INDEX(GDP_CGE!$A$3:$AN$21,MATCH($A20,GDP_CGE!$A$3:$A$21,0),MATCH(N$9,GDP_CGE!$A$3:$AN$3,0)),GDP_Simple!N18)</f>
        <v>16.039000000000001</v>
      </c>
      <c r="O20">
        <f>IF($C$3="CGE",INDEX(GDP_CGE!$A$3:$AN$21,MATCH($A20,GDP_CGE!$A$3:$A$21,0),MATCH(O$9,GDP_CGE!$A$3:$AN$3,0)),GDP_Simple!O18)</f>
        <v>16.61</v>
      </c>
      <c r="P20">
        <f>IF($C$3="CGE",INDEX(GDP_CGE!$A$3:$AN$21,MATCH($A20,GDP_CGE!$A$3:$A$21,0),MATCH(P$9,GDP_CGE!$A$3:$AN$3,0)),GDP_Simple!P18)</f>
        <v>17.207999999999998</v>
      </c>
      <c r="Q20">
        <f>IF($C$3="CGE",INDEX(GDP_CGE!$A$3:$AN$21,MATCH($A20,GDP_CGE!$A$3:$A$21,0),MATCH(Q$9,GDP_CGE!$A$3:$AN$3,0)),GDP_Simple!Q18)</f>
        <v>17.878</v>
      </c>
      <c r="R20">
        <f>IF($C$3="CGE",INDEX(GDP_CGE!$A$3:$AN$21,MATCH($A20,GDP_CGE!$A$3:$A$21,0),MATCH(R$9,GDP_CGE!$A$3:$AN$3,0)),GDP_Simple!R18)</f>
        <v>18.596</v>
      </c>
      <c r="S20">
        <f>IF($C$3="CGE",INDEX(GDP_CGE!$A$3:$AN$21,MATCH($A20,GDP_CGE!$A$3:$A$21,0),MATCH(S$9,GDP_CGE!$A$3:$AN$3,0)),GDP_Simple!S18)</f>
        <v>19.439</v>
      </c>
      <c r="T20">
        <f>IF($C$3="CGE",INDEX(GDP_CGE!$A$3:$AN$21,MATCH($A20,GDP_CGE!$A$3:$A$21,0),MATCH(T$9,GDP_CGE!$A$3:$AN$3,0)),GDP_Simple!T18)</f>
        <v>20.379000000000001</v>
      </c>
      <c r="U20">
        <f>IF($C$3="CGE",INDEX(GDP_CGE!$A$3:$AN$21,MATCH($A20,GDP_CGE!$A$3:$A$21,0),MATCH(U$9,GDP_CGE!$A$3:$AN$3,0)),GDP_Simple!U18)</f>
        <v>21.312999999999999</v>
      </c>
      <c r="V20">
        <f>IF($C$3="CGE",INDEX(GDP_CGE!$A$3:$AN$21,MATCH($A20,GDP_CGE!$A$3:$A$21,0),MATCH(V$9,GDP_CGE!$A$3:$AN$3,0)),GDP_Simple!V18)</f>
        <v>22.273</v>
      </c>
      <c r="W20">
        <f>IF($C$3="CGE",INDEX(GDP_CGE!$A$3:$AN$21,MATCH($A20,GDP_CGE!$A$3:$A$21,0),MATCH(W$9,GDP_CGE!$A$3:$AN$3,0)),GDP_Simple!W18)</f>
        <v>23.263999999999999</v>
      </c>
      <c r="X20">
        <f>IF($C$3="CGE",INDEX(GDP_CGE!$A$3:$AN$21,MATCH($A20,GDP_CGE!$A$3:$A$21,0),MATCH(X$9,GDP_CGE!$A$3:$AN$3,0)),GDP_Simple!X18)</f>
        <v>24.29</v>
      </c>
      <c r="Y20">
        <f>IF($C$3="CGE",INDEX(GDP_CGE!$A$3:$AN$21,MATCH($A20,GDP_CGE!$A$3:$A$21,0),MATCH(Y$9,GDP_CGE!$A$3:$AN$3,0)),GDP_Simple!Y18)</f>
        <v>25.25</v>
      </c>
      <c r="Z20">
        <f>IF($C$3="CGE",INDEX(GDP_CGE!$A$3:$AN$21,MATCH($A20,GDP_CGE!$A$3:$A$21,0),MATCH(Z$9,GDP_CGE!$A$3:$AN$3,0)),GDP_Simple!Z18)</f>
        <v>26.239000000000001</v>
      </c>
      <c r="AA20">
        <f>IF($C$3="CGE",INDEX(GDP_CGE!$A$3:$AN$21,MATCH($A20,GDP_CGE!$A$3:$A$21,0),MATCH(AA$9,GDP_CGE!$A$3:$AN$3,0)),GDP_Simple!AA18)</f>
        <v>27.268000000000001</v>
      </c>
      <c r="AB20">
        <f>IF($C$3="CGE",INDEX(GDP_CGE!$A$3:$AN$21,MATCH($A20,GDP_CGE!$A$3:$A$21,0),MATCH(AB$9,GDP_CGE!$A$3:$AN$3,0)),GDP_Simple!AB18)</f>
        <v>28.327999999999999</v>
      </c>
      <c r="AC20">
        <f>IF($C$3="CGE",INDEX(GDP_CGE!$A$3:$AN$21,MATCH($A20,GDP_CGE!$A$3:$A$21,0),MATCH(AC$9,GDP_CGE!$A$3:$AN$3,0)),GDP_Simple!AC18)</f>
        <v>29.359000000000002</v>
      </c>
      <c r="AD20">
        <f>IF($C$3="CGE",INDEX(GDP_CGE!$A$3:$AN$21,MATCH($A20,GDP_CGE!$A$3:$A$21,0),MATCH(AD$9,GDP_CGE!$A$3:$AN$3,0)),GDP_Simple!AD18)</f>
        <v>30.454000000000001</v>
      </c>
      <c r="AE20">
        <f>IF($C$3="CGE",INDEX(GDP_CGE!$A$3:$AN$21,MATCH($A20,GDP_CGE!$A$3:$A$21,0),MATCH(AE$9,GDP_CGE!$A$3:$AN$3,0)),GDP_Simple!AE18)</f>
        <v>31.611999999999998</v>
      </c>
      <c r="AF20">
        <f>IF($C$3="CGE",INDEX(GDP_CGE!$A$3:$AN$21,MATCH($A20,GDP_CGE!$A$3:$A$21,0),MATCH(AF$9,GDP_CGE!$A$3:$AN$3,0)),GDP_Simple!AF18)</f>
        <v>32.823999999999998</v>
      </c>
      <c r="AG20">
        <f>IF($C$3="CGE",INDEX(GDP_CGE!$A$3:$AN$21,MATCH($A20,GDP_CGE!$A$3:$A$21,0),MATCH(AG$9,GDP_CGE!$A$3:$AN$3,0)),GDP_Simple!AG18)</f>
        <v>34.07</v>
      </c>
      <c r="AH20">
        <f>IF($C$3="CGE",INDEX(GDP_CGE!$A$3:$AN$21,MATCH($A20,GDP_CGE!$A$3:$A$21,0),MATCH(AH$9,GDP_CGE!$A$3:$AN$3,0)),GDP_Simple!AH18)</f>
        <v>35.378</v>
      </c>
      <c r="AI20">
        <f>IF($C$3="CGE",INDEX(GDP_CGE!$A$3:$AN$21,MATCH($A20,GDP_CGE!$A$3:$A$21,0),MATCH(AI$9,GDP_CGE!$A$3:$AN$3,0)),GDP_Simple!AI18)</f>
        <v>36.781999999999996</v>
      </c>
      <c r="AJ20">
        <f>IF($C$3="CGE",INDEX(GDP_CGE!$A$3:$AN$21,MATCH($A20,GDP_CGE!$A$3:$A$21,0),MATCH(AJ$9,GDP_CGE!$A$3:$AN$3,0)),GDP_Simple!AJ18)</f>
        <v>38.258000000000003</v>
      </c>
      <c r="AK20">
        <f>IF($C$3="CGE",INDEX(GDP_CGE!$A$3:$AN$21,MATCH($A20,GDP_CGE!$A$3:$A$21,0),MATCH(AK$9,GDP_CGE!$A$3:$AN$3,0)),GDP_Simple!AK18)</f>
        <v>39.805999999999997</v>
      </c>
      <c r="AL20">
        <f>IF($C$3="CGE",INDEX(GDP_CGE!$A$3:$AN$21,MATCH($A20,GDP_CGE!$A$3:$A$21,0),MATCH(AL$9,GDP_CGE!$A$3:$AN$3,0)),GDP_Simple!AL18)</f>
        <v>41.357999999999997</v>
      </c>
      <c r="AM20">
        <f>IF($C$3="CGE",INDEX(GDP_CGE!$A$3:$AN$21,MATCH($A20,GDP_CGE!$A$3:$A$21,0),MATCH(AM$9,GDP_CGE!$A$3:$AN$3,0)),GDP_Simple!AM18)</f>
        <v>42.982999999999997</v>
      </c>
      <c r="AN20">
        <f>IF($C$3="CGE",INDEX(GDP_CGE!$A$3:$AN$21,MATCH($A20,GDP_CGE!$A$3:$A$21,0),MATCH(AN$9,GDP_CGE!$A$3:$AN$3,0)),GDP_Simple!AN18)</f>
        <v>44.703000000000003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235.49799999999999</v>
      </c>
      <c r="C21">
        <f>IF($C$3="CGE",INDEX(GDP_CGE!$A$3:$AN$21,MATCH($A21,GDP_CGE!$A$3:$A$21,0),MATCH(C$9,GDP_CGE!$A$3:$AN$3,0)),GDP_Simple!C19)</f>
        <v>242.05600000000001</v>
      </c>
      <c r="D21">
        <f>IF($C$3="CGE",INDEX(GDP_CGE!$A$3:$AN$21,MATCH($A21,GDP_CGE!$A$3:$A$21,0),MATCH(D$9,GDP_CGE!$A$3:$AN$3,0)),GDP_Simple!D19)</f>
        <v>246.69399999999999</v>
      </c>
      <c r="E21">
        <f>IF($C$3="CGE",INDEX(GDP_CGE!$A$3:$AN$21,MATCH($A21,GDP_CGE!$A$3:$A$21,0),MATCH(E$9,GDP_CGE!$A$3:$AN$3,0)),GDP_Simple!E19)</f>
        <v>250.125</v>
      </c>
      <c r="F21">
        <f>IF($C$3="CGE",INDEX(GDP_CGE!$A$3:$AN$21,MATCH($A21,GDP_CGE!$A$3:$A$21,0),MATCH(F$9,GDP_CGE!$A$3:$AN$3,0)),GDP_Simple!F19)</f>
        <v>252.709</v>
      </c>
      <c r="G21">
        <f>IF($C$3="CGE",INDEX(GDP_CGE!$A$3:$AN$21,MATCH($A21,GDP_CGE!$A$3:$A$21,0),MATCH(G$9,GDP_CGE!$A$3:$AN$3,0)),GDP_Simple!G19)</f>
        <v>254.65</v>
      </c>
      <c r="H21">
        <f>IF($C$3="CGE",INDEX(GDP_CGE!$A$3:$AN$21,MATCH($A21,GDP_CGE!$A$3:$A$21,0),MATCH(H$9,GDP_CGE!$A$3:$AN$3,0)),GDP_Simple!H19)</f>
        <v>257.584</v>
      </c>
      <c r="I21">
        <f>IF($C$3="CGE",INDEX(GDP_CGE!$A$3:$AN$21,MATCH($A21,GDP_CGE!$A$3:$A$21,0),MATCH(I$9,GDP_CGE!$A$3:$AN$3,0)),GDP_Simple!I19)</f>
        <v>257.30799999999999</v>
      </c>
      <c r="J21">
        <f>IF($C$3="CGE",INDEX(GDP_CGE!$A$3:$AN$21,MATCH($A21,GDP_CGE!$A$3:$A$21,0),MATCH(J$9,GDP_CGE!$A$3:$AN$3,0)),GDP_Simple!J19)</f>
        <v>233.197</v>
      </c>
      <c r="K21">
        <f>IF($C$3="CGE",INDEX(GDP_CGE!$A$3:$AN$21,MATCH($A21,GDP_CGE!$A$3:$A$21,0),MATCH(K$9,GDP_CGE!$A$3:$AN$3,0)),GDP_Simple!K19)</f>
        <v>242.07400000000001</v>
      </c>
      <c r="L21">
        <f>IF($C$3="CGE",INDEX(GDP_CGE!$A$3:$AN$21,MATCH($A21,GDP_CGE!$A$3:$A$21,0),MATCH(L$9,GDP_CGE!$A$3:$AN$3,0)),GDP_Simple!L19)</f>
        <v>248.887</v>
      </c>
      <c r="M21">
        <f>IF($C$3="CGE",INDEX(GDP_CGE!$A$3:$AN$21,MATCH($A21,GDP_CGE!$A$3:$A$21,0),MATCH(M$9,GDP_CGE!$A$3:$AN$3,0)),GDP_Simple!M19)</f>
        <v>255.44300000000001</v>
      </c>
      <c r="N21">
        <f>IF($C$3="CGE",INDEX(GDP_CGE!$A$3:$AN$21,MATCH($A21,GDP_CGE!$A$3:$A$21,0),MATCH(N$9,GDP_CGE!$A$3:$AN$3,0)),GDP_Simple!N19)</f>
        <v>262.512</v>
      </c>
      <c r="O21">
        <f>IF($C$3="CGE",INDEX(GDP_CGE!$A$3:$AN$21,MATCH($A21,GDP_CGE!$A$3:$A$21,0),MATCH(O$9,GDP_CGE!$A$3:$AN$3,0)),GDP_Simple!O19)</f>
        <v>272.34300000000002</v>
      </c>
      <c r="P21">
        <f>IF($C$3="CGE",INDEX(GDP_CGE!$A$3:$AN$21,MATCH($A21,GDP_CGE!$A$3:$A$21,0),MATCH(P$9,GDP_CGE!$A$3:$AN$3,0)),GDP_Simple!P19)</f>
        <v>282.411</v>
      </c>
      <c r="Q21">
        <f>IF($C$3="CGE",INDEX(GDP_CGE!$A$3:$AN$21,MATCH($A21,GDP_CGE!$A$3:$A$21,0),MATCH(Q$9,GDP_CGE!$A$3:$AN$3,0)),GDP_Simple!Q19)</f>
        <v>293.55399999999997</v>
      </c>
      <c r="R21">
        <f>IF($C$3="CGE",INDEX(GDP_CGE!$A$3:$AN$21,MATCH($A21,GDP_CGE!$A$3:$A$21,0),MATCH(R$9,GDP_CGE!$A$3:$AN$3,0)),GDP_Simple!R19)</f>
        <v>305.529</v>
      </c>
      <c r="S21">
        <f>IF($C$3="CGE",INDEX(GDP_CGE!$A$3:$AN$21,MATCH($A21,GDP_CGE!$A$3:$A$21,0),MATCH(S$9,GDP_CGE!$A$3:$AN$3,0)),GDP_Simple!S19)</f>
        <v>319.572</v>
      </c>
      <c r="T21">
        <f>IF($C$3="CGE",INDEX(GDP_CGE!$A$3:$AN$21,MATCH($A21,GDP_CGE!$A$3:$A$21,0),MATCH(T$9,GDP_CGE!$A$3:$AN$3,0)),GDP_Simple!T19)</f>
        <v>334.851</v>
      </c>
      <c r="U21">
        <f>IF($C$3="CGE",INDEX(GDP_CGE!$A$3:$AN$21,MATCH($A21,GDP_CGE!$A$3:$A$21,0),MATCH(U$9,GDP_CGE!$A$3:$AN$3,0)),GDP_Simple!U19)</f>
        <v>350.07799999999997</v>
      </c>
      <c r="V21">
        <f>IF($C$3="CGE",INDEX(GDP_CGE!$A$3:$AN$21,MATCH($A21,GDP_CGE!$A$3:$A$21,0),MATCH(V$9,GDP_CGE!$A$3:$AN$3,0)),GDP_Simple!V19)</f>
        <v>365.97699999999998</v>
      </c>
      <c r="W21">
        <f>IF($C$3="CGE",INDEX(GDP_CGE!$A$3:$AN$21,MATCH($A21,GDP_CGE!$A$3:$A$21,0),MATCH(W$9,GDP_CGE!$A$3:$AN$3,0)),GDP_Simple!W19)</f>
        <v>382.30200000000002</v>
      </c>
      <c r="X21">
        <f>IF($C$3="CGE",INDEX(GDP_CGE!$A$3:$AN$21,MATCH($A21,GDP_CGE!$A$3:$A$21,0),MATCH(X$9,GDP_CGE!$A$3:$AN$3,0)),GDP_Simple!X19)</f>
        <v>399.27499999999998</v>
      </c>
      <c r="Y21">
        <f>IF($C$3="CGE",INDEX(GDP_CGE!$A$3:$AN$21,MATCH($A21,GDP_CGE!$A$3:$A$21,0),MATCH(Y$9,GDP_CGE!$A$3:$AN$3,0)),GDP_Simple!Y19)</f>
        <v>415.25099999999998</v>
      </c>
      <c r="Z21">
        <f>IF($C$3="CGE",INDEX(GDP_CGE!$A$3:$AN$21,MATCH($A21,GDP_CGE!$A$3:$A$21,0),MATCH(Z$9,GDP_CGE!$A$3:$AN$3,0)),GDP_Simple!Z19)</f>
        <v>431.65600000000001</v>
      </c>
      <c r="AA21">
        <f>IF($C$3="CGE",INDEX(GDP_CGE!$A$3:$AN$21,MATCH($A21,GDP_CGE!$A$3:$A$21,0),MATCH(AA$9,GDP_CGE!$A$3:$AN$3,0)),GDP_Simple!AA19)</f>
        <v>449.02100000000002</v>
      </c>
      <c r="AB21">
        <f>IF($C$3="CGE",INDEX(GDP_CGE!$A$3:$AN$21,MATCH($A21,GDP_CGE!$A$3:$A$21,0),MATCH(AB$9,GDP_CGE!$A$3:$AN$3,0)),GDP_Simple!AB19)</f>
        <v>466.81299999999999</v>
      </c>
      <c r="AC21">
        <f>IF($C$3="CGE",INDEX(GDP_CGE!$A$3:$AN$21,MATCH($A21,GDP_CGE!$A$3:$A$21,0),MATCH(AC$9,GDP_CGE!$A$3:$AN$3,0)),GDP_Simple!AC19)</f>
        <v>484.09699999999998</v>
      </c>
      <c r="AD21">
        <f>IF($C$3="CGE",INDEX(GDP_CGE!$A$3:$AN$21,MATCH($A21,GDP_CGE!$A$3:$A$21,0),MATCH(AD$9,GDP_CGE!$A$3:$AN$3,0)),GDP_Simple!AD19)</f>
        <v>502.505</v>
      </c>
      <c r="AE21">
        <f>IF($C$3="CGE",INDEX(GDP_CGE!$A$3:$AN$21,MATCH($A21,GDP_CGE!$A$3:$A$21,0),MATCH(AE$9,GDP_CGE!$A$3:$AN$3,0)),GDP_Simple!AE19)</f>
        <v>521.69299999999998</v>
      </c>
      <c r="AF21">
        <f>IF($C$3="CGE",INDEX(GDP_CGE!$A$3:$AN$21,MATCH($A21,GDP_CGE!$A$3:$A$21,0),MATCH(AF$9,GDP_CGE!$A$3:$AN$3,0)),GDP_Simple!AF19)</f>
        <v>541.78200000000004</v>
      </c>
      <c r="AG21">
        <f>IF($C$3="CGE",INDEX(GDP_CGE!$A$3:$AN$21,MATCH($A21,GDP_CGE!$A$3:$A$21,0),MATCH(AG$9,GDP_CGE!$A$3:$AN$3,0)),GDP_Simple!AG19)</f>
        <v>562.36500000000001</v>
      </c>
      <c r="AH21">
        <f>IF($C$3="CGE",INDEX(GDP_CGE!$A$3:$AN$21,MATCH($A21,GDP_CGE!$A$3:$A$21,0),MATCH(AH$9,GDP_CGE!$A$3:$AN$3,0)),GDP_Simple!AH19)</f>
        <v>583.91600000000005</v>
      </c>
      <c r="AI21">
        <f>IF($C$3="CGE",INDEX(GDP_CGE!$A$3:$AN$21,MATCH($A21,GDP_CGE!$A$3:$A$21,0),MATCH(AI$9,GDP_CGE!$A$3:$AN$3,0)),GDP_Simple!AI19)</f>
        <v>607.21100000000001</v>
      </c>
      <c r="AJ21">
        <f>IF($C$3="CGE",INDEX(GDP_CGE!$A$3:$AN$21,MATCH($A21,GDP_CGE!$A$3:$A$21,0),MATCH(AJ$9,GDP_CGE!$A$3:$AN$3,0)),GDP_Simple!AJ19)</f>
        <v>631.76900000000001</v>
      </c>
      <c r="AK21">
        <f>IF($C$3="CGE",INDEX(GDP_CGE!$A$3:$AN$21,MATCH($A21,GDP_CGE!$A$3:$A$21,0),MATCH(AK$9,GDP_CGE!$A$3:$AN$3,0)),GDP_Simple!AK19)</f>
        <v>657.56600000000003</v>
      </c>
      <c r="AL21">
        <f>IF($C$3="CGE",INDEX(GDP_CGE!$A$3:$AN$21,MATCH($A21,GDP_CGE!$A$3:$A$21,0),MATCH(AL$9,GDP_CGE!$A$3:$AN$3,0)),GDP_Simple!AL19)</f>
        <v>683.5</v>
      </c>
      <c r="AM21">
        <f>IF($C$3="CGE",INDEX(GDP_CGE!$A$3:$AN$21,MATCH($A21,GDP_CGE!$A$3:$A$21,0),MATCH(AM$9,GDP_CGE!$A$3:$AN$3,0)),GDP_Simple!AM19)</f>
        <v>710.71199999999999</v>
      </c>
      <c r="AN21">
        <f>IF($C$3="CGE",INDEX(GDP_CGE!$A$3:$AN$21,MATCH($A21,GDP_CGE!$A$3:$A$21,0),MATCH(AN$9,GDP_CGE!$A$3:$AN$3,0)),GDP_Simple!AN19)</f>
        <v>739.49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27.515999999999998</v>
      </c>
      <c r="C22">
        <f>IF($C$3="CGE",INDEX(GDP_CGE!$A$3:$AN$21,MATCH($A22,GDP_CGE!$A$3:$A$21,0),MATCH(C$9,GDP_CGE!$A$3:$AN$3,0)),GDP_Simple!C20)</f>
        <v>26.898</v>
      </c>
      <c r="D22">
        <f>IF($C$3="CGE",INDEX(GDP_CGE!$A$3:$AN$21,MATCH($A22,GDP_CGE!$A$3:$A$21,0),MATCH(D$9,GDP_CGE!$A$3:$AN$3,0)),GDP_Simple!D20)</f>
        <v>26.286000000000001</v>
      </c>
      <c r="E22">
        <f>IF($C$3="CGE",INDEX(GDP_CGE!$A$3:$AN$21,MATCH($A22,GDP_CGE!$A$3:$A$21,0),MATCH(E$9,GDP_CGE!$A$3:$AN$3,0)),GDP_Simple!E20)</f>
        <v>25.675000000000001</v>
      </c>
      <c r="F22">
        <f>IF($C$3="CGE",INDEX(GDP_CGE!$A$3:$AN$21,MATCH($A22,GDP_CGE!$A$3:$A$21,0),MATCH(F$9,GDP_CGE!$A$3:$AN$3,0)),GDP_Simple!F20)</f>
        <v>25.675000000000001</v>
      </c>
      <c r="G22">
        <f>IF($C$3="CGE",INDEX(GDP_CGE!$A$3:$AN$21,MATCH($A22,GDP_CGE!$A$3:$A$21,0),MATCH(G$9,GDP_CGE!$A$3:$AN$3,0)),GDP_Simple!G20)</f>
        <v>25.675000000000001</v>
      </c>
      <c r="H22">
        <f>IF($C$3="CGE",INDEX(GDP_CGE!$A$3:$AN$21,MATCH($A22,GDP_CGE!$A$3:$A$21,0),MATCH(H$9,GDP_CGE!$A$3:$AN$3,0)),GDP_Simple!H20)</f>
        <v>25.658999999999999</v>
      </c>
      <c r="I22">
        <f>IF($C$3="CGE",INDEX(GDP_CGE!$A$3:$AN$21,MATCH($A22,GDP_CGE!$A$3:$A$21,0),MATCH(I$9,GDP_CGE!$A$3:$AN$3,0)),GDP_Simple!I20)</f>
        <v>25.655000000000001</v>
      </c>
      <c r="J22">
        <f>IF($C$3="CGE",INDEX(GDP_CGE!$A$3:$AN$21,MATCH($A22,GDP_CGE!$A$3:$A$21,0),MATCH(J$9,GDP_CGE!$A$3:$AN$3,0)),GDP_Simple!J20)</f>
        <v>25.658999999999999</v>
      </c>
      <c r="K22">
        <f>IF($C$3="CGE",INDEX(GDP_CGE!$A$3:$AN$21,MATCH($A22,GDP_CGE!$A$3:$A$21,0),MATCH(K$9,GDP_CGE!$A$3:$AN$3,0)),GDP_Simple!K20)</f>
        <v>25.658999999999999</v>
      </c>
      <c r="L22">
        <f>IF($C$3="CGE",INDEX(GDP_CGE!$A$3:$AN$21,MATCH($A22,GDP_CGE!$A$3:$A$21,0),MATCH(L$9,GDP_CGE!$A$3:$AN$3,0)),GDP_Simple!L20)</f>
        <v>25.658999999999999</v>
      </c>
      <c r="M22">
        <f>IF($C$3="CGE",INDEX(GDP_CGE!$A$3:$AN$21,MATCH($A22,GDP_CGE!$A$3:$A$21,0),MATCH(M$9,GDP_CGE!$A$3:$AN$3,0)),GDP_Simple!M20)</f>
        <v>25.658999999999999</v>
      </c>
      <c r="N22">
        <f>IF($C$3="CGE",INDEX(GDP_CGE!$A$3:$AN$21,MATCH($A22,GDP_CGE!$A$3:$A$21,0),MATCH(N$9,GDP_CGE!$A$3:$AN$3,0)),GDP_Simple!N20)</f>
        <v>25.658999999999999</v>
      </c>
      <c r="O22">
        <f>IF($C$3="CGE",INDEX(GDP_CGE!$A$3:$AN$21,MATCH($A22,GDP_CGE!$A$3:$A$21,0),MATCH(O$9,GDP_CGE!$A$3:$AN$3,0)),GDP_Simple!O20)</f>
        <v>25.113</v>
      </c>
      <c r="P22">
        <f>IF($C$3="CGE",INDEX(GDP_CGE!$A$3:$AN$21,MATCH($A22,GDP_CGE!$A$3:$A$21,0),MATCH(P$9,GDP_CGE!$A$3:$AN$3,0)),GDP_Simple!P20)</f>
        <v>25.113</v>
      </c>
      <c r="Q22">
        <f>IF($C$3="CGE",INDEX(GDP_CGE!$A$3:$AN$21,MATCH($A22,GDP_CGE!$A$3:$A$21,0),MATCH(Q$9,GDP_CGE!$A$3:$AN$3,0)),GDP_Simple!Q20)</f>
        <v>25.102</v>
      </c>
      <c r="R22">
        <f>IF($C$3="CGE",INDEX(GDP_CGE!$A$3:$AN$21,MATCH($A22,GDP_CGE!$A$3:$A$21,0),MATCH(R$9,GDP_CGE!$A$3:$AN$3,0)),GDP_Simple!R20)</f>
        <v>25.102</v>
      </c>
      <c r="S22">
        <f>IF($C$3="CGE",INDEX(GDP_CGE!$A$3:$AN$21,MATCH($A22,GDP_CGE!$A$3:$A$21,0),MATCH(S$9,GDP_CGE!$A$3:$AN$3,0)),GDP_Simple!S20)</f>
        <v>25.102</v>
      </c>
      <c r="T22">
        <f>IF($C$3="CGE",INDEX(GDP_CGE!$A$3:$AN$21,MATCH($A22,GDP_CGE!$A$3:$A$21,0),MATCH(T$9,GDP_CGE!$A$3:$AN$3,0)),GDP_Simple!T20)</f>
        <v>25.102</v>
      </c>
      <c r="U22">
        <f>IF($C$3="CGE",INDEX(GDP_CGE!$A$3:$AN$21,MATCH($A22,GDP_CGE!$A$3:$A$21,0),MATCH(U$9,GDP_CGE!$A$3:$AN$3,0)),GDP_Simple!U20)</f>
        <v>23.623000000000001</v>
      </c>
      <c r="V22">
        <f>IF($C$3="CGE",INDEX(GDP_CGE!$A$3:$AN$21,MATCH($A22,GDP_CGE!$A$3:$A$21,0),MATCH(V$9,GDP_CGE!$A$3:$AN$3,0)),GDP_Simple!V20)</f>
        <v>22.463000000000001</v>
      </c>
      <c r="W22">
        <f>IF($C$3="CGE",INDEX(GDP_CGE!$A$3:$AN$21,MATCH($A22,GDP_CGE!$A$3:$A$21,0),MATCH(W$9,GDP_CGE!$A$3:$AN$3,0)),GDP_Simple!W20)</f>
        <v>21.690999999999999</v>
      </c>
      <c r="X22">
        <f>IF($C$3="CGE",INDEX(GDP_CGE!$A$3:$AN$21,MATCH($A22,GDP_CGE!$A$3:$A$21,0),MATCH(X$9,GDP_CGE!$A$3:$AN$3,0)),GDP_Simple!X20)</f>
        <v>20.882999999999999</v>
      </c>
      <c r="Y22">
        <f>IF($C$3="CGE",INDEX(GDP_CGE!$A$3:$AN$21,MATCH($A22,GDP_CGE!$A$3:$A$21,0),MATCH(Y$9,GDP_CGE!$A$3:$AN$3,0)),GDP_Simple!Y20)</f>
        <v>20.18</v>
      </c>
      <c r="Z22">
        <f>IF($C$3="CGE",INDEX(GDP_CGE!$A$3:$AN$21,MATCH($A22,GDP_CGE!$A$3:$A$21,0),MATCH(Z$9,GDP_CGE!$A$3:$AN$3,0)),GDP_Simple!Z20)</f>
        <v>19.571999999999999</v>
      </c>
      <c r="AA22">
        <f>IF($C$3="CGE",INDEX(GDP_CGE!$A$3:$AN$21,MATCH($A22,GDP_CGE!$A$3:$A$21,0),MATCH(AA$9,GDP_CGE!$A$3:$AN$3,0)),GDP_Simple!AA20)</f>
        <v>18.382000000000001</v>
      </c>
      <c r="AB22">
        <f>IF($C$3="CGE",INDEX(GDP_CGE!$A$3:$AN$21,MATCH($A22,GDP_CGE!$A$3:$A$21,0),MATCH(AB$9,GDP_CGE!$A$3:$AN$3,0)),GDP_Simple!AB20)</f>
        <v>17.873000000000001</v>
      </c>
      <c r="AC22">
        <f>IF($C$3="CGE",INDEX(GDP_CGE!$A$3:$AN$21,MATCH($A22,GDP_CGE!$A$3:$A$21,0),MATCH(AC$9,GDP_CGE!$A$3:$AN$3,0)),GDP_Simple!AC20)</f>
        <v>17.364999999999998</v>
      </c>
      <c r="AD22">
        <f>IF($C$3="CGE",INDEX(GDP_CGE!$A$3:$AN$21,MATCH($A22,GDP_CGE!$A$3:$A$21,0),MATCH(AD$9,GDP_CGE!$A$3:$AN$3,0)),GDP_Simple!AD20)</f>
        <v>16.856000000000002</v>
      </c>
      <c r="AE22">
        <f>IF($C$3="CGE",INDEX(GDP_CGE!$A$3:$AN$21,MATCH($A22,GDP_CGE!$A$3:$A$21,0),MATCH(AE$9,GDP_CGE!$A$3:$AN$3,0)),GDP_Simple!AE20)</f>
        <v>17.41</v>
      </c>
      <c r="AF22">
        <f>IF($C$3="CGE",INDEX(GDP_CGE!$A$3:$AN$21,MATCH($A22,GDP_CGE!$A$3:$A$21,0),MATCH(AF$9,GDP_CGE!$A$3:$AN$3,0)),GDP_Simple!AF20)</f>
        <v>17.965</v>
      </c>
      <c r="AG22">
        <f>IF($C$3="CGE",INDEX(GDP_CGE!$A$3:$AN$21,MATCH($A22,GDP_CGE!$A$3:$A$21,0),MATCH(AG$9,GDP_CGE!$A$3:$AN$3,0)),GDP_Simple!AG20)</f>
        <v>18.518999999999998</v>
      </c>
      <c r="AH22">
        <f>IF($C$3="CGE",INDEX(GDP_CGE!$A$3:$AN$21,MATCH($A22,GDP_CGE!$A$3:$A$21,0),MATCH(AH$9,GDP_CGE!$A$3:$AN$3,0)),GDP_Simple!AH20)</f>
        <v>19.074000000000002</v>
      </c>
      <c r="AI22">
        <f>IF($C$3="CGE",INDEX(GDP_CGE!$A$3:$AN$21,MATCH($A22,GDP_CGE!$A$3:$A$21,0),MATCH(AI$9,GDP_CGE!$A$3:$AN$3,0)),GDP_Simple!AI20)</f>
        <v>19.628</v>
      </c>
      <c r="AJ22">
        <f>IF($C$3="CGE",INDEX(GDP_CGE!$A$3:$AN$21,MATCH($A22,GDP_CGE!$A$3:$A$21,0),MATCH(AJ$9,GDP_CGE!$A$3:$AN$3,0)),GDP_Simple!AJ20)</f>
        <v>19.838999999999999</v>
      </c>
      <c r="AK22">
        <f>IF($C$3="CGE",INDEX(GDP_CGE!$A$3:$AN$21,MATCH($A22,GDP_CGE!$A$3:$A$21,0),MATCH(AK$9,GDP_CGE!$A$3:$AN$3,0)),GDP_Simple!AK20)</f>
        <v>20.050999999999998</v>
      </c>
      <c r="AL22">
        <f>IF($C$3="CGE",INDEX(GDP_CGE!$A$3:$AN$21,MATCH($A22,GDP_CGE!$A$3:$A$21,0),MATCH(AL$9,GDP_CGE!$A$3:$AN$3,0)),GDP_Simple!AL20)</f>
        <v>20.262</v>
      </c>
      <c r="AM22">
        <f>IF($C$3="CGE",INDEX(GDP_CGE!$A$3:$AN$21,MATCH($A22,GDP_CGE!$A$3:$A$21,0),MATCH(AM$9,GDP_CGE!$A$3:$AN$3,0)),GDP_Simple!AM20)</f>
        <v>20.472999999999999</v>
      </c>
      <c r="AN22">
        <f>IF($C$3="CGE",INDEX(GDP_CGE!$A$3:$AN$21,MATCH($A22,GDP_CGE!$A$3:$A$21,0),MATCH(AN$9,GDP_CGE!$A$3:$AN$3,0)),GDP_Simple!AN20)</f>
        <v>20.684999999999999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17.782</v>
      </c>
      <c r="C23">
        <f>IF($C$3="CGE",INDEX(GDP_CGE!$A$3:$AN$21,MATCH($A23,GDP_CGE!$A$3:$A$21,0),MATCH(C$9,GDP_CGE!$A$3:$AN$3,0)),GDP_Simple!C21)</f>
        <v>18.231000000000002</v>
      </c>
      <c r="D23">
        <f>IF($C$3="CGE",INDEX(GDP_CGE!$A$3:$AN$21,MATCH($A23,GDP_CGE!$A$3:$A$21,0),MATCH(D$9,GDP_CGE!$A$3:$AN$3,0)),GDP_Simple!D21)</f>
        <v>18.620999999999999</v>
      </c>
      <c r="E23">
        <f>IF($C$3="CGE",INDEX(GDP_CGE!$A$3:$AN$21,MATCH($A23,GDP_CGE!$A$3:$A$21,0),MATCH(E$9,GDP_CGE!$A$3:$AN$3,0)),GDP_Simple!E21)</f>
        <v>18.835000000000001</v>
      </c>
      <c r="F23">
        <f>IF($C$3="CGE",INDEX(GDP_CGE!$A$3:$AN$21,MATCH($A23,GDP_CGE!$A$3:$A$21,0),MATCH(F$9,GDP_CGE!$A$3:$AN$3,0)),GDP_Simple!F21)</f>
        <v>19.187000000000001</v>
      </c>
      <c r="G23">
        <f>IF($C$3="CGE",INDEX(GDP_CGE!$A$3:$AN$21,MATCH($A23,GDP_CGE!$A$3:$A$21,0),MATCH(G$9,GDP_CGE!$A$3:$AN$3,0)),GDP_Simple!G21)</f>
        <v>19.315000000000001</v>
      </c>
      <c r="H23">
        <f>IF($C$3="CGE",INDEX(GDP_CGE!$A$3:$AN$21,MATCH($A23,GDP_CGE!$A$3:$A$21,0),MATCH(H$9,GDP_CGE!$A$3:$AN$3,0)),GDP_Simple!H21)</f>
        <v>19.638999999999999</v>
      </c>
      <c r="I23">
        <f>IF($C$3="CGE",INDEX(GDP_CGE!$A$3:$AN$21,MATCH($A23,GDP_CGE!$A$3:$A$21,0),MATCH(I$9,GDP_CGE!$A$3:$AN$3,0)),GDP_Simple!I21)</f>
        <v>19.626000000000001</v>
      </c>
      <c r="J23">
        <f>IF($C$3="CGE",INDEX(GDP_CGE!$A$3:$AN$21,MATCH($A23,GDP_CGE!$A$3:$A$21,0),MATCH(J$9,GDP_CGE!$A$3:$AN$3,0)),GDP_Simple!J21)</f>
        <v>18.239999999999998</v>
      </c>
      <c r="K23">
        <f>IF($C$3="CGE",INDEX(GDP_CGE!$A$3:$AN$21,MATCH($A23,GDP_CGE!$A$3:$A$21,0),MATCH(K$9,GDP_CGE!$A$3:$AN$3,0)),GDP_Simple!K21)</f>
        <v>18.917999999999999</v>
      </c>
      <c r="L23">
        <f>IF($C$3="CGE",INDEX(GDP_CGE!$A$3:$AN$21,MATCH($A23,GDP_CGE!$A$3:$A$21,0),MATCH(L$9,GDP_CGE!$A$3:$AN$3,0)),GDP_Simple!L21)</f>
        <v>19.425000000000001</v>
      </c>
      <c r="M23">
        <f>IF($C$3="CGE",INDEX(GDP_CGE!$A$3:$AN$21,MATCH($A23,GDP_CGE!$A$3:$A$21,0),MATCH(M$9,GDP_CGE!$A$3:$AN$3,0)),GDP_Simple!M21)</f>
        <v>19.922000000000001</v>
      </c>
      <c r="N23">
        <f>IF($C$3="CGE",INDEX(GDP_CGE!$A$3:$AN$21,MATCH($A23,GDP_CGE!$A$3:$A$21,0),MATCH(N$9,GDP_CGE!$A$3:$AN$3,0)),GDP_Simple!N21)</f>
        <v>20.466000000000001</v>
      </c>
      <c r="O23">
        <f>IF($C$3="CGE",INDEX(GDP_CGE!$A$3:$AN$21,MATCH($A23,GDP_CGE!$A$3:$A$21,0),MATCH(O$9,GDP_CGE!$A$3:$AN$3,0)),GDP_Simple!O21)</f>
        <v>21.206</v>
      </c>
      <c r="P23">
        <f>IF($C$3="CGE",INDEX(GDP_CGE!$A$3:$AN$21,MATCH($A23,GDP_CGE!$A$3:$A$21,0),MATCH(P$9,GDP_CGE!$A$3:$AN$3,0)),GDP_Simple!P21)</f>
        <v>21.957999999999998</v>
      </c>
      <c r="Q23">
        <f>IF($C$3="CGE",INDEX(GDP_CGE!$A$3:$AN$21,MATCH($A23,GDP_CGE!$A$3:$A$21,0),MATCH(Q$9,GDP_CGE!$A$3:$AN$3,0)),GDP_Simple!Q21)</f>
        <v>22.791</v>
      </c>
      <c r="R23">
        <f>IF($C$3="CGE",INDEX(GDP_CGE!$A$3:$AN$21,MATCH($A23,GDP_CGE!$A$3:$A$21,0),MATCH(R$9,GDP_CGE!$A$3:$AN$3,0)),GDP_Simple!R21)</f>
        <v>23.710999999999999</v>
      </c>
      <c r="S23">
        <f>IF($C$3="CGE",INDEX(GDP_CGE!$A$3:$AN$21,MATCH($A23,GDP_CGE!$A$3:$A$21,0),MATCH(S$9,GDP_CGE!$A$3:$AN$3,0)),GDP_Simple!S21)</f>
        <v>24.783999999999999</v>
      </c>
      <c r="T23">
        <f>IF($C$3="CGE",INDEX(GDP_CGE!$A$3:$AN$21,MATCH($A23,GDP_CGE!$A$3:$A$21,0),MATCH(T$9,GDP_CGE!$A$3:$AN$3,0)),GDP_Simple!T21)</f>
        <v>25.948</v>
      </c>
      <c r="U23">
        <f>IF($C$3="CGE",INDEX(GDP_CGE!$A$3:$AN$21,MATCH($A23,GDP_CGE!$A$3:$A$21,0),MATCH(U$9,GDP_CGE!$A$3:$AN$3,0)),GDP_Simple!U21)</f>
        <v>27.114999999999998</v>
      </c>
      <c r="V23">
        <f>IF($C$3="CGE",INDEX(GDP_CGE!$A$3:$AN$21,MATCH($A23,GDP_CGE!$A$3:$A$21,0),MATCH(V$9,GDP_CGE!$A$3:$AN$3,0)),GDP_Simple!V21)</f>
        <v>28.314</v>
      </c>
      <c r="W23">
        <f>IF($C$3="CGE",INDEX(GDP_CGE!$A$3:$AN$21,MATCH($A23,GDP_CGE!$A$3:$A$21,0),MATCH(W$9,GDP_CGE!$A$3:$AN$3,0)),GDP_Simple!W21)</f>
        <v>29.516999999999999</v>
      </c>
      <c r="X23">
        <f>IF($C$3="CGE",INDEX(GDP_CGE!$A$3:$AN$21,MATCH($A23,GDP_CGE!$A$3:$A$21,0),MATCH(X$9,GDP_CGE!$A$3:$AN$3,0)),GDP_Simple!X21)</f>
        <v>30.771000000000001</v>
      </c>
      <c r="Y23">
        <f>IF($C$3="CGE",INDEX(GDP_CGE!$A$3:$AN$21,MATCH($A23,GDP_CGE!$A$3:$A$21,0),MATCH(Y$9,GDP_CGE!$A$3:$AN$3,0)),GDP_Simple!Y21)</f>
        <v>31.896000000000001</v>
      </c>
      <c r="Z23">
        <f>IF($C$3="CGE",INDEX(GDP_CGE!$A$3:$AN$21,MATCH($A23,GDP_CGE!$A$3:$A$21,0),MATCH(Z$9,GDP_CGE!$A$3:$AN$3,0)),GDP_Simple!Z21)</f>
        <v>33.064</v>
      </c>
      <c r="AA23">
        <f>IF($C$3="CGE",INDEX(GDP_CGE!$A$3:$AN$21,MATCH($A23,GDP_CGE!$A$3:$A$21,0),MATCH(AA$9,GDP_CGE!$A$3:$AN$3,0)),GDP_Simple!AA21)</f>
        <v>34.290999999999997</v>
      </c>
      <c r="AB23">
        <f>IF($C$3="CGE",INDEX(GDP_CGE!$A$3:$AN$21,MATCH($A23,GDP_CGE!$A$3:$A$21,0),MATCH(AB$9,GDP_CGE!$A$3:$AN$3,0)),GDP_Simple!AB21)</f>
        <v>35.558</v>
      </c>
      <c r="AC23">
        <f>IF($C$3="CGE",INDEX(GDP_CGE!$A$3:$AN$21,MATCH($A23,GDP_CGE!$A$3:$A$21,0),MATCH(AC$9,GDP_CGE!$A$3:$AN$3,0)),GDP_Simple!AC21)</f>
        <v>36.777999999999999</v>
      </c>
      <c r="AD23">
        <f>IF($C$3="CGE",INDEX(GDP_CGE!$A$3:$AN$21,MATCH($A23,GDP_CGE!$A$3:$A$21,0),MATCH(AD$9,GDP_CGE!$A$3:$AN$3,0)),GDP_Simple!AD21)</f>
        <v>38.079000000000001</v>
      </c>
      <c r="AE23">
        <f>IF($C$3="CGE",INDEX(GDP_CGE!$A$3:$AN$21,MATCH($A23,GDP_CGE!$A$3:$A$21,0),MATCH(AE$9,GDP_CGE!$A$3:$AN$3,0)),GDP_Simple!AE21)</f>
        <v>39.436999999999998</v>
      </c>
      <c r="AF23">
        <f>IF($C$3="CGE",INDEX(GDP_CGE!$A$3:$AN$21,MATCH($A23,GDP_CGE!$A$3:$A$21,0),MATCH(AF$9,GDP_CGE!$A$3:$AN$3,0)),GDP_Simple!AF21)</f>
        <v>40.875</v>
      </c>
      <c r="AG23">
        <f>IF($C$3="CGE",INDEX(GDP_CGE!$A$3:$AN$21,MATCH($A23,GDP_CGE!$A$3:$A$21,0),MATCH(AG$9,GDP_CGE!$A$3:$AN$3,0)),GDP_Simple!AG21)</f>
        <v>42.377000000000002</v>
      </c>
      <c r="AH23">
        <f>IF($C$3="CGE",INDEX(GDP_CGE!$A$3:$AN$21,MATCH($A23,GDP_CGE!$A$3:$A$21,0),MATCH(AH$9,GDP_CGE!$A$3:$AN$3,0)),GDP_Simple!AH21)</f>
        <v>43.95</v>
      </c>
      <c r="AI23">
        <f>IF($C$3="CGE",INDEX(GDP_CGE!$A$3:$AN$21,MATCH($A23,GDP_CGE!$A$3:$A$21,0),MATCH(AI$9,GDP_CGE!$A$3:$AN$3,0)),GDP_Simple!AI21)</f>
        <v>45.655999999999999</v>
      </c>
      <c r="AJ23">
        <f>IF($C$3="CGE",INDEX(GDP_CGE!$A$3:$AN$21,MATCH($A23,GDP_CGE!$A$3:$A$21,0),MATCH(AJ$9,GDP_CGE!$A$3:$AN$3,0)),GDP_Simple!AJ21)</f>
        <v>47.454999999999998</v>
      </c>
      <c r="AK23">
        <f>IF($C$3="CGE",INDEX(GDP_CGE!$A$3:$AN$21,MATCH($A23,GDP_CGE!$A$3:$A$21,0),MATCH(AK$9,GDP_CGE!$A$3:$AN$3,0)),GDP_Simple!AK21)</f>
        <v>49.344000000000001</v>
      </c>
      <c r="AL23">
        <f>IF($C$3="CGE",INDEX(GDP_CGE!$A$3:$AN$21,MATCH($A23,GDP_CGE!$A$3:$A$21,0),MATCH(AL$9,GDP_CGE!$A$3:$AN$3,0)),GDP_Simple!AL21)</f>
        <v>51.231000000000002</v>
      </c>
      <c r="AM23">
        <f>IF($C$3="CGE",INDEX(GDP_CGE!$A$3:$AN$21,MATCH($A23,GDP_CGE!$A$3:$A$21,0),MATCH(AM$9,GDP_CGE!$A$3:$AN$3,0)),GDP_Simple!AM21)</f>
        <v>53.204000000000001</v>
      </c>
      <c r="AN23">
        <f>IF($C$3="CGE",INDEX(GDP_CGE!$A$3:$AN$21,MATCH($A23,GDP_CGE!$A$3:$A$21,0),MATCH(AN$9,GDP_CGE!$A$3:$AN$3,0)),GDP_Simple!AN21)</f>
        <v>55.283999999999999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11.263999999999999</v>
      </c>
      <c r="C24">
        <f>IF($C$3="CGE",INDEX(GDP_CGE!$A$3:$AN$21,MATCH($A24,GDP_CGE!$A$3:$A$21,0),MATCH(C$9,GDP_CGE!$A$3:$AN$3,0)),GDP_Simple!C22)</f>
        <v>11.61</v>
      </c>
      <c r="D24">
        <f>IF($C$3="CGE",INDEX(GDP_CGE!$A$3:$AN$21,MATCH($A24,GDP_CGE!$A$3:$A$21,0),MATCH(D$9,GDP_CGE!$A$3:$AN$3,0)),GDP_Simple!D22)</f>
        <v>12.005000000000001</v>
      </c>
      <c r="E24">
        <f>IF($C$3="CGE",INDEX(GDP_CGE!$A$3:$AN$21,MATCH($A24,GDP_CGE!$A$3:$A$21,0),MATCH(E$9,GDP_CGE!$A$3:$AN$3,0)),GDP_Simple!E22)</f>
        <v>12.26</v>
      </c>
      <c r="F24">
        <f>IF($C$3="CGE",INDEX(GDP_CGE!$A$3:$AN$21,MATCH($A24,GDP_CGE!$A$3:$A$21,0),MATCH(F$9,GDP_CGE!$A$3:$AN$3,0)),GDP_Simple!F22)</f>
        <v>12.374000000000001</v>
      </c>
      <c r="G24">
        <f>IF($C$3="CGE",INDEX(GDP_CGE!$A$3:$AN$21,MATCH($A24,GDP_CGE!$A$3:$A$21,0),MATCH(G$9,GDP_CGE!$A$3:$AN$3,0)),GDP_Simple!G22)</f>
        <v>12.574</v>
      </c>
      <c r="H24">
        <f>IF($C$3="CGE",INDEX(GDP_CGE!$A$3:$AN$21,MATCH($A24,GDP_CGE!$A$3:$A$21,0),MATCH(H$9,GDP_CGE!$A$3:$AN$3,0)),GDP_Simple!H22)</f>
        <v>12.871</v>
      </c>
      <c r="I24">
        <f>IF($C$3="CGE",INDEX(GDP_CGE!$A$3:$AN$21,MATCH($A24,GDP_CGE!$A$3:$A$21,0),MATCH(I$9,GDP_CGE!$A$3:$AN$3,0)),GDP_Simple!I22)</f>
        <v>13.003</v>
      </c>
      <c r="J24">
        <f>IF($C$3="CGE",INDEX(GDP_CGE!$A$3:$AN$21,MATCH($A24,GDP_CGE!$A$3:$A$21,0),MATCH(J$9,GDP_CGE!$A$3:$AN$3,0)),GDP_Simple!J22)</f>
        <v>12.263</v>
      </c>
      <c r="K24">
        <f>IF($C$3="CGE",INDEX(GDP_CGE!$A$3:$AN$21,MATCH($A24,GDP_CGE!$A$3:$A$21,0),MATCH(K$9,GDP_CGE!$A$3:$AN$3,0)),GDP_Simple!K22)</f>
        <v>12.721</v>
      </c>
      <c r="L24">
        <f>IF($C$3="CGE",INDEX(GDP_CGE!$A$3:$AN$21,MATCH($A24,GDP_CGE!$A$3:$A$21,0),MATCH(L$9,GDP_CGE!$A$3:$AN$3,0)),GDP_Simple!L22)</f>
        <v>13.018000000000001</v>
      </c>
      <c r="M24">
        <f>IF($C$3="CGE",INDEX(GDP_CGE!$A$3:$AN$21,MATCH($A24,GDP_CGE!$A$3:$A$21,0),MATCH(M$9,GDP_CGE!$A$3:$AN$3,0)),GDP_Simple!M22)</f>
        <v>13.273</v>
      </c>
      <c r="N24">
        <f>IF($C$3="CGE",INDEX(GDP_CGE!$A$3:$AN$21,MATCH($A24,GDP_CGE!$A$3:$A$21,0),MATCH(N$9,GDP_CGE!$A$3:$AN$3,0)),GDP_Simple!N22)</f>
        <v>13.539</v>
      </c>
      <c r="O24">
        <f>IF($C$3="CGE",INDEX(GDP_CGE!$A$3:$AN$21,MATCH($A24,GDP_CGE!$A$3:$A$21,0),MATCH(O$9,GDP_CGE!$A$3:$AN$3,0)),GDP_Simple!O22)</f>
        <v>13.917999999999999</v>
      </c>
      <c r="P24">
        <f>IF($C$3="CGE",INDEX(GDP_CGE!$A$3:$AN$21,MATCH($A24,GDP_CGE!$A$3:$A$21,0),MATCH(P$9,GDP_CGE!$A$3:$AN$3,0)),GDP_Simple!P22)</f>
        <v>14.315</v>
      </c>
      <c r="Q24">
        <f>IF($C$3="CGE",INDEX(GDP_CGE!$A$3:$AN$21,MATCH($A24,GDP_CGE!$A$3:$A$21,0),MATCH(Q$9,GDP_CGE!$A$3:$AN$3,0)),GDP_Simple!Q22)</f>
        <v>14.726000000000001</v>
      </c>
      <c r="R24">
        <f>IF($C$3="CGE",INDEX(GDP_CGE!$A$3:$AN$21,MATCH($A24,GDP_CGE!$A$3:$A$21,0),MATCH(R$9,GDP_CGE!$A$3:$AN$3,0)),GDP_Simple!R22)</f>
        <v>15.173999999999999</v>
      </c>
      <c r="S24">
        <f>IF($C$3="CGE",INDEX(GDP_CGE!$A$3:$AN$21,MATCH($A24,GDP_CGE!$A$3:$A$21,0),MATCH(S$9,GDP_CGE!$A$3:$AN$3,0)),GDP_Simple!S22)</f>
        <v>15.694000000000001</v>
      </c>
      <c r="T24">
        <f>IF($C$3="CGE",INDEX(GDP_CGE!$A$3:$AN$21,MATCH($A24,GDP_CGE!$A$3:$A$21,0),MATCH(T$9,GDP_CGE!$A$3:$AN$3,0)),GDP_Simple!T22)</f>
        <v>16.306999999999999</v>
      </c>
      <c r="U24">
        <f>IF($C$3="CGE",INDEX(GDP_CGE!$A$3:$AN$21,MATCH($A24,GDP_CGE!$A$3:$A$21,0),MATCH(U$9,GDP_CGE!$A$3:$AN$3,0)),GDP_Simple!U22)</f>
        <v>16.922999999999998</v>
      </c>
      <c r="V24">
        <f>IF($C$3="CGE",INDEX(GDP_CGE!$A$3:$AN$21,MATCH($A24,GDP_CGE!$A$3:$A$21,0),MATCH(V$9,GDP_CGE!$A$3:$AN$3,0)),GDP_Simple!V22)</f>
        <v>17.491</v>
      </c>
      <c r="W24">
        <f>IF($C$3="CGE",INDEX(GDP_CGE!$A$3:$AN$21,MATCH($A24,GDP_CGE!$A$3:$A$21,0),MATCH(W$9,GDP_CGE!$A$3:$AN$3,0)),GDP_Simple!W22)</f>
        <v>18.087</v>
      </c>
      <c r="X24">
        <f>IF($C$3="CGE",INDEX(GDP_CGE!$A$3:$AN$21,MATCH($A24,GDP_CGE!$A$3:$A$21,0),MATCH(X$9,GDP_CGE!$A$3:$AN$3,0)),GDP_Simple!X22)</f>
        <v>18.677</v>
      </c>
      <c r="Y24">
        <f>IF($C$3="CGE",INDEX(GDP_CGE!$A$3:$AN$21,MATCH($A24,GDP_CGE!$A$3:$A$21,0),MATCH(Y$9,GDP_CGE!$A$3:$AN$3,0)),GDP_Simple!Y22)</f>
        <v>19.201000000000001</v>
      </c>
      <c r="Z24">
        <f>IF($C$3="CGE",INDEX(GDP_CGE!$A$3:$AN$21,MATCH($A24,GDP_CGE!$A$3:$A$21,0),MATCH(Z$9,GDP_CGE!$A$3:$AN$3,0)),GDP_Simple!Z22)</f>
        <v>19.701000000000001</v>
      </c>
      <c r="AA24">
        <f>IF($C$3="CGE",INDEX(GDP_CGE!$A$3:$AN$21,MATCH($A24,GDP_CGE!$A$3:$A$21,0),MATCH(AA$9,GDP_CGE!$A$3:$AN$3,0)),GDP_Simple!AA22)</f>
        <v>20.216000000000001</v>
      </c>
      <c r="AB24">
        <f>IF($C$3="CGE",INDEX(GDP_CGE!$A$3:$AN$21,MATCH($A24,GDP_CGE!$A$3:$A$21,0),MATCH(AB$9,GDP_CGE!$A$3:$AN$3,0)),GDP_Simple!AB22)</f>
        <v>20.744</v>
      </c>
      <c r="AC24">
        <f>IF($C$3="CGE",INDEX(GDP_CGE!$A$3:$AN$21,MATCH($A24,GDP_CGE!$A$3:$A$21,0),MATCH(AC$9,GDP_CGE!$A$3:$AN$3,0)),GDP_Simple!AC22)</f>
        <v>21.24</v>
      </c>
      <c r="AD24">
        <f>IF($C$3="CGE",INDEX(GDP_CGE!$A$3:$AN$21,MATCH($A24,GDP_CGE!$A$3:$A$21,0),MATCH(AD$9,GDP_CGE!$A$3:$AN$3,0)),GDP_Simple!AD22)</f>
        <v>21.763999999999999</v>
      </c>
      <c r="AE24">
        <f>IF($C$3="CGE",INDEX(GDP_CGE!$A$3:$AN$21,MATCH($A24,GDP_CGE!$A$3:$A$21,0),MATCH(AE$9,GDP_CGE!$A$3:$AN$3,0)),GDP_Simple!AE22)</f>
        <v>22.347999999999999</v>
      </c>
      <c r="AF24">
        <f>IF($C$3="CGE",INDEX(GDP_CGE!$A$3:$AN$21,MATCH($A24,GDP_CGE!$A$3:$A$21,0),MATCH(AF$9,GDP_CGE!$A$3:$AN$3,0)),GDP_Simple!AF22)</f>
        <v>22.940999999999999</v>
      </c>
      <c r="AG24">
        <f>IF($C$3="CGE",INDEX(GDP_CGE!$A$3:$AN$21,MATCH($A24,GDP_CGE!$A$3:$A$21,0),MATCH(AG$9,GDP_CGE!$A$3:$AN$3,0)),GDP_Simple!AG22)</f>
        <v>23.59</v>
      </c>
      <c r="AH24">
        <f>IF($C$3="CGE",INDEX(GDP_CGE!$A$3:$AN$21,MATCH($A24,GDP_CGE!$A$3:$A$21,0),MATCH(AH$9,GDP_CGE!$A$3:$AN$3,0)),GDP_Simple!AH22)</f>
        <v>24.266999999999999</v>
      </c>
      <c r="AI24">
        <f>IF($C$3="CGE",INDEX(GDP_CGE!$A$3:$AN$21,MATCH($A24,GDP_CGE!$A$3:$A$21,0),MATCH(AI$9,GDP_CGE!$A$3:$AN$3,0)),GDP_Simple!AI22)</f>
        <v>25.018000000000001</v>
      </c>
      <c r="AJ24">
        <f>IF($C$3="CGE",INDEX(GDP_CGE!$A$3:$AN$21,MATCH($A24,GDP_CGE!$A$3:$A$21,0),MATCH(AJ$9,GDP_CGE!$A$3:$AN$3,0)),GDP_Simple!AJ22)</f>
        <v>25.8</v>
      </c>
      <c r="AK24">
        <f>IF($C$3="CGE",INDEX(GDP_CGE!$A$3:$AN$21,MATCH($A24,GDP_CGE!$A$3:$A$21,0),MATCH(AK$9,GDP_CGE!$A$3:$AN$3,0)),GDP_Simple!AK22)</f>
        <v>26.611999999999998</v>
      </c>
      <c r="AL24">
        <f>IF($C$3="CGE",INDEX(GDP_CGE!$A$3:$AN$21,MATCH($A24,GDP_CGE!$A$3:$A$21,0),MATCH(AL$9,GDP_CGE!$A$3:$AN$3,0)),GDP_Simple!AL22)</f>
        <v>27.417999999999999</v>
      </c>
      <c r="AM24">
        <f>IF($C$3="CGE",INDEX(GDP_CGE!$A$3:$AN$21,MATCH($A24,GDP_CGE!$A$3:$A$21,0),MATCH(AM$9,GDP_CGE!$A$3:$AN$3,0)),GDP_Simple!AM22)</f>
        <v>28.263999999999999</v>
      </c>
      <c r="AN24">
        <f>IF($C$3="CGE",INDEX(GDP_CGE!$A$3:$AN$21,MATCH($A24,GDP_CGE!$A$3:$A$21,0),MATCH(AN$9,GDP_CGE!$A$3:$AN$3,0)),GDP_Simple!AN22)</f>
        <v>29.167999999999999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135.95500000000001</v>
      </c>
      <c r="C25">
        <f>IF($C$3="CGE",INDEX(GDP_CGE!$A$3:$AN$21,MATCH($A25,GDP_CGE!$A$3:$A$21,0),MATCH(C$9,GDP_CGE!$A$3:$AN$3,0)),GDP_Simple!C23)</f>
        <v>140.071</v>
      </c>
      <c r="D25">
        <f>IF($C$3="CGE",INDEX(GDP_CGE!$A$3:$AN$21,MATCH($A25,GDP_CGE!$A$3:$A$21,0),MATCH(D$9,GDP_CGE!$A$3:$AN$3,0)),GDP_Simple!D23)</f>
        <v>143.4</v>
      </c>
      <c r="E25">
        <f>IF($C$3="CGE",INDEX(GDP_CGE!$A$3:$AN$21,MATCH($A25,GDP_CGE!$A$3:$A$21,0),MATCH(E$9,GDP_CGE!$A$3:$AN$3,0)),GDP_Simple!E23)</f>
        <v>145.137</v>
      </c>
      <c r="F25">
        <f>IF($C$3="CGE",INDEX(GDP_CGE!$A$3:$AN$21,MATCH($A25,GDP_CGE!$A$3:$A$21,0),MATCH(F$9,GDP_CGE!$A$3:$AN$3,0)),GDP_Simple!F23)</f>
        <v>146.333</v>
      </c>
      <c r="G25">
        <f>IF($C$3="CGE",INDEX(GDP_CGE!$A$3:$AN$21,MATCH($A25,GDP_CGE!$A$3:$A$21,0),MATCH(G$9,GDP_CGE!$A$3:$AN$3,0)),GDP_Simple!G23)</f>
        <v>148.477</v>
      </c>
      <c r="H25">
        <f>IF($C$3="CGE",INDEX(GDP_CGE!$A$3:$AN$21,MATCH($A25,GDP_CGE!$A$3:$A$21,0),MATCH(H$9,GDP_CGE!$A$3:$AN$3,0)),GDP_Simple!H23)</f>
        <v>150.38999999999999</v>
      </c>
      <c r="I25">
        <f>IF($C$3="CGE",INDEX(GDP_CGE!$A$3:$AN$21,MATCH($A25,GDP_CGE!$A$3:$A$21,0),MATCH(I$9,GDP_CGE!$A$3:$AN$3,0)),GDP_Simple!I23)</f>
        <v>150.78899999999999</v>
      </c>
      <c r="J25">
        <f>IF($C$3="CGE",INDEX(GDP_CGE!$A$3:$AN$21,MATCH($A25,GDP_CGE!$A$3:$A$21,0),MATCH(J$9,GDP_CGE!$A$3:$AN$3,0)),GDP_Simple!J23)</f>
        <v>140.006</v>
      </c>
      <c r="K25">
        <f>IF($C$3="CGE",INDEX(GDP_CGE!$A$3:$AN$21,MATCH($A25,GDP_CGE!$A$3:$A$21,0),MATCH(K$9,GDP_CGE!$A$3:$AN$3,0)),GDP_Simple!K23)</f>
        <v>144.49299999999999</v>
      </c>
      <c r="L25">
        <f>IF($C$3="CGE",INDEX(GDP_CGE!$A$3:$AN$21,MATCH($A25,GDP_CGE!$A$3:$A$21,0),MATCH(L$9,GDP_CGE!$A$3:$AN$3,0)),GDP_Simple!L23)</f>
        <v>147.88</v>
      </c>
      <c r="M25">
        <f>IF($C$3="CGE",INDEX(GDP_CGE!$A$3:$AN$21,MATCH($A25,GDP_CGE!$A$3:$A$21,0),MATCH(M$9,GDP_CGE!$A$3:$AN$3,0)),GDP_Simple!M23)</f>
        <v>151.16499999999999</v>
      </c>
      <c r="N25">
        <f>IF($C$3="CGE",INDEX(GDP_CGE!$A$3:$AN$21,MATCH($A25,GDP_CGE!$A$3:$A$21,0),MATCH(N$9,GDP_CGE!$A$3:$AN$3,0)),GDP_Simple!N23)</f>
        <v>154.84299999999999</v>
      </c>
      <c r="O25">
        <f>IF($C$3="CGE",INDEX(GDP_CGE!$A$3:$AN$21,MATCH($A25,GDP_CGE!$A$3:$A$21,0),MATCH(O$9,GDP_CGE!$A$3:$AN$3,0)),GDP_Simple!O23)</f>
        <v>160.059</v>
      </c>
      <c r="P25">
        <f>IF($C$3="CGE",INDEX(GDP_CGE!$A$3:$AN$21,MATCH($A25,GDP_CGE!$A$3:$A$21,0),MATCH(P$9,GDP_CGE!$A$3:$AN$3,0)),GDP_Simple!P23)</f>
        <v>165.41300000000001</v>
      </c>
      <c r="Q25">
        <f>IF($C$3="CGE",INDEX(GDP_CGE!$A$3:$AN$21,MATCH($A25,GDP_CGE!$A$3:$A$21,0),MATCH(Q$9,GDP_CGE!$A$3:$AN$3,0)),GDP_Simple!Q23)</f>
        <v>171.33</v>
      </c>
      <c r="R25">
        <f>IF($C$3="CGE",INDEX(GDP_CGE!$A$3:$AN$21,MATCH($A25,GDP_CGE!$A$3:$A$21,0),MATCH(R$9,GDP_CGE!$A$3:$AN$3,0)),GDP_Simple!R23)</f>
        <v>177.71</v>
      </c>
      <c r="S25">
        <f>IF($C$3="CGE",INDEX(GDP_CGE!$A$3:$AN$21,MATCH($A25,GDP_CGE!$A$3:$A$21,0),MATCH(S$9,GDP_CGE!$A$3:$AN$3,0)),GDP_Simple!S23)</f>
        <v>185.285</v>
      </c>
      <c r="T25">
        <f>IF($C$3="CGE",INDEX(GDP_CGE!$A$3:$AN$21,MATCH($A25,GDP_CGE!$A$3:$A$21,0),MATCH(T$9,GDP_CGE!$A$3:$AN$3,0)),GDP_Simple!T23)</f>
        <v>193.38399999999999</v>
      </c>
      <c r="U25">
        <f>IF($C$3="CGE",INDEX(GDP_CGE!$A$3:$AN$21,MATCH($A25,GDP_CGE!$A$3:$A$21,0),MATCH(U$9,GDP_CGE!$A$3:$AN$3,0)),GDP_Simple!U23)</f>
        <v>201.30799999999999</v>
      </c>
      <c r="V25">
        <f>IF($C$3="CGE",INDEX(GDP_CGE!$A$3:$AN$21,MATCH($A25,GDP_CGE!$A$3:$A$21,0),MATCH(V$9,GDP_CGE!$A$3:$AN$3,0)),GDP_Simple!V23)</f>
        <v>209.57499999999999</v>
      </c>
      <c r="W25">
        <f>IF($C$3="CGE",INDEX(GDP_CGE!$A$3:$AN$21,MATCH($A25,GDP_CGE!$A$3:$A$21,0),MATCH(W$9,GDP_CGE!$A$3:$AN$3,0)),GDP_Simple!W23)</f>
        <v>218.315</v>
      </c>
      <c r="X25">
        <f>IF($C$3="CGE",INDEX(GDP_CGE!$A$3:$AN$21,MATCH($A25,GDP_CGE!$A$3:$A$21,0),MATCH(X$9,GDP_CGE!$A$3:$AN$3,0)),GDP_Simple!X23)</f>
        <v>227.46899999999999</v>
      </c>
      <c r="Y25">
        <f>IF($C$3="CGE",INDEX(GDP_CGE!$A$3:$AN$21,MATCH($A25,GDP_CGE!$A$3:$A$21,0),MATCH(Y$9,GDP_CGE!$A$3:$AN$3,0)),GDP_Simple!Y23)</f>
        <v>235.863</v>
      </c>
      <c r="Z25">
        <f>IF($C$3="CGE",INDEX(GDP_CGE!$A$3:$AN$21,MATCH($A25,GDP_CGE!$A$3:$A$21,0),MATCH(Z$9,GDP_CGE!$A$3:$AN$3,0)),GDP_Simple!Z23)</f>
        <v>244.46799999999999</v>
      </c>
      <c r="AA25">
        <f>IF($C$3="CGE",INDEX(GDP_CGE!$A$3:$AN$21,MATCH($A25,GDP_CGE!$A$3:$A$21,0),MATCH(AA$9,GDP_CGE!$A$3:$AN$3,0)),GDP_Simple!AA23)</f>
        <v>253.52</v>
      </c>
      <c r="AB25">
        <f>IF($C$3="CGE",INDEX(GDP_CGE!$A$3:$AN$21,MATCH($A25,GDP_CGE!$A$3:$A$21,0),MATCH(AB$9,GDP_CGE!$A$3:$AN$3,0)),GDP_Simple!AB23)</f>
        <v>262.87200000000001</v>
      </c>
      <c r="AC25">
        <f>IF($C$3="CGE",INDEX(GDP_CGE!$A$3:$AN$21,MATCH($A25,GDP_CGE!$A$3:$A$21,0),MATCH(AC$9,GDP_CGE!$A$3:$AN$3,0)),GDP_Simple!AC23)</f>
        <v>271.91399999999999</v>
      </c>
      <c r="AD25">
        <f>IF($C$3="CGE",INDEX(GDP_CGE!$A$3:$AN$21,MATCH($A25,GDP_CGE!$A$3:$A$21,0),MATCH(AD$9,GDP_CGE!$A$3:$AN$3,0)),GDP_Simple!AD23)</f>
        <v>281.66199999999998</v>
      </c>
      <c r="AE25">
        <f>IF($C$3="CGE",INDEX(GDP_CGE!$A$3:$AN$21,MATCH($A25,GDP_CGE!$A$3:$A$21,0),MATCH(AE$9,GDP_CGE!$A$3:$AN$3,0)),GDP_Simple!AE23)</f>
        <v>292.18700000000001</v>
      </c>
      <c r="AF25">
        <f>IF($C$3="CGE",INDEX(GDP_CGE!$A$3:$AN$21,MATCH($A25,GDP_CGE!$A$3:$A$21,0),MATCH(AF$9,GDP_CGE!$A$3:$AN$3,0)),GDP_Simple!AF23)</f>
        <v>303.29000000000002</v>
      </c>
      <c r="AG25">
        <f>IF($C$3="CGE",INDEX(GDP_CGE!$A$3:$AN$21,MATCH($A25,GDP_CGE!$A$3:$A$21,0),MATCH(AG$9,GDP_CGE!$A$3:$AN$3,0)),GDP_Simple!AG23)</f>
        <v>314.75599999999997</v>
      </c>
      <c r="AH25">
        <f>IF($C$3="CGE",INDEX(GDP_CGE!$A$3:$AN$21,MATCH($A25,GDP_CGE!$A$3:$A$21,0),MATCH(AH$9,GDP_CGE!$A$3:$AN$3,0)),GDP_Simple!AH23)</f>
        <v>326.77499999999998</v>
      </c>
      <c r="AI25">
        <f>IF($C$3="CGE",INDEX(GDP_CGE!$A$3:$AN$21,MATCH($A25,GDP_CGE!$A$3:$A$21,0),MATCH(AI$9,GDP_CGE!$A$3:$AN$3,0)),GDP_Simple!AI23)</f>
        <v>339.86599999999999</v>
      </c>
      <c r="AJ25">
        <f>IF($C$3="CGE",INDEX(GDP_CGE!$A$3:$AN$21,MATCH($A25,GDP_CGE!$A$3:$A$21,0),MATCH(AJ$9,GDP_CGE!$A$3:$AN$3,0)),GDP_Simple!AJ23)</f>
        <v>353.51799999999997</v>
      </c>
      <c r="AK25">
        <f>IF($C$3="CGE",INDEX(GDP_CGE!$A$3:$AN$21,MATCH($A25,GDP_CGE!$A$3:$A$21,0),MATCH(AK$9,GDP_CGE!$A$3:$AN$3,0)),GDP_Simple!AK23)</f>
        <v>367.851</v>
      </c>
      <c r="AL25">
        <f>IF($C$3="CGE",INDEX(GDP_CGE!$A$3:$AN$21,MATCH($A25,GDP_CGE!$A$3:$A$21,0),MATCH(AL$9,GDP_CGE!$A$3:$AN$3,0)),GDP_Simple!AL23)</f>
        <v>382.25400000000002</v>
      </c>
      <c r="AM25">
        <f>IF($C$3="CGE",INDEX(GDP_CGE!$A$3:$AN$21,MATCH($A25,GDP_CGE!$A$3:$A$21,0),MATCH(AM$9,GDP_CGE!$A$3:$AN$3,0)),GDP_Simple!AM23)</f>
        <v>397.40300000000002</v>
      </c>
      <c r="AN25">
        <f>IF($C$3="CGE",INDEX(GDP_CGE!$A$3:$AN$21,MATCH($A25,GDP_CGE!$A$3:$A$21,0),MATCH(AN$9,GDP_CGE!$A$3:$AN$3,0)),GDP_Simple!AN23)</f>
        <v>413.43299999999999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21.151</v>
      </c>
      <c r="C26">
        <f>IF($C$3="CGE",INDEX(GDP_CGE!$A$3:$AN$21,MATCH($A26,GDP_CGE!$A$3:$A$21,0),MATCH(C$9,GDP_CGE!$A$3:$AN$3,0)),GDP_Simple!C24)</f>
        <v>22.475000000000001</v>
      </c>
      <c r="D26">
        <f>IF($C$3="CGE",INDEX(GDP_CGE!$A$3:$AN$21,MATCH($A26,GDP_CGE!$A$3:$A$21,0),MATCH(D$9,GDP_CGE!$A$3:$AN$3,0)),GDP_Simple!D24)</f>
        <v>24.135000000000002</v>
      </c>
      <c r="E26">
        <f>IF($C$3="CGE",INDEX(GDP_CGE!$A$3:$AN$21,MATCH($A26,GDP_CGE!$A$3:$A$21,0),MATCH(E$9,GDP_CGE!$A$3:$AN$3,0)),GDP_Simple!E24)</f>
        <v>25.321000000000002</v>
      </c>
      <c r="F26">
        <f>IF($C$3="CGE",INDEX(GDP_CGE!$A$3:$AN$21,MATCH($A26,GDP_CGE!$A$3:$A$21,0),MATCH(F$9,GDP_CGE!$A$3:$AN$3,0)),GDP_Simple!F24)</f>
        <v>26.111999999999998</v>
      </c>
      <c r="G26">
        <f>IF($C$3="CGE",INDEX(GDP_CGE!$A$3:$AN$21,MATCH($A26,GDP_CGE!$A$3:$A$21,0),MATCH(G$9,GDP_CGE!$A$3:$AN$3,0)),GDP_Simple!G24)</f>
        <v>27.977</v>
      </c>
      <c r="H26">
        <f>IF($C$3="CGE",INDEX(GDP_CGE!$A$3:$AN$21,MATCH($A26,GDP_CGE!$A$3:$A$21,0),MATCH(H$9,GDP_CGE!$A$3:$AN$3,0)),GDP_Simple!H24)</f>
        <v>29.995999999999999</v>
      </c>
      <c r="I26">
        <f>IF($C$3="CGE",INDEX(GDP_CGE!$A$3:$AN$21,MATCH($A26,GDP_CGE!$A$3:$A$21,0),MATCH(I$9,GDP_CGE!$A$3:$AN$3,0)),GDP_Simple!I24)</f>
        <v>31.335000000000001</v>
      </c>
      <c r="J26">
        <f>IF($C$3="CGE",INDEX(GDP_CGE!$A$3:$AN$21,MATCH($A26,GDP_CGE!$A$3:$A$21,0),MATCH(J$9,GDP_CGE!$A$3:$AN$3,0)),GDP_Simple!J24)</f>
        <v>30.035</v>
      </c>
      <c r="K26">
        <f>IF($C$3="CGE",INDEX(GDP_CGE!$A$3:$AN$21,MATCH($A26,GDP_CGE!$A$3:$A$21,0),MATCH(K$9,GDP_CGE!$A$3:$AN$3,0)),GDP_Simple!K24)</f>
        <v>31.614999999999998</v>
      </c>
      <c r="L26">
        <f>IF($C$3="CGE",INDEX(GDP_CGE!$A$3:$AN$21,MATCH($A26,GDP_CGE!$A$3:$A$21,0),MATCH(L$9,GDP_CGE!$A$3:$AN$3,0)),GDP_Simple!L24)</f>
        <v>32.856999999999999</v>
      </c>
      <c r="M26">
        <f>IF($C$3="CGE",INDEX(GDP_CGE!$A$3:$AN$21,MATCH($A26,GDP_CGE!$A$3:$A$21,0),MATCH(M$9,GDP_CGE!$A$3:$AN$3,0)),GDP_Simple!M24)</f>
        <v>34.055999999999997</v>
      </c>
      <c r="N26">
        <f>IF($C$3="CGE",INDEX(GDP_CGE!$A$3:$AN$21,MATCH($A26,GDP_CGE!$A$3:$A$21,0),MATCH(N$9,GDP_CGE!$A$3:$AN$3,0)),GDP_Simple!N24)</f>
        <v>35.374000000000002</v>
      </c>
      <c r="O26">
        <f>IF($C$3="CGE",INDEX(GDP_CGE!$A$3:$AN$21,MATCH($A26,GDP_CGE!$A$3:$A$21,0),MATCH(O$9,GDP_CGE!$A$3:$AN$3,0)),GDP_Simple!O24)</f>
        <v>37.231000000000002</v>
      </c>
      <c r="P26">
        <f>IF($C$3="CGE",INDEX(GDP_CGE!$A$3:$AN$21,MATCH($A26,GDP_CGE!$A$3:$A$21,0),MATCH(P$9,GDP_CGE!$A$3:$AN$3,0)),GDP_Simple!P24)</f>
        <v>39.125999999999998</v>
      </c>
      <c r="Q26">
        <f>IF($C$3="CGE",INDEX(GDP_CGE!$A$3:$AN$21,MATCH($A26,GDP_CGE!$A$3:$A$21,0),MATCH(Q$9,GDP_CGE!$A$3:$AN$3,0)),GDP_Simple!Q24)</f>
        <v>41.274999999999999</v>
      </c>
      <c r="R26">
        <f>IF($C$3="CGE",INDEX(GDP_CGE!$A$3:$AN$21,MATCH($A26,GDP_CGE!$A$3:$A$21,0),MATCH(R$9,GDP_CGE!$A$3:$AN$3,0)),GDP_Simple!R24)</f>
        <v>43.747</v>
      </c>
      <c r="S26">
        <f>IF($C$3="CGE",INDEX(GDP_CGE!$A$3:$AN$21,MATCH($A26,GDP_CGE!$A$3:$A$21,0),MATCH(S$9,GDP_CGE!$A$3:$AN$3,0)),GDP_Simple!S24)</f>
        <v>46.716999999999999</v>
      </c>
      <c r="T26">
        <f>IF($C$3="CGE",INDEX(GDP_CGE!$A$3:$AN$21,MATCH($A26,GDP_CGE!$A$3:$A$21,0),MATCH(T$9,GDP_CGE!$A$3:$AN$3,0)),GDP_Simple!T24)</f>
        <v>50.295999999999999</v>
      </c>
      <c r="U26">
        <f>IF($C$3="CGE",INDEX(GDP_CGE!$A$3:$AN$21,MATCH($A26,GDP_CGE!$A$3:$A$21,0),MATCH(U$9,GDP_CGE!$A$3:$AN$3,0)),GDP_Simple!U24)</f>
        <v>54.404000000000003</v>
      </c>
      <c r="V26">
        <f>IF($C$3="CGE",INDEX(GDP_CGE!$A$3:$AN$21,MATCH($A26,GDP_CGE!$A$3:$A$21,0),MATCH(V$9,GDP_CGE!$A$3:$AN$3,0)),GDP_Simple!V24)</f>
        <v>59.106999999999999</v>
      </c>
      <c r="W26">
        <f>IF($C$3="CGE",INDEX(GDP_CGE!$A$3:$AN$21,MATCH($A26,GDP_CGE!$A$3:$A$21,0),MATCH(W$9,GDP_CGE!$A$3:$AN$3,0)),GDP_Simple!W24)</f>
        <v>64.433000000000007</v>
      </c>
      <c r="X26">
        <f>IF($C$3="CGE",INDEX(GDP_CGE!$A$3:$AN$21,MATCH($A26,GDP_CGE!$A$3:$A$21,0),MATCH(X$9,GDP_CGE!$A$3:$AN$3,0)),GDP_Simple!X24)</f>
        <v>70.424000000000007</v>
      </c>
      <c r="Y26">
        <f>IF($C$3="CGE",INDEX(GDP_CGE!$A$3:$AN$21,MATCH($A26,GDP_CGE!$A$3:$A$21,0),MATCH(Y$9,GDP_CGE!$A$3:$AN$3,0)),GDP_Simple!Y24)</f>
        <v>76.599999999999994</v>
      </c>
      <c r="Z26">
        <f>IF($C$3="CGE",INDEX(GDP_CGE!$A$3:$AN$21,MATCH($A26,GDP_CGE!$A$3:$A$21,0),MATCH(Z$9,GDP_CGE!$A$3:$AN$3,0)),GDP_Simple!Z24)</f>
        <v>83.257000000000005</v>
      </c>
      <c r="AA26">
        <f>IF($C$3="CGE",INDEX(GDP_CGE!$A$3:$AN$21,MATCH($A26,GDP_CGE!$A$3:$A$21,0),MATCH(AA$9,GDP_CGE!$A$3:$AN$3,0)),GDP_Simple!AA24)</f>
        <v>90.76</v>
      </c>
      <c r="AB26">
        <f>IF($C$3="CGE",INDEX(GDP_CGE!$A$3:$AN$21,MATCH($A26,GDP_CGE!$A$3:$A$21,0),MATCH(AB$9,GDP_CGE!$A$3:$AN$3,0)),GDP_Simple!AB24)</f>
        <v>98.781999999999996</v>
      </c>
      <c r="AC26">
        <f>IF($C$3="CGE",INDEX(GDP_CGE!$A$3:$AN$21,MATCH($A26,GDP_CGE!$A$3:$A$21,0),MATCH(AC$9,GDP_CGE!$A$3:$AN$3,0)),GDP_Simple!AC24)</f>
        <v>106.82299999999999</v>
      </c>
      <c r="AD26">
        <f>IF($C$3="CGE",INDEX(GDP_CGE!$A$3:$AN$21,MATCH($A26,GDP_CGE!$A$3:$A$21,0),MATCH(AD$9,GDP_CGE!$A$3:$AN$3,0)),GDP_Simple!AD24)</f>
        <v>115.60599999999999</v>
      </c>
      <c r="AE26">
        <f>IF($C$3="CGE",INDEX(GDP_CGE!$A$3:$AN$21,MATCH($A26,GDP_CGE!$A$3:$A$21,0),MATCH(AE$9,GDP_CGE!$A$3:$AN$3,0)),GDP_Simple!AE24)</f>
        <v>124.702</v>
      </c>
      <c r="AF26">
        <f>IF($C$3="CGE",INDEX(GDP_CGE!$A$3:$AN$21,MATCH($A26,GDP_CGE!$A$3:$A$21,0),MATCH(AF$9,GDP_CGE!$A$3:$AN$3,0)),GDP_Simple!AF24)</f>
        <v>134.26</v>
      </c>
      <c r="AG26">
        <f>IF($C$3="CGE",INDEX(GDP_CGE!$A$3:$AN$21,MATCH($A26,GDP_CGE!$A$3:$A$21,0),MATCH(AG$9,GDP_CGE!$A$3:$AN$3,0)),GDP_Simple!AG24)</f>
        <v>144.18199999999999</v>
      </c>
      <c r="AH26">
        <f>IF($C$3="CGE",INDEX(GDP_CGE!$A$3:$AN$21,MATCH($A26,GDP_CGE!$A$3:$A$21,0),MATCH(AH$9,GDP_CGE!$A$3:$AN$3,0)),GDP_Simple!AH24)</f>
        <v>154.60599999999999</v>
      </c>
      <c r="AI26">
        <f>IF($C$3="CGE",INDEX(GDP_CGE!$A$3:$AN$21,MATCH($A26,GDP_CGE!$A$3:$A$21,0),MATCH(AI$9,GDP_CGE!$A$3:$AN$3,0)),GDP_Simple!AI24)</f>
        <v>165.87799999999999</v>
      </c>
      <c r="AJ26">
        <f>IF($C$3="CGE",INDEX(GDP_CGE!$A$3:$AN$21,MATCH($A26,GDP_CGE!$A$3:$A$21,0),MATCH(AJ$9,GDP_CGE!$A$3:$AN$3,0)),GDP_Simple!AJ24)</f>
        <v>177.82400000000001</v>
      </c>
      <c r="AK26">
        <f>IF($C$3="CGE",INDEX(GDP_CGE!$A$3:$AN$21,MATCH($A26,GDP_CGE!$A$3:$A$21,0),MATCH(AK$9,GDP_CGE!$A$3:$AN$3,0)),GDP_Simple!AK24)</f>
        <v>190.441</v>
      </c>
      <c r="AL26">
        <f>IF($C$3="CGE",INDEX(GDP_CGE!$A$3:$AN$21,MATCH($A26,GDP_CGE!$A$3:$A$21,0),MATCH(AL$9,GDP_CGE!$A$3:$AN$3,0)),GDP_Simple!AL24)</f>
        <v>203.21</v>
      </c>
      <c r="AM26">
        <f>IF($C$3="CGE",INDEX(GDP_CGE!$A$3:$AN$21,MATCH($A26,GDP_CGE!$A$3:$A$21,0),MATCH(AM$9,GDP_CGE!$A$3:$AN$3,0)),GDP_Simple!AM24)</f>
        <v>216.76400000000001</v>
      </c>
      <c r="AN26">
        <f>IF($C$3="CGE",INDEX(GDP_CGE!$A$3:$AN$21,MATCH($A26,GDP_CGE!$A$3:$A$21,0),MATCH(AN$9,GDP_CGE!$A$3:$AN$3,0)),GDP_Simple!AN24)</f>
        <v>231.25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1.135</v>
      </c>
      <c r="C27">
        <f>IF($C$3="CGE",INDEX(GDP_CGE!$A$3:$AN$21,MATCH($A27,GDP_CGE!$A$3:$A$21,0),MATCH(C$9,GDP_CGE!$A$3:$AN$3,0)),GDP_Simple!C25)</f>
        <v>1.153</v>
      </c>
      <c r="D27">
        <f>IF($C$3="CGE",INDEX(GDP_CGE!$A$3:$AN$21,MATCH($A27,GDP_CGE!$A$3:$A$21,0),MATCH(D$9,GDP_CGE!$A$3:$AN$3,0)),GDP_Simple!D25)</f>
        <v>1.1359999999999999</v>
      </c>
      <c r="E27">
        <f>IF($C$3="CGE",INDEX(GDP_CGE!$A$3:$AN$21,MATCH($A27,GDP_CGE!$A$3:$A$21,0),MATCH(E$9,GDP_CGE!$A$3:$AN$3,0)),GDP_Simple!E25)</f>
        <v>1.123</v>
      </c>
      <c r="F27">
        <f>IF($C$3="CGE",INDEX(GDP_CGE!$A$3:$AN$21,MATCH($A27,GDP_CGE!$A$3:$A$21,0),MATCH(F$9,GDP_CGE!$A$3:$AN$3,0)),GDP_Simple!F25)</f>
        <v>1.133</v>
      </c>
      <c r="G27">
        <f>IF($C$3="CGE",INDEX(GDP_CGE!$A$3:$AN$21,MATCH($A27,GDP_CGE!$A$3:$A$21,0),MATCH(G$9,GDP_CGE!$A$3:$AN$3,0)),GDP_Simple!G25)</f>
        <v>1.141</v>
      </c>
      <c r="H27">
        <f>IF($C$3="CGE",INDEX(GDP_CGE!$A$3:$AN$21,MATCH($A27,GDP_CGE!$A$3:$A$21,0),MATCH(H$9,GDP_CGE!$A$3:$AN$3,0)),GDP_Simple!H25)</f>
        <v>1.1100000000000001</v>
      </c>
      <c r="I27">
        <f>IF($C$3="CGE",INDEX(GDP_CGE!$A$3:$AN$21,MATCH($A27,GDP_CGE!$A$3:$A$21,0),MATCH(I$9,GDP_CGE!$A$3:$AN$3,0)),GDP_Simple!I25)</f>
        <v>1.085</v>
      </c>
      <c r="J27">
        <f>IF($C$3="CGE",INDEX(GDP_CGE!$A$3:$AN$21,MATCH($A27,GDP_CGE!$A$3:$A$21,0),MATCH(J$9,GDP_CGE!$A$3:$AN$3,0)),GDP_Simple!J25)</f>
        <v>0.97599999999999998</v>
      </c>
      <c r="K27">
        <f>IF($C$3="CGE",INDEX(GDP_CGE!$A$3:$AN$21,MATCH($A27,GDP_CGE!$A$3:$A$21,0),MATCH(K$9,GDP_CGE!$A$3:$AN$3,0)),GDP_Simple!K25)</f>
        <v>0.98599999999999999</v>
      </c>
      <c r="L27">
        <f>IF($C$3="CGE",INDEX(GDP_CGE!$A$3:$AN$21,MATCH($A27,GDP_CGE!$A$3:$A$21,0),MATCH(L$9,GDP_CGE!$A$3:$AN$3,0)),GDP_Simple!L25)</f>
        <v>1.008</v>
      </c>
      <c r="M27">
        <f>IF($C$3="CGE",INDEX(GDP_CGE!$A$3:$AN$21,MATCH($A27,GDP_CGE!$A$3:$A$21,0),MATCH(M$9,GDP_CGE!$A$3:$AN$3,0)),GDP_Simple!M25)</f>
        <v>1.0369999999999999</v>
      </c>
      <c r="N27">
        <f>IF($C$3="CGE",INDEX(GDP_CGE!$A$3:$AN$21,MATCH($A27,GDP_CGE!$A$3:$A$21,0),MATCH(N$9,GDP_CGE!$A$3:$AN$3,0)),GDP_Simple!N25)</f>
        <v>1.071</v>
      </c>
      <c r="O27">
        <f>IF($C$3="CGE",INDEX(GDP_CGE!$A$3:$AN$21,MATCH($A27,GDP_CGE!$A$3:$A$21,0),MATCH(O$9,GDP_CGE!$A$3:$AN$3,0)),GDP_Simple!O25)</f>
        <v>1.1180000000000001</v>
      </c>
      <c r="P27">
        <f>IF($C$3="CGE",INDEX(GDP_CGE!$A$3:$AN$21,MATCH($A27,GDP_CGE!$A$3:$A$21,0),MATCH(P$9,GDP_CGE!$A$3:$AN$3,0)),GDP_Simple!P25)</f>
        <v>1.165</v>
      </c>
      <c r="Q27">
        <f>IF($C$3="CGE",INDEX(GDP_CGE!$A$3:$AN$21,MATCH($A27,GDP_CGE!$A$3:$A$21,0),MATCH(Q$9,GDP_CGE!$A$3:$AN$3,0)),GDP_Simple!Q25)</f>
        <v>1.2250000000000001</v>
      </c>
      <c r="R27">
        <f>IF($C$3="CGE",INDEX(GDP_CGE!$A$3:$AN$21,MATCH($A27,GDP_CGE!$A$3:$A$21,0),MATCH(R$9,GDP_CGE!$A$3:$AN$3,0)),GDP_Simple!R25)</f>
        <v>1.2909999999999999</v>
      </c>
      <c r="S27">
        <f>IF($C$3="CGE",INDEX(GDP_CGE!$A$3:$AN$21,MATCH($A27,GDP_CGE!$A$3:$A$21,0),MATCH(S$9,GDP_CGE!$A$3:$AN$3,0)),GDP_Simple!S25)</f>
        <v>1.37</v>
      </c>
      <c r="T27">
        <f>IF($C$3="CGE",INDEX(GDP_CGE!$A$3:$AN$21,MATCH($A27,GDP_CGE!$A$3:$A$21,0),MATCH(T$9,GDP_CGE!$A$3:$AN$3,0)),GDP_Simple!T25)</f>
        <v>1.444</v>
      </c>
      <c r="U27">
        <f>IF($C$3="CGE",INDEX(GDP_CGE!$A$3:$AN$21,MATCH($A27,GDP_CGE!$A$3:$A$21,0),MATCH(U$9,GDP_CGE!$A$3:$AN$3,0)),GDP_Simple!U25)</f>
        <v>1.506</v>
      </c>
      <c r="V27">
        <f>IF($C$3="CGE",INDEX(GDP_CGE!$A$3:$AN$21,MATCH($A27,GDP_CGE!$A$3:$A$21,0),MATCH(V$9,GDP_CGE!$A$3:$AN$3,0)),GDP_Simple!V25)</f>
        <v>1.593</v>
      </c>
      <c r="W27">
        <f>IF($C$3="CGE",INDEX(GDP_CGE!$A$3:$AN$21,MATCH($A27,GDP_CGE!$A$3:$A$21,0),MATCH(W$9,GDP_CGE!$A$3:$AN$3,0)),GDP_Simple!W25)</f>
        <v>1.6859999999999999</v>
      </c>
      <c r="X27">
        <f>IF($C$3="CGE",INDEX(GDP_CGE!$A$3:$AN$21,MATCH($A27,GDP_CGE!$A$3:$A$21,0),MATCH(X$9,GDP_CGE!$A$3:$AN$3,0)),GDP_Simple!X25)</f>
        <v>1.792</v>
      </c>
      <c r="Y27">
        <f>IF($C$3="CGE",INDEX(GDP_CGE!$A$3:$AN$21,MATCH($A27,GDP_CGE!$A$3:$A$21,0),MATCH(Y$9,GDP_CGE!$A$3:$AN$3,0)),GDP_Simple!Y25)</f>
        <v>1.895</v>
      </c>
      <c r="Z27">
        <f>IF($C$3="CGE",INDEX(GDP_CGE!$A$3:$AN$21,MATCH($A27,GDP_CGE!$A$3:$A$21,0),MATCH(Z$9,GDP_CGE!$A$3:$AN$3,0)),GDP_Simple!Z25)</f>
        <v>2.012</v>
      </c>
      <c r="AA27">
        <f>IF($C$3="CGE",INDEX(GDP_CGE!$A$3:$AN$21,MATCH($A27,GDP_CGE!$A$3:$A$21,0),MATCH(AA$9,GDP_CGE!$A$3:$AN$3,0)),GDP_Simple!AA25)</f>
        <v>2.1360000000000001</v>
      </c>
      <c r="AB27">
        <f>IF($C$3="CGE",INDEX(GDP_CGE!$A$3:$AN$21,MATCH($A27,GDP_CGE!$A$3:$A$21,0),MATCH(AB$9,GDP_CGE!$A$3:$AN$3,0)),GDP_Simple!AB25)</f>
        <v>2.2690000000000001</v>
      </c>
      <c r="AC27">
        <f>IF($C$3="CGE",INDEX(GDP_CGE!$A$3:$AN$21,MATCH($A27,GDP_CGE!$A$3:$A$21,0),MATCH(AC$9,GDP_CGE!$A$3:$AN$3,0)),GDP_Simple!AC25)</f>
        <v>2.403</v>
      </c>
      <c r="AD27">
        <f>IF($C$3="CGE",INDEX(GDP_CGE!$A$3:$AN$21,MATCH($A27,GDP_CGE!$A$3:$A$21,0),MATCH(AD$9,GDP_CGE!$A$3:$AN$3,0)),GDP_Simple!AD25)</f>
        <v>2.5499999999999998</v>
      </c>
      <c r="AE27">
        <f>IF($C$3="CGE",INDEX(GDP_CGE!$A$3:$AN$21,MATCH($A27,GDP_CGE!$A$3:$A$21,0),MATCH(AE$9,GDP_CGE!$A$3:$AN$3,0)),GDP_Simple!AE25)</f>
        <v>2.702</v>
      </c>
      <c r="AF27">
        <f>IF($C$3="CGE",INDEX(GDP_CGE!$A$3:$AN$21,MATCH($A27,GDP_CGE!$A$3:$A$21,0),MATCH(AF$9,GDP_CGE!$A$3:$AN$3,0)),GDP_Simple!AF25)</f>
        <v>2.8690000000000002</v>
      </c>
      <c r="AG27">
        <f>IF($C$3="CGE",INDEX(GDP_CGE!$A$3:$AN$21,MATCH($A27,GDP_CGE!$A$3:$A$21,0),MATCH(AG$9,GDP_CGE!$A$3:$AN$3,0)),GDP_Simple!AG25)</f>
        <v>3.03</v>
      </c>
      <c r="AH27">
        <f>IF($C$3="CGE",INDEX(GDP_CGE!$A$3:$AN$21,MATCH($A27,GDP_CGE!$A$3:$A$21,0),MATCH(AH$9,GDP_CGE!$A$3:$AN$3,0)),GDP_Simple!AH25)</f>
        <v>3.2</v>
      </c>
      <c r="AI27">
        <f>IF($C$3="CGE",INDEX(GDP_CGE!$A$3:$AN$21,MATCH($A27,GDP_CGE!$A$3:$A$21,0),MATCH(AI$9,GDP_CGE!$A$3:$AN$3,0)),GDP_Simple!AI25)</f>
        <v>3.3809999999999998</v>
      </c>
      <c r="AJ27">
        <f>IF($C$3="CGE",INDEX(GDP_CGE!$A$3:$AN$21,MATCH($A27,GDP_CGE!$A$3:$A$21,0),MATCH(AJ$9,GDP_CGE!$A$3:$AN$3,0)),GDP_Simple!AJ25)</f>
        <v>3.57</v>
      </c>
      <c r="AK27">
        <f>IF($C$3="CGE",INDEX(GDP_CGE!$A$3:$AN$21,MATCH($A27,GDP_CGE!$A$3:$A$21,0),MATCH(AK$9,GDP_CGE!$A$3:$AN$3,0)),GDP_Simple!AK25)</f>
        <v>3.7719999999999998</v>
      </c>
      <c r="AL27">
        <f>IF($C$3="CGE",INDEX(GDP_CGE!$A$3:$AN$21,MATCH($A27,GDP_CGE!$A$3:$A$21,0),MATCH(AL$9,GDP_CGE!$A$3:$AN$3,0)),GDP_Simple!AL25)</f>
        <v>3.9790000000000001</v>
      </c>
      <c r="AM27">
        <f>IF($C$3="CGE",INDEX(GDP_CGE!$A$3:$AN$21,MATCH($A27,GDP_CGE!$A$3:$A$21,0),MATCH(AM$9,GDP_CGE!$A$3:$AN$3,0)),GDP_Simple!AM25)</f>
        <v>4.1970000000000001</v>
      </c>
      <c r="AN27">
        <f>IF($C$3="CGE",INDEX(GDP_CGE!$A$3:$AN$21,MATCH($A27,GDP_CGE!$A$3:$A$21,0),MATCH(AN$9,GDP_CGE!$A$3:$AN$3,0)),GDP_Simple!AN25)</f>
        <v>4.4240000000000004</v>
      </c>
    </row>
    <row r="30" spans="1:40" ht="18" thickBot="1" x14ac:dyDescent="0.35">
      <c r="A30" s="4" t="s">
        <v>59</v>
      </c>
      <c r="B30" s="4"/>
      <c r="C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A45</f>
        <v>52325.432882070083</v>
      </c>
      <c r="B32" s="9">
        <f t="shared" ref="B32:F32" si="2">B45</f>
        <v>53104.386458423345</v>
      </c>
      <c r="C32" s="9">
        <f t="shared" si="2"/>
        <v>53912.365691429273</v>
      </c>
      <c r="D32" s="9">
        <f t="shared" si="2"/>
        <v>54750.491457321114</v>
      </c>
      <c r="E32" s="9">
        <f t="shared" si="2"/>
        <v>55619.940469824825</v>
      </c>
      <c r="F32" s="9">
        <f t="shared" si="2"/>
        <v>56521.948041648095</v>
      </c>
      <c r="G32" s="9">
        <f>F32*(1+G40)</f>
        <v>57437.722724665276</v>
      </c>
      <c r="H32" s="9">
        <f t="shared" ref="H32:AM32" si="3">G32*(1+H40)</f>
        <v>58367.459883052026</v>
      </c>
      <c r="I32" s="9">
        <f t="shared" si="3"/>
        <v>59311.357411159719</v>
      </c>
      <c r="J32" s="9">
        <f t="shared" si="3"/>
        <v>60215.271162640434</v>
      </c>
      <c r="K32" s="9">
        <f t="shared" si="3"/>
        <v>61076.870554595014</v>
      </c>
      <c r="L32" s="9">
        <f t="shared" si="3"/>
        <v>61893.905561437372</v>
      </c>
      <c r="M32" s="9">
        <f t="shared" si="3"/>
        <v>62664.216401175639</v>
      </c>
      <c r="N32" s="9">
        <f t="shared" si="3"/>
        <v>63385.742958029827</v>
      </c>
      <c r="O32" s="9">
        <f t="shared" si="3"/>
        <v>64094.435312413283</v>
      </c>
      <c r="P32" s="9">
        <f t="shared" si="3"/>
        <v>64789.67292785224</v>
      </c>
      <c r="Q32" s="9">
        <f t="shared" si="3"/>
        <v>65470.84158618284</v>
      </c>
      <c r="R32" s="9">
        <f t="shared" si="3"/>
        <v>66137.334279778326</v>
      </c>
      <c r="S32" s="9">
        <f t="shared" si="3"/>
        <v>66788.552102024187</v>
      </c>
      <c r="T32" s="9">
        <f t="shared" si="3"/>
        <v>67428.65443544001</v>
      </c>
      <c r="U32" s="9">
        <f t="shared" si="3"/>
        <v>68057.195861094486</v>
      </c>
      <c r="V32" s="9">
        <f t="shared" si="3"/>
        <v>68673.735676231561</v>
      </c>
      <c r="W32" s="9">
        <f t="shared" si="3"/>
        <v>69277.838403331843</v>
      </c>
      <c r="X32" s="9">
        <f t="shared" si="3"/>
        <v>69869.074297329891</v>
      </c>
      <c r="Y32" s="9">
        <f t="shared" si="3"/>
        <v>70448.404111382362</v>
      </c>
      <c r="Z32" s="9">
        <f t="shared" si="3"/>
        <v>71015.445118239149</v>
      </c>
      <c r="AA32" s="9">
        <f t="shared" si="3"/>
        <v>71569.820268995347</v>
      </c>
      <c r="AB32" s="9">
        <f t="shared" si="3"/>
        <v>72111.15860747479</v>
      </c>
      <c r="AC32" s="9">
        <f t="shared" si="3"/>
        <v>72639.095680758939</v>
      </c>
      <c r="AD32" s="9">
        <f t="shared" si="3"/>
        <v>73154.768688025957</v>
      </c>
      <c r="AE32" s="9">
        <f t="shared" si="3"/>
        <v>73657.858836507687</v>
      </c>
      <c r="AF32" s="9">
        <f t="shared" si="3"/>
        <v>74148.053381401434</v>
      </c>
      <c r="AG32" s="9">
        <f t="shared" si="3"/>
        <v>74625.045947922146</v>
      </c>
      <c r="AH32" s="9">
        <f t="shared" si="3"/>
        <v>75088.53684864036</v>
      </c>
      <c r="AI32" s="9">
        <f t="shared" si="3"/>
        <v>75538.295529667477</v>
      </c>
      <c r="AJ32" s="9">
        <f t="shared" si="3"/>
        <v>75974.037711806173</v>
      </c>
      <c r="AK32" s="9">
        <f t="shared" si="3"/>
        <v>76395.48665232271</v>
      </c>
      <c r="AL32" s="9">
        <f t="shared" si="3"/>
        <v>76802.373436637208</v>
      </c>
      <c r="AM32" s="9">
        <f t="shared" si="3"/>
        <v>77194.437263166896</v>
      </c>
    </row>
    <row r="35" spans="1:39" ht="18" thickBot="1" x14ac:dyDescent="0.35">
      <c r="A35" s="4" t="s">
        <v>86</v>
      </c>
      <c r="B35" s="4"/>
      <c r="C35" s="4"/>
      <c r="F35" t="s">
        <v>65</v>
      </c>
      <c r="G35">
        <f t="shared" ref="G35:AM35" si="4">ROUNDUP((G39-2000)/5,0)*5+2000</f>
        <v>2020</v>
      </c>
      <c r="H35">
        <f t="shared" si="4"/>
        <v>2020</v>
      </c>
      <c r="I35">
        <f t="shared" si="4"/>
        <v>2020</v>
      </c>
      <c r="J35">
        <f t="shared" si="4"/>
        <v>2025</v>
      </c>
      <c r="K35">
        <f t="shared" si="4"/>
        <v>2025</v>
      </c>
      <c r="L35">
        <f t="shared" si="4"/>
        <v>2025</v>
      </c>
      <c r="M35">
        <f t="shared" si="4"/>
        <v>2025</v>
      </c>
      <c r="N35">
        <f t="shared" si="4"/>
        <v>2025</v>
      </c>
      <c r="O35">
        <f t="shared" si="4"/>
        <v>2030</v>
      </c>
      <c r="P35">
        <f t="shared" si="4"/>
        <v>2030</v>
      </c>
      <c r="Q35">
        <f t="shared" si="4"/>
        <v>2030</v>
      </c>
      <c r="R35">
        <f t="shared" si="4"/>
        <v>2030</v>
      </c>
      <c r="S35">
        <f t="shared" si="4"/>
        <v>2030</v>
      </c>
      <c r="T35">
        <f t="shared" si="4"/>
        <v>2035</v>
      </c>
      <c r="U35">
        <f t="shared" si="4"/>
        <v>2035</v>
      </c>
      <c r="V35">
        <f t="shared" si="4"/>
        <v>2035</v>
      </c>
      <c r="W35">
        <f t="shared" si="4"/>
        <v>2035</v>
      </c>
      <c r="X35">
        <f t="shared" si="4"/>
        <v>2035</v>
      </c>
      <c r="Y35">
        <f t="shared" si="4"/>
        <v>2040</v>
      </c>
      <c r="Z35">
        <f t="shared" si="4"/>
        <v>2040</v>
      </c>
      <c r="AA35">
        <f t="shared" si="4"/>
        <v>2040</v>
      </c>
      <c r="AB35">
        <f t="shared" si="4"/>
        <v>2040</v>
      </c>
      <c r="AC35">
        <f t="shared" si="4"/>
        <v>2040</v>
      </c>
      <c r="AD35">
        <f t="shared" si="4"/>
        <v>2045</v>
      </c>
      <c r="AE35">
        <f t="shared" si="4"/>
        <v>2045</v>
      </c>
      <c r="AF35">
        <f t="shared" si="4"/>
        <v>2045</v>
      </c>
      <c r="AG35">
        <f t="shared" si="4"/>
        <v>2045</v>
      </c>
      <c r="AH35">
        <f t="shared" si="4"/>
        <v>2045</v>
      </c>
      <c r="AI35">
        <f t="shared" si="4"/>
        <v>2050</v>
      </c>
      <c r="AJ35">
        <f t="shared" si="4"/>
        <v>2050</v>
      </c>
      <c r="AK35">
        <f t="shared" si="4"/>
        <v>2050</v>
      </c>
      <c r="AL35">
        <f t="shared" si="4"/>
        <v>2050</v>
      </c>
      <c r="AM35">
        <f t="shared" si="4"/>
        <v>2050</v>
      </c>
    </row>
    <row r="36" spans="1:39" ht="15.75" thickTop="1" x14ac:dyDescent="0.25">
      <c r="G36" s="6">
        <f>INDEX($G$46:$Q$46,1,MATCH(G35,$G$44:$Q$44,0))</f>
        <v>1.6171639643029367E-2</v>
      </c>
      <c r="H36" s="6">
        <f t="shared" ref="H36:AM36" si="5">INDEX($G$46:$Q$46,1,MATCH(H35,$G$44:$Q$44,0))</f>
        <v>1.6171639643029367E-2</v>
      </c>
      <c r="I36" s="6">
        <f t="shared" si="5"/>
        <v>1.6171639643029367E-2</v>
      </c>
      <c r="J36" s="6">
        <f t="shared" si="5"/>
        <v>1.1514171855832034E-2</v>
      </c>
      <c r="K36" s="6">
        <f t="shared" si="5"/>
        <v>1.1514171855832034E-2</v>
      </c>
      <c r="L36" s="6">
        <f t="shared" si="5"/>
        <v>1.1514171855832034E-2</v>
      </c>
      <c r="M36" s="6">
        <f t="shared" si="5"/>
        <v>1.1514171855832034E-2</v>
      </c>
      <c r="N36" s="6">
        <f t="shared" si="5"/>
        <v>1.1514171855832034E-2</v>
      </c>
      <c r="O36" s="6">
        <f t="shared" si="5"/>
        <v>9.8464479909492475E-3</v>
      </c>
      <c r="P36" s="6">
        <f t="shared" si="5"/>
        <v>9.8464479909492475E-3</v>
      </c>
      <c r="Q36" s="6">
        <f t="shared" si="5"/>
        <v>9.8464479909492475E-3</v>
      </c>
      <c r="R36" s="6">
        <f t="shared" si="5"/>
        <v>9.8464479909492475E-3</v>
      </c>
      <c r="S36" s="6">
        <f t="shared" si="5"/>
        <v>9.8464479909492475E-3</v>
      </c>
      <c r="T36" s="6">
        <f t="shared" si="5"/>
        <v>8.5342716751048986E-3</v>
      </c>
      <c r="U36" s="6">
        <f t="shared" si="5"/>
        <v>8.5342716751048986E-3</v>
      </c>
      <c r="V36" s="6">
        <f t="shared" si="5"/>
        <v>8.5342716751048986E-3</v>
      </c>
      <c r="W36" s="6">
        <f t="shared" si="5"/>
        <v>8.5342716751048986E-3</v>
      </c>
      <c r="X36" s="6">
        <f t="shared" si="5"/>
        <v>8.5342716751048986E-3</v>
      </c>
      <c r="Y36" s="6">
        <f t="shared" si="5"/>
        <v>7.3211564406818752E-3</v>
      </c>
      <c r="Z36" s="6">
        <f t="shared" si="5"/>
        <v>7.3211564406818752E-3</v>
      </c>
      <c r="AA36" s="6">
        <f t="shared" si="5"/>
        <v>7.3211564406818752E-3</v>
      </c>
      <c r="AB36" s="6">
        <f t="shared" si="5"/>
        <v>7.3211564406818752E-3</v>
      </c>
      <c r="AC36" s="6">
        <f t="shared" si="5"/>
        <v>7.3211564406818752E-3</v>
      </c>
      <c r="AD36" s="6">
        <f t="shared" si="5"/>
        <v>6.210929518779329E-3</v>
      </c>
      <c r="AE36" s="6">
        <f t="shared" si="5"/>
        <v>6.210929518779329E-3</v>
      </c>
      <c r="AF36" s="6">
        <f t="shared" si="5"/>
        <v>6.210929518779329E-3</v>
      </c>
      <c r="AG36" s="6">
        <f t="shared" si="5"/>
        <v>6.210929518779329E-3</v>
      </c>
      <c r="AH36" s="6">
        <f t="shared" si="5"/>
        <v>6.210929518779329E-3</v>
      </c>
      <c r="AI36" s="6">
        <f t="shared" si="5"/>
        <v>5.1048399806699063E-3</v>
      </c>
      <c r="AJ36" s="6">
        <f t="shared" si="5"/>
        <v>5.1048399806699063E-3</v>
      </c>
      <c r="AK36" s="6">
        <f t="shared" si="5"/>
        <v>5.1048399806699063E-3</v>
      </c>
      <c r="AL36" s="6">
        <f t="shared" si="5"/>
        <v>5.1048399806699063E-3</v>
      </c>
      <c r="AM36" s="6">
        <f t="shared" si="5"/>
        <v>5.1048399806699063E-3</v>
      </c>
    </row>
    <row r="37" spans="1:39" x14ac:dyDescent="0.25">
      <c r="F37" t="s">
        <v>87</v>
      </c>
      <c r="G37">
        <v>2017</v>
      </c>
      <c r="H37">
        <v>2017</v>
      </c>
      <c r="I37">
        <v>2017</v>
      </c>
      <c r="J37">
        <f t="shared" ref="I37:AM37" si="6">J35-5</f>
        <v>2020</v>
      </c>
      <c r="K37">
        <f t="shared" si="6"/>
        <v>2020</v>
      </c>
      <c r="L37">
        <f t="shared" si="6"/>
        <v>2020</v>
      </c>
      <c r="M37">
        <f t="shared" si="6"/>
        <v>2020</v>
      </c>
      <c r="N37">
        <f t="shared" si="6"/>
        <v>2020</v>
      </c>
      <c r="O37">
        <f t="shared" si="6"/>
        <v>2025</v>
      </c>
      <c r="P37">
        <f t="shared" si="6"/>
        <v>2025</v>
      </c>
      <c r="Q37">
        <f t="shared" si="6"/>
        <v>2025</v>
      </c>
      <c r="R37">
        <f t="shared" si="6"/>
        <v>2025</v>
      </c>
      <c r="S37">
        <f t="shared" si="6"/>
        <v>2025</v>
      </c>
      <c r="T37">
        <f t="shared" si="6"/>
        <v>2030</v>
      </c>
      <c r="U37">
        <f t="shared" si="6"/>
        <v>2030</v>
      </c>
      <c r="V37">
        <f t="shared" si="6"/>
        <v>2030</v>
      </c>
      <c r="W37">
        <f t="shared" si="6"/>
        <v>2030</v>
      </c>
      <c r="X37">
        <f t="shared" si="6"/>
        <v>2030</v>
      </c>
      <c r="Y37">
        <f t="shared" si="6"/>
        <v>2035</v>
      </c>
      <c r="Z37">
        <f t="shared" si="6"/>
        <v>2035</v>
      </c>
      <c r="AA37">
        <f t="shared" si="6"/>
        <v>2035</v>
      </c>
      <c r="AB37">
        <f t="shared" si="6"/>
        <v>2035</v>
      </c>
      <c r="AC37">
        <f t="shared" si="6"/>
        <v>2035</v>
      </c>
      <c r="AD37">
        <f t="shared" si="6"/>
        <v>2040</v>
      </c>
      <c r="AE37">
        <f t="shared" si="6"/>
        <v>2040</v>
      </c>
      <c r="AF37">
        <f t="shared" si="6"/>
        <v>2040</v>
      </c>
      <c r="AG37">
        <f t="shared" si="6"/>
        <v>2040</v>
      </c>
      <c r="AH37">
        <f t="shared" si="6"/>
        <v>2040</v>
      </c>
      <c r="AI37">
        <f t="shared" si="6"/>
        <v>2045</v>
      </c>
      <c r="AJ37">
        <f t="shared" si="6"/>
        <v>2045</v>
      </c>
      <c r="AK37">
        <f t="shared" si="6"/>
        <v>2045</v>
      </c>
      <c r="AL37">
        <f t="shared" si="6"/>
        <v>2045</v>
      </c>
      <c r="AM37">
        <f t="shared" si="6"/>
        <v>2045</v>
      </c>
    </row>
    <row r="38" spans="1:39" x14ac:dyDescent="0.25">
      <c r="G38" s="13">
        <f>F40</f>
        <v>1.6217341554197295E-2</v>
      </c>
      <c r="H38" s="13">
        <f>G38</f>
        <v>1.6217341554197295E-2</v>
      </c>
      <c r="I38" s="13">
        <f>H38</f>
        <v>1.6217341554197295E-2</v>
      </c>
      <c r="J38" s="13">
        <f t="shared" ref="I38:J38" si="7">INDEX($G$46:$Q$46,1,MATCH(J37,$G$44:$Q$44,0))</f>
        <v>1.6171639643029367E-2</v>
      </c>
      <c r="K38" s="13">
        <f t="shared" ref="K38" si="8">INDEX($G$46:$Q$46,1,MATCH(K37,$G$44:$Q$44,0))</f>
        <v>1.6171639643029367E-2</v>
      </c>
      <c r="L38" s="13">
        <f t="shared" ref="L38" si="9">INDEX($G$46:$Q$46,1,MATCH(L37,$G$44:$Q$44,0))</f>
        <v>1.6171639643029367E-2</v>
      </c>
      <c r="M38" s="13">
        <f t="shared" ref="M38" si="10">INDEX($G$46:$Q$46,1,MATCH(M37,$G$44:$Q$44,0))</f>
        <v>1.6171639643029367E-2</v>
      </c>
      <c r="N38" s="13">
        <f t="shared" ref="N38" si="11">INDEX($G$46:$Q$46,1,MATCH(N37,$G$44:$Q$44,0))</f>
        <v>1.6171639643029367E-2</v>
      </c>
      <c r="O38" s="13">
        <f t="shared" ref="O38" si="12">INDEX($G$46:$Q$46,1,MATCH(O37,$G$44:$Q$44,0))</f>
        <v>1.1514171855832034E-2</v>
      </c>
      <c r="P38" s="13">
        <f t="shared" ref="P38" si="13">INDEX($G$46:$Q$46,1,MATCH(P37,$G$44:$Q$44,0))</f>
        <v>1.1514171855832034E-2</v>
      </c>
      <c r="Q38" s="13">
        <f t="shared" ref="Q38" si="14">INDEX($G$46:$Q$46,1,MATCH(Q37,$G$44:$Q$44,0))</f>
        <v>1.1514171855832034E-2</v>
      </c>
      <c r="R38" s="13">
        <f t="shared" ref="R38" si="15">INDEX($G$46:$Q$46,1,MATCH(R37,$G$44:$Q$44,0))</f>
        <v>1.1514171855832034E-2</v>
      </c>
      <c r="S38" s="13">
        <f t="shared" ref="S38" si="16">INDEX($G$46:$Q$46,1,MATCH(S37,$G$44:$Q$44,0))</f>
        <v>1.1514171855832034E-2</v>
      </c>
      <c r="T38" s="13">
        <f t="shared" ref="T38" si="17">INDEX($G$46:$Q$46,1,MATCH(T37,$G$44:$Q$44,0))</f>
        <v>9.8464479909492475E-3</v>
      </c>
      <c r="U38" s="13">
        <f t="shared" ref="U38" si="18">INDEX($G$46:$Q$46,1,MATCH(U37,$G$44:$Q$44,0))</f>
        <v>9.8464479909492475E-3</v>
      </c>
      <c r="V38" s="13">
        <f t="shared" ref="V38" si="19">INDEX($G$46:$Q$46,1,MATCH(V37,$G$44:$Q$44,0))</f>
        <v>9.8464479909492475E-3</v>
      </c>
      <c r="W38" s="13">
        <f t="shared" ref="W38" si="20">INDEX($G$46:$Q$46,1,MATCH(W37,$G$44:$Q$44,0))</f>
        <v>9.8464479909492475E-3</v>
      </c>
      <c r="X38" s="13">
        <f t="shared" ref="X38" si="21">INDEX($G$46:$Q$46,1,MATCH(X37,$G$44:$Q$44,0))</f>
        <v>9.8464479909492475E-3</v>
      </c>
      <c r="Y38" s="13">
        <f t="shared" ref="Y38" si="22">INDEX($G$46:$Q$46,1,MATCH(Y37,$G$44:$Q$44,0))</f>
        <v>8.5342716751048986E-3</v>
      </c>
      <c r="Z38" s="13">
        <f t="shared" ref="Z38" si="23">INDEX($G$46:$Q$46,1,MATCH(Z37,$G$44:$Q$44,0))</f>
        <v>8.5342716751048986E-3</v>
      </c>
      <c r="AA38" s="13">
        <f t="shared" ref="AA38" si="24">INDEX($G$46:$Q$46,1,MATCH(AA37,$G$44:$Q$44,0))</f>
        <v>8.5342716751048986E-3</v>
      </c>
      <c r="AB38" s="13">
        <f t="shared" ref="AB38" si="25">INDEX($G$46:$Q$46,1,MATCH(AB37,$G$44:$Q$44,0))</f>
        <v>8.5342716751048986E-3</v>
      </c>
      <c r="AC38" s="13">
        <f t="shared" ref="AC38" si="26">INDEX($G$46:$Q$46,1,MATCH(AC37,$G$44:$Q$44,0))</f>
        <v>8.5342716751048986E-3</v>
      </c>
      <c r="AD38" s="13">
        <f t="shared" ref="AD38" si="27">INDEX($G$46:$Q$46,1,MATCH(AD37,$G$44:$Q$44,0))</f>
        <v>7.3211564406818752E-3</v>
      </c>
      <c r="AE38" s="13">
        <f t="shared" ref="AE38" si="28">INDEX($G$46:$Q$46,1,MATCH(AE37,$G$44:$Q$44,0))</f>
        <v>7.3211564406818752E-3</v>
      </c>
      <c r="AF38" s="13">
        <f t="shared" ref="AF38" si="29">INDEX($G$46:$Q$46,1,MATCH(AF37,$G$44:$Q$44,0))</f>
        <v>7.3211564406818752E-3</v>
      </c>
      <c r="AG38" s="13">
        <f t="shared" ref="AG38" si="30">INDEX($G$46:$Q$46,1,MATCH(AG37,$G$44:$Q$44,0))</f>
        <v>7.3211564406818752E-3</v>
      </c>
      <c r="AH38" s="13">
        <f t="shared" ref="AH38" si="31">INDEX($G$46:$Q$46,1,MATCH(AH37,$G$44:$Q$44,0))</f>
        <v>7.3211564406818752E-3</v>
      </c>
      <c r="AI38" s="13">
        <f t="shared" ref="AI38" si="32">INDEX($G$46:$Q$46,1,MATCH(AI37,$G$44:$Q$44,0))</f>
        <v>6.210929518779329E-3</v>
      </c>
      <c r="AJ38" s="13">
        <f t="shared" ref="AJ38" si="33">INDEX($G$46:$Q$46,1,MATCH(AJ37,$G$44:$Q$44,0))</f>
        <v>6.210929518779329E-3</v>
      </c>
      <c r="AK38" s="13">
        <f t="shared" ref="AK38" si="34">INDEX($G$46:$Q$46,1,MATCH(AK37,$G$44:$Q$44,0))</f>
        <v>6.210929518779329E-3</v>
      </c>
      <c r="AL38" s="13">
        <f t="shared" ref="AL38" si="35">INDEX($G$46:$Q$46,1,MATCH(AL37,$G$44:$Q$44,0))</f>
        <v>6.210929518779329E-3</v>
      </c>
      <c r="AM38" s="13">
        <f t="shared" ref="AM38" si="36">INDEX($G$46:$Q$46,1,MATCH(AM37,$G$44:$Q$44,0))</f>
        <v>6.210929518779329E-3</v>
      </c>
    </row>
    <row r="39" spans="1:39" x14ac:dyDescent="0.25">
      <c r="A39" s="3"/>
      <c r="B39" s="3">
        <v>2013</v>
      </c>
      <c r="C39" s="3">
        <v>2014</v>
      </c>
      <c r="D39" s="3">
        <v>2015</v>
      </c>
      <c r="E39" s="3">
        <v>2016</v>
      </c>
      <c r="F39" s="3">
        <v>2017</v>
      </c>
      <c r="G39" s="3">
        <v>2018</v>
      </c>
      <c r="H39" s="3">
        <v>2019</v>
      </c>
      <c r="I39" s="3">
        <v>2020</v>
      </c>
      <c r="J39" s="3">
        <v>2021</v>
      </c>
      <c r="K39" s="3">
        <v>2022</v>
      </c>
      <c r="L39" s="3">
        <v>2023</v>
      </c>
      <c r="M39" s="3">
        <v>2024</v>
      </c>
      <c r="N39" s="3">
        <v>2025</v>
      </c>
      <c r="O39" s="3">
        <v>2026</v>
      </c>
      <c r="P39" s="3">
        <v>2027</v>
      </c>
      <c r="Q39" s="3">
        <v>2028</v>
      </c>
      <c r="R39" s="3">
        <v>2029</v>
      </c>
      <c r="S39" s="3">
        <v>2030</v>
      </c>
      <c r="T39" s="3">
        <v>2031</v>
      </c>
      <c r="U39" s="3">
        <v>2032</v>
      </c>
      <c r="V39" s="3">
        <v>2033</v>
      </c>
      <c r="W39" s="3">
        <v>2034</v>
      </c>
      <c r="X39" s="3">
        <v>2035</v>
      </c>
      <c r="Y39" s="3">
        <v>2036</v>
      </c>
      <c r="Z39" s="3">
        <v>2037</v>
      </c>
      <c r="AA39">
        <v>2038</v>
      </c>
      <c r="AB39">
        <v>2039</v>
      </c>
      <c r="AC39">
        <v>2040</v>
      </c>
      <c r="AD39">
        <v>2041</v>
      </c>
      <c r="AE39">
        <v>2042</v>
      </c>
      <c r="AF39">
        <v>2043</v>
      </c>
      <c r="AG39">
        <v>2044</v>
      </c>
      <c r="AH39">
        <v>2045</v>
      </c>
      <c r="AI39">
        <v>2046</v>
      </c>
      <c r="AJ39">
        <v>2047</v>
      </c>
      <c r="AK39">
        <v>2048</v>
      </c>
      <c r="AL39">
        <v>2049</v>
      </c>
      <c r="AM39">
        <v>2050</v>
      </c>
    </row>
    <row r="40" spans="1:39" x14ac:dyDescent="0.25">
      <c r="A40" s="9"/>
      <c r="B40" s="6">
        <f>B46</f>
        <v>1.4886710600347186E-2</v>
      </c>
      <c r="C40" s="6">
        <f t="shared" ref="C40:F40" si="37">C46</f>
        <v>1.5214924545611908E-2</v>
      </c>
      <c r="D40" s="6">
        <f t="shared" si="37"/>
        <v>1.5546076584524338E-2</v>
      </c>
      <c r="E40" s="6">
        <f t="shared" si="37"/>
        <v>1.5880204713440094E-2</v>
      </c>
      <c r="F40" s="6">
        <f t="shared" si="37"/>
        <v>1.6217341554197295E-2</v>
      </c>
      <c r="G40" s="6">
        <f>F40+(G36-G38)/(G35-G37)</f>
        <v>1.6202107583807985E-2</v>
      </c>
      <c r="H40" s="6">
        <f t="shared" ref="H40:R40" si="38">G40+(H36-H38)/(H35-H37)</f>
        <v>1.6186873613418674E-2</v>
      </c>
      <c r="I40" s="6">
        <f t="shared" si="38"/>
        <v>1.6171639643029364E-2</v>
      </c>
      <c r="J40" s="6">
        <f t="shared" si="38"/>
        <v>1.5240146085589898E-2</v>
      </c>
      <c r="K40" s="6">
        <f t="shared" si="38"/>
        <v>1.4308652528150431E-2</v>
      </c>
      <c r="L40" s="6">
        <f t="shared" si="38"/>
        <v>1.3377158970710965E-2</v>
      </c>
      <c r="M40" s="6">
        <f t="shared" si="38"/>
        <v>1.2445665413271498E-2</v>
      </c>
      <c r="N40" s="6">
        <f t="shared" si="38"/>
        <v>1.1514171855832032E-2</v>
      </c>
      <c r="O40" s="6">
        <f>N40+(O36-O38)/(O35-O37)</f>
        <v>1.1180627082855474E-2</v>
      </c>
      <c r="P40" s="6">
        <f t="shared" si="38"/>
        <v>1.0847082309878917E-2</v>
      </c>
      <c r="Q40" s="6">
        <f t="shared" si="38"/>
        <v>1.0513537536902359E-2</v>
      </c>
      <c r="R40" s="6">
        <f t="shared" si="38"/>
        <v>1.0179992763925802E-2</v>
      </c>
      <c r="S40" s="6">
        <f>R40+(S36-S38)/(S35-S37)</f>
        <v>9.846447990949244E-3</v>
      </c>
      <c r="T40" s="6">
        <f t="shared" ref="T40:AM40" si="39">S40+(T36-T38)/(T35-T37)</f>
        <v>9.5840127277803736E-3</v>
      </c>
      <c r="U40" s="6">
        <f t="shared" si="39"/>
        <v>9.3215774646115031E-3</v>
      </c>
      <c r="V40" s="6">
        <f t="shared" si="39"/>
        <v>9.0591422014426326E-3</v>
      </c>
      <c r="W40" s="6">
        <f t="shared" si="39"/>
        <v>8.7967069382737621E-3</v>
      </c>
      <c r="X40" s="6">
        <f t="shared" si="39"/>
        <v>8.5342716751048917E-3</v>
      </c>
      <c r="Y40" s="6">
        <f t="shared" si="39"/>
        <v>8.291648628220287E-3</v>
      </c>
      <c r="Z40" s="6">
        <f t="shared" si="39"/>
        <v>8.0490255813356823E-3</v>
      </c>
      <c r="AA40" s="6">
        <f t="shared" si="39"/>
        <v>7.8064025344510776E-3</v>
      </c>
      <c r="AB40" s="6">
        <f t="shared" si="39"/>
        <v>7.5637794875664729E-3</v>
      </c>
      <c r="AC40" s="6">
        <f t="shared" si="39"/>
        <v>7.3211564406818683E-3</v>
      </c>
      <c r="AD40" s="6">
        <f t="shared" si="39"/>
        <v>7.0991110563013594E-3</v>
      </c>
      <c r="AE40" s="6">
        <f t="shared" si="39"/>
        <v>6.8770656719208505E-3</v>
      </c>
      <c r="AF40" s="6">
        <f t="shared" si="39"/>
        <v>6.6550202875403416E-3</v>
      </c>
      <c r="AG40" s="6">
        <f t="shared" si="39"/>
        <v>6.4329749031598327E-3</v>
      </c>
      <c r="AH40" s="6">
        <f t="shared" si="39"/>
        <v>6.2109295187793238E-3</v>
      </c>
      <c r="AI40" s="6">
        <f t="shared" si="39"/>
        <v>5.9897116111574389E-3</v>
      </c>
      <c r="AJ40" s="6">
        <f t="shared" si="39"/>
        <v>5.768493703535554E-3</v>
      </c>
      <c r="AK40" s="6">
        <f t="shared" si="39"/>
        <v>5.5472757959136691E-3</v>
      </c>
      <c r="AL40" s="6">
        <f t="shared" si="39"/>
        <v>5.3260578882917842E-3</v>
      </c>
      <c r="AM40" s="6">
        <f t="shared" si="39"/>
        <v>5.1048399806698994E-3</v>
      </c>
    </row>
    <row r="43" spans="1:39" x14ac:dyDescent="0.25">
      <c r="A43" t="s">
        <v>63</v>
      </c>
      <c r="G43" t="s">
        <v>64</v>
      </c>
      <c r="K43" t="s">
        <v>60</v>
      </c>
      <c r="L43" s="5" t="s">
        <v>61</v>
      </c>
      <c r="S43" t="s">
        <v>62</v>
      </c>
    </row>
    <row r="44" spans="1:39" x14ac:dyDescent="0.25">
      <c r="A44" s="8">
        <v>2012</v>
      </c>
      <c r="B44" s="8">
        <f>A44+1</f>
        <v>2013</v>
      </c>
      <c r="C44" s="8">
        <f t="shared" ref="C44:F44" si="40">B44+1</f>
        <v>2014</v>
      </c>
      <c r="D44" s="8">
        <f t="shared" si="40"/>
        <v>2015</v>
      </c>
      <c r="E44" s="8">
        <f t="shared" si="40"/>
        <v>2016</v>
      </c>
      <c r="F44" s="8">
        <f t="shared" si="40"/>
        <v>2017</v>
      </c>
      <c r="G44" s="7">
        <v>2020</v>
      </c>
      <c r="H44" s="7">
        <v>2025</v>
      </c>
      <c r="I44" s="7">
        <v>2030</v>
      </c>
      <c r="J44" s="7">
        <v>2035</v>
      </c>
      <c r="K44" s="7">
        <v>2040</v>
      </c>
      <c r="L44" s="7">
        <v>2045</v>
      </c>
      <c r="M44" s="7">
        <v>2050</v>
      </c>
      <c r="N44" s="7">
        <v>2055</v>
      </c>
      <c r="O44" s="7">
        <v>2060</v>
      </c>
      <c r="P44" s="7">
        <v>2065</v>
      </c>
      <c r="Q44" s="7">
        <v>2070</v>
      </c>
    </row>
    <row r="45" spans="1:39" x14ac:dyDescent="0.25">
      <c r="A45" s="11">
        <v>52325.432882070083</v>
      </c>
      <c r="B45" s="11">
        <v>53104.386458423345</v>
      </c>
      <c r="C45" s="11">
        <v>53912.365691429273</v>
      </c>
      <c r="D45" s="11">
        <v>54750.491457321114</v>
      </c>
      <c r="E45" s="11">
        <v>55619.940469824825</v>
      </c>
      <c r="F45" s="11">
        <v>56521.948041648095</v>
      </c>
      <c r="G45" s="10">
        <v>59308.69</v>
      </c>
      <c r="H45" s="10">
        <v>62802.682000000001</v>
      </c>
      <c r="I45" s="10">
        <v>65956.09</v>
      </c>
      <c r="J45" s="10">
        <v>68818.975999999995</v>
      </c>
      <c r="K45" s="10">
        <v>71375.305999999997</v>
      </c>
      <c r="L45" s="10">
        <v>73619.546000000002</v>
      </c>
      <c r="M45" s="10">
        <v>75517.909</v>
      </c>
      <c r="N45" s="10">
        <v>77034.739000000001</v>
      </c>
      <c r="O45" s="10">
        <v>78172.047999999995</v>
      </c>
      <c r="P45" s="10">
        <v>78973.285999999993</v>
      </c>
      <c r="Q45" s="10">
        <v>79498.839000000007</v>
      </c>
    </row>
    <row r="46" spans="1:39" x14ac:dyDescent="0.25">
      <c r="B46" s="6">
        <f>B45/A45-1</f>
        <v>1.4886710600347186E-2</v>
      </c>
      <c r="C46" s="6">
        <f t="shared" ref="C46:F46" si="41">C45/B45-1</f>
        <v>1.5214924545611908E-2</v>
      </c>
      <c r="D46" s="6">
        <f t="shared" si="41"/>
        <v>1.5546076584524338E-2</v>
      </c>
      <c r="E46" s="6">
        <f t="shared" si="41"/>
        <v>1.5880204713440094E-2</v>
      </c>
      <c r="F46" s="6">
        <f t="shared" si="41"/>
        <v>1.6217341554197295E-2</v>
      </c>
      <c r="G46" s="6">
        <f>(G45/F45)^(1/3)-1</f>
        <v>1.6171639643029367E-2</v>
      </c>
      <c r="H46" s="6">
        <f>(H45/G45)^(1/5)-1</f>
        <v>1.1514171855832034E-2</v>
      </c>
      <c r="I46" s="6">
        <f t="shared" ref="I46:Q46" si="42">(I45/H45)^(1/5)-1</f>
        <v>9.8464479909492475E-3</v>
      </c>
      <c r="J46" s="6">
        <f t="shared" si="42"/>
        <v>8.5342716751048986E-3</v>
      </c>
      <c r="K46" s="6">
        <f t="shared" si="42"/>
        <v>7.3211564406818752E-3</v>
      </c>
      <c r="L46" s="6">
        <f t="shared" si="42"/>
        <v>6.210929518779329E-3</v>
      </c>
      <c r="M46" s="6">
        <f t="shared" si="42"/>
        <v>5.1048399806699063E-3</v>
      </c>
      <c r="N46" s="6">
        <f t="shared" si="42"/>
        <v>3.9852485744564792E-3</v>
      </c>
      <c r="O46" s="6">
        <f t="shared" si="42"/>
        <v>2.9354330188284816E-3</v>
      </c>
      <c r="P46" s="6">
        <f t="shared" si="42"/>
        <v>2.0415816324019787E-3</v>
      </c>
      <c r="Q46" s="6">
        <f t="shared" si="42"/>
        <v>1.3274351427250419E-3</v>
      </c>
    </row>
    <row r="49" spans="1:42" ht="18" thickBot="1" x14ac:dyDescent="0.35">
      <c r="A49" s="4" t="s">
        <v>80</v>
      </c>
      <c r="B49" s="4"/>
      <c r="C49" s="4"/>
      <c r="D49" s="4"/>
      <c r="E49" s="4"/>
      <c r="F49" s="4"/>
      <c r="G49" s="4"/>
      <c r="H49" s="4"/>
    </row>
    <row r="50" spans="1:42" ht="15.75" thickTop="1" x14ac:dyDescent="0.25">
      <c r="B50" s="3">
        <v>2012</v>
      </c>
      <c r="C50" s="3">
        <v>2013</v>
      </c>
      <c r="D50" s="3">
        <v>2014</v>
      </c>
      <c r="E50" s="3">
        <v>2015</v>
      </c>
      <c r="F50" s="3">
        <v>2016</v>
      </c>
      <c r="G50" s="3">
        <v>2017</v>
      </c>
      <c r="H50" s="3">
        <v>2018</v>
      </c>
      <c r="I50" s="3">
        <v>2019</v>
      </c>
      <c r="J50" s="3">
        <v>2020</v>
      </c>
      <c r="K50" s="3">
        <v>2021</v>
      </c>
      <c r="L50" s="3">
        <v>2022</v>
      </c>
      <c r="M50" s="3">
        <v>2023</v>
      </c>
      <c r="N50" s="3">
        <v>2024</v>
      </c>
      <c r="O50" s="3">
        <v>2025</v>
      </c>
      <c r="P50" s="3">
        <v>2026</v>
      </c>
      <c r="Q50" s="3">
        <v>2027</v>
      </c>
      <c r="R50" s="3">
        <v>2028</v>
      </c>
      <c r="S50" s="3">
        <v>2029</v>
      </c>
      <c r="T50" s="3">
        <v>2030</v>
      </c>
      <c r="U50" s="3">
        <v>2031</v>
      </c>
      <c r="V50" s="3">
        <v>2032</v>
      </c>
      <c r="W50" s="3">
        <v>2033</v>
      </c>
      <c r="X50" s="3">
        <v>2034</v>
      </c>
      <c r="Y50" s="3">
        <v>2035</v>
      </c>
      <c r="Z50" s="3">
        <v>2036</v>
      </c>
      <c r="AA50" s="3">
        <v>2037</v>
      </c>
      <c r="AB50" s="3">
        <v>2038</v>
      </c>
      <c r="AC50">
        <v>2039</v>
      </c>
      <c r="AD50">
        <v>2040</v>
      </c>
      <c r="AE50">
        <v>2041</v>
      </c>
      <c r="AF50">
        <v>2042</v>
      </c>
      <c r="AG50">
        <v>2043</v>
      </c>
      <c r="AH50">
        <v>2044</v>
      </c>
      <c r="AI50">
        <v>2045</v>
      </c>
      <c r="AJ50">
        <v>2046</v>
      </c>
      <c r="AK50">
        <v>2047</v>
      </c>
      <c r="AL50">
        <v>2048</v>
      </c>
      <c r="AM50">
        <v>2049</v>
      </c>
      <c r="AN50">
        <v>2050</v>
      </c>
    </row>
    <row r="51" spans="1:42" x14ac:dyDescent="0.25">
      <c r="A51" s="3" t="s">
        <v>66</v>
      </c>
      <c r="B51" s="12">
        <v>0.5</v>
      </c>
      <c r="C51" s="12">
        <v>0.49195171026156947</v>
      </c>
      <c r="D51" s="12">
        <v>0.47874493927125505</v>
      </c>
      <c r="E51" s="12">
        <v>0.46897253306205494</v>
      </c>
      <c r="F51" s="12">
        <v>0.46311475409836067</v>
      </c>
      <c r="G51" s="12">
        <v>0.4556701030927835</v>
      </c>
      <c r="H51" s="12">
        <v>0.44755970924195226</v>
      </c>
      <c r="I51" s="12">
        <v>0.44456066945606693</v>
      </c>
      <c r="J51" s="12">
        <v>0.45521601685985247</v>
      </c>
      <c r="K51" s="12">
        <v>0.46518987341772156</v>
      </c>
      <c r="L51" s="12">
        <v>0.4565677966101695</v>
      </c>
      <c r="M51" s="12">
        <v>0.44915254237288138</v>
      </c>
      <c r="N51" s="12">
        <v>0.44161358811040341</v>
      </c>
      <c r="O51" s="12">
        <v>0.43130990415335463</v>
      </c>
      <c r="P51" s="12">
        <v>0.41897654584221755</v>
      </c>
      <c r="Q51" s="12">
        <v>0.40661686232657418</v>
      </c>
      <c r="R51" s="12">
        <v>0.39381003201707576</v>
      </c>
      <c r="S51" s="12">
        <v>0.38100320170757734</v>
      </c>
      <c r="T51" s="12">
        <v>0.36606189967982927</v>
      </c>
      <c r="U51" s="12">
        <v>0.35218783351120597</v>
      </c>
      <c r="V51" s="12">
        <v>0.33938100320170755</v>
      </c>
      <c r="W51" s="12">
        <v>0.32729211087420046</v>
      </c>
      <c r="X51" s="12">
        <v>0.31522896698615543</v>
      </c>
      <c r="Y51" s="12">
        <v>0.30425531914893617</v>
      </c>
      <c r="Z51" s="12">
        <v>0.29543039319872477</v>
      </c>
      <c r="AA51" s="12">
        <v>0.28525980911983034</v>
      </c>
      <c r="AB51" s="12">
        <v>0.27619047619047621</v>
      </c>
      <c r="AC51" s="12">
        <v>0.26744186046511625</v>
      </c>
      <c r="AD51" s="12">
        <v>0.25949367088607594</v>
      </c>
      <c r="AE51" s="12">
        <v>0.25131440588853837</v>
      </c>
      <c r="AF51" s="12">
        <v>0.24318658280922431</v>
      </c>
      <c r="AG51" s="12">
        <v>0.23590814196242174</v>
      </c>
      <c r="AH51" s="12">
        <v>0.22836287799791449</v>
      </c>
      <c r="AI51" s="12">
        <v>0.22141372141372143</v>
      </c>
      <c r="AJ51" s="12">
        <v>0.21406411582213031</v>
      </c>
      <c r="AK51" s="12">
        <v>0.2070030895983522</v>
      </c>
      <c r="AL51" s="12">
        <v>0.20000000000000004</v>
      </c>
      <c r="AM51" s="12">
        <v>0.19305413687436157</v>
      </c>
      <c r="AN51" s="12">
        <v>0.18737270875763748</v>
      </c>
    </row>
    <row r="52" spans="1:42" x14ac:dyDescent="0.25">
      <c r="A52" s="3" t="s">
        <v>67</v>
      </c>
      <c r="B52" s="12">
        <v>0.3</v>
      </c>
      <c r="C52" s="12">
        <v>0.29577464788732394</v>
      </c>
      <c r="D52" s="12">
        <v>0.30060728744939269</v>
      </c>
      <c r="E52" s="12">
        <v>0.3041709053916582</v>
      </c>
      <c r="F52" s="12">
        <v>0.30737704918032788</v>
      </c>
      <c r="G52" s="12">
        <v>0.30824742268041239</v>
      </c>
      <c r="H52" s="12">
        <v>0.3115264797507788</v>
      </c>
      <c r="I52" s="12">
        <v>0.31485355648535562</v>
      </c>
      <c r="J52" s="12">
        <v>0.32560590094836672</v>
      </c>
      <c r="K52" s="12">
        <v>0.30907172995780591</v>
      </c>
      <c r="L52" s="12">
        <v>0.3125</v>
      </c>
      <c r="M52" s="12">
        <v>0.3146186440677966</v>
      </c>
      <c r="N52" s="12">
        <v>0.31634819532908703</v>
      </c>
      <c r="O52" s="12">
        <v>0.31735889243876458</v>
      </c>
      <c r="P52" s="12">
        <v>0.32089552238805968</v>
      </c>
      <c r="Q52" s="12">
        <v>0.3233724653148346</v>
      </c>
      <c r="R52" s="12">
        <v>0.32657417289220914</v>
      </c>
      <c r="S52" s="12">
        <v>0.3287086446104589</v>
      </c>
      <c r="T52" s="12">
        <v>0.33191035218783349</v>
      </c>
      <c r="U52" s="12">
        <v>0.33511205976520808</v>
      </c>
      <c r="V52" s="12">
        <v>0.33831376734258267</v>
      </c>
      <c r="W52" s="12">
        <v>0.3400852878464819</v>
      </c>
      <c r="X52" s="12">
        <v>0.34291799787007454</v>
      </c>
      <c r="Y52" s="12">
        <v>0.34574468085106386</v>
      </c>
      <c r="Z52" s="12">
        <v>0.34750265674814029</v>
      </c>
      <c r="AA52" s="12">
        <v>0.34994697773064692</v>
      </c>
      <c r="AB52" s="12">
        <v>0.35132275132275137</v>
      </c>
      <c r="AC52" s="12">
        <v>0.35412262156448204</v>
      </c>
      <c r="AD52" s="12">
        <v>0.35548523206751059</v>
      </c>
      <c r="AE52" s="12">
        <v>0.35751840168243959</v>
      </c>
      <c r="AF52" s="12">
        <v>0.35849056603773582</v>
      </c>
      <c r="AG52" s="12">
        <v>0.36012526096033404</v>
      </c>
      <c r="AH52" s="12">
        <v>0.36183524504692388</v>
      </c>
      <c r="AI52" s="12">
        <v>0.36278586278586278</v>
      </c>
      <c r="AJ52" s="12">
        <v>0.36401240951396074</v>
      </c>
      <c r="AK52" s="12">
        <v>0.36560247167868171</v>
      </c>
      <c r="AL52" s="12">
        <v>0.36717948717948723</v>
      </c>
      <c r="AM52" s="12">
        <v>0.36874361593462712</v>
      </c>
      <c r="AN52" s="12">
        <v>0.36965376782077392</v>
      </c>
    </row>
    <row r="53" spans="1:42" x14ac:dyDescent="0.25">
      <c r="A53" s="3" t="s">
        <v>68</v>
      </c>
      <c r="B53" s="12">
        <v>0.2</v>
      </c>
      <c r="C53" s="12">
        <v>0.21227364185110667</v>
      </c>
      <c r="D53" s="12">
        <v>0.22064777327935223</v>
      </c>
      <c r="E53" s="12">
        <v>0.22685656154628689</v>
      </c>
      <c r="F53" s="12">
        <v>0.22950819672131148</v>
      </c>
      <c r="G53" s="12">
        <v>0.23608247422680415</v>
      </c>
      <c r="H53" s="12">
        <v>0.24091381100726897</v>
      </c>
      <c r="I53" s="12">
        <v>0.24058577405857742</v>
      </c>
      <c r="J53" s="12">
        <v>0.21917808219178081</v>
      </c>
      <c r="K53" s="12">
        <v>0.22573839662447259</v>
      </c>
      <c r="L53" s="12">
        <v>0.23093220338983053</v>
      </c>
      <c r="M53" s="12">
        <v>0.23622881355932204</v>
      </c>
      <c r="N53" s="12">
        <v>0.24203821656050958</v>
      </c>
      <c r="O53" s="12">
        <v>0.25133120340788068</v>
      </c>
      <c r="P53" s="12">
        <v>0.26012793176972282</v>
      </c>
      <c r="Q53" s="12">
        <v>0.27001067235859127</v>
      </c>
      <c r="R53" s="12">
        <v>0.27961579509071505</v>
      </c>
      <c r="S53" s="12">
        <v>0.2902881536819637</v>
      </c>
      <c r="T53" s="12">
        <v>0.30202774813233718</v>
      </c>
      <c r="U53" s="12">
        <v>0.31270010672358589</v>
      </c>
      <c r="V53" s="12">
        <v>0.32230522945570966</v>
      </c>
      <c r="W53" s="12">
        <v>0.3326226012793177</v>
      </c>
      <c r="X53" s="12">
        <v>0.34185303514376997</v>
      </c>
      <c r="Y53" s="12">
        <v>0.35000000000000003</v>
      </c>
      <c r="Z53" s="12">
        <v>0.35706695005313499</v>
      </c>
      <c r="AA53" s="12">
        <v>0.36479321314952279</v>
      </c>
      <c r="AB53" s="12">
        <v>0.37248677248677248</v>
      </c>
      <c r="AC53" s="12">
        <v>0.37843551797040165</v>
      </c>
      <c r="AD53" s="12">
        <v>0.38502109704641352</v>
      </c>
      <c r="AE53" s="12">
        <v>0.39116719242902209</v>
      </c>
      <c r="AF53" s="12">
        <v>0.39832285115303978</v>
      </c>
      <c r="AG53" s="12">
        <v>0.4039665970772443</v>
      </c>
      <c r="AH53" s="12">
        <v>0.40980187695516168</v>
      </c>
      <c r="AI53" s="12">
        <v>0.41580041580041582</v>
      </c>
      <c r="AJ53" s="12">
        <v>0.421923474663909</v>
      </c>
      <c r="AK53" s="12">
        <v>0.42739443872296595</v>
      </c>
      <c r="AL53" s="12">
        <v>0.43282051282051287</v>
      </c>
      <c r="AM53" s="12">
        <v>0.4382022471910112</v>
      </c>
      <c r="AN53" s="12">
        <v>0.44297352342158858</v>
      </c>
    </row>
    <row r="54" spans="1:42" x14ac:dyDescent="0.25">
      <c r="A54" s="3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6" spans="1:42" ht="18" thickBot="1" x14ac:dyDescent="0.35">
      <c r="A56" s="4" t="s">
        <v>81</v>
      </c>
      <c r="B56" s="4"/>
      <c r="C56" s="4"/>
      <c r="D56" s="4"/>
      <c r="E56" s="4"/>
      <c r="F56" s="4"/>
      <c r="G56" s="4"/>
      <c r="H56" s="4"/>
    </row>
    <row r="57" spans="1:42" ht="15.75" thickTop="1" x14ac:dyDescent="0.25">
      <c r="A57" s="3">
        <v>2012</v>
      </c>
      <c r="B57" s="3">
        <v>2013</v>
      </c>
      <c r="C57" s="3">
        <v>2014</v>
      </c>
      <c r="D57" s="3">
        <v>2015</v>
      </c>
      <c r="E57" s="3">
        <v>2016</v>
      </c>
      <c r="F57" s="3">
        <v>2017</v>
      </c>
      <c r="G57" s="3">
        <v>2018</v>
      </c>
      <c r="H57" s="3">
        <v>2019</v>
      </c>
      <c r="I57" s="3">
        <v>2020</v>
      </c>
      <c r="J57" s="3">
        <v>2021</v>
      </c>
      <c r="K57" s="3">
        <v>2022</v>
      </c>
      <c r="L57" s="3">
        <v>2023</v>
      </c>
      <c r="M57" s="3">
        <v>2024</v>
      </c>
      <c r="N57" s="3">
        <v>2025</v>
      </c>
      <c r="O57" s="3">
        <v>2026</v>
      </c>
      <c r="P57" s="3">
        <v>2027</v>
      </c>
      <c r="Q57" s="3">
        <v>2028</v>
      </c>
      <c r="R57" s="3">
        <v>2029</v>
      </c>
      <c r="S57" s="3">
        <v>2030</v>
      </c>
      <c r="T57" s="3">
        <v>2031</v>
      </c>
      <c r="U57" s="3">
        <v>2032</v>
      </c>
      <c r="V57" s="3">
        <v>2033</v>
      </c>
      <c r="W57" s="3">
        <v>2034</v>
      </c>
      <c r="X57" s="3">
        <v>2035</v>
      </c>
      <c r="Y57" s="3">
        <v>2036</v>
      </c>
      <c r="Z57">
        <v>2037</v>
      </c>
      <c r="AA57">
        <v>2038</v>
      </c>
      <c r="AB57">
        <v>2039</v>
      </c>
      <c r="AC57">
        <v>2040</v>
      </c>
      <c r="AD57">
        <v>2041</v>
      </c>
      <c r="AE57">
        <v>2042</v>
      </c>
      <c r="AF57">
        <v>2043</v>
      </c>
      <c r="AG57">
        <v>2044</v>
      </c>
      <c r="AH57">
        <v>2045</v>
      </c>
      <c r="AI57">
        <v>2046</v>
      </c>
      <c r="AJ57">
        <v>2047</v>
      </c>
      <c r="AK57">
        <v>2048</v>
      </c>
      <c r="AL57">
        <v>2049</v>
      </c>
      <c r="AM57">
        <v>2050</v>
      </c>
    </row>
    <row r="58" spans="1:42" x14ac:dyDescent="0.25">
      <c r="A58">
        <v>0.30159999999999998</v>
      </c>
      <c r="B58">
        <v>0.31040000000000001</v>
      </c>
      <c r="C58">
        <v>0.31530000000000002</v>
      </c>
      <c r="D58">
        <v>0.31869999999999998</v>
      </c>
      <c r="E58">
        <v>0.31979999999999997</v>
      </c>
      <c r="F58">
        <v>0.3246</v>
      </c>
      <c r="G58">
        <v>0.3276</v>
      </c>
      <c r="H58">
        <v>0.32619999999999999</v>
      </c>
      <c r="I58">
        <v>0.2994</v>
      </c>
      <c r="J58">
        <v>0.31</v>
      </c>
      <c r="K58">
        <v>0.31440000000000001</v>
      </c>
      <c r="L58">
        <v>0.31900000000000001</v>
      </c>
      <c r="M58">
        <v>0.32450000000000001</v>
      </c>
      <c r="N58">
        <v>0.33379999999999999</v>
      </c>
      <c r="O58">
        <v>0.3427</v>
      </c>
      <c r="P58">
        <v>0.3528</v>
      </c>
      <c r="Q58">
        <v>0.3634</v>
      </c>
      <c r="R58">
        <v>0.37659999999999999</v>
      </c>
      <c r="S58">
        <v>0.42680000000000001</v>
      </c>
      <c r="T58">
        <v>0.44269999999999998</v>
      </c>
      <c r="U58">
        <v>0.45879999999999999</v>
      </c>
      <c r="V58">
        <v>0.47599999999999998</v>
      </c>
      <c r="W58">
        <v>0.49359999999999998</v>
      </c>
      <c r="X58" s="12">
        <v>0.50880000000000003</v>
      </c>
      <c r="Y58" s="12">
        <v>0.52510000000000001</v>
      </c>
      <c r="Z58" s="12">
        <v>0.54249999999999998</v>
      </c>
      <c r="AA58" s="12">
        <v>0.55959999999999999</v>
      </c>
      <c r="AB58" s="12">
        <v>0.57550000000000001</v>
      </c>
      <c r="AC58" s="12">
        <v>0.59279999999999999</v>
      </c>
      <c r="AD58" s="12">
        <v>0.6109</v>
      </c>
      <c r="AE58" s="12">
        <v>0.62970000000000004</v>
      </c>
      <c r="AF58" s="12">
        <v>0.69020000000000004</v>
      </c>
      <c r="AG58" s="12">
        <v>0.71150000000000002</v>
      </c>
      <c r="AH58" s="12">
        <v>0.73470000000000002</v>
      </c>
      <c r="AI58" s="12">
        <v>0.75880000000000003</v>
      </c>
      <c r="AJ58" s="12">
        <v>0.78390000000000004</v>
      </c>
      <c r="AK58" s="12">
        <v>0.80840000000000001</v>
      </c>
      <c r="AL58" s="12">
        <v>0.83420000000000005</v>
      </c>
      <c r="AM58" s="12">
        <v>0.86150000000000004</v>
      </c>
    </row>
    <row r="61" spans="1:42" ht="18" thickBot="1" x14ac:dyDescent="0.35">
      <c r="A61" s="4" t="s">
        <v>82</v>
      </c>
      <c r="B61" s="4"/>
      <c r="C61" s="4"/>
      <c r="D61" s="4"/>
      <c r="E61" s="4"/>
      <c r="F61" s="4"/>
      <c r="G61" s="4"/>
      <c r="H61" s="4"/>
    </row>
    <row r="62" spans="1:42" ht="15.75" thickTop="1" x14ac:dyDescent="0.25">
      <c r="C62" s="3">
        <v>2012</v>
      </c>
      <c r="D62" s="3">
        <v>2013</v>
      </c>
      <c r="E62" s="3">
        <v>2014</v>
      </c>
      <c r="F62" s="3">
        <v>2015</v>
      </c>
      <c r="G62" s="3">
        <v>2016</v>
      </c>
      <c r="H62" s="3">
        <v>2017</v>
      </c>
      <c r="I62" s="3">
        <v>2018</v>
      </c>
      <c r="J62" s="3">
        <v>2019</v>
      </c>
      <c r="K62" s="3">
        <v>2020</v>
      </c>
      <c r="L62" s="3">
        <v>2021</v>
      </c>
      <c r="M62" s="3">
        <v>2022</v>
      </c>
      <c r="N62" s="3">
        <v>2023</v>
      </c>
      <c r="O62" s="3">
        <v>2024</v>
      </c>
      <c r="P62" s="3">
        <v>2025</v>
      </c>
      <c r="Q62" s="3">
        <v>2026</v>
      </c>
      <c r="R62" s="3">
        <v>2027</v>
      </c>
      <c r="S62" s="3">
        <v>2028</v>
      </c>
      <c r="T62" s="3">
        <v>2029</v>
      </c>
      <c r="U62" s="3">
        <v>2030</v>
      </c>
      <c r="V62" s="3">
        <v>2031</v>
      </c>
      <c r="W62" s="3">
        <v>2032</v>
      </c>
      <c r="X62" s="3">
        <v>2033</v>
      </c>
      <c r="Y62" s="3">
        <v>2034</v>
      </c>
      <c r="Z62" s="3">
        <v>2035</v>
      </c>
      <c r="AA62" s="3">
        <v>2036</v>
      </c>
      <c r="AB62" s="3">
        <v>2037</v>
      </c>
      <c r="AC62" s="3">
        <v>2038</v>
      </c>
      <c r="AD62" s="3">
        <v>2039</v>
      </c>
      <c r="AE62" s="3">
        <v>2040</v>
      </c>
      <c r="AF62" s="3">
        <v>2041</v>
      </c>
      <c r="AG62" s="3">
        <v>2042</v>
      </c>
      <c r="AH62" s="3">
        <v>2043</v>
      </c>
      <c r="AI62" s="3">
        <v>2044</v>
      </c>
      <c r="AJ62" s="3">
        <v>2045</v>
      </c>
      <c r="AK62" s="3">
        <v>2046</v>
      </c>
      <c r="AL62" s="3">
        <v>2047</v>
      </c>
      <c r="AM62" s="3">
        <v>2048</v>
      </c>
      <c r="AN62" s="3">
        <v>2049</v>
      </c>
      <c r="AO62" s="3">
        <v>2050</v>
      </c>
      <c r="AP62" s="3"/>
    </row>
    <row r="63" spans="1:42" x14ac:dyDescent="0.25">
      <c r="A63" s="3" t="s">
        <v>66</v>
      </c>
      <c r="B63" s="3" t="s">
        <v>69</v>
      </c>
      <c r="C63" t="s">
        <v>70</v>
      </c>
      <c r="D63" t="s">
        <v>70</v>
      </c>
      <c r="E63" t="s">
        <v>70</v>
      </c>
      <c r="F63" t="s">
        <v>70</v>
      </c>
      <c r="G63" t="s">
        <v>70</v>
      </c>
      <c r="H63" t="s">
        <v>70</v>
      </c>
      <c r="I63" t="s">
        <v>70</v>
      </c>
      <c r="J63" t="s">
        <v>70</v>
      </c>
      <c r="K63" t="s">
        <v>70</v>
      </c>
      <c r="L63" t="s">
        <v>70</v>
      </c>
      <c r="M63" t="s">
        <v>70</v>
      </c>
      <c r="N63" t="s">
        <v>70</v>
      </c>
      <c r="O63" t="s">
        <v>70</v>
      </c>
      <c r="P63" t="s">
        <v>70</v>
      </c>
      <c r="Q63" t="s">
        <v>70</v>
      </c>
      <c r="R63" t="s">
        <v>70</v>
      </c>
      <c r="S63" t="s">
        <v>70</v>
      </c>
      <c r="T63" t="s">
        <v>70</v>
      </c>
      <c r="U63" t="s">
        <v>70</v>
      </c>
      <c r="V63" t="s">
        <v>70</v>
      </c>
      <c r="W63" t="s">
        <v>70</v>
      </c>
      <c r="X63" t="s">
        <v>70</v>
      </c>
      <c r="Y63" t="s">
        <v>70</v>
      </c>
      <c r="Z63" t="s">
        <v>70</v>
      </c>
      <c r="AA63" t="s">
        <v>70</v>
      </c>
      <c r="AB63" t="s">
        <v>70</v>
      </c>
      <c r="AC63" t="s">
        <v>70</v>
      </c>
      <c r="AD63" t="s">
        <v>70</v>
      </c>
      <c r="AE63" t="s">
        <v>70</v>
      </c>
      <c r="AF63" t="s">
        <v>70</v>
      </c>
      <c r="AG63" t="s">
        <v>70</v>
      </c>
      <c r="AH63" t="s">
        <v>70</v>
      </c>
      <c r="AI63" t="s">
        <v>70</v>
      </c>
      <c r="AJ63" t="s">
        <v>70</v>
      </c>
      <c r="AK63" t="s">
        <v>70</v>
      </c>
      <c r="AL63" t="s">
        <v>70</v>
      </c>
      <c r="AM63" t="s">
        <v>70</v>
      </c>
      <c r="AN63" t="s">
        <v>70</v>
      </c>
      <c r="AO63" t="s">
        <v>70</v>
      </c>
    </row>
    <row r="64" spans="1:42" x14ac:dyDescent="0.25">
      <c r="A64" s="3" t="s">
        <v>66</v>
      </c>
      <c r="B64" s="3" t="s">
        <v>71</v>
      </c>
      <c r="C64" t="s">
        <v>70</v>
      </c>
      <c r="D64" t="s">
        <v>70</v>
      </c>
      <c r="E64" t="s">
        <v>70</v>
      </c>
      <c r="F64" t="s">
        <v>70</v>
      </c>
      <c r="G64" t="s">
        <v>70</v>
      </c>
      <c r="H64" t="s">
        <v>70</v>
      </c>
      <c r="I64" t="s">
        <v>70</v>
      </c>
      <c r="J64" t="s">
        <v>70</v>
      </c>
      <c r="K64" t="s">
        <v>70</v>
      </c>
      <c r="L64" t="s">
        <v>70</v>
      </c>
      <c r="M64" t="s">
        <v>70</v>
      </c>
      <c r="N64" t="s">
        <v>70</v>
      </c>
      <c r="O64" t="s">
        <v>70</v>
      </c>
      <c r="P64" t="s">
        <v>70</v>
      </c>
      <c r="Q64" t="s">
        <v>70</v>
      </c>
      <c r="R64" t="s">
        <v>70</v>
      </c>
      <c r="S64" t="s">
        <v>70</v>
      </c>
      <c r="T64" t="s">
        <v>70</v>
      </c>
      <c r="U64" t="s">
        <v>70</v>
      </c>
      <c r="V64" t="s">
        <v>70</v>
      </c>
      <c r="W64" t="s">
        <v>70</v>
      </c>
      <c r="X64" t="s">
        <v>70</v>
      </c>
      <c r="Y64" t="s">
        <v>70</v>
      </c>
      <c r="Z64" t="s">
        <v>70</v>
      </c>
      <c r="AA64" t="s">
        <v>70</v>
      </c>
      <c r="AB64" t="s">
        <v>70</v>
      </c>
      <c r="AC64" t="s">
        <v>70</v>
      </c>
      <c r="AD64" t="s">
        <v>70</v>
      </c>
      <c r="AE64" t="s">
        <v>70</v>
      </c>
      <c r="AF64" t="s">
        <v>70</v>
      </c>
      <c r="AG64" t="s">
        <v>70</v>
      </c>
      <c r="AH64" t="s">
        <v>70</v>
      </c>
      <c r="AI64" t="s">
        <v>70</v>
      </c>
      <c r="AJ64" t="s">
        <v>70</v>
      </c>
      <c r="AK64" t="s">
        <v>70</v>
      </c>
      <c r="AL64" t="s">
        <v>70</v>
      </c>
    </row>
    <row r="65" spans="1:41" x14ac:dyDescent="0.25">
      <c r="A65" s="3" t="s">
        <v>66</v>
      </c>
      <c r="B65" s="3" t="s">
        <v>72</v>
      </c>
      <c r="C65" t="s">
        <v>70</v>
      </c>
      <c r="D65" t="s">
        <v>70</v>
      </c>
      <c r="E65" t="s">
        <v>70</v>
      </c>
      <c r="F65" t="s">
        <v>70</v>
      </c>
      <c r="G65" t="s">
        <v>70</v>
      </c>
      <c r="H65" t="s">
        <v>70</v>
      </c>
      <c r="I65" t="s">
        <v>70</v>
      </c>
      <c r="J65" t="s">
        <v>70</v>
      </c>
      <c r="K65" t="s">
        <v>70</v>
      </c>
      <c r="L65" t="s">
        <v>70</v>
      </c>
      <c r="M65" t="s">
        <v>70</v>
      </c>
      <c r="N65" t="s">
        <v>70</v>
      </c>
      <c r="O65" t="s">
        <v>70</v>
      </c>
      <c r="P65" t="s">
        <v>70</v>
      </c>
      <c r="Q65" t="s">
        <v>70</v>
      </c>
      <c r="R65" t="s">
        <v>70</v>
      </c>
      <c r="S65" t="s">
        <v>70</v>
      </c>
      <c r="T65" t="s">
        <v>70</v>
      </c>
      <c r="U65" t="s">
        <v>70</v>
      </c>
      <c r="V65" t="s">
        <v>70</v>
      </c>
      <c r="W65" t="s">
        <v>70</v>
      </c>
      <c r="X65" t="s">
        <v>70</v>
      </c>
      <c r="Y65" t="s">
        <v>70</v>
      </c>
      <c r="Z65" t="s">
        <v>70</v>
      </c>
    </row>
    <row r="66" spans="1:41" x14ac:dyDescent="0.25">
      <c r="A66" s="3" t="s">
        <v>66</v>
      </c>
      <c r="B66" s="3" t="s">
        <v>73</v>
      </c>
      <c r="C66" t="s">
        <v>70</v>
      </c>
      <c r="D66" t="s">
        <v>70</v>
      </c>
      <c r="E66" t="s">
        <v>70</v>
      </c>
      <c r="F66" t="s">
        <v>70</v>
      </c>
      <c r="G66" t="s">
        <v>70</v>
      </c>
      <c r="H66" t="s">
        <v>70</v>
      </c>
      <c r="I66" t="s">
        <v>70</v>
      </c>
      <c r="J66" t="s">
        <v>70</v>
      </c>
      <c r="K66" t="s">
        <v>70</v>
      </c>
      <c r="L66" t="s">
        <v>70</v>
      </c>
      <c r="M66" t="s">
        <v>70</v>
      </c>
      <c r="N66" t="s">
        <v>70</v>
      </c>
      <c r="O66" t="s">
        <v>70</v>
      </c>
      <c r="P66" t="s">
        <v>70</v>
      </c>
      <c r="Q66" t="s">
        <v>70</v>
      </c>
      <c r="R66" t="s">
        <v>70</v>
      </c>
    </row>
    <row r="67" spans="1:41" x14ac:dyDescent="0.25">
      <c r="A67" s="3" t="s">
        <v>67</v>
      </c>
      <c r="B67" s="3" t="s">
        <v>71</v>
      </c>
      <c r="AM67" t="s">
        <v>70</v>
      </c>
      <c r="AN67" t="s">
        <v>70</v>
      </c>
      <c r="AO67" t="s">
        <v>70</v>
      </c>
    </row>
    <row r="68" spans="1:41" x14ac:dyDescent="0.25">
      <c r="A68" s="3" t="s">
        <v>67</v>
      </c>
      <c r="B68" s="3" t="s">
        <v>72</v>
      </c>
      <c r="AA68" t="s">
        <v>70</v>
      </c>
      <c r="AB68" t="s">
        <v>70</v>
      </c>
      <c r="AC68" t="s">
        <v>70</v>
      </c>
      <c r="AD68" t="s">
        <v>70</v>
      </c>
      <c r="AE68" t="s">
        <v>70</v>
      </c>
      <c r="AF68" t="s">
        <v>70</v>
      </c>
      <c r="AG68" t="s">
        <v>70</v>
      </c>
      <c r="AH68" t="s">
        <v>70</v>
      </c>
      <c r="AI68" t="s">
        <v>70</v>
      </c>
      <c r="AJ68" t="s">
        <v>70</v>
      </c>
      <c r="AK68" t="s">
        <v>70</v>
      </c>
      <c r="AL68" t="s">
        <v>70</v>
      </c>
      <c r="AM68" t="s">
        <v>70</v>
      </c>
      <c r="AN68" t="s">
        <v>70</v>
      </c>
      <c r="AO68" t="s">
        <v>70</v>
      </c>
    </row>
    <row r="69" spans="1:41" x14ac:dyDescent="0.25">
      <c r="A69" s="3" t="s">
        <v>67</v>
      </c>
      <c r="B69" s="3" t="s">
        <v>73</v>
      </c>
      <c r="S69" t="s">
        <v>70</v>
      </c>
      <c r="T69" t="s">
        <v>70</v>
      </c>
      <c r="U69" t="s">
        <v>70</v>
      </c>
      <c r="V69" t="s">
        <v>70</v>
      </c>
      <c r="W69" t="s">
        <v>70</v>
      </c>
      <c r="X69" t="s">
        <v>70</v>
      </c>
      <c r="Y69" t="s">
        <v>70</v>
      </c>
      <c r="Z69" t="s">
        <v>70</v>
      </c>
      <c r="AA69" t="s">
        <v>70</v>
      </c>
      <c r="AB69" t="s">
        <v>70</v>
      </c>
      <c r="AC69" t="s">
        <v>70</v>
      </c>
      <c r="AD69" t="s">
        <v>70</v>
      </c>
      <c r="AE69" t="s">
        <v>70</v>
      </c>
      <c r="AF69" t="s">
        <v>70</v>
      </c>
      <c r="AG69" t="s">
        <v>70</v>
      </c>
      <c r="AH69" t="s">
        <v>70</v>
      </c>
      <c r="AI69" t="s">
        <v>70</v>
      </c>
      <c r="AJ69" t="s">
        <v>70</v>
      </c>
      <c r="AK69" t="s">
        <v>70</v>
      </c>
      <c r="AL69" t="s">
        <v>70</v>
      </c>
      <c r="AM69" t="s">
        <v>70</v>
      </c>
      <c r="AN69" t="s">
        <v>70</v>
      </c>
      <c r="AO69" t="s">
        <v>70</v>
      </c>
    </row>
    <row r="70" spans="1:41" x14ac:dyDescent="0.25">
      <c r="A70" s="3" t="s">
        <v>67</v>
      </c>
      <c r="B70" s="3" t="s">
        <v>74</v>
      </c>
      <c r="C70" t="s">
        <v>70</v>
      </c>
      <c r="D70" t="s">
        <v>70</v>
      </c>
      <c r="E70" t="s">
        <v>70</v>
      </c>
      <c r="F70" t="s">
        <v>70</v>
      </c>
      <c r="G70" t="s">
        <v>70</v>
      </c>
      <c r="H70" t="s">
        <v>70</v>
      </c>
      <c r="I70" t="s">
        <v>70</v>
      </c>
      <c r="J70" t="s">
        <v>70</v>
      </c>
      <c r="K70" t="s">
        <v>70</v>
      </c>
      <c r="L70" t="s">
        <v>70</v>
      </c>
      <c r="M70" t="s">
        <v>70</v>
      </c>
      <c r="N70" t="s">
        <v>70</v>
      </c>
      <c r="O70" t="s">
        <v>70</v>
      </c>
      <c r="P70" t="s">
        <v>70</v>
      </c>
      <c r="Q70" t="s">
        <v>70</v>
      </c>
      <c r="R70" t="s">
        <v>70</v>
      </c>
      <c r="S70" t="s">
        <v>70</v>
      </c>
      <c r="T70" t="s">
        <v>70</v>
      </c>
      <c r="U70" t="s">
        <v>70</v>
      </c>
      <c r="V70" t="s">
        <v>70</v>
      </c>
      <c r="W70" t="s">
        <v>70</v>
      </c>
      <c r="X70" t="s">
        <v>70</v>
      </c>
      <c r="Y70" t="s">
        <v>70</v>
      </c>
      <c r="Z70" t="s">
        <v>70</v>
      </c>
      <c r="AA70" t="s">
        <v>70</v>
      </c>
      <c r="AB70" t="s">
        <v>70</v>
      </c>
      <c r="AC70" t="s">
        <v>70</v>
      </c>
      <c r="AD70" t="s">
        <v>70</v>
      </c>
      <c r="AE70" t="s">
        <v>70</v>
      </c>
      <c r="AF70" t="s">
        <v>70</v>
      </c>
      <c r="AG70" t="s">
        <v>70</v>
      </c>
      <c r="AH70" t="s">
        <v>70</v>
      </c>
      <c r="AI70" t="s">
        <v>70</v>
      </c>
      <c r="AJ70" t="s">
        <v>70</v>
      </c>
      <c r="AK70" t="s">
        <v>70</v>
      </c>
      <c r="AL70" t="s">
        <v>70</v>
      </c>
      <c r="AM70" t="s">
        <v>70</v>
      </c>
      <c r="AN70" t="s">
        <v>70</v>
      </c>
      <c r="AO70" t="s">
        <v>70</v>
      </c>
    </row>
    <row r="71" spans="1:41" x14ac:dyDescent="0.25">
      <c r="A71" s="3" t="s">
        <v>67</v>
      </c>
      <c r="B71" s="3" t="s">
        <v>75</v>
      </c>
      <c r="C71" t="s">
        <v>70</v>
      </c>
      <c r="D71" t="s">
        <v>70</v>
      </c>
      <c r="E71" t="s">
        <v>70</v>
      </c>
      <c r="F71" t="s">
        <v>70</v>
      </c>
      <c r="G71" t="s">
        <v>70</v>
      </c>
      <c r="H71" t="s">
        <v>70</v>
      </c>
      <c r="I71" t="s">
        <v>70</v>
      </c>
      <c r="J71" t="s">
        <v>70</v>
      </c>
      <c r="K71" t="s">
        <v>70</v>
      </c>
      <c r="L71" t="s">
        <v>70</v>
      </c>
      <c r="M71" t="s">
        <v>70</v>
      </c>
      <c r="N71" t="s">
        <v>70</v>
      </c>
      <c r="O71" t="s">
        <v>70</v>
      </c>
      <c r="P71" t="s">
        <v>70</v>
      </c>
      <c r="Q71" t="s">
        <v>70</v>
      </c>
      <c r="R71" t="s">
        <v>70</v>
      </c>
      <c r="S71" t="s">
        <v>70</v>
      </c>
      <c r="T71" t="s">
        <v>70</v>
      </c>
      <c r="U71" t="s">
        <v>70</v>
      </c>
      <c r="V71" t="s">
        <v>70</v>
      </c>
      <c r="W71" t="s">
        <v>70</v>
      </c>
      <c r="X71" t="s">
        <v>70</v>
      </c>
      <c r="Y71" t="s">
        <v>70</v>
      </c>
      <c r="Z71" t="s">
        <v>70</v>
      </c>
      <c r="AA71" t="s">
        <v>70</v>
      </c>
      <c r="AB71" t="s">
        <v>70</v>
      </c>
      <c r="AC71" t="s">
        <v>70</v>
      </c>
      <c r="AD71" t="s">
        <v>70</v>
      </c>
      <c r="AE71" t="s">
        <v>70</v>
      </c>
      <c r="AF71" t="s">
        <v>70</v>
      </c>
      <c r="AG71" t="s">
        <v>70</v>
      </c>
    </row>
    <row r="72" spans="1:41" x14ac:dyDescent="0.25">
      <c r="A72" s="3" t="s">
        <v>67</v>
      </c>
      <c r="B72" s="3" t="s">
        <v>76</v>
      </c>
      <c r="C72" t="s">
        <v>70</v>
      </c>
      <c r="D72" t="s">
        <v>70</v>
      </c>
      <c r="E72" t="s">
        <v>70</v>
      </c>
      <c r="F72" t="s">
        <v>70</v>
      </c>
      <c r="G72" t="s">
        <v>70</v>
      </c>
      <c r="H72" t="s">
        <v>70</v>
      </c>
      <c r="I72" t="s">
        <v>70</v>
      </c>
      <c r="J72" t="s">
        <v>70</v>
      </c>
      <c r="K72" t="s">
        <v>70</v>
      </c>
      <c r="L72" t="s">
        <v>70</v>
      </c>
      <c r="M72" t="s">
        <v>70</v>
      </c>
      <c r="N72" t="s">
        <v>70</v>
      </c>
      <c r="O72" t="s">
        <v>70</v>
      </c>
      <c r="P72" t="s">
        <v>70</v>
      </c>
      <c r="Q72" t="s">
        <v>70</v>
      </c>
      <c r="R72" t="s">
        <v>70</v>
      </c>
      <c r="S72" t="s">
        <v>70</v>
      </c>
      <c r="T72" t="s">
        <v>70</v>
      </c>
    </row>
    <row r="73" spans="1:41" x14ac:dyDescent="0.25">
      <c r="A73" s="3" t="s">
        <v>68</v>
      </c>
      <c r="B73" s="3" t="s">
        <v>75</v>
      </c>
      <c r="AH73" t="s">
        <v>70</v>
      </c>
      <c r="AI73" t="s">
        <v>70</v>
      </c>
      <c r="AJ73" t="s">
        <v>70</v>
      </c>
      <c r="AK73" t="s">
        <v>70</v>
      </c>
      <c r="AL73" t="s">
        <v>70</v>
      </c>
      <c r="AM73" t="s">
        <v>70</v>
      </c>
      <c r="AN73" t="s">
        <v>70</v>
      </c>
      <c r="AO73" t="s">
        <v>70</v>
      </c>
    </row>
    <row r="74" spans="1:41" x14ac:dyDescent="0.25">
      <c r="A74" s="3" t="s">
        <v>68</v>
      </c>
      <c r="B74" s="3" t="s">
        <v>76</v>
      </c>
      <c r="U74" t="s">
        <v>70</v>
      </c>
      <c r="V74" t="s">
        <v>70</v>
      </c>
      <c r="W74" t="s">
        <v>70</v>
      </c>
      <c r="X74" t="s">
        <v>70</v>
      </c>
      <c r="Y74" t="s">
        <v>70</v>
      </c>
      <c r="Z74" t="s">
        <v>70</v>
      </c>
      <c r="AA74" t="s">
        <v>70</v>
      </c>
      <c r="AB74" t="s">
        <v>70</v>
      </c>
      <c r="AC74" t="s">
        <v>70</v>
      </c>
      <c r="AD74" t="s">
        <v>70</v>
      </c>
      <c r="AE74" t="s">
        <v>70</v>
      </c>
      <c r="AF74" t="s">
        <v>70</v>
      </c>
      <c r="AG74" t="s">
        <v>70</v>
      </c>
      <c r="AH74" t="s">
        <v>70</v>
      </c>
      <c r="AI74" t="s">
        <v>70</v>
      </c>
      <c r="AJ74" t="s">
        <v>70</v>
      </c>
      <c r="AK74" t="s">
        <v>70</v>
      </c>
      <c r="AL74" t="s">
        <v>70</v>
      </c>
      <c r="AM74" t="s">
        <v>70</v>
      </c>
      <c r="AN74" t="s">
        <v>70</v>
      </c>
      <c r="AO74" t="s">
        <v>70</v>
      </c>
    </row>
    <row r="75" spans="1:41" x14ac:dyDescent="0.25">
      <c r="A75" s="3" t="s">
        <v>68</v>
      </c>
      <c r="B75" s="3" t="s">
        <v>77</v>
      </c>
      <c r="C75" t="s">
        <v>70</v>
      </c>
      <c r="D75" t="s">
        <v>70</v>
      </c>
      <c r="E75" t="s">
        <v>70</v>
      </c>
      <c r="F75" t="s">
        <v>70</v>
      </c>
      <c r="G75" t="s">
        <v>70</v>
      </c>
      <c r="H75" t="s">
        <v>70</v>
      </c>
      <c r="I75" t="s">
        <v>70</v>
      </c>
      <c r="J75" t="s">
        <v>70</v>
      </c>
      <c r="K75" t="s">
        <v>70</v>
      </c>
      <c r="L75" t="s">
        <v>70</v>
      </c>
      <c r="M75" t="s">
        <v>70</v>
      </c>
      <c r="N75" t="s">
        <v>70</v>
      </c>
      <c r="O75" t="s">
        <v>70</v>
      </c>
      <c r="P75" t="s">
        <v>70</v>
      </c>
      <c r="Q75" t="s">
        <v>70</v>
      </c>
      <c r="R75" t="s">
        <v>70</v>
      </c>
      <c r="S75" t="s">
        <v>70</v>
      </c>
      <c r="T75" t="s">
        <v>70</v>
      </c>
      <c r="U75" t="s">
        <v>70</v>
      </c>
      <c r="V75" t="s">
        <v>70</v>
      </c>
      <c r="W75" t="s">
        <v>70</v>
      </c>
      <c r="X75" t="s">
        <v>70</v>
      </c>
      <c r="Y75" t="s">
        <v>70</v>
      </c>
      <c r="Z75" t="s">
        <v>70</v>
      </c>
      <c r="AA75" t="s">
        <v>70</v>
      </c>
      <c r="AB75" t="s">
        <v>70</v>
      </c>
      <c r="AC75" t="s">
        <v>70</v>
      </c>
      <c r="AD75" t="s">
        <v>70</v>
      </c>
      <c r="AE75" t="s">
        <v>70</v>
      </c>
      <c r="AF75" t="s">
        <v>70</v>
      </c>
      <c r="AG75" t="s">
        <v>70</v>
      </c>
      <c r="AH75" t="s">
        <v>70</v>
      </c>
      <c r="AI75" t="s">
        <v>70</v>
      </c>
      <c r="AJ75" t="s">
        <v>70</v>
      </c>
      <c r="AK75" t="s">
        <v>70</v>
      </c>
      <c r="AL75" t="s">
        <v>70</v>
      </c>
      <c r="AM75" t="s">
        <v>70</v>
      </c>
      <c r="AN75" t="s">
        <v>70</v>
      </c>
      <c r="AO75" t="s">
        <v>70</v>
      </c>
    </row>
    <row r="76" spans="1:41" x14ac:dyDescent="0.25">
      <c r="A76" s="3" t="s">
        <v>68</v>
      </c>
      <c r="B76" s="3" t="s">
        <v>78</v>
      </c>
      <c r="C76" t="s">
        <v>70</v>
      </c>
      <c r="D76" t="s">
        <v>70</v>
      </c>
      <c r="E76" t="s">
        <v>70</v>
      </c>
      <c r="F76" t="s">
        <v>70</v>
      </c>
      <c r="G76" t="s">
        <v>70</v>
      </c>
      <c r="H76" t="s">
        <v>70</v>
      </c>
      <c r="I76" t="s">
        <v>70</v>
      </c>
      <c r="J76" t="s">
        <v>70</v>
      </c>
      <c r="K76" t="s">
        <v>70</v>
      </c>
      <c r="L76" t="s">
        <v>70</v>
      </c>
      <c r="M76" t="s">
        <v>70</v>
      </c>
      <c r="N76" t="s">
        <v>70</v>
      </c>
      <c r="O76" t="s">
        <v>70</v>
      </c>
      <c r="P76" t="s">
        <v>70</v>
      </c>
      <c r="Q76" t="s">
        <v>70</v>
      </c>
      <c r="R76" t="s">
        <v>70</v>
      </c>
      <c r="S76" t="s">
        <v>70</v>
      </c>
      <c r="T76" t="s">
        <v>70</v>
      </c>
      <c r="U76" t="s">
        <v>70</v>
      </c>
      <c r="V76" t="s">
        <v>70</v>
      </c>
      <c r="W76" t="s">
        <v>70</v>
      </c>
      <c r="X76" t="s">
        <v>70</v>
      </c>
      <c r="Y76" t="s">
        <v>70</v>
      </c>
      <c r="Z76" t="s">
        <v>70</v>
      </c>
      <c r="AA76" t="s">
        <v>70</v>
      </c>
      <c r="AB76" t="s">
        <v>70</v>
      </c>
      <c r="AC76" t="s">
        <v>70</v>
      </c>
      <c r="AD76" t="s">
        <v>70</v>
      </c>
      <c r="AE76" t="s">
        <v>70</v>
      </c>
      <c r="AF76" t="s">
        <v>70</v>
      </c>
      <c r="AG76" t="s">
        <v>70</v>
      </c>
      <c r="AH76" t="s">
        <v>70</v>
      </c>
      <c r="AI76" t="s">
        <v>70</v>
      </c>
      <c r="AJ76" t="s">
        <v>70</v>
      </c>
      <c r="AK76" t="s">
        <v>70</v>
      </c>
      <c r="AL76" t="s">
        <v>70</v>
      </c>
      <c r="AM76" t="s">
        <v>70</v>
      </c>
      <c r="AN76" t="s">
        <v>70</v>
      </c>
      <c r="AO76" t="s">
        <v>70</v>
      </c>
    </row>
    <row r="77" spans="1:41" x14ac:dyDescent="0.25">
      <c r="A77" t="s">
        <v>68</v>
      </c>
      <c r="B77" t="s">
        <v>79</v>
      </c>
      <c r="C77" t="s">
        <v>70</v>
      </c>
      <c r="D77" t="s">
        <v>70</v>
      </c>
      <c r="E77" t="s">
        <v>70</v>
      </c>
      <c r="F77" t="s">
        <v>70</v>
      </c>
      <c r="G77" t="s">
        <v>70</v>
      </c>
      <c r="H77" t="s">
        <v>70</v>
      </c>
      <c r="I77" t="s">
        <v>70</v>
      </c>
      <c r="J77" t="s">
        <v>70</v>
      </c>
      <c r="K77" t="s">
        <v>70</v>
      </c>
      <c r="L77" t="s">
        <v>70</v>
      </c>
      <c r="M77" t="s">
        <v>70</v>
      </c>
      <c r="N77" t="s">
        <v>70</v>
      </c>
      <c r="O77" t="s">
        <v>70</v>
      </c>
      <c r="P77" t="s">
        <v>70</v>
      </c>
      <c r="Q77" t="s">
        <v>70</v>
      </c>
      <c r="R77" t="s">
        <v>70</v>
      </c>
      <c r="S77" t="s">
        <v>70</v>
      </c>
      <c r="T77" t="s">
        <v>70</v>
      </c>
      <c r="U77" t="s">
        <v>70</v>
      </c>
      <c r="V77" t="s">
        <v>70</v>
      </c>
      <c r="W77" t="s">
        <v>70</v>
      </c>
      <c r="X77" t="s">
        <v>70</v>
      </c>
      <c r="Y77" t="s">
        <v>70</v>
      </c>
      <c r="Z77" t="s">
        <v>70</v>
      </c>
      <c r="AA77" t="s">
        <v>70</v>
      </c>
      <c r="AB77" t="s">
        <v>70</v>
      </c>
      <c r="AC77" t="s">
        <v>70</v>
      </c>
      <c r="AD77" t="s">
        <v>70</v>
      </c>
      <c r="AE77" t="s">
        <v>70</v>
      </c>
      <c r="AF77" t="s">
        <v>70</v>
      </c>
      <c r="AG77" t="s">
        <v>70</v>
      </c>
      <c r="AH77" t="s">
        <v>70</v>
      </c>
      <c r="AI77" t="s">
        <v>70</v>
      </c>
      <c r="AJ77" t="s">
        <v>70</v>
      </c>
      <c r="AK77" t="s">
        <v>70</v>
      </c>
      <c r="AL77" t="s">
        <v>70</v>
      </c>
      <c r="AM77" t="s">
        <v>70</v>
      </c>
      <c r="AN77" t="s">
        <v>70</v>
      </c>
      <c r="AO77" t="s">
        <v>70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3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2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57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58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88</v>
      </c>
      <c r="C9" t="str">
        <f>"Drivers!"&amp;ADDRESS(ROW(Drivers!B39),COLUMN(Drivers!B39),4)</f>
        <v>Drivers!B39</v>
      </c>
      <c r="E9">
        <v>1</v>
      </c>
    </row>
    <row r="10" spans="1:6" x14ac:dyDescent="0.25">
      <c r="A10" t="s">
        <v>4</v>
      </c>
      <c r="B10" t="s">
        <v>83</v>
      </c>
      <c r="C10" t="str">
        <f>"Drivers!"&amp;ADDRESS(ROW(Drivers!A50),COLUMN(Drivers!A50),4)</f>
        <v>Drivers!A50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"Drivers!"&amp;ADDRESS(ROW(Drivers!A57),COLUMN(Drivers!A57),4)</f>
        <v>Drivers!A57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"Drivers!"&amp;ADDRESS(ROW(Drivers!A62),COLUMN(Drivers!A62),4)</f>
        <v>Drivers!A62</v>
      </c>
      <c r="D12">
        <v>2</v>
      </c>
      <c r="E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2:AN99"/>
  <sheetViews>
    <sheetView topLeftCell="P1" workbookViewId="0">
      <selection activeCell="V14" sqref="V14:AN14"/>
    </sheetView>
  </sheetViews>
  <sheetFormatPr defaultRowHeight="15" x14ac:dyDescent="0.25"/>
  <sheetData>
    <row r="2" spans="1:40" x14ac:dyDescent="0.25">
      <c r="A2" t="s">
        <v>42</v>
      </c>
    </row>
    <row r="3" spans="1:40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</row>
    <row r="4" spans="1:40" x14ac:dyDescent="0.25">
      <c r="A4" t="s">
        <v>21</v>
      </c>
      <c r="B4">
        <v>1833.8489999999999</v>
      </c>
      <c r="C4">
        <v>1885.8209999999999</v>
      </c>
      <c r="D4">
        <v>1933.1679999999999</v>
      </c>
      <c r="E4">
        <v>1966.174</v>
      </c>
      <c r="F4">
        <v>1991.546</v>
      </c>
      <c r="G4">
        <v>2020.6990000000001</v>
      </c>
      <c r="H4">
        <v>2053.4989999999998</v>
      </c>
      <c r="I4">
        <v>2080.7860000000001</v>
      </c>
      <c r="J4">
        <v>1927.731</v>
      </c>
      <c r="K4">
        <v>1994.6189999999999</v>
      </c>
      <c r="L4">
        <v>2046.299</v>
      </c>
      <c r="M4">
        <v>2097.1950000000002</v>
      </c>
      <c r="N4">
        <v>2152.4</v>
      </c>
      <c r="O4">
        <v>2229.7919999999999</v>
      </c>
      <c r="P4">
        <v>2311.3209999999999</v>
      </c>
      <c r="Q4">
        <v>2402.0340000000001</v>
      </c>
      <c r="R4">
        <v>2501.047</v>
      </c>
      <c r="S4">
        <v>2617.3760000000002</v>
      </c>
      <c r="T4">
        <v>2745.3519999999999</v>
      </c>
      <c r="U4">
        <v>2872.4549999999999</v>
      </c>
      <c r="V4">
        <v>3004.4920000000002</v>
      </c>
      <c r="W4">
        <v>3143.1190000000001</v>
      </c>
      <c r="X4">
        <v>3288.0230000000001</v>
      </c>
      <c r="Y4">
        <v>3425.64</v>
      </c>
      <c r="Z4">
        <v>3566.1210000000001</v>
      </c>
      <c r="AA4">
        <v>3713.8209999999999</v>
      </c>
      <c r="AB4">
        <v>3866.4189999999999</v>
      </c>
      <c r="AC4">
        <v>4015.931</v>
      </c>
      <c r="AD4">
        <v>4175.4629999999997</v>
      </c>
      <c r="AE4">
        <v>4340.5870000000004</v>
      </c>
      <c r="AF4">
        <v>4513.5140000000001</v>
      </c>
      <c r="AG4">
        <v>4692.0060000000003</v>
      </c>
      <c r="AH4">
        <v>4878.7669999999998</v>
      </c>
      <c r="AI4">
        <v>5080.5860000000002</v>
      </c>
      <c r="AJ4">
        <v>5292.6189999999997</v>
      </c>
      <c r="AK4">
        <v>5514.7179999999998</v>
      </c>
      <c r="AL4">
        <v>5738.9250000000002</v>
      </c>
      <c r="AM4">
        <v>5973.8630000000003</v>
      </c>
      <c r="AN4">
        <v>6221.9889999999996</v>
      </c>
    </row>
    <row r="5" spans="1:40" x14ac:dyDescent="0.25">
      <c r="A5" t="s">
        <v>85</v>
      </c>
      <c r="B5">
        <v>69.816999999999993</v>
      </c>
      <c r="C5">
        <v>73.084999999999994</v>
      </c>
      <c r="D5">
        <v>76.058999999999997</v>
      </c>
      <c r="E5">
        <v>75.036000000000001</v>
      </c>
      <c r="F5">
        <v>74.197000000000003</v>
      </c>
      <c r="G5">
        <v>76.781999999999996</v>
      </c>
      <c r="H5">
        <v>75.613</v>
      </c>
      <c r="I5">
        <v>74.427999999999997</v>
      </c>
      <c r="J5">
        <v>71.725999999999999</v>
      </c>
      <c r="K5">
        <v>74.283000000000001</v>
      </c>
      <c r="L5">
        <v>76.308000000000007</v>
      </c>
      <c r="M5">
        <v>77.953000000000003</v>
      </c>
      <c r="N5">
        <v>79.792000000000002</v>
      </c>
      <c r="O5">
        <v>82.594999999999999</v>
      </c>
      <c r="P5">
        <v>85.222999999999999</v>
      </c>
      <c r="Q5">
        <v>88.025999999999996</v>
      </c>
      <c r="R5">
        <v>91.042000000000002</v>
      </c>
      <c r="S5">
        <v>94.528000000000006</v>
      </c>
      <c r="T5">
        <v>98.123999999999995</v>
      </c>
      <c r="U5">
        <v>101.596</v>
      </c>
      <c r="V5">
        <v>105.086</v>
      </c>
      <c r="W5">
        <v>108.81699999999999</v>
      </c>
      <c r="X5">
        <v>112.526</v>
      </c>
      <c r="Y5">
        <v>115.675</v>
      </c>
      <c r="Z5">
        <v>118.85</v>
      </c>
      <c r="AA5">
        <v>122.361</v>
      </c>
      <c r="AB5">
        <v>125.928</v>
      </c>
      <c r="AC5">
        <v>129.298</v>
      </c>
      <c r="AD5">
        <v>133.05699999999999</v>
      </c>
      <c r="AE5">
        <v>136.929</v>
      </c>
      <c r="AF5">
        <v>141.035</v>
      </c>
      <c r="AG5">
        <v>145.30000000000001</v>
      </c>
      <c r="AH5">
        <v>149.798</v>
      </c>
      <c r="AI5">
        <v>154.809</v>
      </c>
      <c r="AJ5">
        <v>160.11000000000001</v>
      </c>
      <c r="AK5">
        <v>165.71100000000001</v>
      </c>
      <c r="AL5">
        <v>171.327</v>
      </c>
      <c r="AM5">
        <v>177.25800000000001</v>
      </c>
      <c r="AN5">
        <v>183.441</v>
      </c>
    </row>
    <row r="6" spans="1:40" x14ac:dyDescent="0.25">
      <c r="A6" t="s">
        <v>23</v>
      </c>
      <c r="B6">
        <v>205.44900000000001</v>
      </c>
      <c r="C6">
        <v>210.61199999999999</v>
      </c>
      <c r="D6">
        <v>211.703</v>
      </c>
      <c r="E6">
        <v>218.495</v>
      </c>
      <c r="F6">
        <v>215.50700000000001</v>
      </c>
      <c r="G6">
        <v>222.273</v>
      </c>
      <c r="H6">
        <v>220.99700000000001</v>
      </c>
      <c r="I6">
        <v>218.15700000000001</v>
      </c>
      <c r="J6">
        <v>200.386</v>
      </c>
      <c r="K6">
        <v>205.16499999999999</v>
      </c>
      <c r="L6">
        <v>208.32599999999999</v>
      </c>
      <c r="M6">
        <v>211.357</v>
      </c>
      <c r="N6">
        <v>214.93799999999999</v>
      </c>
      <c r="O6">
        <v>219.39599999999999</v>
      </c>
      <c r="P6">
        <v>223.834</v>
      </c>
      <c r="Q6">
        <v>228.92500000000001</v>
      </c>
      <c r="R6">
        <v>234.98</v>
      </c>
      <c r="S6">
        <v>242.12100000000001</v>
      </c>
      <c r="T6">
        <v>249.917</v>
      </c>
      <c r="U6">
        <v>258.95400000000001</v>
      </c>
      <c r="V6">
        <v>268.33999999999997</v>
      </c>
      <c r="W6">
        <v>277.798</v>
      </c>
      <c r="X6">
        <v>287.74400000000003</v>
      </c>
      <c r="Y6">
        <v>297.70100000000002</v>
      </c>
      <c r="Z6">
        <v>307.60599999999999</v>
      </c>
      <c r="AA6">
        <v>317.99200000000002</v>
      </c>
      <c r="AB6">
        <v>328.66300000000001</v>
      </c>
      <c r="AC6">
        <v>338.89400000000001</v>
      </c>
      <c r="AD6">
        <v>349.66</v>
      </c>
      <c r="AE6">
        <v>360.58300000000003</v>
      </c>
      <c r="AF6">
        <v>371.91899999999998</v>
      </c>
      <c r="AG6">
        <v>383.49</v>
      </c>
      <c r="AH6">
        <v>395.577</v>
      </c>
      <c r="AI6">
        <v>408.75299999999999</v>
      </c>
      <c r="AJ6">
        <v>422.87400000000002</v>
      </c>
      <c r="AK6">
        <v>437.85</v>
      </c>
      <c r="AL6">
        <v>452.97800000000001</v>
      </c>
      <c r="AM6">
        <v>468.97199999999998</v>
      </c>
      <c r="AN6">
        <v>486.041</v>
      </c>
    </row>
    <row r="7" spans="1:40" x14ac:dyDescent="0.25">
      <c r="A7" t="s">
        <v>24</v>
      </c>
      <c r="B7">
        <v>93.096999999999994</v>
      </c>
      <c r="C7">
        <v>96.522000000000006</v>
      </c>
      <c r="D7">
        <v>99.097999999999999</v>
      </c>
      <c r="E7">
        <v>100.31</v>
      </c>
      <c r="F7">
        <v>102.387</v>
      </c>
      <c r="G7">
        <v>103.53100000000001</v>
      </c>
      <c r="H7">
        <v>105.003</v>
      </c>
      <c r="I7">
        <v>104.664</v>
      </c>
      <c r="J7">
        <v>99.796999999999997</v>
      </c>
      <c r="K7">
        <v>103.718</v>
      </c>
      <c r="L7">
        <v>106.78700000000001</v>
      </c>
      <c r="M7">
        <v>109.468</v>
      </c>
      <c r="N7">
        <v>112.39100000000001</v>
      </c>
      <c r="O7">
        <v>116.327</v>
      </c>
      <c r="P7">
        <v>120.154</v>
      </c>
      <c r="Q7">
        <v>124.29300000000001</v>
      </c>
      <c r="R7">
        <v>128.69900000000001</v>
      </c>
      <c r="S7">
        <v>133.76400000000001</v>
      </c>
      <c r="T7">
        <v>139.172</v>
      </c>
      <c r="U7">
        <v>144.79300000000001</v>
      </c>
      <c r="V7">
        <v>150.32499999999999</v>
      </c>
      <c r="W7">
        <v>155.80600000000001</v>
      </c>
      <c r="X7">
        <v>161.35499999999999</v>
      </c>
      <c r="Y7">
        <v>166.32900000000001</v>
      </c>
      <c r="Z7">
        <v>171.274</v>
      </c>
      <c r="AA7">
        <v>176.667</v>
      </c>
      <c r="AB7">
        <v>182.06899999999999</v>
      </c>
      <c r="AC7">
        <v>187.11699999999999</v>
      </c>
      <c r="AD7">
        <v>192.48500000000001</v>
      </c>
      <c r="AE7">
        <v>197.82499999999999</v>
      </c>
      <c r="AF7">
        <v>203.60300000000001</v>
      </c>
      <c r="AG7">
        <v>209.82</v>
      </c>
      <c r="AH7">
        <v>216.29400000000001</v>
      </c>
      <c r="AI7">
        <v>223.447</v>
      </c>
      <c r="AJ7">
        <v>230.988</v>
      </c>
      <c r="AK7">
        <v>238.89099999999999</v>
      </c>
      <c r="AL7">
        <v>246.791</v>
      </c>
      <c r="AM7">
        <v>255.07</v>
      </c>
      <c r="AN7">
        <v>263.714</v>
      </c>
    </row>
    <row r="8" spans="1:40" x14ac:dyDescent="0.25">
      <c r="A8" t="s">
        <v>25</v>
      </c>
      <c r="B8">
        <v>235.49799999999999</v>
      </c>
      <c r="C8">
        <v>242.05600000000001</v>
      </c>
      <c r="D8">
        <v>246.69399999999999</v>
      </c>
      <c r="E8">
        <v>250.125</v>
      </c>
      <c r="F8">
        <v>252.709</v>
      </c>
      <c r="G8">
        <v>254.65</v>
      </c>
      <c r="H8">
        <v>257.584</v>
      </c>
      <c r="I8">
        <v>257.30799999999999</v>
      </c>
      <c r="J8">
        <v>233.197</v>
      </c>
      <c r="K8">
        <v>242.07400000000001</v>
      </c>
      <c r="L8">
        <v>248.887</v>
      </c>
      <c r="M8">
        <v>255.44300000000001</v>
      </c>
      <c r="N8">
        <v>262.512</v>
      </c>
      <c r="O8">
        <v>272.34300000000002</v>
      </c>
      <c r="P8">
        <v>282.411</v>
      </c>
      <c r="Q8">
        <v>293.55399999999997</v>
      </c>
      <c r="R8">
        <v>305.529</v>
      </c>
      <c r="S8">
        <v>319.572</v>
      </c>
      <c r="T8">
        <v>334.851</v>
      </c>
      <c r="U8">
        <v>350.07799999999997</v>
      </c>
      <c r="V8">
        <v>365.97699999999998</v>
      </c>
      <c r="W8">
        <v>382.30200000000002</v>
      </c>
      <c r="X8">
        <v>399.27499999999998</v>
      </c>
      <c r="Y8">
        <v>415.25099999999998</v>
      </c>
      <c r="Z8">
        <v>431.65600000000001</v>
      </c>
      <c r="AA8">
        <v>449.02100000000002</v>
      </c>
      <c r="AB8">
        <v>466.81299999999999</v>
      </c>
      <c r="AC8">
        <v>484.09699999999998</v>
      </c>
      <c r="AD8">
        <v>502.505</v>
      </c>
      <c r="AE8">
        <v>521.69299999999998</v>
      </c>
      <c r="AF8">
        <v>541.78200000000004</v>
      </c>
      <c r="AG8">
        <v>562.36500000000001</v>
      </c>
      <c r="AH8">
        <v>583.91600000000005</v>
      </c>
      <c r="AI8">
        <v>607.21100000000001</v>
      </c>
      <c r="AJ8">
        <v>631.76900000000001</v>
      </c>
      <c r="AK8">
        <v>657.56600000000003</v>
      </c>
      <c r="AL8">
        <v>683.5</v>
      </c>
      <c r="AM8">
        <v>710.71199999999999</v>
      </c>
      <c r="AN8">
        <v>739.49</v>
      </c>
    </row>
    <row r="9" spans="1:40" x14ac:dyDescent="0.25">
      <c r="A9" t="s">
        <v>26</v>
      </c>
      <c r="B9">
        <v>17.782</v>
      </c>
      <c r="C9">
        <v>18.231000000000002</v>
      </c>
      <c r="D9">
        <v>18.620999999999999</v>
      </c>
      <c r="E9">
        <v>18.835000000000001</v>
      </c>
      <c r="F9">
        <v>19.187000000000001</v>
      </c>
      <c r="G9">
        <v>19.315000000000001</v>
      </c>
      <c r="H9">
        <v>19.638999999999999</v>
      </c>
      <c r="I9">
        <v>19.626000000000001</v>
      </c>
      <c r="J9">
        <v>18.239999999999998</v>
      </c>
      <c r="K9">
        <v>18.917999999999999</v>
      </c>
      <c r="L9">
        <v>19.425000000000001</v>
      </c>
      <c r="M9">
        <v>19.922000000000001</v>
      </c>
      <c r="N9">
        <v>20.466000000000001</v>
      </c>
      <c r="O9">
        <v>21.206</v>
      </c>
      <c r="P9">
        <v>21.957999999999998</v>
      </c>
      <c r="Q9">
        <v>22.791</v>
      </c>
      <c r="R9">
        <v>23.710999999999999</v>
      </c>
      <c r="S9">
        <v>24.783999999999999</v>
      </c>
      <c r="T9">
        <v>25.948</v>
      </c>
      <c r="U9">
        <v>27.114999999999998</v>
      </c>
      <c r="V9">
        <v>28.314</v>
      </c>
      <c r="W9">
        <v>29.516999999999999</v>
      </c>
      <c r="X9">
        <v>30.771000000000001</v>
      </c>
      <c r="Y9">
        <v>31.896000000000001</v>
      </c>
      <c r="Z9">
        <v>33.064</v>
      </c>
      <c r="AA9">
        <v>34.290999999999997</v>
      </c>
      <c r="AB9">
        <v>35.558</v>
      </c>
      <c r="AC9">
        <v>36.777999999999999</v>
      </c>
      <c r="AD9">
        <v>38.079000000000001</v>
      </c>
      <c r="AE9">
        <v>39.436999999999998</v>
      </c>
      <c r="AF9">
        <v>40.875</v>
      </c>
      <c r="AG9">
        <v>42.377000000000002</v>
      </c>
      <c r="AH9">
        <v>43.95</v>
      </c>
      <c r="AI9">
        <v>45.655999999999999</v>
      </c>
      <c r="AJ9">
        <v>47.454999999999998</v>
      </c>
      <c r="AK9">
        <v>49.344000000000001</v>
      </c>
      <c r="AL9">
        <v>51.231000000000002</v>
      </c>
      <c r="AM9">
        <v>53.204000000000001</v>
      </c>
      <c r="AN9">
        <v>55.283999999999999</v>
      </c>
    </row>
    <row r="10" spans="1:40" x14ac:dyDescent="0.25">
      <c r="A10" t="s">
        <v>27</v>
      </c>
      <c r="B10">
        <v>52.81</v>
      </c>
      <c r="C10">
        <v>54.390999999999998</v>
      </c>
      <c r="D10">
        <v>55.515000000000001</v>
      </c>
      <c r="E10">
        <v>56.133000000000003</v>
      </c>
      <c r="F10">
        <v>56.734999999999999</v>
      </c>
      <c r="G10">
        <v>57.222000000000001</v>
      </c>
      <c r="H10">
        <v>57.87</v>
      </c>
      <c r="I10">
        <v>57.747999999999998</v>
      </c>
      <c r="J10">
        <v>53.228999999999999</v>
      </c>
      <c r="K10">
        <v>55.156999999999996</v>
      </c>
      <c r="L10">
        <v>56.634</v>
      </c>
      <c r="M10">
        <v>58.034999999999997</v>
      </c>
      <c r="N10">
        <v>59.587000000000003</v>
      </c>
      <c r="O10">
        <v>61.716000000000001</v>
      </c>
      <c r="P10">
        <v>63.9</v>
      </c>
      <c r="Q10">
        <v>66.284999999999997</v>
      </c>
      <c r="R10">
        <v>68.873999999999995</v>
      </c>
      <c r="S10">
        <v>71.921999999999997</v>
      </c>
      <c r="T10">
        <v>75.180000000000007</v>
      </c>
      <c r="U10">
        <v>78.507999999999996</v>
      </c>
      <c r="V10">
        <v>81.834000000000003</v>
      </c>
      <c r="W10">
        <v>85.197000000000003</v>
      </c>
      <c r="X10">
        <v>88.741</v>
      </c>
      <c r="Y10">
        <v>91.994</v>
      </c>
      <c r="Z10">
        <v>95.308999999999997</v>
      </c>
      <c r="AA10">
        <v>98.796000000000006</v>
      </c>
      <c r="AB10">
        <v>102.387</v>
      </c>
      <c r="AC10">
        <v>105.86499999999999</v>
      </c>
      <c r="AD10">
        <v>109.574</v>
      </c>
      <c r="AE10">
        <v>113.44</v>
      </c>
      <c r="AF10">
        <v>117.53700000000001</v>
      </c>
      <c r="AG10">
        <v>121.788</v>
      </c>
      <c r="AH10">
        <v>126.242</v>
      </c>
      <c r="AI10">
        <v>131.10300000000001</v>
      </c>
      <c r="AJ10">
        <v>136.24600000000001</v>
      </c>
      <c r="AK10">
        <v>141.62799999999999</v>
      </c>
      <c r="AL10">
        <v>147.054</v>
      </c>
      <c r="AM10">
        <v>152.74</v>
      </c>
      <c r="AN10">
        <v>158.73400000000001</v>
      </c>
    </row>
    <row r="11" spans="1:40" x14ac:dyDescent="0.25">
      <c r="A11" t="s">
        <v>28</v>
      </c>
      <c r="B11">
        <v>14.113</v>
      </c>
      <c r="C11">
        <v>14.494999999999999</v>
      </c>
      <c r="D11">
        <v>14.76</v>
      </c>
      <c r="E11">
        <v>14.999000000000001</v>
      </c>
      <c r="F11">
        <v>15.18</v>
      </c>
      <c r="G11">
        <v>15.356</v>
      </c>
      <c r="H11">
        <v>15.564</v>
      </c>
      <c r="I11">
        <v>15.58</v>
      </c>
      <c r="J11">
        <v>14.3</v>
      </c>
      <c r="K11">
        <v>14.823</v>
      </c>
      <c r="L11">
        <v>15.223000000000001</v>
      </c>
      <c r="M11">
        <v>15.616</v>
      </c>
      <c r="N11">
        <v>16.039000000000001</v>
      </c>
      <c r="O11">
        <v>16.61</v>
      </c>
      <c r="P11">
        <v>17.207999999999998</v>
      </c>
      <c r="Q11">
        <v>17.878</v>
      </c>
      <c r="R11">
        <v>18.596</v>
      </c>
      <c r="S11">
        <v>19.439</v>
      </c>
      <c r="T11">
        <v>20.379000000000001</v>
      </c>
      <c r="U11">
        <v>21.312999999999999</v>
      </c>
      <c r="V11">
        <v>22.273</v>
      </c>
      <c r="W11">
        <v>23.263999999999999</v>
      </c>
      <c r="X11">
        <v>24.29</v>
      </c>
      <c r="Y11">
        <v>25.25</v>
      </c>
      <c r="Z11">
        <v>26.239000000000001</v>
      </c>
      <c r="AA11">
        <v>27.268000000000001</v>
      </c>
      <c r="AB11">
        <v>28.327999999999999</v>
      </c>
      <c r="AC11">
        <v>29.359000000000002</v>
      </c>
      <c r="AD11">
        <v>30.454000000000001</v>
      </c>
      <c r="AE11">
        <v>31.611999999999998</v>
      </c>
      <c r="AF11">
        <v>32.823999999999998</v>
      </c>
      <c r="AG11">
        <v>34.07</v>
      </c>
      <c r="AH11">
        <v>35.378</v>
      </c>
      <c r="AI11">
        <v>36.781999999999996</v>
      </c>
      <c r="AJ11">
        <v>38.258000000000003</v>
      </c>
      <c r="AK11">
        <v>39.805999999999997</v>
      </c>
      <c r="AL11">
        <v>41.357999999999997</v>
      </c>
      <c r="AM11">
        <v>42.982999999999997</v>
      </c>
      <c r="AN11">
        <v>44.703000000000003</v>
      </c>
    </row>
    <row r="12" spans="1:40" x14ac:dyDescent="0.25">
      <c r="A12" t="s">
        <v>29</v>
      </c>
      <c r="B12">
        <v>13.346</v>
      </c>
      <c r="C12">
        <v>13.752000000000001</v>
      </c>
      <c r="D12">
        <v>14.013999999999999</v>
      </c>
      <c r="E12">
        <v>14.365</v>
      </c>
      <c r="F12">
        <v>14.41</v>
      </c>
      <c r="G12">
        <v>14.513</v>
      </c>
      <c r="H12">
        <v>14.522</v>
      </c>
      <c r="I12">
        <v>14.384</v>
      </c>
      <c r="J12">
        <v>12.598000000000001</v>
      </c>
      <c r="K12">
        <v>13.069000000000001</v>
      </c>
      <c r="L12">
        <v>13.349</v>
      </c>
      <c r="M12">
        <v>13.621</v>
      </c>
      <c r="N12">
        <v>13.933</v>
      </c>
      <c r="O12">
        <v>14.372</v>
      </c>
      <c r="P12">
        <v>14.757999999999999</v>
      </c>
      <c r="Q12">
        <v>15.183999999999999</v>
      </c>
      <c r="R12">
        <v>15.683</v>
      </c>
      <c r="S12">
        <v>16.28</v>
      </c>
      <c r="T12">
        <v>16.878</v>
      </c>
      <c r="U12">
        <v>17.408999999999999</v>
      </c>
      <c r="V12">
        <v>18.071999999999999</v>
      </c>
      <c r="W12">
        <v>18.716999999999999</v>
      </c>
      <c r="X12">
        <v>19.405999999999999</v>
      </c>
      <c r="Y12">
        <v>20.032</v>
      </c>
      <c r="Z12">
        <v>20.667999999999999</v>
      </c>
      <c r="AA12">
        <v>21.327000000000002</v>
      </c>
      <c r="AB12">
        <v>21.986999999999998</v>
      </c>
      <c r="AC12">
        <v>22.623000000000001</v>
      </c>
      <c r="AD12">
        <v>23.295999999999999</v>
      </c>
      <c r="AE12">
        <v>24.016999999999999</v>
      </c>
      <c r="AF12">
        <v>24.771999999999998</v>
      </c>
      <c r="AG12">
        <v>25.538</v>
      </c>
      <c r="AH12">
        <v>26.338000000000001</v>
      </c>
      <c r="AI12">
        <v>27.21</v>
      </c>
      <c r="AJ12">
        <v>28.164999999999999</v>
      </c>
      <c r="AK12">
        <v>29.167999999999999</v>
      </c>
      <c r="AL12">
        <v>30.178000000000001</v>
      </c>
      <c r="AM12">
        <v>31.236999999999998</v>
      </c>
      <c r="AN12">
        <v>32.36</v>
      </c>
    </row>
    <row r="13" spans="1:40" x14ac:dyDescent="0.25">
      <c r="A13" t="s">
        <v>30</v>
      </c>
      <c r="B13">
        <v>10.112</v>
      </c>
      <c r="C13">
        <v>8.5809999999999995</v>
      </c>
      <c r="D13">
        <v>7.8769999999999998</v>
      </c>
      <c r="E13">
        <v>7.9880000000000004</v>
      </c>
      <c r="F13">
        <v>7.7750000000000004</v>
      </c>
      <c r="G13">
        <v>7.4850000000000003</v>
      </c>
      <c r="H13">
        <v>7.3470000000000004</v>
      </c>
      <c r="I13">
        <v>7.0549999999999997</v>
      </c>
      <c r="J13">
        <v>5.7949999999999999</v>
      </c>
      <c r="K13">
        <v>6.0140000000000002</v>
      </c>
      <c r="L13">
        <v>6.077</v>
      </c>
      <c r="M13">
        <v>6.1369999999999996</v>
      </c>
      <c r="N13">
        <v>6.2460000000000004</v>
      </c>
      <c r="O13">
        <v>6.4130000000000003</v>
      </c>
      <c r="P13">
        <v>6.5439999999999996</v>
      </c>
      <c r="Q13">
        <v>6.6820000000000004</v>
      </c>
      <c r="R13">
        <v>6.8940000000000001</v>
      </c>
      <c r="S13">
        <v>7.1589999999999998</v>
      </c>
      <c r="T13">
        <v>7.46</v>
      </c>
      <c r="U13">
        <v>7.9039999999999999</v>
      </c>
      <c r="V13">
        <v>8.3369999999999997</v>
      </c>
      <c r="W13">
        <v>8.7669999999999995</v>
      </c>
      <c r="X13">
        <v>9.2249999999999996</v>
      </c>
      <c r="Y13">
        <v>9.6590000000000007</v>
      </c>
      <c r="Z13">
        <v>10.090999999999999</v>
      </c>
      <c r="AA13">
        <v>10.539</v>
      </c>
      <c r="AB13">
        <v>10.962</v>
      </c>
      <c r="AC13">
        <v>11.346</v>
      </c>
      <c r="AD13">
        <v>11.728</v>
      </c>
      <c r="AE13">
        <v>12.086</v>
      </c>
      <c r="AF13">
        <v>12.439</v>
      </c>
      <c r="AG13">
        <v>12.782</v>
      </c>
      <c r="AH13">
        <v>13.122999999999999</v>
      </c>
      <c r="AI13">
        <v>13.483000000000001</v>
      </c>
      <c r="AJ13">
        <v>13.91</v>
      </c>
      <c r="AK13">
        <v>14.369</v>
      </c>
      <c r="AL13">
        <v>14.834</v>
      </c>
      <c r="AM13">
        <v>15.324999999999999</v>
      </c>
      <c r="AN13">
        <v>15.853</v>
      </c>
    </row>
    <row r="14" spans="1:40" x14ac:dyDescent="0.25">
      <c r="A14" t="s">
        <v>31</v>
      </c>
      <c r="B14">
        <v>1E-4</v>
      </c>
      <c r="C14">
        <v>1E-4</v>
      </c>
      <c r="D14">
        <v>1E-4</v>
      </c>
      <c r="E14">
        <v>1E-4</v>
      </c>
      <c r="F14">
        <v>1E-4</v>
      </c>
      <c r="G14">
        <v>1E-4</v>
      </c>
      <c r="H14">
        <v>1E-4</v>
      </c>
      <c r="I14">
        <v>1E-4</v>
      </c>
      <c r="J14">
        <v>1E-4</v>
      </c>
      <c r="K14">
        <v>1E-4</v>
      </c>
      <c r="L14">
        <v>1E-4</v>
      </c>
      <c r="M14">
        <v>1E-4</v>
      </c>
      <c r="N14">
        <v>1E-4</v>
      </c>
      <c r="O14">
        <v>1E-4</v>
      </c>
      <c r="P14">
        <v>1E-4</v>
      </c>
      <c r="Q14">
        <v>1E-4</v>
      </c>
      <c r="R14">
        <v>1E-4</v>
      </c>
      <c r="S14">
        <v>1E-4</v>
      </c>
      <c r="T14">
        <v>1E-4</v>
      </c>
      <c r="U14">
        <v>1E-4</v>
      </c>
      <c r="V14">
        <v>1E-4</v>
      </c>
      <c r="W14">
        <v>1E-4</v>
      </c>
      <c r="X14">
        <v>1E-4</v>
      </c>
      <c r="Y14">
        <v>1E-4</v>
      </c>
      <c r="Z14">
        <v>1E-4</v>
      </c>
      <c r="AA14">
        <v>1E-4</v>
      </c>
      <c r="AB14">
        <v>1E-4</v>
      </c>
      <c r="AC14">
        <v>1E-4</v>
      </c>
      <c r="AD14">
        <v>1E-4</v>
      </c>
      <c r="AE14">
        <v>1E-4</v>
      </c>
      <c r="AF14">
        <v>1E-4</v>
      </c>
      <c r="AG14">
        <v>1E-4</v>
      </c>
      <c r="AH14">
        <v>1E-4</v>
      </c>
      <c r="AI14">
        <v>1E-4</v>
      </c>
      <c r="AJ14">
        <v>1E-4</v>
      </c>
      <c r="AK14">
        <v>1E-4</v>
      </c>
      <c r="AL14">
        <v>1E-4</v>
      </c>
      <c r="AM14">
        <v>1E-4</v>
      </c>
      <c r="AN14">
        <v>1E-4</v>
      </c>
    </row>
    <row r="15" spans="1:40" x14ac:dyDescent="0.25">
      <c r="A15" t="s">
        <v>32</v>
      </c>
      <c r="B15">
        <v>84.251000000000005</v>
      </c>
      <c r="C15">
        <v>82.983999999999995</v>
      </c>
      <c r="D15">
        <v>81.257999999999996</v>
      </c>
      <c r="E15">
        <v>79.501999999999995</v>
      </c>
      <c r="F15">
        <v>77.766999999999996</v>
      </c>
      <c r="G15">
        <v>77.397000000000006</v>
      </c>
      <c r="H15">
        <v>78.260000000000005</v>
      </c>
      <c r="I15">
        <v>77.688999999999993</v>
      </c>
      <c r="J15">
        <v>72.408000000000001</v>
      </c>
      <c r="K15">
        <v>74.578000000000003</v>
      </c>
      <c r="L15">
        <v>73.956999999999994</v>
      </c>
      <c r="M15">
        <v>74.710999999999999</v>
      </c>
      <c r="N15">
        <v>75.474000000000004</v>
      </c>
      <c r="O15">
        <v>76.706999999999994</v>
      </c>
      <c r="P15">
        <v>77.498999999999995</v>
      </c>
      <c r="Q15">
        <v>78.093000000000004</v>
      </c>
      <c r="R15">
        <v>79.268000000000001</v>
      </c>
      <c r="S15">
        <v>81.134</v>
      </c>
      <c r="T15">
        <v>76.468000000000004</v>
      </c>
      <c r="U15">
        <v>81.566000000000003</v>
      </c>
      <c r="V15">
        <v>81.472999999999999</v>
      </c>
      <c r="W15">
        <v>83.906000000000006</v>
      </c>
      <c r="X15">
        <v>85.825999999999993</v>
      </c>
      <c r="Y15">
        <v>87.171999999999997</v>
      </c>
      <c r="Z15">
        <v>89.263000000000005</v>
      </c>
      <c r="AA15">
        <v>92.037000000000006</v>
      </c>
      <c r="AB15">
        <v>93.850999999999999</v>
      </c>
      <c r="AC15">
        <v>95.924999999999997</v>
      </c>
      <c r="AD15">
        <v>98.024000000000001</v>
      </c>
      <c r="AE15">
        <v>99.995000000000005</v>
      </c>
      <c r="AF15">
        <v>101.90600000000001</v>
      </c>
      <c r="AG15">
        <v>103.929</v>
      </c>
      <c r="AH15">
        <v>105.99299999999999</v>
      </c>
      <c r="AI15">
        <v>108.089</v>
      </c>
      <c r="AJ15">
        <v>111.218</v>
      </c>
      <c r="AK15">
        <v>114.173</v>
      </c>
      <c r="AL15">
        <v>117.081</v>
      </c>
      <c r="AM15">
        <v>119.968</v>
      </c>
      <c r="AN15">
        <v>122.893</v>
      </c>
    </row>
    <row r="16" spans="1:40" x14ac:dyDescent="0.25">
      <c r="A16" t="s">
        <v>33</v>
      </c>
      <c r="B16">
        <v>21.151</v>
      </c>
      <c r="C16">
        <v>22.475000000000001</v>
      </c>
      <c r="D16">
        <v>24.135000000000002</v>
      </c>
      <c r="E16">
        <v>25.321000000000002</v>
      </c>
      <c r="F16">
        <v>26.111999999999998</v>
      </c>
      <c r="G16">
        <v>27.977</v>
      </c>
      <c r="H16">
        <v>29.995999999999999</v>
      </c>
      <c r="I16">
        <v>31.335000000000001</v>
      </c>
      <c r="J16">
        <v>30.035</v>
      </c>
      <c r="K16">
        <v>31.614999999999998</v>
      </c>
      <c r="L16">
        <v>32.856999999999999</v>
      </c>
      <c r="M16">
        <v>34.055999999999997</v>
      </c>
      <c r="N16">
        <v>35.374000000000002</v>
      </c>
      <c r="O16">
        <v>37.231000000000002</v>
      </c>
      <c r="P16">
        <v>39.125999999999998</v>
      </c>
      <c r="Q16">
        <v>41.274999999999999</v>
      </c>
      <c r="R16">
        <v>43.747</v>
      </c>
      <c r="S16">
        <v>46.716999999999999</v>
      </c>
      <c r="T16">
        <v>50.295999999999999</v>
      </c>
      <c r="U16">
        <v>54.404000000000003</v>
      </c>
      <c r="V16">
        <v>59.106999999999999</v>
      </c>
      <c r="W16">
        <v>64.433000000000007</v>
      </c>
      <c r="X16">
        <v>70.424000000000007</v>
      </c>
      <c r="Y16">
        <v>76.599999999999994</v>
      </c>
      <c r="Z16">
        <v>83.257000000000005</v>
      </c>
      <c r="AA16">
        <v>90.76</v>
      </c>
      <c r="AB16">
        <v>98.781999999999996</v>
      </c>
      <c r="AC16">
        <v>106.82299999999999</v>
      </c>
      <c r="AD16">
        <v>115.60599999999999</v>
      </c>
      <c r="AE16">
        <v>124.702</v>
      </c>
      <c r="AF16">
        <v>134.26</v>
      </c>
      <c r="AG16">
        <v>144.18199999999999</v>
      </c>
      <c r="AH16">
        <v>154.60599999999999</v>
      </c>
      <c r="AI16">
        <v>165.87799999999999</v>
      </c>
      <c r="AJ16">
        <v>177.82400000000001</v>
      </c>
      <c r="AK16">
        <v>190.441</v>
      </c>
      <c r="AL16">
        <v>203.21</v>
      </c>
      <c r="AM16">
        <v>216.76400000000001</v>
      </c>
      <c r="AN16">
        <v>231.25</v>
      </c>
    </row>
    <row r="17" spans="1:40" x14ac:dyDescent="0.25">
      <c r="A17" t="s">
        <v>34</v>
      </c>
      <c r="B17">
        <v>135.95500000000001</v>
      </c>
      <c r="C17">
        <v>140.071</v>
      </c>
      <c r="D17">
        <v>143.4</v>
      </c>
      <c r="E17">
        <v>145.137</v>
      </c>
      <c r="F17">
        <v>146.333</v>
      </c>
      <c r="G17">
        <v>148.477</v>
      </c>
      <c r="H17">
        <v>150.38999999999999</v>
      </c>
      <c r="I17">
        <v>150.78899999999999</v>
      </c>
      <c r="J17">
        <v>140.006</v>
      </c>
      <c r="K17">
        <v>144.49299999999999</v>
      </c>
      <c r="L17">
        <v>147.88</v>
      </c>
      <c r="M17">
        <v>151.16499999999999</v>
      </c>
      <c r="N17">
        <v>154.84299999999999</v>
      </c>
      <c r="O17">
        <v>160.059</v>
      </c>
      <c r="P17">
        <v>165.41300000000001</v>
      </c>
      <c r="Q17">
        <v>171.33</v>
      </c>
      <c r="R17">
        <v>177.71</v>
      </c>
      <c r="S17">
        <v>185.285</v>
      </c>
      <c r="T17">
        <v>193.38399999999999</v>
      </c>
      <c r="U17">
        <v>201.30799999999999</v>
      </c>
      <c r="V17">
        <v>209.57499999999999</v>
      </c>
      <c r="W17">
        <v>218.315</v>
      </c>
      <c r="X17">
        <v>227.46899999999999</v>
      </c>
      <c r="Y17">
        <v>235.863</v>
      </c>
      <c r="Z17">
        <v>244.46799999999999</v>
      </c>
      <c r="AA17">
        <v>253.52</v>
      </c>
      <c r="AB17">
        <v>262.87200000000001</v>
      </c>
      <c r="AC17">
        <v>271.91399999999999</v>
      </c>
      <c r="AD17">
        <v>281.66199999999998</v>
      </c>
      <c r="AE17">
        <v>292.18700000000001</v>
      </c>
      <c r="AF17">
        <v>303.29000000000002</v>
      </c>
      <c r="AG17">
        <v>314.75599999999997</v>
      </c>
      <c r="AH17">
        <v>326.77499999999998</v>
      </c>
      <c r="AI17">
        <v>339.86599999999999</v>
      </c>
      <c r="AJ17">
        <v>353.51799999999997</v>
      </c>
      <c r="AK17">
        <v>367.851</v>
      </c>
      <c r="AL17">
        <v>382.25400000000002</v>
      </c>
      <c r="AM17">
        <v>397.40300000000002</v>
      </c>
      <c r="AN17">
        <v>413.43299999999999</v>
      </c>
    </row>
    <row r="18" spans="1:40" x14ac:dyDescent="0.25">
      <c r="A18" t="s">
        <v>35</v>
      </c>
      <c r="B18">
        <v>11.263999999999999</v>
      </c>
      <c r="C18">
        <v>11.61</v>
      </c>
      <c r="D18">
        <v>12.005000000000001</v>
      </c>
      <c r="E18">
        <v>12.26</v>
      </c>
      <c r="F18">
        <v>12.374000000000001</v>
      </c>
      <c r="G18">
        <v>12.574</v>
      </c>
      <c r="H18">
        <v>12.871</v>
      </c>
      <c r="I18">
        <v>13.003</v>
      </c>
      <c r="J18">
        <v>12.263</v>
      </c>
      <c r="K18">
        <v>12.721</v>
      </c>
      <c r="L18">
        <v>13.018000000000001</v>
      </c>
      <c r="M18">
        <v>13.273</v>
      </c>
      <c r="N18">
        <v>13.539</v>
      </c>
      <c r="O18">
        <v>13.917999999999999</v>
      </c>
      <c r="P18">
        <v>14.315</v>
      </c>
      <c r="Q18">
        <v>14.726000000000001</v>
      </c>
      <c r="R18">
        <v>15.173999999999999</v>
      </c>
      <c r="S18">
        <v>15.694000000000001</v>
      </c>
      <c r="T18">
        <v>16.306999999999999</v>
      </c>
      <c r="U18">
        <v>16.922999999999998</v>
      </c>
      <c r="V18">
        <v>17.491</v>
      </c>
      <c r="W18">
        <v>18.087</v>
      </c>
      <c r="X18">
        <v>18.677</v>
      </c>
      <c r="Y18">
        <v>19.201000000000001</v>
      </c>
      <c r="Z18">
        <v>19.701000000000001</v>
      </c>
      <c r="AA18">
        <v>20.216000000000001</v>
      </c>
      <c r="AB18">
        <v>20.744</v>
      </c>
      <c r="AC18">
        <v>21.24</v>
      </c>
      <c r="AD18">
        <v>21.763999999999999</v>
      </c>
      <c r="AE18">
        <v>22.347999999999999</v>
      </c>
      <c r="AF18">
        <v>22.940999999999999</v>
      </c>
      <c r="AG18">
        <v>23.59</v>
      </c>
      <c r="AH18">
        <v>24.266999999999999</v>
      </c>
      <c r="AI18">
        <v>25.018000000000001</v>
      </c>
      <c r="AJ18">
        <v>25.8</v>
      </c>
      <c r="AK18">
        <v>26.611999999999998</v>
      </c>
      <c r="AL18">
        <v>27.417999999999999</v>
      </c>
      <c r="AM18">
        <v>28.263999999999999</v>
      </c>
      <c r="AN18">
        <v>29.167999999999999</v>
      </c>
    </row>
    <row r="19" spans="1:40" x14ac:dyDescent="0.25">
      <c r="A19" t="s">
        <v>36</v>
      </c>
      <c r="B19">
        <v>1.135</v>
      </c>
      <c r="C19">
        <v>1.153</v>
      </c>
      <c r="D19">
        <v>1.1359999999999999</v>
      </c>
      <c r="E19">
        <v>1.123</v>
      </c>
      <c r="F19">
        <v>1.133</v>
      </c>
      <c r="G19">
        <v>1.141</v>
      </c>
      <c r="H19">
        <v>1.1100000000000001</v>
      </c>
      <c r="I19">
        <v>1.085</v>
      </c>
      <c r="J19">
        <v>0.97599999999999998</v>
      </c>
      <c r="K19">
        <v>0.98599999999999999</v>
      </c>
      <c r="L19">
        <v>1.008</v>
      </c>
      <c r="M19">
        <v>1.0369999999999999</v>
      </c>
      <c r="N19">
        <v>1.071</v>
      </c>
      <c r="O19">
        <v>1.1180000000000001</v>
      </c>
      <c r="P19">
        <v>1.165</v>
      </c>
      <c r="Q19">
        <v>1.2250000000000001</v>
      </c>
      <c r="R19">
        <v>1.2909999999999999</v>
      </c>
      <c r="S19">
        <v>1.37</v>
      </c>
      <c r="T19">
        <v>1.444</v>
      </c>
      <c r="U19">
        <v>1.506</v>
      </c>
      <c r="V19">
        <v>1.593</v>
      </c>
      <c r="W19">
        <v>1.6859999999999999</v>
      </c>
      <c r="X19">
        <v>1.792</v>
      </c>
      <c r="Y19">
        <v>1.895</v>
      </c>
      <c r="Z19">
        <v>2.012</v>
      </c>
      <c r="AA19">
        <v>2.1360000000000001</v>
      </c>
      <c r="AB19">
        <v>2.2690000000000001</v>
      </c>
      <c r="AC19">
        <v>2.403</v>
      </c>
      <c r="AD19">
        <v>2.5499999999999998</v>
      </c>
      <c r="AE19">
        <v>2.702</v>
      </c>
      <c r="AF19">
        <v>2.8690000000000002</v>
      </c>
      <c r="AG19">
        <v>3.03</v>
      </c>
      <c r="AH19">
        <v>3.2</v>
      </c>
      <c r="AI19">
        <v>3.3809999999999998</v>
      </c>
      <c r="AJ19">
        <v>3.57</v>
      </c>
      <c r="AK19">
        <v>3.7719999999999998</v>
      </c>
      <c r="AL19">
        <v>3.9790000000000001</v>
      </c>
      <c r="AM19">
        <v>4.1970000000000001</v>
      </c>
      <c r="AN19">
        <v>4.4240000000000004</v>
      </c>
    </row>
    <row r="20" spans="1:40" x14ac:dyDescent="0.25">
      <c r="A20" t="s">
        <v>37</v>
      </c>
      <c r="B20">
        <v>27.515999999999998</v>
      </c>
      <c r="C20">
        <v>26.898</v>
      </c>
      <c r="D20">
        <v>26.286000000000001</v>
      </c>
      <c r="E20">
        <v>25.675000000000001</v>
      </c>
      <c r="F20">
        <v>25.675000000000001</v>
      </c>
      <c r="G20">
        <v>25.675000000000001</v>
      </c>
      <c r="H20">
        <v>25.658999999999999</v>
      </c>
      <c r="I20">
        <v>25.655000000000001</v>
      </c>
      <c r="J20">
        <v>25.658999999999999</v>
      </c>
      <c r="K20">
        <v>25.658999999999999</v>
      </c>
      <c r="L20">
        <v>25.658999999999999</v>
      </c>
      <c r="M20">
        <v>25.658999999999999</v>
      </c>
      <c r="N20">
        <v>25.658999999999999</v>
      </c>
      <c r="O20">
        <v>25.113</v>
      </c>
      <c r="P20">
        <v>25.113</v>
      </c>
      <c r="Q20">
        <v>25.102</v>
      </c>
      <c r="R20">
        <v>25.102</v>
      </c>
      <c r="S20">
        <v>25.102</v>
      </c>
      <c r="T20">
        <v>25.102</v>
      </c>
      <c r="U20">
        <v>23.623000000000001</v>
      </c>
      <c r="V20">
        <v>22.463000000000001</v>
      </c>
      <c r="W20">
        <v>21.690999999999999</v>
      </c>
      <c r="X20">
        <v>20.882999999999999</v>
      </c>
      <c r="Y20">
        <v>20.18</v>
      </c>
      <c r="Z20">
        <v>19.571999999999999</v>
      </c>
      <c r="AA20">
        <v>18.382000000000001</v>
      </c>
      <c r="AB20">
        <v>17.873000000000001</v>
      </c>
      <c r="AC20">
        <v>17.364999999999998</v>
      </c>
      <c r="AD20">
        <v>16.856000000000002</v>
      </c>
      <c r="AE20">
        <v>17.41</v>
      </c>
      <c r="AF20">
        <v>17.965</v>
      </c>
      <c r="AG20">
        <v>18.518999999999998</v>
      </c>
      <c r="AH20">
        <v>19.074000000000002</v>
      </c>
      <c r="AI20">
        <v>19.628</v>
      </c>
      <c r="AJ20">
        <v>19.838999999999999</v>
      </c>
      <c r="AK20">
        <v>20.050999999999998</v>
      </c>
      <c r="AL20">
        <v>20.262</v>
      </c>
      <c r="AM20">
        <v>20.472999999999999</v>
      </c>
      <c r="AN20">
        <v>20.684999999999999</v>
      </c>
    </row>
    <row r="21" spans="1:40" x14ac:dyDescent="0.25">
      <c r="A21" t="s">
        <v>38</v>
      </c>
      <c r="B21">
        <v>66.42</v>
      </c>
      <c r="C21">
        <v>67.322999999999993</v>
      </c>
      <c r="D21">
        <v>64.224999999999994</v>
      </c>
      <c r="E21">
        <v>61.13</v>
      </c>
      <c r="F21">
        <v>61.030999999999999</v>
      </c>
      <c r="G21">
        <v>60.957000000000001</v>
      </c>
      <c r="H21">
        <v>60.158000000000001</v>
      </c>
      <c r="I21">
        <v>59.899000000000001</v>
      </c>
      <c r="J21">
        <v>58.298999999999999</v>
      </c>
      <c r="K21">
        <v>58.155000000000001</v>
      </c>
      <c r="L21">
        <v>57.762999999999998</v>
      </c>
      <c r="M21">
        <v>57.247999999999998</v>
      </c>
      <c r="N21">
        <v>57.018000000000001</v>
      </c>
      <c r="O21">
        <v>56.558999999999997</v>
      </c>
      <c r="P21">
        <v>55.872</v>
      </c>
      <c r="Q21">
        <v>55.134</v>
      </c>
      <c r="R21">
        <v>54.899000000000001</v>
      </c>
      <c r="S21">
        <v>54.563000000000002</v>
      </c>
      <c r="T21">
        <v>53.569000000000003</v>
      </c>
      <c r="U21">
        <v>53.064999999999998</v>
      </c>
      <c r="V21">
        <v>53.677</v>
      </c>
      <c r="W21">
        <v>54.825000000000003</v>
      </c>
      <c r="X21">
        <v>56.220999999999997</v>
      </c>
      <c r="Y21">
        <v>56.314999999999998</v>
      </c>
      <c r="Z21">
        <v>56.472000000000001</v>
      </c>
      <c r="AA21">
        <v>56.677999999999997</v>
      </c>
      <c r="AB21">
        <v>55.841000000000001</v>
      </c>
      <c r="AC21">
        <v>55.003</v>
      </c>
      <c r="AD21">
        <v>54.165999999999997</v>
      </c>
      <c r="AE21">
        <v>53.222000000000001</v>
      </c>
      <c r="AF21">
        <v>52.277999999999999</v>
      </c>
      <c r="AG21">
        <v>51.332999999999998</v>
      </c>
      <c r="AH21">
        <v>50.389000000000003</v>
      </c>
      <c r="AI21">
        <v>49.444000000000003</v>
      </c>
      <c r="AJ21">
        <v>49.481000000000002</v>
      </c>
      <c r="AK21">
        <v>49.517000000000003</v>
      </c>
      <c r="AL21">
        <v>49.552999999999997</v>
      </c>
      <c r="AM21">
        <v>49.588999999999999</v>
      </c>
      <c r="AN21">
        <v>49.625</v>
      </c>
    </row>
    <row r="35" spans="1:40" x14ac:dyDescent="0.25">
      <c r="A35" t="s">
        <v>41</v>
      </c>
    </row>
    <row r="36" spans="1:40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>
        <v>3910</v>
      </c>
      <c r="C37">
        <v>4018</v>
      </c>
      <c r="D37">
        <v>4111</v>
      </c>
      <c r="E37">
        <v>4180</v>
      </c>
      <c r="F37">
        <v>4237</v>
      </c>
      <c r="G37">
        <v>4294</v>
      </c>
      <c r="H37">
        <v>4359</v>
      </c>
      <c r="I37">
        <v>4432</v>
      </c>
      <c r="J37">
        <v>4107</v>
      </c>
      <c r="K37">
        <v>4200</v>
      </c>
      <c r="L37">
        <v>4292</v>
      </c>
      <c r="M37">
        <v>4385</v>
      </c>
      <c r="N37">
        <v>4476</v>
      </c>
      <c r="O37">
        <v>4571</v>
      </c>
      <c r="P37">
        <v>4685</v>
      </c>
      <c r="Q37">
        <v>4797</v>
      </c>
      <c r="R37">
        <v>4915</v>
      </c>
      <c r="S37">
        <v>5037</v>
      </c>
      <c r="T37">
        <v>5163</v>
      </c>
      <c r="U37">
        <v>5309</v>
      </c>
      <c r="V37">
        <v>5452</v>
      </c>
      <c r="W37">
        <v>5609</v>
      </c>
      <c r="X37">
        <v>5778</v>
      </c>
      <c r="Y37">
        <v>5958</v>
      </c>
      <c r="Z37">
        <v>6147</v>
      </c>
      <c r="AA37">
        <v>6343</v>
      </c>
      <c r="AB37">
        <v>6543</v>
      </c>
      <c r="AC37">
        <v>6751</v>
      </c>
      <c r="AD37">
        <v>6972</v>
      </c>
      <c r="AE37">
        <v>7201</v>
      </c>
      <c r="AF37">
        <v>7441</v>
      </c>
      <c r="AG37">
        <v>7691</v>
      </c>
      <c r="AH37">
        <v>7951</v>
      </c>
      <c r="AI37">
        <v>8227</v>
      </c>
      <c r="AJ37">
        <v>8517</v>
      </c>
      <c r="AK37">
        <v>8822</v>
      </c>
      <c r="AL37">
        <v>9131</v>
      </c>
      <c r="AM37">
        <v>9455</v>
      </c>
      <c r="AN37">
        <v>9796</v>
      </c>
    </row>
    <row r="38" spans="1:40" x14ac:dyDescent="0.25">
      <c r="A38" t="s">
        <v>22</v>
      </c>
      <c r="B38">
        <v>180</v>
      </c>
      <c r="C38">
        <v>188</v>
      </c>
      <c r="D38">
        <v>195</v>
      </c>
      <c r="E38">
        <v>192</v>
      </c>
      <c r="F38">
        <v>190</v>
      </c>
      <c r="G38">
        <v>196</v>
      </c>
      <c r="H38">
        <v>193</v>
      </c>
      <c r="I38">
        <v>190</v>
      </c>
      <c r="J38">
        <v>183</v>
      </c>
      <c r="K38">
        <v>188</v>
      </c>
      <c r="L38">
        <v>194</v>
      </c>
      <c r="M38">
        <v>198</v>
      </c>
      <c r="N38">
        <v>201</v>
      </c>
      <c r="O38">
        <v>204</v>
      </c>
      <c r="P38">
        <v>209</v>
      </c>
      <c r="Q38">
        <v>214</v>
      </c>
      <c r="R38">
        <v>219</v>
      </c>
      <c r="S38">
        <v>224</v>
      </c>
      <c r="T38">
        <v>229</v>
      </c>
      <c r="U38">
        <v>234</v>
      </c>
      <c r="V38">
        <v>238</v>
      </c>
      <c r="W38">
        <v>243</v>
      </c>
      <c r="X38">
        <v>247</v>
      </c>
      <c r="Y38">
        <v>252</v>
      </c>
      <c r="Z38">
        <v>257</v>
      </c>
      <c r="AA38">
        <v>263</v>
      </c>
      <c r="AB38">
        <v>268</v>
      </c>
      <c r="AC38">
        <v>274</v>
      </c>
      <c r="AD38">
        <v>280</v>
      </c>
      <c r="AE38">
        <v>286</v>
      </c>
      <c r="AF38">
        <v>292</v>
      </c>
      <c r="AG38">
        <v>298</v>
      </c>
      <c r="AH38">
        <v>304</v>
      </c>
      <c r="AI38">
        <v>311</v>
      </c>
      <c r="AJ38">
        <v>319</v>
      </c>
      <c r="AK38">
        <v>326</v>
      </c>
      <c r="AL38">
        <v>334</v>
      </c>
      <c r="AM38">
        <v>342</v>
      </c>
      <c r="AN38">
        <v>351</v>
      </c>
    </row>
    <row r="39" spans="1:40" x14ac:dyDescent="0.25">
      <c r="A39" t="s">
        <v>23</v>
      </c>
      <c r="B39">
        <v>444</v>
      </c>
      <c r="C39">
        <v>454</v>
      </c>
      <c r="D39">
        <v>453</v>
      </c>
      <c r="E39">
        <v>463</v>
      </c>
      <c r="F39">
        <v>454</v>
      </c>
      <c r="G39">
        <v>464</v>
      </c>
      <c r="H39">
        <v>459</v>
      </c>
      <c r="I39">
        <v>451</v>
      </c>
      <c r="J39">
        <v>417</v>
      </c>
      <c r="K39">
        <v>423</v>
      </c>
      <c r="L39">
        <v>428</v>
      </c>
      <c r="M39">
        <v>432</v>
      </c>
      <c r="N39">
        <v>436</v>
      </c>
      <c r="O39">
        <v>443</v>
      </c>
      <c r="P39">
        <v>451</v>
      </c>
      <c r="Q39">
        <v>460</v>
      </c>
      <c r="R39">
        <v>470</v>
      </c>
      <c r="S39">
        <v>478</v>
      </c>
      <c r="T39">
        <v>486</v>
      </c>
      <c r="U39">
        <v>497</v>
      </c>
      <c r="V39">
        <v>508</v>
      </c>
      <c r="W39">
        <v>520</v>
      </c>
      <c r="X39">
        <v>532</v>
      </c>
      <c r="Y39">
        <v>545</v>
      </c>
      <c r="Z39">
        <v>559</v>
      </c>
      <c r="AA39">
        <v>574</v>
      </c>
      <c r="AB39">
        <v>588</v>
      </c>
      <c r="AC39">
        <v>603</v>
      </c>
      <c r="AD39">
        <v>620</v>
      </c>
      <c r="AE39">
        <v>635</v>
      </c>
      <c r="AF39">
        <v>652</v>
      </c>
      <c r="AG39">
        <v>668</v>
      </c>
      <c r="AH39">
        <v>686</v>
      </c>
      <c r="AI39">
        <v>704</v>
      </c>
      <c r="AJ39">
        <v>723</v>
      </c>
      <c r="AK39">
        <v>742</v>
      </c>
      <c r="AL39">
        <v>761</v>
      </c>
      <c r="AM39">
        <v>782</v>
      </c>
      <c r="AN39">
        <v>804</v>
      </c>
    </row>
    <row r="40" spans="1:40" x14ac:dyDescent="0.25">
      <c r="A40" t="s">
        <v>24</v>
      </c>
      <c r="B40">
        <v>349</v>
      </c>
      <c r="C40">
        <v>355</v>
      </c>
      <c r="D40">
        <v>360</v>
      </c>
      <c r="E40">
        <v>360</v>
      </c>
      <c r="F40">
        <v>364</v>
      </c>
      <c r="G40">
        <v>366</v>
      </c>
      <c r="H40">
        <v>368</v>
      </c>
      <c r="I40">
        <v>365</v>
      </c>
      <c r="J40">
        <v>347</v>
      </c>
      <c r="K40">
        <v>357</v>
      </c>
      <c r="L40">
        <v>367</v>
      </c>
      <c r="M40">
        <v>374</v>
      </c>
      <c r="N40">
        <v>381</v>
      </c>
      <c r="O40">
        <v>389</v>
      </c>
      <c r="P40">
        <v>399</v>
      </c>
      <c r="Q40">
        <v>409</v>
      </c>
      <c r="R40">
        <v>419</v>
      </c>
      <c r="S40">
        <v>429</v>
      </c>
      <c r="T40">
        <v>438</v>
      </c>
      <c r="U40">
        <v>448</v>
      </c>
      <c r="V40">
        <v>456</v>
      </c>
      <c r="W40">
        <v>466</v>
      </c>
      <c r="X40">
        <v>476</v>
      </c>
      <c r="Y40">
        <v>486</v>
      </c>
      <c r="Z40">
        <v>497</v>
      </c>
      <c r="AA40">
        <v>509</v>
      </c>
      <c r="AB40">
        <v>520</v>
      </c>
      <c r="AC40">
        <v>532</v>
      </c>
      <c r="AD40">
        <v>544</v>
      </c>
      <c r="AE40">
        <v>555</v>
      </c>
      <c r="AF40">
        <v>567</v>
      </c>
      <c r="AG40">
        <v>579</v>
      </c>
      <c r="AH40">
        <v>592</v>
      </c>
      <c r="AI40">
        <v>605</v>
      </c>
      <c r="AJ40">
        <v>620</v>
      </c>
      <c r="AK40">
        <v>634</v>
      </c>
      <c r="AL40">
        <v>648</v>
      </c>
      <c r="AM40">
        <v>664</v>
      </c>
      <c r="AN40">
        <v>679</v>
      </c>
    </row>
    <row r="41" spans="1:40" x14ac:dyDescent="0.25">
      <c r="A41" t="s">
        <v>25</v>
      </c>
      <c r="B41">
        <v>1083</v>
      </c>
      <c r="C41">
        <v>1111</v>
      </c>
      <c r="D41">
        <v>1130</v>
      </c>
      <c r="E41">
        <v>1144</v>
      </c>
      <c r="F41">
        <v>1156</v>
      </c>
      <c r="G41">
        <v>1163</v>
      </c>
      <c r="H41">
        <v>1173</v>
      </c>
      <c r="I41">
        <v>1173</v>
      </c>
      <c r="J41">
        <v>1058</v>
      </c>
      <c r="K41">
        <v>1088</v>
      </c>
      <c r="L41">
        <v>1116</v>
      </c>
      <c r="M41">
        <v>1142</v>
      </c>
      <c r="N41">
        <v>1168</v>
      </c>
      <c r="O41">
        <v>1195</v>
      </c>
      <c r="P41">
        <v>1229</v>
      </c>
      <c r="Q41">
        <v>1262</v>
      </c>
      <c r="R41">
        <v>1297</v>
      </c>
      <c r="S41">
        <v>1333</v>
      </c>
      <c r="T41">
        <v>1369</v>
      </c>
      <c r="U41">
        <v>1409</v>
      </c>
      <c r="V41">
        <v>1448</v>
      </c>
      <c r="W41">
        <v>1490</v>
      </c>
      <c r="X41">
        <v>1536</v>
      </c>
      <c r="Y41">
        <v>1585</v>
      </c>
      <c r="Z41">
        <v>1636</v>
      </c>
      <c r="AA41">
        <v>1688</v>
      </c>
      <c r="AB41">
        <v>1741</v>
      </c>
      <c r="AC41">
        <v>1796</v>
      </c>
      <c r="AD41">
        <v>1855</v>
      </c>
      <c r="AE41">
        <v>1914</v>
      </c>
      <c r="AF41">
        <v>1975</v>
      </c>
      <c r="AG41">
        <v>2039</v>
      </c>
      <c r="AH41">
        <v>2107</v>
      </c>
      <c r="AI41">
        <v>2179</v>
      </c>
      <c r="AJ41">
        <v>2255</v>
      </c>
      <c r="AK41">
        <v>2335</v>
      </c>
      <c r="AL41">
        <v>2416</v>
      </c>
      <c r="AM41">
        <v>2500</v>
      </c>
      <c r="AN41">
        <v>2590</v>
      </c>
    </row>
    <row r="42" spans="1:40" x14ac:dyDescent="0.25">
      <c r="A42" t="s">
        <v>26</v>
      </c>
      <c r="B42">
        <v>75</v>
      </c>
      <c r="C42">
        <v>77</v>
      </c>
      <c r="D42">
        <v>78</v>
      </c>
      <c r="E42">
        <v>79</v>
      </c>
      <c r="F42">
        <v>81</v>
      </c>
      <c r="G42">
        <v>81</v>
      </c>
      <c r="H42">
        <v>82</v>
      </c>
      <c r="I42">
        <v>82</v>
      </c>
      <c r="J42">
        <v>77</v>
      </c>
      <c r="K42">
        <v>79</v>
      </c>
      <c r="L42">
        <v>81</v>
      </c>
      <c r="M42">
        <v>83</v>
      </c>
      <c r="N42">
        <v>85</v>
      </c>
      <c r="O42">
        <v>86</v>
      </c>
      <c r="P42">
        <v>89</v>
      </c>
      <c r="Q42">
        <v>91</v>
      </c>
      <c r="R42">
        <v>94</v>
      </c>
      <c r="S42">
        <v>96</v>
      </c>
      <c r="T42">
        <v>99</v>
      </c>
      <c r="U42">
        <v>101</v>
      </c>
      <c r="V42">
        <v>104</v>
      </c>
      <c r="W42">
        <v>107</v>
      </c>
      <c r="X42">
        <v>109</v>
      </c>
      <c r="Y42">
        <v>112</v>
      </c>
      <c r="Z42">
        <v>116</v>
      </c>
      <c r="AA42">
        <v>119</v>
      </c>
      <c r="AB42">
        <v>122</v>
      </c>
      <c r="AC42">
        <v>126</v>
      </c>
      <c r="AD42">
        <v>130</v>
      </c>
      <c r="AE42">
        <v>134</v>
      </c>
      <c r="AF42">
        <v>137</v>
      </c>
      <c r="AG42">
        <v>141</v>
      </c>
      <c r="AH42">
        <v>146</v>
      </c>
      <c r="AI42">
        <v>150</v>
      </c>
      <c r="AJ42">
        <v>155</v>
      </c>
      <c r="AK42">
        <v>160</v>
      </c>
      <c r="AL42">
        <v>165</v>
      </c>
      <c r="AM42">
        <v>170</v>
      </c>
      <c r="AN42">
        <v>176</v>
      </c>
    </row>
    <row r="43" spans="1:40" x14ac:dyDescent="0.25">
      <c r="A43" t="s">
        <v>27</v>
      </c>
      <c r="B43">
        <v>294</v>
      </c>
      <c r="C43">
        <v>302</v>
      </c>
      <c r="D43">
        <v>307</v>
      </c>
      <c r="E43">
        <v>310</v>
      </c>
      <c r="F43">
        <v>313</v>
      </c>
      <c r="G43">
        <v>314</v>
      </c>
      <c r="H43">
        <v>317</v>
      </c>
      <c r="I43">
        <v>316</v>
      </c>
      <c r="J43">
        <v>291</v>
      </c>
      <c r="K43">
        <v>298</v>
      </c>
      <c r="L43">
        <v>305</v>
      </c>
      <c r="M43">
        <v>312</v>
      </c>
      <c r="N43">
        <v>318</v>
      </c>
      <c r="O43">
        <v>325</v>
      </c>
      <c r="P43">
        <v>333</v>
      </c>
      <c r="Q43">
        <v>342</v>
      </c>
      <c r="R43">
        <v>350</v>
      </c>
      <c r="S43">
        <v>360</v>
      </c>
      <c r="T43">
        <v>371</v>
      </c>
      <c r="U43">
        <v>382</v>
      </c>
      <c r="V43">
        <v>392</v>
      </c>
      <c r="W43">
        <v>403</v>
      </c>
      <c r="X43">
        <v>416</v>
      </c>
      <c r="Y43">
        <v>429</v>
      </c>
      <c r="Z43">
        <v>443</v>
      </c>
      <c r="AA43">
        <v>457</v>
      </c>
      <c r="AB43">
        <v>471</v>
      </c>
      <c r="AC43">
        <v>486</v>
      </c>
      <c r="AD43">
        <v>501</v>
      </c>
      <c r="AE43">
        <v>516</v>
      </c>
      <c r="AF43">
        <v>532</v>
      </c>
      <c r="AG43">
        <v>549</v>
      </c>
      <c r="AH43">
        <v>566</v>
      </c>
      <c r="AI43">
        <v>584</v>
      </c>
      <c r="AJ43">
        <v>603</v>
      </c>
      <c r="AK43">
        <v>622</v>
      </c>
      <c r="AL43">
        <v>642</v>
      </c>
      <c r="AM43">
        <v>663</v>
      </c>
      <c r="AN43">
        <v>684</v>
      </c>
    </row>
    <row r="44" spans="1:40" x14ac:dyDescent="0.25">
      <c r="A44" t="s">
        <v>28</v>
      </c>
      <c r="B44">
        <v>55</v>
      </c>
      <c r="C44">
        <v>57</v>
      </c>
      <c r="D44">
        <v>58</v>
      </c>
      <c r="E44">
        <v>59</v>
      </c>
      <c r="F44">
        <v>59</v>
      </c>
      <c r="G44">
        <v>60</v>
      </c>
      <c r="H44">
        <v>61</v>
      </c>
      <c r="I44">
        <v>61</v>
      </c>
      <c r="J44">
        <v>56</v>
      </c>
      <c r="K44">
        <v>57</v>
      </c>
      <c r="L44">
        <v>58</v>
      </c>
      <c r="M44">
        <v>60</v>
      </c>
      <c r="N44">
        <v>61</v>
      </c>
      <c r="O44">
        <v>63</v>
      </c>
      <c r="P44">
        <v>64</v>
      </c>
      <c r="Q44">
        <v>66</v>
      </c>
      <c r="R44">
        <v>68</v>
      </c>
      <c r="S44">
        <v>70</v>
      </c>
      <c r="T44">
        <v>71</v>
      </c>
      <c r="U44">
        <v>74</v>
      </c>
      <c r="V44">
        <v>76</v>
      </c>
      <c r="W44">
        <v>78</v>
      </c>
      <c r="X44">
        <v>80</v>
      </c>
      <c r="Y44">
        <v>83</v>
      </c>
      <c r="Z44">
        <v>85</v>
      </c>
      <c r="AA44">
        <v>88</v>
      </c>
      <c r="AB44">
        <v>91</v>
      </c>
      <c r="AC44">
        <v>93</v>
      </c>
      <c r="AD44">
        <v>96</v>
      </c>
      <c r="AE44">
        <v>100</v>
      </c>
      <c r="AF44">
        <v>103</v>
      </c>
      <c r="AG44">
        <v>106</v>
      </c>
      <c r="AH44">
        <v>110</v>
      </c>
      <c r="AI44">
        <v>113</v>
      </c>
      <c r="AJ44">
        <v>117</v>
      </c>
      <c r="AK44">
        <v>121</v>
      </c>
      <c r="AL44">
        <v>126</v>
      </c>
      <c r="AM44">
        <v>130</v>
      </c>
      <c r="AN44">
        <v>135</v>
      </c>
    </row>
    <row r="45" spans="1:40" x14ac:dyDescent="0.25">
      <c r="A45" t="s">
        <v>29</v>
      </c>
      <c r="B45">
        <v>139</v>
      </c>
      <c r="C45">
        <v>143</v>
      </c>
      <c r="D45">
        <v>145</v>
      </c>
      <c r="E45">
        <v>147</v>
      </c>
      <c r="F45">
        <v>147</v>
      </c>
      <c r="G45">
        <v>147</v>
      </c>
      <c r="H45">
        <v>148</v>
      </c>
      <c r="I45">
        <v>146</v>
      </c>
      <c r="J45">
        <v>127</v>
      </c>
      <c r="K45">
        <v>131</v>
      </c>
      <c r="L45">
        <v>134</v>
      </c>
      <c r="M45">
        <v>136</v>
      </c>
      <c r="N45">
        <v>139</v>
      </c>
      <c r="O45">
        <v>142</v>
      </c>
      <c r="P45">
        <v>147</v>
      </c>
      <c r="Q45">
        <v>152</v>
      </c>
      <c r="R45">
        <v>157</v>
      </c>
      <c r="S45">
        <v>160</v>
      </c>
      <c r="T45">
        <v>165</v>
      </c>
      <c r="U45">
        <v>169</v>
      </c>
      <c r="V45">
        <v>172</v>
      </c>
      <c r="W45">
        <v>176</v>
      </c>
      <c r="X45">
        <v>180</v>
      </c>
      <c r="Y45">
        <v>184</v>
      </c>
      <c r="Z45">
        <v>189</v>
      </c>
      <c r="AA45">
        <v>194</v>
      </c>
      <c r="AB45">
        <v>199</v>
      </c>
      <c r="AC45">
        <v>204</v>
      </c>
      <c r="AD45">
        <v>209</v>
      </c>
      <c r="AE45">
        <v>214</v>
      </c>
      <c r="AF45">
        <v>218</v>
      </c>
      <c r="AG45">
        <v>224</v>
      </c>
      <c r="AH45">
        <v>229</v>
      </c>
      <c r="AI45">
        <v>235</v>
      </c>
      <c r="AJ45">
        <v>241</v>
      </c>
      <c r="AK45">
        <v>248</v>
      </c>
      <c r="AL45">
        <v>254</v>
      </c>
      <c r="AM45">
        <v>261</v>
      </c>
      <c r="AN45">
        <v>269</v>
      </c>
    </row>
    <row r="46" spans="1:40" x14ac:dyDescent="0.25">
      <c r="A46" t="s">
        <v>30</v>
      </c>
      <c r="B46">
        <v>58</v>
      </c>
      <c r="C46">
        <v>49</v>
      </c>
      <c r="D46">
        <v>42</v>
      </c>
      <c r="E46">
        <v>40</v>
      </c>
      <c r="F46">
        <v>37</v>
      </c>
      <c r="G46">
        <v>34</v>
      </c>
      <c r="H46">
        <v>34</v>
      </c>
      <c r="I46">
        <v>32</v>
      </c>
      <c r="J46">
        <v>26</v>
      </c>
      <c r="K46">
        <v>27</v>
      </c>
      <c r="L46">
        <v>27</v>
      </c>
      <c r="M46">
        <v>27</v>
      </c>
      <c r="N46">
        <v>28</v>
      </c>
      <c r="O46">
        <v>28</v>
      </c>
      <c r="P46">
        <v>29</v>
      </c>
      <c r="Q46">
        <v>30</v>
      </c>
      <c r="R46">
        <v>31</v>
      </c>
      <c r="S46">
        <v>33</v>
      </c>
      <c r="T46">
        <v>34</v>
      </c>
      <c r="U46">
        <v>35</v>
      </c>
      <c r="V46">
        <v>36</v>
      </c>
      <c r="W46">
        <v>37</v>
      </c>
      <c r="X46">
        <v>38</v>
      </c>
      <c r="Y46">
        <v>38</v>
      </c>
      <c r="Z46">
        <v>39</v>
      </c>
      <c r="AA46">
        <v>40</v>
      </c>
      <c r="AB46">
        <v>41</v>
      </c>
      <c r="AC46">
        <v>42</v>
      </c>
      <c r="AD46">
        <v>43</v>
      </c>
      <c r="AE46">
        <v>44</v>
      </c>
      <c r="AF46">
        <v>45</v>
      </c>
      <c r="AG46">
        <v>45</v>
      </c>
      <c r="AH46">
        <v>46</v>
      </c>
      <c r="AI46">
        <v>47</v>
      </c>
      <c r="AJ46">
        <v>47</v>
      </c>
      <c r="AK46">
        <v>48</v>
      </c>
      <c r="AL46">
        <v>49</v>
      </c>
      <c r="AM46">
        <v>50</v>
      </c>
      <c r="AN46">
        <v>51</v>
      </c>
    </row>
    <row r="47" spans="1:40" x14ac:dyDescent="0.25">
      <c r="A47" t="s">
        <v>31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10</v>
      </c>
      <c r="U47">
        <v>14</v>
      </c>
      <c r="V47">
        <v>19</v>
      </c>
      <c r="W47">
        <v>24</v>
      </c>
      <c r="X47">
        <v>28</v>
      </c>
      <c r="Y47">
        <v>35</v>
      </c>
      <c r="Z47">
        <v>39</v>
      </c>
      <c r="AA47">
        <v>44</v>
      </c>
      <c r="AB47">
        <v>48</v>
      </c>
      <c r="AC47">
        <v>52</v>
      </c>
      <c r="AD47">
        <v>57</v>
      </c>
      <c r="AE47">
        <v>61</v>
      </c>
      <c r="AF47">
        <v>65</v>
      </c>
      <c r="AG47">
        <v>69</v>
      </c>
      <c r="AH47">
        <v>73</v>
      </c>
      <c r="AI47">
        <v>77</v>
      </c>
      <c r="AJ47">
        <v>79</v>
      </c>
      <c r="AK47">
        <v>81</v>
      </c>
      <c r="AL47">
        <v>84</v>
      </c>
      <c r="AM47">
        <v>86</v>
      </c>
      <c r="AN47">
        <v>88</v>
      </c>
    </row>
    <row r="48" spans="1:40" x14ac:dyDescent="0.25">
      <c r="A48" t="s">
        <v>32</v>
      </c>
      <c r="B48">
        <v>773</v>
      </c>
      <c r="C48">
        <v>768</v>
      </c>
      <c r="D48">
        <v>764</v>
      </c>
      <c r="E48">
        <v>758</v>
      </c>
      <c r="F48">
        <v>745</v>
      </c>
      <c r="G48">
        <v>741</v>
      </c>
      <c r="H48">
        <v>735</v>
      </c>
      <c r="I48">
        <v>717</v>
      </c>
      <c r="J48">
        <v>697</v>
      </c>
      <c r="K48">
        <v>709</v>
      </c>
      <c r="L48">
        <v>702</v>
      </c>
      <c r="M48">
        <v>714</v>
      </c>
      <c r="N48">
        <v>723</v>
      </c>
      <c r="O48">
        <v>733</v>
      </c>
      <c r="P48">
        <v>746</v>
      </c>
      <c r="Q48">
        <v>763</v>
      </c>
      <c r="R48">
        <v>777</v>
      </c>
      <c r="S48">
        <v>799</v>
      </c>
      <c r="T48">
        <v>818</v>
      </c>
      <c r="U48">
        <v>840</v>
      </c>
      <c r="V48">
        <v>856</v>
      </c>
      <c r="W48">
        <v>879</v>
      </c>
      <c r="X48">
        <v>904</v>
      </c>
      <c r="Y48">
        <v>937</v>
      </c>
      <c r="Z48">
        <v>955</v>
      </c>
      <c r="AA48">
        <v>976</v>
      </c>
      <c r="AB48">
        <v>997</v>
      </c>
      <c r="AC48">
        <v>1018</v>
      </c>
      <c r="AD48">
        <v>1039</v>
      </c>
      <c r="AE48">
        <v>1065</v>
      </c>
      <c r="AF48">
        <v>1093</v>
      </c>
      <c r="AG48">
        <v>1120</v>
      </c>
      <c r="AH48">
        <v>1147</v>
      </c>
      <c r="AI48">
        <v>1175</v>
      </c>
      <c r="AJ48">
        <v>1210</v>
      </c>
      <c r="AK48">
        <v>1245</v>
      </c>
      <c r="AL48">
        <v>1279</v>
      </c>
      <c r="AM48">
        <v>1313</v>
      </c>
      <c r="AN48">
        <v>1347</v>
      </c>
    </row>
    <row r="49" spans="1:40" x14ac:dyDescent="0.25">
      <c r="A49" t="s">
        <v>33</v>
      </c>
      <c r="B49">
        <v>69</v>
      </c>
      <c r="C49">
        <v>73</v>
      </c>
      <c r="D49">
        <v>77</v>
      </c>
      <c r="E49">
        <v>80</v>
      </c>
      <c r="F49">
        <v>82</v>
      </c>
      <c r="G49">
        <v>87</v>
      </c>
      <c r="H49">
        <v>93</v>
      </c>
      <c r="I49">
        <v>97</v>
      </c>
      <c r="J49">
        <v>93</v>
      </c>
      <c r="K49">
        <v>97</v>
      </c>
      <c r="L49">
        <v>102</v>
      </c>
      <c r="M49">
        <v>106</v>
      </c>
      <c r="N49">
        <v>111</v>
      </c>
      <c r="O49">
        <v>116</v>
      </c>
      <c r="P49">
        <v>123</v>
      </c>
      <c r="Q49">
        <v>130</v>
      </c>
      <c r="R49">
        <v>139</v>
      </c>
      <c r="S49">
        <v>149</v>
      </c>
      <c r="T49">
        <v>159</v>
      </c>
      <c r="U49">
        <v>171</v>
      </c>
      <c r="V49">
        <v>183</v>
      </c>
      <c r="W49">
        <v>196</v>
      </c>
      <c r="X49">
        <v>210</v>
      </c>
      <c r="Y49">
        <v>225</v>
      </c>
      <c r="Z49">
        <v>242</v>
      </c>
      <c r="AA49">
        <v>259</v>
      </c>
      <c r="AB49">
        <v>277</v>
      </c>
      <c r="AC49">
        <v>296</v>
      </c>
      <c r="AD49">
        <v>316</v>
      </c>
      <c r="AE49">
        <v>336</v>
      </c>
      <c r="AF49">
        <v>356</v>
      </c>
      <c r="AG49">
        <v>377</v>
      </c>
      <c r="AH49">
        <v>398</v>
      </c>
      <c r="AI49">
        <v>419</v>
      </c>
      <c r="AJ49">
        <v>441</v>
      </c>
      <c r="AK49">
        <v>463</v>
      </c>
      <c r="AL49">
        <v>485</v>
      </c>
      <c r="AM49">
        <v>508</v>
      </c>
      <c r="AN49">
        <v>531</v>
      </c>
    </row>
    <row r="50" spans="1:40" x14ac:dyDescent="0.25">
      <c r="A50" t="s">
        <v>34</v>
      </c>
      <c r="B50">
        <v>441</v>
      </c>
      <c r="C50">
        <v>453</v>
      </c>
      <c r="D50">
        <v>463</v>
      </c>
      <c r="E50">
        <v>467</v>
      </c>
      <c r="F50">
        <v>471</v>
      </c>
      <c r="G50">
        <v>477</v>
      </c>
      <c r="H50">
        <v>482</v>
      </c>
      <c r="I50">
        <v>484</v>
      </c>
      <c r="J50">
        <v>448</v>
      </c>
      <c r="K50">
        <v>457</v>
      </c>
      <c r="L50">
        <v>467</v>
      </c>
      <c r="M50">
        <v>476</v>
      </c>
      <c r="N50">
        <v>485</v>
      </c>
      <c r="O50">
        <v>494</v>
      </c>
      <c r="P50">
        <v>505</v>
      </c>
      <c r="Q50">
        <v>515</v>
      </c>
      <c r="R50">
        <v>526</v>
      </c>
      <c r="S50">
        <v>538</v>
      </c>
      <c r="T50">
        <v>550</v>
      </c>
      <c r="U50">
        <v>565</v>
      </c>
      <c r="V50">
        <v>578</v>
      </c>
      <c r="W50">
        <v>594</v>
      </c>
      <c r="X50">
        <v>610</v>
      </c>
      <c r="Y50">
        <v>629</v>
      </c>
      <c r="Z50">
        <v>647</v>
      </c>
      <c r="AA50">
        <v>666</v>
      </c>
      <c r="AB50">
        <v>686</v>
      </c>
      <c r="AC50">
        <v>706</v>
      </c>
      <c r="AD50">
        <v>727</v>
      </c>
      <c r="AE50">
        <v>749</v>
      </c>
      <c r="AF50">
        <v>773</v>
      </c>
      <c r="AG50">
        <v>797</v>
      </c>
      <c r="AH50">
        <v>822</v>
      </c>
      <c r="AI50">
        <v>849</v>
      </c>
      <c r="AJ50">
        <v>877</v>
      </c>
      <c r="AK50">
        <v>907</v>
      </c>
      <c r="AL50">
        <v>937</v>
      </c>
      <c r="AM50">
        <v>969</v>
      </c>
      <c r="AN50">
        <v>1002</v>
      </c>
    </row>
    <row r="51" spans="1:40" x14ac:dyDescent="0.25">
      <c r="A51" t="s">
        <v>35</v>
      </c>
      <c r="B51">
        <v>33</v>
      </c>
      <c r="C51">
        <v>34</v>
      </c>
      <c r="D51">
        <v>35</v>
      </c>
      <c r="E51">
        <v>35</v>
      </c>
      <c r="F51">
        <v>36</v>
      </c>
      <c r="G51">
        <v>36</v>
      </c>
      <c r="H51">
        <v>37</v>
      </c>
      <c r="I51">
        <v>37</v>
      </c>
      <c r="J51">
        <v>35</v>
      </c>
      <c r="K51">
        <v>36</v>
      </c>
      <c r="L51">
        <v>37</v>
      </c>
      <c r="M51">
        <v>38</v>
      </c>
      <c r="N51">
        <v>38</v>
      </c>
      <c r="O51">
        <v>39</v>
      </c>
      <c r="P51">
        <v>40</v>
      </c>
      <c r="Q51">
        <v>41</v>
      </c>
      <c r="R51">
        <v>41</v>
      </c>
      <c r="S51">
        <v>42</v>
      </c>
      <c r="T51">
        <v>43</v>
      </c>
      <c r="U51">
        <v>44</v>
      </c>
      <c r="V51">
        <v>45</v>
      </c>
      <c r="W51">
        <v>46</v>
      </c>
      <c r="X51">
        <v>47</v>
      </c>
      <c r="Y51">
        <v>49</v>
      </c>
      <c r="Z51">
        <v>50</v>
      </c>
      <c r="AA51">
        <v>51</v>
      </c>
      <c r="AB51">
        <v>52</v>
      </c>
      <c r="AC51">
        <v>54</v>
      </c>
      <c r="AD51">
        <v>55</v>
      </c>
      <c r="AE51">
        <v>56</v>
      </c>
      <c r="AF51">
        <v>58</v>
      </c>
      <c r="AG51">
        <v>59</v>
      </c>
      <c r="AH51">
        <v>61</v>
      </c>
      <c r="AI51">
        <v>62</v>
      </c>
      <c r="AJ51">
        <v>64</v>
      </c>
      <c r="AK51">
        <v>65</v>
      </c>
      <c r="AL51">
        <v>67</v>
      </c>
      <c r="AM51">
        <v>69</v>
      </c>
      <c r="AN51">
        <v>70</v>
      </c>
    </row>
    <row r="52" spans="1:40" x14ac:dyDescent="0.25">
      <c r="A52" t="s">
        <v>36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5</v>
      </c>
      <c r="AK52">
        <v>5</v>
      </c>
      <c r="AL52">
        <v>5</v>
      </c>
      <c r="AM52">
        <v>5</v>
      </c>
      <c r="AN52">
        <v>6</v>
      </c>
    </row>
    <row r="53" spans="1:40" x14ac:dyDescent="0.25">
      <c r="A53" t="s">
        <v>37</v>
      </c>
      <c r="B53">
        <v>1089</v>
      </c>
      <c r="C53">
        <v>1088</v>
      </c>
      <c r="D53">
        <v>1087</v>
      </c>
      <c r="E53">
        <v>1086</v>
      </c>
      <c r="F53">
        <v>1084</v>
      </c>
      <c r="G53">
        <v>1083</v>
      </c>
      <c r="H53">
        <v>1082</v>
      </c>
      <c r="I53">
        <v>1079</v>
      </c>
      <c r="J53">
        <v>1075</v>
      </c>
      <c r="K53">
        <v>1032</v>
      </c>
      <c r="L53">
        <v>1021</v>
      </c>
      <c r="M53">
        <v>1018</v>
      </c>
      <c r="N53">
        <v>1014</v>
      </c>
      <c r="O53">
        <v>983</v>
      </c>
      <c r="P53">
        <v>892</v>
      </c>
      <c r="Q53">
        <v>801</v>
      </c>
      <c r="R53">
        <v>711</v>
      </c>
      <c r="S53">
        <v>620</v>
      </c>
      <c r="T53">
        <v>529</v>
      </c>
      <c r="U53">
        <v>490</v>
      </c>
      <c r="V53">
        <v>450</v>
      </c>
      <c r="W53">
        <v>410</v>
      </c>
      <c r="X53">
        <v>371</v>
      </c>
      <c r="Y53">
        <v>333</v>
      </c>
      <c r="Z53">
        <v>286</v>
      </c>
      <c r="AA53">
        <v>240</v>
      </c>
      <c r="AB53">
        <v>193</v>
      </c>
      <c r="AC53">
        <v>147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100</v>
      </c>
      <c r="AK53">
        <v>100</v>
      </c>
      <c r="AL53">
        <v>100</v>
      </c>
      <c r="AM53">
        <v>100</v>
      </c>
      <c r="AN53">
        <v>100</v>
      </c>
    </row>
    <row r="54" spans="1:40" x14ac:dyDescent="0.25">
      <c r="A54" t="s">
        <v>38</v>
      </c>
      <c r="B54">
        <v>5766</v>
      </c>
      <c r="C54">
        <v>5728</v>
      </c>
      <c r="D54">
        <v>5705</v>
      </c>
      <c r="E54">
        <v>5683</v>
      </c>
      <c r="F54">
        <v>5581</v>
      </c>
      <c r="G54">
        <v>5544</v>
      </c>
      <c r="H54">
        <v>5480</v>
      </c>
      <c r="I54">
        <v>5404</v>
      </c>
      <c r="J54">
        <v>5346</v>
      </c>
      <c r="K54">
        <v>5241</v>
      </c>
      <c r="L54">
        <v>5218</v>
      </c>
      <c r="M54">
        <v>5195</v>
      </c>
      <c r="N54">
        <v>5151</v>
      </c>
      <c r="O54">
        <v>5101</v>
      </c>
      <c r="P54">
        <v>4897</v>
      </c>
      <c r="Q54">
        <v>4633</v>
      </c>
      <c r="R54">
        <v>4372</v>
      </c>
      <c r="S54">
        <v>4077</v>
      </c>
      <c r="T54">
        <v>3778</v>
      </c>
      <c r="U54">
        <v>3799</v>
      </c>
      <c r="V54">
        <v>3705</v>
      </c>
      <c r="W54">
        <v>3673</v>
      </c>
      <c r="X54">
        <v>3641</v>
      </c>
      <c r="Y54">
        <v>3572</v>
      </c>
      <c r="Z54">
        <v>3460</v>
      </c>
      <c r="AA54">
        <v>3349</v>
      </c>
      <c r="AB54">
        <v>3237</v>
      </c>
      <c r="AC54">
        <v>3125</v>
      </c>
      <c r="AD54">
        <v>3014</v>
      </c>
      <c r="AE54">
        <v>3026</v>
      </c>
      <c r="AF54">
        <v>3039</v>
      </c>
      <c r="AG54">
        <v>3052</v>
      </c>
      <c r="AH54">
        <v>3065</v>
      </c>
      <c r="AI54">
        <v>3078</v>
      </c>
      <c r="AJ54">
        <v>3103</v>
      </c>
      <c r="AK54">
        <v>3129</v>
      </c>
      <c r="AL54">
        <v>3155</v>
      </c>
      <c r="AM54">
        <v>3181</v>
      </c>
      <c r="AN54">
        <v>3206</v>
      </c>
    </row>
    <row r="87" spans="1:40" x14ac:dyDescent="0.25">
      <c r="A87" t="s">
        <v>45</v>
      </c>
    </row>
    <row r="88" spans="1:40" x14ac:dyDescent="0.25">
      <c r="B88">
        <v>2012</v>
      </c>
      <c r="C88">
        <v>2013</v>
      </c>
      <c r="D88">
        <v>2014</v>
      </c>
      <c r="E88">
        <v>2015</v>
      </c>
      <c r="F88">
        <v>2016</v>
      </c>
      <c r="G88">
        <v>2017</v>
      </c>
      <c r="H88">
        <v>2018</v>
      </c>
      <c r="I88">
        <v>2019</v>
      </c>
      <c r="J88">
        <v>2020</v>
      </c>
      <c r="K88">
        <v>2021</v>
      </c>
      <c r="L88">
        <v>2022</v>
      </c>
      <c r="M88">
        <v>2023</v>
      </c>
      <c r="N88">
        <v>2024</v>
      </c>
      <c r="O88">
        <v>2025</v>
      </c>
      <c r="P88">
        <v>2026</v>
      </c>
      <c r="Q88">
        <v>2027</v>
      </c>
      <c r="R88">
        <v>2028</v>
      </c>
      <c r="S88">
        <v>2029</v>
      </c>
      <c r="T88">
        <v>2030</v>
      </c>
      <c r="U88">
        <v>2031</v>
      </c>
      <c r="V88">
        <v>2032</v>
      </c>
      <c r="W88">
        <v>2033</v>
      </c>
      <c r="X88">
        <v>2034</v>
      </c>
      <c r="Y88">
        <v>2035</v>
      </c>
      <c r="Z88">
        <v>2036</v>
      </c>
      <c r="AA88">
        <v>2037</v>
      </c>
      <c r="AB88">
        <v>2038</v>
      </c>
      <c r="AC88">
        <v>2039</v>
      </c>
      <c r="AD88">
        <v>2040</v>
      </c>
      <c r="AE88">
        <v>2041</v>
      </c>
      <c r="AF88">
        <v>2042</v>
      </c>
      <c r="AG88">
        <v>2043</v>
      </c>
      <c r="AH88">
        <v>2044</v>
      </c>
      <c r="AI88">
        <v>2045</v>
      </c>
      <c r="AJ88">
        <v>2046</v>
      </c>
      <c r="AK88">
        <v>2047</v>
      </c>
      <c r="AL88">
        <v>2048</v>
      </c>
      <c r="AM88">
        <v>2049</v>
      </c>
      <c r="AN88">
        <v>2050</v>
      </c>
    </row>
    <row r="89" spans="1:40" x14ac:dyDescent="0.25">
      <c r="B89">
        <f t="shared" ref="B89:AN89" si="0">SUM(B4:B21)</f>
        <v>2893.5651000000007</v>
      </c>
      <c r="C89">
        <f t="shared" si="0"/>
        <v>2970.0601000000001</v>
      </c>
      <c r="D89">
        <f t="shared" si="0"/>
        <v>3029.9541000000004</v>
      </c>
      <c r="E89">
        <f t="shared" si="0"/>
        <v>3072.6080999999999</v>
      </c>
      <c r="F89">
        <f t="shared" si="0"/>
        <v>3100.0580999999997</v>
      </c>
      <c r="G89">
        <f t="shared" si="0"/>
        <v>3146.024100000001</v>
      </c>
      <c r="H89">
        <f t="shared" si="0"/>
        <v>3186.0821000000001</v>
      </c>
      <c r="I89">
        <f t="shared" si="0"/>
        <v>3209.1911000000005</v>
      </c>
      <c r="J89">
        <f t="shared" si="0"/>
        <v>2976.6450999999997</v>
      </c>
      <c r="K89">
        <f t="shared" si="0"/>
        <v>3076.0471000000002</v>
      </c>
      <c r="L89">
        <f t="shared" si="0"/>
        <v>3149.4571000000005</v>
      </c>
      <c r="M89">
        <f t="shared" si="0"/>
        <v>3221.8961000000004</v>
      </c>
      <c r="N89">
        <f t="shared" si="0"/>
        <v>3301.2821000000008</v>
      </c>
      <c r="O89">
        <f t="shared" si="0"/>
        <v>3411.4751000000001</v>
      </c>
      <c r="P89">
        <f t="shared" si="0"/>
        <v>3525.8140999999996</v>
      </c>
      <c r="Q89">
        <f t="shared" si="0"/>
        <v>3652.5371000000005</v>
      </c>
      <c r="R89">
        <f t="shared" si="0"/>
        <v>3792.2460999999994</v>
      </c>
      <c r="S89">
        <f t="shared" si="0"/>
        <v>3956.8101000000006</v>
      </c>
      <c r="T89">
        <f t="shared" si="0"/>
        <v>4129.8310999999994</v>
      </c>
      <c r="U89">
        <f t="shared" si="0"/>
        <v>4312.5200999999988</v>
      </c>
      <c r="V89">
        <f t="shared" si="0"/>
        <v>4498.4290999999994</v>
      </c>
      <c r="W89">
        <f t="shared" si="0"/>
        <v>4696.2470999999996</v>
      </c>
      <c r="X89">
        <f t="shared" si="0"/>
        <v>4902.6480999999994</v>
      </c>
      <c r="Y89">
        <f t="shared" si="0"/>
        <v>5096.6531000000004</v>
      </c>
      <c r="Z89">
        <f t="shared" si="0"/>
        <v>5295.6230999999998</v>
      </c>
      <c r="AA89">
        <f t="shared" si="0"/>
        <v>5505.8121000000019</v>
      </c>
      <c r="AB89">
        <f t="shared" si="0"/>
        <v>5721.3461000000016</v>
      </c>
      <c r="AC89">
        <f t="shared" si="0"/>
        <v>5931.9811</v>
      </c>
      <c r="AD89">
        <f t="shared" si="0"/>
        <v>6156.9290999999994</v>
      </c>
      <c r="AE89">
        <f t="shared" si="0"/>
        <v>6390.7750999999998</v>
      </c>
      <c r="AF89">
        <f t="shared" si="0"/>
        <v>6635.8091000000004</v>
      </c>
      <c r="AG89">
        <f t="shared" si="0"/>
        <v>6888.8750999999993</v>
      </c>
      <c r="AH89">
        <f t="shared" si="0"/>
        <v>7153.6870999999983</v>
      </c>
      <c r="AI89">
        <f t="shared" si="0"/>
        <v>7440.3441000000012</v>
      </c>
      <c r="AJ89">
        <f t="shared" si="0"/>
        <v>7743.6440999999986</v>
      </c>
      <c r="AK89">
        <f t="shared" si="0"/>
        <v>8061.4680999999982</v>
      </c>
      <c r="AL89">
        <f t="shared" si="0"/>
        <v>8381.9331000000002</v>
      </c>
      <c r="AM89">
        <f t="shared" si="0"/>
        <v>8718.0220999999983</v>
      </c>
      <c r="AN89">
        <f t="shared" si="0"/>
        <v>9073.0870999999988</v>
      </c>
    </row>
    <row r="94" spans="1:40" x14ac:dyDescent="0.25">
      <c r="A94" s="2" t="s">
        <v>22</v>
      </c>
    </row>
    <row r="95" spans="1:40" x14ac:dyDescent="0.25">
      <c r="B95">
        <v>2012</v>
      </c>
      <c r="C95">
        <v>2013</v>
      </c>
      <c r="D95">
        <v>2014</v>
      </c>
      <c r="E95">
        <v>2015</v>
      </c>
      <c r="F95">
        <v>2016</v>
      </c>
      <c r="G95">
        <v>2017</v>
      </c>
      <c r="H95">
        <v>2018</v>
      </c>
      <c r="I95">
        <v>2019</v>
      </c>
      <c r="J95">
        <v>2020</v>
      </c>
      <c r="K95">
        <v>2021</v>
      </c>
      <c r="L95">
        <v>2022</v>
      </c>
      <c r="M95">
        <v>2023</v>
      </c>
      <c r="N95">
        <v>2024</v>
      </c>
      <c r="O95">
        <v>2025</v>
      </c>
      <c r="P95">
        <v>2026</v>
      </c>
      <c r="Q95">
        <v>2027</v>
      </c>
      <c r="R95">
        <v>2028</v>
      </c>
      <c r="S95">
        <v>2029</v>
      </c>
      <c r="T95">
        <v>2030</v>
      </c>
      <c r="U95">
        <v>2031</v>
      </c>
      <c r="V95">
        <v>2032</v>
      </c>
      <c r="W95">
        <v>2033</v>
      </c>
      <c r="X95">
        <v>2034</v>
      </c>
      <c r="Y95">
        <v>2035</v>
      </c>
      <c r="Z95">
        <v>2036</v>
      </c>
      <c r="AA95">
        <v>2037</v>
      </c>
      <c r="AB95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t="s">
        <v>40</v>
      </c>
      <c r="B96">
        <f t="shared" ref="B96:AN96" si="1">INDEX(B$37:B$54,MATCH($A94,$A$37:$A$54,0))</f>
        <v>180</v>
      </c>
      <c r="C96">
        <f t="shared" si="1"/>
        <v>188</v>
      </c>
      <c r="D96">
        <f t="shared" si="1"/>
        <v>195</v>
      </c>
      <c r="E96">
        <f t="shared" si="1"/>
        <v>192</v>
      </c>
      <c r="F96">
        <f t="shared" si="1"/>
        <v>190</v>
      </c>
      <c r="G96">
        <f t="shared" si="1"/>
        <v>196</v>
      </c>
      <c r="H96">
        <f t="shared" si="1"/>
        <v>193</v>
      </c>
      <c r="I96">
        <f t="shared" si="1"/>
        <v>190</v>
      </c>
      <c r="J96">
        <f t="shared" si="1"/>
        <v>183</v>
      </c>
      <c r="K96">
        <f t="shared" si="1"/>
        <v>188</v>
      </c>
      <c r="L96">
        <f t="shared" si="1"/>
        <v>194</v>
      </c>
      <c r="M96">
        <f t="shared" si="1"/>
        <v>198</v>
      </c>
      <c r="N96">
        <f t="shared" si="1"/>
        <v>201</v>
      </c>
      <c r="O96">
        <f t="shared" si="1"/>
        <v>204</v>
      </c>
      <c r="P96">
        <f t="shared" si="1"/>
        <v>209</v>
      </c>
      <c r="Q96">
        <f t="shared" si="1"/>
        <v>214</v>
      </c>
      <c r="R96">
        <f t="shared" si="1"/>
        <v>219</v>
      </c>
      <c r="S96">
        <f t="shared" si="1"/>
        <v>224</v>
      </c>
      <c r="T96">
        <f t="shared" si="1"/>
        <v>229</v>
      </c>
      <c r="U96">
        <f t="shared" si="1"/>
        <v>234</v>
      </c>
      <c r="V96">
        <f t="shared" si="1"/>
        <v>238</v>
      </c>
      <c r="W96">
        <f t="shared" si="1"/>
        <v>243</v>
      </c>
      <c r="X96">
        <f t="shared" si="1"/>
        <v>247</v>
      </c>
      <c r="Y96">
        <f t="shared" si="1"/>
        <v>252</v>
      </c>
      <c r="Z96">
        <f t="shared" si="1"/>
        <v>257</v>
      </c>
      <c r="AA96">
        <f t="shared" si="1"/>
        <v>263</v>
      </c>
      <c r="AB96">
        <f t="shared" si="1"/>
        <v>268</v>
      </c>
      <c r="AC96">
        <f t="shared" si="1"/>
        <v>274</v>
      </c>
      <c r="AD96">
        <f t="shared" si="1"/>
        <v>280</v>
      </c>
      <c r="AE96">
        <f t="shared" si="1"/>
        <v>286</v>
      </c>
      <c r="AF96">
        <f t="shared" si="1"/>
        <v>292</v>
      </c>
      <c r="AG96">
        <f t="shared" si="1"/>
        <v>298</v>
      </c>
      <c r="AH96">
        <f t="shared" si="1"/>
        <v>304</v>
      </c>
      <c r="AI96">
        <f t="shared" si="1"/>
        <v>311</v>
      </c>
      <c r="AJ96">
        <f t="shared" si="1"/>
        <v>319</v>
      </c>
      <c r="AK96">
        <f t="shared" si="1"/>
        <v>326</v>
      </c>
      <c r="AL96">
        <f t="shared" si="1"/>
        <v>334</v>
      </c>
      <c r="AM96">
        <f t="shared" si="1"/>
        <v>342</v>
      </c>
      <c r="AN96">
        <f t="shared" si="1"/>
        <v>351</v>
      </c>
    </row>
    <row r="97" spans="1:40" x14ac:dyDescent="0.25">
      <c r="A97" t="s">
        <v>39</v>
      </c>
      <c r="B97">
        <f t="shared" ref="B97:AN97" si="2">INDEX(B$4:B$21,MATCH($A94,$A$4:$A$21,0))</f>
        <v>69.816999999999993</v>
      </c>
      <c r="C97">
        <f t="shared" si="2"/>
        <v>73.084999999999994</v>
      </c>
      <c r="D97">
        <f t="shared" si="2"/>
        <v>76.058999999999997</v>
      </c>
      <c r="E97">
        <f t="shared" si="2"/>
        <v>75.036000000000001</v>
      </c>
      <c r="F97">
        <f t="shared" si="2"/>
        <v>74.197000000000003</v>
      </c>
      <c r="G97">
        <f t="shared" si="2"/>
        <v>76.781999999999996</v>
      </c>
      <c r="H97">
        <f t="shared" si="2"/>
        <v>75.613</v>
      </c>
      <c r="I97">
        <f t="shared" si="2"/>
        <v>74.427999999999997</v>
      </c>
      <c r="J97">
        <f t="shared" si="2"/>
        <v>71.725999999999999</v>
      </c>
      <c r="K97">
        <f t="shared" si="2"/>
        <v>74.283000000000001</v>
      </c>
      <c r="L97">
        <f t="shared" si="2"/>
        <v>76.308000000000007</v>
      </c>
      <c r="M97">
        <f t="shared" si="2"/>
        <v>77.953000000000003</v>
      </c>
      <c r="N97">
        <f t="shared" si="2"/>
        <v>79.792000000000002</v>
      </c>
      <c r="O97">
        <f t="shared" si="2"/>
        <v>82.594999999999999</v>
      </c>
      <c r="P97">
        <f t="shared" si="2"/>
        <v>85.222999999999999</v>
      </c>
      <c r="Q97">
        <f t="shared" si="2"/>
        <v>88.025999999999996</v>
      </c>
      <c r="R97">
        <f t="shared" si="2"/>
        <v>91.042000000000002</v>
      </c>
      <c r="S97">
        <f t="shared" si="2"/>
        <v>94.528000000000006</v>
      </c>
      <c r="T97">
        <f t="shared" si="2"/>
        <v>98.123999999999995</v>
      </c>
      <c r="U97">
        <f t="shared" si="2"/>
        <v>101.596</v>
      </c>
      <c r="V97">
        <f t="shared" si="2"/>
        <v>105.086</v>
      </c>
      <c r="W97">
        <f t="shared" si="2"/>
        <v>108.81699999999999</v>
      </c>
      <c r="X97">
        <f t="shared" si="2"/>
        <v>112.526</v>
      </c>
      <c r="Y97">
        <f t="shared" si="2"/>
        <v>115.675</v>
      </c>
      <c r="Z97">
        <f t="shared" si="2"/>
        <v>118.85</v>
      </c>
      <c r="AA97">
        <f t="shared" si="2"/>
        <v>122.361</v>
      </c>
      <c r="AB97">
        <f t="shared" si="2"/>
        <v>125.928</v>
      </c>
      <c r="AC97">
        <f t="shared" si="2"/>
        <v>129.298</v>
      </c>
      <c r="AD97">
        <f t="shared" si="2"/>
        <v>133.05699999999999</v>
      </c>
      <c r="AE97">
        <f t="shared" si="2"/>
        <v>136.929</v>
      </c>
      <c r="AF97">
        <f t="shared" si="2"/>
        <v>141.035</v>
      </c>
      <c r="AG97">
        <f t="shared" si="2"/>
        <v>145.30000000000001</v>
      </c>
      <c r="AH97">
        <f t="shared" si="2"/>
        <v>149.798</v>
      </c>
      <c r="AI97">
        <f t="shared" si="2"/>
        <v>154.809</v>
      </c>
      <c r="AJ97">
        <f t="shared" si="2"/>
        <v>160.11000000000001</v>
      </c>
      <c r="AK97">
        <f t="shared" si="2"/>
        <v>165.71100000000001</v>
      </c>
      <c r="AL97">
        <f t="shared" si="2"/>
        <v>171.327</v>
      </c>
      <c r="AM97">
        <f t="shared" si="2"/>
        <v>177.25800000000001</v>
      </c>
      <c r="AN97">
        <f t="shared" si="2"/>
        <v>183.441</v>
      </c>
    </row>
    <row r="98" spans="1:40" x14ac:dyDescent="0.25">
      <c r="A98" t="s">
        <v>43</v>
      </c>
      <c r="C98" s="1">
        <f t="shared" ref="C98:AN98" si="3">C97/B97-1</f>
        <v>4.6808083991005001E-2</v>
      </c>
      <c r="D98" s="1">
        <f t="shared" si="3"/>
        <v>4.069234453034154E-2</v>
      </c>
      <c r="E98" s="1">
        <f t="shared" si="3"/>
        <v>-1.345008480258747E-2</v>
      </c>
      <c r="F98" s="1">
        <f t="shared" si="3"/>
        <v>-1.1181299642838094E-2</v>
      </c>
      <c r="G98" s="1">
        <f t="shared" si="3"/>
        <v>3.4839683545156763E-2</v>
      </c>
      <c r="H98" s="1">
        <f t="shared" si="3"/>
        <v>-1.5224922507879435E-2</v>
      </c>
      <c r="I98" s="1">
        <f t="shared" si="3"/>
        <v>-1.5671908269741963E-2</v>
      </c>
      <c r="J98" s="1">
        <f t="shared" si="3"/>
        <v>-3.6303541677863094E-2</v>
      </c>
      <c r="K98" s="1">
        <f t="shared" si="3"/>
        <v>3.564955525193092E-2</v>
      </c>
      <c r="L98" s="1">
        <f t="shared" si="3"/>
        <v>2.7260611445418359E-2</v>
      </c>
      <c r="M98" s="1">
        <f t="shared" si="3"/>
        <v>2.1557372752529114E-2</v>
      </c>
      <c r="N98" s="1">
        <f t="shared" si="3"/>
        <v>2.3591138249971166E-2</v>
      </c>
      <c r="O98" s="1">
        <f t="shared" si="3"/>
        <v>3.512883497092445E-2</v>
      </c>
      <c r="P98" s="1">
        <f t="shared" si="3"/>
        <v>3.1817906652945149E-2</v>
      </c>
      <c r="Q98" s="1">
        <f t="shared" si="3"/>
        <v>3.2890182227802267E-2</v>
      </c>
      <c r="R98" s="1">
        <f t="shared" si="3"/>
        <v>3.4262604230568261E-2</v>
      </c>
      <c r="S98" s="1">
        <f t="shared" si="3"/>
        <v>3.8290019990773638E-2</v>
      </c>
      <c r="T98" s="1">
        <f t="shared" si="3"/>
        <v>3.804163845633024E-2</v>
      </c>
      <c r="U98" s="1">
        <f t="shared" si="3"/>
        <v>3.5383800089682449E-2</v>
      </c>
      <c r="V98" s="1">
        <f t="shared" si="3"/>
        <v>3.4351746131737526E-2</v>
      </c>
      <c r="W98" s="1">
        <f t="shared" si="3"/>
        <v>3.5504253658907858E-2</v>
      </c>
      <c r="X98" s="1">
        <f t="shared" si="3"/>
        <v>3.4084747787570091E-2</v>
      </c>
      <c r="Y98" s="1">
        <f t="shared" si="3"/>
        <v>2.7984643549046506E-2</v>
      </c>
      <c r="Z98" s="1">
        <f t="shared" si="3"/>
        <v>2.7447590231251429E-2</v>
      </c>
      <c r="AA98" s="1">
        <f t="shared" si="3"/>
        <v>2.9541438788388774E-2</v>
      </c>
      <c r="AB98" s="1">
        <f t="shared" si="3"/>
        <v>2.9151445313457591E-2</v>
      </c>
      <c r="AC98" s="1">
        <f t="shared" si="3"/>
        <v>2.6761323931135284E-2</v>
      </c>
      <c r="AD98" s="1">
        <f t="shared" si="3"/>
        <v>2.9072375442775522E-2</v>
      </c>
      <c r="AE98" s="1">
        <f t="shared" si="3"/>
        <v>2.9100310393290307E-2</v>
      </c>
      <c r="AF98" s="1">
        <f t="shared" si="3"/>
        <v>2.9986343287397021E-2</v>
      </c>
      <c r="AG98" s="1">
        <f t="shared" si="3"/>
        <v>3.0240720388556186E-2</v>
      </c>
      <c r="AH98" s="1">
        <f t="shared" si="3"/>
        <v>3.0956641431520993E-2</v>
      </c>
      <c r="AI98" s="1">
        <f t="shared" si="3"/>
        <v>3.3451714976167946E-2</v>
      </c>
      <c r="AJ98" s="1">
        <f t="shared" si="3"/>
        <v>3.4242195221208194E-2</v>
      </c>
      <c r="AK98" s="1">
        <f t="shared" si="3"/>
        <v>3.4982199737680242E-2</v>
      </c>
      <c r="AL98" s="1">
        <f t="shared" si="3"/>
        <v>3.389032713579665E-2</v>
      </c>
      <c r="AM98" s="1">
        <f t="shared" si="3"/>
        <v>3.4618011171619223E-2</v>
      </c>
      <c r="AN98" s="1">
        <f t="shared" si="3"/>
        <v>3.488135937447101E-2</v>
      </c>
    </row>
    <row r="99" spans="1:40" x14ac:dyDescent="0.25">
      <c r="A99" t="s">
        <v>44</v>
      </c>
      <c r="C99" s="1">
        <f>C96/B96-1</f>
        <v>4.4444444444444509E-2</v>
      </c>
      <c r="D99" s="1">
        <f t="shared" ref="D99:AN99" si="4">D96/C96-1</f>
        <v>3.7234042553191404E-2</v>
      </c>
      <c r="E99" s="1">
        <f t="shared" si="4"/>
        <v>-1.538461538461533E-2</v>
      </c>
      <c r="F99" s="1">
        <f t="shared" si="4"/>
        <v>-1.041666666666663E-2</v>
      </c>
      <c r="G99" s="1">
        <f t="shared" si="4"/>
        <v>3.1578947368421151E-2</v>
      </c>
      <c r="H99" s="1">
        <f t="shared" si="4"/>
        <v>-1.5306122448979553E-2</v>
      </c>
      <c r="I99" s="1">
        <f t="shared" si="4"/>
        <v>-1.5544041450777257E-2</v>
      </c>
      <c r="J99" s="1">
        <f t="shared" si="4"/>
        <v>-3.6842105263157898E-2</v>
      </c>
      <c r="K99" s="1">
        <f t="shared" si="4"/>
        <v>2.732240437158473E-2</v>
      </c>
      <c r="L99" s="1">
        <f t="shared" si="4"/>
        <v>3.1914893617021267E-2</v>
      </c>
      <c r="M99" s="1">
        <f t="shared" si="4"/>
        <v>2.0618556701030855E-2</v>
      </c>
      <c r="N99" s="1">
        <f t="shared" si="4"/>
        <v>1.5151515151515138E-2</v>
      </c>
      <c r="O99" s="1">
        <f t="shared" si="4"/>
        <v>1.4925373134328401E-2</v>
      </c>
      <c r="P99" s="1">
        <f t="shared" si="4"/>
        <v>2.450980392156854E-2</v>
      </c>
      <c r="Q99" s="1">
        <f t="shared" si="4"/>
        <v>2.3923444976076569E-2</v>
      </c>
      <c r="R99" s="1">
        <f t="shared" si="4"/>
        <v>2.3364485981308469E-2</v>
      </c>
      <c r="S99" s="1">
        <f t="shared" si="4"/>
        <v>2.2831050228310446E-2</v>
      </c>
      <c r="T99" s="1">
        <f t="shared" si="4"/>
        <v>2.2321428571428603E-2</v>
      </c>
      <c r="U99" s="1">
        <f t="shared" si="4"/>
        <v>2.1834061135371119E-2</v>
      </c>
      <c r="V99" s="1">
        <f t="shared" si="4"/>
        <v>1.7094017094017033E-2</v>
      </c>
      <c r="W99" s="1">
        <f t="shared" si="4"/>
        <v>2.1008403361344463E-2</v>
      </c>
      <c r="X99" s="1">
        <f t="shared" si="4"/>
        <v>1.6460905349794164E-2</v>
      </c>
      <c r="Y99" s="1">
        <f t="shared" si="4"/>
        <v>2.0242914979757165E-2</v>
      </c>
      <c r="Z99" s="1">
        <f t="shared" si="4"/>
        <v>1.9841269841269771E-2</v>
      </c>
      <c r="AA99" s="1">
        <f t="shared" si="4"/>
        <v>2.3346303501945442E-2</v>
      </c>
      <c r="AB99" s="1">
        <f t="shared" si="4"/>
        <v>1.9011406844106515E-2</v>
      </c>
      <c r="AC99" s="1">
        <f t="shared" si="4"/>
        <v>2.2388059701492491E-2</v>
      </c>
      <c r="AD99" s="1">
        <f t="shared" si="4"/>
        <v>2.1897810218978186E-2</v>
      </c>
      <c r="AE99" s="1">
        <f t="shared" si="4"/>
        <v>2.1428571428571352E-2</v>
      </c>
      <c r="AF99" s="1">
        <f t="shared" si="4"/>
        <v>2.0979020979021046E-2</v>
      </c>
      <c r="AG99" s="1">
        <f t="shared" si="4"/>
        <v>2.0547945205479534E-2</v>
      </c>
      <c r="AH99" s="1">
        <f t="shared" si="4"/>
        <v>2.0134228187919545E-2</v>
      </c>
      <c r="AI99" s="1">
        <f t="shared" si="4"/>
        <v>2.3026315789473673E-2</v>
      </c>
      <c r="AJ99" s="1">
        <f t="shared" si="4"/>
        <v>2.5723472668810254E-2</v>
      </c>
      <c r="AK99" s="1">
        <f t="shared" si="4"/>
        <v>2.1943573667711602E-2</v>
      </c>
      <c r="AL99" s="1">
        <f t="shared" si="4"/>
        <v>2.4539877300613577E-2</v>
      </c>
      <c r="AM99" s="1">
        <f t="shared" si="4"/>
        <v>2.39520958083832E-2</v>
      </c>
      <c r="AN99" s="1">
        <f t="shared" si="4"/>
        <v>2.6315789473684292E-2</v>
      </c>
    </row>
  </sheetData>
  <dataValidations count="1">
    <dataValidation type="list" allowBlank="1" showInputMessage="1" showErrorMessage="1" sqref="A94" xr:uid="{2C5F5542-A978-41C4-9355-025689AB2A22}">
      <formula1>$A$4:$A$21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7FCC-C049-467B-AD6E-09D35E04FA7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25"/>
  <sheetViews>
    <sheetView workbookViewId="0">
      <selection activeCell="B6" sqref="B6"/>
    </sheetView>
  </sheetViews>
  <sheetFormatPr defaultRowHeight="15" x14ac:dyDescent="0.25"/>
  <cols>
    <col min="1" max="1" width="25.28515625" customWidth="1"/>
  </cols>
  <sheetData>
    <row r="1" spans="1:40" x14ac:dyDescent="0.25">
      <c r="B1" t="s">
        <v>48</v>
      </c>
      <c r="C1" t="s">
        <v>49</v>
      </c>
      <c r="D1" t="s">
        <v>50</v>
      </c>
    </row>
    <row r="2" spans="1:40" x14ac:dyDescent="0.25">
      <c r="A2" t="s">
        <v>47</v>
      </c>
      <c r="B2" s="2"/>
      <c r="C2" s="2"/>
      <c r="D2" s="2"/>
    </row>
    <row r="3" spans="1:40" x14ac:dyDescent="0.25">
      <c r="A3" t="s">
        <v>51</v>
      </c>
      <c r="B3" s="2"/>
      <c r="C3" s="2"/>
      <c r="D3" s="2"/>
    </row>
    <row r="4" spans="1:40" x14ac:dyDescent="0.25">
      <c r="A4" t="s">
        <v>52</v>
      </c>
      <c r="B4" s="2"/>
      <c r="C4" s="2"/>
      <c r="D4" s="2"/>
    </row>
    <row r="5" spans="1:40" x14ac:dyDescent="0.25">
      <c r="A5" t="s">
        <v>53</v>
      </c>
      <c r="B5" s="2"/>
      <c r="C5" s="2"/>
      <c r="D5" s="2"/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>
        <v>72.959999999999994</v>
      </c>
      <c r="L8">
        <v>75</v>
      </c>
      <c r="M8">
        <v>76.52</v>
      </c>
      <c r="N8">
        <v>77.900000000000006</v>
      </c>
      <c r="O8">
        <v>79.13</v>
      </c>
      <c r="P8">
        <v>81.150000000000006</v>
      </c>
      <c r="Q8">
        <v>83.06</v>
      </c>
      <c r="R8">
        <v>85</v>
      </c>
      <c r="S8">
        <v>86.79</v>
      </c>
      <c r="T8">
        <v>88.61</v>
      </c>
      <c r="U8">
        <v>90.52</v>
      </c>
      <c r="V8">
        <v>92.22</v>
      </c>
      <c r="W8">
        <v>94</v>
      </c>
      <c r="X8">
        <v>95.83</v>
      </c>
      <c r="Y8">
        <v>97.69</v>
      </c>
      <c r="Z8">
        <v>99.72</v>
      </c>
      <c r="AA8">
        <v>101.85</v>
      </c>
      <c r="AB8">
        <v>104.02</v>
      </c>
      <c r="AC8">
        <v>106.26</v>
      </c>
      <c r="AD8">
        <v>108.6</v>
      </c>
      <c r="AE8">
        <v>110.85</v>
      </c>
      <c r="AF8">
        <v>113.14</v>
      </c>
      <c r="AG8">
        <v>115.46</v>
      </c>
      <c r="AH8">
        <v>117.97</v>
      </c>
      <c r="AI8">
        <v>120.7</v>
      </c>
      <c r="AJ8">
        <v>123.56</v>
      </c>
      <c r="AK8">
        <v>126.62</v>
      </c>
      <c r="AL8">
        <v>129.62</v>
      </c>
      <c r="AM8">
        <v>132.85</v>
      </c>
      <c r="AN8">
        <v>136.25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>
        <v>60.37</v>
      </c>
      <c r="L9">
        <v>60.1</v>
      </c>
      <c r="M9">
        <v>59.84</v>
      </c>
      <c r="N9">
        <v>59.34</v>
      </c>
      <c r="O9">
        <v>58.75</v>
      </c>
      <c r="P9">
        <v>56.4</v>
      </c>
      <c r="Q9">
        <v>53.36</v>
      </c>
      <c r="R9">
        <v>50.36</v>
      </c>
      <c r="S9">
        <v>46.96</v>
      </c>
      <c r="T9">
        <v>43.51</v>
      </c>
      <c r="U9">
        <v>43.76</v>
      </c>
      <c r="V9">
        <v>42.68</v>
      </c>
      <c r="W9">
        <v>42.31</v>
      </c>
      <c r="X9">
        <v>41.94</v>
      </c>
      <c r="Y9">
        <v>41.15</v>
      </c>
      <c r="Z9">
        <v>39.86</v>
      </c>
      <c r="AA9">
        <v>38.57</v>
      </c>
      <c r="AB9">
        <v>37.28</v>
      </c>
      <c r="AC9">
        <v>36</v>
      </c>
      <c r="AD9">
        <v>34.71</v>
      </c>
      <c r="AE9">
        <v>34.86</v>
      </c>
      <c r="AF9">
        <v>35.01</v>
      </c>
      <c r="AG9">
        <v>35.15</v>
      </c>
      <c r="AH9">
        <v>35.299999999999997</v>
      </c>
      <c r="AI9">
        <v>35.450000000000003</v>
      </c>
      <c r="AJ9">
        <v>35.75</v>
      </c>
      <c r="AK9">
        <v>36.04</v>
      </c>
      <c r="AL9">
        <v>36.340000000000003</v>
      </c>
      <c r="AM9">
        <v>36.64</v>
      </c>
      <c r="AN9">
        <v>36.93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>
        <v>1960.19</v>
      </c>
      <c r="L10">
        <v>2004.23</v>
      </c>
      <c r="M10">
        <v>2048.11</v>
      </c>
      <c r="N10">
        <v>2091.16</v>
      </c>
      <c r="O10">
        <v>2135.91</v>
      </c>
      <c r="P10">
        <v>2188.48</v>
      </c>
      <c r="Q10">
        <v>2240.58</v>
      </c>
      <c r="R10">
        <v>2295.15</v>
      </c>
      <c r="S10">
        <v>2351.59</v>
      </c>
      <c r="T10">
        <v>2409.79</v>
      </c>
      <c r="U10">
        <v>2477.56</v>
      </c>
      <c r="V10">
        <v>2544.31</v>
      </c>
      <c r="W10">
        <v>2617.34</v>
      </c>
      <c r="X10">
        <v>2695.68</v>
      </c>
      <c r="Y10">
        <v>2779.08</v>
      </c>
      <c r="Z10">
        <v>2866.42</v>
      </c>
      <c r="AA10">
        <v>2957.38</v>
      </c>
      <c r="AB10">
        <v>3050.01</v>
      </c>
      <c r="AC10">
        <v>3146.53</v>
      </c>
      <c r="AD10">
        <v>3249.04</v>
      </c>
      <c r="AE10">
        <v>3355.38</v>
      </c>
      <c r="AF10">
        <v>3466.6</v>
      </c>
      <c r="AG10">
        <v>3582.52</v>
      </c>
      <c r="AH10">
        <v>3703.15</v>
      </c>
      <c r="AI10">
        <v>3831.42</v>
      </c>
      <c r="AJ10">
        <v>3966.01</v>
      </c>
      <c r="AK10">
        <v>4107.3999999999996</v>
      </c>
      <c r="AL10">
        <v>4251</v>
      </c>
      <c r="AM10">
        <v>4401.6400000000003</v>
      </c>
      <c r="AN10">
        <v>4560.04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>
        <v>53.76</v>
      </c>
      <c r="L11">
        <v>55.02</v>
      </c>
      <c r="M11">
        <v>56.21</v>
      </c>
      <c r="N11">
        <v>57.35</v>
      </c>
      <c r="O11">
        <v>58.59</v>
      </c>
      <c r="P11">
        <v>60.17</v>
      </c>
      <c r="Q11">
        <v>61.72</v>
      </c>
      <c r="R11">
        <v>63.31</v>
      </c>
      <c r="S11">
        <v>65.09</v>
      </c>
      <c r="T11">
        <v>66.930000000000007</v>
      </c>
      <c r="U11">
        <v>68.83</v>
      </c>
      <c r="V11">
        <v>70.67</v>
      </c>
      <c r="W11">
        <v>72.69</v>
      </c>
      <c r="X11">
        <v>74.849999999999994</v>
      </c>
      <c r="Y11">
        <v>77.23</v>
      </c>
      <c r="Z11">
        <v>79.680000000000007</v>
      </c>
      <c r="AA11">
        <v>82.2</v>
      </c>
      <c r="AB11">
        <v>84.75</v>
      </c>
      <c r="AC11">
        <v>87.38</v>
      </c>
      <c r="AD11">
        <v>90.15</v>
      </c>
      <c r="AE11">
        <v>92.83</v>
      </c>
      <c r="AF11">
        <v>95.65</v>
      </c>
      <c r="AG11">
        <v>98.6</v>
      </c>
      <c r="AH11">
        <v>101.7</v>
      </c>
      <c r="AI11">
        <v>105</v>
      </c>
      <c r="AJ11">
        <v>108.37</v>
      </c>
      <c r="AK11">
        <v>111.9</v>
      </c>
      <c r="AL11">
        <v>115.47</v>
      </c>
      <c r="AM11">
        <v>119.23</v>
      </c>
      <c r="AN11">
        <v>123.19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>
        <v>77.260000000000005</v>
      </c>
      <c r="L12">
        <v>76.540000000000006</v>
      </c>
      <c r="M12">
        <v>77.84</v>
      </c>
      <c r="N12">
        <v>78.83</v>
      </c>
      <c r="O12">
        <v>79.89</v>
      </c>
      <c r="P12">
        <v>81.33</v>
      </c>
      <c r="Q12">
        <v>83.16</v>
      </c>
      <c r="R12">
        <v>84.74</v>
      </c>
      <c r="S12">
        <v>87.09</v>
      </c>
      <c r="T12">
        <v>89.18</v>
      </c>
      <c r="U12">
        <v>91.58</v>
      </c>
      <c r="V12">
        <v>93.3</v>
      </c>
      <c r="W12">
        <v>95.88</v>
      </c>
      <c r="X12">
        <v>98.58</v>
      </c>
      <c r="Y12">
        <v>102.12</v>
      </c>
      <c r="Z12">
        <v>104.15</v>
      </c>
      <c r="AA12">
        <v>106.44</v>
      </c>
      <c r="AB12">
        <v>108.7</v>
      </c>
      <c r="AC12">
        <v>110.96</v>
      </c>
      <c r="AD12">
        <v>113.25</v>
      </c>
      <c r="AE12">
        <v>116.13</v>
      </c>
      <c r="AF12">
        <v>119.11</v>
      </c>
      <c r="AG12">
        <v>122.09</v>
      </c>
      <c r="AH12">
        <v>125.09</v>
      </c>
      <c r="AI12">
        <v>128.13</v>
      </c>
      <c r="AJ12">
        <v>131.97</v>
      </c>
      <c r="AK12">
        <v>135.72</v>
      </c>
      <c r="AL12">
        <v>139.46</v>
      </c>
      <c r="AM12">
        <v>143.13999999999999</v>
      </c>
      <c r="AN12">
        <v>146.85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0.63</v>
      </c>
      <c r="T14">
        <v>1.1000000000000001</v>
      </c>
      <c r="U14">
        <v>1.62</v>
      </c>
      <c r="V14">
        <v>2.14</v>
      </c>
      <c r="W14">
        <v>2.65</v>
      </c>
      <c r="X14">
        <v>3.15</v>
      </c>
      <c r="Y14">
        <v>3.95</v>
      </c>
      <c r="Z14">
        <v>4.43</v>
      </c>
      <c r="AA14">
        <v>4.9000000000000004</v>
      </c>
      <c r="AB14">
        <v>5.38</v>
      </c>
      <c r="AC14">
        <v>5.86</v>
      </c>
      <c r="AD14">
        <v>6.34</v>
      </c>
      <c r="AE14">
        <v>6.79</v>
      </c>
      <c r="AF14">
        <v>7.25</v>
      </c>
      <c r="AG14">
        <v>7.7</v>
      </c>
      <c r="AH14">
        <v>8.15</v>
      </c>
      <c r="AI14">
        <v>8.6</v>
      </c>
      <c r="AJ14">
        <v>8.86</v>
      </c>
      <c r="AK14">
        <v>9.1199999999999992</v>
      </c>
      <c r="AL14">
        <v>9.3800000000000008</v>
      </c>
      <c r="AM14">
        <v>9.64</v>
      </c>
      <c r="AN14">
        <v>9.9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>
        <v>12.65</v>
      </c>
      <c r="L15">
        <v>12.9</v>
      </c>
      <c r="M15">
        <v>13.13</v>
      </c>
      <c r="N15">
        <v>13.34</v>
      </c>
      <c r="O15">
        <v>13.63</v>
      </c>
      <c r="P15">
        <v>14.12</v>
      </c>
      <c r="Q15">
        <v>14.6</v>
      </c>
      <c r="R15">
        <v>15.08</v>
      </c>
      <c r="S15">
        <v>15.43</v>
      </c>
      <c r="T15">
        <v>15.88</v>
      </c>
      <c r="U15">
        <v>16.239999999999998</v>
      </c>
      <c r="V15">
        <v>16.559999999999999</v>
      </c>
      <c r="W15">
        <v>16.93</v>
      </c>
      <c r="X15">
        <v>17.34</v>
      </c>
      <c r="Y15">
        <v>17.73</v>
      </c>
      <c r="Z15">
        <v>18.190000000000001</v>
      </c>
      <c r="AA15">
        <v>18.670000000000002</v>
      </c>
      <c r="AB15">
        <v>19.14</v>
      </c>
      <c r="AC15">
        <v>19.63</v>
      </c>
      <c r="AD15">
        <v>20.14</v>
      </c>
      <c r="AE15">
        <v>20.57</v>
      </c>
      <c r="AF15">
        <v>21.03</v>
      </c>
      <c r="AG15">
        <v>21.51</v>
      </c>
      <c r="AH15">
        <v>22.03</v>
      </c>
      <c r="AI15">
        <v>22.59</v>
      </c>
      <c r="AJ15">
        <v>23.19</v>
      </c>
      <c r="AK15">
        <v>23.82</v>
      </c>
      <c r="AL15">
        <v>24.47</v>
      </c>
      <c r="AM15">
        <v>25.16</v>
      </c>
      <c r="AN15">
        <v>25.89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>
        <v>196.38</v>
      </c>
      <c r="L16">
        <v>199.05</v>
      </c>
      <c r="M16">
        <v>201.54</v>
      </c>
      <c r="N16">
        <v>203.91</v>
      </c>
      <c r="O16">
        <v>207.14</v>
      </c>
      <c r="P16">
        <v>212.19</v>
      </c>
      <c r="Q16">
        <v>217.65</v>
      </c>
      <c r="R16">
        <v>223.52</v>
      </c>
      <c r="S16">
        <v>228.69</v>
      </c>
      <c r="T16">
        <v>234.66</v>
      </c>
      <c r="U16">
        <v>240.3</v>
      </c>
      <c r="V16">
        <v>245.53</v>
      </c>
      <c r="W16">
        <v>251.1</v>
      </c>
      <c r="X16">
        <v>256.91000000000003</v>
      </c>
      <c r="Y16">
        <v>262.83</v>
      </c>
      <c r="Z16">
        <v>269.37</v>
      </c>
      <c r="AA16">
        <v>276.17</v>
      </c>
      <c r="AB16">
        <v>282.98</v>
      </c>
      <c r="AC16">
        <v>290.05</v>
      </c>
      <c r="AD16">
        <v>297.62</v>
      </c>
      <c r="AE16">
        <v>304.49</v>
      </c>
      <c r="AF16">
        <v>311.5</v>
      </c>
      <c r="AG16">
        <v>318.7</v>
      </c>
      <c r="AH16">
        <v>326.24</v>
      </c>
      <c r="AI16">
        <v>334.31</v>
      </c>
      <c r="AJ16">
        <v>342.67</v>
      </c>
      <c r="AK16">
        <v>351.49</v>
      </c>
      <c r="AL16">
        <v>360.41</v>
      </c>
      <c r="AM16">
        <v>369.89</v>
      </c>
      <c r="AN16">
        <v>380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>
        <v>4.6900000000000004</v>
      </c>
      <c r="L17">
        <v>4.71</v>
      </c>
      <c r="M17">
        <v>4.74</v>
      </c>
      <c r="N17">
        <v>4.7699999999999996</v>
      </c>
      <c r="O17">
        <v>4.84</v>
      </c>
      <c r="P17">
        <v>5.01</v>
      </c>
      <c r="Q17">
        <v>5.21</v>
      </c>
      <c r="R17">
        <v>5.45</v>
      </c>
      <c r="S17">
        <v>5.64</v>
      </c>
      <c r="T17">
        <v>5.88</v>
      </c>
      <c r="U17">
        <v>6.08</v>
      </c>
      <c r="V17">
        <v>6.21</v>
      </c>
      <c r="W17">
        <v>6.36</v>
      </c>
      <c r="X17">
        <v>6.52</v>
      </c>
      <c r="Y17">
        <v>6.66</v>
      </c>
      <c r="Z17">
        <v>6.83</v>
      </c>
      <c r="AA17">
        <v>7</v>
      </c>
      <c r="AB17">
        <v>7.17</v>
      </c>
      <c r="AC17">
        <v>7.34</v>
      </c>
      <c r="AD17">
        <v>7.52</v>
      </c>
      <c r="AE17">
        <v>7.63</v>
      </c>
      <c r="AF17">
        <v>7.74</v>
      </c>
      <c r="AG17">
        <v>7.85</v>
      </c>
      <c r="AH17">
        <v>7.96</v>
      </c>
      <c r="AI17">
        <v>8.08</v>
      </c>
      <c r="AJ17">
        <v>8.2100000000000009</v>
      </c>
      <c r="AK17">
        <v>8.35</v>
      </c>
      <c r="AL17">
        <v>8.49</v>
      </c>
      <c r="AM17">
        <v>8.65</v>
      </c>
      <c r="AN17">
        <v>8.82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>
        <v>14.6</v>
      </c>
      <c r="L18">
        <v>14.95</v>
      </c>
      <c r="M18">
        <v>15.3</v>
      </c>
      <c r="N18">
        <v>15.64</v>
      </c>
      <c r="O18">
        <v>16</v>
      </c>
      <c r="P18">
        <v>16.440000000000001</v>
      </c>
      <c r="Q18">
        <v>16.88</v>
      </c>
      <c r="R18">
        <v>17.34</v>
      </c>
      <c r="S18">
        <v>17.8</v>
      </c>
      <c r="T18">
        <v>18.27</v>
      </c>
      <c r="U18">
        <v>18.809999999999999</v>
      </c>
      <c r="V18">
        <v>19.32</v>
      </c>
      <c r="W18">
        <v>19.88</v>
      </c>
      <c r="X18">
        <v>20.49</v>
      </c>
      <c r="Y18">
        <v>21.14</v>
      </c>
      <c r="Z18">
        <v>21.81</v>
      </c>
      <c r="AA18">
        <v>22.5</v>
      </c>
      <c r="AB18">
        <v>23.19</v>
      </c>
      <c r="AC18">
        <v>23.92</v>
      </c>
      <c r="AD18">
        <v>24.68</v>
      </c>
      <c r="AE18">
        <v>25.46</v>
      </c>
      <c r="AF18">
        <v>26.29</v>
      </c>
      <c r="AG18">
        <v>27.15</v>
      </c>
      <c r="AH18">
        <v>28.04</v>
      </c>
      <c r="AI18">
        <v>28.99</v>
      </c>
      <c r="AJ18">
        <v>30</v>
      </c>
      <c r="AK18">
        <v>31.06</v>
      </c>
      <c r="AL18">
        <v>32.130000000000003</v>
      </c>
      <c r="AM18">
        <v>33.26</v>
      </c>
      <c r="AN18">
        <v>34.44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>
        <v>236.69</v>
      </c>
      <c r="L19">
        <v>242.59</v>
      </c>
      <c r="M19">
        <v>248.33</v>
      </c>
      <c r="N19">
        <v>253.83</v>
      </c>
      <c r="O19">
        <v>259.61</v>
      </c>
      <c r="P19">
        <v>266.92</v>
      </c>
      <c r="Q19">
        <v>274.13</v>
      </c>
      <c r="R19">
        <v>281.63</v>
      </c>
      <c r="S19">
        <v>289.23</v>
      </c>
      <c r="T19">
        <v>297.02</v>
      </c>
      <c r="U19">
        <v>305.64</v>
      </c>
      <c r="V19">
        <v>313.91000000000003</v>
      </c>
      <c r="W19">
        <v>323.06</v>
      </c>
      <c r="X19">
        <v>332.87</v>
      </c>
      <c r="Y19">
        <v>343.27</v>
      </c>
      <c r="Z19">
        <v>354.09</v>
      </c>
      <c r="AA19">
        <v>365.3</v>
      </c>
      <c r="AB19">
        <v>376.62</v>
      </c>
      <c r="AC19">
        <v>388.36</v>
      </c>
      <c r="AD19">
        <v>400.79</v>
      </c>
      <c r="AE19">
        <v>413.32</v>
      </c>
      <c r="AF19">
        <v>426.43</v>
      </c>
      <c r="AG19">
        <v>440.09</v>
      </c>
      <c r="AH19">
        <v>454.44</v>
      </c>
      <c r="AI19">
        <v>469.74</v>
      </c>
      <c r="AJ19">
        <v>485.82</v>
      </c>
      <c r="AK19">
        <v>502.71</v>
      </c>
      <c r="AL19">
        <v>519.79999999999995</v>
      </c>
      <c r="AM19">
        <v>537.78</v>
      </c>
      <c r="AN19">
        <v>556.72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>
        <v>26.07</v>
      </c>
      <c r="L20">
        <v>25.79</v>
      </c>
      <c r="M20">
        <v>25.7</v>
      </c>
      <c r="N20">
        <v>25.62</v>
      </c>
      <c r="O20">
        <v>24.83</v>
      </c>
      <c r="P20">
        <v>22.54</v>
      </c>
      <c r="Q20">
        <v>20.239999999999998</v>
      </c>
      <c r="R20">
        <v>17.95</v>
      </c>
      <c r="S20">
        <v>15.66</v>
      </c>
      <c r="T20">
        <v>13.37</v>
      </c>
      <c r="U20">
        <v>12.37</v>
      </c>
      <c r="V20">
        <v>11.37</v>
      </c>
      <c r="W20">
        <v>10.37</v>
      </c>
      <c r="X20">
        <v>9.3699999999999992</v>
      </c>
      <c r="Y20">
        <v>8.41</v>
      </c>
      <c r="Z20">
        <v>7.24</v>
      </c>
      <c r="AA20">
        <v>6.06</v>
      </c>
      <c r="AB20">
        <v>4.88</v>
      </c>
      <c r="AC20">
        <v>3.7</v>
      </c>
      <c r="AD20">
        <v>2.52</v>
      </c>
      <c r="AE20">
        <v>2.52</v>
      </c>
      <c r="AF20">
        <v>2.52</v>
      </c>
      <c r="AG20">
        <v>2.52</v>
      </c>
      <c r="AH20">
        <v>2.52</v>
      </c>
      <c r="AI20">
        <v>2.52</v>
      </c>
      <c r="AJ20">
        <v>2.52</v>
      </c>
      <c r="AK20">
        <v>2.52</v>
      </c>
      <c r="AL20">
        <v>2.52</v>
      </c>
      <c r="AM20">
        <v>2.52</v>
      </c>
      <c r="AN20">
        <v>2.52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>
        <v>18.68</v>
      </c>
      <c r="L21">
        <v>19.149999999999999</v>
      </c>
      <c r="M21">
        <v>19.61</v>
      </c>
      <c r="N21">
        <v>20.04</v>
      </c>
      <c r="O21">
        <v>20.51</v>
      </c>
      <c r="P21">
        <v>21.11</v>
      </c>
      <c r="Q21">
        <v>21.69</v>
      </c>
      <c r="R21">
        <v>22.28</v>
      </c>
      <c r="S21">
        <v>22.83</v>
      </c>
      <c r="T21">
        <v>23.42</v>
      </c>
      <c r="U21">
        <v>24.02</v>
      </c>
      <c r="V21">
        <v>24.61</v>
      </c>
      <c r="W21">
        <v>25.26</v>
      </c>
      <c r="X21">
        <v>25.94</v>
      </c>
      <c r="Y21">
        <v>26.65</v>
      </c>
      <c r="Z21">
        <v>27.42</v>
      </c>
      <c r="AA21">
        <v>28.22</v>
      </c>
      <c r="AB21">
        <v>29.03</v>
      </c>
      <c r="AC21">
        <v>29.88</v>
      </c>
      <c r="AD21">
        <v>30.78</v>
      </c>
      <c r="AE21">
        <v>31.65</v>
      </c>
      <c r="AF21">
        <v>32.57</v>
      </c>
      <c r="AG21">
        <v>33.53</v>
      </c>
      <c r="AH21">
        <v>34.54</v>
      </c>
      <c r="AI21">
        <v>35.619999999999997</v>
      </c>
      <c r="AJ21">
        <v>36.75</v>
      </c>
      <c r="AK21">
        <v>37.93</v>
      </c>
      <c r="AL21">
        <v>39.130000000000003</v>
      </c>
      <c r="AM21">
        <v>40.380000000000003</v>
      </c>
      <c r="AN21">
        <v>41.7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>
        <v>12.34</v>
      </c>
      <c r="L22">
        <v>12.61</v>
      </c>
      <c r="M22">
        <v>12.86</v>
      </c>
      <c r="N22">
        <v>13.09</v>
      </c>
      <c r="O22">
        <v>13.32</v>
      </c>
      <c r="P22">
        <v>13.6</v>
      </c>
      <c r="Q22">
        <v>13.87</v>
      </c>
      <c r="R22">
        <v>14.15</v>
      </c>
      <c r="S22">
        <v>14.45</v>
      </c>
      <c r="T22">
        <v>14.74</v>
      </c>
      <c r="U22">
        <v>15.11</v>
      </c>
      <c r="V22">
        <v>15.46</v>
      </c>
      <c r="W22">
        <v>15.83</v>
      </c>
      <c r="X22">
        <v>16.22</v>
      </c>
      <c r="Y22">
        <v>16.63</v>
      </c>
      <c r="Z22">
        <v>17.04</v>
      </c>
      <c r="AA22">
        <v>17.47</v>
      </c>
      <c r="AB22">
        <v>17.89</v>
      </c>
      <c r="AC22">
        <v>18.329999999999998</v>
      </c>
      <c r="AD22">
        <v>18.8</v>
      </c>
      <c r="AE22">
        <v>19.29</v>
      </c>
      <c r="AF22">
        <v>19.79</v>
      </c>
      <c r="AG22">
        <v>20.29</v>
      </c>
      <c r="AH22">
        <v>20.8</v>
      </c>
      <c r="AI22">
        <v>21.32</v>
      </c>
      <c r="AJ22">
        <v>21.84</v>
      </c>
      <c r="AK22">
        <v>22.38</v>
      </c>
      <c r="AL22">
        <v>22.91</v>
      </c>
      <c r="AM22">
        <v>23.46</v>
      </c>
      <c r="AN22">
        <v>24.05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>
        <v>141.11000000000001</v>
      </c>
      <c r="L23">
        <v>144.02000000000001</v>
      </c>
      <c r="M23">
        <v>146.85</v>
      </c>
      <c r="N23">
        <v>149.56</v>
      </c>
      <c r="O23">
        <v>152.32</v>
      </c>
      <c r="P23">
        <v>155.71</v>
      </c>
      <c r="Q23">
        <v>158.9</v>
      </c>
      <c r="R23">
        <v>162.26</v>
      </c>
      <c r="S23">
        <v>165.94</v>
      </c>
      <c r="T23">
        <v>169.63</v>
      </c>
      <c r="U23">
        <v>174.19</v>
      </c>
      <c r="V23">
        <v>178.43</v>
      </c>
      <c r="W23">
        <v>183.19</v>
      </c>
      <c r="X23">
        <v>188.3</v>
      </c>
      <c r="Y23">
        <v>193.91</v>
      </c>
      <c r="Z23">
        <v>199.62</v>
      </c>
      <c r="AA23">
        <v>205.55</v>
      </c>
      <c r="AB23">
        <v>211.53</v>
      </c>
      <c r="AC23">
        <v>217.76</v>
      </c>
      <c r="AD23">
        <v>224.36</v>
      </c>
      <c r="AE23">
        <v>231.21</v>
      </c>
      <c r="AF23">
        <v>238.37</v>
      </c>
      <c r="AG23">
        <v>245.82</v>
      </c>
      <c r="AH23">
        <v>253.64</v>
      </c>
      <c r="AI23">
        <v>261.98</v>
      </c>
      <c r="AJ23">
        <v>270.7</v>
      </c>
      <c r="AK23">
        <v>279.86</v>
      </c>
      <c r="AL23">
        <v>289.08</v>
      </c>
      <c r="AM23">
        <v>298.81</v>
      </c>
      <c r="AN23">
        <v>309.06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>
        <v>30.06</v>
      </c>
      <c r="L24">
        <v>31.41</v>
      </c>
      <c r="M24">
        <v>32.79</v>
      </c>
      <c r="N24">
        <v>34.18</v>
      </c>
      <c r="O24">
        <v>35.74</v>
      </c>
      <c r="P24">
        <v>37.880000000000003</v>
      </c>
      <c r="Q24">
        <v>40.24</v>
      </c>
      <c r="R24">
        <v>42.9</v>
      </c>
      <c r="S24">
        <v>45.9</v>
      </c>
      <c r="T24">
        <v>49.13</v>
      </c>
      <c r="U24">
        <v>52.76</v>
      </c>
      <c r="V24">
        <v>56.4</v>
      </c>
      <c r="W24">
        <v>60.42</v>
      </c>
      <c r="X24">
        <v>64.709999999999994</v>
      </c>
      <c r="Y24">
        <v>69.47</v>
      </c>
      <c r="Z24">
        <v>74.56</v>
      </c>
      <c r="AA24">
        <v>79.92</v>
      </c>
      <c r="AB24">
        <v>85.44</v>
      </c>
      <c r="AC24">
        <v>91.27</v>
      </c>
      <c r="AD24">
        <v>97.47</v>
      </c>
      <c r="AE24">
        <v>103.66</v>
      </c>
      <c r="AF24">
        <v>109.94</v>
      </c>
      <c r="AG24">
        <v>116.29</v>
      </c>
      <c r="AH24">
        <v>122.76</v>
      </c>
      <c r="AI24">
        <v>129.41999999999999</v>
      </c>
      <c r="AJ24">
        <v>136.13999999999999</v>
      </c>
      <c r="AK24">
        <v>142.99</v>
      </c>
      <c r="AL24">
        <v>149.66</v>
      </c>
      <c r="AM24">
        <v>156.57</v>
      </c>
      <c r="AN24">
        <v>163.72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>
        <v>0.99</v>
      </c>
      <c r="L25">
        <v>1</v>
      </c>
      <c r="M25">
        <v>1.02</v>
      </c>
      <c r="N25">
        <v>1.03</v>
      </c>
      <c r="O25">
        <v>1.05</v>
      </c>
      <c r="P25">
        <v>1.07</v>
      </c>
      <c r="Q25">
        <v>1.0900000000000001</v>
      </c>
      <c r="R25">
        <v>1.1100000000000001</v>
      </c>
      <c r="S25">
        <v>1.1399999999999999</v>
      </c>
      <c r="T25">
        <v>1.1599999999999999</v>
      </c>
      <c r="U25">
        <v>1.2</v>
      </c>
      <c r="V25">
        <v>1.23</v>
      </c>
      <c r="W25">
        <v>1.27</v>
      </c>
      <c r="X25">
        <v>1.31</v>
      </c>
      <c r="Y25">
        <v>1.36</v>
      </c>
      <c r="Z25">
        <v>1.42</v>
      </c>
      <c r="AA25">
        <v>1.47</v>
      </c>
      <c r="AB25">
        <v>1.53</v>
      </c>
      <c r="AC25">
        <v>1.58</v>
      </c>
      <c r="AD25">
        <v>1.65</v>
      </c>
      <c r="AE25">
        <v>1.71</v>
      </c>
      <c r="AF25">
        <v>1.79</v>
      </c>
      <c r="AG25">
        <v>1.87</v>
      </c>
      <c r="AH25">
        <v>1.95</v>
      </c>
      <c r="AI25">
        <v>2.0499999999999998</v>
      </c>
      <c r="AJ25">
        <v>2.16</v>
      </c>
      <c r="AK25">
        <v>2.2799999999999998</v>
      </c>
      <c r="AL25">
        <v>2.4</v>
      </c>
      <c r="AM25">
        <v>2.5299999999999998</v>
      </c>
      <c r="AN25">
        <v>2.66</v>
      </c>
    </row>
  </sheetData>
  <sortState xmlns:xlrd2="http://schemas.microsoft.com/office/spreadsheetml/2017/richdata2" ref="A8:AN26">
    <sortCondition ref="A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66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67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68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Drivers</vt:lpstr>
      <vt:lpstr>Index_E2G</vt:lpstr>
      <vt:lpstr>Index_G2E</vt:lpstr>
      <vt:lpstr>GDP_CGE</vt:lpstr>
      <vt:lpstr>Households_CGE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2020-09-02T18:01:48Z</dcterms:modified>
</cp:coreProperties>
</file>