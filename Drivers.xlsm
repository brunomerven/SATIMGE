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D5C217EE-487D-4C0F-B60A-4A28D45052D7}" xr6:coauthVersionLast="45" xr6:coauthVersionMax="45" xr10:uidLastSave="{00000000-0000-0000-0000-000000000000}"/>
  <bookViews>
    <workbookView xWindow="330" yWindow="90" windowWidth="27510" windowHeight="15450" activeTab="3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8" i="6" l="1"/>
  <c r="D58" i="6"/>
  <c r="I58" i="6"/>
  <c r="B51" i="6"/>
  <c r="F51" i="6"/>
  <c r="G51" i="6"/>
  <c r="H51" i="6"/>
  <c r="D52" i="6"/>
  <c r="E52" i="6"/>
  <c r="F52" i="6"/>
  <c r="J52" i="6"/>
  <c r="B53" i="6"/>
  <c r="G53" i="6"/>
  <c r="H53" i="6"/>
  <c r="I53" i="6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H58" i="6" s="1"/>
  <c r="G32" i="2"/>
  <c r="G58" i="6" s="1"/>
  <c r="F32" i="2"/>
  <c r="F58" i="6" s="1"/>
  <c r="E32" i="2"/>
  <c r="E58" i="6" s="1"/>
  <c r="D32" i="2"/>
  <c r="C32" i="2"/>
  <c r="B32" i="2"/>
  <c r="B58" i="6" s="1"/>
  <c r="A32" i="2"/>
  <c r="A58" i="6" s="1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J53" i="6" s="1"/>
  <c r="I27" i="2"/>
  <c r="H27" i="2"/>
  <c r="G27" i="2"/>
  <c r="F27" i="2"/>
  <c r="F53" i="6" s="1"/>
  <c r="E27" i="2"/>
  <c r="E53" i="6" s="1"/>
  <c r="D27" i="2"/>
  <c r="D53" i="6" s="1"/>
  <c r="C27" i="2"/>
  <c r="C53" i="6" s="1"/>
  <c r="B27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I52" i="6" s="1"/>
  <c r="H26" i="2"/>
  <c r="H52" i="6" s="1"/>
  <c r="G26" i="2"/>
  <c r="G52" i="6" s="1"/>
  <c r="F26" i="2"/>
  <c r="E26" i="2"/>
  <c r="D26" i="2"/>
  <c r="C26" i="2"/>
  <c r="C52" i="6" s="1"/>
  <c r="B26" i="2"/>
  <c r="B52" i="6" s="1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J51" i="6" s="1"/>
  <c r="I25" i="2"/>
  <c r="I51" i="6" s="1"/>
  <c r="H25" i="2"/>
  <c r="G25" i="2"/>
  <c r="F25" i="2"/>
  <c r="E25" i="2"/>
  <c r="E51" i="6" s="1"/>
  <c r="D25" i="2"/>
  <c r="D51" i="6" s="1"/>
  <c r="C25" i="2"/>
  <c r="C51" i="6" s="1"/>
  <c r="B25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" i="2"/>
  <c r="K58" i="6" l="1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J58" i="6"/>
  <c r="L51" i="6"/>
  <c r="M51" i="6"/>
  <c r="O51" i="6"/>
  <c r="P51" i="6"/>
  <c r="R51" i="6"/>
  <c r="S51" i="6"/>
  <c r="X51" i="6"/>
  <c r="Y51" i="6"/>
  <c r="AA51" i="6"/>
  <c r="AB51" i="6"/>
  <c r="AC51" i="6"/>
  <c r="AD51" i="6"/>
  <c r="AE51" i="6"/>
  <c r="AG51" i="6"/>
  <c r="AJ51" i="6"/>
  <c r="AK51" i="6"/>
  <c r="AM51" i="6"/>
  <c r="AN51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K52" i="6"/>
  <c r="K53" i="6"/>
  <c r="K51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5" i="6"/>
  <c r="AM37" i="6" s="1"/>
  <c r="AL35" i="6"/>
  <c r="AL37" i="6" s="1"/>
  <c r="AK35" i="6"/>
  <c r="AK37" i="6" s="1"/>
  <c r="AJ35" i="6"/>
  <c r="AJ37" i="6" s="1"/>
  <c r="AI35" i="6"/>
  <c r="AH35" i="6"/>
  <c r="AG35" i="6"/>
  <c r="AF35" i="6"/>
  <c r="AF37" i="6" s="1"/>
  <c r="AE35" i="6"/>
  <c r="AE37" i="6" s="1"/>
  <c r="AD35" i="6"/>
  <c r="AD37" i="6" s="1"/>
  <c r="AC35" i="6"/>
  <c r="AB35" i="6"/>
  <c r="AB37" i="6" s="1"/>
  <c r="AA35" i="6"/>
  <c r="AA37" i="6" s="1"/>
  <c r="Z35" i="6"/>
  <c r="Z37" i="6" s="1"/>
  <c r="Y35" i="6"/>
  <c r="Y37" i="6" s="1"/>
  <c r="X35" i="6"/>
  <c r="X37" i="6" s="1"/>
  <c r="W35" i="6"/>
  <c r="W37" i="6" s="1"/>
  <c r="V35" i="6"/>
  <c r="V37" i="6" s="1"/>
  <c r="U35" i="6"/>
  <c r="U37" i="6" s="1"/>
  <c r="T35" i="6"/>
  <c r="T37" i="6" s="1"/>
  <c r="S35" i="6"/>
  <c r="S37" i="6" s="1"/>
  <c r="R35" i="6"/>
  <c r="R37" i="6" s="1"/>
  <c r="Q35" i="6"/>
  <c r="P35" i="6"/>
  <c r="P37" i="6" s="1"/>
  <c r="O35" i="6"/>
  <c r="O37" i="6" s="1"/>
  <c r="N35" i="6"/>
  <c r="N37" i="6" s="1"/>
  <c r="M35" i="6"/>
  <c r="M37" i="6" s="1"/>
  <c r="L35" i="6"/>
  <c r="L37" i="6" s="1"/>
  <c r="K35" i="6"/>
  <c r="J35" i="6"/>
  <c r="I35" i="6"/>
  <c r="H35" i="6"/>
  <c r="G35" i="6"/>
  <c r="K37" i="5" l="1"/>
  <c r="K36" i="5"/>
  <c r="J42" i="5"/>
  <c r="Q37" i="6"/>
  <c r="K37" i="6"/>
  <c r="J37" i="6"/>
  <c r="AI37" i="6"/>
  <c r="AH37" i="6"/>
  <c r="AG37" i="6"/>
  <c r="AC37" i="6"/>
  <c r="M26" i="5"/>
  <c r="L27" i="5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1" i="1"/>
  <c r="C10" i="1"/>
  <c r="C8" i="1"/>
  <c r="O36" i="5" l="1"/>
  <c r="N35" i="5"/>
  <c r="N51" i="6" s="1"/>
  <c r="O37" i="5"/>
  <c r="Q26" i="5"/>
  <c r="P27" i="5"/>
  <c r="O42" i="5" s="1"/>
  <c r="B32" i="6"/>
  <c r="C32" i="6"/>
  <c r="D32" i="6"/>
  <c r="E32" i="6"/>
  <c r="F32" i="6"/>
  <c r="A32" i="6"/>
  <c r="G46" i="6"/>
  <c r="C46" i="6"/>
  <c r="C40" i="6" s="1"/>
  <c r="D46" i="6"/>
  <c r="D40" i="6" s="1"/>
  <c r="E46" i="6"/>
  <c r="E40" i="6" s="1"/>
  <c r="F46" i="6"/>
  <c r="F40" i="6" s="1"/>
  <c r="G38" i="6" s="1"/>
  <c r="H38" i="6" s="1"/>
  <c r="I38" i="6" s="1"/>
  <c r="B46" i="6"/>
  <c r="B40" i="6" s="1"/>
  <c r="B44" i="6"/>
  <c r="C44" i="6" s="1"/>
  <c r="D44" i="6" s="1"/>
  <c r="E44" i="6" s="1"/>
  <c r="F44" i="6" s="1"/>
  <c r="I46" i="6"/>
  <c r="J46" i="6"/>
  <c r="K46" i="6"/>
  <c r="L46" i="6"/>
  <c r="M46" i="6"/>
  <c r="N46" i="6"/>
  <c r="O46" i="6"/>
  <c r="P46" i="6"/>
  <c r="Q46" i="6"/>
  <c r="H46" i="6"/>
  <c r="C7" i="1"/>
  <c r="P37" i="5" l="1"/>
  <c r="P36" i="5"/>
  <c r="O35" i="5"/>
  <c r="AM36" i="6"/>
  <c r="AI36" i="6"/>
  <c r="AL36" i="6"/>
  <c r="AK36" i="6"/>
  <c r="AJ36" i="6"/>
  <c r="AA36" i="6"/>
  <c r="AC36" i="6"/>
  <c r="AE38" i="6"/>
  <c r="Z36" i="6"/>
  <c r="AD38" i="6"/>
  <c r="Y36" i="6"/>
  <c r="AB36" i="6"/>
  <c r="AF38" i="6"/>
  <c r="AG38" i="6"/>
  <c r="AH38" i="6"/>
  <c r="H36" i="6"/>
  <c r="L38" i="6"/>
  <c r="G36" i="6"/>
  <c r="G40" i="6" s="1"/>
  <c r="H40" i="6" s="1"/>
  <c r="I40" i="6" s="1"/>
  <c r="M38" i="6"/>
  <c r="I36" i="6"/>
  <c r="N38" i="6"/>
  <c r="K38" i="6"/>
  <c r="J38" i="6"/>
  <c r="AG36" i="6"/>
  <c r="AD36" i="6"/>
  <c r="AM38" i="6"/>
  <c r="AJ38" i="6"/>
  <c r="AK38" i="6"/>
  <c r="AL38" i="6"/>
  <c r="AF36" i="6"/>
  <c r="AH36" i="6"/>
  <c r="AE36" i="6"/>
  <c r="AI38" i="6"/>
  <c r="Y38" i="6"/>
  <c r="X36" i="6"/>
  <c r="AA38" i="6"/>
  <c r="Z38" i="6"/>
  <c r="W36" i="6"/>
  <c r="V36" i="6"/>
  <c r="U36" i="6"/>
  <c r="AB38" i="6"/>
  <c r="T36" i="6"/>
  <c r="AC38" i="6"/>
  <c r="G32" i="6"/>
  <c r="H32" i="6" s="1"/>
  <c r="I32" i="6" s="1"/>
  <c r="W38" i="6"/>
  <c r="S36" i="6"/>
  <c r="X38" i="6"/>
  <c r="Q36" i="6"/>
  <c r="R36" i="6"/>
  <c r="O36" i="6"/>
  <c r="V38" i="6"/>
  <c r="U38" i="6"/>
  <c r="T38" i="6"/>
  <c r="P36" i="6"/>
  <c r="S38" i="6"/>
  <c r="L36" i="6"/>
  <c r="K36" i="6"/>
  <c r="J36" i="6"/>
  <c r="O38" i="6"/>
  <c r="R38" i="6"/>
  <c r="N36" i="6"/>
  <c r="P38" i="6"/>
  <c r="M36" i="6"/>
  <c r="Q38" i="6"/>
  <c r="R26" i="5"/>
  <c r="Q27" i="5"/>
  <c r="P42" i="5" s="1"/>
  <c r="Q37" i="5" l="1"/>
  <c r="Q36" i="5"/>
  <c r="P35" i="5"/>
  <c r="J40" i="6"/>
  <c r="K40" i="6" s="1"/>
  <c r="L40" i="6" s="1"/>
  <c r="M40" i="6" s="1"/>
  <c r="N40" i="6" s="1"/>
  <c r="O40" i="6" s="1"/>
  <c r="P40" i="6" s="1"/>
  <c r="Q40" i="6" s="1"/>
  <c r="R40" i="6" s="1"/>
  <c r="S40" i="6" s="1"/>
  <c r="T40" i="6" s="1"/>
  <c r="U40" i="6" s="1"/>
  <c r="V40" i="6" s="1"/>
  <c r="W40" i="6" s="1"/>
  <c r="X40" i="6" s="1"/>
  <c r="Y40" i="6" s="1"/>
  <c r="Z40" i="6" s="1"/>
  <c r="AA40" i="6" s="1"/>
  <c r="AB40" i="6" s="1"/>
  <c r="AC40" i="6" s="1"/>
  <c r="AD40" i="6" s="1"/>
  <c r="AE40" i="6" s="1"/>
  <c r="AF40" i="6" s="1"/>
  <c r="AG40" i="6" s="1"/>
  <c r="AH40" i="6" s="1"/>
  <c r="AI40" i="6" s="1"/>
  <c r="AJ40" i="6" s="1"/>
  <c r="AK40" i="6" s="1"/>
  <c r="AL40" i="6" s="1"/>
  <c r="AM40" i="6" s="1"/>
  <c r="J32" i="6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S26" i="5"/>
  <c r="R27" i="5"/>
  <c r="Q42" i="5" s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R36" i="5" l="1"/>
  <c r="Q35" i="5"/>
  <c r="Q51" i="6" s="1"/>
  <c r="R37" i="5"/>
  <c r="X32" i="6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T26" i="5"/>
  <c r="S27" i="5"/>
  <c r="R42" i="5" s="1"/>
  <c r="Z7" i="6"/>
  <c r="M7" i="6"/>
  <c r="AL7" i="6"/>
  <c r="Y7" i="6"/>
  <c r="L7" i="6"/>
  <c r="R7" i="6"/>
  <c r="T7" i="6"/>
  <c r="S7" i="6"/>
  <c r="AG7" i="6"/>
  <c r="H7" i="6"/>
  <c r="G7" i="6"/>
  <c r="AE7" i="6"/>
  <c r="AH7" i="6"/>
  <c r="U7" i="6"/>
  <c r="B7" i="6"/>
  <c r="V7" i="6"/>
  <c r="I7" i="6"/>
  <c r="AI7" i="6"/>
  <c r="J7" i="6"/>
  <c r="AN7" i="6"/>
  <c r="AM7" i="6"/>
  <c r="AF7" i="6"/>
  <c r="W7" i="6"/>
  <c r="AB7" i="6"/>
  <c r="AA7" i="6"/>
  <c r="K7" i="6"/>
  <c r="AC7" i="6"/>
  <c r="P7" i="6"/>
  <c r="O7" i="6"/>
  <c r="F7" i="6"/>
  <c r="AJ7" i="6"/>
  <c r="Q7" i="6"/>
  <c r="D7" i="6"/>
  <c r="C7" i="6"/>
  <c r="N7" i="6"/>
  <c r="AK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AM6" i="6"/>
  <c r="N6" i="6"/>
  <c r="U6" i="6"/>
  <c r="W6" i="6"/>
  <c r="AE6" i="6"/>
  <c r="M6" i="6"/>
  <c r="AH6" i="6"/>
  <c r="P6" i="6"/>
  <c r="AJ6" i="6"/>
  <c r="AD6" i="6"/>
  <c r="AK6" i="6"/>
  <c r="AN6" i="6"/>
  <c r="F6" i="6"/>
  <c r="J6" i="6"/>
  <c r="S6" i="6"/>
  <c r="L6" i="6"/>
  <c r="H6" i="6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T51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U51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V51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W51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Z51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AF51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H51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I51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L51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</calcChain>
</file>

<file path=xl/sharedStrings.xml><?xml version="1.0" encoding="utf-8"?>
<sst xmlns="http://schemas.openxmlformats.org/spreadsheetml/2006/main" count="839" uniqueCount="167">
  <si>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</si>
  <si>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</si>
  <si>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</si>
  <si>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</si>
  <si>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</si>
  <si>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</si>
  <si>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</si>
  <si>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</si>
  <si>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</si>
  <si>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</si>
  <si>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</si>
  <si>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</si>
  <si>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</si>
  <si>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</si>
  <si>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</si>
  <si>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</si>
  <si>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</si>
  <si>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</si>
  <si>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</si>
  <si>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</si>
  <si>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</si>
  <si>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</si>
  <si>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</si>
  <si>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</si>
  <si>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</si>
  <si>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</si>
  <si>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</si>
  <si>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</si>
  <si>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</si>
  <si>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</si>
  <si>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</si>
  <si>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</si>
  <si>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</si>
  <si>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</si>
  <si>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</si>
  <si>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</si>
  <si>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</si>
  <si>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</si>
  <si>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</si>
  <si>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</si>
  <si>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</si>
  <si>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</si>
  <si>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</si>
  <si>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</si>
  <si>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</si>
  <si>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</si>
  <si>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</si>
  <si>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</si>
  <si>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</si>
  <si>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</si>
  <si>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</si>
  <si>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</si>
  <si>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</si>
  <si>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</si>
  <si>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</si>
  <si>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</si>
  <si>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</si>
  <si>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</si>
  <si>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</si>
  <si>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</si>
  <si>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</si>
  <si>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</si>
  <si>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</si>
  <si>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</si>
  <si>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</si>
  <si>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</si>
  <si>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</si>
  <si>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</si>
  <si>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</si>
  <si>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</si>
  <si>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</si>
  <si>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</si>
  <si>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</si>
  <si>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</si>
  <si>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</si>
  <si>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</si>
  <si>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</si>
  <si>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</si>
  <si>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</si>
  <si>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</si>
  <si>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</si>
  <si>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</si>
  <si>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</si>
  <si>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</si>
  <si>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</si>
  <si>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</si>
  <si>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</si>
  <si>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</si>
  <si>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</si>
  <si>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</si>
  <si>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</si>
  <si>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</si>
  <si>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</si>
  <si>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</si>
  <si>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</si>
  <si>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</si>
  <si>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</si>
  <si>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</si>
  <si>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</si>
  <si>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</si>
  <si>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</si>
  <si>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</si>
  <si>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</si>
  <si>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</si>
  <si>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</si>
  <si>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</si>
  <si>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</si>
  <si>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</si>
  <si>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</si>
  <si>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</si>
  <si>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</si>
  <si>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</si>
  <si>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</si>
  <si>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</si>
  <si>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</si>
  <si>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</si>
  <si>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</si>
  <si>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</si>
  <si>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</si>
  <si>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</si>
  <si>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</si>
  <si>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</si>
  <si>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</si>
  <si>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</si>
  <si>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</si>
  <si>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</si>
  <si>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</si>
  <si>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</si>
  <si>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</si>
  <si>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</si>
  <si>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</si>
  <si>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</si>
  <si>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</si>
  <si>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</si>
  <si>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</si>
  <si>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</si>
  <si>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</si>
  <si>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</si>
  <si>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</si>
  <si>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</si>
  <si>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</si>
  <si>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</si>
  <si>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</si>
  <si>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</si>
  <si>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</si>
  <si>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</si>
  <si>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</si>
  <si>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</si>
  <si>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AHELC-E</t>
  </si>
  <si>
    <t>ACTGRP</t>
  </si>
  <si>
    <t>CECELCCEN-E</t>
  </si>
  <si>
    <t>ETRANSDUM</t>
  </si>
  <si>
    <t>ICPAELC-E</t>
  </si>
  <si>
    <t>IFBAELC-E</t>
  </si>
  <si>
    <t>IISBFBOF-N</t>
  </si>
  <si>
    <t>IMIAELC-E</t>
  </si>
  <si>
    <t>INFAELC-E</t>
  </si>
  <si>
    <t>INMBRIADV</t>
  </si>
  <si>
    <t>IOTAELC-E</t>
  </si>
  <si>
    <t>IPPCHE-N</t>
  </si>
  <si>
    <t>MINCOA</t>
  </si>
  <si>
    <t>TAJETOKE-E</t>
  </si>
  <si>
    <t>TFHCV1ELC-N</t>
  </si>
  <si>
    <t>TPPUBRTBGS-N</t>
  </si>
  <si>
    <t>TSHFOOHF-E</t>
  </si>
  <si>
    <t>UCTLCLEIN-E</t>
  </si>
  <si>
    <t>UELEHGN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</si>
</sst>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Drivers!$B$40:$AM$40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1.6202107583807985E-2</c:v>
                </c:pt>
                <c:pt idx="6">
                  <c:v>1.6186873613418674E-2</c:v>
                </c:pt>
                <c:pt idx="7">
                  <c:v>1.6171639643029364E-2</c:v>
                </c:pt>
                <c:pt idx="8">
                  <c:v>1.5240146085589898E-2</c:v>
                </c:pt>
                <c:pt idx="9">
                  <c:v>1.4308652528150431E-2</c:v>
                </c:pt>
                <c:pt idx="10">
                  <c:v>1.3377158970710965E-2</c:v>
                </c:pt>
                <c:pt idx="11">
                  <c:v>1.2445665413271498E-2</c:v>
                </c:pt>
                <c:pt idx="12">
                  <c:v>1.1514171855832032E-2</c:v>
                </c:pt>
                <c:pt idx="13">
                  <c:v>1.1180627082855474E-2</c:v>
                </c:pt>
                <c:pt idx="14">
                  <c:v>1.0847082309878917E-2</c:v>
                </c:pt>
                <c:pt idx="15">
                  <c:v>1.0513537536902359E-2</c:v>
                </c:pt>
                <c:pt idx="16">
                  <c:v>1.0179992763925802E-2</c:v>
                </c:pt>
                <c:pt idx="17">
                  <c:v>9.846447990949244E-3</c:v>
                </c:pt>
                <c:pt idx="18">
                  <c:v>9.5840127277803736E-3</c:v>
                </c:pt>
                <c:pt idx="19">
                  <c:v>9.3215774646115031E-3</c:v>
                </c:pt>
                <c:pt idx="20">
                  <c:v>9.0591422014426326E-3</c:v>
                </c:pt>
                <c:pt idx="21">
                  <c:v>8.7967069382737621E-3</c:v>
                </c:pt>
                <c:pt idx="22">
                  <c:v>8.5342716751048917E-3</c:v>
                </c:pt>
                <c:pt idx="23">
                  <c:v>8.291648628220287E-3</c:v>
                </c:pt>
                <c:pt idx="24">
                  <c:v>8.0490255813356823E-3</c:v>
                </c:pt>
                <c:pt idx="25">
                  <c:v>7.8064025344510776E-3</c:v>
                </c:pt>
                <c:pt idx="26">
                  <c:v>7.5637794875664729E-3</c:v>
                </c:pt>
                <c:pt idx="27">
                  <c:v>7.3211564406818683E-3</c:v>
                </c:pt>
                <c:pt idx="28">
                  <c:v>7.0991110563013594E-3</c:v>
                </c:pt>
                <c:pt idx="29">
                  <c:v>6.8770656719208505E-3</c:v>
                </c:pt>
                <c:pt idx="30">
                  <c:v>6.6550202875403416E-3</c:v>
                </c:pt>
                <c:pt idx="31">
                  <c:v>6.4329749031598327E-3</c:v>
                </c:pt>
                <c:pt idx="32">
                  <c:v>6.2109295187793238E-3</c:v>
                </c:pt>
                <c:pt idx="33">
                  <c:v>5.9897116111574389E-3</c:v>
                </c:pt>
                <c:pt idx="34">
                  <c:v>5.768493703535554E-3</c:v>
                </c:pt>
                <c:pt idx="35">
                  <c:v>5.5472757959136691E-3</c:v>
                </c:pt>
                <c:pt idx="36">
                  <c:v>5.3260578882917842E-3</c:v>
                </c:pt>
                <c:pt idx="37">
                  <c:v>5.1048399806698994E-3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533400</xdr:colOff>
      <xdr:row>31</xdr:row>
      <xdr:rowOff>23812</xdr:rowOff>
    </xdr:from>
    <xdr:to>
      <xdr:col>28</xdr:col>
      <xdr:colOff>228600</xdr:colOff>
      <xdr:row>45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77"/>
  <sheetViews>
    <sheetView workbookViewId="0">
      <selection activeCell="C20" sqref="C20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44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2.477553756937767E-2</v>
      </c>
      <c r="D6" s="1">
        <f t="shared" ref="D6:AN6" si="0">D7/C7-1</f>
        <v>1.878075183710104E-2</v>
      </c>
      <c r="E6" s="1">
        <f t="shared" si="0"/>
        <v>1.2740982998781902E-2</v>
      </c>
      <c r="F6" s="1">
        <f t="shared" si="0"/>
        <v>7.9981696056479201E-3</v>
      </c>
      <c r="G6" s="1">
        <f t="shared" si="0"/>
        <v>1.187449739292834E-2</v>
      </c>
      <c r="H6" s="1">
        <f t="shared" si="0"/>
        <v>1.0158498208643563E-2</v>
      </c>
      <c r="I6" s="1">
        <f t="shared" si="0"/>
        <v>8.581199401060946E-3</v>
      </c>
      <c r="J6" s="1">
        <f t="shared" si="0"/>
        <v>-7.2459574307471297E-2</v>
      </c>
      <c r="K6" s="1">
        <f t="shared" si="0"/>
        <v>5.3999999999999826E-2</v>
      </c>
      <c r="L6" s="1">
        <f t="shared" si="0"/>
        <v>5.4000000000000048E-2</v>
      </c>
      <c r="M6" s="1">
        <f t="shared" si="0"/>
        <v>5.400000000000027E-2</v>
      </c>
      <c r="N6" s="1">
        <f t="shared" si="0"/>
        <v>5.3999999999999826E-2</v>
      </c>
      <c r="O6" s="1">
        <f t="shared" si="0"/>
        <v>5.4000000000000048E-2</v>
      </c>
      <c r="P6" s="1">
        <f t="shared" si="0"/>
        <v>5.4000000000000048E-2</v>
      </c>
      <c r="Q6" s="1">
        <f t="shared" si="0"/>
        <v>5.4000000000000048E-2</v>
      </c>
      <c r="R6" s="1">
        <f t="shared" si="0"/>
        <v>5.4000000000000048E-2</v>
      </c>
      <c r="S6" s="1">
        <f t="shared" si="0"/>
        <v>5.3999999999999826E-2</v>
      </c>
      <c r="T6" s="1">
        <f t="shared" si="0"/>
        <v>5.400000000000027E-2</v>
      </c>
      <c r="U6" s="1">
        <f t="shared" si="0"/>
        <v>5.0000000000000044E-2</v>
      </c>
      <c r="V6" s="1">
        <f t="shared" si="0"/>
        <v>5.0000000000000044E-2</v>
      </c>
      <c r="W6" s="1">
        <f t="shared" si="0"/>
        <v>5.0000000000000044E-2</v>
      </c>
      <c r="X6" s="1">
        <f t="shared" si="0"/>
        <v>5.0000000000000044E-2</v>
      </c>
      <c r="Y6" s="1">
        <f t="shared" si="0"/>
        <v>5.0000000000000266E-2</v>
      </c>
      <c r="Z6" s="1">
        <f t="shared" si="0"/>
        <v>4.4999999999999707E-2</v>
      </c>
      <c r="AA6" s="1">
        <f t="shared" si="0"/>
        <v>4.4999999999999929E-2</v>
      </c>
      <c r="AB6" s="1">
        <f t="shared" si="0"/>
        <v>4.4999999999999707E-2</v>
      </c>
      <c r="AC6" s="1">
        <f t="shared" si="0"/>
        <v>4.5000000000000151E-2</v>
      </c>
      <c r="AD6" s="1">
        <f t="shared" si="0"/>
        <v>4.4999999999999929E-2</v>
      </c>
      <c r="AE6" s="1">
        <f t="shared" si="0"/>
        <v>4.0000000000000036E-2</v>
      </c>
      <c r="AF6" s="1">
        <f t="shared" si="0"/>
        <v>4.0000000000000258E-2</v>
      </c>
      <c r="AG6" s="1">
        <f t="shared" si="0"/>
        <v>3.9999999999999813E-2</v>
      </c>
      <c r="AH6" s="1">
        <f t="shared" si="0"/>
        <v>3.9999999999999813E-2</v>
      </c>
      <c r="AI6" s="1">
        <f t="shared" si="0"/>
        <v>3.9999999999999813E-2</v>
      </c>
      <c r="AJ6" s="1">
        <f t="shared" si="0"/>
        <v>3.5000000000000364E-2</v>
      </c>
      <c r="AK6" s="1">
        <f t="shared" si="0"/>
        <v>3.4999999999999476E-2</v>
      </c>
      <c r="AL6" s="1">
        <f t="shared" si="0"/>
        <v>3.5000000000000142E-2</v>
      </c>
      <c r="AM6" s="1">
        <f t="shared" si="0"/>
        <v>3.499999999999992E-2</v>
      </c>
      <c r="AN6" s="1">
        <f t="shared" si="0"/>
        <v>3.4999999999999698E-2</v>
      </c>
    </row>
    <row r="7" spans="1:40" x14ac:dyDescent="0.25">
      <c r="A7" t="s">
        <v>72</v>
      </c>
      <c r="B7">
        <f>SUM(B10:B27)</f>
        <v>2893.58</v>
      </c>
      <c r="C7">
        <f t="shared" ref="C7:AN7" si="1">SUM(C10:C27)</f>
        <v>2965.2699999999995</v>
      </c>
      <c r="D7">
        <f t="shared" si="1"/>
        <v>3020.96</v>
      </c>
      <c r="E7">
        <f t="shared" si="1"/>
        <v>3059.4500000000003</v>
      </c>
      <c r="F7">
        <f t="shared" si="1"/>
        <v>3083.92</v>
      </c>
      <c r="G7">
        <f t="shared" si="1"/>
        <v>3120.5399999999995</v>
      </c>
      <c r="H7">
        <f t="shared" si="1"/>
        <v>3152.24</v>
      </c>
      <c r="I7">
        <f t="shared" si="1"/>
        <v>3179.29</v>
      </c>
      <c r="J7">
        <f t="shared" si="1"/>
        <v>2948.9199999999996</v>
      </c>
      <c r="K7">
        <f t="shared" si="1"/>
        <v>3108.1616799999993</v>
      </c>
      <c r="L7">
        <f t="shared" si="1"/>
        <v>3276.0024107199993</v>
      </c>
      <c r="M7">
        <f t="shared" si="1"/>
        <v>3452.9065408988799</v>
      </c>
      <c r="N7">
        <f t="shared" si="1"/>
        <v>3639.3634941074192</v>
      </c>
      <c r="O7">
        <f t="shared" si="1"/>
        <v>3835.88912278922</v>
      </c>
      <c r="P7">
        <f t="shared" si="1"/>
        <v>4043.027135419838</v>
      </c>
      <c r="Q7">
        <f t="shared" si="1"/>
        <v>4261.3506007325095</v>
      </c>
      <c r="R7">
        <f t="shared" si="1"/>
        <v>4491.4635331720656</v>
      </c>
      <c r="S7">
        <f t="shared" si="1"/>
        <v>4734.0025639633568</v>
      </c>
      <c r="T7">
        <f t="shared" si="1"/>
        <v>4989.6387024173791</v>
      </c>
      <c r="U7">
        <f t="shared" si="1"/>
        <v>5239.120637538248</v>
      </c>
      <c r="V7">
        <f t="shared" si="1"/>
        <v>5501.0766694151607</v>
      </c>
      <c r="W7">
        <f t="shared" si="1"/>
        <v>5776.1305028859188</v>
      </c>
      <c r="X7">
        <f t="shared" si="1"/>
        <v>6064.9370280302146</v>
      </c>
      <c r="Y7">
        <f t="shared" si="1"/>
        <v>6368.1838794317264</v>
      </c>
      <c r="Z7">
        <f t="shared" si="1"/>
        <v>6654.7521540061525</v>
      </c>
      <c r="AA7">
        <f t="shared" si="1"/>
        <v>6954.2160009364288</v>
      </c>
      <c r="AB7">
        <f t="shared" si="1"/>
        <v>7267.155720978566</v>
      </c>
      <c r="AC7">
        <f t="shared" si="1"/>
        <v>7594.1777284226027</v>
      </c>
      <c r="AD7">
        <f t="shared" si="1"/>
        <v>7935.9157262016197</v>
      </c>
      <c r="AE7">
        <f t="shared" si="1"/>
        <v>8253.3523552496845</v>
      </c>
      <c r="AF7">
        <f t="shared" si="1"/>
        <v>8583.4864494596732</v>
      </c>
      <c r="AG7">
        <f t="shared" si="1"/>
        <v>8926.8259074380585</v>
      </c>
      <c r="AH7">
        <f t="shared" si="1"/>
        <v>9283.8989437355795</v>
      </c>
      <c r="AI7">
        <f t="shared" si="1"/>
        <v>9655.254901485001</v>
      </c>
      <c r="AJ7">
        <f t="shared" si="1"/>
        <v>9993.1888230369786</v>
      </c>
      <c r="AK7">
        <f t="shared" si="1"/>
        <v>10342.950431843268</v>
      </c>
      <c r="AL7">
        <f t="shared" si="1"/>
        <v>10704.953696957784</v>
      </c>
      <c r="AM7">
        <f t="shared" si="1"/>
        <v>11079.627076351306</v>
      </c>
      <c r="AN7">
        <f t="shared" si="1"/>
        <v>11467.414024023599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69.819999999999993</v>
      </c>
      <c r="C10">
        <f>IF($C$3="CGE",INDEX(GDP_CGE!$A$3:$AN$21,MATCH($A10,GDP_CGE!$A$3:$A$21,0),MATCH(C$9,GDP_CGE!$A$3:$AN$3,0)),GDP_Simple!C8)</f>
        <v>72.77</v>
      </c>
      <c r="D10">
        <f>IF($C$3="CGE",INDEX(GDP_CGE!$A$3:$AN$21,MATCH($A10,GDP_CGE!$A$3:$A$21,0),MATCH(D$9,GDP_CGE!$A$3:$AN$3,0)),GDP_Simple!D8)</f>
        <v>75.510000000000005</v>
      </c>
      <c r="E10">
        <f>IF($C$3="CGE",INDEX(GDP_CGE!$A$3:$AN$21,MATCH($A10,GDP_CGE!$A$3:$A$21,0),MATCH(E$9,GDP_CGE!$A$3:$AN$3,0)),GDP_Simple!E8)</f>
        <v>74.36</v>
      </c>
      <c r="F10">
        <f>IF($C$3="CGE",INDEX(GDP_CGE!$A$3:$AN$21,MATCH($A10,GDP_CGE!$A$3:$A$21,0),MATCH(F$9,GDP_CGE!$A$3:$AN$3,0)),GDP_Simple!F8)</f>
        <v>73.55</v>
      </c>
      <c r="G10">
        <f>IF($C$3="CGE",INDEX(GDP_CGE!$A$3:$AN$21,MATCH($A10,GDP_CGE!$A$3:$A$21,0),MATCH(G$9,GDP_CGE!$A$3:$AN$3,0)),GDP_Simple!G8)</f>
        <v>76</v>
      </c>
      <c r="H10">
        <f>IF($C$3="CGE",INDEX(GDP_CGE!$A$3:$AN$21,MATCH($A10,GDP_CGE!$A$3:$A$21,0),MATCH(H$9,GDP_CGE!$A$3:$AN$3,0)),GDP_Simple!H8)</f>
        <v>74.78</v>
      </c>
      <c r="I10">
        <f>IF($C$3="CGE",INDEX(GDP_CGE!$A$3:$AN$21,MATCH($A10,GDP_CGE!$A$3:$A$21,0),MATCH(I$9,GDP_CGE!$A$3:$AN$3,0)),GDP_Simple!I8)</f>
        <v>73.53</v>
      </c>
      <c r="J10">
        <f>IF($C$3="CGE",INDEX(GDP_CGE!$A$3:$AN$21,MATCH($A10,GDP_CGE!$A$3:$A$21,0),MATCH(J$9,GDP_CGE!$A$3:$AN$3,0)),GDP_Simple!J8)</f>
        <v>70.959999999999994</v>
      </c>
      <c r="K10">
        <f>IF($C$3="CGE",INDEX(GDP_CGE!$A$3:$AN$21,MATCH($A10,GDP_CGE!$A$3:$A$21,0),MATCH(K$9,GDP_CGE!$A$3:$AN$3,0)),GDP_Simple!K8)</f>
        <v>74.437039999999982</v>
      </c>
      <c r="L10">
        <f>IF($C$3="CGE",INDEX(GDP_CGE!$A$3:$AN$21,MATCH($A10,GDP_CGE!$A$3:$A$21,0),MATCH(L$9,GDP_CGE!$A$3:$AN$3,0)),GDP_Simple!L8)</f>
        <v>78.051371831111084</v>
      </c>
      <c r="M10">
        <f>IF($C$3="CGE",INDEX(GDP_CGE!$A$3:$AN$21,MATCH($A10,GDP_CGE!$A$3:$A$21,0),MATCH(M$9,GDP_CGE!$A$3:$AN$3,0)),GDP_Simple!M8)</f>
        <v>81.806510053652332</v>
      </c>
      <c r="N10">
        <f>IF($C$3="CGE",INDEX(GDP_CGE!$A$3:$AN$21,MATCH($A10,GDP_CGE!$A$3:$A$21,0),MATCH(N$9,GDP_CGE!$A$3:$AN$3,0)),GDP_Simple!N8)</f>
        <v>85.705953699543102</v>
      </c>
      <c r="O10">
        <f>IF($C$3="CGE",INDEX(GDP_CGE!$A$3:$AN$21,MATCH($A10,GDP_CGE!$A$3:$A$21,0),MATCH(O$9,GDP_CGE!$A$3:$AN$3,0)),GDP_Simple!O8)</f>
        <v>89.753179290910424</v>
      </c>
      <c r="P10">
        <f>IF($C$3="CGE",INDEX(GDP_CGE!$A$3:$AN$21,MATCH($A10,GDP_CGE!$A$3:$A$21,0),MATCH(P$9,GDP_CGE!$A$3:$AN$3,0)),GDP_Simple!P8)</f>
        <v>93.951633566629681</v>
      </c>
      <c r="Q10">
        <f>IF($C$3="CGE",INDEX(GDP_CGE!$A$3:$AN$21,MATCH($A10,GDP_CGE!$A$3:$A$21,0),MATCH(Q$9,GDP_CGE!$A$3:$AN$3,0)),GDP_Simple!Q8)</f>
        <v>98.304725921883517</v>
      </c>
      <c r="R10">
        <f>IF($C$3="CGE",INDEX(GDP_CGE!$A$3:$AN$21,MATCH($A10,GDP_CGE!$A$3:$A$21,0),MATCH(R$9,GDP_CGE!$A$3:$AN$3,0)),GDP_Simple!R8)</f>
        <v>102.8158205669655</v>
      </c>
      <c r="S10">
        <f>IF($C$3="CGE",INDEX(GDP_CGE!$A$3:$AN$21,MATCH($A10,GDP_CGE!$A$3:$A$21,0),MATCH(S$9,GDP_CGE!$A$3:$AN$3,0)),GDP_Simple!S8)</f>
        <v>107.48822841273093</v>
      </c>
      <c r="T10">
        <f>IF($C$3="CGE",INDEX(GDP_CGE!$A$3:$AN$21,MATCH($A10,GDP_CGE!$A$3:$A$21,0),MATCH(T$9,GDP_CGE!$A$3:$AN$3,0)),GDP_Simple!T8)</f>
        <v>112.32519869130381</v>
      </c>
      <c r="U10">
        <f>IF($C$3="CGE",INDEX(GDP_CGE!$A$3:$AN$21,MATCH($A10,GDP_CGE!$A$3:$A$21,0),MATCH(U$9,GDP_CGE!$A$3:$AN$3,0)),GDP_Simple!U8)</f>
        <v>116.71615331048173</v>
      </c>
      <c r="V10">
        <f>IF($C$3="CGE",INDEX(GDP_CGE!$A$3:$AN$21,MATCH($A10,GDP_CGE!$A$3:$A$21,0),MATCH(V$9,GDP_CGE!$A$3:$AN$3,0)),GDP_Simple!V8)</f>
        <v>121.00235425624632</v>
      </c>
      <c r="W10">
        <f>IF($C$3="CGE",INDEX(GDP_CGE!$A$3:$AN$21,MATCH($A10,GDP_CGE!$A$3:$A$21,0),MATCH(W$9,GDP_CGE!$A$3:$AN$3,0)),GDP_Simple!W8)</f>
        <v>125.21950331638818</v>
      </c>
      <c r="X10">
        <f>IF($C$3="CGE",INDEX(GDP_CGE!$A$3:$AN$21,MATCH($A10,GDP_CGE!$A$3:$A$21,0),MATCH(X$9,GDP_CGE!$A$3:$AN$3,0)),GDP_Simple!X8)</f>
        <v>129.45004352560707</v>
      </c>
      <c r="Y10">
        <f>IF($C$3="CGE",INDEX(GDP_CGE!$A$3:$AN$21,MATCH($A10,GDP_CGE!$A$3:$A$21,0),MATCH(Y$9,GDP_CGE!$A$3:$AN$3,0)),GDP_Simple!Y8)</f>
        <v>133.64710535168192</v>
      </c>
      <c r="Z10">
        <f>IF($C$3="CGE",INDEX(GDP_CGE!$A$3:$AN$21,MATCH($A10,GDP_CGE!$A$3:$A$21,0),MATCH(Z$9,GDP_CGE!$A$3:$AN$3,0)),GDP_Simple!Z8)</f>
        <v>137.82378439559852</v>
      </c>
      <c r="AA10">
        <f>IF($C$3="CGE",INDEX(GDP_CGE!$A$3:$AN$21,MATCH($A10,GDP_CGE!$A$3:$A$21,0),MATCH(AA$9,GDP_CGE!$A$3:$AN$3,0)),GDP_Simple!AA8)</f>
        <v>142.19746213632891</v>
      </c>
      <c r="AB10">
        <f>IF($C$3="CGE",INDEX(GDP_CGE!$A$3:$AN$21,MATCH($A10,GDP_CGE!$A$3:$A$21,0),MATCH(AB$9,GDP_CGE!$A$3:$AN$3,0)),GDP_Simple!AB8)</f>
        <v>146.76514667946128</v>
      </c>
      <c r="AC10">
        <f>IF($C$3="CGE",INDEX(GDP_CGE!$A$3:$AN$21,MATCH($A10,GDP_CGE!$A$3:$A$21,0),MATCH(AC$9,GDP_CGE!$A$3:$AN$3,0)),GDP_Simple!AC8)</f>
        <v>151.47852572016805</v>
      </c>
      <c r="AD10">
        <f>IF($C$3="CGE",INDEX(GDP_CGE!$A$3:$AN$21,MATCH($A10,GDP_CGE!$A$3:$A$21,0),MATCH(AD$9,GDP_CGE!$A$3:$AN$3,0)),GDP_Simple!AD8)</f>
        <v>156.30775177368406</v>
      </c>
      <c r="AE10">
        <f>IF($C$3="CGE",INDEX(GDP_CGE!$A$3:$AN$21,MATCH($A10,GDP_CGE!$A$3:$A$21,0),MATCH(AE$9,GDP_CGE!$A$3:$AN$3,0)),GDP_Simple!AE8)</f>
        <v>160.4347727285728</v>
      </c>
      <c r="AF10">
        <f>IF($C$3="CGE",INDEX(GDP_CGE!$A$3:$AN$21,MATCH($A10,GDP_CGE!$A$3:$A$21,0),MATCH(AF$9,GDP_CGE!$A$3:$AN$3,0)),GDP_Simple!AF8)</f>
        <v>164.61284704957592</v>
      </c>
      <c r="AG10">
        <f>IF($C$3="CGE",INDEX(GDP_CGE!$A$3:$AN$21,MATCH($A10,GDP_CGE!$A$3:$A$21,0),MATCH(AG$9,GDP_CGE!$A$3:$AN$3,0)),GDP_Simple!AG8)</f>
        <v>168.840580212525</v>
      </c>
      <c r="AH10">
        <f>IF($C$3="CGE",INDEX(GDP_CGE!$A$3:$AN$21,MATCH($A10,GDP_CGE!$A$3:$A$21,0),MATCH(AH$9,GDP_CGE!$A$3:$AN$3,0)),GDP_Simple!AH8)</f>
        <v>173.39174796513376</v>
      </c>
      <c r="AI10">
        <f>IF($C$3="CGE",INDEX(GDP_CGE!$A$3:$AN$21,MATCH($A10,GDP_CGE!$A$3:$A$21,0),MATCH(AI$9,GDP_CGE!$A$3:$AN$3,0)),GDP_Simple!AI8)</f>
        <v>178.22744731925377</v>
      </c>
      <c r="AJ10">
        <f>IF($C$3="CGE",INDEX(GDP_CGE!$A$3:$AN$21,MATCH($A10,GDP_CGE!$A$3:$A$21,0),MATCH(AJ$9,GDP_CGE!$A$3:$AN$3,0)),GDP_Simple!AJ8)</f>
        <v>182.61175924221357</v>
      </c>
      <c r="AK10">
        <f>IF($C$3="CGE",INDEX(GDP_CGE!$A$3:$AN$21,MATCH($A10,GDP_CGE!$A$3:$A$21,0),MATCH(AK$9,GDP_CGE!$A$3:$AN$3,0)),GDP_Simple!AK8)</f>
        <v>187.24395378804476</v>
      </c>
      <c r="AL10">
        <f>IF($C$3="CGE",INDEX(GDP_CGE!$A$3:$AN$21,MATCH($A10,GDP_CGE!$A$3:$A$21,0),MATCH(AL$9,GDP_CGE!$A$3:$AN$3,0)),GDP_Simple!AL8)</f>
        <v>191.88981679732325</v>
      </c>
      <c r="AM10">
        <f>IF($C$3="CGE",INDEX(GDP_CGE!$A$3:$AN$21,MATCH($A10,GDP_CGE!$A$3:$A$21,0),MATCH(AM$9,GDP_CGE!$A$3:$AN$3,0)),GDP_Simple!AM8)</f>
        <v>196.8215015055097</v>
      </c>
      <c r="AN10">
        <f>IF($C$3="CGE",INDEX(GDP_CGE!$A$3:$AN$21,MATCH($A10,GDP_CGE!$A$3:$A$21,0),MATCH(AN$9,GDP_CGE!$A$3:$AN$3,0)),GDP_Simple!AN8)</f>
        <v>201.93366426266269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65.98</v>
      </c>
      <c r="D11">
        <f>IF($C$3="CGE",INDEX(GDP_CGE!$A$3:$AN$21,MATCH($A11,GDP_CGE!$A$3:$A$21,0),MATCH(D$9,GDP_CGE!$A$3:$AN$3,0)),GDP_Simple!D9)</f>
        <v>65.72</v>
      </c>
      <c r="E11">
        <f>IF($C$3="CGE",INDEX(GDP_CGE!$A$3:$AN$21,MATCH($A11,GDP_CGE!$A$3:$A$21,0),MATCH(E$9,GDP_CGE!$A$3:$AN$3,0)),GDP_Simple!E9)</f>
        <v>65.459999999999994</v>
      </c>
      <c r="F11">
        <f>IF($C$3="CGE",INDEX(GDP_CGE!$A$3:$AN$21,MATCH($A11,GDP_CGE!$A$3:$A$21,0),MATCH(F$9,GDP_CGE!$A$3:$AN$3,0)),GDP_Simple!F9)</f>
        <v>64.28</v>
      </c>
      <c r="G11">
        <f>IF($C$3="CGE",INDEX(GDP_CGE!$A$3:$AN$21,MATCH($A11,GDP_CGE!$A$3:$A$21,0),MATCH(G$9,GDP_CGE!$A$3:$AN$3,0)),GDP_Simple!G9)</f>
        <v>63.85</v>
      </c>
      <c r="H11">
        <f>IF($C$3="CGE",INDEX(GDP_CGE!$A$3:$AN$21,MATCH($A11,GDP_CGE!$A$3:$A$21,0),MATCH(H$9,GDP_CGE!$A$3:$AN$3,0)),GDP_Simple!H9)</f>
        <v>63.13</v>
      </c>
      <c r="I11">
        <f>IF($C$3="CGE",INDEX(GDP_CGE!$A$3:$AN$21,MATCH($A11,GDP_CGE!$A$3:$A$21,0),MATCH(I$9,GDP_CGE!$A$3:$AN$3,0)),GDP_Simple!I9)</f>
        <v>62.24</v>
      </c>
      <c r="J11">
        <f>IF($C$3="CGE",INDEX(GDP_CGE!$A$3:$AN$21,MATCH($A11,GDP_CGE!$A$3:$A$21,0),MATCH(J$9,GDP_CGE!$A$3:$AN$3,0)),GDP_Simple!J9)</f>
        <v>61.58</v>
      </c>
      <c r="K11">
        <f>IF($C$3="CGE",INDEX(GDP_CGE!$A$3:$AN$21,MATCH($A11,GDP_CGE!$A$3:$A$21,0),MATCH(K$9,GDP_CGE!$A$3:$AN$3,0)),GDP_Simple!K9)</f>
        <v>61.25417989313442</v>
      </c>
      <c r="L11">
        <f>IF($C$3="CGE",INDEX(GDP_CGE!$A$3:$AN$21,MATCH($A11,GDP_CGE!$A$3:$A$21,0),MATCH(L$9,GDP_CGE!$A$3:$AN$3,0)),GDP_Simple!L9)</f>
        <v>61.001932068231298</v>
      </c>
      <c r="M11">
        <f>IF($C$3="CGE",INDEX(GDP_CGE!$A$3:$AN$21,MATCH($A11,GDP_CGE!$A$3:$A$21,0),MATCH(M$9,GDP_CGE!$A$3:$AN$3,0)),GDP_Simple!M9)</f>
        <v>61.306731520996301</v>
      </c>
      <c r="N11">
        <f>IF($C$3="CGE",INDEX(GDP_CGE!$A$3:$AN$21,MATCH($A11,GDP_CGE!$A$3:$A$21,0),MATCH(N$9,GDP_CGE!$A$3:$AN$3,0)),GDP_Simple!N9)</f>
        <v>61.769185863658223</v>
      </c>
      <c r="O11">
        <f>IF($C$3="CGE",INDEX(GDP_CGE!$A$3:$AN$21,MATCH($A11,GDP_CGE!$A$3:$A$21,0),MATCH(O$9,GDP_CGE!$A$3:$AN$3,0)),GDP_Simple!O9)</f>
        <v>62.610011942070962</v>
      </c>
      <c r="P11">
        <f>IF($C$3="CGE",INDEX(GDP_CGE!$A$3:$AN$21,MATCH($A11,GDP_CGE!$A$3:$A$21,0),MATCH(P$9,GDP_CGE!$A$3:$AN$3,0)),GDP_Simple!P9)</f>
        <v>62.179088575301975</v>
      </c>
      <c r="Q11">
        <f>IF($C$3="CGE",INDEX(GDP_CGE!$A$3:$AN$21,MATCH($A11,GDP_CGE!$A$3:$A$21,0),MATCH(Q$9,GDP_CGE!$A$3:$AN$3,0)),GDP_Simple!Q9)</f>
        <v>62.010923358363861</v>
      </c>
      <c r="R11">
        <f>IF($C$3="CGE",INDEX(GDP_CGE!$A$3:$AN$21,MATCH($A11,GDP_CGE!$A$3:$A$21,0),MATCH(R$9,GDP_CGE!$A$3:$AN$3,0)),GDP_Simple!R9)</f>
        <v>62.45235704900896</v>
      </c>
      <c r="S11">
        <f>IF($C$3="CGE",INDEX(GDP_CGE!$A$3:$AN$21,MATCH($A11,GDP_CGE!$A$3:$A$21,0),MATCH(S$9,GDP_CGE!$A$3:$AN$3,0)),GDP_Simple!S9)</f>
        <v>62.799197805713334</v>
      </c>
      <c r="T11">
        <f>IF($C$3="CGE",INDEX(GDP_CGE!$A$3:$AN$21,MATCH($A11,GDP_CGE!$A$3:$A$21,0),MATCH(T$9,GDP_CGE!$A$3:$AN$3,0)),GDP_Simple!T9)</f>
        <v>63.209100518366384</v>
      </c>
      <c r="U11">
        <f>IF($C$3="CGE",INDEX(GDP_CGE!$A$3:$AN$21,MATCH($A11,GDP_CGE!$A$3:$A$21,0),MATCH(U$9,GDP_CGE!$A$3:$AN$3,0)),GDP_Simple!U9)</f>
        <v>62.925321715524937</v>
      </c>
      <c r="V11">
        <f>IF($C$3="CGE",INDEX(GDP_CGE!$A$3:$AN$21,MATCH($A11,GDP_CGE!$A$3:$A$21,0),MATCH(V$9,GDP_CGE!$A$3:$AN$3,0)),GDP_Simple!V9)</f>
        <v>62.862259758521539</v>
      </c>
      <c r="W11">
        <f>IF($C$3="CGE",INDEX(GDP_CGE!$A$3:$AN$21,MATCH($A11,GDP_CGE!$A$3:$A$21,0),MATCH(W$9,GDP_CGE!$A$3:$AN$3,0)),GDP_Simple!W9)</f>
        <v>62.052964656095284</v>
      </c>
      <c r="X11">
        <f>IF($C$3="CGE",INDEX(GDP_CGE!$A$3:$AN$21,MATCH($A11,GDP_CGE!$A$3:$A$21,0),MATCH(X$9,GDP_CGE!$A$3:$AN$3,0)),GDP_Simple!X9)</f>
        <v>61.811227157234974</v>
      </c>
      <c r="Y11">
        <f>IF($C$3="CGE",INDEX(GDP_CGE!$A$3:$AN$21,MATCH($A11,GDP_CGE!$A$3:$A$21,0),MATCH(Y$9,GDP_CGE!$A$3:$AN$3,0)),GDP_Simple!Y9)</f>
        <v>60.66560162310725</v>
      </c>
      <c r="Z11">
        <f>IF($C$3="CGE",INDEX(GDP_CGE!$A$3:$AN$21,MATCH($A11,GDP_CGE!$A$3:$A$21,0),MATCH(Z$9,GDP_CGE!$A$3:$AN$3,0)),GDP_Simple!Z9)</f>
        <v>59.530486414990719</v>
      </c>
      <c r="AA11">
        <f>IF($C$3="CGE",INDEX(GDP_CGE!$A$3:$AN$21,MATCH($A11,GDP_CGE!$A$3:$A$21,0),MATCH(AA$9,GDP_CGE!$A$3:$AN$3,0)),GDP_Simple!AA9)</f>
        <v>58.910377180461147</v>
      </c>
      <c r="AB11">
        <f>IF($C$3="CGE",INDEX(GDP_CGE!$A$3:$AN$21,MATCH($A11,GDP_CGE!$A$3:$A$21,0),MATCH(AB$9,GDP_CGE!$A$3:$AN$3,0)),GDP_Simple!AB9)</f>
        <v>57.743730994411983</v>
      </c>
      <c r="AC11">
        <f>IF($C$3="CGE",INDEX(GDP_CGE!$A$3:$AN$21,MATCH($A11,GDP_CGE!$A$3:$A$21,0),MATCH(AC$9,GDP_CGE!$A$3:$AN$3,0)),GDP_Simple!AC9)</f>
        <v>56.577084808384058</v>
      </c>
      <c r="AD11">
        <f>IF($C$3="CGE",INDEX(GDP_CGE!$A$3:$AN$21,MATCH($A11,GDP_CGE!$A$3:$A$21,0),MATCH(AD$9,GDP_CGE!$A$3:$AN$3,0)),GDP_Simple!AD9)</f>
        <v>55.389417970396636</v>
      </c>
      <c r="AE11">
        <f>IF($C$3="CGE",INDEX(GDP_CGE!$A$3:$AN$21,MATCH($A11,GDP_CGE!$A$3:$A$21,0),MATCH(AE$9,GDP_CGE!$A$3:$AN$3,0)),GDP_Simple!AE9)</f>
        <v>54.769308735912702</v>
      </c>
      <c r="AF11">
        <f>IF($C$3="CGE",INDEX(GDP_CGE!$A$3:$AN$21,MATCH($A11,GDP_CGE!$A$3:$A$21,0),MATCH(AF$9,GDP_CGE!$A$3:$AN$3,0)),GDP_Simple!AF9)</f>
        <v>54.159709827430859</v>
      </c>
      <c r="AG11">
        <f>IF($C$3="CGE",INDEX(GDP_CGE!$A$3:$AN$21,MATCH($A11,GDP_CGE!$A$3:$A$21,0),MATCH(AG$9,GDP_CGE!$A$3:$AN$3,0)),GDP_Simple!AG9)</f>
        <v>53.550110918960847</v>
      </c>
      <c r="AH11">
        <f>IF($C$3="CGE",INDEX(GDP_CGE!$A$3:$AN$21,MATCH($A11,GDP_CGE!$A$3:$A$21,0),MATCH(AH$9,GDP_CGE!$A$3:$AN$3,0)),GDP_Simple!AH9)</f>
        <v>52.951022336492571</v>
      </c>
      <c r="AI11">
        <f>IF($C$3="CGE",INDEX(GDP_CGE!$A$3:$AN$21,MATCH($A11,GDP_CGE!$A$3:$A$21,0),MATCH(AI$9,GDP_CGE!$A$3:$AN$3,0)),GDP_Simple!AI9)</f>
        <v>52.341423428046618</v>
      </c>
      <c r="AJ11">
        <f>IF($C$3="CGE",INDEX(GDP_CGE!$A$3:$AN$21,MATCH($A11,GDP_CGE!$A$3:$A$21,0),MATCH(AJ$9,GDP_CGE!$A$3:$AN$3,0)),GDP_Simple!AJ9)</f>
        <v>51.742334845602265</v>
      </c>
      <c r="AK11">
        <f>IF($C$3="CGE",INDEX(GDP_CGE!$A$3:$AN$21,MATCH($A11,GDP_CGE!$A$3:$A$21,0),MATCH(AK$9,GDP_CGE!$A$3:$AN$3,0)),GDP_Simple!AK9)</f>
        <v>51.143246263170084</v>
      </c>
      <c r="AL11">
        <f>IF($C$3="CGE",INDEX(GDP_CGE!$A$3:$AN$21,MATCH($A11,GDP_CGE!$A$3:$A$21,0),MATCH(AL$9,GDP_CGE!$A$3:$AN$3,0)),GDP_Simple!AL9)</f>
        <v>50.533647354761293</v>
      </c>
      <c r="AM11">
        <f>IF($C$3="CGE",INDEX(GDP_CGE!$A$3:$AN$21,MATCH($A11,GDP_CGE!$A$3:$A$21,0),MATCH(AM$9,GDP_CGE!$A$3:$AN$3,0)),GDP_Simple!AM9)</f>
        <v>49.934558772353881</v>
      </c>
      <c r="AN11">
        <f>IF($C$3="CGE",INDEX(GDP_CGE!$A$3:$AN$21,MATCH($A11,GDP_CGE!$A$3:$A$21,0),MATCH(AN$9,GDP_CGE!$A$3:$AN$3,0)),GDP_Simple!AN9)</f>
        <v>49.335470189959082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1833.85</v>
      </c>
      <c r="C12">
        <f>IF($C$3="CGE",INDEX(GDP_CGE!$A$3:$AN$21,MATCH($A12,GDP_CGE!$A$3:$A$21,0),MATCH(C$9,GDP_CGE!$A$3:$AN$3,0)),GDP_Simple!C10)</f>
        <v>1884.55</v>
      </c>
      <c r="D12">
        <f>IF($C$3="CGE",INDEX(GDP_CGE!$A$3:$AN$21,MATCH($A12,GDP_CGE!$A$3:$A$21,0),MATCH(D$9,GDP_CGE!$A$3:$AN$3,0)),GDP_Simple!D10)</f>
        <v>1927.88</v>
      </c>
      <c r="E12">
        <f>IF($C$3="CGE",INDEX(GDP_CGE!$A$3:$AN$21,MATCH($A12,GDP_CGE!$A$3:$A$21,0),MATCH(E$9,GDP_CGE!$A$3:$AN$3,0)),GDP_Simple!E10)</f>
        <v>1957.41</v>
      </c>
      <c r="F12">
        <f>IF($C$3="CGE",INDEX(GDP_CGE!$A$3:$AN$21,MATCH($A12,GDP_CGE!$A$3:$A$21,0),MATCH(F$9,GDP_CGE!$A$3:$AN$3,0)),GDP_Simple!F10)</f>
        <v>1982.72</v>
      </c>
      <c r="G12">
        <f>IF($C$3="CGE",INDEX(GDP_CGE!$A$3:$AN$21,MATCH($A12,GDP_CGE!$A$3:$A$21,0),MATCH(G$9,GDP_CGE!$A$3:$AN$3,0)),GDP_Simple!G10)</f>
        <v>2007.4</v>
      </c>
      <c r="H12">
        <f>IF($C$3="CGE",INDEX(GDP_CGE!$A$3:$AN$21,MATCH($A12,GDP_CGE!$A$3:$A$21,0),MATCH(H$9,GDP_CGE!$A$3:$AN$3,0)),GDP_Simple!H10)</f>
        <v>2036.6</v>
      </c>
      <c r="I12">
        <f>IF($C$3="CGE",INDEX(GDP_CGE!$A$3:$AN$21,MATCH($A12,GDP_CGE!$A$3:$A$21,0),MATCH(I$9,GDP_CGE!$A$3:$AN$3,0)),GDP_Simple!I10)</f>
        <v>2071.14</v>
      </c>
      <c r="J12">
        <f>IF($C$3="CGE",INDEX(GDP_CGE!$A$3:$AN$21,MATCH($A12,GDP_CGE!$A$3:$A$21,0),MATCH(J$9,GDP_CGE!$A$3:$AN$3,0)),GDP_Simple!J10)</f>
        <v>1915.6</v>
      </c>
      <c r="K12">
        <f>IF($C$3="CGE",INDEX(GDP_CGE!$A$3:$AN$21,MATCH($A12,GDP_CGE!$A$3:$A$21,0),MATCH(K$9,GDP_CGE!$A$3:$AN$3,0)),GDP_Simple!K10)</f>
        <v>2026.9390733999999</v>
      </c>
      <c r="L12">
        <f>IF($C$3="CGE",INDEX(GDP_CGE!$A$3:$AN$21,MATCH($A12,GDP_CGE!$A$3:$A$21,0),MATCH(L$9,GDP_CGE!$A$3:$AN$3,0)),GDP_Simple!L10)</f>
        <v>2144.7168771272</v>
      </c>
      <c r="M12">
        <f>IF($C$3="CGE",INDEX(GDP_CGE!$A$3:$AN$21,MATCH($A12,GDP_CGE!$A$3:$A$21,0),MATCH(M$9,GDP_CGE!$A$3:$AN$3,0)),GDP_Simple!M10)</f>
        <v>2269.3041293189031</v>
      </c>
      <c r="N12">
        <f>IF($C$3="CGE",INDEX(GDP_CGE!$A$3:$AN$21,MATCH($A12,GDP_CGE!$A$3:$A$21,0),MATCH(N$9,GDP_CGE!$A$3:$AN$3,0)),GDP_Simple!N10)</f>
        <v>2401.0928103336073</v>
      </c>
      <c r="O12">
        <f>IF($C$3="CGE",INDEX(GDP_CGE!$A$3:$AN$21,MATCH($A12,GDP_CGE!$A$3:$A$21,0),MATCH(O$9,GDP_CGE!$A$3:$AN$3,0)),GDP_Simple!O10)</f>
        <v>2540.4973780568057</v>
      </c>
      <c r="P12">
        <f>IF($C$3="CGE",INDEX(GDP_CGE!$A$3:$AN$21,MATCH($A12,GDP_CGE!$A$3:$A$21,0),MATCH(P$9,GDP_CGE!$A$3:$AN$3,0)),GDP_Simple!P10)</f>
        <v>2687.956052459177</v>
      </c>
      <c r="Q12">
        <f>IF($C$3="CGE",INDEX(GDP_CGE!$A$3:$AN$21,MATCH($A12,GDP_CGE!$A$3:$A$21,0),MATCH(Q$9,GDP_CGE!$A$3:$AN$3,0)),GDP_Simple!Q10)</f>
        <v>2843.93217334259</v>
      </c>
      <c r="R12">
        <f>IF($C$3="CGE",INDEX(GDP_CGE!$A$3:$AN$21,MATCH($A12,GDP_CGE!$A$3:$A$21,0),MATCH(R$9,GDP_CGE!$A$3:$AN$3,0)),GDP_Simple!R10)</f>
        <v>3008.9156354324414</v>
      </c>
      <c r="S12">
        <f>IF($C$3="CGE",INDEX(GDP_CGE!$A$3:$AN$21,MATCH($A12,GDP_CGE!$A$3:$A$21,0),MATCH(S$9,GDP_CGE!$A$3:$AN$3,0)),GDP_Simple!S10)</f>
        <v>3183.42440521053</v>
      </c>
      <c r="T12">
        <f>IF($C$3="CGE",INDEX(GDP_CGE!$A$3:$AN$21,MATCH($A12,GDP_CGE!$A$3:$A$21,0),MATCH(T$9,GDP_CGE!$A$3:$AN$3,0)),GDP_Simple!T10)</f>
        <v>3368.0061241317312</v>
      </c>
      <c r="U12">
        <f>IF($C$3="CGE",INDEX(GDP_CGE!$A$3:$AN$21,MATCH($A12,GDP_CGE!$A$3:$A$21,0),MATCH(U$9,GDP_CGE!$A$3:$AN$3,0)),GDP_Simple!U10)</f>
        <v>3549.5042319321628</v>
      </c>
      <c r="V12">
        <f>IF($C$3="CGE",INDEX(GDP_CGE!$A$3:$AN$21,MATCH($A12,GDP_CGE!$A$3:$A$21,0),MATCH(V$9,GDP_CGE!$A$3:$AN$3,0)),GDP_Simple!V10)</f>
        <v>3740.7321352023091</v>
      </c>
      <c r="W12">
        <f>IF($C$3="CGE",INDEX(GDP_CGE!$A$3:$AN$21,MATCH($A12,GDP_CGE!$A$3:$A$21,0),MATCH(W$9,GDP_CGE!$A$3:$AN$3,0)),GDP_Simple!W10)</f>
        <v>3942.209068219639</v>
      </c>
      <c r="X12">
        <f>IF($C$3="CGE",INDEX(GDP_CGE!$A$3:$AN$21,MATCH($A12,GDP_CGE!$A$3:$A$21,0),MATCH(X$9,GDP_CGE!$A$3:$AN$3,0)),GDP_Simple!X10)</f>
        <v>4154.4818642006958</v>
      </c>
      <c r="Y12">
        <f>IF($C$3="CGE",INDEX(GDP_CGE!$A$3:$AN$21,MATCH($A12,GDP_CGE!$A$3:$A$21,0),MATCH(Y$9,GDP_CGE!$A$3:$AN$3,0)),GDP_Simple!Y10)</f>
        <v>4378.1264171093098</v>
      </c>
      <c r="Z12">
        <f>IF($C$3="CGE",INDEX(GDP_CGE!$A$3:$AN$21,MATCH($A12,GDP_CGE!$A$3:$A$21,0),MATCH(Z$9,GDP_CGE!$A$3:$AN$3,0)),GDP_Simple!Z10)</f>
        <v>4591.778986264243</v>
      </c>
      <c r="AA12">
        <f>IF($C$3="CGE",INDEX(GDP_CGE!$A$3:$AN$21,MATCH($A12,GDP_CGE!$A$3:$A$21,0),MATCH(AA$9,GDP_CGE!$A$3:$AN$3,0)),GDP_Simple!AA10)</f>
        <v>4815.7945806484749</v>
      </c>
      <c r="AB12">
        <f>IF($C$3="CGE",INDEX(GDP_CGE!$A$3:$AN$21,MATCH($A12,GDP_CGE!$A$3:$A$21,0),MATCH(AB$9,GDP_CGE!$A$3:$AN$3,0)),GDP_Simple!AB10)</f>
        <v>5050.6732260801018</v>
      </c>
      <c r="AC12">
        <f>IF($C$3="CGE",INDEX(GDP_CGE!$A$3:$AN$21,MATCH($A12,GDP_CGE!$A$3:$A$21,0),MATCH(AC$9,GDP_CGE!$A$3:$AN$3,0)),GDP_Simple!AC10)</f>
        <v>5296.9389655747618</v>
      </c>
      <c r="AD12">
        <f>IF($C$3="CGE",INDEX(GDP_CGE!$A$3:$AN$21,MATCH($A12,GDP_CGE!$A$3:$A$21,0),MATCH(AD$9,GDP_CGE!$A$3:$AN$3,0)),GDP_Simple!AD10)</f>
        <v>5555.1410083411338</v>
      </c>
      <c r="AE12">
        <f>IF($C$3="CGE",INDEX(GDP_CGE!$A$3:$AN$21,MATCH($A12,GDP_CGE!$A$3:$A$21,0),MATCH(AE$9,GDP_CGE!$A$3:$AN$3,0)),GDP_Simple!AE10)</f>
        <v>5793.8533533852778</v>
      </c>
      <c r="AF12">
        <f>IF($C$3="CGE",INDEX(GDP_CGE!$A$3:$AN$21,MATCH($A12,GDP_CGE!$A$3:$A$21,0),MATCH(AF$9,GDP_CGE!$A$3:$AN$3,0)),GDP_Simple!AF10)</f>
        <v>6042.7744604196087</v>
      </c>
      <c r="AG12">
        <f>IF($C$3="CGE",INDEX(GDP_CGE!$A$3:$AN$21,MATCH($A12,GDP_CGE!$A$3:$A$21,0),MATCH(AG$9,GDP_CGE!$A$3:$AN$3,0)),GDP_Simple!AG10)</f>
        <v>6302.3390906512686</v>
      </c>
      <c r="AH12">
        <f>IF($C$3="CGE",INDEX(GDP_CGE!$A$3:$AN$21,MATCH($A12,GDP_CGE!$A$3:$A$21,0),MATCH(AH$9,GDP_CGE!$A$3:$AN$3,0)),GDP_Simple!AH10)</f>
        <v>6573.0004521647916</v>
      </c>
      <c r="AI12">
        <f>IF($C$3="CGE",INDEX(GDP_CGE!$A$3:$AN$21,MATCH($A12,GDP_CGE!$A$3:$A$21,0),MATCH(AI$9,GDP_CGE!$A$3:$AN$3,0)),GDP_Simple!AI10)</f>
        <v>6855.2309800543526</v>
      </c>
      <c r="AJ12">
        <f>IF($C$3="CGE",INDEX(GDP_CGE!$A$3:$AN$21,MATCH($A12,GDP_CGE!$A$3:$A$21,0),MATCH(AJ$9,GDP_CGE!$A$3:$AN$3,0)),GDP_Simple!AJ10)</f>
        <v>7115.1504420023284</v>
      </c>
      <c r="AK12">
        <f>IF($C$3="CGE",INDEX(GDP_CGE!$A$3:$AN$21,MATCH($A12,GDP_CGE!$A$3:$A$21,0),MATCH(AK$9,GDP_CGE!$A$3:$AN$3,0)),GDP_Simple!AK10)</f>
        <v>7384.8666083360959</v>
      </c>
      <c r="AL12">
        <f>IF($C$3="CGE",INDEX(GDP_CGE!$A$3:$AN$21,MATCH($A12,GDP_CGE!$A$3:$A$21,0),MATCH(AL$9,GDP_CGE!$A$3:$AN$3,0)),GDP_Simple!AL10)</f>
        <v>7664.7468470217746</v>
      </c>
      <c r="AM12">
        <f>IF($C$3="CGE",INDEX(GDP_CGE!$A$3:$AN$21,MATCH($A12,GDP_CGE!$A$3:$A$21,0),MATCH(AM$9,GDP_CGE!$A$3:$AN$3,0)),GDP_Simple!AM10)</f>
        <v>7955.1722408202386</v>
      </c>
      <c r="AN12">
        <f>IF($C$3="CGE",INDEX(GDP_CGE!$A$3:$AN$21,MATCH($A12,GDP_CGE!$A$3:$A$21,0),MATCH(AN$9,GDP_CGE!$A$3:$AN$3,0)),GDP_Simple!AN10)</f>
        <v>8256.5380972969942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54.31</v>
      </c>
      <c r="D13">
        <f>IF($C$3="CGE",INDEX(GDP_CGE!$A$3:$AN$21,MATCH($A13,GDP_CGE!$A$3:$A$21,0),MATCH(D$9,GDP_CGE!$A$3:$AN$3,0)),GDP_Simple!D11)</f>
        <v>55.26</v>
      </c>
      <c r="E13">
        <f>IF($C$3="CGE",INDEX(GDP_CGE!$A$3:$AN$21,MATCH($A13,GDP_CGE!$A$3:$A$21,0),MATCH(E$9,GDP_CGE!$A$3:$AN$3,0)),GDP_Simple!E11)</f>
        <v>55.73</v>
      </c>
      <c r="F13">
        <f>IF($C$3="CGE",INDEX(GDP_CGE!$A$3:$AN$21,MATCH($A13,GDP_CGE!$A$3:$A$21,0),MATCH(F$9,GDP_CGE!$A$3:$AN$3,0)),GDP_Simple!F11)</f>
        <v>56.3</v>
      </c>
      <c r="G13">
        <f>IF($C$3="CGE",INDEX(GDP_CGE!$A$3:$AN$21,MATCH($A13,GDP_CGE!$A$3:$A$21,0),MATCH(G$9,GDP_CGE!$A$3:$AN$3,0)),GDP_Simple!G11)</f>
        <v>56.6</v>
      </c>
      <c r="H13">
        <f>IF($C$3="CGE",INDEX(GDP_CGE!$A$3:$AN$21,MATCH($A13,GDP_CGE!$A$3:$A$21,0),MATCH(H$9,GDP_CGE!$A$3:$AN$3,0)),GDP_Simple!H11)</f>
        <v>57.09</v>
      </c>
      <c r="I13">
        <f>IF($C$3="CGE",INDEX(GDP_CGE!$A$3:$AN$21,MATCH($A13,GDP_CGE!$A$3:$A$21,0),MATCH(I$9,GDP_CGE!$A$3:$AN$3,0)),GDP_Simple!I11)</f>
        <v>56.96</v>
      </c>
      <c r="J13">
        <f>IF($C$3="CGE",INDEX(GDP_CGE!$A$3:$AN$21,MATCH($A13,GDP_CGE!$A$3:$A$21,0),MATCH(J$9,GDP_CGE!$A$3:$AN$3,0)),GDP_Simple!J11)</f>
        <v>52.37</v>
      </c>
      <c r="K13">
        <f>IF($C$3="CGE",INDEX(GDP_CGE!$A$3:$AN$21,MATCH($A13,GDP_CGE!$A$3:$A$21,0),MATCH(K$9,GDP_CGE!$A$3:$AN$3,0)),GDP_Simple!K11)</f>
        <v>55.517223300262444</v>
      </c>
      <c r="L13">
        <f>IF($C$3="CGE",INDEX(GDP_CGE!$A$3:$AN$21,MATCH($A13,GDP_CGE!$A$3:$A$21,0),MATCH(L$9,GDP_CGE!$A$3:$AN$3,0)),GDP_Simple!L11)</f>
        <v>58.271925003665793</v>
      </c>
      <c r="M13">
        <f>IF($C$3="CGE",INDEX(GDP_CGE!$A$3:$AN$21,MATCH($A13,GDP_CGE!$A$3:$A$21,0),MATCH(M$9,GDP_CGE!$A$3:$AN$3,0)),GDP_Simple!M11)</f>
        <v>61.114272618209363</v>
      </c>
      <c r="N13">
        <f>IF($C$3="CGE",INDEX(GDP_CGE!$A$3:$AN$21,MATCH($A13,GDP_CGE!$A$3:$A$21,0),MATCH(N$9,GDP_CGE!$A$3:$AN$3,0)),GDP_Simple!N11)</f>
        <v>64.080417022873576</v>
      </c>
      <c r="O13">
        <f>IF($C$3="CGE",INDEX(GDP_CGE!$A$3:$AN$21,MATCH($A13,GDP_CGE!$A$3:$A$21,0),MATCH(O$9,GDP_CGE!$A$3:$AN$3,0)),GDP_Simple!O11)</f>
        <v>67.160475878394848</v>
      </c>
      <c r="P13">
        <f>IF($C$3="CGE",INDEX(GDP_CGE!$A$3:$AN$21,MATCH($A13,GDP_CGE!$A$3:$A$21,0),MATCH(P$9,GDP_CGE!$A$3:$AN$3,0)),GDP_Simple!P11)</f>
        <v>70.484670526988751</v>
      </c>
      <c r="Q13">
        <f>IF($C$3="CGE",INDEX(GDP_CGE!$A$3:$AN$21,MATCH($A13,GDP_CGE!$A$3:$A$21,0),MATCH(Q$9,GDP_CGE!$A$3:$AN$3,0)),GDP_Simple!Q11)</f>
        <v>73.945593254683203</v>
      </c>
      <c r="R13">
        <f>IF($C$3="CGE",INDEX(GDP_CGE!$A$3:$AN$21,MATCH($A13,GDP_CGE!$A$3:$A$21,0),MATCH(R$9,GDP_CGE!$A$3:$AN$3,0)),GDP_Simple!R11)</f>
        <v>77.524919763375749</v>
      </c>
      <c r="S13">
        <f>IF($C$3="CGE",INDEX(GDP_CGE!$A$3:$AN$21,MATCH($A13,GDP_CGE!$A$3:$A$21,0),MATCH(S$9,GDP_CGE!$A$3:$AN$3,0)),GDP_Simple!S11)</f>
        <v>81.283213605835314</v>
      </c>
      <c r="T13">
        <f>IF($C$3="CGE",INDEX(GDP_CGE!$A$3:$AN$21,MATCH($A13,GDP_CGE!$A$3:$A$21,0),MATCH(T$9,GDP_CGE!$A$3:$AN$3,0)),GDP_Simple!T11)</f>
        <v>85.217009490384854</v>
      </c>
      <c r="U13">
        <f>IF($C$3="CGE",INDEX(GDP_CGE!$A$3:$AN$21,MATCH($A13,GDP_CGE!$A$3:$A$21,0),MATCH(U$9,GDP_CGE!$A$3:$AN$3,0)),GDP_Simple!U11)</f>
        <v>88.994511675976227</v>
      </c>
      <c r="V13">
        <f>IF($C$3="CGE",INDEX(GDP_CGE!$A$3:$AN$21,MATCH($A13,GDP_CGE!$A$3:$A$21,0),MATCH(V$9,GDP_CGE!$A$3:$AN$3,0)),GDP_Simple!V11)</f>
        <v>92.949564155757528</v>
      </c>
      <c r="W13">
        <f>IF($C$3="CGE",INDEX(GDP_CGE!$A$3:$AN$21,MATCH($A13,GDP_CGE!$A$3:$A$21,0),MATCH(W$9,GDP_CGE!$A$3:$AN$3,0)),GDP_Simple!W11)</f>
        <v>97.174895873065125</v>
      </c>
      <c r="X13">
        <f>IF($C$3="CGE",INDEX(GDP_CGE!$A$3:$AN$21,MATCH($A13,GDP_CGE!$A$3:$A$21,0),MATCH(X$9,GDP_CGE!$A$3:$AN$3,0)),GDP_Simple!X11)</f>
        <v>101.55696006609153</v>
      </c>
      <c r="Y13">
        <f>IF($C$3="CGE",INDEX(GDP_CGE!$A$3:$AN$21,MATCH($A13,GDP_CGE!$A$3:$A$21,0),MATCH(Y$9,GDP_CGE!$A$3:$AN$3,0)),GDP_Simple!Y11)</f>
        <v>106.24135728163974</v>
      </c>
      <c r="Z13">
        <f>IF($C$3="CGE",INDEX(GDP_CGE!$A$3:$AN$21,MATCH($A13,GDP_CGE!$A$3:$A$21,0),MATCH(Z$9,GDP_CGE!$A$3:$AN$3,0)),GDP_Simple!Z11)</f>
        <v>110.41690352739398</v>
      </c>
      <c r="AA13">
        <f>IF($C$3="CGE",INDEX(GDP_CGE!$A$3:$AN$21,MATCH($A13,GDP_CGE!$A$3:$A$21,0),MATCH(AA$9,GDP_CGE!$A$3:$AN$3,0)),GDP_Simple!AA11)</f>
        <v>114.68696611678016</v>
      </c>
      <c r="AB13">
        <f>IF($C$3="CGE",INDEX(GDP_CGE!$A$3:$AN$21,MATCH($A13,GDP_CGE!$A$3:$A$21,0),MATCH(AB$9,GDP_CGE!$A$3:$AN$3,0)),GDP_Simple!AB11)</f>
        <v>119.14768089896477</v>
      </c>
      <c r="AC13">
        <f>IF($C$3="CGE",INDEX(GDP_CGE!$A$3:$AN$21,MATCH($A13,GDP_CGE!$A$3:$A$21,0),MATCH(AC$9,GDP_CGE!$A$3:$AN$3,0)),GDP_Simple!AC11)</f>
        <v>123.75475322287873</v>
      </c>
      <c r="AD13">
        <f>IF($C$3="CGE",INDEX(GDP_CGE!$A$3:$AN$21,MATCH($A13,GDP_CGE!$A$3:$A$21,0),MATCH(AD$9,GDP_CGE!$A$3:$AN$3,0)),GDP_Simple!AD11)</f>
        <v>128.50220033195734</v>
      </c>
      <c r="AE13">
        <f>IF($C$3="CGE",INDEX(GDP_CGE!$A$3:$AN$21,MATCH($A13,GDP_CGE!$A$3:$A$21,0),MATCH(AE$9,GDP_CGE!$A$3:$AN$3,0)),GDP_Simple!AE11)</f>
        <v>133.13487982751161</v>
      </c>
      <c r="AF13">
        <f>IF($C$3="CGE",INDEX(GDP_CGE!$A$3:$AN$21,MATCH($A13,GDP_CGE!$A$3:$A$21,0),MATCH(AF$9,GDP_CGE!$A$3:$AN$3,0)),GDP_Simple!AF11)</f>
        <v>137.93352476874776</v>
      </c>
      <c r="AG13">
        <f>IF($C$3="CGE",INDEX(GDP_CGE!$A$3:$AN$21,MATCH($A13,GDP_CGE!$A$3:$A$21,0),MATCH(AG$9,GDP_CGE!$A$3:$AN$3,0)),GDP_Simple!AG11)</f>
        <v>142.89332739357786</v>
      </c>
      <c r="AH13">
        <f>IF($C$3="CGE",INDEX(GDP_CGE!$A$3:$AN$21,MATCH($A13,GDP_CGE!$A$3:$A$21,0),MATCH(AH$9,GDP_CGE!$A$3:$AN$3,0)),GDP_Simple!AH11)</f>
        <v>147.98128845826344</v>
      </c>
      <c r="AI13">
        <f>IF($C$3="CGE",INDEX(GDP_CGE!$A$3:$AN$21,MATCH($A13,GDP_CGE!$A$3:$A$21,0),MATCH(AI$9,GDP_CGE!$A$3:$AN$3,0)),GDP_Simple!AI11)</f>
        <v>153.20214741099662</v>
      </c>
      <c r="AJ13">
        <f>IF($C$3="CGE",INDEX(GDP_CGE!$A$3:$AN$21,MATCH($A13,GDP_CGE!$A$3:$A$21,0),MATCH(AJ$9,GDP_CGE!$A$3:$AN$3,0)),GDP_Simple!AJ11)</f>
        <v>157.74158639956141</v>
      </c>
      <c r="AK13">
        <f>IF($C$3="CGE",INDEX(GDP_CGE!$A$3:$AN$21,MATCH($A13,GDP_CGE!$A$3:$A$21,0),MATCH(AK$9,GDP_CGE!$A$3:$AN$3,0)),GDP_Simple!AK11)</f>
        <v>162.37209785933345</v>
      </c>
      <c r="AL13">
        <f>IF($C$3="CGE",INDEX(GDP_CGE!$A$3:$AN$21,MATCH($A13,GDP_CGE!$A$3:$A$21,0),MATCH(AL$9,GDP_CGE!$A$3:$AN$3,0)),GDP_Simple!AL11)</f>
        <v>167.12127703593228</v>
      </c>
      <c r="AM13">
        <f>IF($C$3="CGE",INDEX(GDP_CGE!$A$3:$AN$21,MATCH($A13,GDP_CGE!$A$3:$A$21,0),MATCH(AM$9,GDP_CGE!$A$3:$AN$3,0)),GDP_Simple!AM11)</f>
        <v>171.955086134163</v>
      </c>
      <c r="AN13">
        <f>IF($C$3="CGE",INDEX(GDP_CGE!$A$3:$AN$21,MATCH($A13,GDP_CGE!$A$3:$A$21,0),MATCH(AN$9,GDP_CGE!$A$3:$AN$3,0)),GDP_Simple!AN11)</f>
        <v>176.88062323850141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</v>
      </c>
      <c r="C14">
        <f>IF($C$3="CGE",INDEX(GDP_CGE!$A$3:$AN$21,MATCH($A14,GDP_CGE!$A$3:$A$21,0),MATCH(C$9,GDP_CGE!$A$3:$AN$3,0)),GDP_Simple!C12)</f>
        <v>83.73</v>
      </c>
      <c r="D14">
        <f>IF($C$3="CGE",INDEX(GDP_CGE!$A$3:$AN$21,MATCH($A14,GDP_CGE!$A$3:$A$21,0),MATCH(D$9,GDP_CGE!$A$3:$AN$3,0)),GDP_Simple!D12)</f>
        <v>83.25</v>
      </c>
      <c r="E14">
        <f>IF($C$3="CGE",INDEX(GDP_CGE!$A$3:$AN$21,MATCH($A14,GDP_CGE!$A$3:$A$21,0),MATCH(E$9,GDP_CGE!$A$3:$AN$3,0)),GDP_Simple!E12)</f>
        <v>82.69</v>
      </c>
      <c r="F14">
        <f>IF($C$3="CGE",INDEX(GDP_CGE!$A$3:$AN$21,MATCH($A14,GDP_CGE!$A$3:$A$21,0),MATCH(F$9,GDP_CGE!$A$3:$AN$3,0)),GDP_Simple!F12)</f>
        <v>81.209999999999994</v>
      </c>
      <c r="G14">
        <f>IF($C$3="CGE",INDEX(GDP_CGE!$A$3:$AN$21,MATCH($A14,GDP_CGE!$A$3:$A$21,0),MATCH(G$9,GDP_CGE!$A$3:$AN$3,0)),GDP_Simple!G12)</f>
        <v>80.83</v>
      </c>
      <c r="H14">
        <f>IF($C$3="CGE",INDEX(GDP_CGE!$A$3:$AN$21,MATCH($A14,GDP_CGE!$A$3:$A$21,0),MATCH(H$9,GDP_CGE!$A$3:$AN$3,0)),GDP_Simple!H12)</f>
        <v>80.180000000000007</v>
      </c>
      <c r="I14">
        <f>IF($C$3="CGE",INDEX(GDP_CGE!$A$3:$AN$21,MATCH($A14,GDP_CGE!$A$3:$A$21,0),MATCH(I$9,GDP_CGE!$A$3:$AN$3,0)),GDP_Simple!I12)</f>
        <v>78.209999999999994</v>
      </c>
      <c r="J14">
        <f>IF($C$3="CGE",INDEX(GDP_CGE!$A$3:$AN$21,MATCH($A14,GDP_CGE!$A$3:$A$21,0),MATCH(J$9,GDP_CGE!$A$3:$AN$3,0)),GDP_Simple!J12)</f>
        <v>76.040000000000006</v>
      </c>
      <c r="K14">
        <f>IF($C$3="CGE",INDEX(GDP_CGE!$A$3:$AN$21,MATCH($A14,GDP_CGE!$A$3:$A$21,0),MATCH(K$9,GDP_CGE!$A$3:$AN$3,0)),GDP_Simple!K12)</f>
        <v>76.228968299043629</v>
      </c>
      <c r="L14">
        <f>IF($C$3="CGE",INDEX(GDP_CGE!$A$3:$AN$21,MATCH($A14,GDP_CGE!$A$3:$A$21,0),MATCH(L$9,GDP_CGE!$A$3:$AN$3,0)),GDP_Simple!L12)</f>
        <v>80.011363317006683</v>
      </c>
      <c r="M14">
        <f>IF($C$3="CGE",INDEX(GDP_CGE!$A$3:$AN$21,MATCH($A14,GDP_CGE!$A$3:$A$21,0),MATCH(M$9,GDP_CGE!$A$3:$AN$3,0)),GDP_Simple!M12)</f>
        <v>83.914102202776576</v>
      </c>
      <c r="N14">
        <f>IF($C$3="CGE",INDEX(GDP_CGE!$A$3:$AN$21,MATCH($A14,GDP_CGE!$A$3:$A$21,0),MATCH(N$9,GDP_CGE!$A$3:$AN$3,0)),GDP_Simple!N12)</f>
        <v>87.986822601105018</v>
      </c>
      <c r="O14">
        <f>IF($C$3="CGE",INDEX(GDP_CGE!$A$3:$AN$21,MATCH($A14,GDP_CGE!$A$3:$A$21,0),MATCH(O$9,GDP_CGE!$A$3:$AN$3,0)),GDP_Simple!O12)</f>
        <v>92.215955380078313</v>
      </c>
      <c r="P14">
        <f>IF($C$3="CGE",INDEX(GDP_CGE!$A$3:$AN$21,MATCH($A14,GDP_CGE!$A$3:$A$21,0),MATCH(P$9,GDP_CGE!$A$3:$AN$3,0)),GDP_Simple!P12)</f>
        <v>96.780303404420465</v>
      </c>
      <c r="Q14">
        <f>IF($C$3="CGE",INDEX(GDP_CGE!$A$3:$AN$21,MATCH($A14,GDP_CGE!$A$3:$A$21,0),MATCH(Q$9,GDP_CGE!$A$3:$AN$3,0)),GDP_Simple!Q12)</f>
        <v>101.5323884910248</v>
      </c>
      <c r="R14">
        <f>IF($C$3="CGE",INDEX(GDP_CGE!$A$3:$AN$21,MATCH($A14,GDP_CGE!$A$3:$A$21,0),MATCH(R$9,GDP_CGE!$A$3:$AN$3,0)),GDP_Simple!R12)</f>
        <v>106.44705011751435</v>
      </c>
      <c r="S14">
        <f>IF($C$3="CGE",INDEX(GDP_CGE!$A$3:$AN$21,MATCH($A14,GDP_CGE!$A$3:$A$21,0),MATCH(S$9,GDP_CGE!$A$3:$AN$3,0)),GDP_Simple!S12)</f>
        <v>111.60744620983812</v>
      </c>
      <c r="T14">
        <f>IF($C$3="CGE",INDEX(GDP_CGE!$A$3:$AN$21,MATCH($A14,GDP_CGE!$A$3:$A$21,0),MATCH(T$9,GDP_CGE!$A$3:$AN$3,0)),GDP_Simple!T12)</f>
        <v>117.00881868404142</v>
      </c>
      <c r="U14">
        <f>IF($C$3="CGE",INDEX(GDP_CGE!$A$3:$AN$21,MATCH($A14,GDP_CGE!$A$3:$A$21,0),MATCH(U$9,GDP_CGE!$A$3:$AN$3,0)),GDP_Simple!U12)</f>
        <v>122.19558915340767</v>
      </c>
      <c r="V14">
        <f>IF($C$3="CGE",INDEX(GDP_CGE!$A$3:$AN$21,MATCH($A14,GDP_CGE!$A$3:$A$21,0),MATCH(V$9,GDP_CGE!$A$3:$AN$3,0)),GDP_Simple!V12)</f>
        <v>127.62614839574782</v>
      </c>
      <c r="W14">
        <f>IF($C$3="CGE",INDEX(GDP_CGE!$A$3:$AN$21,MATCH($A14,GDP_CGE!$A$3:$A$21,0),MATCH(W$9,GDP_CGE!$A$3:$AN$3,0)),GDP_Simple!W12)</f>
        <v>133.42781963188943</v>
      </c>
      <c r="X14">
        <f>IF($C$3="CGE",INDEX(GDP_CGE!$A$3:$AN$21,MATCH($A14,GDP_CGE!$A$3:$A$21,0),MATCH(X$9,GDP_CGE!$A$3:$AN$3,0)),GDP_Simple!X12)</f>
        <v>139.44469534355721</v>
      </c>
      <c r="Y14">
        <f>IF($C$3="CGE",INDEX(GDP_CGE!$A$3:$AN$21,MATCH($A14,GDP_CGE!$A$3:$A$21,0),MATCH(Y$9,GDP_CGE!$A$3:$AN$3,0)),GDP_Simple!Y12)</f>
        <v>145.87669510177392</v>
      </c>
      <c r="Z14">
        <f>IF($C$3="CGE",INDEX(GDP_CGE!$A$3:$AN$21,MATCH($A14,GDP_CGE!$A$3:$A$21,0),MATCH(Z$9,GDP_CGE!$A$3:$AN$3,0)),GDP_Simple!Z12)</f>
        <v>151.61000745922547</v>
      </c>
      <c r="AA14">
        <f>IF($C$3="CGE",INDEX(GDP_CGE!$A$3:$AN$21,MATCH($A14,GDP_CGE!$A$3:$A$21,0),MATCH(AA$9,GDP_CGE!$A$3:$AN$3,0)),GDP_Simple!AA12)</f>
        <v>157.47309726111965</v>
      </c>
      <c r="AB14">
        <f>IF($C$3="CGE",INDEX(GDP_CGE!$A$3:$AN$21,MATCH($A14,GDP_CGE!$A$3:$A$21,0),MATCH(AB$9,GDP_CGE!$A$3:$AN$3,0)),GDP_Simple!AB12)</f>
        <v>163.59796564445284</v>
      </c>
      <c r="AC14">
        <f>IF($C$3="CGE",INDEX(GDP_CGE!$A$3:$AN$21,MATCH($A14,GDP_CGE!$A$3:$A$21,0),MATCH(AC$9,GDP_CGE!$A$3:$AN$3,0)),GDP_Simple!AC12)</f>
        <v>169.92379300493934</v>
      </c>
      <c r="AD14">
        <f>IF($C$3="CGE",INDEX(GDP_CGE!$A$3:$AN$21,MATCH($A14,GDP_CGE!$A$3:$A$21,0),MATCH(AD$9,GDP_CGE!$A$3:$AN$3,0)),GDP_Simple!AD12)</f>
        <v>176.44236460608116</v>
      </c>
      <c r="AE14">
        <f>IF($C$3="CGE",INDEX(GDP_CGE!$A$3:$AN$21,MATCH($A14,GDP_CGE!$A$3:$A$21,0),MATCH(AE$9,GDP_CGE!$A$3:$AN$3,0)),GDP_Simple!AE12)</f>
        <v>182.80335237552109</v>
      </c>
      <c r="AF14">
        <f>IF($C$3="CGE",INDEX(GDP_CGE!$A$3:$AN$21,MATCH($A14,GDP_CGE!$A$3:$A$21,0),MATCH(AF$9,GDP_CGE!$A$3:$AN$3,0)),GDP_Simple!AF12)</f>
        <v>189.39222212366155</v>
      </c>
      <c r="AG14">
        <f>IF($C$3="CGE",INDEX(GDP_CGE!$A$3:$AN$21,MATCH($A14,GDP_CGE!$A$3:$A$21,0),MATCH(AG$9,GDP_CGE!$A$3:$AN$3,0)),GDP_Simple!AG12)</f>
        <v>196.20237246228447</v>
      </c>
      <c r="AH14">
        <f>IF($C$3="CGE",INDEX(GDP_CGE!$A$3:$AN$21,MATCH($A14,GDP_CGE!$A$3:$A$21,0),MATCH(AH$9,GDP_CGE!$A$3:$AN$3,0)),GDP_Simple!AH12)</f>
        <v>203.18849315872157</v>
      </c>
      <c r="AI14">
        <f>IF($C$3="CGE",INDEX(GDP_CGE!$A$3:$AN$21,MATCH($A14,GDP_CGE!$A$3:$A$21,0),MATCH(AI$9,GDP_CGE!$A$3:$AN$3,0)),GDP_Simple!AI12)</f>
        <v>210.35709180151062</v>
      </c>
      <c r="AJ14">
        <f>IF($C$3="CGE",INDEX(GDP_CGE!$A$3:$AN$21,MATCH($A14,GDP_CGE!$A$3:$A$21,0),MATCH(AJ$9,GDP_CGE!$A$3:$AN$3,0)),GDP_Simple!AJ12)</f>
        <v>216.59005393802136</v>
      </c>
      <c r="AK14">
        <f>IF($C$3="CGE",INDEX(GDP_CGE!$A$3:$AN$21,MATCH($A14,GDP_CGE!$A$3:$A$21,0),MATCH(AK$9,GDP_CGE!$A$3:$AN$3,0)),GDP_Simple!AK12)</f>
        <v>222.94806484512759</v>
      </c>
      <c r="AL14">
        <f>IF($C$3="CGE",INDEX(GDP_CGE!$A$3:$AN$21,MATCH($A14,GDP_CGE!$A$3:$A$21,0),MATCH(AL$9,GDP_CGE!$A$3:$AN$3,0)),GDP_Simple!AL12)</f>
        <v>229.46901469417594</v>
      </c>
      <c r="AM14">
        <f>IF($C$3="CGE",INDEX(GDP_CGE!$A$3:$AN$21,MATCH($A14,GDP_CGE!$A$3:$A$21,0),MATCH(AM$9,GDP_CGE!$A$3:$AN$3,0)),GDP_Simple!AM12)</f>
        <v>236.10616724987511</v>
      </c>
      <c r="AN14">
        <f>IF($C$3="CGE",INDEX(GDP_CGE!$A$3:$AN$21,MATCH($A14,GDP_CGE!$A$3:$A$21,0),MATCH(AN$9,GDP_CGE!$A$3:$AN$3,0)),GDP_Simple!AN12)</f>
        <v>242.86926867070216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93.1</v>
      </c>
      <c r="C15">
        <f>IF($C$3="CGE",INDEX(GDP_CGE!$A$3:$AN$21,MATCH($A15,GDP_CGE!$A$3:$A$21,0),MATCH(C$9,GDP_CGE!$A$3:$AN$3,0)),GDP_Simple!C13)</f>
        <v>94.81</v>
      </c>
      <c r="D15">
        <f>IF($C$3="CGE",INDEX(GDP_CGE!$A$3:$AN$21,MATCH($A15,GDP_CGE!$A$3:$A$21,0),MATCH(D$9,GDP_CGE!$A$3:$AN$3,0)),GDP_Simple!D13)</f>
        <v>96.04</v>
      </c>
      <c r="E15">
        <f>IF($C$3="CGE",INDEX(GDP_CGE!$A$3:$AN$21,MATCH($A15,GDP_CGE!$A$3:$A$21,0),MATCH(E$9,GDP_CGE!$A$3:$AN$3,0)),GDP_Simple!E13)</f>
        <v>96.13</v>
      </c>
      <c r="F15">
        <f>IF($C$3="CGE",INDEX(GDP_CGE!$A$3:$AN$21,MATCH($A15,GDP_CGE!$A$3:$A$21,0),MATCH(F$9,GDP_CGE!$A$3:$AN$3,0)),GDP_Simple!F13)</f>
        <v>97.44</v>
      </c>
      <c r="G15">
        <f>IF($C$3="CGE",INDEX(GDP_CGE!$A$3:$AN$21,MATCH($A15,GDP_CGE!$A$3:$A$21,0),MATCH(G$9,GDP_CGE!$A$3:$AN$3,0)),GDP_Simple!G13)</f>
        <v>97.81</v>
      </c>
      <c r="H15">
        <f>IF($C$3="CGE",INDEX(GDP_CGE!$A$3:$AN$21,MATCH($A15,GDP_CGE!$A$3:$A$21,0),MATCH(H$9,GDP_CGE!$A$3:$AN$3,0)),GDP_Simple!H13)</f>
        <v>98.48</v>
      </c>
      <c r="I15">
        <f>IF($C$3="CGE",INDEX(GDP_CGE!$A$3:$AN$21,MATCH($A15,GDP_CGE!$A$3:$A$21,0),MATCH(I$9,GDP_CGE!$A$3:$AN$3,0)),GDP_Simple!I13)</f>
        <v>97.71</v>
      </c>
      <c r="J15">
        <f>IF($C$3="CGE",INDEX(GDP_CGE!$A$3:$AN$21,MATCH($A15,GDP_CGE!$A$3:$A$21,0),MATCH(J$9,GDP_CGE!$A$3:$AN$3,0)),GDP_Simple!J13)</f>
        <v>92.79</v>
      </c>
      <c r="K15">
        <f>IF($C$3="CGE",INDEX(GDP_CGE!$A$3:$AN$21,MATCH($A15,GDP_CGE!$A$3:$A$21,0),MATCH(K$9,GDP_CGE!$A$3:$AN$3,0)),GDP_Simple!K13)</f>
        <v>95.235040180278148</v>
      </c>
      <c r="L15">
        <f>IF($C$3="CGE",INDEX(GDP_CGE!$A$3:$AN$21,MATCH($A15,GDP_CGE!$A$3:$A$21,0),MATCH(L$9,GDP_CGE!$A$3:$AN$3,0)),GDP_Simple!L13)</f>
        <v>99.960494945719518</v>
      </c>
      <c r="M15">
        <f>IF($C$3="CGE",INDEX(GDP_CGE!$A$3:$AN$21,MATCH($A15,GDP_CGE!$A$3:$A$21,0),MATCH(M$9,GDP_CGE!$A$3:$AN$3,0)),GDP_Simple!M13)</f>
        <v>104.83629876273237</v>
      </c>
      <c r="N15">
        <f>IF($C$3="CGE",INDEX(GDP_CGE!$A$3:$AN$21,MATCH($A15,GDP_CGE!$A$3:$A$21,0),MATCH(N$9,GDP_CGE!$A$3:$AN$3,0)),GDP_Simple!N13)</f>
        <v>109.92446536701154</v>
      </c>
      <c r="O15">
        <f>IF($C$3="CGE",INDEX(GDP_CGE!$A$3:$AN$21,MATCH($A15,GDP_CGE!$A$3:$A$21,0),MATCH(O$9,GDP_CGE!$A$3:$AN$3,0)),GDP_Simple!O13)</f>
        <v>115.20804245221139</v>
      </c>
      <c r="P15">
        <f>IF($C$3="CGE",INDEX(GDP_CGE!$A$3:$AN$21,MATCH($A15,GDP_CGE!$A$3:$A$21,0),MATCH(P$9,GDP_CGE!$A$3:$AN$3,0)),GDP_Simple!P13)</f>
        <v>120.91041357429899</v>
      </c>
      <c r="Q15">
        <f>IF($C$3="CGE",INDEX(GDP_CGE!$A$3:$AN$21,MATCH($A15,GDP_CGE!$A$3:$A$21,0),MATCH(Q$9,GDP_CGE!$A$3:$AN$3,0)),GDP_Simple!Q13)</f>
        <v>126.84733000202063</v>
      </c>
      <c r="R15">
        <f>IF($C$3="CGE",INDEX(GDP_CGE!$A$3:$AN$21,MATCH($A15,GDP_CGE!$A$3:$A$21,0),MATCH(R$9,GDP_CGE!$A$3:$AN$3,0)),GDP_Simple!R13)</f>
        <v>132.98735797190037</v>
      </c>
      <c r="S15">
        <f>IF($C$3="CGE",INDEX(GDP_CGE!$A$3:$AN$21,MATCH($A15,GDP_CGE!$A$3:$A$21,0),MATCH(S$9,GDP_CGE!$A$3:$AN$3,0)),GDP_Simple!S13)</f>
        <v>139.43438906998188</v>
      </c>
      <c r="T15">
        <f>IF($C$3="CGE",INDEX(GDP_CGE!$A$3:$AN$21,MATCH($A15,GDP_CGE!$A$3:$A$21,0),MATCH(T$9,GDP_CGE!$A$3:$AN$3,0)),GDP_Simple!T13)</f>
        <v>146.18247888527921</v>
      </c>
      <c r="U15">
        <f>IF($C$3="CGE",INDEX(GDP_CGE!$A$3:$AN$21,MATCH($A15,GDP_CGE!$A$3:$A$21,0),MATCH(U$9,GDP_CGE!$A$3:$AN$3,0)),GDP_Simple!U13)</f>
        <v>152.66246025034476</v>
      </c>
      <c r="V15">
        <f>IF($C$3="CGE",INDEX(GDP_CGE!$A$3:$AN$21,MATCH($A15,GDP_CGE!$A$3:$A$21,0),MATCH(V$9,GDP_CGE!$A$3:$AN$3,0)),GDP_Simple!V13)</f>
        <v>159.44701393362126</v>
      </c>
      <c r="W15">
        <f>IF($C$3="CGE",INDEX(GDP_CGE!$A$3:$AN$21,MATCH($A15,GDP_CGE!$A$3:$A$21,0),MATCH(W$9,GDP_CGE!$A$3:$AN$3,0)),GDP_Simple!W13)</f>
        <v>166.69520849292823</v>
      </c>
      <c r="X15">
        <f>IF($C$3="CGE",INDEX(GDP_CGE!$A$3:$AN$21,MATCH($A15,GDP_CGE!$A$3:$A$21,0),MATCH(X$9,GDP_CGE!$A$3:$AN$3,0)),GDP_Simple!X13)</f>
        <v>174.21226418640805</v>
      </c>
      <c r="Y15">
        <f>IF($C$3="CGE",INDEX(GDP_CGE!$A$3:$AN$21,MATCH($A15,GDP_CGE!$A$3:$A$21,0),MATCH(Y$9,GDP_CGE!$A$3:$AN$3,0)),GDP_Simple!Y13)</f>
        <v>182.24794627789709</v>
      </c>
      <c r="Z15">
        <f>IF($C$3="CGE",INDEX(GDP_CGE!$A$3:$AN$21,MATCH($A15,GDP_CGE!$A$3:$A$21,0),MATCH(Z$9,GDP_CGE!$A$3:$AN$3,0)),GDP_Simple!Z13)</f>
        <v>189.41073812608261</v>
      </c>
      <c r="AA15">
        <f>IF($C$3="CGE",INDEX(GDP_CGE!$A$3:$AN$21,MATCH($A15,GDP_CGE!$A$3:$A$21,0),MATCH(AA$9,GDP_CGE!$A$3:$AN$3,0)),GDP_Simple!AA13)</f>
        <v>196.73566466416062</v>
      </c>
      <c r="AB15">
        <f>IF($C$3="CGE",INDEX(GDP_CGE!$A$3:$AN$21,MATCH($A15,GDP_CGE!$A$3:$A$21,0),MATCH(AB$9,GDP_CGE!$A$3:$AN$3,0)),GDP_Simple!AB13)</f>
        <v>204.38763870501836</v>
      </c>
      <c r="AC15">
        <f>IF($C$3="CGE",INDEX(GDP_CGE!$A$3:$AN$21,MATCH($A15,GDP_CGE!$A$3:$A$21,0),MATCH(AC$9,GDP_CGE!$A$3:$AN$3,0)),GDP_Simple!AC13)</f>
        <v>212.29067656965378</v>
      </c>
      <c r="AD15">
        <f>IF($C$3="CGE",INDEX(GDP_CGE!$A$3:$AN$21,MATCH($A15,GDP_CGE!$A$3:$A$21,0),MATCH(AD$9,GDP_CGE!$A$3:$AN$3,0)),GDP_Simple!AD13)</f>
        <v>220.43451535174773</v>
      </c>
      <c r="AE15">
        <f>IF($C$3="CGE",INDEX(GDP_CGE!$A$3:$AN$21,MATCH($A15,GDP_CGE!$A$3:$A$21,0),MATCH(AE$9,GDP_CGE!$A$3:$AN$3,0)),GDP_Simple!AE13)</f>
        <v>228.38148012545923</v>
      </c>
      <c r="AF15">
        <f>IF($C$3="CGE",INDEX(GDP_CGE!$A$3:$AN$21,MATCH($A15,GDP_CGE!$A$3:$A$21,0),MATCH(AF$9,GDP_CGE!$A$3:$AN$3,0)),GDP_Simple!AF13)</f>
        <v>236.61314440228833</v>
      </c>
      <c r="AG15">
        <f>IF($C$3="CGE",INDEX(GDP_CGE!$A$3:$AN$21,MATCH($A15,GDP_CGE!$A$3:$A$21,0),MATCH(AG$9,GDP_CGE!$A$3:$AN$3,0)),GDP_Simple!AG13)</f>
        <v>245.12126087827406</v>
      </c>
      <c r="AH15">
        <f>IF($C$3="CGE",INDEX(GDP_CGE!$A$3:$AN$21,MATCH($A15,GDP_CGE!$A$3:$A$21,0),MATCH(AH$9,GDP_CGE!$A$3:$AN$3,0)),GDP_Simple!AH13)</f>
        <v>253.84922217796554</v>
      </c>
      <c r="AI15">
        <f>IF($C$3="CGE",INDEX(GDP_CGE!$A$3:$AN$21,MATCH($A15,GDP_CGE!$A$3:$A$21,0),MATCH(AI$9,GDP_CGE!$A$3:$AN$3,0)),GDP_Simple!AI13)</f>
        <v>262.80515841868817</v>
      </c>
      <c r="AJ15">
        <f>IF($C$3="CGE",INDEX(GDP_CGE!$A$3:$AN$21,MATCH($A15,GDP_CGE!$A$3:$A$21,0),MATCH(AJ$9,GDP_CGE!$A$3:$AN$3,0)),GDP_Simple!AJ13)</f>
        <v>270.59217709096106</v>
      </c>
      <c r="AK15">
        <f>IF($C$3="CGE",INDEX(GDP_CGE!$A$3:$AN$21,MATCH($A15,GDP_CGE!$A$3:$A$21,0),MATCH(AK$9,GDP_CGE!$A$3:$AN$3,0)),GDP_Simple!AK13)</f>
        <v>278.53542278503284</v>
      </c>
      <c r="AL15">
        <f>IF($C$3="CGE",INDEX(GDP_CGE!$A$3:$AN$21,MATCH($A15,GDP_CGE!$A$3:$A$21,0),MATCH(AL$9,GDP_CGE!$A$3:$AN$3,0)),GDP_Simple!AL13)</f>
        <v>286.68223278056428</v>
      </c>
      <c r="AM15">
        <f>IF($C$3="CGE",INDEX(GDP_CGE!$A$3:$AN$21,MATCH($A15,GDP_CGE!$A$3:$A$21,0),MATCH(AM$9,GDP_CGE!$A$3:$AN$3,0)),GDP_Simple!AM13)</f>
        <v>294.97421815605804</v>
      </c>
      <c r="AN15">
        <f>IF($C$3="CGE",INDEX(GDP_CGE!$A$3:$AN$21,MATCH($A15,GDP_CGE!$A$3:$A$21,0),MATCH(AN$9,GDP_CGE!$A$3:$AN$3,0)),GDP_Simple!AN13)</f>
        <v>303.42355506730991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0</v>
      </c>
      <c r="C16">
        <f>IF($C$3="CGE",INDEX(GDP_CGE!$A$3:$AN$21,MATCH($A16,GDP_CGE!$A$3:$A$21,0),MATCH(C$9,GDP_CGE!$A$3:$AN$3,0)),GDP_Simple!C14)</f>
        <v>0</v>
      </c>
      <c r="D16">
        <f>IF($C$3="CGE",INDEX(GDP_CGE!$A$3:$AN$21,MATCH($A16,GDP_CGE!$A$3:$A$21,0),MATCH(D$9,GDP_CGE!$A$3:$AN$3,0)),GDP_Simple!D14)</f>
        <v>0</v>
      </c>
      <c r="E16">
        <f>IF($C$3="CGE",INDEX(GDP_CGE!$A$3:$AN$21,MATCH($A16,GDP_CGE!$A$3:$A$21,0),MATCH(E$9,GDP_CGE!$A$3:$AN$3,0)),GDP_Simple!E14)</f>
        <v>0</v>
      </c>
      <c r="F16">
        <f>IF($C$3="CGE",INDEX(GDP_CGE!$A$3:$AN$21,MATCH($A16,GDP_CGE!$A$3:$A$21,0),MATCH(F$9,GDP_CGE!$A$3:$AN$3,0)),GDP_Simple!F14)</f>
        <v>0</v>
      </c>
      <c r="G16">
        <f>IF($C$3="CGE",INDEX(GDP_CGE!$A$3:$AN$21,MATCH($A16,GDP_CGE!$A$3:$A$21,0),MATCH(G$9,GDP_CGE!$A$3:$AN$3,0)),GDP_Simple!G14)</f>
        <v>0</v>
      </c>
      <c r="H16">
        <f>IF($C$3="CGE",INDEX(GDP_CGE!$A$3:$AN$21,MATCH($A16,GDP_CGE!$A$3:$A$21,0),MATCH(H$9,GDP_CGE!$A$3:$AN$3,0)),GDP_Simple!H14)</f>
        <v>0</v>
      </c>
      <c r="I16">
        <f>IF($C$3="CGE",INDEX(GDP_CGE!$A$3:$AN$21,MATCH($A16,GDP_CGE!$A$3:$A$21,0),MATCH(I$9,GDP_CGE!$A$3:$AN$3,0)),GDP_Simple!I14)</f>
        <v>0</v>
      </c>
      <c r="J16">
        <f>IF($C$3="CGE",INDEX(GDP_CGE!$A$3:$AN$21,MATCH($A16,GDP_CGE!$A$3:$A$21,0),MATCH(J$9,GDP_CGE!$A$3:$AN$3,0)),GDP_Simple!J14)</f>
        <v>0</v>
      </c>
      <c r="K16">
        <f>IF($C$3="CGE",INDEX(GDP_CGE!$A$3:$AN$21,MATCH($A16,GDP_CGE!$A$3:$A$21,0),MATCH(K$9,GDP_CGE!$A$3:$AN$3,0)),GDP_Simple!K14)</f>
        <v>0</v>
      </c>
      <c r="L16">
        <f>IF($C$3="CGE",INDEX(GDP_CGE!$A$3:$AN$21,MATCH($A16,GDP_CGE!$A$3:$A$21,0),MATCH(L$9,GDP_CGE!$A$3:$AN$3,0)),GDP_Simple!L14)</f>
        <v>0</v>
      </c>
      <c r="M16">
        <f>IF($C$3="CGE",INDEX(GDP_CGE!$A$3:$AN$21,MATCH($A16,GDP_CGE!$A$3:$A$21,0),MATCH(M$9,GDP_CGE!$A$3:$AN$3,0)),GDP_Simple!M14)</f>
        <v>0</v>
      </c>
      <c r="N16">
        <f>IF($C$3="CGE",INDEX(GDP_CGE!$A$3:$AN$21,MATCH($A16,GDP_CGE!$A$3:$A$21,0),MATCH(N$9,GDP_CGE!$A$3:$AN$3,0)),GDP_Simple!N14)</f>
        <v>0</v>
      </c>
      <c r="O16">
        <f>IF($C$3="CGE",INDEX(GDP_CGE!$A$3:$AN$21,MATCH($A16,GDP_CGE!$A$3:$A$21,0),MATCH(O$9,GDP_CGE!$A$3:$AN$3,0)),GDP_Simple!O14)</f>
        <v>0</v>
      </c>
      <c r="P16">
        <f>IF($C$3="CGE",INDEX(GDP_CGE!$A$3:$AN$21,MATCH($A16,GDP_CGE!$A$3:$A$21,0),MATCH(P$9,GDP_CGE!$A$3:$AN$3,0)),GDP_Simple!P14)</f>
        <v>0</v>
      </c>
      <c r="Q16">
        <f>IF($C$3="CGE",INDEX(GDP_CGE!$A$3:$AN$21,MATCH($A16,GDP_CGE!$A$3:$A$21,0),MATCH(Q$9,GDP_CGE!$A$3:$AN$3,0)),GDP_Simple!Q14)</f>
        <v>0</v>
      </c>
      <c r="R16">
        <f>IF($C$3="CGE",INDEX(GDP_CGE!$A$3:$AN$21,MATCH($A16,GDP_CGE!$A$3:$A$21,0),MATCH(R$9,GDP_CGE!$A$3:$AN$3,0)),GDP_Simple!R14)</f>
        <v>0</v>
      </c>
      <c r="S16">
        <f>IF($C$3="CGE",INDEX(GDP_CGE!$A$3:$AN$21,MATCH($A16,GDP_CGE!$A$3:$A$21,0),MATCH(S$9,GDP_CGE!$A$3:$AN$3,0)),GDP_Simple!S14)</f>
        <v>0</v>
      </c>
      <c r="T16">
        <f>IF($C$3="CGE",INDEX(GDP_CGE!$A$3:$AN$21,MATCH($A16,GDP_CGE!$A$3:$A$21,0),MATCH(T$9,GDP_CGE!$A$3:$AN$3,0)),GDP_Simple!T14)</f>
        <v>0</v>
      </c>
      <c r="U16">
        <f>IF($C$3="CGE",INDEX(GDP_CGE!$A$3:$AN$21,MATCH($A16,GDP_CGE!$A$3:$A$21,0),MATCH(U$9,GDP_CGE!$A$3:$AN$3,0)),GDP_Simple!U14)</f>
        <v>0</v>
      </c>
      <c r="V16">
        <f>IF($C$3="CGE",INDEX(GDP_CGE!$A$3:$AN$21,MATCH($A16,GDP_CGE!$A$3:$A$21,0),MATCH(V$9,GDP_CGE!$A$3:$AN$3,0)),GDP_Simple!V14)</f>
        <v>0</v>
      </c>
      <c r="W16">
        <f>IF($C$3="CGE",INDEX(GDP_CGE!$A$3:$AN$21,MATCH($A16,GDP_CGE!$A$3:$A$21,0),MATCH(W$9,GDP_CGE!$A$3:$AN$3,0)),GDP_Simple!W14)</f>
        <v>0</v>
      </c>
      <c r="X16">
        <f>IF($C$3="CGE",INDEX(GDP_CGE!$A$3:$AN$21,MATCH($A16,GDP_CGE!$A$3:$A$21,0),MATCH(X$9,GDP_CGE!$A$3:$AN$3,0)),GDP_Simple!X14)</f>
        <v>0</v>
      </c>
      <c r="Y16">
        <f>IF($C$3="CGE",INDEX(GDP_CGE!$A$3:$AN$21,MATCH($A16,GDP_CGE!$A$3:$A$21,0),MATCH(Y$9,GDP_CGE!$A$3:$AN$3,0)),GDP_Simple!Y14)</f>
        <v>0</v>
      </c>
      <c r="Z16">
        <f>IF($C$3="CGE",INDEX(GDP_CGE!$A$3:$AN$21,MATCH($A16,GDP_CGE!$A$3:$A$21,0),MATCH(Z$9,GDP_CGE!$A$3:$AN$3,0)),GDP_Simple!Z14)</f>
        <v>0</v>
      </c>
      <c r="AA16">
        <f>IF($C$3="CGE",INDEX(GDP_CGE!$A$3:$AN$21,MATCH($A16,GDP_CGE!$A$3:$A$21,0),MATCH(AA$9,GDP_CGE!$A$3:$AN$3,0)),GDP_Simple!AA14)</f>
        <v>0</v>
      </c>
      <c r="AB16">
        <f>IF($C$3="CGE",INDEX(GDP_CGE!$A$3:$AN$21,MATCH($A16,GDP_CGE!$A$3:$A$21,0),MATCH(AB$9,GDP_CGE!$A$3:$AN$3,0)),GDP_Simple!AB14)</f>
        <v>0</v>
      </c>
      <c r="AC16">
        <f>IF($C$3="CGE",INDEX(GDP_CGE!$A$3:$AN$21,MATCH($A16,GDP_CGE!$A$3:$A$21,0),MATCH(AC$9,GDP_CGE!$A$3:$AN$3,0)),GDP_Simple!AC14)</f>
        <v>0</v>
      </c>
      <c r="AD16">
        <f>IF($C$3="CGE",INDEX(GDP_CGE!$A$3:$AN$21,MATCH($A16,GDP_CGE!$A$3:$A$21,0),MATCH(AD$9,GDP_CGE!$A$3:$AN$3,0)),GDP_Simple!AD14)</f>
        <v>0</v>
      </c>
      <c r="AE16">
        <f>IF($C$3="CGE",INDEX(GDP_CGE!$A$3:$AN$21,MATCH($A16,GDP_CGE!$A$3:$A$21,0),MATCH(AE$9,GDP_CGE!$A$3:$AN$3,0)),GDP_Simple!AE14)</f>
        <v>0</v>
      </c>
      <c r="AF16">
        <f>IF($C$3="CGE",INDEX(GDP_CGE!$A$3:$AN$21,MATCH($A16,GDP_CGE!$A$3:$A$21,0),MATCH(AF$9,GDP_CGE!$A$3:$AN$3,0)),GDP_Simple!AF14)</f>
        <v>0</v>
      </c>
      <c r="AG16">
        <f>IF($C$3="CGE",INDEX(GDP_CGE!$A$3:$AN$21,MATCH($A16,GDP_CGE!$A$3:$A$21,0),MATCH(AG$9,GDP_CGE!$A$3:$AN$3,0)),GDP_Simple!AG14)</f>
        <v>0</v>
      </c>
      <c r="AH16">
        <f>IF($C$3="CGE",INDEX(GDP_CGE!$A$3:$AN$21,MATCH($A16,GDP_CGE!$A$3:$A$21,0),MATCH(AH$9,GDP_CGE!$A$3:$AN$3,0)),GDP_Simple!AH14)</f>
        <v>0</v>
      </c>
      <c r="AI16">
        <f>IF($C$3="CGE",INDEX(GDP_CGE!$A$3:$AN$21,MATCH($A16,GDP_CGE!$A$3:$A$21,0),MATCH(AI$9,GDP_CGE!$A$3:$AN$3,0)),GDP_Simple!AI14)</f>
        <v>0</v>
      </c>
      <c r="AJ16">
        <f>IF($C$3="CGE",INDEX(GDP_CGE!$A$3:$AN$21,MATCH($A16,GDP_CGE!$A$3:$A$21,0),MATCH(AJ$9,GDP_CGE!$A$3:$AN$3,0)),GDP_Simple!AJ14)</f>
        <v>0</v>
      </c>
      <c r="AK16">
        <f>IF($C$3="CGE",INDEX(GDP_CGE!$A$3:$AN$21,MATCH($A16,GDP_CGE!$A$3:$A$21,0),MATCH(AK$9,GDP_CGE!$A$3:$AN$3,0)),GDP_Simple!AK14)</f>
        <v>0</v>
      </c>
      <c r="AL16">
        <f>IF($C$3="CGE",INDEX(GDP_CGE!$A$3:$AN$21,MATCH($A16,GDP_CGE!$A$3:$A$21,0),MATCH(AL$9,GDP_CGE!$A$3:$AN$3,0)),GDP_Simple!AL14)</f>
        <v>0</v>
      </c>
      <c r="AM16">
        <f>IF($C$3="CGE",INDEX(GDP_CGE!$A$3:$AN$21,MATCH($A16,GDP_CGE!$A$3:$A$21,0),MATCH(AM$9,GDP_CGE!$A$3:$AN$3,0)),GDP_Simple!AM14)</f>
        <v>0</v>
      </c>
      <c r="AN16">
        <f>IF($C$3="CGE",INDEX(GDP_CGE!$A$3:$AN$21,MATCH($A16,GDP_CGE!$A$3:$A$21,0),MATCH(AN$9,GDP_CGE!$A$3:$AN$3,0)),GDP_Simple!AN14)</f>
        <v>0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13.35</v>
      </c>
      <c r="C17">
        <f>IF($C$3="CGE",INDEX(GDP_CGE!$A$3:$AN$21,MATCH($A17,GDP_CGE!$A$3:$A$21,0),MATCH(C$9,GDP_CGE!$A$3:$AN$3,0)),GDP_Simple!C15)</f>
        <v>13.74</v>
      </c>
      <c r="D17">
        <f>IF($C$3="CGE",INDEX(GDP_CGE!$A$3:$AN$21,MATCH($A17,GDP_CGE!$A$3:$A$21,0),MATCH(D$9,GDP_CGE!$A$3:$AN$3,0)),GDP_Simple!D15)</f>
        <v>13.91</v>
      </c>
      <c r="E17">
        <f>IF($C$3="CGE",INDEX(GDP_CGE!$A$3:$AN$21,MATCH($A17,GDP_CGE!$A$3:$A$21,0),MATCH(E$9,GDP_CGE!$A$3:$AN$3,0)),GDP_Simple!E15)</f>
        <v>14.13</v>
      </c>
      <c r="F17">
        <f>IF($C$3="CGE",INDEX(GDP_CGE!$A$3:$AN$21,MATCH($A17,GDP_CGE!$A$3:$A$21,0),MATCH(F$9,GDP_CGE!$A$3:$AN$3,0)),GDP_Simple!F15)</f>
        <v>14.15</v>
      </c>
      <c r="G17">
        <f>IF($C$3="CGE",INDEX(GDP_CGE!$A$3:$AN$21,MATCH($A17,GDP_CGE!$A$3:$A$21,0),MATCH(G$9,GDP_CGE!$A$3:$AN$3,0)),GDP_Simple!G15)</f>
        <v>14.18</v>
      </c>
      <c r="H17">
        <f>IF($C$3="CGE",INDEX(GDP_CGE!$A$3:$AN$21,MATCH($A17,GDP_CGE!$A$3:$A$21,0),MATCH(H$9,GDP_CGE!$A$3:$AN$3,0)),GDP_Simple!H15)</f>
        <v>14.21</v>
      </c>
      <c r="I17">
        <f>IF($C$3="CGE",INDEX(GDP_CGE!$A$3:$AN$21,MATCH($A17,GDP_CGE!$A$3:$A$21,0),MATCH(I$9,GDP_CGE!$A$3:$AN$3,0)),GDP_Simple!I15)</f>
        <v>14.08</v>
      </c>
      <c r="J17">
        <f>IF($C$3="CGE",INDEX(GDP_CGE!$A$3:$AN$21,MATCH($A17,GDP_CGE!$A$3:$A$21,0),MATCH(J$9,GDP_CGE!$A$3:$AN$3,0)),GDP_Simple!J15)</f>
        <v>12.26</v>
      </c>
      <c r="K17">
        <f>IF($C$3="CGE",INDEX(GDP_CGE!$A$3:$AN$21,MATCH($A17,GDP_CGE!$A$3:$A$21,0),MATCH(K$9,GDP_CGE!$A$3:$AN$3,0)),GDP_Simple!K15)</f>
        <v>13.723358568604198</v>
      </c>
      <c r="L17">
        <f>IF($C$3="CGE",INDEX(GDP_CGE!$A$3:$AN$21,MATCH($A17,GDP_CGE!$A$3:$A$21,0),MATCH(L$9,GDP_CGE!$A$3:$AN$3,0)),GDP_Simple!L15)</f>
        <v>14.404296068321878</v>
      </c>
      <c r="M17">
        <f>IF($C$3="CGE",INDEX(GDP_CGE!$A$3:$AN$21,MATCH($A17,GDP_CGE!$A$3:$A$21,0),MATCH(M$9,GDP_CGE!$A$3:$AN$3,0)),GDP_Simple!M15)</f>
        <v>15.106898849445008</v>
      </c>
      <c r="N17">
        <f>IF($C$3="CGE",INDEX(GDP_CGE!$A$3:$AN$21,MATCH($A17,GDP_CGE!$A$3:$A$21,0),MATCH(N$9,GDP_CGE!$A$3:$AN$3,0)),GDP_Simple!N15)</f>
        <v>15.840103084305827</v>
      </c>
      <c r="O17">
        <f>IF($C$3="CGE",INDEX(GDP_CGE!$A$3:$AN$21,MATCH($A17,GDP_CGE!$A$3:$A$21,0),MATCH(O$9,GDP_CGE!$A$3:$AN$3,0)),GDP_Simple!O15)</f>
        <v>16.601465947468387</v>
      </c>
      <c r="P17">
        <f>IF($C$3="CGE",INDEX(GDP_CGE!$A$3:$AN$21,MATCH($A17,GDP_CGE!$A$3:$A$21,0),MATCH(P$9,GDP_CGE!$A$3:$AN$3,0)),GDP_Simple!P15)</f>
        <v>17.423176984199465</v>
      </c>
      <c r="Q17">
        <f>IF($C$3="CGE",INDEX(GDP_CGE!$A$3:$AN$21,MATCH($A17,GDP_CGE!$A$3:$A$21,0),MATCH(Q$9,GDP_CGE!$A$3:$AN$3,0)),GDP_Simple!Q15)</f>
        <v>18.278685973067756</v>
      </c>
      <c r="R17">
        <f>IF($C$3="CGE",INDEX(GDP_CGE!$A$3:$AN$21,MATCH($A17,GDP_CGE!$A$3:$A$21,0),MATCH(R$9,GDP_CGE!$A$3:$AN$3,0)),GDP_Simple!R15)</f>
        <v>19.163463312295129</v>
      </c>
      <c r="S17">
        <f>IF($C$3="CGE",INDEX(GDP_CGE!$A$3:$AN$21,MATCH($A17,GDP_CGE!$A$3:$A$21,0),MATCH(S$9,GDP_CGE!$A$3:$AN$3,0)),GDP_Simple!S15)</f>
        <v>20.092479767734567</v>
      </c>
      <c r="T17">
        <f>IF($C$3="CGE",INDEX(GDP_CGE!$A$3:$AN$21,MATCH($A17,GDP_CGE!$A$3:$A$21,0),MATCH(T$9,GDP_CGE!$A$3:$AN$3,0)),GDP_Simple!T15)</f>
        <v>21.064878750432207</v>
      </c>
      <c r="U17">
        <f>IF($C$3="CGE",INDEX(GDP_CGE!$A$3:$AN$21,MATCH($A17,GDP_CGE!$A$3:$A$21,0),MATCH(U$9,GDP_CGE!$A$3:$AN$3,0)),GDP_Simple!U15)</f>
        <v>21.998643335634572</v>
      </c>
      <c r="V17">
        <f>IF($C$3="CGE",INDEX(GDP_CGE!$A$3:$AN$21,MATCH($A17,GDP_CGE!$A$3:$A$21,0),MATCH(V$9,GDP_CGE!$A$3:$AN$3,0)),GDP_Simple!V15)</f>
        <v>22.976296757602981</v>
      </c>
      <c r="W17">
        <f>IF($C$3="CGE",INDEX(GDP_CGE!$A$3:$AN$21,MATCH($A17,GDP_CGE!$A$3:$A$21,0),MATCH(W$9,GDP_CGE!$A$3:$AN$3,0)),GDP_Simple!W15)</f>
        <v>24.020760777611603</v>
      </c>
      <c r="X17">
        <f>IF($C$3="CGE",INDEX(GDP_CGE!$A$3:$AN$21,MATCH($A17,GDP_CGE!$A$3:$A$21,0),MATCH(X$9,GDP_CGE!$A$3:$AN$3,0)),GDP_Simple!X15)</f>
        <v>25.103967656786669</v>
      </c>
      <c r="Y17">
        <f>IF($C$3="CGE",INDEX(GDP_CGE!$A$3:$AN$21,MATCH($A17,GDP_CGE!$A$3:$A$21,0),MATCH(Y$9,GDP_CGE!$A$3:$AN$3,0)),GDP_Simple!Y15)</f>
        <v>26.261908541528921</v>
      </c>
      <c r="Z17">
        <f>IF($C$3="CGE",INDEX(GDP_CGE!$A$3:$AN$21,MATCH($A17,GDP_CGE!$A$3:$A$21,0),MATCH(Z$9,GDP_CGE!$A$3:$AN$3,0)),GDP_Simple!Z15)</f>
        <v>27.294066040479411</v>
      </c>
      <c r="AA17">
        <f>IF($C$3="CGE",INDEX(GDP_CGE!$A$3:$AN$21,MATCH($A17,GDP_CGE!$A$3:$A$21,0),MATCH(AA$9,GDP_CGE!$A$3:$AN$3,0)),GDP_Simple!AA15)</f>
        <v>28.349587129990599</v>
      </c>
      <c r="AB17">
        <f>IF($C$3="CGE",INDEX(GDP_CGE!$A$3:$AN$21,MATCH($A17,GDP_CGE!$A$3:$A$21,0),MATCH(AB$9,GDP_CGE!$A$3:$AN$3,0)),GDP_Simple!AB15)</f>
        <v>29.452235727833983</v>
      </c>
      <c r="AC17">
        <f>IF($C$3="CGE",INDEX(GDP_CGE!$A$3:$AN$21,MATCH($A17,GDP_CGE!$A$3:$A$21,0),MATCH(AC$9,GDP_CGE!$A$3:$AN$3,0)),GDP_Simple!AC15)</f>
        <v>30.591062594419459</v>
      </c>
      <c r="AD17">
        <f>IF($C$3="CGE",INDEX(GDP_CGE!$A$3:$AN$21,MATCH($A17,GDP_CGE!$A$3:$A$21,0),MATCH(AD$9,GDP_CGE!$A$3:$AN$3,0)),GDP_Simple!AD15)</f>
        <v>31.764588846101812</v>
      </c>
      <c r="AE17">
        <f>IF($C$3="CGE",INDEX(GDP_CGE!$A$3:$AN$21,MATCH($A17,GDP_CGE!$A$3:$A$21,0),MATCH(AE$9,GDP_CGE!$A$3:$AN$3,0)),GDP_Simple!AE15)</f>
        <v>32.909745575339947</v>
      </c>
      <c r="AF17">
        <f>IF($C$3="CGE",INDEX(GDP_CGE!$A$3:$AN$21,MATCH($A17,GDP_CGE!$A$3:$A$21,0),MATCH(AF$9,GDP_CGE!$A$3:$AN$3,0)),GDP_Simple!AF15)</f>
        <v>34.095927470926412</v>
      </c>
      <c r="AG17">
        <f>IF($C$3="CGE",INDEX(GDP_CGE!$A$3:$AN$21,MATCH($A17,GDP_CGE!$A$3:$A$21,0),MATCH(AG$9,GDP_CGE!$A$3:$AN$3,0)),GDP_Simple!AG15)</f>
        <v>35.321946097288901</v>
      </c>
      <c r="AH17">
        <f>IF($C$3="CGE",INDEX(GDP_CGE!$A$3:$AN$21,MATCH($A17,GDP_CGE!$A$3:$A$21,0),MATCH(AH$9,GDP_CGE!$A$3:$AN$3,0)),GDP_Simple!AH15)</f>
        <v>36.579644337997699</v>
      </c>
      <c r="AI17">
        <f>IF($C$3="CGE",INDEX(GDP_CGE!$A$3:$AN$21,MATCH($A17,GDP_CGE!$A$3:$A$21,0),MATCH(AI$9,GDP_CGE!$A$3:$AN$3,0)),GDP_Simple!AI15)</f>
        <v>37.870193742044108</v>
      </c>
      <c r="AJ17">
        <f>IF($C$3="CGE",INDEX(GDP_CGE!$A$3:$AN$21,MATCH($A17,GDP_CGE!$A$3:$A$21,0),MATCH(AJ$9,GDP_CGE!$A$3:$AN$3,0)),GDP_Simple!AJ15)</f>
        <v>38.992302256071355</v>
      </c>
      <c r="AK17">
        <f>IF($C$3="CGE",INDEX(GDP_CGE!$A$3:$AN$21,MATCH($A17,GDP_CGE!$A$3:$A$21,0),MATCH(AK$9,GDP_CGE!$A$3:$AN$3,0)),GDP_Simple!AK15)</f>
        <v>40.136923066352082</v>
      </c>
      <c r="AL17">
        <f>IF($C$3="CGE",INDEX(GDP_CGE!$A$3:$AN$21,MATCH($A17,GDP_CGE!$A$3:$A$21,0),MATCH(AL$9,GDP_CGE!$A$3:$AN$3,0)),GDP_Simple!AL15)</f>
        <v>41.310877469556289</v>
      </c>
      <c r="AM17">
        <f>IF($C$3="CGE",INDEX(GDP_CGE!$A$3:$AN$21,MATCH($A17,GDP_CGE!$A$3:$A$21,0),MATCH(AM$9,GDP_CGE!$A$3:$AN$3,0)),GDP_Simple!AM15)</f>
        <v>42.505751628669501</v>
      </c>
      <c r="AN17">
        <f>IF($C$3="CGE",INDEX(GDP_CGE!$A$3:$AN$21,MATCH($A17,GDP_CGE!$A$3:$A$21,0),MATCH(AN$9,GDP_CGE!$A$3:$AN$3,0)),GDP_Simple!AN15)</f>
        <v>43.723300126371136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205.45</v>
      </c>
      <c r="C18">
        <f>IF($C$3="CGE",INDEX(GDP_CGE!$A$3:$AN$21,MATCH($A18,GDP_CGE!$A$3:$A$21,0),MATCH(C$9,GDP_CGE!$A$3:$AN$3,0)),GDP_Simple!C16)</f>
        <v>210.29</v>
      </c>
      <c r="D18">
        <f>IF($C$3="CGE",INDEX(GDP_CGE!$A$3:$AN$21,MATCH($A18,GDP_CGE!$A$3:$A$21,0),MATCH(D$9,GDP_CGE!$A$3:$AN$3,0)),GDP_Simple!D16)</f>
        <v>210.09</v>
      </c>
      <c r="E18">
        <f>IF($C$3="CGE",INDEX(GDP_CGE!$A$3:$AN$21,MATCH($A18,GDP_CGE!$A$3:$A$21,0),MATCH(E$9,GDP_CGE!$A$3:$AN$3,0)),GDP_Simple!E16)</f>
        <v>214.84</v>
      </c>
      <c r="F18">
        <f>IF($C$3="CGE",INDEX(GDP_CGE!$A$3:$AN$21,MATCH($A18,GDP_CGE!$A$3:$A$21,0),MATCH(F$9,GDP_CGE!$A$3:$AN$3,0)),GDP_Simple!F16)</f>
        <v>210.99</v>
      </c>
      <c r="G18">
        <f>IF($C$3="CGE",INDEX(GDP_CGE!$A$3:$AN$21,MATCH($A18,GDP_CGE!$A$3:$A$21,0),MATCH(G$9,GDP_CGE!$A$3:$AN$3,0)),GDP_Simple!G16)</f>
        <v>215.85</v>
      </c>
      <c r="H18">
        <f>IF($C$3="CGE",INDEX(GDP_CGE!$A$3:$AN$21,MATCH($A18,GDP_CGE!$A$3:$A$21,0),MATCH(H$9,GDP_CGE!$A$3:$AN$3,0)),GDP_Simple!H16)</f>
        <v>213.65</v>
      </c>
      <c r="I18">
        <f>IF($C$3="CGE",INDEX(GDP_CGE!$A$3:$AN$21,MATCH($A18,GDP_CGE!$A$3:$A$21,0),MATCH(I$9,GDP_CGE!$A$3:$AN$3,0)),GDP_Simple!I16)</f>
        <v>210.07</v>
      </c>
      <c r="J18">
        <f>IF($C$3="CGE",INDEX(GDP_CGE!$A$3:$AN$21,MATCH($A18,GDP_CGE!$A$3:$A$21,0),MATCH(J$9,GDP_CGE!$A$3:$AN$3,0)),GDP_Simple!J16)</f>
        <v>193.07</v>
      </c>
      <c r="K18">
        <f>IF($C$3="CGE",INDEX(GDP_CGE!$A$3:$AN$21,MATCH($A18,GDP_CGE!$A$3:$A$21,0),MATCH(K$9,GDP_CGE!$A$3:$AN$3,0)),GDP_Simple!K16)</f>
        <v>202.53042999999997</v>
      </c>
      <c r="L18">
        <f>IF($C$3="CGE",INDEX(GDP_CGE!$A$3:$AN$21,MATCH($A18,GDP_CGE!$A$3:$A$21,0),MATCH(L$9,GDP_CGE!$A$3:$AN$3,0)),GDP_Simple!L16)</f>
        <v>212.36440754555551</v>
      </c>
      <c r="M18">
        <f>IF($C$3="CGE",INDEX(GDP_CGE!$A$3:$AN$21,MATCH($A18,GDP_CGE!$A$3:$A$21,0),MATCH(M$9,GDP_CGE!$A$3:$AN$3,0)),GDP_Simple!M16)</f>
        <v>222.58149515302503</v>
      </c>
      <c r="N18">
        <f>IF($C$3="CGE",INDEX(GDP_CGE!$A$3:$AN$21,MATCH($A18,GDP_CGE!$A$3:$A$21,0),MATCH(N$9,GDP_CGE!$A$3:$AN$3,0)),GDP_Simple!N16)</f>
        <v>233.19121308865257</v>
      </c>
      <c r="O18">
        <f>IF($C$3="CGE",INDEX(GDP_CGE!$A$3:$AN$21,MATCH($A18,GDP_CGE!$A$3:$A$21,0),MATCH(O$9,GDP_CGE!$A$3:$AN$3,0)),GDP_Simple!O16)</f>
        <v>244.20302037339451</v>
      </c>
      <c r="P18">
        <f>IF($C$3="CGE",INDEX(GDP_CGE!$A$3:$AN$21,MATCH($A18,GDP_CGE!$A$3:$A$21,0),MATCH(P$9,GDP_CGE!$A$3:$AN$3,0)),GDP_Simple!P16)</f>
        <v>255.62629499308329</v>
      </c>
      <c r="Q18">
        <f>IF($C$3="CGE",INDEX(GDP_CGE!$A$3:$AN$21,MATCH($A18,GDP_CGE!$A$3:$A$21,0),MATCH(Q$9,GDP_CGE!$A$3:$AN$3,0)),GDP_Simple!Q16)</f>
        <v>267.47031332776282</v>
      </c>
      <c r="R18">
        <f>IF($C$3="CGE",INDEX(GDP_CGE!$A$3:$AN$21,MATCH($A18,GDP_CGE!$A$3:$A$21,0),MATCH(R$9,GDP_CGE!$A$3:$AN$3,0)),GDP_Simple!R16)</f>
        <v>279.74422881713684</v>
      </c>
      <c r="S18">
        <f>IF($C$3="CGE",INDEX(GDP_CGE!$A$3:$AN$21,MATCH($A18,GDP_CGE!$A$3:$A$21,0),MATCH(S$9,GDP_CGE!$A$3:$AN$3,0)),GDP_Simple!S16)</f>
        <v>292.45704988227118</v>
      </c>
      <c r="T18">
        <f>IF($C$3="CGE",INDEX(GDP_CGE!$A$3:$AN$21,MATCH($A18,GDP_CGE!$A$3:$A$21,0),MATCH(T$9,GDP_CGE!$A$3:$AN$3,0)),GDP_Simple!T16)</f>
        <v>305.61761712697336</v>
      </c>
      <c r="U18">
        <f>IF($C$3="CGE",INDEX(GDP_CGE!$A$3:$AN$21,MATCH($A18,GDP_CGE!$A$3:$A$21,0),MATCH(U$9,GDP_CGE!$A$3:$AN$3,0)),GDP_Simple!U16)</f>
        <v>318.93900720027807</v>
      </c>
      <c r="V18">
        <f>IF($C$3="CGE",INDEX(GDP_CGE!$A$3:$AN$21,MATCH($A18,GDP_CGE!$A$3:$A$21,0),MATCH(V$9,GDP_CGE!$A$3:$AN$3,0)),GDP_Simple!V16)</f>
        <v>332.51253516340029</v>
      </c>
      <c r="W18">
        <f>IF($C$3="CGE",INDEX(GDP_CGE!$A$3:$AN$21,MATCH($A18,GDP_CGE!$A$3:$A$21,0),MATCH(W$9,GDP_CGE!$A$3:$AN$3,0)),GDP_Simple!W16)</f>
        <v>346.13290501900201</v>
      </c>
      <c r="X18">
        <f>IF($C$3="CGE",INDEX(GDP_CGE!$A$3:$AN$21,MATCH($A18,GDP_CGE!$A$3:$A$21,0),MATCH(X$9,GDP_CGE!$A$3:$AN$3,0)),GDP_Simple!X16)</f>
        <v>360.03156470597685</v>
      </c>
      <c r="Y18">
        <f>IF($C$3="CGE",INDEX(GDP_CGE!$A$3:$AN$21,MATCH($A18,GDP_CGE!$A$3:$A$21,0),MATCH(Y$9,GDP_CGE!$A$3:$AN$3,0)),GDP_Simple!Y16)</f>
        <v>373.8899612927321</v>
      </c>
      <c r="Z18">
        <f>IF($C$3="CGE",INDEX(GDP_CGE!$A$3:$AN$21,MATCH($A18,GDP_CGE!$A$3:$A$21,0),MATCH(Z$9,GDP_CGE!$A$3:$AN$3,0)),GDP_Simple!Z16)</f>
        <v>387.88171771840325</v>
      </c>
      <c r="AA18">
        <f>IF($C$3="CGE",INDEX(GDP_CGE!$A$3:$AN$21,MATCH($A18,GDP_CGE!$A$3:$A$21,0),MATCH(AA$9,GDP_CGE!$A$3:$AN$3,0)),GDP_Simple!AA16)</f>
        <v>402.42908061156601</v>
      </c>
      <c r="AB18">
        <f>IF($C$3="CGE",INDEX(GDP_CGE!$A$3:$AN$21,MATCH($A18,GDP_CGE!$A$3:$A$21,0),MATCH(AB$9,GDP_CGE!$A$3:$AN$3,0)),GDP_Simple!AB16)</f>
        <v>417.39024949127406</v>
      </c>
      <c r="AC18">
        <f>IF($C$3="CGE",INDEX(GDP_CGE!$A$3:$AN$21,MATCH($A18,GDP_CGE!$A$3:$A$21,0),MATCH(AC$9,GDP_CGE!$A$3:$AN$3,0)),GDP_Simple!AC16)</f>
        <v>432.94217743634084</v>
      </c>
      <c r="AD18">
        <f>IF($C$3="CGE",INDEX(GDP_CGE!$A$3:$AN$21,MATCH($A18,GDP_CGE!$A$3:$A$21,0),MATCH(AD$9,GDP_CGE!$A$3:$AN$3,0)),GDP_Simple!AD16)</f>
        <v>449.30029504311881</v>
      </c>
      <c r="AE18">
        <f>IF($C$3="CGE",INDEX(GDP_CGE!$A$3:$AN$21,MATCH($A18,GDP_CGE!$A$3:$A$21,0),MATCH(AE$9,GDP_CGE!$A$3:$AN$3,0)),GDP_Simple!AE16)</f>
        <v>462.51735296118471</v>
      </c>
      <c r="AF18">
        <f>IF($C$3="CGE",INDEX(GDP_CGE!$A$3:$AN$21,MATCH($A18,GDP_CGE!$A$3:$A$21,0),MATCH(AF$9,GDP_CGE!$A$3:$AN$3,0)),GDP_Simple!AF16)</f>
        <v>475.94039307485264</v>
      </c>
      <c r="AG18">
        <f>IF($C$3="CGE",INDEX(GDP_CGE!$A$3:$AN$21,MATCH($A18,GDP_CGE!$A$3:$A$21,0),MATCH(AG$9,GDP_CGE!$A$3:$AN$3,0)),GDP_Simple!AG16)</f>
        <v>489.71880112232708</v>
      </c>
      <c r="AH18">
        <f>IF($C$3="CGE",INDEX(GDP_CGE!$A$3:$AN$21,MATCH($A18,GDP_CGE!$A$3:$A$21,0),MATCH(AH$9,GDP_CGE!$A$3:$AN$3,0)),GDP_Simple!AH16)</f>
        <v>504.08493467122105</v>
      </c>
      <c r="AI18">
        <f>IF($C$3="CGE",INDEX(GDP_CGE!$A$3:$AN$21,MATCH($A18,GDP_CGE!$A$3:$A$21,0),MATCH(AI$9,GDP_CGE!$A$3:$AN$3,0)),GDP_Simple!AI16)</f>
        <v>519.11219617357563</v>
      </c>
      <c r="AJ18">
        <f>IF($C$3="CGE",INDEX(GDP_CGE!$A$3:$AN$21,MATCH($A18,GDP_CGE!$A$3:$A$21,0),MATCH(AJ$9,GDP_CGE!$A$3:$AN$3,0)),GDP_Simple!AJ16)</f>
        <v>532.58897921773234</v>
      </c>
      <c r="AK18">
        <f>IF($C$3="CGE",INDEX(GDP_CGE!$A$3:$AN$21,MATCH($A18,GDP_CGE!$A$3:$A$21,0),MATCH(AK$9,GDP_CGE!$A$3:$AN$3,0)),GDP_Simple!AK16)</f>
        <v>546.63001672933763</v>
      </c>
      <c r="AL18">
        <f>IF($C$3="CGE",INDEX(GDP_CGE!$A$3:$AN$21,MATCH($A18,GDP_CGE!$A$3:$A$21,0),MATCH(AL$9,GDP_CGE!$A$3:$AN$3,0)),GDP_Simple!AL16)</f>
        <v>561.15732017189021</v>
      </c>
      <c r="AM18">
        <f>IF($C$3="CGE",INDEX(GDP_CGE!$A$3:$AN$21,MATCH($A18,GDP_CGE!$A$3:$A$21,0),MATCH(AM$9,GDP_CGE!$A$3:$AN$3,0)),GDP_Simple!AM16)</f>
        <v>576.38062723821463</v>
      </c>
      <c r="AN18">
        <f>IF($C$3="CGE",INDEX(GDP_CGE!$A$3:$AN$21,MATCH($A18,GDP_CGE!$A$3:$A$21,0),MATCH(AN$9,GDP_CGE!$A$3:$AN$3,0)),GDP_Simple!AN16)</f>
        <v>592.36894288947133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</v>
      </c>
      <c r="C19">
        <f>IF($C$3="CGE",INDEX(GDP_CGE!$A$3:$AN$21,MATCH($A19,GDP_CGE!$A$3:$A$21,0),MATCH(C$9,GDP_CGE!$A$3:$AN$3,0)),GDP_Simple!C17)</f>
        <v>8.43</v>
      </c>
      <c r="D19">
        <f>IF($C$3="CGE",INDEX(GDP_CGE!$A$3:$AN$21,MATCH($A19,GDP_CGE!$A$3:$A$21,0),MATCH(D$9,GDP_CGE!$A$3:$AN$3,0)),GDP_Simple!D17)</f>
        <v>7.26</v>
      </c>
      <c r="E19">
        <f>IF($C$3="CGE",INDEX(GDP_CGE!$A$3:$AN$21,MATCH($A19,GDP_CGE!$A$3:$A$21,0),MATCH(E$9,GDP_CGE!$A$3:$AN$3,0)),GDP_Simple!E17)</f>
        <v>6.85</v>
      </c>
      <c r="F19">
        <f>IF($C$3="CGE",INDEX(GDP_CGE!$A$3:$AN$21,MATCH($A19,GDP_CGE!$A$3:$A$21,0),MATCH(F$9,GDP_CGE!$A$3:$AN$3,0)),GDP_Simple!F17)</f>
        <v>6.43</v>
      </c>
      <c r="G19">
        <f>IF($C$3="CGE",INDEX(GDP_CGE!$A$3:$AN$21,MATCH($A19,GDP_CGE!$A$3:$A$21,0),MATCH(G$9,GDP_CGE!$A$3:$AN$3,0)),GDP_Simple!G17)</f>
        <v>5.96</v>
      </c>
      <c r="H19">
        <f>IF($C$3="CGE",INDEX(GDP_CGE!$A$3:$AN$21,MATCH($A19,GDP_CGE!$A$3:$A$21,0),MATCH(H$9,GDP_CGE!$A$3:$AN$3,0)),GDP_Simple!H17)</f>
        <v>5.84</v>
      </c>
      <c r="I19">
        <f>IF($C$3="CGE",INDEX(GDP_CGE!$A$3:$AN$21,MATCH($A19,GDP_CGE!$A$3:$A$21,0),MATCH(I$9,GDP_CGE!$A$3:$AN$3,0)),GDP_Simple!I17)</f>
        <v>5.52</v>
      </c>
      <c r="J19">
        <f>IF($C$3="CGE",INDEX(GDP_CGE!$A$3:$AN$21,MATCH($A19,GDP_CGE!$A$3:$A$21,0),MATCH(J$9,GDP_CGE!$A$3:$AN$3,0)),GDP_Simple!J17)</f>
        <v>4.53</v>
      </c>
      <c r="K19">
        <f>IF($C$3="CGE",INDEX(GDP_CGE!$A$3:$AN$21,MATCH($A19,GDP_CGE!$A$3:$A$21,0),MATCH(K$9,GDP_CGE!$A$3:$AN$3,0)),GDP_Simple!K17)</f>
        <v>5.3801803479186914</v>
      </c>
      <c r="L19">
        <f>IF($C$3="CGE",INDEX(GDP_CGE!$A$3:$AN$21,MATCH($A19,GDP_CGE!$A$3:$A$21,0),MATCH(L$9,GDP_CGE!$A$3:$AN$3,0)),GDP_Simple!L17)</f>
        <v>5.6471387995125548</v>
      </c>
      <c r="M19">
        <f>IF($C$3="CGE",INDEX(GDP_CGE!$A$3:$AN$21,MATCH($A19,GDP_CGE!$A$3:$A$21,0),MATCH(M$9,GDP_CGE!$A$3:$AN$3,0)),GDP_Simple!M17)</f>
        <v>5.9225910262028725</v>
      </c>
      <c r="N19">
        <f>IF($C$3="CGE",INDEX(GDP_CGE!$A$3:$AN$21,MATCH($A19,GDP_CGE!$A$3:$A$21,0),MATCH(N$9,GDP_CGE!$A$3:$AN$3,0)),GDP_Simple!N17)</f>
        <v>6.2100404137335348</v>
      </c>
      <c r="O19">
        <f>IF($C$3="CGE",INDEX(GDP_CGE!$A$3:$AN$21,MATCH($A19,GDP_CGE!$A$3:$A$21,0),MATCH(O$9,GDP_CGE!$A$3:$AN$3,0)),GDP_Simple!O17)</f>
        <v>6.5085292634961291</v>
      </c>
      <c r="P19">
        <f>IF($C$3="CGE",INDEX(GDP_CGE!$A$3:$AN$21,MATCH($A19,GDP_CGE!$A$3:$A$21,0),MATCH(P$9,GDP_CGE!$A$3:$AN$3,0)),GDP_Simple!P17)</f>
        <v>6.830677340396381</v>
      </c>
      <c r="Q19">
        <f>IF($C$3="CGE",INDEX(GDP_CGE!$A$3:$AN$21,MATCH($A19,GDP_CGE!$A$3:$A$21,0),MATCH(Q$9,GDP_CGE!$A$3:$AN$3,0)),GDP_Simple!Q17)</f>
        <v>7.1660757508049722</v>
      </c>
      <c r="R19">
        <f>IF($C$3="CGE",INDEX(GDP_CGE!$A$3:$AN$21,MATCH($A19,GDP_CGE!$A$3:$A$21,0),MATCH(R$9,GDP_CGE!$A$3:$AN$3,0)),GDP_Simple!R17)</f>
        <v>7.5129486849338853</v>
      </c>
      <c r="S19">
        <f>IF($C$3="CGE",INDEX(GDP_CGE!$A$3:$AN$21,MATCH($A19,GDP_CGE!$A$3:$A$21,0),MATCH(S$9,GDP_CGE!$A$3:$AN$3,0)),GDP_Simple!S17)</f>
        <v>7.8771653634868475</v>
      </c>
      <c r="T19">
        <f>IF($C$3="CGE",INDEX(GDP_CGE!$A$3:$AN$21,MATCH($A19,GDP_CGE!$A$3:$A$21,0),MATCH(T$9,GDP_CGE!$A$3:$AN$3,0)),GDP_Simple!T17)</f>
        <v>8.2583899646580807</v>
      </c>
      <c r="U19">
        <f>IF($C$3="CGE",INDEX(GDP_CGE!$A$3:$AN$21,MATCH($A19,GDP_CGE!$A$3:$A$21,0),MATCH(U$9,GDP_CGE!$A$3:$AN$3,0)),GDP_Simple!U17)</f>
        <v>8.6244681259021903</v>
      </c>
      <c r="V19">
        <f>IF($C$3="CGE",INDEX(GDP_CGE!$A$3:$AN$21,MATCH($A19,GDP_CGE!$A$3:$A$21,0),MATCH(V$9,GDP_CGE!$A$3:$AN$3,0)),GDP_Simple!V17)</f>
        <v>9.0077527061057143</v>
      </c>
      <c r="W19">
        <f>IF($C$3="CGE",INDEX(GDP_CGE!$A$3:$AN$21,MATCH($A19,GDP_CGE!$A$3:$A$21,0),MATCH(W$9,GDP_CGE!$A$3:$AN$3,0)),GDP_Simple!W17)</f>
        <v>9.4172300775863658</v>
      </c>
      <c r="X19">
        <f>IF($C$3="CGE",INDEX(GDP_CGE!$A$3:$AN$21,MATCH($A19,GDP_CGE!$A$3:$A$21,0),MATCH(X$9,GDP_CGE!$A$3:$AN$3,0)),GDP_Simple!X17)</f>
        <v>9.8418964108993183</v>
      </c>
      <c r="Y19">
        <f>IF($C$3="CGE",INDEX(GDP_CGE!$A$3:$AN$21,MATCH($A19,GDP_CGE!$A$3:$A$21,0),MATCH(Y$9,GDP_CGE!$A$3:$AN$3,0)),GDP_Simple!Y17)</f>
        <v>10.295861871394861</v>
      </c>
      <c r="Z19">
        <f>IF($C$3="CGE",INDEX(GDP_CGE!$A$3:$AN$21,MATCH($A19,GDP_CGE!$A$3:$A$21,0),MATCH(Z$9,GDP_CGE!$A$3:$AN$3,0)),GDP_Simple!Z17)</f>
        <v>10.700514527233405</v>
      </c>
      <c r="AA19">
        <f>IF($C$3="CGE",INDEX(GDP_CGE!$A$3:$AN$21,MATCH($A19,GDP_CGE!$A$3:$A$21,0),MATCH(AA$9,GDP_CGE!$A$3:$AN$3,0)),GDP_Simple!AA17)</f>
        <v>11.114326772553133</v>
      </c>
      <c r="AB19">
        <f>IF($C$3="CGE",INDEX(GDP_CGE!$A$3:$AN$21,MATCH($A19,GDP_CGE!$A$3:$A$21,0),MATCH(AB$9,GDP_CGE!$A$3:$AN$3,0)),GDP_Simple!AB17)</f>
        <v>11.546615143298551</v>
      </c>
      <c r="AC19">
        <f>IF($C$3="CGE",INDEX(GDP_CGE!$A$3:$AN$21,MATCH($A19,GDP_CGE!$A$3:$A$21,0),MATCH(AC$9,GDP_CGE!$A$3:$AN$3,0)),GDP_Simple!AC17)</f>
        <v>11.993087039857629</v>
      </c>
      <c r="AD19">
        <f>IF($C$3="CGE",INDEX(GDP_CGE!$A$3:$AN$21,MATCH($A19,GDP_CGE!$A$3:$A$21,0),MATCH(AD$9,GDP_CGE!$A$3:$AN$3,0)),GDP_Simple!AD17)</f>
        <v>12.45316267261946</v>
      </c>
      <c r="AE19">
        <f>IF($C$3="CGE",INDEX(GDP_CGE!$A$3:$AN$21,MATCH($A19,GDP_CGE!$A$3:$A$21,0),MATCH(AE$9,GDP_CGE!$A$3:$AN$3,0)),GDP_Simple!AE17)</f>
        <v>12.902116163059409</v>
      </c>
      <c r="AF19">
        <f>IF($C$3="CGE",INDEX(GDP_CGE!$A$3:$AN$21,MATCH($A19,GDP_CGE!$A$3:$A$21,0),MATCH(AF$9,GDP_CGE!$A$3:$AN$3,0)),GDP_Simple!AF17)</f>
        <v>13.367153383488194</v>
      </c>
      <c r="AG19">
        <f>IF($C$3="CGE",INDEX(GDP_CGE!$A$3:$AN$21,MATCH($A19,GDP_CGE!$A$3:$A$21,0),MATCH(AG$9,GDP_CGE!$A$3:$AN$3,0)),GDP_Simple!AG17)</f>
        <v>13.847808413141673</v>
      </c>
      <c r="AH19">
        <f>IF($C$3="CGE",INDEX(GDP_CGE!$A$3:$AN$21,MATCH($A19,GDP_CGE!$A$3:$A$21,0),MATCH(AH$9,GDP_CGE!$A$3:$AN$3,0)),GDP_Simple!AH17)</f>
        <v>14.340883291601369</v>
      </c>
      <c r="AI19">
        <f>IF($C$3="CGE",INDEX(GDP_CGE!$A$3:$AN$21,MATCH($A19,GDP_CGE!$A$3:$A$21,0),MATCH(AI$9,GDP_CGE!$A$3:$AN$3,0)),GDP_Simple!AI17)</f>
        <v>14.846837319324109</v>
      </c>
      <c r="AJ19">
        <f>IF($C$3="CGE",INDEX(GDP_CGE!$A$3:$AN$21,MATCH($A19,GDP_CGE!$A$3:$A$21,0),MATCH(AJ$9,GDP_CGE!$A$3:$AN$3,0)),GDP_Simple!AJ17)</f>
        <v>15.286754861755247</v>
      </c>
      <c r="AK19">
        <f>IF($C$3="CGE",INDEX(GDP_CGE!$A$3:$AN$21,MATCH($A19,GDP_CGE!$A$3:$A$21,0),MATCH(AK$9,GDP_CGE!$A$3:$AN$3,0)),GDP_Simple!AK17)</f>
        <v>15.735498247603941</v>
      </c>
      <c r="AL19">
        <f>IF($C$3="CGE",INDEX(GDP_CGE!$A$3:$AN$21,MATCH($A19,GDP_CGE!$A$3:$A$21,0),MATCH(AL$9,GDP_CGE!$A$3:$AN$3,0)),GDP_Simple!AL17)</f>
        <v>16.195741735223773</v>
      </c>
      <c r="AM19">
        <f>IF($C$3="CGE",INDEX(GDP_CGE!$A$3:$AN$21,MATCH($A19,GDP_CGE!$A$3:$A$21,0),MATCH(AM$9,GDP_CGE!$A$3:$AN$3,0)),GDP_Simple!AM17)</f>
        <v>16.664186718057927</v>
      </c>
      <c r="AN19">
        <f>IF($C$3="CGE",INDEX(GDP_CGE!$A$3:$AN$21,MATCH($A19,GDP_CGE!$A$3:$A$21,0),MATCH(AN$9,GDP_CGE!$A$3:$AN$3,0)),GDP_Simple!AN17)</f>
        <v>17.1415210722705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</v>
      </c>
      <c r="C20">
        <f>IF($C$3="CGE",INDEX(GDP_CGE!$A$3:$AN$21,MATCH($A20,GDP_CGE!$A$3:$A$21,0),MATCH(C$9,GDP_CGE!$A$3:$AN$3,0)),GDP_Simple!C18)</f>
        <v>14.52</v>
      </c>
      <c r="D20">
        <f>IF($C$3="CGE",INDEX(GDP_CGE!$A$3:$AN$21,MATCH($A20,GDP_CGE!$A$3:$A$21,0),MATCH(D$9,GDP_CGE!$A$3:$AN$3,0)),GDP_Simple!D18)</f>
        <v>14.79</v>
      </c>
      <c r="E20">
        <f>IF($C$3="CGE",INDEX(GDP_CGE!$A$3:$AN$21,MATCH($A20,GDP_CGE!$A$3:$A$21,0),MATCH(E$9,GDP_CGE!$A$3:$AN$3,0)),GDP_Simple!E18)</f>
        <v>15.03</v>
      </c>
      <c r="F20">
        <f>IF($C$3="CGE",INDEX(GDP_CGE!$A$3:$AN$21,MATCH($A20,GDP_CGE!$A$3:$A$21,0),MATCH(F$9,GDP_CGE!$A$3:$AN$3,0)),GDP_Simple!F18)</f>
        <v>15.21</v>
      </c>
      <c r="G20">
        <f>IF($C$3="CGE",INDEX(GDP_CGE!$A$3:$AN$21,MATCH($A20,GDP_CGE!$A$3:$A$21,0),MATCH(G$9,GDP_CGE!$A$3:$AN$3,0)),GDP_Simple!G18)</f>
        <v>15.35</v>
      </c>
      <c r="H20">
        <f>IF($C$3="CGE",INDEX(GDP_CGE!$A$3:$AN$21,MATCH($A20,GDP_CGE!$A$3:$A$21,0),MATCH(H$9,GDP_CGE!$A$3:$AN$3,0)),GDP_Simple!H18)</f>
        <v>15.51</v>
      </c>
      <c r="I20">
        <f>IF($C$3="CGE",INDEX(GDP_CGE!$A$3:$AN$21,MATCH($A20,GDP_CGE!$A$3:$A$21,0),MATCH(I$9,GDP_CGE!$A$3:$AN$3,0)),GDP_Simple!I18)</f>
        <v>15.54</v>
      </c>
      <c r="J20">
        <f>IF($C$3="CGE",INDEX(GDP_CGE!$A$3:$AN$21,MATCH($A20,GDP_CGE!$A$3:$A$21,0),MATCH(J$9,GDP_CGE!$A$3:$AN$3,0)),GDP_Simple!J18)</f>
        <v>14.21</v>
      </c>
      <c r="K20">
        <f>IF($C$3="CGE",INDEX(GDP_CGE!$A$3:$AN$21,MATCH($A20,GDP_CGE!$A$3:$A$21,0),MATCH(K$9,GDP_CGE!$A$3:$AN$3,0)),GDP_Simple!K18)</f>
        <v>15.146377283814578</v>
      </c>
      <c r="L20">
        <f>IF($C$3="CGE",INDEX(GDP_CGE!$A$3:$AN$21,MATCH($A20,GDP_CGE!$A$3:$A$21,0),MATCH(L$9,GDP_CGE!$A$3:$AN$3,0)),GDP_Simple!L18)</f>
        <v>15.897923359497302</v>
      </c>
      <c r="M20">
        <f>IF($C$3="CGE",INDEX(GDP_CGE!$A$3:$AN$21,MATCH($A20,GDP_CGE!$A$3:$A$21,0),MATCH(M$9,GDP_CGE!$A$3:$AN$3,0)),GDP_Simple!M18)</f>
        <v>16.673381258549394</v>
      </c>
      <c r="N20">
        <f>IF($C$3="CGE",INDEX(GDP_CGE!$A$3:$AN$21,MATCH($A20,GDP_CGE!$A$3:$A$21,0),MATCH(N$9,GDP_CGE!$A$3:$AN$3,0)),GDP_Simple!N18)</f>
        <v>17.482613773445497</v>
      </c>
      <c r="O20">
        <f>IF($C$3="CGE",INDEX(GDP_CGE!$A$3:$AN$21,MATCH($A20,GDP_CGE!$A$3:$A$21,0),MATCH(O$9,GDP_CGE!$A$3:$AN$3,0)),GDP_Simple!O18)</f>
        <v>18.322924774407582</v>
      </c>
      <c r="P20">
        <f>IF($C$3="CGE",INDEX(GDP_CGE!$A$3:$AN$21,MATCH($A20,GDP_CGE!$A$3:$A$21,0),MATCH(P$9,GDP_CGE!$A$3:$AN$3,0)),GDP_Simple!P18)</f>
        <v>19.229841643072422</v>
      </c>
      <c r="Q20">
        <f>IF($C$3="CGE",INDEX(GDP_CGE!$A$3:$AN$21,MATCH($A20,GDP_CGE!$A$3:$A$21,0),MATCH(Q$9,GDP_CGE!$A$3:$AN$3,0)),GDP_Simple!Q18)</f>
        <v>20.174061081070523</v>
      </c>
      <c r="R20">
        <f>IF($C$3="CGE",INDEX(GDP_CGE!$A$3:$AN$21,MATCH($A20,GDP_CGE!$A$3:$A$21,0),MATCH(R$9,GDP_CGE!$A$3:$AN$3,0)),GDP_Simple!R18)</f>
        <v>21.150583797803005</v>
      </c>
      <c r="S20">
        <f>IF($C$3="CGE",INDEX(GDP_CGE!$A$3:$AN$21,MATCH($A20,GDP_CGE!$A$3:$A$21,0),MATCH(S$9,GDP_CGE!$A$3:$AN$3,0)),GDP_Simple!S18)</f>
        <v>22.175932925468409</v>
      </c>
      <c r="T20">
        <f>IF($C$3="CGE",INDEX(GDP_CGE!$A$3:$AN$21,MATCH($A20,GDP_CGE!$A$3:$A$21,0),MATCH(T$9,GDP_CGE!$A$3:$AN$3,0)),GDP_Simple!T18)</f>
        <v>23.249163052678732</v>
      </c>
      <c r="U20">
        <f>IF($C$3="CGE",INDEX(GDP_CGE!$A$3:$AN$21,MATCH($A20,GDP_CGE!$A$3:$A$21,0),MATCH(U$9,GDP_CGE!$A$3:$AN$3,0)),GDP_Simple!U18)</f>
        <v>24.279752658789864</v>
      </c>
      <c r="V20">
        <f>IF($C$3="CGE",INDEX(GDP_CGE!$A$3:$AN$21,MATCH($A20,GDP_CGE!$A$3:$A$21,0),MATCH(V$9,GDP_CGE!$A$3:$AN$3,0)),GDP_Simple!V18)</f>
        <v>25.35878207479761</v>
      </c>
      <c r="W20">
        <f>IF($C$3="CGE",INDEX(GDP_CGE!$A$3:$AN$21,MATCH($A20,GDP_CGE!$A$3:$A$21,0),MATCH(W$9,GDP_CGE!$A$3:$AN$3,0)),GDP_Simple!W18)</f>
        <v>26.511549892335534</v>
      </c>
      <c r="X20">
        <f>IF($C$3="CGE",INDEX(GDP_CGE!$A$3:$AN$21,MATCH($A20,GDP_CGE!$A$3:$A$21,0),MATCH(X$9,GDP_CGE!$A$3:$AN$3,0)),GDP_Simple!X18)</f>
        <v>27.707077939379605</v>
      </c>
      <c r="Y20">
        <f>IF($C$3="CGE",INDEX(GDP_CGE!$A$3:$AN$21,MATCH($A20,GDP_CGE!$A$3:$A$21,0),MATCH(Y$9,GDP_CGE!$A$3:$AN$3,0)),GDP_Simple!Y18)</f>
        <v>28.985089398818143</v>
      </c>
      <c r="Z20">
        <f>IF($C$3="CGE",INDEX(GDP_CGE!$A$3:$AN$21,MATCH($A20,GDP_CGE!$A$3:$A$21,0),MATCH(Z$9,GDP_CGE!$A$3:$AN$3,0)),GDP_Simple!Z18)</f>
        <v>30.124274592972306</v>
      </c>
      <c r="AA20">
        <f>IF($C$3="CGE",INDEX(GDP_CGE!$A$3:$AN$21,MATCH($A20,GDP_CGE!$A$3:$A$21,0),MATCH(AA$9,GDP_CGE!$A$3:$AN$3,0)),GDP_Simple!AA18)</f>
        <v>31.289246022731103</v>
      </c>
      <c r="AB20">
        <f>IF($C$3="CGE",INDEX(GDP_CGE!$A$3:$AN$21,MATCH($A20,GDP_CGE!$A$3:$A$21,0),MATCH(AB$9,GDP_CGE!$A$3:$AN$3,0)),GDP_Simple!AB18)</f>
        <v>32.506231762112229</v>
      </c>
      <c r="AC20">
        <f>IF($C$3="CGE",INDEX(GDP_CGE!$A$3:$AN$21,MATCH($A20,GDP_CGE!$A$3:$A$21,0),MATCH(AC$9,GDP_CGE!$A$3:$AN$3,0)),GDP_Simple!AC18)</f>
        <v>33.763147210033978</v>
      </c>
      <c r="AD20">
        <f>IF($C$3="CGE",INDEX(GDP_CGE!$A$3:$AN$21,MATCH($A20,GDP_CGE!$A$3:$A$21,0),MATCH(AD$9,GDP_CGE!$A$3:$AN$3,0)),GDP_Simple!AD18)</f>
        <v>35.058360132700436</v>
      </c>
      <c r="AE20">
        <f>IF($C$3="CGE",INDEX(GDP_CGE!$A$3:$AN$21,MATCH($A20,GDP_CGE!$A$3:$A$21,0),MATCH(AE$9,GDP_CGE!$A$3:$AN$3,0)),GDP_Simple!AE18)</f>
        <v>36.322261806873776</v>
      </c>
      <c r="AF20">
        <f>IF($C$3="CGE",INDEX(GDP_CGE!$A$3:$AN$21,MATCH($A20,GDP_CGE!$A$3:$A$21,0),MATCH(AF$9,GDP_CGE!$A$3:$AN$3,0)),GDP_Simple!AF18)</f>
        <v>37.631442677428723</v>
      </c>
      <c r="AG20">
        <f>IF($C$3="CGE",INDEX(GDP_CGE!$A$3:$AN$21,MATCH($A20,GDP_CGE!$A$3:$A$21,0),MATCH(AG$9,GDP_CGE!$A$3:$AN$3,0)),GDP_Simple!AG18)</f>
        <v>38.984591076127103</v>
      </c>
      <c r="AH20">
        <f>IF($C$3="CGE",INDEX(GDP_CGE!$A$3:$AN$21,MATCH($A20,GDP_CGE!$A$3:$A$21,0),MATCH(AH$9,GDP_CGE!$A$3:$AN$3,0)),GDP_Simple!AH18)</f>
        <v>40.372704049182119</v>
      </c>
      <c r="AI20">
        <f>IF($C$3="CGE",INDEX(GDP_CGE!$A$3:$AN$21,MATCH($A20,GDP_CGE!$A$3:$A$21,0),MATCH(AI$9,GDP_CGE!$A$3:$AN$3,0)),GDP_Simple!AI18)</f>
        <v>41.797074627227659</v>
      </c>
      <c r="AJ20">
        <f>IF($C$3="CGE",INDEX(GDP_CGE!$A$3:$AN$21,MATCH($A20,GDP_CGE!$A$3:$A$21,0),MATCH(AJ$9,GDP_CGE!$A$3:$AN$3,0)),GDP_Simple!AJ18)</f>
        <v>43.035538143419664</v>
      </c>
      <c r="AK20">
        <f>IF($C$3="CGE",INDEX(GDP_CGE!$A$3:$AN$21,MATCH($A20,GDP_CGE!$A$3:$A$21,0),MATCH(AK$9,GDP_CGE!$A$3:$AN$3,0)),GDP_Simple!AK18)</f>
        <v>44.298848327493708</v>
      </c>
      <c r="AL20">
        <f>IF($C$3="CGE",INDEX(GDP_CGE!$A$3:$AN$21,MATCH($A20,GDP_CGE!$A$3:$A$21,0),MATCH(AL$9,GDP_CGE!$A$3:$AN$3,0)),GDP_Simple!AL18)</f>
        <v>45.594533798075624</v>
      </c>
      <c r="AM20">
        <f>IF($C$3="CGE",INDEX(GDP_CGE!$A$3:$AN$21,MATCH($A20,GDP_CGE!$A$3:$A$21,0),MATCH(AM$9,GDP_CGE!$A$3:$AN$3,0)),GDP_Simple!AM18)</f>
        <v>46.913308260619608</v>
      </c>
      <c r="AN20">
        <f>IF($C$3="CGE",INDEX(GDP_CGE!$A$3:$AN$21,MATCH($A20,GDP_CGE!$A$3:$A$21,0),MATCH(AN$9,GDP_CGE!$A$3:$AN$3,0)),GDP_Simple!AN18)</f>
        <v>48.257108236065875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235.5</v>
      </c>
      <c r="C21">
        <f>IF($C$3="CGE",INDEX(GDP_CGE!$A$3:$AN$21,MATCH($A21,GDP_CGE!$A$3:$A$21,0),MATCH(C$9,GDP_CGE!$A$3:$AN$3,0)),GDP_Simple!C19)</f>
        <v>241.63</v>
      </c>
      <c r="D21">
        <f>IF($C$3="CGE",INDEX(GDP_CGE!$A$3:$AN$21,MATCH($A21,GDP_CGE!$A$3:$A$21,0),MATCH(D$9,GDP_CGE!$A$3:$AN$3,0)),GDP_Simple!D19)</f>
        <v>245.65</v>
      </c>
      <c r="E21">
        <f>IF($C$3="CGE",INDEX(GDP_CGE!$A$3:$AN$21,MATCH($A21,GDP_CGE!$A$3:$A$21,0),MATCH(E$9,GDP_CGE!$A$3:$AN$3,0)),GDP_Simple!E19)</f>
        <v>248.47</v>
      </c>
      <c r="F21">
        <f>IF($C$3="CGE",INDEX(GDP_CGE!$A$3:$AN$21,MATCH($A21,GDP_CGE!$A$3:$A$21,0),MATCH(F$9,GDP_CGE!$A$3:$AN$3,0)),GDP_Simple!F19)</f>
        <v>251.07</v>
      </c>
      <c r="G21">
        <f>IF($C$3="CGE",INDEX(GDP_CGE!$A$3:$AN$21,MATCH($A21,GDP_CGE!$A$3:$A$21,0),MATCH(G$9,GDP_CGE!$A$3:$AN$3,0)),GDP_Simple!G19)</f>
        <v>252.54</v>
      </c>
      <c r="H21">
        <f>IF($C$3="CGE",INDEX(GDP_CGE!$A$3:$AN$21,MATCH($A21,GDP_CGE!$A$3:$A$21,0),MATCH(H$9,GDP_CGE!$A$3:$AN$3,0)),GDP_Simple!H19)</f>
        <v>254.74</v>
      </c>
      <c r="I21">
        <f>IF($C$3="CGE",INDEX(GDP_CGE!$A$3:$AN$21,MATCH($A21,GDP_CGE!$A$3:$A$21,0),MATCH(I$9,GDP_CGE!$A$3:$AN$3,0)),GDP_Simple!I19)</f>
        <v>254.67</v>
      </c>
      <c r="J21">
        <f>IF($C$3="CGE",INDEX(GDP_CGE!$A$3:$AN$21,MATCH($A21,GDP_CGE!$A$3:$A$21,0),MATCH(J$9,GDP_CGE!$A$3:$AN$3,0)),GDP_Simple!J19)</f>
        <v>230.24</v>
      </c>
      <c r="K21">
        <f>IF($C$3="CGE",INDEX(GDP_CGE!$A$3:$AN$21,MATCH($A21,GDP_CGE!$A$3:$A$21,0),MATCH(K$9,GDP_CGE!$A$3:$AN$3,0)),GDP_Simple!K19)</f>
        <v>248.21929876892267</v>
      </c>
      <c r="L21">
        <f>IF($C$3="CGE",INDEX(GDP_CGE!$A$3:$AN$21,MATCH($A21,GDP_CGE!$A$3:$A$21,0),MATCH(L$9,GDP_CGE!$A$3:$AN$3,0)),GDP_Simple!L19)</f>
        <v>260.53565907098954</v>
      </c>
      <c r="M21">
        <f>IF($C$3="CGE",INDEX(GDP_CGE!$A$3:$AN$21,MATCH($A21,GDP_CGE!$A$3:$A$21,0),MATCH(M$9,GDP_CGE!$A$3:$AN$3,0)),GDP_Simple!M19)</f>
        <v>273.24388707302273</v>
      </c>
      <c r="N21">
        <f>IF($C$3="CGE",INDEX(GDP_CGE!$A$3:$AN$21,MATCH($A21,GDP_CGE!$A$3:$A$21,0),MATCH(N$9,GDP_CGE!$A$3:$AN$3,0)),GDP_Simple!N19)</f>
        <v>286.50561452273899</v>
      </c>
      <c r="O21">
        <f>IF($C$3="CGE",INDEX(GDP_CGE!$A$3:$AN$21,MATCH($A21,GDP_CGE!$A$3:$A$21,0),MATCH(O$9,GDP_CGE!$A$3:$AN$3,0)),GDP_Simple!O19)</f>
        <v>300.27665716205786</v>
      </c>
      <c r="P21">
        <f>IF($C$3="CGE",INDEX(GDP_CGE!$A$3:$AN$21,MATCH($A21,GDP_CGE!$A$3:$A$21,0),MATCH(P$9,GDP_CGE!$A$3:$AN$3,0)),GDP_Simple!P19)</f>
        <v>315.13923881861348</v>
      </c>
      <c r="Q21">
        <f>IF($C$3="CGE",INDEX(GDP_CGE!$A$3:$AN$21,MATCH($A21,GDP_CGE!$A$3:$A$21,0),MATCH(Q$9,GDP_CGE!$A$3:$AN$3,0)),GDP_Simple!Q19)</f>
        <v>330.61313613360551</v>
      </c>
      <c r="R21">
        <f>IF($C$3="CGE",INDEX(GDP_CGE!$A$3:$AN$21,MATCH($A21,GDP_CGE!$A$3:$A$21,0),MATCH(R$9,GDP_CGE!$A$3:$AN$3,0)),GDP_Simple!R19)</f>
        <v>346.61642057828129</v>
      </c>
      <c r="S21">
        <f>IF($C$3="CGE",INDEX(GDP_CGE!$A$3:$AN$21,MATCH($A21,GDP_CGE!$A$3:$A$21,0),MATCH(S$9,GDP_CGE!$A$3:$AN$3,0)),GDP_Simple!S19)</f>
        <v>363.41987375347748</v>
      </c>
      <c r="T21">
        <f>IF($C$3="CGE",INDEX(GDP_CGE!$A$3:$AN$21,MATCH($A21,GDP_CGE!$A$3:$A$21,0),MATCH(T$9,GDP_CGE!$A$3:$AN$3,0)),GDP_Simple!T19)</f>
        <v>381.00800222816554</v>
      </c>
      <c r="U21">
        <f>IF($C$3="CGE",INDEX(GDP_CGE!$A$3:$AN$21,MATCH($A21,GDP_CGE!$A$3:$A$21,0),MATCH(U$9,GDP_CGE!$A$3:$AN$3,0)),GDP_Simple!U19)</f>
        <v>397.89733652599836</v>
      </c>
      <c r="V21">
        <f>IF($C$3="CGE",INDEX(GDP_CGE!$A$3:$AN$21,MATCH($A21,GDP_CGE!$A$3:$A$21,0),MATCH(V$9,GDP_CGE!$A$3:$AN$3,0)),GDP_Simple!V19)</f>
        <v>415.58050392462724</v>
      </c>
      <c r="W21">
        <f>IF($C$3="CGE",INDEX(GDP_CGE!$A$3:$AN$21,MATCH($A21,GDP_CGE!$A$3:$A$21,0),MATCH(W$9,GDP_CGE!$A$3:$AN$3,0)),GDP_Simple!W19)</f>
        <v>434.4720985251667</v>
      </c>
      <c r="X21">
        <f>IF($C$3="CGE",INDEX(GDP_CGE!$A$3:$AN$21,MATCH($A21,GDP_CGE!$A$3:$A$21,0),MATCH(X$9,GDP_CGE!$A$3:$AN$3,0)),GDP_Simple!X19)</f>
        <v>454.06444908763217</v>
      </c>
      <c r="Y21">
        <f>IF($C$3="CGE",INDEX(GDP_CGE!$A$3:$AN$21,MATCH($A21,GDP_CGE!$A$3:$A$21,0),MATCH(Y$9,GDP_CGE!$A$3:$AN$3,0)),GDP_Simple!Y19)</f>
        <v>475.00854036016835</v>
      </c>
      <c r="Z21">
        <f>IF($C$3="CGE",INDEX(GDP_CGE!$A$3:$AN$21,MATCH($A21,GDP_CGE!$A$3:$A$21,0),MATCH(Z$9,GDP_CGE!$A$3:$AN$3,0)),GDP_Simple!Z19)</f>
        <v>493.67754250915425</v>
      </c>
      <c r="AA21">
        <f>IF($C$3="CGE",INDEX(GDP_CGE!$A$3:$AN$21,MATCH($A21,GDP_CGE!$A$3:$A$21,0),MATCH(AA$9,GDP_CGE!$A$3:$AN$3,0)),GDP_Simple!AA19)</f>
        <v>512.76913028371496</v>
      </c>
      <c r="AB21">
        <f>IF($C$3="CGE",INDEX(GDP_CGE!$A$3:$AN$21,MATCH($A21,GDP_CGE!$A$3:$A$21,0),MATCH(AB$9,GDP_CGE!$A$3:$AN$3,0)),GDP_Simple!AB19)</f>
        <v>532.71313017098589</v>
      </c>
      <c r="AC21">
        <f>IF($C$3="CGE",INDEX(GDP_CGE!$A$3:$AN$21,MATCH($A21,GDP_CGE!$A$3:$A$21,0),MATCH(AC$9,GDP_CGE!$A$3:$AN$3,0)),GDP_Simple!AC19)</f>
        <v>553.31149935517078</v>
      </c>
      <c r="AD21">
        <f>IF($C$3="CGE",INDEX(GDP_CGE!$A$3:$AN$21,MATCH($A21,GDP_CGE!$A$3:$A$21,0),MATCH(AD$9,GDP_CGE!$A$3:$AN$3,0)),GDP_Simple!AD19)</f>
        <v>574.53748873840539</v>
      </c>
      <c r="AE21">
        <f>IF($C$3="CGE",INDEX(GDP_CGE!$A$3:$AN$21,MATCH($A21,GDP_CGE!$A$3:$A$21,0),MATCH(AE$9,GDP_CGE!$A$3:$AN$3,0)),GDP_Simple!AE19)</f>
        <v>595.25034841419199</v>
      </c>
      <c r="AF21">
        <f>IF($C$3="CGE",INDEX(GDP_CGE!$A$3:$AN$21,MATCH($A21,GDP_CGE!$A$3:$A$21,0),MATCH(AF$9,GDP_CGE!$A$3:$AN$3,0)),GDP_Simple!AF19)</f>
        <v>616.70524495886571</v>
      </c>
      <c r="AG21">
        <f>IF($C$3="CGE",INDEX(GDP_CGE!$A$3:$AN$21,MATCH($A21,GDP_CGE!$A$3:$A$21,0),MATCH(AG$9,GDP_CGE!$A$3:$AN$3,0)),GDP_Simple!AG19)</f>
        <v>638.8806827128243</v>
      </c>
      <c r="AH21">
        <f>IF($C$3="CGE",INDEX(GDP_CGE!$A$3:$AN$21,MATCH($A21,GDP_CGE!$A$3:$A$21,0),MATCH(AH$9,GDP_CGE!$A$3:$AN$3,0)),GDP_Simple!AH19)</f>
        <v>661.6291209913262</v>
      </c>
      <c r="AI21">
        <f>IF($C$3="CGE",INDEX(GDP_CGE!$A$3:$AN$21,MATCH($A21,GDP_CGE!$A$3:$A$21,0),MATCH(AI$9,GDP_CGE!$A$3:$AN$3,0)),GDP_Simple!AI19)</f>
        <v>684.97175002033896</v>
      </c>
      <c r="AJ21">
        <f>IF($C$3="CGE",INDEX(GDP_CGE!$A$3:$AN$21,MATCH($A21,GDP_CGE!$A$3:$A$21,0),MATCH(AJ$9,GDP_CGE!$A$3:$AN$3,0)),GDP_Simple!AJ19)</f>
        <v>705.26772837739293</v>
      </c>
      <c r="AK21">
        <f>IF($C$3="CGE",INDEX(GDP_CGE!$A$3:$AN$21,MATCH($A21,GDP_CGE!$A$3:$A$21,0),MATCH(AK$9,GDP_CGE!$A$3:$AN$3,0)),GDP_Simple!AK19)</f>
        <v>725.97089469516231</v>
      </c>
      <c r="AL21">
        <f>IF($C$3="CGE",INDEX(GDP_CGE!$A$3:$AN$21,MATCH($A21,GDP_CGE!$A$3:$A$21,0),MATCH(AL$9,GDP_CGE!$A$3:$AN$3,0)),GDP_Simple!AL19)</f>
        <v>747.20462820823161</v>
      </c>
      <c r="AM21">
        <f>IF($C$3="CGE",INDEX(GDP_CGE!$A$3:$AN$21,MATCH($A21,GDP_CGE!$A$3:$A$21,0),MATCH(AM$9,GDP_CGE!$A$3:$AN$3,0)),GDP_Simple!AM19)</f>
        <v>768.81674483474865</v>
      </c>
      <c r="AN21">
        <f>IF($C$3="CGE",INDEX(GDP_CGE!$A$3:$AN$21,MATCH($A21,GDP_CGE!$A$3:$A$21,0),MATCH(AN$9,GDP_CGE!$A$3:$AN$3,0)),GDP_Simple!AN19)</f>
        <v>790.83898033969729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27.52</v>
      </c>
      <c r="C22">
        <f>IF($C$3="CGE",INDEX(GDP_CGE!$A$3:$AN$21,MATCH($A22,GDP_CGE!$A$3:$A$21,0),MATCH(C$9,GDP_CGE!$A$3:$AN$3,0)),GDP_Simple!C20)</f>
        <v>27.49</v>
      </c>
      <c r="D22">
        <f>IF($C$3="CGE",INDEX(GDP_CGE!$A$3:$AN$21,MATCH($A22,GDP_CGE!$A$3:$A$21,0),MATCH(D$9,GDP_CGE!$A$3:$AN$3,0)),GDP_Simple!D20)</f>
        <v>27.45</v>
      </c>
      <c r="E22">
        <f>IF($C$3="CGE",INDEX(GDP_CGE!$A$3:$AN$21,MATCH($A22,GDP_CGE!$A$3:$A$21,0),MATCH(E$9,GDP_CGE!$A$3:$AN$3,0)),GDP_Simple!E20)</f>
        <v>27.42</v>
      </c>
      <c r="F22">
        <f>IF($C$3="CGE",INDEX(GDP_CGE!$A$3:$AN$21,MATCH($A22,GDP_CGE!$A$3:$A$21,0),MATCH(F$9,GDP_CGE!$A$3:$AN$3,0)),GDP_Simple!F20)</f>
        <v>27.39</v>
      </c>
      <c r="G22">
        <f>IF($C$3="CGE",INDEX(GDP_CGE!$A$3:$AN$21,MATCH($A22,GDP_CGE!$A$3:$A$21,0),MATCH(G$9,GDP_CGE!$A$3:$AN$3,0)),GDP_Simple!G20)</f>
        <v>27.36</v>
      </c>
      <c r="H22">
        <f>IF($C$3="CGE",INDEX(GDP_CGE!$A$3:$AN$21,MATCH($A22,GDP_CGE!$A$3:$A$21,0),MATCH(H$9,GDP_CGE!$A$3:$AN$3,0)),GDP_Simple!H20)</f>
        <v>27.33</v>
      </c>
      <c r="I22">
        <f>IF($C$3="CGE",INDEX(GDP_CGE!$A$3:$AN$21,MATCH($A22,GDP_CGE!$A$3:$A$21,0),MATCH(I$9,GDP_CGE!$A$3:$AN$3,0)),GDP_Simple!I20)</f>
        <v>27.24</v>
      </c>
      <c r="J22">
        <f>IF($C$3="CGE",INDEX(GDP_CGE!$A$3:$AN$21,MATCH($A22,GDP_CGE!$A$3:$A$21,0),MATCH(J$9,GDP_CGE!$A$3:$AN$3,0)),GDP_Simple!J20)</f>
        <v>27.16</v>
      </c>
      <c r="K22">
        <f>IF($C$3="CGE",INDEX(GDP_CGE!$A$3:$AN$21,MATCH($A22,GDP_CGE!$A$3:$A$21,0),MATCH(K$9,GDP_CGE!$A$3:$AN$3,0)),GDP_Simple!K20)</f>
        <v>26.550020412555281</v>
      </c>
      <c r="L22">
        <f>IF($C$3="CGE",INDEX(GDP_CGE!$A$3:$AN$21,MATCH($A22,GDP_CGE!$A$3:$A$21,0),MATCH(L$9,GDP_CGE!$A$3:$AN$3,0)),GDP_Simple!L20)</f>
        <v>27.867402336724997</v>
      </c>
      <c r="M22">
        <f>IF($C$3="CGE",INDEX(GDP_CGE!$A$3:$AN$21,MATCH($A22,GDP_CGE!$A$3:$A$21,0),MATCH(M$9,GDP_CGE!$A$3:$AN$3,0)),GDP_Simple!M20)</f>
        <v>29.226699194522869</v>
      </c>
      <c r="N22">
        <f>IF($C$3="CGE",INDEX(GDP_CGE!$A$3:$AN$21,MATCH($A22,GDP_CGE!$A$3:$A$21,0),MATCH(N$9,GDP_CGE!$A$3:$AN$3,0)),GDP_Simple!N20)</f>
        <v>30.645199432989397</v>
      </c>
      <c r="O22">
        <f>IF($C$3="CGE",INDEX(GDP_CGE!$A$3:$AN$21,MATCH($A22,GDP_CGE!$A$3:$A$21,0),MATCH(O$9,GDP_CGE!$A$3:$AN$3,0)),GDP_Simple!O20)</f>
        <v>32.118177017687415</v>
      </c>
      <c r="P22">
        <f>IF($C$3="CGE",INDEX(GDP_CGE!$A$3:$AN$21,MATCH($A22,GDP_CGE!$A$3:$A$21,0),MATCH(P$9,GDP_CGE!$A$3:$AN$3,0)),GDP_Simple!P20)</f>
        <v>33.707907744999531</v>
      </c>
      <c r="Q22">
        <f>IF($C$3="CGE",INDEX(GDP_CGE!$A$3:$AN$21,MATCH($A22,GDP_CGE!$A$3:$A$21,0),MATCH(Q$9,GDP_CGE!$A$3:$AN$3,0)),GDP_Simple!Q20)</f>
        <v>35.363025987668017</v>
      </c>
      <c r="R22">
        <f>IF($C$3="CGE",INDEX(GDP_CGE!$A$3:$AN$21,MATCH($A22,GDP_CGE!$A$3:$A$21,0),MATCH(R$9,GDP_CGE!$A$3:$AN$3,0)),GDP_Simple!R20)</f>
        <v>37.074768510434602</v>
      </c>
      <c r="S22">
        <f>IF($C$3="CGE",INDEX(GDP_CGE!$A$3:$AN$21,MATCH($A22,GDP_CGE!$A$3:$A$21,0),MATCH(S$9,GDP_CGE!$A$3:$AN$3,0)),GDP_Simple!S20)</f>
        <v>38.872098641554658</v>
      </c>
      <c r="T22">
        <f>IF($C$3="CGE",INDEX(GDP_CGE!$A$3:$AN$21,MATCH($A22,GDP_CGE!$A$3:$A$21,0),MATCH(T$9,GDP_CGE!$A$3:$AN$3,0)),GDP_Simple!T20)</f>
        <v>40.753359173421401</v>
      </c>
      <c r="U22">
        <f>IF($C$3="CGE",INDEX(GDP_CGE!$A$3:$AN$21,MATCH($A22,GDP_CGE!$A$3:$A$21,0),MATCH(U$9,GDP_CGE!$A$3:$AN$3,0)),GDP_Simple!U20)</f>
        <v>42.559875316952109</v>
      </c>
      <c r="V22">
        <f>IF($C$3="CGE",INDEX(GDP_CGE!$A$3:$AN$21,MATCH($A22,GDP_CGE!$A$3:$A$21,0),MATCH(V$9,GDP_CGE!$A$3:$AN$3,0)),GDP_Simple!V20)</f>
        <v>44.451301397521675</v>
      </c>
      <c r="W22">
        <f>IF($C$3="CGE",INDEX(GDP_CGE!$A$3:$AN$21,MATCH($A22,GDP_CGE!$A$3:$A$21,0),MATCH(W$9,GDP_CGE!$A$3:$AN$3,0)),GDP_Simple!W20)</f>
        <v>46.471983208958804</v>
      </c>
      <c r="X22">
        <f>IF($C$3="CGE",INDEX(GDP_CGE!$A$3:$AN$21,MATCH($A22,GDP_CGE!$A$3:$A$21,0),MATCH(X$9,GDP_CGE!$A$3:$AN$3,0)),GDP_Simple!X20)</f>
        <v>48.567619245090114</v>
      </c>
      <c r="Y22">
        <f>IF($C$3="CGE",INDEX(GDP_CGE!$A$3:$AN$21,MATCH($A22,GDP_CGE!$A$3:$A$21,0),MATCH(Y$9,GDP_CGE!$A$3:$AN$3,0)),GDP_Simple!Y20)</f>
        <v>50.80784010449203</v>
      </c>
      <c r="Z22">
        <f>IF($C$3="CGE",INDEX(GDP_CGE!$A$3:$AN$21,MATCH($A22,GDP_CGE!$A$3:$A$21,0),MATCH(Z$9,GDP_CGE!$A$3:$AN$3,0)),GDP_Simple!Z20)</f>
        <v>52.804712993086582</v>
      </c>
      <c r="AA22">
        <f>IF($C$3="CGE",INDEX(GDP_CGE!$A$3:$AN$21,MATCH($A22,GDP_CGE!$A$3:$A$21,0),MATCH(AA$9,GDP_CGE!$A$3:$AN$3,0)),GDP_Simple!AA20)</f>
        <v>54.84678646455567</v>
      </c>
      <c r="AB22">
        <f>IF($C$3="CGE",INDEX(GDP_CGE!$A$3:$AN$21,MATCH($A22,GDP_CGE!$A$3:$A$21,0),MATCH(AB$9,GDP_CGE!$A$3:$AN$3,0)),GDP_Simple!AB20)</f>
        <v>56.980035598451536</v>
      </c>
      <c r="AC22">
        <f>IF($C$3="CGE",INDEX(GDP_CGE!$A$3:$AN$21,MATCH($A22,GDP_CGE!$A$3:$A$21,0),MATCH(AC$9,GDP_CGE!$A$3:$AN$3,0)),GDP_Simple!AC20)</f>
        <v>59.183277348862639</v>
      </c>
      <c r="AD22">
        <f>IF($C$3="CGE",INDEX(GDP_CGE!$A$3:$AN$21,MATCH($A22,GDP_CGE!$A$3:$A$21,0),MATCH(AD$9,GDP_CGE!$A$3:$AN$3,0)),GDP_Simple!AD20)</f>
        <v>61.453650580100373</v>
      </c>
      <c r="AE22">
        <f>IF($C$3="CGE",INDEX(GDP_CGE!$A$3:$AN$21,MATCH($A22,GDP_CGE!$A$3:$A$21,0),MATCH(AE$9,GDP_CGE!$A$3:$AN$3,0)),GDP_Simple!AE20)</f>
        <v>63.669138456836649</v>
      </c>
      <c r="AF22">
        <f>IF($C$3="CGE",INDEX(GDP_CGE!$A$3:$AN$21,MATCH($A22,GDP_CGE!$A$3:$A$21,0),MATCH(AF$9,GDP_CGE!$A$3:$AN$3,0)),GDP_Simple!AF20)</f>
        <v>65.963996044604784</v>
      </c>
      <c r="AG22">
        <f>IF($C$3="CGE",INDEX(GDP_CGE!$A$3:$AN$21,MATCH($A22,GDP_CGE!$A$3:$A$21,0),MATCH(AG$9,GDP_CGE!$A$3:$AN$3,0)),GDP_Simple!AG20)</f>
        <v>68.335924125720851</v>
      </c>
      <c r="AH22">
        <f>IF($C$3="CGE",INDEX(GDP_CGE!$A$3:$AN$21,MATCH($A22,GDP_CGE!$A$3:$A$21,0),MATCH(AH$9,GDP_CGE!$A$3:$AN$3,0)),GDP_Simple!AH20)</f>
        <v>70.769141460728491</v>
      </c>
      <c r="AI22">
        <f>IF($C$3="CGE",INDEX(GDP_CGE!$A$3:$AN$21,MATCH($A22,GDP_CGE!$A$3:$A$21,0),MATCH(AI$9,GDP_CGE!$A$3:$AN$3,0)),GDP_Simple!AI20)</f>
        <v>73.265914597534191</v>
      </c>
      <c r="AJ22">
        <f>IF($C$3="CGE",INDEX(GDP_CGE!$A$3:$AN$21,MATCH($A22,GDP_CGE!$A$3:$A$21,0),MATCH(AJ$9,GDP_CGE!$A$3:$AN$3,0)),GDP_Simple!AJ20)</f>
        <v>75.436812035183493</v>
      </c>
      <c r="AK22">
        <f>IF($C$3="CGE",INDEX(GDP_CGE!$A$3:$AN$21,MATCH($A22,GDP_CGE!$A$3:$A$21,0),MATCH(AK$9,GDP_CGE!$A$3:$AN$3,0)),GDP_Simple!AK20)</f>
        <v>77.651263091436832</v>
      </c>
      <c r="AL22">
        <f>IF($C$3="CGE",INDEX(GDP_CGE!$A$3:$AN$21,MATCH($A22,GDP_CGE!$A$3:$A$21,0),MATCH(AL$9,GDP_CGE!$A$3:$AN$3,0)),GDP_Simple!AL20)</f>
        <v>79.922464649908605</v>
      </c>
      <c r="AM22">
        <f>IF($C$3="CGE",INDEX(GDP_CGE!$A$3:$AN$21,MATCH($A22,GDP_CGE!$A$3:$A$21,0),MATCH(AM$9,GDP_CGE!$A$3:$AN$3,0)),GDP_Simple!AM20)</f>
        <v>82.234138804329334</v>
      </c>
      <c r="AN22">
        <f>IF($C$3="CGE",INDEX(GDP_CGE!$A$3:$AN$21,MATCH($A22,GDP_CGE!$A$3:$A$21,0),MATCH(AN$9,GDP_CGE!$A$3:$AN$3,0)),GDP_Simple!AN20)</f>
        <v>84.589680074030511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</v>
      </c>
      <c r="C23">
        <f>IF($C$3="CGE",INDEX(GDP_CGE!$A$3:$AN$21,MATCH($A23,GDP_CGE!$A$3:$A$21,0),MATCH(C$9,GDP_CGE!$A$3:$AN$3,0)),GDP_Simple!C21)</f>
        <v>18.190000000000001</v>
      </c>
      <c r="D23">
        <f>IF($C$3="CGE",INDEX(GDP_CGE!$A$3:$AN$21,MATCH($A23,GDP_CGE!$A$3:$A$21,0),MATCH(D$9,GDP_CGE!$A$3:$AN$3,0)),GDP_Simple!D21)</f>
        <v>18.54</v>
      </c>
      <c r="E23">
        <f>IF($C$3="CGE",INDEX(GDP_CGE!$A$3:$AN$21,MATCH($A23,GDP_CGE!$A$3:$A$21,0),MATCH(E$9,GDP_CGE!$A$3:$AN$3,0)),GDP_Simple!E21)</f>
        <v>18.73</v>
      </c>
      <c r="F23">
        <f>IF($C$3="CGE",INDEX(GDP_CGE!$A$3:$AN$21,MATCH($A23,GDP_CGE!$A$3:$A$21,0),MATCH(F$9,GDP_CGE!$A$3:$AN$3,0)),GDP_Simple!F21)</f>
        <v>19.13</v>
      </c>
      <c r="G23">
        <f>IF($C$3="CGE",INDEX(GDP_CGE!$A$3:$AN$21,MATCH($A23,GDP_CGE!$A$3:$A$21,0),MATCH(G$9,GDP_CGE!$A$3:$AN$3,0)),GDP_Simple!G21)</f>
        <v>19.23</v>
      </c>
      <c r="H23">
        <f>IF($C$3="CGE",INDEX(GDP_CGE!$A$3:$AN$21,MATCH($A23,GDP_CGE!$A$3:$A$21,0),MATCH(H$9,GDP_CGE!$A$3:$AN$3,0)),GDP_Simple!H21)</f>
        <v>19.5</v>
      </c>
      <c r="I23">
        <f>IF($C$3="CGE",INDEX(GDP_CGE!$A$3:$AN$21,MATCH($A23,GDP_CGE!$A$3:$A$21,0),MATCH(I$9,GDP_CGE!$A$3:$AN$3,0)),GDP_Simple!I21)</f>
        <v>19.52</v>
      </c>
      <c r="J23">
        <f>IF($C$3="CGE",INDEX(GDP_CGE!$A$3:$AN$21,MATCH($A23,GDP_CGE!$A$3:$A$21,0),MATCH(J$9,GDP_CGE!$A$3:$AN$3,0)),GDP_Simple!J21)</f>
        <v>18.16</v>
      </c>
      <c r="K23">
        <f>IF($C$3="CGE",INDEX(GDP_CGE!$A$3:$AN$21,MATCH($A23,GDP_CGE!$A$3:$A$21,0),MATCH(K$9,GDP_CGE!$A$3:$AN$3,0)),GDP_Simple!K21)</f>
        <v>19.025565288292185</v>
      </c>
      <c r="L23">
        <f>IF($C$3="CGE",INDEX(GDP_CGE!$A$3:$AN$21,MATCH($A23,GDP_CGE!$A$3:$A$21,0),MATCH(L$9,GDP_CGE!$A$3:$AN$3,0)),GDP_Simple!L21)</f>
        <v>19.969592276537153</v>
      </c>
      <c r="M23">
        <f>IF($C$3="CGE",INDEX(GDP_CGE!$A$3:$AN$21,MATCH($A23,GDP_CGE!$A$3:$A$21,0),MATCH(M$9,GDP_CGE!$A$3:$AN$3,0)),GDP_Simple!M21)</f>
        <v>20.943655223094218</v>
      </c>
      <c r="N23">
        <f>IF($C$3="CGE",INDEX(GDP_CGE!$A$3:$AN$21,MATCH($A23,GDP_CGE!$A$3:$A$21,0),MATCH(N$9,GDP_CGE!$A$3:$AN$3,0)),GDP_Simple!N21)</f>
        <v>21.96014291233308</v>
      </c>
      <c r="O23">
        <f>IF($C$3="CGE",INDEX(GDP_CGE!$A$3:$AN$21,MATCH($A23,GDP_CGE!$A$3:$A$21,0),MATCH(O$9,GDP_CGE!$A$3:$AN$3,0)),GDP_Simple!O21)</f>
        <v>23.015668699899358</v>
      </c>
      <c r="P23">
        <f>IF($C$3="CGE",INDEX(GDP_CGE!$A$3:$AN$21,MATCH($A23,GDP_CGE!$A$3:$A$21,0),MATCH(P$9,GDP_CGE!$A$3:$AN$3,0)),GDP_Simple!P21)</f>
        <v>24.154859000821986</v>
      </c>
      <c r="Q23">
        <f>IF($C$3="CGE",INDEX(GDP_CGE!$A$3:$AN$21,MATCH($A23,GDP_CGE!$A$3:$A$21,0),MATCH(Q$9,GDP_CGE!$A$3:$AN$3,0)),GDP_Simple!Q21)</f>
        <v>25.340905553571208</v>
      </c>
      <c r="R23">
        <f>IF($C$3="CGE",INDEX(GDP_CGE!$A$3:$AN$21,MATCH($A23,GDP_CGE!$A$3:$A$21,0),MATCH(R$9,GDP_CGE!$A$3:$AN$3,0)),GDP_Simple!R21)</f>
        <v>26.56752868295461</v>
      </c>
      <c r="S23">
        <f>IF($C$3="CGE",INDEX(GDP_CGE!$A$3:$AN$21,MATCH($A23,GDP_CGE!$A$3:$A$21,0),MATCH(S$9,GDP_CGE!$A$3:$AN$3,0)),GDP_Simple!S21)</f>
        <v>27.85548331435929</v>
      </c>
      <c r="T23">
        <f>IF($C$3="CGE",INDEX(GDP_CGE!$A$3:$AN$21,MATCH($A23,GDP_CGE!$A$3:$A$21,0),MATCH(T$9,GDP_CGE!$A$3:$AN$3,0)),GDP_Simple!T21)</f>
        <v>29.203581904008288</v>
      </c>
      <c r="U23">
        <f>IF($C$3="CGE",INDEX(GDP_CGE!$A$3:$AN$21,MATCH($A23,GDP_CGE!$A$3:$A$21,0),MATCH(U$9,GDP_CGE!$A$3:$AN$3,0)),GDP_Simple!U21)</f>
        <v>30.49811916985702</v>
      </c>
      <c r="V23">
        <f>IF($C$3="CGE",INDEX(GDP_CGE!$A$3:$AN$21,MATCH($A23,GDP_CGE!$A$3:$A$21,0),MATCH(V$9,GDP_CGE!$A$3:$AN$3,0)),GDP_Simple!V21)</f>
        <v>31.853502323040498</v>
      </c>
      <c r="W23">
        <f>IF($C$3="CGE",INDEX(GDP_CGE!$A$3:$AN$21,MATCH($A23,GDP_CGE!$A$3:$A$21,0),MATCH(W$9,GDP_CGE!$A$3:$AN$3,0)),GDP_Simple!W21)</f>
        <v>33.301509259870627</v>
      </c>
      <c r="X23">
        <f>IF($C$3="CGE",INDEX(GDP_CGE!$A$3:$AN$21,MATCH($A23,GDP_CGE!$A$3:$A$21,0),MATCH(X$9,GDP_CGE!$A$3:$AN$3,0)),GDP_Simple!X21)</f>
        <v>34.803227887817883</v>
      </c>
      <c r="Y23">
        <f>IF($C$3="CGE",INDEX(GDP_CGE!$A$3:$AN$21,MATCH($A23,GDP_CGE!$A$3:$A$21,0),MATCH(Y$9,GDP_CGE!$A$3:$AN$3,0)),GDP_Simple!Y21)</f>
        <v>36.408555023483281</v>
      </c>
      <c r="Z23">
        <f>IF($C$3="CGE",INDEX(GDP_CGE!$A$3:$AN$21,MATCH($A23,GDP_CGE!$A$3:$A$21,0),MATCH(Z$9,GDP_CGE!$A$3:$AN$3,0)),GDP_Simple!Z21)</f>
        <v>37.839500647028274</v>
      </c>
      <c r="AA23">
        <f>IF($C$3="CGE",INDEX(GDP_CGE!$A$3:$AN$21,MATCH($A23,GDP_CGE!$A$3:$A$21,0),MATCH(AA$9,GDP_CGE!$A$3:$AN$3,0)),GDP_Simple!AA21)</f>
        <v>39.302836702941512</v>
      </c>
      <c r="AB23">
        <f>IF($C$3="CGE",INDEX(GDP_CGE!$A$3:$AN$21,MATCH($A23,GDP_CGE!$A$3:$A$21,0),MATCH(AB$9,GDP_CGE!$A$3:$AN$3,0)),GDP_Simple!AB21)</f>
        <v>40.831508622678932</v>
      </c>
      <c r="AC23">
        <f>IF($C$3="CGE",INDEX(GDP_CGE!$A$3:$AN$21,MATCH($A23,GDP_CGE!$A$3:$A$21,0),MATCH(AC$9,GDP_CGE!$A$3:$AN$3,0)),GDP_Simple!AC21)</f>
        <v>42.410336778626977</v>
      </c>
      <c r="AD23">
        <f>IF($C$3="CGE",INDEX(GDP_CGE!$A$3:$AN$21,MATCH($A23,GDP_CGE!$A$3:$A$21,0),MATCH(AD$9,GDP_CGE!$A$3:$AN$3,0)),GDP_Simple!AD21)</f>
        <v>44.037270900277512</v>
      </c>
      <c r="AE23">
        <f>IF($C$3="CGE",INDEX(GDP_CGE!$A$3:$AN$21,MATCH($A23,GDP_CGE!$A$3:$A$21,0),MATCH(AE$9,GDP_CGE!$A$3:$AN$3,0)),GDP_Simple!AE21)</f>
        <v>45.624874547630377</v>
      </c>
      <c r="AF23">
        <f>IF($C$3="CGE",INDEX(GDP_CGE!$A$3:$AN$21,MATCH($A23,GDP_CGE!$A$3:$A$21,0),MATCH(AF$9,GDP_CGE!$A$3:$AN$3,0)),GDP_Simple!AF21)</f>
        <v>47.269353993784343</v>
      </c>
      <c r="AG23">
        <f>IF($C$3="CGE",INDEX(GDP_CGE!$A$3:$AN$21,MATCH($A23,GDP_CGE!$A$3:$A$21,0),MATCH(AG$9,GDP_CGE!$A$3:$AN$3,0)),GDP_Simple!AG21)</f>
        <v>48.969061634877804</v>
      </c>
      <c r="AH23">
        <f>IF($C$3="CGE",INDEX(GDP_CGE!$A$3:$AN$21,MATCH($A23,GDP_CGE!$A$3:$A$21,0),MATCH(AH$9,GDP_CGE!$A$3:$AN$3,0)),GDP_Simple!AH21)</f>
        <v>50.712688741314992</v>
      </c>
      <c r="AI23">
        <f>IF($C$3="CGE",INDEX(GDP_CGE!$A$3:$AN$21,MATCH($A23,GDP_CGE!$A$3:$A$21,0),MATCH(AI$9,GDP_CGE!$A$3:$AN$3,0)),GDP_Simple!AI21)</f>
        <v>52.501859506015691</v>
      </c>
      <c r="AJ23">
        <f>IF($C$3="CGE",INDEX(GDP_CGE!$A$3:$AN$21,MATCH($A23,GDP_CGE!$A$3:$A$21,0),MATCH(AJ$9,GDP_CGE!$A$3:$AN$3,0)),GDP_Simple!AJ21)</f>
        <v>54.057509945917104</v>
      </c>
      <c r="AK23">
        <f>IF($C$3="CGE",INDEX(GDP_CGE!$A$3:$AN$21,MATCH($A23,GDP_CGE!$A$3:$A$21,0),MATCH(AK$9,GDP_CGE!$A$3:$AN$3,0)),GDP_Simple!AK21)</f>
        <v>55.644370614715385</v>
      </c>
      <c r="AL23">
        <f>IF($C$3="CGE",INDEX(GDP_CGE!$A$3:$AN$21,MATCH($A23,GDP_CGE!$A$3:$A$21,0),MATCH(AL$9,GDP_CGE!$A$3:$AN$3,0)),GDP_Simple!AL21)</f>
        <v>57.271898310066675</v>
      </c>
      <c r="AM23">
        <f>IF($C$3="CGE",INDEX(GDP_CGE!$A$3:$AN$21,MATCH($A23,GDP_CGE!$A$3:$A$21,0),MATCH(AM$9,GDP_CGE!$A$3:$AN$3,0)),GDP_Simple!AM21)</f>
        <v>58.928428394291807</v>
      </c>
      <c r="AN23">
        <f>IF($C$3="CGE",INDEX(GDP_CGE!$A$3:$AN$21,MATCH($A23,GDP_CGE!$A$3:$A$21,0),MATCH(AN$9,GDP_CGE!$A$3:$AN$3,0)),GDP_Simple!AN21)</f>
        <v>60.61639335701453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</v>
      </c>
      <c r="C24">
        <f>IF($C$3="CGE",INDEX(GDP_CGE!$A$3:$AN$21,MATCH($A24,GDP_CGE!$A$3:$A$21,0),MATCH(C$9,GDP_CGE!$A$3:$AN$3,0)),GDP_Simple!C22)</f>
        <v>11.57</v>
      </c>
      <c r="D24">
        <f>IF($C$3="CGE",INDEX(GDP_CGE!$A$3:$AN$21,MATCH($A24,GDP_CGE!$A$3:$A$21,0),MATCH(D$9,GDP_CGE!$A$3:$AN$3,0)),GDP_Simple!D22)</f>
        <v>11.91</v>
      </c>
      <c r="E24">
        <f>IF($C$3="CGE",INDEX(GDP_CGE!$A$3:$AN$21,MATCH($A24,GDP_CGE!$A$3:$A$21,0),MATCH(E$9,GDP_CGE!$A$3:$AN$3,0)),GDP_Simple!E22)</f>
        <v>12.12</v>
      </c>
      <c r="F24">
        <f>IF($C$3="CGE",INDEX(GDP_CGE!$A$3:$AN$21,MATCH($A24,GDP_CGE!$A$3:$A$21,0),MATCH(F$9,GDP_CGE!$A$3:$AN$3,0)),GDP_Simple!F22)</f>
        <v>12.2</v>
      </c>
      <c r="G24">
        <f>IF($C$3="CGE",INDEX(GDP_CGE!$A$3:$AN$21,MATCH($A24,GDP_CGE!$A$3:$A$21,0),MATCH(G$9,GDP_CGE!$A$3:$AN$3,0)),GDP_Simple!G22)</f>
        <v>12.36</v>
      </c>
      <c r="H24">
        <f>IF($C$3="CGE",INDEX(GDP_CGE!$A$3:$AN$21,MATCH($A24,GDP_CGE!$A$3:$A$21,0),MATCH(H$9,GDP_CGE!$A$3:$AN$3,0)),GDP_Simple!H22)</f>
        <v>12.64</v>
      </c>
      <c r="I24">
        <f>IF($C$3="CGE",INDEX(GDP_CGE!$A$3:$AN$21,MATCH($A24,GDP_CGE!$A$3:$A$21,0),MATCH(I$9,GDP_CGE!$A$3:$AN$3,0)),GDP_Simple!I22)</f>
        <v>12.79</v>
      </c>
      <c r="J24">
        <f>IF($C$3="CGE",INDEX(GDP_CGE!$A$3:$AN$21,MATCH($A24,GDP_CGE!$A$3:$A$21,0),MATCH(J$9,GDP_CGE!$A$3:$AN$3,0)),GDP_Simple!J22)</f>
        <v>12</v>
      </c>
      <c r="K24">
        <f>IF($C$3="CGE",INDEX(GDP_CGE!$A$3:$AN$21,MATCH($A24,GDP_CGE!$A$3:$A$21,0),MATCH(K$9,GDP_CGE!$A$3:$AN$3,0)),GDP_Simple!K22)</f>
        <v>12.466033813384069</v>
      </c>
      <c r="L24">
        <f>IF($C$3="CGE",INDEX(GDP_CGE!$A$3:$AN$21,MATCH($A24,GDP_CGE!$A$3:$A$21,0),MATCH(L$9,GDP_CGE!$A$3:$AN$3,0)),GDP_Simple!L22)</f>
        <v>13.084584283653184</v>
      </c>
      <c r="M24">
        <f>IF($C$3="CGE",INDEX(GDP_CGE!$A$3:$AN$21,MATCH($A24,GDP_CGE!$A$3:$A$21,0),MATCH(M$9,GDP_CGE!$A$3:$AN$3,0)),GDP_Simple!M22)</f>
        <v>13.722815077017163</v>
      </c>
      <c r="N24">
        <f>IF($C$3="CGE",INDEX(GDP_CGE!$A$3:$AN$21,MATCH($A24,GDP_CGE!$A$3:$A$21,0),MATCH(N$9,GDP_CGE!$A$3:$AN$3,0)),GDP_Simple!N22)</f>
        <v>14.388843639792011</v>
      </c>
      <c r="O24">
        <f>IF($C$3="CGE",INDEX(GDP_CGE!$A$3:$AN$21,MATCH($A24,GDP_CGE!$A$3:$A$21,0),MATCH(O$9,GDP_CGE!$A$3:$AN$3,0)),GDP_Simple!O22)</f>
        <v>15.080450956542661</v>
      </c>
      <c r="P24">
        <f>IF($C$3="CGE",INDEX(GDP_CGE!$A$3:$AN$21,MATCH($A24,GDP_CGE!$A$3:$A$21,0),MATCH(P$9,GDP_CGE!$A$3:$AN$3,0)),GDP_Simple!P22)</f>
        <v>15.826877388345963</v>
      </c>
      <c r="Q24">
        <f>IF($C$3="CGE",INDEX(GDP_CGE!$A$3:$AN$21,MATCH($A24,GDP_CGE!$A$3:$A$21,0),MATCH(Q$9,GDP_CGE!$A$3:$AN$3,0)),GDP_Simple!Q22)</f>
        <v>16.604005226955724</v>
      </c>
      <c r="R24">
        <f>IF($C$3="CGE",INDEX(GDP_CGE!$A$3:$AN$21,MATCH($A24,GDP_CGE!$A$3:$A$21,0),MATCH(R$9,GDP_CGE!$A$3:$AN$3,0)),GDP_Simple!R22)</f>
        <v>17.407719869620362</v>
      </c>
      <c r="S24">
        <f>IF($C$3="CGE",INDEX(GDP_CGE!$A$3:$AN$21,MATCH($A24,GDP_CGE!$A$3:$A$21,0),MATCH(S$9,GDP_CGE!$A$3:$AN$3,0)),GDP_Simple!S22)</f>
        <v>18.251620470832751</v>
      </c>
      <c r="T24">
        <f>IF($C$3="CGE",INDEX(GDP_CGE!$A$3:$AN$21,MATCH($A24,GDP_CGE!$A$3:$A$21,0),MATCH(T$9,GDP_CGE!$A$3:$AN$3,0)),GDP_Simple!T22)</f>
        <v>19.134928921734939</v>
      </c>
      <c r="U24">
        <f>IF($C$3="CGE",INDEX(GDP_CGE!$A$3:$AN$21,MATCH($A24,GDP_CGE!$A$3:$A$21,0),MATCH(U$9,GDP_CGE!$A$3:$AN$3,0)),GDP_Simple!U22)</f>
        <v>19.983142632298733</v>
      </c>
      <c r="V24">
        <f>IF($C$3="CGE",INDEX(GDP_CGE!$A$3:$AN$21,MATCH($A24,GDP_CGE!$A$3:$A$21,0),MATCH(V$9,GDP_CGE!$A$3:$AN$3,0)),GDP_Simple!V22)</f>
        <v>20.871224114328278</v>
      </c>
      <c r="W24">
        <f>IF($C$3="CGE",INDEX(GDP_CGE!$A$3:$AN$21,MATCH($A24,GDP_CGE!$A$3:$A$21,0),MATCH(W$9,GDP_CGE!$A$3:$AN$3,0)),GDP_Simple!W22)</f>
        <v>21.819995052958266</v>
      </c>
      <c r="X24">
        <f>IF($C$3="CGE",INDEX(GDP_CGE!$A$3:$AN$21,MATCH($A24,GDP_CGE!$A$3:$A$21,0),MATCH(X$9,GDP_CGE!$A$3:$AN$3,0)),GDP_Simple!X22)</f>
        <v>22.803959256413457</v>
      </c>
      <c r="Y24">
        <f>IF($C$3="CGE",INDEX(GDP_CGE!$A$3:$AN$21,MATCH($A24,GDP_CGE!$A$3:$A$21,0),MATCH(Y$9,GDP_CGE!$A$3:$AN$3,0)),GDP_Simple!Y22)</f>
        <v>23.855810386800773</v>
      </c>
      <c r="Z24">
        <f>IF($C$3="CGE",INDEX(GDP_CGE!$A$3:$AN$21,MATCH($A24,GDP_CGE!$A$3:$A$21,0),MATCH(Z$9,GDP_CGE!$A$3:$AN$3,0)),GDP_Simple!Z22)</f>
        <v>24.793402319441167</v>
      </c>
      <c r="AA24">
        <f>IF($C$3="CGE",INDEX(GDP_CGE!$A$3:$AN$21,MATCH($A24,GDP_CGE!$A$3:$A$21,0),MATCH(AA$9,GDP_CGE!$A$3:$AN$3,0)),GDP_Simple!AA22)</f>
        <v>25.752217286404811</v>
      </c>
      <c r="AB24">
        <f>IF($C$3="CGE",INDEX(GDP_CGE!$A$3:$AN$21,MATCH($A24,GDP_CGE!$A$3:$A$21,0),MATCH(AB$9,GDP_CGE!$A$3:$AN$3,0)),GDP_Simple!AB22)</f>
        <v>26.753841971519648</v>
      </c>
      <c r="AC24">
        <f>IF($C$3="CGE",INDEX(GDP_CGE!$A$3:$AN$21,MATCH($A24,GDP_CGE!$A$3:$A$21,0),MATCH(AC$9,GDP_CGE!$A$3:$AN$3,0)),GDP_Simple!AC22)</f>
        <v>27.788330297061425</v>
      </c>
      <c r="AD24">
        <f>IF($C$3="CGE",INDEX(GDP_CGE!$A$3:$AN$21,MATCH($A24,GDP_CGE!$A$3:$A$21,0),MATCH(AD$9,GDP_CGE!$A$3:$AN$3,0)),GDP_Simple!AD22)</f>
        <v>28.854338873696175</v>
      </c>
      <c r="AE24">
        <f>IF($C$3="CGE",INDEX(GDP_CGE!$A$3:$AN$21,MATCH($A24,GDP_CGE!$A$3:$A$21,0),MATCH(AE$9,GDP_CGE!$A$3:$AN$3,0)),GDP_Simple!AE22)</f>
        <v>29.894577124190189</v>
      </c>
      <c r="AF24">
        <f>IF($C$3="CGE",INDEX(GDP_CGE!$A$3:$AN$21,MATCH($A24,GDP_CGE!$A$3:$A$21,0),MATCH(AF$9,GDP_CGE!$A$3:$AN$3,0)),GDP_Simple!AF22)</f>
        <v>30.972081843263407</v>
      </c>
      <c r="AG24">
        <f>IF($C$3="CGE",INDEX(GDP_CGE!$A$3:$AN$21,MATCH($A24,GDP_CGE!$A$3:$A$21,0),MATCH(AG$9,GDP_CGE!$A$3:$AN$3,0)),GDP_Simple!AG22)</f>
        <v>32.085773479000359</v>
      </c>
      <c r="AH24">
        <f>IF($C$3="CGE",INDEX(GDP_CGE!$A$3:$AN$21,MATCH($A24,GDP_CGE!$A$3:$A$21,0),MATCH(AH$9,GDP_CGE!$A$3:$AN$3,0)),GDP_Simple!AH22)</f>
        <v>33.228242264416942</v>
      </c>
      <c r="AI24">
        <f>IF($C$3="CGE",INDEX(GDP_CGE!$A$3:$AN$21,MATCH($A24,GDP_CGE!$A$3:$A$21,0),MATCH(AI$9,GDP_CGE!$A$3:$AN$3,0)),GDP_Simple!AI22)</f>
        <v>34.40055241198467</v>
      </c>
      <c r="AJ24">
        <f>IF($C$3="CGE",INDEX(GDP_CGE!$A$3:$AN$21,MATCH($A24,GDP_CGE!$A$3:$A$21,0),MATCH(AJ$9,GDP_CGE!$A$3:$AN$3,0)),GDP_Simple!AJ22)</f>
        <v>35.419854109030723</v>
      </c>
      <c r="AK24">
        <f>IF($C$3="CGE",INDEX(GDP_CGE!$A$3:$AN$21,MATCH($A24,GDP_CGE!$A$3:$A$21,0),MATCH(AK$9,GDP_CGE!$A$3:$AN$3,0)),GDP_Simple!AK22)</f>
        <v>36.459605541096813</v>
      </c>
      <c r="AL24">
        <f>IF($C$3="CGE",INDEX(GDP_CGE!$A$3:$AN$21,MATCH($A24,GDP_CGE!$A$3:$A$21,0),MATCH(AL$9,GDP_CGE!$A$3:$AN$3,0)),GDP_Simple!AL22)</f>
        <v>37.526003042302904</v>
      </c>
      <c r="AM24">
        <f>IF($C$3="CGE",INDEX(GDP_CGE!$A$3:$AN$21,MATCH($A24,GDP_CGE!$A$3:$A$21,0),MATCH(AM$9,GDP_CGE!$A$3:$AN$3,0)),GDP_Simple!AM22)</f>
        <v>38.61140364564509</v>
      </c>
      <c r="AN24">
        <f>IF($C$3="CGE",INDEX(GDP_CGE!$A$3:$AN$21,MATCH($A24,GDP_CGE!$A$3:$A$21,0),MATCH(AN$9,GDP_CGE!$A$3:$AN$3,0)),GDP_Simple!AN22)</f>
        <v>39.717401180134004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135.96</v>
      </c>
      <c r="C25">
        <f>IF($C$3="CGE",INDEX(GDP_CGE!$A$3:$AN$21,MATCH($A25,GDP_CGE!$A$3:$A$21,0),MATCH(C$9,GDP_CGE!$A$3:$AN$3,0)),GDP_Simple!C23)</f>
        <v>139.72999999999999</v>
      </c>
      <c r="D25">
        <f>IF($C$3="CGE",INDEX(GDP_CGE!$A$3:$AN$21,MATCH($A25,GDP_CGE!$A$3:$A$21,0),MATCH(D$9,GDP_CGE!$A$3:$AN$3,0)),GDP_Simple!D23)</f>
        <v>142.69999999999999</v>
      </c>
      <c r="E25">
        <f>IF($C$3="CGE",INDEX(GDP_CGE!$A$3:$AN$21,MATCH($A25,GDP_CGE!$A$3:$A$21,0),MATCH(E$9,GDP_CGE!$A$3:$AN$3,0)),GDP_Simple!E23)</f>
        <v>144.16</v>
      </c>
      <c r="F25">
        <f>IF($C$3="CGE",INDEX(GDP_CGE!$A$3:$AN$21,MATCH($A25,GDP_CGE!$A$3:$A$21,0),MATCH(F$9,GDP_CGE!$A$3:$AN$3,0)),GDP_Simple!F23)</f>
        <v>145.31</v>
      </c>
      <c r="G25">
        <f>IF($C$3="CGE",INDEX(GDP_CGE!$A$3:$AN$21,MATCH($A25,GDP_CGE!$A$3:$A$21,0),MATCH(G$9,GDP_CGE!$A$3:$AN$3,0)),GDP_Simple!G23)</f>
        <v>147.16</v>
      </c>
      <c r="H25">
        <f>IF($C$3="CGE",INDEX(GDP_CGE!$A$3:$AN$21,MATCH($A25,GDP_CGE!$A$3:$A$21,0),MATCH(H$9,GDP_CGE!$A$3:$AN$3,0)),GDP_Simple!H23)</f>
        <v>148.75</v>
      </c>
      <c r="I25">
        <f>IF($C$3="CGE",INDEX(GDP_CGE!$A$3:$AN$21,MATCH($A25,GDP_CGE!$A$3:$A$21,0),MATCH(I$9,GDP_CGE!$A$3:$AN$3,0)),GDP_Simple!I23)</f>
        <v>149.16999999999999</v>
      </c>
      <c r="J25">
        <f>IF($C$3="CGE",INDEX(GDP_CGE!$A$3:$AN$21,MATCH($A25,GDP_CGE!$A$3:$A$21,0),MATCH(J$9,GDP_CGE!$A$3:$AN$3,0)),GDP_Simple!J23)</f>
        <v>138.22</v>
      </c>
      <c r="K25">
        <f>IF($C$3="CGE",INDEX(GDP_CGE!$A$3:$AN$21,MATCH($A25,GDP_CGE!$A$3:$A$21,0),MATCH(K$9,GDP_CGE!$A$3:$AN$3,0)),GDP_Simple!K23)</f>
        <v>145.39157653967956</v>
      </c>
      <c r="L25">
        <f>IF($C$3="CGE",INDEX(GDP_CGE!$A$3:$AN$21,MATCH($A25,GDP_CGE!$A$3:$A$21,0),MATCH(L$9,GDP_CGE!$A$3:$AN$3,0)),GDP_Simple!L23)</f>
        <v>152.60574179769705</v>
      </c>
      <c r="M25">
        <f>IF($C$3="CGE",INDEX(GDP_CGE!$A$3:$AN$21,MATCH($A25,GDP_CGE!$A$3:$A$21,0),MATCH(M$9,GDP_CGE!$A$3:$AN$3,0)),GDP_Simple!M23)</f>
        <v>160.04943901787726</v>
      </c>
      <c r="N25">
        <f>IF($C$3="CGE",INDEX(GDP_CGE!$A$3:$AN$21,MATCH($A25,GDP_CGE!$A$3:$A$21,0),MATCH(N$9,GDP_CGE!$A$3:$AN$3,0)),GDP_Simple!N23)</f>
        <v>167.81734212257811</v>
      </c>
      <c r="O25">
        <f>IF($C$3="CGE",INDEX(GDP_CGE!$A$3:$AN$21,MATCH($A25,GDP_CGE!$A$3:$A$21,0),MATCH(O$9,GDP_CGE!$A$3:$AN$3,0)),GDP_Simple!O23)</f>
        <v>175.88357069487637</v>
      </c>
      <c r="P25">
        <f>IF($C$3="CGE",INDEX(GDP_CGE!$A$3:$AN$21,MATCH($A25,GDP_CGE!$A$3:$A$21,0),MATCH(P$9,GDP_CGE!$A$3:$AN$3,0)),GDP_Simple!P23)</f>
        <v>184.58915559183478</v>
      </c>
      <c r="Q25">
        <f>IF($C$3="CGE",INDEX(GDP_CGE!$A$3:$AN$21,MATCH($A25,GDP_CGE!$A$3:$A$21,0),MATCH(Q$9,GDP_CGE!$A$3:$AN$3,0)),GDP_Simple!Q23)</f>
        <v>193.6528115484742</v>
      </c>
      <c r="R25">
        <f>IF($C$3="CGE",INDEX(GDP_CGE!$A$3:$AN$21,MATCH($A25,GDP_CGE!$A$3:$A$21,0),MATCH(R$9,GDP_CGE!$A$3:$AN$3,0)),GDP_Simple!R23)</f>
        <v>203.0265498789108</v>
      </c>
      <c r="S25">
        <f>IF($C$3="CGE",INDEX(GDP_CGE!$A$3:$AN$21,MATCH($A25,GDP_CGE!$A$3:$A$21,0),MATCH(S$9,GDP_CGE!$A$3:$AN$3,0)),GDP_Simple!S23)</f>
        <v>212.86897776654584</v>
      </c>
      <c r="T25">
        <f>IF($C$3="CGE",INDEX(GDP_CGE!$A$3:$AN$21,MATCH($A25,GDP_CGE!$A$3:$A$21,0),MATCH(T$9,GDP_CGE!$A$3:$AN$3,0)),GDP_Simple!T23)</f>
        <v>223.17102011377642</v>
      </c>
      <c r="U25">
        <f>IF($C$3="CGE",INDEX(GDP_CGE!$A$3:$AN$21,MATCH($A25,GDP_CGE!$A$3:$A$21,0),MATCH(U$9,GDP_CGE!$A$3:$AN$3,0)),GDP_Simple!U23)</f>
        <v>233.0637518733387</v>
      </c>
      <c r="V25">
        <f>IF($C$3="CGE",INDEX(GDP_CGE!$A$3:$AN$21,MATCH($A25,GDP_CGE!$A$3:$A$21,0),MATCH(V$9,GDP_CGE!$A$3:$AN$3,0)),GDP_Simple!V23)</f>
        <v>243.42146216844009</v>
      </c>
      <c r="W25">
        <f>IF($C$3="CGE",INDEX(GDP_CGE!$A$3:$AN$21,MATCH($A25,GDP_CGE!$A$3:$A$21,0),MATCH(W$9,GDP_CGE!$A$3:$AN$3,0)),GDP_Simple!W23)</f>
        <v>254.48699468723879</v>
      </c>
      <c r="X25">
        <f>IF($C$3="CGE",INDEX(GDP_CGE!$A$3:$AN$21,MATCH($A25,GDP_CGE!$A$3:$A$21,0),MATCH(X$9,GDP_CGE!$A$3:$AN$3,0)),GDP_Simple!X23)</f>
        <v>265.96298688656725</v>
      </c>
      <c r="Y25">
        <f>IF($C$3="CGE",INDEX(GDP_CGE!$A$3:$AN$21,MATCH($A25,GDP_CGE!$A$3:$A$21,0),MATCH(Y$9,GDP_CGE!$A$3:$AN$3,0)),GDP_Simple!Y23)</f>
        <v>278.23074553550202</v>
      </c>
      <c r="Z25">
        <f>IF($C$3="CGE",INDEX(GDP_CGE!$A$3:$AN$21,MATCH($A25,GDP_CGE!$A$3:$A$21,0),MATCH(Z$9,GDP_CGE!$A$3:$AN$3,0)),GDP_Simple!Z23)</f>
        <v>289.16589710641426</v>
      </c>
      <c r="AA25">
        <f>IF($C$3="CGE",INDEX(GDP_CGE!$A$3:$AN$21,MATCH($A25,GDP_CGE!$A$3:$A$21,0),MATCH(AA$9,GDP_CGE!$A$3:$AN$3,0)),GDP_Simple!AA23)</f>
        <v>300.34857330828817</v>
      </c>
      <c r="AB25">
        <f>IF($C$3="CGE",INDEX(GDP_CGE!$A$3:$AN$21,MATCH($A25,GDP_CGE!$A$3:$A$21,0),MATCH(AB$9,GDP_CGE!$A$3:$AN$3,0)),GDP_Simple!AB23)</f>
        <v>312.03054002279794</v>
      </c>
      <c r="AC25">
        <f>IF($C$3="CGE",INDEX(GDP_CGE!$A$3:$AN$21,MATCH($A25,GDP_CGE!$A$3:$A$21,0),MATCH(AC$9,GDP_CGE!$A$3:$AN$3,0)),GDP_Simple!AC23)</f>
        <v>324.09579596658739</v>
      </c>
      <c r="AD25">
        <f>IF($C$3="CGE",INDEX(GDP_CGE!$A$3:$AN$21,MATCH($A25,GDP_CGE!$A$3:$A$21,0),MATCH(AD$9,GDP_CGE!$A$3:$AN$3,0)),GDP_Simple!AD23)</f>
        <v>336.52867316569649</v>
      </c>
      <c r="AE25">
        <f>IF($C$3="CGE",INDEX(GDP_CGE!$A$3:$AN$21,MATCH($A25,GDP_CGE!$A$3:$A$21,0),MATCH(AE$9,GDP_CGE!$A$3:$AN$3,0)),GDP_Simple!AE23)</f>
        <v>348.66099058760364</v>
      </c>
      <c r="AF25">
        <f>IF($C$3="CGE",INDEX(GDP_CGE!$A$3:$AN$21,MATCH($A25,GDP_CGE!$A$3:$A$21,0),MATCH(AF$9,GDP_CGE!$A$3:$AN$3,0)),GDP_Simple!AF23)</f>
        <v>361.22794750270538</v>
      </c>
      <c r="AG25">
        <f>IF($C$3="CGE",INDEX(GDP_CGE!$A$3:$AN$21,MATCH($A25,GDP_CGE!$A$3:$A$21,0),MATCH(AG$9,GDP_CGE!$A$3:$AN$3,0)),GDP_Simple!AG23)</f>
        <v>374.21695307759836</v>
      </c>
      <c r="AH25">
        <f>IF($C$3="CGE",INDEX(GDP_CGE!$A$3:$AN$21,MATCH($A25,GDP_CGE!$A$3:$A$21,0),MATCH(AH$9,GDP_CGE!$A$3:$AN$3,0)),GDP_Simple!AH23)</f>
        <v>387.54158706669858</v>
      </c>
      <c r="AI25">
        <f>IF($C$3="CGE",INDEX(GDP_CGE!$A$3:$AN$21,MATCH($A25,GDP_CGE!$A$3:$A$21,0),MATCH(AI$9,GDP_CGE!$A$3:$AN$3,0)),GDP_Simple!AI23)</f>
        <v>401.21426139919879</v>
      </c>
      <c r="AJ25">
        <f>IF($C$3="CGE",INDEX(GDP_CGE!$A$3:$AN$21,MATCH($A25,GDP_CGE!$A$3:$A$21,0),MATCH(AJ$9,GDP_CGE!$A$3:$AN$3,0)),GDP_Simple!AJ23)</f>
        <v>413.10239542174452</v>
      </c>
      <c r="AK25">
        <f>IF($C$3="CGE",INDEX(GDP_CGE!$A$3:$AN$21,MATCH($A25,GDP_CGE!$A$3:$A$21,0),MATCH(AK$9,GDP_CGE!$A$3:$AN$3,0)),GDP_Simple!AK23)</f>
        <v>425.22903507157241</v>
      </c>
      <c r="AL25">
        <f>IF($C$3="CGE",INDEX(GDP_CGE!$A$3:$AN$21,MATCH($A25,GDP_CGE!$A$3:$A$21,0),MATCH(AL$9,GDP_CGE!$A$3:$AN$3,0)),GDP_Simple!AL23)</f>
        <v>437.66644830495107</v>
      </c>
      <c r="AM25">
        <f>IF($C$3="CGE",INDEX(GDP_CGE!$A$3:$AN$21,MATCH($A25,GDP_CGE!$A$3:$A$21,0),MATCH(AM$9,GDP_CGE!$A$3:$AN$3,0)),GDP_Simple!AM23)</f>
        <v>450.32549506027192</v>
      </c>
      <c r="AN25">
        <f>IF($C$3="CGE",INDEX(GDP_CGE!$A$3:$AN$21,MATCH($A25,GDP_CGE!$A$3:$A$21,0),MATCH(AN$9,GDP_CGE!$A$3:$AN$3,0)),GDP_Simple!AN23)</f>
        <v>463.22476419394758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</v>
      </c>
      <c r="C26">
        <f>IF($C$3="CGE",INDEX(GDP_CGE!$A$3:$AN$21,MATCH($A26,GDP_CGE!$A$3:$A$21,0),MATCH(C$9,GDP_CGE!$A$3:$AN$3,0)),GDP_Simple!C24)</f>
        <v>22.37</v>
      </c>
      <c r="D26">
        <f>IF($C$3="CGE",INDEX(GDP_CGE!$A$3:$AN$21,MATCH($A26,GDP_CGE!$A$3:$A$21,0),MATCH(D$9,GDP_CGE!$A$3:$AN$3,0)),GDP_Simple!D24)</f>
        <v>23.86</v>
      </c>
      <c r="E26">
        <f>IF($C$3="CGE",INDEX(GDP_CGE!$A$3:$AN$21,MATCH($A26,GDP_CGE!$A$3:$A$21,0),MATCH(E$9,GDP_CGE!$A$3:$AN$3,0)),GDP_Simple!E24)</f>
        <v>24.79</v>
      </c>
      <c r="F26">
        <f>IF($C$3="CGE",INDEX(GDP_CGE!$A$3:$AN$21,MATCH($A26,GDP_CGE!$A$3:$A$21,0),MATCH(F$9,GDP_CGE!$A$3:$AN$3,0)),GDP_Simple!F24)</f>
        <v>25.39</v>
      </c>
      <c r="G26">
        <f>IF($C$3="CGE",INDEX(GDP_CGE!$A$3:$AN$21,MATCH($A26,GDP_CGE!$A$3:$A$21,0),MATCH(G$9,GDP_CGE!$A$3:$AN$3,0)),GDP_Simple!G24)</f>
        <v>26.91</v>
      </c>
      <c r="H26">
        <f>IF($C$3="CGE",INDEX(GDP_CGE!$A$3:$AN$21,MATCH($A26,GDP_CGE!$A$3:$A$21,0),MATCH(H$9,GDP_CGE!$A$3:$AN$3,0)),GDP_Simple!H24)</f>
        <v>28.69</v>
      </c>
      <c r="I26">
        <f>IF($C$3="CGE",INDEX(GDP_CGE!$A$3:$AN$21,MATCH($A26,GDP_CGE!$A$3:$A$21,0),MATCH(I$9,GDP_CGE!$A$3:$AN$3,0)),GDP_Simple!I24)</f>
        <v>29.81</v>
      </c>
      <c r="J26">
        <f>IF($C$3="CGE",INDEX(GDP_CGE!$A$3:$AN$21,MATCH($A26,GDP_CGE!$A$3:$A$21,0),MATCH(J$9,GDP_CGE!$A$3:$AN$3,0)),GDP_Simple!J24)</f>
        <v>28.74</v>
      </c>
      <c r="K26">
        <f>IF($C$3="CGE",INDEX(GDP_CGE!$A$3:$AN$21,MATCH($A26,GDP_CGE!$A$3:$A$21,0),MATCH(K$9,GDP_CGE!$A$3:$AN$3,0)),GDP_Simple!K24)</f>
        <v>29.054923219466701</v>
      </c>
      <c r="L26">
        <f>IF($C$3="CGE",INDEX(GDP_CGE!$A$3:$AN$21,MATCH($A26,GDP_CGE!$A$3:$A$21,0),MATCH(L$9,GDP_CGE!$A$3:$AN$3,0)),GDP_Simple!L24)</f>
        <v>30.496595582150228</v>
      </c>
      <c r="M26">
        <f>IF($C$3="CGE",INDEX(GDP_CGE!$A$3:$AN$21,MATCH($A26,GDP_CGE!$A$3:$A$21,0),MATCH(M$9,GDP_CGE!$A$3:$AN$3,0)),GDP_Simple!M24)</f>
        <v>31.984137407809353</v>
      </c>
      <c r="N26">
        <f>IF($C$3="CGE",INDEX(GDP_CGE!$A$3:$AN$21,MATCH($A26,GDP_CGE!$A$3:$A$21,0),MATCH(N$9,GDP_CGE!$A$3:$AN$3,0)),GDP_Simple!N24)</f>
        <v>33.536468248803743</v>
      </c>
      <c r="O26">
        <f>IF($C$3="CGE",INDEX(GDP_CGE!$A$3:$AN$21,MATCH($A26,GDP_CGE!$A$3:$A$21,0),MATCH(O$9,GDP_CGE!$A$3:$AN$3,0)),GDP_Simple!O24)</f>
        <v>35.148416185655726</v>
      </c>
      <c r="P26">
        <f>IF($C$3="CGE",INDEX(GDP_CGE!$A$3:$AN$21,MATCH($A26,GDP_CGE!$A$3:$A$21,0),MATCH(P$9,GDP_CGE!$A$3:$AN$3,0)),GDP_Simple!P24)</f>
        <v>36.888132521234802</v>
      </c>
      <c r="Q26">
        <f>IF($C$3="CGE",INDEX(GDP_CGE!$A$3:$AN$21,MATCH($A26,GDP_CGE!$A$3:$A$21,0),MATCH(Q$9,GDP_CGE!$A$3:$AN$3,0)),GDP_Simple!Q24)</f>
        <v>38.699405458604389</v>
      </c>
      <c r="R26">
        <f>IF($C$3="CGE",INDEX(GDP_CGE!$A$3:$AN$21,MATCH($A26,GDP_CGE!$A$3:$A$21,0),MATCH(R$9,GDP_CGE!$A$3:$AN$3,0)),GDP_Simple!R24)</f>
        <v>40.572644981499842</v>
      </c>
      <c r="S26">
        <f>IF($C$3="CGE",INDEX(GDP_CGE!$A$3:$AN$21,MATCH($A26,GDP_CGE!$A$3:$A$21,0),MATCH(S$9,GDP_CGE!$A$3:$AN$3,0)),GDP_Simple!S24)</f>
        <v>42.53954700825053</v>
      </c>
      <c r="T26">
        <f>IF($C$3="CGE",INDEX(GDP_CGE!$A$3:$AN$21,MATCH($A26,GDP_CGE!$A$3:$A$21,0),MATCH(T$9,GDP_CGE!$A$3:$AN$3,0)),GDP_Simple!T24)</f>
        <v>44.59829797943069</v>
      </c>
      <c r="U26">
        <f>IF($C$3="CGE",INDEX(GDP_CGE!$A$3:$AN$21,MATCH($A26,GDP_CGE!$A$3:$A$21,0),MATCH(U$9,GDP_CGE!$A$3:$AN$3,0)),GDP_Simple!U24)</f>
        <v>46.575252687163818</v>
      </c>
      <c r="V26">
        <f>IF($C$3="CGE",INDEX(GDP_CGE!$A$3:$AN$21,MATCH($A26,GDP_CGE!$A$3:$A$21,0),MATCH(V$9,GDP_CGE!$A$3:$AN$3,0)),GDP_Simple!V24)</f>
        <v>48.645128291487559</v>
      </c>
      <c r="W26">
        <f>IF($C$3="CGE",INDEX(GDP_CGE!$A$3:$AN$21,MATCH($A26,GDP_CGE!$A$3:$A$21,0),MATCH(W$9,GDP_CGE!$A$3:$AN$3,0)),GDP_Simple!W24)</f>
        <v>50.856454458849562</v>
      </c>
      <c r="X26">
        <f>IF($C$3="CGE",INDEX(GDP_CGE!$A$3:$AN$21,MATCH($A26,GDP_CGE!$A$3:$A$21,0),MATCH(X$9,GDP_CGE!$A$3:$AN$3,0)),GDP_Simple!X24)</f>
        <v>53.149806523353021</v>
      </c>
      <c r="Y26">
        <f>IF($C$3="CGE",INDEX(GDP_CGE!$A$3:$AN$21,MATCH($A26,GDP_CGE!$A$3:$A$21,0),MATCH(Y$9,GDP_CGE!$A$3:$AN$3,0)),GDP_Simple!Y24)</f>
        <v>55.601384490268259</v>
      </c>
      <c r="Z26">
        <f>IF($C$3="CGE",INDEX(GDP_CGE!$A$3:$AN$21,MATCH($A26,GDP_CGE!$A$3:$A$21,0),MATCH(Z$9,GDP_CGE!$A$3:$AN$3,0)),GDP_Simple!Z24)</f>
        <v>57.7866554450775</v>
      </c>
      <c r="AA26">
        <f>IF($C$3="CGE",INDEX(GDP_CGE!$A$3:$AN$21,MATCH($A26,GDP_CGE!$A$3:$A$21,0),MATCH(AA$9,GDP_CGE!$A$3:$AN$3,0)),GDP_Simple!AA24)</f>
        <v>60.021391501776968</v>
      </c>
      <c r="AB26">
        <f>IF($C$3="CGE",INDEX(GDP_CGE!$A$3:$AN$21,MATCH($A26,GDP_CGE!$A$3:$A$21,0),MATCH(AB$9,GDP_CGE!$A$3:$AN$3,0)),GDP_Simple!AB24)</f>
        <v>62.355905330023511</v>
      </c>
      <c r="AC26">
        <f>IF($C$3="CGE",INDEX(GDP_CGE!$A$3:$AN$21,MATCH($A26,GDP_CGE!$A$3:$A$21,0),MATCH(AC$9,GDP_CGE!$A$3:$AN$3,0)),GDP_Simple!AC24)</f>
        <v>64.76701533662245</v>
      </c>
      <c r="AD26">
        <f>IF($C$3="CGE",INDEX(GDP_CGE!$A$3:$AN$21,MATCH($A26,GDP_CGE!$A$3:$A$21,0),MATCH(AD$9,GDP_CGE!$A$3:$AN$3,0)),GDP_Simple!AD24)</f>
        <v>67.251590447606176</v>
      </c>
      <c r="AE26">
        <f>IF($C$3="CGE",INDEX(GDP_CGE!$A$3:$AN$21,MATCH($A26,GDP_CGE!$A$3:$A$21,0),MATCH(AE$9,GDP_CGE!$A$3:$AN$3,0)),GDP_Simple!AE24)</f>
        <v>69.67610196029004</v>
      </c>
      <c r="AF26">
        <f>IF($C$3="CGE",INDEX(GDP_CGE!$A$3:$AN$21,MATCH($A26,GDP_CGE!$A$3:$A$21,0),MATCH(AF$9,GDP_CGE!$A$3:$AN$3,0)),GDP_Simple!AF24)</f>
        <v>72.187471442352006</v>
      </c>
      <c r="AG26">
        <f>IF($C$3="CGE",INDEX(GDP_CGE!$A$3:$AN$21,MATCH($A26,GDP_CGE!$A$3:$A$21,0),MATCH(AG$9,GDP_CGE!$A$3:$AN$3,0)),GDP_Simple!AG24)</f>
        <v>74.783182752853847</v>
      </c>
      <c r="AH26">
        <f>IF($C$3="CGE",INDEX(GDP_CGE!$A$3:$AN$21,MATCH($A26,GDP_CGE!$A$3:$A$21,0),MATCH(AH$9,GDP_CGE!$A$3:$AN$3,0)),GDP_Simple!AH24)</f>
        <v>77.445965746854498</v>
      </c>
      <c r="AI26">
        <f>IF($C$3="CGE",INDEX(GDP_CGE!$A$3:$AN$21,MATCH($A26,GDP_CGE!$A$3:$A$21,0),MATCH(AI$9,GDP_CGE!$A$3:$AN$3,0)),GDP_Simple!AI24)</f>
        <v>80.178300813234003</v>
      </c>
      <c r="AJ26">
        <f>IF($C$3="CGE",INDEX(GDP_CGE!$A$3:$AN$21,MATCH($A26,GDP_CGE!$A$3:$A$21,0),MATCH(AJ$9,GDP_CGE!$A$3:$AN$3,0)),GDP_Simple!AJ24)</f>
        <v>82.55401493277607</v>
      </c>
      <c r="AK26">
        <f>IF($C$3="CGE",INDEX(GDP_CGE!$A$3:$AN$21,MATCH($A26,GDP_CGE!$A$3:$A$21,0),MATCH(AK$9,GDP_CGE!$A$3:$AN$3,0)),GDP_Simple!AK24)</f>
        <v>84.977391804542293</v>
      </c>
      <c r="AL26">
        <f>IF($C$3="CGE",INDEX(GDP_CGE!$A$3:$AN$21,MATCH($A26,GDP_CGE!$A$3:$A$21,0),MATCH(AL$9,GDP_CGE!$A$3:$AN$3,0)),GDP_Simple!AL24)</f>
        <v>87.462873392576199</v>
      </c>
      <c r="AM26">
        <f>IF($C$3="CGE",INDEX(GDP_CGE!$A$3:$AN$21,MATCH($A26,GDP_CGE!$A$3:$A$21,0),MATCH(AM$9,GDP_CGE!$A$3:$AN$3,0)),GDP_Simple!AM24)</f>
        <v>89.992646026323698</v>
      </c>
      <c r="AN26">
        <f>IF($C$3="CGE",INDEX(GDP_CGE!$A$3:$AN$21,MATCH($A26,GDP_CGE!$A$3:$A$21,0),MATCH(AN$9,GDP_CGE!$A$3:$AN$3,0)),GDP_Simple!AN24)</f>
        <v>92.570424486301377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1.1399999999999999</v>
      </c>
      <c r="C27">
        <f>IF($C$3="CGE",INDEX(GDP_CGE!$A$3:$AN$21,MATCH($A27,GDP_CGE!$A$3:$A$21,0),MATCH(C$9,GDP_CGE!$A$3:$AN$3,0)),GDP_Simple!C25)</f>
        <v>1.1599999999999999</v>
      </c>
      <c r="D27">
        <f>IF($C$3="CGE",INDEX(GDP_CGE!$A$3:$AN$21,MATCH($A27,GDP_CGE!$A$3:$A$21,0),MATCH(D$9,GDP_CGE!$A$3:$AN$3,0)),GDP_Simple!D25)</f>
        <v>1.1399999999999999</v>
      </c>
      <c r="E27">
        <f>IF($C$3="CGE",INDEX(GDP_CGE!$A$3:$AN$21,MATCH($A27,GDP_CGE!$A$3:$A$21,0),MATCH(E$9,GDP_CGE!$A$3:$AN$3,0)),GDP_Simple!E25)</f>
        <v>1.1299999999999999</v>
      </c>
      <c r="F27">
        <f>IF($C$3="CGE",INDEX(GDP_CGE!$A$3:$AN$21,MATCH($A27,GDP_CGE!$A$3:$A$21,0),MATCH(F$9,GDP_CGE!$A$3:$AN$3,0)),GDP_Simple!F25)</f>
        <v>1.1499999999999999</v>
      </c>
      <c r="G27">
        <f>IF($C$3="CGE",INDEX(GDP_CGE!$A$3:$AN$21,MATCH($A27,GDP_CGE!$A$3:$A$21,0),MATCH(G$9,GDP_CGE!$A$3:$AN$3,0)),GDP_Simple!G25)</f>
        <v>1.1499999999999999</v>
      </c>
      <c r="H27">
        <f>IF($C$3="CGE",INDEX(GDP_CGE!$A$3:$AN$21,MATCH($A27,GDP_CGE!$A$3:$A$21,0),MATCH(H$9,GDP_CGE!$A$3:$AN$3,0)),GDP_Simple!H25)</f>
        <v>1.1200000000000001</v>
      </c>
      <c r="I27">
        <f>IF($C$3="CGE",INDEX(GDP_CGE!$A$3:$AN$21,MATCH($A27,GDP_CGE!$A$3:$A$21,0),MATCH(I$9,GDP_CGE!$A$3:$AN$3,0)),GDP_Simple!I25)</f>
        <v>1.0900000000000001</v>
      </c>
      <c r="J27">
        <f>IF($C$3="CGE",INDEX(GDP_CGE!$A$3:$AN$21,MATCH($A27,GDP_CGE!$A$3:$A$21,0),MATCH(J$9,GDP_CGE!$A$3:$AN$3,0)),GDP_Simple!J25)</f>
        <v>0.99</v>
      </c>
      <c r="K27">
        <f>IF($C$3="CGE",INDEX(GDP_CGE!$A$3:$AN$21,MATCH($A27,GDP_CGE!$A$3:$A$21,0),MATCH(K$9,GDP_CGE!$A$3:$AN$3,0)),GDP_Simple!K25)</f>
        <v>1.0623906846433648</v>
      </c>
      <c r="L27">
        <f>IF($C$3="CGE",INDEX(GDP_CGE!$A$3:$AN$21,MATCH($A27,GDP_CGE!$A$3:$A$21,0),MATCH(L$9,GDP_CGE!$A$3:$AN$3,0)),GDP_Simple!L25)</f>
        <v>1.1151053064254866</v>
      </c>
      <c r="M27">
        <f>IF($C$3="CGE",INDEX(GDP_CGE!$A$3:$AN$21,MATCH($A27,GDP_CGE!$A$3:$A$21,0),MATCH(M$9,GDP_CGE!$A$3:$AN$3,0)),GDP_Simple!M25)</f>
        <v>1.1694971410436834</v>
      </c>
      <c r="N27">
        <f>IF($C$3="CGE",INDEX(GDP_CGE!$A$3:$AN$21,MATCH($A27,GDP_CGE!$A$3:$A$21,0),MATCH(N$9,GDP_CGE!$A$3:$AN$3,0)),GDP_Simple!N25)</f>
        <v>1.2262579802481075</v>
      </c>
      <c r="O27">
        <f>IF($C$3="CGE",INDEX(GDP_CGE!$A$3:$AN$21,MATCH($A27,GDP_CGE!$A$3:$A$21,0),MATCH(O$9,GDP_CGE!$A$3:$AN$3,0)),GDP_Simple!O25)</f>
        <v>1.2851987132628229</v>
      </c>
      <c r="P27">
        <f>IF($C$3="CGE",INDEX(GDP_CGE!$A$3:$AN$21,MATCH($A27,GDP_CGE!$A$3:$A$21,0),MATCH(P$9,GDP_CGE!$A$3:$AN$3,0)),GDP_Simple!P25)</f>
        <v>1.3488112864188508</v>
      </c>
      <c r="Q27">
        <f>IF($C$3="CGE",INDEX(GDP_CGE!$A$3:$AN$21,MATCH($A27,GDP_CGE!$A$3:$A$21,0),MATCH(Q$9,GDP_CGE!$A$3:$AN$3,0)),GDP_Simple!Q25)</f>
        <v>1.4150403203582285</v>
      </c>
      <c r="R27">
        <f>IF($C$3="CGE",INDEX(GDP_CGE!$A$3:$AN$21,MATCH($A27,GDP_CGE!$A$3:$A$21,0),MATCH(R$9,GDP_CGE!$A$3:$AN$3,0)),GDP_Simple!R25)</f>
        <v>1.4835351569887565</v>
      </c>
      <c r="S27">
        <f>IF($C$3="CGE",INDEX(GDP_CGE!$A$3:$AN$21,MATCH($A27,GDP_CGE!$A$3:$A$21,0),MATCH(S$9,GDP_CGE!$A$3:$AN$3,0)),GDP_Simple!S25)</f>
        <v>1.5554547547464972</v>
      </c>
      <c r="T27">
        <f>IF($C$3="CGE",INDEX(GDP_CGE!$A$3:$AN$21,MATCH($A27,GDP_CGE!$A$3:$A$21,0),MATCH(T$9,GDP_CGE!$A$3:$AN$3,0)),GDP_Simple!T25)</f>
        <v>1.6307328009922664</v>
      </c>
      <c r="U27">
        <f>IF($C$3="CGE",INDEX(GDP_CGE!$A$3:$AN$21,MATCH($A27,GDP_CGE!$A$3:$A$21,0),MATCH(U$9,GDP_CGE!$A$3:$AN$3,0)),GDP_Simple!U25)</f>
        <v>1.7030199741364833</v>
      </c>
      <c r="V27">
        <f>IF($C$3="CGE",INDEX(GDP_CGE!$A$3:$AN$21,MATCH($A27,GDP_CGE!$A$3:$A$21,0),MATCH(V$9,GDP_CGE!$A$3:$AN$3,0)),GDP_Simple!V25)</f>
        <v>1.7787047916042082</v>
      </c>
      <c r="W27">
        <f>IF($C$3="CGE",INDEX(GDP_CGE!$A$3:$AN$21,MATCH($A27,GDP_CGE!$A$3:$A$21,0),MATCH(W$9,GDP_CGE!$A$3:$AN$3,0)),GDP_Simple!W25)</f>
        <v>1.8595617363349892</v>
      </c>
      <c r="X27">
        <f>IF($C$3="CGE",INDEX(GDP_CGE!$A$3:$AN$21,MATCH($A27,GDP_CGE!$A$3:$A$21,0),MATCH(X$9,GDP_CGE!$A$3:$AN$3,0)),GDP_Simple!X25)</f>
        <v>1.9434179507029454</v>
      </c>
      <c r="Y27">
        <f>IF($C$3="CGE",INDEX(GDP_CGE!$A$3:$AN$21,MATCH($A27,GDP_CGE!$A$3:$A$21,0),MATCH(Y$9,GDP_CGE!$A$3:$AN$3,0)),GDP_Simple!Y25)</f>
        <v>2.033059681126884</v>
      </c>
      <c r="Z27">
        <f>IF($C$3="CGE",INDEX(GDP_CGE!$A$3:$AN$21,MATCH($A27,GDP_CGE!$A$3:$A$21,0),MATCH(Z$9,GDP_CGE!$A$3:$AN$3,0)),GDP_Simple!Z25)</f>
        <v>2.1129639193268863</v>
      </c>
      <c r="AA27">
        <f>IF($C$3="CGE",INDEX(GDP_CGE!$A$3:$AN$21,MATCH($A27,GDP_CGE!$A$3:$A$21,0),MATCH(AA$9,GDP_CGE!$A$3:$AN$3,0)),GDP_Simple!AA25)</f>
        <v>2.1946768445802385</v>
      </c>
      <c r="AB27">
        <f>IF($C$3="CGE",INDEX(GDP_CGE!$A$3:$AN$21,MATCH($A27,GDP_CGE!$A$3:$A$21,0),MATCH(AB$9,GDP_CGE!$A$3:$AN$3,0)),GDP_Simple!AB25)</f>
        <v>2.2800381351803298</v>
      </c>
      <c r="AC27">
        <f>IF($C$3="CGE",INDEX(GDP_CGE!$A$3:$AN$21,MATCH($A27,GDP_CGE!$A$3:$A$21,0),MATCH(AC$9,GDP_CGE!$A$3:$AN$3,0)),GDP_Simple!AC25)</f>
        <v>2.3682001582327565</v>
      </c>
      <c r="AD27">
        <f>IF($C$3="CGE",INDEX(GDP_CGE!$A$3:$AN$21,MATCH($A27,GDP_CGE!$A$3:$A$21,0),MATCH(AD$9,GDP_CGE!$A$3:$AN$3,0)),GDP_Simple!AD25)</f>
        <v>2.4590484262962344</v>
      </c>
      <c r="AE27">
        <f>IF($C$3="CGE",INDEX(GDP_CGE!$A$3:$AN$21,MATCH($A27,GDP_CGE!$A$3:$A$21,0),MATCH(AE$9,GDP_CGE!$A$3:$AN$3,0)),GDP_Simple!AE25)</f>
        <v>2.5477004742273115</v>
      </c>
      <c r="AF27">
        <f>IF($C$3="CGE",INDEX(GDP_CGE!$A$3:$AN$21,MATCH($A27,GDP_CGE!$A$3:$A$21,0),MATCH(AF$9,GDP_CGE!$A$3:$AN$3,0)),GDP_Simple!AF25)</f>
        <v>2.6395284760873432</v>
      </c>
      <c r="AG27">
        <f>IF($C$3="CGE",INDEX(GDP_CGE!$A$3:$AN$21,MATCH($A27,GDP_CGE!$A$3:$A$21,0),MATCH(AG$9,GDP_CGE!$A$3:$AN$3,0)),GDP_Simple!AG25)</f>
        <v>2.7344404294065985</v>
      </c>
      <c r="AH27">
        <f>IF($C$3="CGE",INDEX(GDP_CGE!$A$3:$AN$21,MATCH($A27,GDP_CGE!$A$3:$A$21,0),MATCH(AH$9,GDP_CGE!$A$3:$AN$3,0)),GDP_Simple!AH25)</f>
        <v>2.8318048528705608</v>
      </c>
      <c r="AI27">
        <f>IF($C$3="CGE",INDEX(GDP_CGE!$A$3:$AN$21,MATCH($A27,GDP_CGE!$A$3:$A$21,0),MATCH(AI$9,GDP_CGE!$A$3:$AN$3,0)),GDP_Simple!AI25)</f>
        <v>2.9317124416781306</v>
      </c>
      <c r="AJ27">
        <f>IF($C$3="CGE",INDEX(GDP_CGE!$A$3:$AN$21,MATCH($A27,GDP_CGE!$A$3:$A$21,0),MATCH(AJ$9,GDP_CGE!$A$3:$AN$3,0)),GDP_Simple!AJ25)</f>
        <v>3.0185802172668876</v>
      </c>
      <c r="AK27">
        <f>IF($C$3="CGE",INDEX(GDP_CGE!$A$3:$AN$21,MATCH($A27,GDP_CGE!$A$3:$A$21,0),MATCH(AK$9,GDP_CGE!$A$3:$AN$3,0)),GDP_Simple!AK25)</f>
        <v>3.1071907771536771</v>
      </c>
      <c r="AL27">
        <f>IF($C$3="CGE",INDEX(GDP_CGE!$A$3:$AN$21,MATCH($A27,GDP_CGE!$A$3:$A$21,0),MATCH(AL$9,GDP_CGE!$A$3:$AN$3,0)),GDP_Simple!AL25)</f>
        <v>3.1980721904699121</v>
      </c>
      <c r="AM27">
        <f>IF($C$3="CGE",INDEX(GDP_CGE!$A$3:$AN$21,MATCH($A27,GDP_CGE!$A$3:$A$21,0),MATCH(AM$9,GDP_CGE!$A$3:$AN$3,0)),GDP_Simple!AM25)</f>
        <v>3.2905731019353524</v>
      </c>
      <c r="AN27">
        <f>IF($C$3="CGE",INDEX(GDP_CGE!$A$3:$AN$21,MATCH($A27,GDP_CGE!$A$3:$A$21,0),MATCH(AN$9,GDP_CGE!$A$3:$AN$3,0)),GDP_Simple!AN25)</f>
        <v>3.3848293421693567</v>
      </c>
    </row>
    <row r="30" spans="1:40" ht="18" thickBot="1" x14ac:dyDescent="0.35">
      <c r="A30" s="4" t="s">
        <v>47</v>
      </c>
      <c r="B30" s="4"/>
      <c r="C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A45</f>
        <v>52325.432882070083</v>
      </c>
      <c r="B32" s="9">
        <f t="shared" ref="B32:F32" si="2">B45</f>
        <v>53104.386458423345</v>
      </c>
      <c r="C32" s="9">
        <f t="shared" si="2"/>
        <v>53912.365691429273</v>
      </c>
      <c r="D32" s="9">
        <f t="shared" si="2"/>
        <v>54750.491457321114</v>
      </c>
      <c r="E32" s="9">
        <f t="shared" si="2"/>
        <v>55619.940469824825</v>
      </c>
      <c r="F32" s="9">
        <f t="shared" si="2"/>
        <v>56521.948041648095</v>
      </c>
      <c r="G32" s="9">
        <f>F32*(1+G40)</f>
        <v>57437.722724665276</v>
      </c>
      <c r="H32" s="9">
        <f t="shared" ref="H32:AM32" si="3">G32*(1+H40)</f>
        <v>58367.459883052026</v>
      </c>
      <c r="I32" s="9">
        <f t="shared" si="3"/>
        <v>59311.357411159719</v>
      </c>
      <c r="J32" s="9">
        <f t="shared" si="3"/>
        <v>60215.271162640434</v>
      </c>
      <c r="K32" s="9">
        <f t="shared" si="3"/>
        <v>61076.870554595014</v>
      </c>
      <c r="L32" s="9">
        <f t="shared" si="3"/>
        <v>61893.905561437372</v>
      </c>
      <c r="M32" s="9">
        <f t="shared" si="3"/>
        <v>62664.216401175639</v>
      </c>
      <c r="N32" s="9">
        <f t="shared" si="3"/>
        <v>63385.742958029827</v>
      </c>
      <c r="O32" s="9">
        <f t="shared" si="3"/>
        <v>64094.435312413283</v>
      </c>
      <c r="P32" s="9">
        <f t="shared" si="3"/>
        <v>64789.67292785224</v>
      </c>
      <c r="Q32" s="9">
        <f t="shared" si="3"/>
        <v>65470.84158618284</v>
      </c>
      <c r="R32" s="9">
        <f t="shared" si="3"/>
        <v>66137.334279778326</v>
      </c>
      <c r="S32" s="9">
        <f t="shared" si="3"/>
        <v>66788.552102024187</v>
      </c>
      <c r="T32" s="9">
        <f t="shared" si="3"/>
        <v>67428.65443544001</v>
      </c>
      <c r="U32" s="9">
        <f t="shared" si="3"/>
        <v>68057.195861094486</v>
      </c>
      <c r="V32" s="9">
        <f t="shared" si="3"/>
        <v>68673.735676231561</v>
      </c>
      <c r="W32" s="9">
        <f t="shared" si="3"/>
        <v>69277.838403331843</v>
      </c>
      <c r="X32" s="9">
        <f t="shared" si="3"/>
        <v>69869.074297329891</v>
      </c>
      <c r="Y32" s="9">
        <f t="shared" si="3"/>
        <v>70448.404111382362</v>
      </c>
      <c r="Z32" s="9">
        <f t="shared" si="3"/>
        <v>71015.445118239149</v>
      </c>
      <c r="AA32" s="9">
        <f t="shared" si="3"/>
        <v>71569.820268995347</v>
      </c>
      <c r="AB32" s="9">
        <f t="shared" si="3"/>
        <v>72111.15860747479</v>
      </c>
      <c r="AC32" s="9">
        <f t="shared" si="3"/>
        <v>72639.095680758939</v>
      </c>
      <c r="AD32" s="9">
        <f t="shared" si="3"/>
        <v>73154.768688025957</v>
      </c>
      <c r="AE32" s="9">
        <f t="shared" si="3"/>
        <v>73657.858836507687</v>
      </c>
      <c r="AF32" s="9">
        <f t="shared" si="3"/>
        <v>74148.053381401434</v>
      </c>
      <c r="AG32" s="9">
        <f t="shared" si="3"/>
        <v>74625.045947922146</v>
      </c>
      <c r="AH32" s="9">
        <f t="shared" si="3"/>
        <v>75088.53684864036</v>
      </c>
      <c r="AI32" s="9">
        <f t="shared" si="3"/>
        <v>75538.295529667477</v>
      </c>
      <c r="AJ32" s="9">
        <f t="shared" si="3"/>
        <v>75974.037711806173</v>
      </c>
      <c r="AK32" s="9">
        <f t="shared" si="3"/>
        <v>76395.48665232271</v>
      </c>
      <c r="AL32" s="9">
        <f t="shared" si="3"/>
        <v>76802.373436637208</v>
      </c>
      <c r="AM32" s="9">
        <f t="shared" si="3"/>
        <v>77194.437263166896</v>
      </c>
    </row>
    <row r="35" spans="1:39" ht="18" thickBot="1" x14ac:dyDescent="0.35">
      <c r="A35" s="4" t="s">
        <v>74</v>
      </c>
      <c r="B35" s="4"/>
      <c r="C35" s="4"/>
      <c r="F35" t="s">
        <v>53</v>
      </c>
      <c r="G35">
        <f t="shared" ref="G35:AM35" si="4">ROUNDUP((G39-2000)/5,0)*5+2000</f>
        <v>2020</v>
      </c>
      <c r="H35">
        <f t="shared" si="4"/>
        <v>2020</v>
      </c>
      <c r="I35">
        <f t="shared" si="4"/>
        <v>2020</v>
      </c>
      <c r="J35">
        <f t="shared" si="4"/>
        <v>2025</v>
      </c>
      <c r="K35">
        <f t="shared" si="4"/>
        <v>2025</v>
      </c>
      <c r="L35">
        <f t="shared" si="4"/>
        <v>2025</v>
      </c>
      <c r="M35">
        <f t="shared" si="4"/>
        <v>2025</v>
      </c>
      <c r="N35">
        <f t="shared" si="4"/>
        <v>2025</v>
      </c>
      <c r="O35">
        <f t="shared" si="4"/>
        <v>2030</v>
      </c>
      <c r="P35">
        <f t="shared" si="4"/>
        <v>2030</v>
      </c>
      <c r="Q35">
        <f t="shared" si="4"/>
        <v>2030</v>
      </c>
      <c r="R35">
        <f t="shared" si="4"/>
        <v>2030</v>
      </c>
      <c r="S35">
        <f t="shared" si="4"/>
        <v>2030</v>
      </c>
      <c r="T35">
        <f t="shared" si="4"/>
        <v>2035</v>
      </c>
      <c r="U35">
        <f t="shared" si="4"/>
        <v>2035</v>
      </c>
      <c r="V35">
        <f t="shared" si="4"/>
        <v>2035</v>
      </c>
      <c r="W35">
        <f t="shared" si="4"/>
        <v>2035</v>
      </c>
      <c r="X35">
        <f t="shared" si="4"/>
        <v>2035</v>
      </c>
      <c r="Y35">
        <f t="shared" si="4"/>
        <v>2040</v>
      </c>
      <c r="Z35">
        <f t="shared" si="4"/>
        <v>2040</v>
      </c>
      <c r="AA35">
        <f t="shared" si="4"/>
        <v>2040</v>
      </c>
      <c r="AB35">
        <f t="shared" si="4"/>
        <v>2040</v>
      </c>
      <c r="AC35">
        <f t="shared" si="4"/>
        <v>2040</v>
      </c>
      <c r="AD35">
        <f t="shared" si="4"/>
        <v>2045</v>
      </c>
      <c r="AE35">
        <f t="shared" si="4"/>
        <v>2045</v>
      </c>
      <c r="AF35">
        <f t="shared" si="4"/>
        <v>2045</v>
      </c>
      <c r="AG35">
        <f t="shared" si="4"/>
        <v>2045</v>
      </c>
      <c r="AH35">
        <f t="shared" si="4"/>
        <v>2045</v>
      </c>
      <c r="AI35">
        <f t="shared" si="4"/>
        <v>2050</v>
      </c>
      <c r="AJ35">
        <f t="shared" si="4"/>
        <v>2050</v>
      </c>
      <c r="AK35">
        <f t="shared" si="4"/>
        <v>2050</v>
      </c>
      <c r="AL35">
        <f t="shared" si="4"/>
        <v>2050</v>
      </c>
      <c r="AM35">
        <f t="shared" si="4"/>
        <v>2050</v>
      </c>
    </row>
    <row r="36" spans="1:39" ht="15.75" thickTop="1" x14ac:dyDescent="0.25">
      <c r="G36" s="6">
        <f>INDEX($G$46:$Q$46,1,MATCH(G35,$G$44:$Q$44,0))</f>
        <v>1.6171639643029367E-2</v>
      </c>
      <c r="H36" s="6">
        <f t="shared" ref="H36:AM36" si="5">INDEX($G$46:$Q$46,1,MATCH(H35,$G$44:$Q$44,0))</f>
        <v>1.6171639643029367E-2</v>
      </c>
      <c r="I36" s="6">
        <f t="shared" si="5"/>
        <v>1.6171639643029367E-2</v>
      </c>
      <c r="J36" s="6">
        <f t="shared" si="5"/>
        <v>1.1514171855832034E-2</v>
      </c>
      <c r="K36" s="6">
        <f t="shared" si="5"/>
        <v>1.1514171855832034E-2</v>
      </c>
      <c r="L36" s="6">
        <f t="shared" si="5"/>
        <v>1.1514171855832034E-2</v>
      </c>
      <c r="M36" s="6">
        <f t="shared" si="5"/>
        <v>1.1514171855832034E-2</v>
      </c>
      <c r="N36" s="6">
        <f t="shared" si="5"/>
        <v>1.1514171855832034E-2</v>
      </c>
      <c r="O36" s="6">
        <f t="shared" si="5"/>
        <v>9.8464479909492475E-3</v>
      </c>
      <c r="P36" s="6">
        <f t="shared" si="5"/>
        <v>9.8464479909492475E-3</v>
      </c>
      <c r="Q36" s="6">
        <f t="shared" si="5"/>
        <v>9.8464479909492475E-3</v>
      </c>
      <c r="R36" s="6">
        <f t="shared" si="5"/>
        <v>9.8464479909492475E-3</v>
      </c>
      <c r="S36" s="6">
        <f t="shared" si="5"/>
        <v>9.8464479909492475E-3</v>
      </c>
      <c r="T36" s="6">
        <f t="shared" si="5"/>
        <v>8.5342716751048986E-3</v>
      </c>
      <c r="U36" s="6">
        <f t="shared" si="5"/>
        <v>8.5342716751048986E-3</v>
      </c>
      <c r="V36" s="6">
        <f t="shared" si="5"/>
        <v>8.5342716751048986E-3</v>
      </c>
      <c r="W36" s="6">
        <f t="shared" si="5"/>
        <v>8.5342716751048986E-3</v>
      </c>
      <c r="X36" s="6">
        <f t="shared" si="5"/>
        <v>8.5342716751048986E-3</v>
      </c>
      <c r="Y36" s="6">
        <f t="shared" si="5"/>
        <v>7.3211564406818752E-3</v>
      </c>
      <c r="Z36" s="6">
        <f t="shared" si="5"/>
        <v>7.3211564406818752E-3</v>
      </c>
      <c r="AA36" s="6">
        <f t="shared" si="5"/>
        <v>7.3211564406818752E-3</v>
      </c>
      <c r="AB36" s="6">
        <f t="shared" si="5"/>
        <v>7.3211564406818752E-3</v>
      </c>
      <c r="AC36" s="6">
        <f t="shared" si="5"/>
        <v>7.3211564406818752E-3</v>
      </c>
      <c r="AD36" s="6">
        <f t="shared" si="5"/>
        <v>6.210929518779329E-3</v>
      </c>
      <c r="AE36" s="6">
        <f t="shared" si="5"/>
        <v>6.210929518779329E-3</v>
      </c>
      <c r="AF36" s="6">
        <f t="shared" si="5"/>
        <v>6.210929518779329E-3</v>
      </c>
      <c r="AG36" s="6">
        <f t="shared" si="5"/>
        <v>6.210929518779329E-3</v>
      </c>
      <c r="AH36" s="6">
        <f t="shared" si="5"/>
        <v>6.210929518779329E-3</v>
      </c>
      <c r="AI36" s="6">
        <f t="shared" si="5"/>
        <v>5.1048399806699063E-3</v>
      </c>
      <c r="AJ36" s="6">
        <f t="shared" si="5"/>
        <v>5.1048399806699063E-3</v>
      </c>
      <c r="AK36" s="6">
        <f t="shared" si="5"/>
        <v>5.1048399806699063E-3</v>
      </c>
      <c r="AL36" s="6">
        <f t="shared" si="5"/>
        <v>5.1048399806699063E-3</v>
      </c>
      <c r="AM36" s="6">
        <f t="shared" si="5"/>
        <v>5.1048399806699063E-3</v>
      </c>
    </row>
    <row r="37" spans="1:39" x14ac:dyDescent="0.25">
      <c r="F37" t="s">
        <v>75</v>
      </c>
      <c r="G37">
        <v>2017</v>
      </c>
      <c r="H37">
        <v>2017</v>
      </c>
      <c r="I37">
        <v>2017</v>
      </c>
      <c r="J37">
        <f t="shared" ref="J37:AM37" si="6">J35-5</f>
        <v>2020</v>
      </c>
      <c r="K37">
        <f t="shared" si="6"/>
        <v>2020</v>
      </c>
      <c r="L37">
        <f t="shared" si="6"/>
        <v>2020</v>
      </c>
      <c r="M37">
        <f t="shared" si="6"/>
        <v>2020</v>
      </c>
      <c r="N37">
        <f t="shared" si="6"/>
        <v>2020</v>
      </c>
      <c r="O37">
        <f t="shared" si="6"/>
        <v>2025</v>
      </c>
      <c r="P37">
        <f t="shared" si="6"/>
        <v>2025</v>
      </c>
      <c r="Q37">
        <f t="shared" si="6"/>
        <v>2025</v>
      </c>
      <c r="R37">
        <f t="shared" si="6"/>
        <v>2025</v>
      </c>
      <c r="S37">
        <f t="shared" si="6"/>
        <v>2025</v>
      </c>
      <c r="T37">
        <f t="shared" si="6"/>
        <v>2030</v>
      </c>
      <c r="U37">
        <f t="shared" si="6"/>
        <v>2030</v>
      </c>
      <c r="V37">
        <f t="shared" si="6"/>
        <v>2030</v>
      </c>
      <c r="W37">
        <f t="shared" si="6"/>
        <v>2030</v>
      </c>
      <c r="X37">
        <f t="shared" si="6"/>
        <v>2030</v>
      </c>
      <c r="Y37">
        <f t="shared" si="6"/>
        <v>2035</v>
      </c>
      <c r="Z37">
        <f t="shared" si="6"/>
        <v>2035</v>
      </c>
      <c r="AA37">
        <f t="shared" si="6"/>
        <v>2035</v>
      </c>
      <c r="AB37">
        <f t="shared" si="6"/>
        <v>2035</v>
      </c>
      <c r="AC37">
        <f t="shared" si="6"/>
        <v>2035</v>
      </c>
      <c r="AD37">
        <f t="shared" si="6"/>
        <v>2040</v>
      </c>
      <c r="AE37">
        <f t="shared" si="6"/>
        <v>2040</v>
      </c>
      <c r="AF37">
        <f t="shared" si="6"/>
        <v>2040</v>
      </c>
      <c r="AG37">
        <f t="shared" si="6"/>
        <v>2040</v>
      </c>
      <c r="AH37">
        <f t="shared" si="6"/>
        <v>2040</v>
      </c>
      <c r="AI37">
        <f t="shared" si="6"/>
        <v>2045</v>
      </c>
      <c r="AJ37">
        <f t="shared" si="6"/>
        <v>2045</v>
      </c>
      <c r="AK37">
        <f t="shared" si="6"/>
        <v>2045</v>
      </c>
      <c r="AL37">
        <f t="shared" si="6"/>
        <v>2045</v>
      </c>
      <c r="AM37">
        <f t="shared" si="6"/>
        <v>2045</v>
      </c>
    </row>
    <row r="38" spans="1:39" x14ac:dyDescent="0.25">
      <c r="G38" s="13">
        <f>F40</f>
        <v>1.6217341554197295E-2</v>
      </c>
      <c r="H38" s="13">
        <f>G38</f>
        <v>1.6217341554197295E-2</v>
      </c>
      <c r="I38" s="13">
        <f>H38</f>
        <v>1.6217341554197295E-2</v>
      </c>
      <c r="J38" s="13">
        <f t="shared" ref="J38" si="7">INDEX($G$46:$Q$46,1,MATCH(J37,$G$44:$Q$44,0))</f>
        <v>1.6171639643029367E-2</v>
      </c>
      <c r="K38" s="13">
        <f t="shared" ref="K38" si="8">INDEX($G$46:$Q$46,1,MATCH(K37,$G$44:$Q$44,0))</f>
        <v>1.6171639643029367E-2</v>
      </c>
      <c r="L38" s="13">
        <f t="shared" ref="L38" si="9">INDEX($G$46:$Q$46,1,MATCH(L37,$G$44:$Q$44,0))</f>
        <v>1.6171639643029367E-2</v>
      </c>
      <c r="M38" s="13">
        <f t="shared" ref="M38" si="10">INDEX($G$46:$Q$46,1,MATCH(M37,$G$44:$Q$44,0))</f>
        <v>1.6171639643029367E-2</v>
      </c>
      <c r="N38" s="13">
        <f t="shared" ref="N38" si="11">INDEX($G$46:$Q$46,1,MATCH(N37,$G$44:$Q$44,0))</f>
        <v>1.6171639643029367E-2</v>
      </c>
      <c r="O38" s="13">
        <f t="shared" ref="O38" si="12">INDEX($G$46:$Q$46,1,MATCH(O37,$G$44:$Q$44,0))</f>
        <v>1.1514171855832034E-2</v>
      </c>
      <c r="P38" s="13">
        <f t="shared" ref="P38" si="13">INDEX($G$46:$Q$46,1,MATCH(P37,$G$44:$Q$44,0))</f>
        <v>1.1514171855832034E-2</v>
      </c>
      <c r="Q38" s="13">
        <f t="shared" ref="Q38" si="14">INDEX($G$46:$Q$46,1,MATCH(Q37,$G$44:$Q$44,0))</f>
        <v>1.1514171855832034E-2</v>
      </c>
      <c r="R38" s="13">
        <f t="shared" ref="R38" si="15">INDEX($G$46:$Q$46,1,MATCH(R37,$G$44:$Q$44,0))</f>
        <v>1.1514171855832034E-2</v>
      </c>
      <c r="S38" s="13">
        <f t="shared" ref="S38" si="16">INDEX($G$46:$Q$46,1,MATCH(S37,$G$44:$Q$44,0))</f>
        <v>1.1514171855832034E-2</v>
      </c>
      <c r="T38" s="13">
        <f t="shared" ref="T38" si="17">INDEX($G$46:$Q$46,1,MATCH(T37,$G$44:$Q$44,0))</f>
        <v>9.8464479909492475E-3</v>
      </c>
      <c r="U38" s="13">
        <f t="shared" ref="U38" si="18">INDEX($G$46:$Q$46,1,MATCH(U37,$G$44:$Q$44,0))</f>
        <v>9.8464479909492475E-3</v>
      </c>
      <c r="V38" s="13">
        <f t="shared" ref="V38" si="19">INDEX($G$46:$Q$46,1,MATCH(V37,$G$44:$Q$44,0))</f>
        <v>9.8464479909492475E-3</v>
      </c>
      <c r="W38" s="13">
        <f t="shared" ref="W38" si="20">INDEX($G$46:$Q$46,1,MATCH(W37,$G$44:$Q$44,0))</f>
        <v>9.8464479909492475E-3</v>
      </c>
      <c r="X38" s="13">
        <f t="shared" ref="X38" si="21">INDEX($G$46:$Q$46,1,MATCH(X37,$G$44:$Q$44,0))</f>
        <v>9.8464479909492475E-3</v>
      </c>
      <c r="Y38" s="13">
        <f t="shared" ref="Y38" si="22">INDEX($G$46:$Q$46,1,MATCH(Y37,$G$44:$Q$44,0))</f>
        <v>8.5342716751048986E-3</v>
      </c>
      <c r="Z38" s="13">
        <f t="shared" ref="Z38" si="23">INDEX($G$46:$Q$46,1,MATCH(Z37,$G$44:$Q$44,0))</f>
        <v>8.5342716751048986E-3</v>
      </c>
      <c r="AA38" s="13">
        <f t="shared" ref="AA38" si="24">INDEX($G$46:$Q$46,1,MATCH(AA37,$G$44:$Q$44,0))</f>
        <v>8.5342716751048986E-3</v>
      </c>
      <c r="AB38" s="13">
        <f t="shared" ref="AB38" si="25">INDEX($G$46:$Q$46,1,MATCH(AB37,$G$44:$Q$44,0))</f>
        <v>8.5342716751048986E-3</v>
      </c>
      <c r="AC38" s="13">
        <f t="shared" ref="AC38" si="26">INDEX($G$46:$Q$46,1,MATCH(AC37,$G$44:$Q$44,0))</f>
        <v>8.5342716751048986E-3</v>
      </c>
      <c r="AD38" s="13">
        <f t="shared" ref="AD38" si="27">INDEX($G$46:$Q$46,1,MATCH(AD37,$G$44:$Q$44,0))</f>
        <v>7.3211564406818752E-3</v>
      </c>
      <c r="AE38" s="13">
        <f t="shared" ref="AE38" si="28">INDEX($G$46:$Q$46,1,MATCH(AE37,$G$44:$Q$44,0))</f>
        <v>7.3211564406818752E-3</v>
      </c>
      <c r="AF38" s="13">
        <f t="shared" ref="AF38" si="29">INDEX($G$46:$Q$46,1,MATCH(AF37,$G$44:$Q$44,0))</f>
        <v>7.3211564406818752E-3</v>
      </c>
      <c r="AG38" s="13">
        <f t="shared" ref="AG38" si="30">INDEX($G$46:$Q$46,1,MATCH(AG37,$G$44:$Q$44,0))</f>
        <v>7.3211564406818752E-3</v>
      </c>
      <c r="AH38" s="13">
        <f t="shared" ref="AH38" si="31">INDEX($G$46:$Q$46,1,MATCH(AH37,$G$44:$Q$44,0))</f>
        <v>7.3211564406818752E-3</v>
      </c>
      <c r="AI38" s="13">
        <f t="shared" ref="AI38" si="32">INDEX($G$46:$Q$46,1,MATCH(AI37,$G$44:$Q$44,0))</f>
        <v>6.210929518779329E-3</v>
      </c>
      <c r="AJ38" s="13">
        <f t="shared" ref="AJ38" si="33">INDEX($G$46:$Q$46,1,MATCH(AJ37,$G$44:$Q$44,0))</f>
        <v>6.210929518779329E-3</v>
      </c>
      <c r="AK38" s="13">
        <f t="shared" ref="AK38" si="34">INDEX($G$46:$Q$46,1,MATCH(AK37,$G$44:$Q$44,0))</f>
        <v>6.210929518779329E-3</v>
      </c>
      <c r="AL38" s="13">
        <f t="shared" ref="AL38" si="35">INDEX($G$46:$Q$46,1,MATCH(AL37,$G$44:$Q$44,0))</f>
        <v>6.210929518779329E-3</v>
      </c>
      <c r="AM38" s="13">
        <f t="shared" ref="AM38" si="36">INDEX($G$46:$Q$46,1,MATCH(AM37,$G$44:$Q$44,0))</f>
        <v>6.210929518779329E-3</v>
      </c>
    </row>
    <row r="39" spans="1:39" x14ac:dyDescent="0.25">
      <c r="A39" s="3"/>
      <c r="B39" s="3">
        <v>2013</v>
      </c>
      <c r="C39" s="3">
        <v>2014</v>
      </c>
      <c r="D39" s="3">
        <v>2015</v>
      </c>
      <c r="E39" s="3">
        <v>2016</v>
      </c>
      <c r="F39" s="3">
        <v>2017</v>
      </c>
      <c r="G39" s="3">
        <v>2018</v>
      </c>
      <c r="H39" s="3">
        <v>2019</v>
      </c>
      <c r="I39" s="3">
        <v>2020</v>
      </c>
      <c r="J39" s="3">
        <v>2021</v>
      </c>
      <c r="K39" s="3">
        <v>2022</v>
      </c>
      <c r="L39" s="3">
        <v>2023</v>
      </c>
      <c r="M39" s="3">
        <v>2024</v>
      </c>
      <c r="N39" s="3">
        <v>2025</v>
      </c>
      <c r="O39" s="3">
        <v>2026</v>
      </c>
      <c r="P39" s="3">
        <v>2027</v>
      </c>
      <c r="Q39" s="3">
        <v>2028</v>
      </c>
      <c r="R39" s="3">
        <v>2029</v>
      </c>
      <c r="S39" s="3">
        <v>2030</v>
      </c>
      <c r="T39" s="3">
        <v>2031</v>
      </c>
      <c r="U39" s="3">
        <v>2032</v>
      </c>
      <c r="V39" s="3">
        <v>2033</v>
      </c>
      <c r="W39" s="3">
        <v>2034</v>
      </c>
      <c r="X39" s="3">
        <v>2035</v>
      </c>
      <c r="Y39" s="3">
        <v>2036</v>
      </c>
      <c r="Z39" s="3">
        <v>2037</v>
      </c>
      <c r="AA39">
        <v>2038</v>
      </c>
      <c r="AB39">
        <v>2039</v>
      </c>
      <c r="AC39">
        <v>2040</v>
      </c>
      <c r="AD39">
        <v>2041</v>
      </c>
      <c r="AE39">
        <v>2042</v>
      </c>
      <c r="AF39">
        <v>2043</v>
      </c>
      <c r="AG39">
        <v>2044</v>
      </c>
      <c r="AH39">
        <v>2045</v>
      </c>
      <c r="AI39">
        <v>2046</v>
      </c>
      <c r="AJ39">
        <v>2047</v>
      </c>
      <c r="AK39">
        <v>2048</v>
      </c>
      <c r="AL39">
        <v>2049</v>
      </c>
      <c r="AM39">
        <v>2050</v>
      </c>
    </row>
    <row r="40" spans="1:39" x14ac:dyDescent="0.25">
      <c r="A40" s="9"/>
      <c r="B40" s="6">
        <f>B46</f>
        <v>1.4886710600347186E-2</v>
      </c>
      <c r="C40" s="6">
        <f t="shared" ref="C40:F40" si="37">C46</f>
        <v>1.5214924545611908E-2</v>
      </c>
      <c r="D40" s="6">
        <f t="shared" si="37"/>
        <v>1.5546076584524338E-2</v>
      </c>
      <c r="E40" s="6">
        <f t="shared" si="37"/>
        <v>1.5880204713440094E-2</v>
      </c>
      <c r="F40" s="6">
        <f t="shared" si="37"/>
        <v>1.6217341554197295E-2</v>
      </c>
      <c r="G40" s="6">
        <f>F40+(G36-G38)/(G35-G37)</f>
        <v>1.6202107583807985E-2</v>
      </c>
      <c r="H40" s="6">
        <f t="shared" ref="H40:R40" si="38">G40+(H36-H38)/(H35-H37)</f>
        <v>1.6186873613418674E-2</v>
      </c>
      <c r="I40" s="6">
        <f t="shared" si="38"/>
        <v>1.6171639643029364E-2</v>
      </c>
      <c r="J40" s="6">
        <f t="shared" si="38"/>
        <v>1.5240146085589898E-2</v>
      </c>
      <c r="K40" s="6">
        <f t="shared" si="38"/>
        <v>1.4308652528150431E-2</v>
      </c>
      <c r="L40" s="6">
        <f t="shared" si="38"/>
        <v>1.3377158970710965E-2</v>
      </c>
      <c r="M40" s="6">
        <f t="shared" si="38"/>
        <v>1.2445665413271498E-2</v>
      </c>
      <c r="N40" s="6">
        <f t="shared" si="38"/>
        <v>1.1514171855832032E-2</v>
      </c>
      <c r="O40" s="6">
        <f>N40+(O36-O38)/(O35-O37)</f>
        <v>1.1180627082855474E-2</v>
      </c>
      <c r="P40" s="6">
        <f t="shared" si="38"/>
        <v>1.0847082309878917E-2</v>
      </c>
      <c r="Q40" s="6">
        <f t="shared" si="38"/>
        <v>1.0513537536902359E-2</v>
      </c>
      <c r="R40" s="6">
        <f t="shared" si="38"/>
        <v>1.0179992763925802E-2</v>
      </c>
      <c r="S40" s="6">
        <f>R40+(S36-S38)/(S35-S37)</f>
        <v>9.846447990949244E-3</v>
      </c>
      <c r="T40" s="6">
        <f t="shared" ref="T40:AM40" si="39">S40+(T36-T38)/(T35-T37)</f>
        <v>9.5840127277803736E-3</v>
      </c>
      <c r="U40" s="6">
        <f t="shared" si="39"/>
        <v>9.3215774646115031E-3</v>
      </c>
      <c r="V40" s="6">
        <f t="shared" si="39"/>
        <v>9.0591422014426326E-3</v>
      </c>
      <c r="W40" s="6">
        <f t="shared" si="39"/>
        <v>8.7967069382737621E-3</v>
      </c>
      <c r="X40" s="6">
        <f t="shared" si="39"/>
        <v>8.5342716751048917E-3</v>
      </c>
      <c r="Y40" s="6">
        <f t="shared" si="39"/>
        <v>8.291648628220287E-3</v>
      </c>
      <c r="Z40" s="6">
        <f t="shared" si="39"/>
        <v>8.0490255813356823E-3</v>
      </c>
      <c r="AA40" s="6">
        <f t="shared" si="39"/>
        <v>7.8064025344510776E-3</v>
      </c>
      <c r="AB40" s="6">
        <f t="shared" si="39"/>
        <v>7.5637794875664729E-3</v>
      </c>
      <c r="AC40" s="6">
        <f t="shared" si="39"/>
        <v>7.3211564406818683E-3</v>
      </c>
      <c r="AD40" s="6">
        <f t="shared" si="39"/>
        <v>7.0991110563013594E-3</v>
      </c>
      <c r="AE40" s="6">
        <f t="shared" si="39"/>
        <v>6.8770656719208505E-3</v>
      </c>
      <c r="AF40" s="6">
        <f t="shared" si="39"/>
        <v>6.6550202875403416E-3</v>
      </c>
      <c r="AG40" s="6">
        <f t="shared" si="39"/>
        <v>6.4329749031598327E-3</v>
      </c>
      <c r="AH40" s="6">
        <f t="shared" si="39"/>
        <v>6.2109295187793238E-3</v>
      </c>
      <c r="AI40" s="6">
        <f t="shared" si="39"/>
        <v>5.9897116111574389E-3</v>
      </c>
      <c r="AJ40" s="6">
        <f t="shared" si="39"/>
        <v>5.768493703535554E-3</v>
      </c>
      <c r="AK40" s="6">
        <f t="shared" si="39"/>
        <v>5.5472757959136691E-3</v>
      </c>
      <c r="AL40" s="6">
        <f t="shared" si="39"/>
        <v>5.3260578882917842E-3</v>
      </c>
      <c r="AM40" s="6">
        <f t="shared" si="39"/>
        <v>5.1048399806698994E-3</v>
      </c>
    </row>
    <row r="43" spans="1:39" x14ac:dyDescent="0.25">
      <c r="A43" t="s">
        <v>51</v>
      </c>
      <c r="G43" t="s">
        <v>52</v>
      </c>
      <c r="K43" t="s">
        <v>48</v>
      </c>
      <c r="L43" s="5" t="s">
        <v>49</v>
      </c>
      <c r="S43" t="s">
        <v>50</v>
      </c>
    </row>
    <row r="44" spans="1:39" x14ac:dyDescent="0.25">
      <c r="A44" s="8">
        <v>2012</v>
      </c>
      <c r="B44" s="8">
        <f>A44+1</f>
        <v>2013</v>
      </c>
      <c r="C44" s="8">
        <f t="shared" ref="C44:F44" si="40">B44+1</f>
        <v>2014</v>
      </c>
      <c r="D44" s="8">
        <f t="shared" si="40"/>
        <v>2015</v>
      </c>
      <c r="E44" s="8">
        <f t="shared" si="40"/>
        <v>2016</v>
      </c>
      <c r="F44" s="8">
        <f t="shared" si="40"/>
        <v>2017</v>
      </c>
      <c r="G44" s="7">
        <v>2020</v>
      </c>
      <c r="H44" s="7">
        <v>2025</v>
      </c>
      <c r="I44" s="7">
        <v>2030</v>
      </c>
      <c r="J44" s="7">
        <v>2035</v>
      </c>
      <c r="K44" s="7">
        <v>2040</v>
      </c>
      <c r="L44" s="7">
        <v>2045</v>
      </c>
      <c r="M44" s="7">
        <v>2050</v>
      </c>
      <c r="N44" s="7">
        <v>2055</v>
      </c>
      <c r="O44" s="7">
        <v>2060</v>
      </c>
      <c r="P44" s="7">
        <v>2065</v>
      </c>
      <c r="Q44" s="7">
        <v>2070</v>
      </c>
    </row>
    <row r="45" spans="1:39" x14ac:dyDescent="0.25">
      <c r="A45" s="11">
        <v>52325.432882070083</v>
      </c>
      <c r="B45" s="11">
        <v>53104.386458423345</v>
      </c>
      <c r="C45" s="11">
        <v>53912.365691429273</v>
      </c>
      <c r="D45" s="11">
        <v>54750.491457321114</v>
      </c>
      <c r="E45" s="11">
        <v>55619.940469824825</v>
      </c>
      <c r="F45" s="11">
        <v>56521.948041648095</v>
      </c>
      <c r="G45" s="10">
        <v>59308.69</v>
      </c>
      <c r="H45" s="10">
        <v>62802.682000000001</v>
      </c>
      <c r="I45" s="10">
        <v>65956.09</v>
      </c>
      <c r="J45" s="10">
        <v>68818.975999999995</v>
      </c>
      <c r="K45" s="10">
        <v>71375.305999999997</v>
      </c>
      <c r="L45" s="10">
        <v>73619.546000000002</v>
      </c>
      <c r="M45" s="10">
        <v>75517.909</v>
      </c>
      <c r="N45" s="10">
        <v>77034.739000000001</v>
      </c>
      <c r="O45" s="10">
        <v>78172.047999999995</v>
      </c>
      <c r="P45" s="10">
        <v>78973.285999999993</v>
      </c>
      <c r="Q45" s="10">
        <v>79498.839000000007</v>
      </c>
    </row>
    <row r="46" spans="1:39" x14ac:dyDescent="0.25">
      <c r="B46" s="6">
        <f>B45/A45-1</f>
        <v>1.4886710600347186E-2</v>
      </c>
      <c r="C46" s="6">
        <f t="shared" ref="C46:F46" si="41">C45/B45-1</f>
        <v>1.5214924545611908E-2</v>
      </c>
      <c r="D46" s="6">
        <f t="shared" si="41"/>
        <v>1.5546076584524338E-2</v>
      </c>
      <c r="E46" s="6">
        <f t="shared" si="41"/>
        <v>1.5880204713440094E-2</v>
      </c>
      <c r="F46" s="6">
        <f t="shared" si="41"/>
        <v>1.6217341554197295E-2</v>
      </c>
      <c r="G46" s="6">
        <f>(G45/F45)^(1/3)-1</f>
        <v>1.6171639643029367E-2</v>
      </c>
      <c r="H46" s="6">
        <f>(H45/G45)^(1/5)-1</f>
        <v>1.1514171855832034E-2</v>
      </c>
      <c r="I46" s="6">
        <f t="shared" ref="I46:Q46" si="42">(I45/H45)^(1/5)-1</f>
        <v>9.8464479909492475E-3</v>
      </c>
      <c r="J46" s="6">
        <f t="shared" si="42"/>
        <v>8.5342716751048986E-3</v>
      </c>
      <c r="K46" s="6">
        <f t="shared" si="42"/>
        <v>7.3211564406818752E-3</v>
      </c>
      <c r="L46" s="6">
        <f t="shared" si="42"/>
        <v>6.210929518779329E-3</v>
      </c>
      <c r="M46" s="6">
        <f t="shared" si="42"/>
        <v>5.1048399806699063E-3</v>
      </c>
      <c r="N46" s="6">
        <f t="shared" si="42"/>
        <v>3.9852485744564792E-3</v>
      </c>
      <c r="O46" s="6">
        <f t="shared" si="42"/>
        <v>2.9354330188284816E-3</v>
      </c>
      <c r="P46" s="6">
        <f t="shared" si="42"/>
        <v>2.0415816324019787E-3</v>
      </c>
      <c r="Q46" s="6">
        <f t="shared" si="42"/>
        <v>1.3274351427250419E-3</v>
      </c>
    </row>
    <row r="49" spans="1:42" ht="18" thickBot="1" x14ac:dyDescent="0.35">
      <c r="A49" s="4" t="s">
        <v>68</v>
      </c>
      <c r="B49" s="4"/>
      <c r="C49" s="4"/>
      <c r="D49" s="4"/>
      <c r="E49" s="4"/>
      <c r="F49" s="4"/>
      <c r="G49" s="4"/>
      <c r="H49" s="4"/>
    </row>
    <row r="50" spans="1:42" ht="15.75" thickTop="1" x14ac:dyDescent="0.25">
      <c r="B50" s="3">
        <v>2012</v>
      </c>
      <c r="C50" s="3">
        <v>2013</v>
      </c>
      <c r="D50" s="3">
        <v>2014</v>
      </c>
      <c r="E50" s="3">
        <v>2015</v>
      </c>
      <c r="F50" s="3">
        <v>2016</v>
      </c>
      <c r="G50" s="3">
        <v>2017</v>
      </c>
      <c r="H50" s="3">
        <v>2018</v>
      </c>
      <c r="I50" s="3">
        <v>2019</v>
      </c>
      <c r="J50" s="3">
        <v>2020</v>
      </c>
      <c r="K50" s="3">
        <v>2021</v>
      </c>
      <c r="L50" s="3">
        <v>2022</v>
      </c>
      <c r="M50" s="3">
        <v>2023</v>
      </c>
      <c r="N50" s="3">
        <v>2024</v>
      </c>
      <c r="O50" s="3">
        <v>2025</v>
      </c>
      <c r="P50" s="3">
        <v>2026</v>
      </c>
      <c r="Q50" s="3">
        <v>2027</v>
      </c>
      <c r="R50" s="3">
        <v>2028</v>
      </c>
      <c r="S50" s="3">
        <v>2029</v>
      </c>
      <c r="T50" s="3">
        <v>2030</v>
      </c>
      <c r="U50" s="3">
        <v>2031</v>
      </c>
      <c r="V50" s="3">
        <v>2032</v>
      </c>
      <c r="W50" s="3">
        <v>2033</v>
      </c>
      <c r="X50" s="3">
        <v>2034</v>
      </c>
      <c r="Y50" s="3">
        <v>2035</v>
      </c>
      <c r="Z50" s="3">
        <v>2036</v>
      </c>
      <c r="AA50" s="3">
        <v>2037</v>
      </c>
      <c r="AB50" s="3">
        <v>2038</v>
      </c>
      <c r="AC50">
        <v>2039</v>
      </c>
      <c r="AD50">
        <v>2040</v>
      </c>
      <c r="AE50">
        <v>2041</v>
      </c>
      <c r="AF50">
        <v>2042</v>
      </c>
      <c r="AG50">
        <v>2043</v>
      </c>
      <c r="AH50">
        <v>2044</v>
      </c>
      <c r="AI50">
        <v>2045</v>
      </c>
      <c r="AJ50">
        <v>2046</v>
      </c>
      <c r="AK50">
        <v>2047</v>
      </c>
      <c r="AL50">
        <v>2048</v>
      </c>
      <c r="AM50">
        <v>2049</v>
      </c>
      <c r="AN50">
        <v>2050</v>
      </c>
    </row>
    <row r="51" spans="1:42" x14ac:dyDescent="0.25">
      <c r="A51" s="3" t="s">
        <v>54</v>
      </c>
      <c r="B51" s="12">
        <f>IF($C$3="CGE",GDP_CGE!B25,GDP_Simple!B35)</f>
        <v>0.5</v>
      </c>
      <c r="C51" s="12">
        <f>IF($C$3="CGE",GDP_CGE!C25,GDP_Simple!C35)</f>
        <v>0.49195171026156947</v>
      </c>
      <c r="D51" s="12">
        <f>IF($C$3="CGE",GDP_CGE!D25,GDP_Simple!D35)</f>
        <v>0.47874493927125505</v>
      </c>
      <c r="E51" s="12">
        <f>IF($C$3="CGE",GDP_CGE!E25,GDP_Simple!E35)</f>
        <v>0.46897253306205494</v>
      </c>
      <c r="F51" s="12">
        <f>IF($C$3="CGE",GDP_CGE!F25,GDP_Simple!F35)</f>
        <v>0.46311475409836067</v>
      </c>
      <c r="G51" s="12">
        <f>IF($C$3="CGE",GDP_CGE!G25,GDP_Simple!G35)</f>
        <v>0.4556701030927835</v>
      </c>
      <c r="H51" s="12">
        <f>IF($C$3="CGE",GDP_CGE!H25,GDP_Simple!H35)</f>
        <v>0.44755970924195226</v>
      </c>
      <c r="I51" s="12">
        <f>IF($C$3="CGE",GDP_CGE!I25,GDP_Simple!I35)</f>
        <v>0.44456066945606693</v>
      </c>
      <c r="J51" s="12">
        <f>IF($C$3="CGE",GDP_CGE!J25,GDP_Simple!J35)</f>
        <v>0.45521601685985247</v>
      </c>
      <c r="K51" s="12">
        <f>IF($C$3="CGE",GDP_CGE!K25,GDP_Simple!K35)</f>
        <v>0.46331668558690731</v>
      </c>
      <c r="L51" s="12">
        <f>IF($C$3="CGE",GDP_CGE!L25,GDP_Simple!L35)</f>
        <v>0.43950622644182569</v>
      </c>
      <c r="M51" s="12">
        <f>IF($C$3="CGE",GDP_CGE!M25,GDP_Simple!M35)</f>
        <v>0.41755497064164165</v>
      </c>
      <c r="N51" s="12">
        <f>IF($C$3="CGE",GDP_CGE!N25,GDP_Simple!N35)</f>
        <v>0.39531788525967493</v>
      </c>
      <c r="O51" s="12">
        <f>IF($C$3="CGE",GDP_CGE!O25,GDP_Simple!O35)</f>
        <v>0.37273475076904922</v>
      </c>
      <c r="P51" s="12">
        <f>IF($C$3="CGE",GDP_CGE!P25,GDP_Simple!P35)</f>
        <v>0.35240700392161667</v>
      </c>
      <c r="Q51" s="12">
        <f>IF($C$3="CGE",GDP_CGE!Q25,GDP_Simple!Q35)</f>
        <v>0.33198186505318855</v>
      </c>
      <c r="R51" s="12">
        <f>IF($C$3="CGE",GDP_CGE!R25,GDP_Simple!R35)</f>
        <v>0.31232480742341773</v>
      </c>
      <c r="S51" s="12">
        <f>IF($C$3="CGE",GDP_CGE!S25,GDP_Simple!S35)</f>
        <v>0.29341187202135643</v>
      </c>
      <c r="T51" s="12">
        <f>IF($C$3="CGE",GDP_CGE!T25,GDP_Simple!T35)</f>
        <v>0.27489964981477283</v>
      </c>
      <c r="U51" s="12">
        <f>IF($C$3="CGE",GDP_CGE!U25,GDP_Simple!U35)</f>
        <v>0.25852155997082432</v>
      </c>
      <c r="V51" s="12">
        <f>IF($C$3="CGE",GDP_CGE!V25,GDP_Simple!V35)</f>
        <v>0.24287842967917583</v>
      </c>
      <c r="W51" s="12">
        <f>IF($C$3="CGE",GDP_CGE!W25,GDP_Simple!W35)</f>
        <v>0.22797561718163545</v>
      </c>
      <c r="X51" s="12">
        <f>IF($C$3="CGE",GDP_CGE!X25,GDP_Simple!X35)</f>
        <v>0.21376027140033943</v>
      </c>
      <c r="Y51" s="12">
        <f>IF($C$3="CGE",GDP_CGE!Y25,GDP_Simple!Y35)</f>
        <v>0.19982505356561586</v>
      </c>
      <c r="Z51" s="12">
        <f>IF($C$3="CGE",GDP_CGE!Z25,GDP_Simple!Z35)</f>
        <v>0.1881405799733783</v>
      </c>
      <c r="AA51" s="12">
        <f>IF($C$3="CGE",GDP_CGE!AA25,GDP_Simple!AA35)</f>
        <v>0.17657463727863226</v>
      </c>
      <c r="AB51" s="12">
        <f>IF($C$3="CGE",GDP_CGE!AB25,GDP_Simple!AB35)</f>
        <v>0.16560266484509373</v>
      </c>
      <c r="AC51" s="12">
        <f>IF($C$3="CGE",GDP_CGE!AC25,GDP_Simple!AC35)</f>
        <v>0.15541325102585446</v>
      </c>
      <c r="AD51" s="12">
        <f>IF($C$3="CGE",GDP_CGE!AD25,GDP_Simple!AD35)</f>
        <v>0.14557843741325166</v>
      </c>
      <c r="AE51" s="12">
        <f>IF($C$3="CGE",GDP_CGE!AE25,GDP_Simple!AE35)</f>
        <v>0.13735023113905231</v>
      </c>
      <c r="AF51" s="12">
        <f>IF($C$3="CGE",GDP_CGE!AF25,GDP_Simple!AF35)</f>
        <v>0.12962280760131445</v>
      </c>
      <c r="AG51" s="12">
        <f>IF($C$3="CGE",GDP_CGE!AG25,GDP_Simple!AG35)</f>
        <v>0.12225101678580558</v>
      </c>
      <c r="AH51" s="12">
        <f>IF($C$3="CGE",GDP_CGE!AH25,GDP_Simple!AH35)</f>
        <v>0.11519809208461268</v>
      </c>
      <c r="AI51" s="12">
        <f>IF($C$3="CGE",GDP_CGE!AI25,GDP_Simple!AI35)</f>
        <v>0.10842452729022672</v>
      </c>
      <c r="AJ51" s="12">
        <f>IF($C$3="CGE",GDP_CGE!AJ25,GDP_Simple!AJ35)</f>
        <v>0.10286681901533012</v>
      </c>
      <c r="AK51" s="12">
        <f>IF($C$3="CGE",GDP_CGE!AK25,GDP_Simple!AK35)</f>
        <v>9.7658816406466842E-2</v>
      </c>
      <c r="AL51" s="12">
        <f>IF($C$3="CGE",GDP_CGE!AL25,GDP_Simple!AL35)</f>
        <v>9.2671299632086035E-2</v>
      </c>
      <c r="AM51" s="12">
        <f>IF($C$3="CGE",GDP_CGE!AM25,GDP_Simple!AM35)</f>
        <v>8.78877433069854E-2</v>
      </c>
      <c r="AN51" s="12">
        <f>IF($C$3="CGE",GDP_CGE!AN25,GDP_Simple!AN35)</f>
        <v>8.330105002578575E-2</v>
      </c>
    </row>
    <row r="52" spans="1:42" x14ac:dyDescent="0.25">
      <c r="A52" s="3" t="s">
        <v>55</v>
      </c>
      <c r="B52" s="12">
        <f>IF($C$3="CGE",GDP_CGE!B26,GDP_Simple!B36)</f>
        <v>0.3</v>
      </c>
      <c r="C52" s="12">
        <f>IF($C$3="CGE",GDP_CGE!C26,GDP_Simple!C36)</f>
        <v>0.29577464788732394</v>
      </c>
      <c r="D52" s="12">
        <f>IF($C$3="CGE",GDP_CGE!D26,GDP_Simple!D36)</f>
        <v>0.30060728744939269</v>
      </c>
      <c r="E52" s="12">
        <f>IF($C$3="CGE",GDP_CGE!E26,GDP_Simple!E36)</f>
        <v>0.3041709053916582</v>
      </c>
      <c r="F52" s="12">
        <f>IF($C$3="CGE",GDP_CGE!F26,GDP_Simple!F36)</f>
        <v>0.30737704918032788</v>
      </c>
      <c r="G52" s="12">
        <f>IF($C$3="CGE",GDP_CGE!G26,GDP_Simple!G36)</f>
        <v>0.30824742268041239</v>
      </c>
      <c r="H52" s="12">
        <f>IF($C$3="CGE",GDP_CGE!H26,GDP_Simple!H36)</f>
        <v>0.3115264797507788</v>
      </c>
      <c r="I52" s="12">
        <f>IF($C$3="CGE",GDP_CGE!I26,GDP_Simple!I36)</f>
        <v>0.31485355648535562</v>
      </c>
      <c r="J52" s="12">
        <f>IF($C$3="CGE",GDP_CGE!J26,GDP_Simple!J36)</f>
        <v>0.32560590094836672</v>
      </c>
      <c r="K52" s="12">
        <f>IF($C$3="CGE",GDP_CGE!K26,GDP_Simple!K36)</f>
        <v>0.30695285688881768</v>
      </c>
      <c r="L52" s="12">
        <f>IF($C$3="CGE",GDP_CGE!L26,GDP_Simple!L36)</f>
        <v>0.31870418677079881</v>
      </c>
      <c r="M52" s="12">
        <f>IF($C$3="CGE",GDP_CGE!M26,GDP_Simple!M36)</f>
        <v>0.32796842703151902</v>
      </c>
      <c r="N52" s="12">
        <f>IF($C$3="CGE",GDP_CGE!N26,GDP_Simple!N36)</f>
        <v>0.3367202545416651</v>
      </c>
      <c r="O52" s="12">
        <f>IF($C$3="CGE",GDP_CGE!O26,GDP_Simple!O36)</f>
        <v>0.34605264527354018</v>
      </c>
      <c r="P52" s="12">
        <f>IF($C$3="CGE",GDP_CGE!P26,GDP_Simple!P36)</f>
        <v>0.35283887412727355</v>
      </c>
      <c r="Q52" s="12">
        <f>IF($C$3="CGE",GDP_CGE!Q26,GDP_Simple!Q36)</f>
        <v>0.36014458590349308</v>
      </c>
      <c r="R52" s="12">
        <f>IF($C$3="CGE",GDP_CGE!R26,GDP_Simple!R36)</f>
        <v>0.36695050242240257</v>
      </c>
      <c r="S52" s="12">
        <f>IF($C$3="CGE",GDP_CGE!S26,GDP_Simple!S36)</f>
        <v>0.37298696792379721</v>
      </c>
      <c r="T52" s="12">
        <f>IF($C$3="CGE",GDP_CGE!T26,GDP_Simple!T36)</f>
        <v>0.37955591527005661</v>
      </c>
      <c r="U52" s="12">
        <f>IF($C$3="CGE",GDP_CGE!U26,GDP_Simple!U36)</f>
        <v>0.38441895495928602</v>
      </c>
      <c r="V52" s="12">
        <f>IF($C$3="CGE",GDP_CGE!V26,GDP_Simple!V36)</f>
        <v>0.38922947167731137</v>
      </c>
      <c r="W52" s="12">
        <f>IF($C$3="CGE",GDP_CGE!W26,GDP_Simple!W36)</f>
        <v>0.39370730822489686</v>
      </c>
      <c r="X52" s="12">
        <f>IF($C$3="CGE",GDP_CGE!X26,GDP_Simple!X36)</f>
        <v>0.39794498771513898</v>
      </c>
      <c r="Y52" s="12">
        <f>IF($C$3="CGE",GDP_CGE!Y26,GDP_Simple!Y36)</f>
        <v>0.40241942117297608</v>
      </c>
      <c r="Z52" s="12">
        <f>IF($C$3="CGE",GDP_CGE!Z26,GDP_Simple!Z36)</f>
        <v>0.40517045558508452</v>
      </c>
      <c r="AA52" s="12">
        <f>IF($C$3="CGE",GDP_CGE!AA26,GDP_Simple!AA36)</f>
        <v>0.40752537916382414</v>
      </c>
      <c r="AB52" s="12">
        <f>IF($C$3="CGE",GDP_CGE!AB26,GDP_Simple!AB36)</f>
        <v>0.41022742356468705</v>
      </c>
      <c r="AC52" s="12">
        <f>IF($C$3="CGE",GDP_CGE!AC26,GDP_Simple!AC36)</f>
        <v>0.41245642036809138</v>
      </c>
      <c r="AD52" s="12">
        <f>IF($C$3="CGE",GDP_CGE!AD26,GDP_Simple!AD36)</f>
        <v>0.41462131597911556</v>
      </c>
      <c r="AE52" s="12">
        <f>IF($C$3="CGE",GDP_CGE!AE26,GDP_Simple!AE36)</f>
        <v>0.41589703185435323</v>
      </c>
      <c r="AF52" s="12">
        <f>IF($C$3="CGE",GDP_CGE!AF26,GDP_Simple!AF36)</f>
        <v>0.41691856843403019</v>
      </c>
      <c r="AG52" s="12">
        <f>IF($C$3="CGE",GDP_CGE!AG26,GDP_Simple!AG36)</f>
        <v>0.41780551049292119</v>
      </c>
      <c r="AH52" s="12">
        <f>IF($C$3="CGE",GDP_CGE!AH26,GDP_Simple!AH36)</f>
        <v>0.41859350721393634</v>
      </c>
      <c r="AI52" s="12">
        <f>IF($C$3="CGE",GDP_CGE!AI26,GDP_Simple!AI36)</f>
        <v>0.41930662489279935</v>
      </c>
      <c r="AJ52" s="12">
        <f>IF($C$3="CGE",GDP_CGE!AJ26,GDP_Simple!AJ36)</f>
        <v>0.41941163469291221</v>
      </c>
      <c r="AK52" s="12">
        <f>IF($C$3="CGE",GDP_CGE!AK26,GDP_Simple!AK36)</f>
        <v>0.41933407827109515</v>
      </c>
      <c r="AL52" s="12">
        <f>IF($C$3="CGE",GDP_CGE!AL26,GDP_Simple!AL36)</f>
        <v>0.41917825134529846</v>
      </c>
      <c r="AM52" s="12">
        <f>IF($C$3="CGE",GDP_CGE!AM26,GDP_Simple!AM36)</f>
        <v>0.41894715556474332</v>
      </c>
      <c r="AN52" s="12">
        <f>IF($C$3="CGE",GDP_CGE!AN26,GDP_Simple!AN36)</f>
        <v>0.41865258328248606</v>
      </c>
    </row>
    <row r="53" spans="1:42" x14ac:dyDescent="0.25">
      <c r="A53" s="3" t="s">
        <v>56</v>
      </c>
      <c r="B53" s="12">
        <f>IF($C$3="CGE",GDP_CGE!B27,GDP_Simple!B37)</f>
        <v>0.2</v>
      </c>
      <c r="C53" s="12">
        <f>IF($C$3="CGE",GDP_CGE!C27,GDP_Simple!C37)</f>
        <v>0.21227364185110667</v>
      </c>
      <c r="D53" s="12">
        <f>IF($C$3="CGE",GDP_CGE!D27,GDP_Simple!D37)</f>
        <v>0.22064777327935223</v>
      </c>
      <c r="E53" s="12">
        <f>IF($C$3="CGE",GDP_CGE!E27,GDP_Simple!E37)</f>
        <v>0.22685656154628689</v>
      </c>
      <c r="F53" s="12">
        <f>IF($C$3="CGE",GDP_CGE!F27,GDP_Simple!F37)</f>
        <v>0.22950819672131148</v>
      </c>
      <c r="G53" s="12">
        <f>IF($C$3="CGE",GDP_CGE!G27,GDP_Simple!G37)</f>
        <v>0.23608247422680415</v>
      </c>
      <c r="H53" s="12">
        <f>IF($C$3="CGE",GDP_CGE!H27,GDP_Simple!H37)</f>
        <v>0.24091381100726897</v>
      </c>
      <c r="I53" s="12">
        <f>IF($C$3="CGE",GDP_CGE!I27,GDP_Simple!I37)</f>
        <v>0.24058577405857742</v>
      </c>
      <c r="J53" s="12">
        <f>IF($C$3="CGE",GDP_CGE!J27,GDP_Simple!J37)</f>
        <v>0.21917808219178081</v>
      </c>
      <c r="K53" s="12">
        <f>IF($C$3="CGE",GDP_CGE!K27,GDP_Simple!K37)</f>
        <v>0.22973045752427501</v>
      </c>
      <c r="L53" s="12">
        <f>IF($C$3="CGE",GDP_CGE!L27,GDP_Simple!L37)</f>
        <v>0.2417895867873755</v>
      </c>
      <c r="M53" s="12">
        <f>IF($C$3="CGE",GDP_CGE!M27,GDP_Simple!M37)</f>
        <v>0.25447660232683927</v>
      </c>
      <c r="N53" s="12">
        <f>IF($C$3="CGE",GDP_CGE!N27,GDP_Simple!N37)</f>
        <v>0.26796186019865997</v>
      </c>
      <c r="O53" s="12">
        <f>IF($C$3="CGE",GDP_CGE!O27,GDP_Simple!O37)</f>
        <v>0.2812126039574106</v>
      </c>
      <c r="P53" s="12">
        <f>IF($C$3="CGE",GDP_CGE!P27,GDP_Simple!P37)</f>
        <v>0.29475412195110978</v>
      </c>
      <c r="Q53" s="12">
        <f>IF($C$3="CGE",GDP_CGE!Q27,GDP_Simple!Q37)</f>
        <v>0.30787354904331837</v>
      </c>
      <c r="R53" s="12">
        <f>IF($C$3="CGE",GDP_CGE!R27,GDP_Simple!R37)</f>
        <v>0.3207246901541797</v>
      </c>
      <c r="S53" s="12">
        <f>IF($C$3="CGE",GDP_CGE!S27,GDP_Simple!S37)</f>
        <v>0.33360116005484641</v>
      </c>
      <c r="T53" s="12">
        <f>IF($C$3="CGE",GDP_CGE!T27,GDP_Simple!T37)</f>
        <v>0.34554443491517056</v>
      </c>
      <c r="U53" s="12">
        <f>IF($C$3="CGE",GDP_CGE!U27,GDP_Simple!U37)</f>
        <v>0.35705948506988966</v>
      </c>
      <c r="V53" s="12">
        <f>IF($C$3="CGE",GDP_CGE!V27,GDP_Simple!V37)</f>
        <v>0.3678920986435128</v>
      </c>
      <c r="W53" s="12">
        <f>IF($C$3="CGE",GDP_CGE!W27,GDP_Simple!W37)</f>
        <v>0.37831707459346769</v>
      </c>
      <c r="X53" s="12">
        <f>IF($C$3="CGE",GDP_CGE!X27,GDP_Simple!X37)</f>
        <v>0.38829474088452159</v>
      </c>
      <c r="Y53" s="12">
        <f>IF($C$3="CGE",GDP_CGE!Y27,GDP_Simple!Y37)</f>
        <v>0.39775552526140801</v>
      </c>
      <c r="Z53" s="12">
        <f>IF($C$3="CGE",GDP_CGE!Z27,GDP_Simple!Z37)</f>
        <v>0.40668896444153713</v>
      </c>
      <c r="AA53" s="12">
        <f>IF($C$3="CGE",GDP_CGE!AA27,GDP_Simple!AA37)</f>
        <v>0.4158999835575436</v>
      </c>
      <c r="AB53" s="12">
        <f>IF($C$3="CGE",GDP_CGE!AB27,GDP_Simple!AB37)</f>
        <v>0.42416991159021927</v>
      </c>
      <c r="AC53" s="12">
        <f>IF($C$3="CGE",GDP_CGE!AC27,GDP_Simple!AC37)</f>
        <v>0.43213032860605416</v>
      </c>
      <c r="AD53" s="12">
        <f>IF($C$3="CGE",GDP_CGE!AD27,GDP_Simple!AD37)</f>
        <v>0.43980024660763278</v>
      </c>
      <c r="AE53" s="12">
        <f>IF($C$3="CGE",GDP_CGE!AE27,GDP_Simple!AE37)</f>
        <v>0.44675273700659446</v>
      </c>
      <c r="AF53" s="12">
        <f>IF($C$3="CGE",GDP_CGE!AF27,GDP_Simple!AF37)</f>
        <v>0.45345862396465536</v>
      </c>
      <c r="AG53" s="12">
        <f>IF($C$3="CGE",GDP_CGE!AG27,GDP_Simple!AG37)</f>
        <v>0.45994347272127317</v>
      </c>
      <c r="AH53" s="12">
        <f>IF($C$3="CGE",GDP_CGE!AH27,GDP_Simple!AH37)</f>
        <v>0.46620840070145092</v>
      </c>
      <c r="AI53" s="12">
        <f>IF($C$3="CGE",GDP_CGE!AI27,GDP_Simple!AI37)</f>
        <v>0.47226884781697392</v>
      </c>
      <c r="AJ53" s="12">
        <f>IF($C$3="CGE",GDP_CGE!AJ27,GDP_Simple!AJ37)</f>
        <v>0.47772154629175767</v>
      </c>
      <c r="AK53" s="12">
        <f>IF($C$3="CGE",GDP_CGE!AK27,GDP_Simple!AK37)</f>
        <v>0.48300710532243801</v>
      </c>
      <c r="AL53" s="12">
        <f>IF($C$3="CGE",GDP_CGE!AL27,GDP_Simple!AL37)</f>
        <v>0.48815044902261556</v>
      </c>
      <c r="AM53" s="12">
        <f>IF($C$3="CGE",GDP_CGE!AM27,GDP_Simple!AM37)</f>
        <v>0.49316510112827133</v>
      </c>
      <c r="AN53" s="12">
        <f>IF($C$3="CGE",GDP_CGE!AN27,GDP_Simple!AN37)</f>
        <v>0.49804636669172814</v>
      </c>
    </row>
    <row r="54" spans="1:42" x14ac:dyDescent="0.25">
      <c r="A54" s="3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6" spans="1:42" ht="18" thickBot="1" x14ac:dyDescent="0.35">
      <c r="A56" s="4" t="s">
        <v>69</v>
      </c>
      <c r="B56" s="4"/>
      <c r="C56" s="4"/>
      <c r="D56" s="4"/>
      <c r="E56" s="4"/>
      <c r="F56" s="4"/>
      <c r="G56" s="4"/>
      <c r="H56" s="4"/>
    </row>
    <row r="57" spans="1:42" ht="15.75" thickTop="1" x14ac:dyDescent="0.25">
      <c r="A57" s="3">
        <v>2012</v>
      </c>
      <c r="B57" s="3">
        <v>2013</v>
      </c>
      <c r="C57" s="3">
        <v>2014</v>
      </c>
      <c r="D57" s="3">
        <v>2015</v>
      </c>
      <c r="E57" s="3">
        <v>2016</v>
      </c>
      <c r="F57" s="3">
        <v>2017</v>
      </c>
      <c r="G57" s="3">
        <v>2018</v>
      </c>
      <c r="H57" s="3">
        <v>2019</v>
      </c>
      <c r="I57" s="3">
        <v>2020</v>
      </c>
      <c r="J57" s="3">
        <v>2021</v>
      </c>
      <c r="K57" s="3">
        <v>2022</v>
      </c>
      <c r="L57" s="3">
        <v>2023</v>
      </c>
      <c r="M57" s="3">
        <v>2024</v>
      </c>
      <c r="N57" s="3">
        <v>2025</v>
      </c>
      <c r="O57" s="3">
        <v>2026</v>
      </c>
      <c r="P57" s="3">
        <v>2027</v>
      </c>
      <c r="Q57" s="3">
        <v>2028</v>
      </c>
      <c r="R57" s="3">
        <v>2029</v>
      </c>
      <c r="S57" s="3">
        <v>2030</v>
      </c>
      <c r="T57" s="3">
        <v>2031</v>
      </c>
      <c r="U57" s="3">
        <v>2032</v>
      </c>
      <c r="V57" s="3">
        <v>2033</v>
      </c>
      <c r="W57" s="3">
        <v>2034</v>
      </c>
      <c r="X57" s="3">
        <v>2035</v>
      </c>
      <c r="Y57" s="3">
        <v>2036</v>
      </c>
      <c r="Z57">
        <v>2037</v>
      </c>
      <c r="AA57">
        <v>2038</v>
      </c>
      <c r="AB57">
        <v>2039</v>
      </c>
      <c r="AC57">
        <v>2040</v>
      </c>
      <c r="AD57">
        <v>2041</v>
      </c>
      <c r="AE57">
        <v>2042</v>
      </c>
      <c r="AF57">
        <v>2043</v>
      </c>
      <c r="AG57">
        <v>2044</v>
      </c>
      <c r="AH57">
        <v>2045</v>
      </c>
      <c r="AI57">
        <v>2046</v>
      </c>
      <c r="AJ57">
        <v>2047</v>
      </c>
      <c r="AK57">
        <v>2048</v>
      </c>
      <c r="AL57">
        <v>2049</v>
      </c>
      <c r="AM57">
        <v>2050</v>
      </c>
    </row>
    <row r="58" spans="1:42" x14ac:dyDescent="0.25">
      <c r="A58" s="12">
        <f>IF($C$3="CGE",GDP_CGE!A32,GDP_Simple!A42)</f>
        <v>0.30159999999999998</v>
      </c>
      <c r="B58" s="12">
        <f>IF($C$3="CGE",GDP_CGE!B32,GDP_Simple!B42)</f>
        <v>0.31040000000000001</v>
      </c>
      <c r="C58" s="12">
        <f>IF($C$3="CGE",GDP_CGE!C32,GDP_Simple!C42)</f>
        <v>0.31530000000000002</v>
      </c>
      <c r="D58" s="12">
        <f>IF($C$3="CGE",GDP_CGE!D32,GDP_Simple!D42)</f>
        <v>0.31869999999999998</v>
      </c>
      <c r="E58" s="12">
        <f>IF($C$3="CGE",GDP_CGE!E32,GDP_Simple!E42)</f>
        <v>0.31979999999999997</v>
      </c>
      <c r="F58" s="12">
        <f>IF($C$3="CGE",GDP_CGE!F32,GDP_Simple!F42)</f>
        <v>0.3246</v>
      </c>
      <c r="G58" s="12">
        <f>IF($C$3="CGE",GDP_CGE!G32,GDP_Simple!G42)</f>
        <v>0.3276</v>
      </c>
      <c r="H58" s="12">
        <f>IF($C$3="CGE",GDP_CGE!H32,GDP_Simple!H42)</f>
        <v>0.32619999999999999</v>
      </c>
      <c r="I58" s="12">
        <f>IF($C$3="CGE",GDP_CGE!I32,GDP_Simple!I42)</f>
        <v>0.2994</v>
      </c>
      <c r="J58" s="12">
        <f>IF($C$3="CGE",GDP_CGE!J32,GDP_Simple!J42)</f>
        <v>0.31908756999762528</v>
      </c>
      <c r="K58" s="12">
        <f>IF($C$3="CGE",GDP_CGE!K32,GDP_Simple!K42)</f>
        <v>0.3374095802387328</v>
      </c>
      <c r="L58" s="12">
        <f>IF($C$3="CGE",GDP_CGE!L32,GDP_Simple!L42)</f>
        <v>0.34982862029200112</v>
      </c>
      <c r="M58" s="12">
        <f>IF($C$3="CGE",GDP_CGE!M32,GDP_Simple!M42)</f>
        <v>0.36394178264347127</v>
      </c>
      <c r="N58" s="12">
        <f>IF($C$3="CGE",GDP_CGE!N32,GDP_Simple!N42)</f>
        <v>0.37957250195349712</v>
      </c>
      <c r="O58" s="12">
        <f>IF($C$3="CGE",GDP_CGE!O32,GDP_Simple!O42)</f>
        <v>0.3956860221852927</v>
      </c>
      <c r="P58" s="12">
        <f>IF($C$3="CGE",GDP_CGE!P32,GDP_Simple!P42)</f>
        <v>0.41260443864438567</v>
      </c>
      <c r="Q58" s="12">
        <f>IF($C$3="CGE",GDP_CGE!Q32,GDP_Simple!Q42)</f>
        <v>0.42981703612981137</v>
      </c>
      <c r="R58" s="12">
        <f>IF($C$3="CGE",GDP_CGE!R32,GDP_Simple!R42)</f>
        <v>0.4947443512713115</v>
      </c>
      <c r="S58" s="12">
        <f>IF($C$3="CGE",GDP_CGE!S32,GDP_Simple!S42)</f>
        <v>0.5167576932929373</v>
      </c>
      <c r="T58" s="12">
        <f>IF($C$3="CGE",GDP_CGE!T32,GDP_Simple!T42)</f>
        <v>0.53690329464423669</v>
      </c>
      <c r="U58" s="12">
        <f>IF($C$3="CGE",GDP_CGE!U32,GDP_Simple!U42)</f>
        <v>0.55895801991966088</v>
      </c>
      <c r="V58" s="12">
        <f>IF($C$3="CGE",GDP_CGE!V32,GDP_Simple!V42)</f>
        <v>0.58114647027727317</v>
      </c>
      <c r="W58" s="12">
        <f>IF($C$3="CGE",GDP_CGE!W32,GDP_Simple!W42)</f>
        <v>0.60401746825188807</v>
      </c>
      <c r="X58" s="12">
        <f>IF($C$3="CGE",GDP_CGE!X32,GDP_Simple!X42)</f>
        <v>0.62782067333592118</v>
      </c>
      <c r="Y58" s="12">
        <f>IF($C$3="CGE",GDP_CGE!Y32,GDP_Simple!Y42)</f>
        <v>0.6491232069177364</v>
      </c>
      <c r="Z58" s="12">
        <f>IF($C$3="CGE",GDP_CGE!Z32,GDP_Simple!Z42)</f>
        <v>0.67228985612439651</v>
      </c>
      <c r="AA58" s="12">
        <f>IF($C$3="CGE",GDP_CGE!AA32,GDP_Simple!AA42)</f>
        <v>0.69864588266735428</v>
      </c>
      <c r="AB58" s="12">
        <f>IF($C$3="CGE",GDP_CGE!AB32,GDP_Simple!AB42)</f>
        <v>0.76440413212672464</v>
      </c>
      <c r="AC58" s="12">
        <f>IF($C$3="CGE",GDP_CGE!AC32,GDP_Simple!AC42)</f>
        <v>0.79194422661477326</v>
      </c>
      <c r="AD58" s="12">
        <f>IF($C$3="CGE",GDP_CGE!AD32,GDP_Simple!AD42)</f>
        <v>0.81718474695363985</v>
      </c>
      <c r="AE58" s="12">
        <f>IF($C$3="CGE",GDP_CGE!AE32,GDP_Simple!AE42)</f>
        <v>0.84287161150362733</v>
      </c>
      <c r="AF58" s="12">
        <f>IF($C$3="CGE",GDP_CGE!AF32,GDP_Simple!AF42)</f>
        <v>0.86953423097304317</v>
      </c>
      <c r="AG58" s="12">
        <f>IF($C$3="CGE",GDP_CGE!AG32,GDP_Simple!AG42)</f>
        <v>0.89713357902422419</v>
      </c>
      <c r="AH58" s="12">
        <f>IF($C$3="CGE",GDP_CGE!AH32,GDP_Simple!AH42)</f>
        <v>0.92576301438869346</v>
      </c>
      <c r="AI58" s="12">
        <f>IF($C$3="CGE",GDP_CGE!AI32,GDP_Simple!AI42)</f>
        <v>0.95156549501353271</v>
      </c>
      <c r="AJ58" s="12">
        <f>IF($C$3="CGE",GDP_CGE!AJ32,GDP_Simple!AJ42)</f>
        <v>0.97757824106708191</v>
      </c>
      <c r="AK58" s="12">
        <f>IF($C$3="CGE",GDP_CGE!AK32,GDP_Simple!AK42)</f>
        <v>1.0043730502706039</v>
      </c>
      <c r="AL58" s="12">
        <f>IF($C$3="CGE",GDP_CGE!AL32,GDP_Simple!AL42)</f>
        <v>1.0320285942398442</v>
      </c>
      <c r="AM58" s="12">
        <f>IF($C$3="CGE",GDP_CGE!AM32,GDP_Simple!AM42)</f>
        <v>1.0605910621711372</v>
      </c>
      <c r="AN58" s="12"/>
    </row>
    <row r="61" spans="1:42" ht="18" thickBot="1" x14ac:dyDescent="0.35">
      <c r="A61" s="4" t="s">
        <v>70</v>
      </c>
      <c r="B61" s="4"/>
      <c r="C61" s="4"/>
      <c r="D61" s="4"/>
      <c r="E61" s="4"/>
      <c r="F61" s="4"/>
      <c r="G61" s="4"/>
      <c r="H61" s="4"/>
    </row>
    <row r="62" spans="1:42" ht="15.75" thickTop="1" x14ac:dyDescent="0.25">
      <c r="C62" s="3">
        <v>2012</v>
      </c>
      <c r="D62" s="3">
        <v>2013</v>
      </c>
      <c r="E62" s="3">
        <v>2014</v>
      </c>
      <c r="F62" s="3">
        <v>2015</v>
      </c>
      <c r="G62" s="3">
        <v>2016</v>
      </c>
      <c r="H62" s="3">
        <v>2017</v>
      </c>
      <c r="I62" s="3">
        <v>2018</v>
      </c>
      <c r="J62" s="3">
        <v>2019</v>
      </c>
      <c r="K62" s="3">
        <v>2020</v>
      </c>
      <c r="L62" s="3">
        <v>2021</v>
      </c>
      <c r="M62" s="3">
        <v>2022</v>
      </c>
      <c r="N62" s="3">
        <v>2023</v>
      </c>
      <c r="O62" s="3">
        <v>2024</v>
      </c>
      <c r="P62" s="3">
        <v>2025</v>
      </c>
      <c r="Q62" s="3">
        <v>2026</v>
      </c>
      <c r="R62" s="3">
        <v>2027</v>
      </c>
      <c r="S62" s="3">
        <v>2028</v>
      </c>
      <c r="T62" s="3">
        <v>2029</v>
      </c>
      <c r="U62" s="3">
        <v>2030</v>
      </c>
      <c r="V62" s="3">
        <v>2031</v>
      </c>
      <c r="W62" s="3">
        <v>2032</v>
      </c>
      <c r="X62" s="3">
        <v>2033</v>
      </c>
      <c r="Y62" s="3">
        <v>2034</v>
      </c>
      <c r="Z62" s="3">
        <v>2035</v>
      </c>
      <c r="AA62" s="3">
        <v>2036</v>
      </c>
      <c r="AB62" s="3">
        <v>2037</v>
      </c>
      <c r="AC62" s="3">
        <v>2038</v>
      </c>
      <c r="AD62" s="3">
        <v>2039</v>
      </c>
      <c r="AE62" s="3">
        <v>2040</v>
      </c>
      <c r="AF62" s="3">
        <v>2041</v>
      </c>
      <c r="AG62" s="3">
        <v>2042</v>
      </c>
      <c r="AH62" s="3">
        <v>2043</v>
      </c>
      <c r="AI62" s="3">
        <v>2044</v>
      </c>
      <c r="AJ62" s="3">
        <v>2045</v>
      </c>
      <c r="AK62" s="3">
        <v>2046</v>
      </c>
      <c r="AL62" s="3">
        <v>2047</v>
      </c>
      <c r="AM62" s="3">
        <v>2048</v>
      </c>
      <c r="AN62" s="3">
        <v>2049</v>
      </c>
      <c r="AO62" s="3">
        <v>2050</v>
      </c>
      <c r="AP62" s="3"/>
    </row>
    <row r="63" spans="1:42" x14ac:dyDescent="0.25">
      <c r="A63" s="3" t="s">
        <v>54</v>
      </c>
      <c r="B63" s="3" t="s">
        <v>57</v>
      </c>
      <c r="C63" t="s">
        <v>58</v>
      </c>
      <c r="D63" t="s">
        <v>58</v>
      </c>
      <c r="E63" t="s">
        <v>58</v>
      </c>
      <c r="F63" t="s">
        <v>58</v>
      </c>
      <c r="G63" t="s">
        <v>58</v>
      </c>
      <c r="H63" t="s">
        <v>58</v>
      </c>
      <c r="I63" t="s">
        <v>58</v>
      </c>
      <c r="J63" t="s">
        <v>58</v>
      </c>
      <c r="K63" t="s">
        <v>58</v>
      </c>
      <c r="L63" t="s">
        <v>58</v>
      </c>
      <c r="M63" t="s">
        <v>58</v>
      </c>
      <c r="N63" t="s">
        <v>58</v>
      </c>
      <c r="O63" t="s">
        <v>58</v>
      </c>
      <c r="P63" t="s">
        <v>58</v>
      </c>
      <c r="Q63" t="s">
        <v>58</v>
      </c>
      <c r="R63" t="s">
        <v>58</v>
      </c>
      <c r="S63" t="s">
        <v>58</v>
      </c>
      <c r="T63" t="s">
        <v>58</v>
      </c>
      <c r="U63" t="s">
        <v>58</v>
      </c>
      <c r="V63" t="s">
        <v>58</v>
      </c>
      <c r="W63" t="s">
        <v>58</v>
      </c>
      <c r="X63" t="s">
        <v>58</v>
      </c>
      <c r="Y63" t="s">
        <v>58</v>
      </c>
      <c r="Z63" t="s">
        <v>58</v>
      </c>
      <c r="AA63" t="s">
        <v>58</v>
      </c>
      <c r="AB63" t="s">
        <v>58</v>
      </c>
      <c r="AC63" t="s">
        <v>58</v>
      </c>
      <c r="AD63" t="s">
        <v>58</v>
      </c>
      <c r="AE63" t="s">
        <v>58</v>
      </c>
      <c r="AF63" t="s">
        <v>58</v>
      </c>
      <c r="AG63" t="s">
        <v>58</v>
      </c>
      <c r="AH63" t="s">
        <v>58</v>
      </c>
      <c r="AI63" t="s">
        <v>58</v>
      </c>
      <c r="AJ63" t="s">
        <v>58</v>
      </c>
      <c r="AK63" t="s">
        <v>58</v>
      </c>
      <c r="AL63" t="s">
        <v>58</v>
      </c>
      <c r="AM63" t="s">
        <v>58</v>
      </c>
      <c r="AN63" t="s">
        <v>58</v>
      </c>
      <c r="AO63" t="s">
        <v>58</v>
      </c>
    </row>
    <row r="64" spans="1:42" x14ac:dyDescent="0.25">
      <c r="A64" s="3" t="s">
        <v>54</v>
      </c>
      <c r="B64" s="3" t="s">
        <v>59</v>
      </c>
      <c r="C64" t="s">
        <v>58</v>
      </c>
      <c r="D64" t="s">
        <v>58</v>
      </c>
      <c r="E64" t="s">
        <v>58</v>
      </c>
      <c r="F64" t="s">
        <v>58</v>
      </c>
      <c r="G64" t="s">
        <v>58</v>
      </c>
      <c r="H64" t="s">
        <v>58</v>
      </c>
      <c r="I64" t="s">
        <v>58</v>
      </c>
      <c r="J64" t="s">
        <v>58</v>
      </c>
      <c r="K64" t="s">
        <v>58</v>
      </c>
      <c r="L64" t="s">
        <v>58</v>
      </c>
      <c r="M64" t="s">
        <v>58</v>
      </c>
      <c r="N64" t="s">
        <v>58</v>
      </c>
      <c r="O64" t="s">
        <v>58</v>
      </c>
      <c r="P64" t="s">
        <v>58</v>
      </c>
      <c r="Q64" t="s">
        <v>58</v>
      </c>
      <c r="R64" t="s">
        <v>58</v>
      </c>
      <c r="S64" t="s">
        <v>58</v>
      </c>
      <c r="T64" t="s">
        <v>58</v>
      </c>
      <c r="U64" t="s">
        <v>58</v>
      </c>
      <c r="V64" t="s">
        <v>58</v>
      </c>
      <c r="W64" t="s">
        <v>58</v>
      </c>
      <c r="X64" t="s">
        <v>58</v>
      </c>
      <c r="Y64" t="s">
        <v>58</v>
      </c>
      <c r="Z64" t="s">
        <v>58</v>
      </c>
      <c r="AA64" t="s">
        <v>58</v>
      </c>
      <c r="AB64" t="s">
        <v>58</v>
      </c>
      <c r="AC64" t="s">
        <v>58</v>
      </c>
      <c r="AD64" t="s">
        <v>58</v>
      </c>
      <c r="AE64" t="s">
        <v>58</v>
      </c>
      <c r="AF64" t="s">
        <v>58</v>
      </c>
      <c r="AG64" t="s">
        <v>58</v>
      </c>
      <c r="AH64" t="s">
        <v>58</v>
      </c>
      <c r="AI64" t="s">
        <v>58</v>
      </c>
      <c r="AJ64" t="s">
        <v>58</v>
      </c>
      <c r="AK64" t="s">
        <v>58</v>
      </c>
      <c r="AL64" t="s">
        <v>58</v>
      </c>
    </row>
    <row r="65" spans="1:41" x14ac:dyDescent="0.25">
      <c r="A65" s="3" t="s">
        <v>54</v>
      </c>
      <c r="B65" s="3" t="s">
        <v>60</v>
      </c>
      <c r="C65" t="s">
        <v>58</v>
      </c>
      <c r="D65" t="s">
        <v>58</v>
      </c>
      <c r="E65" t="s">
        <v>58</v>
      </c>
      <c r="F65" t="s">
        <v>58</v>
      </c>
      <c r="G65" t="s">
        <v>58</v>
      </c>
      <c r="H65" t="s">
        <v>58</v>
      </c>
      <c r="I65" t="s">
        <v>58</v>
      </c>
      <c r="J65" t="s">
        <v>58</v>
      </c>
      <c r="K65" t="s">
        <v>58</v>
      </c>
      <c r="L65" t="s">
        <v>58</v>
      </c>
      <c r="M65" t="s">
        <v>58</v>
      </c>
      <c r="N65" t="s">
        <v>58</v>
      </c>
      <c r="O65" t="s">
        <v>58</v>
      </c>
      <c r="P65" t="s">
        <v>58</v>
      </c>
      <c r="Q65" t="s">
        <v>58</v>
      </c>
      <c r="R65" t="s">
        <v>58</v>
      </c>
      <c r="S65" t="s">
        <v>58</v>
      </c>
      <c r="T65" t="s">
        <v>58</v>
      </c>
      <c r="U65" t="s">
        <v>58</v>
      </c>
      <c r="V65" t="s">
        <v>58</v>
      </c>
      <c r="W65" t="s">
        <v>58</v>
      </c>
      <c r="X65" t="s">
        <v>58</v>
      </c>
      <c r="Y65" t="s">
        <v>58</v>
      </c>
      <c r="Z65" t="s">
        <v>58</v>
      </c>
    </row>
    <row r="66" spans="1:41" x14ac:dyDescent="0.25">
      <c r="A66" s="3" t="s">
        <v>54</v>
      </c>
      <c r="B66" s="3" t="s">
        <v>61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</row>
    <row r="67" spans="1:41" x14ac:dyDescent="0.25">
      <c r="A67" s="3" t="s">
        <v>55</v>
      </c>
      <c r="B67" s="3" t="s">
        <v>59</v>
      </c>
      <c r="AM67" t="s">
        <v>58</v>
      </c>
      <c r="AN67" t="s">
        <v>58</v>
      </c>
      <c r="AO67" t="s">
        <v>58</v>
      </c>
    </row>
    <row r="68" spans="1:41" x14ac:dyDescent="0.25">
      <c r="A68" s="3" t="s">
        <v>55</v>
      </c>
      <c r="B68" s="3" t="s">
        <v>60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  <c r="AG68" t="s">
        <v>58</v>
      </c>
      <c r="AH68" t="s">
        <v>58</v>
      </c>
      <c r="AI68" t="s">
        <v>58</v>
      </c>
      <c r="AJ68" t="s">
        <v>58</v>
      </c>
      <c r="AK68" t="s">
        <v>58</v>
      </c>
      <c r="AL68" t="s">
        <v>58</v>
      </c>
      <c r="AM68" t="s">
        <v>58</v>
      </c>
      <c r="AN68" t="s">
        <v>58</v>
      </c>
      <c r="AO68" t="s">
        <v>58</v>
      </c>
    </row>
    <row r="69" spans="1:41" x14ac:dyDescent="0.25">
      <c r="A69" s="3" t="s">
        <v>55</v>
      </c>
      <c r="B69" s="3" t="s">
        <v>61</v>
      </c>
      <c r="S69" t="s">
        <v>58</v>
      </c>
      <c r="T69" t="s">
        <v>58</v>
      </c>
      <c r="U69" t="s">
        <v>58</v>
      </c>
      <c r="V69" t="s">
        <v>58</v>
      </c>
      <c r="W69" t="s">
        <v>58</v>
      </c>
      <c r="X69" t="s">
        <v>58</v>
      </c>
      <c r="Y69" t="s">
        <v>58</v>
      </c>
      <c r="Z69" t="s">
        <v>58</v>
      </c>
      <c r="AA69" t="s">
        <v>58</v>
      </c>
      <c r="AB69" t="s">
        <v>58</v>
      </c>
      <c r="AC69" t="s">
        <v>58</v>
      </c>
      <c r="AD69" t="s">
        <v>58</v>
      </c>
      <c r="AE69" t="s">
        <v>58</v>
      </c>
      <c r="AF69" t="s">
        <v>58</v>
      </c>
      <c r="AG69" t="s">
        <v>58</v>
      </c>
      <c r="AH69" t="s">
        <v>58</v>
      </c>
      <c r="AI69" t="s">
        <v>58</v>
      </c>
      <c r="AJ69" t="s">
        <v>58</v>
      </c>
      <c r="AK69" t="s">
        <v>58</v>
      </c>
      <c r="AL69" t="s">
        <v>58</v>
      </c>
      <c r="AM69" t="s">
        <v>58</v>
      </c>
      <c r="AN69" t="s">
        <v>58</v>
      </c>
      <c r="AO69" t="s">
        <v>58</v>
      </c>
    </row>
    <row r="70" spans="1:41" x14ac:dyDescent="0.25">
      <c r="A70" s="3" t="s">
        <v>55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  <c r="G70" t="s">
        <v>58</v>
      </c>
      <c r="H70" t="s">
        <v>58</v>
      </c>
      <c r="I70" t="s">
        <v>58</v>
      </c>
      <c r="J70" t="s">
        <v>58</v>
      </c>
      <c r="K70" t="s">
        <v>58</v>
      </c>
      <c r="L70" t="s">
        <v>58</v>
      </c>
      <c r="M70" t="s">
        <v>58</v>
      </c>
      <c r="N70" t="s">
        <v>58</v>
      </c>
      <c r="O70" t="s">
        <v>58</v>
      </c>
      <c r="P70" t="s">
        <v>58</v>
      </c>
      <c r="Q70" t="s">
        <v>58</v>
      </c>
      <c r="R70" t="s">
        <v>58</v>
      </c>
      <c r="S70" t="s">
        <v>58</v>
      </c>
      <c r="T70" t="s">
        <v>58</v>
      </c>
      <c r="U70" t="s">
        <v>58</v>
      </c>
      <c r="V70" t="s">
        <v>58</v>
      </c>
      <c r="W70" t="s">
        <v>58</v>
      </c>
      <c r="X70" t="s">
        <v>58</v>
      </c>
      <c r="Y70" t="s">
        <v>58</v>
      </c>
      <c r="Z70" t="s">
        <v>58</v>
      </c>
      <c r="AA70" t="s">
        <v>58</v>
      </c>
      <c r="AB70" t="s">
        <v>58</v>
      </c>
      <c r="AC70" t="s">
        <v>58</v>
      </c>
      <c r="AD70" t="s">
        <v>58</v>
      </c>
      <c r="AE70" t="s">
        <v>58</v>
      </c>
      <c r="AF70" t="s">
        <v>58</v>
      </c>
      <c r="AG70" t="s">
        <v>58</v>
      </c>
      <c r="AH70" t="s">
        <v>58</v>
      </c>
      <c r="AI70" t="s">
        <v>58</v>
      </c>
      <c r="AJ70" t="s">
        <v>58</v>
      </c>
      <c r="AK70" t="s">
        <v>58</v>
      </c>
      <c r="AL70" t="s">
        <v>58</v>
      </c>
      <c r="AM70" t="s">
        <v>58</v>
      </c>
      <c r="AN70" t="s">
        <v>58</v>
      </c>
      <c r="AO70" t="s">
        <v>58</v>
      </c>
    </row>
    <row r="71" spans="1:41" x14ac:dyDescent="0.25">
      <c r="A71" s="3" t="s">
        <v>55</v>
      </c>
      <c r="B71" s="3" t="s">
        <v>63</v>
      </c>
      <c r="C71" t="s">
        <v>58</v>
      </c>
      <c r="D71" t="s">
        <v>58</v>
      </c>
      <c r="E71" t="s">
        <v>58</v>
      </c>
      <c r="F71" t="s">
        <v>58</v>
      </c>
      <c r="G71" t="s">
        <v>58</v>
      </c>
      <c r="H71" t="s">
        <v>58</v>
      </c>
      <c r="I71" t="s">
        <v>58</v>
      </c>
      <c r="J71" t="s">
        <v>58</v>
      </c>
      <c r="K71" t="s">
        <v>58</v>
      </c>
      <c r="L71" t="s">
        <v>58</v>
      </c>
      <c r="M71" t="s">
        <v>58</v>
      </c>
      <c r="N71" t="s">
        <v>58</v>
      </c>
      <c r="O71" t="s">
        <v>58</v>
      </c>
      <c r="P71" t="s">
        <v>58</v>
      </c>
      <c r="Q71" t="s">
        <v>58</v>
      </c>
      <c r="R71" t="s">
        <v>58</v>
      </c>
      <c r="S71" t="s">
        <v>58</v>
      </c>
      <c r="T71" t="s">
        <v>58</v>
      </c>
      <c r="U71" t="s">
        <v>58</v>
      </c>
      <c r="V71" t="s">
        <v>58</v>
      </c>
      <c r="W71" t="s">
        <v>58</v>
      </c>
      <c r="X71" t="s">
        <v>58</v>
      </c>
      <c r="Y71" t="s">
        <v>58</v>
      </c>
      <c r="Z71" t="s">
        <v>58</v>
      </c>
      <c r="AA71" t="s">
        <v>58</v>
      </c>
      <c r="AB71" t="s">
        <v>58</v>
      </c>
      <c r="AC71" t="s">
        <v>58</v>
      </c>
      <c r="AD71" t="s">
        <v>58</v>
      </c>
      <c r="AE71" t="s">
        <v>58</v>
      </c>
      <c r="AF71" t="s">
        <v>58</v>
      </c>
      <c r="AG71" t="s">
        <v>58</v>
      </c>
    </row>
    <row r="72" spans="1:41" x14ac:dyDescent="0.25">
      <c r="A72" s="3" t="s">
        <v>55</v>
      </c>
      <c r="B72" s="3" t="s">
        <v>64</v>
      </c>
      <c r="C72" t="s">
        <v>58</v>
      </c>
      <c r="D72" t="s">
        <v>58</v>
      </c>
      <c r="E72" t="s">
        <v>58</v>
      </c>
      <c r="F72" t="s">
        <v>58</v>
      </c>
      <c r="G72" t="s">
        <v>58</v>
      </c>
      <c r="H72" t="s">
        <v>58</v>
      </c>
      <c r="I72" t="s">
        <v>58</v>
      </c>
      <c r="J72" t="s">
        <v>58</v>
      </c>
      <c r="K72" t="s">
        <v>58</v>
      </c>
      <c r="L72" t="s">
        <v>58</v>
      </c>
      <c r="M72" t="s">
        <v>58</v>
      </c>
      <c r="N72" t="s">
        <v>58</v>
      </c>
      <c r="O72" t="s">
        <v>58</v>
      </c>
      <c r="P72" t="s">
        <v>58</v>
      </c>
      <c r="Q72" t="s">
        <v>58</v>
      </c>
      <c r="R72" t="s">
        <v>58</v>
      </c>
      <c r="S72" t="s">
        <v>58</v>
      </c>
      <c r="T72" t="s">
        <v>58</v>
      </c>
    </row>
    <row r="73" spans="1:41" x14ac:dyDescent="0.25">
      <c r="A73" s="3" t="s">
        <v>56</v>
      </c>
      <c r="B73" s="3" t="s">
        <v>63</v>
      </c>
      <c r="AH73" t="s">
        <v>58</v>
      </c>
      <c r="AI73" t="s">
        <v>58</v>
      </c>
      <c r="AJ73" t="s">
        <v>58</v>
      </c>
      <c r="AK73" t="s">
        <v>58</v>
      </c>
      <c r="AL73" t="s">
        <v>58</v>
      </c>
      <c r="AM73" t="s">
        <v>58</v>
      </c>
      <c r="AN73" t="s">
        <v>58</v>
      </c>
      <c r="AO73" t="s">
        <v>58</v>
      </c>
    </row>
    <row r="74" spans="1:41" x14ac:dyDescent="0.25">
      <c r="A74" s="3" t="s">
        <v>56</v>
      </c>
      <c r="B74" s="3" t="s">
        <v>64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  <c r="AI74" t="s">
        <v>58</v>
      </c>
      <c r="AJ74" t="s">
        <v>58</v>
      </c>
      <c r="AK74" t="s">
        <v>58</v>
      </c>
      <c r="AL74" t="s">
        <v>58</v>
      </c>
      <c r="AM74" t="s">
        <v>58</v>
      </c>
      <c r="AN74" t="s">
        <v>58</v>
      </c>
      <c r="AO74" t="s">
        <v>58</v>
      </c>
    </row>
    <row r="75" spans="1:41" x14ac:dyDescent="0.25">
      <c r="A75" s="3" t="s">
        <v>56</v>
      </c>
      <c r="B75" s="3" t="s">
        <v>65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  <c r="Y75" t="s">
        <v>58</v>
      </c>
      <c r="Z75" t="s">
        <v>58</v>
      </c>
      <c r="AA75" t="s">
        <v>58</v>
      </c>
      <c r="AB75" t="s">
        <v>58</v>
      </c>
      <c r="AC75" t="s">
        <v>58</v>
      </c>
      <c r="AD75" t="s">
        <v>58</v>
      </c>
      <c r="AE75" t="s">
        <v>58</v>
      </c>
      <c r="AF75" t="s">
        <v>58</v>
      </c>
      <c r="AG75" t="s">
        <v>58</v>
      </c>
      <c r="AH75" t="s">
        <v>58</v>
      </c>
      <c r="AI75" t="s">
        <v>58</v>
      </c>
      <c r="AJ75" t="s">
        <v>58</v>
      </c>
      <c r="AK75" t="s">
        <v>58</v>
      </c>
      <c r="AL75" t="s">
        <v>58</v>
      </c>
      <c r="AM75" t="s">
        <v>58</v>
      </c>
      <c r="AN75" t="s">
        <v>58</v>
      </c>
      <c r="AO75" t="s">
        <v>58</v>
      </c>
    </row>
    <row r="76" spans="1:41" x14ac:dyDescent="0.25">
      <c r="A76" s="3" t="s">
        <v>56</v>
      </c>
      <c r="B76" s="3" t="s">
        <v>66</v>
      </c>
      <c r="C76" t="s">
        <v>58</v>
      </c>
      <c r="D76" t="s">
        <v>58</v>
      </c>
      <c r="E76" t="s">
        <v>58</v>
      </c>
      <c r="F76" t="s">
        <v>58</v>
      </c>
      <c r="G76" t="s">
        <v>58</v>
      </c>
      <c r="H76" t="s">
        <v>58</v>
      </c>
      <c r="I76" t="s">
        <v>58</v>
      </c>
      <c r="J76" t="s">
        <v>58</v>
      </c>
      <c r="K76" t="s">
        <v>58</v>
      </c>
      <c r="L76" t="s">
        <v>58</v>
      </c>
      <c r="M76" t="s">
        <v>58</v>
      </c>
      <c r="N76" t="s">
        <v>58</v>
      </c>
      <c r="O76" t="s">
        <v>58</v>
      </c>
      <c r="P76" t="s">
        <v>58</v>
      </c>
      <c r="Q76" t="s">
        <v>58</v>
      </c>
      <c r="R76" t="s">
        <v>58</v>
      </c>
      <c r="S76" t="s">
        <v>58</v>
      </c>
      <c r="T76" t="s">
        <v>58</v>
      </c>
      <c r="U76" t="s">
        <v>58</v>
      </c>
      <c r="V76" t="s">
        <v>58</v>
      </c>
      <c r="W76" t="s">
        <v>58</v>
      </c>
      <c r="X76" t="s">
        <v>58</v>
      </c>
      <c r="Y76" t="s">
        <v>58</v>
      </c>
      <c r="Z76" t="s">
        <v>58</v>
      </c>
      <c r="AA76" t="s">
        <v>58</v>
      </c>
      <c r="AB76" t="s">
        <v>58</v>
      </c>
      <c r="AC76" t="s">
        <v>58</v>
      </c>
      <c r="AD76" t="s">
        <v>58</v>
      </c>
      <c r="AE76" t="s">
        <v>58</v>
      </c>
      <c r="AF76" t="s">
        <v>58</v>
      </c>
      <c r="AG76" t="s">
        <v>58</v>
      </c>
      <c r="AH76" t="s">
        <v>58</v>
      </c>
      <c r="AI76" t="s">
        <v>58</v>
      </c>
      <c r="AJ76" t="s">
        <v>58</v>
      </c>
      <c r="AK76" t="s">
        <v>58</v>
      </c>
      <c r="AL76" t="s">
        <v>58</v>
      </c>
      <c r="AM76" t="s">
        <v>58</v>
      </c>
      <c r="AN76" t="s">
        <v>58</v>
      </c>
      <c r="AO76" t="s">
        <v>58</v>
      </c>
    </row>
    <row r="77" spans="1:41" x14ac:dyDescent="0.25">
      <c r="A77" t="s">
        <v>56</v>
      </c>
      <c r="B77" t="s">
        <v>67</v>
      </c>
      <c r="C77" t="s">
        <v>58</v>
      </c>
      <c r="D77" t="s">
        <v>58</v>
      </c>
      <c r="E77" t="s">
        <v>58</v>
      </c>
      <c r="F77" t="s">
        <v>58</v>
      </c>
      <c r="G77" t="s">
        <v>58</v>
      </c>
      <c r="H77" t="s">
        <v>58</v>
      </c>
      <c r="I77" t="s">
        <v>58</v>
      </c>
      <c r="J77" t="s">
        <v>58</v>
      </c>
      <c r="K77" t="s">
        <v>58</v>
      </c>
      <c r="L77" t="s">
        <v>58</v>
      </c>
      <c r="M77" t="s">
        <v>58</v>
      </c>
      <c r="N77" t="s">
        <v>58</v>
      </c>
      <c r="O77" t="s">
        <v>58</v>
      </c>
      <c r="P77" t="s">
        <v>58</v>
      </c>
      <c r="Q77" t="s">
        <v>58</v>
      </c>
      <c r="R77" t="s">
        <v>58</v>
      </c>
      <c r="S77" t="s">
        <v>58</v>
      </c>
      <c r="T77" t="s">
        <v>58</v>
      </c>
      <c r="U77" t="s">
        <v>58</v>
      </c>
      <c r="V77" t="s">
        <v>58</v>
      </c>
      <c r="W77" t="s">
        <v>58</v>
      </c>
      <c r="X77" t="s">
        <v>58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  <c r="AI77" t="s">
        <v>58</v>
      </c>
      <c r="AJ77" t="s">
        <v>58</v>
      </c>
      <c r="AK77" t="s">
        <v>58</v>
      </c>
      <c r="AL77" t="s">
        <v>58</v>
      </c>
      <c r="AM77" t="s">
        <v>58</v>
      </c>
      <c r="AN77" t="s">
        <v>58</v>
      </c>
      <c r="AO77" t="s">
        <v>58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3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2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"Drivers!"&amp;ADDRESS(ROW(Drivers!B39),COLUMN(Drivers!B39),4)</f>
        <v>Drivers!B39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"Drivers!"&amp;ADDRESS(ROW(Drivers!A50),COLUMN(Drivers!A50),4)</f>
        <v>Drivers!A50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"Drivers!"&amp;ADDRESS(ROW(Drivers!A57),COLUMN(Drivers!A57),4)</f>
        <v>Drivers!A57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"Drivers!"&amp;ADDRESS(ROW(Drivers!A62),COLUMN(Drivers!A62),4)</f>
        <v>Drivers!A62</v>
      </c>
      <c r="D12">
        <v>2</v>
      </c>
      <c r="E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1:AQ339"/>
  <sheetViews>
    <sheetView tabSelected="1" topLeftCell="A111" workbookViewId="0">
      <selection activeCell="B131" sqref="B131:AP134"/>
    </sheetView>
  </sheetViews>
  <sheetFormatPr defaultRowHeight="15" x14ac:dyDescent="0.25"/>
  <cols>
    <col min="2" max="2" width="13.5703125" customWidth="1"/>
  </cols>
  <sheetData>
    <row r="1" spans="1:43" x14ac:dyDescent="0.25">
      <c r="A1" s="21" t="s">
        <v>139</v>
      </c>
      <c r="B1" s="2" t="s">
        <v>140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  <c r="AQ3" t="s">
        <v>141</v>
      </c>
    </row>
    <row r="4" spans="1:43" x14ac:dyDescent="0.25">
      <c r="A4" t="s">
        <v>21</v>
      </c>
      <c r="B4" s="18">
        <f>IF($B$1="Reference",B37,B72)</f>
        <v>1833.848514865675</v>
      </c>
      <c r="C4" s="18">
        <f t="shared" ref="C4:AN11" si="0">IF($B$1="Reference",C37,C72)</f>
        <v>1885.3290641564624</v>
      </c>
      <c r="D4" s="18">
        <f t="shared" si="0"/>
        <v>1928.39620119141</v>
      </c>
      <c r="E4" s="18">
        <f t="shared" si="0"/>
        <v>1958.8493088941718</v>
      </c>
      <c r="F4" s="18">
        <f t="shared" si="0"/>
        <v>1982.0850018792316</v>
      </c>
      <c r="G4" s="18">
        <f t="shared" si="0"/>
        <v>2007.4248614758401</v>
      </c>
      <c r="H4" s="18">
        <f t="shared" si="0"/>
        <v>2039.0412178243319</v>
      </c>
      <c r="I4" s="18">
        <f t="shared" si="0"/>
        <v>2076.6421719562941</v>
      </c>
      <c r="J4" s="18">
        <f t="shared" si="0"/>
        <v>1915.2315943142085</v>
      </c>
      <c r="K4" s="18">
        <f t="shared" si="0"/>
        <v>1962.8101861547837</v>
      </c>
      <c r="L4" s="18">
        <f t="shared" si="0"/>
        <v>2010.404875841102</v>
      </c>
      <c r="M4" s="18">
        <f t="shared" si="0"/>
        <v>2059.207287688243</v>
      </c>
      <c r="N4" s="18">
        <f t="shared" si="0"/>
        <v>2112.2911331940809</v>
      </c>
      <c r="O4" s="18">
        <f t="shared" si="0"/>
        <v>2171.0739010622037</v>
      </c>
      <c r="P4" s="18">
        <f t="shared" si="0"/>
        <v>2233.2299533244782</v>
      </c>
      <c r="Q4" s="18">
        <f t="shared" si="0"/>
        <v>2300.2295467964586</v>
      </c>
      <c r="R4" s="18">
        <f t="shared" si="0"/>
        <v>2371.3354894212043</v>
      </c>
      <c r="S4" s="18">
        <f t="shared" si="0"/>
        <v>2450.3349917862779</v>
      </c>
      <c r="T4" s="18">
        <f t="shared" si="0"/>
        <v>2531.7763216952389</v>
      </c>
      <c r="U4" s="18">
        <f t="shared" si="0"/>
        <v>2623.0585462739341</v>
      </c>
      <c r="V4" s="18">
        <f t="shared" si="0"/>
        <v>2719.8418952674906</v>
      </c>
      <c r="W4" s="18">
        <f t="shared" si="0"/>
        <v>2822.4039676299853</v>
      </c>
      <c r="X4" s="18">
        <f t="shared" si="0"/>
        <v>2927.6319924343343</v>
      </c>
      <c r="Y4" s="18">
        <f t="shared" si="0"/>
        <v>3026.8908242379207</v>
      </c>
      <c r="Z4" s="18">
        <f t="shared" si="0"/>
        <v>3129.3674890644361</v>
      </c>
      <c r="AA4" s="18">
        <f t="shared" si="0"/>
        <v>3239.55378643735</v>
      </c>
      <c r="AB4" s="18">
        <f t="shared" si="0"/>
        <v>3356.039411088097</v>
      </c>
      <c r="AC4" s="18">
        <f t="shared" si="0"/>
        <v>3473.409555132459</v>
      </c>
      <c r="AD4" s="18">
        <f t="shared" si="0"/>
        <v>3594.5289479496564</v>
      </c>
      <c r="AE4" s="18">
        <f t="shared" si="0"/>
        <v>3720.9148035269563</v>
      </c>
      <c r="AF4" s="18">
        <f t="shared" si="0"/>
        <v>3854.2956536683641</v>
      </c>
      <c r="AG4" s="18">
        <f t="shared" si="0"/>
        <v>3995.7589124767237</v>
      </c>
      <c r="AH4" s="18">
        <f t="shared" si="0"/>
        <v>4145.2991878494995</v>
      </c>
      <c r="AI4" s="18">
        <f t="shared" si="0"/>
        <v>4305.728859646254</v>
      </c>
      <c r="AJ4" s="18">
        <f t="shared" si="0"/>
        <v>4474.4706584146988</v>
      </c>
      <c r="AK4" s="18">
        <f t="shared" si="0"/>
        <v>4651.827306349981</v>
      </c>
      <c r="AL4" s="18">
        <f t="shared" si="0"/>
        <v>4830.5177051699948</v>
      </c>
      <c r="AM4" s="18">
        <f t="shared" si="0"/>
        <v>5018.1870129939944</v>
      </c>
      <c r="AN4" s="18">
        <f t="shared" si="0"/>
        <v>5216.725367304326</v>
      </c>
      <c r="AQ4" t="s">
        <v>140</v>
      </c>
    </row>
    <row r="5" spans="1:43" x14ac:dyDescent="0.25">
      <c r="A5" t="s">
        <v>73</v>
      </c>
      <c r="B5" s="18">
        <f t="shared" ref="B5:Q21" si="1">IF($B$1="Reference",B38,B73)</f>
        <v>69.817113338467777</v>
      </c>
      <c r="C5" s="18">
        <f t="shared" si="1"/>
        <v>72.761066221971831</v>
      </c>
      <c r="D5" s="18">
        <f t="shared" si="1"/>
        <v>75.417786274230096</v>
      </c>
      <c r="E5" s="18">
        <f t="shared" si="1"/>
        <v>74.228063644953139</v>
      </c>
      <c r="F5" s="18">
        <f t="shared" si="1"/>
        <v>73.253912583403391</v>
      </c>
      <c r="G5" s="18">
        <f t="shared" si="1"/>
        <v>75.624260765221052</v>
      </c>
      <c r="H5" s="18">
        <f t="shared" si="1"/>
        <v>74.442603519421056</v>
      </c>
      <c r="I5" s="18">
        <f t="shared" si="1"/>
        <v>73.338661295724094</v>
      </c>
      <c r="J5" s="18">
        <f t="shared" si="1"/>
        <v>70.375961777614208</v>
      </c>
      <c r="K5" s="18">
        <f t="shared" si="1"/>
        <v>72.305075641796904</v>
      </c>
      <c r="L5" s="18">
        <f t="shared" si="1"/>
        <v>74.371442907353909</v>
      </c>
      <c r="M5" s="18">
        <f t="shared" si="1"/>
        <v>76.048826811658941</v>
      </c>
      <c r="N5" s="18">
        <f t="shared" si="1"/>
        <v>77.801170864347739</v>
      </c>
      <c r="O5" s="18">
        <f t="shared" si="1"/>
        <v>79.755069595965793</v>
      </c>
      <c r="P5" s="18">
        <f t="shared" si="1"/>
        <v>81.643762512249495</v>
      </c>
      <c r="Q5" s="18">
        <f t="shared" si="1"/>
        <v>83.518599074190277</v>
      </c>
      <c r="R5" s="18">
        <f t="shared" si="0"/>
        <v>85.406273095829633</v>
      </c>
      <c r="S5" s="18">
        <f t="shared" si="0"/>
        <v>87.515360564125572</v>
      </c>
      <c r="T5" s="18">
        <f t="shared" si="0"/>
        <v>89.644668344577482</v>
      </c>
      <c r="U5" s="18">
        <f t="shared" si="0"/>
        <v>92.074258386859</v>
      </c>
      <c r="V5" s="18">
        <f t="shared" si="0"/>
        <v>94.467109235476059</v>
      </c>
      <c r="W5" s="18">
        <f t="shared" si="0"/>
        <v>96.900524693578546</v>
      </c>
      <c r="X5" s="18">
        <f t="shared" si="0"/>
        <v>99.449848341332199</v>
      </c>
      <c r="Y5" s="18">
        <f t="shared" si="0"/>
        <v>101.58253196976366</v>
      </c>
      <c r="Z5" s="18">
        <f t="shared" si="0"/>
        <v>103.81481786586789</v>
      </c>
      <c r="AA5" s="18">
        <f t="shared" si="0"/>
        <v>106.29138004793593</v>
      </c>
      <c r="AB5" s="18">
        <f t="shared" si="0"/>
        <v>108.94541199133269</v>
      </c>
      <c r="AC5" s="18">
        <f t="shared" si="0"/>
        <v>111.52402257339763</v>
      </c>
      <c r="AD5" s="18">
        <f t="shared" si="0"/>
        <v>114.08413621905542</v>
      </c>
      <c r="AE5" s="18">
        <f t="shared" si="0"/>
        <v>116.66136699777962</v>
      </c>
      <c r="AF5" s="18">
        <f t="shared" si="0"/>
        <v>119.42230056034572</v>
      </c>
      <c r="AG5" s="18">
        <f t="shared" si="0"/>
        <v>122.4108523280607</v>
      </c>
      <c r="AH5" s="18">
        <f t="shared" si="0"/>
        <v>125.6282721642884</v>
      </c>
      <c r="AI5" s="18">
        <f t="shared" si="0"/>
        <v>129.0904668169519</v>
      </c>
      <c r="AJ5" s="18">
        <f t="shared" si="0"/>
        <v>132.77592532882883</v>
      </c>
      <c r="AK5" s="18">
        <f t="shared" si="0"/>
        <v>136.63731853615764</v>
      </c>
      <c r="AL5" s="18">
        <f t="shared" si="0"/>
        <v>140.52207915499699</v>
      </c>
      <c r="AM5" s="18">
        <f t="shared" si="0"/>
        <v>144.57664789311821</v>
      </c>
      <c r="AN5" s="18">
        <f t="shared" si="0"/>
        <v>148.89999948370686</v>
      </c>
    </row>
    <row r="6" spans="1:43" x14ac:dyDescent="0.25">
      <c r="A6" t="s">
        <v>23</v>
      </c>
      <c r="B6" s="18">
        <f t="shared" si="1"/>
        <v>205.448728044608</v>
      </c>
      <c r="C6" s="18">
        <f t="shared" si="0"/>
        <v>211.14099850925317</v>
      </c>
      <c r="D6" s="18">
        <f t="shared" si="0"/>
        <v>212.54106130739055</v>
      </c>
      <c r="E6" s="18">
        <f t="shared" si="0"/>
        <v>219.55462493014846</v>
      </c>
      <c r="F6" s="18">
        <f t="shared" si="0"/>
        <v>216.53032459074922</v>
      </c>
      <c r="G6" s="18">
        <f t="shared" si="0"/>
        <v>223.19822693754588</v>
      </c>
      <c r="H6" s="18">
        <f t="shared" si="0"/>
        <v>221.93053170310253</v>
      </c>
      <c r="I6" s="18">
        <f t="shared" si="0"/>
        <v>219.06491664626623</v>
      </c>
      <c r="J6" s="18">
        <f t="shared" si="0"/>
        <v>200.47561813439725</v>
      </c>
      <c r="K6" s="18">
        <f t="shared" si="0"/>
        <v>203.64742473918906</v>
      </c>
      <c r="L6" s="18">
        <f t="shared" si="0"/>
        <v>206.57834772562532</v>
      </c>
      <c r="M6" s="18">
        <f t="shared" si="0"/>
        <v>209.47963156540905</v>
      </c>
      <c r="N6" s="18">
        <f t="shared" si="0"/>
        <v>212.74013245155771</v>
      </c>
      <c r="O6" s="18">
        <f t="shared" si="0"/>
        <v>216.64719604922269</v>
      </c>
      <c r="P6" s="18">
        <f t="shared" si="0"/>
        <v>220.75991022121741</v>
      </c>
      <c r="Q6" s="18">
        <f t="shared" si="0"/>
        <v>225.12174957723406</v>
      </c>
      <c r="R6" s="18">
        <f t="shared" si="0"/>
        <v>229.83756033730913</v>
      </c>
      <c r="S6" s="18">
        <f t="shared" si="0"/>
        <v>235.79561153800591</v>
      </c>
      <c r="T6" s="18">
        <f t="shared" si="0"/>
        <v>242.14736316074411</v>
      </c>
      <c r="U6" s="18">
        <f t="shared" si="0"/>
        <v>249.66492090370633</v>
      </c>
      <c r="V6" s="18">
        <f t="shared" si="0"/>
        <v>257.73648008492449</v>
      </c>
      <c r="W6" s="18">
        <f t="shared" si="0"/>
        <v>266.50256072380972</v>
      </c>
      <c r="X6" s="18">
        <f t="shared" si="0"/>
        <v>275.29881666409869</v>
      </c>
      <c r="Y6" s="18">
        <f t="shared" si="0"/>
        <v>284.32377984913063</v>
      </c>
      <c r="Z6" s="18">
        <f t="shared" si="0"/>
        <v>292.61765278820866</v>
      </c>
      <c r="AA6" s="18">
        <f t="shared" si="0"/>
        <v>301.56960886093259</v>
      </c>
      <c r="AB6" s="18">
        <f t="shared" si="0"/>
        <v>311.13381518945641</v>
      </c>
      <c r="AC6" s="18">
        <f t="shared" si="0"/>
        <v>320.52922544885581</v>
      </c>
      <c r="AD6" s="18">
        <f t="shared" si="0"/>
        <v>330.06915311578456</v>
      </c>
      <c r="AE6" s="18">
        <f t="shared" si="0"/>
        <v>339.06647053735151</v>
      </c>
      <c r="AF6" s="18">
        <f t="shared" si="0"/>
        <v>348.26476477832796</v>
      </c>
      <c r="AG6" s="18">
        <f t="shared" si="0"/>
        <v>357.78918906500076</v>
      </c>
      <c r="AH6" s="18">
        <f t="shared" si="0"/>
        <v>367.62418064476157</v>
      </c>
      <c r="AI6" s="18">
        <f t="shared" si="0"/>
        <v>378.03383407712312</v>
      </c>
      <c r="AJ6" s="18">
        <f t="shared" si="0"/>
        <v>389.5443635775066</v>
      </c>
      <c r="AK6" s="18">
        <f t="shared" si="0"/>
        <v>401.69929502932808</v>
      </c>
      <c r="AL6" s="18">
        <f t="shared" si="0"/>
        <v>413.69759887700377</v>
      </c>
      <c r="AM6" s="18">
        <f t="shared" si="0"/>
        <v>426.25474173528568</v>
      </c>
      <c r="AN6" s="18">
        <f t="shared" si="0"/>
        <v>439.59658280519733</v>
      </c>
    </row>
    <row r="7" spans="1:43" x14ac:dyDescent="0.25">
      <c r="A7" t="s">
        <v>24</v>
      </c>
      <c r="B7" s="18">
        <f t="shared" si="1"/>
        <v>93.09690942833106</v>
      </c>
      <c r="C7" s="18">
        <f t="shared" si="0"/>
        <v>94.993446234646797</v>
      </c>
      <c r="D7" s="18">
        <f t="shared" si="0"/>
        <v>96.334376455091899</v>
      </c>
      <c r="E7" s="18">
        <f t="shared" si="0"/>
        <v>96.558459479520835</v>
      </c>
      <c r="F7" s="18">
        <f t="shared" si="0"/>
        <v>97.644967398178593</v>
      </c>
      <c r="G7" s="18">
        <f t="shared" si="0"/>
        <v>97.997517901418121</v>
      </c>
      <c r="H7" s="18">
        <f t="shared" si="0"/>
        <v>98.770585701709422</v>
      </c>
      <c r="I7" s="18">
        <f t="shared" si="0"/>
        <v>98.119583228591793</v>
      </c>
      <c r="J7" s="18">
        <f t="shared" si="0"/>
        <v>92.704310909525347</v>
      </c>
      <c r="K7" s="18">
        <f t="shared" si="0"/>
        <v>95.302015170250399</v>
      </c>
      <c r="L7" s="18">
        <f t="shared" si="0"/>
        <v>97.873951127403927</v>
      </c>
      <c r="M7" s="18">
        <f t="shared" si="0"/>
        <v>100.12304266959772</v>
      </c>
      <c r="N7" s="18">
        <f t="shared" si="0"/>
        <v>102.48999010149339</v>
      </c>
      <c r="O7" s="18">
        <f t="shared" si="0"/>
        <v>105.13398818583012</v>
      </c>
      <c r="P7" s="18">
        <f t="shared" si="0"/>
        <v>107.75894250019913</v>
      </c>
      <c r="Q7" s="18">
        <f t="shared" si="0"/>
        <v>110.43921652400797</v>
      </c>
      <c r="R7" s="18">
        <f t="shared" si="0"/>
        <v>113.19311523175173</v>
      </c>
      <c r="S7" s="18">
        <f t="shared" si="0"/>
        <v>116.19313454817348</v>
      </c>
      <c r="T7" s="18">
        <f t="shared" si="0"/>
        <v>119.23091943008865</v>
      </c>
      <c r="U7" s="18">
        <f t="shared" si="0"/>
        <v>122.76632748694639</v>
      </c>
      <c r="V7" s="18">
        <f t="shared" si="0"/>
        <v>126.32151836598254</v>
      </c>
      <c r="W7" s="18">
        <f t="shared" si="0"/>
        <v>129.99892814021447</v>
      </c>
      <c r="X7" s="18">
        <f t="shared" si="0"/>
        <v>133.68380546488083</v>
      </c>
      <c r="Y7" s="18">
        <f t="shared" si="0"/>
        <v>136.8905028847235</v>
      </c>
      <c r="Z7" s="18">
        <f t="shared" si="0"/>
        <v>140.13262803543526</v>
      </c>
      <c r="AA7" s="18">
        <f t="shared" si="0"/>
        <v>143.70523135706333</v>
      </c>
      <c r="AB7" s="18">
        <f t="shared" si="0"/>
        <v>147.55938741644732</v>
      </c>
      <c r="AC7" s="18">
        <f t="shared" si="0"/>
        <v>151.2430267254413</v>
      </c>
      <c r="AD7" s="18">
        <f t="shared" si="0"/>
        <v>154.93056846812195</v>
      </c>
      <c r="AE7" s="18">
        <f t="shared" si="0"/>
        <v>158.63092160480687</v>
      </c>
      <c r="AF7" s="18">
        <f t="shared" si="0"/>
        <v>162.59199205284796</v>
      </c>
      <c r="AG7" s="18">
        <f t="shared" si="0"/>
        <v>166.74722658664146</v>
      </c>
      <c r="AH7" s="18">
        <f t="shared" si="0"/>
        <v>171.06846318621436</v>
      </c>
      <c r="AI7" s="18">
        <f t="shared" si="0"/>
        <v>175.62977545331631</v>
      </c>
      <c r="AJ7" s="18">
        <f t="shared" si="0"/>
        <v>180.47592934772433</v>
      </c>
      <c r="AK7" s="18">
        <f t="shared" si="0"/>
        <v>185.50041239958938</v>
      </c>
      <c r="AL7" s="18">
        <f t="shared" si="0"/>
        <v>190.83749920687805</v>
      </c>
      <c r="AM7" s="18">
        <f t="shared" si="0"/>
        <v>196.44758768505764</v>
      </c>
      <c r="AN7" s="18">
        <f t="shared" si="0"/>
        <v>202.48030442577863</v>
      </c>
    </row>
    <row r="8" spans="1:43" x14ac:dyDescent="0.25">
      <c r="A8" t="s">
        <v>25</v>
      </c>
      <c r="B8" s="18">
        <f t="shared" si="1"/>
        <v>235.49802282756241</v>
      </c>
      <c r="C8" s="18">
        <f t="shared" si="0"/>
        <v>241.94953807611751</v>
      </c>
      <c r="D8" s="18">
        <f t="shared" si="0"/>
        <v>246.10207883069049</v>
      </c>
      <c r="E8" s="18">
        <f t="shared" si="0"/>
        <v>249.26808877833665</v>
      </c>
      <c r="F8" s="18">
        <f t="shared" si="0"/>
        <v>251.54882204993891</v>
      </c>
      <c r="G8" s="18">
        <f t="shared" si="0"/>
        <v>253.07599948298898</v>
      </c>
      <c r="H8" s="18">
        <f t="shared" si="0"/>
        <v>255.77309263879329</v>
      </c>
      <c r="I8" s="18">
        <f t="shared" si="0"/>
        <v>256.23572258235538</v>
      </c>
      <c r="J8" s="18">
        <f t="shared" si="0"/>
        <v>231.28138030647995</v>
      </c>
      <c r="K8" s="18">
        <f t="shared" si="0"/>
        <v>237.95223439188939</v>
      </c>
      <c r="L8" s="18">
        <f t="shared" si="0"/>
        <v>244.39448085745738</v>
      </c>
      <c r="M8" s="18">
        <f t="shared" si="0"/>
        <v>250.91023744131132</v>
      </c>
      <c r="N8" s="18">
        <f t="shared" si="0"/>
        <v>257.90899781538928</v>
      </c>
      <c r="O8" s="18">
        <f t="shared" si="0"/>
        <v>265.6989056250797</v>
      </c>
      <c r="P8" s="18">
        <f t="shared" si="0"/>
        <v>273.7401089972098</v>
      </c>
      <c r="Q8" s="18">
        <f t="shared" si="0"/>
        <v>282.31823624896856</v>
      </c>
      <c r="R8" s="18">
        <f t="shared" si="0"/>
        <v>291.33525297704807</v>
      </c>
      <c r="S8" s="18">
        <f t="shared" si="0"/>
        <v>301.11957791504847</v>
      </c>
      <c r="T8" s="18">
        <f t="shared" si="0"/>
        <v>311.0814313326411</v>
      </c>
      <c r="U8" s="18">
        <f t="shared" si="0"/>
        <v>322.48376378096827</v>
      </c>
      <c r="V8" s="18">
        <f t="shared" si="0"/>
        <v>334.43472148589382</v>
      </c>
      <c r="W8" s="18">
        <f t="shared" si="0"/>
        <v>347.05083056743183</v>
      </c>
      <c r="X8" s="18">
        <f t="shared" si="0"/>
        <v>359.8365174716975</v>
      </c>
      <c r="Y8" s="18">
        <f t="shared" si="0"/>
        <v>371.51150356847677</v>
      </c>
      <c r="Z8" s="18">
        <f t="shared" si="0"/>
        <v>383.8079346198117</v>
      </c>
      <c r="AA8" s="18">
        <f t="shared" si="0"/>
        <v>397.22959296384062</v>
      </c>
      <c r="AB8" s="18">
        <f t="shared" si="0"/>
        <v>411.58997837708171</v>
      </c>
      <c r="AC8" s="18">
        <f t="shared" si="0"/>
        <v>425.94796779644503</v>
      </c>
      <c r="AD8" s="18">
        <f t="shared" si="0"/>
        <v>440.74900411880907</v>
      </c>
      <c r="AE8" s="18">
        <f t="shared" si="0"/>
        <v>455.86997686754319</v>
      </c>
      <c r="AF8" s="18">
        <f t="shared" si="0"/>
        <v>471.87371914278049</v>
      </c>
      <c r="AG8" s="18">
        <f t="shared" si="0"/>
        <v>488.83584467351818</v>
      </c>
      <c r="AH8" s="18">
        <f t="shared" si="0"/>
        <v>506.72022872761801</v>
      </c>
      <c r="AI8" s="18">
        <f t="shared" si="0"/>
        <v>525.87420201505483</v>
      </c>
      <c r="AJ8" s="18">
        <f t="shared" si="0"/>
        <v>546.07585540462924</v>
      </c>
      <c r="AK8" s="18">
        <f t="shared" si="0"/>
        <v>567.29726712327658</v>
      </c>
      <c r="AL8" s="18">
        <f t="shared" si="0"/>
        <v>588.40836182194505</v>
      </c>
      <c r="AM8" s="18">
        <f t="shared" si="0"/>
        <v>610.59115744265955</v>
      </c>
      <c r="AN8" s="18">
        <f t="shared" si="0"/>
        <v>634.10648718903576</v>
      </c>
    </row>
    <row r="9" spans="1:43" x14ac:dyDescent="0.25">
      <c r="A9" t="s">
        <v>26</v>
      </c>
      <c r="B9" s="18">
        <f t="shared" si="1"/>
        <v>17.781500762507285</v>
      </c>
      <c r="C9" s="18">
        <f t="shared" si="0"/>
        <v>18.189599532275118</v>
      </c>
      <c r="D9" s="18">
        <f t="shared" si="0"/>
        <v>18.519494173147685</v>
      </c>
      <c r="E9" s="18">
        <f t="shared" si="0"/>
        <v>18.692324513083456</v>
      </c>
      <c r="F9" s="18">
        <f t="shared" si="0"/>
        <v>18.990365626538715</v>
      </c>
      <c r="G9" s="18">
        <f t="shared" si="0"/>
        <v>19.082967766641026</v>
      </c>
      <c r="H9" s="18">
        <f t="shared" si="0"/>
        <v>19.374189074838732</v>
      </c>
      <c r="I9" s="18">
        <f t="shared" si="0"/>
        <v>19.413900420182642</v>
      </c>
      <c r="J9" s="18">
        <f t="shared" si="0"/>
        <v>17.944003758260617</v>
      </c>
      <c r="K9" s="18">
        <f t="shared" si="0"/>
        <v>18.435100578531209</v>
      </c>
      <c r="L9" s="18">
        <f t="shared" si="0"/>
        <v>18.907868430352945</v>
      </c>
      <c r="M9" s="18">
        <f t="shared" si="0"/>
        <v>19.407017680170156</v>
      </c>
      <c r="N9" s="18">
        <f t="shared" si="0"/>
        <v>19.925075221594977</v>
      </c>
      <c r="O9" s="18">
        <f t="shared" si="0"/>
        <v>20.502240282253414</v>
      </c>
      <c r="P9" s="18">
        <f t="shared" si="0"/>
        <v>21.132006843043495</v>
      </c>
      <c r="Q9" s="18">
        <f t="shared" si="0"/>
        <v>21.781675172171447</v>
      </c>
      <c r="R9" s="18">
        <f t="shared" si="0"/>
        <v>22.442962656122312</v>
      </c>
      <c r="S9" s="18">
        <f t="shared" si="0"/>
        <v>23.189338930232626</v>
      </c>
      <c r="T9" s="18">
        <f t="shared" si="0"/>
        <v>23.9533665831209</v>
      </c>
      <c r="U9" s="18">
        <f t="shared" si="0"/>
        <v>24.81049190716378</v>
      </c>
      <c r="V9" s="18">
        <f t="shared" si="0"/>
        <v>25.691187591926983</v>
      </c>
      <c r="W9" s="18">
        <f t="shared" si="0"/>
        <v>26.587351472537012</v>
      </c>
      <c r="X9" s="18">
        <f t="shared" si="0"/>
        <v>27.495469643756088</v>
      </c>
      <c r="Y9" s="18">
        <f t="shared" si="0"/>
        <v>27.916764265085412</v>
      </c>
      <c r="Z9" s="18">
        <f t="shared" si="0"/>
        <v>28.799944714158059</v>
      </c>
      <c r="AA9" s="18">
        <f t="shared" si="0"/>
        <v>29.731851075810045</v>
      </c>
      <c r="AB9" s="18">
        <f t="shared" si="0"/>
        <v>30.723433081292058</v>
      </c>
      <c r="AC9" s="18">
        <f t="shared" si="0"/>
        <v>31.70480445277974</v>
      </c>
      <c r="AD9" s="18">
        <f t="shared" si="0"/>
        <v>32.70552444689114</v>
      </c>
      <c r="AE9" s="18">
        <f t="shared" si="0"/>
        <v>33.725394497516078</v>
      </c>
      <c r="AF9" s="18">
        <f t="shared" si="0"/>
        <v>34.811384430668774</v>
      </c>
      <c r="AG9" s="18">
        <f t="shared" si="0"/>
        <v>35.962542885195298</v>
      </c>
      <c r="AH9" s="18">
        <f t="shared" si="0"/>
        <v>37.177908897611594</v>
      </c>
      <c r="AI9" s="18">
        <f t="shared" si="0"/>
        <v>38.482911477928582</v>
      </c>
      <c r="AJ9" s="18">
        <f t="shared" si="0"/>
        <v>39.852267972425778</v>
      </c>
      <c r="AK9" s="18">
        <f t="shared" si="0"/>
        <v>41.285346907622447</v>
      </c>
      <c r="AL9" s="18">
        <f t="shared" si="0"/>
        <v>42.729995212034616</v>
      </c>
      <c r="AM9" s="18">
        <f t="shared" si="0"/>
        <v>44.252236985534118</v>
      </c>
      <c r="AN9" s="18">
        <f t="shared" si="0"/>
        <v>45.862569254611302</v>
      </c>
    </row>
    <row r="10" spans="1:43" x14ac:dyDescent="0.25">
      <c r="A10" t="s">
        <v>27</v>
      </c>
      <c r="B10" s="18">
        <f t="shared" si="1"/>
        <v>52.810230956689715</v>
      </c>
      <c r="C10" s="18">
        <f t="shared" si="0"/>
        <v>54.245119171813215</v>
      </c>
      <c r="D10" s="18">
        <f t="shared" si="0"/>
        <v>55.18306790095383</v>
      </c>
      <c r="E10" s="18">
        <f t="shared" si="0"/>
        <v>55.676327175452201</v>
      </c>
      <c r="F10" s="18">
        <f t="shared" si="0"/>
        <v>56.133957764403732</v>
      </c>
      <c r="G10" s="18">
        <f t="shared" si="0"/>
        <v>56.466694909022188</v>
      </c>
      <c r="H10" s="18">
        <f t="shared" si="0"/>
        <v>57.032194159691336</v>
      </c>
      <c r="I10" s="18">
        <f t="shared" si="0"/>
        <v>57.003629108320098</v>
      </c>
      <c r="J10" s="18">
        <f t="shared" si="0"/>
        <v>52.255194601806359</v>
      </c>
      <c r="K10" s="18">
        <f t="shared" si="0"/>
        <v>53.62355966559889</v>
      </c>
      <c r="L10" s="18">
        <f t="shared" si="0"/>
        <v>54.966221313123441</v>
      </c>
      <c r="M10" s="18">
        <f t="shared" si="0"/>
        <v>56.279539490650862</v>
      </c>
      <c r="N10" s="18">
        <f t="shared" si="0"/>
        <v>57.699574969640054</v>
      </c>
      <c r="O10" s="18">
        <f t="shared" si="0"/>
        <v>59.302932577207542</v>
      </c>
      <c r="P10" s="18">
        <f t="shared" si="0"/>
        <v>60.948400502738096</v>
      </c>
      <c r="Q10" s="18">
        <f t="shared" si="0"/>
        <v>62.674516435258795</v>
      </c>
      <c r="R10" s="18">
        <f t="shared" si="0"/>
        <v>64.500156359871809</v>
      </c>
      <c r="S10" s="18">
        <f t="shared" si="0"/>
        <v>66.540037042527302</v>
      </c>
      <c r="T10" s="18">
        <f t="shared" si="0"/>
        <v>68.617005000770646</v>
      </c>
      <c r="U10" s="18">
        <f t="shared" si="0"/>
        <v>70.974904755369693</v>
      </c>
      <c r="V10" s="18">
        <f t="shared" si="0"/>
        <v>73.425239401493684</v>
      </c>
      <c r="W10" s="18">
        <f t="shared" si="0"/>
        <v>75.997213183651027</v>
      </c>
      <c r="X10" s="18">
        <f t="shared" si="0"/>
        <v>78.594699331415796</v>
      </c>
      <c r="Y10" s="18">
        <f t="shared" si="0"/>
        <v>80.959331818107628</v>
      </c>
      <c r="Z10" s="18">
        <f t="shared" si="0"/>
        <v>83.425132814381897</v>
      </c>
      <c r="AA10" s="18">
        <f t="shared" si="0"/>
        <v>86.073823732962524</v>
      </c>
      <c r="AB10" s="18">
        <f t="shared" si="0"/>
        <v>88.909499209733525</v>
      </c>
      <c r="AC10" s="18">
        <f t="shared" si="0"/>
        <v>91.711372118068766</v>
      </c>
      <c r="AD10" s="18">
        <f t="shared" si="0"/>
        <v>94.5770877473757</v>
      </c>
      <c r="AE10" s="18">
        <f t="shared" si="0"/>
        <v>97.476691137003115</v>
      </c>
      <c r="AF10" s="18">
        <f t="shared" si="0"/>
        <v>100.56625787510568</v>
      </c>
      <c r="AG10" s="18">
        <f t="shared" si="0"/>
        <v>103.8467132857627</v>
      </c>
      <c r="AH10" s="18">
        <f t="shared" si="0"/>
        <v>107.30747576555298</v>
      </c>
      <c r="AI10" s="18">
        <f t="shared" si="0"/>
        <v>111.01926991252481</v>
      </c>
      <c r="AJ10" s="18">
        <f t="shared" si="0"/>
        <v>114.98756274097082</v>
      </c>
      <c r="AK10" s="18">
        <f t="shared" si="0"/>
        <v>119.14641325192684</v>
      </c>
      <c r="AL10" s="18">
        <f t="shared" si="0"/>
        <v>123.32639329043802</v>
      </c>
      <c r="AM10" s="18">
        <f t="shared" si="0"/>
        <v>127.70966554090654</v>
      </c>
      <c r="AN10" s="18">
        <f t="shared" si="0"/>
        <v>132.36719475450298</v>
      </c>
    </row>
    <row r="11" spans="1:43" x14ac:dyDescent="0.25">
      <c r="A11" t="s">
        <v>28</v>
      </c>
      <c r="B11" s="18">
        <f t="shared" si="1"/>
        <v>14.11335055811956</v>
      </c>
      <c r="C11" s="18">
        <f t="shared" si="0"/>
        <v>14.529285948229166</v>
      </c>
      <c r="D11" s="18">
        <f t="shared" si="0"/>
        <v>14.792917934511397</v>
      </c>
      <c r="E11" s="18">
        <f t="shared" si="0"/>
        <v>15.037620245798024</v>
      </c>
      <c r="F11" s="18">
        <f t="shared" si="0"/>
        <v>15.211889470186245</v>
      </c>
      <c r="G11" s="18">
        <f t="shared" ref="C11:AN17" si="2">IF($B$1="Reference",G44,G79)</f>
        <v>15.372585006286357</v>
      </c>
      <c r="H11" s="18">
        <f t="shared" si="2"/>
        <v>15.57343100248616</v>
      </c>
      <c r="I11" s="18">
        <f t="shared" si="2"/>
        <v>15.632663118419302</v>
      </c>
      <c r="J11" s="18">
        <f t="shared" si="2"/>
        <v>14.281790439496202</v>
      </c>
      <c r="K11" s="18">
        <f t="shared" si="2"/>
        <v>14.678591596985113</v>
      </c>
      <c r="L11" s="18">
        <f t="shared" si="2"/>
        <v>15.06461521129952</v>
      </c>
      <c r="M11" s="18">
        <f t="shared" si="2"/>
        <v>15.46083557534152</v>
      </c>
      <c r="N11" s="18">
        <f t="shared" si="2"/>
        <v>15.890762760607563</v>
      </c>
      <c r="O11" s="18">
        <f t="shared" si="2"/>
        <v>16.370572396708098</v>
      </c>
      <c r="P11" s="18">
        <f t="shared" si="2"/>
        <v>16.864063367703142</v>
      </c>
      <c r="Q11" s="18">
        <f t="shared" si="2"/>
        <v>17.3952194321595</v>
      </c>
      <c r="R11" s="18">
        <f t="shared" si="2"/>
        <v>17.952401379573427</v>
      </c>
      <c r="S11" s="18">
        <f t="shared" si="2"/>
        <v>18.559266429108813</v>
      </c>
      <c r="T11" s="18">
        <f t="shared" si="2"/>
        <v>19.177459569098534</v>
      </c>
      <c r="U11" s="18">
        <f t="shared" si="2"/>
        <v>19.877574709061882</v>
      </c>
      <c r="V11" s="18">
        <f t="shared" si="2"/>
        <v>20.61069469066333</v>
      </c>
      <c r="W11" s="18">
        <f t="shared" si="2"/>
        <v>21.382940226614938</v>
      </c>
      <c r="X11" s="18">
        <f t="shared" si="2"/>
        <v>22.163541490088175</v>
      </c>
      <c r="Y11" s="18">
        <f t="shared" si="2"/>
        <v>22.879945957790131</v>
      </c>
      <c r="Z11" s="18">
        <f t="shared" si="2"/>
        <v>23.637355820597676</v>
      </c>
      <c r="AA11" s="18">
        <f t="shared" si="2"/>
        <v>24.460798193899048</v>
      </c>
      <c r="AB11" s="18">
        <f t="shared" si="2"/>
        <v>25.343805679701738</v>
      </c>
      <c r="AC11" s="18">
        <f t="shared" si="2"/>
        <v>26.232665727560232</v>
      </c>
      <c r="AD11" s="18">
        <f t="shared" si="2"/>
        <v>27.155103698050855</v>
      </c>
      <c r="AE11" s="18">
        <f t="shared" si="2"/>
        <v>28.094159252556153</v>
      </c>
      <c r="AF11" s="18">
        <f t="shared" si="2"/>
        <v>29.084906230815911</v>
      </c>
      <c r="AG11" s="18">
        <f t="shared" si="2"/>
        <v>30.143829470957463</v>
      </c>
      <c r="AH11" s="18">
        <f t="shared" si="2"/>
        <v>31.260506113270068</v>
      </c>
      <c r="AI11" s="18">
        <f t="shared" si="2"/>
        <v>32.456430029256332</v>
      </c>
      <c r="AJ11" s="18">
        <f t="shared" si="2"/>
        <v>33.714449511721448</v>
      </c>
      <c r="AK11" s="18">
        <f t="shared" si="2"/>
        <v>35.03400388217112</v>
      </c>
      <c r="AL11" s="18">
        <f t="shared" si="2"/>
        <v>36.353176091755827</v>
      </c>
      <c r="AM11" s="18">
        <f t="shared" si="2"/>
        <v>37.73572981913145</v>
      </c>
      <c r="AN11" s="18">
        <f t="shared" si="2"/>
        <v>39.194910433110081</v>
      </c>
    </row>
    <row r="12" spans="1:43" x14ac:dyDescent="0.25">
      <c r="A12" t="s">
        <v>29</v>
      </c>
      <c r="B12" s="18">
        <f t="shared" si="1"/>
        <v>13.345629432701729</v>
      </c>
      <c r="C12" s="18">
        <f t="shared" si="2"/>
        <v>13.88856633822615</v>
      </c>
      <c r="D12" s="18">
        <f t="shared" si="2"/>
        <v>14.23042630100378</v>
      </c>
      <c r="E12" s="18">
        <f t="shared" si="2"/>
        <v>14.650080326208252</v>
      </c>
      <c r="F12" s="18">
        <f t="shared" si="2"/>
        <v>14.737373657407572</v>
      </c>
      <c r="G12" s="18">
        <f t="shared" si="2"/>
        <v>14.865669908290192</v>
      </c>
      <c r="H12" s="18">
        <f t="shared" si="2"/>
        <v>14.890586998774422</v>
      </c>
      <c r="I12" s="18">
        <f t="shared" si="2"/>
        <v>14.775538776469551</v>
      </c>
      <c r="J12" s="18">
        <f t="shared" si="2"/>
        <v>12.847283577010501</v>
      </c>
      <c r="K12" s="18">
        <f t="shared" si="2"/>
        <v>13.20942691569933</v>
      </c>
      <c r="L12" s="18">
        <f t="shared" si="2"/>
        <v>13.489589011782209</v>
      </c>
      <c r="M12" s="18">
        <f t="shared" si="2"/>
        <v>13.773528288625783</v>
      </c>
      <c r="N12" s="18">
        <f t="shared" si="2"/>
        <v>14.078274783100348</v>
      </c>
      <c r="O12" s="18">
        <f t="shared" si="2"/>
        <v>14.470582529453081</v>
      </c>
      <c r="P12" s="18">
        <f t="shared" si="2"/>
        <v>14.825189683200671</v>
      </c>
      <c r="Q12" s="18">
        <f t="shared" si="2"/>
        <v>15.189003854507641</v>
      </c>
      <c r="R12" s="18">
        <f t="shared" si="2"/>
        <v>15.574353325980528</v>
      </c>
      <c r="S12" s="18">
        <f t="shared" si="2"/>
        <v>16.059010445012778</v>
      </c>
      <c r="T12" s="18">
        <f t="shared" si="2"/>
        <v>16.545121416580706</v>
      </c>
      <c r="U12" s="18">
        <f t="shared" si="2"/>
        <v>17.139271863896138</v>
      </c>
      <c r="V12" s="18">
        <f t="shared" si="2"/>
        <v>17.740782754841227</v>
      </c>
      <c r="W12" s="18">
        <f t="shared" si="2"/>
        <v>18.375930295126619</v>
      </c>
      <c r="X12" s="18">
        <f t="shared" si="2"/>
        <v>18.985030537859622</v>
      </c>
      <c r="Y12" s="18">
        <f t="shared" si="2"/>
        <v>19.522983188324005</v>
      </c>
      <c r="Z12" s="18">
        <f t="shared" si="2"/>
        <v>20.050091930418269</v>
      </c>
      <c r="AA12" s="18">
        <f t="shared" si="2"/>
        <v>20.746246324700902</v>
      </c>
      <c r="AB12" s="18">
        <f t="shared" si="2"/>
        <v>21.36292428421223</v>
      </c>
      <c r="AC12" s="18">
        <f t="shared" si="2"/>
        <v>21.959544985491799</v>
      </c>
      <c r="AD12" s="18">
        <f t="shared" si="2"/>
        <v>22.56015403253036</v>
      </c>
      <c r="AE12" s="18">
        <f t="shared" si="2"/>
        <v>23.116520568045249</v>
      </c>
      <c r="AF12" s="18">
        <f t="shared" si="2"/>
        <v>23.706573048006632</v>
      </c>
      <c r="AG12" s="18">
        <f t="shared" si="2"/>
        <v>24.330010177173204</v>
      </c>
      <c r="AH12" s="18">
        <f t="shared" si="2"/>
        <v>24.981849403465421</v>
      </c>
      <c r="AI12" s="18">
        <f t="shared" si="2"/>
        <v>25.67805925953359</v>
      </c>
      <c r="AJ12" s="18">
        <f t="shared" si="2"/>
        <v>26.484367100883127</v>
      </c>
      <c r="AK12" s="18">
        <f t="shared" si="2"/>
        <v>27.32545250660927</v>
      </c>
      <c r="AL12" s="18">
        <f t="shared" si="2"/>
        <v>28.139565213567323</v>
      </c>
      <c r="AM12" s="18">
        <f t="shared" si="2"/>
        <v>28.984092527487629</v>
      </c>
      <c r="AN12" s="18">
        <f t="shared" si="2"/>
        <v>29.878966996482575</v>
      </c>
    </row>
    <row r="13" spans="1:43" x14ac:dyDescent="0.25">
      <c r="A13" t="s">
        <v>30</v>
      </c>
      <c r="B13" s="18">
        <f t="shared" si="1"/>
        <v>10.112362730184675</v>
      </c>
      <c r="C13" s="18">
        <f t="shared" si="2"/>
        <v>8.5040411249539964</v>
      </c>
      <c r="D13" s="18">
        <f t="shared" si="2"/>
        <v>7.784491547386529</v>
      </c>
      <c r="E13" s="18">
        <f t="shared" si="2"/>
        <v>7.8869957375456359</v>
      </c>
      <c r="F13" s="18">
        <f t="shared" si="2"/>
        <v>7.6498178254625797</v>
      </c>
      <c r="G13" s="18">
        <f t="shared" si="2"/>
        <v>7.3431413818304856</v>
      </c>
      <c r="H13" s="18">
        <f t="shared" si="2"/>
        <v>7.1864565939413234</v>
      </c>
      <c r="I13" s="18">
        <f t="shared" si="2"/>
        <v>6.8812332740651714</v>
      </c>
      <c r="J13" s="18">
        <f t="shared" si="2"/>
        <v>5.5992862977534568</v>
      </c>
      <c r="K13" s="18">
        <f t="shared" si="2"/>
        <v>5.7341894840445793</v>
      </c>
      <c r="L13" s="18">
        <f t="shared" si="2"/>
        <v>5.7866222491391648</v>
      </c>
      <c r="M13" s="18">
        <f t="shared" si="2"/>
        <v>5.840496142866928</v>
      </c>
      <c r="N13" s="18">
        <f t="shared" si="2"/>
        <v>5.9286574884635952</v>
      </c>
      <c r="O13" s="18">
        <f t="shared" si="2"/>
        <v>6.0812507942852525</v>
      </c>
      <c r="P13" s="18">
        <f t="shared" si="2"/>
        <v>6.2192974202882096</v>
      </c>
      <c r="Q13" s="18">
        <f t="shared" si="2"/>
        <v>6.3662963283424023</v>
      </c>
      <c r="R13" s="18">
        <f t="shared" si="2"/>
        <v>6.5276887149857554</v>
      </c>
      <c r="S13" s="18">
        <f t="shared" si="2"/>
        <v>6.7871544589385726</v>
      </c>
      <c r="T13" s="18">
        <f t="shared" si="2"/>
        <v>7.0701556814234481</v>
      </c>
      <c r="U13" s="18">
        <f t="shared" si="2"/>
        <v>7.4309073946525315</v>
      </c>
      <c r="V13" s="18">
        <f t="shared" si="2"/>
        <v>7.8155635114134849</v>
      </c>
      <c r="W13" s="18">
        <f t="shared" si="2"/>
        <v>8.2355530532491592</v>
      </c>
      <c r="X13" s="18">
        <f t="shared" si="2"/>
        <v>8.6546524623416072</v>
      </c>
      <c r="Y13" s="18">
        <f t="shared" si="2"/>
        <v>9.0576796935178692</v>
      </c>
      <c r="Z13" s="18">
        <f t="shared" si="2"/>
        <v>9.4348472755690143</v>
      </c>
      <c r="AA13" s="18">
        <f t="shared" si="2"/>
        <v>9.8425637018627921</v>
      </c>
      <c r="AB13" s="18">
        <f t="shared" si="2"/>
        <v>10.285140631781458</v>
      </c>
      <c r="AC13" s="18">
        <f t="shared" si="2"/>
        <v>10.710157672238857</v>
      </c>
      <c r="AD13" s="18">
        <f t="shared" si="2"/>
        <v>11.128823515036686</v>
      </c>
      <c r="AE13" s="18">
        <f t="shared" si="2"/>
        <v>11.46733687246021</v>
      </c>
      <c r="AF13" s="18">
        <f t="shared" si="2"/>
        <v>11.783562378235207</v>
      </c>
      <c r="AG13" s="18">
        <f t="shared" si="2"/>
        <v>12.081804636314359</v>
      </c>
      <c r="AH13" s="18">
        <f t="shared" si="2"/>
        <v>12.360430121812234</v>
      </c>
      <c r="AI13" s="18">
        <f t="shared" si="2"/>
        <v>12.630138347688771</v>
      </c>
      <c r="AJ13" s="18">
        <f t="shared" si="2"/>
        <v>12.960341207680875</v>
      </c>
      <c r="AK13" s="18">
        <f t="shared" si="2"/>
        <v>13.300477852696885</v>
      </c>
      <c r="AL13" s="18">
        <f t="shared" si="2"/>
        <v>13.620251502395988</v>
      </c>
      <c r="AM13" s="18">
        <f t="shared" si="2"/>
        <v>13.940449308014085</v>
      </c>
      <c r="AN13" s="18">
        <f t="shared" si="2"/>
        <v>14.271458563899428</v>
      </c>
    </row>
    <row r="14" spans="1:43" x14ac:dyDescent="0.25">
      <c r="A14" t="s">
        <v>31</v>
      </c>
      <c r="B14" s="18">
        <f t="shared" si="1"/>
        <v>1.2396211872289537E-4</v>
      </c>
      <c r="C14" s="18">
        <f t="shared" si="2"/>
        <v>1.3695422009881513E-4</v>
      </c>
      <c r="D14" s="18">
        <f t="shared" si="2"/>
        <v>1.4914555552202771E-4</v>
      </c>
      <c r="E14" s="18">
        <f t="shared" si="2"/>
        <v>1.4546157642812341E-4</v>
      </c>
      <c r="F14" s="18">
        <f t="shared" si="2"/>
        <v>1.4279518961318394E-4</v>
      </c>
      <c r="G14" s="18">
        <f t="shared" si="2"/>
        <v>1.3966781494797052E-4</v>
      </c>
      <c r="H14" s="18">
        <f t="shared" si="2"/>
        <v>1.4671108490655016E-4</v>
      </c>
      <c r="I14" s="18">
        <f t="shared" si="2"/>
        <v>1.4680049685268729E-4</v>
      </c>
      <c r="J14" s="18">
        <f t="shared" si="2"/>
        <v>1.1252323073074771E-4</v>
      </c>
      <c r="K14" s="18">
        <f t="shared" si="2"/>
        <v>1.2307790272328019E-4</v>
      </c>
      <c r="L14" s="18">
        <f t="shared" si="2"/>
        <v>1.2639716564333281E-4</v>
      </c>
      <c r="M14" s="18">
        <f t="shared" si="2"/>
        <v>1.2948644109559701E-4</v>
      </c>
      <c r="N14" s="18">
        <f t="shared" si="2"/>
        <v>1.3374558197776801E-4</v>
      </c>
      <c r="O14" s="18">
        <f t="shared" si="2"/>
        <v>1.4220168231537909E-4</v>
      </c>
      <c r="P14" s="18">
        <f t="shared" si="2"/>
        <v>1.4584764604876969E-4</v>
      </c>
      <c r="Q14" s="18">
        <f t="shared" si="2"/>
        <v>1.4860971012578352E-4</v>
      </c>
      <c r="R14" s="18">
        <f t="shared" si="2"/>
        <v>1.512850982669578E-4</v>
      </c>
      <c r="S14" s="18">
        <f t="shared" si="2"/>
        <v>1.2381549819444655E-4</v>
      </c>
      <c r="T14" s="18">
        <f t="shared" si="2"/>
        <v>1.2379249864902822E-4</v>
      </c>
      <c r="U14" s="18">
        <f t="shared" si="2"/>
        <v>1.2370521753358654E-4</v>
      </c>
      <c r="V14" s="18">
        <f t="shared" si="2"/>
        <v>1.2362748054182927E-4</v>
      </c>
      <c r="W14" s="18">
        <f t="shared" si="2"/>
        <v>1.2354349043632777E-4</v>
      </c>
      <c r="X14" s="18">
        <f t="shared" si="2"/>
        <v>1.2350315089133343E-4</v>
      </c>
      <c r="Y14" s="18">
        <f t="shared" si="2"/>
        <v>1.2350315089133343E-4</v>
      </c>
      <c r="Z14" s="18">
        <f t="shared" si="2"/>
        <v>1.2350315089133332E-4</v>
      </c>
      <c r="AA14" s="18">
        <f t="shared" si="2"/>
        <v>1.2350315089133332E-4</v>
      </c>
      <c r="AB14" s="18">
        <f t="shared" si="2"/>
        <v>1.2349298139864001E-4</v>
      </c>
      <c r="AC14" s="18">
        <f t="shared" si="2"/>
        <v>1.2348359525330571E-4</v>
      </c>
      <c r="AD14" s="18">
        <f t="shared" si="2"/>
        <v>1.2347692682499546E-4</v>
      </c>
      <c r="AE14" s="18">
        <f t="shared" si="2"/>
        <v>1.2346318171867763E-4</v>
      </c>
      <c r="AF14" s="18">
        <f t="shared" si="2"/>
        <v>1.2346318171867763E-4</v>
      </c>
      <c r="AG14" s="18">
        <f t="shared" si="2"/>
        <v>1.2346318171867766E-4</v>
      </c>
      <c r="AH14" s="18">
        <f t="shared" si="2"/>
        <v>1.2346318171867766E-4</v>
      </c>
      <c r="AI14" s="18">
        <f t="shared" si="2"/>
        <v>1.2346318171867771E-4</v>
      </c>
      <c r="AJ14" s="18">
        <f t="shared" si="2"/>
        <v>1.2346318171867768E-4</v>
      </c>
      <c r="AK14" s="18">
        <f t="shared" si="2"/>
        <v>1.2346318171867771E-4</v>
      </c>
      <c r="AL14" s="18">
        <f t="shared" si="2"/>
        <v>1.234437818749194E-4</v>
      </c>
      <c r="AM14" s="18">
        <f t="shared" si="2"/>
        <v>1.2341340744386161E-4</v>
      </c>
      <c r="AN14" s="18">
        <f t="shared" si="2"/>
        <v>1.2337477954072176E-4</v>
      </c>
    </row>
    <row r="15" spans="1:43" x14ac:dyDescent="0.25">
      <c r="A15" t="s">
        <v>32</v>
      </c>
      <c r="B15" s="18">
        <f t="shared" si="1"/>
        <v>84.250557323843438</v>
      </c>
      <c r="C15" s="18">
        <f t="shared" si="2"/>
        <v>82.81129596603968</v>
      </c>
      <c r="D15" s="18">
        <f t="shared" si="2"/>
        <v>81.075741423201265</v>
      </c>
      <c r="E15" s="18">
        <f t="shared" si="2"/>
        <v>79.093845627180855</v>
      </c>
      <c r="F15" s="18">
        <f t="shared" si="2"/>
        <v>77.164041185730042</v>
      </c>
      <c r="G15" s="18">
        <f t="shared" si="2"/>
        <v>76.937717608149342</v>
      </c>
      <c r="H15" s="18">
        <f t="shared" si="2"/>
        <v>76.724427192604097</v>
      </c>
      <c r="I15" s="18">
        <f t="shared" si="2"/>
        <v>76.425620376368414</v>
      </c>
      <c r="J15" s="18">
        <f t="shared" si="2"/>
        <v>70.183029353302913</v>
      </c>
      <c r="K15" s="18">
        <f t="shared" si="2"/>
        <v>73.006988976034165</v>
      </c>
      <c r="L15" s="18">
        <f t="shared" si="2"/>
        <v>72.820938025181761</v>
      </c>
      <c r="M15" s="18">
        <f t="shared" si="2"/>
        <v>73.775854201320513</v>
      </c>
      <c r="N15" s="18">
        <f t="shared" si="2"/>
        <v>74.923675022788373</v>
      </c>
      <c r="O15" s="18">
        <f t="shared" si="2"/>
        <v>76.474595932696758</v>
      </c>
      <c r="P15" s="18">
        <f t="shared" si="2"/>
        <v>77.320112773260362</v>
      </c>
      <c r="Q15" s="18">
        <f t="shared" si="2"/>
        <v>78.659217596876843</v>
      </c>
      <c r="R15" s="18">
        <f t="shared" si="2"/>
        <v>80.001452073539056</v>
      </c>
      <c r="S15" s="18">
        <f t="shared" si="2"/>
        <v>82.191264176921962</v>
      </c>
      <c r="T15" s="18">
        <f t="shared" si="2"/>
        <v>84.396391236931905</v>
      </c>
      <c r="U15" s="18">
        <f t="shared" si="2"/>
        <v>86.558480898584037</v>
      </c>
      <c r="V15" s="18">
        <f t="shared" si="2"/>
        <v>89.123317463689006</v>
      </c>
      <c r="W15" s="18">
        <f t="shared" si="2"/>
        <v>91.908065300654314</v>
      </c>
      <c r="X15" s="18">
        <f t="shared" si="2"/>
        <v>94.365506481626667</v>
      </c>
      <c r="Y15" s="18">
        <f t="shared" si="2"/>
        <v>94.653432936841739</v>
      </c>
      <c r="Z15" s="18">
        <f t="shared" si="2"/>
        <v>96.801149280843958</v>
      </c>
      <c r="AA15" s="18">
        <f t="shared" si="2"/>
        <v>99.034931126986663</v>
      </c>
      <c r="AB15" s="18">
        <f t="shared" si="2"/>
        <v>102.8787753256952</v>
      </c>
      <c r="AC15" s="18">
        <f t="shared" si="2"/>
        <v>106.67814364081399</v>
      </c>
      <c r="AD15" s="18">
        <f t="shared" si="2"/>
        <v>110.42833075004675</v>
      </c>
      <c r="AE15" s="18">
        <f t="shared" si="2"/>
        <v>113.43078156980397</v>
      </c>
      <c r="AF15" s="18">
        <f t="shared" si="2"/>
        <v>116.12339815187033</v>
      </c>
      <c r="AG15" s="18">
        <f t="shared" si="2"/>
        <v>118.74876225606278</v>
      </c>
      <c r="AH15" s="18">
        <f t="shared" si="2"/>
        <v>121.22944464966906</v>
      </c>
      <c r="AI15" s="18">
        <f t="shared" si="2"/>
        <v>123.62815260112532</v>
      </c>
      <c r="AJ15" s="18">
        <f t="shared" si="2"/>
        <v>126.78322335532275</v>
      </c>
      <c r="AK15" s="18">
        <f t="shared" si="2"/>
        <v>129.84827947131691</v>
      </c>
      <c r="AL15" s="18">
        <f t="shared" si="2"/>
        <v>133.19576547496635</v>
      </c>
      <c r="AM15" s="18">
        <f t="shared" si="2"/>
        <v>136.8948281006675</v>
      </c>
      <c r="AN15" s="18">
        <f t="shared" si="2"/>
        <v>140.91072639414494</v>
      </c>
    </row>
    <row r="16" spans="1:43" x14ac:dyDescent="0.25">
      <c r="A16" t="s">
        <v>33</v>
      </c>
      <c r="B16" s="18">
        <f t="shared" si="1"/>
        <v>21.151207305916373</v>
      </c>
      <c r="C16" s="18">
        <f t="shared" si="2"/>
        <v>22.499179969510678</v>
      </c>
      <c r="D16" s="18">
        <f t="shared" si="2"/>
        <v>24.191488148884012</v>
      </c>
      <c r="E16" s="18">
        <f t="shared" si="2"/>
        <v>25.430939271439531</v>
      </c>
      <c r="F16" s="18">
        <f t="shared" si="2"/>
        <v>26.280374840429307</v>
      </c>
      <c r="G16" s="18">
        <f t="shared" si="2"/>
        <v>28.213837417598356</v>
      </c>
      <c r="H16" s="18">
        <f t="shared" si="2"/>
        <v>30.418235084806355</v>
      </c>
      <c r="I16" s="18">
        <f t="shared" si="2"/>
        <v>31.872600449723471</v>
      </c>
      <c r="J16" s="18">
        <f t="shared" si="2"/>
        <v>30.529693994834542</v>
      </c>
      <c r="K16" s="18">
        <f t="shared" si="2"/>
        <v>31.84833808160041</v>
      </c>
      <c r="L16" s="18">
        <f t="shared" si="2"/>
        <v>33.274928910999627</v>
      </c>
      <c r="M16" s="18">
        <f t="shared" si="2"/>
        <v>34.81258853979967</v>
      </c>
      <c r="N16" s="18">
        <f t="shared" si="2"/>
        <v>36.53258422607145</v>
      </c>
      <c r="O16" s="18">
        <f t="shared" si="2"/>
        <v>38.475879371516619</v>
      </c>
      <c r="P16" s="18">
        <f t="shared" si="2"/>
        <v>40.547758380242612</v>
      </c>
      <c r="Q16" s="18">
        <f t="shared" si="2"/>
        <v>42.781868056686605</v>
      </c>
      <c r="R16" s="18">
        <f t="shared" si="2"/>
        <v>45.171605268573586</v>
      </c>
      <c r="S16" s="18">
        <f t="shared" si="2"/>
        <v>47.86493181279122</v>
      </c>
      <c r="T16" s="18">
        <f t="shared" si="2"/>
        <v>50.736754810090829</v>
      </c>
      <c r="U16" s="18">
        <f t="shared" si="2"/>
        <v>53.912589397002129</v>
      </c>
      <c r="V16" s="18">
        <f t="shared" si="2"/>
        <v>57.281748620919018</v>
      </c>
      <c r="W16" s="18">
        <f t="shared" si="2"/>
        <v>60.894907069687825</v>
      </c>
      <c r="X16" s="18">
        <f t="shared" si="2"/>
        <v>64.610396047378245</v>
      </c>
      <c r="Y16" s="18">
        <f t="shared" si="2"/>
        <v>68.379717303480916</v>
      </c>
      <c r="Z16" s="18">
        <f t="shared" si="2"/>
        <v>72.259899929069761</v>
      </c>
      <c r="AA16" s="18">
        <f t="shared" si="2"/>
        <v>76.493819486757786</v>
      </c>
      <c r="AB16" s="18">
        <f t="shared" si="2"/>
        <v>81.444864101084079</v>
      </c>
      <c r="AC16" s="18">
        <f t="shared" si="2"/>
        <v>86.710409160072842</v>
      </c>
      <c r="AD16" s="18">
        <f t="shared" si="2"/>
        <v>92.434945700919826</v>
      </c>
      <c r="AE16" s="18">
        <f t="shared" si="2"/>
        <v>98.268590350568573</v>
      </c>
      <c r="AF16" s="18">
        <f t="shared" si="2"/>
        <v>104.34467658007476</v>
      </c>
      <c r="AG16" s="18">
        <f t="shared" si="2"/>
        <v>110.67746380976553</v>
      </c>
      <c r="AH16" s="18">
        <f t="shared" si="2"/>
        <v>117.27237330302799</v>
      </c>
      <c r="AI16" s="18">
        <f t="shared" si="2"/>
        <v>124.19735283808427</v>
      </c>
      <c r="AJ16" s="18">
        <f t="shared" si="2"/>
        <v>131.34077150611236</v>
      </c>
      <c r="AK16" s="18">
        <f t="shared" si="2"/>
        <v>138.71734173085727</v>
      </c>
      <c r="AL16" s="18">
        <f t="shared" si="2"/>
        <v>145.97369717802786</v>
      </c>
      <c r="AM16" s="18">
        <f t="shared" si="2"/>
        <v>153.43314131796552</v>
      </c>
      <c r="AN16" s="18">
        <f t="shared" si="2"/>
        <v>161.24078849811681</v>
      </c>
    </row>
    <row r="17" spans="1:40" x14ac:dyDescent="0.25">
      <c r="A17" t="s">
        <v>34</v>
      </c>
      <c r="B17" s="18">
        <f t="shared" si="1"/>
        <v>135.95535691221784</v>
      </c>
      <c r="C17" s="18">
        <f t="shared" si="2"/>
        <v>139.6930871386345</v>
      </c>
      <c r="D17" s="18">
        <f t="shared" si="2"/>
        <v>142.53185682907349</v>
      </c>
      <c r="E17" s="18">
        <f t="shared" si="2"/>
        <v>143.97840508252531</v>
      </c>
      <c r="F17" s="18">
        <f t="shared" si="2"/>
        <v>144.89697158831373</v>
      </c>
      <c r="G17" s="18">
        <f t="shared" si="2"/>
        <v>146.66852466159426</v>
      </c>
      <c r="H17" s="18">
        <f t="shared" si="2"/>
        <v>148.40851369632202</v>
      </c>
      <c r="I17" s="18">
        <f t="shared" si="2"/>
        <v>149.18900118137717</v>
      </c>
      <c r="J17" s="18">
        <f t="shared" si="2"/>
        <v>137.77801358505732</v>
      </c>
      <c r="K17" s="18">
        <f t="shared" si="2"/>
        <v>140.97100285380822</v>
      </c>
      <c r="L17" s="18">
        <f t="shared" si="2"/>
        <v>144.15772666023415</v>
      </c>
      <c r="M17" s="18">
        <f t="shared" si="2"/>
        <v>147.43807262661258</v>
      </c>
      <c r="N17" s="18">
        <f t="shared" si="2"/>
        <v>151.04633792655628</v>
      </c>
      <c r="O17" s="18">
        <f t="shared" si="2"/>
        <v>154.98715479368963</v>
      </c>
      <c r="P17" s="18">
        <f t="shared" si="2"/>
        <v>159.09021555154268</v>
      </c>
      <c r="Q17" s="18">
        <f t="shared" si="2"/>
        <v>163.47787995346616</v>
      </c>
      <c r="R17" s="18">
        <f t="shared" si="2"/>
        <v>168.18100936864192</v>
      </c>
      <c r="S17" s="18">
        <f t="shared" si="2"/>
        <v>173.26383315772949</v>
      </c>
      <c r="T17" s="18">
        <f t="shared" si="2"/>
        <v>178.43307881829242</v>
      </c>
      <c r="U17" s="18">
        <f t="shared" si="2"/>
        <v>184.05669939314808</v>
      </c>
      <c r="V17" s="18">
        <f t="shared" si="2"/>
        <v>190.00615924048742</v>
      </c>
      <c r="W17" s="18">
        <f t="shared" si="2"/>
        <v>196.27368424773437</v>
      </c>
      <c r="X17" s="18">
        <f t="shared" si="2"/>
        <v>202.66173951495387</v>
      </c>
      <c r="Y17" s="18">
        <f t="shared" si="2"/>
        <v>208.71731760101491</v>
      </c>
      <c r="Z17" s="18">
        <f t="shared" si="2"/>
        <v>215.00842614463681</v>
      </c>
      <c r="AA17" s="18">
        <f t="shared" si="2"/>
        <v>221.66434795418635</v>
      </c>
      <c r="AB17" s="18">
        <f t="shared" si="2"/>
        <v>228.53362975270883</v>
      </c>
      <c r="AC17" s="18">
        <f t="shared" si="2"/>
        <v>235.33652123064408</v>
      </c>
      <c r="AD17" s="18">
        <f t="shared" si="2"/>
        <v>242.33227034357745</v>
      </c>
      <c r="AE17" s="18">
        <f t="shared" si="2"/>
        <v>249.91204902037566</v>
      </c>
      <c r="AF17" s="18">
        <f t="shared" si="2"/>
        <v>257.97422216610948</v>
      </c>
      <c r="AG17" s="18">
        <f t="shared" si="2"/>
        <v>266.54247647722758</v>
      </c>
      <c r="AH17" s="18">
        <f t="shared" ref="C17:AN21" si="3">IF($B$1="Reference",AH50,AH85)</f>
        <v>275.60146219383819</v>
      </c>
      <c r="AI17" s="18">
        <f t="shared" si="3"/>
        <v>285.31671044817875</v>
      </c>
      <c r="AJ17" s="18">
        <f t="shared" si="3"/>
        <v>295.37254285875559</v>
      </c>
      <c r="AK17" s="18">
        <f t="shared" si="3"/>
        <v>305.9265384512945</v>
      </c>
      <c r="AL17" s="18">
        <f t="shared" si="3"/>
        <v>316.4520934069472</v>
      </c>
      <c r="AM17" s="18">
        <f t="shared" si="3"/>
        <v>327.51114587494573</v>
      </c>
      <c r="AN17" s="18">
        <f t="shared" si="3"/>
        <v>339.27051298002249</v>
      </c>
    </row>
    <row r="18" spans="1:40" x14ac:dyDescent="0.25">
      <c r="A18" t="s">
        <v>35</v>
      </c>
      <c r="B18" s="18">
        <f t="shared" si="1"/>
        <v>11.263564724197595</v>
      </c>
      <c r="C18" s="18">
        <f t="shared" si="3"/>
        <v>11.564880744073186</v>
      </c>
      <c r="D18" s="18">
        <f t="shared" si="3"/>
        <v>11.895169876208239</v>
      </c>
      <c r="E18" s="18">
        <f t="shared" si="3"/>
        <v>12.101680341615882</v>
      </c>
      <c r="F18" s="18">
        <f t="shared" si="3"/>
        <v>12.16381438507412</v>
      </c>
      <c r="G18" s="18">
        <f t="shared" si="3"/>
        <v>12.307235497004221</v>
      </c>
      <c r="H18" s="18">
        <f t="shared" si="3"/>
        <v>12.581022932216117</v>
      </c>
      <c r="I18" s="18">
        <f t="shared" si="3"/>
        <v>12.733958410018209</v>
      </c>
      <c r="J18" s="18">
        <f t="shared" si="3"/>
        <v>11.93755402627886</v>
      </c>
      <c r="K18" s="18">
        <f t="shared" si="3"/>
        <v>12.277780237899368</v>
      </c>
      <c r="L18" s="18">
        <f t="shared" si="3"/>
        <v>12.557250687384618</v>
      </c>
      <c r="M18" s="18">
        <f t="shared" si="3"/>
        <v>12.793378222995578</v>
      </c>
      <c r="N18" s="18">
        <f t="shared" si="3"/>
        <v>13.036322519292622</v>
      </c>
      <c r="O18" s="18">
        <f t="shared" si="3"/>
        <v>13.286940771538248</v>
      </c>
      <c r="P18" s="18">
        <f t="shared" si="3"/>
        <v>13.545669961198996</v>
      </c>
      <c r="Q18" s="18">
        <f t="shared" si="3"/>
        <v>13.80676545376984</v>
      </c>
      <c r="R18" s="18">
        <f t="shared" si="3"/>
        <v>14.076101661490402</v>
      </c>
      <c r="S18" s="18">
        <f t="shared" si="3"/>
        <v>14.371453847552608</v>
      </c>
      <c r="T18" s="18">
        <f t="shared" si="3"/>
        <v>14.760588271266236</v>
      </c>
      <c r="U18" s="18">
        <f t="shared" si="3"/>
        <v>15.23474583861146</v>
      </c>
      <c r="V18" s="18">
        <f t="shared" si="3"/>
        <v>15.647120386483884</v>
      </c>
      <c r="W18" s="18">
        <f t="shared" si="3"/>
        <v>16.067124524632394</v>
      </c>
      <c r="X18" s="18">
        <f t="shared" si="3"/>
        <v>16.478844045197746</v>
      </c>
      <c r="Y18" s="18">
        <f t="shared" si="3"/>
        <v>16.842332375876932</v>
      </c>
      <c r="Z18" s="18">
        <f t="shared" si="3"/>
        <v>17.219856768272415</v>
      </c>
      <c r="AA18" s="18">
        <f t="shared" si="3"/>
        <v>17.622715561748304</v>
      </c>
      <c r="AB18" s="18">
        <f t="shared" si="3"/>
        <v>18.046476500857466</v>
      </c>
      <c r="AC18" s="18">
        <f t="shared" si="3"/>
        <v>18.480843075922849</v>
      </c>
      <c r="AD18" s="18">
        <f t="shared" si="3"/>
        <v>18.909599207781124</v>
      </c>
      <c r="AE18" s="18">
        <f t="shared" si="3"/>
        <v>19.370893478603456</v>
      </c>
      <c r="AF18" s="18">
        <f t="shared" si="3"/>
        <v>19.835461372348842</v>
      </c>
      <c r="AG18" s="18">
        <f t="shared" si="3"/>
        <v>20.319691314309026</v>
      </c>
      <c r="AH18" s="18">
        <f t="shared" si="3"/>
        <v>20.817050191681421</v>
      </c>
      <c r="AI18" s="18">
        <f t="shared" si="3"/>
        <v>21.351716835967462</v>
      </c>
      <c r="AJ18" s="18">
        <f t="shared" si="3"/>
        <v>21.902618208704439</v>
      </c>
      <c r="AK18" s="18">
        <f t="shared" si="3"/>
        <v>22.488150657253883</v>
      </c>
      <c r="AL18" s="18">
        <f t="shared" si="3"/>
        <v>23.084221928358826</v>
      </c>
      <c r="AM18" s="18">
        <f t="shared" si="3"/>
        <v>23.714998418964051</v>
      </c>
      <c r="AN18" s="18">
        <f t="shared" si="3"/>
        <v>24.392267247387995</v>
      </c>
    </row>
    <row r="19" spans="1:40" x14ac:dyDescent="0.25">
      <c r="A19" t="s">
        <v>36</v>
      </c>
      <c r="B19" s="18">
        <f t="shared" si="1"/>
        <v>1.1351531206547518</v>
      </c>
      <c r="C19" s="18">
        <f t="shared" si="3"/>
        <v>1.15711322653161</v>
      </c>
      <c r="D19" s="18">
        <f t="shared" si="3"/>
        <v>1.1451248217776735</v>
      </c>
      <c r="E19" s="18">
        <f t="shared" si="3"/>
        <v>1.1378630326698174</v>
      </c>
      <c r="F19" s="18">
        <f t="shared" si="3"/>
        <v>1.1554757657258468</v>
      </c>
      <c r="G19" s="18">
        <f t="shared" si="3"/>
        <v>1.1680831266552429</v>
      </c>
      <c r="H19" s="18">
        <f t="shared" si="3"/>
        <v>1.1385096642845971</v>
      </c>
      <c r="I19" s="18">
        <f t="shared" si="3"/>
        <v>1.1200910087074947</v>
      </c>
      <c r="J19" s="18">
        <f t="shared" si="3"/>
        <v>1.0052776357125583</v>
      </c>
      <c r="K19" s="18">
        <f t="shared" si="3"/>
        <v>1.0086047682286392</v>
      </c>
      <c r="L19" s="18">
        <f t="shared" si="3"/>
        <v>1.0285622829568837</v>
      </c>
      <c r="M19" s="18">
        <f t="shared" si="3"/>
        <v>1.0596104386301191</v>
      </c>
      <c r="N19" s="18">
        <f t="shared" si="3"/>
        <v>1.0970488295753977</v>
      </c>
      <c r="O19" s="18">
        <f t="shared" si="3"/>
        <v>1.1409256218859241</v>
      </c>
      <c r="P19" s="18">
        <f t="shared" si="3"/>
        <v>1.1888806263921556</v>
      </c>
      <c r="Q19" s="18">
        <f t="shared" si="3"/>
        <v>1.2443560856314992</v>
      </c>
      <c r="R19" s="18">
        <f t="shared" si="3"/>
        <v>1.3049653794885572</v>
      </c>
      <c r="S19" s="18">
        <f t="shared" si="3"/>
        <v>1.3739870860164407</v>
      </c>
      <c r="T19" s="18">
        <f t="shared" si="3"/>
        <v>1.4215948304483781</v>
      </c>
      <c r="U19" s="18">
        <f t="shared" si="3"/>
        <v>1.4599646535277526</v>
      </c>
      <c r="V19" s="18">
        <f t="shared" si="3"/>
        <v>1.5254299501304966</v>
      </c>
      <c r="W19" s="18">
        <f t="shared" si="3"/>
        <v>1.5983183277509556</v>
      </c>
      <c r="X19" s="18">
        <f t="shared" si="3"/>
        <v>1.6791177476062575</v>
      </c>
      <c r="Y19" s="18">
        <f t="shared" si="3"/>
        <v>1.7631138939586875</v>
      </c>
      <c r="Z19" s="18">
        <f t="shared" si="3"/>
        <v>1.8514135032974266</v>
      </c>
      <c r="AA19" s="18">
        <f t="shared" si="3"/>
        <v>1.9449441678624204</v>
      </c>
      <c r="AB19" s="18">
        <f t="shared" si="3"/>
        <v>2.0367871108946805</v>
      </c>
      <c r="AC19" s="18">
        <f t="shared" si="3"/>
        <v>2.1242136295758245</v>
      </c>
      <c r="AD19" s="18">
        <f t="shared" si="3"/>
        <v>2.2192618437892073</v>
      </c>
      <c r="AE19" s="18">
        <f t="shared" si="3"/>
        <v>2.3215790404376215</v>
      </c>
      <c r="AF19" s="18">
        <f t="shared" si="3"/>
        <v>2.4375591895254227</v>
      </c>
      <c r="AG19" s="18">
        <f t="shared" si="3"/>
        <v>2.5631913825599111</v>
      </c>
      <c r="AH19" s="18">
        <f t="shared" si="3"/>
        <v>2.7005819522225809</v>
      </c>
      <c r="AI19" s="18">
        <f t="shared" si="3"/>
        <v>2.8476016149860821</v>
      </c>
      <c r="AJ19" s="18">
        <f t="shared" si="3"/>
        <v>3.004329210704201</v>
      </c>
      <c r="AK19" s="18">
        <f t="shared" si="3"/>
        <v>3.1671461042106963</v>
      </c>
      <c r="AL19" s="18">
        <f t="shared" si="3"/>
        <v>3.3269267323454805</v>
      </c>
      <c r="AM19" s="18">
        <f t="shared" si="3"/>
        <v>3.4931501747013538</v>
      </c>
      <c r="AN19" s="18">
        <f t="shared" si="3"/>
        <v>3.6678480252546395</v>
      </c>
    </row>
    <row r="20" spans="1:40" x14ac:dyDescent="0.25">
      <c r="A20" t="s">
        <v>37</v>
      </c>
      <c r="B20" s="18">
        <f t="shared" si="1"/>
        <v>27.51630822473156</v>
      </c>
      <c r="C20" s="18">
        <f t="shared" si="3"/>
        <v>26.900456320201634</v>
      </c>
      <c r="D20" s="18">
        <f t="shared" si="3"/>
        <v>26.289001015653074</v>
      </c>
      <c r="E20" s="18">
        <f t="shared" si="3"/>
        <v>25.681026904731798</v>
      </c>
      <c r="F20" s="18">
        <f t="shared" si="3"/>
        <v>25.681026904731795</v>
      </c>
      <c r="G20" s="18">
        <f t="shared" si="3"/>
        <v>25.681026904731802</v>
      </c>
      <c r="H20" s="18">
        <f t="shared" si="3"/>
        <v>25.677334449984691</v>
      </c>
      <c r="I20" s="18">
        <f t="shared" si="3"/>
        <v>25.673641995237581</v>
      </c>
      <c r="J20" s="18">
        <f t="shared" si="3"/>
        <v>25.677334449984961</v>
      </c>
      <c r="K20" s="18">
        <f t="shared" si="3"/>
        <v>25.677334449984979</v>
      </c>
      <c r="L20" s="18">
        <f t="shared" si="3"/>
        <v>25.677334449984979</v>
      </c>
      <c r="M20" s="18">
        <f t="shared" si="3"/>
        <v>25.677334449984972</v>
      </c>
      <c r="N20" s="18">
        <f t="shared" si="3"/>
        <v>25.677334449984969</v>
      </c>
      <c r="O20" s="18">
        <f t="shared" si="3"/>
        <v>25.120332772771796</v>
      </c>
      <c r="P20" s="18">
        <f t="shared" si="3"/>
        <v>25.120332772771782</v>
      </c>
      <c r="Q20" s="18">
        <f t="shared" si="3"/>
        <v>25.120332772771778</v>
      </c>
      <c r="R20" s="18">
        <f t="shared" si="3"/>
        <v>25.120332772771778</v>
      </c>
      <c r="S20" s="18">
        <f t="shared" si="3"/>
        <v>25.115291275296332</v>
      </c>
      <c r="T20" s="18">
        <f t="shared" si="3"/>
        <v>25.110625944293314</v>
      </c>
      <c r="U20" s="18">
        <f t="shared" si="3"/>
        <v>24.152708560313343</v>
      </c>
      <c r="V20" s="18">
        <f t="shared" si="3"/>
        <v>23.489379235295221</v>
      </c>
      <c r="W20" s="18">
        <f t="shared" si="3"/>
        <v>22.778695998903089</v>
      </c>
      <c r="X20" s="18">
        <f t="shared" si="3"/>
        <v>22.349243348614582</v>
      </c>
      <c r="Y20" s="18">
        <f t="shared" si="3"/>
        <v>23.000161826004469</v>
      </c>
      <c r="Z20" s="18">
        <f t="shared" si="3"/>
        <v>23.610743972709912</v>
      </c>
      <c r="AA20" s="18">
        <f t="shared" si="3"/>
        <v>23.298125324424117</v>
      </c>
      <c r="AB20" s="18">
        <f t="shared" si="3"/>
        <v>22.005628077297999</v>
      </c>
      <c r="AC20" s="18">
        <f t="shared" si="3"/>
        <v>20.713474786100985</v>
      </c>
      <c r="AD20" s="18">
        <f t="shared" si="3"/>
        <v>19.421945152491961</v>
      </c>
      <c r="AE20" s="18">
        <f t="shared" si="3"/>
        <v>19.337063542372636</v>
      </c>
      <c r="AF20" s="18">
        <f t="shared" si="3"/>
        <v>19.254343928894187</v>
      </c>
      <c r="AG20" s="18">
        <f t="shared" si="3"/>
        <v>19.171624315415741</v>
      </c>
      <c r="AH20" s="18">
        <f t="shared" si="3"/>
        <v>19.088904701937288</v>
      </c>
      <c r="AI20" s="18">
        <f t="shared" si="3"/>
        <v>19.006185088458832</v>
      </c>
      <c r="AJ20" s="18">
        <f t="shared" si="3"/>
        <v>18.638275745498611</v>
      </c>
      <c r="AK20" s="18">
        <f t="shared" si="3"/>
        <v>18.270366402538393</v>
      </c>
      <c r="AL20" s="18">
        <f t="shared" si="3"/>
        <v>17.899644035768073</v>
      </c>
      <c r="AM20" s="18">
        <f t="shared" si="3"/>
        <v>17.527478650482823</v>
      </c>
      <c r="AN20" s="18">
        <f t="shared" si="3"/>
        <v>17.154346707435558</v>
      </c>
    </row>
    <row r="21" spans="1:40" x14ac:dyDescent="0.25">
      <c r="A21" t="s">
        <v>38</v>
      </c>
      <c r="B21" s="18">
        <f t="shared" si="1"/>
        <v>66.420365481469858</v>
      </c>
      <c r="C21" s="18">
        <f t="shared" si="3"/>
        <v>67.349104545774196</v>
      </c>
      <c r="D21" s="18">
        <f t="shared" si="3"/>
        <v>64.271865378659513</v>
      </c>
      <c r="E21" s="18">
        <f t="shared" si="3"/>
        <v>61.203956366290036</v>
      </c>
      <c r="F21" s="18">
        <f t="shared" si="3"/>
        <v>61.09576125595531</v>
      </c>
      <c r="G21" s="18">
        <f t="shared" si="3"/>
        <v>60.977920555313688</v>
      </c>
      <c r="H21" s="18">
        <f t="shared" si="3"/>
        <v>60.314891871173977</v>
      </c>
      <c r="I21" s="18">
        <f t="shared" si="3"/>
        <v>60.095393567609911</v>
      </c>
      <c r="J21" s="18">
        <f t="shared" si="3"/>
        <v>58.443716682751955</v>
      </c>
      <c r="K21" s="18">
        <f t="shared" si="3"/>
        <v>58.26035937168762</v>
      </c>
      <c r="L21" s="18">
        <f t="shared" si="3"/>
        <v>58.228585550981975</v>
      </c>
      <c r="M21" s="18">
        <f t="shared" si="3"/>
        <v>58.491098078246964</v>
      </c>
      <c r="N21" s="18">
        <f t="shared" si="3"/>
        <v>58.950504913566036</v>
      </c>
      <c r="O21" s="18">
        <f t="shared" si="3"/>
        <v>59.241005432837952</v>
      </c>
      <c r="P21" s="18">
        <f t="shared" si="3"/>
        <v>59.115594723835905</v>
      </c>
      <c r="Q21" s="18">
        <f t="shared" si="3"/>
        <v>58.820403454768829</v>
      </c>
      <c r="R21" s="18">
        <f t="shared" si="3"/>
        <v>59.160264117011302</v>
      </c>
      <c r="S21" s="18">
        <f t="shared" si="3"/>
        <v>59.554930317101956</v>
      </c>
      <c r="T21" s="18">
        <f t="shared" si="3"/>
        <v>59.911928080433661</v>
      </c>
      <c r="U21" s="18">
        <f t="shared" si="3"/>
        <v>59.645550263735302</v>
      </c>
      <c r="V21" s="18">
        <f t="shared" si="3"/>
        <v>59.503106096137991</v>
      </c>
      <c r="W21" s="18">
        <f t="shared" si="3"/>
        <v>59.33824424913238</v>
      </c>
      <c r="X21" s="18">
        <f t="shared" si="3"/>
        <v>59.099205776468253</v>
      </c>
      <c r="Y21" s="18">
        <f t="shared" si="3"/>
        <v>58.21118967336151</v>
      </c>
      <c r="Z21" s="18">
        <f t="shared" si="3"/>
        <v>57.963584061211357</v>
      </c>
      <c r="AA21" s="18">
        <f t="shared" si="3"/>
        <v>57.207978417301902</v>
      </c>
      <c r="AB21" s="18">
        <f t="shared" si="3"/>
        <v>55.843741287603805</v>
      </c>
      <c r="AC21" s="18">
        <f t="shared" si="3"/>
        <v>54.480073675742425</v>
      </c>
      <c r="AD21" s="18">
        <f t="shared" si="3"/>
        <v>53.117781844873782</v>
      </c>
      <c r="AE21" s="18">
        <f t="shared" si="3"/>
        <v>52.080916463252649</v>
      </c>
      <c r="AF21" s="18">
        <f t="shared" si="3"/>
        <v>51.049964004617202</v>
      </c>
      <c r="AG21" s="18">
        <f t="shared" si="3"/>
        <v>50.019011545981762</v>
      </c>
      <c r="AH21" s="18">
        <f t="shared" si="3"/>
        <v>48.988059087346336</v>
      </c>
      <c r="AI21" s="18">
        <f t="shared" si="3"/>
        <v>47.95710662871091</v>
      </c>
      <c r="AJ21" s="18">
        <f t="shared" si="3"/>
        <v>47.524282571642132</v>
      </c>
      <c r="AK21" s="18">
        <f t="shared" si="3"/>
        <v>47.091458514573375</v>
      </c>
      <c r="AL21" s="18">
        <f t="shared" si="3"/>
        <v>46.65130295830096</v>
      </c>
      <c r="AM21" s="18">
        <f t="shared" si="3"/>
        <v>46.207174430113042</v>
      </c>
      <c r="AN21" s="18">
        <f t="shared" si="3"/>
        <v>45.760197623106457</v>
      </c>
    </row>
    <row r="23" spans="1:40" ht="18" thickBot="1" x14ac:dyDescent="0.35">
      <c r="A23" s="4" t="s">
        <v>68</v>
      </c>
      <c r="B23" s="4"/>
      <c r="C23" s="4"/>
      <c r="D23" s="4"/>
      <c r="E23" s="4"/>
      <c r="F23" s="4"/>
      <c r="G23" s="4"/>
      <c r="H23" s="4"/>
    </row>
    <row r="24" spans="1:40" ht="15.75" thickTop="1" x14ac:dyDescent="0.25">
      <c r="B24" s="3">
        <v>2012</v>
      </c>
      <c r="C24" s="3">
        <v>2013</v>
      </c>
      <c r="D24" s="3">
        <v>2014</v>
      </c>
      <c r="E24" s="3">
        <v>2015</v>
      </c>
      <c r="F24" s="3">
        <v>2016</v>
      </c>
      <c r="G24" s="3">
        <v>2017</v>
      </c>
      <c r="H24" s="3">
        <v>2018</v>
      </c>
      <c r="I24" s="3">
        <v>2019</v>
      </c>
      <c r="J24" s="3">
        <v>2020</v>
      </c>
      <c r="K24" s="3">
        <v>2021</v>
      </c>
      <c r="L24" s="3">
        <v>2022</v>
      </c>
      <c r="M24" s="3">
        <v>2023</v>
      </c>
      <c r="N24" s="3">
        <v>2024</v>
      </c>
      <c r="O24" s="3">
        <v>2025</v>
      </c>
      <c r="P24" s="3">
        <v>2026</v>
      </c>
      <c r="Q24" s="3">
        <v>2027</v>
      </c>
      <c r="R24" s="3">
        <v>2028</v>
      </c>
      <c r="S24" s="3">
        <v>2029</v>
      </c>
      <c r="T24" s="3">
        <v>2030</v>
      </c>
      <c r="U24" s="3">
        <v>2031</v>
      </c>
      <c r="V24" s="3">
        <v>2032</v>
      </c>
      <c r="W24" s="3">
        <v>2033</v>
      </c>
      <c r="X24" s="3">
        <v>2034</v>
      </c>
      <c r="Y24" s="3">
        <v>2035</v>
      </c>
      <c r="Z24" s="3">
        <v>2036</v>
      </c>
      <c r="AA24" s="3">
        <v>2037</v>
      </c>
      <c r="AB24" s="3">
        <v>2038</v>
      </c>
      <c r="AC24">
        <v>2039</v>
      </c>
      <c r="AD24">
        <v>2040</v>
      </c>
      <c r="AE24">
        <v>2041</v>
      </c>
      <c r="AF24">
        <v>2042</v>
      </c>
      <c r="AG24">
        <v>2043</v>
      </c>
      <c r="AH24">
        <v>2044</v>
      </c>
      <c r="AI24">
        <v>2045</v>
      </c>
      <c r="AJ24">
        <v>2046</v>
      </c>
      <c r="AK24">
        <v>2047</v>
      </c>
      <c r="AL24">
        <v>2048</v>
      </c>
      <c r="AM24">
        <v>2049</v>
      </c>
      <c r="AN24">
        <v>2050</v>
      </c>
    </row>
    <row r="25" spans="1:40" x14ac:dyDescent="0.25">
      <c r="A25" s="3" t="s">
        <v>54</v>
      </c>
      <c r="B25" s="18">
        <f t="shared" ref="B25:AN25" si="4">IF($B$1="Reference",B58,B93)</f>
        <v>0.5</v>
      </c>
      <c r="C25" s="18">
        <f t="shared" si="4"/>
        <v>0.49361482500619441</v>
      </c>
      <c r="D25" s="18">
        <f t="shared" si="4"/>
        <v>0.48206830798992972</v>
      </c>
      <c r="E25" s="18">
        <f t="shared" si="4"/>
        <v>0.47202613350430117</v>
      </c>
      <c r="F25" s="18">
        <f t="shared" si="4"/>
        <v>0.46557223068394388</v>
      </c>
      <c r="G25" s="18">
        <f t="shared" si="4"/>
        <v>0.45639821843997963</v>
      </c>
      <c r="H25" s="18">
        <f t="shared" si="4"/>
        <v>0.44660476008909161</v>
      </c>
      <c r="I25" s="18">
        <f t="shared" si="4"/>
        <v>0.43972669731095931</v>
      </c>
      <c r="J25" s="18">
        <f t="shared" si="4"/>
        <v>0.44869179830464656</v>
      </c>
      <c r="K25" s="18">
        <f t="shared" si="4"/>
        <v>0.4608685558592584</v>
      </c>
      <c r="L25" s="18">
        <f t="shared" si="4"/>
        <v>0.45293933531025343</v>
      </c>
      <c r="M25" s="18">
        <f t="shared" si="4"/>
        <v>0.44496466333523621</v>
      </c>
      <c r="N25" s="18">
        <f t="shared" si="4"/>
        <v>0.43604395407815993</v>
      </c>
      <c r="O25" s="18">
        <f t="shared" si="4"/>
        <v>0.42640214177595159</v>
      </c>
      <c r="P25" s="18">
        <f t="shared" si="4"/>
        <v>0.41704128628178283</v>
      </c>
      <c r="Q25" s="18">
        <f t="shared" si="4"/>
        <v>0.40736811409437179</v>
      </c>
      <c r="R25" s="18">
        <f t="shared" si="4"/>
        <v>0.39752040531475452</v>
      </c>
      <c r="S25" s="18">
        <f t="shared" si="4"/>
        <v>0.38792623621073147</v>
      </c>
      <c r="T25" s="18">
        <f t="shared" si="4"/>
        <v>0.3786915183200642</v>
      </c>
      <c r="U25" s="18">
        <f t="shared" si="4"/>
        <v>0.3695210575010458</v>
      </c>
      <c r="V25" s="18">
        <f t="shared" si="4"/>
        <v>0.35977357770148527</v>
      </c>
      <c r="W25" s="18">
        <f t="shared" si="4"/>
        <v>0.35010150129371193</v>
      </c>
      <c r="X25" s="18">
        <f t="shared" si="4"/>
        <v>0.34070620489032388</v>
      </c>
      <c r="Y25" s="18">
        <f t="shared" si="4"/>
        <v>0.33256879940716488</v>
      </c>
      <c r="Z25" s="18">
        <f t="shared" si="4"/>
        <v>0.32526196722319101</v>
      </c>
      <c r="AA25" s="18">
        <f t="shared" si="4"/>
        <v>0.31743656623784111</v>
      </c>
      <c r="AB25" s="18">
        <f t="shared" si="4"/>
        <v>0.30944759350189216</v>
      </c>
      <c r="AC25" s="18">
        <f t="shared" si="4"/>
        <v>0.30170210809401976</v>
      </c>
      <c r="AD25" s="18">
        <f t="shared" si="4"/>
        <v>0.29426669588993903</v>
      </c>
      <c r="AE25" s="18">
        <f t="shared" si="4"/>
        <v>0.28705947092480621</v>
      </c>
      <c r="AF25" s="18">
        <f t="shared" si="4"/>
        <v>0.27985912607480135</v>
      </c>
      <c r="AG25" s="18">
        <f t="shared" si="4"/>
        <v>0.27267207752507222</v>
      </c>
      <c r="AH25" s="18">
        <f t="shared" si="4"/>
        <v>0.2655187699863964</v>
      </c>
      <c r="AI25" s="18">
        <f t="shared" si="4"/>
        <v>0.25835683521052188</v>
      </c>
      <c r="AJ25" s="18">
        <f t="shared" si="4"/>
        <v>0.25160847240437884</v>
      </c>
      <c r="AK25" s="18">
        <f t="shared" si="4"/>
        <v>0.24500439781986932</v>
      </c>
      <c r="AL25" s="18">
        <f t="shared" si="4"/>
        <v>0.23870289310099521</v>
      </c>
      <c r="AM25" s="18">
        <f t="shared" si="4"/>
        <v>0.23259738300263871</v>
      </c>
      <c r="AN25" s="18">
        <f t="shared" si="4"/>
        <v>0.2264556984169197</v>
      </c>
    </row>
    <row r="26" spans="1:40" x14ac:dyDescent="0.25">
      <c r="A26" s="3" t="s">
        <v>55</v>
      </c>
      <c r="B26" s="18">
        <f t="shared" ref="B26:AN26" si="5">IF($B$1="Reference",B59,B94)</f>
        <v>0.3</v>
      </c>
      <c r="C26" s="18">
        <f t="shared" si="5"/>
        <v>0.29468225957952826</v>
      </c>
      <c r="D26" s="18">
        <f t="shared" si="5"/>
        <v>0.29652686013085344</v>
      </c>
      <c r="E26" s="18">
        <f t="shared" si="5"/>
        <v>0.29778797816876007</v>
      </c>
      <c r="F26" s="18">
        <f t="shared" si="5"/>
        <v>0.29845066012740579</v>
      </c>
      <c r="G26" s="18">
        <f t="shared" si="5"/>
        <v>0.29691592343442441</v>
      </c>
      <c r="H26" s="18">
        <f t="shared" si="5"/>
        <v>0.29765219102063356</v>
      </c>
      <c r="I26" s="18">
        <f t="shared" si="5"/>
        <v>0.298551917090845</v>
      </c>
      <c r="J26" s="18">
        <f t="shared" si="5"/>
        <v>0.30807790666505486</v>
      </c>
      <c r="K26" s="18">
        <f t="shared" si="5"/>
        <v>0.29101084546381101</v>
      </c>
      <c r="L26" s="18">
        <f t="shared" si="5"/>
        <v>0.29254909838976384</v>
      </c>
      <c r="M26" s="18">
        <f t="shared" si="5"/>
        <v>0.29362458379515177</v>
      </c>
      <c r="N26" s="18">
        <f t="shared" si="5"/>
        <v>0.29479545876831015</v>
      </c>
      <c r="O26" s="18">
        <f t="shared" si="5"/>
        <v>0.29612492551474839</v>
      </c>
      <c r="P26" s="18">
        <f t="shared" si="5"/>
        <v>0.29821430926402148</v>
      </c>
      <c r="Q26" s="18">
        <f t="shared" si="5"/>
        <v>0.30025114738936809</v>
      </c>
      <c r="R26" s="18">
        <f t="shared" si="5"/>
        <v>0.30243161805275043</v>
      </c>
      <c r="S26" s="18">
        <f t="shared" si="5"/>
        <v>0.30454490929663142</v>
      </c>
      <c r="T26" s="18">
        <f t="shared" si="5"/>
        <v>0.30672648903867467</v>
      </c>
      <c r="U26" s="18">
        <f t="shared" si="5"/>
        <v>0.30878587056708845</v>
      </c>
      <c r="V26" s="18">
        <f t="shared" si="5"/>
        <v>0.3113776753132933</v>
      </c>
      <c r="W26" s="18">
        <f t="shared" si="5"/>
        <v>0.31391427008417805</v>
      </c>
      <c r="X26" s="18">
        <f t="shared" si="5"/>
        <v>0.31654756766084635</v>
      </c>
      <c r="Y26" s="18">
        <f t="shared" si="5"/>
        <v>0.31943560967325441</v>
      </c>
      <c r="Z26" s="18">
        <f t="shared" si="5"/>
        <v>0.32167854950189212</v>
      </c>
      <c r="AA26" s="18">
        <f t="shared" si="5"/>
        <v>0.32413815716167887</v>
      </c>
      <c r="AB26" s="18">
        <f t="shared" si="5"/>
        <v>0.32667347879243019</v>
      </c>
      <c r="AC26" s="18">
        <f t="shared" si="5"/>
        <v>0.32941478752673903</v>
      </c>
      <c r="AD26" s="18">
        <f t="shared" si="5"/>
        <v>0.33194977862338843</v>
      </c>
      <c r="AE26" s="18">
        <f t="shared" si="5"/>
        <v>0.3347119146565295</v>
      </c>
      <c r="AF26" s="18">
        <f t="shared" si="5"/>
        <v>0.33747750852961228</v>
      </c>
      <c r="AG26" s="18">
        <f t="shared" si="5"/>
        <v>0.34019487891547112</v>
      </c>
      <c r="AH26" s="18">
        <f t="shared" si="5"/>
        <v>0.34290256616818704</v>
      </c>
      <c r="AI26" s="18">
        <f t="shared" si="5"/>
        <v>0.34553441204668883</v>
      </c>
      <c r="AJ26" s="18">
        <f t="shared" si="5"/>
        <v>0.3486358783170348</v>
      </c>
      <c r="AK26" s="18">
        <f t="shared" si="5"/>
        <v>0.35163376928920365</v>
      </c>
      <c r="AL26" s="18">
        <f t="shared" si="5"/>
        <v>0.35473779187508891</v>
      </c>
      <c r="AM26" s="18">
        <f t="shared" si="5"/>
        <v>0.35763130295873286</v>
      </c>
      <c r="AN26" s="18">
        <f t="shared" si="5"/>
        <v>0.36050417317170641</v>
      </c>
    </row>
    <row r="27" spans="1:40" x14ac:dyDescent="0.25">
      <c r="A27" s="3" t="s">
        <v>56</v>
      </c>
      <c r="B27" s="18">
        <f t="shared" ref="B27:AN27" si="6">IF($B$1="Reference",B60,B95)</f>
        <v>0.19999999999999998</v>
      </c>
      <c r="C27" s="18">
        <f t="shared" si="6"/>
        <v>0.20613092634999897</v>
      </c>
      <c r="D27" s="18">
        <f t="shared" si="6"/>
        <v>0.20997219853254745</v>
      </c>
      <c r="E27" s="18">
        <f t="shared" si="6"/>
        <v>0.21260669534823909</v>
      </c>
      <c r="F27" s="18">
        <f t="shared" si="6"/>
        <v>0.21196845959615526</v>
      </c>
      <c r="G27" s="18">
        <f t="shared" si="6"/>
        <v>0.21596815697579858</v>
      </c>
      <c r="H27" s="18">
        <f t="shared" si="6"/>
        <v>0.21840570822090161</v>
      </c>
      <c r="I27" s="18">
        <f t="shared" si="6"/>
        <v>0.21780961373237509</v>
      </c>
      <c r="J27" s="18">
        <f t="shared" si="6"/>
        <v>0.19278899154436505</v>
      </c>
      <c r="K27" s="18">
        <f t="shared" si="6"/>
        <v>0.19553669373990809</v>
      </c>
      <c r="L27" s="18">
        <f t="shared" si="6"/>
        <v>0.19978989451661469</v>
      </c>
      <c r="M27" s="18">
        <f t="shared" si="6"/>
        <v>0.20455613793575173</v>
      </c>
      <c r="N27" s="18">
        <f t="shared" si="6"/>
        <v>0.21017784188075633</v>
      </c>
      <c r="O27" s="18">
        <f t="shared" si="6"/>
        <v>0.21636685904947664</v>
      </c>
      <c r="P27" s="18">
        <f t="shared" si="6"/>
        <v>0.22306684325167825</v>
      </c>
      <c r="Q27" s="18">
        <f t="shared" si="6"/>
        <v>0.23013203762505227</v>
      </c>
      <c r="R27" s="18">
        <f t="shared" si="6"/>
        <v>0.23722848369486835</v>
      </c>
      <c r="S27" s="18">
        <f t="shared" si="6"/>
        <v>0.24413891693925951</v>
      </c>
      <c r="T27" s="18">
        <f t="shared" si="6"/>
        <v>0.250621957691326</v>
      </c>
      <c r="U27" s="18">
        <f t="shared" si="6"/>
        <v>0.25838040126580109</v>
      </c>
      <c r="V27" s="18">
        <f t="shared" si="6"/>
        <v>0.26618388831950496</v>
      </c>
      <c r="W27" s="18">
        <f t="shared" si="6"/>
        <v>0.27396762998285962</v>
      </c>
      <c r="X27" s="18">
        <f t="shared" si="6"/>
        <v>0.28137833717201771</v>
      </c>
      <c r="Y27" s="18">
        <f t="shared" si="6"/>
        <v>0.28727685765124816</v>
      </c>
      <c r="Z27" s="18">
        <f t="shared" si="6"/>
        <v>0.29412231319643162</v>
      </c>
      <c r="AA27" s="18">
        <f t="shared" si="6"/>
        <v>0.30127304885663259</v>
      </c>
      <c r="AB27" s="18">
        <f t="shared" si="6"/>
        <v>0.30851502785058504</v>
      </c>
      <c r="AC27" s="18">
        <f t="shared" si="6"/>
        <v>0.31531092438850294</v>
      </c>
      <c r="AD27" s="18">
        <f t="shared" si="6"/>
        <v>0.32200646376955105</v>
      </c>
      <c r="AE27" s="18">
        <f t="shared" si="6"/>
        <v>0.32929830475714733</v>
      </c>
      <c r="AF27" s="18">
        <f t="shared" si="6"/>
        <v>0.33658835430014045</v>
      </c>
      <c r="AG27" s="18">
        <f t="shared" si="6"/>
        <v>0.34392190319885563</v>
      </c>
      <c r="AH27" s="18">
        <f t="shared" si="6"/>
        <v>0.35123999212377366</v>
      </c>
      <c r="AI27" s="18">
        <f t="shared" si="6"/>
        <v>0.35865117337681979</v>
      </c>
      <c r="AJ27" s="18">
        <f t="shared" si="6"/>
        <v>0.36625024275029583</v>
      </c>
      <c r="AK27" s="18">
        <f t="shared" si="6"/>
        <v>0.37382482671382988</v>
      </c>
      <c r="AL27" s="18">
        <f t="shared" si="6"/>
        <v>0.38100700334125265</v>
      </c>
      <c r="AM27" s="18">
        <f t="shared" si="6"/>
        <v>0.38822005789694591</v>
      </c>
      <c r="AN27" s="18">
        <f t="shared" si="6"/>
        <v>0.39550635603522843</v>
      </c>
    </row>
    <row r="28" spans="1:40" x14ac:dyDescent="0.25">
      <c r="A28" s="3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30" spans="1:40" ht="18" thickBot="1" x14ac:dyDescent="0.35">
      <c r="A30" s="4" t="s">
        <v>69</v>
      </c>
      <c r="B30" s="4"/>
      <c r="C30" s="4"/>
      <c r="D30" s="4"/>
      <c r="E30" s="4"/>
      <c r="F30" s="4"/>
      <c r="G30" s="4"/>
      <c r="H30" s="4"/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18">
        <f t="shared" ref="A32:AM32" si="7">IF($B$1="Reference",A65,A100)</f>
        <v>0.30163969294989873</v>
      </c>
      <c r="B32" s="18">
        <f t="shared" si="7"/>
        <v>0.30770118876733893</v>
      </c>
      <c r="C32" s="18">
        <f t="shared" si="7"/>
        <v>0.31057938732953844</v>
      </c>
      <c r="D32" s="18">
        <f t="shared" si="7"/>
        <v>0.31277940101847879</v>
      </c>
      <c r="E32" s="18">
        <f t="shared" si="7"/>
        <v>0.31284316327620315</v>
      </c>
      <c r="F32" s="18">
        <f t="shared" si="7"/>
        <v>0.31635831555178628</v>
      </c>
      <c r="G32" s="18">
        <f t="shared" si="7"/>
        <v>0.31867877236635728</v>
      </c>
      <c r="H32" s="18">
        <f t="shared" si="7"/>
        <v>0.31829026462005117</v>
      </c>
      <c r="I32" s="18">
        <f t="shared" si="7"/>
        <v>0.29040891806001651</v>
      </c>
      <c r="J32" s="18">
        <f t="shared" si="7"/>
        <v>0.29800403265459058</v>
      </c>
      <c r="K32" s="18">
        <f t="shared" si="7"/>
        <v>0.30200401780692876</v>
      </c>
      <c r="L32" s="18">
        <f t="shared" si="7"/>
        <v>0.30656034625617695</v>
      </c>
      <c r="M32" s="18">
        <f t="shared" si="7"/>
        <v>0.31192904187570236</v>
      </c>
      <c r="N32" s="18">
        <f t="shared" si="7"/>
        <v>0.31799947261850164</v>
      </c>
      <c r="O32" s="18">
        <f t="shared" si="7"/>
        <v>0.32433434766527408</v>
      </c>
      <c r="P32" s="18">
        <f t="shared" si="7"/>
        <v>0.33129984849841504</v>
      </c>
      <c r="Q32" s="18">
        <f t="shared" si="7"/>
        <v>0.33856860928890536</v>
      </c>
      <c r="R32" s="18">
        <f t="shared" si="7"/>
        <v>0.3460220907336497</v>
      </c>
      <c r="S32" s="18">
        <f t="shared" si="7"/>
        <v>0.35326945484642069</v>
      </c>
      <c r="T32" s="18">
        <f t="shared" si="7"/>
        <v>0.36227316635231788</v>
      </c>
      <c r="U32" s="18">
        <f t="shared" si="7"/>
        <v>0.37153100120479132</v>
      </c>
      <c r="V32" s="18">
        <f t="shared" si="7"/>
        <v>0.38125213640261274</v>
      </c>
      <c r="W32" s="18">
        <f t="shared" si="7"/>
        <v>0.39088366365960481</v>
      </c>
      <c r="X32" s="18">
        <f t="shared" si="7"/>
        <v>0.43438755091144643</v>
      </c>
      <c r="Y32" s="18">
        <f t="shared" si="7"/>
        <v>0.4444480293768564</v>
      </c>
      <c r="Z32" s="18">
        <f t="shared" si="7"/>
        <v>0.45535275868686731</v>
      </c>
      <c r="AA32" s="18">
        <f t="shared" si="7"/>
        <v>0.46694075625504039</v>
      </c>
      <c r="AB32" s="18">
        <f t="shared" si="7"/>
        <v>0.4781300856362905</v>
      </c>
      <c r="AC32" s="18">
        <f t="shared" si="7"/>
        <v>0.48967453302970809</v>
      </c>
      <c r="AD32" s="18">
        <f t="shared" si="7"/>
        <v>0.50224672606058585</v>
      </c>
      <c r="AE32" s="18">
        <f t="shared" si="7"/>
        <v>0.51536971747141613</v>
      </c>
      <c r="AF32" s="18">
        <f t="shared" si="7"/>
        <v>0.52924077512855172</v>
      </c>
      <c r="AG32" s="18">
        <f t="shared" si="7"/>
        <v>0.54376194787755061</v>
      </c>
      <c r="AH32" s="18">
        <f t="shared" si="7"/>
        <v>0.55932663957277284</v>
      </c>
      <c r="AI32" s="18">
        <f t="shared" si="7"/>
        <v>0.57508190051994368</v>
      </c>
      <c r="AJ32" s="18">
        <f t="shared" si="7"/>
        <v>0.59159288253939912</v>
      </c>
      <c r="AK32" s="18">
        <f t="shared" si="7"/>
        <v>0.6076457041478186</v>
      </c>
      <c r="AL32" s="18">
        <f t="shared" si="7"/>
        <v>0.62468417964119827</v>
      </c>
      <c r="AM32" s="18">
        <f t="shared" si="7"/>
        <v>0.68427588534183081</v>
      </c>
    </row>
    <row r="35" spans="1:40" ht="18" thickBot="1" x14ac:dyDescent="0.35">
      <c r="A35" s="24" t="s">
        <v>142</v>
      </c>
      <c r="B35" s="24"/>
      <c r="C35" s="24"/>
      <c r="D35" s="24"/>
    </row>
    <row r="36" spans="1:40" ht="15.75" thickTop="1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 s="18">
        <v>1833.8485148656705</v>
      </c>
      <c r="C37" s="18">
        <v>1886.6121543778552</v>
      </c>
      <c r="D37" s="18">
        <v>1929.9088596734236</v>
      </c>
      <c r="E37" s="18">
        <v>1960.4923036365474</v>
      </c>
      <c r="F37" s="18">
        <v>1983.2547710242566</v>
      </c>
      <c r="G37" s="18">
        <v>2006.0789129735178</v>
      </c>
      <c r="H37" s="18">
        <v>2036.972183160904</v>
      </c>
      <c r="I37" s="18">
        <v>2074.2003059734261</v>
      </c>
      <c r="J37" s="18">
        <v>1914.545399528301</v>
      </c>
      <c r="K37" s="18">
        <v>1957.2610773816891</v>
      </c>
      <c r="L37" s="18">
        <v>2002.2872838168787</v>
      </c>
      <c r="M37" s="18">
        <v>2051.2769335000403</v>
      </c>
      <c r="N37" s="18">
        <v>2104.0245070320266</v>
      </c>
      <c r="O37" s="18">
        <v>2157.2000988773989</v>
      </c>
      <c r="P37" s="18">
        <v>2216.2386918503116</v>
      </c>
      <c r="Q37" s="18">
        <v>2277.0866520702075</v>
      </c>
      <c r="R37" s="18">
        <v>2342.1075393790215</v>
      </c>
      <c r="S37" s="18">
        <v>2408.995487304207</v>
      </c>
      <c r="T37" s="18">
        <v>2468.4881674022527</v>
      </c>
      <c r="U37" s="18">
        <v>2539.0431946322601</v>
      </c>
      <c r="V37" s="18">
        <v>2611.6181489313612</v>
      </c>
      <c r="W37" s="18">
        <v>2686.3644340512401</v>
      </c>
      <c r="X37" s="18">
        <v>2759.0891878804987</v>
      </c>
      <c r="Y37" s="18">
        <v>2835.9490382924259</v>
      </c>
      <c r="Z37" s="18">
        <v>2915.3222561629782</v>
      </c>
      <c r="AA37" s="18">
        <v>2997.7985510673598</v>
      </c>
      <c r="AB37" s="18">
        <v>3079.8807643862083</v>
      </c>
      <c r="AC37" s="18">
        <v>3164.7988750291743</v>
      </c>
      <c r="AD37" s="18">
        <v>3254.7047790794968</v>
      </c>
      <c r="AE37" s="18">
        <v>3348.9964072010525</v>
      </c>
      <c r="AF37" s="18">
        <v>3447.4307579315109</v>
      </c>
      <c r="AG37" s="18">
        <v>3549.9976521140461</v>
      </c>
      <c r="AH37" s="18">
        <v>3656.5174335620486</v>
      </c>
      <c r="AI37" s="18">
        <v>3767.7621351917451</v>
      </c>
      <c r="AJ37" s="18">
        <v>3873.7774921325872</v>
      </c>
      <c r="AK37" s="18">
        <v>3984.0902474336522</v>
      </c>
      <c r="AL37" s="18">
        <v>4099.5151623032189</v>
      </c>
      <c r="AM37" s="18">
        <v>4220.6813951424811</v>
      </c>
      <c r="AN37" s="18">
        <v>4350.0492909027143</v>
      </c>
    </row>
    <row r="38" spans="1:40" x14ac:dyDescent="0.25">
      <c r="A38" t="s">
        <v>73</v>
      </c>
      <c r="B38" s="18">
        <v>69.817113338466598</v>
      </c>
      <c r="C38" s="18">
        <v>72.819731017164969</v>
      </c>
      <c r="D38" s="18">
        <v>75.472008813799022</v>
      </c>
      <c r="E38" s="18">
        <v>74.274927600037842</v>
      </c>
      <c r="F38" s="18">
        <v>73.26059197587216</v>
      </c>
      <c r="G38" s="18">
        <v>75.493823257911487</v>
      </c>
      <c r="H38" s="18">
        <v>74.303648694490207</v>
      </c>
      <c r="I38" s="18">
        <v>73.1945218840509</v>
      </c>
      <c r="J38" s="18">
        <v>70.325700988606158</v>
      </c>
      <c r="K38" s="18">
        <v>72.079600677576877</v>
      </c>
      <c r="L38" s="18">
        <v>74.097267383773996</v>
      </c>
      <c r="M38" s="18">
        <v>75.83751945163533</v>
      </c>
      <c r="N38" s="18">
        <v>77.576110521025043</v>
      </c>
      <c r="O38" s="18">
        <v>79.396606124967263</v>
      </c>
      <c r="P38" s="18">
        <v>81.224836721269554</v>
      </c>
      <c r="Q38" s="18">
        <v>83.015421229038807</v>
      </c>
      <c r="R38" s="18">
        <v>84.71879762829046</v>
      </c>
      <c r="S38" s="18">
        <v>86.40947079839232</v>
      </c>
      <c r="T38" s="18">
        <v>87.917074260425011</v>
      </c>
      <c r="U38" s="18">
        <v>89.948274996445477</v>
      </c>
      <c r="V38" s="18">
        <v>91.858597961990753</v>
      </c>
      <c r="W38" s="18">
        <v>93.636661953392263</v>
      </c>
      <c r="X38" s="18">
        <v>95.295599787555759</v>
      </c>
      <c r="Y38" s="18">
        <v>97.196418455885137</v>
      </c>
      <c r="Z38" s="18">
        <v>99.048946074573934</v>
      </c>
      <c r="AA38" s="18">
        <v>100.96742638628118</v>
      </c>
      <c r="AB38" s="18">
        <v>102.82399638424677</v>
      </c>
      <c r="AC38" s="18">
        <v>104.72881393465261</v>
      </c>
      <c r="AD38" s="18">
        <v>106.73410403014014</v>
      </c>
      <c r="AE38" s="18">
        <v>108.83032335584873</v>
      </c>
      <c r="AF38" s="18">
        <v>110.98712564413881</v>
      </c>
      <c r="AG38" s="18">
        <v>113.13803634297587</v>
      </c>
      <c r="AH38" s="18">
        <v>115.35753088013288</v>
      </c>
      <c r="AI38" s="18">
        <v>117.7224288535422</v>
      </c>
      <c r="AJ38" s="18">
        <v>119.86545963689662</v>
      </c>
      <c r="AK38" s="18">
        <v>122.16956564028087</v>
      </c>
      <c r="AL38" s="18">
        <v>124.66155698786915</v>
      </c>
      <c r="AM38" s="18">
        <v>127.27859211459484</v>
      </c>
      <c r="AN38" s="18">
        <v>130.07284907210411</v>
      </c>
    </row>
    <row r="39" spans="1:40" x14ac:dyDescent="0.25">
      <c r="A39" t="s">
        <v>23</v>
      </c>
      <c r="B39" s="18">
        <v>205.448728044604</v>
      </c>
      <c r="C39" s="18">
        <v>211.2700110992823</v>
      </c>
      <c r="D39" s="18">
        <v>212.6655009618502</v>
      </c>
      <c r="E39" s="18">
        <v>219.65714422943788</v>
      </c>
      <c r="F39" s="18">
        <v>216.49078103790811</v>
      </c>
      <c r="G39" s="18">
        <v>222.77267087886864</v>
      </c>
      <c r="H39" s="18">
        <v>221.2538387586481</v>
      </c>
      <c r="I39" s="18">
        <v>218.49393691475751</v>
      </c>
      <c r="J39" s="18">
        <v>200.31349989514737</v>
      </c>
      <c r="K39" s="18">
        <v>203.22082571680417</v>
      </c>
      <c r="L39" s="18">
        <v>206.04503931752927</v>
      </c>
      <c r="M39" s="18">
        <v>209.17533429709937</v>
      </c>
      <c r="N39" s="18">
        <v>212.70008965049607</v>
      </c>
      <c r="O39" s="18">
        <v>216.19285695376888</v>
      </c>
      <c r="P39" s="18">
        <v>220.13897245284642</v>
      </c>
      <c r="Q39" s="18">
        <v>224.09500011180839</v>
      </c>
      <c r="R39" s="18">
        <v>228.49727535493759</v>
      </c>
      <c r="S39" s="18">
        <v>233.65217893638649</v>
      </c>
      <c r="T39" s="18">
        <v>238.16471989379443</v>
      </c>
      <c r="U39" s="18">
        <v>244.02805015212999</v>
      </c>
      <c r="V39" s="18">
        <v>250.54508009252402</v>
      </c>
      <c r="W39" s="18">
        <v>257.12210961450603</v>
      </c>
      <c r="X39" s="18">
        <v>263.79765227613524</v>
      </c>
      <c r="Y39" s="18">
        <v>272.00142752639778</v>
      </c>
      <c r="Z39" s="18">
        <v>279.41383286232161</v>
      </c>
      <c r="AA39" s="18">
        <v>286.93308960844996</v>
      </c>
      <c r="AB39" s="18">
        <v>294.21123044543191</v>
      </c>
      <c r="AC39" s="18">
        <v>301.65537999466676</v>
      </c>
      <c r="AD39" s="18">
        <v>309.46142024394663</v>
      </c>
      <c r="AE39" s="18">
        <v>317.22561591282499</v>
      </c>
      <c r="AF39" s="18">
        <v>325.12258386847782</v>
      </c>
      <c r="AG39" s="18">
        <v>333.19383166211566</v>
      </c>
      <c r="AH39" s="18">
        <v>341.49372872513675</v>
      </c>
      <c r="AI39" s="18">
        <v>350.13524625780695</v>
      </c>
      <c r="AJ39" s="18">
        <v>358.13243981411591</v>
      </c>
      <c r="AK39" s="18">
        <v>366.44623228675266</v>
      </c>
      <c r="AL39" s="18">
        <v>375.16121695849682</v>
      </c>
      <c r="AM39" s="18">
        <v>384.32207188338714</v>
      </c>
      <c r="AN39" s="18">
        <v>394.20982945516573</v>
      </c>
    </row>
    <row r="40" spans="1:40" x14ac:dyDescent="0.25">
      <c r="A40" t="s">
        <v>24</v>
      </c>
      <c r="B40" s="18">
        <v>93.09690942833015</v>
      </c>
      <c r="C40" s="18">
        <v>95.064855171375669</v>
      </c>
      <c r="D40" s="18">
        <v>96.400077661477354</v>
      </c>
      <c r="E40" s="18">
        <v>96.617861286112102</v>
      </c>
      <c r="F40" s="18">
        <v>97.654818305582012</v>
      </c>
      <c r="G40" s="18">
        <v>97.862455274201025</v>
      </c>
      <c r="H40" s="18">
        <v>98.609954424293107</v>
      </c>
      <c r="I40" s="18">
        <v>97.964584789862243</v>
      </c>
      <c r="J40" s="18">
        <v>92.646489203328827</v>
      </c>
      <c r="K40" s="18">
        <v>95.03041242813778</v>
      </c>
      <c r="L40" s="18">
        <v>97.485838278771098</v>
      </c>
      <c r="M40" s="18">
        <v>99.77593398947829</v>
      </c>
      <c r="N40" s="18">
        <v>102.1635426368112</v>
      </c>
      <c r="O40" s="18">
        <v>104.60035225495045</v>
      </c>
      <c r="P40" s="18">
        <v>107.07694947006603</v>
      </c>
      <c r="Q40" s="18">
        <v>109.49041679677798</v>
      </c>
      <c r="R40" s="18">
        <v>112.02696547098452</v>
      </c>
      <c r="S40" s="18">
        <v>114.5350089727569</v>
      </c>
      <c r="T40" s="18">
        <v>116.72534002734352</v>
      </c>
      <c r="U40" s="18">
        <v>119.41291133682695</v>
      </c>
      <c r="V40" s="18">
        <v>122.13561690535352</v>
      </c>
      <c r="W40" s="18">
        <v>124.73806971931842</v>
      </c>
      <c r="X40" s="18">
        <v>127.26382097220295</v>
      </c>
      <c r="Y40" s="18">
        <v>130.22505419824279</v>
      </c>
      <c r="Z40" s="18">
        <v>132.95638539516673</v>
      </c>
      <c r="AA40" s="18">
        <v>135.74521610666449</v>
      </c>
      <c r="AB40" s="18">
        <v>138.39843779341157</v>
      </c>
      <c r="AC40" s="18">
        <v>141.11496840750539</v>
      </c>
      <c r="AD40" s="18">
        <v>143.96077026055309</v>
      </c>
      <c r="AE40" s="18">
        <v>146.92167586011277</v>
      </c>
      <c r="AF40" s="18">
        <v>149.90266826654346</v>
      </c>
      <c r="AG40" s="18">
        <v>152.92006309932941</v>
      </c>
      <c r="AH40" s="18">
        <v>156.0911313412185</v>
      </c>
      <c r="AI40" s="18">
        <v>159.46543030187945</v>
      </c>
      <c r="AJ40" s="18">
        <v>162.50807836854915</v>
      </c>
      <c r="AK40" s="18">
        <v>165.69750350631548</v>
      </c>
      <c r="AL40" s="18">
        <v>169.0152244595489</v>
      </c>
      <c r="AM40" s="18">
        <v>172.44314538089333</v>
      </c>
      <c r="AN40" s="18">
        <v>176.11001666062612</v>
      </c>
    </row>
    <row r="41" spans="1:40" x14ac:dyDescent="0.25">
      <c r="A41" t="s">
        <v>25</v>
      </c>
      <c r="B41" s="18">
        <v>235.49802282756352</v>
      </c>
      <c r="C41" s="18">
        <v>242.13307836562956</v>
      </c>
      <c r="D41" s="18">
        <v>246.28265922314233</v>
      </c>
      <c r="E41" s="18">
        <v>249.43440425835786</v>
      </c>
      <c r="F41" s="18">
        <v>251.65581640876391</v>
      </c>
      <c r="G41" s="18">
        <v>252.75021516356861</v>
      </c>
      <c r="H41" s="18">
        <v>255.36564207593528</v>
      </c>
      <c r="I41" s="18">
        <v>255.83896455730644</v>
      </c>
      <c r="J41" s="18">
        <v>231.21220107940408</v>
      </c>
      <c r="K41" s="18">
        <v>237.27430963578766</v>
      </c>
      <c r="L41" s="18">
        <v>243.43820579760768</v>
      </c>
      <c r="M41" s="18">
        <v>250.0252729216615</v>
      </c>
      <c r="N41" s="18">
        <v>257.0393389716665</v>
      </c>
      <c r="O41" s="18">
        <v>264.01983750733473</v>
      </c>
      <c r="P41" s="18">
        <v>271.72429020362813</v>
      </c>
      <c r="Q41" s="18">
        <v>279.56215318997283</v>
      </c>
      <c r="R41" s="18">
        <v>287.85104341651504</v>
      </c>
      <c r="S41" s="18">
        <v>296.17218841670399</v>
      </c>
      <c r="T41" s="18">
        <v>303.16223965681729</v>
      </c>
      <c r="U41" s="18">
        <v>311.91377494075573</v>
      </c>
      <c r="V41" s="18">
        <v>320.90515779680265</v>
      </c>
      <c r="W41" s="18">
        <v>329.99635652965821</v>
      </c>
      <c r="X41" s="18">
        <v>338.83792660845495</v>
      </c>
      <c r="Y41" s="18">
        <v>348.33269322166962</v>
      </c>
      <c r="Z41" s="18">
        <v>357.99703019358316</v>
      </c>
      <c r="AA41" s="18">
        <v>368.00188053319943</v>
      </c>
      <c r="AB41" s="18">
        <v>377.85666663181792</v>
      </c>
      <c r="AC41" s="18">
        <v>388.05037117851231</v>
      </c>
      <c r="AD41" s="18">
        <v>398.85002792330147</v>
      </c>
      <c r="AE41" s="18">
        <v>410.15688477532797</v>
      </c>
      <c r="AF41" s="18">
        <v>421.90224250085339</v>
      </c>
      <c r="AG41" s="18">
        <v>434.10875218597869</v>
      </c>
      <c r="AH41" s="18">
        <v>446.80324447498771</v>
      </c>
      <c r="AI41" s="18">
        <v>460.1203754889417</v>
      </c>
      <c r="AJ41" s="18">
        <v>472.65691554047356</v>
      </c>
      <c r="AK41" s="18">
        <v>485.73312943754831</v>
      </c>
      <c r="AL41" s="18">
        <v>499.4515636810321</v>
      </c>
      <c r="AM41" s="18">
        <v>513.88566194585428</v>
      </c>
      <c r="AN41" s="18">
        <v>529.36224934657764</v>
      </c>
    </row>
    <row r="42" spans="1:40" x14ac:dyDescent="0.25">
      <c r="A42" t="s">
        <v>26</v>
      </c>
      <c r="B42" s="18">
        <v>17.781500762507015</v>
      </c>
      <c r="C42" s="18">
        <v>18.21809145789609</v>
      </c>
      <c r="D42" s="18">
        <v>18.567420658015568</v>
      </c>
      <c r="E42" s="18">
        <v>18.762769995550013</v>
      </c>
      <c r="F42" s="18">
        <v>19.037714230270431</v>
      </c>
      <c r="G42" s="18">
        <v>19.074701766994909</v>
      </c>
      <c r="H42" s="18">
        <v>19.42407343994682</v>
      </c>
      <c r="I42" s="18">
        <v>19.472300898786198</v>
      </c>
      <c r="J42" s="18">
        <v>17.978595103875868</v>
      </c>
      <c r="K42" s="18">
        <v>18.425580854596319</v>
      </c>
      <c r="L42" s="18">
        <v>18.875393382474392</v>
      </c>
      <c r="M42" s="18">
        <v>19.37593948814931</v>
      </c>
      <c r="N42" s="18">
        <v>19.904043035124161</v>
      </c>
      <c r="O42" s="18">
        <v>20.434676476954504</v>
      </c>
      <c r="P42" s="18">
        <v>21.051358228285224</v>
      </c>
      <c r="Q42" s="18">
        <v>21.647594038894049</v>
      </c>
      <c r="R42" s="18">
        <v>22.266043235160069</v>
      </c>
      <c r="S42" s="18">
        <v>22.909699710557216</v>
      </c>
      <c r="T42" s="18">
        <v>23.472167600372124</v>
      </c>
      <c r="U42" s="18">
        <v>24.141799581503221</v>
      </c>
      <c r="V42" s="18">
        <v>24.822594807412035</v>
      </c>
      <c r="W42" s="18">
        <v>25.49556340544002</v>
      </c>
      <c r="X42" s="18">
        <v>26.15349331496332</v>
      </c>
      <c r="Y42" s="18">
        <v>26.767784324168478</v>
      </c>
      <c r="Z42" s="18">
        <v>27.460886584388707</v>
      </c>
      <c r="AA42" s="18">
        <v>28.180547175783659</v>
      </c>
      <c r="AB42" s="18">
        <v>28.889625610088803</v>
      </c>
      <c r="AC42" s="18">
        <v>29.626578795924523</v>
      </c>
      <c r="AD42" s="18">
        <v>30.409324222456782</v>
      </c>
      <c r="AE42" s="18">
        <v>31.215558283358291</v>
      </c>
      <c r="AF42" s="18">
        <v>32.049998427479558</v>
      </c>
      <c r="AG42" s="18">
        <v>32.910738887097288</v>
      </c>
      <c r="AH42" s="18">
        <v>33.807840745570964</v>
      </c>
      <c r="AI42" s="18">
        <v>34.749774821046124</v>
      </c>
      <c r="AJ42" s="18">
        <v>35.625703852026675</v>
      </c>
      <c r="AK42" s="18">
        <v>36.542469856907495</v>
      </c>
      <c r="AL42" s="18">
        <v>37.50409193622648</v>
      </c>
      <c r="AM42" s="18">
        <v>38.516268854629871</v>
      </c>
      <c r="AN42" s="18">
        <v>39.601164848584354</v>
      </c>
    </row>
    <row r="43" spans="1:40" x14ac:dyDescent="0.25">
      <c r="A43" t="s">
        <v>27</v>
      </c>
      <c r="B43" s="18">
        <v>52.810230956688748</v>
      </c>
      <c r="C43" s="18">
        <v>54.282362311943913</v>
      </c>
      <c r="D43" s="18">
        <v>55.219691955007207</v>
      </c>
      <c r="E43" s="18">
        <v>55.71177904843772</v>
      </c>
      <c r="F43" s="18">
        <v>56.147972175388119</v>
      </c>
      <c r="G43" s="18">
        <v>56.388632981353197</v>
      </c>
      <c r="H43" s="18">
        <v>56.935742268541119</v>
      </c>
      <c r="I43" s="18">
        <v>56.915851520215952</v>
      </c>
      <c r="J43" s="18">
        <v>52.222577111314017</v>
      </c>
      <c r="K43" s="18">
        <v>53.485625534148674</v>
      </c>
      <c r="L43" s="18">
        <v>54.772963618611712</v>
      </c>
      <c r="M43" s="18">
        <v>56.124869079913438</v>
      </c>
      <c r="N43" s="18">
        <v>57.585957657715895</v>
      </c>
      <c r="O43" s="18">
        <v>59.079383283398805</v>
      </c>
      <c r="P43" s="18">
        <v>60.65927250258617</v>
      </c>
      <c r="Q43" s="18">
        <v>62.260045747357402</v>
      </c>
      <c r="R43" s="18">
        <v>63.990528518902622</v>
      </c>
      <c r="S43" s="18">
        <v>65.756685063171986</v>
      </c>
      <c r="T43" s="18">
        <v>67.302359421755469</v>
      </c>
      <c r="U43" s="18">
        <v>69.094850913797686</v>
      </c>
      <c r="V43" s="18">
        <v>70.970000633313632</v>
      </c>
      <c r="W43" s="18">
        <v>72.841272605878572</v>
      </c>
      <c r="X43" s="18">
        <v>74.680009801299036</v>
      </c>
      <c r="Y43" s="18">
        <v>76.689487549255745</v>
      </c>
      <c r="Z43" s="18">
        <v>78.645651568328219</v>
      </c>
      <c r="AA43" s="18">
        <v>80.680897902695563</v>
      </c>
      <c r="AB43" s="18">
        <v>82.683267359520102</v>
      </c>
      <c r="AC43" s="18">
        <v>84.755595279062305</v>
      </c>
      <c r="AD43" s="18">
        <v>86.95293734444499</v>
      </c>
      <c r="AE43" s="18">
        <v>89.222401499368857</v>
      </c>
      <c r="AF43" s="18">
        <v>91.58017263387822</v>
      </c>
      <c r="AG43" s="18">
        <v>94.032631642963366</v>
      </c>
      <c r="AH43" s="18">
        <v>96.593962146369691</v>
      </c>
      <c r="AI43" s="18">
        <v>99.287066617144006</v>
      </c>
      <c r="AJ43" s="18">
        <v>101.82505005183501</v>
      </c>
      <c r="AK43" s="18">
        <v>104.47034535027582</v>
      </c>
      <c r="AL43" s="18">
        <v>107.23725071589587</v>
      </c>
      <c r="AM43" s="18">
        <v>110.14119878132441</v>
      </c>
      <c r="AN43" s="18">
        <v>113.25676411935609</v>
      </c>
    </row>
    <row r="44" spans="1:40" x14ac:dyDescent="0.25">
      <c r="A44" t="s">
        <v>28</v>
      </c>
      <c r="B44" s="18">
        <v>14.113350558119752</v>
      </c>
      <c r="C44" s="18">
        <v>14.548721789119966</v>
      </c>
      <c r="D44" s="18">
        <v>14.815418697580203</v>
      </c>
      <c r="E44" s="18">
        <v>15.061372702819703</v>
      </c>
      <c r="F44" s="18">
        <v>15.235873493159337</v>
      </c>
      <c r="G44" s="18">
        <v>15.371374502079824</v>
      </c>
      <c r="H44" s="18">
        <v>15.552383515448332</v>
      </c>
      <c r="I44" s="18">
        <v>15.609153497571331</v>
      </c>
      <c r="J44" s="18">
        <v>14.275724652406321</v>
      </c>
      <c r="K44" s="18">
        <v>14.632592738141414</v>
      </c>
      <c r="L44" s="18">
        <v>14.998829546275548</v>
      </c>
      <c r="M44" s="18">
        <v>15.396795523093482</v>
      </c>
      <c r="N44" s="18">
        <v>15.823820610150811</v>
      </c>
      <c r="O44" s="18">
        <v>16.253232567458738</v>
      </c>
      <c r="P44" s="18">
        <v>16.7257349793129</v>
      </c>
      <c r="Q44" s="18">
        <v>17.201748391427138</v>
      </c>
      <c r="R44" s="18">
        <v>17.708895194433161</v>
      </c>
      <c r="S44" s="18">
        <v>18.240242131053403</v>
      </c>
      <c r="T44" s="18">
        <v>18.673472788437888</v>
      </c>
      <c r="U44" s="18">
        <v>19.209896031686849</v>
      </c>
      <c r="V44" s="18">
        <v>19.759109345897627</v>
      </c>
      <c r="W44" s="18">
        <v>20.315924153008183</v>
      </c>
      <c r="X44" s="18">
        <v>20.85546661362639</v>
      </c>
      <c r="Y44" s="18">
        <v>21.431818706447395</v>
      </c>
      <c r="Z44" s="18">
        <v>22.024541155299971</v>
      </c>
      <c r="AA44" s="18">
        <v>22.636627065976988</v>
      </c>
      <c r="AB44" s="18">
        <v>23.238211464117626</v>
      </c>
      <c r="AC44" s="18">
        <v>23.860936149160427</v>
      </c>
      <c r="AD44" s="18">
        <v>24.521037099566129</v>
      </c>
      <c r="AE44" s="18">
        <v>25.21661964013013</v>
      </c>
      <c r="AF44" s="18">
        <v>25.945207485839877</v>
      </c>
      <c r="AG44" s="18">
        <v>26.705694433212486</v>
      </c>
      <c r="AH44" s="18">
        <v>27.488632120441018</v>
      </c>
      <c r="AI44" s="18">
        <v>28.306253513157241</v>
      </c>
      <c r="AJ44" s="18">
        <v>29.07899575807043</v>
      </c>
      <c r="AK44" s="18">
        <v>29.886726463920347</v>
      </c>
      <c r="AL44" s="18">
        <v>30.734199731905431</v>
      </c>
      <c r="AM44" s="18">
        <v>31.62665662555618</v>
      </c>
      <c r="AN44" s="18">
        <v>32.582524336641313</v>
      </c>
    </row>
    <row r="45" spans="1:40" x14ac:dyDescent="0.25">
      <c r="A45" t="s">
        <v>29</v>
      </c>
      <c r="B45" s="18">
        <v>13.345629432701433</v>
      </c>
      <c r="C45" s="18">
        <v>13.899973861744526</v>
      </c>
      <c r="D45" s="18">
        <v>14.241400522629307</v>
      </c>
      <c r="E45" s="18">
        <v>14.660228740858253</v>
      </c>
      <c r="F45" s="18">
        <v>14.734307821369407</v>
      </c>
      <c r="G45" s="18">
        <v>14.820136538356026</v>
      </c>
      <c r="H45" s="18">
        <v>14.834474809054743</v>
      </c>
      <c r="I45" s="18">
        <v>14.739267553174583</v>
      </c>
      <c r="J45" s="18">
        <v>12.850963128301911</v>
      </c>
      <c r="K45" s="18">
        <v>13.194214531253461</v>
      </c>
      <c r="L45" s="18">
        <v>13.463306784285843</v>
      </c>
      <c r="M45" s="18">
        <v>13.76702952833095</v>
      </c>
      <c r="N45" s="18">
        <v>14.094770559289131</v>
      </c>
      <c r="O45" s="18">
        <v>14.441316908885499</v>
      </c>
      <c r="P45" s="18">
        <v>14.774137977640024</v>
      </c>
      <c r="Q45" s="18">
        <v>15.111490993070266</v>
      </c>
      <c r="R45" s="18">
        <v>15.48015276320328</v>
      </c>
      <c r="S45" s="18">
        <v>15.903436587208263</v>
      </c>
      <c r="T45" s="18">
        <v>16.2345529006253</v>
      </c>
      <c r="U45" s="18">
        <v>16.68332773177854</v>
      </c>
      <c r="V45" s="18">
        <v>17.177801343588126</v>
      </c>
      <c r="W45" s="18">
        <v>17.632404747738843</v>
      </c>
      <c r="X45" s="18">
        <v>18.108047442152905</v>
      </c>
      <c r="Y45" s="18">
        <v>18.687220599592028</v>
      </c>
      <c r="Z45" s="18">
        <v>19.123335619478652</v>
      </c>
      <c r="AA45" s="18">
        <v>19.574212861738804</v>
      </c>
      <c r="AB45" s="18">
        <v>20.016445254151499</v>
      </c>
      <c r="AC45" s="18">
        <v>20.474336821456458</v>
      </c>
      <c r="AD45" s="18">
        <v>20.962217277389243</v>
      </c>
      <c r="AE45" s="18">
        <v>21.465139347092094</v>
      </c>
      <c r="AF45" s="18">
        <v>21.98329495211933</v>
      </c>
      <c r="AG45" s="18">
        <v>22.520032154344616</v>
      </c>
      <c r="AH45" s="18">
        <v>23.078435912261451</v>
      </c>
      <c r="AI45" s="18">
        <v>23.667355045881628</v>
      </c>
      <c r="AJ45" s="18">
        <v>24.216532537303461</v>
      </c>
      <c r="AK45" s="18">
        <v>24.785962003570585</v>
      </c>
      <c r="AL45" s="18">
        <v>25.381861674959502</v>
      </c>
      <c r="AM45" s="18">
        <v>26.007023223198622</v>
      </c>
      <c r="AN45" s="18">
        <v>26.682114624908355</v>
      </c>
    </row>
    <row r="46" spans="1:40" x14ac:dyDescent="0.25">
      <c r="A46" t="s">
        <v>30</v>
      </c>
      <c r="B46" s="18">
        <v>10.112362730183554</v>
      </c>
      <c r="C46" s="18">
        <v>8.5007203734218884</v>
      </c>
      <c r="D46" s="18">
        <v>7.7653014266725382</v>
      </c>
      <c r="E46" s="18">
        <v>7.8585582183696561</v>
      </c>
      <c r="F46" s="18">
        <v>7.6166575811777113</v>
      </c>
      <c r="G46" s="18">
        <v>7.2676899905857173</v>
      </c>
      <c r="H46" s="18">
        <v>7.0928076077901956</v>
      </c>
      <c r="I46" s="18">
        <v>6.7895805384473107</v>
      </c>
      <c r="J46" s="18">
        <v>5.5395441341179819</v>
      </c>
      <c r="K46" s="18">
        <v>5.6650824418180408</v>
      </c>
      <c r="L46" s="18">
        <v>5.7151179539530679</v>
      </c>
      <c r="M46" s="18">
        <v>5.7834214959080672</v>
      </c>
      <c r="N46" s="18">
        <v>5.891744250290798</v>
      </c>
      <c r="O46" s="18">
        <v>6.0386177502028104</v>
      </c>
      <c r="P46" s="18">
        <v>6.1810468439326582</v>
      </c>
      <c r="Q46" s="18">
        <v>6.3307968903523228</v>
      </c>
      <c r="R46" s="18">
        <v>6.5005469605789363</v>
      </c>
      <c r="S46" s="18">
        <v>6.7469701193181173</v>
      </c>
      <c r="T46" s="18">
        <v>6.9645438930507204</v>
      </c>
      <c r="U46" s="18">
        <v>7.2642905837274876</v>
      </c>
      <c r="V46" s="18">
        <v>7.6165217660109006</v>
      </c>
      <c r="W46" s="18">
        <v>7.9708467351610119</v>
      </c>
      <c r="X46" s="18">
        <v>8.3506559498367015</v>
      </c>
      <c r="Y46" s="18">
        <v>8.8308793056775485</v>
      </c>
      <c r="Z46" s="18">
        <v>9.2631119812253129</v>
      </c>
      <c r="AA46" s="18">
        <v>9.7001657965888324</v>
      </c>
      <c r="AB46" s="18">
        <v>10.122199009055521</v>
      </c>
      <c r="AC46" s="18">
        <v>10.548860068139749</v>
      </c>
      <c r="AD46" s="18">
        <v>10.988663855455595</v>
      </c>
      <c r="AE46" s="18">
        <v>11.419316718040559</v>
      </c>
      <c r="AF46" s="18">
        <v>11.842864946898526</v>
      </c>
      <c r="AG46" s="18">
        <v>12.260957333092508</v>
      </c>
      <c r="AH46" s="18">
        <v>12.67630003107922</v>
      </c>
      <c r="AI46" s="18">
        <v>13.093477295435996</v>
      </c>
      <c r="AJ46" s="18">
        <v>13.462828088563523</v>
      </c>
      <c r="AK46" s="18">
        <v>13.83089229550253</v>
      </c>
      <c r="AL46" s="18">
        <v>14.201888568407229</v>
      </c>
      <c r="AM46" s="18">
        <v>14.577737580063628</v>
      </c>
      <c r="AN46" s="18">
        <v>14.97305467762345</v>
      </c>
    </row>
    <row r="47" spans="1:40" x14ac:dyDescent="0.25">
      <c r="A47" t="s">
        <v>31</v>
      </c>
      <c r="B47" s="18">
        <v>1.2396211872289537E-4</v>
      </c>
      <c r="C47" s="18">
        <v>1.3639597438124391E-4</v>
      </c>
      <c r="D47" s="18">
        <v>1.4782778941609218E-4</v>
      </c>
      <c r="E47" s="18">
        <v>1.433373755900728E-4</v>
      </c>
      <c r="F47" s="18">
        <v>1.4102836937202948E-4</v>
      </c>
      <c r="G47" s="18">
        <v>1.3573729608291313E-4</v>
      </c>
      <c r="H47" s="18">
        <v>1.4250803609018416E-4</v>
      </c>
      <c r="I47" s="18">
        <v>1.4349767581431678E-4</v>
      </c>
      <c r="J47" s="18">
        <v>1.1077458554618781E-4</v>
      </c>
      <c r="K47" s="18">
        <v>1.2272309954097676E-4</v>
      </c>
      <c r="L47" s="18">
        <v>1.265790961958254E-4</v>
      </c>
      <c r="M47" s="18">
        <v>1.3088259036532032E-4</v>
      </c>
      <c r="N47" s="18">
        <v>1.3647595294192876E-4</v>
      </c>
      <c r="O47" s="18">
        <v>1.4444262285271943E-4</v>
      </c>
      <c r="P47" s="18">
        <v>1.4909047543167897E-4</v>
      </c>
      <c r="Q47" s="18">
        <v>1.5384452910483781E-4</v>
      </c>
      <c r="R47" s="18">
        <v>1.5903968594170402E-4</v>
      </c>
      <c r="S47" s="18">
        <v>1.2376511719270039E-4</v>
      </c>
      <c r="T47" s="18">
        <v>1.2376511719270041E-4</v>
      </c>
      <c r="U47" s="18">
        <v>1.2376511719270044E-4</v>
      </c>
      <c r="V47" s="18">
        <v>1.2376511719270041E-4</v>
      </c>
      <c r="W47" s="18">
        <v>1.2376511719270041E-4</v>
      </c>
      <c r="X47" s="18">
        <v>1.2376511719270041E-4</v>
      </c>
      <c r="Y47" s="18">
        <v>1.2376511719270041E-4</v>
      </c>
      <c r="Z47" s="18">
        <v>1.2376511719270047E-4</v>
      </c>
      <c r="AA47" s="18">
        <v>1.2376511719270047E-4</v>
      </c>
      <c r="AB47" s="18">
        <v>1.2376511719270041E-4</v>
      </c>
      <c r="AC47" s="18">
        <v>1.2376511719270041E-4</v>
      </c>
      <c r="AD47" s="18">
        <v>1.2376511719270039E-4</v>
      </c>
      <c r="AE47" s="18">
        <v>1.2376511719270041E-4</v>
      </c>
      <c r="AF47" s="18">
        <v>1.2376511719270039E-4</v>
      </c>
      <c r="AG47" s="18">
        <v>1.2376511719270047E-4</v>
      </c>
      <c r="AH47" s="18">
        <v>1.2376511719270052E-4</v>
      </c>
      <c r="AI47" s="18">
        <v>1.2376511719270058E-4</v>
      </c>
      <c r="AJ47" s="18">
        <v>1.2376511719270058E-4</v>
      </c>
      <c r="AK47" s="18">
        <v>1.2376511719270052E-4</v>
      </c>
      <c r="AL47" s="18">
        <v>1.2376511719270052E-4</v>
      </c>
      <c r="AM47" s="18">
        <v>1.237651171927005E-4</v>
      </c>
      <c r="AN47" s="18">
        <v>1.2376511719270052E-4</v>
      </c>
    </row>
    <row r="48" spans="1:40" x14ac:dyDescent="0.25">
      <c r="A48" t="s">
        <v>32</v>
      </c>
      <c r="B48" s="18">
        <v>84.250557323845101</v>
      </c>
      <c r="C48" s="18">
        <v>82.451215835678212</v>
      </c>
      <c r="D48" s="18">
        <v>80.166243478069532</v>
      </c>
      <c r="E48" s="18">
        <v>77.626015719858643</v>
      </c>
      <c r="F48" s="18">
        <v>76.22541754695969</v>
      </c>
      <c r="G48" s="18">
        <v>74.388929903020184</v>
      </c>
      <c r="H48" s="18">
        <v>74.661627930767523</v>
      </c>
      <c r="I48" s="18">
        <v>74.775428105381266</v>
      </c>
      <c r="J48" s="18">
        <v>70.522195251866989</v>
      </c>
      <c r="K48" s="18">
        <v>73.094492492143644</v>
      </c>
      <c r="L48" s="18">
        <v>73.214968744367397</v>
      </c>
      <c r="M48" s="18">
        <v>74.270210908090405</v>
      </c>
      <c r="N48" s="18">
        <v>74.302275677412496</v>
      </c>
      <c r="O48" s="18">
        <v>72.946609309788073</v>
      </c>
      <c r="P48" s="18">
        <v>74.534785437994302</v>
      </c>
      <c r="Q48" s="18">
        <v>76.951376992110681</v>
      </c>
      <c r="R48" s="18">
        <v>77.843900415805521</v>
      </c>
      <c r="S48" s="18">
        <v>79.070428521803947</v>
      </c>
      <c r="T48" s="18">
        <v>77.488568884480685</v>
      </c>
      <c r="U48" s="18">
        <v>80.001746636610036</v>
      </c>
      <c r="V48" s="18">
        <v>81.615727730669292</v>
      </c>
      <c r="W48" s="18">
        <v>83.144940101381721</v>
      </c>
      <c r="X48" s="18">
        <v>84.082398572093226</v>
      </c>
      <c r="Y48" s="18">
        <v>84.304176107667672</v>
      </c>
      <c r="Z48" s="18">
        <v>86.706826920772002</v>
      </c>
      <c r="AA48" s="18">
        <v>88.824376735822355</v>
      </c>
      <c r="AB48" s="18">
        <v>90.953130838479012</v>
      </c>
      <c r="AC48" s="18">
        <v>93.067176333633881</v>
      </c>
      <c r="AD48" s="18">
        <v>95.21376631469569</v>
      </c>
      <c r="AE48" s="18">
        <v>96.850170559997039</v>
      </c>
      <c r="AF48" s="18">
        <v>98.234253996043691</v>
      </c>
      <c r="AG48" s="18">
        <v>99.652597349120313</v>
      </c>
      <c r="AH48" s="18">
        <v>101.07044472386205</v>
      </c>
      <c r="AI48" s="18">
        <v>102.5096778995579</v>
      </c>
      <c r="AJ48" s="18">
        <v>103.8756184684088</v>
      </c>
      <c r="AK48" s="18">
        <v>105.22907993312295</v>
      </c>
      <c r="AL48" s="18">
        <v>106.64135677829437</v>
      </c>
      <c r="AM48" s="18">
        <v>108.08092477062478</v>
      </c>
      <c r="AN48" s="18">
        <v>109.5489131273044</v>
      </c>
    </row>
    <row r="49" spans="1:40" x14ac:dyDescent="0.25">
      <c r="A49" t="s">
        <v>33</v>
      </c>
      <c r="B49" s="18">
        <v>21.151207305916397</v>
      </c>
      <c r="C49" s="18">
        <v>22.521282491755183</v>
      </c>
      <c r="D49" s="18">
        <v>24.217986565765905</v>
      </c>
      <c r="E49" s="18">
        <v>25.461135067347364</v>
      </c>
      <c r="F49" s="18">
        <v>26.297310750693875</v>
      </c>
      <c r="G49" s="18">
        <v>28.16300470040489</v>
      </c>
      <c r="H49" s="18">
        <v>30.348501189694851</v>
      </c>
      <c r="I49" s="18">
        <v>31.793574952699373</v>
      </c>
      <c r="J49" s="18">
        <v>30.484415949333048</v>
      </c>
      <c r="K49" s="18">
        <v>31.715305188613026</v>
      </c>
      <c r="L49" s="18">
        <v>33.102158131950326</v>
      </c>
      <c r="M49" s="18">
        <v>34.659094884560439</v>
      </c>
      <c r="N49" s="18">
        <v>36.39067919900473</v>
      </c>
      <c r="O49" s="18">
        <v>38.204349046553844</v>
      </c>
      <c r="P49" s="18">
        <v>40.242752534029108</v>
      </c>
      <c r="Q49" s="18">
        <v>42.352494691702802</v>
      </c>
      <c r="R49" s="18">
        <v>44.62959349611431</v>
      </c>
      <c r="S49" s="18">
        <v>47.059568403454492</v>
      </c>
      <c r="T49" s="18">
        <v>49.336141685836502</v>
      </c>
      <c r="U49" s="18">
        <v>52.129708803872987</v>
      </c>
      <c r="V49" s="18">
        <v>55.076493025987219</v>
      </c>
      <c r="W49" s="18">
        <v>58.127939356488781</v>
      </c>
      <c r="X49" s="18">
        <v>61.165718763166645</v>
      </c>
      <c r="Y49" s="18">
        <v>64.743710634723442</v>
      </c>
      <c r="Z49" s="18">
        <v>68.410556921662561</v>
      </c>
      <c r="AA49" s="18">
        <v>72.216463325601225</v>
      </c>
      <c r="AB49" s="18">
        <v>76.013255310377787</v>
      </c>
      <c r="AC49" s="18">
        <v>79.97978335920952</v>
      </c>
      <c r="AD49" s="18">
        <v>84.167229780771748</v>
      </c>
      <c r="AE49" s="18">
        <v>88.703651014964663</v>
      </c>
      <c r="AF49" s="18">
        <v>93.495987804506427</v>
      </c>
      <c r="AG49" s="18">
        <v>98.513167089164398</v>
      </c>
      <c r="AH49" s="18">
        <v>103.74106028177358</v>
      </c>
      <c r="AI49" s="18">
        <v>109.17954792194922</v>
      </c>
      <c r="AJ49" s="18">
        <v>114.28179559976975</v>
      </c>
      <c r="AK49" s="18">
        <v>119.64957820111283</v>
      </c>
      <c r="AL49" s="18">
        <v>125.31986083075584</v>
      </c>
      <c r="AM49" s="18">
        <v>131.28607556652435</v>
      </c>
      <c r="AN49" s="18">
        <v>137.69966432544891</v>
      </c>
    </row>
    <row r="50" spans="1:40" x14ac:dyDescent="0.25">
      <c r="A50" t="s">
        <v>34</v>
      </c>
      <c r="B50" s="18">
        <v>135.95535691221758</v>
      </c>
      <c r="C50" s="18">
        <v>139.80351127853945</v>
      </c>
      <c r="D50" s="18">
        <v>142.66409200833968</v>
      </c>
      <c r="E50" s="18">
        <v>144.13036048331253</v>
      </c>
      <c r="F50" s="18">
        <v>145.0014302833948</v>
      </c>
      <c r="G50" s="18">
        <v>146.55585903275639</v>
      </c>
      <c r="H50" s="18">
        <v>148.28569594981948</v>
      </c>
      <c r="I50" s="18">
        <v>149.06461652943278</v>
      </c>
      <c r="J50" s="18">
        <v>137.82766079356369</v>
      </c>
      <c r="K50" s="18">
        <v>140.70394471007126</v>
      </c>
      <c r="L50" s="18">
        <v>143.76714641829912</v>
      </c>
      <c r="M50" s="18">
        <v>147.12848647576391</v>
      </c>
      <c r="N50" s="18">
        <v>150.76049449915379</v>
      </c>
      <c r="O50" s="18">
        <v>154.33485001807401</v>
      </c>
      <c r="P50" s="18">
        <v>158.36097525088041</v>
      </c>
      <c r="Q50" s="18">
        <v>162.47821309092055</v>
      </c>
      <c r="R50" s="18">
        <v>166.85402227556517</v>
      </c>
      <c r="S50" s="18">
        <v>171.19273800324726</v>
      </c>
      <c r="T50" s="18">
        <v>174.84705057564088</v>
      </c>
      <c r="U50" s="18">
        <v>179.31069111024703</v>
      </c>
      <c r="V50" s="18">
        <v>183.8200659769339</v>
      </c>
      <c r="W50" s="18">
        <v>188.45915175381029</v>
      </c>
      <c r="X50" s="18">
        <v>192.83647380242422</v>
      </c>
      <c r="Y50" s="18">
        <v>197.4490556385359</v>
      </c>
      <c r="Z50" s="18">
        <v>202.3032772288403</v>
      </c>
      <c r="AA50" s="18">
        <v>207.34778110170382</v>
      </c>
      <c r="AB50" s="18">
        <v>212.31258981749002</v>
      </c>
      <c r="AC50" s="18">
        <v>217.46651232501361</v>
      </c>
      <c r="AD50" s="18">
        <v>222.94594056097739</v>
      </c>
      <c r="AE50" s="18">
        <v>228.74169932221261</v>
      </c>
      <c r="AF50" s="18">
        <v>234.76776055763202</v>
      </c>
      <c r="AG50" s="18">
        <v>241.02171215001968</v>
      </c>
      <c r="AH50" s="18">
        <v>247.53264718985847</v>
      </c>
      <c r="AI50" s="18">
        <v>254.37037860613714</v>
      </c>
      <c r="AJ50" s="18">
        <v>260.75466562266104</v>
      </c>
      <c r="AK50" s="18">
        <v>267.45156625352439</v>
      </c>
      <c r="AL50" s="18">
        <v>274.50343300227337</v>
      </c>
      <c r="AM50" s="18">
        <v>281.92696162795829</v>
      </c>
      <c r="AN50" s="18">
        <v>289.90858523747522</v>
      </c>
    </row>
    <row r="51" spans="1:40" x14ac:dyDescent="0.25">
      <c r="A51" t="s">
        <v>35</v>
      </c>
      <c r="B51" s="18">
        <v>11.263564724197627</v>
      </c>
      <c r="C51" s="18">
        <v>11.573114330999795</v>
      </c>
      <c r="D51" s="18">
        <v>11.904421804272397</v>
      </c>
      <c r="E51" s="18">
        <v>12.110094606966681</v>
      </c>
      <c r="F51" s="18">
        <v>12.166932788027333</v>
      </c>
      <c r="G51" s="18">
        <v>12.293711060955006</v>
      </c>
      <c r="H51" s="18">
        <v>12.562958323284702</v>
      </c>
      <c r="I51" s="18">
        <v>12.711588758003899</v>
      </c>
      <c r="J51" s="18">
        <v>11.921653112246329</v>
      </c>
      <c r="K51" s="18">
        <v>12.235304710288451</v>
      </c>
      <c r="L51" s="18">
        <v>12.501281403627599</v>
      </c>
      <c r="M51" s="18">
        <v>12.741742363348116</v>
      </c>
      <c r="N51" s="18">
        <v>12.98624838026327</v>
      </c>
      <c r="O51" s="18">
        <v>13.214479448270467</v>
      </c>
      <c r="P51" s="18">
        <v>13.465168709241487</v>
      </c>
      <c r="Q51" s="18">
        <v>13.703477984695741</v>
      </c>
      <c r="R51" s="18">
        <v>13.943442716705752</v>
      </c>
      <c r="S51" s="18">
        <v>14.18613399699187</v>
      </c>
      <c r="T51" s="18">
        <v>14.466589529547347</v>
      </c>
      <c r="U51" s="18">
        <v>14.845840463025313</v>
      </c>
      <c r="V51" s="18">
        <v>15.167896365378041</v>
      </c>
      <c r="W51" s="18">
        <v>15.482175648100521</v>
      </c>
      <c r="X51" s="18">
        <v>15.753527531290876</v>
      </c>
      <c r="Y51" s="18">
        <v>16.029022897704866</v>
      </c>
      <c r="Z51" s="18">
        <v>16.344022280745968</v>
      </c>
      <c r="AA51" s="18">
        <v>16.653030576959534</v>
      </c>
      <c r="AB51" s="18">
        <v>16.95834435079685</v>
      </c>
      <c r="AC51" s="18">
        <v>17.270783697210387</v>
      </c>
      <c r="AD51" s="18">
        <v>17.605624985872634</v>
      </c>
      <c r="AE51" s="18">
        <v>17.958545368952624</v>
      </c>
      <c r="AF51" s="18">
        <v>18.326368122704476</v>
      </c>
      <c r="AG51" s="18">
        <v>18.695411513294513</v>
      </c>
      <c r="AH51" s="18">
        <v>19.063846336311084</v>
      </c>
      <c r="AI51" s="18">
        <v>19.436090482310849</v>
      </c>
      <c r="AJ51" s="18">
        <v>19.764024399763979</v>
      </c>
      <c r="AK51" s="18">
        <v>20.084817159876348</v>
      </c>
      <c r="AL51" s="18">
        <v>20.430774533226025</v>
      </c>
      <c r="AM51" s="18">
        <v>20.793147678228024</v>
      </c>
      <c r="AN51" s="18">
        <v>21.18512097954352</v>
      </c>
    </row>
    <row r="52" spans="1:40" x14ac:dyDescent="0.25">
      <c r="A52" t="s">
        <v>36</v>
      </c>
      <c r="B52" s="18">
        <v>1.1351531206547518</v>
      </c>
      <c r="C52" s="18">
        <v>1.1581435930988344</v>
      </c>
      <c r="D52" s="18">
        <v>1.1466897745006903</v>
      </c>
      <c r="E52" s="18">
        <v>1.1404041486992398</v>
      </c>
      <c r="F52" s="18">
        <v>1.158082223645845</v>
      </c>
      <c r="G52" s="18">
        <v>1.1690400702239674</v>
      </c>
      <c r="H52" s="18">
        <v>1.1399086849076014</v>
      </c>
      <c r="I52" s="18">
        <v>1.1221637155461712</v>
      </c>
      <c r="J52" s="18">
        <v>1.0096297710191362</v>
      </c>
      <c r="K52" s="18">
        <v>1.0106492879161646</v>
      </c>
      <c r="L52" s="18">
        <v>1.0302529717942739</v>
      </c>
      <c r="M52" s="18">
        <v>1.0620864750479064</v>
      </c>
      <c r="N52" s="18">
        <v>1.0998118752864574</v>
      </c>
      <c r="O52" s="18">
        <v>1.1401523216394778</v>
      </c>
      <c r="P52" s="18">
        <v>1.1865134987803243</v>
      </c>
      <c r="Q52" s="18">
        <v>1.2382503590157974</v>
      </c>
      <c r="R52" s="18">
        <v>1.2967453569894312</v>
      </c>
      <c r="S52" s="18">
        <v>1.3581112576656127</v>
      </c>
      <c r="T52" s="18">
        <v>1.393039840277065</v>
      </c>
      <c r="U52" s="18">
        <v>1.4236346020613615</v>
      </c>
      <c r="V52" s="18">
        <v>1.4718356260352397</v>
      </c>
      <c r="W52" s="18">
        <v>1.526684010572724</v>
      </c>
      <c r="X52" s="18">
        <v>1.5859732062358185</v>
      </c>
      <c r="Y52" s="18">
        <v>1.6511561750372967</v>
      </c>
      <c r="Z52" s="18">
        <v>1.7137906368871529</v>
      </c>
      <c r="AA52" s="18">
        <v>1.7838412023456807</v>
      </c>
      <c r="AB52" s="18">
        <v>1.852760928004608</v>
      </c>
      <c r="AC52" s="18">
        <v>1.9252952057275514</v>
      </c>
      <c r="AD52" s="18">
        <v>2.0011863599229782</v>
      </c>
      <c r="AE52" s="18">
        <v>2.0799279842080454</v>
      </c>
      <c r="AF52" s="18">
        <v>2.161300898584174</v>
      </c>
      <c r="AG52" s="18">
        <v>2.2491417997344558</v>
      </c>
      <c r="AH52" s="18">
        <v>2.3449152122731407</v>
      </c>
      <c r="AI52" s="18">
        <v>2.4496740414846618</v>
      </c>
      <c r="AJ52" s="18">
        <v>2.553957149593189</v>
      </c>
      <c r="AK52" s="18">
        <v>2.6701459219060015</v>
      </c>
      <c r="AL52" s="18">
        <v>2.7900071780000926</v>
      </c>
      <c r="AM52" s="18">
        <v>2.9167674131821033</v>
      </c>
      <c r="AN52" s="18">
        <v>3.0523121519180978</v>
      </c>
    </row>
    <row r="53" spans="1:40" x14ac:dyDescent="0.25">
      <c r="A53" t="s">
        <v>37</v>
      </c>
      <c r="B53" s="18">
        <v>27.516308224731535</v>
      </c>
      <c r="C53" s="18">
        <v>26.933321910754717</v>
      </c>
      <c r="D53" s="18">
        <v>26.357240851505608</v>
      </c>
      <c r="E53" s="18">
        <v>25.784669574259389</v>
      </c>
      <c r="F53" s="18">
        <v>25.784669574259372</v>
      </c>
      <c r="G53" s="18">
        <v>25.792154377886234</v>
      </c>
      <c r="H53" s="18">
        <v>25.78096221762112</v>
      </c>
      <c r="I53" s="18">
        <v>25.777254860982886</v>
      </c>
      <c r="J53" s="18">
        <v>25.780962217621408</v>
      </c>
      <c r="K53" s="18">
        <v>25.780962217621408</v>
      </c>
      <c r="L53" s="18">
        <v>25.780962217621404</v>
      </c>
      <c r="M53" s="18">
        <v>25.780962217621397</v>
      </c>
      <c r="N53" s="18">
        <v>25.780962217621397</v>
      </c>
      <c r="O53" s="18">
        <v>25.221712610799649</v>
      </c>
      <c r="P53" s="18">
        <v>25.221712610799649</v>
      </c>
      <c r="Q53" s="18">
        <v>25.198560689428401</v>
      </c>
      <c r="R53" s="18">
        <v>25.198154966054339</v>
      </c>
      <c r="S53" s="18">
        <v>25.22443266858593</v>
      </c>
      <c r="T53" s="18">
        <v>25.198154966054339</v>
      </c>
      <c r="U53" s="18">
        <v>24.729363674487423</v>
      </c>
      <c r="V53" s="18">
        <v>24.107340422025779</v>
      </c>
      <c r="W53" s="18">
        <v>24.068889189911349</v>
      </c>
      <c r="X53" s="18">
        <v>23.566180013629189</v>
      </c>
      <c r="Y53" s="18">
        <v>22.355593289542004</v>
      </c>
      <c r="Z53" s="18">
        <v>22.403008355083625</v>
      </c>
      <c r="AA53" s="18">
        <v>22.450423420625238</v>
      </c>
      <c r="AB53" s="18">
        <v>22.497838486166845</v>
      </c>
      <c r="AC53" s="18">
        <v>22.545253551708463</v>
      </c>
      <c r="AD53" s="18">
        <v>22.592668617250066</v>
      </c>
      <c r="AE53" s="18">
        <v>22.390297614205075</v>
      </c>
      <c r="AF53" s="18">
        <v>22.187926611160076</v>
      </c>
      <c r="AG53" s="18">
        <v>21.985555608115085</v>
      </c>
      <c r="AH53" s="18">
        <v>21.783184605070087</v>
      </c>
      <c r="AI53" s="18">
        <v>21.580813602025103</v>
      </c>
      <c r="AJ53" s="18">
        <v>21.378442598980104</v>
      </c>
      <c r="AK53" s="18">
        <v>21.176071595935095</v>
      </c>
      <c r="AL53" s="18">
        <v>20.973700592890108</v>
      </c>
      <c r="AM53" s="18">
        <v>20.771329589845102</v>
      </c>
      <c r="AN53" s="18">
        <v>20.568958586800107</v>
      </c>
    </row>
    <row r="54" spans="1:40" x14ac:dyDescent="0.25">
      <c r="A54" t="s">
        <v>38</v>
      </c>
      <c r="B54" s="18">
        <v>66.42036548153871</v>
      </c>
      <c r="C54" s="18">
        <v>67.405879473318592</v>
      </c>
      <c r="D54" s="18">
        <v>64.422201326406551</v>
      </c>
      <c r="E54" s="18">
        <v>61.447467786677329</v>
      </c>
      <c r="F54" s="18">
        <v>61.142610702865952</v>
      </c>
      <c r="G54" s="18">
        <v>61.268075561889901</v>
      </c>
      <c r="H54" s="18">
        <v>60.912459713234377</v>
      </c>
      <c r="I54" s="18">
        <v>60.468556482084786</v>
      </c>
      <c r="J54" s="18">
        <v>58.515171706745178</v>
      </c>
      <c r="K54" s="18">
        <v>58.254298294534607</v>
      </c>
      <c r="L54" s="18">
        <v>58.043794250560346</v>
      </c>
      <c r="M54" s="18">
        <v>58.268510979649157</v>
      </c>
      <c r="N54" s="18">
        <v>58.634403368923351</v>
      </c>
      <c r="O54" s="18">
        <v>59.586142400355428</v>
      </c>
      <c r="P54" s="18">
        <v>59.40613908356876</v>
      </c>
      <c r="Q54" s="18">
        <v>59.339774819221503</v>
      </c>
      <c r="R54" s="18">
        <v>59.635924277118903</v>
      </c>
      <c r="S54" s="18">
        <v>59.8003165606208</v>
      </c>
      <c r="T54" s="18">
        <v>60.405002253054697</v>
      </c>
      <c r="U54" s="18">
        <v>59.924771535685913</v>
      </c>
      <c r="V54" s="18">
        <v>59.693945281900724</v>
      </c>
      <c r="W54" s="18">
        <v>59.46503786708054</v>
      </c>
      <c r="X54" s="18">
        <v>59.155273715860652</v>
      </c>
      <c r="Y54" s="18">
        <v>58.166723000493484</v>
      </c>
      <c r="Z54" s="18">
        <v>57.190274817346371</v>
      </c>
      <c r="AA54" s="18">
        <v>56.213826634199208</v>
      </c>
      <c r="AB54" s="18">
        <v>55.237378451052074</v>
      </c>
      <c r="AC54" s="18">
        <v>54.260930267904918</v>
      </c>
      <c r="AD54" s="18">
        <v>53.284482084757748</v>
      </c>
      <c r="AE54" s="18">
        <v>52.724292816706132</v>
      </c>
      <c r="AF54" s="18">
        <v>52.164103548654488</v>
      </c>
      <c r="AG54" s="18">
        <v>51.603914280602893</v>
      </c>
      <c r="AH54" s="18">
        <v>51.043725012551292</v>
      </c>
      <c r="AI54" s="18">
        <v>50.483535744499683</v>
      </c>
      <c r="AJ54" s="18">
        <v>49.923346476448074</v>
      </c>
      <c r="AK54" s="18">
        <v>49.363157208396451</v>
      </c>
      <c r="AL54" s="18">
        <v>48.802967940344814</v>
      </c>
      <c r="AM54" s="18">
        <v>48.242778672293184</v>
      </c>
      <c r="AN54" s="18">
        <v>47.682589404241561</v>
      </c>
    </row>
    <row r="56" spans="1:40" ht="18" thickBot="1" x14ac:dyDescent="0.35">
      <c r="A56" s="4" t="s">
        <v>143</v>
      </c>
      <c r="B56" s="4"/>
      <c r="C56" s="4"/>
      <c r="D56" s="4"/>
      <c r="E56" s="4"/>
      <c r="F56" s="4"/>
      <c r="G56" s="4"/>
      <c r="H56" s="4"/>
    </row>
    <row r="57" spans="1:40" ht="15.75" thickTop="1" x14ac:dyDescent="0.25">
      <c r="B57" s="3">
        <v>2012</v>
      </c>
      <c r="C57" s="3">
        <v>2013</v>
      </c>
      <c r="D57" s="3">
        <v>2014</v>
      </c>
      <c r="E57" s="3">
        <v>2015</v>
      </c>
      <c r="F57" s="3">
        <v>2016</v>
      </c>
      <c r="G57" s="3">
        <v>2017</v>
      </c>
      <c r="H57" s="3">
        <v>2018</v>
      </c>
      <c r="I57" s="3">
        <v>2019</v>
      </c>
      <c r="J57" s="3">
        <v>2020</v>
      </c>
      <c r="K57" s="3">
        <v>2021</v>
      </c>
      <c r="L57" s="3">
        <v>2022</v>
      </c>
      <c r="M57" s="3">
        <v>2023</v>
      </c>
      <c r="N57" s="3">
        <v>2024</v>
      </c>
      <c r="O57" s="3">
        <v>2025</v>
      </c>
      <c r="P57" s="3">
        <v>2026</v>
      </c>
      <c r="Q57" s="3">
        <v>2027</v>
      </c>
      <c r="R57" s="3">
        <v>2028</v>
      </c>
      <c r="S57" s="3">
        <v>2029</v>
      </c>
      <c r="T57" s="3">
        <v>2030</v>
      </c>
      <c r="U57" s="3">
        <v>2031</v>
      </c>
      <c r="V57" s="3">
        <v>2032</v>
      </c>
      <c r="W57" s="3">
        <v>2033</v>
      </c>
      <c r="X57" s="3">
        <v>2034</v>
      </c>
      <c r="Y57" s="3">
        <v>2035</v>
      </c>
      <c r="Z57" s="3">
        <v>2036</v>
      </c>
      <c r="AA57" s="3">
        <v>2037</v>
      </c>
      <c r="AB57" s="3">
        <v>2038</v>
      </c>
      <c r="AC57">
        <v>2039</v>
      </c>
      <c r="AD57">
        <v>2040</v>
      </c>
      <c r="AE57">
        <v>2041</v>
      </c>
      <c r="AF57">
        <v>2042</v>
      </c>
      <c r="AG57">
        <v>2043</v>
      </c>
      <c r="AH57">
        <v>2044</v>
      </c>
      <c r="AI57">
        <v>2045</v>
      </c>
      <c r="AJ57">
        <v>2046</v>
      </c>
      <c r="AK57">
        <v>2047</v>
      </c>
      <c r="AL57">
        <v>2048</v>
      </c>
      <c r="AM57">
        <v>2049</v>
      </c>
      <c r="AN57">
        <v>2050</v>
      </c>
    </row>
    <row r="58" spans="1:40" x14ac:dyDescent="0.25">
      <c r="A58" s="3" t="s">
        <v>54</v>
      </c>
      <c r="B58" s="12">
        <v>0.5</v>
      </c>
      <c r="C58" s="12">
        <v>0.49336729527378553</v>
      </c>
      <c r="D58" s="12">
        <v>0.48171060529799387</v>
      </c>
      <c r="E58" s="12">
        <v>0.47177045577230031</v>
      </c>
      <c r="F58" s="12">
        <v>0.46545124966508494</v>
      </c>
      <c r="G58" s="12">
        <v>0.45689360095251991</v>
      </c>
      <c r="H58" s="12">
        <v>0.44754750385756908</v>
      </c>
      <c r="I58" s="12">
        <v>0.44072180868643385</v>
      </c>
      <c r="J58" s="12">
        <v>0.44932093804663059</v>
      </c>
      <c r="K58" s="12">
        <v>0.46169849501877358</v>
      </c>
      <c r="L58" s="12">
        <v>0.45433259997191139</v>
      </c>
      <c r="M58" s="12">
        <v>0.44629995028076702</v>
      </c>
      <c r="N58" s="12">
        <v>0.43729958443530692</v>
      </c>
      <c r="O58" s="12">
        <v>0.4285071202854901</v>
      </c>
      <c r="P58" s="12">
        <v>0.41982182143542912</v>
      </c>
      <c r="Q58" s="12">
        <v>0.41040577394913741</v>
      </c>
      <c r="R58" s="12">
        <v>0.40123866012746023</v>
      </c>
      <c r="S58" s="12">
        <v>0.3928484634610474</v>
      </c>
      <c r="T58" s="12">
        <v>0.38649000151150309</v>
      </c>
      <c r="U58" s="12">
        <v>0.38026445156883421</v>
      </c>
      <c r="V58" s="12">
        <v>0.37289616395615627</v>
      </c>
      <c r="W58" s="12">
        <v>0.36581070355972556</v>
      </c>
      <c r="X58" s="12">
        <v>0.35937401047997142</v>
      </c>
      <c r="Y58" s="12">
        <v>0.35340136617795931</v>
      </c>
      <c r="Z58" s="12">
        <v>0.34736735925061146</v>
      </c>
      <c r="AA58" s="12">
        <v>0.3409826261458041</v>
      </c>
      <c r="AB58" s="12">
        <v>0.33500389317740054</v>
      </c>
      <c r="AC58" s="12">
        <v>0.32926681704835342</v>
      </c>
      <c r="AD58" s="12">
        <v>0.32344370295884878</v>
      </c>
      <c r="AE58" s="12">
        <v>0.31754276370187084</v>
      </c>
      <c r="AF58" s="12">
        <v>0.31149313701067721</v>
      </c>
      <c r="AG58" s="12">
        <v>0.30551517497785613</v>
      </c>
      <c r="AH58" s="12">
        <v>0.29958394219881929</v>
      </c>
      <c r="AI58" s="12">
        <v>0.29370002239714332</v>
      </c>
      <c r="AJ58" s="12">
        <v>0.28869564431398759</v>
      </c>
      <c r="AK58" s="12">
        <v>0.28404412224899633</v>
      </c>
      <c r="AL58" s="12">
        <v>0.27930607561463999</v>
      </c>
      <c r="AM58" s="12">
        <v>0.27446369057707254</v>
      </c>
      <c r="AN58" s="12">
        <v>0.26944557548125397</v>
      </c>
    </row>
    <row r="59" spans="1:40" x14ac:dyDescent="0.25">
      <c r="A59" s="3" t="s">
        <v>55</v>
      </c>
      <c r="B59" s="12">
        <v>0.3</v>
      </c>
      <c r="C59" s="12">
        <v>0.29461251514394299</v>
      </c>
      <c r="D59" s="12">
        <v>0.29662276780814034</v>
      </c>
      <c r="E59" s="12">
        <v>0.2978666344466091</v>
      </c>
      <c r="F59" s="12">
        <v>0.29849598777050546</v>
      </c>
      <c r="G59" s="12">
        <v>0.29718257875521831</v>
      </c>
      <c r="H59" s="12">
        <v>0.29753388727183516</v>
      </c>
      <c r="I59" s="12">
        <v>0.29840116764803021</v>
      </c>
      <c r="J59" s="12">
        <v>0.30777027456338796</v>
      </c>
      <c r="K59" s="12">
        <v>0.29124236862318381</v>
      </c>
      <c r="L59" s="12">
        <v>0.29240625388083158</v>
      </c>
      <c r="M59" s="12">
        <v>0.29331568960873045</v>
      </c>
      <c r="N59" s="12">
        <v>0.29457226083561588</v>
      </c>
      <c r="O59" s="12">
        <v>0.29617543706924332</v>
      </c>
      <c r="P59" s="12">
        <v>0.2974423087562828</v>
      </c>
      <c r="Q59" s="12">
        <v>0.29959432476552511</v>
      </c>
      <c r="R59" s="12">
        <v>0.30166829026180969</v>
      </c>
      <c r="S59" s="12">
        <v>0.30380186364507517</v>
      </c>
      <c r="T59" s="12">
        <v>0.30626186294131208</v>
      </c>
      <c r="U59" s="12">
        <v>0.30722027340126007</v>
      </c>
      <c r="V59" s="12">
        <v>0.30957010725260409</v>
      </c>
      <c r="W59" s="12">
        <v>0.31165861774611353</v>
      </c>
      <c r="X59" s="12">
        <v>0.31395984116930353</v>
      </c>
      <c r="Y59" s="12">
        <v>0.31591742107071824</v>
      </c>
      <c r="Z59" s="12">
        <v>0.31791083718876156</v>
      </c>
      <c r="AA59" s="12">
        <v>0.32028674233284754</v>
      </c>
      <c r="AB59" s="12">
        <v>0.32272586557195093</v>
      </c>
      <c r="AC59" s="12">
        <v>0.32494110183628322</v>
      </c>
      <c r="AD59" s="12">
        <v>0.32707344508491171</v>
      </c>
      <c r="AE59" s="12">
        <v>0.32946791255742369</v>
      </c>
      <c r="AF59" s="12">
        <v>0.33205639863232578</v>
      </c>
      <c r="AG59" s="12">
        <v>0.33460062237938187</v>
      </c>
      <c r="AH59" s="12">
        <v>0.33713819888464658</v>
      </c>
      <c r="AI59" s="12">
        <v>0.33964707999850152</v>
      </c>
      <c r="AJ59" s="12">
        <v>0.34277558292100246</v>
      </c>
      <c r="AK59" s="12">
        <v>0.34551575309130234</v>
      </c>
      <c r="AL59" s="12">
        <v>0.34823666281050414</v>
      </c>
      <c r="AM59" s="12">
        <v>0.35094719589559048</v>
      </c>
      <c r="AN59" s="12">
        <v>0.35361865313401414</v>
      </c>
    </row>
    <row r="60" spans="1:40" x14ac:dyDescent="0.25">
      <c r="A60" s="3" t="s">
        <v>56</v>
      </c>
      <c r="B60" s="12">
        <v>0.19999999999999998</v>
      </c>
      <c r="C60" s="12">
        <v>0.20644820051799312</v>
      </c>
      <c r="D60" s="12">
        <v>0.21023399354719632</v>
      </c>
      <c r="E60" s="12">
        <v>0.21278371680239092</v>
      </c>
      <c r="F60" s="12">
        <v>0.21204411297191461</v>
      </c>
      <c r="G60" s="12">
        <v>0.21520611914246437</v>
      </c>
      <c r="H60" s="12">
        <v>0.21758126820122253</v>
      </c>
      <c r="I60" s="12">
        <v>0.21696525179971546</v>
      </c>
      <c r="J60" s="12">
        <v>0.19246748390404797</v>
      </c>
      <c r="K60" s="12">
        <v>0.19447523142102022</v>
      </c>
      <c r="L60" s="12">
        <v>0.19853947436388894</v>
      </c>
      <c r="M60" s="12">
        <v>0.20352974517664227</v>
      </c>
      <c r="N60" s="12">
        <v>0.20914540945630367</v>
      </c>
      <c r="O60" s="12">
        <v>0.21421136898544324</v>
      </c>
      <c r="P60" s="12">
        <v>0.22105830860577064</v>
      </c>
      <c r="Q60" s="12">
        <v>0.22775120039412966</v>
      </c>
      <c r="R60" s="12">
        <v>0.23427355667310334</v>
      </c>
      <c r="S60" s="12">
        <v>0.23995973534049977</v>
      </c>
      <c r="T60" s="12">
        <v>0.24328810059724967</v>
      </c>
      <c r="U60" s="12">
        <v>0.24920260436384109</v>
      </c>
      <c r="V60" s="12">
        <v>0.25486887012552317</v>
      </c>
      <c r="W60" s="12">
        <v>0.2605140800549105</v>
      </c>
      <c r="X60" s="12">
        <v>0.265298258073913</v>
      </c>
      <c r="Y60" s="12">
        <v>0.26996247948298979</v>
      </c>
      <c r="Z60" s="12">
        <v>0.27578463348214166</v>
      </c>
      <c r="AA60" s="12">
        <v>0.28157840377750087</v>
      </c>
      <c r="AB60" s="12">
        <v>0.28690634139555593</v>
      </c>
      <c r="AC60" s="12">
        <v>0.29221990112462515</v>
      </c>
      <c r="AD60" s="12">
        <v>0.29770579023911803</v>
      </c>
      <c r="AE60" s="12">
        <v>0.30405901407918862</v>
      </c>
      <c r="AF60" s="12">
        <v>0.31037545326155108</v>
      </c>
      <c r="AG60" s="12">
        <v>0.31667306228216097</v>
      </c>
      <c r="AH60" s="12">
        <v>0.32293918719489123</v>
      </c>
      <c r="AI60" s="12">
        <v>0.32919531823838566</v>
      </c>
      <c r="AJ60" s="12">
        <v>0.33502336623671947</v>
      </c>
      <c r="AK60" s="12">
        <v>0.34090311848260424</v>
      </c>
      <c r="AL60" s="12">
        <v>0.34690494989219267</v>
      </c>
      <c r="AM60" s="12">
        <v>0.35303785738565435</v>
      </c>
      <c r="AN60" s="12">
        <v>0.35940199900858649</v>
      </c>
    </row>
    <row r="61" spans="1:40" x14ac:dyDescent="0.25">
      <c r="A61" s="3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3" spans="1:40" ht="18" thickBot="1" x14ac:dyDescent="0.35">
      <c r="A63" s="4" t="s">
        <v>144</v>
      </c>
      <c r="B63" s="4"/>
      <c r="C63" s="4"/>
      <c r="D63" s="4"/>
      <c r="E63" s="4"/>
      <c r="F63" s="4"/>
      <c r="G63" s="4"/>
      <c r="H63" s="4"/>
    </row>
    <row r="64" spans="1:40" ht="15.75" thickTop="1" x14ac:dyDescent="0.25">
      <c r="A64" s="3">
        <v>2012</v>
      </c>
      <c r="B64" s="3">
        <v>2013</v>
      </c>
      <c r="C64" s="3">
        <v>2014</v>
      </c>
      <c r="D64" s="3">
        <v>2015</v>
      </c>
      <c r="E64" s="3">
        <v>2016</v>
      </c>
      <c r="F64" s="3">
        <v>2017</v>
      </c>
      <c r="G64" s="3">
        <v>2018</v>
      </c>
      <c r="H64" s="3">
        <v>2019</v>
      </c>
      <c r="I64" s="3">
        <v>2020</v>
      </c>
      <c r="J64" s="3">
        <v>2021</v>
      </c>
      <c r="K64" s="3">
        <v>2022</v>
      </c>
      <c r="L64" s="3">
        <v>2023</v>
      </c>
      <c r="M64" s="3">
        <v>2024</v>
      </c>
      <c r="N64" s="3">
        <v>2025</v>
      </c>
      <c r="O64" s="3">
        <v>2026</v>
      </c>
      <c r="P64" s="3">
        <v>2027</v>
      </c>
      <c r="Q64" s="3">
        <v>2028</v>
      </c>
      <c r="R64" s="3">
        <v>2029</v>
      </c>
      <c r="S64" s="3">
        <v>2030</v>
      </c>
      <c r="T64" s="3">
        <v>2031</v>
      </c>
      <c r="U64" s="3">
        <v>2032</v>
      </c>
      <c r="V64" s="3">
        <v>2033</v>
      </c>
      <c r="W64" s="3">
        <v>2034</v>
      </c>
      <c r="X64" s="3">
        <v>2035</v>
      </c>
      <c r="Y64" s="3">
        <v>2036</v>
      </c>
      <c r="Z64">
        <v>2037</v>
      </c>
      <c r="AA64">
        <v>2038</v>
      </c>
      <c r="AB64">
        <v>2039</v>
      </c>
      <c r="AC64">
        <v>2040</v>
      </c>
      <c r="AD64">
        <v>2041</v>
      </c>
      <c r="AE64">
        <v>2042</v>
      </c>
      <c r="AF64">
        <v>2043</v>
      </c>
      <c r="AG64">
        <v>2044</v>
      </c>
      <c r="AH64">
        <v>2045</v>
      </c>
      <c r="AI64">
        <v>2046</v>
      </c>
      <c r="AJ64">
        <v>2047</v>
      </c>
      <c r="AK64">
        <v>2048</v>
      </c>
      <c r="AL64">
        <v>2049</v>
      </c>
      <c r="AM64">
        <v>2050</v>
      </c>
    </row>
    <row r="65" spans="1:40" x14ac:dyDescent="0.25">
      <c r="A65">
        <v>0.30163969294990939</v>
      </c>
      <c r="B65">
        <v>0.30796232196009593</v>
      </c>
      <c r="C65">
        <v>0.31076074811132609</v>
      </c>
      <c r="D65">
        <v>0.31288978435800541</v>
      </c>
      <c r="E65">
        <v>0.31287861234645009</v>
      </c>
      <c r="F65">
        <v>0.31559061766201918</v>
      </c>
      <c r="G65">
        <v>0.31792262160723966</v>
      </c>
      <c r="H65">
        <v>0.31751776256697073</v>
      </c>
      <c r="I65">
        <v>0.29019645575179692</v>
      </c>
      <c r="J65">
        <v>0.29699796556548153</v>
      </c>
      <c r="K65">
        <v>0.30086618803463078</v>
      </c>
      <c r="L65">
        <v>0.30560921323222662</v>
      </c>
      <c r="M65">
        <v>0.31089428879503833</v>
      </c>
      <c r="N65">
        <v>0.31574574729178884</v>
      </c>
      <c r="O65">
        <v>0.32233263553724806</v>
      </c>
      <c r="P65">
        <v>0.32880003865535701</v>
      </c>
      <c r="Q65">
        <v>0.33535511550799657</v>
      </c>
      <c r="R65">
        <v>0.34123725286063172</v>
      </c>
      <c r="S65">
        <v>0.34454239921586177</v>
      </c>
      <c r="T65">
        <v>0.35116683037727708</v>
      </c>
      <c r="U65">
        <v>0.3572236000334062</v>
      </c>
      <c r="V65">
        <v>0.36353776465503623</v>
      </c>
      <c r="W65">
        <v>0.36890203829536222</v>
      </c>
      <c r="X65" s="12">
        <v>0.37427262385952426</v>
      </c>
      <c r="Y65" s="12">
        <v>0.38104809418400248</v>
      </c>
      <c r="Z65" s="12">
        <v>0.38784776605814258</v>
      </c>
      <c r="AA65" s="12">
        <v>0.4299009822099728</v>
      </c>
      <c r="AB65" s="12">
        <v>0.43713117831921317</v>
      </c>
      <c r="AC65" s="12">
        <v>0.44491156591527831</v>
      </c>
      <c r="AD65" s="12">
        <v>0.45393229406497204</v>
      </c>
      <c r="AE65" s="12">
        <v>0.46311317822350589</v>
      </c>
      <c r="AF65" s="12">
        <v>0.4726065828684099</v>
      </c>
      <c r="AG65" s="12">
        <v>0.48236629091688582</v>
      </c>
      <c r="AH65" s="12">
        <v>0.49247723540906563</v>
      </c>
      <c r="AI65" s="12">
        <v>0.50118562936425615</v>
      </c>
      <c r="AJ65" s="12">
        <v>0.51042179853043057</v>
      </c>
      <c r="AK65" s="12">
        <v>0.52017248072066546</v>
      </c>
      <c r="AL65" s="12">
        <v>0.53049825447978527</v>
      </c>
      <c r="AM65" s="12">
        <v>0.54170030276549952</v>
      </c>
    </row>
    <row r="68" spans="1:40" x14ac:dyDescent="0.25">
      <c r="C68" s="13"/>
    </row>
    <row r="69" spans="1:40" x14ac:dyDescent="0.25">
      <c r="C69" s="13"/>
    </row>
    <row r="70" spans="1:40" ht="18" thickBot="1" x14ac:dyDescent="0.35">
      <c r="A70" s="24" t="s">
        <v>146</v>
      </c>
      <c r="B70" s="24"/>
      <c r="C70" s="24"/>
      <c r="D70" s="24"/>
      <c r="E70" s="24"/>
    </row>
    <row r="71" spans="1:40" ht="15.75" thickTop="1" x14ac:dyDescent="0.25">
      <c r="B71">
        <v>2012</v>
      </c>
      <c r="C71">
        <v>2013</v>
      </c>
      <c r="D71">
        <v>2014</v>
      </c>
      <c r="E71">
        <v>2015</v>
      </c>
      <c r="F71">
        <v>2016</v>
      </c>
      <c r="G71">
        <v>2017</v>
      </c>
      <c r="H71">
        <v>2018</v>
      </c>
      <c r="I71">
        <v>2019</v>
      </c>
      <c r="J71">
        <v>2020</v>
      </c>
      <c r="K71">
        <v>2021</v>
      </c>
      <c r="L71">
        <v>2022</v>
      </c>
      <c r="M71">
        <v>2023</v>
      </c>
      <c r="N71">
        <v>2024</v>
      </c>
      <c r="O71">
        <v>2025</v>
      </c>
      <c r="P71">
        <v>2026</v>
      </c>
      <c r="Q71">
        <v>2027</v>
      </c>
      <c r="R71">
        <v>2028</v>
      </c>
      <c r="S71">
        <v>2029</v>
      </c>
      <c r="T71">
        <v>2030</v>
      </c>
      <c r="U71">
        <v>2031</v>
      </c>
      <c r="V71">
        <v>2032</v>
      </c>
      <c r="W71">
        <v>2033</v>
      </c>
      <c r="X71">
        <v>2034</v>
      </c>
      <c r="Y71">
        <v>2035</v>
      </c>
      <c r="Z71">
        <v>2036</v>
      </c>
      <c r="AA71">
        <v>2037</v>
      </c>
      <c r="AB71">
        <v>2038</v>
      </c>
      <c r="AC71">
        <v>2039</v>
      </c>
      <c r="AD71">
        <v>2040</v>
      </c>
      <c r="AE71">
        <v>2041</v>
      </c>
      <c r="AF71">
        <v>2042</v>
      </c>
      <c r="AG71">
        <v>2043</v>
      </c>
      <c r="AH71">
        <v>2044</v>
      </c>
      <c r="AI71">
        <v>2045</v>
      </c>
      <c r="AJ71">
        <v>2046</v>
      </c>
      <c r="AK71">
        <v>2047</v>
      </c>
      <c r="AL71">
        <v>2048</v>
      </c>
      <c r="AM71">
        <v>2049</v>
      </c>
      <c r="AN71">
        <v>2050</v>
      </c>
    </row>
    <row r="72" spans="1:40" x14ac:dyDescent="0.25">
      <c r="A72" t="s">
        <v>21</v>
      </c>
      <c r="B72" s="18">
        <v>1833.848514865675</v>
      </c>
      <c r="C72" s="18">
        <v>1885.3290641564624</v>
      </c>
      <c r="D72" s="18">
        <v>1928.39620119141</v>
      </c>
      <c r="E72" s="18">
        <v>1958.8493088941718</v>
      </c>
      <c r="F72" s="18">
        <v>1982.0850018792316</v>
      </c>
      <c r="G72" s="18">
        <v>2007.4248614758401</v>
      </c>
      <c r="H72" s="18">
        <v>2039.0412178243319</v>
      </c>
      <c r="I72" s="18">
        <v>2076.6421719562941</v>
      </c>
      <c r="J72" s="18">
        <v>1915.2315943142085</v>
      </c>
      <c r="K72" s="18">
        <v>1962.8101861547837</v>
      </c>
      <c r="L72" s="18">
        <v>2010.404875841102</v>
      </c>
      <c r="M72" s="18">
        <v>2059.207287688243</v>
      </c>
      <c r="N72" s="18">
        <v>2112.2911331940809</v>
      </c>
      <c r="O72" s="18">
        <v>2171.0739010622037</v>
      </c>
      <c r="P72" s="18">
        <v>2233.2299533244782</v>
      </c>
      <c r="Q72" s="18">
        <v>2300.2295467964586</v>
      </c>
      <c r="R72" s="18">
        <v>2371.3354894212043</v>
      </c>
      <c r="S72" s="18">
        <v>2450.3349917862779</v>
      </c>
      <c r="T72" s="18">
        <v>2531.7763216952389</v>
      </c>
      <c r="U72" s="18">
        <v>2623.0585462739341</v>
      </c>
      <c r="V72" s="18">
        <v>2719.8418952674906</v>
      </c>
      <c r="W72" s="18">
        <v>2822.4039676299853</v>
      </c>
      <c r="X72" s="18">
        <v>2927.6319924343343</v>
      </c>
      <c r="Y72" s="18">
        <v>3026.8908242379207</v>
      </c>
      <c r="Z72" s="18">
        <v>3129.3674890644361</v>
      </c>
      <c r="AA72" s="18">
        <v>3239.55378643735</v>
      </c>
      <c r="AB72" s="18">
        <v>3356.039411088097</v>
      </c>
      <c r="AC72" s="18">
        <v>3473.409555132459</v>
      </c>
      <c r="AD72" s="18">
        <v>3594.5289479496564</v>
      </c>
      <c r="AE72" s="18">
        <v>3720.9148035269563</v>
      </c>
      <c r="AF72" s="18">
        <v>3854.2956536683641</v>
      </c>
      <c r="AG72" s="18">
        <v>3995.7589124767237</v>
      </c>
      <c r="AH72" s="18">
        <v>4145.2991878494995</v>
      </c>
      <c r="AI72" s="18">
        <v>4305.728859646254</v>
      </c>
      <c r="AJ72" s="18">
        <v>4474.4706584146988</v>
      </c>
      <c r="AK72" s="18">
        <v>4651.827306349981</v>
      </c>
      <c r="AL72" s="18">
        <v>4830.5177051699948</v>
      </c>
      <c r="AM72" s="18">
        <v>5018.1870129939944</v>
      </c>
      <c r="AN72" s="18">
        <v>5216.725367304326</v>
      </c>
    </row>
    <row r="73" spans="1:40" x14ac:dyDescent="0.25">
      <c r="A73" t="s">
        <v>73</v>
      </c>
      <c r="B73" s="18">
        <v>69.817113338467777</v>
      </c>
      <c r="C73" s="18">
        <v>72.761066221971831</v>
      </c>
      <c r="D73" s="18">
        <v>75.417786274230096</v>
      </c>
      <c r="E73" s="18">
        <v>74.228063644953139</v>
      </c>
      <c r="F73" s="18">
        <v>73.253912583403391</v>
      </c>
      <c r="G73" s="18">
        <v>75.624260765221052</v>
      </c>
      <c r="H73" s="18">
        <v>74.442603519421056</v>
      </c>
      <c r="I73" s="18">
        <v>73.338661295724094</v>
      </c>
      <c r="J73" s="18">
        <v>70.375961777614208</v>
      </c>
      <c r="K73" s="18">
        <v>72.305075641796904</v>
      </c>
      <c r="L73" s="18">
        <v>74.371442907353909</v>
      </c>
      <c r="M73" s="18">
        <v>76.048826811658941</v>
      </c>
      <c r="N73" s="18">
        <v>77.801170864347739</v>
      </c>
      <c r="O73" s="18">
        <v>79.755069595965793</v>
      </c>
      <c r="P73" s="18">
        <v>81.643762512249495</v>
      </c>
      <c r="Q73" s="18">
        <v>83.518599074190277</v>
      </c>
      <c r="R73" s="18">
        <v>85.406273095829633</v>
      </c>
      <c r="S73" s="18">
        <v>87.515360564125572</v>
      </c>
      <c r="T73" s="18">
        <v>89.644668344577482</v>
      </c>
      <c r="U73" s="18">
        <v>92.074258386859</v>
      </c>
      <c r="V73" s="18">
        <v>94.467109235476059</v>
      </c>
      <c r="W73" s="18">
        <v>96.900524693578546</v>
      </c>
      <c r="X73" s="18">
        <v>99.449848341332199</v>
      </c>
      <c r="Y73" s="18">
        <v>101.58253196976366</v>
      </c>
      <c r="Z73" s="18">
        <v>103.81481786586789</v>
      </c>
      <c r="AA73" s="18">
        <v>106.29138004793593</v>
      </c>
      <c r="AB73" s="18">
        <v>108.94541199133269</v>
      </c>
      <c r="AC73" s="18">
        <v>111.52402257339763</v>
      </c>
      <c r="AD73" s="18">
        <v>114.08413621905542</v>
      </c>
      <c r="AE73" s="18">
        <v>116.66136699777962</v>
      </c>
      <c r="AF73" s="18">
        <v>119.42230056034572</v>
      </c>
      <c r="AG73" s="18">
        <v>122.4108523280607</v>
      </c>
      <c r="AH73" s="18">
        <v>125.6282721642884</v>
      </c>
      <c r="AI73" s="18">
        <v>129.0904668169519</v>
      </c>
      <c r="AJ73" s="18">
        <v>132.77592532882883</v>
      </c>
      <c r="AK73" s="18">
        <v>136.63731853615764</v>
      </c>
      <c r="AL73" s="18">
        <v>140.52207915499699</v>
      </c>
      <c r="AM73" s="18">
        <v>144.57664789311821</v>
      </c>
      <c r="AN73" s="18">
        <v>148.89999948370686</v>
      </c>
    </row>
    <row r="74" spans="1:40" x14ac:dyDescent="0.25">
      <c r="A74" t="s">
        <v>23</v>
      </c>
      <c r="B74" s="18">
        <v>205.448728044608</v>
      </c>
      <c r="C74" s="18">
        <v>211.14099850925317</v>
      </c>
      <c r="D74" s="18">
        <v>212.54106130739055</v>
      </c>
      <c r="E74" s="18">
        <v>219.55462493014846</v>
      </c>
      <c r="F74" s="18">
        <v>216.53032459074922</v>
      </c>
      <c r="G74" s="18">
        <v>223.19822693754588</v>
      </c>
      <c r="H74" s="18">
        <v>221.93053170310253</v>
      </c>
      <c r="I74" s="18">
        <v>219.06491664626623</v>
      </c>
      <c r="J74" s="18">
        <v>200.47561813439725</v>
      </c>
      <c r="K74" s="18">
        <v>203.64742473918906</v>
      </c>
      <c r="L74" s="18">
        <v>206.57834772562532</v>
      </c>
      <c r="M74" s="18">
        <v>209.47963156540905</v>
      </c>
      <c r="N74" s="18">
        <v>212.74013245155771</v>
      </c>
      <c r="O74" s="18">
        <v>216.64719604922269</v>
      </c>
      <c r="P74" s="18">
        <v>220.75991022121741</v>
      </c>
      <c r="Q74" s="18">
        <v>225.12174957723406</v>
      </c>
      <c r="R74" s="18">
        <v>229.83756033730913</v>
      </c>
      <c r="S74" s="18">
        <v>235.79561153800591</v>
      </c>
      <c r="T74" s="18">
        <v>242.14736316074411</v>
      </c>
      <c r="U74" s="18">
        <v>249.66492090370633</v>
      </c>
      <c r="V74" s="18">
        <v>257.73648008492449</v>
      </c>
      <c r="W74" s="18">
        <v>266.50256072380972</v>
      </c>
      <c r="X74" s="18">
        <v>275.29881666409869</v>
      </c>
      <c r="Y74" s="18">
        <v>284.32377984913063</v>
      </c>
      <c r="Z74" s="18">
        <v>292.61765278820866</v>
      </c>
      <c r="AA74" s="18">
        <v>301.56960886093259</v>
      </c>
      <c r="AB74" s="18">
        <v>311.13381518945641</v>
      </c>
      <c r="AC74" s="18">
        <v>320.52922544885581</v>
      </c>
      <c r="AD74" s="18">
        <v>330.06915311578456</v>
      </c>
      <c r="AE74" s="18">
        <v>339.06647053735151</v>
      </c>
      <c r="AF74" s="18">
        <v>348.26476477832796</v>
      </c>
      <c r="AG74" s="18">
        <v>357.78918906500076</v>
      </c>
      <c r="AH74" s="18">
        <v>367.62418064476157</v>
      </c>
      <c r="AI74" s="18">
        <v>378.03383407712312</v>
      </c>
      <c r="AJ74" s="18">
        <v>389.5443635775066</v>
      </c>
      <c r="AK74" s="18">
        <v>401.69929502932808</v>
      </c>
      <c r="AL74" s="18">
        <v>413.69759887700377</v>
      </c>
      <c r="AM74" s="18">
        <v>426.25474173528568</v>
      </c>
      <c r="AN74" s="18">
        <v>439.59658280519733</v>
      </c>
    </row>
    <row r="75" spans="1:40" x14ac:dyDescent="0.25">
      <c r="A75" t="s">
        <v>24</v>
      </c>
      <c r="B75" s="18">
        <v>93.09690942833106</v>
      </c>
      <c r="C75" s="18">
        <v>94.993446234646797</v>
      </c>
      <c r="D75" s="18">
        <v>96.334376455091899</v>
      </c>
      <c r="E75" s="18">
        <v>96.558459479520835</v>
      </c>
      <c r="F75" s="18">
        <v>97.644967398178593</v>
      </c>
      <c r="G75" s="18">
        <v>97.997517901418121</v>
      </c>
      <c r="H75" s="18">
        <v>98.770585701709422</v>
      </c>
      <c r="I75" s="18">
        <v>98.119583228591793</v>
      </c>
      <c r="J75" s="18">
        <v>92.704310909525347</v>
      </c>
      <c r="K75" s="18">
        <v>95.302015170250399</v>
      </c>
      <c r="L75" s="18">
        <v>97.873951127403927</v>
      </c>
      <c r="M75" s="18">
        <v>100.12304266959772</v>
      </c>
      <c r="N75" s="18">
        <v>102.48999010149339</v>
      </c>
      <c r="O75" s="18">
        <v>105.13398818583012</v>
      </c>
      <c r="P75" s="18">
        <v>107.75894250019913</v>
      </c>
      <c r="Q75" s="18">
        <v>110.43921652400797</v>
      </c>
      <c r="R75" s="18">
        <v>113.19311523175173</v>
      </c>
      <c r="S75" s="18">
        <v>116.19313454817348</v>
      </c>
      <c r="T75" s="18">
        <v>119.23091943008865</v>
      </c>
      <c r="U75" s="18">
        <v>122.76632748694639</v>
      </c>
      <c r="V75" s="18">
        <v>126.32151836598254</v>
      </c>
      <c r="W75" s="18">
        <v>129.99892814021447</v>
      </c>
      <c r="X75" s="18">
        <v>133.68380546488083</v>
      </c>
      <c r="Y75" s="18">
        <v>136.8905028847235</v>
      </c>
      <c r="Z75" s="18">
        <v>140.13262803543526</v>
      </c>
      <c r="AA75" s="18">
        <v>143.70523135706333</v>
      </c>
      <c r="AB75" s="18">
        <v>147.55938741644732</v>
      </c>
      <c r="AC75" s="18">
        <v>151.2430267254413</v>
      </c>
      <c r="AD75" s="18">
        <v>154.93056846812195</v>
      </c>
      <c r="AE75" s="18">
        <v>158.63092160480687</v>
      </c>
      <c r="AF75" s="18">
        <v>162.59199205284796</v>
      </c>
      <c r="AG75" s="18">
        <v>166.74722658664146</v>
      </c>
      <c r="AH75" s="18">
        <v>171.06846318621436</v>
      </c>
      <c r="AI75" s="18">
        <v>175.62977545331631</v>
      </c>
      <c r="AJ75" s="18">
        <v>180.47592934772433</v>
      </c>
      <c r="AK75" s="18">
        <v>185.50041239958938</v>
      </c>
      <c r="AL75" s="18">
        <v>190.83749920687805</v>
      </c>
      <c r="AM75" s="18">
        <v>196.44758768505764</v>
      </c>
      <c r="AN75" s="18">
        <v>202.48030442577863</v>
      </c>
    </row>
    <row r="76" spans="1:40" x14ac:dyDescent="0.25">
      <c r="A76" t="s">
        <v>25</v>
      </c>
      <c r="B76" s="18">
        <v>235.49802282756241</v>
      </c>
      <c r="C76" s="18">
        <v>241.94953807611751</v>
      </c>
      <c r="D76" s="18">
        <v>246.10207883069049</v>
      </c>
      <c r="E76" s="18">
        <v>249.26808877833665</v>
      </c>
      <c r="F76" s="18">
        <v>251.54882204993891</v>
      </c>
      <c r="G76" s="18">
        <v>253.07599948298898</v>
      </c>
      <c r="H76" s="18">
        <v>255.77309263879329</v>
      </c>
      <c r="I76" s="18">
        <v>256.23572258235538</v>
      </c>
      <c r="J76" s="18">
        <v>231.28138030647995</v>
      </c>
      <c r="K76" s="18">
        <v>237.95223439188939</v>
      </c>
      <c r="L76" s="18">
        <v>244.39448085745738</v>
      </c>
      <c r="M76" s="18">
        <v>250.91023744131132</v>
      </c>
      <c r="N76" s="18">
        <v>257.90899781538928</v>
      </c>
      <c r="O76" s="18">
        <v>265.6989056250797</v>
      </c>
      <c r="P76" s="18">
        <v>273.7401089972098</v>
      </c>
      <c r="Q76" s="18">
        <v>282.31823624896856</v>
      </c>
      <c r="R76" s="18">
        <v>291.33525297704807</v>
      </c>
      <c r="S76" s="18">
        <v>301.11957791504847</v>
      </c>
      <c r="T76" s="18">
        <v>311.0814313326411</v>
      </c>
      <c r="U76" s="18">
        <v>322.48376378096827</v>
      </c>
      <c r="V76" s="18">
        <v>334.43472148589382</v>
      </c>
      <c r="W76" s="18">
        <v>347.05083056743183</v>
      </c>
      <c r="X76" s="18">
        <v>359.8365174716975</v>
      </c>
      <c r="Y76" s="18">
        <v>371.51150356847677</v>
      </c>
      <c r="Z76" s="18">
        <v>383.8079346198117</v>
      </c>
      <c r="AA76" s="18">
        <v>397.22959296384062</v>
      </c>
      <c r="AB76" s="18">
        <v>411.58997837708171</v>
      </c>
      <c r="AC76" s="18">
        <v>425.94796779644503</v>
      </c>
      <c r="AD76" s="18">
        <v>440.74900411880907</v>
      </c>
      <c r="AE76" s="18">
        <v>455.86997686754319</v>
      </c>
      <c r="AF76" s="18">
        <v>471.87371914278049</v>
      </c>
      <c r="AG76" s="18">
        <v>488.83584467351818</v>
      </c>
      <c r="AH76" s="18">
        <v>506.72022872761801</v>
      </c>
      <c r="AI76" s="18">
        <v>525.87420201505483</v>
      </c>
      <c r="AJ76" s="18">
        <v>546.07585540462924</v>
      </c>
      <c r="AK76" s="18">
        <v>567.29726712327658</v>
      </c>
      <c r="AL76" s="18">
        <v>588.40836182194505</v>
      </c>
      <c r="AM76" s="18">
        <v>610.59115744265955</v>
      </c>
      <c r="AN76" s="18">
        <v>634.10648718903576</v>
      </c>
    </row>
    <row r="77" spans="1:40" x14ac:dyDescent="0.25">
      <c r="A77" t="s">
        <v>26</v>
      </c>
      <c r="B77" s="18">
        <v>17.781500762507285</v>
      </c>
      <c r="C77" s="18">
        <v>18.189599532275118</v>
      </c>
      <c r="D77" s="18">
        <v>18.519494173147685</v>
      </c>
      <c r="E77" s="18">
        <v>18.692324513083456</v>
      </c>
      <c r="F77" s="18">
        <v>18.990365626538715</v>
      </c>
      <c r="G77" s="18">
        <v>19.082967766641026</v>
      </c>
      <c r="H77" s="18">
        <v>19.374189074838732</v>
      </c>
      <c r="I77" s="18">
        <v>19.413900420182642</v>
      </c>
      <c r="J77" s="18">
        <v>17.944003758260617</v>
      </c>
      <c r="K77" s="18">
        <v>18.435100578531209</v>
      </c>
      <c r="L77" s="18">
        <v>18.907868430352945</v>
      </c>
      <c r="M77" s="18">
        <v>19.407017680170156</v>
      </c>
      <c r="N77" s="18">
        <v>19.925075221594977</v>
      </c>
      <c r="O77" s="18">
        <v>20.502240282253414</v>
      </c>
      <c r="P77" s="18">
        <v>21.132006843043495</v>
      </c>
      <c r="Q77" s="18">
        <v>21.781675172171447</v>
      </c>
      <c r="R77" s="18">
        <v>22.442962656122312</v>
      </c>
      <c r="S77" s="18">
        <v>23.189338930232626</v>
      </c>
      <c r="T77" s="18">
        <v>23.9533665831209</v>
      </c>
      <c r="U77" s="18">
        <v>24.81049190716378</v>
      </c>
      <c r="V77" s="18">
        <v>25.691187591926983</v>
      </c>
      <c r="W77" s="18">
        <v>26.587351472537012</v>
      </c>
      <c r="X77" s="18">
        <v>27.495469643756088</v>
      </c>
      <c r="Y77" s="18">
        <v>27.916764265085412</v>
      </c>
      <c r="Z77" s="18">
        <v>28.799944714158059</v>
      </c>
      <c r="AA77" s="18">
        <v>29.731851075810045</v>
      </c>
      <c r="AB77" s="18">
        <v>30.723433081292058</v>
      </c>
      <c r="AC77" s="18">
        <v>31.70480445277974</v>
      </c>
      <c r="AD77" s="18">
        <v>32.70552444689114</v>
      </c>
      <c r="AE77" s="18">
        <v>33.725394497516078</v>
      </c>
      <c r="AF77" s="18">
        <v>34.811384430668774</v>
      </c>
      <c r="AG77" s="18">
        <v>35.962542885195298</v>
      </c>
      <c r="AH77" s="18">
        <v>37.177908897611594</v>
      </c>
      <c r="AI77" s="18">
        <v>38.482911477928582</v>
      </c>
      <c r="AJ77" s="18">
        <v>39.852267972425778</v>
      </c>
      <c r="AK77" s="18">
        <v>41.285346907622447</v>
      </c>
      <c r="AL77" s="18">
        <v>42.729995212034616</v>
      </c>
      <c r="AM77" s="18">
        <v>44.252236985534118</v>
      </c>
      <c r="AN77" s="18">
        <v>45.862569254611302</v>
      </c>
    </row>
    <row r="78" spans="1:40" x14ac:dyDescent="0.25">
      <c r="A78" t="s">
        <v>27</v>
      </c>
      <c r="B78" s="18">
        <v>52.810230956689715</v>
      </c>
      <c r="C78" s="18">
        <v>54.245119171813215</v>
      </c>
      <c r="D78" s="18">
        <v>55.18306790095383</v>
      </c>
      <c r="E78" s="18">
        <v>55.676327175452201</v>
      </c>
      <c r="F78" s="18">
        <v>56.133957764403732</v>
      </c>
      <c r="G78" s="18">
        <v>56.466694909022188</v>
      </c>
      <c r="H78" s="18">
        <v>57.032194159691336</v>
      </c>
      <c r="I78" s="18">
        <v>57.003629108320098</v>
      </c>
      <c r="J78" s="18">
        <v>52.255194601806359</v>
      </c>
      <c r="K78" s="18">
        <v>53.62355966559889</v>
      </c>
      <c r="L78" s="18">
        <v>54.966221313123441</v>
      </c>
      <c r="M78" s="18">
        <v>56.279539490650862</v>
      </c>
      <c r="N78" s="18">
        <v>57.699574969640054</v>
      </c>
      <c r="O78" s="18">
        <v>59.302932577207542</v>
      </c>
      <c r="P78" s="18">
        <v>60.948400502738096</v>
      </c>
      <c r="Q78" s="18">
        <v>62.674516435258795</v>
      </c>
      <c r="R78" s="18">
        <v>64.500156359871809</v>
      </c>
      <c r="S78" s="18">
        <v>66.540037042527302</v>
      </c>
      <c r="T78" s="18">
        <v>68.617005000770646</v>
      </c>
      <c r="U78" s="18">
        <v>70.974904755369693</v>
      </c>
      <c r="V78" s="18">
        <v>73.425239401493684</v>
      </c>
      <c r="W78" s="18">
        <v>75.997213183651027</v>
      </c>
      <c r="X78" s="18">
        <v>78.594699331415796</v>
      </c>
      <c r="Y78" s="18">
        <v>80.959331818107628</v>
      </c>
      <c r="Z78" s="18">
        <v>83.425132814381897</v>
      </c>
      <c r="AA78" s="18">
        <v>86.073823732962524</v>
      </c>
      <c r="AB78" s="18">
        <v>88.909499209733525</v>
      </c>
      <c r="AC78" s="18">
        <v>91.711372118068766</v>
      </c>
      <c r="AD78" s="18">
        <v>94.5770877473757</v>
      </c>
      <c r="AE78" s="18">
        <v>97.476691137003115</v>
      </c>
      <c r="AF78" s="18">
        <v>100.56625787510568</v>
      </c>
      <c r="AG78" s="18">
        <v>103.8467132857627</v>
      </c>
      <c r="AH78" s="18">
        <v>107.30747576555298</v>
      </c>
      <c r="AI78" s="18">
        <v>111.01926991252481</v>
      </c>
      <c r="AJ78" s="18">
        <v>114.98756274097082</v>
      </c>
      <c r="AK78" s="18">
        <v>119.14641325192684</v>
      </c>
      <c r="AL78" s="18">
        <v>123.32639329043802</v>
      </c>
      <c r="AM78" s="18">
        <v>127.70966554090654</v>
      </c>
      <c r="AN78" s="18">
        <v>132.36719475450298</v>
      </c>
    </row>
    <row r="79" spans="1:40" x14ac:dyDescent="0.25">
      <c r="A79" t="s">
        <v>28</v>
      </c>
      <c r="B79" s="18">
        <v>14.11335055811956</v>
      </c>
      <c r="C79" s="18">
        <v>14.529285948229166</v>
      </c>
      <c r="D79" s="18">
        <v>14.792917934511397</v>
      </c>
      <c r="E79" s="18">
        <v>15.037620245798024</v>
      </c>
      <c r="F79" s="18">
        <v>15.211889470186245</v>
      </c>
      <c r="G79" s="18">
        <v>15.372585006286357</v>
      </c>
      <c r="H79" s="18">
        <v>15.57343100248616</v>
      </c>
      <c r="I79" s="18">
        <v>15.632663118419302</v>
      </c>
      <c r="J79" s="18">
        <v>14.281790439496202</v>
      </c>
      <c r="K79" s="18">
        <v>14.678591596985113</v>
      </c>
      <c r="L79" s="18">
        <v>15.06461521129952</v>
      </c>
      <c r="M79" s="18">
        <v>15.46083557534152</v>
      </c>
      <c r="N79" s="18">
        <v>15.890762760607563</v>
      </c>
      <c r="O79" s="18">
        <v>16.370572396708098</v>
      </c>
      <c r="P79" s="18">
        <v>16.864063367703142</v>
      </c>
      <c r="Q79" s="18">
        <v>17.3952194321595</v>
      </c>
      <c r="R79" s="18">
        <v>17.952401379573427</v>
      </c>
      <c r="S79" s="18">
        <v>18.559266429108813</v>
      </c>
      <c r="T79" s="18">
        <v>19.177459569098534</v>
      </c>
      <c r="U79" s="18">
        <v>19.877574709061882</v>
      </c>
      <c r="V79" s="18">
        <v>20.61069469066333</v>
      </c>
      <c r="W79" s="18">
        <v>21.382940226614938</v>
      </c>
      <c r="X79" s="18">
        <v>22.163541490088175</v>
      </c>
      <c r="Y79" s="18">
        <v>22.879945957790131</v>
      </c>
      <c r="Z79" s="18">
        <v>23.637355820597676</v>
      </c>
      <c r="AA79" s="18">
        <v>24.460798193899048</v>
      </c>
      <c r="AB79" s="18">
        <v>25.343805679701738</v>
      </c>
      <c r="AC79" s="18">
        <v>26.232665727560232</v>
      </c>
      <c r="AD79" s="18">
        <v>27.155103698050855</v>
      </c>
      <c r="AE79" s="18">
        <v>28.094159252556153</v>
      </c>
      <c r="AF79" s="18">
        <v>29.084906230815911</v>
      </c>
      <c r="AG79" s="18">
        <v>30.143829470957463</v>
      </c>
      <c r="AH79" s="18">
        <v>31.260506113270068</v>
      </c>
      <c r="AI79" s="18">
        <v>32.456430029256332</v>
      </c>
      <c r="AJ79" s="18">
        <v>33.714449511721448</v>
      </c>
      <c r="AK79" s="18">
        <v>35.03400388217112</v>
      </c>
      <c r="AL79" s="18">
        <v>36.353176091755827</v>
      </c>
      <c r="AM79" s="18">
        <v>37.73572981913145</v>
      </c>
      <c r="AN79" s="18">
        <v>39.194910433110081</v>
      </c>
    </row>
    <row r="80" spans="1:40" x14ac:dyDescent="0.25">
      <c r="A80" t="s">
        <v>29</v>
      </c>
      <c r="B80" s="18">
        <v>13.345629432701729</v>
      </c>
      <c r="C80" s="18">
        <v>13.88856633822615</v>
      </c>
      <c r="D80" s="18">
        <v>14.23042630100378</v>
      </c>
      <c r="E80" s="18">
        <v>14.650080326208252</v>
      </c>
      <c r="F80" s="18">
        <v>14.737373657407572</v>
      </c>
      <c r="G80" s="18">
        <v>14.865669908290192</v>
      </c>
      <c r="H80" s="18">
        <v>14.890586998774422</v>
      </c>
      <c r="I80" s="18">
        <v>14.775538776469551</v>
      </c>
      <c r="J80" s="18">
        <v>12.847283577010501</v>
      </c>
      <c r="K80" s="18">
        <v>13.20942691569933</v>
      </c>
      <c r="L80" s="18">
        <v>13.489589011782209</v>
      </c>
      <c r="M80" s="18">
        <v>13.773528288625783</v>
      </c>
      <c r="N80" s="18">
        <v>14.078274783100348</v>
      </c>
      <c r="O80" s="18">
        <v>14.470582529453081</v>
      </c>
      <c r="P80" s="18">
        <v>14.825189683200671</v>
      </c>
      <c r="Q80" s="18">
        <v>15.189003854507641</v>
      </c>
      <c r="R80" s="18">
        <v>15.574353325980528</v>
      </c>
      <c r="S80" s="18">
        <v>16.059010445012778</v>
      </c>
      <c r="T80" s="18">
        <v>16.545121416580706</v>
      </c>
      <c r="U80" s="18">
        <v>17.139271863896138</v>
      </c>
      <c r="V80" s="18">
        <v>17.740782754841227</v>
      </c>
      <c r="W80" s="18">
        <v>18.375930295126619</v>
      </c>
      <c r="X80" s="18">
        <v>18.985030537859622</v>
      </c>
      <c r="Y80" s="18">
        <v>19.522983188324005</v>
      </c>
      <c r="Z80" s="18">
        <v>20.050091930418269</v>
      </c>
      <c r="AA80" s="18">
        <v>20.746246324700902</v>
      </c>
      <c r="AB80" s="18">
        <v>21.36292428421223</v>
      </c>
      <c r="AC80" s="18">
        <v>21.959544985491799</v>
      </c>
      <c r="AD80" s="18">
        <v>22.56015403253036</v>
      </c>
      <c r="AE80" s="18">
        <v>23.116520568045249</v>
      </c>
      <c r="AF80" s="18">
        <v>23.706573048006632</v>
      </c>
      <c r="AG80" s="18">
        <v>24.330010177173204</v>
      </c>
      <c r="AH80" s="18">
        <v>24.981849403465421</v>
      </c>
      <c r="AI80" s="18">
        <v>25.67805925953359</v>
      </c>
      <c r="AJ80" s="18">
        <v>26.484367100883127</v>
      </c>
      <c r="AK80" s="18">
        <v>27.32545250660927</v>
      </c>
      <c r="AL80" s="18">
        <v>28.139565213567323</v>
      </c>
      <c r="AM80" s="18">
        <v>28.984092527487629</v>
      </c>
      <c r="AN80" s="18">
        <v>29.878966996482575</v>
      </c>
    </row>
    <row r="81" spans="1:40" x14ac:dyDescent="0.25">
      <c r="A81" t="s">
        <v>30</v>
      </c>
      <c r="B81" s="18">
        <v>10.112362730184675</v>
      </c>
      <c r="C81" s="18">
        <v>8.5040411249539964</v>
      </c>
      <c r="D81" s="18">
        <v>7.784491547386529</v>
      </c>
      <c r="E81" s="18">
        <v>7.8869957375456359</v>
      </c>
      <c r="F81" s="18">
        <v>7.6498178254625797</v>
      </c>
      <c r="G81" s="18">
        <v>7.3431413818304856</v>
      </c>
      <c r="H81" s="18">
        <v>7.1864565939413234</v>
      </c>
      <c r="I81" s="18">
        <v>6.8812332740651714</v>
      </c>
      <c r="J81" s="18">
        <v>5.5992862977534568</v>
      </c>
      <c r="K81" s="18">
        <v>5.7341894840445793</v>
      </c>
      <c r="L81" s="18">
        <v>5.7866222491391648</v>
      </c>
      <c r="M81" s="18">
        <v>5.840496142866928</v>
      </c>
      <c r="N81" s="18">
        <v>5.9286574884635952</v>
      </c>
      <c r="O81" s="18">
        <v>6.0812507942852525</v>
      </c>
      <c r="P81" s="18">
        <v>6.2192974202882096</v>
      </c>
      <c r="Q81" s="18">
        <v>6.3662963283424023</v>
      </c>
      <c r="R81" s="18">
        <v>6.5276887149857554</v>
      </c>
      <c r="S81" s="18">
        <v>6.7871544589385726</v>
      </c>
      <c r="T81" s="18">
        <v>7.0701556814234481</v>
      </c>
      <c r="U81" s="18">
        <v>7.4309073946525315</v>
      </c>
      <c r="V81" s="18">
        <v>7.8155635114134849</v>
      </c>
      <c r="W81" s="18">
        <v>8.2355530532491592</v>
      </c>
      <c r="X81" s="18">
        <v>8.6546524623416072</v>
      </c>
      <c r="Y81" s="18">
        <v>9.0576796935178692</v>
      </c>
      <c r="Z81" s="18">
        <v>9.4348472755690143</v>
      </c>
      <c r="AA81" s="18">
        <v>9.8425637018627921</v>
      </c>
      <c r="AB81" s="18">
        <v>10.285140631781458</v>
      </c>
      <c r="AC81" s="18">
        <v>10.710157672238857</v>
      </c>
      <c r="AD81" s="18">
        <v>11.128823515036686</v>
      </c>
      <c r="AE81" s="18">
        <v>11.46733687246021</v>
      </c>
      <c r="AF81" s="18">
        <v>11.783562378235207</v>
      </c>
      <c r="AG81" s="18">
        <v>12.081804636314359</v>
      </c>
      <c r="AH81" s="18">
        <v>12.360430121812234</v>
      </c>
      <c r="AI81" s="18">
        <v>12.630138347688771</v>
      </c>
      <c r="AJ81" s="18">
        <v>12.960341207680875</v>
      </c>
      <c r="AK81" s="18">
        <v>13.300477852696885</v>
      </c>
      <c r="AL81" s="18">
        <v>13.620251502395988</v>
      </c>
      <c r="AM81" s="18">
        <v>13.940449308014085</v>
      </c>
      <c r="AN81" s="18">
        <v>14.271458563899428</v>
      </c>
    </row>
    <row r="82" spans="1:40" x14ac:dyDescent="0.25">
      <c r="A82" t="s">
        <v>31</v>
      </c>
      <c r="B82" s="18">
        <v>1.2396211872289537E-4</v>
      </c>
      <c r="C82" s="18">
        <v>1.3695422009881513E-4</v>
      </c>
      <c r="D82" s="18">
        <v>1.4914555552202771E-4</v>
      </c>
      <c r="E82" s="18">
        <v>1.4546157642812341E-4</v>
      </c>
      <c r="F82" s="18">
        <v>1.4279518961318394E-4</v>
      </c>
      <c r="G82" s="18">
        <v>1.3966781494797052E-4</v>
      </c>
      <c r="H82" s="18">
        <v>1.4671108490655016E-4</v>
      </c>
      <c r="I82" s="18">
        <v>1.4680049685268729E-4</v>
      </c>
      <c r="J82" s="18">
        <v>1.1252323073074771E-4</v>
      </c>
      <c r="K82" s="18">
        <v>1.2307790272328019E-4</v>
      </c>
      <c r="L82" s="18">
        <v>1.2639716564333281E-4</v>
      </c>
      <c r="M82" s="18">
        <v>1.2948644109559701E-4</v>
      </c>
      <c r="N82" s="18">
        <v>1.3374558197776801E-4</v>
      </c>
      <c r="O82" s="18">
        <v>1.4220168231537909E-4</v>
      </c>
      <c r="P82" s="18">
        <v>1.4584764604876969E-4</v>
      </c>
      <c r="Q82" s="18">
        <v>1.4860971012578352E-4</v>
      </c>
      <c r="R82" s="18">
        <v>1.512850982669578E-4</v>
      </c>
      <c r="S82" s="18">
        <v>1.2381549819444655E-4</v>
      </c>
      <c r="T82" s="18">
        <v>1.2379249864902822E-4</v>
      </c>
      <c r="U82" s="18">
        <v>1.2370521753358654E-4</v>
      </c>
      <c r="V82" s="18">
        <v>1.2362748054182927E-4</v>
      </c>
      <c r="W82" s="18">
        <v>1.2354349043632777E-4</v>
      </c>
      <c r="X82" s="18">
        <v>1.2350315089133343E-4</v>
      </c>
      <c r="Y82" s="18">
        <v>1.2350315089133343E-4</v>
      </c>
      <c r="Z82" s="18">
        <v>1.2350315089133332E-4</v>
      </c>
      <c r="AA82" s="18">
        <v>1.2350315089133332E-4</v>
      </c>
      <c r="AB82" s="18">
        <v>1.2349298139864001E-4</v>
      </c>
      <c r="AC82" s="18">
        <v>1.2348359525330571E-4</v>
      </c>
      <c r="AD82" s="18">
        <v>1.2347692682499546E-4</v>
      </c>
      <c r="AE82" s="18">
        <v>1.2346318171867763E-4</v>
      </c>
      <c r="AF82" s="18">
        <v>1.2346318171867763E-4</v>
      </c>
      <c r="AG82" s="18">
        <v>1.2346318171867766E-4</v>
      </c>
      <c r="AH82" s="18">
        <v>1.2346318171867766E-4</v>
      </c>
      <c r="AI82" s="18">
        <v>1.2346318171867771E-4</v>
      </c>
      <c r="AJ82" s="18">
        <v>1.2346318171867768E-4</v>
      </c>
      <c r="AK82" s="18">
        <v>1.2346318171867771E-4</v>
      </c>
      <c r="AL82" s="18">
        <v>1.234437818749194E-4</v>
      </c>
      <c r="AM82" s="18">
        <v>1.2341340744386161E-4</v>
      </c>
      <c r="AN82" s="18">
        <v>1.2337477954072176E-4</v>
      </c>
    </row>
    <row r="83" spans="1:40" x14ac:dyDescent="0.25">
      <c r="A83" t="s">
        <v>32</v>
      </c>
      <c r="B83" s="18">
        <v>84.250557323843438</v>
      </c>
      <c r="C83" s="18">
        <v>82.81129596603968</v>
      </c>
      <c r="D83" s="18">
        <v>81.075741423201265</v>
      </c>
      <c r="E83" s="18">
        <v>79.093845627180855</v>
      </c>
      <c r="F83" s="18">
        <v>77.164041185730042</v>
      </c>
      <c r="G83" s="18">
        <v>76.937717608149342</v>
      </c>
      <c r="H83" s="18">
        <v>76.724427192604097</v>
      </c>
      <c r="I83" s="18">
        <v>76.425620376368414</v>
      </c>
      <c r="J83" s="18">
        <v>70.183029353302913</v>
      </c>
      <c r="K83" s="18">
        <v>73.006988976034165</v>
      </c>
      <c r="L83" s="18">
        <v>72.820938025181761</v>
      </c>
      <c r="M83" s="18">
        <v>73.775854201320513</v>
      </c>
      <c r="N83" s="18">
        <v>74.923675022788373</v>
      </c>
      <c r="O83" s="18">
        <v>76.474595932696758</v>
      </c>
      <c r="P83" s="18">
        <v>77.320112773260362</v>
      </c>
      <c r="Q83" s="18">
        <v>78.659217596876843</v>
      </c>
      <c r="R83" s="18">
        <v>80.001452073539056</v>
      </c>
      <c r="S83" s="18">
        <v>82.191264176921962</v>
      </c>
      <c r="T83" s="18">
        <v>84.396391236931905</v>
      </c>
      <c r="U83" s="18">
        <v>86.558480898584037</v>
      </c>
      <c r="V83" s="18">
        <v>89.123317463689006</v>
      </c>
      <c r="W83" s="18">
        <v>91.908065300654314</v>
      </c>
      <c r="X83" s="18">
        <v>94.365506481626667</v>
      </c>
      <c r="Y83" s="18">
        <v>94.653432936841739</v>
      </c>
      <c r="Z83" s="18">
        <v>96.801149280843958</v>
      </c>
      <c r="AA83" s="18">
        <v>99.034931126986663</v>
      </c>
      <c r="AB83" s="18">
        <v>102.8787753256952</v>
      </c>
      <c r="AC83" s="18">
        <v>106.67814364081399</v>
      </c>
      <c r="AD83" s="18">
        <v>110.42833075004675</v>
      </c>
      <c r="AE83" s="18">
        <v>113.43078156980397</v>
      </c>
      <c r="AF83" s="18">
        <v>116.12339815187033</v>
      </c>
      <c r="AG83" s="18">
        <v>118.74876225606278</v>
      </c>
      <c r="AH83" s="18">
        <v>121.22944464966906</v>
      </c>
      <c r="AI83" s="18">
        <v>123.62815260112532</v>
      </c>
      <c r="AJ83" s="18">
        <v>126.78322335532275</v>
      </c>
      <c r="AK83" s="18">
        <v>129.84827947131691</v>
      </c>
      <c r="AL83" s="18">
        <v>133.19576547496635</v>
      </c>
      <c r="AM83" s="18">
        <v>136.8948281006675</v>
      </c>
      <c r="AN83" s="18">
        <v>140.91072639414494</v>
      </c>
    </row>
    <row r="84" spans="1:40" x14ac:dyDescent="0.25">
      <c r="A84" t="s">
        <v>33</v>
      </c>
      <c r="B84" s="18">
        <v>21.151207305916373</v>
      </c>
      <c r="C84" s="18">
        <v>22.499179969510678</v>
      </c>
      <c r="D84" s="18">
        <v>24.191488148884012</v>
      </c>
      <c r="E84" s="18">
        <v>25.430939271439531</v>
      </c>
      <c r="F84" s="18">
        <v>26.280374840429307</v>
      </c>
      <c r="G84" s="18">
        <v>28.213837417598356</v>
      </c>
      <c r="H84" s="18">
        <v>30.418235084806355</v>
      </c>
      <c r="I84" s="18">
        <v>31.872600449723471</v>
      </c>
      <c r="J84" s="18">
        <v>30.529693994834542</v>
      </c>
      <c r="K84" s="18">
        <v>31.84833808160041</v>
      </c>
      <c r="L84" s="18">
        <v>33.274928910999627</v>
      </c>
      <c r="M84" s="18">
        <v>34.81258853979967</v>
      </c>
      <c r="N84" s="18">
        <v>36.53258422607145</v>
      </c>
      <c r="O84" s="18">
        <v>38.475879371516619</v>
      </c>
      <c r="P84" s="18">
        <v>40.547758380242612</v>
      </c>
      <c r="Q84" s="18">
        <v>42.781868056686605</v>
      </c>
      <c r="R84" s="18">
        <v>45.171605268573586</v>
      </c>
      <c r="S84" s="18">
        <v>47.86493181279122</v>
      </c>
      <c r="T84" s="18">
        <v>50.736754810090829</v>
      </c>
      <c r="U84" s="18">
        <v>53.912589397002129</v>
      </c>
      <c r="V84" s="18">
        <v>57.281748620919018</v>
      </c>
      <c r="W84" s="18">
        <v>60.894907069687825</v>
      </c>
      <c r="X84" s="18">
        <v>64.610396047378245</v>
      </c>
      <c r="Y84" s="18">
        <v>68.379717303480916</v>
      </c>
      <c r="Z84" s="18">
        <v>72.259899929069761</v>
      </c>
      <c r="AA84" s="18">
        <v>76.493819486757786</v>
      </c>
      <c r="AB84" s="18">
        <v>81.444864101084079</v>
      </c>
      <c r="AC84" s="18">
        <v>86.710409160072842</v>
      </c>
      <c r="AD84" s="18">
        <v>92.434945700919826</v>
      </c>
      <c r="AE84" s="18">
        <v>98.268590350568573</v>
      </c>
      <c r="AF84" s="18">
        <v>104.34467658007476</v>
      </c>
      <c r="AG84" s="18">
        <v>110.67746380976553</v>
      </c>
      <c r="AH84" s="18">
        <v>117.27237330302799</v>
      </c>
      <c r="AI84" s="18">
        <v>124.19735283808427</v>
      </c>
      <c r="AJ84" s="18">
        <v>131.34077150611236</v>
      </c>
      <c r="AK84" s="18">
        <v>138.71734173085727</v>
      </c>
      <c r="AL84" s="18">
        <v>145.97369717802786</v>
      </c>
      <c r="AM84" s="18">
        <v>153.43314131796552</v>
      </c>
      <c r="AN84" s="18">
        <v>161.24078849811681</v>
      </c>
    </row>
    <row r="85" spans="1:40" x14ac:dyDescent="0.25">
      <c r="A85" t="s">
        <v>34</v>
      </c>
      <c r="B85" s="18">
        <v>135.95535691221784</v>
      </c>
      <c r="C85" s="18">
        <v>139.6930871386345</v>
      </c>
      <c r="D85" s="18">
        <v>142.53185682907349</v>
      </c>
      <c r="E85" s="18">
        <v>143.97840508252531</v>
      </c>
      <c r="F85" s="18">
        <v>144.89697158831373</v>
      </c>
      <c r="G85" s="18">
        <v>146.66852466159426</v>
      </c>
      <c r="H85" s="18">
        <v>148.40851369632202</v>
      </c>
      <c r="I85" s="18">
        <v>149.18900118137717</v>
      </c>
      <c r="J85" s="18">
        <v>137.77801358505732</v>
      </c>
      <c r="K85" s="18">
        <v>140.97100285380822</v>
      </c>
      <c r="L85" s="18">
        <v>144.15772666023415</v>
      </c>
      <c r="M85" s="18">
        <v>147.43807262661258</v>
      </c>
      <c r="N85" s="18">
        <v>151.04633792655628</v>
      </c>
      <c r="O85" s="18">
        <v>154.98715479368963</v>
      </c>
      <c r="P85" s="18">
        <v>159.09021555154268</v>
      </c>
      <c r="Q85" s="18">
        <v>163.47787995346616</v>
      </c>
      <c r="R85" s="18">
        <v>168.18100936864192</v>
      </c>
      <c r="S85" s="18">
        <v>173.26383315772949</v>
      </c>
      <c r="T85" s="18">
        <v>178.43307881829242</v>
      </c>
      <c r="U85" s="18">
        <v>184.05669939314808</v>
      </c>
      <c r="V85" s="18">
        <v>190.00615924048742</v>
      </c>
      <c r="W85" s="18">
        <v>196.27368424773437</v>
      </c>
      <c r="X85" s="18">
        <v>202.66173951495387</v>
      </c>
      <c r="Y85" s="18">
        <v>208.71731760101491</v>
      </c>
      <c r="Z85" s="18">
        <v>215.00842614463681</v>
      </c>
      <c r="AA85" s="18">
        <v>221.66434795418635</v>
      </c>
      <c r="AB85" s="18">
        <v>228.53362975270883</v>
      </c>
      <c r="AC85" s="18">
        <v>235.33652123064408</v>
      </c>
      <c r="AD85" s="18">
        <v>242.33227034357745</v>
      </c>
      <c r="AE85" s="18">
        <v>249.91204902037566</v>
      </c>
      <c r="AF85" s="18">
        <v>257.97422216610948</v>
      </c>
      <c r="AG85" s="18">
        <v>266.54247647722758</v>
      </c>
      <c r="AH85" s="18">
        <v>275.60146219383819</v>
      </c>
      <c r="AI85" s="18">
        <v>285.31671044817875</v>
      </c>
      <c r="AJ85" s="18">
        <v>295.37254285875559</v>
      </c>
      <c r="AK85" s="18">
        <v>305.9265384512945</v>
      </c>
      <c r="AL85" s="18">
        <v>316.4520934069472</v>
      </c>
      <c r="AM85" s="18">
        <v>327.51114587494573</v>
      </c>
      <c r="AN85" s="18">
        <v>339.27051298002249</v>
      </c>
    </row>
    <row r="86" spans="1:40" x14ac:dyDescent="0.25">
      <c r="A86" t="s">
        <v>35</v>
      </c>
      <c r="B86" s="18">
        <v>11.263564724197595</v>
      </c>
      <c r="C86" s="18">
        <v>11.564880744073186</v>
      </c>
      <c r="D86" s="18">
        <v>11.895169876208239</v>
      </c>
      <c r="E86" s="18">
        <v>12.101680341615882</v>
      </c>
      <c r="F86" s="18">
        <v>12.16381438507412</v>
      </c>
      <c r="G86" s="18">
        <v>12.307235497004221</v>
      </c>
      <c r="H86" s="18">
        <v>12.581022932216117</v>
      </c>
      <c r="I86" s="18">
        <v>12.733958410018209</v>
      </c>
      <c r="J86" s="18">
        <v>11.93755402627886</v>
      </c>
      <c r="K86" s="18">
        <v>12.277780237899368</v>
      </c>
      <c r="L86" s="18">
        <v>12.557250687384618</v>
      </c>
      <c r="M86" s="18">
        <v>12.793378222995578</v>
      </c>
      <c r="N86" s="18">
        <v>13.036322519292622</v>
      </c>
      <c r="O86" s="18">
        <v>13.286940771538248</v>
      </c>
      <c r="P86" s="18">
        <v>13.545669961198996</v>
      </c>
      <c r="Q86" s="18">
        <v>13.80676545376984</v>
      </c>
      <c r="R86" s="18">
        <v>14.076101661490402</v>
      </c>
      <c r="S86" s="18">
        <v>14.371453847552608</v>
      </c>
      <c r="T86" s="18">
        <v>14.760588271266236</v>
      </c>
      <c r="U86" s="18">
        <v>15.23474583861146</v>
      </c>
      <c r="V86" s="18">
        <v>15.647120386483884</v>
      </c>
      <c r="W86" s="18">
        <v>16.067124524632394</v>
      </c>
      <c r="X86" s="18">
        <v>16.478844045197746</v>
      </c>
      <c r="Y86" s="18">
        <v>16.842332375876932</v>
      </c>
      <c r="Z86" s="18">
        <v>17.219856768272415</v>
      </c>
      <c r="AA86" s="18">
        <v>17.622715561748304</v>
      </c>
      <c r="AB86" s="18">
        <v>18.046476500857466</v>
      </c>
      <c r="AC86" s="18">
        <v>18.480843075922849</v>
      </c>
      <c r="AD86" s="18">
        <v>18.909599207781124</v>
      </c>
      <c r="AE86" s="18">
        <v>19.370893478603456</v>
      </c>
      <c r="AF86" s="18">
        <v>19.835461372348842</v>
      </c>
      <c r="AG86" s="18">
        <v>20.319691314309026</v>
      </c>
      <c r="AH86" s="18">
        <v>20.817050191681421</v>
      </c>
      <c r="AI86" s="18">
        <v>21.351716835967462</v>
      </c>
      <c r="AJ86" s="18">
        <v>21.902618208704439</v>
      </c>
      <c r="AK86" s="18">
        <v>22.488150657253883</v>
      </c>
      <c r="AL86" s="18">
        <v>23.084221928358826</v>
      </c>
      <c r="AM86" s="18">
        <v>23.714998418964051</v>
      </c>
      <c r="AN86" s="18">
        <v>24.392267247387995</v>
      </c>
    </row>
    <row r="87" spans="1:40" x14ac:dyDescent="0.25">
      <c r="A87" t="s">
        <v>36</v>
      </c>
      <c r="B87" s="18">
        <v>1.1351531206547518</v>
      </c>
      <c r="C87" s="18">
        <v>1.15711322653161</v>
      </c>
      <c r="D87" s="18">
        <v>1.1451248217776735</v>
      </c>
      <c r="E87" s="18">
        <v>1.1378630326698174</v>
      </c>
      <c r="F87" s="18">
        <v>1.1554757657258468</v>
      </c>
      <c r="G87" s="18">
        <v>1.1680831266552429</v>
      </c>
      <c r="H87" s="18">
        <v>1.1385096642845971</v>
      </c>
      <c r="I87" s="18">
        <v>1.1200910087074947</v>
      </c>
      <c r="J87" s="18">
        <v>1.0052776357125583</v>
      </c>
      <c r="K87" s="18">
        <v>1.0086047682286392</v>
      </c>
      <c r="L87" s="18">
        <v>1.0285622829568837</v>
      </c>
      <c r="M87" s="18">
        <v>1.0596104386301191</v>
      </c>
      <c r="N87" s="18">
        <v>1.0970488295753977</v>
      </c>
      <c r="O87" s="18">
        <v>1.1409256218859241</v>
      </c>
      <c r="P87" s="18">
        <v>1.1888806263921556</v>
      </c>
      <c r="Q87" s="18">
        <v>1.2443560856314992</v>
      </c>
      <c r="R87" s="18">
        <v>1.3049653794885572</v>
      </c>
      <c r="S87" s="18">
        <v>1.3739870860164407</v>
      </c>
      <c r="T87" s="18">
        <v>1.4215948304483781</v>
      </c>
      <c r="U87" s="18">
        <v>1.4599646535277526</v>
      </c>
      <c r="V87" s="18">
        <v>1.5254299501304966</v>
      </c>
      <c r="W87" s="18">
        <v>1.5983183277509556</v>
      </c>
      <c r="X87" s="18">
        <v>1.6791177476062575</v>
      </c>
      <c r="Y87" s="18">
        <v>1.7631138939586875</v>
      </c>
      <c r="Z87" s="18">
        <v>1.8514135032974266</v>
      </c>
      <c r="AA87" s="18">
        <v>1.9449441678624204</v>
      </c>
      <c r="AB87" s="18">
        <v>2.0367871108946805</v>
      </c>
      <c r="AC87" s="18">
        <v>2.1242136295758245</v>
      </c>
      <c r="AD87" s="18">
        <v>2.2192618437892073</v>
      </c>
      <c r="AE87" s="18">
        <v>2.3215790404376215</v>
      </c>
      <c r="AF87" s="18">
        <v>2.4375591895254227</v>
      </c>
      <c r="AG87" s="18">
        <v>2.5631913825599111</v>
      </c>
      <c r="AH87" s="18">
        <v>2.7005819522225809</v>
      </c>
      <c r="AI87" s="18">
        <v>2.8476016149860821</v>
      </c>
      <c r="AJ87" s="18">
        <v>3.004329210704201</v>
      </c>
      <c r="AK87" s="18">
        <v>3.1671461042106963</v>
      </c>
      <c r="AL87" s="18">
        <v>3.3269267323454805</v>
      </c>
      <c r="AM87" s="18">
        <v>3.4931501747013538</v>
      </c>
      <c r="AN87" s="18">
        <v>3.6678480252546395</v>
      </c>
    </row>
    <row r="88" spans="1:40" x14ac:dyDescent="0.25">
      <c r="A88" t="s">
        <v>37</v>
      </c>
      <c r="B88" s="18">
        <v>27.51630822473156</v>
      </c>
      <c r="C88" s="18">
        <v>26.900456320201634</v>
      </c>
      <c r="D88" s="18">
        <v>26.289001015653074</v>
      </c>
      <c r="E88" s="18">
        <v>25.681026904731798</v>
      </c>
      <c r="F88" s="18">
        <v>25.681026904731795</v>
      </c>
      <c r="G88" s="18">
        <v>25.681026904731802</v>
      </c>
      <c r="H88" s="18">
        <v>25.677334449984691</v>
      </c>
      <c r="I88" s="18">
        <v>25.673641995237581</v>
      </c>
      <c r="J88" s="18">
        <v>25.677334449984961</v>
      </c>
      <c r="K88" s="18">
        <v>25.677334449984979</v>
      </c>
      <c r="L88" s="18">
        <v>25.677334449984979</v>
      </c>
      <c r="M88" s="18">
        <v>25.677334449984972</v>
      </c>
      <c r="N88" s="18">
        <v>25.677334449984969</v>
      </c>
      <c r="O88" s="18">
        <v>25.120332772771796</v>
      </c>
      <c r="P88" s="18">
        <v>25.120332772771782</v>
      </c>
      <c r="Q88" s="18">
        <v>25.120332772771778</v>
      </c>
      <c r="R88" s="18">
        <v>25.120332772771778</v>
      </c>
      <c r="S88" s="18">
        <v>25.115291275296332</v>
      </c>
      <c r="T88" s="18">
        <v>25.110625944293314</v>
      </c>
      <c r="U88" s="18">
        <v>24.152708560313343</v>
      </c>
      <c r="V88" s="18">
        <v>23.489379235295221</v>
      </c>
      <c r="W88" s="18">
        <v>22.778695998903089</v>
      </c>
      <c r="X88" s="18">
        <v>22.349243348614582</v>
      </c>
      <c r="Y88" s="18">
        <v>23.000161826004469</v>
      </c>
      <c r="Z88" s="18">
        <v>23.610743972709912</v>
      </c>
      <c r="AA88" s="18">
        <v>23.298125324424117</v>
      </c>
      <c r="AB88" s="18">
        <v>22.005628077297999</v>
      </c>
      <c r="AC88" s="18">
        <v>20.713474786100985</v>
      </c>
      <c r="AD88" s="18">
        <v>19.421945152491961</v>
      </c>
      <c r="AE88" s="18">
        <v>19.337063542372636</v>
      </c>
      <c r="AF88" s="18">
        <v>19.254343928894187</v>
      </c>
      <c r="AG88" s="18">
        <v>19.171624315415741</v>
      </c>
      <c r="AH88" s="18">
        <v>19.088904701937288</v>
      </c>
      <c r="AI88" s="18">
        <v>19.006185088458832</v>
      </c>
      <c r="AJ88" s="18">
        <v>18.638275745498611</v>
      </c>
      <c r="AK88" s="18">
        <v>18.270366402538393</v>
      </c>
      <c r="AL88" s="18">
        <v>17.899644035768073</v>
      </c>
      <c r="AM88" s="18">
        <v>17.527478650482823</v>
      </c>
      <c r="AN88" s="18">
        <v>17.154346707435558</v>
      </c>
    </row>
    <row r="89" spans="1:40" x14ac:dyDescent="0.25">
      <c r="A89" t="s">
        <v>38</v>
      </c>
      <c r="B89" s="18">
        <v>66.420365481469858</v>
      </c>
      <c r="C89" s="18">
        <v>67.349104545774196</v>
      </c>
      <c r="D89" s="18">
        <v>64.271865378659513</v>
      </c>
      <c r="E89" s="18">
        <v>61.203956366290036</v>
      </c>
      <c r="F89" s="18">
        <v>61.09576125595531</v>
      </c>
      <c r="G89" s="18">
        <v>60.977920555313688</v>
      </c>
      <c r="H89" s="18">
        <v>60.314891871173977</v>
      </c>
      <c r="I89" s="18">
        <v>60.095393567609911</v>
      </c>
      <c r="J89" s="18">
        <v>58.443716682751955</v>
      </c>
      <c r="K89" s="18">
        <v>58.26035937168762</v>
      </c>
      <c r="L89" s="18">
        <v>58.228585550981975</v>
      </c>
      <c r="M89" s="18">
        <v>58.491098078246964</v>
      </c>
      <c r="N89" s="18">
        <v>58.950504913566036</v>
      </c>
      <c r="O89" s="18">
        <v>59.241005432837952</v>
      </c>
      <c r="P89" s="18">
        <v>59.115594723835905</v>
      </c>
      <c r="Q89" s="18">
        <v>58.820403454768829</v>
      </c>
      <c r="R89" s="18">
        <v>59.160264117011302</v>
      </c>
      <c r="S89" s="18">
        <v>59.554930317101956</v>
      </c>
      <c r="T89" s="18">
        <v>59.911928080433661</v>
      </c>
      <c r="U89" s="18">
        <v>59.645550263735302</v>
      </c>
      <c r="V89" s="18">
        <v>59.503106096137991</v>
      </c>
      <c r="W89" s="18">
        <v>59.33824424913238</v>
      </c>
      <c r="X89" s="18">
        <v>59.099205776468253</v>
      </c>
      <c r="Y89" s="18">
        <v>58.21118967336151</v>
      </c>
      <c r="Z89" s="18">
        <v>57.963584061211357</v>
      </c>
      <c r="AA89" s="18">
        <v>57.207978417301902</v>
      </c>
      <c r="AB89" s="18">
        <v>55.843741287603805</v>
      </c>
      <c r="AC89" s="18">
        <v>54.480073675742425</v>
      </c>
      <c r="AD89" s="18">
        <v>53.117781844873782</v>
      </c>
      <c r="AE89" s="18">
        <v>52.080916463252649</v>
      </c>
      <c r="AF89" s="18">
        <v>51.049964004617202</v>
      </c>
      <c r="AG89" s="18">
        <v>50.019011545981762</v>
      </c>
      <c r="AH89" s="18">
        <v>48.988059087346336</v>
      </c>
      <c r="AI89" s="18">
        <v>47.95710662871091</v>
      </c>
      <c r="AJ89" s="18">
        <v>47.524282571642132</v>
      </c>
      <c r="AK89" s="18">
        <v>47.091458514573375</v>
      </c>
      <c r="AL89" s="18">
        <v>46.65130295830096</v>
      </c>
      <c r="AM89" s="18">
        <v>46.207174430113042</v>
      </c>
      <c r="AN89" s="18">
        <v>45.760197623106457</v>
      </c>
    </row>
    <row r="91" spans="1:40" ht="18" thickBot="1" x14ac:dyDescent="0.35">
      <c r="A91" s="4" t="s">
        <v>143</v>
      </c>
      <c r="B91" s="4"/>
      <c r="C91" s="4"/>
      <c r="D91" s="4"/>
      <c r="E91" s="4"/>
      <c r="F91" s="4"/>
      <c r="G91" s="4"/>
      <c r="H91" s="4"/>
    </row>
    <row r="92" spans="1:40" ht="15.75" thickTop="1" x14ac:dyDescent="0.25">
      <c r="B92" s="3">
        <v>2012</v>
      </c>
      <c r="C92" s="3">
        <v>2013</v>
      </c>
      <c r="D92" s="3">
        <v>2014</v>
      </c>
      <c r="E92" s="3">
        <v>2015</v>
      </c>
      <c r="F92" s="3">
        <v>2016</v>
      </c>
      <c r="G92" s="3">
        <v>2017</v>
      </c>
      <c r="H92" s="3">
        <v>2018</v>
      </c>
      <c r="I92" s="3">
        <v>2019</v>
      </c>
      <c r="J92" s="3">
        <v>2020</v>
      </c>
      <c r="K92" s="3">
        <v>2021</v>
      </c>
      <c r="L92" s="3">
        <v>2022</v>
      </c>
      <c r="M92" s="3">
        <v>2023</v>
      </c>
      <c r="N92" s="3">
        <v>2024</v>
      </c>
      <c r="O92" s="3">
        <v>2025</v>
      </c>
      <c r="P92" s="3">
        <v>2026</v>
      </c>
      <c r="Q92" s="3">
        <v>2027</v>
      </c>
      <c r="R92" s="3">
        <v>2028</v>
      </c>
      <c r="S92" s="3">
        <v>2029</v>
      </c>
      <c r="T92" s="3">
        <v>2030</v>
      </c>
      <c r="U92" s="3">
        <v>2031</v>
      </c>
      <c r="V92" s="3">
        <v>2032</v>
      </c>
      <c r="W92" s="3">
        <v>2033</v>
      </c>
      <c r="X92" s="3">
        <v>2034</v>
      </c>
      <c r="Y92" s="3">
        <v>2035</v>
      </c>
      <c r="Z92" s="3">
        <v>2036</v>
      </c>
      <c r="AA92" s="3">
        <v>2037</v>
      </c>
      <c r="AB92" s="3">
        <v>2038</v>
      </c>
      <c r="AC92">
        <v>2039</v>
      </c>
      <c r="AD92">
        <v>2040</v>
      </c>
      <c r="AE92">
        <v>2041</v>
      </c>
      <c r="AF92">
        <v>2042</v>
      </c>
      <c r="AG92">
        <v>2043</v>
      </c>
      <c r="AH92">
        <v>2044</v>
      </c>
      <c r="AI92">
        <v>2045</v>
      </c>
      <c r="AJ92">
        <v>2046</v>
      </c>
      <c r="AK92">
        <v>2047</v>
      </c>
      <c r="AL92">
        <v>2048</v>
      </c>
      <c r="AM92">
        <v>2049</v>
      </c>
      <c r="AN92">
        <v>2050</v>
      </c>
    </row>
    <row r="93" spans="1:40" x14ac:dyDescent="0.25">
      <c r="A93" s="3" t="s">
        <v>54</v>
      </c>
      <c r="B93" s="12">
        <v>0.5</v>
      </c>
      <c r="C93" s="12">
        <v>0.49361482500619441</v>
      </c>
      <c r="D93" s="12">
        <v>0.48206830798992972</v>
      </c>
      <c r="E93" s="12">
        <v>0.47202613350430117</v>
      </c>
      <c r="F93" s="12">
        <v>0.46557223068394388</v>
      </c>
      <c r="G93" s="12">
        <v>0.45639821843997963</v>
      </c>
      <c r="H93" s="12">
        <v>0.44660476008909161</v>
      </c>
      <c r="I93" s="12">
        <v>0.43972669731095931</v>
      </c>
      <c r="J93" s="12">
        <v>0.44869179830464656</v>
      </c>
      <c r="K93" s="12">
        <v>0.4608685558592584</v>
      </c>
      <c r="L93" s="12">
        <v>0.45293933531025343</v>
      </c>
      <c r="M93" s="12">
        <v>0.44496466333523621</v>
      </c>
      <c r="N93" s="12">
        <v>0.43604395407815993</v>
      </c>
      <c r="O93" s="12">
        <v>0.42640214177595159</v>
      </c>
      <c r="P93" s="12">
        <v>0.41704128628178283</v>
      </c>
      <c r="Q93" s="12">
        <v>0.40736811409437179</v>
      </c>
      <c r="R93" s="12">
        <v>0.39752040531475452</v>
      </c>
      <c r="S93" s="12">
        <v>0.38792623621073147</v>
      </c>
      <c r="T93" s="12">
        <v>0.3786915183200642</v>
      </c>
      <c r="U93" s="12">
        <v>0.3695210575010458</v>
      </c>
      <c r="V93" s="12">
        <v>0.35977357770148527</v>
      </c>
      <c r="W93" s="12">
        <v>0.35010150129371193</v>
      </c>
      <c r="X93" s="12">
        <v>0.34070620489032388</v>
      </c>
      <c r="Y93" s="12">
        <v>0.33256879940716488</v>
      </c>
      <c r="Z93" s="12">
        <v>0.32526196722319101</v>
      </c>
      <c r="AA93" s="12">
        <v>0.31743656623784111</v>
      </c>
      <c r="AB93" s="12">
        <v>0.30944759350189216</v>
      </c>
      <c r="AC93" s="12">
        <v>0.30170210809401976</v>
      </c>
      <c r="AD93" s="12">
        <v>0.29426669588993903</v>
      </c>
      <c r="AE93" s="12">
        <v>0.28705947092480621</v>
      </c>
      <c r="AF93" s="12">
        <v>0.27985912607480135</v>
      </c>
      <c r="AG93" s="12">
        <v>0.27267207752507222</v>
      </c>
      <c r="AH93" s="12">
        <v>0.2655187699863964</v>
      </c>
      <c r="AI93" s="12">
        <v>0.25835683521052188</v>
      </c>
      <c r="AJ93" s="12">
        <v>0.25160847240437884</v>
      </c>
      <c r="AK93" s="12">
        <v>0.24500439781986932</v>
      </c>
      <c r="AL93" s="12">
        <v>0.23870289310099521</v>
      </c>
      <c r="AM93" s="12">
        <v>0.23259738300263871</v>
      </c>
      <c r="AN93" s="12">
        <v>0.2264556984169197</v>
      </c>
    </row>
    <row r="94" spans="1:40" x14ac:dyDescent="0.25">
      <c r="A94" s="3" t="s">
        <v>55</v>
      </c>
      <c r="B94" s="12">
        <v>0.3</v>
      </c>
      <c r="C94" s="12">
        <v>0.29468225957952826</v>
      </c>
      <c r="D94" s="12">
        <v>0.29652686013085344</v>
      </c>
      <c r="E94" s="12">
        <v>0.29778797816876007</v>
      </c>
      <c r="F94" s="12">
        <v>0.29845066012740579</v>
      </c>
      <c r="G94" s="12">
        <v>0.29691592343442441</v>
      </c>
      <c r="H94" s="12">
        <v>0.29765219102063356</v>
      </c>
      <c r="I94" s="12">
        <v>0.298551917090845</v>
      </c>
      <c r="J94" s="12">
        <v>0.30807790666505486</v>
      </c>
      <c r="K94" s="12">
        <v>0.29101084546381101</v>
      </c>
      <c r="L94" s="12">
        <v>0.29254909838976384</v>
      </c>
      <c r="M94" s="12">
        <v>0.29362458379515177</v>
      </c>
      <c r="N94" s="12">
        <v>0.29479545876831015</v>
      </c>
      <c r="O94" s="12">
        <v>0.29612492551474839</v>
      </c>
      <c r="P94" s="12">
        <v>0.29821430926402148</v>
      </c>
      <c r="Q94" s="12">
        <v>0.30025114738936809</v>
      </c>
      <c r="R94" s="12">
        <v>0.30243161805275043</v>
      </c>
      <c r="S94" s="12">
        <v>0.30454490929663142</v>
      </c>
      <c r="T94" s="12">
        <v>0.30672648903867467</v>
      </c>
      <c r="U94" s="12">
        <v>0.30878587056708845</v>
      </c>
      <c r="V94" s="12">
        <v>0.3113776753132933</v>
      </c>
      <c r="W94" s="12">
        <v>0.31391427008417805</v>
      </c>
      <c r="X94" s="12">
        <v>0.31654756766084635</v>
      </c>
      <c r="Y94" s="12">
        <v>0.31943560967325441</v>
      </c>
      <c r="Z94" s="12">
        <v>0.32167854950189212</v>
      </c>
      <c r="AA94" s="12">
        <v>0.32413815716167887</v>
      </c>
      <c r="AB94" s="12">
        <v>0.32667347879243019</v>
      </c>
      <c r="AC94" s="12">
        <v>0.32941478752673903</v>
      </c>
      <c r="AD94" s="12">
        <v>0.33194977862338843</v>
      </c>
      <c r="AE94" s="12">
        <v>0.3347119146565295</v>
      </c>
      <c r="AF94" s="12">
        <v>0.33747750852961228</v>
      </c>
      <c r="AG94" s="12">
        <v>0.34019487891547112</v>
      </c>
      <c r="AH94" s="12">
        <v>0.34290256616818704</v>
      </c>
      <c r="AI94" s="12">
        <v>0.34553441204668883</v>
      </c>
      <c r="AJ94" s="12">
        <v>0.3486358783170348</v>
      </c>
      <c r="AK94" s="12">
        <v>0.35163376928920365</v>
      </c>
      <c r="AL94" s="12">
        <v>0.35473779187508891</v>
      </c>
      <c r="AM94" s="12">
        <v>0.35763130295873286</v>
      </c>
      <c r="AN94" s="12">
        <v>0.36050417317170641</v>
      </c>
    </row>
    <row r="95" spans="1:40" x14ac:dyDescent="0.25">
      <c r="A95" s="3" t="s">
        <v>56</v>
      </c>
      <c r="B95" s="12">
        <v>0.19999999999999998</v>
      </c>
      <c r="C95" s="12">
        <v>0.20613092634999897</v>
      </c>
      <c r="D95" s="12">
        <v>0.20997219853254745</v>
      </c>
      <c r="E95" s="12">
        <v>0.21260669534823909</v>
      </c>
      <c r="F95" s="12">
        <v>0.21196845959615526</v>
      </c>
      <c r="G95" s="12">
        <v>0.21596815697579858</v>
      </c>
      <c r="H95" s="12">
        <v>0.21840570822090161</v>
      </c>
      <c r="I95" s="12">
        <v>0.21780961373237509</v>
      </c>
      <c r="J95" s="12">
        <v>0.19278899154436505</v>
      </c>
      <c r="K95" s="12">
        <v>0.19553669373990809</v>
      </c>
      <c r="L95" s="12">
        <v>0.19978989451661469</v>
      </c>
      <c r="M95" s="12">
        <v>0.20455613793575173</v>
      </c>
      <c r="N95" s="12">
        <v>0.21017784188075633</v>
      </c>
      <c r="O95" s="12">
        <v>0.21636685904947664</v>
      </c>
      <c r="P95" s="12">
        <v>0.22306684325167825</v>
      </c>
      <c r="Q95" s="12">
        <v>0.23013203762505227</v>
      </c>
      <c r="R95" s="12">
        <v>0.23722848369486835</v>
      </c>
      <c r="S95" s="12">
        <v>0.24413891693925951</v>
      </c>
      <c r="T95" s="12">
        <v>0.250621957691326</v>
      </c>
      <c r="U95" s="12">
        <v>0.25838040126580109</v>
      </c>
      <c r="V95" s="12">
        <v>0.26618388831950496</v>
      </c>
      <c r="W95" s="12">
        <v>0.27396762998285962</v>
      </c>
      <c r="X95" s="12">
        <v>0.28137833717201771</v>
      </c>
      <c r="Y95" s="12">
        <v>0.28727685765124816</v>
      </c>
      <c r="Z95" s="12">
        <v>0.29412231319643162</v>
      </c>
      <c r="AA95" s="12">
        <v>0.30127304885663259</v>
      </c>
      <c r="AB95" s="12">
        <v>0.30851502785058504</v>
      </c>
      <c r="AC95" s="12">
        <v>0.31531092438850294</v>
      </c>
      <c r="AD95" s="12">
        <v>0.32200646376955105</v>
      </c>
      <c r="AE95" s="12">
        <v>0.32929830475714733</v>
      </c>
      <c r="AF95" s="12">
        <v>0.33658835430014045</v>
      </c>
      <c r="AG95" s="12">
        <v>0.34392190319885563</v>
      </c>
      <c r="AH95" s="12">
        <v>0.35123999212377366</v>
      </c>
      <c r="AI95" s="12">
        <v>0.35865117337681979</v>
      </c>
      <c r="AJ95" s="12">
        <v>0.36625024275029583</v>
      </c>
      <c r="AK95" s="12">
        <v>0.37382482671382988</v>
      </c>
      <c r="AL95" s="12">
        <v>0.38100700334125265</v>
      </c>
      <c r="AM95" s="12">
        <v>0.38822005789694591</v>
      </c>
      <c r="AN95" s="12">
        <v>0.39550635603522843</v>
      </c>
    </row>
    <row r="96" spans="1:40" x14ac:dyDescent="0.25">
      <c r="A96" s="3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</row>
    <row r="98" spans="1:42" ht="18" thickBot="1" x14ac:dyDescent="0.35">
      <c r="A98" s="4" t="s">
        <v>144</v>
      </c>
      <c r="B98" s="4"/>
      <c r="C98" s="4"/>
      <c r="D98" s="4"/>
      <c r="E98" s="4"/>
      <c r="F98" s="4"/>
      <c r="G98" s="4"/>
      <c r="H98" s="4"/>
    </row>
    <row r="99" spans="1:42" ht="15.75" thickTop="1" x14ac:dyDescent="0.25">
      <c r="A99" s="3">
        <v>2012</v>
      </c>
      <c r="B99" s="3">
        <v>2013</v>
      </c>
      <c r="C99" s="3">
        <v>2014</v>
      </c>
      <c r="D99" s="3">
        <v>2015</v>
      </c>
      <c r="E99" s="3">
        <v>2016</v>
      </c>
      <c r="F99" s="3">
        <v>2017</v>
      </c>
      <c r="G99" s="3">
        <v>2018</v>
      </c>
      <c r="H99" s="3">
        <v>2019</v>
      </c>
      <c r="I99" s="3">
        <v>2020</v>
      </c>
      <c r="J99" s="3">
        <v>2021</v>
      </c>
      <c r="K99" s="3">
        <v>2022</v>
      </c>
      <c r="L99" s="3">
        <v>2023</v>
      </c>
      <c r="M99" s="3">
        <v>2024</v>
      </c>
      <c r="N99" s="3">
        <v>2025</v>
      </c>
      <c r="O99" s="3">
        <v>2026</v>
      </c>
      <c r="P99" s="3">
        <v>2027</v>
      </c>
      <c r="Q99" s="3">
        <v>2028</v>
      </c>
      <c r="R99" s="3">
        <v>2029</v>
      </c>
      <c r="S99" s="3">
        <v>2030</v>
      </c>
      <c r="T99" s="3">
        <v>2031</v>
      </c>
      <c r="U99" s="3">
        <v>2032</v>
      </c>
      <c r="V99" s="3">
        <v>2033</v>
      </c>
      <c r="W99" s="3">
        <v>2034</v>
      </c>
      <c r="X99" s="3">
        <v>2035</v>
      </c>
      <c r="Y99" s="3">
        <v>2036</v>
      </c>
      <c r="Z99">
        <v>2037</v>
      </c>
      <c r="AA99">
        <v>2038</v>
      </c>
      <c r="AB99">
        <v>2039</v>
      </c>
      <c r="AC99">
        <v>2040</v>
      </c>
      <c r="AD99">
        <v>2041</v>
      </c>
      <c r="AE99">
        <v>2042</v>
      </c>
      <c r="AF99">
        <v>2043</v>
      </c>
      <c r="AG99">
        <v>2044</v>
      </c>
      <c r="AH99">
        <v>2045</v>
      </c>
      <c r="AI99">
        <v>2046</v>
      </c>
      <c r="AJ99">
        <v>2047</v>
      </c>
      <c r="AK99">
        <v>2048</v>
      </c>
      <c r="AL99">
        <v>2049</v>
      </c>
      <c r="AM99">
        <v>2050</v>
      </c>
    </row>
    <row r="100" spans="1:42" x14ac:dyDescent="0.25">
      <c r="A100">
        <v>0.30163969294989873</v>
      </c>
      <c r="B100">
        <v>0.30770118876733893</v>
      </c>
      <c r="C100">
        <v>0.31057938732953844</v>
      </c>
      <c r="D100">
        <v>0.31277940101847879</v>
      </c>
      <c r="E100">
        <v>0.31284316327620315</v>
      </c>
      <c r="F100">
        <v>0.31635831555178628</v>
      </c>
      <c r="G100">
        <v>0.31867877236635728</v>
      </c>
      <c r="H100">
        <v>0.31829026462005117</v>
      </c>
      <c r="I100">
        <v>0.29040891806001651</v>
      </c>
      <c r="J100">
        <v>0.29800403265459058</v>
      </c>
      <c r="K100">
        <v>0.30200401780692876</v>
      </c>
      <c r="L100">
        <v>0.30656034625617695</v>
      </c>
      <c r="M100">
        <v>0.31192904187570236</v>
      </c>
      <c r="N100">
        <v>0.31799947261850164</v>
      </c>
      <c r="O100">
        <v>0.32433434766527408</v>
      </c>
      <c r="P100">
        <v>0.33129984849841504</v>
      </c>
      <c r="Q100">
        <v>0.33856860928890536</v>
      </c>
      <c r="R100">
        <v>0.3460220907336497</v>
      </c>
      <c r="S100">
        <v>0.35326945484642069</v>
      </c>
      <c r="T100">
        <v>0.36227316635231788</v>
      </c>
      <c r="U100">
        <v>0.37153100120479132</v>
      </c>
      <c r="V100">
        <v>0.38125213640261274</v>
      </c>
      <c r="W100">
        <v>0.39088366365960481</v>
      </c>
      <c r="X100" s="12">
        <v>0.43438755091144643</v>
      </c>
      <c r="Y100" s="12">
        <v>0.4444480293768564</v>
      </c>
      <c r="Z100" s="12">
        <v>0.45535275868686731</v>
      </c>
      <c r="AA100" s="12">
        <v>0.46694075625504039</v>
      </c>
      <c r="AB100" s="12">
        <v>0.4781300856362905</v>
      </c>
      <c r="AC100" s="12">
        <v>0.48967453302970809</v>
      </c>
      <c r="AD100" s="12">
        <v>0.50224672606058585</v>
      </c>
      <c r="AE100" s="12">
        <v>0.51536971747141613</v>
      </c>
      <c r="AF100" s="12">
        <v>0.52924077512855172</v>
      </c>
      <c r="AG100" s="12">
        <v>0.54376194787755061</v>
      </c>
      <c r="AH100" s="12">
        <v>0.55932663957277284</v>
      </c>
      <c r="AI100" s="12">
        <v>0.57508190051994368</v>
      </c>
      <c r="AJ100" s="12">
        <v>0.59159288253939912</v>
      </c>
      <c r="AK100" s="12">
        <v>0.6076457041478186</v>
      </c>
      <c r="AL100" s="12">
        <v>0.62468417964119827</v>
      </c>
      <c r="AM100" s="12">
        <v>0.68427588534183081</v>
      </c>
    </row>
    <row r="102" spans="1:42" x14ac:dyDescent="0.25">
      <c r="C102" s="13"/>
    </row>
    <row r="103" spans="1:42" x14ac:dyDescent="0.25">
      <c r="C103" s="13"/>
    </row>
    <row r="104" spans="1:42" x14ac:dyDescent="0.25">
      <c r="C104" s="13"/>
    </row>
    <row r="105" spans="1:42" x14ac:dyDescent="0.25">
      <c r="C105" s="13"/>
    </row>
    <row r="106" spans="1:42" x14ac:dyDescent="0.25">
      <c r="C106" s="13"/>
    </row>
    <row r="107" spans="1:42" x14ac:dyDescent="0.25">
      <c r="C107" s="13"/>
    </row>
    <row r="108" spans="1:42" x14ac:dyDescent="0.25">
      <c r="C108" s="13"/>
    </row>
    <row r="109" spans="1:42" x14ac:dyDescent="0.25">
      <c r="C109" s="13"/>
      <c r="D109">
        <v>2012</v>
      </c>
      <c r="E109">
        <v>2013</v>
      </c>
      <c r="F109">
        <v>2014</v>
      </c>
      <c r="G109">
        <v>2015</v>
      </c>
      <c r="H109">
        <v>2016</v>
      </c>
      <c r="I109">
        <v>2017</v>
      </c>
      <c r="J109">
        <v>2018</v>
      </c>
      <c r="K109">
        <v>2019</v>
      </c>
      <c r="L109">
        <v>2020</v>
      </c>
      <c r="M109">
        <v>2021</v>
      </c>
      <c r="N109">
        <v>2022</v>
      </c>
      <c r="O109">
        <v>2023</v>
      </c>
      <c r="P109">
        <v>2024</v>
      </c>
      <c r="Q109">
        <v>2025</v>
      </c>
      <c r="R109">
        <v>2026</v>
      </c>
      <c r="S109">
        <v>2027</v>
      </c>
      <c r="T109">
        <v>2028</v>
      </c>
      <c r="U109">
        <v>2029</v>
      </c>
      <c r="V109">
        <v>2030</v>
      </c>
      <c r="W109">
        <v>2031</v>
      </c>
      <c r="X109">
        <v>2032</v>
      </c>
      <c r="Y109">
        <v>2033</v>
      </c>
      <c r="Z109">
        <v>2034</v>
      </c>
      <c r="AA109">
        <v>2035</v>
      </c>
      <c r="AB109">
        <v>2036</v>
      </c>
      <c r="AC109">
        <v>2037</v>
      </c>
      <c r="AD109">
        <v>2038</v>
      </c>
      <c r="AE109">
        <v>2039</v>
      </c>
      <c r="AF109">
        <v>2040</v>
      </c>
      <c r="AG109">
        <v>2041</v>
      </c>
      <c r="AH109">
        <v>2042</v>
      </c>
      <c r="AI109">
        <v>2043</v>
      </c>
      <c r="AJ109">
        <v>2044</v>
      </c>
      <c r="AK109">
        <v>2045</v>
      </c>
      <c r="AL109">
        <v>2046</v>
      </c>
      <c r="AM109">
        <v>2047</v>
      </c>
      <c r="AN109">
        <v>2048</v>
      </c>
      <c r="AO109">
        <v>2049</v>
      </c>
      <c r="AP109">
        <v>2050</v>
      </c>
    </row>
    <row r="110" spans="1:42" x14ac:dyDescent="0.25">
      <c r="B110" t="s">
        <v>148</v>
      </c>
      <c r="C110" s="13" t="s">
        <v>149</v>
      </c>
      <c r="D110">
        <v>69.8</v>
      </c>
      <c r="E110">
        <v>73.099999999999994</v>
      </c>
      <c r="F110">
        <v>76</v>
      </c>
      <c r="G110">
        <v>75</v>
      </c>
      <c r="H110">
        <v>74</v>
      </c>
      <c r="I110">
        <v>76.5</v>
      </c>
      <c r="J110">
        <v>75.400000000000006</v>
      </c>
      <c r="K110">
        <v>74.2</v>
      </c>
      <c r="L110">
        <v>71.400000000000006</v>
      </c>
      <c r="M110">
        <v>74</v>
      </c>
      <c r="N110">
        <v>76.099999999999994</v>
      </c>
      <c r="O110">
        <v>77.900000000000006</v>
      </c>
      <c r="P110">
        <v>79.7</v>
      </c>
      <c r="Q110">
        <v>82.3</v>
      </c>
      <c r="R110">
        <v>85</v>
      </c>
      <c r="S110">
        <v>87.7</v>
      </c>
      <c r="T110">
        <v>90.5</v>
      </c>
      <c r="U110">
        <v>93.6</v>
      </c>
      <c r="V110">
        <v>96.8</v>
      </c>
      <c r="W110">
        <v>99.7</v>
      </c>
      <c r="X110">
        <v>102.5</v>
      </c>
      <c r="Y110">
        <v>105.5</v>
      </c>
      <c r="Z110">
        <v>108.5</v>
      </c>
      <c r="AA110">
        <v>111</v>
      </c>
      <c r="AB110">
        <v>113.4</v>
      </c>
      <c r="AC110">
        <v>116.1</v>
      </c>
      <c r="AD110">
        <v>118.6</v>
      </c>
      <c r="AE110">
        <v>120.6</v>
      </c>
      <c r="AF110">
        <v>123</v>
      </c>
      <c r="AG110">
        <v>125.3</v>
      </c>
      <c r="AH110">
        <v>127.7</v>
      </c>
      <c r="AI110">
        <v>130.1</v>
      </c>
      <c r="AJ110">
        <v>132.6</v>
      </c>
      <c r="AK110">
        <v>135.4</v>
      </c>
      <c r="AL110">
        <v>138.30000000000001</v>
      </c>
      <c r="AM110">
        <v>141.30000000000001</v>
      </c>
      <c r="AN110">
        <v>144.19999999999999</v>
      </c>
      <c r="AO110">
        <v>147.30000000000001</v>
      </c>
      <c r="AP110">
        <v>150.5</v>
      </c>
    </row>
    <row r="111" spans="1:42" x14ac:dyDescent="0.25">
      <c r="B111" t="s">
        <v>150</v>
      </c>
      <c r="C111" s="13" t="s">
        <v>149</v>
      </c>
      <c r="D111">
        <v>1833.8</v>
      </c>
      <c r="E111">
        <v>1886.2</v>
      </c>
      <c r="F111">
        <v>1933.2</v>
      </c>
      <c r="G111">
        <v>1965.2</v>
      </c>
      <c r="H111">
        <v>1987</v>
      </c>
      <c r="I111">
        <v>2014.2</v>
      </c>
      <c r="J111">
        <v>2046.4</v>
      </c>
      <c r="K111">
        <v>2071.9</v>
      </c>
      <c r="L111">
        <v>1918.4</v>
      </c>
      <c r="M111">
        <v>1984.5</v>
      </c>
      <c r="N111">
        <v>2036.4</v>
      </c>
      <c r="O111">
        <v>2089.8000000000002</v>
      </c>
      <c r="P111">
        <v>2146.1999999999998</v>
      </c>
      <c r="Q111">
        <v>2225</v>
      </c>
      <c r="R111">
        <v>2310.9</v>
      </c>
      <c r="S111">
        <v>2404.1999999999998</v>
      </c>
      <c r="T111">
        <v>2503.4</v>
      </c>
      <c r="U111">
        <v>2613.8000000000002</v>
      </c>
      <c r="V111">
        <v>2734</v>
      </c>
      <c r="W111">
        <v>2838.6</v>
      </c>
      <c r="X111">
        <v>2945.9</v>
      </c>
      <c r="Y111">
        <v>3054.5</v>
      </c>
      <c r="Z111">
        <v>3163.4</v>
      </c>
      <c r="AA111">
        <v>3265.4</v>
      </c>
      <c r="AB111">
        <v>3366.1</v>
      </c>
      <c r="AC111">
        <v>3472.2</v>
      </c>
      <c r="AD111">
        <v>3575.7</v>
      </c>
      <c r="AE111">
        <v>3674.1</v>
      </c>
      <c r="AF111">
        <v>3776.9</v>
      </c>
      <c r="AG111">
        <v>3880.2</v>
      </c>
      <c r="AH111">
        <v>3987.3</v>
      </c>
      <c r="AI111">
        <v>4096.6000000000004</v>
      </c>
      <c r="AJ111">
        <v>4209.7</v>
      </c>
      <c r="AK111">
        <v>4332.3</v>
      </c>
      <c r="AL111">
        <v>4460.8</v>
      </c>
      <c r="AM111">
        <v>4595.5</v>
      </c>
      <c r="AN111">
        <v>4729.8999999999996</v>
      </c>
      <c r="AO111">
        <v>4869.7</v>
      </c>
      <c r="AP111">
        <v>5016.8</v>
      </c>
    </row>
    <row r="112" spans="1:42" x14ac:dyDescent="0.25">
      <c r="B112" t="s">
        <v>151</v>
      </c>
      <c r="C112" s="13" t="s">
        <v>149</v>
      </c>
      <c r="D112">
        <v>84.3</v>
      </c>
      <c r="E112">
        <v>82.6</v>
      </c>
      <c r="F112">
        <v>80.3</v>
      </c>
      <c r="G112">
        <v>78</v>
      </c>
      <c r="H112">
        <v>76.599999999999994</v>
      </c>
      <c r="I112">
        <v>75.2</v>
      </c>
      <c r="J112">
        <v>74.8</v>
      </c>
      <c r="K112">
        <v>74.400000000000006</v>
      </c>
      <c r="L112">
        <v>70.599999999999994</v>
      </c>
      <c r="M112">
        <v>74.599999999999994</v>
      </c>
      <c r="N112">
        <v>74.5</v>
      </c>
      <c r="O112">
        <v>76.2</v>
      </c>
      <c r="P112">
        <v>78.099999999999994</v>
      </c>
      <c r="Q112">
        <v>80.8</v>
      </c>
      <c r="R112">
        <v>83.6</v>
      </c>
      <c r="S112">
        <v>86.7</v>
      </c>
      <c r="T112">
        <v>87.8</v>
      </c>
      <c r="U112">
        <v>88.3</v>
      </c>
      <c r="V112">
        <v>90.5</v>
      </c>
      <c r="W112">
        <v>89.4</v>
      </c>
      <c r="X112">
        <v>89</v>
      </c>
      <c r="Y112">
        <v>89.1</v>
      </c>
      <c r="Z112">
        <v>88.6</v>
      </c>
      <c r="AA112">
        <v>87.6</v>
      </c>
      <c r="AB112">
        <v>88.1</v>
      </c>
      <c r="AC112">
        <v>89.4</v>
      </c>
      <c r="AD112">
        <v>91.6</v>
      </c>
      <c r="AE112">
        <v>94</v>
      </c>
      <c r="AF112">
        <v>96.5</v>
      </c>
      <c r="AG112">
        <v>98.3</v>
      </c>
      <c r="AH112">
        <v>100.2</v>
      </c>
      <c r="AI112">
        <v>102.1</v>
      </c>
      <c r="AJ112">
        <v>104</v>
      </c>
      <c r="AK112">
        <v>105.9</v>
      </c>
      <c r="AL112">
        <v>107.8</v>
      </c>
      <c r="AM112">
        <v>109.6</v>
      </c>
      <c r="AN112">
        <v>111.5</v>
      </c>
      <c r="AO112">
        <v>113.4</v>
      </c>
      <c r="AP112">
        <v>115.3</v>
      </c>
    </row>
    <row r="113" spans="2:42" x14ac:dyDescent="0.25">
      <c r="B113" t="s">
        <v>152</v>
      </c>
      <c r="C113" s="13" t="s">
        <v>149</v>
      </c>
      <c r="D113">
        <v>52.8</v>
      </c>
      <c r="E113">
        <v>54.4</v>
      </c>
      <c r="F113">
        <v>55.5</v>
      </c>
      <c r="G113">
        <v>56</v>
      </c>
      <c r="H113">
        <v>56.5</v>
      </c>
      <c r="I113">
        <v>56.9</v>
      </c>
      <c r="J113">
        <v>57.5</v>
      </c>
      <c r="K113">
        <v>57.4</v>
      </c>
      <c r="L113">
        <v>52.9</v>
      </c>
      <c r="M113">
        <v>54.8</v>
      </c>
      <c r="N113">
        <v>56.2</v>
      </c>
      <c r="O113">
        <v>57.7</v>
      </c>
      <c r="P113">
        <v>59.3</v>
      </c>
      <c r="Q113">
        <v>61.5</v>
      </c>
      <c r="R113">
        <v>63.8</v>
      </c>
      <c r="S113">
        <v>66.400000000000006</v>
      </c>
      <c r="T113">
        <v>69</v>
      </c>
      <c r="U113">
        <v>71.900000000000006</v>
      </c>
      <c r="V113">
        <v>75.099999999999994</v>
      </c>
      <c r="W113">
        <v>78</v>
      </c>
      <c r="X113">
        <v>80.8</v>
      </c>
      <c r="Y113">
        <v>83.6</v>
      </c>
      <c r="Z113">
        <v>86.3</v>
      </c>
      <c r="AA113">
        <v>88.8</v>
      </c>
      <c r="AB113">
        <v>91.2</v>
      </c>
      <c r="AC113">
        <v>93.6</v>
      </c>
      <c r="AD113">
        <v>95.9</v>
      </c>
      <c r="AE113">
        <v>98.1</v>
      </c>
      <c r="AF113">
        <v>100.5</v>
      </c>
      <c r="AG113">
        <v>102.8</v>
      </c>
      <c r="AH113">
        <v>105.2</v>
      </c>
      <c r="AI113">
        <v>107.6</v>
      </c>
      <c r="AJ113">
        <v>110.2</v>
      </c>
      <c r="AK113">
        <v>112.9</v>
      </c>
      <c r="AL113">
        <v>115.7</v>
      </c>
      <c r="AM113">
        <v>118.7</v>
      </c>
      <c r="AN113">
        <v>121.7</v>
      </c>
      <c r="AO113">
        <v>124.8</v>
      </c>
      <c r="AP113">
        <v>128</v>
      </c>
    </row>
    <row r="114" spans="2:42" x14ac:dyDescent="0.25">
      <c r="B114" t="s">
        <v>153</v>
      </c>
      <c r="C114" s="13" t="s">
        <v>149</v>
      </c>
      <c r="D114">
        <v>93.1</v>
      </c>
      <c r="E114">
        <v>96.5</v>
      </c>
      <c r="F114">
        <v>99.1</v>
      </c>
      <c r="G114">
        <v>100.3</v>
      </c>
      <c r="H114">
        <v>102.1</v>
      </c>
      <c r="I114">
        <v>103.2</v>
      </c>
      <c r="J114">
        <v>104.8</v>
      </c>
      <c r="K114">
        <v>104.4</v>
      </c>
      <c r="L114">
        <v>99.5</v>
      </c>
      <c r="M114">
        <v>103.4</v>
      </c>
      <c r="N114">
        <v>106.5</v>
      </c>
      <c r="O114">
        <v>109.3</v>
      </c>
      <c r="P114">
        <v>112.1</v>
      </c>
      <c r="Q114">
        <v>115.9</v>
      </c>
      <c r="R114">
        <v>119.8</v>
      </c>
      <c r="S114">
        <v>123.9</v>
      </c>
      <c r="T114">
        <v>128.1</v>
      </c>
      <c r="U114">
        <v>132.9</v>
      </c>
      <c r="V114">
        <v>137.80000000000001</v>
      </c>
      <c r="W114">
        <v>142.69999999999999</v>
      </c>
      <c r="X114">
        <v>147.5</v>
      </c>
      <c r="Y114">
        <v>152.19999999999999</v>
      </c>
      <c r="Z114">
        <v>156.80000000000001</v>
      </c>
      <c r="AA114">
        <v>161</v>
      </c>
      <c r="AB114">
        <v>165</v>
      </c>
      <c r="AC114">
        <v>169.1</v>
      </c>
      <c r="AD114">
        <v>173</v>
      </c>
      <c r="AE114">
        <v>176.5</v>
      </c>
      <c r="AF114">
        <v>180.3</v>
      </c>
      <c r="AG114">
        <v>184</v>
      </c>
      <c r="AH114">
        <v>187.7</v>
      </c>
      <c r="AI114">
        <v>191.4</v>
      </c>
      <c r="AJ114">
        <v>195.2</v>
      </c>
      <c r="AK114">
        <v>199.3</v>
      </c>
      <c r="AL114">
        <v>203.5</v>
      </c>
      <c r="AM114">
        <v>207.8</v>
      </c>
      <c r="AN114">
        <v>212.2</v>
      </c>
      <c r="AO114">
        <v>216.9</v>
      </c>
      <c r="AP114">
        <v>221.8</v>
      </c>
    </row>
    <row r="115" spans="2:42" x14ac:dyDescent="0.25">
      <c r="B115" t="s">
        <v>154</v>
      </c>
      <c r="C115" s="13" t="s">
        <v>149</v>
      </c>
      <c r="D115">
        <v>13.3</v>
      </c>
      <c r="E115">
        <v>13.7</v>
      </c>
      <c r="F115">
        <v>14</v>
      </c>
      <c r="G115">
        <v>14.3</v>
      </c>
      <c r="H115">
        <v>14.3</v>
      </c>
      <c r="I115">
        <v>14.4</v>
      </c>
      <c r="J115">
        <v>14.4</v>
      </c>
      <c r="K115">
        <v>14.2</v>
      </c>
      <c r="L115">
        <v>12.5</v>
      </c>
      <c r="M115">
        <v>13</v>
      </c>
      <c r="N115">
        <v>13.2</v>
      </c>
      <c r="O115">
        <v>13.5</v>
      </c>
      <c r="P115">
        <v>13.8</v>
      </c>
      <c r="Q115">
        <v>14.2</v>
      </c>
      <c r="R115">
        <v>14.6</v>
      </c>
      <c r="S115">
        <v>15.1</v>
      </c>
      <c r="T115">
        <v>15.5</v>
      </c>
      <c r="U115">
        <v>16.100000000000001</v>
      </c>
      <c r="V115">
        <v>16.5</v>
      </c>
      <c r="W115">
        <v>17.100000000000001</v>
      </c>
      <c r="X115">
        <v>17.5</v>
      </c>
      <c r="Y115">
        <v>17.899999999999999</v>
      </c>
      <c r="Z115">
        <v>18.2</v>
      </c>
      <c r="AA115">
        <v>18.600000000000001</v>
      </c>
      <c r="AB115">
        <v>18.8</v>
      </c>
      <c r="AC115">
        <v>19.100000000000001</v>
      </c>
      <c r="AD115">
        <v>19.2</v>
      </c>
      <c r="AE115">
        <v>19.399999999999999</v>
      </c>
      <c r="AF115">
        <v>19.5</v>
      </c>
      <c r="AG115">
        <v>19.8</v>
      </c>
      <c r="AH115">
        <v>20.100000000000001</v>
      </c>
      <c r="AI115">
        <v>20.5</v>
      </c>
      <c r="AJ115">
        <v>20.8</v>
      </c>
      <c r="AK115">
        <v>21.2</v>
      </c>
      <c r="AL115">
        <v>21.6</v>
      </c>
      <c r="AM115">
        <v>22.1</v>
      </c>
      <c r="AN115">
        <v>22.5</v>
      </c>
      <c r="AO115">
        <v>23</v>
      </c>
      <c r="AP115">
        <v>23.5</v>
      </c>
    </row>
    <row r="116" spans="2:42" x14ac:dyDescent="0.25">
      <c r="B116" t="s">
        <v>155</v>
      </c>
      <c r="C116" s="13" t="s">
        <v>149</v>
      </c>
      <c r="D116">
        <v>205.4</v>
      </c>
      <c r="E116">
        <v>210.6</v>
      </c>
      <c r="F116">
        <v>211.4</v>
      </c>
      <c r="G116">
        <v>217.9</v>
      </c>
      <c r="H116">
        <v>214.3</v>
      </c>
      <c r="I116">
        <v>220.3</v>
      </c>
      <c r="J116">
        <v>219.3</v>
      </c>
      <c r="K116">
        <v>216.6</v>
      </c>
      <c r="L116">
        <v>199.3</v>
      </c>
      <c r="M116">
        <v>204.1</v>
      </c>
      <c r="N116">
        <v>207.1</v>
      </c>
      <c r="O116">
        <v>210.7</v>
      </c>
      <c r="P116">
        <v>214.7</v>
      </c>
      <c r="Q116">
        <v>219.1</v>
      </c>
      <c r="R116">
        <v>224.2</v>
      </c>
      <c r="S116">
        <v>230.3</v>
      </c>
      <c r="T116">
        <v>237.6</v>
      </c>
      <c r="U116">
        <v>246.4</v>
      </c>
      <c r="V116">
        <v>254.3</v>
      </c>
      <c r="W116">
        <v>262.3</v>
      </c>
      <c r="X116">
        <v>270.5</v>
      </c>
      <c r="Y116">
        <v>277.89999999999998</v>
      </c>
      <c r="Z116">
        <v>285.89999999999998</v>
      </c>
      <c r="AA116">
        <v>294.8</v>
      </c>
      <c r="AB116">
        <v>302.7</v>
      </c>
      <c r="AC116">
        <v>311.10000000000002</v>
      </c>
      <c r="AD116">
        <v>319.5</v>
      </c>
      <c r="AE116">
        <v>327.2</v>
      </c>
      <c r="AF116">
        <v>335</v>
      </c>
      <c r="AG116">
        <v>342.3</v>
      </c>
      <c r="AH116">
        <v>349.4</v>
      </c>
      <c r="AI116">
        <v>356.5</v>
      </c>
      <c r="AJ116">
        <v>363.6</v>
      </c>
      <c r="AK116">
        <v>371.2</v>
      </c>
      <c r="AL116">
        <v>378.7</v>
      </c>
      <c r="AM116">
        <v>386.5</v>
      </c>
      <c r="AN116">
        <v>394.1</v>
      </c>
      <c r="AO116">
        <v>402</v>
      </c>
      <c r="AP116">
        <v>410.3</v>
      </c>
    </row>
    <row r="117" spans="2:42" x14ac:dyDescent="0.25">
      <c r="B117" t="s">
        <v>156</v>
      </c>
      <c r="C117" s="13" t="s">
        <v>149</v>
      </c>
      <c r="D117">
        <v>10.1</v>
      </c>
      <c r="E117">
        <v>8.5</v>
      </c>
      <c r="F117">
        <v>7.7</v>
      </c>
      <c r="G117">
        <v>7.8</v>
      </c>
      <c r="H117">
        <v>7.5</v>
      </c>
      <c r="I117">
        <v>7.1</v>
      </c>
      <c r="J117">
        <v>6.9</v>
      </c>
      <c r="K117">
        <v>6.6</v>
      </c>
      <c r="L117">
        <v>5.4</v>
      </c>
      <c r="M117">
        <v>5.6</v>
      </c>
      <c r="N117">
        <v>5.7</v>
      </c>
      <c r="O117">
        <v>5.8</v>
      </c>
      <c r="P117">
        <v>5.9</v>
      </c>
      <c r="Q117">
        <v>6.1</v>
      </c>
      <c r="R117">
        <v>6.2</v>
      </c>
      <c r="S117">
        <v>6.4</v>
      </c>
      <c r="T117">
        <v>6.5</v>
      </c>
      <c r="U117">
        <v>6.6</v>
      </c>
      <c r="V117">
        <v>6.8</v>
      </c>
      <c r="W117">
        <v>7</v>
      </c>
      <c r="X117">
        <v>7.2</v>
      </c>
      <c r="Y117">
        <v>7.5</v>
      </c>
      <c r="Z117">
        <v>7.7</v>
      </c>
      <c r="AA117">
        <v>7.9</v>
      </c>
      <c r="AB117">
        <v>8</v>
      </c>
      <c r="AC117">
        <v>8.1999999999999993</v>
      </c>
      <c r="AD117">
        <v>8.1999999999999993</v>
      </c>
      <c r="AE117">
        <v>8.1999999999999993</v>
      </c>
      <c r="AF117">
        <v>8.1999999999999993</v>
      </c>
      <c r="AG117">
        <v>8.1999999999999993</v>
      </c>
      <c r="AH117">
        <v>8.1999999999999993</v>
      </c>
      <c r="AI117">
        <v>8.1999999999999993</v>
      </c>
      <c r="AJ117">
        <v>8.1</v>
      </c>
      <c r="AK117">
        <v>8.1</v>
      </c>
      <c r="AL117">
        <v>8.1</v>
      </c>
      <c r="AM117">
        <v>8.1999999999999993</v>
      </c>
      <c r="AN117">
        <v>8.1999999999999993</v>
      </c>
      <c r="AO117">
        <v>8.1999999999999993</v>
      </c>
      <c r="AP117">
        <v>8.3000000000000007</v>
      </c>
    </row>
    <row r="118" spans="2:42" x14ac:dyDescent="0.25">
      <c r="B118" t="s">
        <v>157</v>
      </c>
      <c r="C118" s="13" t="s">
        <v>149</v>
      </c>
      <c r="D118">
        <v>14.1</v>
      </c>
      <c r="E118">
        <v>14.5</v>
      </c>
      <c r="F118">
        <v>14.8</v>
      </c>
      <c r="G118">
        <v>15</v>
      </c>
      <c r="H118">
        <v>15.1</v>
      </c>
      <c r="I118">
        <v>15.2</v>
      </c>
      <c r="J118">
        <v>15.4</v>
      </c>
      <c r="K118">
        <v>15.4</v>
      </c>
      <c r="L118">
        <v>14.2</v>
      </c>
      <c r="M118">
        <v>14.7</v>
      </c>
      <c r="N118">
        <v>15.1</v>
      </c>
      <c r="O118">
        <v>15.5</v>
      </c>
      <c r="P118">
        <v>15.9</v>
      </c>
      <c r="Q118">
        <v>16.5</v>
      </c>
      <c r="R118">
        <v>17.100000000000001</v>
      </c>
      <c r="S118">
        <v>17.8</v>
      </c>
      <c r="T118">
        <v>18.5</v>
      </c>
      <c r="U118">
        <v>19.3</v>
      </c>
      <c r="V118">
        <v>20.100000000000001</v>
      </c>
      <c r="W118">
        <v>20.8</v>
      </c>
      <c r="X118">
        <v>21.6</v>
      </c>
      <c r="Y118">
        <v>22.3</v>
      </c>
      <c r="Z118">
        <v>23</v>
      </c>
      <c r="AA118">
        <v>23.6</v>
      </c>
      <c r="AB118">
        <v>24.2</v>
      </c>
      <c r="AC118">
        <v>24.8</v>
      </c>
      <c r="AD118">
        <v>25.5</v>
      </c>
      <c r="AE118">
        <v>26</v>
      </c>
      <c r="AF118">
        <v>26.7</v>
      </c>
      <c r="AG118">
        <v>27.3</v>
      </c>
      <c r="AH118">
        <v>28</v>
      </c>
      <c r="AI118">
        <v>28.8</v>
      </c>
      <c r="AJ118">
        <v>29.5</v>
      </c>
      <c r="AK118">
        <v>30.3</v>
      </c>
      <c r="AL118">
        <v>31.2</v>
      </c>
      <c r="AM118">
        <v>32.1</v>
      </c>
      <c r="AN118">
        <v>33</v>
      </c>
      <c r="AO118">
        <v>34</v>
      </c>
      <c r="AP118">
        <v>35</v>
      </c>
    </row>
    <row r="119" spans="2:42" x14ac:dyDescent="0.25">
      <c r="B119" t="s">
        <v>158</v>
      </c>
      <c r="C119" s="13" t="s">
        <v>149</v>
      </c>
      <c r="D119">
        <v>235.5</v>
      </c>
      <c r="E119">
        <v>242.1</v>
      </c>
      <c r="F119">
        <v>246.6</v>
      </c>
      <c r="G119">
        <v>249.8</v>
      </c>
      <c r="H119">
        <v>251.8</v>
      </c>
      <c r="I119">
        <v>253.6</v>
      </c>
      <c r="J119">
        <v>256.3</v>
      </c>
      <c r="K119">
        <v>255.6</v>
      </c>
      <c r="L119">
        <v>231.7</v>
      </c>
      <c r="M119">
        <v>240.6</v>
      </c>
      <c r="N119">
        <v>247.4</v>
      </c>
      <c r="O119">
        <v>254.2</v>
      </c>
      <c r="P119">
        <v>261.2</v>
      </c>
      <c r="Q119">
        <v>270.89999999999998</v>
      </c>
      <c r="R119">
        <v>281.3</v>
      </c>
      <c r="S119">
        <v>292.7</v>
      </c>
      <c r="T119">
        <v>304.3</v>
      </c>
      <c r="U119">
        <v>317.2</v>
      </c>
      <c r="V119">
        <v>331.2</v>
      </c>
      <c r="W119">
        <v>343.6</v>
      </c>
      <c r="X119">
        <v>355.7</v>
      </c>
      <c r="Y119">
        <v>368</v>
      </c>
      <c r="Z119">
        <v>379.9</v>
      </c>
      <c r="AA119">
        <v>390.9</v>
      </c>
      <c r="AB119">
        <v>401.8</v>
      </c>
      <c r="AC119">
        <v>412.9</v>
      </c>
      <c r="AD119">
        <v>423.6</v>
      </c>
      <c r="AE119">
        <v>433.6</v>
      </c>
      <c r="AF119">
        <v>444.1</v>
      </c>
      <c r="AG119">
        <v>455.2</v>
      </c>
      <c r="AH119">
        <v>466.9</v>
      </c>
      <c r="AI119">
        <v>478.8</v>
      </c>
      <c r="AJ119">
        <v>491.2</v>
      </c>
      <c r="AK119">
        <v>504.7</v>
      </c>
      <c r="AL119">
        <v>519.1</v>
      </c>
      <c r="AM119">
        <v>534.1</v>
      </c>
      <c r="AN119">
        <v>549</v>
      </c>
      <c r="AO119">
        <v>564.4</v>
      </c>
      <c r="AP119">
        <v>580.6</v>
      </c>
    </row>
    <row r="120" spans="2:42" x14ac:dyDescent="0.25">
      <c r="B120" t="s">
        <v>159</v>
      </c>
      <c r="C120" s="13" t="s">
        <v>149</v>
      </c>
      <c r="D120">
        <v>17.8</v>
      </c>
      <c r="E120">
        <v>18.2</v>
      </c>
      <c r="F120">
        <v>18.600000000000001</v>
      </c>
      <c r="G120">
        <v>18.8</v>
      </c>
      <c r="H120">
        <v>19.100000000000001</v>
      </c>
      <c r="I120">
        <v>19.2</v>
      </c>
      <c r="J120">
        <v>19.600000000000001</v>
      </c>
      <c r="K120">
        <v>19.600000000000001</v>
      </c>
      <c r="L120">
        <v>18.2</v>
      </c>
      <c r="M120">
        <v>18.8</v>
      </c>
      <c r="N120">
        <v>19.3</v>
      </c>
      <c r="O120">
        <v>19.8</v>
      </c>
      <c r="P120">
        <v>20.399999999999999</v>
      </c>
      <c r="Q120">
        <v>21.1</v>
      </c>
      <c r="R120">
        <v>21.9</v>
      </c>
      <c r="S120">
        <v>22.8</v>
      </c>
      <c r="T120">
        <v>23.7</v>
      </c>
      <c r="U120">
        <v>24.7</v>
      </c>
      <c r="V120">
        <v>25.7</v>
      </c>
      <c r="W120">
        <v>26.7</v>
      </c>
      <c r="X120">
        <v>27.6</v>
      </c>
      <c r="Y120">
        <v>28.5</v>
      </c>
      <c r="Z120">
        <v>29.4</v>
      </c>
      <c r="AA120">
        <v>29.8</v>
      </c>
      <c r="AB120">
        <v>30.5</v>
      </c>
      <c r="AC120">
        <v>31.1</v>
      </c>
      <c r="AD120">
        <v>31.8</v>
      </c>
      <c r="AE120">
        <v>32.4</v>
      </c>
      <c r="AF120">
        <v>33</v>
      </c>
      <c r="AG120">
        <v>33.700000000000003</v>
      </c>
      <c r="AH120">
        <v>34.5</v>
      </c>
      <c r="AI120">
        <v>35.200000000000003</v>
      </c>
      <c r="AJ120">
        <v>36</v>
      </c>
      <c r="AK120">
        <v>36.9</v>
      </c>
      <c r="AL120">
        <v>37.700000000000003</v>
      </c>
      <c r="AM120">
        <v>38.700000000000003</v>
      </c>
      <c r="AN120">
        <v>39.6</v>
      </c>
      <c r="AO120">
        <v>40.5</v>
      </c>
      <c r="AP120">
        <v>41.6</v>
      </c>
    </row>
    <row r="121" spans="2:42" x14ac:dyDescent="0.25">
      <c r="B121" t="s">
        <v>160</v>
      </c>
      <c r="C121" s="13" t="s">
        <v>149</v>
      </c>
      <c r="D121">
        <v>66.400000000000006</v>
      </c>
      <c r="E121">
        <v>67.400000000000006</v>
      </c>
      <c r="F121">
        <v>64.3</v>
      </c>
      <c r="G121">
        <v>61.2</v>
      </c>
      <c r="H121">
        <v>61</v>
      </c>
      <c r="I121">
        <v>61.1</v>
      </c>
      <c r="J121">
        <v>60.5</v>
      </c>
      <c r="K121">
        <v>60.3</v>
      </c>
      <c r="L121">
        <v>58.6</v>
      </c>
      <c r="M121">
        <v>58.6</v>
      </c>
      <c r="N121">
        <v>58.4</v>
      </c>
      <c r="O121">
        <v>58.8</v>
      </c>
      <c r="P121">
        <v>59.3</v>
      </c>
      <c r="Q121">
        <v>59.9</v>
      </c>
      <c r="R121">
        <v>60</v>
      </c>
      <c r="S121">
        <v>59.9</v>
      </c>
      <c r="T121">
        <v>60.5</v>
      </c>
      <c r="U121">
        <v>60.7</v>
      </c>
      <c r="V121">
        <v>61.1</v>
      </c>
      <c r="W121">
        <v>60.5</v>
      </c>
      <c r="X121">
        <v>60.4</v>
      </c>
      <c r="Y121">
        <v>60</v>
      </c>
      <c r="Z121">
        <v>59.8</v>
      </c>
      <c r="AA121">
        <v>59.1</v>
      </c>
      <c r="AB121">
        <v>58.8</v>
      </c>
      <c r="AC121">
        <v>58.1</v>
      </c>
      <c r="AD121">
        <v>57.1</v>
      </c>
      <c r="AE121">
        <v>56.2</v>
      </c>
      <c r="AF121">
        <v>55.2</v>
      </c>
      <c r="AG121">
        <v>54.7</v>
      </c>
      <c r="AH121">
        <v>54.1</v>
      </c>
      <c r="AI121">
        <v>53.6</v>
      </c>
      <c r="AJ121">
        <v>53.1</v>
      </c>
      <c r="AK121">
        <v>52.6</v>
      </c>
      <c r="AL121">
        <v>52.2</v>
      </c>
      <c r="AM121">
        <v>51.8</v>
      </c>
      <c r="AN121">
        <v>51.5</v>
      </c>
      <c r="AO121">
        <v>51.1</v>
      </c>
      <c r="AP121">
        <v>50.7</v>
      </c>
    </row>
    <row r="122" spans="2:42" x14ac:dyDescent="0.25">
      <c r="B122" t="s">
        <v>161</v>
      </c>
      <c r="C122" s="13" t="s">
        <v>149</v>
      </c>
      <c r="D122">
        <v>11.3</v>
      </c>
      <c r="E122">
        <v>11.6</v>
      </c>
      <c r="F122">
        <v>12</v>
      </c>
      <c r="G122">
        <v>12.3</v>
      </c>
      <c r="H122">
        <v>12.3</v>
      </c>
      <c r="I122">
        <v>12.5</v>
      </c>
      <c r="J122">
        <v>12.8</v>
      </c>
      <c r="K122">
        <v>12.9</v>
      </c>
      <c r="L122">
        <v>12.2</v>
      </c>
      <c r="M122">
        <v>12.6</v>
      </c>
      <c r="N122">
        <v>12.9</v>
      </c>
      <c r="O122">
        <v>13.3</v>
      </c>
      <c r="P122">
        <v>13.6</v>
      </c>
      <c r="Q122">
        <v>14</v>
      </c>
      <c r="R122">
        <v>14.5</v>
      </c>
      <c r="S122">
        <v>15</v>
      </c>
      <c r="T122">
        <v>15.5</v>
      </c>
      <c r="U122">
        <v>16</v>
      </c>
      <c r="V122">
        <v>16.600000000000001</v>
      </c>
      <c r="W122">
        <v>17</v>
      </c>
      <c r="X122">
        <v>17.399999999999999</v>
      </c>
      <c r="Y122">
        <v>17.899999999999999</v>
      </c>
      <c r="Z122">
        <v>18.399999999999999</v>
      </c>
      <c r="AA122">
        <v>18.8</v>
      </c>
      <c r="AB122">
        <v>19.2</v>
      </c>
      <c r="AC122">
        <v>19.600000000000001</v>
      </c>
      <c r="AD122">
        <v>20</v>
      </c>
      <c r="AE122">
        <v>20.399999999999999</v>
      </c>
      <c r="AF122">
        <v>20.8</v>
      </c>
      <c r="AG122">
        <v>21.2</v>
      </c>
      <c r="AH122">
        <v>21.6</v>
      </c>
      <c r="AI122">
        <v>21.9</v>
      </c>
      <c r="AJ122">
        <v>22.3</v>
      </c>
      <c r="AK122">
        <v>22.8</v>
      </c>
      <c r="AL122">
        <v>23.2</v>
      </c>
      <c r="AM122">
        <v>23.7</v>
      </c>
      <c r="AN122">
        <v>24.2</v>
      </c>
      <c r="AO122">
        <v>24.7</v>
      </c>
      <c r="AP122">
        <v>25.2</v>
      </c>
    </row>
    <row r="123" spans="2:42" x14ac:dyDescent="0.25">
      <c r="B123" t="s">
        <v>162</v>
      </c>
      <c r="C123" s="13" t="s">
        <v>149</v>
      </c>
      <c r="D123">
        <v>136</v>
      </c>
      <c r="E123">
        <v>140.1</v>
      </c>
      <c r="F123">
        <v>143.30000000000001</v>
      </c>
      <c r="G123">
        <v>145</v>
      </c>
      <c r="H123">
        <v>145.80000000000001</v>
      </c>
      <c r="I123">
        <v>147.9</v>
      </c>
      <c r="J123">
        <v>149.69999999999999</v>
      </c>
      <c r="K123">
        <v>149.80000000000001</v>
      </c>
      <c r="L123">
        <v>139.1</v>
      </c>
      <c r="M123">
        <v>143.6</v>
      </c>
      <c r="N123">
        <v>147</v>
      </c>
      <c r="O123">
        <v>150.6</v>
      </c>
      <c r="P123">
        <v>154.5</v>
      </c>
      <c r="Q123">
        <v>160.1</v>
      </c>
      <c r="R123">
        <v>165.8</v>
      </c>
      <c r="S123">
        <v>172</v>
      </c>
      <c r="T123">
        <v>178.5</v>
      </c>
      <c r="U123">
        <v>185.8</v>
      </c>
      <c r="V123">
        <v>193.8</v>
      </c>
      <c r="W123">
        <v>199.8</v>
      </c>
      <c r="X123">
        <v>206.3</v>
      </c>
      <c r="Y123">
        <v>212.9</v>
      </c>
      <c r="Z123">
        <v>219.5</v>
      </c>
      <c r="AA123">
        <v>225.6</v>
      </c>
      <c r="AB123">
        <v>231.4</v>
      </c>
      <c r="AC123">
        <v>237.5</v>
      </c>
      <c r="AD123">
        <v>243.4</v>
      </c>
      <c r="AE123">
        <v>249</v>
      </c>
      <c r="AF123">
        <v>254.9</v>
      </c>
      <c r="AG123">
        <v>261.2</v>
      </c>
      <c r="AH123">
        <v>267.7</v>
      </c>
      <c r="AI123">
        <v>274.39999999999998</v>
      </c>
      <c r="AJ123">
        <v>281.39999999999998</v>
      </c>
      <c r="AK123">
        <v>289</v>
      </c>
      <c r="AL123">
        <v>297</v>
      </c>
      <c r="AM123">
        <v>305.39999999999998</v>
      </c>
      <c r="AN123">
        <v>313.8</v>
      </c>
      <c r="AO123">
        <v>322.5</v>
      </c>
      <c r="AP123">
        <v>331.7</v>
      </c>
    </row>
    <row r="124" spans="2:42" x14ac:dyDescent="0.25">
      <c r="B124" t="s">
        <v>163</v>
      </c>
      <c r="C124" s="13" t="s">
        <v>149</v>
      </c>
      <c r="D124">
        <v>21.2</v>
      </c>
      <c r="E124">
        <v>22.5</v>
      </c>
      <c r="F124">
        <v>24.2</v>
      </c>
      <c r="G124">
        <v>25.4</v>
      </c>
      <c r="H124">
        <v>26.1</v>
      </c>
      <c r="I124">
        <v>28</v>
      </c>
      <c r="J124">
        <v>30.1</v>
      </c>
      <c r="K124">
        <v>31.4</v>
      </c>
      <c r="L124">
        <v>30.2</v>
      </c>
      <c r="M124">
        <v>31.6</v>
      </c>
      <c r="N124">
        <v>33</v>
      </c>
      <c r="O124">
        <v>34.6</v>
      </c>
      <c r="P124">
        <v>36.4</v>
      </c>
      <c r="Q124">
        <v>38.9</v>
      </c>
      <c r="R124">
        <v>41.8</v>
      </c>
      <c r="S124">
        <v>45.1</v>
      </c>
      <c r="T124">
        <v>49</v>
      </c>
      <c r="U124">
        <v>53.7</v>
      </c>
      <c r="V124">
        <v>58.9</v>
      </c>
      <c r="W124">
        <v>64.3</v>
      </c>
      <c r="X124">
        <v>70.400000000000006</v>
      </c>
      <c r="Y124">
        <v>77.099999999999994</v>
      </c>
      <c r="Z124">
        <v>84.3</v>
      </c>
      <c r="AA124">
        <v>92.1</v>
      </c>
      <c r="AB124">
        <v>100.3</v>
      </c>
      <c r="AC124">
        <v>109.8</v>
      </c>
      <c r="AD124">
        <v>120</v>
      </c>
      <c r="AE124">
        <v>130.30000000000001</v>
      </c>
      <c r="AF124">
        <v>141.69999999999999</v>
      </c>
      <c r="AG124">
        <v>153.4</v>
      </c>
      <c r="AH124">
        <v>165.6</v>
      </c>
      <c r="AI124">
        <v>178.1</v>
      </c>
      <c r="AJ124">
        <v>191.3</v>
      </c>
      <c r="AK124">
        <v>205.4</v>
      </c>
      <c r="AL124">
        <v>220.1</v>
      </c>
      <c r="AM124">
        <v>235.5</v>
      </c>
      <c r="AN124">
        <v>251</v>
      </c>
      <c r="AO124">
        <v>267.2</v>
      </c>
      <c r="AP124">
        <v>284.5</v>
      </c>
    </row>
    <row r="125" spans="2:42" x14ac:dyDescent="0.25">
      <c r="B125" t="s">
        <v>164</v>
      </c>
      <c r="C125" s="13" t="s">
        <v>149</v>
      </c>
      <c r="D125">
        <v>1.1000000000000001</v>
      </c>
      <c r="E125">
        <v>1.2</v>
      </c>
      <c r="F125">
        <v>1.1000000000000001</v>
      </c>
      <c r="G125">
        <v>1.1000000000000001</v>
      </c>
      <c r="H125">
        <v>1.1000000000000001</v>
      </c>
      <c r="I125">
        <v>1.1000000000000001</v>
      </c>
      <c r="J125">
        <v>1.1000000000000001</v>
      </c>
      <c r="K125">
        <v>1.1000000000000001</v>
      </c>
      <c r="L125">
        <v>1</v>
      </c>
      <c r="M125">
        <v>1</v>
      </c>
      <c r="N125">
        <v>1</v>
      </c>
      <c r="O125">
        <v>1</v>
      </c>
      <c r="P125">
        <v>1.1000000000000001</v>
      </c>
      <c r="Q125">
        <v>1.1000000000000001</v>
      </c>
      <c r="R125">
        <v>1.1000000000000001</v>
      </c>
      <c r="S125">
        <v>1.2</v>
      </c>
      <c r="T125">
        <v>1.3</v>
      </c>
      <c r="U125">
        <v>1.3</v>
      </c>
      <c r="V125">
        <v>1.4</v>
      </c>
      <c r="W125">
        <v>1.5</v>
      </c>
      <c r="X125">
        <v>1.5</v>
      </c>
      <c r="Y125">
        <v>1.6</v>
      </c>
      <c r="Z125">
        <v>1.7</v>
      </c>
      <c r="AA125">
        <v>1.7</v>
      </c>
      <c r="AB125">
        <v>1.8</v>
      </c>
      <c r="AC125">
        <v>1.9</v>
      </c>
      <c r="AD125">
        <v>1.9</v>
      </c>
      <c r="AE125">
        <v>2</v>
      </c>
      <c r="AF125">
        <v>2.1</v>
      </c>
      <c r="AG125">
        <v>2.2000000000000002</v>
      </c>
      <c r="AH125">
        <v>2.2999999999999998</v>
      </c>
      <c r="AI125">
        <v>2.2999999999999998</v>
      </c>
      <c r="AJ125">
        <v>2.4</v>
      </c>
      <c r="AK125">
        <v>2.6</v>
      </c>
      <c r="AL125">
        <v>2.7</v>
      </c>
      <c r="AM125">
        <v>2.8</v>
      </c>
      <c r="AN125">
        <v>2.9</v>
      </c>
      <c r="AO125">
        <v>3</v>
      </c>
      <c r="AP125">
        <v>3.2</v>
      </c>
    </row>
    <row r="126" spans="2:42" x14ac:dyDescent="0.25">
      <c r="B126" t="s">
        <v>165</v>
      </c>
      <c r="C126" s="13" t="s">
        <v>149</v>
      </c>
      <c r="D126">
        <v>27.5</v>
      </c>
      <c r="E126">
        <v>26.9</v>
      </c>
      <c r="F126">
        <v>26.3</v>
      </c>
      <c r="G126">
        <v>25.6</v>
      </c>
      <c r="H126">
        <v>25.6</v>
      </c>
      <c r="I126">
        <v>25.6</v>
      </c>
      <c r="J126">
        <v>25.6</v>
      </c>
      <c r="K126">
        <v>25.6</v>
      </c>
      <c r="L126">
        <v>25.6</v>
      </c>
      <c r="M126">
        <v>25.5</v>
      </c>
      <c r="N126">
        <v>25.5</v>
      </c>
      <c r="O126">
        <v>25.5</v>
      </c>
      <c r="P126">
        <v>25.5</v>
      </c>
      <c r="Q126">
        <v>25.9</v>
      </c>
      <c r="R126">
        <v>26</v>
      </c>
      <c r="S126">
        <v>25.5</v>
      </c>
      <c r="T126">
        <v>25.2</v>
      </c>
      <c r="U126">
        <v>24.8</v>
      </c>
      <c r="V126">
        <v>24.7</v>
      </c>
      <c r="W126">
        <v>20.7</v>
      </c>
      <c r="X126">
        <v>18.8</v>
      </c>
      <c r="Y126">
        <v>16.8</v>
      </c>
      <c r="Z126">
        <v>14.8</v>
      </c>
      <c r="AA126">
        <v>13.3</v>
      </c>
      <c r="AB126">
        <v>11.2</v>
      </c>
      <c r="AC126">
        <v>8.1999999999999993</v>
      </c>
      <c r="AD126">
        <v>7.4</v>
      </c>
      <c r="AE126">
        <v>6.5</v>
      </c>
      <c r="AF126">
        <v>5.6</v>
      </c>
      <c r="AG126">
        <v>5.6</v>
      </c>
      <c r="AH126">
        <v>5.6</v>
      </c>
      <c r="AI126">
        <v>5.6</v>
      </c>
      <c r="AJ126">
        <v>5.5</v>
      </c>
      <c r="AK126">
        <v>5.5</v>
      </c>
      <c r="AL126">
        <v>5.5</v>
      </c>
      <c r="AM126">
        <v>5.5</v>
      </c>
      <c r="AN126">
        <v>5.5</v>
      </c>
      <c r="AO126">
        <v>5.5</v>
      </c>
      <c r="AP126">
        <v>5.5</v>
      </c>
    </row>
    <row r="127" spans="2:42" x14ac:dyDescent="0.25">
      <c r="B127" t="s">
        <v>166</v>
      </c>
      <c r="C127" s="13" t="s">
        <v>149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0.2</v>
      </c>
      <c r="P127">
        <v>0.5</v>
      </c>
      <c r="Q127">
        <v>0.8</v>
      </c>
      <c r="R127">
        <v>1.1000000000000001</v>
      </c>
      <c r="S127">
        <v>1.5</v>
      </c>
      <c r="T127">
        <v>1.9</v>
      </c>
      <c r="U127">
        <v>2.4</v>
      </c>
      <c r="V127">
        <v>2.9</v>
      </c>
      <c r="W127">
        <v>3.5</v>
      </c>
      <c r="X127">
        <v>4</v>
      </c>
      <c r="Y127">
        <v>4.5</v>
      </c>
      <c r="Z127">
        <v>5</v>
      </c>
      <c r="AA127">
        <v>5.6</v>
      </c>
      <c r="AB127">
        <v>6.1</v>
      </c>
      <c r="AC127">
        <v>6.7</v>
      </c>
      <c r="AD127">
        <v>7.3</v>
      </c>
      <c r="AE127">
        <v>7.8</v>
      </c>
      <c r="AF127">
        <v>8.4</v>
      </c>
      <c r="AG127">
        <v>8.6999999999999993</v>
      </c>
      <c r="AH127">
        <v>9</v>
      </c>
      <c r="AI127">
        <v>9.4</v>
      </c>
      <c r="AJ127">
        <v>9.6999999999999993</v>
      </c>
      <c r="AK127">
        <v>10</v>
      </c>
      <c r="AL127">
        <v>10.1</v>
      </c>
      <c r="AM127">
        <v>10.3</v>
      </c>
      <c r="AN127">
        <v>10.4</v>
      </c>
      <c r="AO127">
        <v>10.5</v>
      </c>
      <c r="AP127">
        <v>10.6</v>
      </c>
    </row>
    <row r="128" spans="2:42" x14ac:dyDescent="0.25">
      <c r="C128" s="13"/>
    </row>
    <row r="129" spans="2:42" x14ac:dyDescent="0.25">
      <c r="C129" s="13"/>
    </row>
    <row r="130" spans="2:42" x14ac:dyDescent="0.25">
      <c r="D130" s="23"/>
    </row>
    <row r="131" spans="2:42" x14ac:dyDescent="0.25">
      <c r="D131" s="23">
        <v>2012</v>
      </c>
      <c r="E131">
        <v>2013</v>
      </c>
      <c r="F131">
        <v>2014</v>
      </c>
      <c r="G131">
        <v>2015</v>
      </c>
      <c r="H131">
        <v>2016</v>
      </c>
      <c r="I131">
        <v>2017</v>
      </c>
      <c r="J131">
        <v>2018</v>
      </c>
      <c r="K131">
        <v>2019</v>
      </c>
      <c r="L131">
        <v>2020</v>
      </c>
      <c r="M131">
        <v>2021</v>
      </c>
      <c r="N131">
        <v>2022</v>
      </c>
      <c r="O131">
        <v>2023</v>
      </c>
      <c r="P131">
        <v>2024</v>
      </c>
      <c r="Q131">
        <v>2025</v>
      </c>
      <c r="R131">
        <v>2026</v>
      </c>
      <c r="S131">
        <v>2027</v>
      </c>
      <c r="T131">
        <v>2028</v>
      </c>
      <c r="U131">
        <v>2029</v>
      </c>
      <c r="V131">
        <v>2030</v>
      </c>
      <c r="W131">
        <v>2031</v>
      </c>
      <c r="X131">
        <v>2032</v>
      </c>
      <c r="Y131">
        <v>2033</v>
      </c>
      <c r="Z131">
        <v>2034</v>
      </c>
      <c r="AA131">
        <v>2035</v>
      </c>
      <c r="AB131">
        <v>2036</v>
      </c>
      <c r="AC131">
        <v>2037</v>
      </c>
      <c r="AD131">
        <v>2038</v>
      </c>
      <c r="AE131">
        <v>2039</v>
      </c>
      <c r="AF131">
        <v>2040</v>
      </c>
      <c r="AG131">
        <v>2041</v>
      </c>
      <c r="AH131">
        <v>2042</v>
      </c>
      <c r="AI131">
        <v>2043</v>
      </c>
      <c r="AJ131">
        <v>2044</v>
      </c>
      <c r="AK131">
        <v>2045</v>
      </c>
      <c r="AL131">
        <v>2046</v>
      </c>
      <c r="AM131">
        <v>2047</v>
      </c>
      <c r="AN131">
        <v>2048</v>
      </c>
      <c r="AO131">
        <v>2049</v>
      </c>
      <c r="AP131">
        <v>2050</v>
      </c>
    </row>
    <row r="132" spans="2:42" x14ac:dyDescent="0.25">
      <c r="B132" t="s">
        <v>54</v>
      </c>
      <c r="C132" s="13" t="s">
        <v>149</v>
      </c>
      <c r="D132" s="23">
        <v>26162.7</v>
      </c>
      <c r="E132">
        <v>26265.200000000001</v>
      </c>
      <c r="F132">
        <v>26129.8</v>
      </c>
      <c r="G132">
        <v>26180.799999999999</v>
      </c>
      <c r="H132">
        <v>26526</v>
      </c>
      <c r="I132">
        <v>26734.7</v>
      </c>
      <c r="J132">
        <v>26935.7</v>
      </c>
      <c r="K132">
        <v>27444</v>
      </c>
      <c r="L132">
        <v>28851</v>
      </c>
      <c r="M132">
        <v>30015.7</v>
      </c>
      <c r="N132">
        <v>29918.5</v>
      </c>
      <c r="O132">
        <v>29904.2</v>
      </c>
      <c r="P132">
        <v>29821.8</v>
      </c>
      <c r="Q132">
        <v>29502</v>
      </c>
      <c r="R132">
        <v>28976.400000000001</v>
      </c>
      <c r="S132">
        <v>28420.1</v>
      </c>
      <c r="T132">
        <v>27812.6</v>
      </c>
      <c r="U132">
        <v>27170.5</v>
      </c>
      <c r="V132">
        <v>26488.6</v>
      </c>
      <c r="W132">
        <v>25902.9</v>
      </c>
      <c r="X132">
        <v>25400.7</v>
      </c>
      <c r="Y132">
        <v>24922.1</v>
      </c>
      <c r="Z132">
        <v>24497</v>
      </c>
      <c r="AA132">
        <v>24158.6</v>
      </c>
      <c r="AB132">
        <v>23830.1</v>
      </c>
      <c r="AC132">
        <v>23497.5</v>
      </c>
      <c r="AD132">
        <v>23132.400000000001</v>
      </c>
      <c r="AE132">
        <v>22817.4</v>
      </c>
      <c r="AF132">
        <v>22513.1</v>
      </c>
      <c r="AG132">
        <v>22145.9</v>
      </c>
      <c r="AH132">
        <v>21774</v>
      </c>
      <c r="AI132">
        <v>21401.4</v>
      </c>
      <c r="AJ132">
        <v>21026.7</v>
      </c>
      <c r="AK132">
        <v>20630.2</v>
      </c>
      <c r="AL132">
        <v>20185.2</v>
      </c>
      <c r="AM132">
        <v>19733.599999999999</v>
      </c>
      <c r="AN132">
        <v>19302.900000000001</v>
      </c>
      <c r="AO132">
        <v>18886</v>
      </c>
      <c r="AP132">
        <v>18462.099999999999</v>
      </c>
    </row>
    <row r="133" spans="2:42" x14ac:dyDescent="0.25">
      <c r="B133" t="s">
        <v>55</v>
      </c>
      <c r="C133" s="13" t="s">
        <v>149</v>
      </c>
      <c r="D133" s="23">
        <v>15697.6</v>
      </c>
      <c r="E133">
        <v>15693.6</v>
      </c>
      <c r="F133">
        <v>16153.6</v>
      </c>
      <c r="G133">
        <v>16585.7</v>
      </c>
      <c r="H133">
        <v>16991.099999999999</v>
      </c>
      <c r="I133">
        <v>17258.8</v>
      </c>
      <c r="J133">
        <v>17693.900000000001</v>
      </c>
      <c r="K133">
        <v>18125.2</v>
      </c>
      <c r="L133">
        <v>18596</v>
      </c>
      <c r="M133">
        <v>17977.599999999999</v>
      </c>
      <c r="N133">
        <v>18561</v>
      </c>
      <c r="O133">
        <v>18880</v>
      </c>
      <c r="P133">
        <v>19202.5</v>
      </c>
      <c r="Q133">
        <v>19489.3</v>
      </c>
      <c r="R133">
        <v>19873.400000000001</v>
      </c>
      <c r="S133">
        <v>20261.900000000001</v>
      </c>
      <c r="T133">
        <v>20654.3</v>
      </c>
      <c r="U133">
        <v>21069.1</v>
      </c>
      <c r="V133">
        <v>21472</v>
      </c>
      <c r="W133">
        <v>21929.7</v>
      </c>
      <c r="X133">
        <v>22296.9</v>
      </c>
      <c r="Y133">
        <v>22662.3</v>
      </c>
      <c r="Z133">
        <v>23028.9</v>
      </c>
      <c r="AA133">
        <v>23387.7</v>
      </c>
      <c r="AB133">
        <v>23667</v>
      </c>
      <c r="AC133">
        <v>23957.9</v>
      </c>
      <c r="AD133">
        <v>24264.799999999999</v>
      </c>
      <c r="AE133">
        <v>24577.3</v>
      </c>
      <c r="AF133">
        <v>24860.3</v>
      </c>
      <c r="AG133">
        <v>25125.3</v>
      </c>
      <c r="AH133">
        <v>25389.1</v>
      </c>
      <c r="AI133">
        <v>25657</v>
      </c>
      <c r="AJ133">
        <v>25921.599999999999</v>
      </c>
      <c r="AK133">
        <v>26180</v>
      </c>
      <c r="AL133">
        <v>26416.799999999999</v>
      </c>
      <c r="AM133">
        <v>26657.5</v>
      </c>
      <c r="AN133">
        <v>26910.7</v>
      </c>
      <c r="AO133">
        <v>27147</v>
      </c>
      <c r="AP133">
        <v>27382.7</v>
      </c>
    </row>
    <row r="134" spans="2:42" x14ac:dyDescent="0.25">
      <c r="B134" t="s">
        <v>56</v>
      </c>
      <c r="C134" s="13" t="s">
        <v>149</v>
      </c>
      <c r="D134" s="23">
        <v>10465.1</v>
      </c>
      <c r="E134">
        <v>11145.6</v>
      </c>
      <c r="F134">
        <v>11628.9</v>
      </c>
      <c r="G134">
        <v>11983.9</v>
      </c>
      <c r="H134">
        <v>12102.8</v>
      </c>
      <c r="I134">
        <v>12528.5</v>
      </c>
      <c r="J134">
        <v>12806.4</v>
      </c>
      <c r="K134">
        <v>12795.6</v>
      </c>
      <c r="L134">
        <v>11861.7</v>
      </c>
      <c r="M134">
        <v>11998.3</v>
      </c>
      <c r="N134">
        <v>12202.8</v>
      </c>
      <c r="O134">
        <v>12596.9</v>
      </c>
      <c r="P134">
        <v>13063.5</v>
      </c>
      <c r="Q134">
        <v>13811.4</v>
      </c>
      <c r="R134">
        <v>14571.2</v>
      </c>
      <c r="S134">
        <v>15363.6</v>
      </c>
      <c r="T134">
        <v>16209.2</v>
      </c>
      <c r="U134">
        <v>17073.3</v>
      </c>
      <c r="V134">
        <v>17995.400000000001</v>
      </c>
      <c r="W134">
        <v>18686.400000000001</v>
      </c>
      <c r="X134">
        <v>19389.099999999999</v>
      </c>
      <c r="Y134">
        <v>20074.8</v>
      </c>
      <c r="Z134">
        <v>20710.8</v>
      </c>
      <c r="AA134">
        <v>21272.799999999999</v>
      </c>
      <c r="AB134">
        <v>21825.7</v>
      </c>
      <c r="AC134">
        <v>22374.9</v>
      </c>
      <c r="AD134">
        <v>22944.400000000001</v>
      </c>
      <c r="AE134">
        <v>23461.9</v>
      </c>
      <c r="AF134">
        <v>24001.9</v>
      </c>
      <c r="AG134">
        <v>24547.4</v>
      </c>
      <c r="AH134">
        <v>25101.599999999999</v>
      </c>
      <c r="AI134">
        <v>25655.1</v>
      </c>
      <c r="AJ134">
        <v>26216.799999999999</v>
      </c>
      <c r="AK134">
        <v>26809.4</v>
      </c>
      <c r="AL134">
        <v>27393.4</v>
      </c>
      <c r="AM134">
        <v>27981.9</v>
      </c>
      <c r="AN134">
        <v>28539.200000000001</v>
      </c>
      <c r="AO134">
        <v>29101.4</v>
      </c>
      <c r="AP134">
        <v>29673.1</v>
      </c>
    </row>
    <row r="135" spans="2:42" x14ac:dyDescent="0.25">
      <c r="C135" s="13"/>
      <c r="D135" s="23"/>
    </row>
    <row r="136" spans="2:42" x14ac:dyDescent="0.25">
      <c r="C136" s="13"/>
      <c r="D136" s="23"/>
    </row>
    <row r="137" spans="2:42" x14ac:dyDescent="0.25">
      <c r="C137" s="13"/>
      <c r="D137" s="23"/>
    </row>
    <row r="138" spans="2:42" x14ac:dyDescent="0.25">
      <c r="C138" s="13"/>
      <c r="D138" s="23"/>
    </row>
    <row r="139" spans="2:42" x14ac:dyDescent="0.25">
      <c r="C139" s="13"/>
      <c r="D139" s="23"/>
    </row>
    <row r="140" spans="2:42" x14ac:dyDescent="0.25">
      <c r="C140" s="13"/>
      <c r="D140" s="23"/>
    </row>
    <row r="141" spans="2:42" x14ac:dyDescent="0.25">
      <c r="C141" s="13"/>
      <c r="D141" s="23"/>
    </row>
    <row r="142" spans="2:42" x14ac:dyDescent="0.25">
      <c r="C142" s="13"/>
      <c r="D142" s="23"/>
    </row>
    <row r="143" spans="2:42" x14ac:dyDescent="0.25">
      <c r="C143" s="13"/>
      <c r="D143" s="23"/>
    </row>
    <row r="144" spans="2:42" x14ac:dyDescent="0.25">
      <c r="C144" s="13"/>
      <c r="D144" s="23"/>
    </row>
    <row r="145" spans="3:4" x14ac:dyDescent="0.25">
      <c r="C145" s="13"/>
      <c r="D145" s="23"/>
    </row>
    <row r="146" spans="3:4" x14ac:dyDescent="0.25">
      <c r="C146" s="13"/>
      <c r="D146" s="23"/>
    </row>
    <row r="147" spans="3:4" x14ac:dyDescent="0.25">
      <c r="C147" s="13"/>
      <c r="D147" s="23"/>
    </row>
    <row r="148" spans="3:4" x14ac:dyDescent="0.25">
      <c r="C148" s="13"/>
      <c r="D148" s="23"/>
    </row>
    <row r="149" spans="3:4" x14ac:dyDescent="0.25">
      <c r="C149" s="13"/>
      <c r="D149" s="23"/>
    </row>
    <row r="150" spans="3:4" x14ac:dyDescent="0.25">
      <c r="C150" s="13"/>
      <c r="D150" s="23"/>
    </row>
    <row r="151" spans="3:4" x14ac:dyDescent="0.25">
      <c r="C151" s="13"/>
      <c r="D151" s="23"/>
    </row>
    <row r="152" spans="3:4" x14ac:dyDescent="0.25">
      <c r="C152" s="13"/>
      <c r="D152" s="23"/>
    </row>
    <row r="153" spans="3:4" x14ac:dyDescent="0.25">
      <c r="C153" s="13"/>
      <c r="D153" s="23"/>
    </row>
    <row r="154" spans="3:4" x14ac:dyDescent="0.25">
      <c r="C154" s="13"/>
      <c r="D154" s="23"/>
    </row>
    <row r="155" spans="3:4" x14ac:dyDescent="0.25">
      <c r="C155" s="13"/>
      <c r="D155" s="23"/>
    </row>
    <row r="156" spans="3:4" x14ac:dyDescent="0.25">
      <c r="C156" s="13"/>
      <c r="D156" s="23"/>
    </row>
    <row r="157" spans="3:4" x14ac:dyDescent="0.25">
      <c r="C157" s="13"/>
      <c r="D157" s="23"/>
    </row>
    <row r="158" spans="3:4" x14ac:dyDescent="0.25">
      <c r="C158" s="13"/>
      <c r="D158" s="23"/>
    </row>
    <row r="159" spans="3:4" x14ac:dyDescent="0.25">
      <c r="C159" s="13"/>
      <c r="D159" s="23"/>
    </row>
    <row r="160" spans="3:4" x14ac:dyDescent="0.25">
      <c r="C160" s="13"/>
      <c r="D160" s="23"/>
    </row>
    <row r="161" spans="3:4" x14ac:dyDescent="0.25">
      <c r="C161" s="13"/>
      <c r="D161" s="23"/>
    </row>
    <row r="162" spans="3:4" x14ac:dyDescent="0.25">
      <c r="C162" s="13"/>
      <c r="D162" s="23"/>
    </row>
    <row r="163" spans="3:4" x14ac:dyDescent="0.25">
      <c r="C163" s="13"/>
      <c r="D163" s="23"/>
    </row>
    <row r="164" spans="3:4" x14ac:dyDescent="0.25">
      <c r="C164" s="13"/>
      <c r="D164" s="23"/>
    </row>
    <row r="165" spans="3:4" x14ac:dyDescent="0.25">
      <c r="C165" s="13"/>
      <c r="D165" s="23"/>
    </row>
    <row r="166" spans="3:4" x14ac:dyDescent="0.25">
      <c r="C166" s="13"/>
      <c r="D166" s="23"/>
    </row>
    <row r="167" spans="3:4" x14ac:dyDescent="0.25">
      <c r="C167" s="13"/>
      <c r="D167" s="23"/>
    </row>
    <row r="168" spans="3:4" x14ac:dyDescent="0.25">
      <c r="C168" s="13"/>
      <c r="D168" s="23"/>
    </row>
    <row r="169" spans="3:4" x14ac:dyDescent="0.25">
      <c r="C169" s="13"/>
      <c r="D169" s="23"/>
    </row>
    <row r="170" spans="3:4" x14ac:dyDescent="0.25">
      <c r="C170" s="13"/>
      <c r="D170" s="23"/>
    </row>
    <row r="171" spans="3:4" x14ac:dyDescent="0.25">
      <c r="C171" s="13"/>
      <c r="D171" s="23"/>
    </row>
    <row r="172" spans="3:4" x14ac:dyDescent="0.25">
      <c r="C172" s="13"/>
      <c r="D172" s="23"/>
    </row>
    <row r="173" spans="3:4" x14ac:dyDescent="0.25">
      <c r="C173" s="13"/>
      <c r="D173" s="23"/>
    </row>
    <row r="174" spans="3:4" x14ac:dyDescent="0.25">
      <c r="C174" s="13"/>
      <c r="D174" s="23"/>
    </row>
    <row r="175" spans="3:4" x14ac:dyDescent="0.25">
      <c r="C175" s="13"/>
      <c r="D175" s="23"/>
    </row>
    <row r="176" spans="3:4" x14ac:dyDescent="0.25">
      <c r="C176" s="13"/>
      <c r="D176" s="23"/>
    </row>
    <row r="177" spans="3:4" x14ac:dyDescent="0.25">
      <c r="C177" s="13"/>
      <c r="D177" s="23"/>
    </row>
    <row r="178" spans="3:4" x14ac:dyDescent="0.25">
      <c r="C178" s="13"/>
      <c r="D178" s="23"/>
    </row>
    <row r="179" spans="3:4" x14ac:dyDescent="0.25">
      <c r="C179" s="13"/>
      <c r="D179" s="23"/>
    </row>
    <row r="180" spans="3:4" x14ac:dyDescent="0.25">
      <c r="C180" s="13"/>
      <c r="D180" s="23"/>
    </row>
    <row r="181" spans="3:4" x14ac:dyDescent="0.25">
      <c r="C181" s="13"/>
      <c r="D181" s="23"/>
    </row>
    <row r="182" spans="3:4" x14ac:dyDescent="0.25">
      <c r="C182" s="13"/>
      <c r="D182" s="23"/>
    </row>
    <row r="183" spans="3:4" x14ac:dyDescent="0.25">
      <c r="C183" s="13"/>
      <c r="D183" s="23"/>
    </row>
    <row r="184" spans="3:4" x14ac:dyDescent="0.25">
      <c r="C184" s="13"/>
      <c r="D184" s="23"/>
    </row>
    <row r="185" spans="3:4" x14ac:dyDescent="0.25">
      <c r="C185" s="13"/>
      <c r="D185" s="23"/>
    </row>
    <row r="186" spans="3:4" x14ac:dyDescent="0.25">
      <c r="C186" s="13"/>
      <c r="D186" s="23"/>
    </row>
    <row r="187" spans="3:4" x14ac:dyDescent="0.25">
      <c r="C187" s="13"/>
      <c r="D187" s="23"/>
    </row>
    <row r="188" spans="3:4" x14ac:dyDescent="0.25">
      <c r="C188" s="13"/>
      <c r="D188" s="23"/>
    </row>
    <row r="189" spans="3:4" x14ac:dyDescent="0.25">
      <c r="C189" s="13"/>
      <c r="D189" s="23"/>
    </row>
    <row r="190" spans="3:4" x14ac:dyDescent="0.25">
      <c r="C190" s="13"/>
      <c r="D190" s="23"/>
    </row>
    <row r="191" spans="3:4" x14ac:dyDescent="0.25">
      <c r="C191" s="13"/>
      <c r="D191" s="23"/>
    </row>
    <row r="192" spans="3:4" x14ac:dyDescent="0.25">
      <c r="C192" s="13"/>
      <c r="D192" s="23"/>
    </row>
    <row r="193" spans="3:4" x14ac:dyDescent="0.25">
      <c r="C193" s="13"/>
      <c r="D193" s="23"/>
    </row>
    <row r="194" spans="3:4" x14ac:dyDescent="0.25">
      <c r="C194" s="13"/>
      <c r="D194" s="23"/>
    </row>
    <row r="195" spans="3:4" x14ac:dyDescent="0.25">
      <c r="C195" s="13"/>
      <c r="D195" s="23"/>
    </row>
    <row r="196" spans="3:4" x14ac:dyDescent="0.25">
      <c r="C196" s="13"/>
      <c r="D196" s="23"/>
    </row>
    <row r="197" spans="3:4" x14ac:dyDescent="0.25">
      <c r="C197" s="13"/>
      <c r="D197" s="23"/>
    </row>
    <row r="198" spans="3:4" x14ac:dyDescent="0.25">
      <c r="C198" s="13"/>
      <c r="D198" s="23"/>
    </row>
    <row r="199" spans="3:4" x14ac:dyDescent="0.25">
      <c r="C199" s="13"/>
      <c r="D199" s="23"/>
    </row>
    <row r="202" spans="3:4" x14ac:dyDescent="0.25">
      <c r="C202" s="13"/>
    </row>
    <row r="203" spans="3:4" x14ac:dyDescent="0.25">
      <c r="C203" s="13"/>
    </row>
    <row r="204" spans="3:4" x14ac:dyDescent="0.25">
      <c r="C204" s="13"/>
    </row>
    <row r="205" spans="3:4" x14ac:dyDescent="0.25">
      <c r="C205" s="13"/>
    </row>
    <row r="206" spans="3:4" x14ac:dyDescent="0.25">
      <c r="C206" s="13"/>
    </row>
    <row r="207" spans="3:4" x14ac:dyDescent="0.25">
      <c r="C207" s="13"/>
    </row>
    <row r="208" spans="3:4" x14ac:dyDescent="0.25">
      <c r="C208" s="13"/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</row>
    <row r="228" spans="3:4" x14ac:dyDescent="0.25">
      <c r="C228" s="13"/>
    </row>
    <row r="229" spans="3:4" x14ac:dyDescent="0.25">
      <c r="C229" s="13"/>
    </row>
    <row r="230" spans="3:4" x14ac:dyDescent="0.25">
      <c r="C230" s="13"/>
    </row>
    <row r="231" spans="3:4" x14ac:dyDescent="0.25">
      <c r="C231" s="13"/>
    </row>
    <row r="232" spans="3:4" x14ac:dyDescent="0.25">
      <c r="C232" s="13"/>
    </row>
    <row r="233" spans="3:4" x14ac:dyDescent="0.25">
      <c r="C233" s="13"/>
    </row>
    <row r="234" spans="3:4" x14ac:dyDescent="0.25">
      <c r="C234" s="13"/>
    </row>
    <row r="235" spans="3:4" x14ac:dyDescent="0.25">
      <c r="C235" s="13"/>
    </row>
    <row r="236" spans="3:4" x14ac:dyDescent="0.25">
      <c r="C236" s="13"/>
    </row>
    <row r="237" spans="3:4" x14ac:dyDescent="0.25">
      <c r="C237" s="1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59" spans="3:4" x14ac:dyDescent="0.25">
      <c r="C259" s="13"/>
      <c r="D259" s="23"/>
    </row>
    <row r="260" spans="3:4" x14ac:dyDescent="0.25">
      <c r="C260" s="13"/>
      <c r="D260" s="23"/>
    </row>
    <row r="261" spans="3:4" x14ac:dyDescent="0.25">
      <c r="C261" s="13"/>
      <c r="D261" s="23"/>
    </row>
    <row r="262" spans="3:4" x14ac:dyDescent="0.25">
      <c r="C262" s="13"/>
      <c r="D262" s="23"/>
    </row>
    <row r="263" spans="3:4" x14ac:dyDescent="0.25">
      <c r="C263" s="13"/>
      <c r="D263" s="23"/>
    </row>
    <row r="264" spans="3:4" x14ac:dyDescent="0.25">
      <c r="C264" s="13"/>
      <c r="D264" s="23"/>
    </row>
    <row r="265" spans="3:4" x14ac:dyDescent="0.25">
      <c r="C265" s="13"/>
      <c r="D265" s="23"/>
    </row>
    <row r="266" spans="3:4" x14ac:dyDescent="0.25">
      <c r="C266" s="13"/>
      <c r="D266" s="23"/>
    </row>
    <row r="267" spans="3:4" x14ac:dyDescent="0.25">
      <c r="C267" s="13"/>
      <c r="D267" s="23"/>
    </row>
    <row r="268" spans="3:4" x14ac:dyDescent="0.25">
      <c r="C268" s="13"/>
      <c r="D268" s="23"/>
    </row>
    <row r="269" spans="3:4" x14ac:dyDescent="0.25">
      <c r="C269" s="13"/>
      <c r="D269" s="2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  <row r="329" spans="3:3" x14ac:dyDescent="0.25">
      <c r="C329" s="13"/>
    </row>
    <row r="330" spans="3:3" x14ac:dyDescent="0.25">
      <c r="C330" s="13"/>
    </row>
    <row r="331" spans="3:3" x14ac:dyDescent="0.25">
      <c r="C331" s="13"/>
    </row>
    <row r="332" spans="3:3" x14ac:dyDescent="0.25">
      <c r="C332" s="13"/>
    </row>
    <row r="333" spans="3:3" x14ac:dyDescent="0.25">
      <c r="C333" s="13"/>
    </row>
    <row r="334" spans="3:3" x14ac:dyDescent="0.25">
      <c r="C334" s="13"/>
    </row>
    <row r="335" spans="3:3" x14ac:dyDescent="0.25">
      <c r="C335" s="13"/>
    </row>
    <row r="336" spans="3:3" x14ac:dyDescent="0.25">
      <c r="C336" s="13"/>
    </row>
    <row r="337" spans="3:3" x14ac:dyDescent="0.25">
      <c r="C337" s="13"/>
    </row>
    <row r="338" spans="3:3" x14ac:dyDescent="0.25">
      <c r="C338" s="13"/>
    </row>
    <row r="339" spans="3:3" x14ac:dyDescent="0.25">
      <c r="C339" s="13"/>
    </row>
  </sheetData>
  <dataValidations count="1">
    <dataValidation type="list" allowBlank="1" showInputMessage="1" showErrorMessage="1" sqref="B1" xr:uid="{AA6C6089-C103-4025-8C61-D634C2ECA374}">
      <formula1>$AQ$3:$AQ$4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2020-09-23T15:21:55Z</dcterms:modified>
</cp:coreProperties>
</file>