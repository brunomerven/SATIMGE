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2C17F618-0D53-45FD-8AF6-18002A9CE4C2}" xr6:coauthVersionLast="47" xr6:coauthVersionMax="47" xr10:uidLastSave="{00000000-0000-0000-0000-000000000000}"/>
  <bookViews>
    <workbookView xWindow="-1080" yWindow="-17235" windowWidth="28800" windowHeight="14745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19" i="6" l="1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B61" i="2"/>
  <c r="B62" i="2"/>
  <c r="B60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B166" i="2"/>
  <c r="B165" i="2"/>
  <c r="B164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C41" i="2"/>
  <c r="C7" i="2" s="1"/>
  <c r="D41" i="2"/>
  <c r="D7" i="2" s="1"/>
  <c r="E41" i="2"/>
  <c r="E7" i="2" s="1"/>
  <c r="F41" i="2"/>
  <c r="F7" i="2" s="1"/>
  <c r="G41" i="2"/>
  <c r="G7" i="2" s="1"/>
  <c r="H41" i="2"/>
  <c r="H7" i="2" s="1"/>
  <c r="I41" i="2"/>
  <c r="I7" i="2" s="1"/>
  <c r="J41" i="2"/>
  <c r="J7" i="2" s="1"/>
  <c r="K41" i="2"/>
  <c r="K7" i="2" s="1"/>
  <c r="L41" i="2"/>
  <c r="L7" i="2" s="1"/>
  <c r="M41" i="2"/>
  <c r="M7" i="2" s="1"/>
  <c r="N41" i="2"/>
  <c r="N7" i="2" s="1"/>
  <c r="O41" i="2"/>
  <c r="O7" i="2" s="1"/>
  <c r="P41" i="2"/>
  <c r="P7" i="2" s="1"/>
  <c r="Q41" i="2"/>
  <c r="Q7" i="2" s="1"/>
  <c r="R41" i="2"/>
  <c r="R7" i="2" s="1"/>
  <c r="S41" i="2"/>
  <c r="S7" i="2" s="1"/>
  <c r="T41" i="2"/>
  <c r="T7" i="2" s="1"/>
  <c r="U41" i="2"/>
  <c r="U7" i="2" s="1"/>
  <c r="V41" i="2"/>
  <c r="V7" i="2" s="1"/>
  <c r="W41" i="2"/>
  <c r="W7" i="2" s="1"/>
  <c r="X41" i="2"/>
  <c r="X7" i="2" s="1"/>
  <c r="Y41" i="2"/>
  <c r="Y7" i="2" s="1"/>
  <c r="Z41" i="2"/>
  <c r="Z7" i="2" s="1"/>
  <c r="AA41" i="2"/>
  <c r="AA7" i="2" s="1"/>
  <c r="AB41" i="2"/>
  <c r="AB7" i="2" s="1"/>
  <c r="AC41" i="2"/>
  <c r="AC7" i="2" s="1"/>
  <c r="AD41" i="2"/>
  <c r="AD7" i="2" s="1"/>
  <c r="AE41" i="2"/>
  <c r="AE7" i="2" s="1"/>
  <c r="AF41" i="2"/>
  <c r="AF7" i="2" s="1"/>
  <c r="AG41" i="2"/>
  <c r="AG7" i="2" s="1"/>
  <c r="AH41" i="2"/>
  <c r="AH7" i="2" s="1"/>
  <c r="AI41" i="2"/>
  <c r="AI7" i="2" s="1"/>
  <c r="AJ41" i="2"/>
  <c r="AJ7" i="2" s="1"/>
  <c r="AK41" i="2"/>
  <c r="AK7" i="2" s="1"/>
  <c r="AL41" i="2"/>
  <c r="AL7" i="2" s="1"/>
  <c r="AM41" i="2"/>
  <c r="AM7" i="2" s="1"/>
  <c r="AN41" i="2"/>
  <c r="AN7" i="2" s="1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B39" i="2"/>
  <c r="B40" i="2"/>
  <c r="B41" i="2"/>
  <c r="B7" i="2" s="1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38" i="2"/>
  <c r="A145" i="2"/>
  <c r="AM145" i="2" s="1" a="1"/>
  <c r="AM145" i="2" s="1"/>
  <c r="A143" i="2"/>
  <c r="X143" i="2" s="1" a="1"/>
  <c r="X143" i="2" s="1"/>
  <c r="A144" i="2"/>
  <c r="E144" i="2" s="1" a="1"/>
  <c r="E144" i="2" s="1"/>
  <c r="A146" i="2"/>
  <c r="P146" i="2" s="1" a="1"/>
  <c r="P146" i="2" s="1"/>
  <c r="A147" i="2"/>
  <c r="G147" i="2" s="1" a="1"/>
  <c r="G147" i="2" s="1"/>
  <c r="A148" i="2"/>
  <c r="H148" i="2" s="1" a="1"/>
  <c r="H148" i="2" s="1"/>
  <c r="A149" i="2"/>
  <c r="L149" i="2" s="1" a="1"/>
  <c r="L149" i="2" s="1"/>
  <c r="A150" i="2"/>
  <c r="N150" i="2" s="1" a="1"/>
  <c r="N150" i="2" s="1"/>
  <c r="A151" i="2"/>
  <c r="L151" i="2" s="1" a="1"/>
  <c r="L151" i="2" s="1"/>
  <c r="A152" i="2"/>
  <c r="H152" i="2" s="1" a="1"/>
  <c r="H152" i="2" s="1"/>
  <c r="A153" i="2"/>
  <c r="D153" i="2" s="1" a="1"/>
  <c r="D153" i="2" s="1"/>
  <c r="A154" i="2"/>
  <c r="K154" i="2" s="1" a="1"/>
  <c r="K154" i="2" s="1"/>
  <c r="A155" i="2"/>
  <c r="G155" i="2" s="1" a="1"/>
  <c r="G155" i="2" s="1"/>
  <c r="A156" i="2"/>
  <c r="X156" i="2" s="1" a="1"/>
  <c r="X156" i="2" s="1"/>
  <c r="A157" i="2"/>
  <c r="H157" i="2" s="1" a="1"/>
  <c r="H157" i="2" s="1"/>
  <c r="A158" i="2"/>
  <c r="K158" i="2" s="1" a="1"/>
  <c r="K158" i="2" s="1"/>
  <c r="A159" i="2"/>
  <c r="D159" i="2" s="1" a="1"/>
  <c r="D159" i="2" s="1"/>
  <c r="A160" i="2"/>
  <c r="L160" i="2" s="1" a="1"/>
  <c r="L160" i="2" s="1"/>
  <c r="A142" i="2"/>
  <c r="D142" i="2" s="1" a="1"/>
  <c r="D142" i="2" s="1"/>
  <c r="AG146" i="2" l="1" a="1"/>
  <c r="AG146" i="2" s="1"/>
  <c r="U154" i="2" a="1"/>
  <c r="U154" i="2" s="1"/>
  <c r="U151" i="2" a="1"/>
  <c r="U151" i="2" s="1"/>
  <c r="I151" i="2" a="1"/>
  <c r="I151" i="2" s="1"/>
  <c r="Y147" i="2" a="1"/>
  <c r="Y147" i="2" s="1"/>
  <c r="N146" i="2" a="1"/>
  <c r="N146" i="2" s="1"/>
  <c r="M146" i="2" a="1"/>
  <c r="M146" i="2" s="1"/>
  <c r="T158" i="2" a="1"/>
  <c r="T158" i="2" s="1"/>
  <c r="S158" i="2" a="1"/>
  <c r="S158" i="2" s="1"/>
  <c r="AI153" i="2" a="1"/>
  <c r="AI153" i="2" s="1"/>
  <c r="AD153" i="2" a="1"/>
  <c r="AD153" i="2" s="1"/>
  <c r="AH145" i="2" a="1"/>
  <c r="AH145" i="2" s="1"/>
  <c r="D145" i="2" a="1"/>
  <c r="D145" i="2" s="1"/>
  <c r="T145" i="2" a="1"/>
  <c r="T145" i="2" s="1"/>
  <c r="AE145" i="2" a="1"/>
  <c r="AE145" i="2" s="1"/>
  <c r="AI145" i="2" a="1"/>
  <c r="AI145" i="2" s="1"/>
  <c r="AC145" i="2" a="1"/>
  <c r="AC145" i="2" s="1"/>
  <c r="AF145" i="2" a="1"/>
  <c r="AF145" i="2" s="1"/>
  <c r="H145" i="2" a="1"/>
  <c r="H145" i="2" s="1"/>
  <c r="AK145" i="2" a="1"/>
  <c r="AK145" i="2" s="1"/>
  <c r="J145" i="2" a="1"/>
  <c r="J145" i="2" s="1"/>
  <c r="W145" i="2" a="1"/>
  <c r="W145" i="2" s="1"/>
  <c r="AL145" i="2" a="1"/>
  <c r="AL145" i="2" s="1"/>
  <c r="N145" i="2" a="1"/>
  <c r="N145" i="2" s="1"/>
  <c r="Q145" i="2" a="1"/>
  <c r="Q145" i="2" s="1"/>
  <c r="E145" i="2" a="1"/>
  <c r="E145" i="2" s="1"/>
  <c r="Y145" i="2" a="1"/>
  <c r="Y145" i="2" s="1"/>
  <c r="AN145" i="2" a="1"/>
  <c r="AN145" i="2" s="1"/>
  <c r="P145" i="2" a="1"/>
  <c r="P145" i="2" s="1"/>
  <c r="S145" i="2" a="1"/>
  <c r="S145" i="2" s="1"/>
  <c r="V145" i="2" a="1"/>
  <c r="V145" i="2" s="1"/>
  <c r="K145" i="2" a="1"/>
  <c r="K145" i="2" s="1"/>
  <c r="Z145" i="2" a="1"/>
  <c r="Z145" i="2" s="1"/>
  <c r="G145" i="2" a="1"/>
  <c r="G145" i="2" s="1"/>
  <c r="M145" i="2" a="1"/>
  <c r="M145" i="2" s="1"/>
  <c r="AB145" i="2" a="1"/>
  <c r="AB145" i="2" s="1"/>
  <c r="AO145" i="2" a="1"/>
  <c r="AO145" i="2" s="1"/>
  <c r="K159" i="2" a="1"/>
  <c r="K159" i="2" s="1"/>
  <c r="I147" i="2" a="1"/>
  <c r="I147" i="2" s="1"/>
  <c r="AH158" i="2" a="1"/>
  <c r="AH158" i="2" s="1"/>
  <c r="M153" i="2" a="1"/>
  <c r="M153" i="2" s="1"/>
  <c r="E147" i="2" a="1"/>
  <c r="E147" i="2" s="1"/>
  <c r="AD158" i="2" a="1"/>
  <c r="AD158" i="2" s="1"/>
  <c r="L153" i="2" a="1"/>
  <c r="L153" i="2" s="1"/>
  <c r="AH146" i="2" a="1"/>
  <c r="AH146" i="2" s="1"/>
  <c r="F145" i="2" a="1"/>
  <c r="F145" i="2" s="1"/>
  <c r="L145" i="2" a="1"/>
  <c r="L145" i="2" s="1"/>
  <c r="R145" i="2" a="1"/>
  <c r="R145" i="2" s="1"/>
  <c r="X145" i="2" a="1"/>
  <c r="X145" i="2" s="1"/>
  <c r="AD145" i="2" a="1"/>
  <c r="AD145" i="2" s="1"/>
  <c r="AJ145" i="2" a="1"/>
  <c r="AJ145" i="2" s="1"/>
  <c r="C148" i="2" a="1"/>
  <c r="C148" i="2" s="1"/>
  <c r="AA160" i="2" a="1"/>
  <c r="AA160" i="2" s="1"/>
  <c r="X160" i="2" a="1"/>
  <c r="X160" i="2" s="1"/>
  <c r="AM155" i="2" a="1"/>
  <c r="AM155" i="2" s="1"/>
  <c r="Z148" i="2" a="1"/>
  <c r="Z148" i="2" s="1"/>
  <c r="D146" i="2" a="1"/>
  <c r="D146" i="2" s="1"/>
  <c r="J160" i="2" a="1"/>
  <c r="J160" i="2" s="1"/>
  <c r="AA155" i="2" a="1"/>
  <c r="AA155" i="2" s="1"/>
  <c r="V148" i="2" a="1"/>
  <c r="V148" i="2" s="1"/>
  <c r="I160" i="2" a="1"/>
  <c r="I160" i="2" s="1"/>
  <c r="U155" i="2" a="1"/>
  <c r="U155" i="2" s="1"/>
  <c r="G148" i="2" a="1"/>
  <c r="G148" i="2" s="1"/>
  <c r="C145" i="2" a="1"/>
  <c r="C145" i="2" s="1"/>
  <c r="I145" i="2" a="1"/>
  <c r="I145" i="2" s="1"/>
  <c r="O145" i="2" a="1"/>
  <c r="O145" i="2" s="1"/>
  <c r="U145" i="2" a="1"/>
  <c r="U145" i="2" s="1"/>
  <c r="AA145" i="2" a="1"/>
  <c r="AA145" i="2" s="1"/>
  <c r="AG145" i="2" a="1"/>
  <c r="AG145" i="2" s="1"/>
  <c r="L159" i="2" a="1"/>
  <c r="L159" i="2" s="1"/>
  <c r="AN155" i="2" a="1"/>
  <c r="AN155" i="2" s="1"/>
  <c r="AK148" i="2" a="1"/>
  <c r="AK148" i="2" s="1"/>
  <c r="AC159" i="2" a="1"/>
  <c r="AC159" i="2" s="1"/>
  <c r="AF154" i="2" a="1"/>
  <c r="AF154" i="2" s="1"/>
  <c r="F148" i="2" a="1"/>
  <c r="F148" i="2" s="1"/>
  <c r="Z159" i="2" a="1"/>
  <c r="Z159" i="2" s="1"/>
  <c r="AB147" i="2" a="1"/>
  <c r="AB147" i="2" s="1"/>
  <c r="P152" i="2" a="1"/>
  <c r="P152" i="2" s="1"/>
  <c r="C153" i="2" a="1"/>
  <c r="C153" i="2" s="1"/>
  <c r="M160" i="2" a="1"/>
  <c r="M160" i="2" s="1"/>
  <c r="O159" i="2" a="1"/>
  <c r="O159" i="2" s="1"/>
  <c r="W158" i="2" a="1"/>
  <c r="W158" i="2" s="1"/>
  <c r="V157" i="2" a="1"/>
  <c r="V157" i="2" s="1"/>
  <c r="AB155" i="2" a="1"/>
  <c r="AB155" i="2" s="1"/>
  <c r="AJ153" i="2" a="1"/>
  <c r="AJ153" i="2" s="1"/>
  <c r="AN152" i="2" a="1"/>
  <c r="AN152" i="2" s="1"/>
  <c r="F152" i="2" a="1"/>
  <c r="F152" i="2" s="1"/>
  <c r="J151" i="2" a="1"/>
  <c r="J151" i="2" s="1"/>
  <c r="AA148" i="2" a="1"/>
  <c r="AA148" i="2" s="1"/>
  <c r="AD147" i="2" a="1"/>
  <c r="AD147" i="2" s="1"/>
  <c r="AK146" i="2" a="1"/>
  <c r="AK146" i="2" s="1"/>
  <c r="AJ144" i="2" a="1"/>
  <c r="AJ144" i="2" s="1"/>
  <c r="C143" i="2" a="1"/>
  <c r="C143" i="2" s="1"/>
  <c r="F160" i="2" a="1"/>
  <c r="F160" i="2" s="1"/>
  <c r="H159" i="2" a="1"/>
  <c r="H159" i="2" s="1"/>
  <c r="O158" i="2" a="1"/>
  <c r="O158" i="2" s="1"/>
  <c r="P157" i="2" a="1"/>
  <c r="P157" i="2" s="1"/>
  <c r="Q155" i="2" a="1"/>
  <c r="Q155" i="2" s="1"/>
  <c r="AB153" i="2" a="1"/>
  <c r="AB153" i="2" s="1"/>
  <c r="AF152" i="2" a="1"/>
  <c r="AF152" i="2" s="1"/>
  <c r="AJ151" i="2" a="1"/>
  <c r="AJ151" i="2" s="1"/>
  <c r="AO149" i="2" a="1"/>
  <c r="AO149" i="2" s="1"/>
  <c r="T148" i="2" a="1"/>
  <c r="T148" i="2" s="1"/>
  <c r="X147" i="2" a="1"/>
  <c r="X147" i="2" s="1"/>
  <c r="AC146" i="2" a="1"/>
  <c r="AC146" i="2" s="1"/>
  <c r="AF144" i="2" a="1"/>
  <c r="AF144" i="2" s="1"/>
  <c r="T157" i="2" a="1"/>
  <c r="T157" i="2" s="1"/>
  <c r="AM152" i="2" a="1"/>
  <c r="AM152" i="2" s="1"/>
  <c r="AN160" i="2" a="1"/>
  <c r="AN160" i="2" s="1"/>
  <c r="D160" i="2" a="1"/>
  <c r="D160" i="2" s="1"/>
  <c r="F159" i="2" a="1"/>
  <c r="F159" i="2" s="1"/>
  <c r="M158" i="2" a="1"/>
  <c r="M158" i="2" s="1"/>
  <c r="L157" i="2" a="1"/>
  <c r="L157" i="2" s="1"/>
  <c r="P155" i="2" a="1"/>
  <c r="P155" i="2" s="1"/>
  <c r="Y153" i="2" a="1"/>
  <c r="Y153" i="2" s="1"/>
  <c r="AF151" i="2" a="1"/>
  <c r="AF151" i="2" s="1"/>
  <c r="AE149" i="2" a="1"/>
  <c r="AE149" i="2" s="1"/>
  <c r="R148" i="2" a="1"/>
  <c r="R148" i="2" s="1"/>
  <c r="S147" i="2" a="1"/>
  <c r="S147" i="2" s="1"/>
  <c r="AA146" i="2" a="1"/>
  <c r="AA146" i="2" s="1"/>
  <c r="AA144" i="2" a="1"/>
  <c r="AA144" i="2" s="1"/>
  <c r="AH152" i="2" a="1"/>
  <c r="AH152" i="2" s="1"/>
  <c r="AK160" i="2" a="1"/>
  <c r="AK160" i="2" s="1"/>
  <c r="AM159" i="2" a="1"/>
  <c r="AM159" i="2" s="1"/>
  <c r="J158" i="2" a="1"/>
  <c r="J158" i="2" s="1"/>
  <c r="J157" i="2" a="1"/>
  <c r="J157" i="2" s="1"/>
  <c r="K155" i="2" a="1"/>
  <c r="K155" i="2" s="1"/>
  <c r="X153" i="2" a="1"/>
  <c r="X153" i="2" s="1"/>
  <c r="AB152" i="2" a="1"/>
  <c r="AB152" i="2" s="1"/>
  <c r="AE151" i="2" a="1"/>
  <c r="AE151" i="2" s="1"/>
  <c r="T149" i="2" a="1"/>
  <c r="T149" i="2" s="1"/>
  <c r="Q148" i="2" a="1"/>
  <c r="Q148" i="2" s="1"/>
  <c r="W144" i="2" a="1"/>
  <c r="W144" i="2" s="1"/>
  <c r="E152" i="2" a="1"/>
  <c r="E152" i="2" s="1"/>
  <c r="D151" i="2" a="1"/>
  <c r="D151" i="2" s="1"/>
  <c r="AE160" i="2" a="1"/>
  <c r="AE160" i="2" s="1"/>
  <c r="AG159" i="2" a="1"/>
  <c r="AG159" i="2" s="1"/>
  <c r="AN158" i="2" a="1"/>
  <c r="AN158" i="2" s="1"/>
  <c r="I158" i="2" a="1"/>
  <c r="I158" i="2" s="1"/>
  <c r="I155" i="2" a="1"/>
  <c r="I155" i="2" s="1"/>
  <c r="S153" i="2" a="1"/>
  <c r="S153" i="2" s="1"/>
  <c r="W152" i="2" a="1"/>
  <c r="W152" i="2" s="1"/>
  <c r="AA151" i="2" a="1"/>
  <c r="AA151" i="2" s="1"/>
  <c r="J149" i="2" a="1"/>
  <c r="J149" i="2" s="1"/>
  <c r="L148" i="2" a="1"/>
  <c r="L148" i="2" s="1"/>
  <c r="O147" i="2" a="1"/>
  <c r="O147" i="2" s="1"/>
  <c r="W146" i="2" a="1"/>
  <c r="W146" i="2" s="1"/>
  <c r="V144" i="2" a="1"/>
  <c r="V144" i="2" s="1"/>
  <c r="Q157" i="2" a="1"/>
  <c r="Q157" i="2" s="1"/>
  <c r="AL151" i="2" a="1"/>
  <c r="AL151" i="2" s="1"/>
  <c r="AB160" i="2" a="1"/>
  <c r="AB160" i="2" s="1"/>
  <c r="AD159" i="2" a="1"/>
  <c r="AD159" i="2" s="1"/>
  <c r="AI158" i="2" a="1"/>
  <c r="AI158" i="2" s="1"/>
  <c r="AO157" i="2" a="1"/>
  <c r="AO157" i="2" s="1"/>
  <c r="F157" i="2" a="1"/>
  <c r="F157" i="2" s="1"/>
  <c r="E155" i="2" a="1"/>
  <c r="E155" i="2" s="1"/>
  <c r="Q153" i="2" a="1"/>
  <c r="Q153" i="2" s="1"/>
  <c r="U152" i="2" a="1"/>
  <c r="U152" i="2" s="1"/>
  <c r="Y151" i="2" a="1"/>
  <c r="Y151" i="2" s="1"/>
  <c r="AO148" i="2" a="1"/>
  <c r="AO148" i="2" s="1"/>
  <c r="J148" i="2" a="1"/>
  <c r="J148" i="2" s="1"/>
  <c r="J147" i="2" a="1"/>
  <c r="J147" i="2" s="1"/>
  <c r="S146" i="2" a="1"/>
  <c r="S146" i="2" s="1"/>
  <c r="R144" i="2" a="1"/>
  <c r="R144" i="2" s="1"/>
  <c r="AF157" i="2" a="1"/>
  <c r="AF157" i="2" s="1"/>
  <c r="P144" i="2" a="1"/>
  <c r="P144" i="2" s="1"/>
  <c r="M144" i="2" a="1"/>
  <c r="M144" i="2" s="1"/>
  <c r="V160" i="2" a="1"/>
  <c r="V160" i="2" s="1"/>
  <c r="X159" i="2" a="1"/>
  <c r="X159" i="2" s="1"/>
  <c r="AC158" i="2" a="1"/>
  <c r="AC158" i="2" s="1"/>
  <c r="AA157" i="2" a="1"/>
  <c r="AA157" i="2" s="1"/>
  <c r="AH155" i="2" a="1"/>
  <c r="AH155" i="2" s="1"/>
  <c r="I154" i="2" a="1"/>
  <c r="I154" i="2" s="1"/>
  <c r="H153" i="2" a="1"/>
  <c r="H153" i="2" s="1"/>
  <c r="K152" i="2" a="1"/>
  <c r="K152" i="2" s="1"/>
  <c r="O151" i="2" a="1"/>
  <c r="O151" i="2" s="1"/>
  <c r="AG148" i="2" a="1"/>
  <c r="AG148" i="2" s="1"/>
  <c r="AI147" i="2" a="1"/>
  <c r="AI147" i="2" s="1"/>
  <c r="D147" i="2" a="1"/>
  <c r="D147" i="2" s="1"/>
  <c r="I146" i="2" a="1"/>
  <c r="I146" i="2" s="1"/>
  <c r="L144" i="2" a="1"/>
  <c r="L144" i="2" s="1"/>
  <c r="AK157" i="2" a="1"/>
  <c r="AK157" i="2" s="1"/>
  <c r="Q152" i="2" a="1"/>
  <c r="Q152" i="2" s="1"/>
  <c r="T151" i="2" a="1"/>
  <c r="T151" i="2" s="1"/>
  <c r="C157" i="2" a="1"/>
  <c r="C157" i="2" s="1"/>
  <c r="S160" i="2" a="1"/>
  <c r="S160" i="2" s="1"/>
  <c r="U159" i="2" a="1"/>
  <c r="U159" i="2" s="1"/>
  <c r="Y158" i="2" a="1"/>
  <c r="Y158" i="2" s="1"/>
  <c r="Z157" i="2" a="1"/>
  <c r="Z157" i="2" s="1"/>
  <c r="AF155" i="2" a="1"/>
  <c r="AF155" i="2" s="1"/>
  <c r="AN153" i="2" a="1"/>
  <c r="AN153" i="2" s="1"/>
  <c r="F153" i="2" a="1"/>
  <c r="F153" i="2" s="1"/>
  <c r="J152" i="2" a="1"/>
  <c r="J152" i="2" s="1"/>
  <c r="M151" i="2" a="1"/>
  <c r="M151" i="2" s="1"/>
  <c r="AE148" i="2" a="1"/>
  <c r="AE148" i="2" s="1"/>
  <c r="AH147" i="2" a="1"/>
  <c r="AH147" i="2" s="1"/>
  <c r="AM146" i="2" a="1"/>
  <c r="AM146" i="2" s="1"/>
  <c r="G146" i="2" a="1"/>
  <c r="G146" i="2" s="1"/>
  <c r="AK142" i="2" a="1"/>
  <c r="AK142" i="2" s="1"/>
  <c r="AJ150" i="2" a="1"/>
  <c r="AJ150" i="2" s="1"/>
  <c r="AF143" i="2" a="1"/>
  <c r="AF143" i="2" s="1"/>
  <c r="AO143" i="2" a="1"/>
  <c r="AO143" i="2" s="1"/>
  <c r="Y150" i="2" a="1"/>
  <c r="Y150" i="2" s="1"/>
  <c r="P143" i="2" a="1"/>
  <c r="P143" i="2" s="1"/>
  <c r="Y143" i="2" a="1"/>
  <c r="Y143" i="2" s="1"/>
  <c r="AG143" i="2" a="1"/>
  <c r="AG143" i="2" s="1"/>
  <c r="I143" i="2" a="1"/>
  <c r="I143" i="2" s="1"/>
  <c r="Q143" i="2" a="1"/>
  <c r="Q143" i="2" s="1"/>
  <c r="Z143" i="2" a="1"/>
  <c r="Z143" i="2" s="1"/>
  <c r="R143" i="2" a="1"/>
  <c r="R143" i="2" s="1"/>
  <c r="AH143" i="2" a="1"/>
  <c r="AH143" i="2" s="1"/>
  <c r="J143" i="2" a="1"/>
  <c r="J143" i="2" s="1"/>
  <c r="AA143" i="2" a="1"/>
  <c r="AA143" i="2" s="1"/>
  <c r="AI143" i="2" a="1"/>
  <c r="AI143" i="2" s="1"/>
  <c r="K143" i="2" a="1"/>
  <c r="K143" i="2" s="1"/>
  <c r="S143" i="2" a="1"/>
  <c r="S143" i="2" s="1"/>
  <c r="AJ143" i="2" a="1"/>
  <c r="AJ143" i="2" s="1"/>
  <c r="L143" i="2" a="1"/>
  <c r="L143" i="2" s="1"/>
  <c r="T143" i="2" a="1"/>
  <c r="T143" i="2" s="1"/>
  <c r="AB143" i="2" a="1"/>
  <c r="AB143" i="2" s="1"/>
  <c r="AK143" i="2" a="1"/>
  <c r="AK143" i="2" s="1"/>
  <c r="W143" i="2" a="1"/>
  <c r="W143" i="2" s="1"/>
  <c r="AE143" i="2" a="1"/>
  <c r="AE143" i="2" s="1"/>
  <c r="D143" i="2" a="1"/>
  <c r="D143" i="2" s="1"/>
  <c r="U143" i="2" a="1"/>
  <c r="U143" i="2" s="1"/>
  <c r="AC143" i="2" a="1"/>
  <c r="AC143" i="2" s="1"/>
  <c r="AL143" i="2" a="1"/>
  <c r="AL143" i="2" s="1"/>
  <c r="E143" i="2" a="1"/>
  <c r="E143" i="2" s="1"/>
  <c r="M143" i="2" a="1"/>
  <c r="M143" i="2" s="1"/>
  <c r="AD143" i="2" a="1"/>
  <c r="AD143" i="2" s="1"/>
  <c r="AM143" i="2" a="1"/>
  <c r="AM143" i="2" s="1"/>
  <c r="F143" i="2" a="1"/>
  <c r="F143" i="2" s="1"/>
  <c r="N143" i="2" a="1"/>
  <c r="N143" i="2" s="1"/>
  <c r="V143" i="2" a="1"/>
  <c r="V143" i="2" s="1"/>
  <c r="AN143" i="2" a="1"/>
  <c r="AN143" i="2" s="1"/>
  <c r="H143" i="2" a="1"/>
  <c r="H143" i="2" s="1"/>
  <c r="AH156" i="2" a="1"/>
  <c r="AH156" i="2" s="1"/>
  <c r="O143" i="2" a="1"/>
  <c r="O143" i="2" s="1"/>
  <c r="D150" i="2" a="1"/>
  <c r="D150" i="2" s="1"/>
  <c r="O150" i="2" a="1"/>
  <c r="O150" i="2" s="1"/>
  <c r="AA150" i="2" a="1"/>
  <c r="AA150" i="2" s="1"/>
  <c r="AL150" i="2" a="1"/>
  <c r="AL150" i="2" s="1"/>
  <c r="C150" i="2" a="1"/>
  <c r="C150" i="2" s="1"/>
  <c r="AC150" i="2" a="1"/>
  <c r="AC150" i="2" s="1"/>
  <c r="E150" i="2" a="1"/>
  <c r="E150" i="2" s="1"/>
  <c r="P150" i="2" a="1"/>
  <c r="P150" i="2" s="1"/>
  <c r="AB150" i="2" a="1"/>
  <c r="AB150" i="2" s="1"/>
  <c r="AM150" i="2" a="1"/>
  <c r="AM150" i="2" s="1"/>
  <c r="Q150" i="2" a="1"/>
  <c r="Q150" i="2" s="1"/>
  <c r="G150" i="2" a="1"/>
  <c r="G150" i="2" s="1"/>
  <c r="R150" i="2" a="1"/>
  <c r="R150" i="2" s="1"/>
  <c r="AD150" i="2" a="1"/>
  <c r="AD150" i="2" s="1"/>
  <c r="AO150" i="2" a="1"/>
  <c r="AO150" i="2" s="1"/>
  <c r="H150" i="2" a="1"/>
  <c r="H150" i="2" s="1"/>
  <c r="AE150" i="2" a="1"/>
  <c r="AE150" i="2" s="1"/>
  <c r="S150" i="2" a="1"/>
  <c r="S150" i="2" s="1"/>
  <c r="I150" i="2" a="1"/>
  <c r="I150" i="2" s="1"/>
  <c r="T150" i="2" a="1"/>
  <c r="T150" i="2" s="1"/>
  <c r="AF150" i="2" a="1"/>
  <c r="AF150" i="2" s="1"/>
  <c r="M150" i="2" a="1"/>
  <c r="M150" i="2" s="1"/>
  <c r="J150" i="2" a="1"/>
  <c r="J150" i="2" s="1"/>
  <c r="U150" i="2" a="1"/>
  <c r="U150" i="2" s="1"/>
  <c r="X150" i="2" a="1"/>
  <c r="X150" i="2" s="1"/>
  <c r="K150" i="2" a="1"/>
  <c r="K150" i="2" s="1"/>
  <c r="V150" i="2" a="1"/>
  <c r="V150" i="2" s="1"/>
  <c r="AG150" i="2" a="1"/>
  <c r="AG150" i="2" s="1"/>
  <c r="L150" i="2" a="1"/>
  <c r="L150" i="2" s="1"/>
  <c r="W150" i="2" a="1"/>
  <c r="W150" i="2" s="1"/>
  <c r="AH150" i="2" a="1"/>
  <c r="AH150" i="2" s="1"/>
  <c r="AI150" i="2" a="1"/>
  <c r="AI150" i="2" s="1"/>
  <c r="Z150" i="2" a="1"/>
  <c r="Z150" i="2" s="1"/>
  <c r="AK150" i="2" a="1"/>
  <c r="AK150" i="2" s="1"/>
  <c r="F150" i="2" a="1"/>
  <c r="F150" i="2" s="1"/>
  <c r="AN150" i="2" a="1"/>
  <c r="AN150" i="2" s="1"/>
  <c r="M156" i="2" a="1"/>
  <c r="M156" i="2" s="1"/>
  <c r="G143" i="2" a="1"/>
  <c r="G143" i="2" s="1"/>
  <c r="O156" i="2" a="1"/>
  <c r="O156" i="2" s="1"/>
  <c r="Z156" i="2" a="1"/>
  <c r="Z156" i="2" s="1"/>
  <c r="AJ156" i="2" a="1"/>
  <c r="AJ156" i="2" s="1"/>
  <c r="Q156" i="2" a="1"/>
  <c r="Q156" i="2" s="1"/>
  <c r="AA156" i="2" a="1"/>
  <c r="AA156" i="2" s="1"/>
  <c r="D156" i="2" a="1"/>
  <c r="D156" i="2" s="1"/>
  <c r="P156" i="2" a="1"/>
  <c r="P156" i="2" s="1"/>
  <c r="AK156" i="2" a="1"/>
  <c r="AK156" i="2" s="1"/>
  <c r="E156" i="2" a="1"/>
  <c r="E156" i="2" s="1"/>
  <c r="F156" i="2" a="1"/>
  <c r="F156" i="2" s="1"/>
  <c r="R156" i="2" a="1"/>
  <c r="R156" i="2" s="1"/>
  <c r="AB156" i="2" a="1"/>
  <c r="AB156" i="2" s="1"/>
  <c r="G156" i="2" a="1"/>
  <c r="G156" i="2" s="1"/>
  <c r="AC156" i="2" a="1"/>
  <c r="AC156" i="2" s="1"/>
  <c r="S156" i="2" a="1"/>
  <c r="S156" i="2" s="1"/>
  <c r="H156" i="2" a="1"/>
  <c r="H156" i="2" s="1"/>
  <c r="T156" i="2" a="1"/>
  <c r="T156" i="2" s="1"/>
  <c r="AD156" i="2" a="1"/>
  <c r="AD156" i="2" s="1"/>
  <c r="AN156" i="2" a="1"/>
  <c r="AN156" i="2" s="1"/>
  <c r="I156" i="2" a="1"/>
  <c r="I156" i="2" s="1"/>
  <c r="AE156" i="2" a="1"/>
  <c r="AE156" i="2" s="1"/>
  <c r="AO156" i="2" a="1"/>
  <c r="AO156" i="2" s="1"/>
  <c r="J156" i="2" a="1"/>
  <c r="J156" i="2" s="1"/>
  <c r="U156" i="2" a="1"/>
  <c r="U156" i="2" s="1"/>
  <c r="AF156" i="2" a="1"/>
  <c r="AF156" i="2" s="1"/>
  <c r="K156" i="2" a="1"/>
  <c r="K156" i="2" s="1"/>
  <c r="V156" i="2" a="1"/>
  <c r="V156" i="2" s="1"/>
  <c r="C156" i="2" a="1"/>
  <c r="C156" i="2" s="1"/>
  <c r="L156" i="2" a="1"/>
  <c r="L156" i="2" s="1"/>
  <c r="W156" i="2" a="1"/>
  <c r="W156" i="2" s="1"/>
  <c r="AG156" i="2" a="1"/>
  <c r="AG156" i="2" s="1"/>
  <c r="N156" i="2" a="1"/>
  <c r="N156" i="2" s="1"/>
  <c r="Y156" i="2" a="1"/>
  <c r="Y156" i="2" s="1"/>
  <c r="AI156" i="2" a="1"/>
  <c r="AI156" i="2" s="1"/>
  <c r="AL156" i="2" a="1"/>
  <c r="AL156" i="2" s="1"/>
  <c r="AM156" i="2" a="1"/>
  <c r="AM156" i="2" s="1"/>
  <c r="AJ154" i="2" a="1"/>
  <c r="AJ154" i="2" s="1"/>
  <c r="N149" i="2" a="1"/>
  <c r="N149" i="2" s="1"/>
  <c r="C158" i="2" a="1"/>
  <c r="C158" i="2" s="1"/>
  <c r="C149" i="2" a="1"/>
  <c r="C149" i="2" s="1"/>
  <c r="AL160" i="2" a="1"/>
  <c r="AL160" i="2" s="1"/>
  <c r="AC160" i="2" a="1"/>
  <c r="AC160" i="2" s="1"/>
  <c r="T160" i="2" a="1"/>
  <c r="T160" i="2" s="1"/>
  <c r="K160" i="2" a="1"/>
  <c r="K160" i="2" s="1"/>
  <c r="AN159" i="2" a="1"/>
  <c r="AN159" i="2" s="1"/>
  <c r="AE159" i="2" a="1"/>
  <c r="AE159" i="2" s="1"/>
  <c r="V159" i="2" a="1"/>
  <c r="V159" i="2" s="1"/>
  <c r="M159" i="2" a="1"/>
  <c r="M159" i="2" s="1"/>
  <c r="AO158" i="2" a="1"/>
  <c r="AO158" i="2" s="1"/>
  <c r="AE158" i="2" a="1"/>
  <c r="AE158" i="2" s="1"/>
  <c r="U158" i="2" a="1"/>
  <c r="U158" i="2" s="1"/>
  <c r="AL157" i="2" a="1"/>
  <c r="AL157" i="2" s="1"/>
  <c r="AB157" i="2" a="1"/>
  <c r="AB157" i="2" s="1"/>
  <c r="R157" i="2" a="1"/>
  <c r="R157" i="2" s="1"/>
  <c r="G157" i="2" a="1"/>
  <c r="G157" i="2" s="1"/>
  <c r="AC155" i="2" a="1"/>
  <c r="AC155" i="2" s="1"/>
  <c r="R155" i="2" a="1"/>
  <c r="R155" i="2" s="1"/>
  <c r="F155" i="2" a="1"/>
  <c r="F155" i="2" s="1"/>
  <c r="AG154" i="2" a="1"/>
  <c r="AG154" i="2" s="1"/>
  <c r="V154" i="2" a="1"/>
  <c r="V154" i="2" s="1"/>
  <c r="J154" i="2" a="1"/>
  <c r="J154" i="2" s="1"/>
  <c r="AK153" i="2" a="1"/>
  <c r="AK153" i="2" s="1"/>
  <c r="Z153" i="2" a="1"/>
  <c r="Z153" i="2" s="1"/>
  <c r="N153" i="2" a="1"/>
  <c r="N153" i="2" s="1"/>
  <c r="AO152" i="2" a="1"/>
  <c r="AO152" i="2" s="1"/>
  <c r="AC152" i="2" a="1"/>
  <c r="AC152" i="2" s="1"/>
  <c r="R152" i="2" a="1"/>
  <c r="R152" i="2" s="1"/>
  <c r="G152" i="2" a="1"/>
  <c r="G152" i="2" s="1"/>
  <c r="AG151" i="2" a="1"/>
  <c r="AG151" i="2" s="1"/>
  <c r="V151" i="2" a="1"/>
  <c r="V151" i="2" s="1"/>
  <c r="K151" i="2" a="1"/>
  <c r="K151" i="2" s="1"/>
  <c r="AF149" i="2" a="1"/>
  <c r="AF149" i="2" s="1"/>
  <c r="U149" i="2" a="1"/>
  <c r="U149" i="2" s="1"/>
  <c r="K149" i="2" a="1"/>
  <c r="K149" i="2" s="1"/>
  <c r="AL148" i="2" a="1"/>
  <c r="AL148" i="2" s="1"/>
  <c r="AB148" i="2" a="1"/>
  <c r="AB148" i="2" s="1"/>
  <c r="AJ147" i="2" a="1"/>
  <c r="AJ147" i="2" s="1"/>
  <c r="Z147" i="2" a="1"/>
  <c r="Z147" i="2" s="1"/>
  <c r="P147" i="2" a="1"/>
  <c r="P147" i="2" s="1"/>
  <c r="F147" i="2" a="1"/>
  <c r="F147" i="2" s="1"/>
  <c r="AI146" i="2" a="1"/>
  <c r="AI146" i="2" s="1"/>
  <c r="X146" i="2" a="1"/>
  <c r="X146" i="2" s="1"/>
  <c r="O146" i="2" a="1"/>
  <c r="O146" i="2" s="1"/>
  <c r="E146" i="2" a="1"/>
  <c r="E146" i="2" s="1"/>
  <c r="AG144" i="2" a="1"/>
  <c r="AG144" i="2" s="1"/>
  <c r="X144" i="2" a="1"/>
  <c r="X144" i="2" s="1"/>
  <c r="D144" i="2" a="1"/>
  <c r="D144" i="2" s="1"/>
  <c r="AL142" i="2" a="1"/>
  <c r="AL142" i="2" s="1"/>
  <c r="AC142" i="2" a="1"/>
  <c r="AC142" i="2" s="1"/>
  <c r="U142" i="2" a="1"/>
  <c r="U142" i="2" s="1"/>
  <c r="L142" i="2" a="1"/>
  <c r="L142" i="2" s="1"/>
  <c r="AN149" i="2" a="1"/>
  <c r="AN149" i="2" s="1"/>
  <c r="T142" i="2" a="1"/>
  <c r="T142" i="2" s="1"/>
  <c r="C147" i="2" a="1"/>
  <c r="C147" i="2" s="1"/>
  <c r="AJ160" i="2" a="1"/>
  <c r="AJ160" i="2" s="1"/>
  <c r="R160" i="2" a="1"/>
  <c r="R160" i="2" s="1"/>
  <c r="AL159" i="2" a="1"/>
  <c r="AL159" i="2" s="1"/>
  <c r="T159" i="2" a="1"/>
  <c r="T159" i="2" s="1"/>
  <c r="AM158" i="2" a="1"/>
  <c r="AM158" i="2" s="1"/>
  <c r="R158" i="2" a="1"/>
  <c r="R158" i="2" s="1"/>
  <c r="H158" i="2" a="1"/>
  <c r="H158" i="2" s="1"/>
  <c r="AJ157" i="2" a="1"/>
  <c r="AJ157" i="2" s="1"/>
  <c r="Y157" i="2" a="1"/>
  <c r="Y157" i="2" s="1"/>
  <c r="O157" i="2" a="1"/>
  <c r="O157" i="2" s="1"/>
  <c r="E157" i="2" a="1"/>
  <c r="E157" i="2" s="1"/>
  <c r="AL155" i="2" a="1"/>
  <c r="AL155" i="2" s="1"/>
  <c r="Z155" i="2" a="1"/>
  <c r="Z155" i="2" s="1"/>
  <c r="O155" i="2" a="1"/>
  <c r="O155" i="2" s="1"/>
  <c r="D155" i="2" a="1"/>
  <c r="D155" i="2" s="1"/>
  <c r="AD154" i="2" a="1"/>
  <c r="AD154" i="2" s="1"/>
  <c r="S154" i="2" a="1"/>
  <c r="S154" i="2" s="1"/>
  <c r="G154" i="2" a="1"/>
  <c r="G154" i="2" s="1"/>
  <c r="AH153" i="2" a="1"/>
  <c r="AH153" i="2" s="1"/>
  <c r="W153" i="2" a="1"/>
  <c r="W153" i="2" s="1"/>
  <c r="K153" i="2" a="1"/>
  <c r="K153" i="2" s="1"/>
  <c r="AL152" i="2" a="1"/>
  <c r="AL152" i="2" s="1"/>
  <c r="AA152" i="2" a="1"/>
  <c r="AA152" i="2" s="1"/>
  <c r="O152" i="2" a="1"/>
  <c r="O152" i="2" s="1"/>
  <c r="D152" i="2" a="1"/>
  <c r="D152" i="2" s="1"/>
  <c r="S151" i="2" a="1"/>
  <c r="S151" i="2" s="1"/>
  <c r="H151" i="2" a="1"/>
  <c r="H151" i="2" s="1"/>
  <c r="AM149" i="2" a="1"/>
  <c r="AM149" i="2" s="1"/>
  <c r="AC149" i="2" a="1"/>
  <c r="AC149" i="2" s="1"/>
  <c r="R149" i="2" a="1"/>
  <c r="R149" i="2" s="1"/>
  <c r="H149" i="2" a="1"/>
  <c r="H149" i="2" s="1"/>
  <c r="P148" i="2" a="1"/>
  <c r="P148" i="2" s="1"/>
  <c r="E148" i="2" a="1"/>
  <c r="E148" i="2" s="1"/>
  <c r="W147" i="2" a="1"/>
  <c r="W147" i="2" s="1"/>
  <c r="N147" i="2" a="1"/>
  <c r="N147" i="2" s="1"/>
  <c r="AF146" i="2" a="1"/>
  <c r="AF146" i="2" s="1"/>
  <c r="L146" i="2" a="1"/>
  <c r="L146" i="2" s="1"/>
  <c r="AO144" i="2" a="1"/>
  <c r="AO144" i="2" s="1"/>
  <c r="AE144" i="2" a="1"/>
  <c r="AE144" i="2" s="1"/>
  <c r="U144" i="2" a="1"/>
  <c r="U144" i="2" s="1"/>
  <c r="K144" i="2" a="1"/>
  <c r="K144" i="2" s="1"/>
  <c r="AA142" i="2" a="1"/>
  <c r="AA142" i="2" s="1"/>
  <c r="S142" i="2" a="1"/>
  <c r="S142" i="2" s="1"/>
  <c r="J142" i="2" a="1"/>
  <c r="J142" i="2" s="1"/>
  <c r="AD149" i="2" a="1"/>
  <c r="AD149" i="2" s="1"/>
  <c r="AB142" i="2" a="1"/>
  <c r="AB142" i="2" s="1"/>
  <c r="C155" i="2" a="1"/>
  <c r="C155" i="2" s="1"/>
  <c r="C146" i="2" a="1"/>
  <c r="C146" i="2" s="1"/>
  <c r="AI160" i="2" a="1"/>
  <c r="AI160" i="2" s="1"/>
  <c r="Z160" i="2" a="1"/>
  <c r="Z160" i="2" s="1"/>
  <c r="Q160" i="2" a="1"/>
  <c r="Q160" i="2" s="1"/>
  <c r="H160" i="2" a="1"/>
  <c r="H160" i="2" s="1"/>
  <c r="AK159" i="2" a="1"/>
  <c r="AK159" i="2" s="1"/>
  <c r="AB159" i="2" a="1"/>
  <c r="AB159" i="2" s="1"/>
  <c r="S159" i="2" a="1"/>
  <c r="S159" i="2" s="1"/>
  <c r="J159" i="2" a="1"/>
  <c r="J159" i="2" s="1"/>
  <c r="AL158" i="2" a="1"/>
  <c r="AL158" i="2" s="1"/>
  <c r="AB158" i="2" a="1"/>
  <c r="AB158" i="2" s="1"/>
  <c r="Q158" i="2" a="1"/>
  <c r="Q158" i="2" s="1"/>
  <c r="G158" i="2" a="1"/>
  <c r="G158" i="2" s="1"/>
  <c r="AI157" i="2" a="1"/>
  <c r="AI157" i="2" s="1"/>
  <c r="N157" i="2" a="1"/>
  <c r="N157" i="2" s="1"/>
  <c r="D157" i="2" a="1"/>
  <c r="D157" i="2" s="1"/>
  <c r="AK155" i="2" a="1"/>
  <c r="AK155" i="2" s="1"/>
  <c r="Y155" i="2" a="1"/>
  <c r="Y155" i="2" s="1"/>
  <c r="N155" i="2" a="1"/>
  <c r="N155" i="2" s="1"/>
  <c r="AO154" i="2" a="1"/>
  <c r="AO154" i="2" s="1"/>
  <c r="AC154" i="2" a="1"/>
  <c r="AC154" i="2" s="1"/>
  <c r="R154" i="2" a="1"/>
  <c r="R154" i="2" s="1"/>
  <c r="AG153" i="2" a="1"/>
  <c r="AG153" i="2" s="1"/>
  <c r="V153" i="2" a="1"/>
  <c r="V153" i="2" s="1"/>
  <c r="J153" i="2" a="1"/>
  <c r="J153" i="2" s="1"/>
  <c r="AK152" i="2" a="1"/>
  <c r="AK152" i="2" s="1"/>
  <c r="Z152" i="2" a="1"/>
  <c r="Z152" i="2" s="1"/>
  <c r="N152" i="2" a="1"/>
  <c r="N152" i="2" s="1"/>
  <c r="AO151" i="2" a="1"/>
  <c r="AO151" i="2" s="1"/>
  <c r="AD151" i="2" a="1"/>
  <c r="AD151" i="2" s="1"/>
  <c r="R151" i="2" a="1"/>
  <c r="R151" i="2" s="1"/>
  <c r="G151" i="2" a="1"/>
  <c r="G151" i="2" s="1"/>
  <c r="AL149" i="2" a="1"/>
  <c r="AL149" i="2" s="1"/>
  <c r="AB149" i="2" a="1"/>
  <c r="AB149" i="2" s="1"/>
  <c r="G149" i="2" a="1"/>
  <c r="G149" i="2" s="1"/>
  <c r="AJ148" i="2" a="1"/>
  <c r="AJ148" i="2" s="1"/>
  <c r="Y148" i="2" a="1"/>
  <c r="Y148" i="2" s="1"/>
  <c r="O148" i="2" a="1"/>
  <c r="O148" i="2" s="1"/>
  <c r="D148" i="2" a="1"/>
  <c r="D148" i="2" s="1"/>
  <c r="AG147" i="2" a="1"/>
  <c r="AG147" i="2" s="1"/>
  <c r="V147" i="2" a="1"/>
  <c r="V147" i="2" s="1"/>
  <c r="M147" i="2" a="1"/>
  <c r="M147" i="2" s="1"/>
  <c r="AO146" i="2" a="1"/>
  <c r="AO146" i="2" s="1"/>
  <c r="AE146" i="2" a="1"/>
  <c r="AE146" i="2" s="1"/>
  <c r="V146" i="2" a="1"/>
  <c r="V146" i="2" s="1"/>
  <c r="AN144" i="2" a="1"/>
  <c r="AN144" i="2" s="1"/>
  <c r="AD144" i="2" a="1"/>
  <c r="AD144" i="2" s="1"/>
  <c r="T144" i="2" a="1"/>
  <c r="T144" i="2" s="1"/>
  <c r="J144" i="2" a="1"/>
  <c r="J144" i="2" s="1"/>
  <c r="AI142" i="2" a="1"/>
  <c r="AI142" i="2" s="1"/>
  <c r="R142" i="2" a="1"/>
  <c r="R142" i="2" s="1"/>
  <c r="I142" i="2" a="1"/>
  <c r="I142" i="2" s="1"/>
  <c r="AE154" i="2" a="1"/>
  <c r="AE154" i="2" s="1"/>
  <c r="H154" i="2" a="1"/>
  <c r="H154" i="2" s="1"/>
  <c r="I149" i="2" a="1"/>
  <c r="I149" i="2" s="1"/>
  <c r="AJ142" i="2" a="1"/>
  <c r="AJ142" i="2" s="1"/>
  <c r="AH160" i="2" a="1"/>
  <c r="AH160" i="2" s="1"/>
  <c r="Y160" i="2" a="1"/>
  <c r="Y160" i="2" s="1"/>
  <c r="P160" i="2" a="1"/>
  <c r="P160" i="2" s="1"/>
  <c r="G160" i="2" a="1"/>
  <c r="G160" i="2" s="1"/>
  <c r="AJ159" i="2" a="1"/>
  <c r="AJ159" i="2" s="1"/>
  <c r="AA159" i="2" a="1"/>
  <c r="AA159" i="2" s="1"/>
  <c r="R159" i="2" a="1"/>
  <c r="R159" i="2" s="1"/>
  <c r="I159" i="2" a="1"/>
  <c r="I159" i="2" s="1"/>
  <c r="AK158" i="2" a="1"/>
  <c r="AK158" i="2" s="1"/>
  <c r="AA158" i="2" a="1"/>
  <c r="AA158" i="2" s="1"/>
  <c r="F158" i="2" a="1"/>
  <c r="F158" i="2" s="1"/>
  <c r="AH157" i="2" a="1"/>
  <c r="AH157" i="2" s="1"/>
  <c r="X157" i="2" a="1"/>
  <c r="X157" i="2" s="1"/>
  <c r="M157" i="2" a="1"/>
  <c r="M157" i="2" s="1"/>
  <c r="AJ155" i="2" a="1"/>
  <c r="AJ155" i="2" s="1"/>
  <c r="X155" i="2" a="1"/>
  <c r="X155" i="2" s="1"/>
  <c r="M155" i="2" a="1"/>
  <c r="M155" i="2" s="1"/>
  <c r="AN154" i="2" a="1"/>
  <c r="AN154" i="2" s="1"/>
  <c r="AB154" i="2" a="1"/>
  <c r="AB154" i="2" s="1"/>
  <c r="Q154" i="2" a="1"/>
  <c r="Q154" i="2" s="1"/>
  <c r="F154" i="2" a="1"/>
  <c r="F154" i="2" s="1"/>
  <c r="AF153" i="2" a="1"/>
  <c r="AF153" i="2" s="1"/>
  <c r="U153" i="2" a="1"/>
  <c r="U153" i="2" s="1"/>
  <c r="I153" i="2" a="1"/>
  <c r="I153" i="2" s="1"/>
  <c r="AJ152" i="2" a="1"/>
  <c r="AJ152" i="2" s="1"/>
  <c r="Y152" i="2" a="1"/>
  <c r="Y152" i="2" s="1"/>
  <c r="M152" i="2" a="1"/>
  <c r="M152" i="2" s="1"/>
  <c r="AN151" i="2" a="1"/>
  <c r="AN151" i="2" s="1"/>
  <c r="AC151" i="2" a="1"/>
  <c r="AC151" i="2" s="1"/>
  <c r="Q151" i="2" a="1"/>
  <c r="Q151" i="2" s="1"/>
  <c r="F151" i="2" a="1"/>
  <c r="F151" i="2" s="1"/>
  <c r="AK149" i="2" a="1"/>
  <c r="AK149" i="2" s="1"/>
  <c r="AA149" i="2" a="1"/>
  <c r="AA149" i="2" s="1"/>
  <c r="Q149" i="2" a="1"/>
  <c r="Q149" i="2" s="1"/>
  <c r="F149" i="2" a="1"/>
  <c r="F149" i="2" s="1"/>
  <c r="AI148" i="2" a="1"/>
  <c r="AI148" i="2" s="1"/>
  <c r="X148" i="2" a="1"/>
  <c r="X148" i="2" s="1"/>
  <c r="N148" i="2" a="1"/>
  <c r="N148" i="2" s="1"/>
  <c r="AO147" i="2" a="1"/>
  <c r="AO147" i="2" s="1"/>
  <c r="AF147" i="2" a="1"/>
  <c r="AF147" i="2" s="1"/>
  <c r="L147" i="2" a="1"/>
  <c r="L147" i="2" s="1"/>
  <c r="AD146" i="2" a="1"/>
  <c r="AD146" i="2" s="1"/>
  <c r="U146" i="2" a="1"/>
  <c r="U146" i="2" s="1"/>
  <c r="K146" i="2" a="1"/>
  <c r="K146" i="2" s="1"/>
  <c r="AM144" i="2" a="1"/>
  <c r="AM144" i="2" s="1"/>
  <c r="AC144" i="2" a="1"/>
  <c r="AC144" i="2" s="1"/>
  <c r="I144" i="2" a="1"/>
  <c r="I144" i="2" s="1"/>
  <c r="AH142" i="2" a="1"/>
  <c r="AH142" i="2" s="1"/>
  <c r="Z142" i="2" a="1"/>
  <c r="Z142" i="2" s="1"/>
  <c r="T154" i="2" a="1"/>
  <c r="T154" i="2" s="1"/>
  <c r="S149" i="2" a="1"/>
  <c r="S149" i="2" s="1"/>
  <c r="K142" i="2" a="1"/>
  <c r="K142" i="2" s="1"/>
  <c r="C154" i="2" a="1"/>
  <c r="C154" i="2" s="1"/>
  <c r="C144" i="2" a="1"/>
  <c r="C144" i="2" s="1"/>
  <c r="AG160" i="2" a="1"/>
  <c r="AG160" i="2" s="1"/>
  <c r="O160" i="2" a="1"/>
  <c r="O160" i="2" s="1"/>
  <c r="AI159" i="2" a="1"/>
  <c r="AI159" i="2" s="1"/>
  <c r="Q159" i="2" a="1"/>
  <c r="Q159" i="2" s="1"/>
  <c r="AJ158" i="2" a="1"/>
  <c r="AJ158" i="2" s="1"/>
  <c r="Z158" i="2" a="1"/>
  <c r="Z158" i="2" s="1"/>
  <c r="P158" i="2" a="1"/>
  <c r="P158" i="2" s="1"/>
  <c r="E158" i="2" a="1"/>
  <c r="E158" i="2" s="1"/>
  <c r="AG157" i="2" a="1"/>
  <c r="AG157" i="2" s="1"/>
  <c r="W157" i="2" a="1"/>
  <c r="W157" i="2" s="1"/>
  <c r="AI155" i="2" a="1"/>
  <c r="AI155" i="2" s="1"/>
  <c r="W155" i="2" a="1"/>
  <c r="W155" i="2" s="1"/>
  <c r="L155" i="2" a="1"/>
  <c r="L155" i="2" s="1"/>
  <c r="AM154" i="2" a="1"/>
  <c r="AM154" i="2" s="1"/>
  <c r="AA154" i="2" a="1"/>
  <c r="AA154" i="2" s="1"/>
  <c r="P154" i="2" a="1"/>
  <c r="P154" i="2" s="1"/>
  <c r="E154" i="2" a="1"/>
  <c r="E154" i="2" s="1"/>
  <c r="AE153" i="2" a="1"/>
  <c r="AE153" i="2" s="1"/>
  <c r="T153" i="2" a="1"/>
  <c r="T153" i="2" s="1"/>
  <c r="AI152" i="2" a="1"/>
  <c r="AI152" i="2" s="1"/>
  <c r="X152" i="2" a="1"/>
  <c r="X152" i="2" s="1"/>
  <c r="L152" i="2" a="1"/>
  <c r="L152" i="2" s="1"/>
  <c r="AM151" i="2" a="1"/>
  <c r="AM151" i="2" s="1"/>
  <c r="AB151" i="2" a="1"/>
  <c r="AB151" i="2" s="1"/>
  <c r="P151" i="2" a="1"/>
  <c r="P151" i="2" s="1"/>
  <c r="E151" i="2" a="1"/>
  <c r="E151" i="2" s="1"/>
  <c r="AJ149" i="2" a="1"/>
  <c r="AJ149" i="2" s="1"/>
  <c r="Z149" i="2" a="1"/>
  <c r="Z149" i="2" s="1"/>
  <c r="AH148" i="2" a="1"/>
  <c r="AH148" i="2" s="1"/>
  <c r="W148" i="2" a="1"/>
  <c r="W148" i="2" s="1"/>
  <c r="M148" i="2" a="1"/>
  <c r="M148" i="2" s="1"/>
  <c r="AN147" i="2" a="1"/>
  <c r="AN147" i="2" s="1"/>
  <c r="AE147" i="2" a="1"/>
  <c r="AE147" i="2" s="1"/>
  <c r="U147" i="2" a="1"/>
  <c r="U147" i="2" s="1"/>
  <c r="K147" i="2" a="1"/>
  <c r="K147" i="2" s="1"/>
  <c r="AN146" i="2" a="1"/>
  <c r="AN146" i="2" s="1"/>
  <c r="T146" i="2" a="1"/>
  <c r="T146" i="2" s="1"/>
  <c r="J146" i="2" a="1"/>
  <c r="J146" i="2" s="1"/>
  <c r="AL144" i="2" a="1"/>
  <c r="AL144" i="2" s="1"/>
  <c r="AB144" i="2" a="1"/>
  <c r="AB144" i="2" s="1"/>
  <c r="S144" i="2" a="1"/>
  <c r="S144" i="2" s="1"/>
  <c r="H144" i="2" a="1"/>
  <c r="H144" i="2" s="1"/>
  <c r="AG142" i="2" a="1"/>
  <c r="AG142" i="2" s="1"/>
  <c r="Y142" i="2" a="1"/>
  <c r="Y142" i="2" s="1"/>
  <c r="Q142" i="2" a="1"/>
  <c r="Q142" i="2" s="1"/>
  <c r="H142" i="2" a="1"/>
  <c r="H142" i="2" s="1"/>
  <c r="Z154" i="2" a="1"/>
  <c r="Z154" i="2" s="1"/>
  <c r="Y149" i="2" a="1"/>
  <c r="Y149" i="2" s="1"/>
  <c r="E149" i="2" a="1"/>
  <c r="E149" i="2" s="1"/>
  <c r="AO142" i="2" a="1"/>
  <c r="AO142" i="2" s="1"/>
  <c r="X142" i="2" a="1"/>
  <c r="X142" i="2" s="1"/>
  <c r="P142" i="2" a="1"/>
  <c r="P142" i="2" s="1"/>
  <c r="G142" i="2" a="1"/>
  <c r="G142" i="2" s="1"/>
  <c r="AL154" i="2" a="1"/>
  <c r="AL154" i="2" s="1"/>
  <c r="O154" i="2" a="1"/>
  <c r="O154" i="2" s="1"/>
  <c r="D154" i="2" a="1"/>
  <c r="D154" i="2" s="1"/>
  <c r="P149" i="2" a="1"/>
  <c r="P149" i="2" s="1"/>
  <c r="C142" i="2" a="1"/>
  <c r="C142" i="2" s="1"/>
  <c r="C152" i="2" a="1"/>
  <c r="C152" i="2" s="1"/>
  <c r="AO160" i="2" a="1"/>
  <c r="AO160" i="2" s="1"/>
  <c r="AF160" i="2" a="1"/>
  <c r="AF160" i="2" s="1"/>
  <c r="W160" i="2" a="1"/>
  <c r="W160" i="2" s="1"/>
  <c r="N160" i="2" a="1"/>
  <c r="N160" i="2" s="1"/>
  <c r="E160" i="2" a="1"/>
  <c r="E160" i="2" s="1"/>
  <c r="AH159" i="2" a="1"/>
  <c r="AH159" i="2" s="1"/>
  <c r="Y159" i="2" a="1"/>
  <c r="Y159" i="2" s="1"/>
  <c r="P159" i="2" a="1"/>
  <c r="P159" i="2" s="1"/>
  <c r="G159" i="2" a="1"/>
  <c r="G159" i="2" s="1"/>
  <c r="X158" i="2" a="1"/>
  <c r="X158" i="2" s="1"/>
  <c r="N158" i="2" a="1"/>
  <c r="N158" i="2" s="1"/>
  <c r="D158" i="2" a="1"/>
  <c r="D158" i="2" s="1"/>
  <c r="AE157" i="2" a="1"/>
  <c r="AE157" i="2" s="1"/>
  <c r="U157" i="2" a="1"/>
  <c r="U157" i="2" s="1"/>
  <c r="K157" i="2" a="1"/>
  <c r="K157" i="2" s="1"/>
  <c r="AG155" i="2" a="1"/>
  <c r="AG155" i="2" s="1"/>
  <c r="V155" i="2" a="1"/>
  <c r="V155" i="2" s="1"/>
  <c r="J155" i="2" a="1"/>
  <c r="J155" i="2" s="1"/>
  <c r="AK154" i="2" a="1"/>
  <c r="AK154" i="2" s="1"/>
  <c r="Y154" i="2" a="1"/>
  <c r="Y154" i="2" s="1"/>
  <c r="N154" i="2" a="1"/>
  <c r="N154" i="2" s="1"/>
  <c r="AO153" i="2" a="1"/>
  <c r="AO153" i="2" s="1"/>
  <c r="AC153" i="2" a="1"/>
  <c r="AC153" i="2" s="1"/>
  <c r="R153" i="2" a="1"/>
  <c r="R153" i="2" s="1"/>
  <c r="G153" i="2" a="1"/>
  <c r="G153" i="2" s="1"/>
  <c r="AG152" i="2" a="1"/>
  <c r="AG152" i="2" s="1"/>
  <c r="V152" i="2" a="1"/>
  <c r="V152" i="2" s="1"/>
  <c r="AK151" i="2" a="1"/>
  <c r="AK151" i="2" s="1"/>
  <c r="Z151" i="2" a="1"/>
  <c r="Z151" i="2" s="1"/>
  <c r="N151" i="2" a="1"/>
  <c r="N151" i="2" s="1"/>
  <c r="AI149" i="2" a="1"/>
  <c r="AI149" i="2" s="1"/>
  <c r="X149" i="2" a="1"/>
  <c r="X149" i="2" s="1"/>
  <c r="O149" i="2" a="1"/>
  <c r="O149" i="2" s="1"/>
  <c r="D149" i="2" a="1"/>
  <c r="D149" i="2" s="1"/>
  <c r="AF148" i="2" a="1"/>
  <c r="AF148" i="2" s="1"/>
  <c r="U148" i="2" a="1"/>
  <c r="U148" i="2" s="1"/>
  <c r="K148" i="2" a="1"/>
  <c r="K148" i="2" s="1"/>
  <c r="AM147" i="2" a="1"/>
  <c r="AM147" i="2" s="1"/>
  <c r="AC147" i="2" a="1"/>
  <c r="AC147" i="2" s="1"/>
  <c r="T147" i="2" a="1"/>
  <c r="T147" i="2" s="1"/>
  <c r="AL146" i="2" a="1"/>
  <c r="AL146" i="2" s="1"/>
  <c r="AB146" i="2" a="1"/>
  <c r="AB146" i="2" s="1"/>
  <c r="R146" i="2" a="1"/>
  <c r="R146" i="2" s="1"/>
  <c r="H146" i="2" a="1"/>
  <c r="H146" i="2" s="1"/>
  <c r="AK144" i="2" a="1"/>
  <c r="AK144" i="2" s="1"/>
  <c r="Z144" i="2" a="1"/>
  <c r="Z144" i="2" s="1"/>
  <c r="Q144" i="2" a="1"/>
  <c r="Q144" i="2" s="1"/>
  <c r="G144" i="2" a="1"/>
  <c r="G144" i="2" s="1"/>
  <c r="AF142" i="2" a="1"/>
  <c r="AF142" i="2" s="1"/>
  <c r="O142" i="2" a="1"/>
  <c r="O142" i="2" s="1"/>
  <c r="F142" i="2" a="1"/>
  <c r="F142" i="2" s="1"/>
  <c r="AN142" i="2" a="1"/>
  <c r="AN142" i="2" s="1"/>
  <c r="AE142" i="2" a="1"/>
  <c r="AE142" i="2" s="1"/>
  <c r="W142" i="2" a="1"/>
  <c r="W142" i="2" s="1"/>
  <c r="C160" i="2" a="1"/>
  <c r="C160" i="2" s="1"/>
  <c r="C151" i="2" a="1"/>
  <c r="C151" i="2" s="1"/>
  <c r="AM160" i="2" a="1"/>
  <c r="AM160" i="2" s="1"/>
  <c r="U160" i="2" a="1"/>
  <c r="U160" i="2" s="1"/>
  <c r="AO159" i="2" a="1"/>
  <c r="AO159" i="2" s="1"/>
  <c r="W159" i="2" a="1"/>
  <c r="W159" i="2" s="1"/>
  <c r="E159" i="2" a="1"/>
  <c r="E159" i="2" s="1"/>
  <c r="AG158" i="2" a="1"/>
  <c r="AG158" i="2" s="1"/>
  <c r="L158" i="2" a="1"/>
  <c r="L158" i="2" s="1"/>
  <c r="AN157" i="2" a="1"/>
  <c r="AN157" i="2" s="1"/>
  <c r="AD157" i="2" a="1"/>
  <c r="AD157" i="2" s="1"/>
  <c r="S157" i="2" a="1"/>
  <c r="S157" i="2" s="1"/>
  <c r="I157" i="2" a="1"/>
  <c r="I157" i="2" s="1"/>
  <c r="AE155" i="2" a="1"/>
  <c r="AE155" i="2" s="1"/>
  <c r="T155" i="2" a="1"/>
  <c r="T155" i="2" s="1"/>
  <c r="H155" i="2" a="1"/>
  <c r="H155" i="2" s="1"/>
  <c r="AI154" i="2" a="1"/>
  <c r="AI154" i="2" s="1"/>
  <c r="X154" i="2" a="1"/>
  <c r="X154" i="2" s="1"/>
  <c r="L154" i="2" a="1"/>
  <c r="L154" i="2" s="1"/>
  <c r="AM153" i="2" a="1"/>
  <c r="AM153" i="2" s="1"/>
  <c r="AA153" i="2" a="1"/>
  <c r="AA153" i="2" s="1"/>
  <c r="P153" i="2" a="1"/>
  <c r="P153" i="2" s="1"/>
  <c r="E153" i="2" a="1"/>
  <c r="E153" i="2" s="1"/>
  <c r="AE152" i="2" a="1"/>
  <c r="AE152" i="2" s="1"/>
  <c r="T152" i="2" a="1"/>
  <c r="T152" i="2" s="1"/>
  <c r="I152" i="2" a="1"/>
  <c r="I152" i="2" s="1"/>
  <c r="AI151" i="2" a="1"/>
  <c r="AI151" i="2" s="1"/>
  <c r="X151" i="2" a="1"/>
  <c r="X151" i="2" s="1"/>
  <c r="AH149" i="2" a="1"/>
  <c r="AH149" i="2" s="1"/>
  <c r="W149" i="2" a="1"/>
  <c r="W149" i="2" s="1"/>
  <c r="M149" i="2" a="1"/>
  <c r="M149" i="2" s="1"/>
  <c r="AN148" i="2" a="1"/>
  <c r="AN148" i="2" s="1"/>
  <c r="AD148" i="2" a="1"/>
  <c r="AD148" i="2" s="1"/>
  <c r="I148" i="2" a="1"/>
  <c r="I148" i="2" s="1"/>
  <c r="AL147" i="2" a="1"/>
  <c r="AL147" i="2" s="1"/>
  <c r="R147" i="2" a="1"/>
  <c r="R147" i="2" s="1"/>
  <c r="H147" i="2" a="1"/>
  <c r="H147" i="2" s="1"/>
  <c r="AJ146" i="2" a="1"/>
  <c r="AJ146" i="2" s="1"/>
  <c r="Z146" i="2" a="1"/>
  <c r="Z146" i="2" s="1"/>
  <c r="Q146" i="2" a="1"/>
  <c r="Q146" i="2" s="1"/>
  <c r="F146" i="2" a="1"/>
  <c r="F146" i="2" s="1"/>
  <c r="AI144" i="2" a="1"/>
  <c r="AI144" i="2" s="1"/>
  <c r="Y144" i="2" a="1"/>
  <c r="Y144" i="2" s="1"/>
  <c r="O144" i="2" a="1"/>
  <c r="O144" i="2" s="1"/>
  <c r="F144" i="2" a="1"/>
  <c r="F144" i="2" s="1"/>
  <c r="AM142" i="2" a="1"/>
  <c r="AM142" i="2" s="1"/>
  <c r="AD142" i="2" a="1"/>
  <c r="AD142" i="2" s="1"/>
  <c r="N142" i="2" a="1"/>
  <c r="N142" i="2" s="1"/>
  <c r="E142" i="2" a="1"/>
  <c r="E142" i="2" s="1"/>
  <c r="M154" i="2" a="1"/>
  <c r="M154" i="2" s="1"/>
  <c r="C159" i="2" a="1"/>
  <c r="C159" i="2" s="1"/>
  <c r="AD160" i="2" a="1"/>
  <c r="AD160" i="2" s="1"/>
  <c r="AF159" i="2" a="1"/>
  <c r="AF159" i="2" s="1"/>
  <c r="N159" i="2" a="1"/>
  <c r="N159" i="2" s="1"/>
  <c r="AF158" i="2" a="1"/>
  <c r="AF158" i="2" s="1"/>
  <c r="V158" i="2" a="1"/>
  <c r="V158" i="2" s="1"/>
  <c r="AM157" i="2" a="1"/>
  <c r="AM157" i="2" s="1"/>
  <c r="AC157" i="2" a="1"/>
  <c r="AC157" i="2" s="1"/>
  <c r="AO155" i="2" a="1"/>
  <c r="AO155" i="2" s="1"/>
  <c r="AD155" i="2" a="1"/>
  <c r="AD155" i="2" s="1"/>
  <c r="S155" i="2" a="1"/>
  <c r="S155" i="2" s="1"/>
  <c r="AH154" i="2" a="1"/>
  <c r="AH154" i="2" s="1"/>
  <c r="W154" i="2" a="1"/>
  <c r="W154" i="2" s="1"/>
  <c r="AL153" i="2" a="1"/>
  <c r="AL153" i="2" s="1"/>
  <c r="O153" i="2" a="1"/>
  <c r="O153" i="2" s="1"/>
  <c r="AD152" i="2" a="1"/>
  <c r="AD152" i="2" s="1"/>
  <c r="S152" i="2" a="1"/>
  <c r="S152" i="2" s="1"/>
  <c r="AH151" i="2" a="1"/>
  <c r="AH151" i="2" s="1"/>
  <c r="W151" i="2" a="1"/>
  <c r="W151" i="2" s="1"/>
  <c r="AG149" i="2" a="1"/>
  <c r="AG149" i="2" s="1"/>
  <c r="V149" i="2" a="1"/>
  <c r="V149" i="2" s="1"/>
  <c r="AM148" i="2" a="1"/>
  <c r="AM148" i="2" s="1"/>
  <c r="AC148" i="2" a="1"/>
  <c r="AC148" i="2" s="1"/>
  <c r="S148" i="2" a="1"/>
  <c r="S148" i="2" s="1"/>
  <c r="AK147" i="2" a="1"/>
  <c r="AK147" i="2" s="1"/>
  <c r="AA147" i="2" a="1"/>
  <c r="AA147" i="2" s="1"/>
  <c r="Q147" i="2" a="1"/>
  <c r="Q147" i="2" s="1"/>
  <c r="Y146" i="2" a="1"/>
  <c r="Y146" i="2" s="1"/>
  <c r="AH144" i="2" a="1"/>
  <c r="AH144" i="2" s="1"/>
  <c r="N144" i="2" a="1"/>
  <c r="N144" i="2" s="1"/>
  <c r="V142" i="2" a="1"/>
  <c r="V142" i="2" s="1"/>
  <c r="M142" i="2" a="1"/>
  <c r="M142" i="2" s="1"/>
  <c r="AN36" i="6" l="1"/>
  <c r="AN38" i="6" s="1"/>
  <c r="AO36" i="6"/>
  <c r="AP36" i="6"/>
  <c r="AP38" i="6" l="1"/>
  <c r="AO38" i="6"/>
  <c r="G39" i="6" l="1"/>
  <c r="G41" i="6" s="1"/>
  <c r="G36" i="6"/>
  <c r="G47" i="6"/>
  <c r="H47" i="6"/>
  <c r="I47" i="6"/>
  <c r="J47" i="6"/>
  <c r="K47" i="6"/>
  <c r="L47" i="6"/>
  <c r="M47" i="6"/>
  <c r="N47" i="6"/>
  <c r="O47" i="6"/>
  <c r="P47" i="6"/>
  <c r="Q47" i="6"/>
  <c r="AN39" i="6" l="1"/>
  <c r="AP39" i="6"/>
  <c r="AO39" i="6"/>
  <c r="AN37" i="6"/>
  <c r="AP37" i="6"/>
  <c r="AO37" i="6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I59" i="6" s="1"/>
  <c r="H33" i="2"/>
  <c r="H59" i="6" s="1"/>
  <c r="G33" i="2"/>
  <c r="G59" i="6" s="1"/>
  <c r="F33" i="2"/>
  <c r="F59" i="6" s="1"/>
  <c r="E33" i="2"/>
  <c r="E59" i="6" s="1"/>
  <c r="D33" i="2"/>
  <c r="D59" i="6" s="1"/>
  <c r="C33" i="2"/>
  <c r="C59" i="6" s="1"/>
  <c r="B33" i="2"/>
  <c r="B59" i="6" s="1"/>
  <c r="A33" i="2"/>
  <c r="A59" i="6" s="1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J54" i="6" s="1"/>
  <c r="I28" i="2"/>
  <c r="I54" i="6" s="1"/>
  <c r="H28" i="2"/>
  <c r="H54" i="6" s="1"/>
  <c r="G28" i="2"/>
  <c r="G54" i="6" s="1"/>
  <c r="F28" i="2"/>
  <c r="F54" i="6" s="1"/>
  <c r="E28" i="2"/>
  <c r="E54" i="6" s="1"/>
  <c r="D28" i="2"/>
  <c r="D54" i="6" s="1"/>
  <c r="C28" i="2"/>
  <c r="C54" i="6" s="1"/>
  <c r="B28" i="2"/>
  <c r="B54" i="6" s="1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J53" i="6" s="1"/>
  <c r="I27" i="2"/>
  <c r="I53" i="6" s="1"/>
  <c r="H27" i="2"/>
  <c r="H53" i="6" s="1"/>
  <c r="G27" i="2"/>
  <c r="G53" i="6" s="1"/>
  <c r="F27" i="2"/>
  <c r="F53" i="6" s="1"/>
  <c r="E27" i="2"/>
  <c r="E53" i="6" s="1"/>
  <c r="D27" i="2"/>
  <c r="D53" i="6" s="1"/>
  <c r="C27" i="2"/>
  <c r="C53" i="6" s="1"/>
  <c r="B27" i="2"/>
  <c r="B53" i="6" s="1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J52" i="6" s="1"/>
  <c r="I26" i="2"/>
  <c r="I52" i="6" s="1"/>
  <c r="H26" i="2"/>
  <c r="H52" i="6" s="1"/>
  <c r="G26" i="2"/>
  <c r="G52" i="6" s="1"/>
  <c r="F26" i="2"/>
  <c r="F52" i="6" s="1"/>
  <c r="E26" i="2"/>
  <c r="E52" i="6" s="1"/>
  <c r="D26" i="2"/>
  <c r="D52" i="6" s="1"/>
  <c r="C26" i="2"/>
  <c r="C52" i="6" s="1"/>
  <c r="B26" i="2"/>
  <c r="B52" i="6" s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K59" i="6" l="1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J59" i="6"/>
  <c r="L52" i="6"/>
  <c r="M52" i="6"/>
  <c r="O52" i="6"/>
  <c r="P52" i="6"/>
  <c r="R52" i="6"/>
  <c r="S52" i="6"/>
  <c r="X52" i="6"/>
  <c r="Y52" i="6"/>
  <c r="AA52" i="6"/>
  <c r="AB52" i="6"/>
  <c r="AC52" i="6"/>
  <c r="AD52" i="6"/>
  <c r="AE52" i="6"/>
  <c r="AG52" i="6"/>
  <c r="AJ52" i="6"/>
  <c r="AK52" i="6"/>
  <c r="AM52" i="6"/>
  <c r="AN52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K53" i="6"/>
  <c r="K54" i="6"/>
  <c r="K52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6" i="6"/>
  <c r="AM38" i="6" s="1"/>
  <c r="AL36" i="6"/>
  <c r="AL38" i="6" s="1"/>
  <c r="AK36" i="6"/>
  <c r="AK38" i="6" s="1"/>
  <c r="AJ36" i="6"/>
  <c r="AJ38" i="6" s="1"/>
  <c r="AI36" i="6"/>
  <c r="AH36" i="6"/>
  <c r="AG36" i="6"/>
  <c r="AF36" i="6"/>
  <c r="AF38" i="6" s="1"/>
  <c r="AE36" i="6"/>
  <c r="AE38" i="6" s="1"/>
  <c r="AD36" i="6"/>
  <c r="AD38" i="6" s="1"/>
  <c r="AC36" i="6"/>
  <c r="AB36" i="6"/>
  <c r="AB38" i="6" s="1"/>
  <c r="AA36" i="6"/>
  <c r="AA38" i="6" s="1"/>
  <c r="Z36" i="6"/>
  <c r="Z38" i="6" s="1"/>
  <c r="Y36" i="6"/>
  <c r="Y38" i="6" s="1"/>
  <c r="X36" i="6"/>
  <c r="X38" i="6" s="1"/>
  <c r="W36" i="6"/>
  <c r="W38" i="6" s="1"/>
  <c r="V36" i="6"/>
  <c r="V38" i="6" s="1"/>
  <c r="U36" i="6"/>
  <c r="U38" i="6" s="1"/>
  <c r="T36" i="6"/>
  <c r="T38" i="6" s="1"/>
  <c r="S36" i="6"/>
  <c r="S38" i="6" s="1"/>
  <c r="R36" i="6"/>
  <c r="R38" i="6" s="1"/>
  <c r="Q36" i="6"/>
  <c r="P36" i="6"/>
  <c r="P38" i="6" s="1"/>
  <c r="O36" i="6"/>
  <c r="O38" i="6" s="1"/>
  <c r="N36" i="6"/>
  <c r="N38" i="6" s="1"/>
  <c r="M36" i="6"/>
  <c r="M38" i="6" s="1"/>
  <c r="L36" i="6"/>
  <c r="L38" i="6" s="1"/>
  <c r="K36" i="6"/>
  <c r="J36" i="6"/>
  <c r="I36" i="6"/>
  <c r="H36" i="6"/>
  <c r="K37" i="5" l="1"/>
  <c r="K36" i="5"/>
  <c r="J42" i="5"/>
  <c r="Q38" i="6"/>
  <c r="K38" i="6"/>
  <c r="J38" i="6"/>
  <c r="AI38" i="6"/>
  <c r="AH38" i="6"/>
  <c r="AG38" i="6"/>
  <c r="AC38" i="6"/>
  <c r="M26" i="5"/>
  <c r="L27" i="5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1" i="1"/>
  <c r="C10" i="1"/>
  <c r="C8" i="1"/>
  <c r="O36" i="5" l="1"/>
  <c r="N35" i="5"/>
  <c r="N52" i="6" s="1"/>
  <c r="O37" i="5"/>
  <c r="Q26" i="5"/>
  <c r="P27" i="5"/>
  <c r="O42" i="5" s="1"/>
  <c r="B33" i="6"/>
  <c r="C33" i="6"/>
  <c r="D33" i="6"/>
  <c r="E33" i="6"/>
  <c r="F33" i="6"/>
  <c r="A33" i="6"/>
  <c r="C47" i="6"/>
  <c r="C41" i="6" s="1"/>
  <c r="D47" i="6"/>
  <c r="D41" i="6" s="1"/>
  <c r="E47" i="6"/>
  <c r="E41" i="6" s="1"/>
  <c r="F47" i="6"/>
  <c r="F41" i="6" s="1"/>
  <c r="B47" i="6"/>
  <c r="B41" i="6" s="1"/>
  <c r="B45" i="6"/>
  <c r="C45" i="6" s="1"/>
  <c r="D45" i="6" s="1"/>
  <c r="E45" i="6" s="1"/>
  <c r="F45" i="6" s="1"/>
  <c r="C7" i="1"/>
  <c r="P37" i="5" l="1"/>
  <c r="P36" i="5"/>
  <c r="O35" i="5"/>
  <c r="AM37" i="6"/>
  <c r="AI37" i="6"/>
  <c r="AL37" i="6"/>
  <c r="AK37" i="6"/>
  <c r="AJ37" i="6"/>
  <c r="AA37" i="6"/>
  <c r="AC37" i="6"/>
  <c r="AE39" i="6"/>
  <c r="Z37" i="6"/>
  <c r="AD39" i="6"/>
  <c r="Y37" i="6"/>
  <c r="AB37" i="6"/>
  <c r="AF39" i="6"/>
  <c r="AG39" i="6"/>
  <c r="AH39" i="6"/>
  <c r="H37" i="6"/>
  <c r="L39" i="6"/>
  <c r="G37" i="6"/>
  <c r="M39" i="6"/>
  <c r="I37" i="6"/>
  <c r="N39" i="6"/>
  <c r="K39" i="6"/>
  <c r="J39" i="6"/>
  <c r="AG37" i="6"/>
  <c r="AD37" i="6"/>
  <c r="AM39" i="6"/>
  <c r="AJ39" i="6"/>
  <c r="AK39" i="6"/>
  <c r="AL39" i="6"/>
  <c r="AF37" i="6"/>
  <c r="AH37" i="6"/>
  <c r="AE37" i="6"/>
  <c r="AI39" i="6"/>
  <c r="Y39" i="6"/>
  <c r="X37" i="6"/>
  <c r="AA39" i="6"/>
  <c r="Z39" i="6"/>
  <c r="W37" i="6"/>
  <c r="V37" i="6"/>
  <c r="U37" i="6"/>
  <c r="AB39" i="6"/>
  <c r="T37" i="6"/>
  <c r="AC39" i="6"/>
  <c r="W39" i="6"/>
  <c r="S37" i="6"/>
  <c r="X39" i="6"/>
  <c r="Q37" i="6"/>
  <c r="R37" i="6"/>
  <c r="O37" i="6"/>
  <c r="V39" i="6"/>
  <c r="U39" i="6"/>
  <c r="T39" i="6"/>
  <c r="P37" i="6"/>
  <c r="S39" i="6"/>
  <c r="L37" i="6"/>
  <c r="K37" i="6"/>
  <c r="J37" i="6"/>
  <c r="O39" i="6"/>
  <c r="R39" i="6"/>
  <c r="N37" i="6"/>
  <c r="P39" i="6"/>
  <c r="M37" i="6"/>
  <c r="Q39" i="6"/>
  <c r="R26" i="5"/>
  <c r="Q27" i="5"/>
  <c r="P42" i="5" s="1"/>
  <c r="Q37" i="5" l="1"/>
  <c r="Q36" i="5"/>
  <c r="P35" i="5"/>
  <c r="S26" i="5"/>
  <c r="R27" i="5"/>
  <c r="Q42" i="5" s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M17" i="6"/>
  <c r="Y17" i="6"/>
  <c r="AK17" i="6"/>
  <c r="K18" i="6"/>
  <c r="W18" i="6"/>
  <c r="AI18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E28" i="6"/>
  <c r="Q28" i="6"/>
  <c r="AC28" i="6"/>
  <c r="B11" i="6"/>
  <c r="B24" i="6"/>
  <c r="B25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N17" i="6"/>
  <c r="Z17" i="6"/>
  <c r="AL17" i="6"/>
  <c r="L18" i="6"/>
  <c r="X18" i="6"/>
  <c r="AJ18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AF27" i="6"/>
  <c r="F28" i="6"/>
  <c r="R28" i="6"/>
  <c r="AD28" i="6"/>
  <c r="B12" i="6"/>
  <c r="B27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C17" i="6"/>
  <c r="O17" i="6"/>
  <c r="AA17" i="6"/>
  <c r="AM17" i="6"/>
  <c r="M18" i="6"/>
  <c r="Y18" i="6"/>
  <c r="AK18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G28" i="6"/>
  <c r="S28" i="6"/>
  <c r="AE28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D17" i="6"/>
  <c r="P17" i="6"/>
  <c r="AB17" i="6"/>
  <c r="AN17" i="6"/>
  <c r="N18" i="6"/>
  <c r="Z18" i="6"/>
  <c r="AL18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H28" i="6"/>
  <c r="T28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E17" i="6"/>
  <c r="Q17" i="6"/>
  <c r="AC17" i="6"/>
  <c r="C18" i="6"/>
  <c r="O18" i="6"/>
  <c r="AA18" i="6"/>
  <c r="AM18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I28" i="6"/>
  <c r="U28" i="6"/>
  <c r="AG28" i="6"/>
  <c r="B15" i="6"/>
  <c r="B28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F17" i="6"/>
  <c r="R17" i="6"/>
  <c r="AD17" i="6"/>
  <c r="D18" i="6"/>
  <c r="P18" i="6"/>
  <c r="AB18" i="6"/>
  <c r="AN18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J28" i="6"/>
  <c r="V28" i="6"/>
  <c r="AH28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G17" i="6"/>
  <c r="S17" i="6"/>
  <c r="AE17" i="6"/>
  <c r="E18" i="6"/>
  <c r="Q18" i="6"/>
  <c r="AC18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K28" i="6"/>
  <c r="W28" i="6"/>
  <c r="AI28" i="6"/>
  <c r="B17" i="6"/>
  <c r="B20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H17" i="6"/>
  <c r="T17" i="6"/>
  <c r="AF17" i="6"/>
  <c r="F18" i="6"/>
  <c r="R18" i="6"/>
  <c r="AD18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L28" i="6"/>
  <c r="X28" i="6"/>
  <c r="AJ28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I17" i="6"/>
  <c r="U17" i="6"/>
  <c r="AG17" i="6"/>
  <c r="G18" i="6"/>
  <c r="S18" i="6"/>
  <c r="AE18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M28" i="6"/>
  <c r="Y28" i="6"/>
  <c r="AK28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J17" i="6"/>
  <c r="V17" i="6"/>
  <c r="AH17" i="6"/>
  <c r="H18" i="6"/>
  <c r="T18" i="6"/>
  <c r="AF18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N28" i="6"/>
  <c r="Z28" i="6"/>
  <c r="AL28" i="6"/>
  <c r="B21" i="6"/>
  <c r="AF28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K17" i="6"/>
  <c r="W17" i="6"/>
  <c r="AI17" i="6"/>
  <c r="I18" i="6"/>
  <c r="U18" i="6"/>
  <c r="AG18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C28" i="6"/>
  <c r="O28" i="6"/>
  <c r="AA28" i="6"/>
  <c r="AM28" i="6"/>
  <c r="B22" i="6"/>
  <c r="B26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L17" i="6"/>
  <c r="X17" i="6"/>
  <c r="AJ17" i="6"/>
  <c r="J18" i="6"/>
  <c r="V18" i="6"/>
  <c r="AH18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D28" i="6"/>
  <c r="P28" i="6"/>
  <c r="AB28" i="6"/>
  <c r="AN28" i="6"/>
  <c r="B23" i="6"/>
  <c r="R36" i="5" l="1"/>
  <c r="Q35" i="5"/>
  <c r="Q52" i="6" s="1"/>
  <c r="R37" i="5"/>
  <c r="T26" i="5"/>
  <c r="S27" i="5"/>
  <c r="R42" i="5" s="1"/>
  <c r="Z7" i="6"/>
  <c r="M7" i="6"/>
  <c r="AL7" i="6"/>
  <c r="Y7" i="6"/>
  <c r="L7" i="6"/>
  <c r="R7" i="6"/>
  <c r="T7" i="6"/>
  <c r="S7" i="6"/>
  <c r="AG7" i="6"/>
  <c r="H7" i="6"/>
  <c r="G7" i="6"/>
  <c r="AE7" i="6"/>
  <c r="AH7" i="6"/>
  <c r="U7" i="6"/>
  <c r="B7" i="6"/>
  <c r="V7" i="6"/>
  <c r="I7" i="6"/>
  <c r="AI7" i="6"/>
  <c r="J7" i="6"/>
  <c r="AN7" i="6"/>
  <c r="AM7" i="6"/>
  <c r="AF7" i="6"/>
  <c r="W7" i="6"/>
  <c r="AB7" i="6"/>
  <c r="AA7" i="6"/>
  <c r="K7" i="6"/>
  <c r="AC7" i="6"/>
  <c r="P7" i="6"/>
  <c r="O7" i="6"/>
  <c r="F7" i="6"/>
  <c r="AJ7" i="6"/>
  <c r="Q7" i="6"/>
  <c r="D7" i="6"/>
  <c r="C7" i="6"/>
  <c r="N7" i="6"/>
  <c r="AK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AM6" i="6"/>
  <c r="N6" i="6"/>
  <c r="U6" i="6"/>
  <c r="W6" i="6"/>
  <c r="AE6" i="6"/>
  <c r="M6" i="6"/>
  <c r="AH6" i="6"/>
  <c r="P6" i="6"/>
  <c r="AJ6" i="6"/>
  <c r="AD6" i="6"/>
  <c r="AK6" i="6"/>
  <c r="AN6" i="6"/>
  <c r="F6" i="6"/>
  <c r="J6" i="6"/>
  <c r="S6" i="6"/>
  <c r="L6" i="6"/>
  <c r="H6" i="6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T52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U52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V52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W52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Z52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AF52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H52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I52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L52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  <c r="H39" i="6"/>
  <c r="I39" i="6" s="1"/>
  <c r="G33" i="6"/>
  <c r="H41" i="6" l="1"/>
  <c r="I41" i="6" s="1"/>
  <c r="J41" i="6" s="1"/>
  <c r="K41" i="6" s="1"/>
  <c r="L41" i="6" s="1"/>
  <c r="M41" i="6" s="1"/>
  <c r="N41" i="6" s="1"/>
  <c r="O41" i="6" s="1"/>
  <c r="P41" i="6" s="1"/>
  <c r="Q41" i="6" s="1"/>
  <c r="R41" i="6" s="1"/>
  <c r="S41" i="6" s="1"/>
  <c r="T41" i="6" s="1"/>
  <c r="U41" i="6" s="1"/>
  <c r="V41" i="6" s="1"/>
  <c r="W41" i="6" s="1"/>
  <c r="X41" i="6" s="1"/>
  <c r="Y41" i="6" s="1"/>
  <c r="Z41" i="6" s="1"/>
  <c r="AA41" i="6" s="1"/>
  <c r="AB41" i="6" s="1"/>
  <c r="AC41" i="6" s="1"/>
  <c r="AD41" i="6" s="1"/>
  <c r="AE41" i="6" s="1"/>
  <c r="AF41" i="6" s="1"/>
  <c r="AG41" i="6" s="1"/>
  <c r="AH41" i="6" s="1"/>
  <c r="AI41" i="6" s="1"/>
  <c r="AJ41" i="6" s="1"/>
  <c r="AK41" i="6" s="1"/>
  <c r="AL41" i="6" s="1"/>
  <c r="AM41" i="6" s="1"/>
  <c r="AN41" i="6" s="1"/>
  <c r="AO41" i="6" s="1"/>
  <c r="AP41" i="6" s="1"/>
  <c r="H33" i="6" l="1"/>
  <c r="I33" i="6" s="1"/>
  <c r="J33" i="6" s="1"/>
  <c r="K33" i="6" s="1"/>
  <c r="L33" i="6" s="1"/>
  <c r="M33" i="6" s="1"/>
  <c r="N33" i="6" s="1"/>
  <c r="O33" i="6" l="1"/>
  <c r="P33" i="6" s="1"/>
  <c r="Q33" i="6" s="1"/>
  <c r="R33" i="6" s="1"/>
  <c r="S33" i="6" s="1"/>
  <c r="H48" i="6"/>
  <c r="H49" i="6" s="1"/>
  <c r="T33" i="6" l="1"/>
  <c r="U33" i="6" s="1"/>
  <c r="V33" i="6" s="1"/>
  <c r="W33" i="6" s="1"/>
  <c r="X33" i="6" s="1"/>
  <c r="I48" i="6"/>
  <c r="I49" i="6" s="1"/>
  <c r="Y33" i="6" l="1"/>
  <c r="Z33" i="6" s="1"/>
  <c r="AA33" i="6" s="1"/>
  <c r="AB33" i="6" s="1"/>
  <c r="AC33" i="6" s="1"/>
  <c r="J48" i="6"/>
  <c r="J49" i="6" s="1"/>
  <c r="AD33" i="6" l="1"/>
  <c r="AE33" i="6" s="1"/>
  <c r="AF33" i="6" s="1"/>
  <c r="AG33" i="6" s="1"/>
  <c r="AH33" i="6" s="1"/>
  <c r="K48" i="6"/>
  <c r="K49" i="6" s="1"/>
  <c r="AI33" i="6" l="1"/>
  <c r="AJ33" i="6" s="1"/>
  <c r="AK33" i="6" s="1"/>
  <c r="AL33" i="6" s="1"/>
  <c r="AM33" i="6" s="1"/>
  <c r="M48" i="6" s="1"/>
  <c r="M49" i="6" s="1"/>
  <c r="L48" i="6"/>
  <c r="L4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1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<sst xmlns="http://schemas.openxmlformats.org/spreadsheetml/2006/main" count="1018" uniqueCount="183">
  <si>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</si>
  <si>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</si>
  <si>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</si>
  <si>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</si>
  <si>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</si>
  <si>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</si>
  <si>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</si>
  <si>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</si>
  <si>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</si>
  <si>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</si>
  <si>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</si>
  <si>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</si>
  <si>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</si>
  <si>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</si>
  <si>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</si>
  <si>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</si>
  <si>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</si>
  <si>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</si>
  <si>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</si>
  <si>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</si>
  <si>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</si>
  <si>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</si>
  <si>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</si>
  <si>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</si>
  <si>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</si>
  <si>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</si>
  <si>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</si>
  <si>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</si>
  <si>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</si>
  <si>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</si>
  <si>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</si>
  <si>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</si>
  <si>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</si>
  <si>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</si>
  <si>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</si>
  <si>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</si>
  <si>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</si>
  <si>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</si>
  <si>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</si>
  <si>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</si>
  <si>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</si>
  <si>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</si>
  <si>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</si>
  <si>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</si>
  <si>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</si>
  <si>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</si>
  <si>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</si>
  <si>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</si>
  <si>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</si>
  <si>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</si>
  <si>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</si>
  <si>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</si>
  <si>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</si>
  <si>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</si>
  <si>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</si>
  <si>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</si>
  <si>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</si>
  <si>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</si>
  <si>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</si>
  <si>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</si>
  <si>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</si>
  <si>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</si>
  <si>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</si>
  <si>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</si>
  <si>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</si>
  <si>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</si>
  <si>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</si>
  <si>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</si>
  <si>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</si>
  <si>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</si>
  <si>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</si>
  <si>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</si>
  <si>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</si>
  <si>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</si>
  <si>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</si>
  <si>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</si>
  <si>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</si>
  <si>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</si>
  <si>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</si>
  <si>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</si>
  <si>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</si>
  <si>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</si>
  <si>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</si>
  <si>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</si>
  <si>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</si>
  <si>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</si>
  <si>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</si>
  <si>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</si>
  <si>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</si>
  <si>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</si>
  <si>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</si>
  <si>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</si>
  <si>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</si>
  <si>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</si>
  <si>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</si>
  <si>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</si>
  <si>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</si>
  <si>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</si>
  <si>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</si>
  <si>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</si>
  <si>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</si>
  <si>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</si>
  <si>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</si>
  <si>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</si>
  <si>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</si>
  <si>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</si>
  <si>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</si>
  <si>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</si>
  <si>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</si>
  <si>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</si>
  <si>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</si>
  <si>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</si>
  <si>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</si>
  <si>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</si>
  <si>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</si>
  <si>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</si>
  <si>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</si>
  <si>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</si>
  <si>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</si>
  <si>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</si>
  <si>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</si>
  <si>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</si>
  <si>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</si>
  <si>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</si>
  <si>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</si>
  <si>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</si>
  <si>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</si>
  <si>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</si>
  <si>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</si>
  <si>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</si>
  <si>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</si>
  <si>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</si>
  <si>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</si>
  <si>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</si>
  <si>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</si>
  <si>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</si>
  <si>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</si>
  <si>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</si>
  <si>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</si>
  <si>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</si>
  <si>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</si>
  <si>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</si>
  <si>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</si>
  <si>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</si>
  <si>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</si>
  <si>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</si>
  <si>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</si>
  <si>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</si>
  <si>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Correction Factor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</si>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</sst>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66" fontId="5" fillId="4" borderId="2" xfId="5" applyNumberFormat="1"/>
    <xf numFmtId="0" fontId="0" fillId="0" borderId="0" xfId="0" applyNumberFormat="1"/>
    <xf numFmtId="1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Drivers!$B$41:$AM$41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1.6171639643029367E-2</c:v>
                </c:pt>
                <c:pt idx="6">
                  <c:v>1.6171639643029367E-2</c:v>
                </c:pt>
                <c:pt idx="7">
                  <c:v>1.6171639643029367E-2</c:v>
                </c:pt>
                <c:pt idx="8">
                  <c:v>1.5240146085589901E-2</c:v>
                </c:pt>
                <c:pt idx="9">
                  <c:v>1.4308652528150435E-2</c:v>
                </c:pt>
                <c:pt idx="10">
                  <c:v>1.3377158970710968E-2</c:v>
                </c:pt>
                <c:pt idx="11">
                  <c:v>1.2445665413271502E-2</c:v>
                </c:pt>
                <c:pt idx="12">
                  <c:v>1.1514171855832036E-2</c:v>
                </c:pt>
                <c:pt idx="13">
                  <c:v>1.1180627082855478E-2</c:v>
                </c:pt>
                <c:pt idx="14">
                  <c:v>1.084708230987892E-2</c:v>
                </c:pt>
                <c:pt idx="15">
                  <c:v>1.0513537536902363E-2</c:v>
                </c:pt>
                <c:pt idx="16">
                  <c:v>1.0179992763925805E-2</c:v>
                </c:pt>
                <c:pt idx="17">
                  <c:v>9.8464479909492475E-3</c:v>
                </c:pt>
                <c:pt idx="18">
                  <c:v>9.584012727780377E-3</c:v>
                </c:pt>
                <c:pt idx="19">
                  <c:v>9.3215774646115065E-3</c:v>
                </c:pt>
                <c:pt idx="20">
                  <c:v>9.0591422014426361E-3</c:v>
                </c:pt>
                <c:pt idx="21">
                  <c:v>8.7967069382737656E-3</c:v>
                </c:pt>
                <c:pt idx="22">
                  <c:v>8.5342716751048951E-3</c:v>
                </c:pt>
                <c:pt idx="23">
                  <c:v>8.2916486282202904E-3</c:v>
                </c:pt>
                <c:pt idx="24">
                  <c:v>8.0490255813356858E-3</c:v>
                </c:pt>
                <c:pt idx="25">
                  <c:v>7.8064025344510811E-3</c:v>
                </c:pt>
                <c:pt idx="26">
                  <c:v>7.5637794875664764E-3</c:v>
                </c:pt>
                <c:pt idx="27">
                  <c:v>7.3211564406818717E-3</c:v>
                </c:pt>
                <c:pt idx="28">
                  <c:v>7.0991110563013628E-3</c:v>
                </c:pt>
                <c:pt idx="29">
                  <c:v>6.8770656719208539E-3</c:v>
                </c:pt>
                <c:pt idx="30">
                  <c:v>6.655020287540345E-3</c:v>
                </c:pt>
                <c:pt idx="31">
                  <c:v>6.4329749031598361E-3</c:v>
                </c:pt>
                <c:pt idx="32">
                  <c:v>6.2109295187793272E-3</c:v>
                </c:pt>
                <c:pt idx="33">
                  <c:v>5.9897116111574424E-3</c:v>
                </c:pt>
                <c:pt idx="34">
                  <c:v>5.7684937035355575E-3</c:v>
                </c:pt>
                <c:pt idx="35">
                  <c:v>5.5472757959136726E-3</c:v>
                </c:pt>
                <c:pt idx="36">
                  <c:v>5.3260578882917877E-3</c:v>
                </c:pt>
                <c:pt idx="37">
                  <c:v>5.1048399806699028E-3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571500</xdr:colOff>
      <xdr:row>38</xdr:row>
      <xdr:rowOff>33337</xdr:rowOff>
    </xdr:from>
    <xdr:to>
      <xdr:col>28</xdr:col>
      <xdr:colOff>266700</xdr:colOff>
      <xdr:row>52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1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78"/>
  <sheetViews>
    <sheetView tabSelected="1" workbookViewId="0">
      <selection activeCell="A19" sqref="A19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2.4188030052737286E-2</v>
      </c>
      <c r="D6" s="1">
        <f t="shared" ref="D6:AN6" si="0">D7/C7-1</f>
        <v>1.9732957210391699E-2</v>
      </c>
      <c r="E6" s="1">
        <f t="shared" si="0"/>
        <v>1.0585529690110951E-2</v>
      </c>
      <c r="F6" s="1">
        <f t="shared" si="0"/>
        <v>9.6200442692302435E-3</v>
      </c>
      <c r="G6" s="1">
        <f t="shared" si="0"/>
        <v>1.5391999792438549E-2</v>
      </c>
      <c r="H6" s="1">
        <f t="shared" si="0"/>
        <v>1.2740826860179189E-2</v>
      </c>
      <c r="I6" s="1">
        <f t="shared" si="0"/>
        <v>3.0055790864684795E-3</v>
      </c>
      <c r="J6" s="1">
        <f t="shared" si="0"/>
        <v>-6.7801779706317067E-2</v>
      </c>
      <c r="K6" s="1">
        <f t="shared" si="0"/>
        <v>2.4120728445324424E-2</v>
      </c>
      <c r="L6" s="1">
        <f t="shared" si="0"/>
        <v>2.069706012160033E-2</v>
      </c>
      <c r="M6" s="1">
        <f t="shared" si="0"/>
        <v>1.8247704112912544E-2</v>
      </c>
      <c r="N6" s="1">
        <f t="shared" si="0"/>
        <v>2.0294273300861976E-2</v>
      </c>
      <c r="O6" s="1">
        <f t="shared" si="0"/>
        <v>1.9772581151133339E-2</v>
      </c>
      <c r="P6" s="1">
        <f t="shared" si="0"/>
        <v>1.9766878751976247E-2</v>
      </c>
      <c r="Q6" s="1">
        <f t="shared" si="0"/>
        <v>1.8968570890963932E-2</v>
      </c>
      <c r="R6" s="1">
        <f t="shared" si="0"/>
        <v>1.7053182010036361E-2</v>
      </c>
      <c r="S6" s="1">
        <f t="shared" si="0"/>
        <v>2.0006570870294338E-2</v>
      </c>
      <c r="T6" s="1">
        <f t="shared" si="0"/>
        <v>2.1179448927465705E-2</v>
      </c>
      <c r="U6" s="1">
        <f t="shared" si="0"/>
        <v>2.5078578068971291E-2</v>
      </c>
      <c r="V6" s="1">
        <f t="shared" si="0"/>
        <v>2.6122303556390447E-2</v>
      </c>
      <c r="W6" s="1">
        <f t="shared" si="0"/>
        <v>2.6888254078481388E-2</v>
      </c>
      <c r="X6" s="1">
        <f t="shared" si="0"/>
        <v>2.9532157750750576E-2</v>
      </c>
      <c r="Y6" s="1">
        <f t="shared" si="0"/>
        <v>2.8903977686935312E-2</v>
      </c>
      <c r="Z6" s="1">
        <f t="shared" si="0"/>
        <v>3.0101515232121345E-2</v>
      </c>
      <c r="AA6" s="1">
        <f t="shared" si="0"/>
        <v>3.0717260353723574E-2</v>
      </c>
      <c r="AB6" s="1">
        <f t="shared" si="0"/>
        <v>3.0428157889343055E-2</v>
      </c>
      <c r="AC6" s="1">
        <f t="shared" si="0"/>
        <v>3.0785076929537913E-2</v>
      </c>
      <c r="AD6" s="1">
        <f t="shared" si="0"/>
        <v>3.1177965283956999E-2</v>
      </c>
      <c r="AE6" s="1">
        <f t="shared" si="0"/>
        <v>3.1611890329489745E-2</v>
      </c>
      <c r="AF6" s="1">
        <f t="shared" si="0"/>
        <v>3.0643200825644978E-2</v>
      </c>
      <c r="AG6" s="1">
        <f t="shared" si="0"/>
        <v>3.0983827466902758E-2</v>
      </c>
      <c r="AH6" s="1">
        <f t="shared" si="0"/>
        <v>3.1374907282871511E-2</v>
      </c>
      <c r="AI6" s="1">
        <f t="shared" si="0"/>
        <v>3.2388537374926418E-2</v>
      </c>
      <c r="AJ6" s="1">
        <f t="shared" si="0"/>
        <v>3.292599712447597E-2</v>
      </c>
      <c r="AK6" s="1">
        <f t="shared" si="0"/>
        <v>3.1509046690929132E-2</v>
      </c>
      <c r="AL6" s="1">
        <f t="shared" si="0"/>
        <v>3.1949474782539067E-2</v>
      </c>
      <c r="AM6" s="1">
        <f t="shared" si="0"/>
        <v>3.2771876949501122E-2</v>
      </c>
      <c r="AN6" s="1">
        <f t="shared" si="0"/>
        <v>3.8130128496791649E-2</v>
      </c>
    </row>
    <row r="7" spans="1:40" x14ac:dyDescent="0.25">
      <c r="A7" t="s">
        <v>72</v>
      </c>
      <c r="B7">
        <f>SUM(B10:B28)</f>
        <v>2893.58</v>
      </c>
      <c r="C7">
        <f t="shared" ref="C7:AN7" si="1">SUM(C10:C28)</f>
        <v>2963.5699999999997</v>
      </c>
      <c r="D7">
        <f t="shared" si="1"/>
        <v>3022.05</v>
      </c>
      <c r="E7">
        <f t="shared" si="1"/>
        <v>3054.04</v>
      </c>
      <c r="F7">
        <f t="shared" si="1"/>
        <v>3083.42</v>
      </c>
      <c r="G7">
        <f t="shared" si="1"/>
        <v>3130.880000000001</v>
      </c>
      <c r="H7">
        <f t="shared" si="1"/>
        <v>3170.7699999999991</v>
      </c>
      <c r="I7">
        <f t="shared" si="1"/>
        <v>3180.3000000000006</v>
      </c>
      <c r="J7">
        <f t="shared" si="1"/>
        <v>2964.6700000000005</v>
      </c>
      <c r="K7">
        <f t="shared" si="1"/>
        <v>3036.1800000000003</v>
      </c>
      <c r="L7">
        <f t="shared" si="1"/>
        <v>3099.0200000000009</v>
      </c>
      <c r="M7">
        <f t="shared" si="1"/>
        <v>3155.5699999999993</v>
      </c>
      <c r="N7">
        <f t="shared" si="1"/>
        <v>3219.61</v>
      </c>
      <c r="O7">
        <f t="shared" si="1"/>
        <v>3283.2700000000004</v>
      </c>
      <c r="P7">
        <f t="shared" si="1"/>
        <v>3348.1700000000014</v>
      </c>
      <c r="Q7">
        <f t="shared" si="1"/>
        <v>3411.68</v>
      </c>
      <c r="R7">
        <f t="shared" si="1"/>
        <v>3469.8600000000006</v>
      </c>
      <c r="S7">
        <f t="shared" si="1"/>
        <v>3539.2799999999997</v>
      </c>
      <c r="T7">
        <f t="shared" si="1"/>
        <v>3614.2400000000007</v>
      </c>
      <c r="U7">
        <f t="shared" si="1"/>
        <v>3704.8799999999997</v>
      </c>
      <c r="V7">
        <f t="shared" si="1"/>
        <v>3801.66</v>
      </c>
      <c r="W7">
        <f t="shared" si="1"/>
        <v>3903.8799999999997</v>
      </c>
      <c r="X7">
        <f t="shared" si="1"/>
        <v>4019.17</v>
      </c>
      <c r="Y7">
        <f t="shared" si="1"/>
        <v>4135.34</v>
      </c>
      <c r="Z7">
        <f t="shared" si="1"/>
        <v>4259.8200000000006</v>
      </c>
      <c r="AA7">
        <f t="shared" si="1"/>
        <v>4390.6699999999992</v>
      </c>
      <c r="AB7">
        <f t="shared" si="1"/>
        <v>4524.2700000000013</v>
      </c>
      <c r="AC7">
        <f t="shared" si="1"/>
        <v>4663.550000000002</v>
      </c>
      <c r="AD7">
        <f t="shared" si="1"/>
        <v>4808.95</v>
      </c>
      <c r="AE7">
        <f t="shared" si="1"/>
        <v>4960.9699999999993</v>
      </c>
      <c r="AF7">
        <f t="shared" si="1"/>
        <v>5112.99</v>
      </c>
      <c r="AG7">
        <f t="shared" si="1"/>
        <v>5271.4099999999989</v>
      </c>
      <c r="AH7">
        <f t="shared" si="1"/>
        <v>5436.8</v>
      </c>
      <c r="AI7">
        <f t="shared" si="1"/>
        <v>5612.89</v>
      </c>
      <c r="AJ7">
        <f t="shared" si="1"/>
        <v>5797.7</v>
      </c>
      <c r="AK7">
        <f t="shared" si="1"/>
        <v>5980.3799999999992</v>
      </c>
      <c r="AL7">
        <f t="shared" si="1"/>
        <v>6171.4500000000007</v>
      </c>
      <c r="AM7">
        <f t="shared" si="1"/>
        <v>6373.6999999999989</v>
      </c>
      <c r="AN7">
        <f t="shared" si="1"/>
        <v>6616.7300000000005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IF($C$3="CGE",INDEX(GDP_CGE!$A$3:$AN$22,MATCH($A10,GDP_CGE!$A$3:$A$22,0),MATCH(B$9,GDP_CGE!$A$3:$AN$3,0)),GDP_Simple!B8)</f>
        <v>69.819999999999993</v>
      </c>
      <c r="C10">
        <f>IF($C$3="CGE",INDEX(GDP_CGE!$A$3:$AN$22,MATCH($A10,GDP_CGE!$A$3:$A$22,0),MATCH(C$9,GDP_CGE!$A$3:$AN$3,0)),GDP_Simple!C8)</f>
        <v>72.86</v>
      </c>
      <c r="D10">
        <f>IF($C$3="CGE",INDEX(GDP_CGE!$A$3:$AN$22,MATCH($A10,GDP_CGE!$A$3:$A$22,0),MATCH(D$9,GDP_CGE!$A$3:$AN$3,0)),GDP_Simple!D8)</f>
        <v>75.87</v>
      </c>
      <c r="E10">
        <f>IF($C$3="CGE",INDEX(GDP_CGE!$A$3:$AN$22,MATCH($A10,GDP_CGE!$A$3:$A$22,0),MATCH(E$9,GDP_CGE!$A$3:$AN$3,0)),GDP_Simple!E8)</f>
        <v>74.64</v>
      </c>
      <c r="F10">
        <f>IF($C$3="CGE",INDEX(GDP_CGE!$A$3:$AN$22,MATCH($A10,GDP_CGE!$A$3:$A$22,0),MATCH(F$9,GDP_CGE!$A$3:$AN$3,0)),GDP_Simple!F8)</f>
        <v>73.959999999999994</v>
      </c>
      <c r="G10">
        <f>IF($C$3="CGE",INDEX(GDP_CGE!$A$3:$AN$22,MATCH($A10,GDP_CGE!$A$3:$A$22,0),MATCH(G$9,GDP_CGE!$A$3:$AN$3,0)),GDP_Simple!G8)</f>
        <v>76.72</v>
      </c>
      <c r="H10">
        <f>IF($C$3="CGE",INDEX(GDP_CGE!$A$3:$AN$22,MATCH($A10,GDP_CGE!$A$3:$A$22,0),MATCH(H$9,GDP_CGE!$A$3:$AN$3,0)),GDP_Simple!H8)</f>
        <v>75.61</v>
      </c>
      <c r="I10">
        <f>IF($C$3="CGE",INDEX(GDP_CGE!$A$3:$AN$22,MATCH($A10,GDP_CGE!$A$3:$A$22,0),MATCH(I$9,GDP_CGE!$A$3:$AN$3,0)),GDP_Simple!I8)</f>
        <v>74.11</v>
      </c>
      <c r="J10">
        <f>IF($C$3="CGE",INDEX(GDP_CGE!$A$3:$AN$22,MATCH($A10,GDP_CGE!$A$3:$A$22,0),MATCH(J$9,GDP_CGE!$A$3:$AN$3,0)),GDP_Simple!J8)</f>
        <v>73.06</v>
      </c>
      <c r="K10">
        <f>IF($C$3="CGE",INDEX(GDP_CGE!$A$3:$AN$22,MATCH($A10,GDP_CGE!$A$3:$A$22,0),MATCH(K$9,GDP_CGE!$A$3:$AN$3,0)),GDP_Simple!K8)</f>
        <v>75.239999999999995</v>
      </c>
      <c r="L10">
        <f>IF($C$3="CGE",INDEX(GDP_CGE!$A$3:$AN$22,MATCH($A10,GDP_CGE!$A$3:$A$22,0),MATCH(L$9,GDP_CGE!$A$3:$AN$3,0)),GDP_Simple!L8)</f>
        <v>77.23</v>
      </c>
      <c r="M10">
        <f>IF($C$3="CGE",INDEX(GDP_CGE!$A$3:$AN$22,MATCH($A10,GDP_CGE!$A$3:$A$22,0),MATCH(M$9,GDP_CGE!$A$3:$AN$3,0)),GDP_Simple!M8)</f>
        <v>78.58</v>
      </c>
      <c r="N10">
        <f>IF($C$3="CGE",INDEX(GDP_CGE!$A$3:$AN$22,MATCH($A10,GDP_CGE!$A$3:$A$22,0),MATCH(N$9,GDP_CGE!$A$3:$AN$3,0)),GDP_Simple!N8)</f>
        <v>80.14</v>
      </c>
      <c r="O10">
        <f>IF($C$3="CGE",INDEX(GDP_CGE!$A$3:$AN$22,MATCH($A10,GDP_CGE!$A$3:$A$22,0),MATCH(O$9,GDP_CGE!$A$3:$AN$3,0)),GDP_Simple!O8)</f>
        <v>81.66</v>
      </c>
      <c r="P10">
        <f>IF($C$3="CGE",INDEX(GDP_CGE!$A$3:$AN$22,MATCH($A10,GDP_CGE!$A$3:$A$22,0),MATCH(P$9,GDP_CGE!$A$3:$AN$3,0)),GDP_Simple!P8)</f>
        <v>83.01</v>
      </c>
      <c r="Q10">
        <f>IF($C$3="CGE",INDEX(GDP_CGE!$A$3:$AN$22,MATCH($A10,GDP_CGE!$A$3:$A$22,0),MATCH(Q$9,GDP_CGE!$A$3:$AN$3,0)),GDP_Simple!Q8)</f>
        <v>84.26</v>
      </c>
      <c r="R10">
        <f>IF($C$3="CGE",INDEX(GDP_CGE!$A$3:$AN$22,MATCH($A10,GDP_CGE!$A$3:$A$22,0),MATCH(R$9,GDP_CGE!$A$3:$AN$3,0)),GDP_Simple!R8)</f>
        <v>85.97</v>
      </c>
      <c r="S10">
        <f>IF($C$3="CGE",INDEX(GDP_CGE!$A$3:$AN$22,MATCH($A10,GDP_CGE!$A$3:$A$22,0),MATCH(S$9,GDP_CGE!$A$3:$AN$3,0)),GDP_Simple!S8)</f>
        <v>87.4</v>
      </c>
      <c r="T10">
        <f>IF($C$3="CGE",INDEX(GDP_CGE!$A$3:$AN$22,MATCH($A10,GDP_CGE!$A$3:$A$22,0),MATCH(T$9,GDP_CGE!$A$3:$AN$3,0)),GDP_Simple!T8)</f>
        <v>88.8</v>
      </c>
      <c r="U10">
        <f>IF($C$3="CGE",INDEX(GDP_CGE!$A$3:$AN$22,MATCH($A10,GDP_CGE!$A$3:$A$22,0),MATCH(U$9,GDP_CGE!$A$3:$AN$3,0)),GDP_Simple!U8)</f>
        <v>90.44</v>
      </c>
      <c r="V10">
        <f>IF($C$3="CGE",INDEX(GDP_CGE!$A$3:$AN$22,MATCH($A10,GDP_CGE!$A$3:$A$22,0),MATCH(V$9,GDP_CGE!$A$3:$AN$3,0)),GDP_Simple!V8)</f>
        <v>92.09</v>
      </c>
      <c r="W10">
        <f>IF($C$3="CGE",INDEX(GDP_CGE!$A$3:$AN$22,MATCH($A10,GDP_CGE!$A$3:$A$22,0),MATCH(W$9,GDP_CGE!$A$3:$AN$3,0)),GDP_Simple!W8)</f>
        <v>93.77</v>
      </c>
      <c r="X10">
        <f>IF($C$3="CGE",INDEX(GDP_CGE!$A$3:$AN$22,MATCH($A10,GDP_CGE!$A$3:$A$22,0),MATCH(X$9,GDP_CGE!$A$3:$AN$3,0)),GDP_Simple!X8)</f>
        <v>95.87</v>
      </c>
      <c r="Y10">
        <f>IF($C$3="CGE",INDEX(GDP_CGE!$A$3:$AN$22,MATCH($A10,GDP_CGE!$A$3:$A$22,0),MATCH(Y$9,GDP_CGE!$A$3:$AN$3,0)),GDP_Simple!Y8)</f>
        <v>97.95</v>
      </c>
      <c r="Z10">
        <f>IF($C$3="CGE",INDEX(GDP_CGE!$A$3:$AN$22,MATCH($A10,GDP_CGE!$A$3:$A$22,0),MATCH(Z$9,GDP_CGE!$A$3:$AN$3,0)),GDP_Simple!Z8)</f>
        <v>100.25</v>
      </c>
      <c r="AA10">
        <f>IF($C$3="CGE",INDEX(GDP_CGE!$A$3:$AN$22,MATCH($A10,GDP_CGE!$A$3:$A$22,0),MATCH(AA$9,GDP_CGE!$A$3:$AN$3,0)),GDP_Simple!AA8)</f>
        <v>102.58</v>
      </c>
      <c r="AB10">
        <f>IF($C$3="CGE",INDEX(GDP_CGE!$A$3:$AN$22,MATCH($A10,GDP_CGE!$A$3:$A$22,0),MATCH(AB$9,GDP_CGE!$A$3:$AN$3,0)),GDP_Simple!AB8)</f>
        <v>104.93</v>
      </c>
      <c r="AC10">
        <f>IF($C$3="CGE",INDEX(GDP_CGE!$A$3:$AN$22,MATCH($A10,GDP_CGE!$A$3:$A$22,0),MATCH(AC$9,GDP_CGE!$A$3:$AN$3,0)),GDP_Simple!AC8)</f>
        <v>107.29</v>
      </c>
      <c r="AD10">
        <f>IF($C$3="CGE",INDEX(GDP_CGE!$A$3:$AN$22,MATCH($A10,GDP_CGE!$A$3:$A$22,0),MATCH(AD$9,GDP_CGE!$A$3:$AN$3,0)),GDP_Simple!AD8)</f>
        <v>109.71</v>
      </c>
      <c r="AE10">
        <f>IF($C$3="CGE",INDEX(GDP_CGE!$A$3:$AN$22,MATCH($A10,GDP_CGE!$A$3:$A$22,0),MATCH(AE$9,GDP_CGE!$A$3:$AN$3,0)),GDP_Simple!AE8)</f>
        <v>112.22</v>
      </c>
      <c r="AF10">
        <f>IF($C$3="CGE",INDEX(GDP_CGE!$A$3:$AN$22,MATCH($A10,GDP_CGE!$A$3:$A$22,0),MATCH(AF$9,GDP_CGE!$A$3:$AN$3,0)),GDP_Simple!AF8)</f>
        <v>114.59</v>
      </c>
      <c r="AG10">
        <f>IF($C$3="CGE",INDEX(GDP_CGE!$A$3:$AN$22,MATCH($A10,GDP_CGE!$A$3:$A$22,0),MATCH(AG$9,GDP_CGE!$A$3:$AN$3,0)),GDP_Simple!AG8)</f>
        <v>117.07</v>
      </c>
      <c r="AH10">
        <f>IF($C$3="CGE",INDEX(GDP_CGE!$A$3:$AN$22,MATCH($A10,GDP_CGE!$A$3:$A$22,0),MATCH(AH$9,GDP_CGE!$A$3:$AN$3,0)),GDP_Simple!AH8)</f>
        <v>119.7</v>
      </c>
      <c r="AI10">
        <f>IF($C$3="CGE",INDEX(GDP_CGE!$A$3:$AN$22,MATCH($A10,GDP_CGE!$A$3:$A$22,0),MATCH(AI$9,GDP_CGE!$A$3:$AN$3,0)),GDP_Simple!AI8)</f>
        <v>122.57</v>
      </c>
      <c r="AJ10">
        <f>IF($C$3="CGE",INDEX(GDP_CGE!$A$3:$AN$22,MATCH($A10,GDP_CGE!$A$3:$A$22,0),MATCH(AJ$9,GDP_CGE!$A$3:$AN$3,0)),GDP_Simple!AJ8)</f>
        <v>125.55</v>
      </c>
      <c r="AK10">
        <f>IF($C$3="CGE",INDEX(GDP_CGE!$A$3:$AN$22,MATCH($A10,GDP_CGE!$A$3:$A$22,0),MATCH(AK$9,GDP_CGE!$A$3:$AN$3,0)),GDP_Simple!AK8)</f>
        <v>128.41</v>
      </c>
      <c r="AL10">
        <f>IF($C$3="CGE",INDEX(GDP_CGE!$A$3:$AN$22,MATCH($A10,GDP_CGE!$A$3:$A$22,0),MATCH(AL$9,GDP_CGE!$A$3:$AN$3,0)),GDP_Simple!AL8)</f>
        <v>131.38999999999999</v>
      </c>
      <c r="AM10">
        <f>IF($C$3="CGE",INDEX(GDP_CGE!$A$3:$AN$22,MATCH($A10,GDP_CGE!$A$3:$A$22,0),MATCH(AM$9,GDP_CGE!$A$3:$AN$3,0)),GDP_Simple!AM8)</f>
        <v>134.63</v>
      </c>
      <c r="AN10">
        <f>IF($C$3="CGE",INDEX(GDP_CGE!$A$3:$AN$22,MATCH($A10,GDP_CGE!$A$3:$A$22,0),MATCH(AN$9,GDP_CGE!$A$3:$AN$3,0)),GDP_Simple!AN8)</f>
        <v>138.71</v>
      </c>
    </row>
    <row r="11" spans="1:40" x14ac:dyDescent="0.25">
      <c r="A11" t="s">
        <v>38</v>
      </c>
      <c r="B11">
        <f>IF($C$3="CGE",INDEX(GDP_CGE!$A$3:$AN$22,MATCH($A11,GDP_CGE!$A$3:$A$22,0),MATCH(B$9,GDP_CGE!$A$3:$AN$3,0)),GDP_Simple!B9)</f>
        <v>66.42</v>
      </c>
      <c r="C11">
        <f>IF($C$3="CGE",INDEX(GDP_CGE!$A$3:$AN$22,MATCH($A11,GDP_CGE!$A$3:$A$22,0),MATCH(C$9,GDP_CGE!$A$3:$AN$3,0)),GDP_Simple!C9)</f>
        <v>67.81</v>
      </c>
      <c r="D11">
        <f>IF($C$3="CGE",INDEX(GDP_CGE!$A$3:$AN$22,MATCH($A11,GDP_CGE!$A$3:$A$22,0),MATCH(D$9,GDP_CGE!$A$3:$AN$3,0)),GDP_Simple!D9)</f>
        <v>65.680000000000007</v>
      </c>
      <c r="E11">
        <f>IF($C$3="CGE",INDEX(GDP_CGE!$A$3:$AN$22,MATCH($A11,GDP_CGE!$A$3:$A$22,0),MATCH(E$9,GDP_CGE!$A$3:$AN$3,0)),GDP_Simple!E9)</f>
        <v>63.54</v>
      </c>
      <c r="F11">
        <f>IF($C$3="CGE",INDEX(GDP_CGE!$A$3:$AN$22,MATCH($A11,GDP_CGE!$A$3:$A$22,0),MATCH(F$9,GDP_CGE!$A$3:$AN$3,0)),GDP_Simple!F9)</f>
        <v>63.36</v>
      </c>
      <c r="G11">
        <f>IF($C$3="CGE",INDEX(GDP_CGE!$A$3:$AN$22,MATCH($A11,GDP_CGE!$A$3:$A$22,0),MATCH(G$9,GDP_CGE!$A$3:$AN$3,0)),GDP_Simple!G9)</f>
        <v>63.29</v>
      </c>
      <c r="H11">
        <f>IF($C$3="CGE",INDEX(GDP_CGE!$A$3:$AN$22,MATCH($A11,GDP_CGE!$A$3:$A$22,0),MATCH(H$9,GDP_CGE!$A$3:$AN$3,0)),GDP_Simple!H9)</f>
        <v>63.16</v>
      </c>
      <c r="I11">
        <f>IF($C$3="CGE",INDEX(GDP_CGE!$A$3:$AN$22,MATCH($A11,GDP_CGE!$A$3:$A$22,0),MATCH(I$9,GDP_CGE!$A$3:$AN$3,0)),GDP_Simple!I9)</f>
        <v>62.72</v>
      </c>
      <c r="J11">
        <f>IF($C$3="CGE",INDEX(GDP_CGE!$A$3:$AN$22,MATCH($A11,GDP_CGE!$A$3:$A$22,0),MATCH(J$9,GDP_CGE!$A$3:$AN$3,0)),GDP_Simple!J9)</f>
        <v>60.32</v>
      </c>
      <c r="K11">
        <f>IF($C$3="CGE",INDEX(GDP_CGE!$A$3:$AN$22,MATCH($A11,GDP_CGE!$A$3:$A$22,0),MATCH(K$9,GDP_CGE!$A$3:$AN$3,0)),GDP_Simple!K9)</f>
        <v>60.32</v>
      </c>
      <c r="L11">
        <f>IF($C$3="CGE",INDEX(GDP_CGE!$A$3:$AN$22,MATCH($A11,GDP_CGE!$A$3:$A$22,0),MATCH(L$9,GDP_CGE!$A$3:$AN$3,0)),GDP_Simple!L9)</f>
        <v>60.4</v>
      </c>
      <c r="M11">
        <f>IF($C$3="CGE",INDEX(GDP_CGE!$A$3:$AN$22,MATCH($A11,GDP_CGE!$A$3:$A$22,0),MATCH(M$9,GDP_CGE!$A$3:$AN$3,0)),GDP_Simple!M9)</f>
        <v>60.18</v>
      </c>
      <c r="N11">
        <f>IF($C$3="CGE",INDEX(GDP_CGE!$A$3:$AN$22,MATCH($A11,GDP_CGE!$A$3:$A$22,0),MATCH(N$9,GDP_CGE!$A$3:$AN$3,0)),GDP_Simple!N9)</f>
        <v>60.35</v>
      </c>
      <c r="O11">
        <f>IF($C$3="CGE",INDEX(GDP_CGE!$A$3:$AN$22,MATCH($A11,GDP_CGE!$A$3:$A$22,0),MATCH(O$9,GDP_CGE!$A$3:$AN$3,0)),GDP_Simple!O9)</f>
        <v>60.75</v>
      </c>
      <c r="P11">
        <f>IF($C$3="CGE",INDEX(GDP_CGE!$A$3:$AN$22,MATCH($A11,GDP_CGE!$A$3:$A$22,0),MATCH(P$9,GDP_CGE!$A$3:$AN$3,0)),GDP_Simple!P9)</f>
        <v>60.82</v>
      </c>
      <c r="Q11">
        <f>IF($C$3="CGE",INDEX(GDP_CGE!$A$3:$AN$22,MATCH($A11,GDP_CGE!$A$3:$A$22,0),MATCH(Q$9,GDP_CGE!$A$3:$AN$3,0)),GDP_Simple!Q9)</f>
        <v>60.78</v>
      </c>
      <c r="R11">
        <f>IF($C$3="CGE",INDEX(GDP_CGE!$A$3:$AN$22,MATCH($A11,GDP_CGE!$A$3:$A$22,0),MATCH(R$9,GDP_CGE!$A$3:$AN$3,0)),GDP_Simple!R9)</f>
        <v>60.57</v>
      </c>
      <c r="S11">
        <f>IF($C$3="CGE",INDEX(GDP_CGE!$A$3:$AN$22,MATCH($A11,GDP_CGE!$A$3:$A$22,0),MATCH(S$9,GDP_CGE!$A$3:$AN$3,0)),GDP_Simple!S9)</f>
        <v>59.99</v>
      </c>
      <c r="T11">
        <f>IF($C$3="CGE",INDEX(GDP_CGE!$A$3:$AN$22,MATCH($A11,GDP_CGE!$A$3:$A$22,0),MATCH(T$9,GDP_CGE!$A$3:$AN$3,0)),GDP_Simple!T9)</f>
        <v>59.52</v>
      </c>
      <c r="U11">
        <f>IF($C$3="CGE",INDEX(GDP_CGE!$A$3:$AN$22,MATCH($A11,GDP_CGE!$A$3:$A$22,0),MATCH(U$9,GDP_CGE!$A$3:$AN$3,0)),GDP_Simple!U9)</f>
        <v>59.08</v>
      </c>
      <c r="V11">
        <f>IF($C$3="CGE",INDEX(GDP_CGE!$A$3:$AN$22,MATCH($A11,GDP_CGE!$A$3:$A$22,0),MATCH(V$9,GDP_CGE!$A$3:$AN$3,0)),GDP_Simple!V9)</f>
        <v>59.01</v>
      </c>
      <c r="W11">
        <f>IF($C$3="CGE",INDEX(GDP_CGE!$A$3:$AN$22,MATCH($A11,GDP_CGE!$A$3:$A$22,0),MATCH(W$9,GDP_CGE!$A$3:$AN$3,0)),GDP_Simple!W9)</f>
        <v>58.82</v>
      </c>
      <c r="X11">
        <f>IF($C$3="CGE",INDEX(GDP_CGE!$A$3:$AN$22,MATCH($A11,GDP_CGE!$A$3:$A$22,0),MATCH(X$9,GDP_CGE!$A$3:$AN$3,0)),GDP_Simple!X9)</f>
        <v>58.76</v>
      </c>
      <c r="Y11">
        <f>IF($C$3="CGE",INDEX(GDP_CGE!$A$3:$AN$22,MATCH($A11,GDP_CGE!$A$3:$A$22,0),MATCH(Y$9,GDP_CGE!$A$3:$AN$3,0)),GDP_Simple!Y9)</f>
        <v>58.76</v>
      </c>
      <c r="Z11">
        <f>IF($C$3="CGE",INDEX(GDP_CGE!$A$3:$AN$22,MATCH($A11,GDP_CGE!$A$3:$A$22,0),MATCH(Z$9,GDP_CGE!$A$3:$AN$3,0)),GDP_Simple!Z9)</f>
        <v>58.54</v>
      </c>
      <c r="AA11">
        <f>IF($C$3="CGE",INDEX(GDP_CGE!$A$3:$AN$22,MATCH($A11,GDP_CGE!$A$3:$A$22,0),MATCH(AA$9,GDP_CGE!$A$3:$AN$3,0)),GDP_Simple!AA9)</f>
        <v>57.86</v>
      </c>
      <c r="AB11">
        <f>IF($C$3="CGE",INDEX(GDP_CGE!$A$3:$AN$22,MATCH($A11,GDP_CGE!$A$3:$A$22,0),MATCH(AB$9,GDP_CGE!$A$3:$AN$3,0)),GDP_Simple!AB9)</f>
        <v>56.62</v>
      </c>
      <c r="AC11">
        <f>IF($C$3="CGE",INDEX(GDP_CGE!$A$3:$AN$22,MATCH($A11,GDP_CGE!$A$3:$A$22,0),MATCH(AC$9,GDP_CGE!$A$3:$AN$3,0)),GDP_Simple!AC9)</f>
        <v>55.36</v>
      </c>
      <c r="AD11">
        <f>IF($C$3="CGE",INDEX(GDP_CGE!$A$3:$AN$22,MATCH($A11,GDP_CGE!$A$3:$A$22,0),MATCH(AD$9,GDP_CGE!$A$3:$AN$3,0)),GDP_Simple!AD9)</f>
        <v>54.1</v>
      </c>
      <c r="AE11">
        <f>IF($C$3="CGE",INDEX(GDP_CGE!$A$3:$AN$22,MATCH($A11,GDP_CGE!$A$3:$A$22,0),MATCH(AE$9,GDP_CGE!$A$3:$AN$3,0)),GDP_Simple!AE9)</f>
        <v>53.56</v>
      </c>
      <c r="AF11">
        <f>IF($C$3="CGE",INDEX(GDP_CGE!$A$3:$AN$22,MATCH($A11,GDP_CGE!$A$3:$A$22,0),MATCH(AF$9,GDP_CGE!$A$3:$AN$3,0)),GDP_Simple!AF9)</f>
        <v>53.03</v>
      </c>
      <c r="AG11">
        <f>IF($C$3="CGE",INDEX(GDP_CGE!$A$3:$AN$22,MATCH($A11,GDP_CGE!$A$3:$A$22,0),MATCH(AG$9,GDP_CGE!$A$3:$AN$3,0)),GDP_Simple!AG9)</f>
        <v>52.5</v>
      </c>
      <c r="AH11">
        <f>IF($C$3="CGE",INDEX(GDP_CGE!$A$3:$AN$22,MATCH($A11,GDP_CGE!$A$3:$A$22,0),MATCH(AH$9,GDP_CGE!$A$3:$AN$3,0)),GDP_Simple!AH9)</f>
        <v>51.96</v>
      </c>
      <c r="AI11">
        <f>IF($C$3="CGE",INDEX(GDP_CGE!$A$3:$AN$22,MATCH($A11,GDP_CGE!$A$3:$A$22,0),MATCH(AI$9,GDP_CGE!$A$3:$AN$3,0)),GDP_Simple!AI9)</f>
        <v>51.43</v>
      </c>
      <c r="AJ11">
        <f>IF($C$3="CGE",INDEX(GDP_CGE!$A$3:$AN$22,MATCH($A11,GDP_CGE!$A$3:$A$22,0),MATCH(AJ$9,GDP_CGE!$A$3:$AN$3,0)),GDP_Simple!AJ9)</f>
        <v>51.14</v>
      </c>
      <c r="AK11">
        <f>IF($C$3="CGE",INDEX(GDP_CGE!$A$3:$AN$22,MATCH($A11,GDP_CGE!$A$3:$A$22,0),MATCH(AK$9,GDP_CGE!$A$3:$AN$3,0)),GDP_Simple!AK9)</f>
        <v>50.86</v>
      </c>
      <c r="AL11">
        <f>IF($C$3="CGE",INDEX(GDP_CGE!$A$3:$AN$22,MATCH($A11,GDP_CGE!$A$3:$A$22,0),MATCH(AL$9,GDP_CGE!$A$3:$AN$3,0)),GDP_Simple!AL9)</f>
        <v>50.58</v>
      </c>
      <c r="AM11">
        <f>IF($C$3="CGE",INDEX(GDP_CGE!$A$3:$AN$22,MATCH($A11,GDP_CGE!$A$3:$A$22,0),MATCH(AM$9,GDP_CGE!$A$3:$AN$3,0)),GDP_Simple!AM9)</f>
        <v>50.3</v>
      </c>
      <c r="AN11">
        <f>IF($C$3="CGE",INDEX(GDP_CGE!$A$3:$AN$22,MATCH($A11,GDP_CGE!$A$3:$A$22,0),MATCH(AN$9,GDP_CGE!$A$3:$AN$3,0)),GDP_Simple!AN9)</f>
        <v>50.03</v>
      </c>
    </row>
    <row r="12" spans="1:40" x14ac:dyDescent="0.25">
      <c r="A12" t="s">
        <v>21</v>
      </c>
      <c r="B12">
        <f>IF($C$3="CGE",INDEX(GDP_CGE!$A$3:$AN$22,MATCH($A12,GDP_CGE!$A$3:$A$22,0),MATCH(B$9,GDP_CGE!$A$3:$AN$3,0)),GDP_Simple!B10)</f>
        <v>1833.85</v>
      </c>
      <c r="C12">
        <f>IF($C$3="CGE",INDEX(GDP_CGE!$A$3:$AN$22,MATCH($A12,GDP_CGE!$A$3:$A$22,0),MATCH(C$9,GDP_CGE!$A$3:$AN$3,0)),GDP_Simple!C10)</f>
        <v>1881.9</v>
      </c>
      <c r="D12">
        <f>IF($C$3="CGE",INDEX(GDP_CGE!$A$3:$AN$22,MATCH($A12,GDP_CGE!$A$3:$A$22,0),MATCH(D$9,GDP_CGE!$A$3:$AN$3,0)),GDP_Simple!D10)</f>
        <v>1929.34</v>
      </c>
      <c r="E12">
        <f>IF($C$3="CGE",INDEX(GDP_CGE!$A$3:$AN$22,MATCH($A12,GDP_CGE!$A$3:$A$22,0),MATCH(E$9,GDP_CGE!$A$3:$AN$3,0)),GDP_Simple!E10)</f>
        <v>1956.68</v>
      </c>
      <c r="F12">
        <f>IF($C$3="CGE",INDEX(GDP_CGE!$A$3:$AN$22,MATCH($A12,GDP_CGE!$A$3:$A$22,0),MATCH(F$9,GDP_CGE!$A$3:$AN$3,0)),GDP_Simple!F10)</f>
        <v>1983.97</v>
      </c>
      <c r="G12">
        <f>IF($C$3="CGE",INDEX(GDP_CGE!$A$3:$AN$22,MATCH($A12,GDP_CGE!$A$3:$A$22,0),MATCH(G$9,GDP_CGE!$A$3:$AN$3,0)),GDP_Simple!G10)</f>
        <v>2015.63</v>
      </c>
      <c r="H12">
        <f>IF($C$3="CGE",INDEX(GDP_CGE!$A$3:$AN$22,MATCH($A12,GDP_CGE!$A$3:$A$22,0),MATCH(H$9,GDP_CGE!$A$3:$AN$3,0)),GDP_Simple!H10)</f>
        <v>2048.7199999999998</v>
      </c>
      <c r="I12">
        <f>IF($C$3="CGE",INDEX(GDP_CGE!$A$3:$AN$22,MATCH($A12,GDP_CGE!$A$3:$A$22,0),MATCH(I$9,GDP_CGE!$A$3:$AN$3,0)),GDP_Simple!I10)</f>
        <v>2068.14</v>
      </c>
      <c r="J12">
        <f>IF($C$3="CGE",INDEX(GDP_CGE!$A$3:$AN$22,MATCH($A12,GDP_CGE!$A$3:$A$22,0),MATCH(J$9,GDP_CGE!$A$3:$AN$3,0)),GDP_Simple!J10)</f>
        <v>1924.06</v>
      </c>
      <c r="K12">
        <f>IF($C$3="CGE",INDEX(GDP_CGE!$A$3:$AN$22,MATCH($A12,GDP_CGE!$A$3:$A$22,0),MATCH(K$9,GDP_CGE!$A$3:$AN$3,0)),GDP_Simple!K10)</f>
        <v>1969.68</v>
      </c>
      <c r="L12">
        <f>IF($C$3="CGE",INDEX(GDP_CGE!$A$3:$AN$22,MATCH($A12,GDP_CGE!$A$3:$A$22,0),MATCH(L$9,GDP_CGE!$A$3:$AN$3,0)),GDP_Simple!L10)</f>
        <v>2013.21</v>
      </c>
      <c r="M12">
        <f>IF($C$3="CGE",INDEX(GDP_CGE!$A$3:$AN$22,MATCH($A12,GDP_CGE!$A$3:$A$22,0),MATCH(M$9,GDP_CGE!$A$3:$AN$3,0)),GDP_Simple!M10)</f>
        <v>2052.89</v>
      </c>
      <c r="N12">
        <f>IF($C$3="CGE",INDEX(GDP_CGE!$A$3:$AN$22,MATCH($A12,GDP_CGE!$A$3:$A$22,0),MATCH(N$9,GDP_CGE!$A$3:$AN$3,0)),GDP_Simple!N10)</f>
        <v>2097.59</v>
      </c>
      <c r="O12">
        <f>IF($C$3="CGE",INDEX(GDP_CGE!$A$3:$AN$22,MATCH($A12,GDP_CGE!$A$3:$A$22,0),MATCH(O$9,GDP_CGE!$A$3:$AN$3,0)),GDP_Simple!O10)</f>
        <v>2142.04</v>
      </c>
      <c r="P12">
        <f>IF($C$3="CGE",INDEX(GDP_CGE!$A$3:$AN$22,MATCH($A12,GDP_CGE!$A$3:$A$22,0),MATCH(P$9,GDP_CGE!$A$3:$AN$3,0)),GDP_Simple!P10)</f>
        <v>2187.36</v>
      </c>
      <c r="Q12">
        <f>IF($C$3="CGE",INDEX(GDP_CGE!$A$3:$AN$22,MATCH($A12,GDP_CGE!$A$3:$A$22,0),MATCH(Q$9,GDP_CGE!$A$3:$AN$3,0)),GDP_Simple!Q10)</f>
        <v>2232.96</v>
      </c>
      <c r="R12">
        <f>IF($C$3="CGE",INDEX(GDP_CGE!$A$3:$AN$22,MATCH($A12,GDP_CGE!$A$3:$A$22,0),MATCH(R$9,GDP_CGE!$A$3:$AN$3,0)),GDP_Simple!R10)</f>
        <v>2276.1999999999998</v>
      </c>
      <c r="S12">
        <f>IF($C$3="CGE",INDEX(GDP_CGE!$A$3:$AN$22,MATCH($A12,GDP_CGE!$A$3:$A$22,0),MATCH(S$9,GDP_CGE!$A$3:$AN$3,0)),GDP_Simple!S10)</f>
        <v>2325.7600000000002</v>
      </c>
      <c r="T12">
        <f>IF($C$3="CGE",INDEX(GDP_CGE!$A$3:$AN$22,MATCH($A12,GDP_CGE!$A$3:$A$22,0),MATCH(T$9,GDP_CGE!$A$3:$AN$3,0)),GDP_Simple!T10)</f>
        <v>2379.34</v>
      </c>
      <c r="U12">
        <f>IF($C$3="CGE",INDEX(GDP_CGE!$A$3:$AN$22,MATCH($A12,GDP_CGE!$A$3:$A$22,0),MATCH(U$9,GDP_CGE!$A$3:$AN$3,0)),GDP_Simple!U10)</f>
        <v>2444.09</v>
      </c>
      <c r="V12">
        <f>IF($C$3="CGE",INDEX(GDP_CGE!$A$3:$AN$22,MATCH($A12,GDP_CGE!$A$3:$A$22,0),MATCH(V$9,GDP_CGE!$A$3:$AN$3,0)),GDP_Simple!V10)</f>
        <v>2512.85</v>
      </c>
      <c r="W12">
        <f>IF($C$3="CGE",INDEX(GDP_CGE!$A$3:$AN$22,MATCH($A12,GDP_CGE!$A$3:$A$22,0),MATCH(W$9,GDP_CGE!$A$3:$AN$3,0)),GDP_Simple!W10)</f>
        <v>2586.39</v>
      </c>
      <c r="X12">
        <f>IF($C$3="CGE",INDEX(GDP_CGE!$A$3:$AN$22,MATCH($A12,GDP_CGE!$A$3:$A$22,0),MATCH(X$9,GDP_CGE!$A$3:$AN$3,0)),GDP_Simple!X10)</f>
        <v>2669.29</v>
      </c>
      <c r="Y12">
        <f>IF($C$3="CGE",INDEX(GDP_CGE!$A$3:$AN$22,MATCH($A12,GDP_CGE!$A$3:$A$22,0),MATCH(Y$9,GDP_CGE!$A$3:$AN$3,0)),GDP_Simple!Y10)</f>
        <v>2753.03</v>
      </c>
      <c r="Z12">
        <f>IF($C$3="CGE",INDEX(GDP_CGE!$A$3:$AN$22,MATCH($A12,GDP_CGE!$A$3:$A$22,0),MATCH(Z$9,GDP_CGE!$A$3:$AN$3,0)),GDP_Simple!Z10)</f>
        <v>2843.24</v>
      </c>
      <c r="AA12">
        <f>IF($C$3="CGE",INDEX(GDP_CGE!$A$3:$AN$22,MATCH($A12,GDP_CGE!$A$3:$A$22,0),MATCH(AA$9,GDP_CGE!$A$3:$AN$3,0)),GDP_Simple!AA10)</f>
        <v>2938.39</v>
      </c>
      <c r="AB12">
        <f>IF($C$3="CGE",INDEX(GDP_CGE!$A$3:$AN$22,MATCH($A12,GDP_CGE!$A$3:$A$22,0),MATCH(AB$9,GDP_CGE!$A$3:$AN$3,0)),GDP_Simple!AB10)</f>
        <v>3036.29</v>
      </c>
      <c r="AC12">
        <f>IF($C$3="CGE",INDEX(GDP_CGE!$A$3:$AN$22,MATCH($A12,GDP_CGE!$A$3:$A$22,0),MATCH(AC$9,GDP_CGE!$A$3:$AN$3,0)),GDP_Simple!AC10)</f>
        <v>3138.34</v>
      </c>
      <c r="AD12">
        <f>IF($C$3="CGE",INDEX(GDP_CGE!$A$3:$AN$22,MATCH($A12,GDP_CGE!$A$3:$A$22,0),MATCH(AD$9,GDP_CGE!$A$3:$AN$3,0)),GDP_Simple!AD10)</f>
        <v>3244.95</v>
      </c>
      <c r="AE12">
        <f>IF($C$3="CGE",INDEX(GDP_CGE!$A$3:$AN$22,MATCH($A12,GDP_CGE!$A$3:$A$22,0),MATCH(AE$9,GDP_CGE!$A$3:$AN$3,0)),GDP_Simple!AE10)</f>
        <v>3354.92</v>
      </c>
      <c r="AF12">
        <f>IF($C$3="CGE",INDEX(GDP_CGE!$A$3:$AN$22,MATCH($A12,GDP_CGE!$A$3:$A$22,0),MATCH(AF$9,GDP_CGE!$A$3:$AN$3,0)),GDP_Simple!AF10)</f>
        <v>3465.43</v>
      </c>
      <c r="AG12">
        <f>IF($C$3="CGE",INDEX(GDP_CGE!$A$3:$AN$22,MATCH($A12,GDP_CGE!$A$3:$A$22,0),MATCH(AG$9,GDP_CGE!$A$3:$AN$3,0)),GDP_Simple!AG10)</f>
        <v>3580.36</v>
      </c>
      <c r="AH12">
        <f>IF($C$3="CGE",INDEX(GDP_CGE!$A$3:$AN$22,MATCH($A12,GDP_CGE!$A$3:$A$22,0),MATCH(AH$9,GDP_CGE!$A$3:$AN$3,0)),GDP_Simple!AH10)</f>
        <v>3700.03</v>
      </c>
      <c r="AI12">
        <f>IF($C$3="CGE",INDEX(GDP_CGE!$A$3:$AN$22,MATCH($A12,GDP_CGE!$A$3:$A$22,0),MATCH(AI$9,GDP_CGE!$A$3:$AN$3,0)),GDP_Simple!AI10)</f>
        <v>3827.31</v>
      </c>
      <c r="AJ12">
        <f>IF($C$3="CGE",INDEX(GDP_CGE!$A$3:$AN$22,MATCH($A12,GDP_CGE!$A$3:$A$22,0),MATCH(AJ$9,GDP_CGE!$A$3:$AN$3,0)),GDP_Simple!AJ10)</f>
        <v>3959.52</v>
      </c>
      <c r="AK12">
        <f>IF($C$3="CGE",INDEX(GDP_CGE!$A$3:$AN$22,MATCH($A12,GDP_CGE!$A$3:$A$22,0),MATCH(AK$9,GDP_CGE!$A$3:$AN$3,0)),GDP_Simple!AK10)</f>
        <v>4091.05</v>
      </c>
      <c r="AL12">
        <f>IF($C$3="CGE",INDEX(GDP_CGE!$A$3:$AN$22,MATCH($A12,GDP_CGE!$A$3:$A$22,0),MATCH(AL$9,GDP_CGE!$A$3:$AN$3,0)),GDP_Simple!AL10)</f>
        <v>4228.6000000000004</v>
      </c>
      <c r="AM12">
        <f>IF($C$3="CGE",INDEX(GDP_CGE!$A$3:$AN$22,MATCH($A12,GDP_CGE!$A$3:$A$22,0),MATCH(AM$9,GDP_CGE!$A$3:$AN$3,0)),GDP_Simple!AM10)</f>
        <v>4373.84</v>
      </c>
      <c r="AN12">
        <f>IF($C$3="CGE",INDEX(GDP_CGE!$A$3:$AN$22,MATCH($A12,GDP_CGE!$A$3:$A$22,0),MATCH(AN$9,GDP_CGE!$A$3:$AN$3,0)),GDP_Simple!AN10)</f>
        <v>4547.05</v>
      </c>
    </row>
    <row r="13" spans="1:40" x14ac:dyDescent="0.25">
      <c r="A13" t="s">
        <v>27</v>
      </c>
      <c r="B13">
        <f>IF($C$3="CGE",INDEX(GDP_CGE!$A$3:$AN$22,MATCH($A13,GDP_CGE!$A$3:$A$22,0),MATCH(B$9,GDP_CGE!$A$3:$AN$3,0)),GDP_Simple!B11)</f>
        <v>52.81</v>
      </c>
      <c r="C13">
        <f>IF($C$3="CGE",INDEX(GDP_CGE!$A$3:$AN$22,MATCH($A13,GDP_CGE!$A$3:$A$22,0),MATCH(C$9,GDP_CGE!$A$3:$AN$3,0)),GDP_Simple!C11)</f>
        <v>54.26</v>
      </c>
      <c r="D13">
        <f>IF($C$3="CGE",INDEX(GDP_CGE!$A$3:$AN$22,MATCH($A13,GDP_CGE!$A$3:$A$22,0),MATCH(D$9,GDP_CGE!$A$3:$AN$3,0)),GDP_Simple!D11)</f>
        <v>55.41</v>
      </c>
      <c r="E13">
        <f>IF($C$3="CGE",INDEX(GDP_CGE!$A$3:$AN$22,MATCH($A13,GDP_CGE!$A$3:$A$22,0),MATCH(E$9,GDP_CGE!$A$3:$AN$3,0)),GDP_Simple!E11)</f>
        <v>55.89</v>
      </c>
      <c r="F13">
        <f>IF($C$3="CGE",INDEX(GDP_CGE!$A$3:$AN$22,MATCH($A13,GDP_CGE!$A$3:$A$22,0),MATCH(F$9,GDP_CGE!$A$3:$AN$3,0)),GDP_Simple!F11)</f>
        <v>56.55</v>
      </c>
      <c r="G13">
        <f>IF($C$3="CGE",INDEX(GDP_CGE!$A$3:$AN$22,MATCH($A13,GDP_CGE!$A$3:$A$22,0),MATCH(G$9,GDP_CGE!$A$3:$AN$3,0)),GDP_Simple!G11)</f>
        <v>57.1</v>
      </c>
      <c r="H13">
        <f>IF($C$3="CGE",INDEX(GDP_CGE!$A$3:$AN$22,MATCH($A13,GDP_CGE!$A$3:$A$22,0),MATCH(H$9,GDP_CGE!$A$3:$AN$3,0)),GDP_Simple!H11)</f>
        <v>57.77</v>
      </c>
      <c r="I13">
        <f>IF($C$3="CGE",INDEX(GDP_CGE!$A$3:$AN$22,MATCH($A13,GDP_CGE!$A$3:$A$22,0),MATCH(I$9,GDP_CGE!$A$3:$AN$3,0)),GDP_Simple!I11)</f>
        <v>57.43</v>
      </c>
      <c r="J13">
        <f>IF($C$3="CGE",INDEX(GDP_CGE!$A$3:$AN$22,MATCH($A13,GDP_CGE!$A$3:$A$22,0),MATCH(J$9,GDP_CGE!$A$3:$AN$3,0)),GDP_Simple!J11)</f>
        <v>53.7</v>
      </c>
      <c r="K13">
        <f>IF($C$3="CGE",INDEX(GDP_CGE!$A$3:$AN$22,MATCH($A13,GDP_CGE!$A$3:$A$22,0),MATCH(K$9,GDP_CGE!$A$3:$AN$3,0)),GDP_Simple!K11)</f>
        <v>54.93</v>
      </c>
      <c r="L13">
        <f>IF($C$3="CGE",INDEX(GDP_CGE!$A$3:$AN$22,MATCH($A13,GDP_CGE!$A$3:$A$22,0),MATCH(L$9,GDP_CGE!$A$3:$AN$3,0)),GDP_Simple!L11)</f>
        <v>56.1</v>
      </c>
      <c r="M13">
        <f>IF($C$3="CGE",INDEX(GDP_CGE!$A$3:$AN$22,MATCH($A13,GDP_CGE!$A$3:$A$22,0),MATCH(M$9,GDP_CGE!$A$3:$AN$3,0)),GDP_Simple!M11)</f>
        <v>57.1</v>
      </c>
      <c r="N13">
        <f>IF($C$3="CGE",INDEX(GDP_CGE!$A$3:$AN$22,MATCH($A13,GDP_CGE!$A$3:$A$22,0),MATCH(N$9,GDP_CGE!$A$3:$AN$3,0)),GDP_Simple!N11)</f>
        <v>58.23</v>
      </c>
      <c r="O13">
        <f>IF($C$3="CGE",INDEX(GDP_CGE!$A$3:$AN$22,MATCH($A13,GDP_CGE!$A$3:$A$22,0),MATCH(O$9,GDP_CGE!$A$3:$AN$3,0)),GDP_Simple!O11)</f>
        <v>59.4</v>
      </c>
      <c r="P13">
        <f>IF($C$3="CGE",INDEX(GDP_CGE!$A$3:$AN$22,MATCH($A13,GDP_CGE!$A$3:$A$22,0),MATCH(P$9,GDP_CGE!$A$3:$AN$3,0)),GDP_Simple!P11)</f>
        <v>60.51</v>
      </c>
      <c r="Q13">
        <f>IF($C$3="CGE",INDEX(GDP_CGE!$A$3:$AN$22,MATCH($A13,GDP_CGE!$A$3:$A$22,0),MATCH(Q$9,GDP_CGE!$A$3:$AN$3,0)),GDP_Simple!Q11)</f>
        <v>61.62</v>
      </c>
      <c r="R13">
        <f>IF($C$3="CGE",INDEX(GDP_CGE!$A$3:$AN$22,MATCH($A13,GDP_CGE!$A$3:$A$22,0),MATCH(R$9,GDP_CGE!$A$3:$AN$3,0)),GDP_Simple!R11)</f>
        <v>62.89</v>
      </c>
      <c r="S13">
        <f>IF($C$3="CGE",INDEX(GDP_CGE!$A$3:$AN$22,MATCH($A13,GDP_CGE!$A$3:$A$22,0),MATCH(S$9,GDP_CGE!$A$3:$AN$3,0)),GDP_Simple!S11)</f>
        <v>63.98</v>
      </c>
      <c r="T13">
        <f>IF($C$3="CGE",INDEX(GDP_CGE!$A$3:$AN$22,MATCH($A13,GDP_CGE!$A$3:$A$22,0),MATCH(T$9,GDP_CGE!$A$3:$AN$3,0)),GDP_Simple!T11)</f>
        <v>65.209999999999994</v>
      </c>
      <c r="U13">
        <f>IF($C$3="CGE",INDEX(GDP_CGE!$A$3:$AN$22,MATCH($A13,GDP_CGE!$A$3:$A$22,0),MATCH(U$9,GDP_CGE!$A$3:$AN$3,0)),GDP_Simple!U11)</f>
        <v>66.91</v>
      </c>
      <c r="V13">
        <f>IF($C$3="CGE",INDEX(GDP_CGE!$A$3:$AN$22,MATCH($A13,GDP_CGE!$A$3:$A$22,0),MATCH(V$9,GDP_CGE!$A$3:$AN$3,0)),GDP_Simple!V11)</f>
        <v>68.67</v>
      </c>
      <c r="W13">
        <f>IF($C$3="CGE",INDEX(GDP_CGE!$A$3:$AN$22,MATCH($A13,GDP_CGE!$A$3:$A$22,0),MATCH(W$9,GDP_CGE!$A$3:$AN$3,0)),GDP_Simple!W11)</f>
        <v>70.540000000000006</v>
      </c>
      <c r="X13">
        <f>IF($C$3="CGE",INDEX(GDP_CGE!$A$3:$AN$22,MATCH($A13,GDP_CGE!$A$3:$A$22,0),MATCH(X$9,GDP_CGE!$A$3:$AN$3,0)),GDP_Simple!X11)</f>
        <v>72.73</v>
      </c>
      <c r="Y13">
        <f>IF($C$3="CGE",INDEX(GDP_CGE!$A$3:$AN$22,MATCH($A13,GDP_CGE!$A$3:$A$22,0),MATCH(Y$9,GDP_CGE!$A$3:$AN$3,0)),GDP_Simple!Y11)</f>
        <v>74.89</v>
      </c>
      <c r="Z13">
        <f>IF($C$3="CGE",INDEX(GDP_CGE!$A$3:$AN$22,MATCH($A13,GDP_CGE!$A$3:$A$22,0),MATCH(Z$9,GDP_CGE!$A$3:$AN$3,0)),GDP_Simple!Z11)</f>
        <v>77.16</v>
      </c>
      <c r="AA13">
        <f>IF($C$3="CGE",INDEX(GDP_CGE!$A$3:$AN$22,MATCH($A13,GDP_CGE!$A$3:$A$22,0),MATCH(AA$9,GDP_CGE!$A$3:$AN$3,0)),GDP_Simple!AA11)</f>
        <v>79.62</v>
      </c>
      <c r="AB13">
        <f>IF($C$3="CGE",INDEX(GDP_CGE!$A$3:$AN$22,MATCH($A13,GDP_CGE!$A$3:$A$22,0),MATCH(AB$9,GDP_CGE!$A$3:$AN$3,0)),GDP_Simple!AB11)</f>
        <v>82.09</v>
      </c>
      <c r="AC13">
        <f>IF($C$3="CGE",INDEX(GDP_CGE!$A$3:$AN$22,MATCH($A13,GDP_CGE!$A$3:$A$22,0),MATCH(AC$9,GDP_CGE!$A$3:$AN$3,0)),GDP_Simple!AC11)</f>
        <v>84.63</v>
      </c>
      <c r="AD13">
        <f>IF($C$3="CGE",INDEX(GDP_CGE!$A$3:$AN$22,MATCH($A13,GDP_CGE!$A$3:$A$22,0),MATCH(AD$9,GDP_CGE!$A$3:$AN$3,0)),GDP_Simple!AD11)</f>
        <v>87.27</v>
      </c>
      <c r="AE13">
        <f>IF($C$3="CGE",INDEX(GDP_CGE!$A$3:$AN$22,MATCH($A13,GDP_CGE!$A$3:$A$22,0),MATCH(AE$9,GDP_CGE!$A$3:$AN$3,0)),GDP_Simple!AE11)</f>
        <v>89.91</v>
      </c>
      <c r="AF13">
        <f>IF($C$3="CGE",INDEX(GDP_CGE!$A$3:$AN$22,MATCH($A13,GDP_CGE!$A$3:$A$22,0),MATCH(AF$9,GDP_CGE!$A$3:$AN$3,0)),GDP_Simple!AF11)</f>
        <v>92.55</v>
      </c>
      <c r="AG13">
        <f>IF($C$3="CGE",INDEX(GDP_CGE!$A$3:$AN$22,MATCH($A13,GDP_CGE!$A$3:$A$22,0),MATCH(AG$9,GDP_CGE!$A$3:$AN$3,0)),GDP_Simple!AG11)</f>
        <v>95.31</v>
      </c>
      <c r="AH13">
        <f>IF($C$3="CGE",INDEX(GDP_CGE!$A$3:$AN$22,MATCH($A13,GDP_CGE!$A$3:$A$22,0),MATCH(AH$9,GDP_CGE!$A$3:$AN$3,0)),GDP_Simple!AH11)</f>
        <v>98.19</v>
      </c>
      <c r="AI13">
        <f>IF($C$3="CGE",INDEX(GDP_CGE!$A$3:$AN$22,MATCH($A13,GDP_CGE!$A$3:$A$22,0),MATCH(AI$9,GDP_CGE!$A$3:$AN$3,0)),GDP_Simple!AI11)</f>
        <v>101.26</v>
      </c>
      <c r="AJ13">
        <f>IF($C$3="CGE",INDEX(GDP_CGE!$A$3:$AN$22,MATCH($A13,GDP_CGE!$A$3:$A$22,0),MATCH(AJ$9,GDP_CGE!$A$3:$AN$3,0)),GDP_Simple!AJ11)</f>
        <v>104.46</v>
      </c>
      <c r="AK13">
        <f>IF($C$3="CGE",INDEX(GDP_CGE!$A$3:$AN$22,MATCH($A13,GDP_CGE!$A$3:$A$22,0),MATCH(AK$9,GDP_CGE!$A$3:$AN$3,0)),GDP_Simple!AK11)</f>
        <v>107.63</v>
      </c>
      <c r="AL13">
        <f>IF($C$3="CGE",INDEX(GDP_CGE!$A$3:$AN$22,MATCH($A13,GDP_CGE!$A$3:$A$22,0),MATCH(AL$9,GDP_CGE!$A$3:$AN$3,0)),GDP_Simple!AL11)</f>
        <v>110.94</v>
      </c>
      <c r="AM13">
        <f>IF($C$3="CGE",INDEX(GDP_CGE!$A$3:$AN$22,MATCH($A13,GDP_CGE!$A$3:$A$22,0),MATCH(AM$9,GDP_CGE!$A$3:$AN$3,0)),GDP_Simple!AM11)</f>
        <v>114.45</v>
      </c>
      <c r="AN13">
        <f>IF($C$3="CGE",INDEX(GDP_CGE!$A$3:$AN$22,MATCH($A13,GDP_CGE!$A$3:$A$22,0),MATCH(AN$9,GDP_CGE!$A$3:$AN$3,0)),GDP_Simple!AN11)</f>
        <v>118.69</v>
      </c>
    </row>
    <row r="14" spans="1:40" x14ac:dyDescent="0.25">
      <c r="A14" t="s">
        <v>32</v>
      </c>
      <c r="B14">
        <f>IF($C$3="CGE",INDEX(GDP_CGE!$A$3:$AN$22,MATCH($A14,GDP_CGE!$A$3:$A$22,0),MATCH(B$9,GDP_CGE!$A$3:$AN$3,0)),GDP_Simple!B12)</f>
        <v>84.25</v>
      </c>
      <c r="C14">
        <f>IF($C$3="CGE",INDEX(GDP_CGE!$A$3:$AN$22,MATCH($A14,GDP_CGE!$A$3:$A$22,0),MATCH(C$9,GDP_CGE!$A$3:$AN$3,0)),GDP_Simple!C12)</f>
        <v>82.71</v>
      </c>
      <c r="D14">
        <f>IF($C$3="CGE",INDEX(GDP_CGE!$A$3:$AN$22,MATCH($A14,GDP_CGE!$A$3:$A$22,0),MATCH(D$9,GDP_CGE!$A$3:$AN$3,0)),GDP_Simple!D12)</f>
        <v>79.56</v>
      </c>
      <c r="E14">
        <f>IF($C$3="CGE",INDEX(GDP_CGE!$A$3:$AN$22,MATCH($A14,GDP_CGE!$A$3:$A$22,0),MATCH(E$9,GDP_CGE!$A$3:$AN$3,0)),GDP_Simple!E12)</f>
        <v>76.53</v>
      </c>
      <c r="F14">
        <f>IF($C$3="CGE",INDEX(GDP_CGE!$A$3:$AN$22,MATCH($A14,GDP_CGE!$A$3:$A$22,0),MATCH(F$9,GDP_CGE!$A$3:$AN$3,0)),GDP_Simple!F12)</f>
        <v>75.13</v>
      </c>
      <c r="G14">
        <f>IF($C$3="CGE",INDEX(GDP_CGE!$A$3:$AN$22,MATCH($A14,GDP_CGE!$A$3:$A$22,0),MATCH(G$9,GDP_CGE!$A$3:$AN$3,0)),GDP_Simple!G12)</f>
        <v>74.03</v>
      </c>
      <c r="H14">
        <f>IF($C$3="CGE",INDEX(GDP_CGE!$A$3:$AN$22,MATCH($A14,GDP_CGE!$A$3:$A$22,0),MATCH(H$9,GDP_CGE!$A$3:$AN$3,0)),GDP_Simple!H12)</f>
        <v>74.44</v>
      </c>
      <c r="I14">
        <f>IF($C$3="CGE",INDEX(GDP_CGE!$A$3:$AN$22,MATCH($A14,GDP_CGE!$A$3:$A$22,0),MATCH(I$9,GDP_CGE!$A$3:$AN$3,0)),GDP_Simple!I12)</f>
        <v>72.650000000000006</v>
      </c>
      <c r="J14">
        <f>IF($C$3="CGE",INDEX(GDP_CGE!$A$3:$AN$22,MATCH($A14,GDP_CGE!$A$3:$A$22,0),MATCH(J$9,GDP_CGE!$A$3:$AN$3,0)),GDP_Simple!J12)</f>
        <v>70.260000000000005</v>
      </c>
      <c r="K14">
        <f>IF($C$3="CGE",INDEX(GDP_CGE!$A$3:$AN$22,MATCH($A14,GDP_CGE!$A$3:$A$22,0),MATCH(K$9,GDP_CGE!$A$3:$AN$3,0)),GDP_Simple!K12)</f>
        <v>74.099999999999994</v>
      </c>
      <c r="L14">
        <f>IF($C$3="CGE",INDEX(GDP_CGE!$A$3:$AN$22,MATCH($A14,GDP_CGE!$A$3:$A$22,0),MATCH(L$9,GDP_CGE!$A$3:$AN$3,0)),GDP_Simple!L12)</f>
        <v>73.67</v>
      </c>
      <c r="M14">
        <f>IF($C$3="CGE",INDEX(GDP_CGE!$A$3:$AN$22,MATCH($A14,GDP_CGE!$A$3:$A$22,0),MATCH(M$9,GDP_CGE!$A$3:$AN$3,0)),GDP_Simple!M12)</f>
        <v>74.25</v>
      </c>
      <c r="N14">
        <f>IF($C$3="CGE",INDEX(GDP_CGE!$A$3:$AN$22,MATCH($A14,GDP_CGE!$A$3:$A$22,0),MATCH(N$9,GDP_CGE!$A$3:$AN$3,0)),GDP_Simple!N12)</f>
        <v>74.66</v>
      </c>
      <c r="O14">
        <f>IF($C$3="CGE",INDEX(GDP_CGE!$A$3:$AN$22,MATCH($A14,GDP_CGE!$A$3:$A$22,0),MATCH(O$9,GDP_CGE!$A$3:$AN$3,0)),GDP_Simple!O12)</f>
        <v>75.03</v>
      </c>
      <c r="P14">
        <f>IF($C$3="CGE",INDEX(GDP_CGE!$A$3:$AN$22,MATCH($A14,GDP_CGE!$A$3:$A$22,0),MATCH(P$9,GDP_CGE!$A$3:$AN$3,0)),GDP_Simple!P12)</f>
        <v>76.28</v>
      </c>
      <c r="Q14">
        <f>IF($C$3="CGE",INDEX(GDP_CGE!$A$3:$AN$22,MATCH($A14,GDP_CGE!$A$3:$A$22,0),MATCH(Q$9,GDP_CGE!$A$3:$AN$3,0)),GDP_Simple!Q12)</f>
        <v>76.319999999999993</v>
      </c>
      <c r="R14">
        <f>IF($C$3="CGE",INDEX(GDP_CGE!$A$3:$AN$22,MATCH($A14,GDP_CGE!$A$3:$A$22,0),MATCH(R$9,GDP_CGE!$A$3:$AN$3,0)),GDP_Simple!R12)</f>
        <v>76.67</v>
      </c>
      <c r="S14">
        <f>IF($C$3="CGE",INDEX(GDP_CGE!$A$3:$AN$22,MATCH($A14,GDP_CGE!$A$3:$A$22,0),MATCH(S$9,GDP_CGE!$A$3:$AN$3,0)),GDP_Simple!S12)</f>
        <v>78.13</v>
      </c>
      <c r="T14">
        <f>IF($C$3="CGE",INDEX(GDP_CGE!$A$3:$AN$22,MATCH($A14,GDP_CGE!$A$3:$A$22,0),MATCH(T$9,GDP_CGE!$A$3:$AN$3,0)),GDP_Simple!T12)</f>
        <v>79.61</v>
      </c>
      <c r="U14">
        <f>IF($C$3="CGE",INDEX(GDP_CGE!$A$3:$AN$22,MATCH($A14,GDP_CGE!$A$3:$A$22,0),MATCH(U$9,GDP_CGE!$A$3:$AN$3,0)),GDP_Simple!U12)</f>
        <v>81.23</v>
      </c>
      <c r="V14">
        <f>IF($C$3="CGE",INDEX(GDP_CGE!$A$3:$AN$22,MATCH($A14,GDP_CGE!$A$3:$A$22,0),MATCH(V$9,GDP_CGE!$A$3:$AN$3,0)),GDP_Simple!V12)</f>
        <v>83.69</v>
      </c>
      <c r="W14">
        <f>IF($C$3="CGE",INDEX(GDP_CGE!$A$3:$AN$22,MATCH($A14,GDP_CGE!$A$3:$A$22,0),MATCH(W$9,GDP_CGE!$A$3:$AN$3,0)),GDP_Simple!W12)</f>
        <v>85.48</v>
      </c>
      <c r="X14">
        <f>IF($C$3="CGE",INDEX(GDP_CGE!$A$3:$AN$22,MATCH($A14,GDP_CGE!$A$3:$A$22,0),MATCH(X$9,GDP_CGE!$A$3:$AN$3,0)),GDP_Simple!X12)</f>
        <v>87.67</v>
      </c>
      <c r="Y14">
        <f>IF($C$3="CGE",INDEX(GDP_CGE!$A$3:$AN$22,MATCH($A14,GDP_CGE!$A$3:$A$22,0),MATCH(Y$9,GDP_CGE!$A$3:$AN$3,0)),GDP_Simple!Y12)</f>
        <v>89.95</v>
      </c>
      <c r="Z14">
        <f>IF($C$3="CGE",INDEX(GDP_CGE!$A$3:$AN$22,MATCH($A14,GDP_CGE!$A$3:$A$22,0),MATCH(Z$9,GDP_CGE!$A$3:$AN$3,0)),GDP_Simple!Z12)</f>
        <v>91.79</v>
      </c>
      <c r="AA14">
        <f>IF($C$3="CGE",INDEX(GDP_CGE!$A$3:$AN$22,MATCH($A14,GDP_CGE!$A$3:$A$22,0),MATCH(AA$9,GDP_CGE!$A$3:$AN$3,0)),GDP_Simple!AA12)</f>
        <v>93.81</v>
      </c>
      <c r="AB14">
        <f>IF($C$3="CGE",INDEX(GDP_CGE!$A$3:$AN$22,MATCH($A14,GDP_CGE!$A$3:$A$22,0),MATCH(AB$9,GDP_CGE!$A$3:$AN$3,0)),GDP_Simple!AB12)</f>
        <v>95.03</v>
      </c>
      <c r="AC14">
        <f>IF($C$3="CGE",INDEX(GDP_CGE!$A$3:$AN$22,MATCH($A14,GDP_CGE!$A$3:$A$22,0),MATCH(AC$9,GDP_CGE!$A$3:$AN$3,0)),GDP_Simple!AC12)</f>
        <v>96.4</v>
      </c>
      <c r="AD14">
        <f>IF($C$3="CGE",INDEX(GDP_CGE!$A$3:$AN$22,MATCH($A14,GDP_CGE!$A$3:$A$22,0),MATCH(AD$9,GDP_CGE!$A$3:$AN$3,0)),GDP_Simple!AD12)</f>
        <v>97.78</v>
      </c>
      <c r="AE14">
        <f>IF($C$3="CGE",INDEX(GDP_CGE!$A$3:$AN$22,MATCH($A14,GDP_CGE!$A$3:$A$22,0),MATCH(AE$9,GDP_CGE!$A$3:$AN$3,0)),GDP_Simple!AE12)</f>
        <v>99.48</v>
      </c>
      <c r="AF14">
        <f>IF($C$3="CGE",INDEX(GDP_CGE!$A$3:$AN$22,MATCH($A14,GDP_CGE!$A$3:$A$22,0),MATCH(AF$9,GDP_CGE!$A$3:$AN$3,0)),GDP_Simple!AF12)</f>
        <v>101.08</v>
      </c>
      <c r="AG14">
        <f>IF($C$3="CGE",INDEX(GDP_CGE!$A$3:$AN$22,MATCH($A14,GDP_CGE!$A$3:$A$22,0),MATCH(AG$9,GDP_CGE!$A$3:$AN$3,0)),GDP_Simple!AG12)</f>
        <v>102.69</v>
      </c>
      <c r="AH14">
        <f>IF($C$3="CGE",INDEX(GDP_CGE!$A$3:$AN$22,MATCH($A14,GDP_CGE!$A$3:$A$22,0),MATCH(AH$9,GDP_CGE!$A$3:$AN$3,0)),GDP_Simple!AH12)</f>
        <v>104.32</v>
      </c>
      <c r="AI14">
        <f>IF($C$3="CGE",INDEX(GDP_CGE!$A$3:$AN$22,MATCH($A14,GDP_CGE!$A$3:$A$22,0),MATCH(AI$9,GDP_CGE!$A$3:$AN$3,0)),GDP_Simple!AI12)</f>
        <v>105.99</v>
      </c>
      <c r="AJ14">
        <f>IF($C$3="CGE",INDEX(GDP_CGE!$A$3:$AN$22,MATCH($A14,GDP_CGE!$A$3:$A$22,0),MATCH(AJ$9,GDP_CGE!$A$3:$AN$3,0)),GDP_Simple!AJ12)</f>
        <v>108.49</v>
      </c>
      <c r="AK14">
        <f>IF($C$3="CGE",INDEX(GDP_CGE!$A$3:$AN$22,MATCH($A14,GDP_CGE!$A$3:$A$22,0),MATCH(AK$9,GDP_CGE!$A$3:$AN$3,0)),GDP_Simple!AK12)</f>
        <v>110.57</v>
      </c>
      <c r="AL14">
        <f>IF($C$3="CGE",INDEX(GDP_CGE!$A$3:$AN$22,MATCH($A14,GDP_CGE!$A$3:$A$22,0),MATCH(AL$9,GDP_CGE!$A$3:$AN$3,0)),GDP_Simple!AL12)</f>
        <v>112.67</v>
      </c>
      <c r="AM14">
        <f>IF($C$3="CGE",INDEX(GDP_CGE!$A$3:$AN$22,MATCH($A14,GDP_CGE!$A$3:$A$22,0),MATCH(AM$9,GDP_CGE!$A$3:$AN$3,0)),GDP_Simple!AM12)</f>
        <v>114.79</v>
      </c>
      <c r="AN14">
        <f>IF($C$3="CGE",INDEX(GDP_CGE!$A$3:$AN$22,MATCH($A14,GDP_CGE!$A$3:$A$22,0),MATCH(AN$9,GDP_CGE!$A$3:$AN$3,0)),GDP_Simple!AN12)</f>
        <v>116.96</v>
      </c>
    </row>
    <row r="15" spans="1:40" x14ac:dyDescent="0.25">
      <c r="A15" t="s">
        <v>24</v>
      </c>
      <c r="B15">
        <f>IF($C$3="CGE",INDEX(GDP_CGE!$A$3:$AN$22,MATCH($A15,GDP_CGE!$A$3:$A$22,0),MATCH(B$9,GDP_CGE!$A$3:$AN$3,0)),GDP_Simple!B13)</f>
        <v>93.1</v>
      </c>
      <c r="C15">
        <f>IF($C$3="CGE",INDEX(GDP_CGE!$A$3:$AN$22,MATCH($A15,GDP_CGE!$A$3:$A$22,0),MATCH(C$9,GDP_CGE!$A$3:$AN$3,0)),GDP_Simple!C13)</f>
        <v>96.24</v>
      </c>
      <c r="D15">
        <f>IF($C$3="CGE",INDEX(GDP_CGE!$A$3:$AN$22,MATCH($A15,GDP_CGE!$A$3:$A$22,0),MATCH(D$9,GDP_CGE!$A$3:$AN$3,0)),GDP_Simple!D13)</f>
        <v>98.9</v>
      </c>
      <c r="E15">
        <f>IF($C$3="CGE",INDEX(GDP_CGE!$A$3:$AN$22,MATCH($A15,GDP_CGE!$A$3:$A$22,0),MATCH(E$9,GDP_CGE!$A$3:$AN$3,0)),GDP_Simple!E13)</f>
        <v>99.85</v>
      </c>
      <c r="F15">
        <f>IF($C$3="CGE",INDEX(GDP_CGE!$A$3:$AN$22,MATCH($A15,GDP_CGE!$A$3:$A$22,0),MATCH(F$9,GDP_CGE!$A$3:$AN$3,0)),GDP_Simple!F13)</f>
        <v>102.21</v>
      </c>
      <c r="G15">
        <f>IF($C$3="CGE",INDEX(GDP_CGE!$A$3:$AN$22,MATCH($A15,GDP_CGE!$A$3:$A$22,0),MATCH(G$9,GDP_CGE!$A$3:$AN$3,0)),GDP_Simple!G13)</f>
        <v>103.61</v>
      </c>
      <c r="H15">
        <f>IF($C$3="CGE",INDEX(GDP_CGE!$A$3:$AN$22,MATCH($A15,GDP_CGE!$A$3:$A$22,0),MATCH(H$9,GDP_CGE!$A$3:$AN$3,0)),GDP_Simple!H13)</f>
        <v>105.24</v>
      </c>
      <c r="I15">
        <f>IF($C$3="CGE",INDEX(GDP_CGE!$A$3:$AN$22,MATCH($A15,GDP_CGE!$A$3:$A$22,0),MATCH(I$9,GDP_CGE!$A$3:$AN$3,0)),GDP_Simple!I13)</f>
        <v>104.54</v>
      </c>
      <c r="J15">
        <f>IF($C$3="CGE",INDEX(GDP_CGE!$A$3:$AN$22,MATCH($A15,GDP_CGE!$A$3:$A$22,0),MATCH(J$9,GDP_CGE!$A$3:$AN$3,0)),GDP_Simple!J13)</f>
        <v>101.85</v>
      </c>
      <c r="K15">
        <f>IF($C$3="CGE",INDEX(GDP_CGE!$A$3:$AN$22,MATCH($A15,GDP_CGE!$A$3:$A$22,0),MATCH(K$9,GDP_CGE!$A$3:$AN$3,0)),GDP_Simple!K13)</f>
        <v>104.95</v>
      </c>
      <c r="L15">
        <f>IF($C$3="CGE",INDEX(GDP_CGE!$A$3:$AN$22,MATCH($A15,GDP_CGE!$A$3:$A$22,0),MATCH(L$9,GDP_CGE!$A$3:$AN$3,0)),GDP_Simple!L13)</f>
        <v>107.71</v>
      </c>
      <c r="M15">
        <f>IF($C$3="CGE",INDEX(GDP_CGE!$A$3:$AN$22,MATCH($A15,GDP_CGE!$A$3:$A$22,0),MATCH(M$9,GDP_CGE!$A$3:$AN$3,0)),GDP_Simple!M13)</f>
        <v>109.84</v>
      </c>
      <c r="N15">
        <f>IF($C$3="CGE",INDEX(GDP_CGE!$A$3:$AN$22,MATCH($A15,GDP_CGE!$A$3:$A$22,0),MATCH(N$9,GDP_CGE!$A$3:$AN$3,0)),GDP_Simple!N13)</f>
        <v>112.24</v>
      </c>
      <c r="O15">
        <f>IF($C$3="CGE",INDEX(GDP_CGE!$A$3:$AN$22,MATCH($A15,GDP_CGE!$A$3:$A$22,0),MATCH(O$9,GDP_CGE!$A$3:$AN$3,0)),GDP_Simple!O13)</f>
        <v>114.63</v>
      </c>
      <c r="P15">
        <f>IF($C$3="CGE",INDEX(GDP_CGE!$A$3:$AN$22,MATCH($A15,GDP_CGE!$A$3:$A$22,0),MATCH(P$9,GDP_CGE!$A$3:$AN$3,0)),GDP_Simple!P13)</f>
        <v>116.8</v>
      </c>
      <c r="Q15">
        <f>IF($C$3="CGE",INDEX(GDP_CGE!$A$3:$AN$22,MATCH($A15,GDP_CGE!$A$3:$A$22,0),MATCH(Q$9,GDP_CGE!$A$3:$AN$3,0)),GDP_Simple!Q13)</f>
        <v>118.95</v>
      </c>
      <c r="R15">
        <f>IF($C$3="CGE",INDEX(GDP_CGE!$A$3:$AN$22,MATCH($A15,GDP_CGE!$A$3:$A$22,0),MATCH(R$9,GDP_CGE!$A$3:$AN$3,0)),GDP_Simple!R13)</f>
        <v>121.8</v>
      </c>
      <c r="S15">
        <f>IF($C$3="CGE",INDEX(GDP_CGE!$A$3:$AN$22,MATCH($A15,GDP_CGE!$A$3:$A$22,0),MATCH(S$9,GDP_CGE!$A$3:$AN$3,0)),GDP_Simple!S13)</f>
        <v>124.07</v>
      </c>
      <c r="T15">
        <f>IF($C$3="CGE",INDEX(GDP_CGE!$A$3:$AN$22,MATCH($A15,GDP_CGE!$A$3:$A$22,0),MATCH(T$9,GDP_CGE!$A$3:$AN$3,0)),GDP_Simple!T13)</f>
        <v>126.27</v>
      </c>
      <c r="U15">
        <f>IF($C$3="CGE",INDEX(GDP_CGE!$A$3:$AN$22,MATCH($A15,GDP_CGE!$A$3:$A$22,0),MATCH(U$9,GDP_CGE!$A$3:$AN$3,0)),GDP_Simple!U13)</f>
        <v>128.88999999999999</v>
      </c>
      <c r="V15">
        <f>IF($C$3="CGE",INDEX(GDP_CGE!$A$3:$AN$22,MATCH($A15,GDP_CGE!$A$3:$A$22,0),MATCH(V$9,GDP_CGE!$A$3:$AN$3,0)),GDP_Simple!V13)</f>
        <v>131.65</v>
      </c>
      <c r="W15">
        <f>IF($C$3="CGE",INDEX(GDP_CGE!$A$3:$AN$22,MATCH($A15,GDP_CGE!$A$3:$A$22,0),MATCH(W$9,GDP_CGE!$A$3:$AN$3,0)),GDP_Simple!W13)</f>
        <v>134.56</v>
      </c>
      <c r="X15">
        <f>IF($C$3="CGE",INDEX(GDP_CGE!$A$3:$AN$22,MATCH($A15,GDP_CGE!$A$3:$A$22,0),MATCH(X$9,GDP_CGE!$A$3:$AN$3,0)),GDP_Simple!X13)</f>
        <v>138.11000000000001</v>
      </c>
      <c r="Y15">
        <f>IF($C$3="CGE",INDEX(GDP_CGE!$A$3:$AN$22,MATCH($A15,GDP_CGE!$A$3:$A$22,0),MATCH(Y$9,GDP_CGE!$A$3:$AN$3,0)),GDP_Simple!Y13)</f>
        <v>141.66</v>
      </c>
      <c r="Z15">
        <f>IF($C$3="CGE",INDEX(GDP_CGE!$A$3:$AN$22,MATCH($A15,GDP_CGE!$A$3:$A$22,0),MATCH(Z$9,GDP_CGE!$A$3:$AN$3,0)),GDP_Simple!Z13)</f>
        <v>145.46</v>
      </c>
      <c r="AA15">
        <f>IF($C$3="CGE",INDEX(GDP_CGE!$A$3:$AN$22,MATCH($A15,GDP_CGE!$A$3:$A$22,0),MATCH(AA$9,GDP_CGE!$A$3:$AN$3,0)),GDP_Simple!AA13)</f>
        <v>149.24</v>
      </c>
      <c r="AB15">
        <f>IF($C$3="CGE",INDEX(GDP_CGE!$A$3:$AN$22,MATCH($A15,GDP_CGE!$A$3:$A$22,0),MATCH(AB$9,GDP_CGE!$A$3:$AN$3,0)),GDP_Simple!AB13)</f>
        <v>153</v>
      </c>
      <c r="AC15">
        <f>IF($C$3="CGE",INDEX(GDP_CGE!$A$3:$AN$22,MATCH($A15,GDP_CGE!$A$3:$A$22,0),MATCH(AC$9,GDP_CGE!$A$3:$AN$3,0)),GDP_Simple!AC13)</f>
        <v>156.83000000000001</v>
      </c>
      <c r="AD15">
        <f>IF($C$3="CGE",INDEX(GDP_CGE!$A$3:$AN$22,MATCH($A15,GDP_CGE!$A$3:$A$22,0),MATCH(AD$9,GDP_CGE!$A$3:$AN$3,0)),GDP_Simple!AD13)</f>
        <v>160.74</v>
      </c>
      <c r="AE15">
        <f>IF($C$3="CGE",INDEX(GDP_CGE!$A$3:$AN$22,MATCH($A15,GDP_CGE!$A$3:$A$22,0),MATCH(AE$9,GDP_CGE!$A$3:$AN$3,0)),GDP_Simple!AE13)</f>
        <v>164.68</v>
      </c>
      <c r="AF15">
        <f>IF($C$3="CGE",INDEX(GDP_CGE!$A$3:$AN$22,MATCH($A15,GDP_CGE!$A$3:$A$22,0),MATCH(AF$9,GDP_CGE!$A$3:$AN$3,0)),GDP_Simple!AF13)</f>
        <v>168.49</v>
      </c>
      <c r="AG15">
        <f>IF($C$3="CGE",INDEX(GDP_CGE!$A$3:$AN$22,MATCH($A15,GDP_CGE!$A$3:$A$22,0),MATCH(AG$9,GDP_CGE!$A$3:$AN$3,0)),GDP_Simple!AG13)</f>
        <v>172.54</v>
      </c>
      <c r="AH15">
        <f>IF($C$3="CGE",INDEX(GDP_CGE!$A$3:$AN$22,MATCH($A15,GDP_CGE!$A$3:$A$22,0),MATCH(AH$9,GDP_CGE!$A$3:$AN$3,0)),GDP_Simple!AH13)</f>
        <v>176.82</v>
      </c>
      <c r="AI15">
        <f>IF($C$3="CGE",INDEX(GDP_CGE!$A$3:$AN$22,MATCH($A15,GDP_CGE!$A$3:$A$22,0),MATCH(AI$9,GDP_CGE!$A$3:$AN$3,0)),GDP_Simple!AI13)</f>
        <v>181.33</v>
      </c>
      <c r="AJ15">
        <f>IF($C$3="CGE",INDEX(GDP_CGE!$A$3:$AN$22,MATCH($A15,GDP_CGE!$A$3:$A$22,0),MATCH(AJ$9,GDP_CGE!$A$3:$AN$3,0)),GDP_Simple!AJ13)</f>
        <v>185.9</v>
      </c>
      <c r="AK15">
        <f>IF($C$3="CGE",INDEX(GDP_CGE!$A$3:$AN$22,MATCH($A15,GDP_CGE!$A$3:$A$22,0),MATCH(AK$9,GDP_CGE!$A$3:$AN$3,0)),GDP_Simple!AK13)</f>
        <v>190.27</v>
      </c>
      <c r="AL15">
        <f>IF($C$3="CGE",INDEX(GDP_CGE!$A$3:$AN$22,MATCH($A15,GDP_CGE!$A$3:$A$22,0),MATCH(AL$9,GDP_CGE!$A$3:$AN$3,0)),GDP_Simple!AL13)</f>
        <v>194.8</v>
      </c>
      <c r="AM15">
        <f>IF($C$3="CGE",INDEX(GDP_CGE!$A$3:$AN$22,MATCH($A15,GDP_CGE!$A$3:$A$22,0),MATCH(AM$9,GDP_CGE!$A$3:$AN$3,0)),GDP_Simple!AM13)</f>
        <v>199.65</v>
      </c>
      <c r="AN15">
        <f>IF($C$3="CGE",INDEX(GDP_CGE!$A$3:$AN$22,MATCH($A15,GDP_CGE!$A$3:$A$22,0),MATCH(AN$9,GDP_CGE!$A$3:$AN$3,0)),GDP_Simple!AN13)</f>
        <v>205.62</v>
      </c>
    </row>
    <row r="16" spans="1:40" x14ac:dyDescent="0.25">
      <c r="A16" t="s">
        <v>31</v>
      </c>
      <c r="B16">
        <f>IF($C$3="CGE",INDEX(GDP_CGE!$A$3:$AN$22,MATCH($A16,GDP_CGE!$A$3:$A$22,0),MATCH(B$9,GDP_CGE!$A$3:$AN$3,0)),GDP_Simple!B14)</f>
        <v>0</v>
      </c>
      <c r="C16">
        <f>IF($C$3="CGE",INDEX(GDP_CGE!$A$3:$AN$22,MATCH($A16,GDP_CGE!$A$3:$A$22,0),MATCH(C$9,GDP_CGE!$A$3:$AN$3,0)),GDP_Simple!C14)</f>
        <v>0</v>
      </c>
      <c r="D16">
        <f>IF($C$3="CGE",INDEX(GDP_CGE!$A$3:$AN$22,MATCH($A16,GDP_CGE!$A$3:$A$22,0),MATCH(D$9,GDP_CGE!$A$3:$AN$3,0)),GDP_Simple!D14)</f>
        <v>0</v>
      </c>
      <c r="E16">
        <f>IF($C$3="CGE",INDEX(GDP_CGE!$A$3:$AN$22,MATCH($A16,GDP_CGE!$A$3:$A$22,0),MATCH(E$9,GDP_CGE!$A$3:$AN$3,0)),GDP_Simple!E14)</f>
        <v>0</v>
      </c>
      <c r="F16">
        <f>IF($C$3="CGE",INDEX(GDP_CGE!$A$3:$AN$22,MATCH($A16,GDP_CGE!$A$3:$A$22,0),MATCH(F$9,GDP_CGE!$A$3:$AN$3,0)),GDP_Simple!F14)</f>
        <v>0</v>
      </c>
      <c r="G16">
        <f>IF($C$3="CGE",INDEX(GDP_CGE!$A$3:$AN$22,MATCH($A16,GDP_CGE!$A$3:$A$22,0),MATCH(G$9,GDP_CGE!$A$3:$AN$3,0)),GDP_Simple!G14)</f>
        <v>0</v>
      </c>
      <c r="H16">
        <f>IF($C$3="CGE",INDEX(GDP_CGE!$A$3:$AN$22,MATCH($A16,GDP_CGE!$A$3:$A$22,0),MATCH(H$9,GDP_CGE!$A$3:$AN$3,0)),GDP_Simple!H14)</f>
        <v>0</v>
      </c>
      <c r="I16">
        <f>IF($C$3="CGE",INDEX(GDP_CGE!$A$3:$AN$22,MATCH($A16,GDP_CGE!$A$3:$A$22,0),MATCH(I$9,GDP_CGE!$A$3:$AN$3,0)),GDP_Simple!I14)</f>
        <v>0</v>
      </c>
      <c r="J16">
        <f>IF($C$3="CGE",INDEX(GDP_CGE!$A$3:$AN$22,MATCH($A16,GDP_CGE!$A$3:$A$22,0),MATCH(J$9,GDP_CGE!$A$3:$AN$3,0)),GDP_Simple!J14)</f>
        <v>0</v>
      </c>
      <c r="K16">
        <f>IF($C$3="CGE",INDEX(GDP_CGE!$A$3:$AN$22,MATCH($A16,GDP_CGE!$A$3:$A$22,0),MATCH(K$9,GDP_CGE!$A$3:$AN$3,0)),GDP_Simple!K14)</f>
        <v>0</v>
      </c>
      <c r="L16">
        <f>IF($C$3="CGE",INDEX(GDP_CGE!$A$3:$AN$22,MATCH($A16,GDP_CGE!$A$3:$A$22,0),MATCH(L$9,GDP_CGE!$A$3:$AN$3,0)),GDP_Simple!L14)</f>
        <v>0</v>
      </c>
      <c r="M16">
        <f>IF($C$3="CGE",INDEX(GDP_CGE!$A$3:$AN$22,MATCH($A16,GDP_CGE!$A$3:$A$22,0),MATCH(M$9,GDP_CGE!$A$3:$AN$3,0)),GDP_Simple!M14)</f>
        <v>0</v>
      </c>
      <c r="N16">
        <f>IF($C$3="CGE",INDEX(GDP_CGE!$A$3:$AN$22,MATCH($A16,GDP_CGE!$A$3:$A$22,0),MATCH(N$9,GDP_CGE!$A$3:$AN$3,0)),GDP_Simple!N14)</f>
        <v>0</v>
      </c>
      <c r="O16">
        <f>IF($C$3="CGE",INDEX(GDP_CGE!$A$3:$AN$22,MATCH($A16,GDP_CGE!$A$3:$A$22,0),MATCH(O$9,GDP_CGE!$A$3:$AN$3,0)),GDP_Simple!O14)</f>
        <v>0</v>
      </c>
      <c r="P16">
        <f>IF($C$3="CGE",INDEX(GDP_CGE!$A$3:$AN$22,MATCH($A16,GDP_CGE!$A$3:$A$22,0),MATCH(P$9,GDP_CGE!$A$3:$AN$3,0)),GDP_Simple!P14)</f>
        <v>0</v>
      </c>
      <c r="Q16">
        <f>IF($C$3="CGE",INDEX(GDP_CGE!$A$3:$AN$22,MATCH($A16,GDP_CGE!$A$3:$A$22,0),MATCH(Q$9,GDP_CGE!$A$3:$AN$3,0)),GDP_Simple!Q14)</f>
        <v>0</v>
      </c>
      <c r="R16">
        <f>IF($C$3="CGE",INDEX(GDP_CGE!$A$3:$AN$22,MATCH($A16,GDP_CGE!$A$3:$A$22,0),MATCH(R$9,GDP_CGE!$A$3:$AN$3,0)),GDP_Simple!R14)</f>
        <v>0</v>
      </c>
      <c r="S16">
        <f>IF($C$3="CGE",INDEX(GDP_CGE!$A$3:$AN$22,MATCH($A16,GDP_CGE!$A$3:$A$22,0),MATCH(S$9,GDP_CGE!$A$3:$AN$3,0)),GDP_Simple!S14)</f>
        <v>0</v>
      </c>
      <c r="T16">
        <f>IF($C$3="CGE",INDEX(GDP_CGE!$A$3:$AN$22,MATCH($A16,GDP_CGE!$A$3:$A$22,0),MATCH(T$9,GDP_CGE!$A$3:$AN$3,0)),GDP_Simple!T14)</f>
        <v>0</v>
      </c>
      <c r="U16">
        <f>IF($C$3="CGE",INDEX(GDP_CGE!$A$3:$AN$22,MATCH($A16,GDP_CGE!$A$3:$A$22,0),MATCH(U$9,GDP_CGE!$A$3:$AN$3,0)),GDP_Simple!U14)</f>
        <v>0</v>
      </c>
      <c r="V16">
        <f>IF($C$3="CGE",INDEX(GDP_CGE!$A$3:$AN$22,MATCH($A16,GDP_CGE!$A$3:$A$22,0),MATCH(V$9,GDP_CGE!$A$3:$AN$3,0)),GDP_Simple!V14)</f>
        <v>0</v>
      </c>
      <c r="W16">
        <f>IF($C$3="CGE",INDEX(GDP_CGE!$A$3:$AN$22,MATCH($A16,GDP_CGE!$A$3:$A$22,0),MATCH(W$9,GDP_CGE!$A$3:$AN$3,0)),GDP_Simple!W14)</f>
        <v>0</v>
      </c>
      <c r="X16">
        <f>IF($C$3="CGE",INDEX(GDP_CGE!$A$3:$AN$22,MATCH($A16,GDP_CGE!$A$3:$A$22,0),MATCH(X$9,GDP_CGE!$A$3:$AN$3,0)),GDP_Simple!X14)</f>
        <v>0</v>
      </c>
      <c r="Y16">
        <f>IF($C$3="CGE",INDEX(GDP_CGE!$A$3:$AN$22,MATCH($A16,GDP_CGE!$A$3:$A$22,0),MATCH(Y$9,GDP_CGE!$A$3:$AN$3,0)),GDP_Simple!Y14)</f>
        <v>0</v>
      </c>
      <c r="Z16">
        <f>IF($C$3="CGE",INDEX(GDP_CGE!$A$3:$AN$22,MATCH($A16,GDP_CGE!$A$3:$A$22,0),MATCH(Z$9,GDP_CGE!$A$3:$AN$3,0)),GDP_Simple!Z14)</f>
        <v>0</v>
      </c>
      <c r="AA16">
        <f>IF($C$3="CGE",INDEX(GDP_CGE!$A$3:$AN$22,MATCH($A16,GDP_CGE!$A$3:$A$22,0),MATCH(AA$9,GDP_CGE!$A$3:$AN$3,0)),GDP_Simple!AA14)</f>
        <v>0</v>
      </c>
      <c r="AB16">
        <f>IF($C$3="CGE",INDEX(GDP_CGE!$A$3:$AN$22,MATCH($A16,GDP_CGE!$A$3:$A$22,0),MATCH(AB$9,GDP_CGE!$A$3:$AN$3,0)),GDP_Simple!AB14)</f>
        <v>0</v>
      </c>
      <c r="AC16">
        <f>IF($C$3="CGE",INDEX(GDP_CGE!$A$3:$AN$22,MATCH($A16,GDP_CGE!$A$3:$A$22,0),MATCH(AC$9,GDP_CGE!$A$3:$AN$3,0)),GDP_Simple!AC14)</f>
        <v>0</v>
      </c>
      <c r="AD16">
        <f>IF($C$3="CGE",INDEX(GDP_CGE!$A$3:$AN$22,MATCH($A16,GDP_CGE!$A$3:$A$22,0),MATCH(AD$9,GDP_CGE!$A$3:$AN$3,0)),GDP_Simple!AD14)</f>
        <v>0</v>
      </c>
      <c r="AE16">
        <f>IF($C$3="CGE",INDEX(GDP_CGE!$A$3:$AN$22,MATCH($A16,GDP_CGE!$A$3:$A$22,0),MATCH(AE$9,GDP_CGE!$A$3:$AN$3,0)),GDP_Simple!AE14)</f>
        <v>0</v>
      </c>
      <c r="AF16">
        <f>IF($C$3="CGE",INDEX(GDP_CGE!$A$3:$AN$22,MATCH($A16,GDP_CGE!$A$3:$A$22,0),MATCH(AF$9,GDP_CGE!$A$3:$AN$3,0)),GDP_Simple!AF14)</f>
        <v>0</v>
      </c>
      <c r="AG16">
        <f>IF($C$3="CGE",INDEX(GDP_CGE!$A$3:$AN$22,MATCH($A16,GDP_CGE!$A$3:$A$22,0),MATCH(AG$9,GDP_CGE!$A$3:$AN$3,0)),GDP_Simple!AG14)</f>
        <v>0</v>
      </c>
      <c r="AH16">
        <f>IF($C$3="CGE",INDEX(GDP_CGE!$A$3:$AN$22,MATCH($A16,GDP_CGE!$A$3:$A$22,0),MATCH(AH$9,GDP_CGE!$A$3:$AN$3,0)),GDP_Simple!AH14)</f>
        <v>0</v>
      </c>
      <c r="AI16">
        <f>IF($C$3="CGE",INDEX(GDP_CGE!$A$3:$AN$22,MATCH($A16,GDP_CGE!$A$3:$A$22,0),MATCH(AI$9,GDP_CGE!$A$3:$AN$3,0)),GDP_Simple!AI14)</f>
        <v>0</v>
      </c>
      <c r="AJ16">
        <f>IF($C$3="CGE",INDEX(GDP_CGE!$A$3:$AN$22,MATCH($A16,GDP_CGE!$A$3:$A$22,0),MATCH(AJ$9,GDP_CGE!$A$3:$AN$3,0)),GDP_Simple!AJ14)</f>
        <v>0</v>
      </c>
      <c r="AK16">
        <f>IF($C$3="CGE",INDEX(GDP_CGE!$A$3:$AN$22,MATCH($A16,GDP_CGE!$A$3:$A$22,0),MATCH(AK$9,GDP_CGE!$A$3:$AN$3,0)),GDP_Simple!AK14)</f>
        <v>0</v>
      </c>
      <c r="AL16">
        <f>IF($C$3="CGE",INDEX(GDP_CGE!$A$3:$AN$22,MATCH($A16,GDP_CGE!$A$3:$A$22,0),MATCH(AL$9,GDP_CGE!$A$3:$AN$3,0)),GDP_Simple!AL14)</f>
        <v>0</v>
      </c>
      <c r="AM16">
        <f>IF($C$3="CGE",INDEX(GDP_CGE!$A$3:$AN$22,MATCH($A16,GDP_CGE!$A$3:$A$22,0),MATCH(AM$9,GDP_CGE!$A$3:$AN$3,0)),GDP_Simple!AM14)</f>
        <v>0</v>
      </c>
      <c r="AN16">
        <f>IF($C$3="CGE",INDEX(GDP_CGE!$A$3:$AN$22,MATCH($A16,GDP_CGE!$A$3:$A$22,0),MATCH(AN$9,GDP_CGE!$A$3:$AN$3,0)),GDP_Simple!AN14)</f>
        <v>0</v>
      </c>
    </row>
    <row r="17" spans="1:40" x14ac:dyDescent="0.25">
      <c r="A17" t="s">
        <v>29</v>
      </c>
      <c r="B17">
        <f>IF($C$3="CGE",INDEX(GDP_CGE!$A$3:$AN$22,MATCH($A17,GDP_CGE!$A$3:$A$22,0),MATCH(B$9,GDP_CGE!$A$3:$AN$3,0)),GDP_Simple!B15)</f>
        <v>13.35</v>
      </c>
      <c r="C17">
        <f>IF($C$3="CGE",INDEX(GDP_CGE!$A$3:$AN$22,MATCH($A17,GDP_CGE!$A$3:$A$22,0),MATCH(C$9,GDP_CGE!$A$3:$AN$3,0)),GDP_Simple!C15)</f>
        <v>13.68</v>
      </c>
      <c r="D17">
        <f>IF($C$3="CGE",INDEX(GDP_CGE!$A$3:$AN$22,MATCH($A17,GDP_CGE!$A$3:$A$22,0),MATCH(D$9,GDP_CGE!$A$3:$AN$3,0)),GDP_Simple!D15)</f>
        <v>13.89</v>
      </c>
      <c r="E17">
        <f>IF($C$3="CGE",INDEX(GDP_CGE!$A$3:$AN$22,MATCH($A17,GDP_CGE!$A$3:$A$22,0),MATCH(E$9,GDP_CGE!$A$3:$AN$3,0)),GDP_Simple!E15)</f>
        <v>14.15</v>
      </c>
      <c r="F17">
        <f>IF($C$3="CGE",INDEX(GDP_CGE!$A$3:$AN$22,MATCH($A17,GDP_CGE!$A$3:$A$22,0),MATCH(F$9,GDP_CGE!$A$3:$AN$3,0)),GDP_Simple!F15)</f>
        <v>14.18</v>
      </c>
      <c r="G17">
        <f>IF($C$3="CGE",INDEX(GDP_CGE!$A$3:$AN$22,MATCH($A17,GDP_CGE!$A$3:$A$22,0),MATCH(G$9,GDP_CGE!$A$3:$AN$3,0)),GDP_Simple!G15)</f>
        <v>14.29</v>
      </c>
      <c r="H17">
        <f>IF($C$3="CGE",INDEX(GDP_CGE!$A$3:$AN$22,MATCH($A17,GDP_CGE!$A$3:$A$22,0),MATCH(H$9,GDP_CGE!$A$3:$AN$3,0)),GDP_Simple!H15)</f>
        <v>14.31</v>
      </c>
      <c r="I17">
        <f>IF($C$3="CGE",INDEX(GDP_CGE!$A$3:$AN$22,MATCH($A17,GDP_CGE!$A$3:$A$22,0),MATCH(I$9,GDP_CGE!$A$3:$AN$3,0)),GDP_Simple!I15)</f>
        <v>14.15</v>
      </c>
      <c r="J17">
        <f>IF($C$3="CGE",INDEX(GDP_CGE!$A$3:$AN$22,MATCH($A17,GDP_CGE!$A$3:$A$22,0),MATCH(J$9,GDP_CGE!$A$3:$AN$3,0)),GDP_Simple!J15)</f>
        <v>13.1</v>
      </c>
      <c r="K17">
        <f>IF($C$3="CGE",INDEX(GDP_CGE!$A$3:$AN$22,MATCH($A17,GDP_CGE!$A$3:$A$22,0),MATCH(K$9,GDP_CGE!$A$3:$AN$3,0)),GDP_Simple!K15)</f>
        <v>13.41</v>
      </c>
      <c r="L17">
        <f>IF($C$3="CGE",INDEX(GDP_CGE!$A$3:$AN$22,MATCH($A17,GDP_CGE!$A$3:$A$22,0),MATCH(L$9,GDP_CGE!$A$3:$AN$3,0)),GDP_Simple!L15)</f>
        <v>13.57</v>
      </c>
      <c r="M17">
        <f>IF($C$3="CGE",INDEX(GDP_CGE!$A$3:$AN$22,MATCH($A17,GDP_CGE!$A$3:$A$22,0),MATCH(M$9,GDP_CGE!$A$3:$AN$3,0)),GDP_Simple!M15)</f>
        <v>13.73</v>
      </c>
      <c r="N17">
        <f>IF($C$3="CGE",INDEX(GDP_CGE!$A$3:$AN$22,MATCH($A17,GDP_CGE!$A$3:$A$22,0),MATCH(N$9,GDP_CGE!$A$3:$AN$3,0)),GDP_Simple!N15)</f>
        <v>13.9</v>
      </c>
      <c r="O17">
        <f>IF($C$3="CGE",INDEX(GDP_CGE!$A$3:$AN$22,MATCH($A17,GDP_CGE!$A$3:$A$22,0),MATCH(O$9,GDP_CGE!$A$3:$AN$3,0)),GDP_Simple!O15)</f>
        <v>14.12</v>
      </c>
      <c r="P17">
        <f>IF($C$3="CGE",INDEX(GDP_CGE!$A$3:$AN$22,MATCH($A17,GDP_CGE!$A$3:$A$22,0),MATCH(P$9,GDP_CGE!$A$3:$AN$3,0)),GDP_Simple!P15)</f>
        <v>14.27</v>
      </c>
      <c r="Q17">
        <f>IF($C$3="CGE",INDEX(GDP_CGE!$A$3:$AN$22,MATCH($A17,GDP_CGE!$A$3:$A$22,0),MATCH(Q$9,GDP_CGE!$A$3:$AN$3,0)),GDP_Simple!Q15)</f>
        <v>14.4</v>
      </c>
      <c r="R17">
        <f>IF($C$3="CGE",INDEX(GDP_CGE!$A$3:$AN$22,MATCH($A17,GDP_CGE!$A$3:$A$22,0),MATCH(R$9,GDP_CGE!$A$3:$AN$3,0)),GDP_Simple!R15)</f>
        <v>14.75</v>
      </c>
      <c r="S17">
        <f>IF($C$3="CGE",INDEX(GDP_CGE!$A$3:$AN$22,MATCH($A17,GDP_CGE!$A$3:$A$22,0),MATCH(S$9,GDP_CGE!$A$3:$AN$3,0)),GDP_Simple!S15)</f>
        <v>14.82</v>
      </c>
      <c r="T17">
        <f>IF($C$3="CGE",INDEX(GDP_CGE!$A$3:$AN$22,MATCH($A17,GDP_CGE!$A$3:$A$22,0),MATCH(T$9,GDP_CGE!$A$3:$AN$3,0)),GDP_Simple!T15)</f>
        <v>14.91</v>
      </c>
      <c r="U17">
        <f>IF($C$3="CGE",INDEX(GDP_CGE!$A$3:$AN$22,MATCH($A17,GDP_CGE!$A$3:$A$22,0),MATCH(U$9,GDP_CGE!$A$3:$AN$3,0)),GDP_Simple!U15)</f>
        <v>15.03</v>
      </c>
      <c r="V17">
        <f>IF($C$3="CGE",INDEX(GDP_CGE!$A$3:$AN$22,MATCH($A17,GDP_CGE!$A$3:$A$22,0),MATCH(V$9,GDP_CGE!$A$3:$AN$3,0)),GDP_Simple!V15)</f>
        <v>15.19</v>
      </c>
      <c r="W17">
        <f>IF($C$3="CGE",INDEX(GDP_CGE!$A$3:$AN$22,MATCH($A17,GDP_CGE!$A$3:$A$22,0),MATCH(W$9,GDP_CGE!$A$3:$AN$3,0)),GDP_Simple!W15)</f>
        <v>15.37</v>
      </c>
      <c r="X17">
        <f>IF($C$3="CGE",INDEX(GDP_CGE!$A$3:$AN$22,MATCH($A17,GDP_CGE!$A$3:$A$22,0),MATCH(X$9,GDP_CGE!$A$3:$AN$3,0)),GDP_Simple!X15)</f>
        <v>15.64</v>
      </c>
      <c r="Y17">
        <f>IF($C$3="CGE",INDEX(GDP_CGE!$A$3:$AN$22,MATCH($A17,GDP_CGE!$A$3:$A$22,0),MATCH(Y$9,GDP_CGE!$A$3:$AN$3,0)),GDP_Simple!Y15)</f>
        <v>15.88</v>
      </c>
      <c r="Z17">
        <f>IF($C$3="CGE",INDEX(GDP_CGE!$A$3:$AN$22,MATCH($A17,GDP_CGE!$A$3:$A$22,0),MATCH(Z$9,GDP_CGE!$A$3:$AN$3,0)),GDP_Simple!Z15)</f>
        <v>16.13</v>
      </c>
      <c r="AA17">
        <f>IF($C$3="CGE",INDEX(GDP_CGE!$A$3:$AN$22,MATCH($A17,GDP_CGE!$A$3:$A$22,0),MATCH(AA$9,GDP_CGE!$A$3:$AN$3,0)),GDP_Simple!AA15)</f>
        <v>16.399999999999999</v>
      </c>
      <c r="AB17">
        <f>IF($C$3="CGE",INDEX(GDP_CGE!$A$3:$AN$22,MATCH($A17,GDP_CGE!$A$3:$A$22,0),MATCH(AB$9,GDP_CGE!$A$3:$AN$3,0)),GDP_Simple!AB15)</f>
        <v>16.7</v>
      </c>
      <c r="AC17">
        <f>IF($C$3="CGE",INDEX(GDP_CGE!$A$3:$AN$22,MATCH($A17,GDP_CGE!$A$3:$A$22,0),MATCH(AC$9,GDP_CGE!$A$3:$AN$3,0)),GDP_Simple!AC15)</f>
        <v>17.010000000000002</v>
      </c>
      <c r="AD17">
        <f>IF($C$3="CGE",INDEX(GDP_CGE!$A$3:$AN$22,MATCH($A17,GDP_CGE!$A$3:$A$22,0),MATCH(AD$9,GDP_CGE!$A$3:$AN$3,0)),GDP_Simple!AD15)</f>
        <v>17.329999999999998</v>
      </c>
      <c r="AE17">
        <f>IF($C$3="CGE",INDEX(GDP_CGE!$A$3:$AN$22,MATCH($A17,GDP_CGE!$A$3:$A$22,0),MATCH(AE$9,GDP_CGE!$A$3:$AN$3,0)),GDP_Simple!AE15)</f>
        <v>17.66</v>
      </c>
      <c r="AF17">
        <f>IF($C$3="CGE",INDEX(GDP_CGE!$A$3:$AN$22,MATCH($A17,GDP_CGE!$A$3:$A$22,0),MATCH(AF$9,GDP_CGE!$A$3:$AN$3,0)),GDP_Simple!AF15)</f>
        <v>17.989999999999998</v>
      </c>
      <c r="AG17">
        <f>IF($C$3="CGE",INDEX(GDP_CGE!$A$3:$AN$22,MATCH($A17,GDP_CGE!$A$3:$A$22,0),MATCH(AG$9,GDP_CGE!$A$3:$AN$3,0)),GDP_Simple!AG15)</f>
        <v>18.34</v>
      </c>
      <c r="AH17">
        <f>IF($C$3="CGE",INDEX(GDP_CGE!$A$3:$AN$22,MATCH($A17,GDP_CGE!$A$3:$A$22,0),MATCH(AH$9,GDP_CGE!$A$3:$AN$3,0)),GDP_Simple!AH15)</f>
        <v>18.72</v>
      </c>
      <c r="AI17">
        <f>IF($C$3="CGE",INDEX(GDP_CGE!$A$3:$AN$22,MATCH($A17,GDP_CGE!$A$3:$A$22,0),MATCH(AI$9,GDP_CGE!$A$3:$AN$3,0)),GDP_Simple!AI15)</f>
        <v>19.12</v>
      </c>
      <c r="AJ17">
        <f>IF($C$3="CGE",INDEX(GDP_CGE!$A$3:$AN$22,MATCH($A17,GDP_CGE!$A$3:$A$22,0),MATCH(AJ$9,GDP_CGE!$A$3:$AN$3,0)),GDP_Simple!AJ15)</f>
        <v>19.579999999999998</v>
      </c>
      <c r="AK17">
        <f>IF($C$3="CGE",INDEX(GDP_CGE!$A$3:$AN$22,MATCH($A17,GDP_CGE!$A$3:$A$22,0),MATCH(AK$9,GDP_CGE!$A$3:$AN$3,0)),GDP_Simple!AK15)</f>
        <v>20.03</v>
      </c>
      <c r="AL17">
        <f>IF($C$3="CGE",INDEX(GDP_CGE!$A$3:$AN$22,MATCH($A17,GDP_CGE!$A$3:$A$22,0),MATCH(AL$9,GDP_CGE!$A$3:$AN$3,0)),GDP_Simple!AL15)</f>
        <v>20.51</v>
      </c>
      <c r="AM17">
        <f>IF($C$3="CGE",INDEX(GDP_CGE!$A$3:$AN$22,MATCH($A17,GDP_CGE!$A$3:$A$22,0),MATCH(AM$9,GDP_CGE!$A$3:$AN$3,0)),GDP_Simple!AM15)</f>
        <v>21.03</v>
      </c>
      <c r="AN17">
        <f>IF($C$3="CGE",INDEX(GDP_CGE!$A$3:$AN$22,MATCH($A17,GDP_CGE!$A$3:$A$22,0),MATCH(AN$9,GDP_CGE!$A$3:$AN$3,0)),GDP_Simple!AN15)</f>
        <v>21.68</v>
      </c>
    </row>
    <row r="18" spans="1:40" x14ac:dyDescent="0.25">
      <c r="A18" t="s">
        <v>23</v>
      </c>
      <c r="B18">
        <f>IF($C$3="CGE",INDEX(GDP_CGE!$A$3:$AN$22,MATCH($A18,GDP_CGE!$A$3:$A$22,0),MATCH(B$9,GDP_CGE!$A$3:$AN$3,0)),GDP_Simple!B16)</f>
        <v>123.26999999999998</v>
      </c>
      <c r="C18">
        <f>IF($C$3="CGE",INDEX(GDP_CGE!$A$3:$AN$22,MATCH($A18,GDP_CGE!$A$3:$A$22,0),MATCH(C$9,GDP_CGE!$A$3:$AN$3,0)),GDP_Simple!C16)</f>
        <v>125.80799999999999</v>
      </c>
      <c r="D18">
        <f>IF($C$3="CGE",INDEX(GDP_CGE!$A$3:$AN$22,MATCH($A18,GDP_CGE!$A$3:$A$22,0),MATCH(D$9,GDP_CGE!$A$3:$AN$3,0)),GDP_Simple!D16)</f>
        <v>125.928</v>
      </c>
      <c r="E18">
        <f>IF($C$3="CGE",INDEX(GDP_CGE!$A$3:$AN$22,MATCH($A18,GDP_CGE!$A$3:$A$22,0),MATCH(E$9,GDP_CGE!$A$3:$AN$3,0)),GDP_Simple!E16)</f>
        <v>128.83799999999999</v>
      </c>
      <c r="F18">
        <f>IF($C$3="CGE",INDEX(GDP_CGE!$A$3:$AN$22,MATCH($A18,GDP_CGE!$A$3:$A$22,0),MATCH(F$9,GDP_CGE!$A$3:$AN$3,0)),GDP_Simple!F16)</f>
        <v>126.498</v>
      </c>
      <c r="G18">
        <f>IF($C$3="CGE",INDEX(GDP_CGE!$A$3:$AN$22,MATCH($A18,GDP_CGE!$A$3:$A$22,0),MATCH(G$9,GDP_CGE!$A$3:$AN$3,0)),GDP_Simple!G16)</f>
        <v>129.738</v>
      </c>
      <c r="H18">
        <f>IF($C$3="CGE",INDEX(GDP_CGE!$A$3:$AN$22,MATCH($A18,GDP_CGE!$A$3:$A$22,0),MATCH(H$9,GDP_CGE!$A$3:$AN$3,0)),GDP_Simple!H16)</f>
        <v>128.71199999999999</v>
      </c>
      <c r="I18">
        <f>IF($C$3="CGE",INDEX(GDP_CGE!$A$3:$AN$22,MATCH($A18,GDP_CGE!$A$3:$A$22,0),MATCH(I$9,GDP_CGE!$A$3:$AN$3,0)),GDP_Simple!I16)</f>
        <v>126.50399999999999</v>
      </c>
      <c r="J18">
        <f>IF($C$3="CGE",INDEX(GDP_CGE!$A$3:$AN$22,MATCH($A18,GDP_CGE!$A$3:$A$22,0),MATCH(J$9,GDP_CGE!$A$3:$AN$3,0)),GDP_Simple!J16)</f>
        <v>118.98</v>
      </c>
      <c r="K18">
        <f>IF($C$3="CGE",INDEX(GDP_CGE!$A$3:$AN$22,MATCH($A18,GDP_CGE!$A$3:$A$22,0),MATCH(K$9,GDP_CGE!$A$3:$AN$3,0)),GDP_Simple!K16)</f>
        <v>121.03799999999998</v>
      </c>
      <c r="L18">
        <f>IF($C$3="CGE",INDEX(GDP_CGE!$A$3:$AN$22,MATCH($A18,GDP_CGE!$A$3:$A$22,0),MATCH(L$9,GDP_CGE!$A$3:$AN$3,0)),GDP_Simple!L16)</f>
        <v>122.64599999999999</v>
      </c>
      <c r="M18">
        <f>IF($C$3="CGE",INDEX(GDP_CGE!$A$3:$AN$22,MATCH($A18,GDP_CGE!$A$3:$A$22,0),MATCH(M$9,GDP_CGE!$A$3:$AN$3,0)),GDP_Simple!M16)</f>
        <v>123.93</v>
      </c>
      <c r="N18">
        <f>IF($C$3="CGE",INDEX(GDP_CGE!$A$3:$AN$22,MATCH($A18,GDP_CGE!$A$3:$A$22,0),MATCH(N$9,GDP_CGE!$A$3:$AN$3,0)),GDP_Simple!N16)</f>
        <v>125.322</v>
      </c>
      <c r="O18">
        <f>IF($C$3="CGE",INDEX(GDP_CGE!$A$3:$AN$22,MATCH($A18,GDP_CGE!$A$3:$A$22,0),MATCH(O$9,GDP_CGE!$A$3:$AN$3,0)),GDP_Simple!O16)</f>
        <v>126.78</v>
      </c>
      <c r="P18">
        <f>IF($C$3="CGE",INDEX(GDP_CGE!$A$3:$AN$22,MATCH($A18,GDP_CGE!$A$3:$A$22,0),MATCH(P$9,GDP_CGE!$A$3:$AN$3,0)),GDP_Simple!P16)</f>
        <v>127.99199999999999</v>
      </c>
      <c r="Q18">
        <f>IF($C$3="CGE",INDEX(GDP_CGE!$A$3:$AN$22,MATCH($A18,GDP_CGE!$A$3:$A$22,0),MATCH(Q$9,GDP_CGE!$A$3:$AN$3,0)),GDP_Simple!Q16)</f>
        <v>129.15599999999998</v>
      </c>
      <c r="R18">
        <f>IF($C$3="CGE",INDEX(GDP_CGE!$A$3:$AN$22,MATCH($A18,GDP_CGE!$A$3:$A$22,0),MATCH(R$9,GDP_CGE!$A$3:$AN$3,0)),GDP_Simple!R16)</f>
        <v>131.04</v>
      </c>
      <c r="S18">
        <f>IF($C$3="CGE",INDEX(GDP_CGE!$A$3:$AN$22,MATCH($A18,GDP_CGE!$A$3:$A$22,0),MATCH(S$9,GDP_CGE!$A$3:$AN$3,0)),GDP_Simple!S16)</f>
        <v>132.066</v>
      </c>
      <c r="T18">
        <f>IF($C$3="CGE",INDEX(GDP_CGE!$A$3:$AN$22,MATCH($A18,GDP_CGE!$A$3:$A$22,0),MATCH(T$9,GDP_CGE!$A$3:$AN$3,0)),GDP_Simple!T16)</f>
        <v>132.99599999999998</v>
      </c>
      <c r="U18">
        <f>IF($C$3="CGE",INDEX(GDP_CGE!$A$3:$AN$22,MATCH($A18,GDP_CGE!$A$3:$A$22,0),MATCH(U$9,GDP_CGE!$A$3:$AN$3,0)),GDP_Simple!U16)</f>
        <v>134.298</v>
      </c>
      <c r="V18">
        <f>IF($C$3="CGE",INDEX(GDP_CGE!$A$3:$AN$22,MATCH($A18,GDP_CGE!$A$3:$A$22,0),MATCH(V$9,GDP_CGE!$A$3:$AN$3,0)),GDP_Simple!V16)</f>
        <v>135.6</v>
      </c>
      <c r="W18">
        <f>IF($C$3="CGE",INDEX(GDP_CGE!$A$3:$AN$22,MATCH($A18,GDP_CGE!$A$3:$A$22,0),MATCH(W$9,GDP_CGE!$A$3:$AN$3,0)),GDP_Simple!W16)</f>
        <v>136.94399999999999</v>
      </c>
      <c r="X18">
        <f>IF($C$3="CGE",INDEX(GDP_CGE!$A$3:$AN$22,MATCH($A18,GDP_CGE!$A$3:$A$22,0),MATCH(X$9,GDP_CGE!$A$3:$AN$3,0)),GDP_Simple!X16)</f>
        <v>138.828</v>
      </c>
      <c r="Y18">
        <f>IF($C$3="CGE",INDEX(GDP_CGE!$A$3:$AN$22,MATCH($A18,GDP_CGE!$A$3:$A$22,0),MATCH(Y$9,GDP_CGE!$A$3:$AN$3,0)),GDP_Simple!Y16)</f>
        <v>140.66999999999999</v>
      </c>
      <c r="Z18">
        <f>IF($C$3="CGE",INDEX(GDP_CGE!$A$3:$AN$22,MATCH($A18,GDP_CGE!$A$3:$A$22,0),MATCH(Z$9,GDP_CGE!$A$3:$AN$3,0)),GDP_Simple!Z16)</f>
        <v>142.67399999999998</v>
      </c>
      <c r="AA18">
        <f>IF($C$3="CGE",INDEX(GDP_CGE!$A$3:$AN$22,MATCH($A18,GDP_CGE!$A$3:$A$22,0),MATCH(AA$9,GDP_CGE!$A$3:$AN$3,0)),GDP_Simple!AA16)</f>
        <v>144.61199999999999</v>
      </c>
      <c r="AB18">
        <f>IF($C$3="CGE",INDEX(GDP_CGE!$A$3:$AN$22,MATCH($A18,GDP_CGE!$A$3:$A$22,0),MATCH(AB$9,GDP_CGE!$A$3:$AN$3,0)),GDP_Simple!AB16)</f>
        <v>146.84399999999999</v>
      </c>
      <c r="AC18">
        <f>IF($C$3="CGE",INDEX(GDP_CGE!$A$3:$AN$22,MATCH($A18,GDP_CGE!$A$3:$A$22,0),MATCH(AC$9,GDP_CGE!$A$3:$AN$3,0)),GDP_Simple!AC16)</f>
        <v>149.184</v>
      </c>
      <c r="AD18">
        <f>IF($C$3="CGE",INDEX(GDP_CGE!$A$3:$AN$22,MATCH($A18,GDP_CGE!$A$3:$A$22,0),MATCH(AD$9,GDP_CGE!$A$3:$AN$3,0)),GDP_Simple!AD16)</f>
        <v>151.65</v>
      </c>
      <c r="AE18">
        <f>IF($C$3="CGE",INDEX(GDP_CGE!$A$3:$AN$22,MATCH($A18,GDP_CGE!$A$3:$A$22,0),MATCH(AE$9,GDP_CGE!$A$3:$AN$3,0)),GDP_Simple!AE16)</f>
        <v>154.33799999999999</v>
      </c>
      <c r="AF18">
        <f>IF($C$3="CGE",INDEX(GDP_CGE!$A$3:$AN$22,MATCH($A18,GDP_CGE!$A$3:$A$22,0),MATCH(AF$9,GDP_CGE!$A$3:$AN$3,0)),GDP_Simple!AF16)</f>
        <v>157.03800000000001</v>
      </c>
      <c r="AG18">
        <f>IF($C$3="CGE",INDEX(GDP_CGE!$A$3:$AN$22,MATCH($A18,GDP_CGE!$A$3:$A$22,0),MATCH(AG$9,GDP_CGE!$A$3:$AN$3,0)),GDP_Simple!AG16)</f>
        <v>159.93600000000001</v>
      </c>
      <c r="AH18">
        <f>IF($C$3="CGE",INDEX(GDP_CGE!$A$3:$AN$22,MATCH($A18,GDP_CGE!$A$3:$A$22,0),MATCH(AH$9,GDP_CGE!$A$3:$AN$3,0)),GDP_Simple!AH16)</f>
        <v>163.05599999999998</v>
      </c>
      <c r="AI18">
        <f>IF($C$3="CGE",INDEX(GDP_CGE!$A$3:$AN$22,MATCH($A18,GDP_CGE!$A$3:$A$22,0),MATCH(AI$9,GDP_CGE!$A$3:$AN$3,0)),GDP_Simple!AI16)</f>
        <v>166.488</v>
      </c>
      <c r="AJ18">
        <f>IF($C$3="CGE",INDEX(GDP_CGE!$A$3:$AN$22,MATCH($A18,GDP_CGE!$A$3:$A$22,0),MATCH(AJ$9,GDP_CGE!$A$3:$AN$3,0)),GDP_Simple!AJ16)</f>
        <v>170.28</v>
      </c>
      <c r="AK18">
        <f>IF($C$3="CGE",INDEX(GDP_CGE!$A$3:$AN$22,MATCH($A18,GDP_CGE!$A$3:$A$22,0),MATCH(AK$9,GDP_CGE!$A$3:$AN$3,0)),GDP_Simple!AK16)</f>
        <v>174.072</v>
      </c>
      <c r="AL18">
        <f>IF($C$3="CGE",INDEX(GDP_CGE!$A$3:$AN$22,MATCH($A18,GDP_CGE!$A$3:$A$22,0),MATCH(AL$9,GDP_CGE!$A$3:$AN$3,0)),GDP_Simple!AL16)</f>
        <v>178.14</v>
      </c>
      <c r="AM18">
        <f>IF($C$3="CGE",INDEX(GDP_CGE!$A$3:$AN$22,MATCH($A18,GDP_CGE!$A$3:$A$22,0),MATCH(AM$9,GDP_CGE!$A$3:$AN$3,0)),GDP_Simple!AM16)</f>
        <v>182.57400000000001</v>
      </c>
      <c r="AN18">
        <f>IF($C$3="CGE",INDEX(GDP_CGE!$A$3:$AN$22,MATCH($A18,GDP_CGE!$A$3:$A$22,0),MATCH(AN$9,GDP_CGE!$A$3:$AN$3,0)),GDP_Simple!AN16)</f>
        <v>188.22599999999997</v>
      </c>
    </row>
    <row r="19" spans="1:40" x14ac:dyDescent="0.25">
      <c r="A19" t="s">
        <v>151</v>
      </c>
      <c r="B19">
        <f>IF($C$3="CGE",INDEX(GDP_CGE!$A$3:$AN$22,MATCH($A19,GDP_CGE!$A$3:$A$22,0),MATCH(B$9,GDP_CGE!$A$3:$AN$3,0)),GDP_Simple!B17)</f>
        <v>82.18</v>
      </c>
      <c r="C19">
        <f>IF($C$3="CGE",INDEX(GDP_CGE!$A$3:$AN$22,MATCH($A19,GDP_CGE!$A$3:$A$22,0),MATCH(C$9,GDP_CGE!$A$3:$AN$3,0)),GDP_Simple!C17)</f>
        <v>83.872000000000014</v>
      </c>
      <c r="D19">
        <f>IF($C$3="CGE",INDEX(GDP_CGE!$A$3:$AN$22,MATCH($A19,GDP_CGE!$A$3:$A$22,0),MATCH(D$9,GDP_CGE!$A$3:$AN$3,0)),GDP_Simple!D17)</f>
        <v>83.951999999999998</v>
      </c>
      <c r="E19">
        <f>IF($C$3="CGE",INDEX(GDP_CGE!$A$3:$AN$22,MATCH($A19,GDP_CGE!$A$3:$A$22,0),MATCH(E$9,GDP_CGE!$A$3:$AN$3,0)),GDP_Simple!E17)</f>
        <v>85.891999999999996</v>
      </c>
      <c r="F19">
        <f>IF($C$3="CGE",INDEX(GDP_CGE!$A$3:$AN$22,MATCH($A19,GDP_CGE!$A$3:$A$22,0),MATCH(F$9,GDP_CGE!$A$3:$AN$3,0)),GDP_Simple!F17)</f>
        <v>84.332000000000008</v>
      </c>
      <c r="G19">
        <f>IF($C$3="CGE",INDEX(GDP_CGE!$A$3:$AN$22,MATCH($A19,GDP_CGE!$A$3:$A$22,0),MATCH(G$9,GDP_CGE!$A$3:$AN$3,0)),GDP_Simple!G17)</f>
        <v>86.492000000000004</v>
      </c>
      <c r="H19">
        <f>IF($C$3="CGE",INDEX(GDP_CGE!$A$3:$AN$22,MATCH($A19,GDP_CGE!$A$3:$A$22,0),MATCH(H$9,GDP_CGE!$A$3:$AN$3,0)),GDP_Simple!H17)</f>
        <v>85.808000000000007</v>
      </c>
      <c r="I19">
        <f>IF($C$3="CGE",INDEX(GDP_CGE!$A$3:$AN$22,MATCH($A19,GDP_CGE!$A$3:$A$22,0),MATCH(I$9,GDP_CGE!$A$3:$AN$3,0)),GDP_Simple!I17)</f>
        <v>84.336000000000013</v>
      </c>
      <c r="J19">
        <f>IF($C$3="CGE",INDEX(GDP_CGE!$A$3:$AN$22,MATCH($A19,GDP_CGE!$A$3:$A$22,0),MATCH(J$9,GDP_CGE!$A$3:$AN$3,0)),GDP_Simple!J17)</f>
        <v>79.320000000000007</v>
      </c>
      <c r="K19">
        <f>IF($C$3="CGE",INDEX(GDP_CGE!$A$3:$AN$22,MATCH($A19,GDP_CGE!$A$3:$A$22,0),MATCH(K$9,GDP_CGE!$A$3:$AN$3,0)),GDP_Simple!K17)</f>
        <v>80.692000000000007</v>
      </c>
      <c r="L19">
        <f>IF($C$3="CGE",INDEX(GDP_CGE!$A$3:$AN$22,MATCH($A19,GDP_CGE!$A$3:$A$22,0),MATCH(L$9,GDP_CGE!$A$3:$AN$3,0)),GDP_Simple!L17)</f>
        <v>81.76400000000001</v>
      </c>
      <c r="M19">
        <f>IF($C$3="CGE",INDEX(GDP_CGE!$A$3:$AN$22,MATCH($A19,GDP_CGE!$A$3:$A$22,0),MATCH(M$9,GDP_CGE!$A$3:$AN$3,0)),GDP_Simple!M17)</f>
        <v>82.62</v>
      </c>
      <c r="N19">
        <f>IF($C$3="CGE",INDEX(GDP_CGE!$A$3:$AN$22,MATCH($A19,GDP_CGE!$A$3:$A$22,0),MATCH(N$9,GDP_CGE!$A$3:$AN$3,0)),GDP_Simple!N17)</f>
        <v>83.548000000000002</v>
      </c>
      <c r="O19">
        <f>IF($C$3="CGE",INDEX(GDP_CGE!$A$3:$AN$22,MATCH($A19,GDP_CGE!$A$3:$A$22,0),MATCH(O$9,GDP_CGE!$A$3:$AN$3,0)),GDP_Simple!O17)</f>
        <v>84.52000000000001</v>
      </c>
      <c r="P19">
        <f>IF($C$3="CGE",INDEX(GDP_CGE!$A$3:$AN$22,MATCH($A19,GDP_CGE!$A$3:$A$22,0),MATCH(P$9,GDP_CGE!$A$3:$AN$3,0)),GDP_Simple!P17)</f>
        <v>85.328000000000003</v>
      </c>
      <c r="Q19">
        <f>IF($C$3="CGE",INDEX(GDP_CGE!$A$3:$AN$22,MATCH($A19,GDP_CGE!$A$3:$A$22,0),MATCH(Q$9,GDP_CGE!$A$3:$AN$3,0)),GDP_Simple!Q17)</f>
        <v>86.103999999999999</v>
      </c>
      <c r="R19">
        <f>IF($C$3="CGE",INDEX(GDP_CGE!$A$3:$AN$22,MATCH($A19,GDP_CGE!$A$3:$A$22,0),MATCH(R$9,GDP_CGE!$A$3:$AN$3,0)),GDP_Simple!R17)</f>
        <v>87.360000000000014</v>
      </c>
      <c r="S19">
        <f>IF($C$3="CGE",INDEX(GDP_CGE!$A$3:$AN$22,MATCH($A19,GDP_CGE!$A$3:$A$22,0),MATCH(S$9,GDP_CGE!$A$3:$AN$3,0)),GDP_Simple!S17)</f>
        <v>88.044000000000011</v>
      </c>
      <c r="T19">
        <f>IF($C$3="CGE",INDEX(GDP_CGE!$A$3:$AN$22,MATCH($A19,GDP_CGE!$A$3:$A$22,0),MATCH(T$9,GDP_CGE!$A$3:$AN$3,0)),GDP_Simple!T17)</f>
        <v>88.664000000000001</v>
      </c>
      <c r="U19">
        <f>IF($C$3="CGE",INDEX(GDP_CGE!$A$3:$AN$22,MATCH($A19,GDP_CGE!$A$3:$A$22,0),MATCH(U$9,GDP_CGE!$A$3:$AN$3,0)),GDP_Simple!U17)</f>
        <v>89.532000000000011</v>
      </c>
      <c r="V19">
        <f>IF($C$3="CGE",INDEX(GDP_CGE!$A$3:$AN$22,MATCH($A19,GDP_CGE!$A$3:$A$22,0),MATCH(V$9,GDP_CGE!$A$3:$AN$3,0)),GDP_Simple!V17)</f>
        <v>90.4</v>
      </c>
      <c r="W19">
        <f>IF($C$3="CGE",INDEX(GDP_CGE!$A$3:$AN$22,MATCH($A19,GDP_CGE!$A$3:$A$22,0),MATCH(W$9,GDP_CGE!$A$3:$AN$3,0)),GDP_Simple!W17)</f>
        <v>91.296000000000006</v>
      </c>
      <c r="X19">
        <f>IF($C$3="CGE",INDEX(GDP_CGE!$A$3:$AN$22,MATCH($A19,GDP_CGE!$A$3:$A$22,0),MATCH(X$9,GDP_CGE!$A$3:$AN$3,0)),GDP_Simple!X17)</f>
        <v>92.552000000000007</v>
      </c>
      <c r="Y19">
        <f>IF($C$3="CGE",INDEX(GDP_CGE!$A$3:$AN$22,MATCH($A19,GDP_CGE!$A$3:$A$22,0),MATCH(Y$9,GDP_CGE!$A$3:$AN$3,0)),GDP_Simple!Y17)</f>
        <v>93.78</v>
      </c>
      <c r="Z19">
        <f>IF($C$3="CGE",INDEX(GDP_CGE!$A$3:$AN$22,MATCH($A19,GDP_CGE!$A$3:$A$22,0),MATCH(Z$9,GDP_CGE!$A$3:$AN$3,0)),GDP_Simple!Z17)</f>
        <v>95.116</v>
      </c>
      <c r="AA19">
        <f>IF($C$3="CGE",INDEX(GDP_CGE!$A$3:$AN$22,MATCH($A19,GDP_CGE!$A$3:$A$22,0),MATCH(AA$9,GDP_CGE!$A$3:$AN$3,0)),GDP_Simple!AA17)</f>
        <v>96.408000000000015</v>
      </c>
      <c r="AB19">
        <f>IF($C$3="CGE",INDEX(GDP_CGE!$A$3:$AN$22,MATCH($A19,GDP_CGE!$A$3:$A$22,0),MATCH(AB$9,GDP_CGE!$A$3:$AN$3,0)),GDP_Simple!AB17)</f>
        <v>97.896000000000015</v>
      </c>
      <c r="AC19">
        <f>IF($C$3="CGE",INDEX(GDP_CGE!$A$3:$AN$22,MATCH($A19,GDP_CGE!$A$3:$A$22,0),MATCH(AC$9,GDP_CGE!$A$3:$AN$3,0)),GDP_Simple!AC17)</f>
        <v>99.456000000000003</v>
      </c>
      <c r="AD19">
        <f>IF($C$3="CGE",INDEX(GDP_CGE!$A$3:$AN$22,MATCH($A19,GDP_CGE!$A$3:$A$22,0),MATCH(AD$9,GDP_CGE!$A$3:$AN$3,0)),GDP_Simple!AD17)</f>
        <v>101.10000000000001</v>
      </c>
      <c r="AE19">
        <f>IF($C$3="CGE",INDEX(GDP_CGE!$A$3:$AN$22,MATCH($A19,GDP_CGE!$A$3:$A$22,0),MATCH(AE$9,GDP_CGE!$A$3:$AN$3,0)),GDP_Simple!AE17)</f>
        <v>102.89200000000001</v>
      </c>
      <c r="AF19">
        <f>IF($C$3="CGE",INDEX(GDP_CGE!$A$3:$AN$22,MATCH($A19,GDP_CGE!$A$3:$A$22,0),MATCH(AF$9,GDP_CGE!$A$3:$AN$3,0)),GDP_Simple!AF17)</f>
        <v>104.69200000000001</v>
      </c>
      <c r="AG19">
        <f>IF($C$3="CGE",INDEX(GDP_CGE!$A$3:$AN$22,MATCH($A19,GDP_CGE!$A$3:$A$22,0),MATCH(AG$9,GDP_CGE!$A$3:$AN$3,0)),GDP_Simple!AG17)</f>
        <v>106.62400000000001</v>
      </c>
      <c r="AH19">
        <f>IF($C$3="CGE",INDEX(GDP_CGE!$A$3:$AN$22,MATCH($A19,GDP_CGE!$A$3:$A$22,0),MATCH(AH$9,GDP_CGE!$A$3:$AN$3,0)),GDP_Simple!AH17)</f>
        <v>108.70400000000001</v>
      </c>
      <c r="AI19">
        <f>IF($C$3="CGE",INDEX(GDP_CGE!$A$3:$AN$22,MATCH($A19,GDP_CGE!$A$3:$A$22,0),MATCH(AI$9,GDP_CGE!$A$3:$AN$3,0)),GDP_Simple!AI17)</f>
        <v>110.99200000000002</v>
      </c>
      <c r="AJ19">
        <f>IF($C$3="CGE",INDEX(GDP_CGE!$A$3:$AN$22,MATCH($A19,GDP_CGE!$A$3:$A$22,0),MATCH(AJ$9,GDP_CGE!$A$3:$AN$3,0)),GDP_Simple!AJ17)</f>
        <v>113.52000000000001</v>
      </c>
      <c r="AK19">
        <f>IF($C$3="CGE",INDEX(GDP_CGE!$A$3:$AN$22,MATCH($A19,GDP_CGE!$A$3:$A$22,0),MATCH(AK$9,GDP_CGE!$A$3:$AN$3,0)),GDP_Simple!AK17)</f>
        <v>116.048</v>
      </c>
      <c r="AL19">
        <f>IF($C$3="CGE",INDEX(GDP_CGE!$A$3:$AN$22,MATCH($A19,GDP_CGE!$A$3:$A$22,0),MATCH(AL$9,GDP_CGE!$A$3:$AN$3,0)),GDP_Simple!AL17)</f>
        <v>118.75999999999999</v>
      </c>
      <c r="AM19">
        <f>IF($C$3="CGE",INDEX(GDP_CGE!$A$3:$AN$22,MATCH($A19,GDP_CGE!$A$3:$A$22,0),MATCH(AM$9,GDP_CGE!$A$3:$AN$3,0)),GDP_Simple!AM17)</f>
        <v>121.71600000000001</v>
      </c>
      <c r="AN19">
        <f>IF($C$3="CGE",INDEX(GDP_CGE!$A$3:$AN$22,MATCH($A19,GDP_CGE!$A$3:$A$22,0),MATCH(AN$9,GDP_CGE!$A$3:$AN$3,0)),GDP_Simple!AN17)</f>
        <v>125.48399999999999</v>
      </c>
    </row>
    <row r="20" spans="1:40" x14ac:dyDescent="0.25">
      <c r="A20" t="s">
        <v>30</v>
      </c>
      <c r="B20">
        <f>IF($C$3="CGE",INDEX(GDP_CGE!$A$3:$AN$22,MATCH($A20,GDP_CGE!$A$3:$A$22,0),MATCH(B$9,GDP_CGE!$A$3:$AN$3,0)),GDP_Simple!B17)</f>
        <v>10.11</v>
      </c>
      <c r="C20">
        <f>IF($C$3="CGE",INDEX(GDP_CGE!$A$3:$AN$22,MATCH($A20,GDP_CGE!$A$3:$A$22,0),MATCH(C$9,GDP_CGE!$A$3:$AN$3,0)),GDP_Simple!C17)</f>
        <v>8.49</v>
      </c>
      <c r="D20">
        <f>IF($C$3="CGE",INDEX(GDP_CGE!$A$3:$AN$22,MATCH($A20,GDP_CGE!$A$3:$A$22,0),MATCH(D$9,GDP_CGE!$A$3:$AN$3,0)),GDP_Simple!D17)</f>
        <v>7.76</v>
      </c>
      <c r="E20">
        <f>IF($C$3="CGE",INDEX(GDP_CGE!$A$3:$AN$22,MATCH($A20,GDP_CGE!$A$3:$A$22,0),MATCH(E$9,GDP_CGE!$A$3:$AN$3,0)),GDP_Simple!E17)</f>
        <v>7.88</v>
      </c>
      <c r="F20">
        <f>IF($C$3="CGE",INDEX(GDP_CGE!$A$3:$AN$22,MATCH($A20,GDP_CGE!$A$3:$A$22,0),MATCH(F$9,GDP_CGE!$A$3:$AN$3,0)),GDP_Simple!F17)</f>
        <v>7.62</v>
      </c>
      <c r="G20">
        <f>IF($C$3="CGE",INDEX(GDP_CGE!$A$3:$AN$22,MATCH($A20,GDP_CGE!$A$3:$A$22,0),MATCH(G$9,GDP_CGE!$A$3:$AN$3,0)),GDP_Simple!G17)</f>
        <v>7.28</v>
      </c>
      <c r="H20">
        <f>IF($C$3="CGE",INDEX(GDP_CGE!$A$3:$AN$22,MATCH($A20,GDP_CGE!$A$3:$A$22,0),MATCH(H$9,GDP_CGE!$A$3:$AN$3,0)),GDP_Simple!H17)</f>
        <v>7.09</v>
      </c>
      <c r="I20">
        <f>IF($C$3="CGE",INDEX(GDP_CGE!$A$3:$AN$22,MATCH($A20,GDP_CGE!$A$3:$A$22,0),MATCH(I$9,GDP_CGE!$A$3:$AN$3,0)),GDP_Simple!I17)</f>
        <v>6.72</v>
      </c>
      <c r="J20">
        <f>IF($C$3="CGE",INDEX(GDP_CGE!$A$3:$AN$22,MATCH($A20,GDP_CGE!$A$3:$A$22,0),MATCH(J$9,GDP_CGE!$A$3:$AN$3,0)),GDP_Simple!J17)</f>
        <v>6.04</v>
      </c>
      <c r="K20">
        <f>IF($C$3="CGE",INDEX(GDP_CGE!$A$3:$AN$22,MATCH($A20,GDP_CGE!$A$3:$A$22,0),MATCH(K$9,GDP_CGE!$A$3:$AN$3,0)),GDP_Simple!K17)</f>
        <v>6.26</v>
      </c>
      <c r="L20">
        <f>IF($C$3="CGE",INDEX(GDP_CGE!$A$3:$AN$22,MATCH($A20,GDP_CGE!$A$3:$A$22,0),MATCH(L$9,GDP_CGE!$A$3:$AN$3,0)),GDP_Simple!L17)</f>
        <v>6.38</v>
      </c>
      <c r="M20">
        <f>IF($C$3="CGE",INDEX(GDP_CGE!$A$3:$AN$22,MATCH($A20,GDP_CGE!$A$3:$A$22,0),MATCH(M$9,GDP_CGE!$A$3:$AN$3,0)),GDP_Simple!M17)</f>
        <v>6.46</v>
      </c>
      <c r="N20">
        <f>IF($C$3="CGE",INDEX(GDP_CGE!$A$3:$AN$22,MATCH($A20,GDP_CGE!$A$3:$A$22,0),MATCH(N$9,GDP_CGE!$A$3:$AN$3,0)),GDP_Simple!N17)</f>
        <v>6.53</v>
      </c>
      <c r="O20">
        <f>IF($C$3="CGE",INDEX(GDP_CGE!$A$3:$AN$22,MATCH($A20,GDP_CGE!$A$3:$A$22,0),MATCH(O$9,GDP_CGE!$A$3:$AN$3,0)),GDP_Simple!O17)</f>
        <v>6.63</v>
      </c>
      <c r="P20">
        <f>IF($C$3="CGE",INDEX(GDP_CGE!$A$3:$AN$22,MATCH($A20,GDP_CGE!$A$3:$A$22,0),MATCH(P$9,GDP_CGE!$A$3:$AN$3,0)),GDP_Simple!P17)</f>
        <v>6.71</v>
      </c>
      <c r="Q20">
        <f>IF($C$3="CGE",INDEX(GDP_CGE!$A$3:$AN$22,MATCH($A20,GDP_CGE!$A$3:$A$22,0),MATCH(Q$9,GDP_CGE!$A$3:$AN$3,0)),GDP_Simple!Q17)</f>
        <v>6.74</v>
      </c>
      <c r="R20">
        <f>IF($C$3="CGE",INDEX(GDP_CGE!$A$3:$AN$22,MATCH($A20,GDP_CGE!$A$3:$A$22,0),MATCH(R$9,GDP_CGE!$A$3:$AN$3,0)),GDP_Simple!R17)</f>
        <v>7.03</v>
      </c>
      <c r="S20">
        <f>IF($C$3="CGE",INDEX(GDP_CGE!$A$3:$AN$22,MATCH($A20,GDP_CGE!$A$3:$A$22,0),MATCH(S$9,GDP_CGE!$A$3:$AN$3,0)),GDP_Simple!S17)</f>
        <v>7.04</v>
      </c>
      <c r="T20">
        <f>IF($C$3="CGE",INDEX(GDP_CGE!$A$3:$AN$22,MATCH($A20,GDP_CGE!$A$3:$A$22,0),MATCH(T$9,GDP_CGE!$A$3:$AN$3,0)),GDP_Simple!T17)</f>
        <v>7.01</v>
      </c>
      <c r="U20">
        <f>IF($C$3="CGE",INDEX(GDP_CGE!$A$3:$AN$22,MATCH($A20,GDP_CGE!$A$3:$A$22,0),MATCH(U$9,GDP_CGE!$A$3:$AN$3,0)),GDP_Simple!U17)</f>
        <v>6.93</v>
      </c>
      <c r="V20">
        <f>IF($C$3="CGE",INDEX(GDP_CGE!$A$3:$AN$22,MATCH($A20,GDP_CGE!$A$3:$A$22,0),MATCH(V$9,GDP_CGE!$A$3:$AN$3,0)),GDP_Simple!V17)</f>
        <v>6.88</v>
      </c>
      <c r="W20">
        <f>IF($C$3="CGE",INDEX(GDP_CGE!$A$3:$AN$22,MATCH($A20,GDP_CGE!$A$3:$A$22,0),MATCH(W$9,GDP_CGE!$A$3:$AN$3,0)),GDP_Simple!W17)</f>
        <v>6.81</v>
      </c>
      <c r="X20">
        <f>IF($C$3="CGE",INDEX(GDP_CGE!$A$3:$AN$22,MATCH($A20,GDP_CGE!$A$3:$A$22,0),MATCH(X$9,GDP_CGE!$A$3:$AN$3,0)),GDP_Simple!X17)</f>
        <v>6.81</v>
      </c>
      <c r="Y20">
        <f>IF($C$3="CGE",INDEX(GDP_CGE!$A$3:$AN$22,MATCH($A20,GDP_CGE!$A$3:$A$22,0),MATCH(Y$9,GDP_CGE!$A$3:$AN$3,0)),GDP_Simple!Y17)</f>
        <v>6.82</v>
      </c>
      <c r="Z20">
        <f>IF($C$3="CGE",INDEX(GDP_CGE!$A$3:$AN$22,MATCH($A20,GDP_CGE!$A$3:$A$22,0),MATCH(Z$9,GDP_CGE!$A$3:$AN$3,0)),GDP_Simple!Z17)</f>
        <v>6.82</v>
      </c>
      <c r="AA20">
        <f>IF($C$3="CGE",INDEX(GDP_CGE!$A$3:$AN$22,MATCH($A20,GDP_CGE!$A$3:$A$22,0),MATCH(AA$9,GDP_CGE!$A$3:$AN$3,0)),GDP_Simple!AA17)</f>
        <v>6.76</v>
      </c>
      <c r="AB20">
        <f>IF($C$3="CGE",INDEX(GDP_CGE!$A$3:$AN$22,MATCH($A20,GDP_CGE!$A$3:$A$22,0),MATCH(AB$9,GDP_CGE!$A$3:$AN$3,0)),GDP_Simple!AB17)</f>
        <v>6.71</v>
      </c>
      <c r="AC20">
        <f>IF($C$3="CGE",INDEX(GDP_CGE!$A$3:$AN$22,MATCH($A20,GDP_CGE!$A$3:$A$22,0),MATCH(AC$9,GDP_CGE!$A$3:$AN$3,0)),GDP_Simple!AC17)</f>
        <v>6.66</v>
      </c>
      <c r="AD20">
        <f>IF($C$3="CGE",INDEX(GDP_CGE!$A$3:$AN$22,MATCH($A20,GDP_CGE!$A$3:$A$22,0),MATCH(AD$9,GDP_CGE!$A$3:$AN$3,0)),GDP_Simple!AD17)</f>
        <v>6.61</v>
      </c>
      <c r="AE20">
        <f>IF($C$3="CGE",INDEX(GDP_CGE!$A$3:$AN$22,MATCH($A20,GDP_CGE!$A$3:$A$22,0),MATCH(AE$9,GDP_CGE!$A$3:$AN$3,0)),GDP_Simple!AE17)</f>
        <v>6.58</v>
      </c>
      <c r="AF20">
        <f>IF($C$3="CGE",INDEX(GDP_CGE!$A$3:$AN$22,MATCH($A20,GDP_CGE!$A$3:$A$22,0),MATCH(AF$9,GDP_CGE!$A$3:$AN$3,0)),GDP_Simple!AF17)</f>
        <v>6.55</v>
      </c>
      <c r="AG20">
        <f>IF($C$3="CGE",INDEX(GDP_CGE!$A$3:$AN$22,MATCH($A20,GDP_CGE!$A$3:$A$22,0),MATCH(AG$9,GDP_CGE!$A$3:$AN$3,0)),GDP_Simple!AG17)</f>
        <v>6.53</v>
      </c>
      <c r="AH20">
        <f>IF($C$3="CGE",INDEX(GDP_CGE!$A$3:$AN$22,MATCH($A20,GDP_CGE!$A$3:$A$22,0),MATCH(AH$9,GDP_CGE!$A$3:$AN$3,0)),GDP_Simple!AH17)</f>
        <v>6.52</v>
      </c>
      <c r="AI20">
        <f>IF($C$3="CGE",INDEX(GDP_CGE!$A$3:$AN$22,MATCH($A20,GDP_CGE!$A$3:$A$22,0),MATCH(AI$9,GDP_CGE!$A$3:$AN$3,0)),GDP_Simple!AI17)</f>
        <v>6.53</v>
      </c>
      <c r="AJ20">
        <f>IF($C$3="CGE",INDEX(GDP_CGE!$A$3:$AN$22,MATCH($A20,GDP_CGE!$A$3:$A$22,0),MATCH(AJ$9,GDP_CGE!$A$3:$AN$3,0)),GDP_Simple!AJ17)</f>
        <v>6.59</v>
      </c>
      <c r="AK20">
        <f>IF($C$3="CGE",INDEX(GDP_CGE!$A$3:$AN$22,MATCH($A20,GDP_CGE!$A$3:$A$22,0),MATCH(AK$9,GDP_CGE!$A$3:$AN$3,0)),GDP_Simple!AK17)</f>
        <v>6.65</v>
      </c>
      <c r="AL20">
        <f>IF($C$3="CGE",INDEX(GDP_CGE!$A$3:$AN$22,MATCH($A20,GDP_CGE!$A$3:$A$22,0),MATCH(AL$9,GDP_CGE!$A$3:$AN$3,0)),GDP_Simple!AL17)</f>
        <v>6.73</v>
      </c>
      <c r="AM20">
        <f>IF($C$3="CGE",INDEX(GDP_CGE!$A$3:$AN$22,MATCH($A20,GDP_CGE!$A$3:$A$22,0),MATCH(AM$9,GDP_CGE!$A$3:$AN$3,0)),GDP_Simple!AM17)</f>
        <v>6.83</v>
      </c>
      <c r="AN20">
        <f>IF($C$3="CGE",INDEX(GDP_CGE!$A$3:$AN$22,MATCH($A20,GDP_CGE!$A$3:$A$22,0),MATCH(AN$9,GDP_CGE!$A$3:$AN$3,0)),GDP_Simple!AN17)</f>
        <v>6.99</v>
      </c>
    </row>
    <row r="21" spans="1:40" x14ac:dyDescent="0.25">
      <c r="A21" t="s">
        <v>28</v>
      </c>
      <c r="B21">
        <f>IF($C$3="CGE",INDEX(GDP_CGE!$A$3:$AN$22,MATCH($A21,GDP_CGE!$A$3:$A$22,0),MATCH(B$9,GDP_CGE!$A$3:$AN$3,0)),GDP_Simple!B18)</f>
        <v>14.11</v>
      </c>
      <c r="C21">
        <f>IF($C$3="CGE",INDEX(GDP_CGE!$A$3:$AN$22,MATCH($A21,GDP_CGE!$A$3:$A$22,0),MATCH(C$9,GDP_CGE!$A$3:$AN$3,0)),GDP_Simple!C18)</f>
        <v>14.44</v>
      </c>
      <c r="D21">
        <f>IF($C$3="CGE",INDEX(GDP_CGE!$A$3:$AN$22,MATCH($A21,GDP_CGE!$A$3:$A$22,0),MATCH(D$9,GDP_CGE!$A$3:$AN$3,0)),GDP_Simple!D18)</f>
        <v>14.65</v>
      </c>
      <c r="E21">
        <f>IF($C$3="CGE",INDEX(GDP_CGE!$A$3:$AN$22,MATCH($A21,GDP_CGE!$A$3:$A$22,0),MATCH(E$9,GDP_CGE!$A$3:$AN$3,0)),GDP_Simple!E18)</f>
        <v>14.76</v>
      </c>
      <c r="F21">
        <f>IF($C$3="CGE",INDEX(GDP_CGE!$A$3:$AN$22,MATCH($A21,GDP_CGE!$A$3:$A$22,0),MATCH(F$9,GDP_CGE!$A$3:$AN$3,0)),GDP_Simple!F18)</f>
        <v>14.92</v>
      </c>
      <c r="G21">
        <f>IF($C$3="CGE",INDEX(GDP_CGE!$A$3:$AN$22,MATCH($A21,GDP_CGE!$A$3:$A$22,0),MATCH(G$9,GDP_CGE!$A$3:$AN$3,0)),GDP_Simple!G18)</f>
        <v>15.1</v>
      </c>
      <c r="H21">
        <f>IF($C$3="CGE",INDEX(GDP_CGE!$A$3:$AN$22,MATCH($A21,GDP_CGE!$A$3:$A$22,0),MATCH(H$9,GDP_CGE!$A$3:$AN$3,0)),GDP_Simple!H18)</f>
        <v>15.25</v>
      </c>
      <c r="I21">
        <f>IF($C$3="CGE",INDEX(GDP_CGE!$A$3:$AN$22,MATCH($A21,GDP_CGE!$A$3:$A$22,0),MATCH(I$9,GDP_CGE!$A$3:$AN$3,0)),GDP_Simple!I18)</f>
        <v>15.19</v>
      </c>
      <c r="J21">
        <f>IF($C$3="CGE",INDEX(GDP_CGE!$A$3:$AN$22,MATCH($A21,GDP_CGE!$A$3:$A$22,0),MATCH(J$9,GDP_CGE!$A$3:$AN$3,0)),GDP_Simple!J18)</f>
        <v>14.04</v>
      </c>
      <c r="K21">
        <f>IF($C$3="CGE",INDEX(GDP_CGE!$A$3:$AN$22,MATCH($A21,GDP_CGE!$A$3:$A$22,0),MATCH(K$9,GDP_CGE!$A$3:$AN$3,0)),GDP_Simple!K18)</f>
        <v>14.38</v>
      </c>
      <c r="L21">
        <f>IF($C$3="CGE",INDEX(GDP_CGE!$A$3:$AN$22,MATCH($A21,GDP_CGE!$A$3:$A$22,0),MATCH(L$9,GDP_CGE!$A$3:$AN$3,0)),GDP_Simple!L18)</f>
        <v>14.69</v>
      </c>
      <c r="M21">
        <f>IF($C$3="CGE",INDEX(GDP_CGE!$A$3:$AN$22,MATCH($A21,GDP_CGE!$A$3:$A$22,0),MATCH(M$9,GDP_CGE!$A$3:$AN$3,0)),GDP_Simple!M18)</f>
        <v>14.97</v>
      </c>
      <c r="N21">
        <f>IF($C$3="CGE",INDEX(GDP_CGE!$A$3:$AN$22,MATCH($A21,GDP_CGE!$A$3:$A$22,0),MATCH(N$9,GDP_CGE!$A$3:$AN$3,0)),GDP_Simple!N18)</f>
        <v>15.29</v>
      </c>
      <c r="O21">
        <f>IF($C$3="CGE",INDEX(GDP_CGE!$A$3:$AN$22,MATCH($A21,GDP_CGE!$A$3:$A$22,0),MATCH(O$9,GDP_CGE!$A$3:$AN$3,0)),GDP_Simple!O18)</f>
        <v>15.6</v>
      </c>
      <c r="P21">
        <f>IF($C$3="CGE",INDEX(GDP_CGE!$A$3:$AN$22,MATCH($A21,GDP_CGE!$A$3:$A$22,0),MATCH(P$9,GDP_CGE!$A$3:$AN$3,0)),GDP_Simple!P18)</f>
        <v>15.92</v>
      </c>
      <c r="Q21">
        <f>IF($C$3="CGE",INDEX(GDP_CGE!$A$3:$AN$22,MATCH($A21,GDP_CGE!$A$3:$A$22,0),MATCH(Q$9,GDP_CGE!$A$3:$AN$3,0)),GDP_Simple!Q18)</f>
        <v>16.239999999999998</v>
      </c>
      <c r="R21">
        <f>IF($C$3="CGE",INDEX(GDP_CGE!$A$3:$AN$22,MATCH($A21,GDP_CGE!$A$3:$A$22,0),MATCH(R$9,GDP_CGE!$A$3:$AN$3,0)),GDP_Simple!R18)</f>
        <v>16.46</v>
      </c>
      <c r="S21">
        <f>IF($C$3="CGE",INDEX(GDP_CGE!$A$3:$AN$22,MATCH($A21,GDP_CGE!$A$3:$A$22,0),MATCH(S$9,GDP_CGE!$A$3:$AN$3,0)),GDP_Simple!S18)</f>
        <v>16.8</v>
      </c>
      <c r="T21">
        <f>IF($C$3="CGE",INDEX(GDP_CGE!$A$3:$AN$22,MATCH($A21,GDP_CGE!$A$3:$A$22,0),MATCH(T$9,GDP_CGE!$A$3:$AN$3,0)),GDP_Simple!T18)</f>
        <v>17.170000000000002</v>
      </c>
      <c r="U21">
        <f>IF($C$3="CGE",INDEX(GDP_CGE!$A$3:$AN$22,MATCH($A21,GDP_CGE!$A$3:$A$22,0),MATCH(U$9,GDP_CGE!$A$3:$AN$3,0)),GDP_Simple!U18)</f>
        <v>17.61</v>
      </c>
      <c r="V21">
        <f>IF($C$3="CGE",INDEX(GDP_CGE!$A$3:$AN$22,MATCH($A21,GDP_CGE!$A$3:$A$22,0),MATCH(V$9,GDP_CGE!$A$3:$AN$3,0)),GDP_Simple!V18)</f>
        <v>18.079999999999998</v>
      </c>
      <c r="W21">
        <f>IF($C$3="CGE",INDEX(GDP_CGE!$A$3:$AN$22,MATCH($A21,GDP_CGE!$A$3:$A$22,0),MATCH(W$9,GDP_CGE!$A$3:$AN$3,0)),GDP_Simple!W18)</f>
        <v>18.579999999999998</v>
      </c>
      <c r="X21">
        <f>IF($C$3="CGE",INDEX(GDP_CGE!$A$3:$AN$22,MATCH($A21,GDP_CGE!$A$3:$A$22,0),MATCH(X$9,GDP_CGE!$A$3:$AN$3,0)),GDP_Simple!X18)</f>
        <v>19.100000000000001</v>
      </c>
      <c r="Y21">
        <f>IF($C$3="CGE",INDEX(GDP_CGE!$A$3:$AN$22,MATCH($A21,GDP_CGE!$A$3:$A$22,0),MATCH(Y$9,GDP_CGE!$A$3:$AN$3,0)),GDP_Simple!Y18)</f>
        <v>19.61</v>
      </c>
      <c r="Z21">
        <f>IF($C$3="CGE",INDEX(GDP_CGE!$A$3:$AN$22,MATCH($A21,GDP_CGE!$A$3:$A$22,0),MATCH(Z$9,GDP_CGE!$A$3:$AN$3,0)),GDP_Simple!Z18)</f>
        <v>20.149999999999999</v>
      </c>
      <c r="AA21">
        <f>IF($C$3="CGE",INDEX(GDP_CGE!$A$3:$AN$22,MATCH($A21,GDP_CGE!$A$3:$A$22,0),MATCH(AA$9,GDP_CGE!$A$3:$AN$3,0)),GDP_Simple!AA18)</f>
        <v>20.71</v>
      </c>
      <c r="AB21">
        <f>IF($C$3="CGE",INDEX(GDP_CGE!$A$3:$AN$22,MATCH($A21,GDP_CGE!$A$3:$A$22,0),MATCH(AB$9,GDP_CGE!$A$3:$AN$3,0)),GDP_Simple!AB18)</f>
        <v>21.29</v>
      </c>
      <c r="AC21">
        <f>IF($C$3="CGE",INDEX(GDP_CGE!$A$3:$AN$22,MATCH($A21,GDP_CGE!$A$3:$A$22,0),MATCH(AC$9,GDP_CGE!$A$3:$AN$3,0)),GDP_Simple!AC18)</f>
        <v>21.89</v>
      </c>
      <c r="AD21">
        <f>IF($C$3="CGE",INDEX(GDP_CGE!$A$3:$AN$22,MATCH($A21,GDP_CGE!$A$3:$A$22,0),MATCH(AD$9,GDP_CGE!$A$3:$AN$3,0)),GDP_Simple!AD18)</f>
        <v>22.5</v>
      </c>
      <c r="AE21">
        <f>IF($C$3="CGE",INDEX(GDP_CGE!$A$3:$AN$22,MATCH($A21,GDP_CGE!$A$3:$A$22,0),MATCH(AE$9,GDP_CGE!$A$3:$AN$3,0)),GDP_Simple!AE18)</f>
        <v>23.19</v>
      </c>
      <c r="AF21">
        <f>IF($C$3="CGE",INDEX(GDP_CGE!$A$3:$AN$22,MATCH($A21,GDP_CGE!$A$3:$A$22,0),MATCH(AF$9,GDP_CGE!$A$3:$AN$3,0)),GDP_Simple!AF18)</f>
        <v>23.88</v>
      </c>
      <c r="AG21">
        <f>IF($C$3="CGE",INDEX(GDP_CGE!$A$3:$AN$22,MATCH($A21,GDP_CGE!$A$3:$A$22,0),MATCH(AG$9,GDP_CGE!$A$3:$AN$3,0)),GDP_Simple!AG18)</f>
        <v>24.59</v>
      </c>
      <c r="AH21">
        <f>IF($C$3="CGE",INDEX(GDP_CGE!$A$3:$AN$22,MATCH($A21,GDP_CGE!$A$3:$A$22,0),MATCH(AH$9,GDP_CGE!$A$3:$AN$3,0)),GDP_Simple!AH18)</f>
        <v>25.33</v>
      </c>
      <c r="AI21">
        <f>IF($C$3="CGE",INDEX(GDP_CGE!$A$3:$AN$22,MATCH($A21,GDP_CGE!$A$3:$A$22,0),MATCH(AI$9,GDP_CGE!$A$3:$AN$3,0)),GDP_Simple!AI18)</f>
        <v>26.13</v>
      </c>
      <c r="AJ21">
        <f>IF($C$3="CGE",INDEX(GDP_CGE!$A$3:$AN$22,MATCH($A21,GDP_CGE!$A$3:$A$22,0),MATCH(AJ$9,GDP_CGE!$A$3:$AN$3,0)),GDP_Simple!AJ18)</f>
        <v>26.98</v>
      </c>
      <c r="AK21">
        <f>IF($C$3="CGE",INDEX(GDP_CGE!$A$3:$AN$22,MATCH($A21,GDP_CGE!$A$3:$A$22,0),MATCH(AK$9,GDP_CGE!$A$3:$AN$3,0)),GDP_Simple!AK18)</f>
        <v>27.82</v>
      </c>
      <c r="AL21">
        <f>IF($C$3="CGE",INDEX(GDP_CGE!$A$3:$AN$22,MATCH($A21,GDP_CGE!$A$3:$A$22,0),MATCH(AL$9,GDP_CGE!$A$3:$AN$3,0)),GDP_Simple!AL18)</f>
        <v>28.69</v>
      </c>
      <c r="AM21">
        <f>IF($C$3="CGE",INDEX(GDP_CGE!$A$3:$AN$22,MATCH($A21,GDP_CGE!$A$3:$A$22,0),MATCH(AM$9,GDP_CGE!$A$3:$AN$3,0)),GDP_Simple!AM18)</f>
        <v>29.62</v>
      </c>
      <c r="AN21">
        <f>IF($C$3="CGE",INDEX(GDP_CGE!$A$3:$AN$22,MATCH($A21,GDP_CGE!$A$3:$A$22,0),MATCH(AN$9,GDP_CGE!$A$3:$AN$3,0)),GDP_Simple!AN18)</f>
        <v>30.75</v>
      </c>
    </row>
    <row r="22" spans="1:40" x14ac:dyDescent="0.25">
      <c r="A22" t="s">
        <v>25</v>
      </c>
      <c r="B22">
        <f>IF($C$3="CGE",INDEX(GDP_CGE!$A$3:$AN$22,MATCH($A22,GDP_CGE!$A$3:$A$22,0),MATCH(B$9,GDP_CGE!$A$3:$AN$3,0)),GDP_Simple!B19)</f>
        <v>235.5</v>
      </c>
      <c r="C22">
        <f>IF($C$3="CGE",INDEX(GDP_CGE!$A$3:$AN$22,MATCH($A22,GDP_CGE!$A$3:$A$22,0),MATCH(C$9,GDP_CGE!$A$3:$AN$3,0)),GDP_Simple!C19)</f>
        <v>241.59</v>
      </c>
      <c r="D22">
        <f>IF($C$3="CGE",INDEX(GDP_CGE!$A$3:$AN$22,MATCH($A22,GDP_CGE!$A$3:$A$22,0),MATCH(D$9,GDP_CGE!$A$3:$AN$3,0)),GDP_Simple!D19)</f>
        <v>246.1</v>
      </c>
      <c r="E22">
        <f>IF($C$3="CGE",INDEX(GDP_CGE!$A$3:$AN$22,MATCH($A22,GDP_CGE!$A$3:$A$22,0),MATCH(E$9,GDP_CGE!$A$3:$AN$3,0)),GDP_Simple!E19)</f>
        <v>248.42</v>
      </c>
      <c r="F22">
        <f>IF($C$3="CGE",INDEX(GDP_CGE!$A$3:$AN$22,MATCH($A22,GDP_CGE!$A$3:$A$22,0),MATCH(F$9,GDP_CGE!$A$3:$AN$3,0)),GDP_Simple!F19)</f>
        <v>251.09</v>
      </c>
      <c r="G22">
        <f>IF($C$3="CGE",INDEX(GDP_CGE!$A$3:$AN$22,MATCH($A22,GDP_CGE!$A$3:$A$22,0),MATCH(G$9,GDP_CGE!$A$3:$AN$3,0)),GDP_Simple!G19)</f>
        <v>253.26</v>
      </c>
      <c r="H22">
        <f>IF($C$3="CGE",INDEX(GDP_CGE!$A$3:$AN$22,MATCH($A22,GDP_CGE!$A$3:$A$22,0),MATCH(H$9,GDP_CGE!$A$3:$AN$3,0)),GDP_Simple!H19)</f>
        <v>255.74</v>
      </c>
      <c r="I22">
        <f>IF($C$3="CGE",INDEX(GDP_CGE!$A$3:$AN$22,MATCH($A22,GDP_CGE!$A$3:$A$22,0),MATCH(I$9,GDP_CGE!$A$3:$AN$3,0)),GDP_Simple!I19)</f>
        <v>254.07</v>
      </c>
      <c r="J22">
        <f>IF($C$3="CGE",INDEX(GDP_CGE!$A$3:$AN$22,MATCH($A22,GDP_CGE!$A$3:$A$22,0),MATCH(J$9,GDP_CGE!$A$3:$AN$3,0)),GDP_Simple!J19)</f>
        <v>233.33</v>
      </c>
      <c r="K22">
        <f>IF($C$3="CGE",INDEX(GDP_CGE!$A$3:$AN$22,MATCH($A22,GDP_CGE!$A$3:$A$22,0),MATCH(K$9,GDP_CGE!$A$3:$AN$3,0)),GDP_Simple!K19)</f>
        <v>239.41</v>
      </c>
      <c r="L22">
        <f>IF($C$3="CGE",INDEX(GDP_CGE!$A$3:$AN$22,MATCH($A22,GDP_CGE!$A$3:$A$22,0),MATCH(L$9,GDP_CGE!$A$3:$AN$3,0)),GDP_Simple!L19)</f>
        <v>244.91</v>
      </c>
      <c r="M22">
        <f>IF($C$3="CGE",INDEX(GDP_CGE!$A$3:$AN$22,MATCH($A22,GDP_CGE!$A$3:$A$22,0),MATCH(M$9,GDP_CGE!$A$3:$AN$3,0)),GDP_Simple!M19)</f>
        <v>249.83</v>
      </c>
      <c r="N22">
        <f>IF($C$3="CGE",INDEX(GDP_CGE!$A$3:$AN$22,MATCH($A22,GDP_CGE!$A$3:$A$22,0),MATCH(N$9,GDP_CGE!$A$3:$AN$3,0)),GDP_Simple!N19)</f>
        <v>255.36</v>
      </c>
      <c r="O22">
        <f>IF($C$3="CGE",INDEX(GDP_CGE!$A$3:$AN$22,MATCH($A22,GDP_CGE!$A$3:$A$22,0),MATCH(O$9,GDP_CGE!$A$3:$AN$3,0)),GDP_Simple!O19)</f>
        <v>260.81</v>
      </c>
      <c r="P22">
        <f>IF($C$3="CGE",INDEX(GDP_CGE!$A$3:$AN$22,MATCH($A22,GDP_CGE!$A$3:$A$22,0),MATCH(P$9,GDP_CGE!$A$3:$AN$3,0)),GDP_Simple!P19)</f>
        <v>266.36</v>
      </c>
      <c r="Q22">
        <f>IF($C$3="CGE",INDEX(GDP_CGE!$A$3:$AN$22,MATCH($A22,GDP_CGE!$A$3:$A$22,0),MATCH(Q$9,GDP_CGE!$A$3:$AN$3,0)),GDP_Simple!Q19)</f>
        <v>271.74</v>
      </c>
      <c r="R22">
        <f>IF($C$3="CGE",INDEX(GDP_CGE!$A$3:$AN$22,MATCH($A22,GDP_CGE!$A$3:$A$22,0),MATCH(R$9,GDP_CGE!$A$3:$AN$3,0)),GDP_Simple!R19)</f>
        <v>277.05</v>
      </c>
      <c r="S22">
        <f>IF($C$3="CGE",INDEX(GDP_CGE!$A$3:$AN$22,MATCH($A22,GDP_CGE!$A$3:$A$22,0),MATCH(S$9,GDP_CGE!$A$3:$AN$3,0)),GDP_Simple!S19)</f>
        <v>282.77999999999997</v>
      </c>
      <c r="T22">
        <f>IF($C$3="CGE",INDEX(GDP_CGE!$A$3:$AN$22,MATCH($A22,GDP_CGE!$A$3:$A$22,0),MATCH(T$9,GDP_CGE!$A$3:$AN$3,0)),GDP_Simple!T19)</f>
        <v>288.95999999999998</v>
      </c>
      <c r="U22">
        <f>IF($C$3="CGE",INDEX(GDP_CGE!$A$3:$AN$22,MATCH($A22,GDP_CGE!$A$3:$A$22,0),MATCH(U$9,GDP_CGE!$A$3:$AN$3,0)),GDP_Simple!U19)</f>
        <v>296.33999999999997</v>
      </c>
      <c r="V22">
        <f>IF($C$3="CGE",INDEX(GDP_CGE!$A$3:$AN$22,MATCH($A22,GDP_CGE!$A$3:$A$22,0),MATCH(V$9,GDP_CGE!$A$3:$AN$3,0)),GDP_Simple!V19)</f>
        <v>304.2</v>
      </c>
      <c r="W22">
        <f>IF($C$3="CGE",INDEX(GDP_CGE!$A$3:$AN$22,MATCH($A22,GDP_CGE!$A$3:$A$22,0),MATCH(W$9,GDP_CGE!$A$3:$AN$3,0)),GDP_Simple!W19)</f>
        <v>312.55</v>
      </c>
      <c r="X22">
        <f>IF($C$3="CGE",INDEX(GDP_CGE!$A$3:$AN$22,MATCH($A22,GDP_CGE!$A$3:$A$22,0),MATCH(X$9,GDP_CGE!$A$3:$AN$3,0)),GDP_Simple!X19)</f>
        <v>321.88</v>
      </c>
      <c r="Y22">
        <f>IF($C$3="CGE",INDEX(GDP_CGE!$A$3:$AN$22,MATCH($A22,GDP_CGE!$A$3:$A$22,0),MATCH(Y$9,GDP_CGE!$A$3:$AN$3,0)),GDP_Simple!Y19)</f>
        <v>331.08</v>
      </c>
      <c r="Z22">
        <f>IF($C$3="CGE",INDEX(GDP_CGE!$A$3:$AN$22,MATCH($A22,GDP_CGE!$A$3:$A$22,0),MATCH(Z$9,GDP_CGE!$A$3:$AN$3,0)),GDP_Simple!Z19)</f>
        <v>340.86</v>
      </c>
      <c r="AA22">
        <f>IF($C$3="CGE",INDEX(GDP_CGE!$A$3:$AN$22,MATCH($A22,GDP_CGE!$A$3:$A$22,0),MATCH(AA$9,GDP_CGE!$A$3:$AN$3,0)),GDP_Simple!AA19)</f>
        <v>351.05</v>
      </c>
      <c r="AB22">
        <f>IF($C$3="CGE",INDEX(GDP_CGE!$A$3:$AN$22,MATCH($A22,GDP_CGE!$A$3:$A$22,0),MATCH(AB$9,GDP_CGE!$A$3:$AN$3,0)),GDP_Simple!AB19)</f>
        <v>361.39</v>
      </c>
      <c r="AC22">
        <f>IF($C$3="CGE",INDEX(GDP_CGE!$A$3:$AN$22,MATCH($A22,GDP_CGE!$A$3:$A$22,0),MATCH(AC$9,GDP_CGE!$A$3:$AN$3,0)),GDP_Simple!AC19)</f>
        <v>372.08</v>
      </c>
      <c r="AD22">
        <f>IF($C$3="CGE",INDEX(GDP_CGE!$A$3:$AN$22,MATCH($A22,GDP_CGE!$A$3:$A$22,0),MATCH(AD$9,GDP_CGE!$A$3:$AN$3,0)),GDP_Simple!AD19)</f>
        <v>383.14</v>
      </c>
      <c r="AE22">
        <f>IF($C$3="CGE",INDEX(GDP_CGE!$A$3:$AN$22,MATCH($A22,GDP_CGE!$A$3:$A$22,0),MATCH(AE$9,GDP_CGE!$A$3:$AN$3,0)),GDP_Simple!AE19)</f>
        <v>394.85</v>
      </c>
      <c r="AF22">
        <f>IF($C$3="CGE",INDEX(GDP_CGE!$A$3:$AN$22,MATCH($A22,GDP_CGE!$A$3:$A$22,0),MATCH(AF$9,GDP_CGE!$A$3:$AN$3,0)),GDP_Simple!AF19)</f>
        <v>406.53</v>
      </c>
      <c r="AG22">
        <f>IF($C$3="CGE",INDEX(GDP_CGE!$A$3:$AN$22,MATCH($A22,GDP_CGE!$A$3:$A$22,0),MATCH(AG$9,GDP_CGE!$A$3:$AN$3,0)),GDP_Simple!AG19)</f>
        <v>418.72</v>
      </c>
      <c r="AH22">
        <f>IF($C$3="CGE",INDEX(GDP_CGE!$A$3:$AN$22,MATCH($A22,GDP_CGE!$A$3:$A$22,0),MATCH(AH$9,GDP_CGE!$A$3:$AN$3,0)),GDP_Simple!AH19)</f>
        <v>431.5</v>
      </c>
      <c r="AI22">
        <f>IF($C$3="CGE",INDEX(GDP_CGE!$A$3:$AN$22,MATCH($A22,GDP_CGE!$A$3:$A$22,0),MATCH(AI$9,GDP_CGE!$A$3:$AN$3,0)),GDP_Simple!AI19)</f>
        <v>445.12</v>
      </c>
      <c r="AJ22">
        <f>IF($C$3="CGE",INDEX(GDP_CGE!$A$3:$AN$22,MATCH($A22,GDP_CGE!$A$3:$A$22,0),MATCH(AJ$9,GDP_CGE!$A$3:$AN$3,0)),GDP_Simple!AJ19)</f>
        <v>459.51</v>
      </c>
      <c r="AK22">
        <f>IF($C$3="CGE",INDEX(GDP_CGE!$A$3:$AN$22,MATCH($A22,GDP_CGE!$A$3:$A$22,0),MATCH(AK$9,GDP_CGE!$A$3:$AN$3,0)),GDP_Simple!AK19)</f>
        <v>473.68</v>
      </c>
      <c r="AL22">
        <f>IF($C$3="CGE",INDEX(GDP_CGE!$A$3:$AN$22,MATCH($A22,GDP_CGE!$A$3:$A$22,0),MATCH(AL$9,GDP_CGE!$A$3:$AN$3,0)),GDP_Simple!AL19)</f>
        <v>488.53</v>
      </c>
      <c r="AM22">
        <f>IF($C$3="CGE",INDEX(GDP_CGE!$A$3:$AN$22,MATCH($A22,GDP_CGE!$A$3:$A$22,0),MATCH(AM$9,GDP_CGE!$A$3:$AN$3,0)),GDP_Simple!AM19)</f>
        <v>504.28</v>
      </c>
      <c r="AN22">
        <f>IF($C$3="CGE",INDEX(GDP_CGE!$A$3:$AN$22,MATCH($A22,GDP_CGE!$A$3:$A$22,0),MATCH(AN$9,GDP_CGE!$A$3:$AN$3,0)),GDP_Simple!AN19)</f>
        <v>523.45000000000005</v>
      </c>
    </row>
    <row r="23" spans="1:40" x14ac:dyDescent="0.25">
      <c r="A23" t="s">
        <v>37</v>
      </c>
      <c r="B23">
        <f>IF($C$3="CGE",INDEX(GDP_CGE!$A$3:$AN$22,MATCH($A23,GDP_CGE!$A$3:$A$22,0),MATCH(B$9,GDP_CGE!$A$3:$AN$3,0)),GDP_Simple!B20)</f>
        <v>27.52</v>
      </c>
      <c r="C23">
        <f>IF($C$3="CGE",INDEX(GDP_CGE!$A$3:$AN$22,MATCH($A23,GDP_CGE!$A$3:$A$22,0),MATCH(C$9,GDP_CGE!$A$3:$AN$3,0)),GDP_Simple!C20)</f>
        <v>26.89</v>
      </c>
      <c r="D23">
        <f>IF($C$3="CGE",INDEX(GDP_CGE!$A$3:$AN$22,MATCH($A23,GDP_CGE!$A$3:$A$22,0),MATCH(D$9,GDP_CGE!$A$3:$AN$3,0)),GDP_Simple!D20)</f>
        <v>26.27</v>
      </c>
      <c r="E23">
        <f>IF($C$3="CGE",INDEX(GDP_CGE!$A$3:$AN$22,MATCH($A23,GDP_CGE!$A$3:$A$22,0),MATCH(E$9,GDP_CGE!$A$3:$AN$3,0)),GDP_Simple!E20)</f>
        <v>25.64</v>
      </c>
      <c r="F23">
        <f>IF($C$3="CGE",INDEX(GDP_CGE!$A$3:$AN$22,MATCH($A23,GDP_CGE!$A$3:$A$22,0),MATCH(F$9,GDP_CGE!$A$3:$AN$3,0)),GDP_Simple!F20)</f>
        <v>25.62</v>
      </c>
      <c r="G23">
        <f>IF($C$3="CGE",INDEX(GDP_CGE!$A$3:$AN$22,MATCH($A23,GDP_CGE!$A$3:$A$22,0),MATCH(G$9,GDP_CGE!$A$3:$AN$3,0)),GDP_Simple!G20)</f>
        <v>25.6</v>
      </c>
      <c r="H23">
        <f>IF($C$3="CGE",INDEX(GDP_CGE!$A$3:$AN$22,MATCH($A23,GDP_CGE!$A$3:$A$22,0),MATCH(H$9,GDP_CGE!$A$3:$AN$3,0)),GDP_Simple!H20)</f>
        <v>25.6</v>
      </c>
      <c r="I23">
        <f>IF($C$3="CGE",INDEX(GDP_CGE!$A$3:$AN$22,MATCH($A23,GDP_CGE!$A$3:$A$22,0),MATCH(I$9,GDP_CGE!$A$3:$AN$3,0)),GDP_Simple!I20)</f>
        <v>25.55</v>
      </c>
      <c r="J23">
        <f>IF($C$3="CGE",INDEX(GDP_CGE!$A$3:$AN$22,MATCH($A23,GDP_CGE!$A$3:$A$22,0),MATCH(J$9,GDP_CGE!$A$3:$AN$3,0)),GDP_Simple!J20)</f>
        <v>16.07</v>
      </c>
      <c r="K23">
        <f>IF($C$3="CGE",INDEX(GDP_CGE!$A$3:$AN$22,MATCH($A23,GDP_CGE!$A$3:$A$22,0),MATCH(K$9,GDP_CGE!$A$3:$AN$3,0)),GDP_Simple!K20)</f>
        <v>16.03</v>
      </c>
      <c r="L23">
        <f>IF($C$3="CGE",INDEX(GDP_CGE!$A$3:$AN$22,MATCH($A23,GDP_CGE!$A$3:$A$22,0),MATCH(L$9,GDP_CGE!$A$3:$AN$3,0)),GDP_Simple!L20)</f>
        <v>16.03</v>
      </c>
      <c r="M23">
        <f>IF($C$3="CGE",INDEX(GDP_CGE!$A$3:$AN$22,MATCH($A23,GDP_CGE!$A$3:$A$22,0),MATCH(M$9,GDP_CGE!$A$3:$AN$3,0)),GDP_Simple!M20)</f>
        <v>16.010000000000002</v>
      </c>
      <c r="N23">
        <f>IF($C$3="CGE",INDEX(GDP_CGE!$A$3:$AN$22,MATCH($A23,GDP_CGE!$A$3:$A$22,0),MATCH(N$9,GDP_CGE!$A$3:$AN$3,0)),GDP_Simple!N20)</f>
        <v>15.99</v>
      </c>
      <c r="O23">
        <f>IF($C$3="CGE",INDEX(GDP_CGE!$A$3:$AN$22,MATCH($A23,GDP_CGE!$A$3:$A$22,0),MATCH(O$9,GDP_CGE!$A$3:$AN$3,0)),GDP_Simple!O20)</f>
        <v>15.42</v>
      </c>
      <c r="P23">
        <f>IF($C$3="CGE",INDEX(GDP_CGE!$A$3:$AN$22,MATCH($A23,GDP_CGE!$A$3:$A$22,0),MATCH(P$9,GDP_CGE!$A$3:$AN$3,0)),GDP_Simple!P20)</f>
        <v>15.4</v>
      </c>
      <c r="Q23">
        <f>IF($C$3="CGE",INDEX(GDP_CGE!$A$3:$AN$22,MATCH($A23,GDP_CGE!$A$3:$A$22,0),MATCH(Q$9,GDP_CGE!$A$3:$AN$3,0)),GDP_Simple!Q20)</f>
        <v>15.38</v>
      </c>
      <c r="R23">
        <f>IF($C$3="CGE",INDEX(GDP_CGE!$A$3:$AN$22,MATCH($A23,GDP_CGE!$A$3:$A$22,0),MATCH(R$9,GDP_CGE!$A$3:$AN$3,0)),GDP_Simple!R20)</f>
        <v>10.1</v>
      </c>
      <c r="S23">
        <f>IF($C$3="CGE",INDEX(GDP_CGE!$A$3:$AN$22,MATCH($A23,GDP_CGE!$A$3:$A$22,0),MATCH(S$9,GDP_CGE!$A$3:$AN$3,0)),GDP_Simple!S20)</f>
        <v>10.08</v>
      </c>
      <c r="T23">
        <f>IF($C$3="CGE",INDEX(GDP_CGE!$A$3:$AN$22,MATCH($A23,GDP_CGE!$A$3:$A$22,0),MATCH(T$9,GDP_CGE!$A$3:$AN$3,0)),GDP_Simple!T20)</f>
        <v>10.47</v>
      </c>
      <c r="U23">
        <f>IF($C$3="CGE",INDEX(GDP_CGE!$A$3:$AN$22,MATCH($A23,GDP_CGE!$A$3:$A$22,0),MATCH(U$9,GDP_CGE!$A$3:$AN$3,0)),GDP_Simple!U20)</f>
        <v>10.74</v>
      </c>
      <c r="V23">
        <f>IF($C$3="CGE",INDEX(GDP_CGE!$A$3:$AN$22,MATCH($A23,GDP_CGE!$A$3:$A$22,0),MATCH(V$9,GDP_CGE!$A$3:$AN$3,0)),GDP_Simple!V20)</f>
        <v>10.75</v>
      </c>
      <c r="W23">
        <f>IF($C$3="CGE",INDEX(GDP_CGE!$A$3:$AN$22,MATCH($A23,GDP_CGE!$A$3:$A$22,0),MATCH(W$9,GDP_CGE!$A$3:$AN$3,0)),GDP_Simple!W20)</f>
        <v>10.78</v>
      </c>
      <c r="X23">
        <f>IF($C$3="CGE",INDEX(GDP_CGE!$A$3:$AN$22,MATCH($A23,GDP_CGE!$A$3:$A$22,0),MATCH(X$9,GDP_CGE!$A$3:$AN$3,0)),GDP_Simple!X20)</f>
        <v>9.3800000000000008</v>
      </c>
      <c r="Y23">
        <f>IF($C$3="CGE",INDEX(GDP_CGE!$A$3:$AN$22,MATCH($A23,GDP_CGE!$A$3:$A$22,0),MATCH(Y$9,GDP_CGE!$A$3:$AN$3,0)),GDP_Simple!Y20)</f>
        <v>7.95</v>
      </c>
      <c r="Z23">
        <f>IF($C$3="CGE",INDEX(GDP_CGE!$A$3:$AN$22,MATCH($A23,GDP_CGE!$A$3:$A$22,0),MATCH(Z$9,GDP_CGE!$A$3:$AN$3,0)),GDP_Simple!Z20)</f>
        <v>6.61</v>
      </c>
      <c r="AA23">
        <f>IF($C$3="CGE",INDEX(GDP_CGE!$A$3:$AN$22,MATCH($A23,GDP_CGE!$A$3:$A$22,0),MATCH(AA$9,GDP_CGE!$A$3:$AN$3,0)),GDP_Simple!AA20)</f>
        <v>5.54</v>
      </c>
      <c r="AB23">
        <f>IF($C$3="CGE",INDEX(GDP_CGE!$A$3:$AN$22,MATCH($A23,GDP_CGE!$A$3:$A$22,0),MATCH(AB$9,GDP_CGE!$A$3:$AN$3,0)),GDP_Simple!AB20)</f>
        <v>4.71</v>
      </c>
      <c r="AC23">
        <f>IF($C$3="CGE",INDEX(GDP_CGE!$A$3:$AN$22,MATCH($A23,GDP_CGE!$A$3:$A$22,0),MATCH(AC$9,GDP_CGE!$A$3:$AN$3,0)),GDP_Simple!AC20)</f>
        <v>3.88</v>
      </c>
      <c r="AD23">
        <f>IF($C$3="CGE",INDEX(GDP_CGE!$A$3:$AN$22,MATCH($A23,GDP_CGE!$A$3:$A$22,0),MATCH(AD$9,GDP_CGE!$A$3:$AN$3,0)),GDP_Simple!AD20)</f>
        <v>3.05</v>
      </c>
      <c r="AE23">
        <f>IF($C$3="CGE",INDEX(GDP_CGE!$A$3:$AN$22,MATCH($A23,GDP_CGE!$A$3:$A$22,0),MATCH(AE$9,GDP_CGE!$A$3:$AN$3,0)),GDP_Simple!AE20)</f>
        <v>2.78</v>
      </c>
      <c r="AF23">
        <f>IF($C$3="CGE",INDEX(GDP_CGE!$A$3:$AN$22,MATCH($A23,GDP_CGE!$A$3:$A$22,0),MATCH(AF$9,GDP_CGE!$A$3:$AN$3,0)),GDP_Simple!AF20)</f>
        <v>2.5099999999999998</v>
      </c>
      <c r="AG23">
        <f>IF($C$3="CGE",INDEX(GDP_CGE!$A$3:$AN$22,MATCH($A23,GDP_CGE!$A$3:$A$22,0),MATCH(AG$9,GDP_CGE!$A$3:$AN$3,0)),GDP_Simple!AG20)</f>
        <v>2.2400000000000002</v>
      </c>
      <c r="AH23">
        <f>IF($C$3="CGE",INDEX(GDP_CGE!$A$3:$AN$22,MATCH($A23,GDP_CGE!$A$3:$A$22,0),MATCH(AH$9,GDP_CGE!$A$3:$AN$3,0)),GDP_Simple!AH20)</f>
        <v>1.97</v>
      </c>
      <c r="AI23">
        <f>IF($C$3="CGE",INDEX(GDP_CGE!$A$3:$AN$22,MATCH($A23,GDP_CGE!$A$3:$A$22,0),MATCH(AI$9,GDP_CGE!$A$3:$AN$3,0)),GDP_Simple!AI20)</f>
        <v>1.7</v>
      </c>
      <c r="AJ23">
        <f>IF($C$3="CGE",INDEX(GDP_CGE!$A$3:$AN$22,MATCH($A23,GDP_CGE!$A$3:$A$22,0),MATCH(AJ$9,GDP_CGE!$A$3:$AN$3,0)),GDP_Simple!AJ20)</f>
        <v>1.68</v>
      </c>
      <c r="AK23">
        <f>IF($C$3="CGE",INDEX(GDP_CGE!$A$3:$AN$22,MATCH($A23,GDP_CGE!$A$3:$A$22,0),MATCH(AK$9,GDP_CGE!$A$3:$AN$3,0)),GDP_Simple!AK20)</f>
        <v>1.65</v>
      </c>
      <c r="AL23">
        <f>IF($C$3="CGE",INDEX(GDP_CGE!$A$3:$AN$22,MATCH($A23,GDP_CGE!$A$3:$A$22,0),MATCH(AL$9,GDP_CGE!$A$3:$AN$3,0)),GDP_Simple!AL20)</f>
        <v>1.63</v>
      </c>
      <c r="AM23">
        <f>IF($C$3="CGE",INDEX(GDP_CGE!$A$3:$AN$22,MATCH($A23,GDP_CGE!$A$3:$A$22,0),MATCH(AM$9,GDP_CGE!$A$3:$AN$3,0)),GDP_Simple!AM20)</f>
        <v>1.61</v>
      </c>
      <c r="AN23">
        <f>IF($C$3="CGE",INDEX(GDP_CGE!$A$3:$AN$22,MATCH($A23,GDP_CGE!$A$3:$A$22,0),MATCH(AN$9,GDP_CGE!$A$3:$AN$3,0)),GDP_Simple!AN20)</f>
        <v>1.58</v>
      </c>
    </row>
    <row r="24" spans="1:40" x14ac:dyDescent="0.25">
      <c r="A24" t="s">
        <v>26</v>
      </c>
      <c r="B24">
        <f>IF($C$3="CGE",INDEX(GDP_CGE!$A$3:$AN$22,MATCH($A24,GDP_CGE!$A$3:$A$22,0),MATCH(B$9,GDP_CGE!$A$3:$AN$3,0)),GDP_Simple!B21)</f>
        <v>17.78</v>
      </c>
      <c r="C24">
        <f>IF($C$3="CGE",INDEX(GDP_CGE!$A$3:$AN$22,MATCH($A24,GDP_CGE!$A$3:$A$22,0),MATCH(C$9,GDP_CGE!$A$3:$AN$3,0)),GDP_Simple!C21)</f>
        <v>18.170000000000002</v>
      </c>
      <c r="D24">
        <f>IF($C$3="CGE",INDEX(GDP_CGE!$A$3:$AN$22,MATCH($A24,GDP_CGE!$A$3:$A$22,0),MATCH(D$9,GDP_CGE!$A$3:$AN$3,0)),GDP_Simple!D21)</f>
        <v>18.57</v>
      </c>
      <c r="E24">
        <f>IF($C$3="CGE",INDEX(GDP_CGE!$A$3:$AN$22,MATCH($A24,GDP_CGE!$A$3:$A$22,0),MATCH(E$9,GDP_CGE!$A$3:$AN$3,0)),GDP_Simple!E21)</f>
        <v>18.72</v>
      </c>
      <c r="F24">
        <f>IF($C$3="CGE",INDEX(GDP_CGE!$A$3:$AN$22,MATCH($A24,GDP_CGE!$A$3:$A$22,0),MATCH(F$9,GDP_CGE!$A$3:$AN$3,0)),GDP_Simple!F21)</f>
        <v>19.07</v>
      </c>
      <c r="G24">
        <f>IF($C$3="CGE",INDEX(GDP_CGE!$A$3:$AN$22,MATCH($A24,GDP_CGE!$A$3:$A$22,0),MATCH(G$9,GDP_CGE!$A$3:$AN$3,0)),GDP_Simple!G21)</f>
        <v>19.21</v>
      </c>
      <c r="H24">
        <f>IF($C$3="CGE",INDEX(GDP_CGE!$A$3:$AN$22,MATCH($A24,GDP_CGE!$A$3:$A$22,0),MATCH(H$9,GDP_CGE!$A$3:$AN$3,0)),GDP_Simple!H21)</f>
        <v>19.559999999999999</v>
      </c>
      <c r="I24">
        <f>IF($C$3="CGE",INDEX(GDP_CGE!$A$3:$AN$22,MATCH($A24,GDP_CGE!$A$3:$A$22,0),MATCH(I$9,GDP_CGE!$A$3:$AN$3,0)),GDP_Simple!I21)</f>
        <v>19.57</v>
      </c>
      <c r="J24">
        <f>IF($C$3="CGE",INDEX(GDP_CGE!$A$3:$AN$22,MATCH($A24,GDP_CGE!$A$3:$A$22,0),MATCH(J$9,GDP_CGE!$A$3:$AN$3,0)),GDP_Simple!J21)</f>
        <v>18.440000000000001</v>
      </c>
      <c r="K24">
        <f>IF($C$3="CGE",INDEX(GDP_CGE!$A$3:$AN$22,MATCH($A24,GDP_CGE!$A$3:$A$22,0),MATCH(K$9,GDP_CGE!$A$3:$AN$3,0)),GDP_Simple!K21)</f>
        <v>18.899999999999999</v>
      </c>
      <c r="L24">
        <f>IF($C$3="CGE",INDEX(GDP_CGE!$A$3:$AN$22,MATCH($A24,GDP_CGE!$A$3:$A$22,0),MATCH(L$9,GDP_CGE!$A$3:$AN$3,0)),GDP_Simple!L21)</f>
        <v>19.3</v>
      </c>
      <c r="M24">
        <f>IF($C$3="CGE",INDEX(GDP_CGE!$A$3:$AN$22,MATCH($A24,GDP_CGE!$A$3:$A$22,0),MATCH(M$9,GDP_CGE!$A$3:$AN$3,0)),GDP_Simple!M21)</f>
        <v>19.66</v>
      </c>
      <c r="N24">
        <f>IF($C$3="CGE",INDEX(GDP_CGE!$A$3:$AN$22,MATCH($A24,GDP_CGE!$A$3:$A$22,0),MATCH(N$9,GDP_CGE!$A$3:$AN$3,0)),GDP_Simple!N21)</f>
        <v>20.07</v>
      </c>
      <c r="O24">
        <f>IF($C$3="CGE",INDEX(GDP_CGE!$A$3:$AN$22,MATCH($A24,GDP_CGE!$A$3:$A$22,0),MATCH(O$9,GDP_CGE!$A$3:$AN$3,0)),GDP_Simple!O21)</f>
        <v>20.49</v>
      </c>
      <c r="P24">
        <f>IF($C$3="CGE",INDEX(GDP_CGE!$A$3:$AN$22,MATCH($A24,GDP_CGE!$A$3:$A$22,0),MATCH(P$9,GDP_CGE!$A$3:$AN$3,0)),GDP_Simple!P21)</f>
        <v>20.88</v>
      </c>
      <c r="Q24">
        <f>IF($C$3="CGE",INDEX(GDP_CGE!$A$3:$AN$22,MATCH($A24,GDP_CGE!$A$3:$A$22,0),MATCH(Q$9,GDP_CGE!$A$3:$AN$3,0)),GDP_Simple!Q21)</f>
        <v>21.27</v>
      </c>
      <c r="R24">
        <f>IF($C$3="CGE",INDEX(GDP_CGE!$A$3:$AN$22,MATCH($A24,GDP_CGE!$A$3:$A$22,0),MATCH(R$9,GDP_CGE!$A$3:$AN$3,0)),GDP_Simple!R21)</f>
        <v>21.67</v>
      </c>
      <c r="S24">
        <f>IF($C$3="CGE",INDEX(GDP_CGE!$A$3:$AN$22,MATCH($A24,GDP_CGE!$A$3:$A$22,0),MATCH(S$9,GDP_CGE!$A$3:$AN$3,0)),GDP_Simple!S21)</f>
        <v>22.05</v>
      </c>
      <c r="T24">
        <f>IF($C$3="CGE",INDEX(GDP_CGE!$A$3:$AN$22,MATCH($A24,GDP_CGE!$A$3:$A$22,0),MATCH(T$9,GDP_CGE!$A$3:$AN$3,0)),GDP_Simple!T21)</f>
        <v>22.47</v>
      </c>
      <c r="U24">
        <f>IF($C$3="CGE",INDEX(GDP_CGE!$A$3:$AN$22,MATCH($A24,GDP_CGE!$A$3:$A$22,0),MATCH(U$9,GDP_CGE!$A$3:$AN$3,0)),GDP_Simple!U21)</f>
        <v>22.99</v>
      </c>
      <c r="V24">
        <f>IF($C$3="CGE",INDEX(GDP_CGE!$A$3:$AN$22,MATCH($A24,GDP_CGE!$A$3:$A$22,0),MATCH(V$9,GDP_CGE!$A$3:$AN$3,0)),GDP_Simple!V21)</f>
        <v>23.54</v>
      </c>
      <c r="W24">
        <f>IF($C$3="CGE",INDEX(GDP_CGE!$A$3:$AN$22,MATCH($A24,GDP_CGE!$A$3:$A$22,0),MATCH(W$9,GDP_CGE!$A$3:$AN$3,0)),GDP_Simple!W21)</f>
        <v>24.14</v>
      </c>
      <c r="X24">
        <f>IF($C$3="CGE",INDEX(GDP_CGE!$A$3:$AN$22,MATCH($A24,GDP_CGE!$A$3:$A$22,0),MATCH(X$9,GDP_CGE!$A$3:$AN$3,0)),GDP_Simple!X21)</f>
        <v>24.83</v>
      </c>
      <c r="Y24">
        <f>IF($C$3="CGE",INDEX(GDP_CGE!$A$3:$AN$22,MATCH($A24,GDP_CGE!$A$3:$A$22,0),MATCH(Y$9,GDP_CGE!$A$3:$AN$3,0)),GDP_Simple!Y21)</f>
        <v>25.51</v>
      </c>
      <c r="Z24">
        <f>IF($C$3="CGE",INDEX(GDP_CGE!$A$3:$AN$22,MATCH($A24,GDP_CGE!$A$3:$A$22,0),MATCH(Z$9,GDP_CGE!$A$3:$AN$3,0)),GDP_Simple!Z21)</f>
        <v>26.23</v>
      </c>
      <c r="AA24">
        <f>IF($C$3="CGE",INDEX(GDP_CGE!$A$3:$AN$22,MATCH($A24,GDP_CGE!$A$3:$A$22,0),MATCH(AA$9,GDP_CGE!$A$3:$AN$3,0)),GDP_Simple!AA21)</f>
        <v>26.97</v>
      </c>
      <c r="AB24">
        <f>IF($C$3="CGE",INDEX(GDP_CGE!$A$3:$AN$22,MATCH($A24,GDP_CGE!$A$3:$A$22,0),MATCH(AB$9,GDP_CGE!$A$3:$AN$3,0)),GDP_Simple!AB21)</f>
        <v>27.74</v>
      </c>
      <c r="AC24">
        <f>IF($C$3="CGE",INDEX(GDP_CGE!$A$3:$AN$22,MATCH($A24,GDP_CGE!$A$3:$A$22,0),MATCH(AC$9,GDP_CGE!$A$3:$AN$3,0)),GDP_Simple!AC21)</f>
        <v>28.55</v>
      </c>
      <c r="AD24">
        <f>IF($C$3="CGE",INDEX(GDP_CGE!$A$3:$AN$22,MATCH($A24,GDP_CGE!$A$3:$A$22,0),MATCH(AD$9,GDP_CGE!$A$3:$AN$3,0)),GDP_Simple!AD21)</f>
        <v>29.38</v>
      </c>
      <c r="AE24">
        <f>IF($C$3="CGE",INDEX(GDP_CGE!$A$3:$AN$22,MATCH($A24,GDP_CGE!$A$3:$A$22,0),MATCH(AE$9,GDP_CGE!$A$3:$AN$3,0)),GDP_Simple!AE21)</f>
        <v>30.27</v>
      </c>
      <c r="AF24">
        <f>IF($C$3="CGE",INDEX(GDP_CGE!$A$3:$AN$22,MATCH($A24,GDP_CGE!$A$3:$A$22,0),MATCH(AF$9,GDP_CGE!$A$3:$AN$3,0)),GDP_Simple!AF21)</f>
        <v>31.15</v>
      </c>
      <c r="AG24">
        <f>IF($C$3="CGE",INDEX(GDP_CGE!$A$3:$AN$22,MATCH($A24,GDP_CGE!$A$3:$A$22,0),MATCH(AG$9,GDP_CGE!$A$3:$AN$3,0)),GDP_Simple!AG21)</f>
        <v>32.07</v>
      </c>
      <c r="AH24">
        <f>IF($C$3="CGE",INDEX(GDP_CGE!$A$3:$AN$22,MATCH($A24,GDP_CGE!$A$3:$A$22,0),MATCH(AH$9,GDP_CGE!$A$3:$AN$3,0)),GDP_Simple!AH21)</f>
        <v>33.03</v>
      </c>
      <c r="AI24">
        <f>IF($C$3="CGE",INDEX(GDP_CGE!$A$3:$AN$22,MATCH($A24,GDP_CGE!$A$3:$A$22,0),MATCH(AI$9,GDP_CGE!$A$3:$AN$3,0)),GDP_Simple!AI21)</f>
        <v>34.06</v>
      </c>
      <c r="AJ24">
        <f>IF($C$3="CGE",INDEX(GDP_CGE!$A$3:$AN$22,MATCH($A24,GDP_CGE!$A$3:$A$22,0),MATCH(AJ$9,GDP_CGE!$A$3:$AN$3,0)),GDP_Simple!AJ21)</f>
        <v>35.14</v>
      </c>
      <c r="AK24">
        <f>IF($C$3="CGE",INDEX(GDP_CGE!$A$3:$AN$22,MATCH($A24,GDP_CGE!$A$3:$A$22,0),MATCH(AK$9,GDP_CGE!$A$3:$AN$3,0)),GDP_Simple!AK21)</f>
        <v>36.200000000000003</v>
      </c>
      <c r="AL24">
        <f>IF($C$3="CGE",INDEX(GDP_CGE!$A$3:$AN$22,MATCH($A24,GDP_CGE!$A$3:$A$22,0),MATCH(AL$9,GDP_CGE!$A$3:$AN$3,0)),GDP_Simple!AL21)</f>
        <v>37.31</v>
      </c>
      <c r="AM24">
        <f>IF($C$3="CGE",INDEX(GDP_CGE!$A$3:$AN$22,MATCH($A24,GDP_CGE!$A$3:$A$22,0),MATCH(AM$9,GDP_CGE!$A$3:$AN$3,0)),GDP_Simple!AM21)</f>
        <v>38.479999999999997</v>
      </c>
      <c r="AN24">
        <f>IF($C$3="CGE",INDEX(GDP_CGE!$A$3:$AN$22,MATCH($A24,GDP_CGE!$A$3:$A$22,0),MATCH(AN$9,GDP_CGE!$A$3:$AN$3,0)),GDP_Simple!AN21)</f>
        <v>39.92</v>
      </c>
    </row>
    <row r="25" spans="1:40" x14ac:dyDescent="0.25">
      <c r="A25" t="s">
        <v>35</v>
      </c>
      <c r="B25">
        <f>IF($C$3="CGE",INDEX(GDP_CGE!$A$3:$AN$22,MATCH($A25,GDP_CGE!$A$3:$A$22,0),MATCH(B$9,GDP_CGE!$A$3:$AN$3,0)),GDP_Simple!B22)</f>
        <v>11.26</v>
      </c>
      <c r="C25">
        <f>IF($C$3="CGE",INDEX(GDP_CGE!$A$3:$AN$22,MATCH($A25,GDP_CGE!$A$3:$A$22,0),MATCH(C$9,GDP_CGE!$A$3:$AN$3,0)),GDP_Simple!C22)</f>
        <v>11.58</v>
      </c>
      <c r="D25">
        <f>IF($C$3="CGE",INDEX(GDP_CGE!$A$3:$AN$22,MATCH($A25,GDP_CGE!$A$3:$A$22,0),MATCH(D$9,GDP_CGE!$A$3:$AN$3,0)),GDP_Simple!D22)</f>
        <v>11.98</v>
      </c>
      <c r="E25">
        <f>IF($C$3="CGE",INDEX(GDP_CGE!$A$3:$AN$22,MATCH($A25,GDP_CGE!$A$3:$A$22,0),MATCH(E$9,GDP_CGE!$A$3:$AN$3,0)),GDP_Simple!E22)</f>
        <v>12.2</v>
      </c>
      <c r="F25">
        <f>IF($C$3="CGE",INDEX(GDP_CGE!$A$3:$AN$22,MATCH($A25,GDP_CGE!$A$3:$A$22,0),MATCH(F$9,GDP_CGE!$A$3:$AN$3,0)),GDP_Simple!F22)</f>
        <v>12.33</v>
      </c>
      <c r="G25">
        <f>IF($C$3="CGE",INDEX(GDP_CGE!$A$3:$AN$22,MATCH($A25,GDP_CGE!$A$3:$A$22,0),MATCH(G$9,GDP_CGE!$A$3:$AN$3,0)),GDP_Simple!G22)</f>
        <v>12.56</v>
      </c>
      <c r="H25">
        <f>IF($C$3="CGE",INDEX(GDP_CGE!$A$3:$AN$22,MATCH($A25,GDP_CGE!$A$3:$A$22,0),MATCH(H$9,GDP_CGE!$A$3:$AN$3,0)),GDP_Simple!H22)</f>
        <v>12.87</v>
      </c>
      <c r="I25">
        <f>IF($C$3="CGE",INDEX(GDP_CGE!$A$3:$AN$22,MATCH($A25,GDP_CGE!$A$3:$A$22,0),MATCH(I$9,GDP_CGE!$A$3:$AN$3,0)),GDP_Simple!I22)</f>
        <v>12.94</v>
      </c>
      <c r="J25">
        <f>IF($C$3="CGE",INDEX(GDP_CGE!$A$3:$AN$22,MATCH($A25,GDP_CGE!$A$3:$A$22,0),MATCH(J$9,GDP_CGE!$A$3:$AN$3,0)),GDP_Simple!J22)</f>
        <v>12.19</v>
      </c>
      <c r="K25">
        <f>IF($C$3="CGE",INDEX(GDP_CGE!$A$3:$AN$22,MATCH($A25,GDP_CGE!$A$3:$A$22,0),MATCH(K$9,GDP_CGE!$A$3:$AN$3,0)),GDP_Simple!K22)</f>
        <v>12.53</v>
      </c>
      <c r="L25">
        <f>IF($C$3="CGE",INDEX(GDP_CGE!$A$3:$AN$22,MATCH($A25,GDP_CGE!$A$3:$A$22,0),MATCH(L$9,GDP_CGE!$A$3:$AN$3,0)),GDP_Simple!L22)</f>
        <v>12.82</v>
      </c>
      <c r="M25">
        <f>IF($C$3="CGE",INDEX(GDP_CGE!$A$3:$AN$22,MATCH($A25,GDP_CGE!$A$3:$A$22,0),MATCH(M$9,GDP_CGE!$A$3:$AN$3,0)),GDP_Simple!M22)</f>
        <v>13.05</v>
      </c>
      <c r="N25">
        <f>IF($C$3="CGE",INDEX(GDP_CGE!$A$3:$AN$22,MATCH($A25,GDP_CGE!$A$3:$A$22,0),MATCH(N$9,GDP_CGE!$A$3:$AN$3,0)),GDP_Simple!N22)</f>
        <v>13.31</v>
      </c>
      <c r="O25">
        <f>IF($C$3="CGE",INDEX(GDP_CGE!$A$3:$AN$22,MATCH($A25,GDP_CGE!$A$3:$A$22,0),MATCH(O$9,GDP_CGE!$A$3:$AN$3,0)),GDP_Simple!O22)</f>
        <v>13.56</v>
      </c>
      <c r="P25">
        <f>IF($C$3="CGE",INDEX(GDP_CGE!$A$3:$AN$22,MATCH($A25,GDP_CGE!$A$3:$A$22,0),MATCH(P$9,GDP_CGE!$A$3:$AN$3,0)),GDP_Simple!P22)</f>
        <v>13.81</v>
      </c>
      <c r="Q25">
        <f>IF($C$3="CGE",INDEX(GDP_CGE!$A$3:$AN$22,MATCH($A25,GDP_CGE!$A$3:$A$22,0),MATCH(Q$9,GDP_CGE!$A$3:$AN$3,0)),GDP_Simple!Q22)</f>
        <v>14.05</v>
      </c>
      <c r="R25">
        <f>IF($C$3="CGE",INDEX(GDP_CGE!$A$3:$AN$22,MATCH($A25,GDP_CGE!$A$3:$A$22,0),MATCH(R$9,GDP_CGE!$A$3:$AN$3,0)),GDP_Simple!R22)</f>
        <v>14.19</v>
      </c>
      <c r="S25">
        <f>IF($C$3="CGE",INDEX(GDP_CGE!$A$3:$AN$22,MATCH($A25,GDP_CGE!$A$3:$A$22,0),MATCH(S$9,GDP_CGE!$A$3:$AN$3,0)),GDP_Simple!S22)</f>
        <v>14.47</v>
      </c>
      <c r="T25">
        <f>IF($C$3="CGE",INDEX(GDP_CGE!$A$3:$AN$22,MATCH($A25,GDP_CGE!$A$3:$A$22,0),MATCH(T$9,GDP_CGE!$A$3:$AN$3,0)),GDP_Simple!T22)</f>
        <v>14.75</v>
      </c>
      <c r="U25">
        <f>IF($C$3="CGE",INDEX(GDP_CGE!$A$3:$AN$22,MATCH($A25,GDP_CGE!$A$3:$A$22,0),MATCH(U$9,GDP_CGE!$A$3:$AN$3,0)),GDP_Simple!U22)</f>
        <v>15.11</v>
      </c>
      <c r="V25">
        <f>IF($C$3="CGE",INDEX(GDP_CGE!$A$3:$AN$22,MATCH($A25,GDP_CGE!$A$3:$A$22,0),MATCH(V$9,GDP_CGE!$A$3:$AN$3,0)),GDP_Simple!V22)</f>
        <v>15.46</v>
      </c>
      <c r="W25">
        <f>IF($C$3="CGE",INDEX(GDP_CGE!$A$3:$AN$22,MATCH($A25,GDP_CGE!$A$3:$A$22,0),MATCH(W$9,GDP_CGE!$A$3:$AN$3,0)),GDP_Simple!W22)</f>
        <v>15.82</v>
      </c>
      <c r="X25">
        <f>IF($C$3="CGE",INDEX(GDP_CGE!$A$3:$AN$22,MATCH($A25,GDP_CGE!$A$3:$A$22,0),MATCH(X$9,GDP_CGE!$A$3:$AN$3,0)),GDP_Simple!X22)</f>
        <v>16.18</v>
      </c>
      <c r="Y25">
        <f>IF($C$3="CGE",INDEX(GDP_CGE!$A$3:$AN$22,MATCH($A25,GDP_CGE!$A$3:$A$22,0),MATCH(Y$9,GDP_CGE!$A$3:$AN$3,0)),GDP_Simple!Y22)</f>
        <v>16.559999999999999</v>
      </c>
      <c r="Z25">
        <f>IF($C$3="CGE",INDEX(GDP_CGE!$A$3:$AN$22,MATCH($A25,GDP_CGE!$A$3:$A$22,0),MATCH(Z$9,GDP_CGE!$A$3:$AN$3,0)),GDP_Simple!Z22)</f>
        <v>16.95</v>
      </c>
      <c r="AA25">
        <f>IF($C$3="CGE",INDEX(GDP_CGE!$A$3:$AN$22,MATCH($A25,GDP_CGE!$A$3:$A$22,0),MATCH(AA$9,GDP_CGE!$A$3:$AN$3,0)),GDP_Simple!AA22)</f>
        <v>17.38</v>
      </c>
      <c r="AB25">
        <f>IF($C$3="CGE",INDEX(GDP_CGE!$A$3:$AN$22,MATCH($A25,GDP_CGE!$A$3:$A$22,0),MATCH(AB$9,GDP_CGE!$A$3:$AN$3,0)),GDP_Simple!AB22)</f>
        <v>17.8</v>
      </c>
      <c r="AC25">
        <f>IF($C$3="CGE",INDEX(GDP_CGE!$A$3:$AN$22,MATCH($A25,GDP_CGE!$A$3:$A$22,0),MATCH(AC$9,GDP_CGE!$A$3:$AN$3,0)),GDP_Simple!AC22)</f>
        <v>18.23</v>
      </c>
      <c r="AD25">
        <f>IF($C$3="CGE",INDEX(GDP_CGE!$A$3:$AN$22,MATCH($A25,GDP_CGE!$A$3:$A$22,0),MATCH(AD$9,GDP_CGE!$A$3:$AN$3,0)),GDP_Simple!AD22)</f>
        <v>18.670000000000002</v>
      </c>
      <c r="AE25">
        <f>IF($C$3="CGE",INDEX(GDP_CGE!$A$3:$AN$22,MATCH($A25,GDP_CGE!$A$3:$A$22,0),MATCH(AE$9,GDP_CGE!$A$3:$AN$3,0)),GDP_Simple!AE22)</f>
        <v>19.12</v>
      </c>
      <c r="AF25">
        <f>IF($C$3="CGE",INDEX(GDP_CGE!$A$3:$AN$22,MATCH($A25,GDP_CGE!$A$3:$A$22,0),MATCH(AF$9,GDP_CGE!$A$3:$AN$3,0)),GDP_Simple!AF22)</f>
        <v>19.55</v>
      </c>
      <c r="AG25">
        <f>IF($C$3="CGE",INDEX(GDP_CGE!$A$3:$AN$22,MATCH($A25,GDP_CGE!$A$3:$A$22,0),MATCH(AG$9,GDP_CGE!$A$3:$AN$3,0)),GDP_Simple!AG22)</f>
        <v>19.98</v>
      </c>
      <c r="AH25">
        <f>IF($C$3="CGE",INDEX(GDP_CGE!$A$3:$AN$22,MATCH($A25,GDP_CGE!$A$3:$A$22,0),MATCH(AH$9,GDP_CGE!$A$3:$AN$3,0)),GDP_Simple!AH22)</f>
        <v>20.420000000000002</v>
      </c>
      <c r="AI25">
        <f>IF($C$3="CGE",INDEX(GDP_CGE!$A$3:$AN$22,MATCH($A25,GDP_CGE!$A$3:$A$22,0),MATCH(AI$9,GDP_CGE!$A$3:$AN$3,0)),GDP_Simple!AI22)</f>
        <v>20.87</v>
      </c>
      <c r="AJ25">
        <f>IF($C$3="CGE",INDEX(GDP_CGE!$A$3:$AN$22,MATCH($A25,GDP_CGE!$A$3:$A$22,0),MATCH(AJ$9,GDP_CGE!$A$3:$AN$3,0)),GDP_Simple!AJ22)</f>
        <v>21.33</v>
      </c>
      <c r="AK25">
        <f>IF($C$3="CGE",INDEX(GDP_CGE!$A$3:$AN$22,MATCH($A25,GDP_CGE!$A$3:$A$22,0),MATCH(AK$9,GDP_CGE!$A$3:$AN$3,0)),GDP_Simple!AK22)</f>
        <v>21.77</v>
      </c>
      <c r="AL25">
        <f>IF($C$3="CGE",INDEX(GDP_CGE!$A$3:$AN$22,MATCH($A25,GDP_CGE!$A$3:$A$22,0),MATCH(AL$9,GDP_CGE!$A$3:$AN$3,0)),GDP_Simple!AL22)</f>
        <v>22.21</v>
      </c>
      <c r="AM25">
        <f>IF($C$3="CGE",INDEX(GDP_CGE!$A$3:$AN$22,MATCH($A25,GDP_CGE!$A$3:$A$22,0),MATCH(AM$9,GDP_CGE!$A$3:$AN$3,0)),GDP_Simple!AM22)</f>
        <v>22.68</v>
      </c>
      <c r="AN25">
        <f>IF($C$3="CGE",INDEX(GDP_CGE!$A$3:$AN$22,MATCH($A25,GDP_CGE!$A$3:$A$22,0),MATCH(AN$9,GDP_CGE!$A$3:$AN$3,0)),GDP_Simple!AN22)</f>
        <v>23.27</v>
      </c>
    </row>
    <row r="26" spans="1:40" x14ac:dyDescent="0.25">
      <c r="A26" t="s">
        <v>34</v>
      </c>
      <c r="B26">
        <f>IF($C$3="CGE",INDEX(GDP_CGE!$A$3:$AN$22,MATCH($A26,GDP_CGE!$A$3:$A$22,0),MATCH(B$9,GDP_CGE!$A$3:$AN$3,0)),GDP_Simple!B23)</f>
        <v>135.96</v>
      </c>
      <c r="C26">
        <f>IF($C$3="CGE",INDEX(GDP_CGE!$A$3:$AN$22,MATCH($A26,GDP_CGE!$A$3:$A$22,0),MATCH(C$9,GDP_CGE!$A$3:$AN$3,0)),GDP_Simple!C23)</f>
        <v>139.76</v>
      </c>
      <c r="D26">
        <f>IF($C$3="CGE",INDEX(GDP_CGE!$A$3:$AN$22,MATCH($A26,GDP_CGE!$A$3:$A$22,0),MATCH(D$9,GDP_CGE!$A$3:$AN$3,0)),GDP_Simple!D23)</f>
        <v>143.13</v>
      </c>
      <c r="E26">
        <f>IF($C$3="CGE",INDEX(GDP_CGE!$A$3:$AN$22,MATCH($A26,GDP_CGE!$A$3:$A$22,0),MATCH(E$9,GDP_CGE!$A$3:$AN$3,0)),GDP_Simple!E23)</f>
        <v>144.43</v>
      </c>
      <c r="F26">
        <f>IF($C$3="CGE",INDEX(GDP_CGE!$A$3:$AN$22,MATCH($A26,GDP_CGE!$A$3:$A$22,0),MATCH(F$9,GDP_CGE!$A$3:$AN$3,0)),GDP_Simple!F23)</f>
        <v>145.78</v>
      </c>
      <c r="G26">
        <f>IF($C$3="CGE",INDEX(GDP_CGE!$A$3:$AN$22,MATCH($A26,GDP_CGE!$A$3:$A$22,0),MATCH(G$9,GDP_CGE!$A$3:$AN$3,0)),GDP_Simple!G23)</f>
        <v>148.19</v>
      </c>
      <c r="H26">
        <f>IF($C$3="CGE",INDEX(GDP_CGE!$A$3:$AN$22,MATCH($A26,GDP_CGE!$A$3:$A$22,0),MATCH(H$9,GDP_CGE!$A$3:$AN$3,0)),GDP_Simple!H23)</f>
        <v>150.15</v>
      </c>
      <c r="I26">
        <f>IF($C$3="CGE",INDEX(GDP_CGE!$A$3:$AN$22,MATCH($A26,GDP_CGE!$A$3:$A$22,0),MATCH(I$9,GDP_CGE!$A$3:$AN$3,0)),GDP_Simple!I23)</f>
        <v>149.86000000000001</v>
      </c>
      <c r="J26">
        <f>IF($C$3="CGE",INDEX(GDP_CGE!$A$3:$AN$22,MATCH($A26,GDP_CGE!$A$3:$A$22,0),MATCH(J$9,GDP_CGE!$A$3:$AN$3,0)),GDP_Simple!J23)</f>
        <v>138.71</v>
      </c>
      <c r="K26">
        <f>IF($C$3="CGE",INDEX(GDP_CGE!$A$3:$AN$22,MATCH($A26,GDP_CGE!$A$3:$A$22,0),MATCH(K$9,GDP_CGE!$A$3:$AN$3,0)),GDP_Simple!K23)</f>
        <v>141.72999999999999</v>
      </c>
      <c r="L26">
        <f>IF($C$3="CGE",INDEX(GDP_CGE!$A$3:$AN$22,MATCH($A26,GDP_CGE!$A$3:$A$22,0),MATCH(L$9,GDP_CGE!$A$3:$AN$3,0)),GDP_Simple!L23)</f>
        <v>144.58000000000001</v>
      </c>
      <c r="M26">
        <f>IF($C$3="CGE",INDEX(GDP_CGE!$A$3:$AN$22,MATCH($A26,GDP_CGE!$A$3:$A$22,0),MATCH(M$9,GDP_CGE!$A$3:$AN$3,0)),GDP_Simple!M23)</f>
        <v>147.09</v>
      </c>
      <c r="N26">
        <f>IF($C$3="CGE",INDEX(GDP_CGE!$A$3:$AN$22,MATCH($A26,GDP_CGE!$A$3:$A$22,0),MATCH(N$9,GDP_CGE!$A$3:$AN$3,0)),GDP_Simple!N23)</f>
        <v>150.05000000000001</v>
      </c>
      <c r="O26">
        <f>IF($C$3="CGE",INDEX(GDP_CGE!$A$3:$AN$22,MATCH($A26,GDP_CGE!$A$3:$A$22,0),MATCH(O$9,GDP_CGE!$A$3:$AN$3,0)),GDP_Simple!O23)</f>
        <v>152.99</v>
      </c>
      <c r="P26">
        <f>IF($C$3="CGE",INDEX(GDP_CGE!$A$3:$AN$22,MATCH($A26,GDP_CGE!$A$3:$A$22,0),MATCH(P$9,GDP_CGE!$A$3:$AN$3,0)),GDP_Simple!P23)</f>
        <v>155.99</v>
      </c>
      <c r="Q26">
        <f>IF($C$3="CGE",INDEX(GDP_CGE!$A$3:$AN$22,MATCH($A26,GDP_CGE!$A$3:$A$22,0),MATCH(Q$9,GDP_CGE!$A$3:$AN$3,0)),GDP_Simple!Q23)</f>
        <v>158.99</v>
      </c>
      <c r="R26">
        <f>IF($C$3="CGE",INDEX(GDP_CGE!$A$3:$AN$22,MATCH($A26,GDP_CGE!$A$3:$A$22,0),MATCH(R$9,GDP_CGE!$A$3:$AN$3,0)),GDP_Simple!R23)</f>
        <v>160.97999999999999</v>
      </c>
      <c r="S26">
        <f>IF($C$3="CGE",INDEX(GDP_CGE!$A$3:$AN$22,MATCH($A26,GDP_CGE!$A$3:$A$22,0),MATCH(S$9,GDP_CGE!$A$3:$AN$3,0)),GDP_Simple!S23)</f>
        <v>164.16</v>
      </c>
      <c r="T26">
        <f>IF($C$3="CGE",INDEX(GDP_CGE!$A$3:$AN$22,MATCH($A26,GDP_CGE!$A$3:$A$22,0),MATCH(T$9,GDP_CGE!$A$3:$AN$3,0)),GDP_Simple!T23)</f>
        <v>167.7</v>
      </c>
      <c r="U26">
        <f>IF($C$3="CGE",INDEX(GDP_CGE!$A$3:$AN$22,MATCH($A26,GDP_CGE!$A$3:$A$22,0),MATCH(U$9,GDP_CGE!$A$3:$AN$3,0)),GDP_Simple!U23)</f>
        <v>172.12</v>
      </c>
      <c r="V26">
        <f>IF($C$3="CGE",INDEX(GDP_CGE!$A$3:$AN$22,MATCH($A26,GDP_CGE!$A$3:$A$22,0),MATCH(V$9,GDP_CGE!$A$3:$AN$3,0)),GDP_Simple!V23)</f>
        <v>176.73</v>
      </c>
      <c r="W26">
        <f>IF($C$3="CGE",INDEX(GDP_CGE!$A$3:$AN$22,MATCH($A26,GDP_CGE!$A$3:$A$22,0),MATCH(W$9,GDP_CGE!$A$3:$AN$3,0)),GDP_Simple!W23)</f>
        <v>181.62</v>
      </c>
      <c r="X26">
        <f>IF($C$3="CGE",INDEX(GDP_CGE!$A$3:$AN$22,MATCH($A26,GDP_CGE!$A$3:$A$22,0),MATCH(X$9,GDP_CGE!$A$3:$AN$3,0)),GDP_Simple!X23)</f>
        <v>186.95</v>
      </c>
      <c r="Y26">
        <f>IF($C$3="CGE",INDEX(GDP_CGE!$A$3:$AN$22,MATCH($A26,GDP_CGE!$A$3:$A$22,0),MATCH(Y$9,GDP_CGE!$A$3:$AN$3,0)),GDP_Simple!Y23)</f>
        <v>192.27</v>
      </c>
      <c r="Z26">
        <f>IF($C$3="CGE",INDEX(GDP_CGE!$A$3:$AN$22,MATCH($A26,GDP_CGE!$A$3:$A$22,0),MATCH(Z$9,GDP_CGE!$A$3:$AN$3,0)),GDP_Simple!Z23)</f>
        <v>197.94</v>
      </c>
      <c r="AA26">
        <f>IF($C$3="CGE",INDEX(GDP_CGE!$A$3:$AN$22,MATCH($A26,GDP_CGE!$A$3:$A$22,0),MATCH(AA$9,GDP_CGE!$A$3:$AN$3,0)),GDP_Simple!AA23)</f>
        <v>204.15</v>
      </c>
      <c r="AB26">
        <f>IF($C$3="CGE",INDEX(GDP_CGE!$A$3:$AN$22,MATCH($A26,GDP_CGE!$A$3:$A$22,0),MATCH(AB$9,GDP_CGE!$A$3:$AN$3,0)),GDP_Simple!AB23)</f>
        <v>210.42</v>
      </c>
      <c r="AC26">
        <f>IF($C$3="CGE",INDEX(GDP_CGE!$A$3:$AN$22,MATCH($A26,GDP_CGE!$A$3:$A$22,0),MATCH(AC$9,GDP_CGE!$A$3:$AN$3,0)),GDP_Simple!AC23)</f>
        <v>216.93</v>
      </c>
      <c r="AD26">
        <f>IF($C$3="CGE",INDEX(GDP_CGE!$A$3:$AN$22,MATCH($A26,GDP_CGE!$A$3:$A$22,0),MATCH(AD$9,GDP_CGE!$A$3:$AN$3,0)),GDP_Simple!AD23)</f>
        <v>223.69</v>
      </c>
      <c r="AE26">
        <f>IF($C$3="CGE",INDEX(GDP_CGE!$A$3:$AN$22,MATCH($A26,GDP_CGE!$A$3:$A$22,0),MATCH(AE$9,GDP_CGE!$A$3:$AN$3,0)),GDP_Simple!AE23)</f>
        <v>230.57</v>
      </c>
      <c r="AF26">
        <f>IF($C$3="CGE",INDEX(GDP_CGE!$A$3:$AN$22,MATCH($A26,GDP_CGE!$A$3:$A$22,0),MATCH(AF$9,GDP_CGE!$A$3:$AN$3,0)),GDP_Simple!AF23)</f>
        <v>237.37</v>
      </c>
      <c r="AG26">
        <f>IF($C$3="CGE",INDEX(GDP_CGE!$A$3:$AN$22,MATCH($A26,GDP_CGE!$A$3:$A$22,0),MATCH(AG$9,GDP_CGE!$A$3:$AN$3,0)),GDP_Simple!AG23)</f>
        <v>244.47</v>
      </c>
      <c r="AH26">
        <f>IF($C$3="CGE",INDEX(GDP_CGE!$A$3:$AN$22,MATCH($A26,GDP_CGE!$A$3:$A$22,0),MATCH(AH$9,GDP_CGE!$A$3:$AN$3,0)),GDP_Simple!AH23)</f>
        <v>251.92</v>
      </c>
      <c r="AI26">
        <f>IF($C$3="CGE",INDEX(GDP_CGE!$A$3:$AN$22,MATCH($A26,GDP_CGE!$A$3:$A$22,0),MATCH(AI$9,GDP_CGE!$A$3:$AN$3,0)),GDP_Simple!AI23)</f>
        <v>259.85000000000002</v>
      </c>
      <c r="AJ26">
        <f>IF($C$3="CGE",INDEX(GDP_CGE!$A$3:$AN$22,MATCH($A26,GDP_CGE!$A$3:$A$22,0),MATCH(AJ$9,GDP_CGE!$A$3:$AN$3,0)),GDP_Simple!AJ23)</f>
        <v>268.14999999999998</v>
      </c>
      <c r="AK26">
        <f>IF($C$3="CGE",INDEX(GDP_CGE!$A$3:$AN$22,MATCH($A26,GDP_CGE!$A$3:$A$22,0),MATCH(AK$9,GDP_CGE!$A$3:$AN$3,0)),GDP_Simple!AK23)</f>
        <v>276.3</v>
      </c>
      <c r="AL26">
        <f>IF($C$3="CGE",INDEX(GDP_CGE!$A$3:$AN$22,MATCH($A26,GDP_CGE!$A$3:$A$22,0),MATCH(AL$9,GDP_CGE!$A$3:$AN$3,0)),GDP_Simple!AL23)</f>
        <v>284.83999999999997</v>
      </c>
      <c r="AM26">
        <f>IF($C$3="CGE",INDEX(GDP_CGE!$A$3:$AN$22,MATCH($A26,GDP_CGE!$A$3:$A$22,0),MATCH(AM$9,GDP_CGE!$A$3:$AN$3,0)),GDP_Simple!AM23)</f>
        <v>293.93</v>
      </c>
      <c r="AN26">
        <f>IF($C$3="CGE",INDEX(GDP_CGE!$A$3:$AN$22,MATCH($A26,GDP_CGE!$A$3:$A$22,0),MATCH(AN$9,GDP_CGE!$A$3:$AN$3,0)),GDP_Simple!AN23)</f>
        <v>305.06</v>
      </c>
    </row>
    <row r="27" spans="1:40" x14ac:dyDescent="0.25">
      <c r="A27" t="s">
        <v>33</v>
      </c>
      <c r="B27">
        <f>IF($C$3="CGE",INDEX(GDP_CGE!$A$3:$AN$22,MATCH($A27,GDP_CGE!$A$3:$A$22,0),MATCH(B$9,GDP_CGE!$A$3:$AN$3,0)),GDP_Simple!B24)</f>
        <v>21.15</v>
      </c>
      <c r="C27">
        <f>IF($C$3="CGE",INDEX(GDP_CGE!$A$3:$AN$22,MATCH($A27,GDP_CGE!$A$3:$A$22,0),MATCH(C$9,GDP_CGE!$A$3:$AN$3,0)),GDP_Simple!C24)</f>
        <v>22.36</v>
      </c>
      <c r="D27">
        <f>IF($C$3="CGE",INDEX(GDP_CGE!$A$3:$AN$22,MATCH($A27,GDP_CGE!$A$3:$A$22,0),MATCH(D$9,GDP_CGE!$A$3:$AN$3,0)),GDP_Simple!D24)</f>
        <v>23.93</v>
      </c>
      <c r="E27">
        <f>IF($C$3="CGE",INDEX(GDP_CGE!$A$3:$AN$22,MATCH($A27,GDP_CGE!$A$3:$A$22,0),MATCH(E$9,GDP_CGE!$A$3:$AN$3,0)),GDP_Simple!E24)</f>
        <v>24.86</v>
      </c>
      <c r="F27">
        <f>IF($C$3="CGE",INDEX(GDP_CGE!$A$3:$AN$22,MATCH($A27,GDP_CGE!$A$3:$A$22,0),MATCH(F$9,GDP_CGE!$A$3:$AN$3,0)),GDP_Simple!F24)</f>
        <v>25.68</v>
      </c>
      <c r="G27">
        <f>IF($C$3="CGE",INDEX(GDP_CGE!$A$3:$AN$22,MATCH($A27,GDP_CGE!$A$3:$A$22,0),MATCH(G$9,GDP_CGE!$A$3:$AN$3,0)),GDP_Simple!G24)</f>
        <v>27.65</v>
      </c>
      <c r="H27">
        <f>IF($C$3="CGE",INDEX(GDP_CGE!$A$3:$AN$22,MATCH($A27,GDP_CGE!$A$3:$A$22,0),MATCH(H$9,GDP_CGE!$A$3:$AN$3,0)),GDP_Simple!H24)</f>
        <v>29.64</v>
      </c>
      <c r="I27">
        <f>IF($C$3="CGE",INDEX(GDP_CGE!$A$3:$AN$22,MATCH($A27,GDP_CGE!$A$3:$A$22,0),MATCH(I$9,GDP_CGE!$A$3:$AN$3,0)),GDP_Simple!I24)</f>
        <v>30.75</v>
      </c>
      <c r="J27">
        <f>IF($C$3="CGE",INDEX(GDP_CGE!$A$3:$AN$22,MATCH($A27,GDP_CGE!$A$3:$A$22,0),MATCH(J$9,GDP_CGE!$A$3:$AN$3,0)),GDP_Simple!J24)</f>
        <v>30.26</v>
      </c>
      <c r="K27">
        <f>IF($C$3="CGE",INDEX(GDP_CGE!$A$3:$AN$22,MATCH($A27,GDP_CGE!$A$3:$A$22,0),MATCH(K$9,GDP_CGE!$A$3:$AN$3,0)),GDP_Simple!K24)</f>
        <v>31.64</v>
      </c>
      <c r="L27">
        <f>IF($C$3="CGE",INDEX(GDP_CGE!$A$3:$AN$22,MATCH($A27,GDP_CGE!$A$3:$A$22,0),MATCH(L$9,GDP_CGE!$A$3:$AN$3,0)),GDP_Simple!L24)</f>
        <v>33.06</v>
      </c>
      <c r="M27">
        <f>IF($C$3="CGE",INDEX(GDP_CGE!$A$3:$AN$22,MATCH($A27,GDP_CGE!$A$3:$A$22,0),MATCH(M$9,GDP_CGE!$A$3:$AN$3,0)),GDP_Simple!M24)</f>
        <v>34.409999999999997</v>
      </c>
      <c r="N27">
        <f>IF($C$3="CGE",INDEX(GDP_CGE!$A$3:$AN$22,MATCH($A27,GDP_CGE!$A$3:$A$22,0),MATCH(N$9,GDP_CGE!$A$3:$AN$3,0)),GDP_Simple!N24)</f>
        <v>36.049999999999997</v>
      </c>
      <c r="O27">
        <f>IF($C$3="CGE",INDEX(GDP_CGE!$A$3:$AN$22,MATCH($A27,GDP_CGE!$A$3:$A$22,0),MATCH(O$9,GDP_CGE!$A$3:$AN$3,0)),GDP_Simple!O24)</f>
        <v>37.840000000000003</v>
      </c>
      <c r="P27">
        <f>IF($C$3="CGE",INDEX(GDP_CGE!$A$3:$AN$22,MATCH($A27,GDP_CGE!$A$3:$A$22,0),MATCH(P$9,GDP_CGE!$A$3:$AN$3,0)),GDP_Simple!P24)</f>
        <v>39.71</v>
      </c>
      <c r="Q27">
        <f>IF($C$3="CGE",INDEX(GDP_CGE!$A$3:$AN$22,MATCH($A27,GDP_CGE!$A$3:$A$22,0),MATCH(Q$9,GDP_CGE!$A$3:$AN$3,0)),GDP_Simple!Q24)</f>
        <v>41.68</v>
      </c>
      <c r="R27">
        <f>IF($C$3="CGE",INDEX(GDP_CGE!$A$3:$AN$22,MATCH($A27,GDP_CGE!$A$3:$A$22,0),MATCH(R$9,GDP_CGE!$A$3:$AN$3,0)),GDP_Simple!R24)</f>
        <v>44.08</v>
      </c>
      <c r="S27">
        <f>IF($C$3="CGE",INDEX(GDP_CGE!$A$3:$AN$22,MATCH($A27,GDP_CGE!$A$3:$A$22,0),MATCH(S$9,GDP_CGE!$A$3:$AN$3,0)),GDP_Simple!S24)</f>
        <v>46.58</v>
      </c>
      <c r="T27">
        <f>IF($C$3="CGE",INDEX(GDP_CGE!$A$3:$AN$22,MATCH($A27,GDP_CGE!$A$3:$A$22,0),MATCH(T$9,GDP_CGE!$A$3:$AN$3,0)),GDP_Simple!T24)</f>
        <v>49.3</v>
      </c>
      <c r="U27">
        <f>IF($C$3="CGE",INDEX(GDP_CGE!$A$3:$AN$22,MATCH($A27,GDP_CGE!$A$3:$A$22,0),MATCH(U$9,GDP_CGE!$A$3:$AN$3,0)),GDP_Simple!U24)</f>
        <v>52.42</v>
      </c>
      <c r="V27">
        <f>IF($C$3="CGE",INDEX(GDP_CGE!$A$3:$AN$22,MATCH($A27,GDP_CGE!$A$3:$A$22,0),MATCH(V$9,GDP_CGE!$A$3:$AN$3,0)),GDP_Simple!V24)</f>
        <v>55.71</v>
      </c>
      <c r="W27">
        <f>IF($C$3="CGE",INDEX(GDP_CGE!$A$3:$AN$22,MATCH($A27,GDP_CGE!$A$3:$A$22,0),MATCH(W$9,GDP_CGE!$A$3:$AN$3,0)),GDP_Simple!W24)</f>
        <v>59.21</v>
      </c>
      <c r="X27">
        <f>IF($C$3="CGE",INDEX(GDP_CGE!$A$3:$AN$22,MATCH($A27,GDP_CGE!$A$3:$A$22,0),MATCH(X$9,GDP_CGE!$A$3:$AN$3,0)),GDP_Simple!X24)</f>
        <v>63.34</v>
      </c>
      <c r="Y27">
        <f>IF($C$3="CGE",INDEX(GDP_CGE!$A$3:$AN$22,MATCH($A27,GDP_CGE!$A$3:$A$22,0),MATCH(Y$9,GDP_CGE!$A$3:$AN$3,0)),GDP_Simple!Y24)</f>
        <v>67.680000000000007</v>
      </c>
      <c r="Z27">
        <f>IF($C$3="CGE",INDEX(GDP_CGE!$A$3:$AN$22,MATCH($A27,GDP_CGE!$A$3:$A$22,0),MATCH(Z$9,GDP_CGE!$A$3:$AN$3,0)),GDP_Simple!Z24)</f>
        <v>72.56</v>
      </c>
      <c r="AA27">
        <f>IF($C$3="CGE",INDEX(GDP_CGE!$A$3:$AN$22,MATCH($A27,GDP_CGE!$A$3:$A$22,0),MATCH(AA$9,GDP_CGE!$A$3:$AN$3,0)),GDP_Simple!AA24)</f>
        <v>77.790000000000006</v>
      </c>
      <c r="AB27">
        <f>IF($C$3="CGE",INDEX(GDP_CGE!$A$3:$AN$22,MATCH($A27,GDP_CGE!$A$3:$A$22,0),MATCH(AB$9,GDP_CGE!$A$3:$AN$3,0)),GDP_Simple!AB24)</f>
        <v>83.35</v>
      </c>
      <c r="AC27">
        <f>IF($C$3="CGE",INDEX(GDP_CGE!$A$3:$AN$22,MATCH($A27,GDP_CGE!$A$3:$A$22,0),MATCH(AC$9,GDP_CGE!$A$3:$AN$3,0)),GDP_Simple!AC24)</f>
        <v>89.31</v>
      </c>
      <c r="AD27">
        <f>IF($C$3="CGE",INDEX(GDP_CGE!$A$3:$AN$22,MATCH($A27,GDP_CGE!$A$3:$A$22,0),MATCH(AD$9,GDP_CGE!$A$3:$AN$3,0)),GDP_Simple!AD24)</f>
        <v>95.69</v>
      </c>
      <c r="AE27">
        <f>IF($C$3="CGE",INDEX(GDP_CGE!$A$3:$AN$22,MATCH($A27,GDP_CGE!$A$3:$A$22,0),MATCH(AE$9,GDP_CGE!$A$3:$AN$3,0)),GDP_Simple!AE24)</f>
        <v>102.28</v>
      </c>
      <c r="AF27">
        <f>IF($C$3="CGE",INDEX(GDP_CGE!$A$3:$AN$22,MATCH($A27,GDP_CGE!$A$3:$A$22,0),MATCH(AF$9,GDP_CGE!$A$3:$AN$3,0)),GDP_Simple!AF24)</f>
        <v>108.82</v>
      </c>
      <c r="AG27">
        <f>IF($C$3="CGE",INDEX(GDP_CGE!$A$3:$AN$22,MATCH($A27,GDP_CGE!$A$3:$A$22,0),MATCH(AG$9,GDP_CGE!$A$3:$AN$3,0)),GDP_Simple!AG24)</f>
        <v>115.61</v>
      </c>
      <c r="AH27">
        <f>IF($C$3="CGE",INDEX(GDP_CGE!$A$3:$AN$22,MATCH($A27,GDP_CGE!$A$3:$A$22,0),MATCH(AH$9,GDP_CGE!$A$3:$AN$3,0)),GDP_Simple!AH24)</f>
        <v>122.69</v>
      </c>
      <c r="AI27">
        <f>IF($C$3="CGE",INDEX(GDP_CGE!$A$3:$AN$22,MATCH($A27,GDP_CGE!$A$3:$A$22,0),MATCH(AI$9,GDP_CGE!$A$3:$AN$3,0)),GDP_Simple!AI24)</f>
        <v>130.12</v>
      </c>
      <c r="AJ27">
        <f>IF($C$3="CGE",INDEX(GDP_CGE!$A$3:$AN$22,MATCH($A27,GDP_CGE!$A$3:$A$22,0),MATCH(AJ$9,GDP_CGE!$A$3:$AN$3,0)),GDP_Simple!AJ24)</f>
        <v>137.75</v>
      </c>
      <c r="AK27">
        <f>IF($C$3="CGE",INDEX(GDP_CGE!$A$3:$AN$22,MATCH($A27,GDP_CGE!$A$3:$A$22,0),MATCH(AK$9,GDP_CGE!$A$3:$AN$3,0)),GDP_Simple!AK24)</f>
        <v>145.12</v>
      </c>
      <c r="AL27">
        <f>IF($C$3="CGE",INDEX(GDP_CGE!$A$3:$AN$22,MATCH($A27,GDP_CGE!$A$3:$A$22,0),MATCH(AL$9,GDP_CGE!$A$3:$AN$3,0)),GDP_Simple!AL24)</f>
        <v>152.74</v>
      </c>
      <c r="AM27">
        <f>IF($C$3="CGE",INDEX(GDP_CGE!$A$3:$AN$22,MATCH($A27,GDP_CGE!$A$3:$A$22,0),MATCH(AM$9,GDP_CGE!$A$3:$AN$3,0)),GDP_Simple!AM24)</f>
        <v>160.78</v>
      </c>
      <c r="AN27">
        <f>IF($C$3="CGE",INDEX(GDP_CGE!$A$3:$AN$22,MATCH($A27,GDP_CGE!$A$3:$A$22,0),MATCH(AN$9,GDP_CGE!$A$3:$AN$3,0)),GDP_Simple!AN24)</f>
        <v>170.59</v>
      </c>
    </row>
    <row r="28" spans="1:40" x14ac:dyDescent="0.25">
      <c r="A28" t="s">
        <v>36</v>
      </c>
      <c r="B28">
        <f>IF($C$3="CGE",INDEX(GDP_CGE!$A$3:$AN$22,MATCH($A28,GDP_CGE!$A$3:$A$22,0),MATCH(B$9,GDP_CGE!$A$3:$AN$3,0)),GDP_Simple!B25)</f>
        <v>1.1399999999999999</v>
      </c>
      <c r="C28">
        <f>IF($C$3="CGE",INDEX(GDP_CGE!$A$3:$AN$22,MATCH($A28,GDP_CGE!$A$3:$A$22,0),MATCH(C$9,GDP_CGE!$A$3:$AN$3,0)),GDP_Simple!C25)</f>
        <v>1.1499999999999999</v>
      </c>
      <c r="D28">
        <f>IF($C$3="CGE",INDEX(GDP_CGE!$A$3:$AN$22,MATCH($A28,GDP_CGE!$A$3:$A$22,0),MATCH(D$9,GDP_CGE!$A$3:$AN$3,0)),GDP_Simple!D25)</f>
        <v>1.1299999999999999</v>
      </c>
      <c r="E28">
        <f>IF($C$3="CGE",INDEX(GDP_CGE!$A$3:$AN$22,MATCH($A28,GDP_CGE!$A$3:$A$22,0),MATCH(E$9,GDP_CGE!$A$3:$AN$3,0)),GDP_Simple!E25)</f>
        <v>1.1200000000000001</v>
      </c>
      <c r="F28">
        <f>IF($C$3="CGE",INDEX(GDP_CGE!$A$3:$AN$22,MATCH($A28,GDP_CGE!$A$3:$A$22,0),MATCH(F$9,GDP_CGE!$A$3:$AN$3,0)),GDP_Simple!F25)</f>
        <v>1.1200000000000001</v>
      </c>
      <c r="G28">
        <f>IF($C$3="CGE",INDEX(GDP_CGE!$A$3:$AN$22,MATCH($A28,GDP_CGE!$A$3:$A$22,0),MATCH(G$9,GDP_CGE!$A$3:$AN$3,0)),GDP_Simple!G25)</f>
        <v>1.1299999999999999</v>
      </c>
      <c r="H28">
        <f>IF($C$3="CGE",INDEX(GDP_CGE!$A$3:$AN$22,MATCH($A28,GDP_CGE!$A$3:$A$22,0),MATCH(H$9,GDP_CGE!$A$3:$AN$3,0)),GDP_Simple!H25)</f>
        <v>1.1000000000000001</v>
      </c>
      <c r="I28">
        <f>IF($C$3="CGE",INDEX(GDP_CGE!$A$3:$AN$22,MATCH($A28,GDP_CGE!$A$3:$A$22,0),MATCH(I$9,GDP_CGE!$A$3:$AN$3,0)),GDP_Simple!I25)</f>
        <v>1.07</v>
      </c>
      <c r="J28">
        <f>IF($C$3="CGE",INDEX(GDP_CGE!$A$3:$AN$22,MATCH($A28,GDP_CGE!$A$3:$A$22,0),MATCH(J$9,GDP_CGE!$A$3:$AN$3,0)),GDP_Simple!J25)</f>
        <v>0.94</v>
      </c>
      <c r="K28">
        <f>IF($C$3="CGE",INDEX(GDP_CGE!$A$3:$AN$22,MATCH($A28,GDP_CGE!$A$3:$A$22,0),MATCH(K$9,GDP_CGE!$A$3:$AN$3,0)),GDP_Simple!K25)</f>
        <v>0.94</v>
      </c>
      <c r="L28">
        <f>IF($C$3="CGE",INDEX(GDP_CGE!$A$3:$AN$22,MATCH($A28,GDP_CGE!$A$3:$A$22,0),MATCH(L$9,GDP_CGE!$A$3:$AN$3,0)),GDP_Simple!L25)</f>
        <v>0.95</v>
      </c>
      <c r="M28">
        <f>IF($C$3="CGE",INDEX(GDP_CGE!$A$3:$AN$22,MATCH($A28,GDP_CGE!$A$3:$A$22,0),MATCH(M$9,GDP_CGE!$A$3:$AN$3,0)),GDP_Simple!M25)</f>
        <v>0.97</v>
      </c>
      <c r="N28">
        <f>IF($C$3="CGE",INDEX(GDP_CGE!$A$3:$AN$22,MATCH($A28,GDP_CGE!$A$3:$A$22,0),MATCH(N$9,GDP_CGE!$A$3:$AN$3,0)),GDP_Simple!N25)</f>
        <v>0.98</v>
      </c>
      <c r="O28">
        <f>IF($C$3="CGE",INDEX(GDP_CGE!$A$3:$AN$22,MATCH($A28,GDP_CGE!$A$3:$A$22,0),MATCH(O$9,GDP_CGE!$A$3:$AN$3,0)),GDP_Simple!O25)</f>
        <v>1</v>
      </c>
      <c r="P28">
        <f>IF($C$3="CGE",INDEX(GDP_CGE!$A$3:$AN$22,MATCH($A28,GDP_CGE!$A$3:$A$22,0),MATCH(P$9,GDP_CGE!$A$3:$AN$3,0)),GDP_Simple!P25)</f>
        <v>1.02</v>
      </c>
      <c r="Q28">
        <f>IF($C$3="CGE",INDEX(GDP_CGE!$A$3:$AN$22,MATCH($A28,GDP_CGE!$A$3:$A$22,0),MATCH(Q$9,GDP_CGE!$A$3:$AN$3,0)),GDP_Simple!Q25)</f>
        <v>1.04</v>
      </c>
      <c r="R28">
        <f>IF($C$3="CGE",INDEX(GDP_CGE!$A$3:$AN$22,MATCH($A28,GDP_CGE!$A$3:$A$22,0),MATCH(R$9,GDP_CGE!$A$3:$AN$3,0)),GDP_Simple!R25)</f>
        <v>1.05</v>
      </c>
      <c r="S28">
        <f>IF($C$3="CGE",INDEX(GDP_CGE!$A$3:$AN$22,MATCH($A28,GDP_CGE!$A$3:$A$22,0),MATCH(S$9,GDP_CGE!$A$3:$AN$3,0)),GDP_Simple!S25)</f>
        <v>1.06</v>
      </c>
      <c r="T28">
        <f>IF($C$3="CGE",INDEX(GDP_CGE!$A$3:$AN$22,MATCH($A28,GDP_CGE!$A$3:$A$22,0),MATCH(T$9,GDP_CGE!$A$3:$AN$3,0)),GDP_Simple!T25)</f>
        <v>1.0900000000000001</v>
      </c>
      <c r="U28">
        <f>IF($C$3="CGE",INDEX(GDP_CGE!$A$3:$AN$22,MATCH($A28,GDP_CGE!$A$3:$A$22,0),MATCH(U$9,GDP_CGE!$A$3:$AN$3,0)),GDP_Simple!U25)</f>
        <v>1.1200000000000001</v>
      </c>
      <c r="V28">
        <f>IF($C$3="CGE",INDEX(GDP_CGE!$A$3:$AN$22,MATCH($A28,GDP_CGE!$A$3:$A$22,0),MATCH(V$9,GDP_CGE!$A$3:$AN$3,0)),GDP_Simple!V25)</f>
        <v>1.1599999999999999</v>
      </c>
      <c r="W28">
        <f>IF($C$3="CGE",INDEX(GDP_CGE!$A$3:$AN$22,MATCH($A28,GDP_CGE!$A$3:$A$22,0),MATCH(W$9,GDP_CGE!$A$3:$AN$3,0)),GDP_Simple!W25)</f>
        <v>1.2</v>
      </c>
      <c r="X28">
        <f>IF($C$3="CGE",INDEX(GDP_CGE!$A$3:$AN$22,MATCH($A28,GDP_CGE!$A$3:$A$22,0),MATCH(X$9,GDP_CGE!$A$3:$AN$3,0)),GDP_Simple!X25)</f>
        <v>1.25</v>
      </c>
      <c r="Y28">
        <f>IF($C$3="CGE",INDEX(GDP_CGE!$A$3:$AN$22,MATCH($A28,GDP_CGE!$A$3:$A$22,0),MATCH(Y$9,GDP_CGE!$A$3:$AN$3,0)),GDP_Simple!Y25)</f>
        <v>1.29</v>
      </c>
      <c r="Z28">
        <f>IF($C$3="CGE",INDEX(GDP_CGE!$A$3:$AN$22,MATCH($A28,GDP_CGE!$A$3:$A$22,0),MATCH(Z$9,GDP_CGE!$A$3:$AN$3,0)),GDP_Simple!Z25)</f>
        <v>1.34</v>
      </c>
      <c r="AA28">
        <f>IF($C$3="CGE",INDEX(GDP_CGE!$A$3:$AN$22,MATCH($A28,GDP_CGE!$A$3:$A$22,0),MATCH(AA$9,GDP_CGE!$A$3:$AN$3,0)),GDP_Simple!AA25)</f>
        <v>1.4</v>
      </c>
      <c r="AB28">
        <f>IF($C$3="CGE",INDEX(GDP_CGE!$A$3:$AN$22,MATCH($A28,GDP_CGE!$A$3:$A$22,0),MATCH(AB$9,GDP_CGE!$A$3:$AN$3,0)),GDP_Simple!AB25)</f>
        <v>1.46</v>
      </c>
      <c r="AC28">
        <f>IF($C$3="CGE",INDEX(GDP_CGE!$A$3:$AN$22,MATCH($A28,GDP_CGE!$A$3:$A$22,0),MATCH(AC$9,GDP_CGE!$A$3:$AN$3,0)),GDP_Simple!AC25)</f>
        <v>1.52</v>
      </c>
      <c r="AD28">
        <f>IF($C$3="CGE",INDEX(GDP_CGE!$A$3:$AN$22,MATCH($A28,GDP_CGE!$A$3:$A$22,0),MATCH(AD$9,GDP_CGE!$A$3:$AN$3,0)),GDP_Simple!AD25)</f>
        <v>1.59</v>
      </c>
      <c r="AE28">
        <f>IF($C$3="CGE",INDEX(GDP_CGE!$A$3:$AN$22,MATCH($A28,GDP_CGE!$A$3:$A$22,0),MATCH(AE$9,GDP_CGE!$A$3:$AN$3,0)),GDP_Simple!AE25)</f>
        <v>1.67</v>
      </c>
      <c r="AF28">
        <f>IF($C$3="CGE",INDEX(GDP_CGE!$A$3:$AN$22,MATCH($A28,GDP_CGE!$A$3:$A$22,0),MATCH(AF$9,GDP_CGE!$A$3:$AN$3,0)),GDP_Simple!AF25)</f>
        <v>1.74</v>
      </c>
      <c r="AG28">
        <f>IF($C$3="CGE",INDEX(GDP_CGE!$A$3:$AN$22,MATCH($A28,GDP_CGE!$A$3:$A$22,0),MATCH(AG$9,GDP_CGE!$A$3:$AN$3,0)),GDP_Simple!AG25)</f>
        <v>1.83</v>
      </c>
      <c r="AH28">
        <f>IF($C$3="CGE",INDEX(GDP_CGE!$A$3:$AN$22,MATCH($A28,GDP_CGE!$A$3:$A$22,0),MATCH(AH$9,GDP_CGE!$A$3:$AN$3,0)),GDP_Simple!AH25)</f>
        <v>1.92</v>
      </c>
      <c r="AI28">
        <f>IF($C$3="CGE",INDEX(GDP_CGE!$A$3:$AN$22,MATCH($A28,GDP_CGE!$A$3:$A$22,0),MATCH(AI$9,GDP_CGE!$A$3:$AN$3,0)),GDP_Simple!AI25)</f>
        <v>2.02</v>
      </c>
      <c r="AJ28">
        <f>IF($C$3="CGE",INDEX(GDP_CGE!$A$3:$AN$22,MATCH($A28,GDP_CGE!$A$3:$A$22,0),MATCH(AJ$9,GDP_CGE!$A$3:$AN$3,0)),GDP_Simple!AJ25)</f>
        <v>2.13</v>
      </c>
      <c r="AK28">
        <f>IF($C$3="CGE",INDEX(GDP_CGE!$A$3:$AN$22,MATCH($A28,GDP_CGE!$A$3:$A$22,0),MATCH(AK$9,GDP_CGE!$A$3:$AN$3,0)),GDP_Simple!AK25)</f>
        <v>2.25</v>
      </c>
      <c r="AL28">
        <f>IF($C$3="CGE",INDEX(GDP_CGE!$A$3:$AN$22,MATCH($A28,GDP_CGE!$A$3:$A$22,0),MATCH(AL$9,GDP_CGE!$A$3:$AN$3,0)),GDP_Simple!AL25)</f>
        <v>2.38</v>
      </c>
      <c r="AM28">
        <f>IF($C$3="CGE",INDEX(GDP_CGE!$A$3:$AN$22,MATCH($A28,GDP_CGE!$A$3:$A$22,0),MATCH(AM$9,GDP_CGE!$A$3:$AN$3,0)),GDP_Simple!AM25)</f>
        <v>2.5099999999999998</v>
      </c>
      <c r="AN28">
        <f>IF($C$3="CGE",INDEX(GDP_CGE!$A$3:$AN$22,MATCH($A28,GDP_CGE!$A$3:$A$22,0),MATCH(AN$9,GDP_CGE!$A$3:$AN$3,0)),GDP_Simple!AN25)</f>
        <v>2.67</v>
      </c>
    </row>
    <row r="31" spans="1:40" ht="18" thickBot="1" x14ac:dyDescent="0.35">
      <c r="A31" s="4" t="s">
        <v>47</v>
      </c>
      <c r="B31" s="4"/>
      <c r="C31" s="4"/>
      <c r="G31" t="s">
        <v>148</v>
      </c>
      <c r="I31" s="25">
        <v>0.99993015571903376</v>
      </c>
    </row>
    <row r="32" spans="1:40" ht="15.75" thickTop="1" x14ac:dyDescent="0.25">
      <c r="A32" s="3">
        <v>2012</v>
      </c>
      <c r="B32" s="3">
        <v>2013</v>
      </c>
      <c r="C32" s="3">
        <v>2014</v>
      </c>
      <c r="D32" s="3">
        <v>2015</v>
      </c>
      <c r="E32" s="3">
        <v>2016</v>
      </c>
      <c r="F32" s="3">
        <v>2017</v>
      </c>
      <c r="G32" s="3">
        <v>2018</v>
      </c>
      <c r="H32" s="3">
        <v>2019</v>
      </c>
      <c r="I32" s="3">
        <v>2020</v>
      </c>
      <c r="J32" s="3">
        <v>2021</v>
      </c>
      <c r="K32" s="3">
        <v>2022</v>
      </c>
      <c r="L32" s="3">
        <v>2023</v>
      </c>
      <c r="M32" s="3">
        <v>2024</v>
      </c>
      <c r="N32" s="3">
        <v>2025</v>
      </c>
      <c r="O32" s="3">
        <v>2026</v>
      </c>
      <c r="P32" s="3">
        <v>2027</v>
      </c>
      <c r="Q32" s="3">
        <v>2028</v>
      </c>
      <c r="R32" s="3">
        <v>2029</v>
      </c>
      <c r="S32" s="3">
        <v>2030</v>
      </c>
      <c r="T32" s="3">
        <v>2031</v>
      </c>
      <c r="U32" s="3">
        <v>2032</v>
      </c>
      <c r="V32" s="3">
        <v>2033</v>
      </c>
      <c r="W32" s="3">
        <v>2034</v>
      </c>
      <c r="X32" s="3">
        <v>2035</v>
      </c>
      <c r="Y32" s="3">
        <v>2036</v>
      </c>
      <c r="Z32" s="3">
        <v>2037</v>
      </c>
      <c r="AA32">
        <v>2038</v>
      </c>
      <c r="AB32">
        <v>2039</v>
      </c>
      <c r="AC32">
        <v>2040</v>
      </c>
      <c r="AD32">
        <v>2041</v>
      </c>
      <c r="AE32">
        <v>2042</v>
      </c>
      <c r="AF32">
        <v>2043</v>
      </c>
      <c r="AG32">
        <v>2044</v>
      </c>
      <c r="AH32">
        <v>2045</v>
      </c>
      <c r="AI32">
        <v>2046</v>
      </c>
      <c r="AJ32">
        <v>2047</v>
      </c>
      <c r="AK32">
        <v>2048</v>
      </c>
      <c r="AL32">
        <v>2049</v>
      </c>
      <c r="AM32">
        <v>2050</v>
      </c>
    </row>
    <row r="33" spans="1:42" x14ac:dyDescent="0.25">
      <c r="A33" s="9">
        <f>A46</f>
        <v>52325.432882070083</v>
      </c>
      <c r="B33" s="9">
        <f t="shared" ref="B33:F33" si="2">B46</f>
        <v>53104.386458423345</v>
      </c>
      <c r="C33" s="9">
        <f t="shared" si="2"/>
        <v>53912.365691429273</v>
      </c>
      <c r="D33" s="9">
        <f t="shared" si="2"/>
        <v>54750.491457321114</v>
      </c>
      <c r="E33" s="9">
        <f t="shared" si="2"/>
        <v>55619.940469824825</v>
      </c>
      <c r="F33" s="9">
        <f t="shared" si="2"/>
        <v>56521.948041648095</v>
      </c>
      <c r="G33" s="9">
        <f>F33*(1+G41)</f>
        <v>57436.000617299658</v>
      </c>
      <c r="H33" s="9">
        <f t="shared" ref="H33:I33" si="3">G33*(1+H41)</f>
        <v>58364.834921819442</v>
      </c>
      <c r="I33" s="9">
        <f t="shared" si="3"/>
        <v>59308.69</v>
      </c>
      <c r="J33" s="9">
        <f>I33*(1+L41)*$I$31</f>
        <v>60097.87398848695</v>
      </c>
      <c r="K33" s="9">
        <f t="shared" ref="K33:AM33" si="4">J33*(1+M41)*$I$31</f>
        <v>60841.58228680936</v>
      </c>
      <c r="L33" s="9">
        <f t="shared" si="4"/>
        <v>61537.824355929828</v>
      </c>
      <c r="M33" s="9">
        <f t="shared" si="4"/>
        <v>62221.509701386371</v>
      </c>
      <c r="N33" s="9">
        <f t="shared" si="4"/>
        <v>62892.038582526089</v>
      </c>
      <c r="O33" s="9">
        <f t="shared" si="4"/>
        <v>63548.817559440096</v>
      </c>
      <c r="P33" s="9">
        <f t="shared" si="4"/>
        <v>64191.260356766121</v>
      </c>
      <c r="Q33" s="9">
        <f t="shared" si="4"/>
        <v>64818.78872542824</v>
      </c>
      <c r="R33" s="9">
        <f t="shared" si="4"/>
        <v>65435.442210930109</v>
      </c>
      <c r="S33" s="9">
        <f t="shared" si="4"/>
        <v>66040.790860694062</v>
      </c>
      <c r="T33" s="9">
        <f t="shared" si="4"/>
        <v>66634.409418703101</v>
      </c>
      <c r="U33" s="9">
        <f t="shared" si="4"/>
        <v>67215.877817791683</v>
      </c>
      <c r="V33" s="9">
        <f t="shared" si="4"/>
        <v>67784.781669940756</v>
      </c>
      <c r="W33" s="9">
        <f t="shared" si="4"/>
        <v>68342.055626742411</v>
      </c>
      <c r="X33" s="9">
        <f t="shared" si="4"/>
        <v>68887.330858600355</v>
      </c>
      <c r="Y33" s="9">
        <f t="shared" si="4"/>
        <v>69420.244147098419</v>
      </c>
      <c r="Z33" s="9">
        <f t="shared" si="4"/>
        <v>69940.43828496871</v>
      </c>
      <c r="AA33" s="9">
        <f t="shared" si="4"/>
        <v>70447.562472153164</v>
      </c>
      <c r="AB33" s="9">
        <f t="shared" si="4"/>
        <v>70942.722252264575</v>
      </c>
      <c r="AC33" s="9">
        <f t="shared" si="4"/>
        <v>71425.610993241411</v>
      </c>
      <c r="AD33" s="9">
        <f t="shared" si="4"/>
        <v>71895.928013305995</v>
      </c>
      <c r="AE33" s="9">
        <f t="shared" si="4"/>
        <v>72353.378891150234</v>
      </c>
      <c r="AF33" s="9">
        <f t="shared" si="4"/>
        <v>72797.675771420298</v>
      </c>
      <c r="AG33" s="9">
        <f t="shared" si="4"/>
        <v>73228.597899236789</v>
      </c>
      <c r="AH33" s="9">
        <f t="shared" si="4"/>
        <v>73645.872502840066</v>
      </c>
      <c r="AI33" s="9">
        <f t="shared" si="4"/>
        <v>74049.234192071817</v>
      </c>
      <c r="AJ33" s="9">
        <f t="shared" si="4"/>
        <v>74438.425238522788</v>
      </c>
      <c r="AK33" s="9">
        <f t="shared" si="4"/>
        <v>74813.195848926669</v>
      </c>
      <c r="AL33" s="9">
        <f t="shared" si="4"/>
        <v>75173.102421925723</v>
      </c>
      <c r="AM33" s="9">
        <f t="shared" si="4"/>
        <v>75517.908954390194</v>
      </c>
    </row>
    <row r="34" spans="1:42" x14ac:dyDescent="0.25">
      <c r="J34" s="6"/>
      <c r="K34" s="6"/>
      <c r="L34" s="6"/>
      <c r="M34" s="6"/>
      <c r="N34" s="6"/>
      <c r="S34" s="6"/>
    </row>
    <row r="36" spans="1:42" ht="18" thickBot="1" x14ac:dyDescent="0.35">
      <c r="A36" s="4" t="s">
        <v>74</v>
      </c>
      <c r="B36" s="4"/>
      <c r="C36" s="4"/>
      <c r="F36" t="s">
        <v>53</v>
      </c>
      <c r="G36">
        <f t="shared" ref="G36:AM36" si="5">ROUNDUP((G40-2000)/5,0)*5+2000</f>
        <v>2020</v>
      </c>
      <c r="H36">
        <f t="shared" si="5"/>
        <v>2020</v>
      </c>
      <c r="I36">
        <f t="shared" si="5"/>
        <v>2020</v>
      </c>
      <c r="J36">
        <f t="shared" si="5"/>
        <v>2025</v>
      </c>
      <c r="K36">
        <f t="shared" si="5"/>
        <v>2025</v>
      </c>
      <c r="L36">
        <f t="shared" si="5"/>
        <v>2025</v>
      </c>
      <c r="M36">
        <f t="shared" si="5"/>
        <v>2025</v>
      </c>
      <c r="N36">
        <f t="shared" si="5"/>
        <v>2025</v>
      </c>
      <c r="O36">
        <f t="shared" si="5"/>
        <v>2030</v>
      </c>
      <c r="P36">
        <f t="shared" si="5"/>
        <v>2030</v>
      </c>
      <c r="Q36">
        <f t="shared" si="5"/>
        <v>2030</v>
      </c>
      <c r="R36">
        <f t="shared" si="5"/>
        <v>2030</v>
      </c>
      <c r="S36">
        <f t="shared" si="5"/>
        <v>2030</v>
      </c>
      <c r="T36">
        <f t="shared" si="5"/>
        <v>2035</v>
      </c>
      <c r="U36">
        <f t="shared" si="5"/>
        <v>2035</v>
      </c>
      <c r="V36">
        <f t="shared" si="5"/>
        <v>2035</v>
      </c>
      <c r="W36">
        <f t="shared" si="5"/>
        <v>2035</v>
      </c>
      <c r="X36">
        <f t="shared" si="5"/>
        <v>2035</v>
      </c>
      <c r="Y36">
        <f t="shared" si="5"/>
        <v>2040</v>
      </c>
      <c r="Z36">
        <f t="shared" si="5"/>
        <v>2040</v>
      </c>
      <c r="AA36">
        <f t="shared" si="5"/>
        <v>2040</v>
      </c>
      <c r="AB36">
        <f t="shared" si="5"/>
        <v>2040</v>
      </c>
      <c r="AC36">
        <f t="shared" si="5"/>
        <v>2040</v>
      </c>
      <c r="AD36">
        <f t="shared" si="5"/>
        <v>2045</v>
      </c>
      <c r="AE36">
        <f t="shared" si="5"/>
        <v>2045</v>
      </c>
      <c r="AF36">
        <f t="shared" si="5"/>
        <v>2045</v>
      </c>
      <c r="AG36">
        <f t="shared" si="5"/>
        <v>2045</v>
      </c>
      <c r="AH36">
        <f t="shared" si="5"/>
        <v>2045</v>
      </c>
      <c r="AI36">
        <f t="shared" si="5"/>
        <v>2050</v>
      </c>
      <c r="AJ36">
        <f t="shared" si="5"/>
        <v>2050</v>
      </c>
      <c r="AK36">
        <f t="shared" si="5"/>
        <v>2050</v>
      </c>
      <c r="AL36">
        <f t="shared" si="5"/>
        <v>2050</v>
      </c>
      <c r="AM36">
        <f t="shared" si="5"/>
        <v>2050</v>
      </c>
      <c r="AN36">
        <f t="shared" ref="AN36:AP36" si="6">ROUNDUP((AN40-2000)/5,0)*5+2000</f>
        <v>2055</v>
      </c>
      <c r="AO36">
        <f t="shared" si="6"/>
        <v>2055</v>
      </c>
      <c r="AP36">
        <f t="shared" si="6"/>
        <v>2055</v>
      </c>
    </row>
    <row r="37" spans="1:42" ht="15.75" thickTop="1" x14ac:dyDescent="0.25">
      <c r="G37" s="6">
        <f>INDEX($G$47:$Q$47,1,MATCH(G36,$G$45:$Q$45,0))</f>
        <v>1.6171639643029367E-2</v>
      </c>
      <c r="H37" s="6">
        <f t="shared" ref="H37:AM37" si="7">INDEX($G$47:$Q$47,1,MATCH(H36,$G$45:$Q$45,0))</f>
        <v>1.6171639643029367E-2</v>
      </c>
      <c r="I37" s="6">
        <f t="shared" si="7"/>
        <v>1.6171639643029367E-2</v>
      </c>
      <c r="J37" s="6">
        <f t="shared" si="7"/>
        <v>1.1514171855832034E-2</v>
      </c>
      <c r="K37" s="6">
        <f t="shared" si="7"/>
        <v>1.1514171855832034E-2</v>
      </c>
      <c r="L37" s="6">
        <f t="shared" si="7"/>
        <v>1.1514171855832034E-2</v>
      </c>
      <c r="M37" s="6">
        <f t="shared" si="7"/>
        <v>1.1514171855832034E-2</v>
      </c>
      <c r="N37" s="6">
        <f t="shared" si="7"/>
        <v>1.1514171855832034E-2</v>
      </c>
      <c r="O37" s="6">
        <f t="shared" si="7"/>
        <v>9.8464479909492475E-3</v>
      </c>
      <c r="P37" s="6">
        <f t="shared" si="7"/>
        <v>9.8464479909492475E-3</v>
      </c>
      <c r="Q37" s="6">
        <f t="shared" si="7"/>
        <v>9.8464479909492475E-3</v>
      </c>
      <c r="R37" s="6">
        <f t="shared" si="7"/>
        <v>9.8464479909492475E-3</v>
      </c>
      <c r="S37" s="6">
        <f t="shared" si="7"/>
        <v>9.8464479909492475E-3</v>
      </c>
      <c r="T37" s="6">
        <f t="shared" si="7"/>
        <v>8.5342716751048986E-3</v>
      </c>
      <c r="U37" s="6">
        <f t="shared" si="7"/>
        <v>8.5342716751048986E-3</v>
      </c>
      <c r="V37" s="6">
        <f t="shared" si="7"/>
        <v>8.5342716751048986E-3</v>
      </c>
      <c r="W37" s="6">
        <f t="shared" si="7"/>
        <v>8.5342716751048986E-3</v>
      </c>
      <c r="X37" s="6">
        <f t="shared" si="7"/>
        <v>8.5342716751048986E-3</v>
      </c>
      <c r="Y37" s="6">
        <f t="shared" si="7"/>
        <v>7.3211564406818752E-3</v>
      </c>
      <c r="Z37" s="6">
        <f t="shared" si="7"/>
        <v>7.3211564406818752E-3</v>
      </c>
      <c r="AA37" s="6">
        <f t="shared" si="7"/>
        <v>7.3211564406818752E-3</v>
      </c>
      <c r="AB37" s="6">
        <f t="shared" si="7"/>
        <v>7.3211564406818752E-3</v>
      </c>
      <c r="AC37" s="6">
        <f t="shared" si="7"/>
        <v>7.3211564406818752E-3</v>
      </c>
      <c r="AD37" s="6">
        <f t="shared" si="7"/>
        <v>6.210929518779329E-3</v>
      </c>
      <c r="AE37" s="6">
        <f t="shared" si="7"/>
        <v>6.210929518779329E-3</v>
      </c>
      <c r="AF37" s="6">
        <f t="shared" si="7"/>
        <v>6.210929518779329E-3</v>
      </c>
      <c r="AG37" s="6">
        <f t="shared" si="7"/>
        <v>6.210929518779329E-3</v>
      </c>
      <c r="AH37" s="6">
        <f t="shared" si="7"/>
        <v>6.210929518779329E-3</v>
      </c>
      <c r="AI37" s="6">
        <f t="shared" si="7"/>
        <v>5.1048399806699063E-3</v>
      </c>
      <c r="AJ37" s="6">
        <f t="shared" si="7"/>
        <v>5.1048399806699063E-3</v>
      </c>
      <c r="AK37" s="6">
        <f t="shared" si="7"/>
        <v>5.1048399806699063E-3</v>
      </c>
      <c r="AL37" s="6">
        <f t="shared" si="7"/>
        <v>5.1048399806699063E-3</v>
      </c>
      <c r="AM37" s="6">
        <f t="shared" si="7"/>
        <v>5.1048399806699063E-3</v>
      </c>
      <c r="AN37" s="6">
        <f t="shared" ref="AN37:AP37" si="8">INDEX($G$47:$Q$47,1,MATCH(AN36,$G$45:$Q$45,0))</f>
        <v>3.9852485744564792E-3</v>
      </c>
      <c r="AO37" s="6">
        <f t="shared" si="8"/>
        <v>3.9852485744564792E-3</v>
      </c>
      <c r="AP37" s="6">
        <f t="shared" si="8"/>
        <v>3.9852485744564792E-3</v>
      </c>
    </row>
    <row r="38" spans="1:42" x14ac:dyDescent="0.25">
      <c r="F38" t="s">
        <v>75</v>
      </c>
      <c r="G38">
        <v>2017</v>
      </c>
      <c r="H38">
        <v>2017</v>
      </c>
      <c r="I38">
        <v>2017</v>
      </c>
      <c r="J38">
        <f t="shared" ref="J38:AM38" si="9">J36-5</f>
        <v>2020</v>
      </c>
      <c r="K38">
        <f t="shared" si="9"/>
        <v>2020</v>
      </c>
      <c r="L38">
        <f t="shared" si="9"/>
        <v>2020</v>
      </c>
      <c r="M38">
        <f t="shared" si="9"/>
        <v>2020</v>
      </c>
      <c r="N38">
        <f t="shared" si="9"/>
        <v>2020</v>
      </c>
      <c r="O38">
        <f t="shared" si="9"/>
        <v>2025</v>
      </c>
      <c r="P38">
        <f t="shared" si="9"/>
        <v>2025</v>
      </c>
      <c r="Q38">
        <f t="shared" si="9"/>
        <v>2025</v>
      </c>
      <c r="R38">
        <f t="shared" si="9"/>
        <v>2025</v>
      </c>
      <c r="S38">
        <f t="shared" si="9"/>
        <v>2025</v>
      </c>
      <c r="T38">
        <f t="shared" si="9"/>
        <v>2030</v>
      </c>
      <c r="U38">
        <f t="shared" si="9"/>
        <v>2030</v>
      </c>
      <c r="V38">
        <f t="shared" si="9"/>
        <v>2030</v>
      </c>
      <c r="W38">
        <f t="shared" si="9"/>
        <v>2030</v>
      </c>
      <c r="X38">
        <f t="shared" si="9"/>
        <v>2030</v>
      </c>
      <c r="Y38">
        <f t="shared" si="9"/>
        <v>2035</v>
      </c>
      <c r="Z38">
        <f t="shared" si="9"/>
        <v>2035</v>
      </c>
      <c r="AA38">
        <f t="shared" si="9"/>
        <v>2035</v>
      </c>
      <c r="AB38">
        <f t="shared" si="9"/>
        <v>2035</v>
      </c>
      <c r="AC38">
        <f t="shared" si="9"/>
        <v>2035</v>
      </c>
      <c r="AD38">
        <f t="shared" si="9"/>
        <v>2040</v>
      </c>
      <c r="AE38">
        <f t="shared" si="9"/>
        <v>2040</v>
      </c>
      <c r="AF38">
        <f t="shared" si="9"/>
        <v>2040</v>
      </c>
      <c r="AG38">
        <f t="shared" si="9"/>
        <v>2040</v>
      </c>
      <c r="AH38">
        <f t="shared" si="9"/>
        <v>2040</v>
      </c>
      <c r="AI38">
        <f t="shared" si="9"/>
        <v>2045</v>
      </c>
      <c r="AJ38">
        <f t="shared" si="9"/>
        <v>2045</v>
      </c>
      <c r="AK38">
        <f t="shared" si="9"/>
        <v>2045</v>
      </c>
      <c r="AL38">
        <f t="shared" si="9"/>
        <v>2045</v>
      </c>
      <c r="AM38">
        <f t="shared" si="9"/>
        <v>2045</v>
      </c>
      <c r="AN38">
        <f t="shared" ref="AN38:AP38" si="10">AN36-5</f>
        <v>2050</v>
      </c>
      <c r="AO38">
        <f t="shared" si="10"/>
        <v>2050</v>
      </c>
      <c r="AP38">
        <f t="shared" si="10"/>
        <v>2050</v>
      </c>
    </row>
    <row r="39" spans="1:42" x14ac:dyDescent="0.25">
      <c r="G39" s="13">
        <f>G47</f>
        <v>1.6171639643029367E-2</v>
      </c>
      <c r="H39" s="13">
        <f>G39</f>
        <v>1.6171639643029367E-2</v>
      </c>
      <c r="I39" s="13">
        <f>H39</f>
        <v>1.6171639643029367E-2</v>
      </c>
      <c r="J39" s="13">
        <f t="shared" ref="J39" si="11">INDEX($G$47:$Q$47,1,MATCH(J38,$G$45:$Q$45,0))</f>
        <v>1.6171639643029367E-2</v>
      </c>
      <c r="K39" s="13">
        <f t="shared" ref="K39" si="12">INDEX($G$47:$Q$47,1,MATCH(K38,$G$45:$Q$45,0))</f>
        <v>1.6171639643029367E-2</v>
      </c>
      <c r="L39" s="13">
        <f t="shared" ref="L39" si="13">INDEX($G$47:$Q$47,1,MATCH(L38,$G$45:$Q$45,0))</f>
        <v>1.6171639643029367E-2</v>
      </c>
      <c r="M39" s="13">
        <f t="shared" ref="M39" si="14">INDEX($G$47:$Q$47,1,MATCH(M38,$G$45:$Q$45,0))</f>
        <v>1.6171639643029367E-2</v>
      </c>
      <c r="N39" s="13">
        <f t="shared" ref="N39" si="15">INDEX($G$47:$Q$47,1,MATCH(N38,$G$45:$Q$45,0))</f>
        <v>1.6171639643029367E-2</v>
      </c>
      <c r="O39" s="13">
        <f t="shared" ref="O39" si="16">INDEX($G$47:$Q$47,1,MATCH(O38,$G$45:$Q$45,0))</f>
        <v>1.1514171855832034E-2</v>
      </c>
      <c r="P39" s="13">
        <f t="shared" ref="P39" si="17">INDEX($G$47:$Q$47,1,MATCH(P38,$G$45:$Q$45,0))</f>
        <v>1.1514171855832034E-2</v>
      </c>
      <c r="Q39" s="13">
        <f t="shared" ref="Q39" si="18">INDEX($G$47:$Q$47,1,MATCH(Q38,$G$45:$Q$45,0))</f>
        <v>1.1514171855832034E-2</v>
      </c>
      <c r="R39" s="13">
        <f t="shared" ref="R39" si="19">INDEX($G$47:$Q$47,1,MATCH(R38,$G$45:$Q$45,0))</f>
        <v>1.1514171855832034E-2</v>
      </c>
      <c r="S39" s="13">
        <f t="shared" ref="S39" si="20">INDEX($G$47:$Q$47,1,MATCH(S38,$G$45:$Q$45,0))</f>
        <v>1.1514171855832034E-2</v>
      </c>
      <c r="T39" s="13">
        <f t="shared" ref="T39" si="21">INDEX($G$47:$Q$47,1,MATCH(T38,$G$45:$Q$45,0))</f>
        <v>9.8464479909492475E-3</v>
      </c>
      <c r="U39" s="13">
        <f t="shared" ref="U39" si="22">INDEX($G$47:$Q$47,1,MATCH(U38,$G$45:$Q$45,0))</f>
        <v>9.8464479909492475E-3</v>
      </c>
      <c r="V39" s="13">
        <f t="shared" ref="V39" si="23">INDEX($G$47:$Q$47,1,MATCH(V38,$G$45:$Q$45,0))</f>
        <v>9.8464479909492475E-3</v>
      </c>
      <c r="W39" s="13">
        <f t="shared" ref="W39" si="24">INDEX($G$47:$Q$47,1,MATCH(W38,$G$45:$Q$45,0))</f>
        <v>9.8464479909492475E-3</v>
      </c>
      <c r="X39" s="13">
        <f t="shared" ref="X39" si="25">INDEX($G$47:$Q$47,1,MATCH(X38,$G$45:$Q$45,0))</f>
        <v>9.8464479909492475E-3</v>
      </c>
      <c r="Y39" s="13">
        <f t="shared" ref="Y39" si="26">INDEX($G$47:$Q$47,1,MATCH(Y38,$G$45:$Q$45,0))</f>
        <v>8.5342716751048986E-3</v>
      </c>
      <c r="Z39" s="13">
        <f t="shared" ref="Z39" si="27">INDEX($G$47:$Q$47,1,MATCH(Z38,$G$45:$Q$45,0))</f>
        <v>8.5342716751048986E-3</v>
      </c>
      <c r="AA39" s="13">
        <f t="shared" ref="AA39" si="28">INDEX($G$47:$Q$47,1,MATCH(AA38,$G$45:$Q$45,0))</f>
        <v>8.5342716751048986E-3</v>
      </c>
      <c r="AB39" s="13">
        <f t="shared" ref="AB39" si="29">INDEX($G$47:$Q$47,1,MATCH(AB38,$G$45:$Q$45,0))</f>
        <v>8.5342716751048986E-3</v>
      </c>
      <c r="AC39" s="13">
        <f t="shared" ref="AC39" si="30">INDEX($G$47:$Q$47,1,MATCH(AC38,$G$45:$Q$45,0))</f>
        <v>8.5342716751048986E-3</v>
      </c>
      <c r="AD39" s="13">
        <f t="shared" ref="AD39" si="31">INDEX($G$47:$Q$47,1,MATCH(AD38,$G$45:$Q$45,0))</f>
        <v>7.3211564406818752E-3</v>
      </c>
      <c r="AE39" s="13">
        <f t="shared" ref="AE39" si="32">INDEX($G$47:$Q$47,1,MATCH(AE38,$G$45:$Q$45,0))</f>
        <v>7.3211564406818752E-3</v>
      </c>
      <c r="AF39" s="13">
        <f t="shared" ref="AF39" si="33">INDEX($G$47:$Q$47,1,MATCH(AF38,$G$45:$Q$45,0))</f>
        <v>7.3211564406818752E-3</v>
      </c>
      <c r="AG39" s="13">
        <f t="shared" ref="AG39" si="34">INDEX($G$47:$Q$47,1,MATCH(AG38,$G$45:$Q$45,0))</f>
        <v>7.3211564406818752E-3</v>
      </c>
      <c r="AH39" s="13">
        <f t="shared" ref="AH39" si="35">INDEX($G$47:$Q$47,1,MATCH(AH38,$G$45:$Q$45,0))</f>
        <v>7.3211564406818752E-3</v>
      </c>
      <c r="AI39" s="13">
        <f t="shared" ref="AI39" si="36">INDEX($G$47:$Q$47,1,MATCH(AI38,$G$45:$Q$45,0))</f>
        <v>6.210929518779329E-3</v>
      </c>
      <c r="AJ39" s="13">
        <f t="shared" ref="AJ39" si="37">INDEX($G$47:$Q$47,1,MATCH(AJ38,$G$45:$Q$45,0))</f>
        <v>6.210929518779329E-3</v>
      </c>
      <c r="AK39" s="13">
        <f t="shared" ref="AK39" si="38">INDEX($G$47:$Q$47,1,MATCH(AK38,$G$45:$Q$45,0))</f>
        <v>6.210929518779329E-3</v>
      </c>
      <c r="AL39" s="13">
        <f t="shared" ref="AL39" si="39">INDEX($G$47:$Q$47,1,MATCH(AL38,$G$45:$Q$45,0))</f>
        <v>6.210929518779329E-3</v>
      </c>
      <c r="AM39" s="13">
        <f t="shared" ref="AM39:AP39" si="40">INDEX($G$47:$Q$47,1,MATCH(AM38,$G$45:$Q$45,0))</f>
        <v>6.210929518779329E-3</v>
      </c>
      <c r="AN39" s="13">
        <f t="shared" si="40"/>
        <v>5.1048399806699063E-3</v>
      </c>
      <c r="AO39" s="13">
        <f t="shared" si="40"/>
        <v>5.1048399806699063E-3</v>
      </c>
      <c r="AP39" s="13">
        <f t="shared" si="40"/>
        <v>5.1048399806699063E-3</v>
      </c>
    </row>
    <row r="40" spans="1:42" x14ac:dyDescent="0.25">
      <c r="A40" s="3"/>
      <c r="B40" s="3">
        <v>2013</v>
      </c>
      <c r="C40" s="3">
        <v>2014</v>
      </c>
      <c r="D40" s="3">
        <v>2015</v>
      </c>
      <c r="E40" s="3">
        <v>2016</v>
      </c>
      <c r="F40" s="3">
        <v>2017</v>
      </c>
      <c r="G40" s="3">
        <v>2018</v>
      </c>
      <c r="H40" s="3">
        <v>2019</v>
      </c>
      <c r="I40" s="3">
        <v>2020</v>
      </c>
      <c r="J40" s="3">
        <v>2021</v>
      </c>
      <c r="K40" s="3">
        <v>2022</v>
      </c>
      <c r="L40" s="3">
        <v>2023</v>
      </c>
      <c r="M40" s="3">
        <v>2024</v>
      </c>
      <c r="N40" s="3">
        <v>2025</v>
      </c>
      <c r="O40" s="3">
        <v>2026</v>
      </c>
      <c r="P40" s="3">
        <v>2027</v>
      </c>
      <c r="Q40" s="3">
        <v>2028</v>
      </c>
      <c r="R40" s="3">
        <v>2029</v>
      </c>
      <c r="S40" s="3">
        <v>2030</v>
      </c>
      <c r="T40" s="3">
        <v>2031</v>
      </c>
      <c r="U40" s="3">
        <v>2032</v>
      </c>
      <c r="V40" s="3">
        <v>2033</v>
      </c>
      <c r="W40" s="3">
        <v>2034</v>
      </c>
      <c r="X40" s="3">
        <v>2035</v>
      </c>
      <c r="Y40" s="3">
        <v>2036</v>
      </c>
      <c r="Z40" s="3">
        <v>2037</v>
      </c>
      <c r="AA40">
        <v>2038</v>
      </c>
      <c r="AB40">
        <v>2039</v>
      </c>
      <c r="AC40">
        <v>2040</v>
      </c>
      <c r="AD40">
        <v>2041</v>
      </c>
      <c r="AE40">
        <v>2042</v>
      </c>
      <c r="AF40">
        <v>2043</v>
      </c>
      <c r="AG40">
        <v>2044</v>
      </c>
      <c r="AH40">
        <v>2045</v>
      </c>
      <c r="AI40">
        <v>2046</v>
      </c>
      <c r="AJ40">
        <v>2047</v>
      </c>
      <c r="AK40">
        <v>2048</v>
      </c>
      <c r="AL40">
        <v>2049</v>
      </c>
      <c r="AM40">
        <v>2050</v>
      </c>
      <c r="AN40">
        <v>2051</v>
      </c>
      <c r="AO40">
        <v>2052</v>
      </c>
      <c r="AP40">
        <v>2053</v>
      </c>
    </row>
    <row r="41" spans="1:42" x14ac:dyDescent="0.25">
      <c r="A41" s="9"/>
      <c r="B41" s="6">
        <f>B47</f>
        <v>1.4886710600347186E-2</v>
      </c>
      <c r="C41" s="6">
        <f t="shared" ref="C41:F41" si="41">C47</f>
        <v>1.5214924545611908E-2</v>
      </c>
      <c r="D41" s="6">
        <f t="shared" si="41"/>
        <v>1.5546076584524338E-2</v>
      </c>
      <c r="E41" s="6">
        <f t="shared" si="41"/>
        <v>1.5880204713440094E-2</v>
      </c>
      <c r="F41" s="6">
        <f t="shared" si="41"/>
        <v>1.6217341554197295E-2</v>
      </c>
      <c r="G41" s="6">
        <f>G39</f>
        <v>1.6171639643029367E-2</v>
      </c>
      <c r="H41" s="6">
        <f t="shared" ref="H41:R41" si="42">G41+(H37-H39)/(H36-H38)</f>
        <v>1.6171639643029367E-2</v>
      </c>
      <c r="I41" s="6">
        <f t="shared" si="42"/>
        <v>1.6171639643029367E-2</v>
      </c>
      <c r="J41" s="6">
        <f t="shared" si="42"/>
        <v>1.5240146085589901E-2</v>
      </c>
      <c r="K41" s="6">
        <f t="shared" si="42"/>
        <v>1.4308652528150435E-2</v>
      </c>
      <c r="L41" s="6">
        <f t="shared" si="42"/>
        <v>1.3377158970710968E-2</v>
      </c>
      <c r="M41" s="6">
        <f t="shared" si="42"/>
        <v>1.2445665413271502E-2</v>
      </c>
      <c r="N41" s="6">
        <f t="shared" si="42"/>
        <v>1.1514171855832036E-2</v>
      </c>
      <c r="O41" s="6">
        <f>N41+(O37-O39)/(O36-O38)</f>
        <v>1.1180627082855478E-2</v>
      </c>
      <c r="P41" s="6">
        <f t="shared" si="42"/>
        <v>1.084708230987892E-2</v>
      </c>
      <c r="Q41" s="6">
        <f t="shared" si="42"/>
        <v>1.0513537536902363E-2</v>
      </c>
      <c r="R41" s="6">
        <f t="shared" si="42"/>
        <v>1.0179992763925805E-2</v>
      </c>
      <c r="S41" s="6">
        <f>R41+(S37-S39)/(S36-S38)</f>
        <v>9.8464479909492475E-3</v>
      </c>
      <c r="T41" s="6">
        <f t="shared" ref="T41:AM41" si="43">S41+(T37-T39)/(T36-T38)</f>
        <v>9.584012727780377E-3</v>
      </c>
      <c r="U41" s="6">
        <f t="shared" si="43"/>
        <v>9.3215774646115065E-3</v>
      </c>
      <c r="V41" s="6">
        <f t="shared" si="43"/>
        <v>9.0591422014426361E-3</v>
      </c>
      <c r="W41" s="6">
        <f t="shared" si="43"/>
        <v>8.7967069382737656E-3</v>
      </c>
      <c r="X41" s="6">
        <f t="shared" si="43"/>
        <v>8.5342716751048951E-3</v>
      </c>
      <c r="Y41" s="6">
        <f t="shared" si="43"/>
        <v>8.2916486282202904E-3</v>
      </c>
      <c r="Z41" s="6">
        <f t="shared" si="43"/>
        <v>8.0490255813356858E-3</v>
      </c>
      <c r="AA41" s="6">
        <f t="shared" si="43"/>
        <v>7.8064025344510811E-3</v>
      </c>
      <c r="AB41" s="6">
        <f t="shared" si="43"/>
        <v>7.5637794875664764E-3</v>
      </c>
      <c r="AC41" s="6">
        <f t="shared" si="43"/>
        <v>7.3211564406818717E-3</v>
      </c>
      <c r="AD41" s="6">
        <f t="shared" si="43"/>
        <v>7.0991110563013628E-3</v>
      </c>
      <c r="AE41" s="6">
        <f t="shared" si="43"/>
        <v>6.8770656719208539E-3</v>
      </c>
      <c r="AF41" s="6">
        <f t="shared" si="43"/>
        <v>6.655020287540345E-3</v>
      </c>
      <c r="AG41" s="6">
        <f t="shared" si="43"/>
        <v>6.4329749031598361E-3</v>
      </c>
      <c r="AH41" s="6">
        <f t="shared" si="43"/>
        <v>6.2109295187793272E-3</v>
      </c>
      <c r="AI41" s="6">
        <f t="shared" si="43"/>
        <v>5.9897116111574424E-3</v>
      </c>
      <c r="AJ41" s="6">
        <f t="shared" si="43"/>
        <v>5.7684937035355575E-3</v>
      </c>
      <c r="AK41" s="6">
        <f t="shared" si="43"/>
        <v>5.5472757959136726E-3</v>
      </c>
      <c r="AL41" s="6">
        <f t="shared" si="43"/>
        <v>5.3260578882917877E-3</v>
      </c>
      <c r="AM41" s="6">
        <f t="shared" si="43"/>
        <v>5.1048399806699028E-3</v>
      </c>
      <c r="AN41" s="6">
        <f t="shared" ref="AN41" si="44">AM41+(AN37-AN39)/(AN36-AN38)</f>
        <v>4.8809216994272174E-3</v>
      </c>
      <c r="AO41" s="6">
        <f t="shared" ref="AO41" si="45">AN41+(AO37-AO39)/(AO36-AO38)</f>
        <v>4.657003418184532E-3</v>
      </c>
      <c r="AP41" s="6">
        <f t="shared" ref="AP41" si="46">AO41+(AP37-AP39)/(AP36-AP38)</f>
        <v>4.4330851369418466E-3</v>
      </c>
    </row>
    <row r="44" spans="1:42" x14ac:dyDescent="0.25">
      <c r="A44" t="s">
        <v>51</v>
      </c>
      <c r="G44" t="s">
        <v>52</v>
      </c>
      <c r="K44" t="s">
        <v>48</v>
      </c>
      <c r="L44" s="5" t="s">
        <v>49</v>
      </c>
      <c r="S44" t="s">
        <v>50</v>
      </c>
    </row>
    <row r="45" spans="1:42" x14ac:dyDescent="0.25">
      <c r="A45" s="8">
        <v>2012</v>
      </c>
      <c r="B45" s="8">
        <f>A45+1</f>
        <v>2013</v>
      </c>
      <c r="C45" s="8">
        <f t="shared" ref="C45:F45" si="47">B45+1</f>
        <v>2014</v>
      </c>
      <c r="D45" s="8">
        <f t="shared" si="47"/>
        <v>2015</v>
      </c>
      <c r="E45" s="8">
        <f t="shared" si="47"/>
        <v>2016</v>
      </c>
      <c r="F45" s="8">
        <f t="shared" si="47"/>
        <v>2017</v>
      </c>
      <c r="G45" s="7">
        <v>2020</v>
      </c>
      <c r="H45" s="7">
        <v>2025</v>
      </c>
      <c r="I45" s="7">
        <v>2030</v>
      </c>
      <c r="J45" s="7">
        <v>2035</v>
      </c>
      <c r="K45" s="7">
        <v>2040</v>
      </c>
      <c r="L45" s="7">
        <v>2045</v>
      </c>
      <c r="M45" s="7">
        <v>2050</v>
      </c>
      <c r="N45" s="7">
        <v>2055</v>
      </c>
      <c r="O45" s="7">
        <v>2060</v>
      </c>
      <c r="P45" s="7">
        <v>2065</v>
      </c>
      <c r="Q45" s="7">
        <v>2070</v>
      </c>
    </row>
    <row r="46" spans="1:42" x14ac:dyDescent="0.25">
      <c r="A46" s="11">
        <v>52325.432882070083</v>
      </c>
      <c r="B46" s="11">
        <v>53104.386458423345</v>
      </c>
      <c r="C46" s="11">
        <v>53912.365691429273</v>
      </c>
      <c r="D46" s="11">
        <v>54750.491457321114</v>
      </c>
      <c r="E46" s="11">
        <v>55619.940469824825</v>
      </c>
      <c r="F46" s="11">
        <v>56521.948041648095</v>
      </c>
      <c r="G46" s="10">
        <v>59308.69</v>
      </c>
      <c r="H46" s="10">
        <v>62802.682000000001</v>
      </c>
      <c r="I46" s="10">
        <v>65956.09</v>
      </c>
      <c r="J46" s="10">
        <v>68818.975999999995</v>
      </c>
      <c r="K46" s="10">
        <v>71375.305999999997</v>
      </c>
      <c r="L46" s="10">
        <v>73619.546000000002</v>
      </c>
      <c r="M46" s="10">
        <v>75517.909</v>
      </c>
      <c r="N46" s="10">
        <v>77034.739000000001</v>
      </c>
      <c r="O46" s="10">
        <v>78172.047999999995</v>
      </c>
      <c r="P46" s="10">
        <v>78973.285999999993</v>
      </c>
      <c r="Q46" s="10">
        <v>79498.839000000007</v>
      </c>
    </row>
    <row r="47" spans="1:42" x14ac:dyDescent="0.25">
      <c r="B47" s="6">
        <f>B46/A46-1</f>
        <v>1.4886710600347186E-2</v>
      </c>
      <c r="C47" s="6">
        <f t="shared" ref="C47:F47" si="48">C46/B46-1</f>
        <v>1.5214924545611908E-2</v>
      </c>
      <c r="D47" s="6">
        <f t="shared" si="48"/>
        <v>1.5546076584524338E-2</v>
      </c>
      <c r="E47" s="6">
        <f t="shared" si="48"/>
        <v>1.5880204713440094E-2</v>
      </c>
      <c r="F47" s="6">
        <f t="shared" si="48"/>
        <v>1.6217341554197295E-2</v>
      </c>
      <c r="G47" s="6">
        <f>(G46/F46)^(1/3)-1</f>
        <v>1.6171639643029367E-2</v>
      </c>
      <c r="H47" s="6">
        <f>(H46/G46)^(1/5)-1</f>
        <v>1.1514171855832034E-2</v>
      </c>
      <c r="I47" s="6">
        <f t="shared" ref="I47:Q47" si="49">(I46/H46)^(1/5)-1</f>
        <v>9.8464479909492475E-3</v>
      </c>
      <c r="J47" s="6">
        <f t="shared" si="49"/>
        <v>8.5342716751048986E-3</v>
      </c>
      <c r="K47" s="6">
        <f t="shared" si="49"/>
        <v>7.3211564406818752E-3</v>
      </c>
      <c r="L47" s="6">
        <f t="shared" si="49"/>
        <v>6.210929518779329E-3</v>
      </c>
      <c r="M47" s="6">
        <f t="shared" si="49"/>
        <v>5.1048399806699063E-3</v>
      </c>
      <c r="N47" s="6">
        <f t="shared" si="49"/>
        <v>3.9852485744564792E-3</v>
      </c>
      <c r="O47" s="6">
        <f t="shared" si="49"/>
        <v>2.9354330188284816E-3</v>
      </c>
      <c r="P47" s="6">
        <f t="shared" si="49"/>
        <v>2.0415816324019787E-3</v>
      </c>
      <c r="Q47" s="6">
        <f t="shared" si="49"/>
        <v>1.3274351427250419E-3</v>
      </c>
    </row>
    <row r="48" spans="1:42" x14ac:dyDescent="0.25">
      <c r="G48" t="s">
        <v>149</v>
      </c>
      <c r="H48" s="9">
        <f>INDEX($I$33:$AM$33,1,MATCH(H45,$I$32:$AM$32,0))</f>
        <v>62892.038582526089</v>
      </c>
      <c r="I48" s="9">
        <f t="shared" ref="I48:M48" si="50">INDEX($I$33:$AM$33,1,MATCH(I45,$I$32:$AM$32,0))</f>
        <v>66040.790860694062</v>
      </c>
      <c r="J48" s="9">
        <f t="shared" si="50"/>
        <v>68887.330858600355</v>
      </c>
      <c r="K48" s="9">
        <f t="shared" si="50"/>
        <v>71425.610993241411</v>
      </c>
      <c r="L48" s="9">
        <f t="shared" si="50"/>
        <v>73645.872502840066</v>
      </c>
      <c r="M48" s="9">
        <f t="shared" si="50"/>
        <v>75517.908954390194</v>
      </c>
    </row>
    <row r="49" spans="1:42" x14ac:dyDescent="0.25">
      <c r="G49" t="s">
        <v>150</v>
      </c>
      <c r="H49" s="6">
        <f>H48/H46-1</f>
        <v>1.4228147537724833E-3</v>
      </c>
      <c r="I49" s="6">
        <f t="shared" ref="I49:M49" si="51">I48/I46-1</f>
        <v>1.2842007568074632E-3</v>
      </c>
      <c r="J49" s="6">
        <f t="shared" si="51"/>
        <v>9.9325596766153268E-4</v>
      </c>
      <c r="K49" s="6">
        <f t="shared" si="51"/>
        <v>7.0479548264801295E-4</v>
      </c>
      <c r="L49" s="6">
        <f t="shared" si="51"/>
        <v>3.5760208083956968E-4</v>
      </c>
      <c r="M49" s="6">
        <f t="shared" si="51"/>
        <v>-6.0396010415075807E-10</v>
      </c>
    </row>
    <row r="50" spans="1:42" ht="18" thickBot="1" x14ac:dyDescent="0.35">
      <c r="A50" s="4" t="s">
        <v>68</v>
      </c>
      <c r="B50" s="4"/>
      <c r="C50" s="4"/>
      <c r="D50" s="4"/>
      <c r="E50" s="4"/>
      <c r="F50" s="4"/>
      <c r="G50" s="4"/>
      <c r="H50" s="4"/>
      <c r="M50" s="9"/>
    </row>
    <row r="51" spans="1:42" ht="15.75" thickTop="1" x14ac:dyDescent="0.25">
      <c r="B51" s="3">
        <v>2012</v>
      </c>
      <c r="C51" s="3">
        <v>2013</v>
      </c>
      <c r="D51" s="3">
        <v>2014</v>
      </c>
      <c r="E51" s="3">
        <v>2015</v>
      </c>
      <c r="F51" s="3">
        <v>2016</v>
      </c>
      <c r="G51" s="3">
        <v>2017</v>
      </c>
      <c r="H51" s="3">
        <v>2018</v>
      </c>
      <c r="I51" s="3">
        <v>2019</v>
      </c>
      <c r="J51" s="3">
        <v>2020</v>
      </c>
      <c r="K51" s="3">
        <v>2021</v>
      </c>
      <c r="L51" s="3">
        <v>2022</v>
      </c>
      <c r="M51" s="3">
        <v>2023</v>
      </c>
      <c r="N51" s="3">
        <v>2024</v>
      </c>
      <c r="O51" s="3">
        <v>2025</v>
      </c>
      <c r="P51" s="3">
        <v>2026</v>
      </c>
      <c r="Q51" s="3">
        <v>2027</v>
      </c>
      <c r="R51" s="3">
        <v>2028</v>
      </c>
      <c r="S51" s="3">
        <v>2029</v>
      </c>
      <c r="T51" s="3">
        <v>2030</v>
      </c>
      <c r="U51" s="3">
        <v>2031</v>
      </c>
      <c r="V51" s="3">
        <v>2032</v>
      </c>
      <c r="W51" s="3">
        <v>2033</v>
      </c>
      <c r="X51" s="3">
        <v>2034</v>
      </c>
      <c r="Y51" s="3">
        <v>2035</v>
      </c>
      <c r="Z51" s="3">
        <v>2036</v>
      </c>
      <c r="AA51" s="3">
        <v>2037</v>
      </c>
      <c r="AB51" s="3">
        <v>2038</v>
      </c>
      <c r="AC51">
        <v>2039</v>
      </c>
      <c r="AD51">
        <v>2040</v>
      </c>
      <c r="AE51">
        <v>2041</v>
      </c>
      <c r="AF51">
        <v>2042</v>
      </c>
      <c r="AG51">
        <v>2043</v>
      </c>
      <c r="AH51">
        <v>2044</v>
      </c>
      <c r="AI51">
        <v>2045</v>
      </c>
      <c r="AJ51">
        <v>2046</v>
      </c>
      <c r="AK51">
        <v>2047</v>
      </c>
      <c r="AL51">
        <v>2048</v>
      </c>
      <c r="AM51">
        <v>2049</v>
      </c>
      <c r="AN51">
        <v>2050</v>
      </c>
    </row>
    <row r="52" spans="1:42" x14ac:dyDescent="0.25">
      <c r="A52" s="3" t="s">
        <v>54</v>
      </c>
      <c r="B52" s="12">
        <f>IF($C$3="CGE",GDP_CGE!B26,GDP_Simple!B35)</f>
        <v>0.5</v>
      </c>
      <c r="C52" s="12">
        <f>IF($C$3="CGE",GDP_CGE!C26,GDP_Simple!C35)</f>
        <v>0.49530000000000002</v>
      </c>
      <c r="D52" s="12">
        <f>IF($C$3="CGE",GDP_CGE!D26,GDP_Simple!D35)</f>
        <v>0.48570000000000002</v>
      </c>
      <c r="E52" s="12">
        <f>IF($C$3="CGE",GDP_CGE!E26,GDP_Simple!E35)</f>
        <v>0.48010000000000003</v>
      </c>
      <c r="F52" s="12">
        <f>IF($C$3="CGE",GDP_CGE!F26,GDP_Simple!F35)</f>
        <v>0.4783</v>
      </c>
      <c r="G52" s="12">
        <f>IF($C$3="CGE",GDP_CGE!G26,GDP_Simple!G35)</f>
        <v>0.47289999999999999</v>
      </c>
      <c r="H52" s="12">
        <f>IF($C$3="CGE",GDP_CGE!H26,GDP_Simple!H35)</f>
        <v>0.46870000000000001</v>
      </c>
      <c r="I52" s="12">
        <f>IF($C$3="CGE",GDP_CGE!I26,GDP_Simple!I35)</f>
        <v>0.47139999999999999</v>
      </c>
      <c r="J52" s="12">
        <f>IF($C$3="CGE",GDP_CGE!J26,GDP_Simple!J35)</f>
        <v>0.48859999999999998</v>
      </c>
      <c r="K52" s="12">
        <f>IF($C$3="CGE",GDP_CGE!K26,GDP_Simple!K35)</f>
        <v>0.50270000000000004</v>
      </c>
      <c r="L52" s="12">
        <f>IF($C$3="CGE",GDP_CGE!L26,GDP_Simple!L35)</f>
        <v>0.498</v>
      </c>
      <c r="M52" s="12">
        <f>IF($C$3="CGE",GDP_CGE!M26,GDP_Simple!M35)</f>
        <v>0.49359999999999998</v>
      </c>
      <c r="N52" s="12">
        <f>IF($C$3="CGE",GDP_CGE!N26,GDP_Simple!N35)</f>
        <v>0.48820000000000002</v>
      </c>
      <c r="O52" s="12">
        <f>IF($C$3="CGE",GDP_CGE!O26,GDP_Simple!O35)</f>
        <v>0.48220000000000002</v>
      </c>
      <c r="P52" s="12">
        <f>IF($C$3="CGE",GDP_CGE!P26,GDP_Simple!P35)</f>
        <v>0.47520000000000001</v>
      </c>
      <c r="Q52" s="12">
        <f>IF($C$3="CGE",GDP_CGE!Q26,GDP_Simple!Q35)</f>
        <v>0.46839999999999998</v>
      </c>
      <c r="R52" s="12">
        <f>IF($C$3="CGE",GDP_CGE!R26,GDP_Simple!R35)</f>
        <v>0.4647</v>
      </c>
      <c r="S52" s="12">
        <f>IF($C$3="CGE",GDP_CGE!S26,GDP_Simple!S35)</f>
        <v>0.45779999999999998</v>
      </c>
      <c r="T52" s="12">
        <f>IF($C$3="CGE",GDP_CGE!T26,GDP_Simple!T35)</f>
        <v>0.44979999999999998</v>
      </c>
      <c r="U52" s="12">
        <f>IF($C$3="CGE",GDP_CGE!U26,GDP_Simple!U35)</f>
        <v>0.44130000000000003</v>
      </c>
      <c r="V52" s="12">
        <f>IF($C$3="CGE",GDP_CGE!V26,GDP_Simple!V35)</f>
        <v>0.43219999999999997</v>
      </c>
      <c r="W52" s="12">
        <f>IF($C$3="CGE",GDP_CGE!W26,GDP_Simple!W35)</f>
        <v>0.42320000000000002</v>
      </c>
      <c r="X52" s="12">
        <f>IF($C$3="CGE",GDP_CGE!X26,GDP_Simple!X35)</f>
        <v>0.4138</v>
      </c>
      <c r="Y52" s="12">
        <f>IF($C$3="CGE",GDP_CGE!Y26,GDP_Simple!Y35)</f>
        <v>0.40460000000000002</v>
      </c>
      <c r="Z52" s="12">
        <f>IF($C$3="CGE",GDP_CGE!Z26,GDP_Simple!Z35)</f>
        <v>0.39539999999999997</v>
      </c>
      <c r="AA52" s="12">
        <f>IF($C$3="CGE",GDP_CGE!AA26,GDP_Simple!AA35)</f>
        <v>0.38550000000000001</v>
      </c>
      <c r="AB52" s="12">
        <f>IF($C$3="CGE",GDP_CGE!AB26,GDP_Simple!AB35)</f>
        <v>0.37590000000000001</v>
      </c>
      <c r="AC52" s="12">
        <f>IF($C$3="CGE",GDP_CGE!AC26,GDP_Simple!AC35)</f>
        <v>0.36670000000000003</v>
      </c>
      <c r="AD52" s="12">
        <f>IF($C$3="CGE",GDP_CGE!AD26,GDP_Simple!AD35)</f>
        <v>0.35759999999999997</v>
      </c>
      <c r="AE52" s="12">
        <f>IF($C$3="CGE",GDP_CGE!AE26,GDP_Simple!AE35)</f>
        <v>0.34839999999999999</v>
      </c>
      <c r="AF52" s="12">
        <f>IF($C$3="CGE",GDP_CGE!AF26,GDP_Simple!AF35)</f>
        <v>0.33989999999999998</v>
      </c>
      <c r="AG52" s="12">
        <f>IF($C$3="CGE",GDP_CGE!AG26,GDP_Simple!AG35)</f>
        <v>0.33169999999999999</v>
      </c>
      <c r="AH52" s="12">
        <f>IF($C$3="CGE",GDP_CGE!AH26,GDP_Simple!AH35)</f>
        <v>0.32350000000000001</v>
      </c>
      <c r="AI52" s="12">
        <f>IF($C$3="CGE",GDP_CGE!AI26,GDP_Simple!AI35)</f>
        <v>0.31519999999999998</v>
      </c>
      <c r="AJ52" s="12">
        <f>IF($C$3="CGE",GDP_CGE!AJ26,GDP_Simple!AJ35)</f>
        <v>0.30669999999999997</v>
      </c>
      <c r="AK52" s="12">
        <f>IF($C$3="CGE",GDP_CGE!AK26,GDP_Simple!AK35)</f>
        <v>0.2989</v>
      </c>
      <c r="AL52" s="12">
        <f>IF($C$3="CGE",GDP_CGE!AL26,GDP_Simple!AL35)</f>
        <v>0.29149999999999998</v>
      </c>
      <c r="AM52" s="12">
        <f>IF($C$3="CGE",GDP_CGE!AM26,GDP_Simple!AM35)</f>
        <v>0.28389999999999999</v>
      </c>
      <c r="AN52" s="12">
        <f>IF($C$3="CGE",GDP_CGE!AN26,GDP_Simple!AN35)</f>
        <v>0.27539999999999998</v>
      </c>
    </row>
    <row r="53" spans="1:42" x14ac:dyDescent="0.25">
      <c r="A53" s="3" t="s">
        <v>55</v>
      </c>
      <c r="B53" s="12">
        <f>IF($C$3="CGE",GDP_CGE!B27,GDP_Simple!B36)</f>
        <v>0.3</v>
      </c>
      <c r="C53" s="12">
        <f>IF($C$3="CGE",GDP_CGE!C27,GDP_Simple!C36)</f>
        <v>0.29570000000000002</v>
      </c>
      <c r="D53" s="12">
        <f>IF($C$3="CGE",GDP_CGE!D27,GDP_Simple!D36)</f>
        <v>0.29930000000000001</v>
      </c>
      <c r="E53" s="12">
        <f>IF($C$3="CGE",GDP_CGE!E27,GDP_Simple!E36)</f>
        <v>0.3029</v>
      </c>
      <c r="F53" s="12">
        <f>IF($C$3="CGE",GDP_CGE!F27,GDP_Simple!F36)</f>
        <v>0.3044</v>
      </c>
      <c r="G53" s="12">
        <f>IF($C$3="CGE",GDP_CGE!G27,GDP_Simple!G36)</f>
        <v>0.30480000000000002</v>
      </c>
      <c r="H53" s="12">
        <f>IF($C$3="CGE",GDP_CGE!H27,GDP_Simple!H36)</f>
        <v>0.30819999999999997</v>
      </c>
      <c r="I53" s="12">
        <f>IF($C$3="CGE",GDP_CGE!I27,GDP_Simple!I36)</f>
        <v>0.31109999999999999</v>
      </c>
      <c r="J53" s="12">
        <f>IF($C$3="CGE",GDP_CGE!J27,GDP_Simple!J36)</f>
        <v>0.31140000000000001</v>
      </c>
      <c r="K53" s="12">
        <f>IF($C$3="CGE",GDP_CGE!K27,GDP_Simple!K36)</f>
        <v>0.29730000000000001</v>
      </c>
      <c r="L53" s="12">
        <f>IF($C$3="CGE",GDP_CGE!L27,GDP_Simple!L36)</f>
        <v>0.30199999999999999</v>
      </c>
      <c r="M53" s="12">
        <f>IF($C$3="CGE",GDP_CGE!M27,GDP_Simple!M36)</f>
        <v>0.30640000000000001</v>
      </c>
      <c r="N53" s="12">
        <f>IF($C$3="CGE",GDP_CGE!N27,GDP_Simple!N36)</f>
        <v>0.30940000000000001</v>
      </c>
      <c r="O53" s="12">
        <f>IF($C$3="CGE",GDP_CGE!O27,GDP_Simple!O36)</f>
        <v>0.3115</v>
      </c>
      <c r="P53" s="12">
        <f>IF($C$3="CGE",GDP_CGE!P27,GDP_Simple!P36)</f>
        <v>0.313</v>
      </c>
      <c r="Q53" s="12">
        <f>IF($C$3="CGE",GDP_CGE!Q27,GDP_Simple!Q36)</f>
        <v>0.31540000000000001</v>
      </c>
      <c r="R53" s="12">
        <f>IF($C$3="CGE",GDP_CGE!R27,GDP_Simple!R36)</f>
        <v>0.3175</v>
      </c>
      <c r="S53" s="12">
        <f>IF($C$3="CGE",GDP_CGE!S27,GDP_Simple!S36)</f>
        <v>0.31859999999999999</v>
      </c>
      <c r="T53" s="12">
        <f>IF($C$3="CGE",GDP_CGE!T27,GDP_Simple!T36)</f>
        <v>0.32069999999999999</v>
      </c>
      <c r="U53" s="12">
        <f>IF($C$3="CGE",GDP_CGE!U27,GDP_Simple!U36)</f>
        <v>0.32240000000000002</v>
      </c>
      <c r="V53" s="12">
        <f>IF($C$3="CGE",GDP_CGE!V27,GDP_Simple!V36)</f>
        <v>0.32469999999999999</v>
      </c>
      <c r="W53" s="12">
        <f>IF($C$3="CGE",GDP_CGE!W27,GDP_Simple!W36)</f>
        <v>0.32690000000000002</v>
      </c>
      <c r="X53" s="12">
        <f>IF($C$3="CGE",GDP_CGE!X27,GDP_Simple!X36)</f>
        <v>0.32890000000000003</v>
      </c>
      <c r="Y53" s="12">
        <f>IF($C$3="CGE",GDP_CGE!Y27,GDP_Simple!Y36)</f>
        <v>0.33139999999999997</v>
      </c>
      <c r="Z53" s="12">
        <f>IF($C$3="CGE",GDP_CGE!Z27,GDP_Simple!Z36)</f>
        <v>0.33339999999999997</v>
      </c>
      <c r="AA53" s="12">
        <f>IF($C$3="CGE",GDP_CGE!AA27,GDP_Simple!AA36)</f>
        <v>0.33560000000000001</v>
      </c>
      <c r="AB53" s="12">
        <f>IF($C$3="CGE",GDP_CGE!AB27,GDP_Simple!AB36)</f>
        <v>0.33800000000000002</v>
      </c>
      <c r="AC53" s="12">
        <f>IF($C$3="CGE",GDP_CGE!AC27,GDP_Simple!AC36)</f>
        <v>0.34010000000000001</v>
      </c>
      <c r="AD53" s="12">
        <f>IF($C$3="CGE",GDP_CGE!AD27,GDP_Simple!AD36)</f>
        <v>0.3422</v>
      </c>
      <c r="AE53" s="12">
        <f>IF($C$3="CGE",GDP_CGE!AE27,GDP_Simple!AE36)</f>
        <v>0.34439999999999998</v>
      </c>
      <c r="AF53" s="12">
        <f>IF($C$3="CGE",GDP_CGE!AF27,GDP_Simple!AF36)</f>
        <v>0.34649999999999997</v>
      </c>
      <c r="AG53" s="12">
        <f>IF($C$3="CGE",GDP_CGE!AG27,GDP_Simple!AG36)</f>
        <v>0.34839999999999999</v>
      </c>
      <c r="AH53" s="12">
        <f>IF($C$3="CGE",GDP_CGE!AH27,GDP_Simple!AH36)</f>
        <v>0.35020000000000001</v>
      </c>
      <c r="AI53" s="12">
        <f>IF($C$3="CGE",GDP_CGE!AI27,GDP_Simple!AI36)</f>
        <v>0.35189999999999999</v>
      </c>
      <c r="AJ53" s="12">
        <f>IF($C$3="CGE",GDP_CGE!AJ27,GDP_Simple!AJ36)</f>
        <v>0.35370000000000001</v>
      </c>
      <c r="AK53" s="12">
        <f>IF($C$3="CGE",GDP_CGE!AK27,GDP_Simple!AK36)</f>
        <v>0.35560000000000003</v>
      </c>
      <c r="AL53" s="12">
        <f>IF($C$3="CGE",GDP_CGE!AL27,GDP_Simple!AL36)</f>
        <v>0.35720000000000002</v>
      </c>
      <c r="AM53" s="12">
        <f>IF($C$3="CGE",GDP_CGE!AM27,GDP_Simple!AM36)</f>
        <v>0.35859999999999997</v>
      </c>
      <c r="AN53" s="12">
        <f>IF($C$3="CGE",GDP_CGE!AN27,GDP_Simple!AN36)</f>
        <v>0.35959999999999998</v>
      </c>
    </row>
    <row r="54" spans="1:42" x14ac:dyDescent="0.25">
      <c r="A54" s="3" t="s">
        <v>56</v>
      </c>
      <c r="B54" s="12">
        <f>IF($C$3="CGE",GDP_CGE!B28,GDP_Simple!B37)</f>
        <v>0.2</v>
      </c>
      <c r="C54" s="12">
        <f>IF($C$3="CGE",GDP_CGE!C28,GDP_Simple!C37)</f>
        <v>0.20899999999999999</v>
      </c>
      <c r="D54" s="12">
        <f>IF($C$3="CGE",GDP_CGE!D28,GDP_Simple!D37)</f>
        <v>0.215</v>
      </c>
      <c r="E54" s="12">
        <f>IF($C$3="CGE",GDP_CGE!E28,GDP_Simple!E37)</f>
        <v>0.217</v>
      </c>
      <c r="F54" s="12">
        <f>IF($C$3="CGE",GDP_CGE!F28,GDP_Simple!F37)</f>
        <v>0.2172</v>
      </c>
      <c r="G54" s="12">
        <f>IF($C$3="CGE",GDP_CGE!G28,GDP_Simple!G37)</f>
        <v>0.2223</v>
      </c>
      <c r="H54" s="12">
        <f>IF($C$3="CGE",GDP_CGE!H28,GDP_Simple!H37)</f>
        <v>0.22309999999999999</v>
      </c>
      <c r="I54" s="12">
        <f>IF($C$3="CGE",GDP_CGE!I28,GDP_Simple!I37)</f>
        <v>0.21759999999999999</v>
      </c>
      <c r="J54" s="12">
        <f>IF($C$3="CGE",GDP_CGE!J28,GDP_Simple!J37)</f>
        <v>0.2</v>
      </c>
      <c r="K54" s="12">
        <f>IF($C$3="CGE",GDP_CGE!K28,GDP_Simple!K37)</f>
        <v>0.2</v>
      </c>
      <c r="L54" s="12">
        <f>IF($C$3="CGE",GDP_CGE!L28,GDP_Simple!L37)</f>
        <v>0.2</v>
      </c>
      <c r="M54" s="12">
        <f>IF($C$3="CGE",GDP_CGE!M28,GDP_Simple!M37)</f>
        <v>0.2</v>
      </c>
      <c r="N54" s="12">
        <f>IF($C$3="CGE",GDP_CGE!N28,GDP_Simple!N37)</f>
        <v>0.20230000000000001</v>
      </c>
      <c r="O54" s="12">
        <f>IF($C$3="CGE",GDP_CGE!O28,GDP_Simple!O37)</f>
        <v>0.20630000000000001</v>
      </c>
      <c r="P54" s="12">
        <f>IF($C$3="CGE",GDP_CGE!P28,GDP_Simple!P37)</f>
        <v>0.21179999999999999</v>
      </c>
      <c r="Q54" s="12">
        <f>IF($C$3="CGE",GDP_CGE!Q28,GDP_Simple!Q37)</f>
        <v>0.2162</v>
      </c>
      <c r="R54" s="12">
        <f>IF($C$3="CGE",GDP_CGE!R28,GDP_Simple!R37)</f>
        <v>0.21790000000000001</v>
      </c>
      <c r="S54" s="12">
        <f>IF($C$3="CGE",GDP_CGE!S28,GDP_Simple!S37)</f>
        <v>0.22359999999999999</v>
      </c>
      <c r="T54" s="12">
        <f>IF($C$3="CGE",GDP_CGE!T28,GDP_Simple!T37)</f>
        <v>0.22939999999999999</v>
      </c>
      <c r="U54" s="12">
        <f>IF($C$3="CGE",GDP_CGE!U28,GDP_Simple!U37)</f>
        <v>0.23619999999999999</v>
      </c>
      <c r="V54" s="12">
        <f>IF($C$3="CGE",GDP_CGE!V28,GDP_Simple!V37)</f>
        <v>0.2432</v>
      </c>
      <c r="W54" s="12">
        <f>IF($C$3="CGE",GDP_CGE!W28,GDP_Simple!W37)</f>
        <v>0.24990000000000001</v>
      </c>
      <c r="X54" s="12">
        <f>IF($C$3="CGE",GDP_CGE!X28,GDP_Simple!X37)</f>
        <v>0.25719999999999998</v>
      </c>
      <c r="Y54" s="12">
        <f>IF($C$3="CGE",GDP_CGE!Y28,GDP_Simple!Y37)</f>
        <v>0.26390000000000002</v>
      </c>
      <c r="Z54" s="12">
        <f>IF($C$3="CGE",GDP_CGE!Z28,GDP_Simple!Z37)</f>
        <v>0.2712</v>
      </c>
      <c r="AA54" s="12">
        <f>IF($C$3="CGE",GDP_CGE!AA28,GDP_Simple!AA37)</f>
        <v>0.27889999999999998</v>
      </c>
      <c r="AB54" s="12">
        <f>IF($C$3="CGE",GDP_CGE!AB28,GDP_Simple!AB37)</f>
        <v>0.28599999999999998</v>
      </c>
      <c r="AC54" s="12">
        <f>IF($C$3="CGE",GDP_CGE!AC28,GDP_Simple!AC37)</f>
        <v>0.29310000000000003</v>
      </c>
      <c r="AD54" s="12">
        <f>IF($C$3="CGE",GDP_CGE!AD28,GDP_Simple!AD37)</f>
        <v>0.30020000000000002</v>
      </c>
      <c r="AE54" s="12">
        <f>IF($C$3="CGE",GDP_CGE!AE28,GDP_Simple!AE37)</f>
        <v>0.30719999999999997</v>
      </c>
      <c r="AF54" s="12">
        <f>IF($C$3="CGE",GDP_CGE!AF28,GDP_Simple!AF37)</f>
        <v>0.3135</v>
      </c>
      <c r="AG54" s="12">
        <f>IF($C$3="CGE",GDP_CGE!AG28,GDP_Simple!AG37)</f>
        <v>0.31990000000000002</v>
      </c>
      <c r="AH54" s="12">
        <f>IF($C$3="CGE",GDP_CGE!AH28,GDP_Simple!AH37)</f>
        <v>0.32629999999999998</v>
      </c>
      <c r="AI54" s="12">
        <f>IF($C$3="CGE",GDP_CGE!AI28,GDP_Simple!AI37)</f>
        <v>0.33289999999999997</v>
      </c>
      <c r="AJ54" s="12">
        <f>IF($C$3="CGE",GDP_CGE!AJ28,GDP_Simple!AJ37)</f>
        <v>0.33960000000000001</v>
      </c>
      <c r="AK54" s="12">
        <f>IF($C$3="CGE",GDP_CGE!AK28,GDP_Simple!AK37)</f>
        <v>0.34549999999999997</v>
      </c>
      <c r="AL54" s="12">
        <f>IF($C$3="CGE",GDP_CGE!AL28,GDP_Simple!AL37)</f>
        <v>0.35139999999999999</v>
      </c>
      <c r="AM54" s="12">
        <f>IF($C$3="CGE",GDP_CGE!AM28,GDP_Simple!AM37)</f>
        <v>0.35749999999999998</v>
      </c>
      <c r="AN54" s="12">
        <f>IF($C$3="CGE",GDP_CGE!AN28,GDP_Simple!AN37)</f>
        <v>0.36499999999999999</v>
      </c>
    </row>
    <row r="55" spans="1:42" x14ac:dyDescent="0.25">
      <c r="A55" s="3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7" spans="1:42" ht="18" thickBot="1" x14ac:dyDescent="0.35">
      <c r="A57" s="4" t="s">
        <v>69</v>
      </c>
      <c r="B57" s="4"/>
      <c r="C57" s="4"/>
      <c r="D57" s="4"/>
      <c r="E57" s="4"/>
      <c r="F57" s="4"/>
      <c r="G57" s="4"/>
      <c r="H57" s="4"/>
    </row>
    <row r="58" spans="1:42" ht="15.75" thickTop="1" x14ac:dyDescent="0.25">
      <c r="A58" s="3">
        <v>2012</v>
      </c>
      <c r="B58" s="3">
        <v>2013</v>
      </c>
      <c r="C58" s="3">
        <v>2014</v>
      </c>
      <c r="D58" s="3">
        <v>2015</v>
      </c>
      <c r="E58" s="3">
        <v>2016</v>
      </c>
      <c r="F58" s="3">
        <v>2017</v>
      </c>
      <c r="G58" s="3">
        <v>2018</v>
      </c>
      <c r="H58" s="3">
        <v>2019</v>
      </c>
      <c r="I58" s="3">
        <v>2020</v>
      </c>
      <c r="J58" s="3">
        <v>2021</v>
      </c>
      <c r="K58" s="3">
        <v>2022</v>
      </c>
      <c r="L58" s="3">
        <v>2023</v>
      </c>
      <c r="M58" s="3">
        <v>2024</v>
      </c>
      <c r="N58" s="3">
        <v>2025</v>
      </c>
      <c r="O58" s="3">
        <v>2026</v>
      </c>
      <c r="P58" s="3">
        <v>2027</v>
      </c>
      <c r="Q58" s="3">
        <v>2028</v>
      </c>
      <c r="R58" s="3">
        <v>2029</v>
      </c>
      <c r="S58" s="3">
        <v>2030</v>
      </c>
      <c r="T58" s="3">
        <v>2031</v>
      </c>
      <c r="U58" s="3">
        <v>2032</v>
      </c>
      <c r="V58" s="3">
        <v>2033</v>
      </c>
      <c r="W58" s="3">
        <v>2034</v>
      </c>
      <c r="X58" s="3">
        <v>2035</v>
      </c>
      <c r="Y58" s="3">
        <v>2036</v>
      </c>
      <c r="Z58">
        <v>2037</v>
      </c>
      <c r="AA58">
        <v>2038</v>
      </c>
      <c r="AB58">
        <v>2039</v>
      </c>
      <c r="AC58">
        <v>2040</v>
      </c>
      <c r="AD58">
        <v>2041</v>
      </c>
      <c r="AE58">
        <v>2042</v>
      </c>
      <c r="AF58">
        <v>2043</v>
      </c>
      <c r="AG58">
        <v>2044</v>
      </c>
      <c r="AH58">
        <v>2045</v>
      </c>
      <c r="AI58">
        <v>2046</v>
      </c>
      <c r="AJ58">
        <v>2047</v>
      </c>
      <c r="AK58">
        <v>2048</v>
      </c>
      <c r="AL58">
        <v>2049</v>
      </c>
      <c r="AM58">
        <v>2050</v>
      </c>
    </row>
    <row r="59" spans="1:42" x14ac:dyDescent="0.25">
      <c r="A59" s="12">
        <f>IF($C$3="CGE",GDP_CGE!A33,GDP_Simple!A42)</f>
        <v>0.30163969294990939</v>
      </c>
      <c r="B59" s="12">
        <f>IF($C$3="CGE",GDP_CGE!B33,GDP_Simple!B42)</f>
        <v>0.30796232196009593</v>
      </c>
      <c r="C59" s="12">
        <f>IF($C$3="CGE",GDP_CGE!C33,GDP_Simple!C42)</f>
        <v>0.31076074811132609</v>
      </c>
      <c r="D59" s="12">
        <f>IF($C$3="CGE",GDP_CGE!D33,GDP_Simple!D42)</f>
        <v>0.31288978435800541</v>
      </c>
      <c r="E59" s="12">
        <f>IF($C$3="CGE",GDP_CGE!E33,GDP_Simple!E42)</f>
        <v>0.31287861234645009</v>
      </c>
      <c r="F59" s="12">
        <f>IF($C$3="CGE",GDP_CGE!F33,GDP_Simple!F42)</f>
        <v>0.31559061766201918</v>
      </c>
      <c r="G59" s="12">
        <f>IF($C$3="CGE",GDP_CGE!G33,GDP_Simple!G42)</f>
        <v>0.31792262160723966</v>
      </c>
      <c r="H59" s="12">
        <f>IF($C$3="CGE",GDP_CGE!H33,GDP_Simple!H42)</f>
        <v>0.31751776256697073</v>
      </c>
      <c r="I59" s="12">
        <f>IF($C$3="CGE",GDP_CGE!I33,GDP_Simple!I42)</f>
        <v>0.29019645575179692</v>
      </c>
      <c r="J59" s="12">
        <f>IF($C$3="CGE",GDP_CGE!J33,GDP_Simple!J42)</f>
        <v>0.29699796556548153</v>
      </c>
      <c r="K59" s="12">
        <f>IF($C$3="CGE",GDP_CGE!K33,GDP_Simple!K42)</f>
        <v>0.30086618803463078</v>
      </c>
      <c r="L59" s="12">
        <f>IF($C$3="CGE",GDP_CGE!L33,GDP_Simple!L42)</f>
        <v>0.30560921323222662</v>
      </c>
      <c r="M59" s="12">
        <f>IF($C$3="CGE",GDP_CGE!M33,GDP_Simple!M42)</f>
        <v>0.31089428879503833</v>
      </c>
      <c r="N59" s="12">
        <f>IF($C$3="CGE",GDP_CGE!N33,GDP_Simple!N42)</f>
        <v>0.31574574729178884</v>
      </c>
      <c r="O59" s="12">
        <f>IF($C$3="CGE",GDP_CGE!O33,GDP_Simple!O42)</f>
        <v>0.32233263553724806</v>
      </c>
      <c r="P59" s="12">
        <f>IF($C$3="CGE",GDP_CGE!P33,GDP_Simple!P42)</f>
        <v>0.32880003865535701</v>
      </c>
      <c r="Q59" s="12">
        <f>IF($C$3="CGE",GDP_CGE!Q33,GDP_Simple!Q42)</f>
        <v>0.33535511550799657</v>
      </c>
      <c r="R59" s="12">
        <f>IF($C$3="CGE",GDP_CGE!R33,GDP_Simple!R42)</f>
        <v>0.34123725286063172</v>
      </c>
      <c r="S59" s="12">
        <f>IF($C$3="CGE",GDP_CGE!S33,GDP_Simple!S42)</f>
        <v>0.34454239921586177</v>
      </c>
      <c r="T59" s="12">
        <f>IF($C$3="CGE",GDP_CGE!T33,GDP_Simple!T42)</f>
        <v>0.35116683037727708</v>
      </c>
      <c r="U59" s="12">
        <f>IF($C$3="CGE",GDP_CGE!U33,GDP_Simple!U42)</f>
        <v>0.3572236000334062</v>
      </c>
      <c r="V59" s="12">
        <f>IF($C$3="CGE",GDP_CGE!V33,GDP_Simple!V42)</f>
        <v>0.36353776465503623</v>
      </c>
      <c r="W59" s="12">
        <f>IF($C$3="CGE",GDP_CGE!W33,GDP_Simple!W42)</f>
        <v>0.36890203829536222</v>
      </c>
      <c r="X59" s="12">
        <f>IF($C$3="CGE",GDP_CGE!X33,GDP_Simple!X42)</f>
        <v>0.37427262385952426</v>
      </c>
      <c r="Y59" s="12">
        <f>IF($C$3="CGE",GDP_CGE!Y33,GDP_Simple!Y42)</f>
        <v>0.38104809418400248</v>
      </c>
      <c r="Z59" s="12">
        <f>IF($C$3="CGE",GDP_CGE!Z33,GDP_Simple!Z42)</f>
        <v>0.38784776605814258</v>
      </c>
      <c r="AA59" s="12">
        <f>IF($C$3="CGE",GDP_CGE!AA33,GDP_Simple!AA42)</f>
        <v>0.4299009822099728</v>
      </c>
      <c r="AB59" s="12">
        <f>IF($C$3="CGE",GDP_CGE!AB33,GDP_Simple!AB42)</f>
        <v>0.43713117831921317</v>
      </c>
      <c r="AC59" s="12">
        <f>IF($C$3="CGE",GDP_CGE!AC33,GDP_Simple!AC42)</f>
        <v>0.44491156591527831</v>
      </c>
      <c r="AD59" s="12">
        <f>IF($C$3="CGE",GDP_CGE!AD33,GDP_Simple!AD42)</f>
        <v>0.45393229406497204</v>
      </c>
      <c r="AE59" s="12">
        <f>IF($C$3="CGE",GDP_CGE!AE33,GDP_Simple!AE42)</f>
        <v>0.46311317822350589</v>
      </c>
      <c r="AF59" s="12">
        <f>IF($C$3="CGE",GDP_CGE!AF33,GDP_Simple!AF42)</f>
        <v>0.4726065828684099</v>
      </c>
      <c r="AG59" s="12">
        <f>IF($C$3="CGE",GDP_CGE!AG33,GDP_Simple!AG42)</f>
        <v>0.48236629091688582</v>
      </c>
      <c r="AH59" s="12">
        <f>IF($C$3="CGE",GDP_CGE!AH33,GDP_Simple!AH42)</f>
        <v>0.49247723540906563</v>
      </c>
      <c r="AI59" s="12">
        <f>IF($C$3="CGE",GDP_CGE!AI33,GDP_Simple!AI42)</f>
        <v>0.50118562936425615</v>
      </c>
      <c r="AJ59" s="12">
        <f>IF($C$3="CGE",GDP_CGE!AJ33,GDP_Simple!AJ42)</f>
        <v>0.51042179853043057</v>
      </c>
      <c r="AK59" s="12">
        <f>IF($C$3="CGE",GDP_CGE!AK33,GDP_Simple!AK42)</f>
        <v>0.52017248072066546</v>
      </c>
      <c r="AL59" s="12">
        <f>IF($C$3="CGE",GDP_CGE!AL33,GDP_Simple!AL42)</f>
        <v>0.53049825447978527</v>
      </c>
      <c r="AM59" s="12">
        <f>IF($C$3="CGE",GDP_CGE!AM33,GDP_Simple!AM42)</f>
        <v>0.54170030276549952</v>
      </c>
      <c r="AN59" s="12"/>
    </row>
    <row r="62" spans="1:42" ht="18" thickBot="1" x14ac:dyDescent="0.35">
      <c r="A62" s="4" t="s">
        <v>70</v>
      </c>
      <c r="B62" s="4"/>
      <c r="C62" s="4"/>
      <c r="D62" s="4"/>
      <c r="E62" s="4"/>
      <c r="F62" s="4"/>
      <c r="G62" s="4"/>
      <c r="H62" s="4"/>
    </row>
    <row r="63" spans="1:42" ht="15.75" thickTop="1" x14ac:dyDescent="0.25">
      <c r="C63" s="3">
        <v>2012</v>
      </c>
      <c r="D63" s="3">
        <v>2013</v>
      </c>
      <c r="E63" s="3">
        <v>2014</v>
      </c>
      <c r="F63" s="3">
        <v>2015</v>
      </c>
      <c r="G63" s="3">
        <v>2016</v>
      </c>
      <c r="H63" s="3">
        <v>2017</v>
      </c>
      <c r="I63" s="3">
        <v>2018</v>
      </c>
      <c r="J63" s="3">
        <v>2019</v>
      </c>
      <c r="K63" s="3">
        <v>2020</v>
      </c>
      <c r="L63" s="3">
        <v>2021</v>
      </c>
      <c r="M63" s="3">
        <v>2022</v>
      </c>
      <c r="N63" s="3">
        <v>2023</v>
      </c>
      <c r="O63" s="3">
        <v>2024</v>
      </c>
      <c r="P63" s="3">
        <v>2025</v>
      </c>
      <c r="Q63" s="3">
        <v>2026</v>
      </c>
      <c r="R63" s="3">
        <v>2027</v>
      </c>
      <c r="S63" s="3">
        <v>2028</v>
      </c>
      <c r="T63" s="3">
        <v>2029</v>
      </c>
      <c r="U63" s="3">
        <v>2030</v>
      </c>
      <c r="V63" s="3">
        <v>2031</v>
      </c>
      <c r="W63" s="3">
        <v>2032</v>
      </c>
      <c r="X63" s="3">
        <v>2033</v>
      </c>
      <c r="Y63" s="3">
        <v>2034</v>
      </c>
      <c r="Z63" s="3">
        <v>2035</v>
      </c>
      <c r="AA63" s="3">
        <v>2036</v>
      </c>
      <c r="AB63" s="3">
        <v>2037</v>
      </c>
      <c r="AC63" s="3">
        <v>2038</v>
      </c>
      <c r="AD63" s="3">
        <v>2039</v>
      </c>
      <c r="AE63" s="3">
        <v>2040</v>
      </c>
      <c r="AF63" s="3">
        <v>2041</v>
      </c>
      <c r="AG63" s="3">
        <v>2042</v>
      </c>
      <c r="AH63" s="3">
        <v>2043</v>
      </c>
      <c r="AI63" s="3">
        <v>2044</v>
      </c>
      <c r="AJ63" s="3">
        <v>2045</v>
      </c>
      <c r="AK63" s="3">
        <v>2046</v>
      </c>
      <c r="AL63" s="3">
        <v>2047</v>
      </c>
      <c r="AM63" s="3">
        <v>2048</v>
      </c>
      <c r="AN63" s="3">
        <v>2049</v>
      </c>
      <c r="AO63" s="3">
        <v>2050</v>
      </c>
      <c r="AP63" s="3"/>
    </row>
    <row r="64" spans="1:42" x14ac:dyDescent="0.25">
      <c r="A64" s="3" t="s">
        <v>54</v>
      </c>
      <c r="B64" s="3" t="s">
        <v>57</v>
      </c>
      <c r="C64" t="s">
        <v>58</v>
      </c>
      <c r="D64" t="s">
        <v>58</v>
      </c>
      <c r="E64" t="s">
        <v>58</v>
      </c>
      <c r="F64" t="s">
        <v>58</v>
      </c>
      <c r="G64" t="s">
        <v>58</v>
      </c>
      <c r="H64" t="s">
        <v>58</v>
      </c>
      <c r="I64" t="s">
        <v>58</v>
      </c>
      <c r="J64" t="s">
        <v>58</v>
      </c>
      <c r="K64" t="s">
        <v>58</v>
      </c>
      <c r="L64" t="s">
        <v>58</v>
      </c>
      <c r="M64" t="s">
        <v>58</v>
      </c>
      <c r="N64" t="s">
        <v>58</v>
      </c>
      <c r="O64" t="s">
        <v>58</v>
      </c>
      <c r="P64" t="s">
        <v>58</v>
      </c>
      <c r="Q64" t="s">
        <v>58</v>
      </c>
      <c r="R64" t="s">
        <v>58</v>
      </c>
      <c r="S64" t="s">
        <v>58</v>
      </c>
      <c r="T64" t="s">
        <v>58</v>
      </c>
      <c r="U64" t="s">
        <v>58</v>
      </c>
      <c r="V64" t="s">
        <v>58</v>
      </c>
      <c r="W64" t="s">
        <v>58</v>
      </c>
      <c r="X64" t="s">
        <v>58</v>
      </c>
      <c r="Y64" t="s">
        <v>58</v>
      </c>
      <c r="Z64" t="s">
        <v>58</v>
      </c>
      <c r="AA64" t="s">
        <v>58</v>
      </c>
      <c r="AB64" t="s">
        <v>58</v>
      </c>
      <c r="AC64" t="s">
        <v>58</v>
      </c>
      <c r="AD64" t="s">
        <v>58</v>
      </c>
      <c r="AE64" t="s">
        <v>58</v>
      </c>
      <c r="AF64" t="s">
        <v>58</v>
      </c>
      <c r="AG64" t="s">
        <v>58</v>
      </c>
      <c r="AH64" t="s">
        <v>58</v>
      </c>
      <c r="AI64" t="s">
        <v>58</v>
      </c>
      <c r="AJ64" t="s">
        <v>58</v>
      </c>
      <c r="AK64" t="s">
        <v>58</v>
      </c>
      <c r="AL64" t="s">
        <v>58</v>
      </c>
      <c r="AM64" t="s">
        <v>58</v>
      </c>
      <c r="AN64" t="s">
        <v>58</v>
      </c>
      <c r="AO64" t="s">
        <v>58</v>
      </c>
    </row>
    <row r="65" spans="1:41" x14ac:dyDescent="0.25">
      <c r="A65" s="3" t="s">
        <v>54</v>
      </c>
      <c r="B65" s="3" t="s">
        <v>59</v>
      </c>
      <c r="C65" t="s">
        <v>58</v>
      </c>
      <c r="D65" t="s">
        <v>58</v>
      </c>
      <c r="E65" t="s">
        <v>58</v>
      </c>
      <c r="F65" t="s">
        <v>58</v>
      </c>
      <c r="G65" t="s">
        <v>58</v>
      </c>
      <c r="H65" t="s">
        <v>58</v>
      </c>
      <c r="I65" t="s">
        <v>58</v>
      </c>
      <c r="J65" t="s">
        <v>58</v>
      </c>
      <c r="K65" t="s">
        <v>58</v>
      </c>
      <c r="L65" t="s">
        <v>58</v>
      </c>
      <c r="M65" t="s">
        <v>58</v>
      </c>
      <c r="N65" t="s">
        <v>58</v>
      </c>
      <c r="O65" t="s">
        <v>58</v>
      </c>
      <c r="P65" t="s">
        <v>58</v>
      </c>
      <c r="Q65" t="s">
        <v>58</v>
      </c>
      <c r="R65" t="s">
        <v>58</v>
      </c>
      <c r="S65" t="s">
        <v>58</v>
      </c>
      <c r="T65" t="s">
        <v>58</v>
      </c>
      <c r="U65" t="s">
        <v>58</v>
      </c>
      <c r="V65" t="s">
        <v>58</v>
      </c>
      <c r="W65" t="s">
        <v>58</v>
      </c>
      <c r="X65" t="s">
        <v>58</v>
      </c>
      <c r="Y65" t="s">
        <v>58</v>
      </c>
      <c r="Z65" t="s">
        <v>58</v>
      </c>
      <c r="AA65" t="s">
        <v>58</v>
      </c>
      <c r="AB65" t="s">
        <v>58</v>
      </c>
      <c r="AC65" t="s">
        <v>58</v>
      </c>
      <c r="AD65" t="s">
        <v>58</v>
      </c>
      <c r="AE65" t="s">
        <v>58</v>
      </c>
      <c r="AF65" t="s">
        <v>58</v>
      </c>
      <c r="AG65" t="s">
        <v>58</v>
      </c>
      <c r="AH65" t="s">
        <v>58</v>
      </c>
      <c r="AI65" t="s">
        <v>58</v>
      </c>
      <c r="AJ65" t="s">
        <v>58</v>
      </c>
      <c r="AK65" t="s">
        <v>58</v>
      </c>
      <c r="AL65" t="s">
        <v>58</v>
      </c>
    </row>
    <row r="66" spans="1:41" x14ac:dyDescent="0.25">
      <c r="A66" s="3" t="s">
        <v>54</v>
      </c>
      <c r="B66" s="3" t="s">
        <v>60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  <c r="S66" t="s">
        <v>58</v>
      </c>
      <c r="T66" t="s">
        <v>58</v>
      </c>
      <c r="U66" t="s">
        <v>58</v>
      </c>
      <c r="V66" t="s">
        <v>58</v>
      </c>
      <c r="W66" t="s">
        <v>58</v>
      </c>
      <c r="X66" t="s">
        <v>58</v>
      </c>
      <c r="Y66" t="s">
        <v>58</v>
      </c>
      <c r="Z66" t="s">
        <v>58</v>
      </c>
    </row>
    <row r="67" spans="1:41" x14ac:dyDescent="0.25">
      <c r="A67" s="3" t="s">
        <v>54</v>
      </c>
      <c r="B67" s="3" t="s">
        <v>61</v>
      </c>
      <c r="C67" t="s">
        <v>58</v>
      </c>
      <c r="D67" t="s">
        <v>58</v>
      </c>
      <c r="E67" t="s">
        <v>58</v>
      </c>
      <c r="F67" t="s">
        <v>58</v>
      </c>
      <c r="G67" t="s">
        <v>58</v>
      </c>
      <c r="H67" t="s">
        <v>58</v>
      </c>
      <c r="I67" t="s">
        <v>58</v>
      </c>
      <c r="J67" t="s">
        <v>58</v>
      </c>
      <c r="K67" t="s">
        <v>58</v>
      </c>
      <c r="L67" t="s">
        <v>58</v>
      </c>
      <c r="M67" t="s">
        <v>58</v>
      </c>
      <c r="N67" t="s">
        <v>58</v>
      </c>
      <c r="O67" t="s">
        <v>58</v>
      </c>
      <c r="P67" t="s">
        <v>58</v>
      </c>
      <c r="Q67" t="s">
        <v>58</v>
      </c>
      <c r="R67" t="s">
        <v>58</v>
      </c>
    </row>
    <row r="68" spans="1:41" x14ac:dyDescent="0.25">
      <c r="A68" s="3" t="s">
        <v>55</v>
      </c>
      <c r="B68" s="3" t="s">
        <v>59</v>
      </c>
      <c r="AM68" t="s">
        <v>58</v>
      </c>
      <c r="AN68" t="s">
        <v>58</v>
      </c>
      <c r="AO68" t="s">
        <v>58</v>
      </c>
    </row>
    <row r="69" spans="1:41" x14ac:dyDescent="0.25">
      <c r="A69" s="3" t="s">
        <v>55</v>
      </c>
      <c r="B69" s="3" t="s">
        <v>60</v>
      </c>
      <c r="AA69" t="s">
        <v>58</v>
      </c>
      <c r="AB69" t="s">
        <v>58</v>
      </c>
      <c r="AC69" t="s">
        <v>58</v>
      </c>
      <c r="AD69" t="s">
        <v>58</v>
      </c>
      <c r="AE69" t="s">
        <v>58</v>
      </c>
      <c r="AF69" t="s">
        <v>58</v>
      </c>
      <c r="AG69" t="s">
        <v>58</v>
      </c>
      <c r="AH69" t="s">
        <v>58</v>
      </c>
      <c r="AI69" t="s">
        <v>58</v>
      </c>
      <c r="AJ69" t="s">
        <v>58</v>
      </c>
      <c r="AK69" t="s">
        <v>58</v>
      </c>
      <c r="AL69" t="s">
        <v>58</v>
      </c>
      <c r="AM69" t="s">
        <v>58</v>
      </c>
      <c r="AN69" t="s">
        <v>58</v>
      </c>
      <c r="AO69" t="s">
        <v>58</v>
      </c>
    </row>
    <row r="70" spans="1:41" x14ac:dyDescent="0.25">
      <c r="A70" s="3" t="s">
        <v>55</v>
      </c>
      <c r="B70" s="3" t="s">
        <v>61</v>
      </c>
      <c r="S70" t="s">
        <v>58</v>
      </c>
      <c r="T70" t="s">
        <v>58</v>
      </c>
      <c r="U70" t="s">
        <v>58</v>
      </c>
      <c r="V70" t="s">
        <v>58</v>
      </c>
      <c r="W70" t="s">
        <v>58</v>
      </c>
      <c r="X70" t="s">
        <v>58</v>
      </c>
      <c r="Y70" t="s">
        <v>58</v>
      </c>
      <c r="Z70" t="s">
        <v>58</v>
      </c>
      <c r="AA70" t="s">
        <v>58</v>
      </c>
      <c r="AB70" t="s">
        <v>58</v>
      </c>
      <c r="AC70" t="s">
        <v>58</v>
      </c>
      <c r="AD70" t="s">
        <v>58</v>
      </c>
      <c r="AE70" t="s">
        <v>58</v>
      </c>
      <c r="AF70" t="s">
        <v>58</v>
      </c>
      <c r="AG70" t="s">
        <v>58</v>
      </c>
      <c r="AH70" t="s">
        <v>58</v>
      </c>
      <c r="AI70" t="s">
        <v>58</v>
      </c>
      <c r="AJ70" t="s">
        <v>58</v>
      </c>
      <c r="AK70" t="s">
        <v>58</v>
      </c>
      <c r="AL70" t="s">
        <v>58</v>
      </c>
      <c r="AM70" t="s">
        <v>58</v>
      </c>
      <c r="AN70" t="s">
        <v>58</v>
      </c>
      <c r="AO70" t="s">
        <v>58</v>
      </c>
    </row>
    <row r="71" spans="1:41" x14ac:dyDescent="0.25">
      <c r="A71" s="3" t="s">
        <v>55</v>
      </c>
      <c r="B71" s="3" t="s">
        <v>62</v>
      </c>
      <c r="C71" t="s">
        <v>58</v>
      </c>
      <c r="D71" t="s">
        <v>58</v>
      </c>
      <c r="E71" t="s">
        <v>58</v>
      </c>
      <c r="F71" t="s">
        <v>58</v>
      </c>
      <c r="G71" t="s">
        <v>58</v>
      </c>
      <c r="H71" t="s">
        <v>58</v>
      </c>
      <c r="I71" t="s">
        <v>58</v>
      </c>
      <c r="J71" t="s">
        <v>58</v>
      </c>
      <c r="K71" t="s">
        <v>58</v>
      </c>
      <c r="L71" t="s">
        <v>58</v>
      </c>
      <c r="M71" t="s">
        <v>58</v>
      </c>
      <c r="N71" t="s">
        <v>58</v>
      </c>
      <c r="O71" t="s">
        <v>58</v>
      </c>
      <c r="P71" t="s">
        <v>58</v>
      </c>
      <c r="Q71" t="s">
        <v>58</v>
      </c>
      <c r="R71" t="s">
        <v>58</v>
      </c>
      <c r="S71" t="s">
        <v>58</v>
      </c>
      <c r="T71" t="s">
        <v>58</v>
      </c>
      <c r="U71" t="s">
        <v>58</v>
      </c>
      <c r="V71" t="s">
        <v>58</v>
      </c>
      <c r="W71" t="s">
        <v>58</v>
      </c>
      <c r="X71" t="s">
        <v>58</v>
      </c>
      <c r="Y71" t="s">
        <v>58</v>
      </c>
      <c r="Z71" t="s">
        <v>58</v>
      </c>
      <c r="AA71" t="s">
        <v>58</v>
      </c>
      <c r="AB71" t="s">
        <v>58</v>
      </c>
      <c r="AC71" t="s">
        <v>58</v>
      </c>
      <c r="AD71" t="s">
        <v>58</v>
      </c>
      <c r="AE71" t="s">
        <v>58</v>
      </c>
      <c r="AF71" t="s">
        <v>58</v>
      </c>
      <c r="AG71" t="s">
        <v>58</v>
      </c>
      <c r="AH71" t="s">
        <v>58</v>
      </c>
      <c r="AI71" t="s">
        <v>58</v>
      </c>
      <c r="AJ71" t="s">
        <v>58</v>
      </c>
      <c r="AK71" t="s">
        <v>58</v>
      </c>
      <c r="AL71" t="s">
        <v>58</v>
      </c>
      <c r="AM71" t="s">
        <v>58</v>
      </c>
      <c r="AN71" t="s">
        <v>58</v>
      </c>
      <c r="AO71" t="s">
        <v>58</v>
      </c>
    </row>
    <row r="72" spans="1:41" x14ac:dyDescent="0.25">
      <c r="A72" s="3" t="s">
        <v>55</v>
      </c>
      <c r="B72" s="3" t="s">
        <v>63</v>
      </c>
      <c r="C72" t="s">
        <v>58</v>
      </c>
      <c r="D72" t="s">
        <v>58</v>
      </c>
      <c r="E72" t="s">
        <v>58</v>
      </c>
      <c r="F72" t="s">
        <v>58</v>
      </c>
      <c r="G72" t="s">
        <v>58</v>
      </c>
      <c r="H72" t="s">
        <v>58</v>
      </c>
      <c r="I72" t="s">
        <v>58</v>
      </c>
      <c r="J72" t="s">
        <v>58</v>
      </c>
      <c r="K72" t="s">
        <v>58</v>
      </c>
      <c r="L72" t="s">
        <v>58</v>
      </c>
      <c r="M72" t="s">
        <v>58</v>
      </c>
      <c r="N72" t="s">
        <v>58</v>
      </c>
      <c r="O72" t="s">
        <v>58</v>
      </c>
      <c r="P72" t="s">
        <v>58</v>
      </c>
      <c r="Q72" t="s">
        <v>58</v>
      </c>
      <c r="R72" t="s">
        <v>58</v>
      </c>
      <c r="S72" t="s">
        <v>58</v>
      </c>
      <c r="T72" t="s">
        <v>58</v>
      </c>
      <c r="U72" t="s">
        <v>58</v>
      </c>
      <c r="V72" t="s">
        <v>58</v>
      </c>
      <c r="W72" t="s">
        <v>58</v>
      </c>
      <c r="X72" t="s">
        <v>58</v>
      </c>
      <c r="Y72" t="s">
        <v>58</v>
      </c>
      <c r="Z72" t="s">
        <v>58</v>
      </c>
      <c r="AA72" t="s">
        <v>58</v>
      </c>
      <c r="AB72" t="s">
        <v>58</v>
      </c>
      <c r="AC72" t="s">
        <v>58</v>
      </c>
      <c r="AD72" t="s">
        <v>58</v>
      </c>
      <c r="AE72" t="s">
        <v>58</v>
      </c>
      <c r="AF72" t="s">
        <v>58</v>
      </c>
      <c r="AG72" t="s">
        <v>58</v>
      </c>
    </row>
    <row r="73" spans="1:41" x14ac:dyDescent="0.25">
      <c r="A73" s="3" t="s">
        <v>55</v>
      </c>
      <c r="B73" s="3" t="s">
        <v>64</v>
      </c>
      <c r="C73" t="s">
        <v>58</v>
      </c>
      <c r="D73" t="s">
        <v>58</v>
      </c>
      <c r="E73" t="s">
        <v>58</v>
      </c>
      <c r="F73" t="s">
        <v>58</v>
      </c>
      <c r="G73" t="s">
        <v>58</v>
      </c>
      <c r="H73" t="s">
        <v>58</v>
      </c>
      <c r="I73" t="s">
        <v>58</v>
      </c>
      <c r="J73" t="s">
        <v>58</v>
      </c>
      <c r="K73" t="s">
        <v>58</v>
      </c>
      <c r="L73" t="s">
        <v>58</v>
      </c>
      <c r="M73" t="s">
        <v>58</v>
      </c>
      <c r="N73" t="s">
        <v>58</v>
      </c>
      <c r="O73" t="s">
        <v>58</v>
      </c>
      <c r="P73" t="s">
        <v>58</v>
      </c>
      <c r="Q73" t="s">
        <v>58</v>
      </c>
      <c r="R73" t="s">
        <v>58</v>
      </c>
      <c r="S73" t="s">
        <v>58</v>
      </c>
      <c r="T73" t="s">
        <v>58</v>
      </c>
    </row>
    <row r="74" spans="1:41" x14ac:dyDescent="0.25">
      <c r="A74" s="3" t="s">
        <v>56</v>
      </c>
      <c r="B74" s="3" t="s">
        <v>63</v>
      </c>
      <c r="AH74" t="s">
        <v>58</v>
      </c>
      <c r="AI74" t="s">
        <v>58</v>
      </c>
      <c r="AJ74" t="s">
        <v>58</v>
      </c>
      <c r="AK74" t="s">
        <v>58</v>
      </c>
      <c r="AL74" t="s">
        <v>58</v>
      </c>
      <c r="AM74" t="s">
        <v>58</v>
      </c>
      <c r="AN74" t="s">
        <v>58</v>
      </c>
      <c r="AO74" t="s">
        <v>58</v>
      </c>
    </row>
    <row r="75" spans="1:41" x14ac:dyDescent="0.25">
      <c r="A75" s="3" t="s">
        <v>56</v>
      </c>
      <c r="B75" s="3" t="s">
        <v>64</v>
      </c>
      <c r="U75" t="s">
        <v>58</v>
      </c>
      <c r="V75" t="s">
        <v>58</v>
      </c>
      <c r="W75" t="s">
        <v>58</v>
      </c>
      <c r="X75" t="s">
        <v>58</v>
      </c>
      <c r="Y75" t="s">
        <v>58</v>
      </c>
      <c r="Z75" t="s">
        <v>58</v>
      </c>
      <c r="AA75" t="s">
        <v>58</v>
      </c>
      <c r="AB75" t="s">
        <v>58</v>
      </c>
      <c r="AC75" t="s">
        <v>58</v>
      </c>
      <c r="AD75" t="s">
        <v>58</v>
      </c>
      <c r="AE75" t="s">
        <v>58</v>
      </c>
      <c r="AF75" t="s">
        <v>58</v>
      </c>
      <c r="AG75" t="s">
        <v>58</v>
      </c>
      <c r="AH75" t="s">
        <v>58</v>
      </c>
      <c r="AI75" t="s">
        <v>58</v>
      </c>
      <c r="AJ75" t="s">
        <v>58</v>
      </c>
      <c r="AK75" t="s">
        <v>58</v>
      </c>
      <c r="AL75" t="s">
        <v>58</v>
      </c>
      <c r="AM75" t="s">
        <v>58</v>
      </c>
      <c r="AN75" t="s">
        <v>58</v>
      </c>
      <c r="AO75" t="s">
        <v>58</v>
      </c>
    </row>
    <row r="76" spans="1:41" x14ac:dyDescent="0.25">
      <c r="A76" s="3" t="s">
        <v>56</v>
      </c>
      <c r="B76" s="3" t="s">
        <v>65</v>
      </c>
      <c r="C76" t="s">
        <v>58</v>
      </c>
      <c r="D76" t="s">
        <v>58</v>
      </c>
      <c r="E76" t="s">
        <v>58</v>
      </c>
      <c r="F76" t="s">
        <v>58</v>
      </c>
      <c r="G76" t="s">
        <v>58</v>
      </c>
      <c r="H76" t="s">
        <v>58</v>
      </c>
      <c r="I76" t="s">
        <v>58</v>
      </c>
      <c r="J76" t="s">
        <v>58</v>
      </c>
      <c r="K76" t="s">
        <v>58</v>
      </c>
      <c r="L76" t="s">
        <v>58</v>
      </c>
      <c r="M76" t="s">
        <v>58</v>
      </c>
      <c r="N76" t="s">
        <v>58</v>
      </c>
      <c r="O76" t="s">
        <v>58</v>
      </c>
      <c r="P76" t="s">
        <v>58</v>
      </c>
      <c r="Q76" t="s">
        <v>58</v>
      </c>
      <c r="R76" t="s">
        <v>58</v>
      </c>
      <c r="S76" t="s">
        <v>58</v>
      </c>
      <c r="T76" t="s">
        <v>58</v>
      </c>
      <c r="U76" t="s">
        <v>58</v>
      </c>
      <c r="V76" t="s">
        <v>58</v>
      </c>
      <c r="W76" t="s">
        <v>58</v>
      </c>
      <c r="X76" t="s">
        <v>58</v>
      </c>
      <c r="Y76" t="s">
        <v>58</v>
      </c>
      <c r="Z76" t="s">
        <v>58</v>
      </c>
      <c r="AA76" t="s">
        <v>58</v>
      </c>
      <c r="AB76" t="s">
        <v>58</v>
      </c>
      <c r="AC76" t="s">
        <v>58</v>
      </c>
      <c r="AD76" t="s">
        <v>58</v>
      </c>
      <c r="AE76" t="s">
        <v>58</v>
      </c>
      <c r="AF76" t="s">
        <v>58</v>
      </c>
      <c r="AG76" t="s">
        <v>58</v>
      </c>
      <c r="AH76" t="s">
        <v>58</v>
      </c>
      <c r="AI76" t="s">
        <v>58</v>
      </c>
      <c r="AJ76" t="s">
        <v>58</v>
      </c>
      <c r="AK76" t="s">
        <v>58</v>
      </c>
      <c r="AL76" t="s">
        <v>58</v>
      </c>
      <c r="AM76" t="s">
        <v>58</v>
      </c>
      <c r="AN76" t="s">
        <v>58</v>
      </c>
      <c r="AO76" t="s">
        <v>58</v>
      </c>
    </row>
    <row r="77" spans="1:41" x14ac:dyDescent="0.25">
      <c r="A77" s="3" t="s">
        <v>56</v>
      </c>
      <c r="B77" s="3" t="s">
        <v>66</v>
      </c>
      <c r="C77" t="s">
        <v>58</v>
      </c>
      <c r="D77" t="s">
        <v>58</v>
      </c>
      <c r="E77" t="s">
        <v>58</v>
      </c>
      <c r="F77" t="s">
        <v>58</v>
      </c>
      <c r="G77" t="s">
        <v>58</v>
      </c>
      <c r="H77" t="s">
        <v>58</v>
      </c>
      <c r="I77" t="s">
        <v>58</v>
      </c>
      <c r="J77" t="s">
        <v>58</v>
      </c>
      <c r="K77" t="s">
        <v>58</v>
      </c>
      <c r="L77" t="s">
        <v>58</v>
      </c>
      <c r="M77" t="s">
        <v>58</v>
      </c>
      <c r="N77" t="s">
        <v>58</v>
      </c>
      <c r="O77" t="s">
        <v>58</v>
      </c>
      <c r="P77" t="s">
        <v>58</v>
      </c>
      <c r="Q77" t="s">
        <v>58</v>
      </c>
      <c r="R77" t="s">
        <v>58</v>
      </c>
      <c r="S77" t="s">
        <v>58</v>
      </c>
      <c r="T77" t="s">
        <v>58</v>
      </c>
      <c r="U77" t="s">
        <v>58</v>
      </c>
      <c r="V77" t="s">
        <v>58</v>
      </c>
      <c r="W77" t="s">
        <v>58</v>
      </c>
      <c r="X77" t="s">
        <v>58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  <c r="AI77" t="s">
        <v>58</v>
      </c>
      <c r="AJ77" t="s">
        <v>58</v>
      </c>
      <c r="AK77" t="s">
        <v>58</v>
      </c>
      <c r="AL77" t="s">
        <v>58</v>
      </c>
      <c r="AM77" t="s">
        <v>58</v>
      </c>
      <c r="AN77" t="s">
        <v>58</v>
      </c>
      <c r="AO77" t="s">
        <v>58</v>
      </c>
    </row>
    <row r="78" spans="1:41" x14ac:dyDescent="0.25">
      <c r="A78" t="s">
        <v>56</v>
      </c>
      <c r="B78" t="s">
        <v>67</v>
      </c>
      <c r="C78" t="s">
        <v>58</v>
      </c>
      <c r="D78" t="s">
        <v>58</v>
      </c>
      <c r="E78" t="s">
        <v>58</v>
      </c>
      <c r="F78" t="s">
        <v>58</v>
      </c>
      <c r="G78" t="s">
        <v>58</v>
      </c>
      <c r="H78" t="s">
        <v>58</v>
      </c>
      <c r="I78" t="s">
        <v>58</v>
      </c>
      <c r="J78" t="s">
        <v>58</v>
      </c>
      <c r="K78" t="s">
        <v>58</v>
      </c>
      <c r="L78" t="s">
        <v>58</v>
      </c>
      <c r="M78" t="s">
        <v>58</v>
      </c>
      <c r="N78" t="s">
        <v>58</v>
      </c>
      <c r="O78" t="s">
        <v>58</v>
      </c>
      <c r="P78" t="s">
        <v>58</v>
      </c>
      <c r="Q78" t="s">
        <v>58</v>
      </c>
      <c r="R78" t="s">
        <v>58</v>
      </c>
      <c r="S78" t="s">
        <v>58</v>
      </c>
      <c r="T78" t="s">
        <v>58</v>
      </c>
      <c r="U78" t="s">
        <v>58</v>
      </c>
      <c r="V78" t="s">
        <v>58</v>
      </c>
      <c r="W78" t="s">
        <v>58</v>
      </c>
      <c r="X78" t="s">
        <v>58</v>
      </c>
      <c r="Y78" t="s">
        <v>58</v>
      </c>
      <c r="Z78" t="s">
        <v>58</v>
      </c>
      <c r="AA78" t="s">
        <v>58</v>
      </c>
      <c r="AB78" t="s">
        <v>58</v>
      </c>
      <c r="AC78" t="s">
        <v>58</v>
      </c>
      <c r="AD78" t="s">
        <v>58</v>
      </c>
      <c r="AE78" t="s">
        <v>58</v>
      </c>
      <c r="AF78" t="s">
        <v>58</v>
      </c>
      <c r="AG78" t="s">
        <v>58</v>
      </c>
      <c r="AH78" t="s">
        <v>58</v>
      </c>
      <c r="AI78" t="s">
        <v>58</v>
      </c>
      <c r="AJ78" t="s">
        <v>58</v>
      </c>
      <c r="AK78" t="s">
        <v>58</v>
      </c>
      <c r="AL78" t="s">
        <v>58</v>
      </c>
      <c r="AM78" t="s">
        <v>58</v>
      </c>
      <c r="AN78" t="s">
        <v>58</v>
      </c>
      <c r="AO78" t="s">
        <v>58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4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2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"Drivers!"&amp;ADDRESS(ROW(Drivers!A32),COLUMN(Drivers!A32),4)</f>
        <v>Drivers!A32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"Drivers!"&amp;ADDRESS(ROW(Drivers!B40),COLUMN(Drivers!B40),4)</f>
        <v>Drivers!B40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"Drivers!"&amp;ADDRESS(ROW(Drivers!A51),COLUMN(Drivers!A51),4)</f>
        <v>Drivers!A51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"Drivers!"&amp;ADDRESS(ROW(Drivers!A58),COLUMN(Drivers!A58),4)</f>
        <v>Drivers!A58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"Drivers!"&amp;ADDRESS(ROW(Drivers!A63),COLUMN(Drivers!A63),4)</f>
        <v>Drivers!A63</v>
      </c>
      <c r="D12">
        <v>2</v>
      </c>
      <c r="E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2"/>
  <sheetViews>
    <sheetView topLeftCell="A11" zoomScale="70" zoomScaleNormal="70" workbookViewId="0">
      <selection activeCell="D36" sqref="D36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  <c r="AQ3" t="s">
        <v>141</v>
      </c>
    </row>
    <row r="4" spans="1:43" x14ac:dyDescent="0.25">
      <c r="A4" t="s">
        <v>21</v>
      </c>
      <c r="B4" s="18">
        <f t="shared" ref="B4:AN4" si="0">IF($B$1="Reference",B38,B74)</f>
        <v>1833.85</v>
      </c>
      <c r="C4" s="18">
        <f t="shared" si="0"/>
        <v>1881.9</v>
      </c>
      <c r="D4" s="18">
        <f t="shared" si="0"/>
        <v>1929.34</v>
      </c>
      <c r="E4" s="18">
        <f t="shared" si="0"/>
        <v>1956.68</v>
      </c>
      <c r="F4" s="18">
        <f t="shared" si="0"/>
        <v>1983.97</v>
      </c>
      <c r="G4" s="18">
        <f t="shared" si="0"/>
        <v>2015.63</v>
      </c>
      <c r="H4" s="18">
        <f t="shared" si="0"/>
        <v>2048.7199999999998</v>
      </c>
      <c r="I4" s="18">
        <f t="shared" si="0"/>
        <v>2068.14</v>
      </c>
      <c r="J4" s="18">
        <f t="shared" si="0"/>
        <v>1924.06</v>
      </c>
      <c r="K4" s="18">
        <f t="shared" si="0"/>
        <v>1969.68</v>
      </c>
      <c r="L4" s="18">
        <f t="shared" si="0"/>
        <v>2013.21</v>
      </c>
      <c r="M4" s="18">
        <f t="shared" si="0"/>
        <v>2052.89</v>
      </c>
      <c r="N4" s="18">
        <f t="shared" si="0"/>
        <v>2097.59</v>
      </c>
      <c r="O4" s="18">
        <f t="shared" si="0"/>
        <v>2142.04</v>
      </c>
      <c r="P4" s="18">
        <f t="shared" si="0"/>
        <v>2187.36</v>
      </c>
      <c r="Q4" s="18">
        <f t="shared" si="0"/>
        <v>2232.96</v>
      </c>
      <c r="R4" s="18">
        <f t="shared" si="0"/>
        <v>2276.1999999999998</v>
      </c>
      <c r="S4" s="18">
        <f t="shared" si="0"/>
        <v>2325.7600000000002</v>
      </c>
      <c r="T4" s="18">
        <f t="shared" si="0"/>
        <v>2379.34</v>
      </c>
      <c r="U4" s="18">
        <f t="shared" si="0"/>
        <v>2444.09</v>
      </c>
      <c r="V4" s="18">
        <f t="shared" si="0"/>
        <v>2512.85</v>
      </c>
      <c r="W4" s="18">
        <f t="shared" si="0"/>
        <v>2586.39</v>
      </c>
      <c r="X4" s="18">
        <f t="shared" si="0"/>
        <v>2669.29</v>
      </c>
      <c r="Y4" s="18">
        <f t="shared" si="0"/>
        <v>2753.03</v>
      </c>
      <c r="Z4" s="18">
        <f t="shared" si="0"/>
        <v>2843.24</v>
      </c>
      <c r="AA4" s="18">
        <f t="shared" si="0"/>
        <v>2938.39</v>
      </c>
      <c r="AB4" s="18">
        <f t="shared" si="0"/>
        <v>3036.29</v>
      </c>
      <c r="AC4" s="18">
        <f t="shared" si="0"/>
        <v>3138.34</v>
      </c>
      <c r="AD4" s="18">
        <f t="shared" si="0"/>
        <v>3244.95</v>
      </c>
      <c r="AE4" s="18">
        <f t="shared" si="0"/>
        <v>3354.92</v>
      </c>
      <c r="AF4" s="18">
        <f t="shared" si="0"/>
        <v>3465.43</v>
      </c>
      <c r="AG4" s="18">
        <f t="shared" si="0"/>
        <v>3580.36</v>
      </c>
      <c r="AH4" s="18">
        <f t="shared" si="0"/>
        <v>3700.03</v>
      </c>
      <c r="AI4" s="18">
        <f t="shared" si="0"/>
        <v>3827.31</v>
      </c>
      <c r="AJ4" s="18">
        <f t="shared" si="0"/>
        <v>3959.52</v>
      </c>
      <c r="AK4" s="18">
        <f t="shared" si="0"/>
        <v>4091.05</v>
      </c>
      <c r="AL4" s="18">
        <f t="shared" si="0"/>
        <v>4228.6000000000004</v>
      </c>
      <c r="AM4" s="18">
        <f t="shared" si="0"/>
        <v>4373.84</v>
      </c>
      <c r="AN4" s="18">
        <f t="shared" si="0"/>
        <v>4547.05</v>
      </c>
      <c r="AQ4" t="s">
        <v>140</v>
      </c>
    </row>
    <row r="5" spans="1:43" x14ac:dyDescent="0.25">
      <c r="A5" t="s">
        <v>73</v>
      </c>
      <c r="B5" s="18">
        <f t="shared" ref="B5:AN5" si="1">IF($B$1="Reference",B39,B75)</f>
        <v>69.819999999999993</v>
      </c>
      <c r="C5" s="18">
        <f t="shared" si="1"/>
        <v>72.86</v>
      </c>
      <c r="D5" s="18">
        <f t="shared" si="1"/>
        <v>75.87</v>
      </c>
      <c r="E5" s="18">
        <f t="shared" si="1"/>
        <v>74.64</v>
      </c>
      <c r="F5" s="18">
        <f t="shared" si="1"/>
        <v>73.959999999999994</v>
      </c>
      <c r="G5" s="18">
        <f t="shared" si="1"/>
        <v>76.72</v>
      </c>
      <c r="H5" s="18">
        <f t="shared" si="1"/>
        <v>75.61</v>
      </c>
      <c r="I5" s="18">
        <f t="shared" si="1"/>
        <v>74.11</v>
      </c>
      <c r="J5" s="18">
        <f t="shared" si="1"/>
        <v>73.06</v>
      </c>
      <c r="K5" s="18">
        <f t="shared" si="1"/>
        <v>75.239999999999995</v>
      </c>
      <c r="L5" s="18">
        <f t="shared" si="1"/>
        <v>77.23</v>
      </c>
      <c r="M5" s="18">
        <f t="shared" si="1"/>
        <v>78.58</v>
      </c>
      <c r="N5" s="18">
        <f t="shared" si="1"/>
        <v>80.14</v>
      </c>
      <c r="O5" s="18">
        <f t="shared" si="1"/>
        <v>81.66</v>
      </c>
      <c r="P5" s="18">
        <f t="shared" si="1"/>
        <v>83.01</v>
      </c>
      <c r="Q5" s="18">
        <f t="shared" si="1"/>
        <v>84.26</v>
      </c>
      <c r="R5" s="18">
        <f t="shared" si="1"/>
        <v>85.97</v>
      </c>
      <c r="S5" s="18">
        <f t="shared" si="1"/>
        <v>87.4</v>
      </c>
      <c r="T5" s="18">
        <f t="shared" si="1"/>
        <v>88.8</v>
      </c>
      <c r="U5" s="18">
        <f t="shared" si="1"/>
        <v>90.44</v>
      </c>
      <c r="V5" s="18">
        <f t="shared" si="1"/>
        <v>92.09</v>
      </c>
      <c r="W5" s="18">
        <f t="shared" si="1"/>
        <v>93.77</v>
      </c>
      <c r="X5" s="18">
        <f t="shared" si="1"/>
        <v>95.87</v>
      </c>
      <c r="Y5" s="18">
        <f t="shared" si="1"/>
        <v>97.95</v>
      </c>
      <c r="Z5" s="18">
        <f t="shared" si="1"/>
        <v>100.25</v>
      </c>
      <c r="AA5" s="18">
        <f t="shared" si="1"/>
        <v>102.58</v>
      </c>
      <c r="AB5" s="18">
        <f t="shared" si="1"/>
        <v>104.93</v>
      </c>
      <c r="AC5" s="18">
        <f t="shared" si="1"/>
        <v>107.29</v>
      </c>
      <c r="AD5" s="18">
        <f t="shared" si="1"/>
        <v>109.71</v>
      </c>
      <c r="AE5" s="18">
        <f t="shared" si="1"/>
        <v>112.22</v>
      </c>
      <c r="AF5" s="18">
        <f t="shared" si="1"/>
        <v>114.59</v>
      </c>
      <c r="AG5" s="18">
        <f t="shared" si="1"/>
        <v>117.07</v>
      </c>
      <c r="AH5" s="18">
        <f t="shared" si="1"/>
        <v>119.7</v>
      </c>
      <c r="AI5" s="18">
        <f t="shared" si="1"/>
        <v>122.57</v>
      </c>
      <c r="AJ5" s="18">
        <f t="shared" si="1"/>
        <v>125.55</v>
      </c>
      <c r="AK5" s="18">
        <f t="shared" si="1"/>
        <v>128.41</v>
      </c>
      <c r="AL5" s="18">
        <f t="shared" si="1"/>
        <v>131.38999999999999</v>
      </c>
      <c r="AM5" s="18">
        <f t="shared" si="1"/>
        <v>134.63</v>
      </c>
      <c r="AN5" s="18">
        <f t="shared" si="1"/>
        <v>138.71</v>
      </c>
    </row>
    <row r="6" spans="1:43" x14ac:dyDescent="0.25">
      <c r="A6" t="s">
        <v>23</v>
      </c>
      <c r="B6" s="18">
        <f t="shared" ref="B6:AN6" si="2">IF($B$1="Reference",B40,B76)</f>
        <v>123.26999999999998</v>
      </c>
      <c r="C6" s="18">
        <f t="shared" si="2"/>
        <v>125.80799999999999</v>
      </c>
      <c r="D6" s="18">
        <f t="shared" si="2"/>
        <v>125.928</v>
      </c>
      <c r="E6" s="18">
        <f t="shared" si="2"/>
        <v>128.83799999999999</v>
      </c>
      <c r="F6" s="18">
        <f t="shared" si="2"/>
        <v>126.498</v>
      </c>
      <c r="G6" s="18">
        <f t="shared" si="2"/>
        <v>129.738</v>
      </c>
      <c r="H6" s="18">
        <f t="shared" si="2"/>
        <v>128.71199999999999</v>
      </c>
      <c r="I6" s="18">
        <f t="shared" si="2"/>
        <v>126.50399999999999</v>
      </c>
      <c r="J6" s="18">
        <f t="shared" si="2"/>
        <v>118.98</v>
      </c>
      <c r="K6" s="18">
        <f t="shared" si="2"/>
        <v>121.03799999999998</v>
      </c>
      <c r="L6" s="18">
        <f t="shared" si="2"/>
        <v>122.64599999999999</v>
      </c>
      <c r="M6" s="18">
        <f t="shared" si="2"/>
        <v>123.93</v>
      </c>
      <c r="N6" s="18">
        <f t="shared" si="2"/>
        <v>125.322</v>
      </c>
      <c r="O6" s="18">
        <f t="shared" si="2"/>
        <v>126.78</v>
      </c>
      <c r="P6" s="18">
        <f t="shared" si="2"/>
        <v>127.99199999999999</v>
      </c>
      <c r="Q6" s="18">
        <f t="shared" si="2"/>
        <v>129.15599999999998</v>
      </c>
      <c r="R6" s="18">
        <f t="shared" si="2"/>
        <v>131.04</v>
      </c>
      <c r="S6" s="18">
        <f t="shared" si="2"/>
        <v>132.066</v>
      </c>
      <c r="T6" s="18">
        <f t="shared" si="2"/>
        <v>132.99599999999998</v>
      </c>
      <c r="U6" s="18">
        <f t="shared" si="2"/>
        <v>134.298</v>
      </c>
      <c r="V6" s="18">
        <f t="shared" si="2"/>
        <v>135.6</v>
      </c>
      <c r="W6" s="18">
        <f t="shared" si="2"/>
        <v>136.94399999999999</v>
      </c>
      <c r="X6" s="18">
        <f t="shared" si="2"/>
        <v>138.828</v>
      </c>
      <c r="Y6" s="18">
        <f t="shared" si="2"/>
        <v>140.66999999999999</v>
      </c>
      <c r="Z6" s="18">
        <f t="shared" si="2"/>
        <v>142.67399999999998</v>
      </c>
      <c r="AA6" s="18">
        <f t="shared" si="2"/>
        <v>144.61199999999999</v>
      </c>
      <c r="AB6" s="18">
        <f t="shared" si="2"/>
        <v>146.84399999999999</v>
      </c>
      <c r="AC6" s="18">
        <f t="shared" si="2"/>
        <v>149.184</v>
      </c>
      <c r="AD6" s="18">
        <f t="shared" si="2"/>
        <v>151.65</v>
      </c>
      <c r="AE6" s="18">
        <f t="shared" si="2"/>
        <v>154.33799999999999</v>
      </c>
      <c r="AF6" s="18">
        <f t="shared" si="2"/>
        <v>157.03800000000001</v>
      </c>
      <c r="AG6" s="18">
        <f t="shared" si="2"/>
        <v>159.93600000000001</v>
      </c>
      <c r="AH6" s="18">
        <f t="shared" si="2"/>
        <v>163.05599999999998</v>
      </c>
      <c r="AI6" s="18">
        <f t="shared" si="2"/>
        <v>166.488</v>
      </c>
      <c r="AJ6" s="18">
        <f t="shared" si="2"/>
        <v>170.28</v>
      </c>
      <c r="AK6" s="18">
        <f t="shared" si="2"/>
        <v>174.072</v>
      </c>
      <c r="AL6" s="18">
        <f t="shared" si="2"/>
        <v>178.14</v>
      </c>
      <c r="AM6" s="18">
        <f t="shared" si="2"/>
        <v>182.57400000000001</v>
      </c>
      <c r="AN6" s="18">
        <f t="shared" si="2"/>
        <v>188.22599999999997</v>
      </c>
    </row>
    <row r="7" spans="1:43" x14ac:dyDescent="0.25">
      <c r="A7" t="s">
        <v>151</v>
      </c>
      <c r="B7" s="18">
        <f t="shared" ref="B7:AN7" si="3">IF($B$1="Reference",B41,B77)</f>
        <v>82.18</v>
      </c>
      <c r="C7" s="18">
        <f t="shared" si="3"/>
        <v>83.872000000000014</v>
      </c>
      <c r="D7" s="18">
        <f t="shared" si="3"/>
        <v>83.951999999999998</v>
      </c>
      <c r="E7" s="18">
        <f t="shared" si="3"/>
        <v>85.891999999999996</v>
      </c>
      <c r="F7" s="18">
        <f t="shared" si="3"/>
        <v>84.332000000000008</v>
      </c>
      <c r="G7" s="18">
        <f t="shared" si="3"/>
        <v>86.492000000000004</v>
      </c>
      <c r="H7" s="18">
        <f t="shared" si="3"/>
        <v>85.808000000000007</v>
      </c>
      <c r="I7" s="18">
        <f t="shared" si="3"/>
        <v>84.336000000000013</v>
      </c>
      <c r="J7" s="18">
        <f t="shared" si="3"/>
        <v>79.320000000000007</v>
      </c>
      <c r="K7" s="18">
        <f t="shared" si="3"/>
        <v>80.692000000000007</v>
      </c>
      <c r="L7" s="18">
        <f t="shared" si="3"/>
        <v>81.76400000000001</v>
      </c>
      <c r="M7" s="18">
        <f t="shared" si="3"/>
        <v>82.62</v>
      </c>
      <c r="N7" s="18">
        <f t="shared" si="3"/>
        <v>83.548000000000002</v>
      </c>
      <c r="O7" s="18">
        <f t="shared" si="3"/>
        <v>84.52000000000001</v>
      </c>
      <c r="P7" s="18">
        <f t="shared" si="3"/>
        <v>85.328000000000003</v>
      </c>
      <c r="Q7" s="18">
        <f t="shared" si="3"/>
        <v>86.103999999999999</v>
      </c>
      <c r="R7" s="18">
        <f t="shared" si="3"/>
        <v>87.360000000000014</v>
      </c>
      <c r="S7" s="18">
        <f t="shared" si="3"/>
        <v>88.044000000000011</v>
      </c>
      <c r="T7" s="18">
        <f t="shared" si="3"/>
        <v>88.664000000000001</v>
      </c>
      <c r="U7" s="18">
        <f t="shared" si="3"/>
        <v>89.532000000000011</v>
      </c>
      <c r="V7" s="18">
        <f t="shared" si="3"/>
        <v>90.4</v>
      </c>
      <c r="W7" s="18">
        <f t="shared" si="3"/>
        <v>91.296000000000006</v>
      </c>
      <c r="X7" s="18">
        <f t="shared" si="3"/>
        <v>92.552000000000007</v>
      </c>
      <c r="Y7" s="18">
        <f t="shared" si="3"/>
        <v>93.78</v>
      </c>
      <c r="Z7" s="18">
        <f t="shared" si="3"/>
        <v>95.116</v>
      </c>
      <c r="AA7" s="18">
        <f t="shared" si="3"/>
        <v>96.408000000000015</v>
      </c>
      <c r="AB7" s="18">
        <f t="shared" si="3"/>
        <v>97.896000000000015</v>
      </c>
      <c r="AC7" s="18">
        <f t="shared" si="3"/>
        <v>99.456000000000003</v>
      </c>
      <c r="AD7" s="18">
        <f t="shared" si="3"/>
        <v>101.10000000000001</v>
      </c>
      <c r="AE7" s="18">
        <f t="shared" si="3"/>
        <v>102.89200000000001</v>
      </c>
      <c r="AF7" s="18">
        <f t="shared" si="3"/>
        <v>104.69200000000001</v>
      </c>
      <c r="AG7" s="18">
        <f t="shared" si="3"/>
        <v>106.62400000000001</v>
      </c>
      <c r="AH7" s="18">
        <f t="shared" si="3"/>
        <v>108.70400000000001</v>
      </c>
      <c r="AI7" s="18">
        <f t="shared" si="3"/>
        <v>110.99200000000002</v>
      </c>
      <c r="AJ7" s="18">
        <f t="shared" si="3"/>
        <v>113.52000000000001</v>
      </c>
      <c r="AK7" s="18">
        <f t="shared" si="3"/>
        <v>116.048</v>
      </c>
      <c r="AL7" s="18">
        <f t="shared" si="3"/>
        <v>118.75999999999999</v>
      </c>
      <c r="AM7" s="18">
        <f t="shared" si="3"/>
        <v>121.71600000000001</v>
      </c>
      <c r="AN7" s="18">
        <f t="shared" si="3"/>
        <v>125.48399999999999</v>
      </c>
    </row>
    <row r="8" spans="1:43" x14ac:dyDescent="0.25">
      <c r="A8" t="s">
        <v>24</v>
      </c>
      <c r="B8" s="18">
        <f t="shared" ref="B8:AN8" si="4">IF($B$1="Reference",B42,B78)</f>
        <v>93.1</v>
      </c>
      <c r="C8" s="18">
        <f t="shared" si="4"/>
        <v>96.24</v>
      </c>
      <c r="D8" s="18">
        <f t="shared" si="4"/>
        <v>98.9</v>
      </c>
      <c r="E8" s="18">
        <f t="shared" si="4"/>
        <v>99.85</v>
      </c>
      <c r="F8" s="18">
        <f t="shared" si="4"/>
        <v>102.21</v>
      </c>
      <c r="G8" s="18">
        <f t="shared" si="4"/>
        <v>103.61</v>
      </c>
      <c r="H8" s="18">
        <f t="shared" si="4"/>
        <v>105.24</v>
      </c>
      <c r="I8" s="18">
        <f t="shared" si="4"/>
        <v>104.54</v>
      </c>
      <c r="J8" s="18">
        <f t="shared" si="4"/>
        <v>101.85</v>
      </c>
      <c r="K8" s="18">
        <f t="shared" si="4"/>
        <v>104.95</v>
      </c>
      <c r="L8" s="18">
        <f t="shared" si="4"/>
        <v>107.71</v>
      </c>
      <c r="M8" s="18">
        <f t="shared" si="4"/>
        <v>109.84</v>
      </c>
      <c r="N8" s="18">
        <f t="shared" si="4"/>
        <v>112.24</v>
      </c>
      <c r="O8" s="18">
        <f t="shared" si="4"/>
        <v>114.63</v>
      </c>
      <c r="P8" s="18">
        <f t="shared" si="4"/>
        <v>116.8</v>
      </c>
      <c r="Q8" s="18">
        <f t="shared" si="4"/>
        <v>118.95</v>
      </c>
      <c r="R8" s="18">
        <f t="shared" si="4"/>
        <v>121.8</v>
      </c>
      <c r="S8" s="18">
        <f t="shared" si="4"/>
        <v>124.07</v>
      </c>
      <c r="T8" s="18">
        <f t="shared" si="4"/>
        <v>126.27</v>
      </c>
      <c r="U8" s="18">
        <f t="shared" si="4"/>
        <v>128.88999999999999</v>
      </c>
      <c r="V8" s="18">
        <f t="shared" si="4"/>
        <v>131.65</v>
      </c>
      <c r="W8" s="18">
        <f t="shared" si="4"/>
        <v>134.56</v>
      </c>
      <c r="X8" s="18">
        <f t="shared" si="4"/>
        <v>138.11000000000001</v>
      </c>
      <c r="Y8" s="18">
        <f t="shared" si="4"/>
        <v>141.66</v>
      </c>
      <c r="Z8" s="18">
        <f t="shared" si="4"/>
        <v>145.46</v>
      </c>
      <c r="AA8" s="18">
        <f t="shared" si="4"/>
        <v>149.24</v>
      </c>
      <c r="AB8" s="18">
        <f t="shared" si="4"/>
        <v>153</v>
      </c>
      <c r="AC8" s="18">
        <f t="shared" si="4"/>
        <v>156.83000000000001</v>
      </c>
      <c r="AD8" s="18">
        <f t="shared" si="4"/>
        <v>160.74</v>
      </c>
      <c r="AE8" s="18">
        <f t="shared" si="4"/>
        <v>164.68</v>
      </c>
      <c r="AF8" s="18">
        <f t="shared" si="4"/>
        <v>168.49</v>
      </c>
      <c r="AG8" s="18">
        <f t="shared" si="4"/>
        <v>172.54</v>
      </c>
      <c r="AH8" s="18">
        <f t="shared" si="4"/>
        <v>176.82</v>
      </c>
      <c r="AI8" s="18">
        <f t="shared" si="4"/>
        <v>181.33</v>
      </c>
      <c r="AJ8" s="18">
        <f t="shared" si="4"/>
        <v>185.9</v>
      </c>
      <c r="AK8" s="18">
        <f t="shared" si="4"/>
        <v>190.27</v>
      </c>
      <c r="AL8" s="18">
        <f t="shared" si="4"/>
        <v>194.8</v>
      </c>
      <c r="AM8" s="18">
        <f t="shared" si="4"/>
        <v>199.65</v>
      </c>
      <c r="AN8" s="18">
        <f t="shared" si="4"/>
        <v>205.62</v>
      </c>
    </row>
    <row r="9" spans="1:43" x14ac:dyDescent="0.25">
      <c r="A9" t="s">
        <v>25</v>
      </c>
      <c r="B9" s="18">
        <f t="shared" ref="B9:AN9" si="5">IF($B$1="Reference",B43,B79)</f>
        <v>235.5</v>
      </c>
      <c r="C9" s="18">
        <f t="shared" si="5"/>
        <v>241.59</v>
      </c>
      <c r="D9" s="18">
        <f t="shared" si="5"/>
        <v>246.1</v>
      </c>
      <c r="E9" s="18">
        <f t="shared" si="5"/>
        <v>248.42</v>
      </c>
      <c r="F9" s="18">
        <f t="shared" si="5"/>
        <v>251.09</v>
      </c>
      <c r="G9" s="18">
        <f t="shared" si="5"/>
        <v>253.26</v>
      </c>
      <c r="H9" s="18">
        <f t="shared" si="5"/>
        <v>255.74</v>
      </c>
      <c r="I9" s="18">
        <f t="shared" si="5"/>
        <v>254.07</v>
      </c>
      <c r="J9" s="18">
        <f t="shared" si="5"/>
        <v>233.33</v>
      </c>
      <c r="K9" s="18">
        <f t="shared" si="5"/>
        <v>239.41</v>
      </c>
      <c r="L9" s="18">
        <f t="shared" si="5"/>
        <v>244.91</v>
      </c>
      <c r="M9" s="18">
        <f t="shared" si="5"/>
        <v>249.83</v>
      </c>
      <c r="N9" s="18">
        <f t="shared" si="5"/>
        <v>255.36</v>
      </c>
      <c r="O9" s="18">
        <f t="shared" si="5"/>
        <v>260.81</v>
      </c>
      <c r="P9" s="18">
        <f t="shared" si="5"/>
        <v>266.36</v>
      </c>
      <c r="Q9" s="18">
        <f t="shared" si="5"/>
        <v>271.74</v>
      </c>
      <c r="R9" s="18">
        <f t="shared" si="5"/>
        <v>277.05</v>
      </c>
      <c r="S9" s="18">
        <f t="shared" si="5"/>
        <v>282.77999999999997</v>
      </c>
      <c r="T9" s="18">
        <f t="shared" si="5"/>
        <v>288.95999999999998</v>
      </c>
      <c r="U9" s="18">
        <f t="shared" si="5"/>
        <v>296.33999999999997</v>
      </c>
      <c r="V9" s="18">
        <f t="shared" si="5"/>
        <v>304.2</v>
      </c>
      <c r="W9" s="18">
        <f t="shared" si="5"/>
        <v>312.55</v>
      </c>
      <c r="X9" s="18">
        <f t="shared" si="5"/>
        <v>321.88</v>
      </c>
      <c r="Y9" s="18">
        <f t="shared" si="5"/>
        <v>331.08</v>
      </c>
      <c r="Z9" s="18">
        <f t="shared" si="5"/>
        <v>340.86</v>
      </c>
      <c r="AA9" s="18">
        <f t="shared" si="5"/>
        <v>351.05</v>
      </c>
      <c r="AB9" s="18">
        <f t="shared" si="5"/>
        <v>361.39</v>
      </c>
      <c r="AC9" s="18">
        <f t="shared" si="5"/>
        <v>372.08</v>
      </c>
      <c r="AD9" s="18">
        <f t="shared" si="5"/>
        <v>383.14</v>
      </c>
      <c r="AE9" s="18">
        <f t="shared" si="5"/>
        <v>394.85</v>
      </c>
      <c r="AF9" s="18">
        <f t="shared" si="5"/>
        <v>406.53</v>
      </c>
      <c r="AG9" s="18">
        <f t="shared" si="5"/>
        <v>418.72</v>
      </c>
      <c r="AH9" s="18">
        <f t="shared" si="5"/>
        <v>431.5</v>
      </c>
      <c r="AI9" s="18">
        <f t="shared" si="5"/>
        <v>445.12</v>
      </c>
      <c r="AJ9" s="18">
        <f t="shared" si="5"/>
        <v>459.51</v>
      </c>
      <c r="AK9" s="18">
        <f t="shared" si="5"/>
        <v>473.68</v>
      </c>
      <c r="AL9" s="18">
        <f t="shared" si="5"/>
        <v>488.53</v>
      </c>
      <c r="AM9" s="18">
        <f t="shared" si="5"/>
        <v>504.28</v>
      </c>
      <c r="AN9" s="18">
        <f t="shared" si="5"/>
        <v>523.45000000000005</v>
      </c>
    </row>
    <row r="10" spans="1:43" x14ac:dyDescent="0.25">
      <c r="A10" t="s">
        <v>26</v>
      </c>
      <c r="B10" s="18">
        <f t="shared" ref="B10:AN10" si="6">IF($B$1="Reference",B44,B80)</f>
        <v>17.78</v>
      </c>
      <c r="C10" s="18">
        <f t="shared" si="6"/>
        <v>18.170000000000002</v>
      </c>
      <c r="D10" s="18">
        <f t="shared" si="6"/>
        <v>18.57</v>
      </c>
      <c r="E10" s="18">
        <f t="shared" si="6"/>
        <v>18.72</v>
      </c>
      <c r="F10" s="18">
        <f t="shared" si="6"/>
        <v>19.07</v>
      </c>
      <c r="G10" s="18">
        <f t="shared" si="6"/>
        <v>19.21</v>
      </c>
      <c r="H10" s="18">
        <f t="shared" si="6"/>
        <v>19.559999999999999</v>
      </c>
      <c r="I10" s="18">
        <f t="shared" si="6"/>
        <v>19.57</v>
      </c>
      <c r="J10" s="18">
        <f t="shared" si="6"/>
        <v>18.440000000000001</v>
      </c>
      <c r="K10" s="18">
        <f t="shared" si="6"/>
        <v>18.899999999999999</v>
      </c>
      <c r="L10" s="18">
        <f t="shared" si="6"/>
        <v>19.3</v>
      </c>
      <c r="M10" s="18">
        <f t="shared" si="6"/>
        <v>19.66</v>
      </c>
      <c r="N10" s="18">
        <f t="shared" si="6"/>
        <v>20.07</v>
      </c>
      <c r="O10" s="18">
        <f t="shared" si="6"/>
        <v>20.49</v>
      </c>
      <c r="P10" s="18">
        <f t="shared" si="6"/>
        <v>20.88</v>
      </c>
      <c r="Q10" s="18">
        <f t="shared" si="6"/>
        <v>21.27</v>
      </c>
      <c r="R10" s="18">
        <f t="shared" si="6"/>
        <v>21.67</v>
      </c>
      <c r="S10" s="18">
        <f t="shared" si="6"/>
        <v>22.05</v>
      </c>
      <c r="T10" s="18">
        <f t="shared" si="6"/>
        <v>22.47</v>
      </c>
      <c r="U10" s="18">
        <f t="shared" si="6"/>
        <v>22.99</v>
      </c>
      <c r="V10" s="18">
        <f t="shared" si="6"/>
        <v>23.54</v>
      </c>
      <c r="W10" s="18">
        <f t="shared" si="6"/>
        <v>24.14</v>
      </c>
      <c r="X10" s="18">
        <f t="shared" si="6"/>
        <v>24.83</v>
      </c>
      <c r="Y10" s="18">
        <f t="shared" si="6"/>
        <v>25.51</v>
      </c>
      <c r="Z10" s="18">
        <f t="shared" si="6"/>
        <v>26.23</v>
      </c>
      <c r="AA10" s="18">
        <f t="shared" si="6"/>
        <v>26.97</v>
      </c>
      <c r="AB10" s="18">
        <f t="shared" si="6"/>
        <v>27.74</v>
      </c>
      <c r="AC10" s="18">
        <f t="shared" si="6"/>
        <v>28.55</v>
      </c>
      <c r="AD10" s="18">
        <f t="shared" si="6"/>
        <v>29.38</v>
      </c>
      <c r="AE10" s="18">
        <f t="shared" si="6"/>
        <v>30.27</v>
      </c>
      <c r="AF10" s="18">
        <f t="shared" si="6"/>
        <v>31.15</v>
      </c>
      <c r="AG10" s="18">
        <f t="shared" si="6"/>
        <v>32.07</v>
      </c>
      <c r="AH10" s="18">
        <f t="shared" si="6"/>
        <v>33.03</v>
      </c>
      <c r="AI10" s="18">
        <f t="shared" si="6"/>
        <v>34.06</v>
      </c>
      <c r="AJ10" s="18">
        <f t="shared" si="6"/>
        <v>35.14</v>
      </c>
      <c r="AK10" s="18">
        <f t="shared" si="6"/>
        <v>36.200000000000003</v>
      </c>
      <c r="AL10" s="18">
        <f t="shared" si="6"/>
        <v>37.31</v>
      </c>
      <c r="AM10" s="18">
        <f t="shared" si="6"/>
        <v>38.479999999999997</v>
      </c>
      <c r="AN10" s="18">
        <f t="shared" si="6"/>
        <v>39.92</v>
      </c>
    </row>
    <row r="11" spans="1:43" x14ac:dyDescent="0.25">
      <c r="A11" t="s">
        <v>27</v>
      </c>
      <c r="B11" s="18">
        <f t="shared" ref="B11:AN11" si="7">IF($B$1="Reference",B45,B81)</f>
        <v>52.81</v>
      </c>
      <c r="C11" s="18">
        <f t="shared" si="7"/>
        <v>54.26</v>
      </c>
      <c r="D11" s="18">
        <f t="shared" si="7"/>
        <v>55.41</v>
      </c>
      <c r="E11" s="18">
        <f t="shared" si="7"/>
        <v>55.89</v>
      </c>
      <c r="F11" s="18">
        <f t="shared" si="7"/>
        <v>56.55</v>
      </c>
      <c r="G11" s="18">
        <f t="shared" si="7"/>
        <v>57.1</v>
      </c>
      <c r="H11" s="18">
        <f t="shared" si="7"/>
        <v>57.77</v>
      </c>
      <c r="I11" s="18">
        <f t="shared" si="7"/>
        <v>57.43</v>
      </c>
      <c r="J11" s="18">
        <f t="shared" si="7"/>
        <v>53.7</v>
      </c>
      <c r="K11" s="18">
        <f t="shared" si="7"/>
        <v>54.93</v>
      </c>
      <c r="L11" s="18">
        <f t="shared" si="7"/>
        <v>56.1</v>
      </c>
      <c r="M11" s="18">
        <f t="shared" si="7"/>
        <v>57.1</v>
      </c>
      <c r="N11" s="18">
        <f t="shared" si="7"/>
        <v>58.23</v>
      </c>
      <c r="O11" s="18">
        <f t="shared" si="7"/>
        <v>59.4</v>
      </c>
      <c r="P11" s="18">
        <f t="shared" si="7"/>
        <v>60.51</v>
      </c>
      <c r="Q11" s="18">
        <f t="shared" si="7"/>
        <v>61.62</v>
      </c>
      <c r="R11" s="18">
        <f t="shared" si="7"/>
        <v>62.89</v>
      </c>
      <c r="S11" s="18">
        <f t="shared" si="7"/>
        <v>63.98</v>
      </c>
      <c r="T11" s="18">
        <f t="shared" si="7"/>
        <v>65.209999999999994</v>
      </c>
      <c r="U11" s="18">
        <f t="shared" si="7"/>
        <v>66.91</v>
      </c>
      <c r="V11" s="18">
        <f t="shared" si="7"/>
        <v>68.67</v>
      </c>
      <c r="W11" s="18">
        <f t="shared" si="7"/>
        <v>70.540000000000006</v>
      </c>
      <c r="X11" s="18">
        <f t="shared" si="7"/>
        <v>72.73</v>
      </c>
      <c r="Y11" s="18">
        <f t="shared" si="7"/>
        <v>74.89</v>
      </c>
      <c r="Z11" s="18">
        <f t="shared" si="7"/>
        <v>77.16</v>
      </c>
      <c r="AA11" s="18">
        <f t="shared" si="7"/>
        <v>79.62</v>
      </c>
      <c r="AB11" s="18">
        <f t="shared" si="7"/>
        <v>82.09</v>
      </c>
      <c r="AC11" s="18">
        <f t="shared" si="7"/>
        <v>84.63</v>
      </c>
      <c r="AD11" s="18">
        <f t="shared" si="7"/>
        <v>87.27</v>
      </c>
      <c r="AE11" s="18">
        <f t="shared" si="7"/>
        <v>89.91</v>
      </c>
      <c r="AF11" s="18">
        <f t="shared" si="7"/>
        <v>92.55</v>
      </c>
      <c r="AG11" s="18">
        <f t="shared" si="7"/>
        <v>95.31</v>
      </c>
      <c r="AH11" s="18">
        <f t="shared" si="7"/>
        <v>98.19</v>
      </c>
      <c r="AI11" s="18">
        <f t="shared" si="7"/>
        <v>101.26</v>
      </c>
      <c r="AJ11" s="18">
        <f t="shared" si="7"/>
        <v>104.46</v>
      </c>
      <c r="AK11" s="18">
        <f t="shared" si="7"/>
        <v>107.63</v>
      </c>
      <c r="AL11" s="18">
        <f t="shared" si="7"/>
        <v>110.94</v>
      </c>
      <c r="AM11" s="18">
        <f t="shared" si="7"/>
        <v>114.45</v>
      </c>
      <c r="AN11" s="18">
        <f t="shared" si="7"/>
        <v>118.69</v>
      </c>
    </row>
    <row r="12" spans="1:43" x14ac:dyDescent="0.25">
      <c r="A12" t="s">
        <v>28</v>
      </c>
      <c r="B12" s="18">
        <f t="shared" ref="B12:AN12" si="8">IF($B$1="Reference",B46,B82)</f>
        <v>14.11</v>
      </c>
      <c r="C12" s="18">
        <f t="shared" si="8"/>
        <v>14.44</v>
      </c>
      <c r="D12" s="18">
        <f t="shared" si="8"/>
        <v>14.65</v>
      </c>
      <c r="E12" s="18">
        <f t="shared" si="8"/>
        <v>14.76</v>
      </c>
      <c r="F12" s="18">
        <f t="shared" si="8"/>
        <v>14.92</v>
      </c>
      <c r="G12" s="18">
        <f t="shared" si="8"/>
        <v>15.1</v>
      </c>
      <c r="H12" s="18">
        <f t="shared" si="8"/>
        <v>15.25</v>
      </c>
      <c r="I12" s="18">
        <f t="shared" si="8"/>
        <v>15.19</v>
      </c>
      <c r="J12" s="18">
        <f t="shared" si="8"/>
        <v>14.04</v>
      </c>
      <c r="K12" s="18">
        <f t="shared" si="8"/>
        <v>14.38</v>
      </c>
      <c r="L12" s="18">
        <f t="shared" si="8"/>
        <v>14.69</v>
      </c>
      <c r="M12" s="18">
        <f t="shared" si="8"/>
        <v>14.97</v>
      </c>
      <c r="N12" s="18">
        <f t="shared" si="8"/>
        <v>15.29</v>
      </c>
      <c r="O12" s="18">
        <f t="shared" si="8"/>
        <v>15.6</v>
      </c>
      <c r="P12" s="18">
        <f t="shared" si="8"/>
        <v>15.92</v>
      </c>
      <c r="Q12" s="18">
        <f t="shared" si="8"/>
        <v>16.239999999999998</v>
      </c>
      <c r="R12" s="18">
        <f t="shared" si="8"/>
        <v>16.46</v>
      </c>
      <c r="S12" s="18">
        <f t="shared" si="8"/>
        <v>16.8</v>
      </c>
      <c r="T12" s="18">
        <f t="shared" si="8"/>
        <v>17.170000000000002</v>
      </c>
      <c r="U12" s="18">
        <f t="shared" si="8"/>
        <v>17.61</v>
      </c>
      <c r="V12" s="18">
        <f t="shared" si="8"/>
        <v>18.079999999999998</v>
      </c>
      <c r="W12" s="18">
        <f t="shared" si="8"/>
        <v>18.579999999999998</v>
      </c>
      <c r="X12" s="18">
        <f t="shared" si="8"/>
        <v>19.100000000000001</v>
      </c>
      <c r="Y12" s="18">
        <f t="shared" si="8"/>
        <v>19.61</v>
      </c>
      <c r="Z12" s="18">
        <f t="shared" si="8"/>
        <v>20.149999999999999</v>
      </c>
      <c r="AA12" s="18">
        <f t="shared" si="8"/>
        <v>20.71</v>
      </c>
      <c r="AB12" s="18">
        <f t="shared" si="8"/>
        <v>21.29</v>
      </c>
      <c r="AC12" s="18">
        <f t="shared" si="8"/>
        <v>21.89</v>
      </c>
      <c r="AD12" s="18">
        <f t="shared" si="8"/>
        <v>22.5</v>
      </c>
      <c r="AE12" s="18">
        <f t="shared" si="8"/>
        <v>23.19</v>
      </c>
      <c r="AF12" s="18">
        <f t="shared" si="8"/>
        <v>23.88</v>
      </c>
      <c r="AG12" s="18">
        <f t="shared" si="8"/>
        <v>24.59</v>
      </c>
      <c r="AH12" s="18">
        <f t="shared" si="8"/>
        <v>25.33</v>
      </c>
      <c r="AI12" s="18">
        <f t="shared" si="8"/>
        <v>26.13</v>
      </c>
      <c r="AJ12" s="18">
        <f t="shared" si="8"/>
        <v>26.98</v>
      </c>
      <c r="AK12" s="18">
        <f t="shared" si="8"/>
        <v>27.82</v>
      </c>
      <c r="AL12" s="18">
        <f t="shared" si="8"/>
        <v>28.69</v>
      </c>
      <c r="AM12" s="18">
        <f t="shared" si="8"/>
        <v>29.62</v>
      </c>
      <c r="AN12" s="18">
        <f t="shared" si="8"/>
        <v>30.75</v>
      </c>
    </row>
    <row r="13" spans="1:43" x14ac:dyDescent="0.25">
      <c r="A13" t="s">
        <v>29</v>
      </c>
      <c r="B13" s="18">
        <f t="shared" ref="B13:AN13" si="9">IF($B$1="Reference",B47,B83)</f>
        <v>13.35</v>
      </c>
      <c r="C13" s="18">
        <f t="shared" si="9"/>
        <v>13.68</v>
      </c>
      <c r="D13" s="18">
        <f t="shared" si="9"/>
        <v>13.89</v>
      </c>
      <c r="E13" s="18">
        <f t="shared" si="9"/>
        <v>14.15</v>
      </c>
      <c r="F13" s="18">
        <f t="shared" si="9"/>
        <v>14.18</v>
      </c>
      <c r="G13" s="18">
        <f t="shared" si="9"/>
        <v>14.29</v>
      </c>
      <c r="H13" s="18">
        <f t="shared" si="9"/>
        <v>14.31</v>
      </c>
      <c r="I13" s="18">
        <f t="shared" si="9"/>
        <v>14.15</v>
      </c>
      <c r="J13" s="18">
        <f t="shared" si="9"/>
        <v>13.1</v>
      </c>
      <c r="K13" s="18">
        <f t="shared" si="9"/>
        <v>13.41</v>
      </c>
      <c r="L13" s="18">
        <f t="shared" si="9"/>
        <v>13.57</v>
      </c>
      <c r="M13" s="18">
        <f t="shared" si="9"/>
        <v>13.73</v>
      </c>
      <c r="N13" s="18">
        <f t="shared" si="9"/>
        <v>13.9</v>
      </c>
      <c r="O13" s="18">
        <f t="shared" si="9"/>
        <v>14.12</v>
      </c>
      <c r="P13" s="18">
        <f t="shared" si="9"/>
        <v>14.27</v>
      </c>
      <c r="Q13" s="18">
        <f t="shared" si="9"/>
        <v>14.4</v>
      </c>
      <c r="R13" s="18">
        <f t="shared" si="9"/>
        <v>14.75</v>
      </c>
      <c r="S13" s="18">
        <f t="shared" si="9"/>
        <v>14.82</v>
      </c>
      <c r="T13" s="18">
        <f t="shared" si="9"/>
        <v>14.91</v>
      </c>
      <c r="U13" s="18">
        <f t="shared" si="9"/>
        <v>15.03</v>
      </c>
      <c r="V13" s="18">
        <f t="shared" si="9"/>
        <v>15.19</v>
      </c>
      <c r="W13" s="18">
        <f t="shared" si="9"/>
        <v>15.37</v>
      </c>
      <c r="X13" s="18">
        <f t="shared" si="9"/>
        <v>15.64</v>
      </c>
      <c r="Y13" s="18">
        <f t="shared" si="9"/>
        <v>15.88</v>
      </c>
      <c r="Z13" s="18">
        <f t="shared" si="9"/>
        <v>16.13</v>
      </c>
      <c r="AA13" s="18">
        <f t="shared" si="9"/>
        <v>16.399999999999999</v>
      </c>
      <c r="AB13" s="18">
        <f t="shared" si="9"/>
        <v>16.7</v>
      </c>
      <c r="AC13" s="18">
        <f t="shared" si="9"/>
        <v>17.010000000000002</v>
      </c>
      <c r="AD13" s="18">
        <f t="shared" si="9"/>
        <v>17.329999999999998</v>
      </c>
      <c r="AE13" s="18">
        <f t="shared" si="9"/>
        <v>17.66</v>
      </c>
      <c r="AF13" s="18">
        <f t="shared" si="9"/>
        <v>17.989999999999998</v>
      </c>
      <c r="AG13" s="18">
        <f t="shared" si="9"/>
        <v>18.34</v>
      </c>
      <c r="AH13" s="18">
        <f t="shared" si="9"/>
        <v>18.72</v>
      </c>
      <c r="AI13" s="18">
        <f t="shared" si="9"/>
        <v>19.12</v>
      </c>
      <c r="AJ13" s="18">
        <f t="shared" si="9"/>
        <v>19.579999999999998</v>
      </c>
      <c r="AK13" s="18">
        <f t="shared" si="9"/>
        <v>20.03</v>
      </c>
      <c r="AL13" s="18">
        <f t="shared" si="9"/>
        <v>20.51</v>
      </c>
      <c r="AM13" s="18">
        <f t="shared" si="9"/>
        <v>21.03</v>
      </c>
      <c r="AN13" s="18">
        <f t="shared" si="9"/>
        <v>21.68</v>
      </c>
    </row>
    <row r="14" spans="1:43" x14ac:dyDescent="0.25">
      <c r="A14" t="s">
        <v>30</v>
      </c>
      <c r="B14" s="18">
        <f t="shared" ref="B14:AN14" si="10">IF($B$1="Reference",B48,B84)</f>
        <v>10.11</v>
      </c>
      <c r="C14" s="18">
        <f t="shared" si="10"/>
        <v>8.49</v>
      </c>
      <c r="D14" s="18">
        <f t="shared" si="10"/>
        <v>7.76</v>
      </c>
      <c r="E14" s="18">
        <f t="shared" si="10"/>
        <v>7.88</v>
      </c>
      <c r="F14" s="18">
        <f t="shared" si="10"/>
        <v>7.62</v>
      </c>
      <c r="G14" s="18">
        <f t="shared" si="10"/>
        <v>7.28</v>
      </c>
      <c r="H14" s="18">
        <f t="shared" si="10"/>
        <v>7.09</v>
      </c>
      <c r="I14" s="18">
        <f t="shared" si="10"/>
        <v>6.72</v>
      </c>
      <c r="J14" s="18">
        <f t="shared" si="10"/>
        <v>6.04</v>
      </c>
      <c r="K14" s="18">
        <f t="shared" si="10"/>
        <v>6.26</v>
      </c>
      <c r="L14" s="18">
        <f t="shared" si="10"/>
        <v>6.38</v>
      </c>
      <c r="M14" s="18">
        <f t="shared" si="10"/>
        <v>6.46</v>
      </c>
      <c r="N14" s="18">
        <f t="shared" si="10"/>
        <v>6.53</v>
      </c>
      <c r="O14" s="18">
        <f t="shared" si="10"/>
        <v>6.63</v>
      </c>
      <c r="P14" s="18">
        <f t="shared" si="10"/>
        <v>6.71</v>
      </c>
      <c r="Q14" s="18">
        <f t="shared" si="10"/>
        <v>6.74</v>
      </c>
      <c r="R14" s="18">
        <f t="shared" si="10"/>
        <v>7.03</v>
      </c>
      <c r="S14" s="18">
        <f t="shared" si="10"/>
        <v>7.04</v>
      </c>
      <c r="T14" s="18">
        <f t="shared" si="10"/>
        <v>7.01</v>
      </c>
      <c r="U14" s="18">
        <f t="shared" si="10"/>
        <v>6.93</v>
      </c>
      <c r="V14" s="18">
        <f t="shared" si="10"/>
        <v>6.88</v>
      </c>
      <c r="W14" s="18">
        <f t="shared" si="10"/>
        <v>6.81</v>
      </c>
      <c r="X14" s="18">
        <f t="shared" si="10"/>
        <v>6.81</v>
      </c>
      <c r="Y14" s="18">
        <f t="shared" si="10"/>
        <v>6.82</v>
      </c>
      <c r="Z14" s="18">
        <f t="shared" si="10"/>
        <v>6.82</v>
      </c>
      <c r="AA14" s="18">
        <f t="shared" si="10"/>
        <v>6.76</v>
      </c>
      <c r="AB14" s="18">
        <f t="shared" si="10"/>
        <v>6.71</v>
      </c>
      <c r="AC14" s="18">
        <f t="shared" si="10"/>
        <v>6.66</v>
      </c>
      <c r="AD14" s="18">
        <f t="shared" si="10"/>
        <v>6.61</v>
      </c>
      <c r="AE14" s="18">
        <f t="shared" si="10"/>
        <v>6.58</v>
      </c>
      <c r="AF14" s="18">
        <f t="shared" si="10"/>
        <v>6.55</v>
      </c>
      <c r="AG14" s="18">
        <f t="shared" si="10"/>
        <v>6.53</v>
      </c>
      <c r="AH14" s="18">
        <f t="shared" si="10"/>
        <v>6.52</v>
      </c>
      <c r="AI14" s="18">
        <f t="shared" si="10"/>
        <v>6.53</v>
      </c>
      <c r="AJ14" s="18">
        <f t="shared" si="10"/>
        <v>6.59</v>
      </c>
      <c r="AK14" s="18">
        <f t="shared" si="10"/>
        <v>6.65</v>
      </c>
      <c r="AL14" s="18">
        <f t="shared" si="10"/>
        <v>6.73</v>
      </c>
      <c r="AM14" s="18">
        <f t="shared" si="10"/>
        <v>6.83</v>
      </c>
      <c r="AN14" s="18">
        <f t="shared" si="10"/>
        <v>6.99</v>
      </c>
    </row>
    <row r="15" spans="1:43" x14ac:dyDescent="0.25">
      <c r="A15" t="s">
        <v>31</v>
      </c>
      <c r="B15" s="18">
        <f t="shared" ref="B15:AN15" si="11">IF($B$1="Reference",B49,B85)</f>
        <v>0</v>
      </c>
      <c r="C15" s="18">
        <f t="shared" si="11"/>
        <v>0</v>
      </c>
      <c r="D15" s="18">
        <f t="shared" si="11"/>
        <v>0</v>
      </c>
      <c r="E15" s="18">
        <f t="shared" si="11"/>
        <v>0</v>
      </c>
      <c r="F15" s="18">
        <f t="shared" si="11"/>
        <v>0</v>
      </c>
      <c r="G15" s="18">
        <f t="shared" si="11"/>
        <v>0</v>
      </c>
      <c r="H15" s="18">
        <f t="shared" si="11"/>
        <v>0</v>
      </c>
      <c r="I15" s="18">
        <f t="shared" si="11"/>
        <v>0</v>
      </c>
      <c r="J15" s="18">
        <f t="shared" si="11"/>
        <v>0</v>
      </c>
      <c r="K15" s="18">
        <f t="shared" si="11"/>
        <v>0</v>
      </c>
      <c r="L15" s="18">
        <f t="shared" si="11"/>
        <v>0</v>
      </c>
      <c r="M15" s="18">
        <f t="shared" si="11"/>
        <v>0</v>
      </c>
      <c r="N15" s="18">
        <f t="shared" si="11"/>
        <v>0</v>
      </c>
      <c r="O15" s="18">
        <f t="shared" si="11"/>
        <v>0</v>
      </c>
      <c r="P15" s="18">
        <f t="shared" si="11"/>
        <v>0</v>
      </c>
      <c r="Q15" s="18">
        <f t="shared" si="11"/>
        <v>0</v>
      </c>
      <c r="R15" s="18">
        <f t="shared" si="11"/>
        <v>0</v>
      </c>
      <c r="S15" s="18">
        <f t="shared" si="11"/>
        <v>0</v>
      </c>
      <c r="T15" s="18">
        <f t="shared" si="11"/>
        <v>0</v>
      </c>
      <c r="U15" s="18">
        <f t="shared" si="11"/>
        <v>0</v>
      </c>
      <c r="V15" s="18">
        <f t="shared" si="11"/>
        <v>0</v>
      </c>
      <c r="W15" s="18">
        <f t="shared" si="11"/>
        <v>0</v>
      </c>
      <c r="X15" s="18">
        <f t="shared" si="11"/>
        <v>0</v>
      </c>
      <c r="Y15" s="18">
        <f t="shared" si="11"/>
        <v>0</v>
      </c>
      <c r="Z15" s="18">
        <f t="shared" si="11"/>
        <v>0</v>
      </c>
      <c r="AA15" s="18">
        <f t="shared" si="11"/>
        <v>0</v>
      </c>
      <c r="AB15" s="18">
        <f t="shared" si="11"/>
        <v>0</v>
      </c>
      <c r="AC15" s="18">
        <f t="shared" si="11"/>
        <v>0</v>
      </c>
      <c r="AD15" s="18">
        <f t="shared" si="11"/>
        <v>0</v>
      </c>
      <c r="AE15" s="18">
        <f t="shared" si="11"/>
        <v>0</v>
      </c>
      <c r="AF15" s="18">
        <f t="shared" si="11"/>
        <v>0</v>
      </c>
      <c r="AG15" s="18">
        <f t="shared" si="11"/>
        <v>0</v>
      </c>
      <c r="AH15" s="18">
        <f t="shared" si="11"/>
        <v>0</v>
      </c>
      <c r="AI15" s="18">
        <f t="shared" si="11"/>
        <v>0</v>
      </c>
      <c r="AJ15" s="18">
        <f t="shared" si="11"/>
        <v>0</v>
      </c>
      <c r="AK15" s="18">
        <f t="shared" si="11"/>
        <v>0</v>
      </c>
      <c r="AL15" s="18">
        <f t="shared" si="11"/>
        <v>0</v>
      </c>
      <c r="AM15" s="18">
        <f t="shared" si="11"/>
        <v>0</v>
      </c>
      <c r="AN15" s="18">
        <f t="shared" si="11"/>
        <v>0</v>
      </c>
    </row>
    <row r="16" spans="1:43" x14ac:dyDescent="0.25">
      <c r="A16" t="s">
        <v>32</v>
      </c>
      <c r="B16" s="18">
        <f t="shared" ref="B16:AN16" si="12">IF($B$1="Reference",B50,B86)</f>
        <v>84.25</v>
      </c>
      <c r="C16" s="18">
        <f t="shared" si="12"/>
        <v>82.71</v>
      </c>
      <c r="D16" s="18">
        <f t="shared" si="12"/>
        <v>79.56</v>
      </c>
      <c r="E16" s="18">
        <f t="shared" si="12"/>
        <v>76.53</v>
      </c>
      <c r="F16" s="18">
        <f t="shared" si="12"/>
        <v>75.13</v>
      </c>
      <c r="G16" s="18">
        <f t="shared" si="12"/>
        <v>74.03</v>
      </c>
      <c r="H16" s="18">
        <f t="shared" si="12"/>
        <v>74.44</v>
      </c>
      <c r="I16" s="18">
        <f t="shared" si="12"/>
        <v>72.650000000000006</v>
      </c>
      <c r="J16" s="18">
        <f t="shared" si="12"/>
        <v>70.260000000000005</v>
      </c>
      <c r="K16" s="18">
        <f t="shared" si="12"/>
        <v>74.099999999999994</v>
      </c>
      <c r="L16" s="18">
        <f t="shared" si="12"/>
        <v>73.67</v>
      </c>
      <c r="M16" s="18">
        <f t="shared" si="12"/>
        <v>74.25</v>
      </c>
      <c r="N16" s="18">
        <f t="shared" si="12"/>
        <v>74.66</v>
      </c>
      <c r="O16" s="18">
        <f t="shared" si="12"/>
        <v>75.03</v>
      </c>
      <c r="P16" s="18">
        <f t="shared" si="12"/>
        <v>76.28</v>
      </c>
      <c r="Q16" s="18">
        <f t="shared" si="12"/>
        <v>76.319999999999993</v>
      </c>
      <c r="R16" s="18">
        <f t="shared" si="12"/>
        <v>76.67</v>
      </c>
      <c r="S16" s="18">
        <f t="shared" si="12"/>
        <v>78.13</v>
      </c>
      <c r="T16" s="18">
        <f t="shared" si="12"/>
        <v>79.61</v>
      </c>
      <c r="U16" s="18">
        <f t="shared" si="12"/>
        <v>81.23</v>
      </c>
      <c r="V16" s="18">
        <f t="shared" si="12"/>
        <v>83.69</v>
      </c>
      <c r="W16" s="18">
        <f t="shared" si="12"/>
        <v>85.48</v>
      </c>
      <c r="X16" s="18">
        <f t="shared" si="12"/>
        <v>87.67</v>
      </c>
      <c r="Y16" s="18">
        <f t="shared" si="12"/>
        <v>89.95</v>
      </c>
      <c r="Z16" s="18">
        <f t="shared" si="12"/>
        <v>91.79</v>
      </c>
      <c r="AA16" s="18">
        <f t="shared" si="12"/>
        <v>93.81</v>
      </c>
      <c r="AB16" s="18">
        <f t="shared" si="12"/>
        <v>95.03</v>
      </c>
      <c r="AC16" s="18">
        <f t="shared" si="12"/>
        <v>96.4</v>
      </c>
      <c r="AD16" s="18">
        <f t="shared" si="12"/>
        <v>97.78</v>
      </c>
      <c r="AE16" s="18">
        <f t="shared" si="12"/>
        <v>99.48</v>
      </c>
      <c r="AF16" s="18">
        <f t="shared" si="12"/>
        <v>101.08</v>
      </c>
      <c r="AG16" s="18">
        <f t="shared" si="12"/>
        <v>102.69</v>
      </c>
      <c r="AH16" s="18">
        <f t="shared" si="12"/>
        <v>104.32</v>
      </c>
      <c r="AI16" s="18">
        <f t="shared" si="12"/>
        <v>105.99</v>
      </c>
      <c r="AJ16" s="18">
        <f t="shared" si="12"/>
        <v>108.49</v>
      </c>
      <c r="AK16" s="18">
        <f t="shared" si="12"/>
        <v>110.57</v>
      </c>
      <c r="AL16" s="18">
        <f t="shared" si="12"/>
        <v>112.67</v>
      </c>
      <c r="AM16" s="18">
        <f t="shared" si="12"/>
        <v>114.79</v>
      </c>
      <c r="AN16" s="18">
        <f t="shared" si="12"/>
        <v>116.96</v>
      </c>
    </row>
    <row r="17" spans="1:40" x14ac:dyDescent="0.25">
      <c r="A17" t="s">
        <v>33</v>
      </c>
      <c r="B17" s="18">
        <f t="shared" ref="B17:AN17" si="13">IF($B$1="Reference",B51,B87)</f>
        <v>21.15</v>
      </c>
      <c r="C17" s="18">
        <f t="shared" si="13"/>
        <v>22.36</v>
      </c>
      <c r="D17" s="18">
        <f t="shared" si="13"/>
        <v>23.93</v>
      </c>
      <c r="E17" s="18">
        <f t="shared" si="13"/>
        <v>24.86</v>
      </c>
      <c r="F17" s="18">
        <f t="shared" si="13"/>
        <v>25.68</v>
      </c>
      <c r="G17" s="18">
        <f t="shared" si="13"/>
        <v>27.65</v>
      </c>
      <c r="H17" s="18">
        <f t="shared" si="13"/>
        <v>29.64</v>
      </c>
      <c r="I17" s="18">
        <f t="shared" si="13"/>
        <v>30.75</v>
      </c>
      <c r="J17" s="18">
        <f t="shared" si="13"/>
        <v>30.26</v>
      </c>
      <c r="K17" s="18">
        <f t="shared" si="13"/>
        <v>31.64</v>
      </c>
      <c r="L17" s="18">
        <f t="shared" si="13"/>
        <v>33.06</v>
      </c>
      <c r="M17" s="18">
        <f t="shared" si="13"/>
        <v>34.409999999999997</v>
      </c>
      <c r="N17" s="18">
        <f t="shared" si="13"/>
        <v>36.049999999999997</v>
      </c>
      <c r="O17" s="18">
        <f t="shared" si="13"/>
        <v>37.840000000000003</v>
      </c>
      <c r="P17" s="18">
        <f t="shared" si="13"/>
        <v>39.71</v>
      </c>
      <c r="Q17" s="18">
        <f t="shared" si="13"/>
        <v>41.68</v>
      </c>
      <c r="R17" s="18">
        <f t="shared" si="13"/>
        <v>44.08</v>
      </c>
      <c r="S17" s="18">
        <f t="shared" si="13"/>
        <v>46.58</v>
      </c>
      <c r="T17" s="18">
        <f t="shared" si="13"/>
        <v>49.3</v>
      </c>
      <c r="U17" s="18">
        <f t="shared" si="13"/>
        <v>52.42</v>
      </c>
      <c r="V17" s="18">
        <f t="shared" si="13"/>
        <v>55.71</v>
      </c>
      <c r="W17" s="18">
        <f t="shared" si="13"/>
        <v>59.21</v>
      </c>
      <c r="X17" s="18">
        <f t="shared" si="13"/>
        <v>63.34</v>
      </c>
      <c r="Y17" s="18">
        <f t="shared" si="13"/>
        <v>67.680000000000007</v>
      </c>
      <c r="Z17" s="18">
        <f t="shared" si="13"/>
        <v>72.56</v>
      </c>
      <c r="AA17" s="18">
        <f t="shared" si="13"/>
        <v>77.790000000000006</v>
      </c>
      <c r="AB17" s="18">
        <f t="shared" si="13"/>
        <v>83.35</v>
      </c>
      <c r="AC17" s="18">
        <f t="shared" si="13"/>
        <v>89.31</v>
      </c>
      <c r="AD17" s="18">
        <f t="shared" si="13"/>
        <v>95.69</v>
      </c>
      <c r="AE17" s="18">
        <f t="shared" si="13"/>
        <v>102.28</v>
      </c>
      <c r="AF17" s="18">
        <f t="shared" si="13"/>
        <v>108.82</v>
      </c>
      <c r="AG17" s="18">
        <f t="shared" si="13"/>
        <v>115.61</v>
      </c>
      <c r="AH17" s="18">
        <f t="shared" si="13"/>
        <v>122.69</v>
      </c>
      <c r="AI17" s="18">
        <f t="shared" si="13"/>
        <v>130.12</v>
      </c>
      <c r="AJ17" s="18">
        <f t="shared" si="13"/>
        <v>137.75</v>
      </c>
      <c r="AK17" s="18">
        <f t="shared" si="13"/>
        <v>145.12</v>
      </c>
      <c r="AL17" s="18">
        <f t="shared" si="13"/>
        <v>152.74</v>
      </c>
      <c r="AM17" s="18">
        <f t="shared" si="13"/>
        <v>160.78</v>
      </c>
      <c r="AN17" s="18">
        <f t="shared" si="13"/>
        <v>170.59</v>
      </c>
    </row>
    <row r="18" spans="1:40" x14ac:dyDescent="0.25">
      <c r="A18" t="s">
        <v>34</v>
      </c>
      <c r="B18" s="18">
        <f t="shared" ref="B18:AN18" si="14">IF($B$1="Reference",B52,B88)</f>
        <v>135.96</v>
      </c>
      <c r="C18" s="18">
        <f t="shared" si="14"/>
        <v>139.76</v>
      </c>
      <c r="D18" s="18">
        <f t="shared" si="14"/>
        <v>143.13</v>
      </c>
      <c r="E18" s="18">
        <f t="shared" si="14"/>
        <v>144.43</v>
      </c>
      <c r="F18" s="18">
        <f t="shared" si="14"/>
        <v>145.78</v>
      </c>
      <c r="G18" s="18">
        <f t="shared" si="14"/>
        <v>148.19</v>
      </c>
      <c r="H18" s="18">
        <f t="shared" si="14"/>
        <v>150.15</v>
      </c>
      <c r="I18" s="18">
        <f t="shared" si="14"/>
        <v>149.86000000000001</v>
      </c>
      <c r="J18" s="18">
        <f t="shared" si="14"/>
        <v>138.71</v>
      </c>
      <c r="K18" s="18">
        <f t="shared" si="14"/>
        <v>141.72999999999999</v>
      </c>
      <c r="L18" s="18">
        <f t="shared" si="14"/>
        <v>144.58000000000001</v>
      </c>
      <c r="M18" s="18">
        <f t="shared" si="14"/>
        <v>147.09</v>
      </c>
      <c r="N18" s="18">
        <f t="shared" si="14"/>
        <v>150.05000000000001</v>
      </c>
      <c r="O18" s="18">
        <f t="shared" si="14"/>
        <v>152.99</v>
      </c>
      <c r="P18" s="18">
        <f t="shared" si="14"/>
        <v>155.99</v>
      </c>
      <c r="Q18" s="18">
        <f t="shared" si="14"/>
        <v>158.99</v>
      </c>
      <c r="R18" s="18">
        <f t="shared" si="14"/>
        <v>160.97999999999999</v>
      </c>
      <c r="S18" s="18">
        <f t="shared" si="14"/>
        <v>164.16</v>
      </c>
      <c r="T18" s="18">
        <f t="shared" si="14"/>
        <v>167.7</v>
      </c>
      <c r="U18" s="18">
        <f t="shared" si="14"/>
        <v>172.12</v>
      </c>
      <c r="V18" s="18">
        <f t="shared" si="14"/>
        <v>176.73</v>
      </c>
      <c r="W18" s="18">
        <f t="shared" si="14"/>
        <v>181.62</v>
      </c>
      <c r="X18" s="18">
        <f t="shared" si="14"/>
        <v>186.95</v>
      </c>
      <c r="Y18" s="18">
        <f t="shared" si="14"/>
        <v>192.27</v>
      </c>
      <c r="Z18" s="18">
        <f t="shared" si="14"/>
        <v>197.94</v>
      </c>
      <c r="AA18" s="18">
        <f t="shared" si="14"/>
        <v>204.15</v>
      </c>
      <c r="AB18" s="18">
        <f t="shared" si="14"/>
        <v>210.42</v>
      </c>
      <c r="AC18" s="18">
        <f t="shared" si="14"/>
        <v>216.93</v>
      </c>
      <c r="AD18" s="18">
        <f t="shared" si="14"/>
        <v>223.69</v>
      </c>
      <c r="AE18" s="18">
        <f t="shared" si="14"/>
        <v>230.57</v>
      </c>
      <c r="AF18" s="18">
        <f t="shared" si="14"/>
        <v>237.37</v>
      </c>
      <c r="AG18" s="18">
        <f t="shared" si="14"/>
        <v>244.47</v>
      </c>
      <c r="AH18" s="18">
        <f t="shared" si="14"/>
        <v>251.92</v>
      </c>
      <c r="AI18" s="18">
        <f t="shared" si="14"/>
        <v>259.85000000000002</v>
      </c>
      <c r="AJ18" s="18">
        <f t="shared" si="14"/>
        <v>268.14999999999998</v>
      </c>
      <c r="AK18" s="18">
        <f t="shared" si="14"/>
        <v>276.3</v>
      </c>
      <c r="AL18" s="18">
        <f t="shared" si="14"/>
        <v>284.83999999999997</v>
      </c>
      <c r="AM18" s="18">
        <f t="shared" si="14"/>
        <v>293.93</v>
      </c>
      <c r="AN18" s="18">
        <f t="shared" si="14"/>
        <v>305.06</v>
      </c>
    </row>
    <row r="19" spans="1:40" x14ac:dyDescent="0.25">
      <c r="A19" t="s">
        <v>35</v>
      </c>
      <c r="B19" s="18">
        <f t="shared" ref="B19:AN19" si="15">IF($B$1="Reference",B53,B89)</f>
        <v>11.26</v>
      </c>
      <c r="C19" s="18">
        <f t="shared" si="15"/>
        <v>11.58</v>
      </c>
      <c r="D19" s="18">
        <f t="shared" si="15"/>
        <v>11.98</v>
      </c>
      <c r="E19" s="18">
        <f t="shared" si="15"/>
        <v>12.2</v>
      </c>
      <c r="F19" s="18">
        <f t="shared" si="15"/>
        <v>12.33</v>
      </c>
      <c r="G19" s="18">
        <f t="shared" si="15"/>
        <v>12.56</v>
      </c>
      <c r="H19" s="18">
        <f t="shared" si="15"/>
        <v>12.87</v>
      </c>
      <c r="I19" s="18">
        <f t="shared" si="15"/>
        <v>12.94</v>
      </c>
      <c r="J19" s="18">
        <f t="shared" si="15"/>
        <v>12.19</v>
      </c>
      <c r="K19" s="18">
        <f t="shared" si="15"/>
        <v>12.53</v>
      </c>
      <c r="L19" s="18">
        <f t="shared" si="15"/>
        <v>12.82</v>
      </c>
      <c r="M19" s="18">
        <f t="shared" si="15"/>
        <v>13.05</v>
      </c>
      <c r="N19" s="18">
        <f t="shared" si="15"/>
        <v>13.31</v>
      </c>
      <c r="O19" s="18">
        <f t="shared" si="15"/>
        <v>13.56</v>
      </c>
      <c r="P19" s="18">
        <f t="shared" si="15"/>
        <v>13.81</v>
      </c>
      <c r="Q19" s="18">
        <f t="shared" si="15"/>
        <v>14.05</v>
      </c>
      <c r="R19" s="18">
        <f t="shared" si="15"/>
        <v>14.19</v>
      </c>
      <c r="S19" s="18">
        <f t="shared" si="15"/>
        <v>14.47</v>
      </c>
      <c r="T19" s="18">
        <f t="shared" si="15"/>
        <v>14.75</v>
      </c>
      <c r="U19" s="18">
        <f t="shared" si="15"/>
        <v>15.11</v>
      </c>
      <c r="V19" s="18">
        <f t="shared" si="15"/>
        <v>15.46</v>
      </c>
      <c r="W19" s="18">
        <f t="shared" si="15"/>
        <v>15.82</v>
      </c>
      <c r="X19" s="18">
        <f t="shared" si="15"/>
        <v>16.18</v>
      </c>
      <c r="Y19" s="18">
        <f t="shared" si="15"/>
        <v>16.559999999999999</v>
      </c>
      <c r="Z19" s="18">
        <f t="shared" si="15"/>
        <v>16.95</v>
      </c>
      <c r="AA19" s="18">
        <f t="shared" si="15"/>
        <v>17.38</v>
      </c>
      <c r="AB19" s="18">
        <f t="shared" si="15"/>
        <v>17.8</v>
      </c>
      <c r="AC19" s="18">
        <f t="shared" si="15"/>
        <v>18.23</v>
      </c>
      <c r="AD19" s="18">
        <f t="shared" si="15"/>
        <v>18.670000000000002</v>
      </c>
      <c r="AE19" s="18">
        <f t="shared" si="15"/>
        <v>19.12</v>
      </c>
      <c r="AF19" s="18">
        <f t="shared" si="15"/>
        <v>19.55</v>
      </c>
      <c r="AG19" s="18">
        <f t="shared" si="15"/>
        <v>19.98</v>
      </c>
      <c r="AH19" s="18">
        <f t="shared" si="15"/>
        <v>20.420000000000002</v>
      </c>
      <c r="AI19" s="18">
        <f t="shared" si="15"/>
        <v>20.87</v>
      </c>
      <c r="AJ19" s="18">
        <f t="shared" si="15"/>
        <v>21.33</v>
      </c>
      <c r="AK19" s="18">
        <f t="shared" si="15"/>
        <v>21.77</v>
      </c>
      <c r="AL19" s="18">
        <f t="shared" si="15"/>
        <v>22.21</v>
      </c>
      <c r="AM19" s="18">
        <f t="shared" si="15"/>
        <v>22.68</v>
      </c>
      <c r="AN19" s="18">
        <f t="shared" si="15"/>
        <v>23.27</v>
      </c>
    </row>
    <row r="20" spans="1:40" x14ac:dyDescent="0.25">
      <c r="A20" t="s">
        <v>36</v>
      </c>
      <c r="B20" s="18">
        <f t="shared" ref="B20:AN20" si="16">IF($B$1="Reference",B54,B90)</f>
        <v>1.1399999999999999</v>
      </c>
      <c r="C20" s="18">
        <f t="shared" si="16"/>
        <v>1.1499999999999999</v>
      </c>
      <c r="D20" s="18">
        <f t="shared" si="16"/>
        <v>1.1299999999999999</v>
      </c>
      <c r="E20" s="18">
        <f t="shared" si="16"/>
        <v>1.1200000000000001</v>
      </c>
      <c r="F20" s="18">
        <f t="shared" si="16"/>
        <v>1.1200000000000001</v>
      </c>
      <c r="G20" s="18">
        <f t="shared" si="16"/>
        <v>1.1299999999999999</v>
      </c>
      <c r="H20" s="18">
        <f t="shared" si="16"/>
        <v>1.1000000000000001</v>
      </c>
      <c r="I20" s="18">
        <f t="shared" si="16"/>
        <v>1.07</v>
      </c>
      <c r="J20" s="18">
        <f t="shared" si="16"/>
        <v>0.94</v>
      </c>
      <c r="K20" s="18">
        <f t="shared" si="16"/>
        <v>0.94</v>
      </c>
      <c r="L20" s="18">
        <f t="shared" si="16"/>
        <v>0.95</v>
      </c>
      <c r="M20" s="18">
        <f t="shared" si="16"/>
        <v>0.97</v>
      </c>
      <c r="N20" s="18">
        <f t="shared" si="16"/>
        <v>0.98</v>
      </c>
      <c r="O20" s="18">
        <f t="shared" si="16"/>
        <v>1</v>
      </c>
      <c r="P20" s="18">
        <f t="shared" si="16"/>
        <v>1.02</v>
      </c>
      <c r="Q20" s="18">
        <f t="shared" si="16"/>
        <v>1.04</v>
      </c>
      <c r="R20" s="18">
        <f t="shared" si="16"/>
        <v>1.05</v>
      </c>
      <c r="S20" s="18">
        <f t="shared" si="16"/>
        <v>1.06</v>
      </c>
      <c r="T20" s="18">
        <f t="shared" si="16"/>
        <v>1.0900000000000001</v>
      </c>
      <c r="U20" s="18">
        <f t="shared" si="16"/>
        <v>1.1200000000000001</v>
      </c>
      <c r="V20" s="18">
        <f t="shared" si="16"/>
        <v>1.1599999999999999</v>
      </c>
      <c r="W20" s="18">
        <f t="shared" si="16"/>
        <v>1.2</v>
      </c>
      <c r="X20" s="18">
        <f t="shared" si="16"/>
        <v>1.25</v>
      </c>
      <c r="Y20" s="18">
        <f t="shared" si="16"/>
        <v>1.29</v>
      </c>
      <c r="Z20" s="18">
        <f t="shared" si="16"/>
        <v>1.34</v>
      </c>
      <c r="AA20" s="18">
        <f t="shared" si="16"/>
        <v>1.4</v>
      </c>
      <c r="AB20" s="18">
        <f t="shared" si="16"/>
        <v>1.46</v>
      </c>
      <c r="AC20" s="18">
        <f t="shared" si="16"/>
        <v>1.52</v>
      </c>
      <c r="AD20" s="18">
        <f t="shared" si="16"/>
        <v>1.59</v>
      </c>
      <c r="AE20" s="18">
        <f t="shared" si="16"/>
        <v>1.67</v>
      </c>
      <c r="AF20" s="18">
        <f t="shared" si="16"/>
        <v>1.74</v>
      </c>
      <c r="AG20" s="18">
        <f t="shared" si="16"/>
        <v>1.83</v>
      </c>
      <c r="AH20" s="18">
        <f t="shared" si="16"/>
        <v>1.92</v>
      </c>
      <c r="AI20" s="18">
        <f t="shared" si="16"/>
        <v>2.02</v>
      </c>
      <c r="AJ20" s="18">
        <f t="shared" si="16"/>
        <v>2.13</v>
      </c>
      <c r="AK20" s="18">
        <f t="shared" si="16"/>
        <v>2.25</v>
      </c>
      <c r="AL20" s="18">
        <f t="shared" si="16"/>
        <v>2.38</v>
      </c>
      <c r="AM20" s="18">
        <f t="shared" si="16"/>
        <v>2.5099999999999998</v>
      </c>
      <c r="AN20" s="18">
        <f t="shared" si="16"/>
        <v>2.67</v>
      </c>
    </row>
    <row r="21" spans="1:40" x14ac:dyDescent="0.25">
      <c r="A21" t="s">
        <v>37</v>
      </c>
      <c r="B21" s="18">
        <f t="shared" ref="B21:AN21" si="17">IF($B$1="Reference",B55,B91)</f>
        <v>27.52</v>
      </c>
      <c r="C21" s="18">
        <f t="shared" si="17"/>
        <v>26.89</v>
      </c>
      <c r="D21" s="18">
        <f t="shared" si="17"/>
        <v>26.27</v>
      </c>
      <c r="E21" s="18">
        <f t="shared" si="17"/>
        <v>25.64</v>
      </c>
      <c r="F21" s="18">
        <f t="shared" si="17"/>
        <v>25.62</v>
      </c>
      <c r="G21" s="18">
        <f t="shared" si="17"/>
        <v>25.6</v>
      </c>
      <c r="H21" s="18">
        <f t="shared" si="17"/>
        <v>25.6</v>
      </c>
      <c r="I21" s="18">
        <f t="shared" si="17"/>
        <v>25.55</v>
      </c>
      <c r="J21" s="18">
        <f t="shared" si="17"/>
        <v>16.07</v>
      </c>
      <c r="K21" s="18">
        <f t="shared" si="17"/>
        <v>16.03</v>
      </c>
      <c r="L21" s="18">
        <f t="shared" si="17"/>
        <v>16.03</v>
      </c>
      <c r="M21" s="18">
        <f t="shared" si="17"/>
        <v>16.010000000000002</v>
      </c>
      <c r="N21" s="18">
        <f t="shared" si="17"/>
        <v>15.99</v>
      </c>
      <c r="O21" s="18">
        <f t="shared" si="17"/>
        <v>15.42</v>
      </c>
      <c r="P21" s="18">
        <f t="shared" si="17"/>
        <v>15.4</v>
      </c>
      <c r="Q21" s="18">
        <f t="shared" si="17"/>
        <v>15.38</v>
      </c>
      <c r="R21" s="18">
        <f t="shared" si="17"/>
        <v>10.1</v>
      </c>
      <c r="S21" s="18">
        <f t="shared" si="17"/>
        <v>10.08</v>
      </c>
      <c r="T21" s="18">
        <f t="shared" si="17"/>
        <v>10.47</v>
      </c>
      <c r="U21" s="18">
        <f t="shared" si="17"/>
        <v>10.74</v>
      </c>
      <c r="V21" s="18">
        <f t="shared" si="17"/>
        <v>10.75</v>
      </c>
      <c r="W21" s="18">
        <f t="shared" si="17"/>
        <v>10.78</v>
      </c>
      <c r="X21" s="18">
        <f t="shared" si="17"/>
        <v>9.3800000000000008</v>
      </c>
      <c r="Y21" s="18">
        <f t="shared" si="17"/>
        <v>7.95</v>
      </c>
      <c r="Z21" s="18">
        <f t="shared" si="17"/>
        <v>6.61</v>
      </c>
      <c r="AA21" s="18">
        <f t="shared" si="17"/>
        <v>5.54</v>
      </c>
      <c r="AB21" s="18">
        <f t="shared" si="17"/>
        <v>4.71</v>
      </c>
      <c r="AC21" s="18">
        <f t="shared" si="17"/>
        <v>3.88</v>
      </c>
      <c r="AD21" s="18">
        <f t="shared" si="17"/>
        <v>3.05</v>
      </c>
      <c r="AE21" s="18">
        <f t="shared" si="17"/>
        <v>2.78</v>
      </c>
      <c r="AF21" s="18">
        <f t="shared" si="17"/>
        <v>2.5099999999999998</v>
      </c>
      <c r="AG21" s="18">
        <f t="shared" si="17"/>
        <v>2.2400000000000002</v>
      </c>
      <c r="AH21" s="18">
        <f t="shared" si="17"/>
        <v>1.97</v>
      </c>
      <c r="AI21" s="18">
        <f t="shared" si="17"/>
        <v>1.7</v>
      </c>
      <c r="AJ21" s="18">
        <f t="shared" si="17"/>
        <v>1.68</v>
      </c>
      <c r="AK21" s="18">
        <f t="shared" si="17"/>
        <v>1.65</v>
      </c>
      <c r="AL21" s="18">
        <f t="shared" si="17"/>
        <v>1.63</v>
      </c>
      <c r="AM21" s="18">
        <f t="shared" si="17"/>
        <v>1.61</v>
      </c>
      <c r="AN21" s="18">
        <f t="shared" si="17"/>
        <v>1.58</v>
      </c>
    </row>
    <row r="22" spans="1:40" x14ac:dyDescent="0.25">
      <c r="A22" t="s">
        <v>38</v>
      </c>
      <c r="B22" s="18">
        <f t="shared" ref="B22:AN22" si="18">IF($B$1="Reference",B56,B92)</f>
        <v>66.42</v>
      </c>
      <c r="C22" s="18">
        <f t="shared" si="18"/>
        <v>67.81</v>
      </c>
      <c r="D22" s="18">
        <f t="shared" si="18"/>
        <v>65.680000000000007</v>
      </c>
      <c r="E22" s="18">
        <f t="shared" si="18"/>
        <v>63.54</v>
      </c>
      <c r="F22" s="18">
        <f t="shared" si="18"/>
        <v>63.36</v>
      </c>
      <c r="G22" s="18">
        <f t="shared" si="18"/>
        <v>63.29</v>
      </c>
      <c r="H22" s="18">
        <f t="shared" si="18"/>
        <v>63.16</v>
      </c>
      <c r="I22" s="18">
        <f t="shared" si="18"/>
        <v>62.72</v>
      </c>
      <c r="J22" s="18">
        <f t="shared" si="18"/>
        <v>60.32</v>
      </c>
      <c r="K22" s="18">
        <f t="shared" si="18"/>
        <v>60.32</v>
      </c>
      <c r="L22" s="18">
        <f t="shared" si="18"/>
        <v>60.4</v>
      </c>
      <c r="M22" s="18">
        <f t="shared" si="18"/>
        <v>60.18</v>
      </c>
      <c r="N22" s="18">
        <f t="shared" si="18"/>
        <v>60.35</v>
      </c>
      <c r="O22" s="18">
        <f t="shared" si="18"/>
        <v>60.75</v>
      </c>
      <c r="P22" s="18">
        <f t="shared" si="18"/>
        <v>60.82</v>
      </c>
      <c r="Q22" s="18">
        <f t="shared" si="18"/>
        <v>60.78</v>
      </c>
      <c r="R22" s="18">
        <f t="shared" si="18"/>
        <v>60.57</v>
      </c>
      <c r="S22" s="18">
        <f t="shared" si="18"/>
        <v>59.99</v>
      </c>
      <c r="T22" s="18">
        <f t="shared" si="18"/>
        <v>59.52</v>
      </c>
      <c r="U22" s="18">
        <f t="shared" si="18"/>
        <v>59.08</v>
      </c>
      <c r="V22" s="18">
        <f t="shared" si="18"/>
        <v>59.01</v>
      </c>
      <c r="W22" s="18">
        <f t="shared" si="18"/>
        <v>58.82</v>
      </c>
      <c r="X22" s="18">
        <f t="shared" si="18"/>
        <v>58.76</v>
      </c>
      <c r="Y22" s="18">
        <f t="shared" si="18"/>
        <v>58.76</v>
      </c>
      <c r="Z22" s="18">
        <f t="shared" si="18"/>
        <v>58.54</v>
      </c>
      <c r="AA22" s="18">
        <f t="shared" si="18"/>
        <v>57.86</v>
      </c>
      <c r="AB22" s="18">
        <f t="shared" si="18"/>
        <v>56.62</v>
      </c>
      <c r="AC22" s="18">
        <f t="shared" si="18"/>
        <v>55.36</v>
      </c>
      <c r="AD22" s="18">
        <f t="shared" si="18"/>
        <v>54.1</v>
      </c>
      <c r="AE22" s="18">
        <f t="shared" si="18"/>
        <v>53.56</v>
      </c>
      <c r="AF22" s="18">
        <f t="shared" si="18"/>
        <v>53.03</v>
      </c>
      <c r="AG22" s="18">
        <f t="shared" si="18"/>
        <v>52.5</v>
      </c>
      <c r="AH22" s="18">
        <f t="shared" si="18"/>
        <v>51.96</v>
      </c>
      <c r="AI22" s="18">
        <f t="shared" si="18"/>
        <v>51.43</v>
      </c>
      <c r="AJ22" s="18">
        <f t="shared" si="18"/>
        <v>51.14</v>
      </c>
      <c r="AK22" s="18">
        <f t="shared" si="18"/>
        <v>50.86</v>
      </c>
      <c r="AL22" s="18">
        <f t="shared" si="18"/>
        <v>50.58</v>
      </c>
      <c r="AM22" s="18">
        <f t="shared" si="18"/>
        <v>50.3</v>
      </c>
      <c r="AN22" s="18">
        <f t="shared" si="18"/>
        <v>50.03</v>
      </c>
    </row>
    <row r="24" spans="1:40" ht="18" thickBot="1" x14ac:dyDescent="0.35">
      <c r="A24" s="4" t="s">
        <v>68</v>
      </c>
      <c r="B24" s="4"/>
      <c r="C24" s="4"/>
      <c r="D24" s="4"/>
      <c r="E24" s="4"/>
      <c r="F24" s="4"/>
      <c r="G24" s="4"/>
      <c r="H24" s="4"/>
    </row>
    <row r="25" spans="1:40" ht="15.75" thickTop="1" x14ac:dyDescent="0.25">
      <c r="B25" s="3">
        <v>2012</v>
      </c>
      <c r="C25" s="3">
        <v>2013</v>
      </c>
      <c r="D25" s="3">
        <v>2014</v>
      </c>
      <c r="E25" s="3">
        <v>2015</v>
      </c>
      <c r="F25" s="3">
        <v>2016</v>
      </c>
      <c r="G25" s="3">
        <v>2017</v>
      </c>
      <c r="H25" s="3">
        <v>2018</v>
      </c>
      <c r="I25" s="3">
        <v>2019</v>
      </c>
      <c r="J25" s="3">
        <v>2020</v>
      </c>
      <c r="K25" s="3">
        <v>2021</v>
      </c>
      <c r="L25" s="3">
        <v>2022</v>
      </c>
      <c r="M25" s="3">
        <v>2023</v>
      </c>
      <c r="N25" s="3">
        <v>2024</v>
      </c>
      <c r="O25" s="3">
        <v>2025</v>
      </c>
      <c r="P25" s="3">
        <v>2026</v>
      </c>
      <c r="Q25" s="3">
        <v>2027</v>
      </c>
      <c r="R25" s="3">
        <v>2028</v>
      </c>
      <c r="S25" s="3">
        <v>2029</v>
      </c>
      <c r="T25" s="3">
        <v>2030</v>
      </c>
      <c r="U25" s="3">
        <v>2031</v>
      </c>
      <c r="V25" s="3">
        <v>2032</v>
      </c>
      <c r="W25" s="3">
        <v>2033</v>
      </c>
      <c r="X25" s="3">
        <v>2034</v>
      </c>
      <c r="Y25" s="3">
        <v>2035</v>
      </c>
      <c r="Z25" s="3">
        <v>2036</v>
      </c>
      <c r="AA25" s="3">
        <v>2037</v>
      </c>
      <c r="AB25" s="3">
        <v>2038</v>
      </c>
      <c r="AC25">
        <v>2039</v>
      </c>
      <c r="AD25">
        <v>2040</v>
      </c>
      <c r="AE25">
        <v>2041</v>
      </c>
      <c r="AF25">
        <v>2042</v>
      </c>
      <c r="AG25">
        <v>2043</v>
      </c>
      <c r="AH25">
        <v>2044</v>
      </c>
      <c r="AI25">
        <v>2045</v>
      </c>
      <c r="AJ25">
        <v>2046</v>
      </c>
      <c r="AK25">
        <v>2047</v>
      </c>
      <c r="AL25">
        <v>2048</v>
      </c>
      <c r="AM25">
        <v>2049</v>
      </c>
      <c r="AN25">
        <v>2050</v>
      </c>
    </row>
    <row r="26" spans="1:40" x14ac:dyDescent="0.25">
      <c r="A26" s="3" t="s">
        <v>54</v>
      </c>
      <c r="B26" s="18">
        <f t="shared" ref="B26:AN26" si="19">IF($B$1="Reference",B60,B96)</f>
        <v>0.5</v>
      </c>
      <c r="C26" s="18">
        <f t="shared" si="19"/>
        <v>0.49530000000000002</v>
      </c>
      <c r="D26" s="18">
        <f t="shared" si="19"/>
        <v>0.48570000000000002</v>
      </c>
      <c r="E26" s="18">
        <f t="shared" si="19"/>
        <v>0.48010000000000003</v>
      </c>
      <c r="F26" s="18">
        <f t="shared" si="19"/>
        <v>0.4783</v>
      </c>
      <c r="G26" s="18">
        <f t="shared" si="19"/>
        <v>0.47289999999999999</v>
      </c>
      <c r="H26" s="18">
        <f t="shared" si="19"/>
        <v>0.46870000000000001</v>
      </c>
      <c r="I26" s="18">
        <f t="shared" si="19"/>
        <v>0.47139999999999999</v>
      </c>
      <c r="J26" s="18">
        <f t="shared" si="19"/>
        <v>0.48859999999999998</v>
      </c>
      <c r="K26" s="18">
        <f t="shared" si="19"/>
        <v>0.50270000000000004</v>
      </c>
      <c r="L26" s="18">
        <f t="shared" si="19"/>
        <v>0.498</v>
      </c>
      <c r="M26" s="18">
        <f t="shared" si="19"/>
        <v>0.49359999999999998</v>
      </c>
      <c r="N26" s="18">
        <f t="shared" si="19"/>
        <v>0.48820000000000002</v>
      </c>
      <c r="O26" s="18">
        <f t="shared" si="19"/>
        <v>0.48220000000000002</v>
      </c>
      <c r="P26" s="18">
        <f t="shared" si="19"/>
        <v>0.47520000000000001</v>
      </c>
      <c r="Q26" s="18">
        <f t="shared" si="19"/>
        <v>0.46839999999999998</v>
      </c>
      <c r="R26" s="18">
        <f t="shared" si="19"/>
        <v>0.4647</v>
      </c>
      <c r="S26" s="18">
        <f t="shared" si="19"/>
        <v>0.45779999999999998</v>
      </c>
      <c r="T26" s="18">
        <f t="shared" si="19"/>
        <v>0.44979999999999998</v>
      </c>
      <c r="U26" s="18">
        <f t="shared" si="19"/>
        <v>0.44130000000000003</v>
      </c>
      <c r="V26" s="18">
        <f t="shared" si="19"/>
        <v>0.43219999999999997</v>
      </c>
      <c r="W26" s="18">
        <f t="shared" si="19"/>
        <v>0.42320000000000002</v>
      </c>
      <c r="X26" s="18">
        <f t="shared" si="19"/>
        <v>0.4138</v>
      </c>
      <c r="Y26" s="18">
        <f t="shared" si="19"/>
        <v>0.40460000000000002</v>
      </c>
      <c r="Z26" s="18">
        <f t="shared" si="19"/>
        <v>0.39539999999999997</v>
      </c>
      <c r="AA26" s="18">
        <f t="shared" si="19"/>
        <v>0.38550000000000001</v>
      </c>
      <c r="AB26" s="18">
        <f t="shared" si="19"/>
        <v>0.37590000000000001</v>
      </c>
      <c r="AC26" s="18">
        <f t="shared" si="19"/>
        <v>0.36670000000000003</v>
      </c>
      <c r="AD26" s="18">
        <f t="shared" si="19"/>
        <v>0.35759999999999997</v>
      </c>
      <c r="AE26" s="18">
        <f t="shared" si="19"/>
        <v>0.34839999999999999</v>
      </c>
      <c r="AF26" s="18">
        <f t="shared" si="19"/>
        <v>0.33989999999999998</v>
      </c>
      <c r="AG26" s="18">
        <f t="shared" si="19"/>
        <v>0.33169999999999999</v>
      </c>
      <c r="AH26" s="18">
        <f t="shared" si="19"/>
        <v>0.32350000000000001</v>
      </c>
      <c r="AI26" s="18">
        <f t="shared" si="19"/>
        <v>0.31519999999999998</v>
      </c>
      <c r="AJ26" s="18">
        <f t="shared" si="19"/>
        <v>0.30669999999999997</v>
      </c>
      <c r="AK26" s="18">
        <f t="shared" si="19"/>
        <v>0.2989</v>
      </c>
      <c r="AL26" s="18">
        <f t="shared" si="19"/>
        <v>0.29149999999999998</v>
      </c>
      <c r="AM26" s="18">
        <f t="shared" si="19"/>
        <v>0.28389999999999999</v>
      </c>
      <c r="AN26" s="18">
        <f t="shared" si="19"/>
        <v>0.27539999999999998</v>
      </c>
    </row>
    <row r="27" spans="1:40" x14ac:dyDescent="0.25">
      <c r="A27" s="3" t="s">
        <v>55</v>
      </c>
      <c r="B27" s="18">
        <f t="shared" ref="B27:AN27" si="20">IF($B$1="Reference",B61,B97)</f>
        <v>0.3</v>
      </c>
      <c r="C27" s="18">
        <f t="shared" si="20"/>
        <v>0.29570000000000002</v>
      </c>
      <c r="D27" s="18">
        <f t="shared" si="20"/>
        <v>0.29930000000000001</v>
      </c>
      <c r="E27" s="18">
        <f t="shared" si="20"/>
        <v>0.3029</v>
      </c>
      <c r="F27" s="18">
        <f t="shared" si="20"/>
        <v>0.3044</v>
      </c>
      <c r="G27" s="18">
        <f t="shared" si="20"/>
        <v>0.30480000000000002</v>
      </c>
      <c r="H27" s="18">
        <f t="shared" si="20"/>
        <v>0.30819999999999997</v>
      </c>
      <c r="I27" s="18">
        <f t="shared" si="20"/>
        <v>0.31109999999999999</v>
      </c>
      <c r="J27" s="18">
        <f t="shared" si="20"/>
        <v>0.31140000000000001</v>
      </c>
      <c r="K27" s="18">
        <f t="shared" si="20"/>
        <v>0.29730000000000001</v>
      </c>
      <c r="L27" s="18">
        <f t="shared" si="20"/>
        <v>0.30199999999999999</v>
      </c>
      <c r="M27" s="18">
        <f t="shared" si="20"/>
        <v>0.30640000000000001</v>
      </c>
      <c r="N27" s="18">
        <f t="shared" si="20"/>
        <v>0.30940000000000001</v>
      </c>
      <c r="O27" s="18">
        <f t="shared" si="20"/>
        <v>0.3115</v>
      </c>
      <c r="P27" s="18">
        <f t="shared" si="20"/>
        <v>0.313</v>
      </c>
      <c r="Q27" s="18">
        <f t="shared" si="20"/>
        <v>0.31540000000000001</v>
      </c>
      <c r="R27" s="18">
        <f t="shared" si="20"/>
        <v>0.3175</v>
      </c>
      <c r="S27" s="18">
        <f t="shared" si="20"/>
        <v>0.31859999999999999</v>
      </c>
      <c r="T27" s="18">
        <f t="shared" si="20"/>
        <v>0.32069999999999999</v>
      </c>
      <c r="U27" s="18">
        <f t="shared" si="20"/>
        <v>0.32240000000000002</v>
      </c>
      <c r="V27" s="18">
        <f t="shared" si="20"/>
        <v>0.32469999999999999</v>
      </c>
      <c r="W27" s="18">
        <f t="shared" si="20"/>
        <v>0.32690000000000002</v>
      </c>
      <c r="X27" s="18">
        <f t="shared" si="20"/>
        <v>0.32890000000000003</v>
      </c>
      <c r="Y27" s="18">
        <f t="shared" si="20"/>
        <v>0.33139999999999997</v>
      </c>
      <c r="Z27" s="18">
        <f t="shared" si="20"/>
        <v>0.33339999999999997</v>
      </c>
      <c r="AA27" s="18">
        <f t="shared" si="20"/>
        <v>0.33560000000000001</v>
      </c>
      <c r="AB27" s="18">
        <f t="shared" si="20"/>
        <v>0.33800000000000002</v>
      </c>
      <c r="AC27" s="18">
        <f t="shared" si="20"/>
        <v>0.34010000000000001</v>
      </c>
      <c r="AD27" s="18">
        <f t="shared" si="20"/>
        <v>0.3422</v>
      </c>
      <c r="AE27" s="18">
        <f t="shared" si="20"/>
        <v>0.34439999999999998</v>
      </c>
      <c r="AF27" s="18">
        <f t="shared" si="20"/>
        <v>0.34649999999999997</v>
      </c>
      <c r="AG27" s="18">
        <f t="shared" si="20"/>
        <v>0.34839999999999999</v>
      </c>
      <c r="AH27" s="18">
        <f t="shared" si="20"/>
        <v>0.35020000000000001</v>
      </c>
      <c r="AI27" s="18">
        <f t="shared" si="20"/>
        <v>0.35189999999999999</v>
      </c>
      <c r="AJ27" s="18">
        <f t="shared" si="20"/>
        <v>0.35370000000000001</v>
      </c>
      <c r="AK27" s="18">
        <f t="shared" si="20"/>
        <v>0.35560000000000003</v>
      </c>
      <c r="AL27" s="18">
        <f t="shared" si="20"/>
        <v>0.35720000000000002</v>
      </c>
      <c r="AM27" s="18">
        <f t="shared" si="20"/>
        <v>0.35859999999999997</v>
      </c>
      <c r="AN27" s="18">
        <f t="shared" si="20"/>
        <v>0.35959999999999998</v>
      </c>
    </row>
    <row r="28" spans="1:40" x14ac:dyDescent="0.25">
      <c r="A28" s="3" t="s">
        <v>56</v>
      </c>
      <c r="B28" s="18">
        <f t="shared" ref="B28:AN28" si="21">IF($B$1="Reference",B62,B98)</f>
        <v>0.2</v>
      </c>
      <c r="C28" s="18">
        <f t="shared" si="21"/>
        <v>0.20899999999999999</v>
      </c>
      <c r="D28" s="18">
        <f t="shared" si="21"/>
        <v>0.215</v>
      </c>
      <c r="E28" s="18">
        <f t="shared" si="21"/>
        <v>0.217</v>
      </c>
      <c r="F28" s="18">
        <f t="shared" si="21"/>
        <v>0.2172</v>
      </c>
      <c r="G28" s="18">
        <f t="shared" si="21"/>
        <v>0.2223</v>
      </c>
      <c r="H28" s="18">
        <f t="shared" si="21"/>
        <v>0.22309999999999999</v>
      </c>
      <c r="I28" s="18">
        <f t="shared" si="21"/>
        <v>0.21759999999999999</v>
      </c>
      <c r="J28" s="18">
        <f t="shared" si="21"/>
        <v>0.2</v>
      </c>
      <c r="K28" s="18">
        <f t="shared" si="21"/>
        <v>0.2</v>
      </c>
      <c r="L28" s="18">
        <f t="shared" si="21"/>
        <v>0.2</v>
      </c>
      <c r="M28" s="18">
        <f t="shared" si="21"/>
        <v>0.2</v>
      </c>
      <c r="N28" s="18">
        <f t="shared" si="21"/>
        <v>0.20230000000000001</v>
      </c>
      <c r="O28" s="18">
        <f t="shared" si="21"/>
        <v>0.20630000000000001</v>
      </c>
      <c r="P28" s="18">
        <f t="shared" si="21"/>
        <v>0.21179999999999999</v>
      </c>
      <c r="Q28" s="18">
        <f t="shared" si="21"/>
        <v>0.2162</v>
      </c>
      <c r="R28" s="18">
        <f t="shared" si="21"/>
        <v>0.21790000000000001</v>
      </c>
      <c r="S28" s="18">
        <f t="shared" si="21"/>
        <v>0.22359999999999999</v>
      </c>
      <c r="T28" s="18">
        <f t="shared" si="21"/>
        <v>0.22939999999999999</v>
      </c>
      <c r="U28" s="18">
        <f t="shared" si="21"/>
        <v>0.23619999999999999</v>
      </c>
      <c r="V28" s="18">
        <f t="shared" si="21"/>
        <v>0.2432</v>
      </c>
      <c r="W28" s="18">
        <f t="shared" si="21"/>
        <v>0.24990000000000001</v>
      </c>
      <c r="X28" s="18">
        <f t="shared" si="21"/>
        <v>0.25719999999999998</v>
      </c>
      <c r="Y28" s="18">
        <f t="shared" si="21"/>
        <v>0.26390000000000002</v>
      </c>
      <c r="Z28" s="18">
        <f t="shared" si="21"/>
        <v>0.2712</v>
      </c>
      <c r="AA28" s="18">
        <f t="shared" si="21"/>
        <v>0.27889999999999998</v>
      </c>
      <c r="AB28" s="18">
        <f t="shared" si="21"/>
        <v>0.28599999999999998</v>
      </c>
      <c r="AC28" s="18">
        <f t="shared" si="21"/>
        <v>0.29310000000000003</v>
      </c>
      <c r="AD28" s="18">
        <f t="shared" si="21"/>
        <v>0.30020000000000002</v>
      </c>
      <c r="AE28" s="18">
        <f t="shared" si="21"/>
        <v>0.30719999999999997</v>
      </c>
      <c r="AF28" s="18">
        <f t="shared" si="21"/>
        <v>0.3135</v>
      </c>
      <c r="AG28" s="18">
        <f t="shared" si="21"/>
        <v>0.31990000000000002</v>
      </c>
      <c r="AH28" s="18">
        <f t="shared" si="21"/>
        <v>0.32629999999999998</v>
      </c>
      <c r="AI28" s="18">
        <f t="shared" si="21"/>
        <v>0.33289999999999997</v>
      </c>
      <c r="AJ28" s="18">
        <f t="shared" si="21"/>
        <v>0.33960000000000001</v>
      </c>
      <c r="AK28" s="18">
        <f t="shared" si="21"/>
        <v>0.34549999999999997</v>
      </c>
      <c r="AL28" s="18">
        <f t="shared" si="21"/>
        <v>0.35139999999999999</v>
      </c>
      <c r="AM28" s="18">
        <f t="shared" si="21"/>
        <v>0.35749999999999998</v>
      </c>
      <c r="AN28" s="18">
        <f t="shared" si="21"/>
        <v>0.36499999999999999</v>
      </c>
    </row>
    <row r="29" spans="1:40" x14ac:dyDescent="0.25">
      <c r="A29" s="3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1" spans="1:40" ht="18" thickBot="1" x14ac:dyDescent="0.35">
      <c r="A31" s="4" t="s">
        <v>69</v>
      </c>
      <c r="B31" s="4"/>
      <c r="C31" s="4"/>
      <c r="D31" s="4"/>
      <c r="E31" s="4"/>
      <c r="F31" s="4"/>
      <c r="G31" s="4"/>
      <c r="H31" s="4"/>
    </row>
    <row r="32" spans="1:40" ht="15.75" thickTop="1" x14ac:dyDescent="0.25">
      <c r="A32" s="3">
        <v>2012</v>
      </c>
      <c r="B32" s="3">
        <v>2013</v>
      </c>
      <c r="C32" s="3">
        <v>2014</v>
      </c>
      <c r="D32" s="3">
        <v>2015</v>
      </c>
      <c r="E32" s="3">
        <v>2016</v>
      </c>
      <c r="F32" s="3">
        <v>2017</v>
      </c>
      <c r="G32" s="3">
        <v>2018</v>
      </c>
      <c r="H32" s="3">
        <v>2019</v>
      </c>
      <c r="I32" s="3">
        <v>2020</v>
      </c>
      <c r="J32" s="3">
        <v>2021</v>
      </c>
      <c r="K32" s="3">
        <v>2022</v>
      </c>
      <c r="L32" s="3">
        <v>2023</v>
      </c>
      <c r="M32" s="3">
        <v>2024</v>
      </c>
      <c r="N32" s="3">
        <v>2025</v>
      </c>
      <c r="O32" s="3">
        <v>2026</v>
      </c>
      <c r="P32" s="3">
        <v>2027</v>
      </c>
      <c r="Q32" s="3">
        <v>2028</v>
      </c>
      <c r="R32" s="3">
        <v>2029</v>
      </c>
      <c r="S32" s="3">
        <v>2030</v>
      </c>
      <c r="T32" s="3">
        <v>2031</v>
      </c>
      <c r="U32" s="3">
        <v>2032</v>
      </c>
      <c r="V32" s="3">
        <v>2033</v>
      </c>
      <c r="W32" s="3">
        <v>2034</v>
      </c>
      <c r="X32" s="3">
        <v>2035</v>
      </c>
      <c r="Y32" s="3">
        <v>2036</v>
      </c>
      <c r="Z32">
        <v>2037</v>
      </c>
      <c r="AA32">
        <v>2038</v>
      </c>
      <c r="AB32">
        <v>2039</v>
      </c>
      <c r="AC32">
        <v>2040</v>
      </c>
      <c r="AD32">
        <v>2041</v>
      </c>
      <c r="AE32">
        <v>2042</v>
      </c>
      <c r="AF32">
        <v>2043</v>
      </c>
      <c r="AG32">
        <v>2044</v>
      </c>
      <c r="AH32">
        <v>2045</v>
      </c>
      <c r="AI32">
        <v>2046</v>
      </c>
      <c r="AJ32">
        <v>2047</v>
      </c>
      <c r="AK32">
        <v>2048</v>
      </c>
      <c r="AL32">
        <v>2049</v>
      </c>
      <c r="AM32">
        <v>2050</v>
      </c>
    </row>
    <row r="33" spans="1:40" x14ac:dyDescent="0.25">
      <c r="A33" s="18">
        <f t="shared" ref="A33:AM33" si="22">IF($B$1="Reference",A67,A103)</f>
        <v>0.30163969294990939</v>
      </c>
      <c r="B33" s="18">
        <f t="shared" si="22"/>
        <v>0.30796232196009593</v>
      </c>
      <c r="C33" s="18">
        <f t="shared" si="22"/>
        <v>0.31076074811132609</v>
      </c>
      <c r="D33" s="18">
        <f t="shared" si="22"/>
        <v>0.31288978435800541</v>
      </c>
      <c r="E33" s="18">
        <f t="shared" si="22"/>
        <v>0.31287861234645009</v>
      </c>
      <c r="F33" s="18">
        <f t="shared" si="22"/>
        <v>0.31559061766201918</v>
      </c>
      <c r="G33" s="18">
        <f t="shared" si="22"/>
        <v>0.31792262160723966</v>
      </c>
      <c r="H33" s="18">
        <f t="shared" si="22"/>
        <v>0.31751776256697073</v>
      </c>
      <c r="I33" s="18">
        <f t="shared" si="22"/>
        <v>0.29019645575179692</v>
      </c>
      <c r="J33" s="18">
        <f t="shared" si="22"/>
        <v>0.29699796556548153</v>
      </c>
      <c r="K33" s="18">
        <f t="shared" si="22"/>
        <v>0.30086618803463078</v>
      </c>
      <c r="L33" s="18">
        <f t="shared" si="22"/>
        <v>0.30560921323222662</v>
      </c>
      <c r="M33" s="18">
        <f t="shared" si="22"/>
        <v>0.31089428879503833</v>
      </c>
      <c r="N33" s="18">
        <f t="shared" si="22"/>
        <v>0.31574574729178884</v>
      </c>
      <c r="O33" s="18">
        <f t="shared" si="22"/>
        <v>0.32233263553724806</v>
      </c>
      <c r="P33" s="18">
        <f t="shared" si="22"/>
        <v>0.32880003865535701</v>
      </c>
      <c r="Q33" s="18">
        <f t="shared" si="22"/>
        <v>0.33535511550799657</v>
      </c>
      <c r="R33" s="18">
        <f t="shared" si="22"/>
        <v>0.34123725286063172</v>
      </c>
      <c r="S33" s="18">
        <f t="shared" si="22"/>
        <v>0.34454239921586177</v>
      </c>
      <c r="T33" s="18">
        <f t="shared" si="22"/>
        <v>0.35116683037727708</v>
      </c>
      <c r="U33" s="18">
        <f t="shared" si="22"/>
        <v>0.3572236000334062</v>
      </c>
      <c r="V33" s="18">
        <f t="shared" si="22"/>
        <v>0.36353776465503623</v>
      </c>
      <c r="W33" s="18">
        <f t="shared" si="22"/>
        <v>0.36890203829536222</v>
      </c>
      <c r="X33" s="18">
        <f t="shared" si="22"/>
        <v>0.37427262385952426</v>
      </c>
      <c r="Y33" s="18">
        <f t="shared" si="22"/>
        <v>0.38104809418400248</v>
      </c>
      <c r="Z33" s="18">
        <f t="shared" si="22"/>
        <v>0.38784776605814258</v>
      </c>
      <c r="AA33" s="18">
        <f t="shared" si="22"/>
        <v>0.4299009822099728</v>
      </c>
      <c r="AB33" s="18">
        <f t="shared" si="22"/>
        <v>0.43713117831921317</v>
      </c>
      <c r="AC33" s="18">
        <f t="shared" si="22"/>
        <v>0.44491156591527831</v>
      </c>
      <c r="AD33" s="18">
        <f t="shared" si="22"/>
        <v>0.45393229406497204</v>
      </c>
      <c r="AE33" s="18">
        <f t="shared" si="22"/>
        <v>0.46311317822350589</v>
      </c>
      <c r="AF33" s="18">
        <f t="shared" si="22"/>
        <v>0.4726065828684099</v>
      </c>
      <c r="AG33" s="18">
        <f t="shared" si="22"/>
        <v>0.48236629091688582</v>
      </c>
      <c r="AH33" s="18">
        <f t="shared" si="22"/>
        <v>0.49247723540906563</v>
      </c>
      <c r="AI33" s="18">
        <f t="shared" si="22"/>
        <v>0.50118562936425615</v>
      </c>
      <c r="AJ33" s="18">
        <f t="shared" si="22"/>
        <v>0.51042179853043057</v>
      </c>
      <c r="AK33" s="18">
        <f t="shared" si="22"/>
        <v>0.52017248072066546</v>
      </c>
      <c r="AL33" s="18">
        <f t="shared" si="22"/>
        <v>0.53049825447978527</v>
      </c>
      <c r="AM33" s="18">
        <f t="shared" si="22"/>
        <v>0.54170030276549952</v>
      </c>
    </row>
    <row r="35" spans="1:40" x14ac:dyDescent="0.25">
      <c r="F35" t="s">
        <v>175</v>
      </c>
    </row>
    <row r="36" spans="1:40" ht="18" thickBot="1" x14ac:dyDescent="0.35">
      <c r="A36" s="24" t="s">
        <v>142</v>
      </c>
      <c r="B36" s="24"/>
      <c r="C36" s="24"/>
      <c r="D36" s="2" t="s">
        <v>176</v>
      </c>
      <c r="F36" t="s">
        <v>176</v>
      </c>
    </row>
    <row r="37" spans="1:40" ht="15.75" thickTop="1" x14ac:dyDescent="0.25">
      <c r="B37">
        <v>2012</v>
      </c>
      <c r="C37">
        <v>2013</v>
      </c>
      <c r="D37">
        <v>2014</v>
      </c>
      <c r="E37">
        <v>2015</v>
      </c>
      <c r="F37">
        <v>2016</v>
      </c>
      <c r="G37">
        <v>2017</v>
      </c>
      <c r="H37">
        <v>2018</v>
      </c>
      <c r="I37">
        <v>2019</v>
      </c>
      <c r="J37">
        <v>2020</v>
      </c>
      <c r="K37">
        <v>2021</v>
      </c>
      <c r="L37">
        <v>2022</v>
      </c>
      <c r="M37">
        <v>2023</v>
      </c>
      <c r="N37">
        <v>2024</v>
      </c>
      <c r="O37">
        <v>2025</v>
      </c>
      <c r="P37">
        <v>2026</v>
      </c>
      <c r="Q37">
        <v>2027</v>
      </c>
      <c r="R37">
        <v>2028</v>
      </c>
      <c r="S37">
        <v>2029</v>
      </c>
      <c r="T37">
        <v>2030</v>
      </c>
      <c r="U37">
        <v>2031</v>
      </c>
      <c r="V37">
        <v>2032</v>
      </c>
      <c r="W37">
        <v>2033</v>
      </c>
      <c r="X37">
        <v>2034</v>
      </c>
      <c r="Y37">
        <v>2035</v>
      </c>
      <c r="Z37">
        <v>2036</v>
      </c>
      <c r="AA37">
        <v>2037</v>
      </c>
      <c r="AB37">
        <v>2038</v>
      </c>
      <c r="AC37">
        <v>2039</v>
      </c>
      <c r="AD37">
        <v>2040</v>
      </c>
      <c r="AE37">
        <v>2041</v>
      </c>
      <c r="AF37">
        <v>2042</v>
      </c>
      <c r="AG37">
        <v>2043</v>
      </c>
      <c r="AH37">
        <v>2044</v>
      </c>
      <c r="AI37">
        <v>2045</v>
      </c>
      <c r="AJ37">
        <v>2046</v>
      </c>
      <c r="AK37">
        <v>2047</v>
      </c>
      <c r="AL37">
        <v>2048</v>
      </c>
      <c r="AM37">
        <v>2049</v>
      </c>
      <c r="AN37">
        <v>2050</v>
      </c>
    </row>
    <row r="38" spans="1:40" x14ac:dyDescent="0.25">
      <c r="A38" t="s">
        <v>21</v>
      </c>
      <c r="B38" s="18">
        <f t="shared" ref="B38:AN38" si="23">IF($D$36="NDC",C109,C142)</f>
        <v>1833.85</v>
      </c>
      <c r="C38" s="18">
        <f t="shared" si="23"/>
        <v>1881.9</v>
      </c>
      <c r="D38" s="18">
        <f t="shared" si="23"/>
        <v>1929.34</v>
      </c>
      <c r="E38" s="18">
        <f t="shared" si="23"/>
        <v>1956.68</v>
      </c>
      <c r="F38" s="18">
        <f t="shared" si="23"/>
        <v>1983.97</v>
      </c>
      <c r="G38" s="18">
        <f t="shared" si="23"/>
        <v>2015.63</v>
      </c>
      <c r="H38" s="18">
        <f t="shared" si="23"/>
        <v>2048.7199999999998</v>
      </c>
      <c r="I38" s="18">
        <f t="shared" si="23"/>
        <v>2068.14</v>
      </c>
      <c r="J38" s="18">
        <f t="shared" si="23"/>
        <v>1924.06</v>
      </c>
      <c r="K38" s="18">
        <f t="shared" si="23"/>
        <v>1969.68</v>
      </c>
      <c r="L38" s="18">
        <f t="shared" si="23"/>
        <v>2013.21</v>
      </c>
      <c r="M38" s="18">
        <f t="shared" si="23"/>
        <v>2052.89</v>
      </c>
      <c r="N38" s="18">
        <f t="shared" si="23"/>
        <v>2097.59</v>
      </c>
      <c r="O38" s="18">
        <f t="shared" si="23"/>
        <v>2142.04</v>
      </c>
      <c r="P38" s="18">
        <f t="shared" si="23"/>
        <v>2187.36</v>
      </c>
      <c r="Q38" s="18">
        <f t="shared" si="23"/>
        <v>2232.96</v>
      </c>
      <c r="R38" s="18">
        <f t="shared" si="23"/>
        <v>2276.1999999999998</v>
      </c>
      <c r="S38" s="18">
        <f t="shared" si="23"/>
        <v>2325.7600000000002</v>
      </c>
      <c r="T38" s="18">
        <f t="shared" si="23"/>
        <v>2379.34</v>
      </c>
      <c r="U38" s="18">
        <f t="shared" si="23"/>
        <v>2444.09</v>
      </c>
      <c r="V38" s="18">
        <f t="shared" si="23"/>
        <v>2512.85</v>
      </c>
      <c r="W38" s="18">
        <f t="shared" si="23"/>
        <v>2586.39</v>
      </c>
      <c r="X38" s="18">
        <f t="shared" si="23"/>
        <v>2669.29</v>
      </c>
      <c r="Y38" s="18">
        <f t="shared" si="23"/>
        <v>2753.03</v>
      </c>
      <c r="Z38" s="18">
        <f t="shared" si="23"/>
        <v>2843.24</v>
      </c>
      <c r="AA38" s="18">
        <f t="shared" si="23"/>
        <v>2938.39</v>
      </c>
      <c r="AB38" s="18">
        <f t="shared" si="23"/>
        <v>3036.29</v>
      </c>
      <c r="AC38" s="18">
        <f t="shared" si="23"/>
        <v>3138.34</v>
      </c>
      <c r="AD38" s="18">
        <f t="shared" si="23"/>
        <v>3244.95</v>
      </c>
      <c r="AE38" s="18">
        <f t="shared" si="23"/>
        <v>3354.92</v>
      </c>
      <c r="AF38" s="18">
        <f t="shared" si="23"/>
        <v>3465.43</v>
      </c>
      <c r="AG38" s="18">
        <f t="shared" si="23"/>
        <v>3580.36</v>
      </c>
      <c r="AH38" s="18">
        <f t="shared" si="23"/>
        <v>3700.03</v>
      </c>
      <c r="AI38" s="18">
        <f t="shared" si="23"/>
        <v>3827.31</v>
      </c>
      <c r="AJ38" s="18">
        <f t="shared" si="23"/>
        <v>3959.52</v>
      </c>
      <c r="AK38" s="18">
        <f t="shared" si="23"/>
        <v>4091.05</v>
      </c>
      <c r="AL38" s="18">
        <f t="shared" si="23"/>
        <v>4228.6000000000004</v>
      </c>
      <c r="AM38" s="18">
        <f t="shared" si="23"/>
        <v>4373.84</v>
      </c>
      <c r="AN38" s="18">
        <f t="shared" si="23"/>
        <v>4547.05</v>
      </c>
    </row>
    <row r="39" spans="1:40" x14ac:dyDescent="0.25">
      <c r="A39" t="s">
        <v>73</v>
      </c>
      <c r="B39" s="18">
        <f t="shared" ref="B39:AN39" si="24">IF($D$36="NDC",C110,C143)</f>
        <v>69.819999999999993</v>
      </c>
      <c r="C39" s="18">
        <f t="shared" si="24"/>
        <v>72.86</v>
      </c>
      <c r="D39" s="18">
        <f t="shared" si="24"/>
        <v>75.87</v>
      </c>
      <c r="E39" s="18">
        <f t="shared" si="24"/>
        <v>74.64</v>
      </c>
      <c r="F39" s="18">
        <f t="shared" si="24"/>
        <v>73.959999999999994</v>
      </c>
      <c r="G39" s="18">
        <f t="shared" si="24"/>
        <v>76.72</v>
      </c>
      <c r="H39" s="18">
        <f t="shared" si="24"/>
        <v>75.61</v>
      </c>
      <c r="I39" s="18">
        <f t="shared" si="24"/>
        <v>74.11</v>
      </c>
      <c r="J39" s="18">
        <f t="shared" si="24"/>
        <v>73.06</v>
      </c>
      <c r="K39" s="18">
        <f t="shared" si="24"/>
        <v>75.239999999999995</v>
      </c>
      <c r="L39" s="18">
        <f t="shared" si="24"/>
        <v>77.23</v>
      </c>
      <c r="M39" s="18">
        <f t="shared" si="24"/>
        <v>78.58</v>
      </c>
      <c r="N39" s="18">
        <f t="shared" si="24"/>
        <v>80.14</v>
      </c>
      <c r="O39" s="18">
        <f t="shared" si="24"/>
        <v>81.66</v>
      </c>
      <c r="P39" s="18">
        <f t="shared" si="24"/>
        <v>83.01</v>
      </c>
      <c r="Q39" s="18">
        <f t="shared" si="24"/>
        <v>84.26</v>
      </c>
      <c r="R39" s="18">
        <f t="shared" si="24"/>
        <v>85.97</v>
      </c>
      <c r="S39" s="18">
        <f t="shared" si="24"/>
        <v>87.4</v>
      </c>
      <c r="T39" s="18">
        <f t="shared" si="24"/>
        <v>88.8</v>
      </c>
      <c r="U39" s="18">
        <f t="shared" si="24"/>
        <v>90.44</v>
      </c>
      <c r="V39" s="18">
        <f t="shared" si="24"/>
        <v>92.09</v>
      </c>
      <c r="W39" s="18">
        <f t="shared" si="24"/>
        <v>93.77</v>
      </c>
      <c r="X39" s="18">
        <f t="shared" si="24"/>
        <v>95.87</v>
      </c>
      <c r="Y39" s="18">
        <f t="shared" si="24"/>
        <v>97.95</v>
      </c>
      <c r="Z39" s="18">
        <f t="shared" si="24"/>
        <v>100.25</v>
      </c>
      <c r="AA39" s="18">
        <f t="shared" si="24"/>
        <v>102.58</v>
      </c>
      <c r="AB39" s="18">
        <f t="shared" si="24"/>
        <v>104.93</v>
      </c>
      <c r="AC39" s="18">
        <f t="shared" si="24"/>
        <v>107.29</v>
      </c>
      <c r="AD39" s="18">
        <f t="shared" si="24"/>
        <v>109.71</v>
      </c>
      <c r="AE39" s="18">
        <f t="shared" si="24"/>
        <v>112.22</v>
      </c>
      <c r="AF39" s="18">
        <f t="shared" si="24"/>
        <v>114.59</v>
      </c>
      <c r="AG39" s="18">
        <f t="shared" si="24"/>
        <v>117.07</v>
      </c>
      <c r="AH39" s="18">
        <f t="shared" si="24"/>
        <v>119.7</v>
      </c>
      <c r="AI39" s="18">
        <f t="shared" si="24"/>
        <v>122.57</v>
      </c>
      <c r="AJ39" s="18">
        <f t="shared" si="24"/>
        <v>125.55</v>
      </c>
      <c r="AK39" s="18">
        <f t="shared" si="24"/>
        <v>128.41</v>
      </c>
      <c r="AL39" s="18">
        <f t="shared" si="24"/>
        <v>131.38999999999999</v>
      </c>
      <c r="AM39" s="18">
        <f t="shared" si="24"/>
        <v>134.63</v>
      </c>
      <c r="AN39" s="18">
        <f t="shared" si="24"/>
        <v>138.71</v>
      </c>
    </row>
    <row r="40" spans="1:40" x14ac:dyDescent="0.25">
      <c r="A40" t="s">
        <v>23</v>
      </c>
      <c r="B40" s="18">
        <f t="shared" ref="B40:AN40" si="25">IF($D$36="NDC",C111,C144)</f>
        <v>123.26999999999998</v>
      </c>
      <c r="C40" s="18">
        <f t="shared" si="25"/>
        <v>125.80799999999999</v>
      </c>
      <c r="D40" s="18">
        <f t="shared" si="25"/>
        <v>125.928</v>
      </c>
      <c r="E40" s="18">
        <f t="shared" si="25"/>
        <v>128.83799999999999</v>
      </c>
      <c r="F40" s="18">
        <f t="shared" si="25"/>
        <v>126.498</v>
      </c>
      <c r="G40" s="18">
        <f t="shared" si="25"/>
        <v>129.738</v>
      </c>
      <c r="H40" s="18">
        <f t="shared" si="25"/>
        <v>128.71199999999999</v>
      </c>
      <c r="I40" s="18">
        <f t="shared" si="25"/>
        <v>126.50399999999999</v>
      </c>
      <c r="J40" s="18">
        <f t="shared" si="25"/>
        <v>118.98</v>
      </c>
      <c r="K40" s="18">
        <f t="shared" si="25"/>
        <v>121.03799999999998</v>
      </c>
      <c r="L40" s="18">
        <f t="shared" si="25"/>
        <v>122.64599999999999</v>
      </c>
      <c r="M40" s="18">
        <f t="shared" si="25"/>
        <v>123.93</v>
      </c>
      <c r="N40" s="18">
        <f t="shared" si="25"/>
        <v>125.322</v>
      </c>
      <c r="O40" s="18">
        <f t="shared" si="25"/>
        <v>126.78</v>
      </c>
      <c r="P40" s="18">
        <f t="shared" si="25"/>
        <v>127.99199999999999</v>
      </c>
      <c r="Q40" s="18">
        <f t="shared" si="25"/>
        <v>129.15599999999998</v>
      </c>
      <c r="R40" s="18">
        <f t="shared" si="25"/>
        <v>131.04</v>
      </c>
      <c r="S40" s="18">
        <f t="shared" si="25"/>
        <v>132.066</v>
      </c>
      <c r="T40" s="18">
        <f t="shared" si="25"/>
        <v>132.99599999999998</v>
      </c>
      <c r="U40" s="18">
        <f t="shared" si="25"/>
        <v>134.298</v>
      </c>
      <c r="V40" s="18">
        <f t="shared" si="25"/>
        <v>135.6</v>
      </c>
      <c r="W40" s="18">
        <f t="shared" si="25"/>
        <v>136.94399999999999</v>
      </c>
      <c r="X40" s="18">
        <f t="shared" si="25"/>
        <v>138.828</v>
      </c>
      <c r="Y40" s="18">
        <f t="shared" si="25"/>
        <v>140.66999999999999</v>
      </c>
      <c r="Z40" s="18">
        <f t="shared" si="25"/>
        <v>142.67399999999998</v>
      </c>
      <c r="AA40" s="18">
        <f t="shared" si="25"/>
        <v>144.61199999999999</v>
      </c>
      <c r="AB40" s="18">
        <f t="shared" si="25"/>
        <v>146.84399999999999</v>
      </c>
      <c r="AC40" s="18">
        <f t="shared" si="25"/>
        <v>149.184</v>
      </c>
      <c r="AD40" s="18">
        <f t="shared" si="25"/>
        <v>151.65</v>
      </c>
      <c r="AE40" s="18">
        <f t="shared" si="25"/>
        <v>154.33799999999999</v>
      </c>
      <c r="AF40" s="18">
        <f t="shared" si="25"/>
        <v>157.03800000000001</v>
      </c>
      <c r="AG40" s="18">
        <f t="shared" si="25"/>
        <v>159.93600000000001</v>
      </c>
      <c r="AH40" s="18">
        <f t="shared" si="25"/>
        <v>163.05599999999998</v>
      </c>
      <c r="AI40" s="18">
        <f t="shared" si="25"/>
        <v>166.488</v>
      </c>
      <c r="AJ40" s="18">
        <f t="shared" si="25"/>
        <v>170.28</v>
      </c>
      <c r="AK40" s="18">
        <f t="shared" si="25"/>
        <v>174.072</v>
      </c>
      <c r="AL40" s="18">
        <f t="shared" si="25"/>
        <v>178.14</v>
      </c>
      <c r="AM40" s="18">
        <f t="shared" si="25"/>
        <v>182.57400000000001</v>
      </c>
      <c r="AN40" s="18">
        <f t="shared" si="25"/>
        <v>188.22599999999997</v>
      </c>
    </row>
    <row r="41" spans="1:40" x14ac:dyDescent="0.25">
      <c r="A41" t="s">
        <v>151</v>
      </c>
      <c r="B41" s="18">
        <f t="shared" ref="B41:AN41" si="26">IF($D$36="NDC",C112,C145)</f>
        <v>82.18</v>
      </c>
      <c r="C41" s="18">
        <f t="shared" si="26"/>
        <v>83.872000000000014</v>
      </c>
      <c r="D41" s="18">
        <f t="shared" si="26"/>
        <v>83.951999999999998</v>
      </c>
      <c r="E41" s="18">
        <f t="shared" si="26"/>
        <v>85.891999999999996</v>
      </c>
      <c r="F41" s="18">
        <f t="shared" si="26"/>
        <v>84.332000000000008</v>
      </c>
      <c r="G41" s="18">
        <f t="shared" si="26"/>
        <v>86.492000000000004</v>
      </c>
      <c r="H41" s="18">
        <f t="shared" si="26"/>
        <v>85.808000000000007</v>
      </c>
      <c r="I41" s="18">
        <f t="shared" si="26"/>
        <v>84.336000000000013</v>
      </c>
      <c r="J41" s="18">
        <f t="shared" si="26"/>
        <v>79.320000000000007</v>
      </c>
      <c r="K41" s="18">
        <f t="shared" si="26"/>
        <v>80.692000000000007</v>
      </c>
      <c r="L41" s="18">
        <f t="shared" si="26"/>
        <v>81.76400000000001</v>
      </c>
      <c r="M41" s="18">
        <f t="shared" si="26"/>
        <v>82.62</v>
      </c>
      <c r="N41" s="18">
        <f t="shared" si="26"/>
        <v>83.548000000000002</v>
      </c>
      <c r="O41" s="18">
        <f t="shared" si="26"/>
        <v>84.52000000000001</v>
      </c>
      <c r="P41" s="18">
        <f t="shared" si="26"/>
        <v>85.328000000000003</v>
      </c>
      <c r="Q41" s="18">
        <f t="shared" si="26"/>
        <v>86.103999999999999</v>
      </c>
      <c r="R41" s="18">
        <f t="shared" si="26"/>
        <v>87.360000000000014</v>
      </c>
      <c r="S41" s="18">
        <f t="shared" si="26"/>
        <v>88.044000000000011</v>
      </c>
      <c r="T41" s="18">
        <f t="shared" si="26"/>
        <v>88.664000000000001</v>
      </c>
      <c r="U41" s="18">
        <f t="shared" si="26"/>
        <v>89.532000000000011</v>
      </c>
      <c r="V41" s="18">
        <f t="shared" si="26"/>
        <v>90.4</v>
      </c>
      <c r="W41" s="18">
        <f t="shared" si="26"/>
        <v>91.296000000000006</v>
      </c>
      <c r="X41" s="18">
        <f t="shared" si="26"/>
        <v>92.552000000000007</v>
      </c>
      <c r="Y41" s="18">
        <f t="shared" si="26"/>
        <v>93.78</v>
      </c>
      <c r="Z41" s="18">
        <f t="shared" si="26"/>
        <v>95.116</v>
      </c>
      <c r="AA41" s="18">
        <f t="shared" si="26"/>
        <v>96.408000000000015</v>
      </c>
      <c r="AB41" s="18">
        <f t="shared" si="26"/>
        <v>97.896000000000015</v>
      </c>
      <c r="AC41" s="18">
        <f t="shared" si="26"/>
        <v>99.456000000000003</v>
      </c>
      <c r="AD41" s="18">
        <f t="shared" si="26"/>
        <v>101.10000000000001</v>
      </c>
      <c r="AE41" s="18">
        <f t="shared" si="26"/>
        <v>102.89200000000001</v>
      </c>
      <c r="AF41" s="18">
        <f t="shared" si="26"/>
        <v>104.69200000000001</v>
      </c>
      <c r="AG41" s="18">
        <f t="shared" si="26"/>
        <v>106.62400000000001</v>
      </c>
      <c r="AH41" s="18">
        <f t="shared" si="26"/>
        <v>108.70400000000001</v>
      </c>
      <c r="AI41" s="18">
        <f t="shared" si="26"/>
        <v>110.99200000000002</v>
      </c>
      <c r="AJ41" s="18">
        <f t="shared" si="26"/>
        <v>113.52000000000001</v>
      </c>
      <c r="AK41" s="18">
        <f t="shared" si="26"/>
        <v>116.048</v>
      </c>
      <c r="AL41" s="18">
        <f t="shared" si="26"/>
        <v>118.75999999999999</v>
      </c>
      <c r="AM41" s="18">
        <f t="shared" si="26"/>
        <v>121.71600000000001</v>
      </c>
      <c r="AN41" s="18">
        <f t="shared" si="26"/>
        <v>125.48399999999999</v>
      </c>
    </row>
    <row r="42" spans="1:40" x14ac:dyDescent="0.25">
      <c r="A42" t="s">
        <v>24</v>
      </c>
      <c r="B42" s="18">
        <f t="shared" ref="B42:AN42" si="27">IF($D$36="NDC",C113,C146)</f>
        <v>93.1</v>
      </c>
      <c r="C42" s="18">
        <f t="shared" si="27"/>
        <v>96.24</v>
      </c>
      <c r="D42" s="18">
        <f t="shared" si="27"/>
        <v>98.9</v>
      </c>
      <c r="E42" s="18">
        <f t="shared" si="27"/>
        <v>99.85</v>
      </c>
      <c r="F42" s="18">
        <f t="shared" si="27"/>
        <v>102.21</v>
      </c>
      <c r="G42" s="18">
        <f t="shared" si="27"/>
        <v>103.61</v>
      </c>
      <c r="H42" s="18">
        <f t="shared" si="27"/>
        <v>105.24</v>
      </c>
      <c r="I42" s="18">
        <f t="shared" si="27"/>
        <v>104.54</v>
      </c>
      <c r="J42" s="18">
        <f t="shared" si="27"/>
        <v>101.85</v>
      </c>
      <c r="K42" s="18">
        <f t="shared" si="27"/>
        <v>104.95</v>
      </c>
      <c r="L42" s="18">
        <f t="shared" si="27"/>
        <v>107.71</v>
      </c>
      <c r="M42" s="18">
        <f t="shared" si="27"/>
        <v>109.84</v>
      </c>
      <c r="N42" s="18">
        <f t="shared" si="27"/>
        <v>112.24</v>
      </c>
      <c r="O42" s="18">
        <f t="shared" si="27"/>
        <v>114.63</v>
      </c>
      <c r="P42" s="18">
        <f t="shared" si="27"/>
        <v>116.8</v>
      </c>
      <c r="Q42" s="18">
        <f t="shared" si="27"/>
        <v>118.95</v>
      </c>
      <c r="R42" s="18">
        <f t="shared" si="27"/>
        <v>121.8</v>
      </c>
      <c r="S42" s="18">
        <f t="shared" si="27"/>
        <v>124.07</v>
      </c>
      <c r="T42" s="18">
        <f t="shared" si="27"/>
        <v>126.27</v>
      </c>
      <c r="U42" s="18">
        <f t="shared" si="27"/>
        <v>128.88999999999999</v>
      </c>
      <c r="V42" s="18">
        <f t="shared" si="27"/>
        <v>131.65</v>
      </c>
      <c r="W42" s="18">
        <f t="shared" si="27"/>
        <v>134.56</v>
      </c>
      <c r="X42" s="18">
        <f t="shared" si="27"/>
        <v>138.11000000000001</v>
      </c>
      <c r="Y42" s="18">
        <f t="shared" si="27"/>
        <v>141.66</v>
      </c>
      <c r="Z42" s="18">
        <f t="shared" si="27"/>
        <v>145.46</v>
      </c>
      <c r="AA42" s="18">
        <f t="shared" si="27"/>
        <v>149.24</v>
      </c>
      <c r="AB42" s="18">
        <f t="shared" si="27"/>
        <v>153</v>
      </c>
      <c r="AC42" s="18">
        <f t="shared" si="27"/>
        <v>156.83000000000001</v>
      </c>
      <c r="AD42" s="18">
        <f t="shared" si="27"/>
        <v>160.74</v>
      </c>
      <c r="AE42" s="18">
        <f t="shared" si="27"/>
        <v>164.68</v>
      </c>
      <c r="AF42" s="18">
        <f t="shared" si="27"/>
        <v>168.49</v>
      </c>
      <c r="AG42" s="18">
        <f t="shared" si="27"/>
        <v>172.54</v>
      </c>
      <c r="AH42" s="18">
        <f t="shared" si="27"/>
        <v>176.82</v>
      </c>
      <c r="AI42" s="18">
        <f t="shared" si="27"/>
        <v>181.33</v>
      </c>
      <c r="AJ42" s="18">
        <f t="shared" si="27"/>
        <v>185.9</v>
      </c>
      <c r="AK42" s="18">
        <f t="shared" si="27"/>
        <v>190.27</v>
      </c>
      <c r="AL42" s="18">
        <f t="shared" si="27"/>
        <v>194.8</v>
      </c>
      <c r="AM42" s="18">
        <f t="shared" si="27"/>
        <v>199.65</v>
      </c>
      <c r="AN42" s="18">
        <f t="shared" si="27"/>
        <v>205.62</v>
      </c>
    </row>
    <row r="43" spans="1:40" x14ac:dyDescent="0.25">
      <c r="A43" t="s">
        <v>25</v>
      </c>
      <c r="B43" s="18">
        <f t="shared" ref="B43:AN43" si="28">IF($D$36="NDC",C114,C147)</f>
        <v>235.5</v>
      </c>
      <c r="C43" s="18">
        <f t="shared" si="28"/>
        <v>241.59</v>
      </c>
      <c r="D43" s="18">
        <f t="shared" si="28"/>
        <v>246.1</v>
      </c>
      <c r="E43" s="18">
        <f t="shared" si="28"/>
        <v>248.42</v>
      </c>
      <c r="F43" s="18">
        <f t="shared" si="28"/>
        <v>251.09</v>
      </c>
      <c r="G43" s="18">
        <f t="shared" si="28"/>
        <v>253.26</v>
      </c>
      <c r="H43" s="18">
        <f t="shared" si="28"/>
        <v>255.74</v>
      </c>
      <c r="I43" s="18">
        <f t="shared" si="28"/>
        <v>254.07</v>
      </c>
      <c r="J43" s="18">
        <f t="shared" si="28"/>
        <v>233.33</v>
      </c>
      <c r="K43" s="18">
        <f t="shared" si="28"/>
        <v>239.41</v>
      </c>
      <c r="L43" s="18">
        <f t="shared" si="28"/>
        <v>244.91</v>
      </c>
      <c r="M43" s="18">
        <f t="shared" si="28"/>
        <v>249.83</v>
      </c>
      <c r="N43" s="18">
        <f t="shared" si="28"/>
        <v>255.36</v>
      </c>
      <c r="O43" s="18">
        <f t="shared" si="28"/>
        <v>260.81</v>
      </c>
      <c r="P43" s="18">
        <f t="shared" si="28"/>
        <v>266.36</v>
      </c>
      <c r="Q43" s="18">
        <f t="shared" si="28"/>
        <v>271.74</v>
      </c>
      <c r="R43" s="18">
        <f t="shared" si="28"/>
        <v>277.05</v>
      </c>
      <c r="S43" s="18">
        <f t="shared" si="28"/>
        <v>282.77999999999997</v>
      </c>
      <c r="T43" s="18">
        <f t="shared" si="28"/>
        <v>288.95999999999998</v>
      </c>
      <c r="U43" s="18">
        <f t="shared" si="28"/>
        <v>296.33999999999997</v>
      </c>
      <c r="V43" s="18">
        <f t="shared" si="28"/>
        <v>304.2</v>
      </c>
      <c r="W43" s="18">
        <f t="shared" si="28"/>
        <v>312.55</v>
      </c>
      <c r="X43" s="18">
        <f t="shared" si="28"/>
        <v>321.88</v>
      </c>
      <c r="Y43" s="18">
        <f t="shared" si="28"/>
        <v>331.08</v>
      </c>
      <c r="Z43" s="18">
        <f t="shared" si="28"/>
        <v>340.86</v>
      </c>
      <c r="AA43" s="18">
        <f t="shared" si="28"/>
        <v>351.05</v>
      </c>
      <c r="AB43" s="18">
        <f t="shared" si="28"/>
        <v>361.39</v>
      </c>
      <c r="AC43" s="18">
        <f t="shared" si="28"/>
        <v>372.08</v>
      </c>
      <c r="AD43" s="18">
        <f t="shared" si="28"/>
        <v>383.14</v>
      </c>
      <c r="AE43" s="18">
        <f t="shared" si="28"/>
        <v>394.85</v>
      </c>
      <c r="AF43" s="18">
        <f t="shared" si="28"/>
        <v>406.53</v>
      </c>
      <c r="AG43" s="18">
        <f t="shared" si="28"/>
        <v>418.72</v>
      </c>
      <c r="AH43" s="18">
        <f t="shared" si="28"/>
        <v>431.5</v>
      </c>
      <c r="AI43" s="18">
        <f t="shared" si="28"/>
        <v>445.12</v>
      </c>
      <c r="AJ43" s="18">
        <f t="shared" si="28"/>
        <v>459.51</v>
      </c>
      <c r="AK43" s="18">
        <f t="shared" si="28"/>
        <v>473.68</v>
      </c>
      <c r="AL43" s="18">
        <f t="shared" si="28"/>
        <v>488.53</v>
      </c>
      <c r="AM43" s="18">
        <f t="shared" si="28"/>
        <v>504.28</v>
      </c>
      <c r="AN43" s="18">
        <f t="shared" si="28"/>
        <v>523.45000000000005</v>
      </c>
    </row>
    <row r="44" spans="1:40" x14ac:dyDescent="0.25">
      <c r="A44" t="s">
        <v>26</v>
      </c>
      <c r="B44" s="18">
        <f t="shared" ref="B44:AN44" si="29">IF($D$36="NDC",C115,C148)</f>
        <v>17.78</v>
      </c>
      <c r="C44" s="18">
        <f t="shared" si="29"/>
        <v>18.170000000000002</v>
      </c>
      <c r="D44" s="18">
        <f t="shared" si="29"/>
        <v>18.57</v>
      </c>
      <c r="E44" s="18">
        <f t="shared" si="29"/>
        <v>18.72</v>
      </c>
      <c r="F44" s="18">
        <f t="shared" si="29"/>
        <v>19.07</v>
      </c>
      <c r="G44" s="18">
        <f t="shared" si="29"/>
        <v>19.21</v>
      </c>
      <c r="H44" s="18">
        <f t="shared" si="29"/>
        <v>19.559999999999999</v>
      </c>
      <c r="I44" s="18">
        <f t="shared" si="29"/>
        <v>19.57</v>
      </c>
      <c r="J44" s="18">
        <f t="shared" si="29"/>
        <v>18.440000000000001</v>
      </c>
      <c r="K44" s="18">
        <f t="shared" si="29"/>
        <v>18.899999999999999</v>
      </c>
      <c r="L44" s="18">
        <f t="shared" si="29"/>
        <v>19.3</v>
      </c>
      <c r="M44" s="18">
        <f t="shared" si="29"/>
        <v>19.66</v>
      </c>
      <c r="N44" s="18">
        <f t="shared" si="29"/>
        <v>20.07</v>
      </c>
      <c r="O44" s="18">
        <f t="shared" si="29"/>
        <v>20.49</v>
      </c>
      <c r="P44" s="18">
        <f t="shared" si="29"/>
        <v>20.88</v>
      </c>
      <c r="Q44" s="18">
        <f t="shared" si="29"/>
        <v>21.27</v>
      </c>
      <c r="R44" s="18">
        <f t="shared" si="29"/>
        <v>21.67</v>
      </c>
      <c r="S44" s="18">
        <f t="shared" si="29"/>
        <v>22.05</v>
      </c>
      <c r="T44" s="18">
        <f t="shared" si="29"/>
        <v>22.47</v>
      </c>
      <c r="U44" s="18">
        <f t="shared" si="29"/>
        <v>22.99</v>
      </c>
      <c r="V44" s="18">
        <f t="shared" si="29"/>
        <v>23.54</v>
      </c>
      <c r="W44" s="18">
        <f t="shared" si="29"/>
        <v>24.14</v>
      </c>
      <c r="X44" s="18">
        <f t="shared" si="29"/>
        <v>24.83</v>
      </c>
      <c r="Y44" s="18">
        <f t="shared" si="29"/>
        <v>25.51</v>
      </c>
      <c r="Z44" s="18">
        <f t="shared" si="29"/>
        <v>26.23</v>
      </c>
      <c r="AA44" s="18">
        <f t="shared" si="29"/>
        <v>26.97</v>
      </c>
      <c r="AB44" s="18">
        <f t="shared" si="29"/>
        <v>27.74</v>
      </c>
      <c r="AC44" s="18">
        <f t="shared" si="29"/>
        <v>28.55</v>
      </c>
      <c r="AD44" s="18">
        <f t="shared" si="29"/>
        <v>29.38</v>
      </c>
      <c r="AE44" s="18">
        <f t="shared" si="29"/>
        <v>30.27</v>
      </c>
      <c r="AF44" s="18">
        <f t="shared" si="29"/>
        <v>31.15</v>
      </c>
      <c r="AG44" s="18">
        <f t="shared" si="29"/>
        <v>32.07</v>
      </c>
      <c r="AH44" s="18">
        <f t="shared" si="29"/>
        <v>33.03</v>
      </c>
      <c r="AI44" s="18">
        <f t="shared" si="29"/>
        <v>34.06</v>
      </c>
      <c r="AJ44" s="18">
        <f t="shared" si="29"/>
        <v>35.14</v>
      </c>
      <c r="AK44" s="18">
        <f t="shared" si="29"/>
        <v>36.200000000000003</v>
      </c>
      <c r="AL44" s="18">
        <f t="shared" si="29"/>
        <v>37.31</v>
      </c>
      <c r="AM44" s="18">
        <f t="shared" si="29"/>
        <v>38.479999999999997</v>
      </c>
      <c r="AN44" s="18">
        <f t="shared" si="29"/>
        <v>39.92</v>
      </c>
    </row>
    <row r="45" spans="1:40" x14ac:dyDescent="0.25">
      <c r="A45" t="s">
        <v>27</v>
      </c>
      <c r="B45" s="18">
        <f t="shared" ref="B45:AN45" si="30">IF($D$36="NDC",C116,C149)</f>
        <v>52.81</v>
      </c>
      <c r="C45" s="18">
        <f t="shared" si="30"/>
        <v>54.26</v>
      </c>
      <c r="D45" s="18">
        <f t="shared" si="30"/>
        <v>55.41</v>
      </c>
      <c r="E45" s="18">
        <f t="shared" si="30"/>
        <v>55.89</v>
      </c>
      <c r="F45" s="18">
        <f t="shared" si="30"/>
        <v>56.55</v>
      </c>
      <c r="G45" s="18">
        <f t="shared" si="30"/>
        <v>57.1</v>
      </c>
      <c r="H45" s="18">
        <f t="shared" si="30"/>
        <v>57.77</v>
      </c>
      <c r="I45" s="18">
        <f t="shared" si="30"/>
        <v>57.43</v>
      </c>
      <c r="J45" s="18">
        <f t="shared" si="30"/>
        <v>53.7</v>
      </c>
      <c r="K45" s="18">
        <f t="shared" si="30"/>
        <v>54.93</v>
      </c>
      <c r="L45" s="18">
        <f t="shared" si="30"/>
        <v>56.1</v>
      </c>
      <c r="M45" s="18">
        <f t="shared" si="30"/>
        <v>57.1</v>
      </c>
      <c r="N45" s="18">
        <f t="shared" si="30"/>
        <v>58.23</v>
      </c>
      <c r="O45" s="18">
        <f t="shared" si="30"/>
        <v>59.4</v>
      </c>
      <c r="P45" s="18">
        <f t="shared" si="30"/>
        <v>60.51</v>
      </c>
      <c r="Q45" s="18">
        <f t="shared" si="30"/>
        <v>61.62</v>
      </c>
      <c r="R45" s="18">
        <f t="shared" si="30"/>
        <v>62.89</v>
      </c>
      <c r="S45" s="18">
        <f t="shared" si="30"/>
        <v>63.98</v>
      </c>
      <c r="T45" s="18">
        <f t="shared" si="30"/>
        <v>65.209999999999994</v>
      </c>
      <c r="U45" s="18">
        <f t="shared" si="30"/>
        <v>66.91</v>
      </c>
      <c r="V45" s="18">
        <f t="shared" si="30"/>
        <v>68.67</v>
      </c>
      <c r="W45" s="18">
        <f t="shared" si="30"/>
        <v>70.540000000000006</v>
      </c>
      <c r="X45" s="18">
        <f t="shared" si="30"/>
        <v>72.73</v>
      </c>
      <c r="Y45" s="18">
        <f t="shared" si="30"/>
        <v>74.89</v>
      </c>
      <c r="Z45" s="18">
        <f t="shared" si="30"/>
        <v>77.16</v>
      </c>
      <c r="AA45" s="18">
        <f t="shared" si="30"/>
        <v>79.62</v>
      </c>
      <c r="AB45" s="18">
        <f t="shared" si="30"/>
        <v>82.09</v>
      </c>
      <c r="AC45" s="18">
        <f t="shared" si="30"/>
        <v>84.63</v>
      </c>
      <c r="AD45" s="18">
        <f t="shared" si="30"/>
        <v>87.27</v>
      </c>
      <c r="AE45" s="18">
        <f t="shared" si="30"/>
        <v>89.91</v>
      </c>
      <c r="AF45" s="18">
        <f t="shared" si="30"/>
        <v>92.55</v>
      </c>
      <c r="AG45" s="18">
        <f t="shared" si="30"/>
        <v>95.31</v>
      </c>
      <c r="AH45" s="18">
        <f t="shared" si="30"/>
        <v>98.19</v>
      </c>
      <c r="AI45" s="18">
        <f t="shared" si="30"/>
        <v>101.26</v>
      </c>
      <c r="AJ45" s="18">
        <f t="shared" si="30"/>
        <v>104.46</v>
      </c>
      <c r="AK45" s="18">
        <f t="shared" si="30"/>
        <v>107.63</v>
      </c>
      <c r="AL45" s="18">
        <f t="shared" si="30"/>
        <v>110.94</v>
      </c>
      <c r="AM45" s="18">
        <f t="shared" si="30"/>
        <v>114.45</v>
      </c>
      <c r="AN45" s="18">
        <f t="shared" si="30"/>
        <v>118.69</v>
      </c>
    </row>
    <row r="46" spans="1:40" x14ac:dyDescent="0.25">
      <c r="A46" t="s">
        <v>28</v>
      </c>
      <c r="B46" s="18">
        <f t="shared" ref="B46:AN46" si="31">IF($D$36="NDC",C117,C150)</f>
        <v>14.11</v>
      </c>
      <c r="C46" s="18">
        <f t="shared" si="31"/>
        <v>14.44</v>
      </c>
      <c r="D46" s="18">
        <f t="shared" si="31"/>
        <v>14.65</v>
      </c>
      <c r="E46" s="18">
        <f t="shared" si="31"/>
        <v>14.76</v>
      </c>
      <c r="F46" s="18">
        <f t="shared" si="31"/>
        <v>14.92</v>
      </c>
      <c r="G46" s="18">
        <f t="shared" si="31"/>
        <v>15.1</v>
      </c>
      <c r="H46" s="18">
        <f t="shared" si="31"/>
        <v>15.25</v>
      </c>
      <c r="I46" s="18">
        <f t="shared" si="31"/>
        <v>15.19</v>
      </c>
      <c r="J46" s="18">
        <f t="shared" si="31"/>
        <v>14.04</v>
      </c>
      <c r="K46" s="18">
        <f t="shared" si="31"/>
        <v>14.38</v>
      </c>
      <c r="L46" s="18">
        <f t="shared" si="31"/>
        <v>14.69</v>
      </c>
      <c r="M46" s="18">
        <f t="shared" si="31"/>
        <v>14.97</v>
      </c>
      <c r="N46" s="18">
        <f t="shared" si="31"/>
        <v>15.29</v>
      </c>
      <c r="O46" s="18">
        <f t="shared" si="31"/>
        <v>15.6</v>
      </c>
      <c r="P46" s="18">
        <f t="shared" si="31"/>
        <v>15.92</v>
      </c>
      <c r="Q46" s="18">
        <f t="shared" si="31"/>
        <v>16.239999999999998</v>
      </c>
      <c r="R46" s="18">
        <f t="shared" si="31"/>
        <v>16.46</v>
      </c>
      <c r="S46" s="18">
        <f t="shared" si="31"/>
        <v>16.8</v>
      </c>
      <c r="T46" s="18">
        <f t="shared" si="31"/>
        <v>17.170000000000002</v>
      </c>
      <c r="U46" s="18">
        <f t="shared" si="31"/>
        <v>17.61</v>
      </c>
      <c r="V46" s="18">
        <f t="shared" si="31"/>
        <v>18.079999999999998</v>
      </c>
      <c r="W46" s="18">
        <f t="shared" si="31"/>
        <v>18.579999999999998</v>
      </c>
      <c r="X46" s="18">
        <f t="shared" si="31"/>
        <v>19.100000000000001</v>
      </c>
      <c r="Y46" s="18">
        <f t="shared" si="31"/>
        <v>19.61</v>
      </c>
      <c r="Z46" s="18">
        <f t="shared" si="31"/>
        <v>20.149999999999999</v>
      </c>
      <c r="AA46" s="18">
        <f t="shared" si="31"/>
        <v>20.71</v>
      </c>
      <c r="AB46" s="18">
        <f t="shared" si="31"/>
        <v>21.29</v>
      </c>
      <c r="AC46" s="18">
        <f t="shared" si="31"/>
        <v>21.89</v>
      </c>
      <c r="AD46" s="18">
        <f t="shared" si="31"/>
        <v>22.5</v>
      </c>
      <c r="AE46" s="18">
        <f t="shared" si="31"/>
        <v>23.19</v>
      </c>
      <c r="AF46" s="18">
        <f t="shared" si="31"/>
        <v>23.88</v>
      </c>
      <c r="AG46" s="18">
        <f t="shared" si="31"/>
        <v>24.59</v>
      </c>
      <c r="AH46" s="18">
        <f t="shared" si="31"/>
        <v>25.33</v>
      </c>
      <c r="AI46" s="18">
        <f t="shared" si="31"/>
        <v>26.13</v>
      </c>
      <c r="AJ46" s="18">
        <f t="shared" si="31"/>
        <v>26.98</v>
      </c>
      <c r="AK46" s="18">
        <f t="shared" si="31"/>
        <v>27.82</v>
      </c>
      <c r="AL46" s="18">
        <f t="shared" si="31"/>
        <v>28.69</v>
      </c>
      <c r="AM46" s="18">
        <f t="shared" si="31"/>
        <v>29.62</v>
      </c>
      <c r="AN46" s="18">
        <f t="shared" si="31"/>
        <v>30.75</v>
      </c>
    </row>
    <row r="47" spans="1:40" x14ac:dyDescent="0.25">
      <c r="A47" t="s">
        <v>29</v>
      </c>
      <c r="B47" s="18">
        <f t="shared" ref="B47:AN47" si="32">IF($D$36="NDC",C118,C151)</f>
        <v>13.35</v>
      </c>
      <c r="C47" s="18">
        <f t="shared" si="32"/>
        <v>13.68</v>
      </c>
      <c r="D47" s="18">
        <f t="shared" si="32"/>
        <v>13.89</v>
      </c>
      <c r="E47" s="18">
        <f t="shared" si="32"/>
        <v>14.15</v>
      </c>
      <c r="F47" s="18">
        <f t="shared" si="32"/>
        <v>14.18</v>
      </c>
      <c r="G47" s="18">
        <f t="shared" si="32"/>
        <v>14.29</v>
      </c>
      <c r="H47" s="18">
        <f t="shared" si="32"/>
        <v>14.31</v>
      </c>
      <c r="I47" s="18">
        <f t="shared" si="32"/>
        <v>14.15</v>
      </c>
      <c r="J47" s="18">
        <f t="shared" si="32"/>
        <v>13.1</v>
      </c>
      <c r="K47" s="18">
        <f t="shared" si="32"/>
        <v>13.41</v>
      </c>
      <c r="L47" s="18">
        <f t="shared" si="32"/>
        <v>13.57</v>
      </c>
      <c r="M47" s="18">
        <f t="shared" si="32"/>
        <v>13.73</v>
      </c>
      <c r="N47" s="18">
        <f t="shared" si="32"/>
        <v>13.9</v>
      </c>
      <c r="O47" s="18">
        <f t="shared" si="32"/>
        <v>14.12</v>
      </c>
      <c r="P47" s="18">
        <f t="shared" si="32"/>
        <v>14.27</v>
      </c>
      <c r="Q47" s="18">
        <f t="shared" si="32"/>
        <v>14.4</v>
      </c>
      <c r="R47" s="18">
        <f t="shared" si="32"/>
        <v>14.75</v>
      </c>
      <c r="S47" s="18">
        <f t="shared" si="32"/>
        <v>14.82</v>
      </c>
      <c r="T47" s="18">
        <f t="shared" si="32"/>
        <v>14.91</v>
      </c>
      <c r="U47" s="18">
        <f t="shared" si="32"/>
        <v>15.03</v>
      </c>
      <c r="V47" s="18">
        <f t="shared" si="32"/>
        <v>15.19</v>
      </c>
      <c r="W47" s="18">
        <f t="shared" si="32"/>
        <v>15.37</v>
      </c>
      <c r="X47" s="18">
        <f t="shared" si="32"/>
        <v>15.64</v>
      </c>
      <c r="Y47" s="18">
        <f t="shared" si="32"/>
        <v>15.88</v>
      </c>
      <c r="Z47" s="18">
        <f t="shared" si="32"/>
        <v>16.13</v>
      </c>
      <c r="AA47" s="18">
        <f t="shared" si="32"/>
        <v>16.399999999999999</v>
      </c>
      <c r="AB47" s="18">
        <f t="shared" si="32"/>
        <v>16.7</v>
      </c>
      <c r="AC47" s="18">
        <f t="shared" si="32"/>
        <v>17.010000000000002</v>
      </c>
      <c r="AD47" s="18">
        <f t="shared" si="32"/>
        <v>17.329999999999998</v>
      </c>
      <c r="AE47" s="18">
        <f t="shared" si="32"/>
        <v>17.66</v>
      </c>
      <c r="AF47" s="18">
        <f t="shared" si="32"/>
        <v>17.989999999999998</v>
      </c>
      <c r="AG47" s="18">
        <f t="shared" si="32"/>
        <v>18.34</v>
      </c>
      <c r="AH47" s="18">
        <f t="shared" si="32"/>
        <v>18.72</v>
      </c>
      <c r="AI47" s="18">
        <f t="shared" si="32"/>
        <v>19.12</v>
      </c>
      <c r="AJ47" s="18">
        <f t="shared" si="32"/>
        <v>19.579999999999998</v>
      </c>
      <c r="AK47" s="18">
        <f t="shared" si="32"/>
        <v>20.03</v>
      </c>
      <c r="AL47" s="18">
        <f t="shared" si="32"/>
        <v>20.51</v>
      </c>
      <c r="AM47" s="18">
        <f t="shared" si="32"/>
        <v>21.03</v>
      </c>
      <c r="AN47" s="18">
        <f t="shared" si="32"/>
        <v>21.68</v>
      </c>
    </row>
    <row r="48" spans="1:40" x14ac:dyDescent="0.25">
      <c r="A48" t="s">
        <v>30</v>
      </c>
      <c r="B48" s="18">
        <f t="shared" ref="B48:AN48" si="33">IF($D$36="NDC",C119,C152)</f>
        <v>10.11</v>
      </c>
      <c r="C48" s="18">
        <f t="shared" si="33"/>
        <v>8.49</v>
      </c>
      <c r="D48" s="18">
        <f t="shared" si="33"/>
        <v>7.76</v>
      </c>
      <c r="E48" s="18">
        <f t="shared" si="33"/>
        <v>7.88</v>
      </c>
      <c r="F48" s="18">
        <f t="shared" si="33"/>
        <v>7.62</v>
      </c>
      <c r="G48" s="18">
        <f t="shared" si="33"/>
        <v>7.28</v>
      </c>
      <c r="H48" s="18">
        <f t="shared" si="33"/>
        <v>7.09</v>
      </c>
      <c r="I48" s="18">
        <f t="shared" si="33"/>
        <v>6.72</v>
      </c>
      <c r="J48" s="18">
        <f t="shared" si="33"/>
        <v>6.04</v>
      </c>
      <c r="K48" s="18">
        <f t="shared" si="33"/>
        <v>6.26</v>
      </c>
      <c r="L48" s="18">
        <f t="shared" si="33"/>
        <v>6.38</v>
      </c>
      <c r="M48" s="18">
        <f t="shared" si="33"/>
        <v>6.46</v>
      </c>
      <c r="N48" s="18">
        <f t="shared" si="33"/>
        <v>6.53</v>
      </c>
      <c r="O48" s="18">
        <f t="shared" si="33"/>
        <v>6.63</v>
      </c>
      <c r="P48" s="18">
        <f t="shared" si="33"/>
        <v>6.71</v>
      </c>
      <c r="Q48" s="18">
        <f t="shared" si="33"/>
        <v>6.74</v>
      </c>
      <c r="R48" s="18">
        <f t="shared" si="33"/>
        <v>7.03</v>
      </c>
      <c r="S48" s="18">
        <f t="shared" si="33"/>
        <v>7.04</v>
      </c>
      <c r="T48" s="18">
        <f t="shared" si="33"/>
        <v>7.01</v>
      </c>
      <c r="U48" s="18">
        <f t="shared" si="33"/>
        <v>6.93</v>
      </c>
      <c r="V48" s="18">
        <f t="shared" si="33"/>
        <v>6.88</v>
      </c>
      <c r="W48" s="18">
        <f t="shared" si="33"/>
        <v>6.81</v>
      </c>
      <c r="X48" s="18">
        <f t="shared" si="33"/>
        <v>6.81</v>
      </c>
      <c r="Y48" s="18">
        <f t="shared" si="33"/>
        <v>6.82</v>
      </c>
      <c r="Z48" s="18">
        <f t="shared" si="33"/>
        <v>6.82</v>
      </c>
      <c r="AA48" s="18">
        <f t="shared" si="33"/>
        <v>6.76</v>
      </c>
      <c r="AB48" s="18">
        <f t="shared" si="33"/>
        <v>6.71</v>
      </c>
      <c r="AC48" s="18">
        <f t="shared" si="33"/>
        <v>6.66</v>
      </c>
      <c r="AD48" s="18">
        <f t="shared" si="33"/>
        <v>6.61</v>
      </c>
      <c r="AE48" s="18">
        <f t="shared" si="33"/>
        <v>6.58</v>
      </c>
      <c r="AF48" s="18">
        <f t="shared" si="33"/>
        <v>6.55</v>
      </c>
      <c r="AG48" s="18">
        <f t="shared" si="33"/>
        <v>6.53</v>
      </c>
      <c r="AH48" s="18">
        <f t="shared" si="33"/>
        <v>6.52</v>
      </c>
      <c r="AI48" s="18">
        <f t="shared" si="33"/>
        <v>6.53</v>
      </c>
      <c r="AJ48" s="18">
        <f t="shared" si="33"/>
        <v>6.59</v>
      </c>
      <c r="AK48" s="18">
        <f t="shared" si="33"/>
        <v>6.65</v>
      </c>
      <c r="AL48" s="18">
        <f t="shared" si="33"/>
        <v>6.73</v>
      </c>
      <c r="AM48" s="18">
        <f t="shared" si="33"/>
        <v>6.83</v>
      </c>
      <c r="AN48" s="18">
        <f t="shared" si="33"/>
        <v>6.99</v>
      </c>
    </row>
    <row r="49" spans="1:40" x14ac:dyDescent="0.25">
      <c r="A49" t="s">
        <v>31</v>
      </c>
      <c r="B49" s="18">
        <f t="shared" ref="B49:AN49" si="34">IF($D$36="NDC",C120,C153)</f>
        <v>0</v>
      </c>
      <c r="C49" s="18">
        <f t="shared" si="34"/>
        <v>0</v>
      </c>
      <c r="D49" s="18">
        <f t="shared" si="34"/>
        <v>0</v>
      </c>
      <c r="E49" s="18">
        <f t="shared" si="34"/>
        <v>0</v>
      </c>
      <c r="F49" s="18">
        <f t="shared" si="34"/>
        <v>0</v>
      </c>
      <c r="G49" s="18">
        <f t="shared" si="34"/>
        <v>0</v>
      </c>
      <c r="H49" s="18">
        <f t="shared" si="34"/>
        <v>0</v>
      </c>
      <c r="I49" s="18">
        <f t="shared" si="34"/>
        <v>0</v>
      </c>
      <c r="J49" s="18">
        <f t="shared" si="34"/>
        <v>0</v>
      </c>
      <c r="K49" s="18">
        <f t="shared" si="34"/>
        <v>0</v>
      </c>
      <c r="L49" s="18">
        <f t="shared" si="34"/>
        <v>0</v>
      </c>
      <c r="M49" s="18">
        <f t="shared" si="34"/>
        <v>0</v>
      </c>
      <c r="N49" s="18">
        <f t="shared" si="34"/>
        <v>0</v>
      </c>
      <c r="O49" s="18">
        <f t="shared" si="34"/>
        <v>0</v>
      </c>
      <c r="P49" s="18">
        <f t="shared" si="34"/>
        <v>0</v>
      </c>
      <c r="Q49" s="18">
        <f t="shared" si="34"/>
        <v>0</v>
      </c>
      <c r="R49" s="18">
        <f t="shared" si="34"/>
        <v>0</v>
      </c>
      <c r="S49" s="18">
        <f t="shared" si="34"/>
        <v>0</v>
      </c>
      <c r="T49" s="18">
        <f t="shared" si="34"/>
        <v>0</v>
      </c>
      <c r="U49" s="18">
        <f t="shared" si="34"/>
        <v>0</v>
      </c>
      <c r="V49" s="18">
        <f t="shared" si="34"/>
        <v>0</v>
      </c>
      <c r="W49" s="18">
        <f t="shared" si="34"/>
        <v>0</v>
      </c>
      <c r="X49" s="18">
        <f t="shared" si="34"/>
        <v>0</v>
      </c>
      <c r="Y49" s="18">
        <f t="shared" si="34"/>
        <v>0</v>
      </c>
      <c r="Z49" s="18">
        <f t="shared" si="34"/>
        <v>0</v>
      </c>
      <c r="AA49" s="18">
        <f t="shared" si="34"/>
        <v>0</v>
      </c>
      <c r="AB49" s="18">
        <f t="shared" si="34"/>
        <v>0</v>
      </c>
      <c r="AC49" s="18">
        <f t="shared" si="34"/>
        <v>0</v>
      </c>
      <c r="AD49" s="18">
        <f t="shared" si="34"/>
        <v>0</v>
      </c>
      <c r="AE49" s="18">
        <f t="shared" si="34"/>
        <v>0</v>
      </c>
      <c r="AF49" s="18">
        <f t="shared" si="34"/>
        <v>0</v>
      </c>
      <c r="AG49" s="18">
        <f t="shared" si="34"/>
        <v>0</v>
      </c>
      <c r="AH49" s="18">
        <f t="shared" si="34"/>
        <v>0</v>
      </c>
      <c r="AI49" s="18">
        <f t="shared" si="34"/>
        <v>0</v>
      </c>
      <c r="AJ49" s="18">
        <f t="shared" si="34"/>
        <v>0</v>
      </c>
      <c r="AK49" s="18">
        <f t="shared" si="34"/>
        <v>0</v>
      </c>
      <c r="AL49" s="18">
        <f t="shared" si="34"/>
        <v>0</v>
      </c>
      <c r="AM49" s="18">
        <f t="shared" si="34"/>
        <v>0</v>
      </c>
      <c r="AN49" s="18">
        <f t="shared" si="34"/>
        <v>0</v>
      </c>
    </row>
    <row r="50" spans="1:40" x14ac:dyDescent="0.25">
      <c r="A50" t="s">
        <v>32</v>
      </c>
      <c r="B50" s="18">
        <f t="shared" ref="B50:AN50" si="35">IF($D$36="NDC",C121,C154)</f>
        <v>84.25</v>
      </c>
      <c r="C50" s="18">
        <f t="shared" si="35"/>
        <v>82.71</v>
      </c>
      <c r="D50" s="18">
        <f t="shared" si="35"/>
        <v>79.56</v>
      </c>
      <c r="E50" s="18">
        <f t="shared" si="35"/>
        <v>76.53</v>
      </c>
      <c r="F50" s="18">
        <f t="shared" si="35"/>
        <v>75.13</v>
      </c>
      <c r="G50" s="18">
        <f t="shared" si="35"/>
        <v>74.03</v>
      </c>
      <c r="H50" s="18">
        <f t="shared" si="35"/>
        <v>74.44</v>
      </c>
      <c r="I50" s="18">
        <f t="shared" si="35"/>
        <v>72.650000000000006</v>
      </c>
      <c r="J50" s="18">
        <f t="shared" si="35"/>
        <v>70.260000000000005</v>
      </c>
      <c r="K50" s="18">
        <f t="shared" si="35"/>
        <v>74.099999999999994</v>
      </c>
      <c r="L50" s="18">
        <f t="shared" si="35"/>
        <v>73.67</v>
      </c>
      <c r="M50" s="18">
        <f t="shared" si="35"/>
        <v>74.25</v>
      </c>
      <c r="N50" s="18">
        <f t="shared" si="35"/>
        <v>74.66</v>
      </c>
      <c r="O50" s="18">
        <f t="shared" si="35"/>
        <v>75.03</v>
      </c>
      <c r="P50" s="18">
        <f t="shared" si="35"/>
        <v>76.28</v>
      </c>
      <c r="Q50" s="18">
        <f t="shared" si="35"/>
        <v>76.319999999999993</v>
      </c>
      <c r="R50" s="18">
        <f t="shared" si="35"/>
        <v>76.67</v>
      </c>
      <c r="S50" s="18">
        <f t="shared" si="35"/>
        <v>78.13</v>
      </c>
      <c r="T50" s="18">
        <f t="shared" si="35"/>
        <v>79.61</v>
      </c>
      <c r="U50" s="18">
        <f t="shared" si="35"/>
        <v>81.23</v>
      </c>
      <c r="V50" s="18">
        <f t="shared" si="35"/>
        <v>83.69</v>
      </c>
      <c r="W50" s="18">
        <f t="shared" si="35"/>
        <v>85.48</v>
      </c>
      <c r="X50" s="18">
        <f t="shared" si="35"/>
        <v>87.67</v>
      </c>
      <c r="Y50" s="18">
        <f t="shared" si="35"/>
        <v>89.95</v>
      </c>
      <c r="Z50" s="18">
        <f t="shared" si="35"/>
        <v>91.79</v>
      </c>
      <c r="AA50" s="18">
        <f t="shared" si="35"/>
        <v>93.81</v>
      </c>
      <c r="AB50" s="18">
        <f t="shared" si="35"/>
        <v>95.03</v>
      </c>
      <c r="AC50" s="18">
        <f t="shared" si="35"/>
        <v>96.4</v>
      </c>
      <c r="AD50" s="18">
        <f t="shared" si="35"/>
        <v>97.78</v>
      </c>
      <c r="AE50" s="18">
        <f t="shared" si="35"/>
        <v>99.48</v>
      </c>
      <c r="AF50" s="18">
        <f t="shared" si="35"/>
        <v>101.08</v>
      </c>
      <c r="AG50" s="18">
        <f t="shared" si="35"/>
        <v>102.69</v>
      </c>
      <c r="AH50" s="18">
        <f t="shared" si="35"/>
        <v>104.32</v>
      </c>
      <c r="AI50" s="18">
        <f t="shared" si="35"/>
        <v>105.99</v>
      </c>
      <c r="AJ50" s="18">
        <f t="shared" si="35"/>
        <v>108.49</v>
      </c>
      <c r="AK50" s="18">
        <f t="shared" si="35"/>
        <v>110.57</v>
      </c>
      <c r="AL50" s="18">
        <f t="shared" si="35"/>
        <v>112.67</v>
      </c>
      <c r="AM50" s="18">
        <f t="shared" si="35"/>
        <v>114.79</v>
      </c>
      <c r="AN50" s="18">
        <f t="shared" si="35"/>
        <v>116.96</v>
      </c>
    </row>
    <row r="51" spans="1:40" x14ac:dyDescent="0.25">
      <c r="A51" t="s">
        <v>33</v>
      </c>
      <c r="B51" s="18">
        <f t="shared" ref="B51:AN51" si="36">IF($D$36="NDC",C122,C155)</f>
        <v>21.15</v>
      </c>
      <c r="C51" s="18">
        <f t="shared" si="36"/>
        <v>22.36</v>
      </c>
      <c r="D51" s="18">
        <f t="shared" si="36"/>
        <v>23.93</v>
      </c>
      <c r="E51" s="18">
        <f t="shared" si="36"/>
        <v>24.86</v>
      </c>
      <c r="F51" s="18">
        <f t="shared" si="36"/>
        <v>25.68</v>
      </c>
      <c r="G51" s="18">
        <f t="shared" si="36"/>
        <v>27.65</v>
      </c>
      <c r="H51" s="18">
        <f t="shared" si="36"/>
        <v>29.64</v>
      </c>
      <c r="I51" s="18">
        <f t="shared" si="36"/>
        <v>30.75</v>
      </c>
      <c r="J51" s="18">
        <f t="shared" si="36"/>
        <v>30.26</v>
      </c>
      <c r="K51" s="18">
        <f t="shared" si="36"/>
        <v>31.64</v>
      </c>
      <c r="L51" s="18">
        <f t="shared" si="36"/>
        <v>33.06</v>
      </c>
      <c r="M51" s="18">
        <f t="shared" si="36"/>
        <v>34.409999999999997</v>
      </c>
      <c r="N51" s="18">
        <f t="shared" si="36"/>
        <v>36.049999999999997</v>
      </c>
      <c r="O51" s="18">
        <f t="shared" si="36"/>
        <v>37.840000000000003</v>
      </c>
      <c r="P51" s="18">
        <f t="shared" si="36"/>
        <v>39.71</v>
      </c>
      <c r="Q51" s="18">
        <f t="shared" si="36"/>
        <v>41.68</v>
      </c>
      <c r="R51" s="18">
        <f t="shared" si="36"/>
        <v>44.08</v>
      </c>
      <c r="S51" s="18">
        <f t="shared" si="36"/>
        <v>46.58</v>
      </c>
      <c r="T51" s="18">
        <f t="shared" si="36"/>
        <v>49.3</v>
      </c>
      <c r="U51" s="18">
        <f t="shared" si="36"/>
        <v>52.42</v>
      </c>
      <c r="V51" s="18">
        <f t="shared" si="36"/>
        <v>55.71</v>
      </c>
      <c r="W51" s="18">
        <f t="shared" si="36"/>
        <v>59.21</v>
      </c>
      <c r="X51" s="18">
        <f t="shared" si="36"/>
        <v>63.34</v>
      </c>
      <c r="Y51" s="18">
        <f t="shared" si="36"/>
        <v>67.680000000000007</v>
      </c>
      <c r="Z51" s="18">
        <f t="shared" si="36"/>
        <v>72.56</v>
      </c>
      <c r="AA51" s="18">
        <f t="shared" si="36"/>
        <v>77.790000000000006</v>
      </c>
      <c r="AB51" s="18">
        <f t="shared" si="36"/>
        <v>83.35</v>
      </c>
      <c r="AC51" s="18">
        <f t="shared" si="36"/>
        <v>89.31</v>
      </c>
      <c r="AD51" s="18">
        <f t="shared" si="36"/>
        <v>95.69</v>
      </c>
      <c r="AE51" s="18">
        <f t="shared" si="36"/>
        <v>102.28</v>
      </c>
      <c r="AF51" s="18">
        <f t="shared" si="36"/>
        <v>108.82</v>
      </c>
      <c r="AG51" s="18">
        <f t="shared" si="36"/>
        <v>115.61</v>
      </c>
      <c r="AH51" s="18">
        <f t="shared" si="36"/>
        <v>122.69</v>
      </c>
      <c r="AI51" s="18">
        <f t="shared" si="36"/>
        <v>130.12</v>
      </c>
      <c r="AJ51" s="18">
        <f t="shared" si="36"/>
        <v>137.75</v>
      </c>
      <c r="AK51" s="18">
        <f t="shared" si="36"/>
        <v>145.12</v>
      </c>
      <c r="AL51" s="18">
        <f t="shared" si="36"/>
        <v>152.74</v>
      </c>
      <c r="AM51" s="18">
        <f t="shared" si="36"/>
        <v>160.78</v>
      </c>
      <c r="AN51" s="18">
        <f t="shared" si="36"/>
        <v>170.59</v>
      </c>
    </row>
    <row r="52" spans="1:40" x14ac:dyDescent="0.25">
      <c r="A52" t="s">
        <v>34</v>
      </c>
      <c r="B52" s="18">
        <f t="shared" ref="B52:AN52" si="37">IF($D$36="NDC",C123,C156)</f>
        <v>135.96</v>
      </c>
      <c r="C52" s="18">
        <f t="shared" si="37"/>
        <v>139.76</v>
      </c>
      <c r="D52" s="18">
        <f t="shared" si="37"/>
        <v>143.13</v>
      </c>
      <c r="E52" s="18">
        <f t="shared" si="37"/>
        <v>144.43</v>
      </c>
      <c r="F52" s="18">
        <f t="shared" si="37"/>
        <v>145.78</v>
      </c>
      <c r="G52" s="18">
        <f t="shared" si="37"/>
        <v>148.19</v>
      </c>
      <c r="H52" s="18">
        <f t="shared" si="37"/>
        <v>150.15</v>
      </c>
      <c r="I52" s="18">
        <f t="shared" si="37"/>
        <v>149.86000000000001</v>
      </c>
      <c r="J52" s="18">
        <f t="shared" si="37"/>
        <v>138.71</v>
      </c>
      <c r="K52" s="18">
        <f t="shared" si="37"/>
        <v>141.72999999999999</v>
      </c>
      <c r="L52" s="18">
        <f t="shared" si="37"/>
        <v>144.58000000000001</v>
      </c>
      <c r="M52" s="18">
        <f t="shared" si="37"/>
        <v>147.09</v>
      </c>
      <c r="N52" s="18">
        <f t="shared" si="37"/>
        <v>150.05000000000001</v>
      </c>
      <c r="O52" s="18">
        <f t="shared" si="37"/>
        <v>152.99</v>
      </c>
      <c r="P52" s="18">
        <f t="shared" si="37"/>
        <v>155.99</v>
      </c>
      <c r="Q52" s="18">
        <f t="shared" si="37"/>
        <v>158.99</v>
      </c>
      <c r="R52" s="18">
        <f t="shared" si="37"/>
        <v>160.97999999999999</v>
      </c>
      <c r="S52" s="18">
        <f t="shared" si="37"/>
        <v>164.16</v>
      </c>
      <c r="T52" s="18">
        <f t="shared" si="37"/>
        <v>167.7</v>
      </c>
      <c r="U52" s="18">
        <f t="shared" si="37"/>
        <v>172.12</v>
      </c>
      <c r="V52" s="18">
        <f t="shared" si="37"/>
        <v>176.73</v>
      </c>
      <c r="W52" s="18">
        <f t="shared" si="37"/>
        <v>181.62</v>
      </c>
      <c r="X52" s="18">
        <f t="shared" si="37"/>
        <v>186.95</v>
      </c>
      <c r="Y52" s="18">
        <f t="shared" si="37"/>
        <v>192.27</v>
      </c>
      <c r="Z52" s="18">
        <f t="shared" si="37"/>
        <v>197.94</v>
      </c>
      <c r="AA52" s="18">
        <f t="shared" si="37"/>
        <v>204.15</v>
      </c>
      <c r="AB52" s="18">
        <f t="shared" si="37"/>
        <v>210.42</v>
      </c>
      <c r="AC52" s="18">
        <f t="shared" si="37"/>
        <v>216.93</v>
      </c>
      <c r="AD52" s="18">
        <f t="shared" si="37"/>
        <v>223.69</v>
      </c>
      <c r="AE52" s="18">
        <f t="shared" si="37"/>
        <v>230.57</v>
      </c>
      <c r="AF52" s="18">
        <f t="shared" si="37"/>
        <v>237.37</v>
      </c>
      <c r="AG52" s="18">
        <f t="shared" si="37"/>
        <v>244.47</v>
      </c>
      <c r="AH52" s="18">
        <f t="shared" si="37"/>
        <v>251.92</v>
      </c>
      <c r="AI52" s="18">
        <f t="shared" si="37"/>
        <v>259.85000000000002</v>
      </c>
      <c r="AJ52" s="18">
        <f t="shared" si="37"/>
        <v>268.14999999999998</v>
      </c>
      <c r="AK52" s="18">
        <f t="shared" si="37"/>
        <v>276.3</v>
      </c>
      <c r="AL52" s="18">
        <f t="shared" si="37"/>
        <v>284.83999999999997</v>
      </c>
      <c r="AM52" s="18">
        <f t="shared" si="37"/>
        <v>293.93</v>
      </c>
      <c r="AN52" s="18">
        <f t="shared" si="37"/>
        <v>305.06</v>
      </c>
    </row>
    <row r="53" spans="1:40" x14ac:dyDescent="0.25">
      <c r="A53" t="s">
        <v>35</v>
      </c>
      <c r="B53" s="18">
        <f t="shared" ref="B53:AN53" si="38">IF($D$36="NDC",C124,C157)</f>
        <v>11.26</v>
      </c>
      <c r="C53" s="18">
        <f t="shared" si="38"/>
        <v>11.58</v>
      </c>
      <c r="D53" s="18">
        <f t="shared" si="38"/>
        <v>11.98</v>
      </c>
      <c r="E53" s="18">
        <f t="shared" si="38"/>
        <v>12.2</v>
      </c>
      <c r="F53" s="18">
        <f t="shared" si="38"/>
        <v>12.33</v>
      </c>
      <c r="G53" s="18">
        <f t="shared" si="38"/>
        <v>12.56</v>
      </c>
      <c r="H53" s="18">
        <f t="shared" si="38"/>
        <v>12.87</v>
      </c>
      <c r="I53" s="18">
        <f t="shared" si="38"/>
        <v>12.94</v>
      </c>
      <c r="J53" s="18">
        <f t="shared" si="38"/>
        <v>12.19</v>
      </c>
      <c r="K53" s="18">
        <f t="shared" si="38"/>
        <v>12.53</v>
      </c>
      <c r="L53" s="18">
        <f t="shared" si="38"/>
        <v>12.82</v>
      </c>
      <c r="M53" s="18">
        <f t="shared" si="38"/>
        <v>13.05</v>
      </c>
      <c r="N53" s="18">
        <f t="shared" si="38"/>
        <v>13.31</v>
      </c>
      <c r="O53" s="18">
        <f t="shared" si="38"/>
        <v>13.56</v>
      </c>
      <c r="P53" s="18">
        <f t="shared" si="38"/>
        <v>13.81</v>
      </c>
      <c r="Q53" s="18">
        <f t="shared" si="38"/>
        <v>14.05</v>
      </c>
      <c r="R53" s="18">
        <f t="shared" si="38"/>
        <v>14.19</v>
      </c>
      <c r="S53" s="18">
        <f t="shared" si="38"/>
        <v>14.47</v>
      </c>
      <c r="T53" s="18">
        <f t="shared" si="38"/>
        <v>14.75</v>
      </c>
      <c r="U53" s="18">
        <f t="shared" si="38"/>
        <v>15.11</v>
      </c>
      <c r="V53" s="18">
        <f t="shared" si="38"/>
        <v>15.46</v>
      </c>
      <c r="W53" s="18">
        <f t="shared" si="38"/>
        <v>15.82</v>
      </c>
      <c r="X53" s="18">
        <f t="shared" si="38"/>
        <v>16.18</v>
      </c>
      <c r="Y53" s="18">
        <f t="shared" si="38"/>
        <v>16.559999999999999</v>
      </c>
      <c r="Z53" s="18">
        <f t="shared" si="38"/>
        <v>16.95</v>
      </c>
      <c r="AA53" s="18">
        <f t="shared" si="38"/>
        <v>17.38</v>
      </c>
      <c r="AB53" s="18">
        <f t="shared" si="38"/>
        <v>17.8</v>
      </c>
      <c r="AC53" s="18">
        <f t="shared" si="38"/>
        <v>18.23</v>
      </c>
      <c r="AD53" s="18">
        <f t="shared" si="38"/>
        <v>18.670000000000002</v>
      </c>
      <c r="AE53" s="18">
        <f t="shared" si="38"/>
        <v>19.12</v>
      </c>
      <c r="AF53" s="18">
        <f t="shared" si="38"/>
        <v>19.55</v>
      </c>
      <c r="AG53" s="18">
        <f t="shared" si="38"/>
        <v>19.98</v>
      </c>
      <c r="AH53" s="18">
        <f t="shared" si="38"/>
        <v>20.420000000000002</v>
      </c>
      <c r="AI53" s="18">
        <f t="shared" si="38"/>
        <v>20.87</v>
      </c>
      <c r="AJ53" s="18">
        <f t="shared" si="38"/>
        <v>21.33</v>
      </c>
      <c r="AK53" s="18">
        <f t="shared" si="38"/>
        <v>21.77</v>
      </c>
      <c r="AL53" s="18">
        <f t="shared" si="38"/>
        <v>22.21</v>
      </c>
      <c r="AM53" s="18">
        <f t="shared" si="38"/>
        <v>22.68</v>
      </c>
      <c r="AN53" s="18">
        <f t="shared" si="38"/>
        <v>23.27</v>
      </c>
    </row>
    <row r="54" spans="1:40" x14ac:dyDescent="0.25">
      <c r="A54" t="s">
        <v>36</v>
      </c>
      <c r="B54" s="18">
        <f t="shared" ref="B54:AN54" si="39">IF($D$36="NDC",C125,C158)</f>
        <v>1.1399999999999999</v>
      </c>
      <c r="C54" s="18">
        <f t="shared" si="39"/>
        <v>1.1499999999999999</v>
      </c>
      <c r="D54" s="18">
        <f t="shared" si="39"/>
        <v>1.1299999999999999</v>
      </c>
      <c r="E54" s="18">
        <f t="shared" si="39"/>
        <v>1.1200000000000001</v>
      </c>
      <c r="F54" s="18">
        <f t="shared" si="39"/>
        <v>1.1200000000000001</v>
      </c>
      <c r="G54" s="18">
        <f t="shared" si="39"/>
        <v>1.1299999999999999</v>
      </c>
      <c r="H54" s="18">
        <f t="shared" si="39"/>
        <v>1.1000000000000001</v>
      </c>
      <c r="I54" s="18">
        <f t="shared" si="39"/>
        <v>1.07</v>
      </c>
      <c r="J54" s="18">
        <f t="shared" si="39"/>
        <v>0.94</v>
      </c>
      <c r="K54" s="18">
        <f t="shared" si="39"/>
        <v>0.94</v>
      </c>
      <c r="L54" s="18">
        <f t="shared" si="39"/>
        <v>0.95</v>
      </c>
      <c r="M54" s="18">
        <f t="shared" si="39"/>
        <v>0.97</v>
      </c>
      <c r="N54" s="18">
        <f t="shared" si="39"/>
        <v>0.98</v>
      </c>
      <c r="O54" s="18">
        <f t="shared" si="39"/>
        <v>1</v>
      </c>
      <c r="P54" s="18">
        <f t="shared" si="39"/>
        <v>1.02</v>
      </c>
      <c r="Q54" s="18">
        <f t="shared" si="39"/>
        <v>1.04</v>
      </c>
      <c r="R54" s="18">
        <f t="shared" si="39"/>
        <v>1.05</v>
      </c>
      <c r="S54" s="18">
        <f t="shared" si="39"/>
        <v>1.06</v>
      </c>
      <c r="T54" s="18">
        <f t="shared" si="39"/>
        <v>1.0900000000000001</v>
      </c>
      <c r="U54" s="18">
        <f t="shared" si="39"/>
        <v>1.1200000000000001</v>
      </c>
      <c r="V54" s="18">
        <f t="shared" si="39"/>
        <v>1.1599999999999999</v>
      </c>
      <c r="W54" s="18">
        <f t="shared" si="39"/>
        <v>1.2</v>
      </c>
      <c r="X54" s="18">
        <f t="shared" si="39"/>
        <v>1.25</v>
      </c>
      <c r="Y54" s="18">
        <f t="shared" si="39"/>
        <v>1.29</v>
      </c>
      <c r="Z54" s="18">
        <f t="shared" si="39"/>
        <v>1.34</v>
      </c>
      <c r="AA54" s="18">
        <f t="shared" si="39"/>
        <v>1.4</v>
      </c>
      <c r="AB54" s="18">
        <f t="shared" si="39"/>
        <v>1.46</v>
      </c>
      <c r="AC54" s="18">
        <f t="shared" si="39"/>
        <v>1.52</v>
      </c>
      <c r="AD54" s="18">
        <f t="shared" si="39"/>
        <v>1.59</v>
      </c>
      <c r="AE54" s="18">
        <f t="shared" si="39"/>
        <v>1.67</v>
      </c>
      <c r="AF54" s="18">
        <f t="shared" si="39"/>
        <v>1.74</v>
      </c>
      <c r="AG54" s="18">
        <f t="shared" si="39"/>
        <v>1.83</v>
      </c>
      <c r="AH54" s="18">
        <f t="shared" si="39"/>
        <v>1.92</v>
      </c>
      <c r="AI54" s="18">
        <f t="shared" si="39"/>
        <v>2.02</v>
      </c>
      <c r="AJ54" s="18">
        <f t="shared" si="39"/>
        <v>2.13</v>
      </c>
      <c r="AK54" s="18">
        <f t="shared" si="39"/>
        <v>2.25</v>
      </c>
      <c r="AL54" s="18">
        <f t="shared" si="39"/>
        <v>2.38</v>
      </c>
      <c r="AM54" s="18">
        <f t="shared" si="39"/>
        <v>2.5099999999999998</v>
      </c>
      <c r="AN54" s="18">
        <f t="shared" si="39"/>
        <v>2.67</v>
      </c>
    </row>
    <row r="55" spans="1:40" x14ac:dyDescent="0.25">
      <c r="A55" t="s">
        <v>37</v>
      </c>
      <c r="B55" s="18">
        <f t="shared" ref="B55:AN55" si="40">IF($D$36="NDC",C126,C159)</f>
        <v>27.52</v>
      </c>
      <c r="C55" s="18">
        <f t="shared" si="40"/>
        <v>26.89</v>
      </c>
      <c r="D55" s="18">
        <f t="shared" si="40"/>
        <v>26.27</v>
      </c>
      <c r="E55" s="18">
        <f t="shared" si="40"/>
        <v>25.64</v>
      </c>
      <c r="F55" s="18">
        <f t="shared" si="40"/>
        <v>25.62</v>
      </c>
      <c r="G55" s="18">
        <f t="shared" si="40"/>
        <v>25.6</v>
      </c>
      <c r="H55" s="18">
        <f t="shared" si="40"/>
        <v>25.6</v>
      </c>
      <c r="I55" s="18">
        <f t="shared" si="40"/>
        <v>25.55</v>
      </c>
      <c r="J55" s="18">
        <f t="shared" si="40"/>
        <v>16.07</v>
      </c>
      <c r="K55" s="18">
        <f t="shared" si="40"/>
        <v>16.03</v>
      </c>
      <c r="L55" s="18">
        <f t="shared" si="40"/>
        <v>16.03</v>
      </c>
      <c r="M55" s="18">
        <f t="shared" si="40"/>
        <v>16.010000000000002</v>
      </c>
      <c r="N55" s="18">
        <f t="shared" si="40"/>
        <v>15.99</v>
      </c>
      <c r="O55" s="18">
        <f t="shared" si="40"/>
        <v>15.42</v>
      </c>
      <c r="P55" s="18">
        <f t="shared" si="40"/>
        <v>15.4</v>
      </c>
      <c r="Q55" s="18">
        <f t="shared" si="40"/>
        <v>15.38</v>
      </c>
      <c r="R55" s="18">
        <f t="shared" si="40"/>
        <v>10.1</v>
      </c>
      <c r="S55" s="18">
        <f t="shared" si="40"/>
        <v>10.08</v>
      </c>
      <c r="T55" s="18">
        <f t="shared" si="40"/>
        <v>10.47</v>
      </c>
      <c r="U55" s="18">
        <f t="shared" si="40"/>
        <v>10.74</v>
      </c>
      <c r="V55" s="18">
        <f t="shared" si="40"/>
        <v>10.75</v>
      </c>
      <c r="W55" s="18">
        <f t="shared" si="40"/>
        <v>10.78</v>
      </c>
      <c r="X55" s="18">
        <f t="shared" si="40"/>
        <v>9.3800000000000008</v>
      </c>
      <c r="Y55" s="18">
        <f t="shared" si="40"/>
        <v>7.95</v>
      </c>
      <c r="Z55" s="18">
        <f t="shared" si="40"/>
        <v>6.61</v>
      </c>
      <c r="AA55" s="18">
        <f t="shared" si="40"/>
        <v>5.54</v>
      </c>
      <c r="AB55" s="18">
        <f t="shared" si="40"/>
        <v>4.71</v>
      </c>
      <c r="AC55" s="18">
        <f t="shared" si="40"/>
        <v>3.88</v>
      </c>
      <c r="AD55" s="18">
        <f t="shared" si="40"/>
        <v>3.05</v>
      </c>
      <c r="AE55" s="18">
        <f t="shared" si="40"/>
        <v>2.78</v>
      </c>
      <c r="AF55" s="18">
        <f t="shared" si="40"/>
        <v>2.5099999999999998</v>
      </c>
      <c r="AG55" s="18">
        <f t="shared" si="40"/>
        <v>2.2400000000000002</v>
      </c>
      <c r="AH55" s="18">
        <f t="shared" si="40"/>
        <v>1.97</v>
      </c>
      <c r="AI55" s="18">
        <f t="shared" si="40"/>
        <v>1.7</v>
      </c>
      <c r="AJ55" s="18">
        <f t="shared" si="40"/>
        <v>1.68</v>
      </c>
      <c r="AK55" s="18">
        <f t="shared" si="40"/>
        <v>1.65</v>
      </c>
      <c r="AL55" s="18">
        <f t="shared" si="40"/>
        <v>1.63</v>
      </c>
      <c r="AM55" s="18">
        <f t="shared" si="40"/>
        <v>1.61</v>
      </c>
      <c r="AN55" s="18">
        <f t="shared" si="40"/>
        <v>1.58</v>
      </c>
    </row>
    <row r="56" spans="1:40" x14ac:dyDescent="0.25">
      <c r="A56" t="s">
        <v>38</v>
      </c>
      <c r="B56" s="18">
        <f t="shared" ref="B56:AN56" si="41">IF($D$36="NDC",C127,C160)</f>
        <v>66.42</v>
      </c>
      <c r="C56" s="18">
        <f t="shared" si="41"/>
        <v>67.81</v>
      </c>
      <c r="D56" s="18">
        <f t="shared" si="41"/>
        <v>65.680000000000007</v>
      </c>
      <c r="E56" s="18">
        <f t="shared" si="41"/>
        <v>63.54</v>
      </c>
      <c r="F56" s="18">
        <f t="shared" si="41"/>
        <v>63.36</v>
      </c>
      <c r="G56" s="18">
        <f t="shared" si="41"/>
        <v>63.29</v>
      </c>
      <c r="H56" s="18">
        <f t="shared" si="41"/>
        <v>63.16</v>
      </c>
      <c r="I56" s="18">
        <f t="shared" si="41"/>
        <v>62.72</v>
      </c>
      <c r="J56" s="18">
        <f t="shared" si="41"/>
        <v>60.32</v>
      </c>
      <c r="K56" s="18">
        <f t="shared" si="41"/>
        <v>60.32</v>
      </c>
      <c r="L56" s="18">
        <f t="shared" si="41"/>
        <v>60.4</v>
      </c>
      <c r="M56" s="18">
        <f t="shared" si="41"/>
        <v>60.18</v>
      </c>
      <c r="N56" s="18">
        <f t="shared" si="41"/>
        <v>60.35</v>
      </c>
      <c r="O56" s="18">
        <f t="shared" si="41"/>
        <v>60.75</v>
      </c>
      <c r="P56" s="18">
        <f t="shared" si="41"/>
        <v>60.82</v>
      </c>
      <c r="Q56" s="18">
        <f t="shared" si="41"/>
        <v>60.78</v>
      </c>
      <c r="R56" s="18">
        <f t="shared" si="41"/>
        <v>60.57</v>
      </c>
      <c r="S56" s="18">
        <f t="shared" si="41"/>
        <v>59.99</v>
      </c>
      <c r="T56" s="18">
        <f t="shared" si="41"/>
        <v>59.52</v>
      </c>
      <c r="U56" s="18">
        <f t="shared" si="41"/>
        <v>59.08</v>
      </c>
      <c r="V56" s="18">
        <f t="shared" si="41"/>
        <v>59.01</v>
      </c>
      <c r="W56" s="18">
        <f t="shared" si="41"/>
        <v>58.82</v>
      </c>
      <c r="X56" s="18">
        <f t="shared" si="41"/>
        <v>58.76</v>
      </c>
      <c r="Y56" s="18">
        <f t="shared" si="41"/>
        <v>58.76</v>
      </c>
      <c r="Z56" s="18">
        <f t="shared" si="41"/>
        <v>58.54</v>
      </c>
      <c r="AA56" s="18">
        <f t="shared" si="41"/>
        <v>57.86</v>
      </c>
      <c r="AB56" s="18">
        <f t="shared" si="41"/>
        <v>56.62</v>
      </c>
      <c r="AC56" s="18">
        <f t="shared" si="41"/>
        <v>55.36</v>
      </c>
      <c r="AD56" s="18">
        <f t="shared" si="41"/>
        <v>54.1</v>
      </c>
      <c r="AE56" s="18">
        <f t="shared" si="41"/>
        <v>53.56</v>
      </c>
      <c r="AF56" s="18">
        <f t="shared" si="41"/>
        <v>53.03</v>
      </c>
      <c r="AG56" s="18">
        <f t="shared" si="41"/>
        <v>52.5</v>
      </c>
      <c r="AH56" s="18">
        <f t="shared" si="41"/>
        <v>51.96</v>
      </c>
      <c r="AI56" s="18">
        <f t="shared" si="41"/>
        <v>51.43</v>
      </c>
      <c r="AJ56" s="18">
        <f t="shared" si="41"/>
        <v>51.14</v>
      </c>
      <c r="AK56" s="18">
        <f t="shared" si="41"/>
        <v>50.86</v>
      </c>
      <c r="AL56" s="18">
        <f t="shared" si="41"/>
        <v>50.58</v>
      </c>
      <c r="AM56" s="18">
        <f t="shared" si="41"/>
        <v>50.3</v>
      </c>
      <c r="AN56" s="18">
        <f t="shared" si="41"/>
        <v>50.03</v>
      </c>
    </row>
    <row r="58" spans="1:40" ht="18" thickBot="1" x14ac:dyDescent="0.35">
      <c r="A58" s="4" t="s">
        <v>143</v>
      </c>
      <c r="B58" s="4"/>
      <c r="C58" s="4"/>
      <c r="D58" s="4"/>
      <c r="E58" s="4"/>
      <c r="F58" s="4"/>
      <c r="G58" s="4"/>
      <c r="H58" s="4"/>
    </row>
    <row r="59" spans="1:40" ht="15.75" thickTop="1" x14ac:dyDescent="0.25">
      <c r="B59" s="3">
        <v>2012</v>
      </c>
      <c r="C59" s="3">
        <v>2013</v>
      </c>
      <c r="D59" s="3">
        <v>2014</v>
      </c>
      <c r="E59" s="3">
        <v>2015</v>
      </c>
      <c r="F59" s="3">
        <v>2016</v>
      </c>
      <c r="G59" s="3">
        <v>2017</v>
      </c>
      <c r="H59" s="3">
        <v>2018</v>
      </c>
      <c r="I59" s="3">
        <v>2019</v>
      </c>
      <c r="J59" s="3">
        <v>2020</v>
      </c>
      <c r="K59" s="3">
        <v>2021</v>
      </c>
      <c r="L59" s="3">
        <v>2022</v>
      </c>
      <c r="M59" s="3">
        <v>2023</v>
      </c>
      <c r="N59" s="3">
        <v>2024</v>
      </c>
      <c r="O59" s="3">
        <v>2025</v>
      </c>
      <c r="P59" s="3">
        <v>2026</v>
      </c>
      <c r="Q59" s="3">
        <v>2027</v>
      </c>
      <c r="R59" s="3">
        <v>2028</v>
      </c>
      <c r="S59" s="3">
        <v>2029</v>
      </c>
      <c r="T59" s="3">
        <v>2030</v>
      </c>
      <c r="U59" s="3">
        <v>2031</v>
      </c>
      <c r="V59" s="3">
        <v>2032</v>
      </c>
      <c r="W59" s="3">
        <v>2033</v>
      </c>
      <c r="X59" s="3">
        <v>2034</v>
      </c>
      <c r="Y59" s="3">
        <v>2035</v>
      </c>
      <c r="Z59" s="3">
        <v>2036</v>
      </c>
      <c r="AA59" s="3">
        <v>2037</v>
      </c>
      <c r="AB59" s="3">
        <v>2038</v>
      </c>
      <c r="AC59">
        <v>2039</v>
      </c>
      <c r="AD59">
        <v>2040</v>
      </c>
      <c r="AE59">
        <v>2041</v>
      </c>
      <c r="AF59">
        <v>2042</v>
      </c>
      <c r="AG59">
        <v>2043</v>
      </c>
      <c r="AH59">
        <v>2044</v>
      </c>
      <c r="AI59">
        <v>2045</v>
      </c>
      <c r="AJ59">
        <v>2046</v>
      </c>
      <c r="AK59">
        <v>2047</v>
      </c>
      <c r="AL59">
        <v>2048</v>
      </c>
      <c r="AM59">
        <v>2049</v>
      </c>
      <c r="AN59">
        <v>2050</v>
      </c>
    </row>
    <row r="60" spans="1:40" x14ac:dyDescent="0.25">
      <c r="A60" s="3" t="s">
        <v>54</v>
      </c>
      <c r="B60" s="12">
        <f>IF($D$36="NDC",B131,B164)</f>
        <v>0.5</v>
      </c>
      <c r="C60" s="12">
        <f t="shared" ref="C60:AN62" si="42">IF($D$36="NDC",C131,C164)</f>
        <v>0.49530000000000002</v>
      </c>
      <c r="D60" s="12">
        <f t="shared" si="42"/>
        <v>0.48570000000000002</v>
      </c>
      <c r="E60" s="12">
        <f t="shared" si="42"/>
        <v>0.48010000000000003</v>
      </c>
      <c r="F60" s="12">
        <f t="shared" si="42"/>
        <v>0.4783</v>
      </c>
      <c r="G60" s="12">
        <f t="shared" si="42"/>
        <v>0.47289999999999999</v>
      </c>
      <c r="H60" s="12">
        <f t="shared" si="42"/>
        <v>0.46870000000000001</v>
      </c>
      <c r="I60" s="12">
        <f t="shared" si="42"/>
        <v>0.47139999999999999</v>
      </c>
      <c r="J60" s="12">
        <f t="shared" si="42"/>
        <v>0.48859999999999998</v>
      </c>
      <c r="K60" s="12">
        <f t="shared" si="42"/>
        <v>0.50270000000000004</v>
      </c>
      <c r="L60" s="12">
        <f t="shared" si="42"/>
        <v>0.498</v>
      </c>
      <c r="M60" s="12">
        <f t="shared" si="42"/>
        <v>0.49359999999999998</v>
      </c>
      <c r="N60" s="12">
        <f t="shared" si="42"/>
        <v>0.48820000000000002</v>
      </c>
      <c r="O60" s="12">
        <f t="shared" si="42"/>
        <v>0.48220000000000002</v>
      </c>
      <c r="P60" s="12">
        <f t="shared" si="42"/>
        <v>0.47520000000000001</v>
      </c>
      <c r="Q60" s="12">
        <f t="shared" si="42"/>
        <v>0.46839999999999998</v>
      </c>
      <c r="R60" s="12">
        <f t="shared" si="42"/>
        <v>0.4647</v>
      </c>
      <c r="S60" s="12">
        <f t="shared" si="42"/>
        <v>0.45779999999999998</v>
      </c>
      <c r="T60" s="12">
        <f t="shared" si="42"/>
        <v>0.44979999999999998</v>
      </c>
      <c r="U60" s="12">
        <f t="shared" si="42"/>
        <v>0.44130000000000003</v>
      </c>
      <c r="V60" s="12">
        <f t="shared" si="42"/>
        <v>0.43219999999999997</v>
      </c>
      <c r="W60" s="12">
        <f t="shared" si="42"/>
        <v>0.42320000000000002</v>
      </c>
      <c r="X60" s="12">
        <f t="shared" si="42"/>
        <v>0.4138</v>
      </c>
      <c r="Y60" s="12">
        <f t="shared" si="42"/>
        <v>0.40460000000000002</v>
      </c>
      <c r="Z60" s="12">
        <f t="shared" si="42"/>
        <v>0.39539999999999997</v>
      </c>
      <c r="AA60" s="12">
        <f t="shared" si="42"/>
        <v>0.38550000000000001</v>
      </c>
      <c r="AB60" s="12">
        <f t="shared" si="42"/>
        <v>0.37590000000000001</v>
      </c>
      <c r="AC60" s="12">
        <f t="shared" si="42"/>
        <v>0.36670000000000003</v>
      </c>
      <c r="AD60" s="12">
        <f t="shared" si="42"/>
        <v>0.35759999999999997</v>
      </c>
      <c r="AE60" s="12">
        <f t="shared" si="42"/>
        <v>0.34839999999999999</v>
      </c>
      <c r="AF60" s="12">
        <f t="shared" si="42"/>
        <v>0.33989999999999998</v>
      </c>
      <c r="AG60" s="12">
        <f t="shared" si="42"/>
        <v>0.33169999999999999</v>
      </c>
      <c r="AH60" s="12">
        <f t="shared" si="42"/>
        <v>0.32350000000000001</v>
      </c>
      <c r="AI60" s="12">
        <f t="shared" si="42"/>
        <v>0.31519999999999998</v>
      </c>
      <c r="AJ60" s="12">
        <f t="shared" si="42"/>
        <v>0.30669999999999997</v>
      </c>
      <c r="AK60" s="12">
        <f t="shared" si="42"/>
        <v>0.2989</v>
      </c>
      <c r="AL60" s="12">
        <f t="shared" si="42"/>
        <v>0.29149999999999998</v>
      </c>
      <c r="AM60" s="12">
        <f t="shared" si="42"/>
        <v>0.28389999999999999</v>
      </c>
      <c r="AN60" s="12">
        <f t="shared" si="42"/>
        <v>0.27539999999999998</v>
      </c>
    </row>
    <row r="61" spans="1:40" x14ac:dyDescent="0.25">
      <c r="A61" s="3" t="s">
        <v>55</v>
      </c>
      <c r="B61" s="12">
        <f t="shared" ref="B61:Q62" si="43">IF($D$36="NDC",B132,B165)</f>
        <v>0.3</v>
      </c>
      <c r="C61" s="12">
        <f t="shared" si="43"/>
        <v>0.29570000000000002</v>
      </c>
      <c r="D61" s="12">
        <f t="shared" si="43"/>
        <v>0.29930000000000001</v>
      </c>
      <c r="E61" s="12">
        <f t="shared" si="43"/>
        <v>0.3029</v>
      </c>
      <c r="F61" s="12">
        <f t="shared" si="43"/>
        <v>0.3044</v>
      </c>
      <c r="G61" s="12">
        <f t="shared" si="43"/>
        <v>0.30480000000000002</v>
      </c>
      <c r="H61" s="12">
        <f t="shared" si="43"/>
        <v>0.30819999999999997</v>
      </c>
      <c r="I61" s="12">
        <f t="shared" si="43"/>
        <v>0.31109999999999999</v>
      </c>
      <c r="J61" s="12">
        <f t="shared" si="43"/>
        <v>0.31140000000000001</v>
      </c>
      <c r="K61" s="12">
        <f t="shared" si="43"/>
        <v>0.29730000000000001</v>
      </c>
      <c r="L61" s="12">
        <f t="shared" si="43"/>
        <v>0.30199999999999999</v>
      </c>
      <c r="M61" s="12">
        <f t="shared" si="43"/>
        <v>0.30640000000000001</v>
      </c>
      <c r="N61" s="12">
        <f t="shared" si="43"/>
        <v>0.30940000000000001</v>
      </c>
      <c r="O61" s="12">
        <f t="shared" si="43"/>
        <v>0.3115</v>
      </c>
      <c r="P61" s="12">
        <f t="shared" si="43"/>
        <v>0.313</v>
      </c>
      <c r="Q61" s="12">
        <f t="shared" si="43"/>
        <v>0.31540000000000001</v>
      </c>
      <c r="R61" s="12">
        <f t="shared" si="42"/>
        <v>0.3175</v>
      </c>
      <c r="S61" s="12">
        <f t="shared" si="42"/>
        <v>0.31859999999999999</v>
      </c>
      <c r="T61" s="12">
        <f t="shared" si="42"/>
        <v>0.32069999999999999</v>
      </c>
      <c r="U61" s="12">
        <f t="shared" si="42"/>
        <v>0.32240000000000002</v>
      </c>
      <c r="V61" s="12">
        <f t="shared" si="42"/>
        <v>0.32469999999999999</v>
      </c>
      <c r="W61" s="12">
        <f t="shared" si="42"/>
        <v>0.32690000000000002</v>
      </c>
      <c r="X61" s="12">
        <f t="shared" si="42"/>
        <v>0.32890000000000003</v>
      </c>
      <c r="Y61" s="12">
        <f t="shared" si="42"/>
        <v>0.33139999999999997</v>
      </c>
      <c r="Z61" s="12">
        <f t="shared" si="42"/>
        <v>0.33339999999999997</v>
      </c>
      <c r="AA61" s="12">
        <f t="shared" si="42"/>
        <v>0.33560000000000001</v>
      </c>
      <c r="AB61" s="12">
        <f t="shared" si="42"/>
        <v>0.33800000000000002</v>
      </c>
      <c r="AC61" s="12">
        <f t="shared" si="42"/>
        <v>0.34010000000000001</v>
      </c>
      <c r="AD61" s="12">
        <f t="shared" si="42"/>
        <v>0.3422</v>
      </c>
      <c r="AE61" s="12">
        <f t="shared" si="42"/>
        <v>0.34439999999999998</v>
      </c>
      <c r="AF61" s="12">
        <f t="shared" si="42"/>
        <v>0.34649999999999997</v>
      </c>
      <c r="AG61" s="12">
        <f t="shared" si="42"/>
        <v>0.34839999999999999</v>
      </c>
      <c r="AH61" s="12">
        <f t="shared" si="42"/>
        <v>0.35020000000000001</v>
      </c>
      <c r="AI61" s="12">
        <f t="shared" si="42"/>
        <v>0.35189999999999999</v>
      </c>
      <c r="AJ61" s="12">
        <f t="shared" si="42"/>
        <v>0.35370000000000001</v>
      </c>
      <c r="AK61" s="12">
        <f t="shared" si="42"/>
        <v>0.35560000000000003</v>
      </c>
      <c r="AL61" s="12">
        <f t="shared" si="42"/>
        <v>0.35720000000000002</v>
      </c>
      <c r="AM61" s="12">
        <f t="shared" si="42"/>
        <v>0.35859999999999997</v>
      </c>
      <c r="AN61" s="12">
        <f t="shared" si="42"/>
        <v>0.35959999999999998</v>
      </c>
    </row>
    <row r="62" spans="1:40" x14ac:dyDescent="0.25">
      <c r="A62" s="3" t="s">
        <v>56</v>
      </c>
      <c r="B62" s="12">
        <f t="shared" si="43"/>
        <v>0.2</v>
      </c>
      <c r="C62" s="12">
        <f t="shared" si="42"/>
        <v>0.20899999999999999</v>
      </c>
      <c r="D62" s="12">
        <f t="shared" si="42"/>
        <v>0.215</v>
      </c>
      <c r="E62" s="12">
        <f t="shared" si="42"/>
        <v>0.217</v>
      </c>
      <c r="F62" s="12">
        <f t="shared" si="42"/>
        <v>0.2172</v>
      </c>
      <c r="G62" s="12">
        <f t="shared" si="42"/>
        <v>0.2223</v>
      </c>
      <c r="H62" s="12">
        <f t="shared" si="42"/>
        <v>0.22309999999999999</v>
      </c>
      <c r="I62" s="12">
        <f t="shared" si="42"/>
        <v>0.21759999999999999</v>
      </c>
      <c r="J62" s="12">
        <f t="shared" si="42"/>
        <v>0.2</v>
      </c>
      <c r="K62" s="12">
        <f t="shared" si="42"/>
        <v>0.2</v>
      </c>
      <c r="L62" s="12">
        <f t="shared" si="42"/>
        <v>0.2</v>
      </c>
      <c r="M62" s="12">
        <f t="shared" si="42"/>
        <v>0.2</v>
      </c>
      <c r="N62" s="12">
        <f t="shared" si="42"/>
        <v>0.20230000000000001</v>
      </c>
      <c r="O62" s="12">
        <f t="shared" si="42"/>
        <v>0.20630000000000001</v>
      </c>
      <c r="P62" s="12">
        <f t="shared" si="42"/>
        <v>0.21179999999999999</v>
      </c>
      <c r="Q62" s="12">
        <f t="shared" si="42"/>
        <v>0.2162</v>
      </c>
      <c r="R62" s="12">
        <f t="shared" si="42"/>
        <v>0.21790000000000001</v>
      </c>
      <c r="S62" s="12">
        <f t="shared" si="42"/>
        <v>0.22359999999999999</v>
      </c>
      <c r="T62" s="12">
        <f t="shared" si="42"/>
        <v>0.22939999999999999</v>
      </c>
      <c r="U62" s="12">
        <f t="shared" si="42"/>
        <v>0.23619999999999999</v>
      </c>
      <c r="V62" s="12">
        <f t="shared" si="42"/>
        <v>0.2432</v>
      </c>
      <c r="W62" s="12">
        <f t="shared" si="42"/>
        <v>0.24990000000000001</v>
      </c>
      <c r="X62" s="12">
        <f t="shared" si="42"/>
        <v>0.25719999999999998</v>
      </c>
      <c r="Y62" s="12">
        <f t="shared" si="42"/>
        <v>0.26390000000000002</v>
      </c>
      <c r="Z62" s="12">
        <f t="shared" si="42"/>
        <v>0.2712</v>
      </c>
      <c r="AA62" s="12">
        <f t="shared" si="42"/>
        <v>0.27889999999999998</v>
      </c>
      <c r="AB62" s="12">
        <f t="shared" si="42"/>
        <v>0.28599999999999998</v>
      </c>
      <c r="AC62" s="12">
        <f t="shared" si="42"/>
        <v>0.29310000000000003</v>
      </c>
      <c r="AD62" s="12">
        <f t="shared" si="42"/>
        <v>0.30020000000000002</v>
      </c>
      <c r="AE62" s="12">
        <f t="shared" si="42"/>
        <v>0.30719999999999997</v>
      </c>
      <c r="AF62" s="12">
        <f t="shared" si="42"/>
        <v>0.3135</v>
      </c>
      <c r="AG62" s="12">
        <f t="shared" si="42"/>
        <v>0.31990000000000002</v>
      </c>
      <c r="AH62" s="12">
        <f t="shared" si="42"/>
        <v>0.32629999999999998</v>
      </c>
      <c r="AI62" s="12">
        <f t="shared" si="42"/>
        <v>0.33289999999999997</v>
      </c>
      <c r="AJ62" s="12">
        <f t="shared" si="42"/>
        <v>0.33960000000000001</v>
      </c>
      <c r="AK62" s="12">
        <f t="shared" si="42"/>
        <v>0.34549999999999997</v>
      </c>
      <c r="AL62" s="12">
        <f t="shared" si="42"/>
        <v>0.35139999999999999</v>
      </c>
      <c r="AM62" s="12">
        <f t="shared" si="42"/>
        <v>0.35749999999999998</v>
      </c>
      <c r="AN62" s="12">
        <f t="shared" si="42"/>
        <v>0.36499999999999999</v>
      </c>
    </row>
    <row r="63" spans="1:40" x14ac:dyDescent="0.25">
      <c r="A63" s="3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5" spans="1:40" ht="18" thickBot="1" x14ac:dyDescent="0.35">
      <c r="A65" s="4" t="s">
        <v>144</v>
      </c>
      <c r="B65" s="4"/>
      <c r="C65" s="4"/>
      <c r="D65" s="4"/>
      <c r="E65" s="4"/>
      <c r="F65" s="4"/>
      <c r="G65" s="4"/>
      <c r="H65" s="4"/>
    </row>
    <row r="66" spans="1:40" ht="15.75" thickTop="1" x14ac:dyDescent="0.25">
      <c r="A66" s="3">
        <v>2012</v>
      </c>
      <c r="B66" s="3">
        <v>2013</v>
      </c>
      <c r="C66" s="3">
        <v>2014</v>
      </c>
      <c r="D66" s="3">
        <v>2015</v>
      </c>
      <c r="E66" s="3">
        <v>2016</v>
      </c>
      <c r="F66" s="3">
        <v>2017</v>
      </c>
      <c r="G66" s="3">
        <v>2018</v>
      </c>
      <c r="H66" s="3">
        <v>2019</v>
      </c>
      <c r="I66" s="3">
        <v>2020</v>
      </c>
      <c r="J66" s="3">
        <v>2021</v>
      </c>
      <c r="K66" s="3">
        <v>2022</v>
      </c>
      <c r="L66" s="3">
        <v>2023</v>
      </c>
      <c r="M66" s="3">
        <v>2024</v>
      </c>
      <c r="N66" s="3">
        <v>2025</v>
      </c>
      <c r="O66" s="3">
        <v>2026</v>
      </c>
      <c r="P66" s="3">
        <v>2027</v>
      </c>
      <c r="Q66" s="3">
        <v>2028</v>
      </c>
      <c r="R66" s="3">
        <v>2029</v>
      </c>
      <c r="S66" s="3">
        <v>2030</v>
      </c>
      <c r="T66" s="3">
        <v>2031</v>
      </c>
      <c r="U66" s="3">
        <v>2032</v>
      </c>
      <c r="V66" s="3">
        <v>2033</v>
      </c>
      <c r="W66" s="3">
        <v>2034</v>
      </c>
      <c r="X66" s="3">
        <v>2035</v>
      </c>
      <c r="Y66" s="3">
        <v>2036</v>
      </c>
      <c r="Z66">
        <v>2037</v>
      </c>
      <c r="AA66">
        <v>2038</v>
      </c>
      <c r="AB66">
        <v>2039</v>
      </c>
      <c r="AC66">
        <v>2040</v>
      </c>
      <c r="AD66">
        <v>2041</v>
      </c>
      <c r="AE66">
        <v>2042</v>
      </c>
      <c r="AF66">
        <v>2043</v>
      </c>
      <c r="AG66">
        <v>2044</v>
      </c>
      <c r="AH66">
        <v>2045</v>
      </c>
      <c r="AI66">
        <v>2046</v>
      </c>
      <c r="AJ66">
        <v>2047</v>
      </c>
      <c r="AK66">
        <v>2048</v>
      </c>
      <c r="AL66">
        <v>2049</v>
      </c>
      <c r="AM66">
        <v>2050</v>
      </c>
    </row>
    <row r="67" spans="1:40" x14ac:dyDescent="0.25">
      <c r="A67">
        <v>0.30163969294990939</v>
      </c>
      <c r="B67">
        <v>0.30796232196009593</v>
      </c>
      <c r="C67">
        <v>0.31076074811132609</v>
      </c>
      <c r="D67">
        <v>0.31288978435800541</v>
      </c>
      <c r="E67">
        <v>0.31287861234645009</v>
      </c>
      <c r="F67">
        <v>0.31559061766201918</v>
      </c>
      <c r="G67">
        <v>0.31792262160723966</v>
      </c>
      <c r="H67">
        <v>0.31751776256697073</v>
      </c>
      <c r="I67">
        <v>0.29019645575179692</v>
      </c>
      <c r="J67">
        <v>0.29699796556548153</v>
      </c>
      <c r="K67">
        <v>0.30086618803463078</v>
      </c>
      <c r="L67">
        <v>0.30560921323222662</v>
      </c>
      <c r="M67">
        <v>0.31089428879503833</v>
      </c>
      <c r="N67">
        <v>0.31574574729178884</v>
      </c>
      <c r="O67">
        <v>0.32233263553724806</v>
      </c>
      <c r="P67">
        <v>0.32880003865535701</v>
      </c>
      <c r="Q67">
        <v>0.33535511550799657</v>
      </c>
      <c r="R67">
        <v>0.34123725286063172</v>
      </c>
      <c r="S67">
        <v>0.34454239921586177</v>
      </c>
      <c r="T67">
        <v>0.35116683037727708</v>
      </c>
      <c r="U67">
        <v>0.3572236000334062</v>
      </c>
      <c r="V67">
        <v>0.36353776465503623</v>
      </c>
      <c r="W67">
        <v>0.36890203829536222</v>
      </c>
      <c r="X67" s="12">
        <v>0.37427262385952426</v>
      </c>
      <c r="Y67" s="12">
        <v>0.38104809418400248</v>
      </c>
      <c r="Z67" s="12">
        <v>0.38784776605814258</v>
      </c>
      <c r="AA67" s="12">
        <v>0.4299009822099728</v>
      </c>
      <c r="AB67" s="12">
        <v>0.43713117831921317</v>
      </c>
      <c r="AC67" s="12">
        <v>0.44491156591527831</v>
      </c>
      <c r="AD67" s="12">
        <v>0.45393229406497204</v>
      </c>
      <c r="AE67" s="12">
        <v>0.46311317822350589</v>
      </c>
      <c r="AF67" s="12">
        <v>0.4726065828684099</v>
      </c>
      <c r="AG67" s="12">
        <v>0.48236629091688582</v>
      </c>
      <c r="AH67" s="12">
        <v>0.49247723540906563</v>
      </c>
      <c r="AI67" s="12">
        <v>0.50118562936425615</v>
      </c>
      <c r="AJ67" s="12">
        <v>0.51042179853043057</v>
      </c>
      <c r="AK67" s="12">
        <v>0.52017248072066546</v>
      </c>
      <c r="AL67" s="12">
        <v>0.53049825447978527</v>
      </c>
      <c r="AM67" s="12">
        <v>0.54170030276549952</v>
      </c>
    </row>
    <row r="70" spans="1:40" x14ac:dyDescent="0.25">
      <c r="B70">
        <v>0.6</v>
      </c>
      <c r="C70" s="26">
        <v>0.4</v>
      </c>
    </row>
    <row r="71" spans="1:40" x14ac:dyDescent="0.25">
      <c r="C71" s="13"/>
    </row>
    <row r="72" spans="1:40" ht="18" thickBot="1" x14ac:dyDescent="0.35">
      <c r="A72" s="24" t="s">
        <v>146</v>
      </c>
      <c r="B72" s="24"/>
      <c r="C72" s="24"/>
      <c r="D72" s="24"/>
      <c r="E72" s="24"/>
    </row>
    <row r="73" spans="1:40" ht="15.75" thickTop="1" x14ac:dyDescent="0.25">
      <c r="B73">
        <v>2012</v>
      </c>
      <c r="C73">
        <v>2013</v>
      </c>
      <c r="D73">
        <v>2014</v>
      </c>
      <c r="E73">
        <v>2015</v>
      </c>
      <c r="F73">
        <v>2016</v>
      </c>
      <c r="G73">
        <v>2017</v>
      </c>
      <c r="H73">
        <v>2018</v>
      </c>
      <c r="I73">
        <v>2019</v>
      </c>
      <c r="J73">
        <v>2020</v>
      </c>
      <c r="K73">
        <v>2021</v>
      </c>
      <c r="L73">
        <v>2022</v>
      </c>
      <c r="M73">
        <v>2023</v>
      </c>
      <c r="N73">
        <v>2024</v>
      </c>
      <c r="O73">
        <v>2025</v>
      </c>
      <c r="P73">
        <v>2026</v>
      </c>
      <c r="Q73">
        <v>2027</v>
      </c>
      <c r="R73">
        <v>2028</v>
      </c>
      <c r="S73">
        <v>2029</v>
      </c>
      <c r="T73">
        <v>2030</v>
      </c>
      <c r="U73">
        <v>2031</v>
      </c>
      <c r="V73">
        <v>2032</v>
      </c>
      <c r="W73">
        <v>2033</v>
      </c>
      <c r="X73">
        <v>2034</v>
      </c>
      <c r="Y73">
        <v>2035</v>
      </c>
      <c r="Z73">
        <v>2036</v>
      </c>
      <c r="AA73">
        <v>2037</v>
      </c>
      <c r="AB73">
        <v>2038</v>
      </c>
      <c r="AC73">
        <v>2039</v>
      </c>
      <c r="AD73">
        <v>2040</v>
      </c>
      <c r="AE73">
        <v>2041</v>
      </c>
      <c r="AF73">
        <v>2042</v>
      </c>
      <c r="AG73">
        <v>2043</v>
      </c>
      <c r="AH73">
        <v>2044</v>
      </c>
      <c r="AI73">
        <v>2045</v>
      </c>
      <c r="AJ73">
        <v>2046</v>
      </c>
      <c r="AK73">
        <v>2047</v>
      </c>
      <c r="AL73">
        <v>2048</v>
      </c>
      <c r="AM73">
        <v>2049</v>
      </c>
      <c r="AN73">
        <v>2050</v>
      </c>
    </row>
    <row r="74" spans="1:40" x14ac:dyDescent="0.25">
      <c r="A74" t="s">
        <v>21</v>
      </c>
      <c r="B74" s="18">
        <v>1833.848514865675</v>
      </c>
      <c r="C74" s="18">
        <v>1885.3290641564624</v>
      </c>
      <c r="D74" s="18">
        <v>1928.39620119141</v>
      </c>
      <c r="E74" s="18">
        <v>1958.8493088941718</v>
      </c>
      <c r="F74" s="18">
        <v>1982.0850018792316</v>
      </c>
      <c r="G74" s="18">
        <v>2007.4248614758401</v>
      </c>
      <c r="H74" s="18">
        <v>2039.0412178243319</v>
      </c>
      <c r="I74" s="18">
        <v>2076.6421719562941</v>
      </c>
      <c r="J74" s="18">
        <v>1915.2315943142085</v>
      </c>
      <c r="K74" s="18">
        <v>1962.8101861547837</v>
      </c>
      <c r="L74" s="18">
        <v>2010.404875841102</v>
      </c>
      <c r="M74" s="18">
        <v>2059.207287688243</v>
      </c>
      <c r="N74" s="18">
        <v>2112.2911331940809</v>
      </c>
      <c r="O74" s="18">
        <v>2171.0739010622037</v>
      </c>
      <c r="P74" s="18">
        <v>2233.2299533244782</v>
      </c>
      <c r="Q74" s="18">
        <v>2300.2295467964586</v>
      </c>
      <c r="R74" s="18">
        <v>2371.3354894212043</v>
      </c>
      <c r="S74" s="18">
        <v>2450.3349917862779</v>
      </c>
      <c r="T74" s="18">
        <v>2531.7763216952389</v>
      </c>
      <c r="U74" s="18">
        <v>2623.0585462739341</v>
      </c>
      <c r="V74" s="18">
        <v>2719.8418952674906</v>
      </c>
      <c r="W74" s="18">
        <v>2822.4039676299853</v>
      </c>
      <c r="X74" s="18">
        <v>2927.6319924343343</v>
      </c>
      <c r="Y74" s="18">
        <v>3026.8908242379207</v>
      </c>
      <c r="Z74" s="18">
        <v>3129.3674890644361</v>
      </c>
      <c r="AA74" s="18">
        <v>3239.55378643735</v>
      </c>
      <c r="AB74" s="18">
        <v>3356.039411088097</v>
      </c>
      <c r="AC74" s="18">
        <v>3473.409555132459</v>
      </c>
      <c r="AD74" s="18">
        <v>3594.5289479496564</v>
      </c>
      <c r="AE74" s="18">
        <v>3720.9148035269563</v>
      </c>
      <c r="AF74" s="18">
        <v>3854.2956536683641</v>
      </c>
      <c r="AG74" s="18">
        <v>3995.7589124767237</v>
      </c>
      <c r="AH74" s="18">
        <v>4145.2991878494995</v>
      </c>
      <c r="AI74" s="18">
        <v>4305.728859646254</v>
      </c>
      <c r="AJ74" s="18">
        <v>4474.4706584146988</v>
      </c>
      <c r="AK74" s="18">
        <v>4651.827306349981</v>
      </c>
      <c r="AL74" s="18">
        <v>4830.5177051699948</v>
      </c>
      <c r="AM74" s="18">
        <v>5018.1870129939944</v>
      </c>
      <c r="AN74" s="18">
        <v>5216.725367304326</v>
      </c>
    </row>
    <row r="75" spans="1:40" x14ac:dyDescent="0.25">
      <c r="A75" t="s">
        <v>73</v>
      </c>
      <c r="B75" s="18">
        <v>69.817113338467777</v>
      </c>
      <c r="C75" s="18">
        <v>72.761066221971831</v>
      </c>
      <c r="D75" s="18">
        <v>75.417786274230096</v>
      </c>
      <c r="E75" s="18">
        <v>74.228063644953139</v>
      </c>
      <c r="F75" s="18">
        <v>73.253912583403391</v>
      </c>
      <c r="G75" s="18">
        <v>75.624260765221052</v>
      </c>
      <c r="H75" s="18">
        <v>74.442603519421056</v>
      </c>
      <c r="I75" s="18">
        <v>73.338661295724094</v>
      </c>
      <c r="J75" s="18">
        <v>70.375961777614208</v>
      </c>
      <c r="K75" s="18">
        <v>72.305075641796904</v>
      </c>
      <c r="L75" s="18">
        <v>74.371442907353909</v>
      </c>
      <c r="M75" s="18">
        <v>76.048826811658941</v>
      </c>
      <c r="N75" s="18">
        <v>77.801170864347739</v>
      </c>
      <c r="O75" s="18">
        <v>79.755069595965793</v>
      </c>
      <c r="P75" s="18">
        <v>81.643762512249495</v>
      </c>
      <c r="Q75" s="18">
        <v>83.518599074190277</v>
      </c>
      <c r="R75" s="18">
        <v>85.406273095829633</v>
      </c>
      <c r="S75" s="18">
        <v>87.515360564125572</v>
      </c>
      <c r="T75" s="18">
        <v>89.644668344577482</v>
      </c>
      <c r="U75" s="18">
        <v>92.074258386859</v>
      </c>
      <c r="V75" s="18">
        <v>94.467109235476059</v>
      </c>
      <c r="W75" s="18">
        <v>96.900524693578546</v>
      </c>
      <c r="X75" s="18">
        <v>99.449848341332199</v>
      </c>
      <c r="Y75" s="18">
        <v>101.58253196976366</v>
      </c>
      <c r="Z75" s="18">
        <v>103.81481786586789</v>
      </c>
      <c r="AA75" s="18">
        <v>106.29138004793593</v>
      </c>
      <c r="AB75" s="18">
        <v>108.94541199133269</v>
      </c>
      <c r="AC75" s="18">
        <v>111.52402257339763</v>
      </c>
      <c r="AD75" s="18">
        <v>114.08413621905542</v>
      </c>
      <c r="AE75" s="18">
        <v>116.66136699777962</v>
      </c>
      <c r="AF75" s="18">
        <v>119.42230056034572</v>
      </c>
      <c r="AG75" s="18">
        <v>122.4108523280607</v>
      </c>
      <c r="AH75" s="18">
        <v>125.6282721642884</v>
      </c>
      <c r="AI75" s="18">
        <v>129.0904668169519</v>
      </c>
      <c r="AJ75" s="18">
        <v>132.77592532882883</v>
      </c>
      <c r="AK75" s="18">
        <v>136.63731853615764</v>
      </c>
      <c r="AL75" s="18">
        <v>140.52207915499699</v>
      </c>
      <c r="AM75" s="18">
        <v>144.57664789311821</v>
      </c>
      <c r="AN75" s="18">
        <v>148.89999948370686</v>
      </c>
    </row>
    <row r="76" spans="1:40" x14ac:dyDescent="0.25">
      <c r="A76" t="s">
        <v>23</v>
      </c>
      <c r="B76" s="27">
        <v>123.2692368267648</v>
      </c>
      <c r="C76" s="27">
        <v>126.6845991055519</v>
      </c>
      <c r="D76" s="27">
        <v>127.52463678443432</v>
      </c>
      <c r="E76" s="27">
        <v>131.73277495808907</v>
      </c>
      <c r="F76" s="27">
        <v>129.91819475444953</v>
      </c>
      <c r="G76" s="27">
        <v>133.91893616252753</v>
      </c>
      <c r="H76" s="27">
        <v>133.1583190218615</v>
      </c>
      <c r="I76" s="27">
        <v>131.43894998775974</v>
      </c>
      <c r="J76" s="27">
        <v>120.28537088063834</v>
      </c>
      <c r="K76" s="27">
        <v>122.18845484351343</v>
      </c>
      <c r="L76" s="27">
        <v>123.94700863537518</v>
      </c>
      <c r="M76" s="27">
        <v>125.68777893924542</v>
      </c>
      <c r="N76" s="27">
        <v>127.64407947093463</v>
      </c>
      <c r="O76" s="27">
        <v>129.98831762953361</v>
      </c>
      <c r="P76" s="27">
        <v>132.45594613273045</v>
      </c>
      <c r="Q76" s="27">
        <v>135.07304974634042</v>
      </c>
      <c r="R76" s="27">
        <v>137.90253620238548</v>
      </c>
      <c r="S76" s="27">
        <v>141.47736692280355</v>
      </c>
      <c r="T76" s="27">
        <v>145.28841789644645</v>
      </c>
      <c r="U76" s="27">
        <v>149.79895254222379</v>
      </c>
      <c r="V76" s="27">
        <v>154.64188805095469</v>
      </c>
      <c r="W76" s="27">
        <v>159.90153643428582</v>
      </c>
      <c r="X76" s="27">
        <v>165.17928999845921</v>
      </c>
      <c r="Y76" s="27">
        <v>170.59426790947836</v>
      </c>
      <c r="Z76" s="27">
        <v>175.57059167292519</v>
      </c>
      <c r="AA76" s="27">
        <v>180.94176531655955</v>
      </c>
      <c r="AB76" s="27">
        <v>186.68028911367384</v>
      </c>
      <c r="AC76" s="27">
        <v>192.31753526931348</v>
      </c>
      <c r="AD76" s="27">
        <v>198.04149186947072</v>
      </c>
      <c r="AE76" s="27">
        <v>203.43988232241091</v>
      </c>
      <c r="AF76" s="27">
        <v>208.95885886699676</v>
      </c>
      <c r="AG76" s="27">
        <v>214.67351343900046</v>
      </c>
      <c r="AH76" s="27">
        <v>220.57450838685693</v>
      </c>
      <c r="AI76" s="27">
        <v>226.82030044627388</v>
      </c>
      <c r="AJ76" s="27">
        <v>233.72661814650394</v>
      </c>
      <c r="AK76" s="27">
        <v>241.01957701759684</v>
      </c>
      <c r="AL76" s="27">
        <v>248.21855932620224</v>
      </c>
      <c r="AM76" s="27">
        <v>255.75284504117138</v>
      </c>
      <c r="AN76" s="27">
        <v>263.7579496831184</v>
      </c>
    </row>
    <row r="77" spans="1:40" x14ac:dyDescent="0.25">
      <c r="A77" t="s">
        <v>151</v>
      </c>
      <c r="B77" s="27">
        <v>82.179491217843207</v>
      </c>
      <c r="C77" s="27">
        <v>84.456399403701269</v>
      </c>
      <c r="D77" s="27">
        <v>85.016424522956228</v>
      </c>
      <c r="E77" s="27">
        <v>87.821849972059397</v>
      </c>
      <c r="F77" s="27">
        <v>86.612129836299687</v>
      </c>
      <c r="G77" s="27">
        <v>89.279290775018353</v>
      </c>
      <c r="H77" s="27">
        <v>88.772212681241015</v>
      </c>
      <c r="I77" s="27">
        <v>87.625966658506499</v>
      </c>
      <c r="J77" s="27">
        <v>80.190247253758912</v>
      </c>
      <c r="K77" s="27">
        <v>81.458969895675637</v>
      </c>
      <c r="L77" s="27">
        <v>82.631339090250137</v>
      </c>
      <c r="M77" s="27">
        <v>83.791852626163632</v>
      </c>
      <c r="N77" s="27">
        <v>85.096052980623085</v>
      </c>
      <c r="O77" s="27">
        <v>86.658878419689074</v>
      </c>
      <c r="P77" s="27">
        <v>88.303964088486964</v>
      </c>
      <c r="Q77" s="27">
        <v>90.048699830893625</v>
      </c>
      <c r="R77" s="27">
        <v>91.935024134923651</v>
      </c>
      <c r="S77" s="27">
        <v>94.318244615202374</v>
      </c>
      <c r="T77" s="27">
        <v>96.858945264297645</v>
      </c>
      <c r="U77" s="27">
        <v>99.865968361482544</v>
      </c>
      <c r="V77" s="27">
        <v>103.0945920339698</v>
      </c>
      <c r="W77" s="27">
        <v>106.60102428952389</v>
      </c>
      <c r="X77" s="27">
        <v>110.11952666563948</v>
      </c>
      <c r="Y77" s="27">
        <v>113.72951193965226</v>
      </c>
      <c r="Z77" s="27">
        <v>117.04706111528347</v>
      </c>
      <c r="AA77" s="27">
        <v>120.62784354437304</v>
      </c>
      <c r="AB77" s="27">
        <v>124.45352607578258</v>
      </c>
      <c r="AC77" s="27">
        <v>128.21169017954233</v>
      </c>
      <c r="AD77" s="27">
        <v>132.02766124631384</v>
      </c>
      <c r="AE77" s="27">
        <v>135.6265882149406</v>
      </c>
      <c r="AF77" s="27">
        <v>139.30590591133119</v>
      </c>
      <c r="AG77" s="27">
        <v>143.1156756260003</v>
      </c>
      <c r="AH77" s="27">
        <v>147.04967225790463</v>
      </c>
      <c r="AI77" s="27">
        <v>151.21353363084924</v>
      </c>
      <c r="AJ77" s="27">
        <v>155.81774543100266</v>
      </c>
      <c r="AK77" s="27">
        <v>160.67971801173124</v>
      </c>
      <c r="AL77" s="27">
        <v>165.47903955080153</v>
      </c>
      <c r="AM77" s="27">
        <v>170.50189669411429</v>
      </c>
      <c r="AN77" s="27">
        <v>175.83863312207893</v>
      </c>
    </row>
    <row r="78" spans="1:40" x14ac:dyDescent="0.25">
      <c r="A78" t="s">
        <v>24</v>
      </c>
      <c r="B78" s="18">
        <v>93.09690942833106</v>
      </c>
      <c r="C78" s="18">
        <v>94.993446234646797</v>
      </c>
      <c r="D78" s="18">
        <v>96.334376455091899</v>
      </c>
      <c r="E78" s="18">
        <v>96.558459479520835</v>
      </c>
      <c r="F78" s="18">
        <v>97.644967398178593</v>
      </c>
      <c r="G78" s="18">
        <v>97.997517901418121</v>
      </c>
      <c r="H78" s="18">
        <v>98.770585701709422</v>
      </c>
      <c r="I78" s="18">
        <v>98.119583228591793</v>
      </c>
      <c r="J78" s="18">
        <v>92.704310909525347</v>
      </c>
      <c r="K78" s="18">
        <v>95.302015170250399</v>
      </c>
      <c r="L78" s="18">
        <v>97.873951127403927</v>
      </c>
      <c r="M78" s="18">
        <v>100.12304266959772</v>
      </c>
      <c r="N78" s="18">
        <v>102.48999010149339</v>
      </c>
      <c r="O78" s="18">
        <v>105.13398818583012</v>
      </c>
      <c r="P78" s="18">
        <v>107.75894250019913</v>
      </c>
      <c r="Q78" s="18">
        <v>110.43921652400797</v>
      </c>
      <c r="R78" s="18">
        <v>113.19311523175173</v>
      </c>
      <c r="S78" s="18">
        <v>116.19313454817348</v>
      </c>
      <c r="T78" s="18">
        <v>119.23091943008865</v>
      </c>
      <c r="U78" s="18">
        <v>122.76632748694639</v>
      </c>
      <c r="V78" s="18">
        <v>126.32151836598254</v>
      </c>
      <c r="W78" s="18">
        <v>129.99892814021447</v>
      </c>
      <c r="X78" s="18">
        <v>133.68380546488083</v>
      </c>
      <c r="Y78" s="18">
        <v>136.8905028847235</v>
      </c>
      <c r="Z78" s="18">
        <v>140.13262803543526</v>
      </c>
      <c r="AA78" s="18">
        <v>143.70523135706333</v>
      </c>
      <c r="AB78" s="18">
        <v>147.55938741644732</v>
      </c>
      <c r="AC78" s="18">
        <v>151.2430267254413</v>
      </c>
      <c r="AD78" s="18">
        <v>154.93056846812195</v>
      </c>
      <c r="AE78" s="18">
        <v>158.63092160480687</v>
      </c>
      <c r="AF78" s="18">
        <v>162.59199205284796</v>
      </c>
      <c r="AG78" s="18">
        <v>166.74722658664146</v>
      </c>
      <c r="AH78" s="18">
        <v>171.06846318621436</v>
      </c>
      <c r="AI78" s="18">
        <v>175.62977545331631</v>
      </c>
      <c r="AJ78" s="18">
        <v>180.47592934772433</v>
      </c>
      <c r="AK78" s="18">
        <v>185.50041239958938</v>
      </c>
      <c r="AL78" s="18">
        <v>190.83749920687805</v>
      </c>
      <c r="AM78" s="18">
        <v>196.44758768505764</v>
      </c>
      <c r="AN78" s="18">
        <v>202.48030442577863</v>
      </c>
    </row>
    <row r="79" spans="1:40" x14ac:dyDescent="0.25">
      <c r="A79" t="s">
        <v>25</v>
      </c>
      <c r="B79" s="18">
        <v>235.49802282756241</v>
      </c>
      <c r="C79" s="18">
        <v>241.94953807611751</v>
      </c>
      <c r="D79" s="18">
        <v>246.10207883069049</v>
      </c>
      <c r="E79" s="18">
        <v>249.26808877833665</v>
      </c>
      <c r="F79" s="18">
        <v>251.54882204993891</v>
      </c>
      <c r="G79" s="18">
        <v>253.07599948298898</v>
      </c>
      <c r="H79" s="18">
        <v>255.77309263879329</v>
      </c>
      <c r="I79" s="18">
        <v>256.23572258235538</v>
      </c>
      <c r="J79" s="18">
        <v>231.28138030647995</v>
      </c>
      <c r="K79" s="18">
        <v>237.95223439188939</v>
      </c>
      <c r="L79" s="18">
        <v>244.39448085745738</v>
      </c>
      <c r="M79" s="18">
        <v>250.91023744131132</v>
      </c>
      <c r="N79" s="18">
        <v>257.90899781538928</v>
      </c>
      <c r="O79" s="18">
        <v>265.6989056250797</v>
      </c>
      <c r="P79" s="18">
        <v>273.7401089972098</v>
      </c>
      <c r="Q79" s="18">
        <v>282.31823624896856</v>
      </c>
      <c r="R79" s="18">
        <v>291.33525297704807</v>
      </c>
      <c r="S79" s="18">
        <v>301.11957791504847</v>
      </c>
      <c r="T79" s="18">
        <v>311.0814313326411</v>
      </c>
      <c r="U79" s="18">
        <v>322.48376378096827</v>
      </c>
      <c r="V79" s="18">
        <v>334.43472148589382</v>
      </c>
      <c r="W79" s="18">
        <v>347.05083056743183</v>
      </c>
      <c r="X79" s="18">
        <v>359.8365174716975</v>
      </c>
      <c r="Y79" s="18">
        <v>371.51150356847677</v>
      </c>
      <c r="Z79" s="18">
        <v>383.8079346198117</v>
      </c>
      <c r="AA79" s="18">
        <v>397.22959296384062</v>
      </c>
      <c r="AB79" s="18">
        <v>411.58997837708171</v>
      </c>
      <c r="AC79" s="18">
        <v>425.94796779644503</v>
      </c>
      <c r="AD79" s="18">
        <v>440.74900411880907</v>
      </c>
      <c r="AE79" s="18">
        <v>455.86997686754319</v>
      </c>
      <c r="AF79" s="18">
        <v>471.87371914278049</v>
      </c>
      <c r="AG79" s="18">
        <v>488.83584467351818</v>
      </c>
      <c r="AH79" s="18">
        <v>506.72022872761801</v>
      </c>
      <c r="AI79" s="18">
        <v>525.87420201505483</v>
      </c>
      <c r="AJ79" s="18">
        <v>546.07585540462924</v>
      </c>
      <c r="AK79" s="18">
        <v>567.29726712327658</v>
      </c>
      <c r="AL79" s="18">
        <v>588.40836182194505</v>
      </c>
      <c r="AM79" s="18">
        <v>610.59115744265955</v>
      </c>
      <c r="AN79" s="18">
        <v>634.10648718903576</v>
      </c>
    </row>
    <row r="80" spans="1:40" x14ac:dyDescent="0.25">
      <c r="A80" t="s">
        <v>26</v>
      </c>
      <c r="B80" s="18">
        <v>17.781500762507285</v>
      </c>
      <c r="C80" s="18">
        <v>18.189599532275118</v>
      </c>
      <c r="D80" s="18">
        <v>18.519494173147685</v>
      </c>
      <c r="E80" s="18">
        <v>18.692324513083456</v>
      </c>
      <c r="F80" s="18">
        <v>18.990365626538715</v>
      </c>
      <c r="G80" s="18">
        <v>19.082967766641026</v>
      </c>
      <c r="H80" s="18">
        <v>19.374189074838732</v>
      </c>
      <c r="I80" s="18">
        <v>19.413900420182642</v>
      </c>
      <c r="J80" s="18">
        <v>17.944003758260617</v>
      </c>
      <c r="K80" s="18">
        <v>18.435100578531209</v>
      </c>
      <c r="L80" s="18">
        <v>18.907868430352945</v>
      </c>
      <c r="M80" s="18">
        <v>19.407017680170156</v>
      </c>
      <c r="N80" s="18">
        <v>19.925075221594977</v>
      </c>
      <c r="O80" s="18">
        <v>20.502240282253414</v>
      </c>
      <c r="P80" s="18">
        <v>21.132006843043495</v>
      </c>
      <c r="Q80" s="18">
        <v>21.781675172171447</v>
      </c>
      <c r="R80" s="18">
        <v>22.442962656122312</v>
      </c>
      <c r="S80" s="18">
        <v>23.189338930232626</v>
      </c>
      <c r="T80" s="18">
        <v>23.9533665831209</v>
      </c>
      <c r="U80" s="18">
        <v>24.81049190716378</v>
      </c>
      <c r="V80" s="18">
        <v>25.691187591926983</v>
      </c>
      <c r="W80" s="18">
        <v>26.587351472537012</v>
      </c>
      <c r="X80" s="18">
        <v>27.495469643756088</v>
      </c>
      <c r="Y80" s="18">
        <v>27.916764265085412</v>
      </c>
      <c r="Z80" s="18">
        <v>28.799944714158059</v>
      </c>
      <c r="AA80" s="18">
        <v>29.731851075810045</v>
      </c>
      <c r="AB80" s="18">
        <v>30.723433081292058</v>
      </c>
      <c r="AC80" s="18">
        <v>31.70480445277974</v>
      </c>
      <c r="AD80" s="18">
        <v>32.70552444689114</v>
      </c>
      <c r="AE80" s="18">
        <v>33.725394497516078</v>
      </c>
      <c r="AF80" s="18">
        <v>34.811384430668774</v>
      </c>
      <c r="AG80" s="18">
        <v>35.962542885195298</v>
      </c>
      <c r="AH80" s="18">
        <v>37.177908897611594</v>
      </c>
      <c r="AI80" s="18">
        <v>38.482911477928582</v>
      </c>
      <c r="AJ80" s="18">
        <v>39.852267972425778</v>
      </c>
      <c r="AK80" s="18">
        <v>41.285346907622447</v>
      </c>
      <c r="AL80" s="18">
        <v>42.729995212034616</v>
      </c>
      <c r="AM80" s="18">
        <v>44.252236985534118</v>
      </c>
      <c r="AN80" s="18">
        <v>45.862569254611302</v>
      </c>
    </row>
    <row r="81" spans="1:40" x14ac:dyDescent="0.25">
      <c r="A81" t="s">
        <v>27</v>
      </c>
      <c r="B81" s="18">
        <v>52.810230956689715</v>
      </c>
      <c r="C81" s="18">
        <v>54.245119171813215</v>
      </c>
      <c r="D81" s="18">
        <v>55.18306790095383</v>
      </c>
      <c r="E81" s="18">
        <v>55.676327175452201</v>
      </c>
      <c r="F81" s="18">
        <v>56.133957764403732</v>
      </c>
      <c r="G81" s="18">
        <v>56.466694909022188</v>
      </c>
      <c r="H81" s="18">
        <v>57.032194159691336</v>
      </c>
      <c r="I81" s="18">
        <v>57.003629108320098</v>
      </c>
      <c r="J81" s="18">
        <v>52.255194601806359</v>
      </c>
      <c r="K81" s="18">
        <v>53.62355966559889</v>
      </c>
      <c r="L81" s="18">
        <v>54.966221313123441</v>
      </c>
      <c r="M81" s="18">
        <v>56.279539490650862</v>
      </c>
      <c r="N81" s="18">
        <v>57.699574969640054</v>
      </c>
      <c r="O81" s="18">
        <v>59.302932577207542</v>
      </c>
      <c r="P81" s="18">
        <v>60.948400502738096</v>
      </c>
      <c r="Q81" s="18">
        <v>62.674516435258795</v>
      </c>
      <c r="R81" s="18">
        <v>64.500156359871809</v>
      </c>
      <c r="S81" s="18">
        <v>66.540037042527302</v>
      </c>
      <c r="T81" s="18">
        <v>68.617005000770646</v>
      </c>
      <c r="U81" s="18">
        <v>70.974904755369693</v>
      </c>
      <c r="V81" s="18">
        <v>73.425239401493684</v>
      </c>
      <c r="W81" s="18">
        <v>75.997213183651027</v>
      </c>
      <c r="X81" s="18">
        <v>78.594699331415796</v>
      </c>
      <c r="Y81" s="18">
        <v>80.959331818107628</v>
      </c>
      <c r="Z81" s="18">
        <v>83.425132814381897</v>
      </c>
      <c r="AA81" s="18">
        <v>86.073823732962524</v>
      </c>
      <c r="AB81" s="18">
        <v>88.909499209733525</v>
      </c>
      <c r="AC81" s="18">
        <v>91.711372118068766</v>
      </c>
      <c r="AD81" s="18">
        <v>94.5770877473757</v>
      </c>
      <c r="AE81" s="18">
        <v>97.476691137003115</v>
      </c>
      <c r="AF81" s="18">
        <v>100.56625787510568</v>
      </c>
      <c r="AG81" s="18">
        <v>103.8467132857627</v>
      </c>
      <c r="AH81" s="18">
        <v>107.30747576555298</v>
      </c>
      <c r="AI81" s="18">
        <v>111.01926991252481</v>
      </c>
      <c r="AJ81" s="18">
        <v>114.98756274097082</v>
      </c>
      <c r="AK81" s="18">
        <v>119.14641325192684</v>
      </c>
      <c r="AL81" s="18">
        <v>123.32639329043802</v>
      </c>
      <c r="AM81" s="18">
        <v>127.70966554090654</v>
      </c>
      <c r="AN81" s="18">
        <v>132.36719475450298</v>
      </c>
    </row>
    <row r="82" spans="1:40" x14ac:dyDescent="0.25">
      <c r="A82" t="s">
        <v>28</v>
      </c>
      <c r="B82" s="18">
        <v>14.11335055811956</v>
      </c>
      <c r="C82" s="18">
        <v>14.529285948229166</v>
      </c>
      <c r="D82" s="18">
        <v>14.792917934511397</v>
      </c>
      <c r="E82" s="18">
        <v>15.037620245798024</v>
      </c>
      <c r="F82" s="18">
        <v>15.211889470186245</v>
      </c>
      <c r="G82" s="18">
        <v>15.372585006286357</v>
      </c>
      <c r="H82" s="18">
        <v>15.57343100248616</v>
      </c>
      <c r="I82" s="18">
        <v>15.632663118419302</v>
      </c>
      <c r="J82" s="18">
        <v>14.281790439496202</v>
      </c>
      <c r="K82" s="18">
        <v>14.678591596985113</v>
      </c>
      <c r="L82" s="18">
        <v>15.06461521129952</v>
      </c>
      <c r="M82" s="18">
        <v>15.46083557534152</v>
      </c>
      <c r="N82" s="18">
        <v>15.890762760607563</v>
      </c>
      <c r="O82" s="18">
        <v>16.370572396708098</v>
      </c>
      <c r="P82" s="18">
        <v>16.864063367703142</v>
      </c>
      <c r="Q82" s="18">
        <v>17.3952194321595</v>
      </c>
      <c r="R82" s="18">
        <v>17.952401379573427</v>
      </c>
      <c r="S82" s="18">
        <v>18.559266429108813</v>
      </c>
      <c r="T82" s="18">
        <v>19.177459569098534</v>
      </c>
      <c r="U82" s="18">
        <v>19.877574709061882</v>
      </c>
      <c r="V82" s="18">
        <v>20.61069469066333</v>
      </c>
      <c r="W82" s="18">
        <v>21.382940226614938</v>
      </c>
      <c r="X82" s="18">
        <v>22.163541490088175</v>
      </c>
      <c r="Y82" s="18">
        <v>22.879945957790131</v>
      </c>
      <c r="Z82" s="18">
        <v>23.637355820597676</v>
      </c>
      <c r="AA82" s="18">
        <v>24.460798193899048</v>
      </c>
      <c r="AB82" s="18">
        <v>25.343805679701738</v>
      </c>
      <c r="AC82" s="18">
        <v>26.232665727560232</v>
      </c>
      <c r="AD82" s="18">
        <v>27.155103698050855</v>
      </c>
      <c r="AE82" s="18">
        <v>28.094159252556153</v>
      </c>
      <c r="AF82" s="18">
        <v>29.084906230815911</v>
      </c>
      <c r="AG82" s="18">
        <v>30.143829470957463</v>
      </c>
      <c r="AH82" s="18">
        <v>31.260506113270068</v>
      </c>
      <c r="AI82" s="18">
        <v>32.456430029256332</v>
      </c>
      <c r="AJ82" s="18">
        <v>33.714449511721448</v>
      </c>
      <c r="AK82" s="18">
        <v>35.03400388217112</v>
      </c>
      <c r="AL82" s="18">
        <v>36.353176091755827</v>
      </c>
      <c r="AM82" s="18">
        <v>37.73572981913145</v>
      </c>
      <c r="AN82" s="18">
        <v>39.194910433110081</v>
      </c>
    </row>
    <row r="83" spans="1:40" x14ac:dyDescent="0.25">
      <c r="A83" t="s">
        <v>29</v>
      </c>
      <c r="B83" s="18">
        <v>13.345629432701729</v>
      </c>
      <c r="C83" s="18">
        <v>13.88856633822615</v>
      </c>
      <c r="D83" s="18">
        <v>14.23042630100378</v>
      </c>
      <c r="E83" s="18">
        <v>14.650080326208252</v>
      </c>
      <c r="F83" s="18">
        <v>14.737373657407572</v>
      </c>
      <c r="G83" s="18">
        <v>14.865669908290192</v>
      </c>
      <c r="H83" s="18">
        <v>14.890586998774422</v>
      </c>
      <c r="I83" s="18">
        <v>14.775538776469551</v>
      </c>
      <c r="J83" s="18">
        <v>12.847283577010501</v>
      </c>
      <c r="K83" s="18">
        <v>13.20942691569933</v>
      </c>
      <c r="L83" s="18">
        <v>13.489589011782209</v>
      </c>
      <c r="M83" s="18">
        <v>13.773528288625783</v>
      </c>
      <c r="N83" s="18">
        <v>14.078274783100348</v>
      </c>
      <c r="O83" s="18">
        <v>14.470582529453081</v>
      </c>
      <c r="P83" s="18">
        <v>14.825189683200671</v>
      </c>
      <c r="Q83" s="18">
        <v>15.189003854507641</v>
      </c>
      <c r="R83" s="18">
        <v>15.574353325980528</v>
      </c>
      <c r="S83" s="18">
        <v>16.059010445012778</v>
      </c>
      <c r="T83" s="18">
        <v>16.545121416580706</v>
      </c>
      <c r="U83" s="18">
        <v>17.139271863896138</v>
      </c>
      <c r="V83" s="18">
        <v>17.740782754841227</v>
      </c>
      <c r="W83" s="18">
        <v>18.375930295126619</v>
      </c>
      <c r="X83" s="18">
        <v>18.985030537859622</v>
      </c>
      <c r="Y83" s="18">
        <v>19.522983188324005</v>
      </c>
      <c r="Z83" s="18">
        <v>20.050091930418269</v>
      </c>
      <c r="AA83" s="18">
        <v>20.746246324700902</v>
      </c>
      <c r="AB83" s="18">
        <v>21.36292428421223</v>
      </c>
      <c r="AC83" s="18">
        <v>21.959544985491799</v>
      </c>
      <c r="AD83" s="18">
        <v>22.56015403253036</v>
      </c>
      <c r="AE83" s="18">
        <v>23.116520568045249</v>
      </c>
      <c r="AF83" s="18">
        <v>23.706573048006632</v>
      </c>
      <c r="AG83" s="18">
        <v>24.330010177173204</v>
      </c>
      <c r="AH83" s="18">
        <v>24.981849403465421</v>
      </c>
      <c r="AI83" s="18">
        <v>25.67805925953359</v>
      </c>
      <c r="AJ83" s="18">
        <v>26.484367100883127</v>
      </c>
      <c r="AK83" s="18">
        <v>27.32545250660927</v>
      </c>
      <c r="AL83" s="18">
        <v>28.139565213567323</v>
      </c>
      <c r="AM83" s="18">
        <v>28.984092527487629</v>
      </c>
      <c r="AN83" s="18">
        <v>29.878966996482575</v>
      </c>
    </row>
    <row r="84" spans="1:40" x14ac:dyDescent="0.25">
      <c r="A84" t="s">
        <v>30</v>
      </c>
      <c r="B84" s="18">
        <v>10.112362730184675</v>
      </c>
      <c r="C84" s="18">
        <v>8.5040411249539964</v>
      </c>
      <c r="D84" s="18">
        <v>7.784491547386529</v>
      </c>
      <c r="E84" s="18">
        <v>7.8869957375456359</v>
      </c>
      <c r="F84" s="18">
        <v>7.6498178254625797</v>
      </c>
      <c r="G84" s="18">
        <v>7.3431413818304856</v>
      </c>
      <c r="H84" s="18">
        <v>7.1864565939413234</v>
      </c>
      <c r="I84" s="18">
        <v>6.8812332740651714</v>
      </c>
      <c r="J84" s="18">
        <v>5.5992862977534568</v>
      </c>
      <c r="K84" s="18">
        <v>5.7341894840445793</v>
      </c>
      <c r="L84" s="18">
        <v>5.7866222491391648</v>
      </c>
      <c r="M84" s="18">
        <v>5.840496142866928</v>
      </c>
      <c r="N84" s="18">
        <v>5.9286574884635952</v>
      </c>
      <c r="O84" s="18">
        <v>6.0812507942852525</v>
      </c>
      <c r="P84" s="18">
        <v>6.2192974202882096</v>
      </c>
      <c r="Q84" s="18">
        <v>6.3662963283424023</v>
      </c>
      <c r="R84" s="18">
        <v>6.5276887149857554</v>
      </c>
      <c r="S84" s="18">
        <v>6.7871544589385726</v>
      </c>
      <c r="T84" s="18">
        <v>7.0701556814234481</v>
      </c>
      <c r="U84" s="18">
        <v>7.4309073946525315</v>
      </c>
      <c r="V84" s="18">
        <v>7.8155635114134849</v>
      </c>
      <c r="W84" s="18">
        <v>8.2355530532491592</v>
      </c>
      <c r="X84" s="18">
        <v>8.6546524623416072</v>
      </c>
      <c r="Y84" s="18">
        <v>9.0576796935178692</v>
      </c>
      <c r="Z84" s="18">
        <v>9.4348472755690143</v>
      </c>
      <c r="AA84" s="18">
        <v>9.8425637018627921</v>
      </c>
      <c r="AB84" s="18">
        <v>10.285140631781458</v>
      </c>
      <c r="AC84" s="18">
        <v>10.710157672238857</v>
      </c>
      <c r="AD84" s="18">
        <v>11.128823515036686</v>
      </c>
      <c r="AE84" s="18">
        <v>11.46733687246021</v>
      </c>
      <c r="AF84" s="18">
        <v>11.783562378235207</v>
      </c>
      <c r="AG84" s="18">
        <v>12.081804636314359</v>
      </c>
      <c r="AH84" s="18">
        <v>12.360430121812234</v>
      </c>
      <c r="AI84" s="18">
        <v>12.630138347688771</v>
      </c>
      <c r="AJ84" s="18">
        <v>12.960341207680875</v>
      </c>
      <c r="AK84" s="18">
        <v>13.300477852696885</v>
      </c>
      <c r="AL84" s="18">
        <v>13.620251502395988</v>
      </c>
      <c r="AM84" s="18">
        <v>13.940449308014085</v>
      </c>
      <c r="AN84" s="18">
        <v>14.271458563899428</v>
      </c>
    </row>
    <row r="85" spans="1:40" x14ac:dyDescent="0.25">
      <c r="A85" t="s">
        <v>31</v>
      </c>
      <c r="B85" s="18">
        <v>1.2396211872289537E-4</v>
      </c>
      <c r="C85" s="18">
        <v>1.3695422009881513E-4</v>
      </c>
      <c r="D85" s="18">
        <v>1.4914555552202771E-4</v>
      </c>
      <c r="E85" s="18">
        <v>1.4546157642812341E-4</v>
      </c>
      <c r="F85" s="18">
        <v>1.4279518961318394E-4</v>
      </c>
      <c r="G85" s="18">
        <v>1.3966781494797052E-4</v>
      </c>
      <c r="H85" s="18">
        <v>1.4671108490655016E-4</v>
      </c>
      <c r="I85" s="18">
        <v>1.4680049685268729E-4</v>
      </c>
      <c r="J85" s="18">
        <v>1.1252323073074771E-4</v>
      </c>
      <c r="K85" s="18">
        <v>1.2307790272328019E-4</v>
      </c>
      <c r="L85" s="18">
        <v>1.2639716564333281E-4</v>
      </c>
      <c r="M85" s="18">
        <v>1.2948644109559701E-4</v>
      </c>
      <c r="N85" s="18">
        <v>1.3374558197776801E-4</v>
      </c>
      <c r="O85" s="18">
        <v>1.4220168231537909E-4</v>
      </c>
      <c r="P85" s="18">
        <v>1.4584764604876969E-4</v>
      </c>
      <c r="Q85" s="18">
        <v>1.4860971012578352E-4</v>
      </c>
      <c r="R85" s="18">
        <v>1.512850982669578E-4</v>
      </c>
      <c r="S85" s="18">
        <v>1.2381549819444655E-4</v>
      </c>
      <c r="T85" s="18">
        <v>1.2379249864902822E-4</v>
      </c>
      <c r="U85" s="18">
        <v>1.2370521753358654E-4</v>
      </c>
      <c r="V85" s="18">
        <v>1.2362748054182927E-4</v>
      </c>
      <c r="W85" s="18">
        <v>1.2354349043632777E-4</v>
      </c>
      <c r="X85" s="18">
        <v>1.2350315089133343E-4</v>
      </c>
      <c r="Y85" s="18">
        <v>1.2350315089133343E-4</v>
      </c>
      <c r="Z85" s="18">
        <v>1.2350315089133332E-4</v>
      </c>
      <c r="AA85" s="18">
        <v>1.2350315089133332E-4</v>
      </c>
      <c r="AB85" s="18">
        <v>1.2349298139864001E-4</v>
      </c>
      <c r="AC85" s="18">
        <v>1.2348359525330571E-4</v>
      </c>
      <c r="AD85" s="18">
        <v>1.2347692682499546E-4</v>
      </c>
      <c r="AE85" s="18">
        <v>1.2346318171867763E-4</v>
      </c>
      <c r="AF85" s="18">
        <v>1.2346318171867763E-4</v>
      </c>
      <c r="AG85" s="18">
        <v>1.2346318171867766E-4</v>
      </c>
      <c r="AH85" s="18">
        <v>1.2346318171867766E-4</v>
      </c>
      <c r="AI85" s="18">
        <v>1.2346318171867771E-4</v>
      </c>
      <c r="AJ85" s="18">
        <v>1.2346318171867768E-4</v>
      </c>
      <c r="AK85" s="18">
        <v>1.2346318171867771E-4</v>
      </c>
      <c r="AL85" s="18">
        <v>1.234437818749194E-4</v>
      </c>
      <c r="AM85" s="18">
        <v>1.2341340744386161E-4</v>
      </c>
      <c r="AN85" s="18">
        <v>1.2337477954072176E-4</v>
      </c>
    </row>
    <row r="86" spans="1:40" x14ac:dyDescent="0.25">
      <c r="A86" t="s">
        <v>32</v>
      </c>
      <c r="B86" s="18">
        <v>84.250557323843438</v>
      </c>
      <c r="C86" s="18">
        <v>82.81129596603968</v>
      </c>
      <c r="D86" s="18">
        <v>81.075741423201265</v>
      </c>
      <c r="E86" s="18">
        <v>79.093845627180855</v>
      </c>
      <c r="F86" s="18">
        <v>77.164041185730042</v>
      </c>
      <c r="G86" s="18">
        <v>76.937717608149342</v>
      </c>
      <c r="H86" s="18">
        <v>76.724427192604097</v>
      </c>
      <c r="I86" s="18">
        <v>76.425620376368414</v>
      </c>
      <c r="J86" s="18">
        <v>70.183029353302913</v>
      </c>
      <c r="K86" s="18">
        <v>73.006988976034165</v>
      </c>
      <c r="L86" s="18">
        <v>72.820938025181761</v>
      </c>
      <c r="M86" s="18">
        <v>73.775854201320513</v>
      </c>
      <c r="N86" s="18">
        <v>74.923675022788373</v>
      </c>
      <c r="O86" s="18">
        <v>76.474595932696758</v>
      </c>
      <c r="P86" s="18">
        <v>77.320112773260362</v>
      </c>
      <c r="Q86" s="18">
        <v>78.659217596876843</v>
      </c>
      <c r="R86" s="18">
        <v>80.001452073539056</v>
      </c>
      <c r="S86" s="18">
        <v>82.191264176921962</v>
      </c>
      <c r="T86" s="18">
        <v>84.396391236931905</v>
      </c>
      <c r="U86" s="18">
        <v>86.558480898584037</v>
      </c>
      <c r="V86" s="18">
        <v>89.123317463689006</v>
      </c>
      <c r="W86" s="18">
        <v>91.908065300654314</v>
      </c>
      <c r="X86" s="18">
        <v>94.365506481626667</v>
      </c>
      <c r="Y86" s="18">
        <v>94.653432936841739</v>
      </c>
      <c r="Z86" s="18">
        <v>96.801149280843958</v>
      </c>
      <c r="AA86" s="18">
        <v>99.034931126986663</v>
      </c>
      <c r="AB86" s="18">
        <v>102.8787753256952</v>
      </c>
      <c r="AC86" s="18">
        <v>106.67814364081399</v>
      </c>
      <c r="AD86" s="18">
        <v>110.42833075004675</v>
      </c>
      <c r="AE86" s="18">
        <v>113.43078156980397</v>
      </c>
      <c r="AF86" s="18">
        <v>116.12339815187033</v>
      </c>
      <c r="AG86" s="18">
        <v>118.74876225606278</v>
      </c>
      <c r="AH86" s="18">
        <v>121.22944464966906</v>
      </c>
      <c r="AI86" s="18">
        <v>123.62815260112532</v>
      </c>
      <c r="AJ86" s="18">
        <v>126.78322335532275</v>
      </c>
      <c r="AK86" s="18">
        <v>129.84827947131691</v>
      </c>
      <c r="AL86" s="18">
        <v>133.19576547496635</v>
      </c>
      <c r="AM86" s="18">
        <v>136.8948281006675</v>
      </c>
      <c r="AN86" s="18">
        <v>140.91072639414494</v>
      </c>
    </row>
    <row r="87" spans="1:40" x14ac:dyDescent="0.25">
      <c r="A87" t="s">
        <v>33</v>
      </c>
      <c r="B87" s="18">
        <v>21.151207305916373</v>
      </c>
      <c r="C87" s="18">
        <v>22.499179969510678</v>
      </c>
      <c r="D87" s="18">
        <v>24.191488148884012</v>
      </c>
      <c r="E87" s="18">
        <v>25.430939271439531</v>
      </c>
      <c r="F87" s="18">
        <v>26.280374840429307</v>
      </c>
      <c r="G87" s="18">
        <v>28.213837417598356</v>
      </c>
      <c r="H87" s="18">
        <v>30.418235084806355</v>
      </c>
      <c r="I87" s="18">
        <v>31.872600449723471</v>
      </c>
      <c r="J87" s="18">
        <v>30.529693994834542</v>
      </c>
      <c r="K87" s="18">
        <v>31.84833808160041</v>
      </c>
      <c r="L87" s="18">
        <v>33.274928910999627</v>
      </c>
      <c r="M87" s="18">
        <v>34.81258853979967</v>
      </c>
      <c r="N87" s="18">
        <v>36.53258422607145</v>
      </c>
      <c r="O87" s="18">
        <v>38.475879371516619</v>
      </c>
      <c r="P87" s="18">
        <v>40.547758380242612</v>
      </c>
      <c r="Q87" s="18">
        <v>42.781868056686605</v>
      </c>
      <c r="R87" s="18">
        <v>45.171605268573586</v>
      </c>
      <c r="S87" s="18">
        <v>47.86493181279122</v>
      </c>
      <c r="T87" s="18">
        <v>50.736754810090829</v>
      </c>
      <c r="U87" s="18">
        <v>53.912589397002129</v>
      </c>
      <c r="V87" s="18">
        <v>57.281748620919018</v>
      </c>
      <c r="W87" s="18">
        <v>60.894907069687825</v>
      </c>
      <c r="X87" s="18">
        <v>64.610396047378245</v>
      </c>
      <c r="Y87" s="18">
        <v>68.379717303480916</v>
      </c>
      <c r="Z87" s="18">
        <v>72.259899929069761</v>
      </c>
      <c r="AA87" s="18">
        <v>76.493819486757786</v>
      </c>
      <c r="AB87" s="18">
        <v>81.444864101084079</v>
      </c>
      <c r="AC87" s="18">
        <v>86.710409160072842</v>
      </c>
      <c r="AD87" s="18">
        <v>92.434945700919826</v>
      </c>
      <c r="AE87" s="18">
        <v>98.268590350568573</v>
      </c>
      <c r="AF87" s="18">
        <v>104.34467658007476</v>
      </c>
      <c r="AG87" s="18">
        <v>110.67746380976553</v>
      </c>
      <c r="AH87" s="18">
        <v>117.27237330302799</v>
      </c>
      <c r="AI87" s="18">
        <v>124.19735283808427</v>
      </c>
      <c r="AJ87" s="18">
        <v>131.34077150611236</v>
      </c>
      <c r="AK87" s="18">
        <v>138.71734173085727</v>
      </c>
      <c r="AL87" s="18">
        <v>145.97369717802786</v>
      </c>
      <c r="AM87" s="18">
        <v>153.43314131796552</v>
      </c>
      <c r="AN87" s="18">
        <v>161.24078849811681</v>
      </c>
    </row>
    <row r="88" spans="1:40" x14ac:dyDescent="0.25">
      <c r="A88" t="s">
        <v>34</v>
      </c>
      <c r="B88" s="18">
        <v>135.95535691221784</v>
      </c>
      <c r="C88" s="18">
        <v>139.6930871386345</v>
      </c>
      <c r="D88" s="18">
        <v>142.53185682907349</v>
      </c>
      <c r="E88" s="18">
        <v>143.97840508252531</v>
      </c>
      <c r="F88" s="18">
        <v>144.89697158831373</v>
      </c>
      <c r="G88" s="18">
        <v>146.66852466159426</v>
      </c>
      <c r="H88" s="18">
        <v>148.40851369632202</v>
      </c>
      <c r="I88" s="18">
        <v>149.18900118137717</v>
      </c>
      <c r="J88" s="18">
        <v>137.77801358505732</v>
      </c>
      <c r="K88" s="18">
        <v>140.97100285380822</v>
      </c>
      <c r="L88" s="18">
        <v>144.15772666023415</v>
      </c>
      <c r="M88" s="18">
        <v>147.43807262661258</v>
      </c>
      <c r="N88" s="18">
        <v>151.04633792655628</v>
      </c>
      <c r="O88" s="18">
        <v>154.98715479368963</v>
      </c>
      <c r="P88" s="18">
        <v>159.09021555154268</v>
      </c>
      <c r="Q88" s="18">
        <v>163.47787995346616</v>
      </c>
      <c r="R88" s="18">
        <v>168.18100936864192</v>
      </c>
      <c r="S88" s="18">
        <v>173.26383315772949</v>
      </c>
      <c r="T88" s="18">
        <v>178.43307881829242</v>
      </c>
      <c r="U88" s="18">
        <v>184.05669939314808</v>
      </c>
      <c r="V88" s="18">
        <v>190.00615924048742</v>
      </c>
      <c r="W88" s="18">
        <v>196.27368424773437</v>
      </c>
      <c r="X88" s="18">
        <v>202.66173951495387</v>
      </c>
      <c r="Y88" s="18">
        <v>208.71731760101491</v>
      </c>
      <c r="Z88" s="18">
        <v>215.00842614463681</v>
      </c>
      <c r="AA88" s="18">
        <v>221.66434795418635</v>
      </c>
      <c r="AB88" s="18">
        <v>228.53362975270883</v>
      </c>
      <c r="AC88" s="18">
        <v>235.33652123064408</v>
      </c>
      <c r="AD88" s="18">
        <v>242.33227034357745</v>
      </c>
      <c r="AE88" s="18">
        <v>249.91204902037566</v>
      </c>
      <c r="AF88" s="18">
        <v>257.97422216610948</v>
      </c>
      <c r="AG88" s="18">
        <v>266.54247647722758</v>
      </c>
      <c r="AH88" s="18">
        <v>275.60146219383819</v>
      </c>
      <c r="AI88" s="18">
        <v>285.31671044817875</v>
      </c>
      <c r="AJ88" s="18">
        <v>295.37254285875559</v>
      </c>
      <c r="AK88" s="18">
        <v>305.9265384512945</v>
      </c>
      <c r="AL88" s="18">
        <v>316.4520934069472</v>
      </c>
      <c r="AM88" s="18">
        <v>327.51114587494573</v>
      </c>
      <c r="AN88" s="18">
        <v>339.27051298002249</v>
      </c>
    </row>
    <row r="89" spans="1:40" x14ac:dyDescent="0.25">
      <c r="A89" t="s">
        <v>35</v>
      </c>
      <c r="B89" s="18">
        <v>11.263564724197595</v>
      </c>
      <c r="C89" s="18">
        <v>11.564880744073186</v>
      </c>
      <c r="D89" s="18">
        <v>11.895169876208239</v>
      </c>
      <c r="E89" s="18">
        <v>12.101680341615882</v>
      </c>
      <c r="F89" s="18">
        <v>12.16381438507412</v>
      </c>
      <c r="G89" s="18">
        <v>12.307235497004221</v>
      </c>
      <c r="H89" s="18">
        <v>12.581022932216117</v>
      </c>
      <c r="I89" s="18">
        <v>12.733958410018209</v>
      </c>
      <c r="J89" s="18">
        <v>11.93755402627886</v>
      </c>
      <c r="K89" s="18">
        <v>12.277780237899368</v>
      </c>
      <c r="L89" s="18">
        <v>12.557250687384618</v>
      </c>
      <c r="M89" s="18">
        <v>12.793378222995578</v>
      </c>
      <c r="N89" s="18">
        <v>13.036322519292622</v>
      </c>
      <c r="O89" s="18">
        <v>13.286940771538248</v>
      </c>
      <c r="P89" s="18">
        <v>13.545669961198996</v>
      </c>
      <c r="Q89" s="18">
        <v>13.80676545376984</v>
      </c>
      <c r="R89" s="18">
        <v>14.076101661490402</v>
      </c>
      <c r="S89" s="18">
        <v>14.371453847552608</v>
      </c>
      <c r="T89" s="18">
        <v>14.760588271266236</v>
      </c>
      <c r="U89" s="18">
        <v>15.23474583861146</v>
      </c>
      <c r="V89" s="18">
        <v>15.647120386483884</v>
      </c>
      <c r="W89" s="18">
        <v>16.067124524632394</v>
      </c>
      <c r="X89" s="18">
        <v>16.478844045197746</v>
      </c>
      <c r="Y89" s="18">
        <v>16.842332375876932</v>
      </c>
      <c r="Z89" s="18">
        <v>17.219856768272415</v>
      </c>
      <c r="AA89" s="18">
        <v>17.622715561748304</v>
      </c>
      <c r="AB89" s="18">
        <v>18.046476500857466</v>
      </c>
      <c r="AC89" s="18">
        <v>18.480843075922849</v>
      </c>
      <c r="AD89" s="18">
        <v>18.909599207781124</v>
      </c>
      <c r="AE89" s="18">
        <v>19.370893478603456</v>
      </c>
      <c r="AF89" s="18">
        <v>19.835461372348842</v>
      </c>
      <c r="AG89" s="18">
        <v>20.319691314309026</v>
      </c>
      <c r="AH89" s="18">
        <v>20.817050191681421</v>
      </c>
      <c r="AI89" s="18">
        <v>21.351716835967462</v>
      </c>
      <c r="AJ89" s="18">
        <v>21.902618208704439</v>
      </c>
      <c r="AK89" s="18">
        <v>22.488150657253883</v>
      </c>
      <c r="AL89" s="18">
        <v>23.084221928358826</v>
      </c>
      <c r="AM89" s="18">
        <v>23.714998418964051</v>
      </c>
      <c r="AN89" s="18">
        <v>24.392267247387995</v>
      </c>
    </row>
    <row r="90" spans="1:40" x14ac:dyDescent="0.25">
      <c r="A90" t="s">
        <v>36</v>
      </c>
      <c r="B90" s="18">
        <v>1.1351531206547518</v>
      </c>
      <c r="C90" s="18">
        <v>1.15711322653161</v>
      </c>
      <c r="D90" s="18">
        <v>1.1451248217776735</v>
      </c>
      <c r="E90" s="18">
        <v>1.1378630326698174</v>
      </c>
      <c r="F90" s="18">
        <v>1.1554757657258468</v>
      </c>
      <c r="G90" s="18">
        <v>1.1680831266552429</v>
      </c>
      <c r="H90" s="18">
        <v>1.1385096642845971</v>
      </c>
      <c r="I90" s="18">
        <v>1.1200910087074947</v>
      </c>
      <c r="J90" s="18">
        <v>1.0052776357125583</v>
      </c>
      <c r="K90" s="18">
        <v>1.0086047682286392</v>
      </c>
      <c r="L90" s="18">
        <v>1.0285622829568837</v>
      </c>
      <c r="M90" s="18">
        <v>1.0596104386301191</v>
      </c>
      <c r="N90" s="18">
        <v>1.0970488295753977</v>
      </c>
      <c r="O90" s="18">
        <v>1.1409256218859241</v>
      </c>
      <c r="P90" s="18">
        <v>1.1888806263921556</v>
      </c>
      <c r="Q90" s="18">
        <v>1.2443560856314992</v>
      </c>
      <c r="R90" s="18">
        <v>1.3049653794885572</v>
      </c>
      <c r="S90" s="18">
        <v>1.3739870860164407</v>
      </c>
      <c r="T90" s="18">
        <v>1.4215948304483781</v>
      </c>
      <c r="U90" s="18">
        <v>1.4599646535277526</v>
      </c>
      <c r="V90" s="18">
        <v>1.5254299501304966</v>
      </c>
      <c r="W90" s="18">
        <v>1.5983183277509556</v>
      </c>
      <c r="X90" s="18">
        <v>1.6791177476062575</v>
      </c>
      <c r="Y90" s="18">
        <v>1.7631138939586875</v>
      </c>
      <c r="Z90" s="18">
        <v>1.8514135032974266</v>
      </c>
      <c r="AA90" s="18">
        <v>1.9449441678624204</v>
      </c>
      <c r="AB90" s="18">
        <v>2.0367871108946805</v>
      </c>
      <c r="AC90" s="18">
        <v>2.1242136295758245</v>
      </c>
      <c r="AD90" s="18">
        <v>2.2192618437892073</v>
      </c>
      <c r="AE90" s="18">
        <v>2.3215790404376215</v>
      </c>
      <c r="AF90" s="18">
        <v>2.4375591895254227</v>
      </c>
      <c r="AG90" s="18">
        <v>2.5631913825599111</v>
      </c>
      <c r="AH90" s="18">
        <v>2.7005819522225809</v>
      </c>
      <c r="AI90" s="18">
        <v>2.8476016149860821</v>
      </c>
      <c r="AJ90" s="18">
        <v>3.004329210704201</v>
      </c>
      <c r="AK90" s="18">
        <v>3.1671461042106963</v>
      </c>
      <c r="AL90" s="18">
        <v>3.3269267323454805</v>
      </c>
      <c r="AM90" s="18">
        <v>3.4931501747013538</v>
      </c>
      <c r="AN90" s="18">
        <v>3.6678480252546395</v>
      </c>
    </row>
    <row r="91" spans="1:40" x14ac:dyDescent="0.25">
      <c r="A91" t="s">
        <v>37</v>
      </c>
      <c r="B91" s="18">
        <v>27.51630822473156</v>
      </c>
      <c r="C91" s="18">
        <v>26.900456320201634</v>
      </c>
      <c r="D91" s="18">
        <v>26.289001015653074</v>
      </c>
      <c r="E91" s="18">
        <v>25.681026904731798</v>
      </c>
      <c r="F91" s="18">
        <v>25.681026904731795</v>
      </c>
      <c r="G91" s="18">
        <v>25.681026904731802</v>
      </c>
      <c r="H91" s="18">
        <v>25.677334449984691</v>
      </c>
      <c r="I91" s="18">
        <v>25.673641995237581</v>
      </c>
      <c r="J91" s="18">
        <v>25.677334449984961</v>
      </c>
      <c r="K91" s="18">
        <v>25.677334449984979</v>
      </c>
      <c r="L91" s="18">
        <v>25.677334449984979</v>
      </c>
      <c r="M91" s="18">
        <v>25.677334449984972</v>
      </c>
      <c r="N91" s="18">
        <v>25.677334449984969</v>
      </c>
      <c r="O91" s="18">
        <v>25.120332772771796</v>
      </c>
      <c r="P91" s="18">
        <v>25.120332772771782</v>
      </c>
      <c r="Q91" s="18">
        <v>25.120332772771778</v>
      </c>
      <c r="R91" s="18">
        <v>25.120332772771778</v>
      </c>
      <c r="S91" s="18">
        <v>25.115291275296332</v>
      </c>
      <c r="T91" s="18">
        <v>25.110625944293314</v>
      </c>
      <c r="U91" s="18">
        <v>24.152708560313343</v>
      </c>
      <c r="V91" s="18">
        <v>23.489379235295221</v>
      </c>
      <c r="W91" s="18">
        <v>22.778695998903089</v>
      </c>
      <c r="X91" s="18">
        <v>22.349243348614582</v>
      </c>
      <c r="Y91" s="18">
        <v>23.000161826004469</v>
      </c>
      <c r="Z91" s="18">
        <v>23.610743972709912</v>
      </c>
      <c r="AA91" s="18">
        <v>23.298125324424117</v>
      </c>
      <c r="AB91" s="18">
        <v>22.005628077297999</v>
      </c>
      <c r="AC91" s="18">
        <v>20.713474786100985</v>
      </c>
      <c r="AD91" s="18">
        <v>19.421945152491961</v>
      </c>
      <c r="AE91" s="18">
        <v>19.337063542372636</v>
      </c>
      <c r="AF91" s="18">
        <v>19.254343928894187</v>
      </c>
      <c r="AG91" s="18">
        <v>19.171624315415741</v>
      </c>
      <c r="AH91" s="18">
        <v>19.088904701937288</v>
      </c>
      <c r="AI91" s="18">
        <v>19.006185088458832</v>
      </c>
      <c r="AJ91" s="18">
        <v>18.638275745498611</v>
      </c>
      <c r="AK91" s="18">
        <v>18.270366402538393</v>
      </c>
      <c r="AL91" s="18">
        <v>17.899644035768073</v>
      </c>
      <c r="AM91" s="18">
        <v>17.527478650482823</v>
      </c>
      <c r="AN91" s="18">
        <v>17.154346707435558</v>
      </c>
    </row>
    <row r="92" spans="1:40" x14ac:dyDescent="0.25">
      <c r="A92" t="s">
        <v>38</v>
      </c>
      <c r="B92" s="18">
        <v>66.420365481469858</v>
      </c>
      <c r="C92" s="18">
        <v>67.349104545774196</v>
      </c>
      <c r="D92" s="18">
        <v>64.271865378659513</v>
      </c>
      <c r="E92" s="18">
        <v>61.203956366290036</v>
      </c>
      <c r="F92" s="18">
        <v>61.09576125595531</v>
      </c>
      <c r="G92" s="18">
        <v>60.977920555313688</v>
      </c>
      <c r="H92" s="18">
        <v>60.314891871173977</v>
      </c>
      <c r="I92" s="18">
        <v>60.095393567609911</v>
      </c>
      <c r="J92" s="18">
        <v>58.443716682751955</v>
      </c>
      <c r="K92" s="18">
        <v>58.26035937168762</v>
      </c>
      <c r="L92" s="18">
        <v>58.228585550981975</v>
      </c>
      <c r="M92" s="18">
        <v>58.491098078246964</v>
      </c>
      <c r="N92" s="18">
        <v>58.950504913566036</v>
      </c>
      <c r="O92" s="18">
        <v>59.241005432837952</v>
      </c>
      <c r="P92" s="18">
        <v>59.115594723835905</v>
      </c>
      <c r="Q92" s="18">
        <v>58.820403454768829</v>
      </c>
      <c r="R92" s="18">
        <v>59.160264117011302</v>
      </c>
      <c r="S92" s="18">
        <v>59.554930317101956</v>
      </c>
      <c r="T92" s="18">
        <v>59.911928080433661</v>
      </c>
      <c r="U92" s="18">
        <v>59.645550263735302</v>
      </c>
      <c r="V92" s="18">
        <v>59.503106096137991</v>
      </c>
      <c r="W92" s="18">
        <v>59.33824424913238</v>
      </c>
      <c r="X92" s="18">
        <v>59.099205776468253</v>
      </c>
      <c r="Y92" s="18">
        <v>58.21118967336151</v>
      </c>
      <c r="Z92" s="18">
        <v>57.963584061211357</v>
      </c>
      <c r="AA92" s="18">
        <v>57.207978417301902</v>
      </c>
      <c r="AB92" s="18">
        <v>55.843741287603805</v>
      </c>
      <c r="AC92" s="18">
        <v>54.480073675742425</v>
      </c>
      <c r="AD92" s="18">
        <v>53.117781844873782</v>
      </c>
      <c r="AE92" s="18">
        <v>52.080916463252649</v>
      </c>
      <c r="AF92" s="18">
        <v>51.049964004617202</v>
      </c>
      <c r="AG92" s="18">
        <v>50.019011545981762</v>
      </c>
      <c r="AH92" s="18">
        <v>48.988059087346336</v>
      </c>
      <c r="AI92" s="18">
        <v>47.95710662871091</v>
      </c>
      <c r="AJ92" s="18">
        <v>47.524282571642132</v>
      </c>
      <c r="AK92" s="18">
        <v>47.091458514573375</v>
      </c>
      <c r="AL92" s="18">
        <v>46.65130295830096</v>
      </c>
      <c r="AM92" s="18">
        <v>46.207174430113042</v>
      </c>
      <c r="AN92" s="18">
        <v>45.760197623106457</v>
      </c>
    </row>
    <row r="94" spans="1:40" ht="18" thickBot="1" x14ac:dyDescent="0.35">
      <c r="A94" s="4" t="s">
        <v>143</v>
      </c>
      <c r="B94" s="4"/>
      <c r="C94" s="4"/>
      <c r="D94" s="4"/>
      <c r="E94" s="4"/>
      <c r="F94" s="4"/>
      <c r="G94" s="4"/>
      <c r="H94" s="4"/>
    </row>
    <row r="95" spans="1:40" ht="15.75" thickTop="1" x14ac:dyDescent="0.25">
      <c r="B95" s="3">
        <v>2012</v>
      </c>
      <c r="C95" s="3">
        <v>2013</v>
      </c>
      <c r="D95" s="3">
        <v>2014</v>
      </c>
      <c r="E95" s="3">
        <v>2015</v>
      </c>
      <c r="F95" s="3">
        <v>2016</v>
      </c>
      <c r="G95" s="3">
        <v>2017</v>
      </c>
      <c r="H95" s="3">
        <v>2018</v>
      </c>
      <c r="I95" s="3">
        <v>2019</v>
      </c>
      <c r="J95" s="3">
        <v>2020</v>
      </c>
      <c r="K95" s="3">
        <v>2021</v>
      </c>
      <c r="L95" s="3">
        <v>2022</v>
      </c>
      <c r="M95" s="3">
        <v>2023</v>
      </c>
      <c r="N95" s="3">
        <v>2024</v>
      </c>
      <c r="O95" s="3">
        <v>2025</v>
      </c>
      <c r="P95" s="3">
        <v>2026</v>
      </c>
      <c r="Q95" s="3">
        <v>2027</v>
      </c>
      <c r="R95" s="3">
        <v>2028</v>
      </c>
      <c r="S95" s="3">
        <v>2029</v>
      </c>
      <c r="T95" s="3">
        <v>2030</v>
      </c>
      <c r="U95" s="3">
        <v>2031</v>
      </c>
      <c r="V95" s="3">
        <v>2032</v>
      </c>
      <c r="W95" s="3">
        <v>2033</v>
      </c>
      <c r="X95" s="3">
        <v>2034</v>
      </c>
      <c r="Y95" s="3">
        <v>2035</v>
      </c>
      <c r="Z95" s="3">
        <v>2036</v>
      </c>
      <c r="AA95" s="3">
        <v>2037</v>
      </c>
      <c r="AB95" s="3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s="3" t="s">
        <v>54</v>
      </c>
      <c r="B96" s="12">
        <v>0.5</v>
      </c>
      <c r="C96" s="12">
        <v>0.49361482500619441</v>
      </c>
      <c r="D96" s="12">
        <v>0.48206830798992972</v>
      </c>
      <c r="E96" s="12">
        <v>0.47202613350430117</v>
      </c>
      <c r="F96" s="12">
        <v>0.46557223068394388</v>
      </c>
      <c r="G96" s="12">
        <v>0.45639821843997963</v>
      </c>
      <c r="H96" s="12">
        <v>0.44660476008909161</v>
      </c>
      <c r="I96" s="12">
        <v>0.43972669731095931</v>
      </c>
      <c r="J96" s="12">
        <v>0.44869179830464656</v>
      </c>
      <c r="K96" s="12">
        <v>0.4608685558592584</v>
      </c>
      <c r="L96" s="12">
        <v>0.45293933531025343</v>
      </c>
      <c r="M96" s="12">
        <v>0.44496466333523621</v>
      </c>
      <c r="N96" s="12">
        <v>0.43604395407815993</v>
      </c>
      <c r="O96" s="12">
        <v>0.42640214177595159</v>
      </c>
      <c r="P96" s="12">
        <v>0.41704128628178283</v>
      </c>
      <c r="Q96" s="12">
        <v>0.40736811409437179</v>
      </c>
      <c r="R96" s="12">
        <v>0.39752040531475452</v>
      </c>
      <c r="S96" s="12">
        <v>0.38792623621073147</v>
      </c>
      <c r="T96" s="12">
        <v>0.3786915183200642</v>
      </c>
      <c r="U96" s="12">
        <v>0.3695210575010458</v>
      </c>
      <c r="V96" s="12">
        <v>0.35977357770148527</v>
      </c>
      <c r="W96" s="12">
        <v>0.35010150129371193</v>
      </c>
      <c r="X96" s="12">
        <v>0.34070620489032388</v>
      </c>
      <c r="Y96" s="12">
        <v>0.33256879940716488</v>
      </c>
      <c r="Z96" s="12">
        <v>0.32526196722319101</v>
      </c>
      <c r="AA96" s="12">
        <v>0.31743656623784111</v>
      </c>
      <c r="AB96" s="12">
        <v>0.30944759350189216</v>
      </c>
      <c r="AC96" s="12">
        <v>0.30170210809401976</v>
      </c>
      <c r="AD96" s="12">
        <v>0.29426669588993903</v>
      </c>
      <c r="AE96" s="12">
        <v>0.28705947092480621</v>
      </c>
      <c r="AF96" s="12">
        <v>0.27985912607480135</v>
      </c>
      <c r="AG96" s="12">
        <v>0.27267207752507222</v>
      </c>
      <c r="AH96" s="12">
        <v>0.2655187699863964</v>
      </c>
      <c r="AI96" s="12">
        <v>0.25835683521052188</v>
      </c>
      <c r="AJ96" s="12">
        <v>0.25160847240437884</v>
      </c>
      <c r="AK96" s="12">
        <v>0.24500439781986932</v>
      </c>
      <c r="AL96" s="12">
        <v>0.23870289310099521</v>
      </c>
      <c r="AM96" s="12">
        <v>0.23259738300263871</v>
      </c>
      <c r="AN96" s="12">
        <v>0.2264556984169197</v>
      </c>
    </row>
    <row r="97" spans="1:41" x14ac:dyDescent="0.25">
      <c r="A97" s="3" t="s">
        <v>55</v>
      </c>
      <c r="B97" s="12">
        <v>0.3</v>
      </c>
      <c r="C97" s="12">
        <v>0.29468225957952826</v>
      </c>
      <c r="D97" s="12">
        <v>0.29652686013085344</v>
      </c>
      <c r="E97" s="12">
        <v>0.29778797816876007</v>
      </c>
      <c r="F97" s="12">
        <v>0.29845066012740579</v>
      </c>
      <c r="G97" s="12">
        <v>0.29691592343442441</v>
      </c>
      <c r="H97" s="12">
        <v>0.29765219102063356</v>
      </c>
      <c r="I97" s="12">
        <v>0.298551917090845</v>
      </c>
      <c r="J97" s="12">
        <v>0.30807790666505486</v>
      </c>
      <c r="K97" s="12">
        <v>0.29101084546381101</v>
      </c>
      <c r="L97" s="12">
        <v>0.29254909838976384</v>
      </c>
      <c r="M97" s="12">
        <v>0.29362458379515177</v>
      </c>
      <c r="N97" s="12">
        <v>0.29479545876831015</v>
      </c>
      <c r="O97" s="12">
        <v>0.29612492551474839</v>
      </c>
      <c r="P97" s="12">
        <v>0.29821430926402148</v>
      </c>
      <c r="Q97" s="12">
        <v>0.30025114738936809</v>
      </c>
      <c r="R97" s="12">
        <v>0.30243161805275043</v>
      </c>
      <c r="S97" s="12">
        <v>0.30454490929663142</v>
      </c>
      <c r="T97" s="12">
        <v>0.30672648903867467</v>
      </c>
      <c r="U97" s="12">
        <v>0.30878587056708845</v>
      </c>
      <c r="V97" s="12">
        <v>0.3113776753132933</v>
      </c>
      <c r="W97" s="12">
        <v>0.31391427008417805</v>
      </c>
      <c r="X97" s="12">
        <v>0.31654756766084635</v>
      </c>
      <c r="Y97" s="12">
        <v>0.31943560967325441</v>
      </c>
      <c r="Z97" s="12">
        <v>0.32167854950189212</v>
      </c>
      <c r="AA97" s="12">
        <v>0.32413815716167887</v>
      </c>
      <c r="AB97" s="12">
        <v>0.32667347879243019</v>
      </c>
      <c r="AC97" s="12">
        <v>0.32941478752673903</v>
      </c>
      <c r="AD97" s="12">
        <v>0.33194977862338843</v>
      </c>
      <c r="AE97" s="12">
        <v>0.3347119146565295</v>
      </c>
      <c r="AF97" s="12">
        <v>0.33747750852961228</v>
      </c>
      <c r="AG97" s="12">
        <v>0.34019487891547112</v>
      </c>
      <c r="AH97" s="12">
        <v>0.34290256616818704</v>
      </c>
      <c r="AI97" s="12">
        <v>0.34553441204668883</v>
      </c>
      <c r="AJ97" s="12">
        <v>0.3486358783170348</v>
      </c>
      <c r="AK97" s="12">
        <v>0.35163376928920365</v>
      </c>
      <c r="AL97" s="12">
        <v>0.35473779187508891</v>
      </c>
      <c r="AM97" s="12">
        <v>0.35763130295873286</v>
      </c>
      <c r="AN97" s="12">
        <v>0.36050417317170641</v>
      </c>
    </row>
    <row r="98" spans="1:41" x14ac:dyDescent="0.25">
      <c r="A98" s="3" t="s">
        <v>56</v>
      </c>
      <c r="B98" s="12">
        <v>0.19999999999999998</v>
      </c>
      <c r="C98" s="12">
        <v>0.20613092634999897</v>
      </c>
      <c r="D98" s="12">
        <v>0.20997219853254745</v>
      </c>
      <c r="E98" s="12">
        <v>0.21260669534823909</v>
      </c>
      <c r="F98" s="12">
        <v>0.21196845959615526</v>
      </c>
      <c r="G98" s="12">
        <v>0.21596815697579858</v>
      </c>
      <c r="H98" s="12">
        <v>0.21840570822090161</v>
      </c>
      <c r="I98" s="12">
        <v>0.21780961373237509</v>
      </c>
      <c r="J98" s="12">
        <v>0.19278899154436505</v>
      </c>
      <c r="K98" s="12">
        <v>0.19553669373990809</v>
      </c>
      <c r="L98" s="12">
        <v>0.19978989451661469</v>
      </c>
      <c r="M98" s="12">
        <v>0.20455613793575173</v>
      </c>
      <c r="N98" s="12">
        <v>0.21017784188075633</v>
      </c>
      <c r="O98" s="12">
        <v>0.21636685904947664</v>
      </c>
      <c r="P98" s="12">
        <v>0.22306684325167825</v>
      </c>
      <c r="Q98" s="12">
        <v>0.23013203762505227</v>
      </c>
      <c r="R98" s="12">
        <v>0.23722848369486835</v>
      </c>
      <c r="S98" s="12">
        <v>0.24413891693925951</v>
      </c>
      <c r="T98" s="12">
        <v>0.250621957691326</v>
      </c>
      <c r="U98" s="12">
        <v>0.25838040126580109</v>
      </c>
      <c r="V98" s="12">
        <v>0.26618388831950496</v>
      </c>
      <c r="W98" s="12">
        <v>0.27396762998285962</v>
      </c>
      <c r="X98" s="12">
        <v>0.28137833717201771</v>
      </c>
      <c r="Y98" s="12">
        <v>0.28727685765124816</v>
      </c>
      <c r="Z98" s="12">
        <v>0.29412231319643162</v>
      </c>
      <c r="AA98" s="12">
        <v>0.30127304885663259</v>
      </c>
      <c r="AB98" s="12">
        <v>0.30851502785058504</v>
      </c>
      <c r="AC98" s="12">
        <v>0.31531092438850294</v>
      </c>
      <c r="AD98" s="12">
        <v>0.32200646376955105</v>
      </c>
      <c r="AE98" s="12">
        <v>0.32929830475714733</v>
      </c>
      <c r="AF98" s="12">
        <v>0.33658835430014045</v>
      </c>
      <c r="AG98" s="12">
        <v>0.34392190319885563</v>
      </c>
      <c r="AH98" s="12">
        <v>0.35123999212377366</v>
      </c>
      <c r="AI98" s="12">
        <v>0.35865117337681979</v>
      </c>
      <c r="AJ98" s="12">
        <v>0.36625024275029583</v>
      </c>
      <c r="AK98" s="12">
        <v>0.37382482671382988</v>
      </c>
      <c r="AL98" s="12">
        <v>0.38100700334125265</v>
      </c>
      <c r="AM98" s="12">
        <v>0.38822005789694591</v>
      </c>
      <c r="AN98" s="12">
        <v>0.39550635603522843</v>
      </c>
    </row>
    <row r="99" spans="1:41" x14ac:dyDescent="0.25">
      <c r="A99" s="3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</row>
    <row r="101" spans="1:41" ht="18" thickBot="1" x14ac:dyDescent="0.35">
      <c r="A101" s="4" t="s">
        <v>144</v>
      </c>
      <c r="B101" s="4"/>
      <c r="C101" s="4"/>
      <c r="D101" s="4"/>
      <c r="E101" s="4"/>
      <c r="F101" s="4"/>
      <c r="G101" s="4"/>
      <c r="H101" s="4"/>
    </row>
    <row r="102" spans="1:41" ht="15.75" thickTop="1" x14ac:dyDescent="0.25">
      <c r="A102" s="3">
        <v>2012</v>
      </c>
      <c r="B102" s="3">
        <v>2013</v>
      </c>
      <c r="C102" s="3">
        <v>2014</v>
      </c>
      <c r="D102" s="3">
        <v>2015</v>
      </c>
      <c r="E102" s="3">
        <v>2016</v>
      </c>
      <c r="F102" s="3">
        <v>2017</v>
      </c>
      <c r="G102" s="3">
        <v>2018</v>
      </c>
      <c r="H102" s="3">
        <v>2019</v>
      </c>
      <c r="I102" s="3">
        <v>2020</v>
      </c>
      <c r="J102" s="3">
        <v>2021</v>
      </c>
      <c r="K102" s="3">
        <v>2022</v>
      </c>
      <c r="L102" s="3">
        <v>2023</v>
      </c>
      <c r="M102" s="3">
        <v>2024</v>
      </c>
      <c r="N102" s="3">
        <v>2025</v>
      </c>
      <c r="O102" s="3">
        <v>2026</v>
      </c>
      <c r="P102" s="3">
        <v>2027</v>
      </c>
      <c r="Q102" s="3">
        <v>2028</v>
      </c>
      <c r="R102" s="3">
        <v>2029</v>
      </c>
      <c r="S102" s="3">
        <v>2030</v>
      </c>
      <c r="T102" s="3">
        <v>2031</v>
      </c>
      <c r="U102" s="3">
        <v>2032</v>
      </c>
      <c r="V102" s="3">
        <v>2033</v>
      </c>
      <c r="W102" s="3">
        <v>2034</v>
      </c>
      <c r="X102" s="3">
        <v>2035</v>
      </c>
      <c r="Y102" s="3">
        <v>2036</v>
      </c>
      <c r="Z102">
        <v>2037</v>
      </c>
      <c r="AA102">
        <v>2038</v>
      </c>
      <c r="AB102">
        <v>2039</v>
      </c>
      <c r="AC102">
        <v>2040</v>
      </c>
      <c r="AD102">
        <v>2041</v>
      </c>
      <c r="AE102">
        <v>2042</v>
      </c>
      <c r="AF102">
        <v>2043</v>
      </c>
      <c r="AG102">
        <v>2044</v>
      </c>
      <c r="AH102">
        <v>2045</v>
      </c>
      <c r="AI102">
        <v>2046</v>
      </c>
      <c r="AJ102">
        <v>2047</v>
      </c>
      <c r="AK102">
        <v>2048</v>
      </c>
      <c r="AL102">
        <v>2049</v>
      </c>
      <c r="AM102">
        <v>2050</v>
      </c>
    </row>
    <row r="103" spans="1:41" x14ac:dyDescent="0.25">
      <c r="A103">
        <v>0.30163969294989873</v>
      </c>
      <c r="B103">
        <v>0.30770118876733893</v>
      </c>
      <c r="C103">
        <v>0.31057938732953844</v>
      </c>
      <c r="D103">
        <v>0.31277940101847879</v>
      </c>
      <c r="E103">
        <v>0.31284316327620315</v>
      </c>
      <c r="F103">
        <v>0.31635831555178628</v>
      </c>
      <c r="G103">
        <v>0.31867877236635728</v>
      </c>
      <c r="H103">
        <v>0.31829026462005117</v>
      </c>
      <c r="I103">
        <v>0.29040891806001651</v>
      </c>
      <c r="J103">
        <v>0.29800403265459058</v>
      </c>
      <c r="K103">
        <v>0.30200401780692876</v>
      </c>
      <c r="L103">
        <v>0.30656034625617695</v>
      </c>
      <c r="M103">
        <v>0.31192904187570236</v>
      </c>
      <c r="N103">
        <v>0.31799947261850164</v>
      </c>
      <c r="O103">
        <v>0.32433434766527408</v>
      </c>
      <c r="P103">
        <v>0.33129984849841504</v>
      </c>
      <c r="Q103">
        <v>0.33856860928890536</v>
      </c>
      <c r="R103">
        <v>0.3460220907336497</v>
      </c>
      <c r="S103">
        <v>0.35326945484642069</v>
      </c>
      <c r="T103">
        <v>0.36227316635231788</v>
      </c>
      <c r="U103">
        <v>0.37153100120479132</v>
      </c>
      <c r="V103">
        <v>0.38125213640261274</v>
      </c>
      <c r="W103">
        <v>0.39088366365960481</v>
      </c>
      <c r="X103" s="12">
        <v>0.43438755091144643</v>
      </c>
      <c r="Y103" s="12">
        <v>0.4444480293768564</v>
      </c>
      <c r="Z103" s="12">
        <v>0.45535275868686731</v>
      </c>
      <c r="AA103" s="12">
        <v>0.46694075625504039</v>
      </c>
      <c r="AB103" s="12">
        <v>0.4781300856362905</v>
      </c>
      <c r="AC103" s="12">
        <v>0.48967453302970809</v>
      </c>
      <c r="AD103" s="12">
        <v>0.50224672606058585</v>
      </c>
      <c r="AE103" s="12">
        <v>0.51536971747141613</v>
      </c>
      <c r="AF103" s="12">
        <v>0.52924077512855172</v>
      </c>
      <c r="AG103" s="12">
        <v>0.54376194787755061</v>
      </c>
      <c r="AH103" s="12">
        <v>0.55932663957277284</v>
      </c>
      <c r="AI103" s="12">
        <v>0.57508190051994368</v>
      </c>
      <c r="AJ103" s="12">
        <v>0.59159288253939912</v>
      </c>
      <c r="AK103" s="12">
        <v>0.6076457041478186</v>
      </c>
      <c r="AL103" s="12">
        <v>0.62468417964119827</v>
      </c>
      <c r="AM103" s="12">
        <v>0.68427588534183081</v>
      </c>
    </row>
    <row r="105" spans="1:41" x14ac:dyDescent="0.25">
      <c r="C105" s="13"/>
    </row>
    <row r="106" spans="1:41" x14ac:dyDescent="0.25">
      <c r="C106" s="26">
        <v>0.4</v>
      </c>
      <c r="D106" s="23">
        <v>0.6</v>
      </c>
    </row>
    <row r="107" spans="1:41" ht="18" thickBot="1" x14ac:dyDescent="0.35">
      <c r="B107" s="24" t="s">
        <v>171</v>
      </c>
      <c r="C107" s="24"/>
      <c r="D107" s="24"/>
      <c r="E107" s="24"/>
    </row>
    <row r="108" spans="1:41" ht="15.75" thickTop="1" x14ac:dyDescent="0.25">
      <c r="C108">
        <v>2012</v>
      </c>
      <c r="D108">
        <v>2013</v>
      </c>
      <c r="E108">
        <v>2014</v>
      </c>
      <c r="F108">
        <v>2015</v>
      </c>
      <c r="G108">
        <v>2016</v>
      </c>
      <c r="H108">
        <v>2017</v>
      </c>
      <c r="I108">
        <v>2018</v>
      </c>
      <c r="J108">
        <v>2019</v>
      </c>
      <c r="K108">
        <v>2020</v>
      </c>
      <c r="L108">
        <v>2021</v>
      </c>
      <c r="M108">
        <v>2022</v>
      </c>
      <c r="N108">
        <v>2023</v>
      </c>
      <c r="O108">
        <v>2024</v>
      </c>
      <c r="P108">
        <v>2025</v>
      </c>
      <c r="Q108">
        <v>2026</v>
      </c>
      <c r="R108">
        <v>2027</v>
      </c>
      <c r="S108">
        <v>2028</v>
      </c>
      <c r="T108">
        <v>2029</v>
      </c>
      <c r="U108">
        <v>2030</v>
      </c>
      <c r="V108">
        <v>2031</v>
      </c>
      <c r="W108">
        <v>2032</v>
      </c>
      <c r="X108">
        <v>2033</v>
      </c>
      <c r="Y108">
        <v>2034</v>
      </c>
      <c r="Z108">
        <v>2035</v>
      </c>
      <c r="AA108">
        <v>2036</v>
      </c>
      <c r="AB108">
        <v>2037</v>
      </c>
      <c r="AC108">
        <v>2038</v>
      </c>
      <c r="AD108">
        <v>2039</v>
      </c>
      <c r="AE108">
        <v>2040</v>
      </c>
      <c r="AF108">
        <v>2041</v>
      </c>
      <c r="AG108">
        <v>2042</v>
      </c>
      <c r="AH108">
        <v>2043</v>
      </c>
      <c r="AI108">
        <v>2044</v>
      </c>
      <c r="AJ108">
        <v>2045</v>
      </c>
      <c r="AK108">
        <v>2046</v>
      </c>
      <c r="AL108">
        <v>2047</v>
      </c>
      <c r="AM108">
        <v>2048</v>
      </c>
      <c r="AN108">
        <v>2049</v>
      </c>
      <c r="AO108">
        <v>2050</v>
      </c>
    </row>
    <row r="109" spans="1:41" x14ac:dyDescent="0.25">
      <c r="B109" t="s">
        <v>21</v>
      </c>
      <c r="C109" s="18">
        <v>1833.8485148656705</v>
      </c>
      <c r="D109" s="18">
        <v>1886.6121543778552</v>
      </c>
      <c r="E109" s="18">
        <v>1929.9088596734236</v>
      </c>
      <c r="F109" s="18">
        <v>1960.4923036365474</v>
      </c>
      <c r="G109" s="18">
        <v>1983.2547710242566</v>
      </c>
      <c r="H109" s="18">
        <v>2006.0789129735178</v>
      </c>
      <c r="I109" s="18">
        <v>2036.972183160904</v>
      </c>
      <c r="J109" s="18">
        <v>2074.2003059734261</v>
      </c>
      <c r="K109" s="18">
        <v>1914.545399528301</v>
      </c>
      <c r="L109" s="18">
        <v>1957.2610773816891</v>
      </c>
      <c r="M109" s="18">
        <v>2002.2872838168787</v>
      </c>
      <c r="N109" s="18">
        <v>2051.2769335000403</v>
      </c>
      <c r="O109" s="18">
        <v>2104.0245070320266</v>
      </c>
      <c r="P109" s="18">
        <v>2157.2000988773989</v>
      </c>
      <c r="Q109" s="18">
        <v>2216.2386918503116</v>
      </c>
      <c r="R109" s="18">
        <v>2277.0866520702075</v>
      </c>
      <c r="S109" s="18">
        <v>2342.1075393790215</v>
      </c>
      <c r="T109" s="18">
        <v>2408.995487304207</v>
      </c>
      <c r="U109" s="18">
        <v>2468.4881674022527</v>
      </c>
      <c r="V109" s="18">
        <v>2539.0431946322601</v>
      </c>
      <c r="W109" s="18">
        <v>2611.6181489313612</v>
      </c>
      <c r="X109" s="18">
        <v>2686.3644340512401</v>
      </c>
      <c r="Y109" s="18">
        <v>2759.0891878804987</v>
      </c>
      <c r="Z109" s="18">
        <v>2835.9490382924259</v>
      </c>
      <c r="AA109" s="18">
        <v>2915.3222561629782</v>
      </c>
      <c r="AB109" s="18">
        <v>2997.7985510673598</v>
      </c>
      <c r="AC109" s="18">
        <v>3079.8807643862083</v>
      </c>
      <c r="AD109" s="18">
        <v>3164.7988750291743</v>
      </c>
      <c r="AE109" s="18">
        <v>3254.7047790794968</v>
      </c>
      <c r="AF109" s="18">
        <v>3348.9964072010525</v>
      </c>
      <c r="AG109" s="18">
        <v>3447.4307579315109</v>
      </c>
      <c r="AH109" s="18">
        <v>3549.9976521140461</v>
      </c>
      <c r="AI109" s="18">
        <v>3656.5174335620486</v>
      </c>
      <c r="AJ109" s="18">
        <v>3767.7621351917451</v>
      </c>
      <c r="AK109" s="18">
        <v>3873.7774921325872</v>
      </c>
      <c r="AL109" s="18">
        <v>3984.0902474336522</v>
      </c>
      <c r="AM109" s="18">
        <v>4099.5151623032189</v>
      </c>
      <c r="AN109" s="18">
        <v>4220.6813951424811</v>
      </c>
      <c r="AO109" s="18">
        <v>4350.0492909027143</v>
      </c>
    </row>
    <row r="110" spans="1:41" x14ac:dyDescent="0.25">
      <c r="B110" t="s">
        <v>73</v>
      </c>
      <c r="C110" s="18">
        <v>69.817113338466598</v>
      </c>
      <c r="D110" s="18">
        <v>72.819731017164969</v>
      </c>
      <c r="E110" s="18">
        <v>75.472008813799022</v>
      </c>
      <c r="F110" s="18">
        <v>74.274927600037842</v>
      </c>
      <c r="G110" s="18">
        <v>73.26059197587216</v>
      </c>
      <c r="H110" s="18">
        <v>75.493823257911487</v>
      </c>
      <c r="I110" s="18">
        <v>74.303648694490207</v>
      </c>
      <c r="J110" s="18">
        <v>73.1945218840509</v>
      </c>
      <c r="K110" s="18">
        <v>70.325700988606158</v>
      </c>
      <c r="L110" s="18">
        <v>72.079600677576877</v>
      </c>
      <c r="M110" s="18">
        <v>74.097267383773996</v>
      </c>
      <c r="N110" s="18">
        <v>75.83751945163533</v>
      </c>
      <c r="O110" s="18">
        <v>77.576110521025043</v>
      </c>
      <c r="P110" s="18">
        <v>79.396606124967263</v>
      </c>
      <c r="Q110" s="18">
        <v>81.224836721269554</v>
      </c>
      <c r="R110" s="18">
        <v>83.015421229038807</v>
      </c>
      <c r="S110" s="18">
        <v>84.71879762829046</v>
      </c>
      <c r="T110" s="18">
        <v>86.40947079839232</v>
      </c>
      <c r="U110" s="18">
        <v>87.917074260425011</v>
      </c>
      <c r="V110" s="18">
        <v>89.948274996445477</v>
      </c>
      <c r="W110" s="18">
        <v>91.858597961990753</v>
      </c>
      <c r="X110" s="18">
        <v>93.636661953392263</v>
      </c>
      <c r="Y110" s="18">
        <v>95.295599787555759</v>
      </c>
      <c r="Z110" s="18">
        <v>97.196418455885137</v>
      </c>
      <c r="AA110" s="18">
        <v>99.048946074573934</v>
      </c>
      <c r="AB110" s="18">
        <v>100.96742638628118</v>
      </c>
      <c r="AC110" s="18">
        <v>102.82399638424677</v>
      </c>
      <c r="AD110" s="18">
        <v>104.72881393465261</v>
      </c>
      <c r="AE110" s="18">
        <v>106.73410403014014</v>
      </c>
      <c r="AF110" s="18">
        <v>108.83032335584873</v>
      </c>
      <c r="AG110" s="18">
        <v>110.98712564413881</v>
      </c>
      <c r="AH110" s="18">
        <v>113.13803634297587</v>
      </c>
      <c r="AI110" s="18">
        <v>115.35753088013288</v>
      </c>
      <c r="AJ110" s="18">
        <v>117.7224288535422</v>
      </c>
      <c r="AK110" s="18">
        <v>119.86545963689662</v>
      </c>
      <c r="AL110" s="18">
        <v>122.16956564028087</v>
      </c>
      <c r="AM110" s="18">
        <v>124.66155698786915</v>
      </c>
      <c r="AN110" s="18">
        <v>127.27859211459484</v>
      </c>
      <c r="AO110" s="18">
        <v>130.07284907210411</v>
      </c>
    </row>
    <row r="111" spans="1:41" x14ac:dyDescent="0.25">
      <c r="B111" t="s">
        <v>23</v>
      </c>
      <c r="C111" s="23">
        <v>123.26923682676239</v>
      </c>
      <c r="D111" s="23">
        <v>126.76200665956938</v>
      </c>
      <c r="E111" s="23">
        <v>127.59930057711011</v>
      </c>
      <c r="F111" s="23">
        <v>131.79428653766271</v>
      </c>
      <c r="G111" s="23">
        <v>129.89446862274485</v>
      </c>
      <c r="H111" s="23">
        <v>133.66360252732119</v>
      </c>
      <c r="I111" s="23">
        <v>132.75230325518885</v>
      </c>
      <c r="J111" s="23">
        <v>131.0963621488545</v>
      </c>
      <c r="K111" s="23">
        <v>120.18809993708842</v>
      </c>
      <c r="L111" s="23">
        <v>121.9324954300825</v>
      </c>
      <c r="M111" s="23">
        <v>123.62702359051755</v>
      </c>
      <c r="N111" s="23">
        <v>125.50520057825962</v>
      </c>
      <c r="O111" s="23">
        <v>127.62005379029763</v>
      </c>
      <c r="P111" s="23">
        <v>129.71571417226133</v>
      </c>
      <c r="Q111" s="23">
        <v>132.08338347170783</v>
      </c>
      <c r="R111" s="23">
        <v>134.45700006708503</v>
      </c>
      <c r="S111" s="23">
        <v>137.09836521296253</v>
      </c>
      <c r="T111" s="23">
        <v>140.19130736183189</v>
      </c>
      <c r="U111" s="23">
        <v>142.89883193627665</v>
      </c>
      <c r="V111" s="23">
        <v>146.416830091278</v>
      </c>
      <c r="W111" s="23">
        <v>150.32704805551441</v>
      </c>
      <c r="X111" s="23">
        <v>154.27326576870362</v>
      </c>
      <c r="Y111" s="23">
        <v>158.27859136568114</v>
      </c>
      <c r="Z111" s="23">
        <v>163.20085651583867</v>
      </c>
      <c r="AA111" s="23">
        <v>167.64829971739297</v>
      </c>
      <c r="AB111" s="23">
        <v>172.15985376506998</v>
      </c>
      <c r="AC111" s="23">
        <v>176.52673826725913</v>
      </c>
      <c r="AD111" s="23">
        <v>180.99322799680004</v>
      </c>
      <c r="AE111" s="23">
        <v>185.67685214636796</v>
      </c>
      <c r="AF111" s="23">
        <v>190.335369547695</v>
      </c>
      <c r="AG111" s="23">
        <v>195.07355032108669</v>
      </c>
      <c r="AH111" s="23">
        <v>199.91629899726939</v>
      </c>
      <c r="AI111" s="23">
        <v>204.89623723508205</v>
      </c>
      <c r="AJ111" s="23">
        <v>210.08114775468417</v>
      </c>
      <c r="AK111" s="23">
        <v>214.87946388846953</v>
      </c>
      <c r="AL111" s="23">
        <v>219.8677393720516</v>
      </c>
      <c r="AM111" s="23">
        <v>225.09673017509809</v>
      </c>
      <c r="AN111" s="23">
        <v>230.59324313003228</v>
      </c>
      <c r="AO111" s="23">
        <v>236.52589767309942</v>
      </c>
    </row>
    <row r="112" spans="1:41" x14ac:dyDescent="0.25">
      <c r="B112" t="s">
        <v>151</v>
      </c>
      <c r="C112" s="18">
        <v>82.179491217841601</v>
      </c>
      <c r="D112" s="18">
        <v>84.50800443971292</v>
      </c>
      <c r="E112" s="18">
        <v>85.066200384740085</v>
      </c>
      <c r="F112" s="18">
        <v>87.862857691775162</v>
      </c>
      <c r="G112" s="18">
        <v>86.596312415163254</v>
      </c>
      <c r="H112" s="18">
        <v>89.109068351547464</v>
      </c>
      <c r="I112" s="18">
        <v>88.501535503459252</v>
      </c>
      <c r="J112" s="18">
        <v>87.397574765903016</v>
      </c>
      <c r="K112" s="18">
        <v>80.125399958058949</v>
      </c>
      <c r="L112" s="18">
        <v>81.288330286721674</v>
      </c>
      <c r="M112" s="18">
        <v>82.418015727011721</v>
      </c>
      <c r="N112" s="18">
        <v>83.67013371883975</v>
      </c>
      <c r="O112" s="18">
        <v>85.080035860198436</v>
      </c>
      <c r="P112" s="18">
        <v>86.477142781507553</v>
      </c>
      <c r="Q112" s="18">
        <v>88.05558898113857</v>
      </c>
      <c r="R112" s="18">
        <v>89.638000044723356</v>
      </c>
      <c r="S112" s="18">
        <v>91.398910141975037</v>
      </c>
      <c r="T112" s="18">
        <v>93.460871574554602</v>
      </c>
      <c r="U112" s="18">
        <v>95.265887957517776</v>
      </c>
      <c r="V112" s="18">
        <v>97.611220060852006</v>
      </c>
      <c r="W112" s="18">
        <v>100.21803203700961</v>
      </c>
      <c r="X112" s="18">
        <v>102.84884384580242</v>
      </c>
      <c r="Y112" s="18">
        <v>105.5190609104541</v>
      </c>
      <c r="Z112" s="18">
        <v>108.80057101055911</v>
      </c>
      <c r="AA112" s="18">
        <v>111.76553314492865</v>
      </c>
      <c r="AB112" s="18">
        <v>114.77323584337999</v>
      </c>
      <c r="AC112" s="18">
        <v>117.68449217817277</v>
      </c>
      <c r="AD112" s="18">
        <v>120.66215199786672</v>
      </c>
      <c r="AE112" s="18">
        <v>123.78456809757866</v>
      </c>
      <c r="AF112" s="18">
        <v>126.89024636513</v>
      </c>
      <c r="AG112" s="18">
        <v>130.04903354739113</v>
      </c>
      <c r="AH112" s="18">
        <v>133.27753266484626</v>
      </c>
      <c r="AI112" s="18">
        <v>136.59749149005469</v>
      </c>
      <c r="AJ112" s="18">
        <v>140.05409850312279</v>
      </c>
      <c r="AK112" s="18">
        <v>143.25297592564638</v>
      </c>
      <c r="AL112" s="18">
        <v>146.57849291470106</v>
      </c>
      <c r="AM112" s="18">
        <v>150.06448678339873</v>
      </c>
      <c r="AN112" s="18">
        <v>153.72882875335486</v>
      </c>
      <c r="AO112" s="18">
        <v>157.68393178206631</v>
      </c>
    </row>
    <row r="113" spans="2:41" x14ac:dyDescent="0.25">
      <c r="B113" t="s">
        <v>24</v>
      </c>
      <c r="C113" s="18">
        <v>93.09690942833015</v>
      </c>
      <c r="D113" s="18">
        <v>95.064855171375669</v>
      </c>
      <c r="E113" s="18">
        <v>96.400077661477354</v>
      </c>
      <c r="F113" s="18">
        <v>96.617861286112102</v>
      </c>
      <c r="G113" s="18">
        <v>97.654818305582012</v>
      </c>
      <c r="H113" s="18">
        <v>97.862455274201025</v>
      </c>
      <c r="I113" s="18">
        <v>98.609954424293107</v>
      </c>
      <c r="J113" s="18">
        <v>97.964584789862243</v>
      </c>
      <c r="K113" s="18">
        <v>92.646489203328827</v>
      </c>
      <c r="L113" s="18">
        <v>95.03041242813778</v>
      </c>
      <c r="M113" s="18">
        <v>97.485838278771098</v>
      </c>
      <c r="N113" s="18">
        <v>99.77593398947829</v>
      </c>
      <c r="O113" s="18">
        <v>102.1635426368112</v>
      </c>
      <c r="P113" s="18">
        <v>104.60035225495045</v>
      </c>
      <c r="Q113" s="18">
        <v>107.07694947006603</v>
      </c>
      <c r="R113" s="18">
        <v>109.49041679677798</v>
      </c>
      <c r="S113" s="18">
        <v>112.02696547098452</v>
      </c>
      <c r="T113" s="18">
        <v>114.5350089727569</v>
      </c>
      <c r="U113" s="18">
        <v>116.72534002734352</v>
      </c>
      <c r="V113" s="18">
        <v>119.41291133682695</v>
      </c>
      <c r="W113" s="18">
        <v>122.13561690535352</v>
      </c>
      <c r="X113" s="18">
        <v>124.73806971931842</v>
      </c>
      <c r="Y113" s="18">
        <v>127.26382097220295</v>
      </c>
      <c r="Z113" s="18">
        <v>130.22505419824279</v>
      </c>
      <c r="AA113" s="18">
        <v>132.95638539516673</v>
      </c>
      <c r="AB113" s="18">
        <v>135.74521610666449</v>
      </c>
      <c r="AC113" s="18">
        <v>138.39843779341157</v>
      </c>
      <c r="AD113" s="18">
        <v>141.11496840750539</v>
      </c>
      <c r="AE113" s="18">
        <v>143.96077026055309</v>
      </c>
      <c r="AF113" s="18">
        <v>146.92167586011277</v>
      </c>
      <c r="AG113" s="18">
        <v>149.90266826654346</v>
      </c>
      <c r="AH113" s="18">
        <v>152.92006309932941</v>
      </c>
      <c r="AI113" s="18">
        <v>156.0911313412185</v>
      </c>
      <c r="AJ113" s="18">
        <v>159.46543030187945</v>
      </c>
      <c r="AK113" s="18">
        <v>162.50807836854915</v>
      </c>
      <c r="AL113" s="18">
        <v>165.69750350631548</v>
      </c>
      <c r="AM113" s="18">
        <v>169.0152244595489</v>
      </c>
      <c r="AN113" s="18">
        <v>172.44314538089333</v>
      </c>
      <c r="AO113" s="18">
        <v>176.11001666062612</v>
      </c>
    </row>
    <row r="114" spans="2:41" x14ac:dyDescent="0.25">
      <c r="B114" t="s">
        <v>25</v>
      </c>
      <c r="C114" s="18">
        <v>235.49802282756352</v>
      </c>
      <c r="D114" s="18">
        <v>242.13307836562956</v>
      </c>
      <c r="E114" s="18">
        <v>246.28265922314233</v>
      </c>
      <c r="F114" s="18">
        <v>249.43440425835786</v>
      </c>
      <c r="G114" s="18">
        <v>251.65581640876391</v>
      </c>
      <c r="H114" s="18">
        <v>252.75021516356861</v>
      </c>
      <c r="I114" s="18">
        <v>255.36564207593528</v>
      </c>
      <c r="J114" s="18">
        <v>255.83896455730644</v>
      </c>
      <c r="K114" s="18">
        <v>231.21220107940408</v>
      </c>
      <c r="L114" s="18">
        <v>237.27430963578766</v>
      </c>
      <c r="M114" s="18">
        <v>243.43820579760768</v>
      </c>
      <c r="N114" s="18">
        <v>250.0252729216615</v>
      </c>
      <c r="O114" s="18">
        <v>257.0393389716665</v>
      </c>
      <c r="P114" s="18">
        <v>264.01983750733473</v>
      </c>
      <c r="Q114" s="18">
        <v>271.72429020362813</v>
      </c>
      <c r="R114" s="18">
        <v>279.56215318997283</v>
      </c>
      <c r="S114" s="18">
        <v>287.85104341651504</v>
      </c>
      <c r="T114" s="18">
        <v>296.17218841670399</v>
      </c>
      <c r="U114" s="18">
        <v>303.16223965681729</v>
      </c>
      <c r="V114" s="18">
        <v>311.91377494075573</v>
      </c>
      <c r="W114" s="18">
        <v>320.90515779680265</v>
      </c>
      <c r="X114" s="18">
        <v>329.99635652965821</v>
      </c>
      <c r="Y114" s="18">
        <v>338.83792660845495</v>
      </c>
      <c r="Z114" s="18">
        <v>348.33269322166962</v>
      </c>
      <c r="AA114" s="18">
        <v>357.99703019358316</v>
      </c>
      <c r="AB114" s="18">
        <v>368.00188053319943</v>
      </c>
      <c r="AC114" s="18">
        <v>377.85666663181792</v>
      </c>
      <c r="AD114" s="18">
        <v>388.05037117851231</v>
      </c>
      <c r="AE114" s="18">
        <v>398.85002792330147</v>
      </c>
      <c r="AF114" s="18">
        <v>410.15688477532797</v>
      </c>
      <c r="AG114" s="18">
        <v>421.90224250085339</v>
      </c>
      <c r="AH114" s="18">
        <v>434.10875218597869</v>
      </c>
      <c r="AI114" s="18">
        <v>446.80324447498771</v>
      </c>
      <c r="AJ114" s="18">
        <v>460.1203754889417</v>
      </c>
      <c r="AK114" s="18">
        <v>472.65691554047356</v>
      </c>
      <c r="AL114" s="18">
        <v>485.73312943754831</v>
      </c>
      <c r="AM114" s="18">
        <v>499.4515636810321</v>
      </c>
      <c r="AN114" s="18">
        <v>513.88566194585428</v>
      </c>
      <c r="AO114" s="18">
        <v>529.36224934657764</v>
      </c>
    </row>
    <row r="115" spans="2:41" x14ac:dyDescent="0.25">
      <c r="B115" t="s">
        <v>26</v>
      </c>
      <c r="C115" s="18">
        <v>17.781500762507015</v>
      </c>
      <c r="D115" s="18">
        <v>18.21809145789609</v>
      </c>
      <c r="E115" s="18">
        <v>18.567420658015568</v>
      </c>
      <c r="F115" s="18">
        <v>18.762769995550013</v>
      </c>
      <c r="G115" s="18">
        <v>19.037714230270431</v>
      </c>
      <c r="H115" s="18">
        <v>19.074701766994909</v>
      </c>
      <c r="I115" s="18">
        <v>19.42407343994682</v>
      </c>
      <c r="J115" s="18">
        <v>19.472300898786198</v>
      </c>
      <c r="K115" s="18">
        <v>17.978595103875868</v>
      </c>
      <c r="L115" s="18">
        <v>18.425580854596319</v>
      </c>
      <c r="M115" s="18">
        <v>18.875393382474392</v>
      </c>
      <c r="N115" s="18">
        <v>19.37593948814931</v>
      </c>
      <c r="O115" s="18">
        <v>19.904043035124161</v>
      </c>
      <c r="P115" s="18">
        <v>20.434676476954504</v>
      </c>
      <c r="Q115" s="18">
        <v>21.051358228285224</v>
      </c>
      <c r="R115" s="18">
        <v>21.647594038894049</v>
      </c>
      <c r="S115" s="18">
        <v>22.266043235160069</v>
      </c>
      <c r="T115" s="18">
        <v>22.909699710557216</v>
      </c>
      <c r="U115" s="18">
        <v>23.472167600372124</v>
      </c>
      <c r="V115" s="18">
        <v>24.141799581503221</v>
      </c>
      <c r="W115" s="18">
        <v>24.822594807412035</v>
      </c>
      <c r="X115" s="18">
        <v>25.49556340544002</v>
      </c>
      <c r="Y115" s="18">
        <v>26.15349331496332</v>
      </c>
      <c r="Z115" s="18">
        <v>26.767784324168478</v>
      </c>
      <c r="AA115" s="18">
        <v>27.460886584388707</v>
      </c>
      <c r="AB115" s="18">
        <v>28.180547175783659</v>
      </c>
      <c r="AC115" s="18">
        <v>28.889625610088803</v>
      </c>
      <c r="AD115" s="18">
        <v>29.626578795924523</v>
      </c>
      <c r="AE115" s="18">
        <v>30.409324222456782</v>
      </c>
      <c r="AF115" s="18">
        <v>31.215558283358291</v>
      </c>
      <c r="AG115" s="18">
        <v>32.049998427479558</v>
      </c>
      <c r="AH115" s="18">
        <v>32.910738887097288</v>
      </c>
      <c r="AI115" s="18">
        <v>33.807840745570964</v>
      </c>
      <c r="AJ115" s="18">
        <v>34.749774821046124</v>
      </c>
      <c r="AK115" s="18">
        <v>35.625703852026675</v>
      </c>
      <c r="AL115" s="18">
        <v>36.542469856907495</v>
      </c>
      <c r="AM115" s="18">
        <v>37.50409193622648</v>
      </c>
      <c r="AN115" s="18">
        <v>38.516268854629871</v>
      </c>
      <c r="AO115" s="18">
        <v>39.601164848584354</v>
      </c>
    </row>
    <row r="116" spans="2:41" x14ac:dyDescent="0.25">
      <c r="B116" t="s">
        <v>27</v>
      </c>
      <c r="C116" s="18">
        <v>52.810230956688748</v>
      </c>
      <c r="D116" s="18">
        <v>54.282362311943913</v>
      </c>
      <c r="E116" s="18">
        <v>55.219691955007207</v>
      </c>
      <c r="F116" s="18">
        <v>55.71177904843772</v>
      </c>
      <c r="G116" s="18">
        <v>56.147972175388119</v>
      </c>
      <c r="H116" s="18">
        <v>56.388632981353197</v>
      </c>
      <c r="I116" s="18">
        <v>56.935742268541119</v>
      </c>
      <c r="J116" s="18">
        <v>56.915851520215952</v>
      </c>
      <c r="K116" s="18">
        <v>52.222577111314017</v>
      </c>
      <c r="L116" s="18">
        <v>53.485625534148674</v>
      </c>
      <c r="M116" s="18">
        <v>54.772963618611712</v>
      </c>
      <c r="N116" s="18">
        <v>56.124869079913438</v>
      </c>
      <c r="O116" s="18">
        <v>57.585957657715895</v>
      </c>
      <c r="P116" s="18">
        <v>59.079383283398805</v>
      </c>
      <c r="Q116" s="18">
        <v>60.65927250258617</v>
      </c>
      <c r="R116" s="18">
        <v>62.260045747357402</v>
      </c>
      <c r="S116" s="18">
        <v>63.990528518902622</v>
      </c>
      <c r="T116" s="18">
        <v>65.756685063171986</v>
      </c>
      <c r="U116" s="18">
        <v>67.302359421755469</v>
      </c>
      <c r="V116" s="18">
        <v>69.094850913797686</v>
      </c>
      <c r="W116" s="18">
        <v>70.970000633313632</v>
      </c>
      <c r="X116" s="18">
        <v>72.841272605878572</v>
      </c>
      <c r="Y116" s="18">
        <v>74.680009801299036</v>
      </c>
      <c r="Z116" s="18">
        <v>76.689487549255745</v>
      </c>
      <c r="AA116" s="18">
        <v>78.645651568328219</v>
      </c>
      <c r="AB116" s="18">
        <v>80.680897902695563</v>
      </c>
      <c r="AC116" s="18">
        <v>82.683267359520102</v>
      </c>
      <c r="AD116" s="18">
        <v>84.755595279062305</v>
      </c>
      <c r="AE116" s="18">
        <v>86.95293734444499</v>
      </c>
      <c r="AF116" s="18">
        <v>89.222401499368857</v>
      </c>
      <c r="AG116" s="18">
        <v>91.58017263387822</v>
      </c>
      <c r="AH116" s="18">
        <v>94.032631642963366</v>
      </c>
      <c r="AI116" s="18">
        <v>96.593962146369691</v>
      </c>
      <c r="AJ116" s="18">
        <v>99.287066617144006</v>
      </c>
      <c r="AK116" s="18">
        <v>101.82505005183501</v>
      </c>
      <c r="AL116" s="18">
        <v>104.47034535027582</v>
      </c>
      <c r="AM116" s="18">
        <v>107.23725071589587</v>
      </c>
      <c r="AN116" s="18">
        <v>110.14119878132441</v>
      </c>
      <c r="AO116" s="18">
        <v>113.25676411935609</v>
      </c>
    </row>
    <row r="117" spans="2:41" x14ac:dyDescent="0.25">
      <c r="B117" t="s">
        <v>28</v>
      </c>
      <c r="C117" s="18">
        <v>14.113350558119752</v>
      </c>
      <c r="D117" s="18">
        <v>14.548721789119966</v>
      </c>
      <c r="E117" s="18">
        <v>14.815418697580203</v>
      </c>
      <c r="F117" s="18">
        <v>15.061372702819703</v>
      </c>
      <c r="G117" s="18">
        <v>15.235873493159337</v>
      </c>
      <c r="H117" s="18">
        <v>15.371374502079824</v>
      </c>
      <c r="I117" s="18">
        <v>15.552383515448332</v>
      </c>
      <c r="J117" s="18">
        <v>15.609153497571331</v>
      </c>
      <c r="K117" s="18">
        <v>14.275724652406321</v>
      </c>
      <c r="L117" s="18">
        <v>14.632592738141414</v>
      </c>
      <c r="M117" s="18">
        <v>14.998829546275548</v>
      </c>
      <c r="N117" s="18">
        <v>15.396795523093482</v>
      </c>
      <c r="O117" s="18">
        <v>15.823820610150811</v>
      </c>
      <c r="P117" s="18">
        <v>16.253232567458738</v>
      </c>
      <c r="Q117" s="18">
        <v>16.7257349793129</v>
      </c>
      <c r="R117" s="18">
        <v>17.201748391427138</v>
      </c>
      <c r="S117" s="18">
        <v>17.708895194433161</v>
      </c>
      <c r="T117" s="18">
        <v>18.240242131053403</v>
      </c>
      <c r="U117" s="18">
        <v>18.673472788437888</v>
      </c>
      <c r="V117" s="18">
        <v>19.209896031686849</v>
      </c>
      <c r="W117" s="18">
        <v>19.759109345897627</v>
      </c>
      <c r="X117" s="18">
        <v>20.315924153008183</v>
      </c>
      <c r="Y117" s="18">
        <v>20.85546661362639</v>
      </c>
      <c r="Z117" s="18">
        <v>21.431818706447395</v>
      </c>
      <c r="AA117" s="18">
        <v>22.024541155299971</v>
      </c>
      <c r="AB117" s="18">
        <v>22.636627065976988</v>
      </c>
      <c r="AC117" s="18">
        <v>23.238211464117626</v>
      </c>
      <c r="AD117" s="18">
        <v>23.860936149160427</v>
      </c>
      <c r="AE117" s="18">
        <v>24.521037099566129</v>
      </c>
      <c r="AF117" s="18">
        <v>25.21661964013013</v>
      </c>
      <c r="AG117" s="18">
        <v>25.945207485839877</v>
      </c>
      <c r="AH117" s="18">
        <v>26.705694433212486</v>
      </c>
      <c r="AI117" s="18">
        <v>27.488632120441018</v>
      </c>
      <c r="AJ117" s="18">
        <v>28.306253513157241</v>
      </c>
      <c r="AK117" s="18">
        <v>29.07899575807043</v>
      </c>
      <c r="AL117" s="18">
        <v>29.886726463920347</v>
      </c>
      <c r="AM117" s="18">
        <v>30.734199731905431</v>
      </c>
      <c r="AN117" s="18">
        <v>31.62665662555618</v>
      </c>
      <c r="AO117" s="18">
        <v>32.582524336641313</v>
      </c>
    </row>
    <row r="118" spans="2:41" x14ac:dyDescent="0.25">
      <c r="B118" t="s">
        <v>29</v>
      </c>
      <c r="C118" s="18">
        <v>13.345629432701433</v>
      </c>
      <c r="D118" s="18">
        <v>13.899973861744526</v>
      </c>
      <c r="E118" s="18">
        <v>14.241400522629307</v>
      </c>
      <c r="F118" s="18">
        <v>14.660228740858253</v>
      </c>
      <c r="G118" s="18">
        <v>14.734307821369407</v>
      </c>
      <c r="H118" s="18">
        <v>14.820136538356026</v>
      </c>
      <c r="I118" s="18">
        <v>14.834474809054743</v>
      </c>
      <c r="J118" s="18">
        <v>14.739267553174583</v>
      </c>
      <c r="K118" s="18">
        <v>12.850963128301911</v>
      </c>
      <c r="L118" s="18">
        <v>13.194214531253461</v>
      </c>
      <c r="M118" s="18">
        <v>13.463306784285843</v>
      </c>
      <c r="N118" s="18">
        <v>13.76702952833095</v>
      </c>
      <c r="O118" s="18">
        <v>14.094770559289131</v>
      </c>
      <c r="P118" s="18">
        <v>14.441316908885499</v>
      </c>
      <c r="Q118" s="18">
        <v>14.774137977640024</v>
      </c>
      <c r="R118" s="18">
        <v>15.111490993070266</v>
      </c>
      <c r="S118" s="18">
        <v>15.48015276320328</v>
      </c>
      <c r="T118" s="18">
        <v>15.903436587208263</v>
      </c>
      <c r="U118" s="18">
        <v>16.2345529006253</v>
      </c>
      <c r="V118" s="18">
        <v>16.68332773177854</v>
      </c>
      <c r="W118" s="18">
        <v>17.177801343588126</v>
      </c>
      <c r="X118" s="18">
        <v>17.632404747738843</v>
      </c>
      <c r="Y118" s="18">
        <v>18.108047442152905</v>
      </c>
      <c r="Z118" s="18">
        <v>18.687220599592028</v>
      </c>
      <c r="AA118" s="18">
        <v>19.123335619478652</v>
      </c>
      <c r="AB118" s="18">
        <v>19.574212861738804</v>
      </c>
      <c r="AC118" s="18">
        <v>20.016445254151499</v>
      </c>
      <c r="AD118" s="18">
        <v>20.474336821456458</v>
      </c>
      <c r="AE118" s="18">
        <v>20.962217277389243</v>
      </c>
      <c r="AF118" s="18">
        <v>21.465139347092094</v>
      </c>
      <c r="AG118" s="18">
        <v>21.98329495211933</v>
      </c>
      <c r="AH118" s="18">
        <v>22.520032154344616</v>
      </c>
      <c r="AI118" s="18">
        <v>23.078435912261451</v>
      </c>
      <c r="AJ118" s="18">
        <v>23.667355045881628</v>
      </c>
      <c r="AK118" s="18">
        <v>24.216532537303461</v>
      </c>
      <c r="AL118" s="18">
        <v>24.785962003570585</v>
      </c>
      <c r="AM118" s="18">
        <v>25.381861674959502</v>
      </c>
      <c r="AN118" s="18">
        <v>26.007023223198622</v>
      </c>
      <c r="AO118" s="18">
        <v>26.682114624908355</v>
      </c>
    </row>
    <row r="119" spans="2:41" x14ac:dyDescent="0.25">
      <c r="B119" t="s">
        <v>30</v>
      </c>
      <c r="C119" s="18">
        <v>10.112362730183554</v>
      </c>
      <c r="D119" s="18">
        <v>8.5007203734218884</v>
      </c>
      <c r="E119" s="18">
        <v>7.7653014266725382</v>
      </c>
      <c r="F119" s="18">
        <v>7.8585582183696561</v>
      </c>
      <c r="G119" s="18">
        <v>7.6166575811777113</v>
      </c>
      <c r="H119" s="18">
        <v>7.2676899905857173</v>
      </c>
      <c r="I119" s="18">
        <v>7.0928076077901956</v>
      </c>
      <c r="J119" s="18">
        <v>6.7895805384473107</v>
      </c>
      <c r="K119" s="18">
        <v>5.5395441341179819</v>
      </c>
      <c r="L119" s="18">
        <v>5.6650824418180408</v>
      </c>
      <c r="M119" s="18">
        <v>5.7151179539530679</v>
      </c>
      <c r="N119" s="18">
        <v>5.7834214959080672</v>
      </c>
      <c r="O119" s="18">
        <v>5.891744250290798</v>
      </c>
      <c r="P119" s="18">
        <v>6.0386177502028104</v>
      </c>
      <c r="Q119" s="18">
        <v>6.1810468439326582</v>
      </c>
      <c r="R119" s="18">
        <v>6.3307968903523228</v>
      </c>
      <c r="S119" s="18">
        <v>6.5005469605789363</v>
      </c>
      <c r="T119" s="18">
        <v>6.7469701193181173</v>
      </c>
      <c r="U119" s="18">
        <v>6.9645438930507204</v>
      </c>
      <c r="V119" s="18">
        <v>7.2642905837274876</v>
      </c>
      <c r="W119" s="18">
        <v>7.6165217660109006</v>
      </c>
      <c r="X119" s="18">
        <v>7.9708467351610119</v>
      </c>
      <c r="Y119" s="18">
        <v>8.3506559498367015</v>
      </c>
      <c r="Z119" s="18">
        <v>8.8308793056775485</v>
      </c>
      <c r="AA119" s="18">
        <v>9.2631119812253129</v>
      </c>
      <c r="AB119" s="18">
        <v>9.7001657965888324</v>
      </c>
      <c r="AC119" s="18">
        <v>10.122199009055521</v>
      </c>
      <c r="AD119" s="18">
        <v>10.548860068139749</v>
      </c>
      <c r="AE119" s="18">
        <v>10.988663855455595</v>
      </c>
      <c r="AF119" s="18">
        <v>11.419316718040559</v>
      </c>
      <c r="AG119" s="18">
        <v>11.842864946898526</v>
      </c>
      <c r="AH119" s="18">
        <v>12.260957333092508</v>
      </c>
      <c r="AI119" s="18">
        <v>12.67630003107922</v>
      </c>
      <c r="AJ119" s="18">
        <v>13.093477295435996</v>
      </c>
      <c r="AK119" s="18">
        <v>13.462828088563523</v>
      </c>
      <c r="AL119" s="18">
        <v>13.83089229550253</v>
      </c>
      <c r="AM119" s="18">
        <v>14.201888568407229</v>
      </c>
      <c r="AN119" s="18">
        <v>14.577737580063628</v>
      </c>
      <c r="AO119" s="18">
        <v>14.97305467762345</v>
      </c>
    </row>
    <row r="120" spans="2:41" x14ac:dyDescent="0.25">
      <c r="B120" t="s">
        <v>31</v>
      </c>
      <c r="C120" s="18">
        <v>1.2396211872289537E-4</v>
      </c>
      <c r="D120" s="18">
        <v>1.3639597438124391E-4</v>
      </c>
      <c r="E120" s="18">
        <v>1.4782778941609218E-4</v>
      </c>
      <c r="F120" s="18">
        <v>1.433373755900728E-4</v>
      </c>
      <c r="G120" s="18">
        <v>1.4102836937202948E-4</v>
      </c>
      <c r="H120" s="18">
        <v>1.3573729608291313E-4</v>
      </c>
      <c r="I120" s="18">
        <v>1.4250803609018416E-4</v>
      </c>
      <c r="J120" s="18">
        <v>1.4349767581431678E-4</v>
      </c>
      <c r="K120" s="18">
        <v>1.1077458554618781E-4</v>
      </c>
      <c r="L120" s="18">
        <v>1.2272309954097676E-4</v>
      </c>
      <c r="M120" s="18">
        <v>1.265790961958254E-4</v>
      </c>
      <c r="N120" s="18">
        <v>1.3088259036532032E-4</v>
      </c>
      <c r="O120" s="18">
        <v>1.3647595294192876E-4</v>
      </c>
      <c r="P120" s="18">
        <v>1.4444262285271943E-4</v>
      </c>
      <c r="Q120" s="18">
        <v>1.4909047543167897E-4</v>
      </c>
      <c r="R120" s="18">
        <v>1.5384452910483781E-4</v>
      </c>
      <c r="S120" s="18">
        <v>1.5903968594170402E-4</v>
      </c>
      <c r="T120" s="18">
        <v>1.2376511719270039E-4</v>
      </c>
      <c r="U120" s="18">
        <v>1.2376511719270041E-4</v>
      </c>
      <c r="V120" s="18">
        <v>1.2376511719270044E-4</v>
      </c>
      <c r="W120" s="18">
        <v>1.2376511719270041E-4</v>
      </c>
      <c r="X120" s="18">
        <v>1.2376511719270041E-4</v>
      </c>
      <c r="Y120" s="18">
        <v>1.2376511719270041E-4</v>
      </c>
      <c r="Z120" s="18">
        <v>1.2376511719270041E-4</v>
      </c>
      <c r="AA120" s="18">
        <v>1.2376511719270047E-4</v>
      </c>
      <c r="AB120" s="18">
        <v>1.2376511719270047E-4</v>
      </c>
      <c r="AC120" s="18">
        <v>1.2376511719270041E-4</v>
      </c>
      <c r="AD120" s="18">
        <v>1.2376511719270041E-4</v>
      </c>
      <c r="AE120" s="18">
        <v>1.2376511719270039E-4</v>
      </c>
      <c r="AF120" s="18">
        <v>1.2376511719270041E-4</v>
      </c>
      <c r="AG120" s="18">
        <v>1.2376511719270039E-4</v>
      </c>
      <c r="AH120" s="18">
        <v>1.2376511719270047E-4</v>
      </c>
      <c r="AI120" s="18">
        <v>1.2376511719270052E-4</v>
      </c>
      <c r="AJ120" s="18">
        <v>1.2376511719270058E-4</v>
      </c>
      <c r="AK120" s="18">
        <v>1.2376511719270058E-4</v>
      </c>
      <c r="AL120" s="18">
        <v>1.2376511719270052E-4</v>
      </c>
      <c r="AM120" s="18">
        <v>1.2376511719270052E-4</v>
      </c>
      <c r="AN120" s="18">
        <v>1.237651171927005E-4</v>
      </c>
      <c r="AO120" s="18">
        <v>1.2376511719270052E-4</v>
      </c>
    </row>
    <row r="121" spans="2:41" x14ac:dyDescent="0.25">
      <c r="B121" t="s">
        <v>32</v>
      </c>
      <c r="C121" s="18">
        <v>84.250557323845101</v>
      </c>
      <c r="D121" s="18">
        <v>82.451215835678212</v>
      </c>
      <c r="E121" s="18">
        <v>80.166243478069532</v>
      </c>
      <c r="F121" s="18">
        <v>77.626015719858643</v>
      </c>
      <c r="G121" s="18">
        <v>76.22541754695969</v>
      </c>
      <c r="H121" s="18">
        <v>74.388929903020184</v>
      </c>
      <c r="I121" s="18">
        <v>74.661627930767523</v>
      </c>
      <c r="J121" s="18">
        <v>74.775428105381266</v>
      </c>
      <c r="K121" s="18">
        <v>70.522195251866989</v>
      </c>
      <c r="L121" s="18">
        <v>73.094492492143644</v>
      </c>
      <c r="M121" s="18">
        <v>73.214968744367397</v>
      </c>
      <c r="N121" s="18">
        <v>74.270210908090405</v>
      </c>
      <c r="O121" s="18">
        <v>74.302275677412496</v>
      </c>
      <c r="P121" s="18">
        <v>72.946609309788073</v>
      </c>
      <c r="Q121" s="18">
        <v>74.534785437994302</v>
      </c>
      <c r="R121" s="18">
        <v>76.951376992110681</v>
      </c>
      <c r="S121" s="18">
        <v>77.843900415805521</v>
      </c>
      <c r="T121" s="18">
        <v>79.070428521803947</v>
      </c>
      <c r="U121" s="18">
        <v>77.488568884480685</v>
      </c>
      <c r="V121" s="18">
        <v>80.001746636610036</v>
      </c>
      <c r="W121" s="18">
        <v>81.615727730669292</v>
      </c>
      <c r="X121" s="18">
        <v>83.144940101381721</v>
      </c>
      <c r="Y121" s="18">
        <v>84.082398572093226</v>
      </c>
      <c r="Z121" s="18">
        <v>84.304176107667672</v>
      </c>
      <c r="AA121" s="18">
        <v>86.706826920772002</v>
      </c>
      <c r="AB121" s="18">
        <v>88.824376735822355</v>
      </c>
      <c r="AC121" s="18">
        <v>90.953130838479012</v>
      </c>
      <c r="AD121" s="18">
        <v>93.067176333633881</v>
      </c>
      <c r="AE121" s="18">
        <v>95.21376631469569</v>
      </c>
      <c r="AF121" s="18">
        <v>96.850170559997039</v>
      </c>
      <c r="AG121" s="18">
        <v>98.234253996043691</v>
      </c>
      <c r="AH121" s="18">
        <v>99.652597349120313</v>
      </c>
      <c r="AI121" s="18">
        <v>101.07044472386205</v>
      </c>
      <c r="AJ121" s="18">
        <v>102.5096778995579</v>
      </c>
      <c r="AK121" s="18">
        <v>103.8756184684088</v>
      </c>
      <c r="AL121" s="18">
        <v>105.22907993312295</v>
      </c>
      <c r="AM121" s="18">
        <v>106.64135677829437</v>
      </c>
      <c r="AN121" s="18">
        <v>108.08092477062478</v>
      </c>
      <c r="AO121" s="18">
        <v>109.5489131273044</v>
      </c>
    </row>
    <row r="122" spans="2:41" x14ac:dyDescent="0.25">
      <c r="B122" t="s">
        <v>33</v>
      </c>
      <c r="C122" s="18">
        <v>21.151207305916397</v>
      </c>
      <c r="D122" s="18">
        <v>22.521282491755183</v>
      </c>
      <c r="E122" s="18">
        <v>24.217986565765905</v>
      </c>
      <c r="F122" s="18">
        <v>25.461135067347364</v>
      </c>
      <c r="G122" s="18">
        <v>26.297310750693875</v>
      </c>
      <c r="H122" s="18">
        <v>28.16300470040489</v>
      </c>
      <c r="I122" s="18">
        <v>30.348501189694851</v>
      </c>
      <c r="J122" s="18">
        <v>31.793574952699373</v>
      </c>
      <c r="K122" s="18">
        <v>30.484415949333048</v>
      </c>
      <c r="L122" s="18">
        <v>31.715305188613026</v>
      </c>
      <c r="M122" s="18">
        <v>33.102158131950326</v>
      </c>
      <c r="N122" s="18">
        <v>34.659094884560439</v>
      </c>
      <c r="O122" s="18">
        <v>36.39067919900473</v>
      </c>
      <c r="P122" s="18">
        <v>38.204349046553844</v>
      </c>
      <c r="Q122" s="18">
        <v>40.242752534029108</v>
      </c>
      <c r="R122" s="18">
        <v>42.352494691702802</v>
      </c>
      <c r="S122" s="18">
        <v>44.62959349611431</v>
      </c>
      <c r="T122" s="18">
        <v>47.059568403454492</v>
      </c>
      <c r="U122" s="18">
        <v>49.336141685836502</v>
      </c>
      <c r="V122" s="18">
        <v>52.129708803872987</v>
      </c>
      <c r="W122" s="18">
        <v>55.076493025987219</v>
      </c>
      <c r="X122" s="18">
        <v>58.127939356488781</v>
      </c>
      <c r="Y122" s="18">
        <v>61.165718763166645</v>
      </c>
      <c r="Z122" s="18">
        <v>64.743710634723442</v>
      </c>
      <c r="AA122" s="18">
        <v>68.410556921662561</v>
      </c>
      <c r="AB122" s="18">
        <v>72.216463325601225</v>
      </c>
      <c r="AC122" s="18">
        <v>76.013255310377787</v>
      </c>
      <c r="AD122" s="18">
        <v>79.97978335920952</v>
      </c>
      <c r="AE122" s="18">
        <v>84.167229780771748</v>
      </c>
      <c r="AF122" s="18">
        <v>88.703651014964663</v>
      </c>
      <c r="AG122" s="18">
        <v>93.495987804506427</v>
      </c>
      <c r="AH122" s="18">
        <v>98.513167089164398</v>
      </c>
      <c r="AI122" s="18">
        <v>103.74106028177358</v>
      </c>
      <c r="AJ122" s="18">
        <v>109.17954792194922</v>
      </c>
      <c r="AK122" s="18">
        <v>114.28179559976975</v>
      </c>
      <c r="AL122" s="18">
        <v>119.64957820111283</v>
      </c>
      <c r="AM122" s="18">
        <v>125.31986083075584</v>
      </c>
      <c r="AN122" s="18">
        <v>131.28607556652435</v>
      </c>
      <c r="AO122" s="18">
        <v>137.69966432544891</v>
      </c>
    </row>
    <row r="123" spans="2:41" x14ac:dyDescent="0.25">
      <c r="B123" t="s">
        <v>34</v>
      </c>
      <c r="C123" s="18">
        <v>135.95535691221758</v>
      </c>
      <c r="D123" s="18">
        <v>139.80351127853945</v>
      </c>
      <c r="E123" s="18">
        <v>142.66409200833968</v>
      </c>
      <c r="F123" s="18">
        <v>144.13036048331253</v>
      </c>
      <c r="G123" s="18">
        <v>145.0014302833948</v>
      </c>
      <c r="H123" s="18">
        <v>146.55585903275639</v>
      </c>
      <c r="I123" s="18">
        <v>148.28569594981948</v>
      </c>
      <c r="J123" s="18">
        <v>149.06461652943278</v>
      </c>
      <c r="K123" s="18">
        <v>137.82766079356369</v>
      </c>
      <c r="L123" s="18">
        <v>140.70394471007126</v>
      </c>
      <c r="M123" s="18">
        <v>143.76714641829912</v>
      </c>
      <c r="N123" s="18">
        <v>147.12848647576391</v>
      </c>
      <c r="O123" s="18">
        <v>150.76049449915379</v>
      </c>
      <c r="P123" s="18">
        <v>154.33485001807401</v>
      </c>
      <c r="Q123" s="18">
        <v>158.36097525088041</v>
      </c>
      <c r="R123" s="18">
        <v>162.47821309092055</v>
      </c>
      <c r="S123" s="18">
        <v>166.85402227556517</v>
      </c>
      <c r="T123" s="18">
        <v>171.19273800324726</v>
      </c>
      <c r="U123" s="18">
        <v>174.84705057564088</v>
      </c>
      <c r="V123" s="18">
        <v>179.31069111024703</v>
      </c>
      <c r="W123" s="18">
        <v>183.8200659769339</v>
      </c>
      <c r="X123" s="18">
        <v>188.45915175381029</v>
      </c>
      <c r="Y123" s="18">
        <v>192.83647380242422</v>
      </c>
      <c r="Z123" s="18">
        <v>197.4490556385359</v>
      </c>
      <c r="AA123" s="18">
        <v>202.3032772288403</v>
      </c>
      <c r="AB123" s="18">
        <v>207.34778110170382</v>
      </c>
      <c r="AC123" s="18">
        <v>212.31258981749002</v>
      </c>
      <c r="AD123" s="18">
        <v>217.46651232501361</v>
      </c>
      <c r="AE123" s="18">
        <v>222.94594056097739</v>
      </c>
      <c r="AF123" s="18">
        <v>228.74169932221261</v>
      </c>
      <c r="AG123" s="18">
        <v>234.76776055763202</v>
      </c>
      <c r="AH123" s="18">
        <v>241.02171215001968</v>
      </c>
      <c r="AI123" s="18">
        <v>247.53264718985847</v>
      </c>
      <c r="AJ123" s="18">
        <v>254.37037860613714</v>
      </c>
      <c r="AK123" s="18">
        <v>260.75466562266104</v>
      </c>
      <c r="AL123" s="18">
        <v>267.45156625352439</v>
      </c>
      <c r="AM123" s="18">
        <v>274.50343300227337</v>
      </c>
      <c r="AN123" s="18">
        <v>281.92696162795829</v>
      </c>
      <c r="AO123" s="18">
        <v>289.90858523747522</v>
      </c>
    </row>
    <row r="124" spans="2:41" x14ac:dyDescent="0.25">
      <c r="B124" t="s">
        <v>35</v>
      </c>
      <c r="C124" s="18">
        <v>11.263564724197627</v>
      </c>
      <c r="D124" s="18">
        <v>11.573114330999795</v>
      </c>
      <c r="E124" s="18">
        <v>11.904421804272397</v>
      </c>
      <c r="F124" s="18">
        <v>12.110094606966681</v>
      </c>
      <c r="G124" s="18">
        <v>12.166932788027333</v>
      </c>
      <c r="H124" s="18">
        <v>12.293711060955006</v>
      </c>
      <c r="I124" s="18">
        <v>12.562958323284702</v>
      </c>
      <c r="J124" s="18">
        <v>12.711588758003899</v>
      </c>
      <c r="K124" s="18">
        <v>11.921653112246329</v>
      </c>
      <c r="L124" s="18">
        <v>12.235304710288451</v>
      </c>
      <c r="M124" s="18">
        <v>12.501281403627599</v>
      </c>
      <c r="N124" s="18">
        <v>12.741742363348116</v>
      </c>
      <c r="O124" s="18">
        <v>12.98624838026327</v>
      </c>
      <c r="P124" s="18">
        <v>13.214479448270467</v>
      </c>
      <c r="Q124" s="18">
        <v>13.465168709241487</v>
      </c>
      <c r="R124" s="18">
        <v>13.703477984695741</v>
      </c>
      <c r="S124" s="18">
        <v>13.943442716705752</v>
      </c>
      <c r="T124" s="18">
        <v>14.18613399699187</v>
      </c>
      <c r="U124" s="18">
        <v>14.466589529547347</v>
      </c>
      <c r="V124" s="18">
        <v>14.845840463025313</v>
      </c>
      <c r="W124" s="18">
        <v>15.167896365378041</v>
      </c>
      <c r="X124" s="18">
        <v>15.482175648100521</v>
      </c>
      <c r="Y124" s="18">
        <v>15.753527531290876</v>
      </c>
      <c r="Z124" s="18">
        <v>16.029022897704866</v>
      </c>
      <c r="AA124" s="18">
        <v>16.344022280745968</v>
      </c>
      <c r="AB124" s="18">
        <v>16.653030576959534</v>
      </c>
      <c r="AC124" s="18">
        <v>16.95834435079685</v>
      </c>
      <c r="AD124" s="18">
        <v>17.270783697210387</v>
      </c>
      <c r="AE124" s="18">
        <v>17.605624985872634</v>
      </c>
      <c r="AF124" s="18">
        <v>17.958545368952624</v>
      </c>
      <c r="AG124" s="18">
        <v>18.326368122704476</v>
      </c>
      <c r="AH124" s="18">
        <v>18.695411513294513</v>
      </c>
      <c r="AI124" s="18">
        <v>19.063846336311084</v>
      </c>
      <c r="AJ124" s="18">
        <v>19.436090482310849</v>
      </c>
      <c r="AK124" s="18">
        <v>19.764024399763979</v>
      </c>
      <c r="AL124" s="18">
        <v>20.084817159876348</v>
      </c>
      <c r="AM124" s="18">
        <v>20.430774533226025</v>
      </c>
      <c r="AN124" s="18">
        <v>20.793147678228024</v>
      </c>
      <c r="AO124" s="18">
        <v>21.18512097954352</v>
      </c>
    </row>
    <row r="125" spans="2:41" x14ac:dyDescent="0.25">
      <c r="B125" t="s">
        <v>36</v>
      </c>
      <c r="C125" s="18">
        <v>1.1351531206547518</v>
      </c>
      <c r="D125" s="18">
        <v>1.1581435930988344</v>
      </c>
      <c r="E125" s="18">
        <v>1.1466897745006903</v>
      </c>
      <c r="F125" s="18">
        <v>1.1404041486992398</v>
      </c>
      <c r="G125" s="18">
        <v>1.158082223645845</v>
      </c>
      <c r="H125" s="18">
        <v>1.1690400702239674</v>
      </c>
      <c r="I125" s="18">
        <v>1.1399086849076014</v>
      </c>
      <c r="J125" s="18">
        <v>1.1221637155461712</v>
      </c>
      <c r="K125" s="18">
        <v>1.0096297710191362</v>
      </c>
      <c r="L125" s="18">
        <v>1.0106492879161646</v>
      </c>
      <c r="M125" s="18">
        <v>1.0302529717942739</v>
      </c>
      <c r="N125" s="18">
        <v>1.0620864750479064</v>
      </c>
      <c r="O125" s="18">
        <v>1.0998118752864574</v>
      </c>
      <c r="P125" s="18">
        <v>1.1401523216394778</v>
      </c>
      <c r="Q125" s="18">
        <v>1.1865134987803243</v>
      </c>
      <c r="R125" s="18">
        <v>1.2382503590157974</v>
      </c>
      <c r="S125" s="18">
        <v>1.2967453569894312</v>
      </c>
      <c r="T125" s="18">
        <v>1.3581112576656127</v>
      </c>
      <c r="U125" s="18">
        <v>1.393039840277065</v>
      </c>
      <c r="V125" s="18">
        <v>1.4236346020613615</v>
      </c>
      <c r="W125" s="18">
        <v>1.4718356260352397</v>
      </c>
      <c r="X125" s="18">
        <v>1.526684010572724</v>
      </c>
      <c r="Y125" s="18">
        <v>1.5859732062358185</v>
      </c>
      <c r="Z125" s="18">
        <v>1.6511561750372967</v>
      </c>
      <c r="AA125" s="18">
        <v>1.7137906368871529</v>
      </c>
      <c r="AB125" s="18">
        <v>1.7838412023456807</v>
      </c>
      <c r="AC125" s="18">
        <v>1.852760928004608</v>
      </c>
      <c r="AD125" s="18">
        <v>1.9252952057275514</v>
      </c>
      <c r="AE125" s="18">
        <v>2.0011863599229782</v>
      </c>
      <c r="AF125" s="18">
        <v>2.0799279842080454</v>
      </c>
      <c r="AG125" s="18">
        <v>2.161300898584174</v>
      </c>
      <c r="AH125" s="18">
        <v>2.2491417997344558</v>
      </c>
      <c r="AI125" s="18">
        <v>2.3449152122731407</v>
      </c>
      <c r="AJ125" s="18">
        <v>2.4496740414846618</v>
      </c>
      <c r="AK125" s="18">
        <v>2.553957149593189</v>
      </c>
      <c r="AL125" s="18">
        <v>2.6701459219060015</v>
      </c>
      <c r="AM125" s="18">
        <v>2.7900071780000926</v>
      </c>
      <c r="AN125" s="18">
        <v>2.9167674131821033</v>
      </c>
      <c r="AO125" s="18">
        <v>3.0523121519180978</v>
      </c>
    </row>
    <row r="126" spans="2:41" x14ac:dyDescent="0.25">
      <c r="B126" t="s">
        <v>37</v>
      </c>
      <c r="C126" s="18">
        <v>27.516308224731535</v>
      </c>
      <c r="D126" s="18">
        <v>26.933321910754717</v>
      </c>
      <c r="E126" s="18">
        <v>26.357240851505608</v>
      </c>
      <c r="F126" s="18">
        <v>25.784669574259389</v>
      </c>
      <c r="G126" s="18">
        <v>25.784669574259372</v>
      </c>
      <c r="H126" s="18">
        <v>25.792154377886234</v>
      </c>
      <c r="I126" s="18">
        <v>25.78096221762112</v>
      </c>
      <c r="J126" s="18">
        <v>25.777254860982886</v>
      </c>
      <c r="K126" s="18">
        <v>25.780962217621408</v>
      </c>
      <c r="L126" s="18">
        <v>25.780962217621408</v>
      </c>
      <c r="M126" s="18">
        <v>25.780962217621404</v>
      </c>
      <c r="N126" s="18">
        <v>25.780962217621397</v>
      </c>
      <c r="O126" s="18">
        <v>25.780962217621397</v>
      </c>
      <c r="P126" s="18">
        <v>25.221712610799649</v>
      </c>
      <c r="Q126" s="18">
        <v>25.221712610799649</v>
      </c>
      <c r="R126" s="18">
        <v>25.198560689428401</v>
      </c>
      <c r="S126" s="18">
        <v>25.198154966054339</v>
      </c>
      <c r="T126" s="18">
        <v>25.22443266858593</v>
      </c>
      <c r="U126" s="18">
        <v>25.198154966054339</v>
      </c>
      <c r="V126" s="18">
        <v>24.729363674487423</v>
      </c>
      <c r="W126" s="18">
        <v>24.107340422025779</v>
      </c>
      <c r="X126" s="18">
        <v>24.068889189911349</v>
      </c>
      <c r="Y126" s="18">
        <v>23.566180013629189</v>
      </c>
      <c r="Z126" s="18">
        <v>22.355593289542004</v>
      </c>
      <c r="AA126" s="18">
        <v>22.403008355083625</v>
      </c>
      <c r="AB126" s="18">
        <v>22.450423420625238</v>
      </c>
      <c r="AC126" s="18">
        <v>22.497838486166845</v>
      </c>
      <c r="AD126" s="18">
        <v>22.545253551708463</v>
      </c>
      <c r="AE126" s="18">
        <v>22.592668617250066</v>
      </c>
      <c r="AF126" s="18">
        <v>22.390297614205075</v>
      </c>
      <c r="AG126" s="18">
        <v>22.187926611160076</v>
      </c>
      <c r="AH126" s="18">
        <v>21.985555608115085</v>
      </c>
      <c r="AI126" s="18">
        <v>21.783184605070087</v>
      </c>
      <c r="AJ126" s="18">
        <v>21.580813602025103</v>
      </c>
      <c r="AK126" s="18">
        <v>21.378442598980104</v>
      </c>
      <c r="AL126" s="18">
        <v>21.176071595935095</v>
      </c>
      <c r="AM126" s="18">
        <v>20.973700592890108</v>
      </c>
      <c r="AN126" s="18">
        <v>20.771329589845102</v>
      </c>
      <c r="AO126" s="18">
        <v>20.568958586800107</v>
      </c>
    </row>
    <row r="127" spans="2:41" x14ac:dyDescent="0.25">
      <c r="B127" t="s">
        <v>38</v>
      </c>
      <c r="C127" s="18">
        <v>66.42036548153871</v>
      </c>
      <c r="D127" s="18">
        <v>67.405879473318592</v>
      </c>
      <c r="E127" s="18">
        <v>64.422201326406551</v>
      </c>
      <c r="F127" s="18">
        <v>61.447467786677329</v>
      </c>
      <c r="G127" s="18">
        <v>61.142610702865952</v>
      </c>
      <c r="H127" s="18">
        <v>61.268075561889901</v>
      </c>
      <c r="I127" s="18">
        <v>60.912459713234377</v>
      </c>
      <c r="J127" s="18">
        <v>60.468556482084786</v>
      </c>
      <c r="K127" s="18">
        <v>58.515171706745178</v>
      </c>
      <c r="L127" s="18">
        <v>58.254298294534607</v>
      </c>
      <c r="M127" s="18">
        <v>58.043794250560346</v>
      </c>
      <c r="N127" s="18">
        <v>58.268510979649157</v>
      </c>
      <c r="O127" s="18">
        <v>58.634403368923351</v>
      </c>
      <c r="P127" s="18">
        <v>59.586142400355428</v>
      </c>
      <c r="Q127" s="18">
        <v>59.40613908356876</v>
      </c>
      <c r="R127" s="18">
        <v>59.339774819221503</v>
      </c>
      <c r="S127" s="18">
        <v>59.635924277118903</v>
      </c>
      <c r="T127" s="18">
        <v>59.8003165606208</v>
      </c>
      <c r="U127" s="18">
        <v>60.405002253054697</v>
      </c>
      <c r="V127" s="18">
        <v>59.924771535685913</v>
      </c>
      <c r="W127" s="18">
        <v>59.693945281900724</v>
      </c>
      <c r="X127" s="18">
        <v>59.46503786708054</v>
      </c>
      <c r="Y127" s="18">
        <v>59.155273715860652</v>
      </c>
      <c r="Z127" s="18">
        <v>58.166723000493484</v>
      </c>
      <c r="AA127" s="18">
        <v>57.190274817346371</v>
      </c>
      <c r="AB127" s="18">
        <v>56.213826634199208</v>
      </c>
      <c r="AC127" s="18">
        <v>55.237378451052074</v>
      </c>
      <c r="AD127" s="18">
        <v>54.260930267904918</v>
      </c>
      <c r="AE127" s="18">
        <v>53.284482084757748</v>
      </c>
      <c r="AF127" s="18">
        <v>52.724292816706132</v>
      </c>
      <c r="AG127" s="18">
        <v>52.164103548654488</v>
      </c>
      <c r="AH127" s="18">
        <v>51.603914280602893</v>
      </c>
      <c r="AI127" s="18">
        <v>51.043725012551292</v>
      </c>
      <c r="AJ127" s="18">
        <v>50.483535744499683</v>
      </c>
      <c r="AK127" s="18">
        <v>49.923346476448074</v>
      </c>
      <c r="AL127" s="18">
        <v>49.363157208396451</v>
      </c>
      <c r="AM127" s="18">
        <v>48.802967940344814</v>
      </c>
      <c r="AN127" s="18">
        <v>48.242778672293184</v>
      </c>
      <c r="AO127" s="18">
        <v>47.682589404241561</v>
      </c>
    </row>
    <row r="128" spans="2:41" x14ac:dyDescent="0.25">
      <c r="C128" s="13"/>
      <c r="D128" s="23"/>
    </row>
    <row r="129" spans="1:41" ht="18" thickBot="1" x14ac:dyDescent="0.35">
      <c r="A129" s="4" t="s">
        <v>143</v>
      </c>
      <c r="B129" s="4"/>
      <c r="C129" s="4"/>
      <c r="D129" s="4"/>
      <c r="E129" s="4"/>
      <c r="F129" s="4"/>
      <c r="G129" s="4"/>
      <c r="H129" s="4"/>
    </row>
    <row r="130" spans="1:41" ht="15.75" thickTop="1" x14ac:dyDescent="0.25">
      <c r="B130" s="3">
        <v>2012</v>
      </c>
      <c r="C130" s="3">
        <v>2013</v>
      </c>
      <c r="D130" s="3">
        <v>2014</v>
      </c>
      <c r="E130" s="3">
        <v>2015</v>
      </c>
      <c r="F130" s="3">
        <v>2016</v>
      </c>
      <c r="G130" s="3">
        <v>2017</v>
      </c>
      <c r="H130" s="3">
        <v>2018</v>
      </c>
      <c r="I130" s="3">
        <v>2019</v>
      </c>
      <c r="J130" s="3">
        <v>2020</v>
      </c>
      <c r="K130" s="3">
        <v>2021</v>
      </c>
      <c r="L130" s="3">
        <v>2022</v>
      </c>
      <c r="M130" s="3">
        <v>2023</v>
      </c>
      <c r="N130" s="3">
        <v>2024</v>
      </c>
      <c r="O130" s="3">
        <v>2025</v>
      </c>
      <c r="P130" s="3">
        <v>2026</v>
      </c>
      <c r="Q130" s="3">
        <v>2027</v>
      </c>
      <c r="R130" s="3">
        <v>2028</v>
      </c>
      <c r="S130" s="3">
        <v>2029</v>
      </c>
      <c r="T130" s="3">
        <v>2030</v>
      </c>
      <c r="U130" s="3">
        <v>2031</v>
      </c>
      <c r="V130" s="3">
        <v>2032</v>
      </c>
      <c r="W130" s="3">
        <v>2033</v>
      </c>
      <c r="X130" s="3">
        <v>2034</v>
      </c>
      <c r="Y130" s="3">
        <v>2035</v>
      </c>
      <c r="Z130" s="3">
        <v>2036</v>
      </c>
      <c r="AA130" s="3">
        <v>2037</v>
      </c>
      <c r="AB130" s="3">
        <v>2038</v>
      </c>
      <c r="AC130">
        <v>2039</v>
      </c>
      <c r="AD130">
        <v>2040</v>
      </c>
      <c r="AE130">
        <v>2041</v>
      </c>
      <c r="AF130">
        <v>2042</v>
      </c>
      <c r="AG130">
        <v>2043</v>
      </c>
      <c r="AH130">
        <v>2044</v>
      </c>
      <c r="AI130">
        <v>2045</v>
      </c>
      <c r="AJ130">
        <v>2046</v>
      </c>
      <c r="AK130">
        <v>2047</v>
      </c>
      <c r="AL130">
        <v>2048</v>
      </c>
      <c r="AM130">
        <v>2049</v>
      </c>
      <c r="AN130">
        <v>2050</v>
      </c>
    </row>
    <row r="131" spans="1:41" x14ac:dyDescent="0.25">
      <c r="A131" s="3" t="s">
        <v>54</v>
      </c>
      <c r="B131" s="12">
        <v>0.5</v>
      </c>
      <c r="C131" s="12">
        <v>0.49361482500619441</v>
      </c>
      <c r="D131" s="12">
        <v>0.48206830798992972</v>
      </c>
      <c r="E131" s="12">
        <v>0.47202613350430117</v>
      </c>
      <c r="F131" s="12">
        <v>0.46557223068394388</v>
      </c>
      <c r="G131" s="12">
        <v>0.45639821843997963</v>
      </c>
      <c r="H131" s="12">
        <v>0.44660476008909161</v>
      </c>
      <c r="I131" s="12">
        <v>0.43972669731095931</v>
      </c>
      <c r="J131" s="12">
        <v>0.44869179830464656</v>
      </c>
      <c r="K131" s="12">
        <v>0.4608685558592584</v>
      </c>
      <c r="L131" s="12">
        <v>0.45293933531025343</v>
      </c>
      <c r="M131" s="12">
        <v>0.44496466333523621</v>
      </c>
      <c r="N131" s="12">
        <v>0.43604395407815993</v>
      </c>
      <c r="O131" s="12">
        <v>0.42640214177595159</v>
      </c>
      <c r="P131" s="12">
        <v>0.41704128628178283</v>
      </c>
      <c r="Q131" s="12">
        <v>0.40736811409437179</v>
      </c>
      <c r="R131" s="12">
        <v>0.39752040531475452</v>
      </c>
      <c r="S131" s="12">
        <v>0.38792623621073147</v>
      </c>
      <c r="T131" s="12">
        <v>0.3786915183200642</v>
      </c>
      <c r="U131" s="12">
        <v>0.3695210575010458</v>
      </c>
      <c r="V131" s="12">
        <v>0.35977357770148527</v>
      </c>
      <c r="W131" s="12">
        <v>0.35010150129371193</v>
      </c>
      <c r="X131" s="12">
        <v>0.34070620489032388</v>
      </c>
      <c r="Y131" s="12">
        <v>0.33256879940716488</v>
      </c>
      <c r="Z131" s="12">
        <v>0.32526196722319101</v>
      </c>
      <c r="AA131" s="12">
        <v>0.31743656623784111</v>
      </c>
      <c r="AB131" s="12">
        <v>0.30944759350189216</v>
      </c>
      <c r="AC131" s="12">
        <v>0.30170210809401976</v>
      </c>
      <c r="AD131" s="12">
        <v>0.29426669588993903</v>
      </c>
      <c r="AE131" s="12">
        <v>0.28705947092480621</v>
      </c>
      <c r="AF131" s="12">
        <v>0.27985912607480135</v>
      </c>
      <c r="AG131" s="12">
        <v>0.27267207752507222</v>
      </c>
      <c r="AH131" s="12">
        <v>0.2655187699863964</v>
      </c>
      <c r="AI131" s="12">
        <v>0.25835683521052188</v>
      </c>
      <c r="AJ131" s="12">
        <v>0.25160847240437884</v>
      </c>
      <c r="AK131" s="12">
        <v>0.24500439781986932</v>
      </c>
      <c r="AL131" s="12">
        <v>0.23870289310099521</v>
      </c>
      <c r="AM131" s="12">
        <v>0.23259738300263871</v>
      </c>
      <c r="AN131" s="12">
        <v>0.2264556984169197</v>
      </c>
    </row>
    <row r="132" spans="1:41" x14ac:dyDescent="0.25">
      <c r="A132" s="3" t="s">
        <v>55</v>
      </c>
      <c r="B132" s="12">
        <v>0.3</v>
      </c>
      <c r="C132" s="12">
        <v>0.29468225957952826</v>
      </c>
      <c r="D132" s="12">
        <v>0.29652686013085344</v>
      </c>
      <c r="E132" s="12">
        <v>0.29778797816876007</v>
      </c>
      <c r="F132" s="12">
        <v>0.29845066012740579</v>
      </c>
      <c r="G132" s="12">
        <v>0.29691592343442441</v>
      </c>
      <c r="H132" s="12">
        <v>0.29765219102063356</v>
      </c>
      <c r="I132" s="12">
        <v>0.298551917090845</v>
      </c>
      <c r="J132" s="12">
        <v>0.30807790666505486</v>
      </c>
      <c r="K132" s="12">
        <v>0.29101084546381101</v>
      </c>
      <c r="L132" s="12">
        <v>0.29254909838976384</v>
      </c>
      <c r="M132" s="12">
        <v>0.29362458379515177</v>
      </c>
      <c r="N132" s="12">
        <v>0.29479545876831015</v>
      </c>
      <c r="O132" s="12">
        <v>0.29612492551474839</v>
      </c>
      <c r="P132" s="12">
        <v>0.29821430926402148</v>
      </c>
      <c r="Q132" s="12">
        <v>0.30025114738936809</v>
      </c>
      <c r="R132" s="12">
        <v>0.30243161805275043</v>
      </c>
      <c r="S132" s="12">
        <v>0.30454490929663142</v>
      </c>
      <c r="T132" s="12">
        <v>0.30672648903867467</v>
      </c>
      <c r="U132" s="12">
        <v>0.30878587056708845</v>
      </c>
      <c r="V132" s="12">
        <v>0.3113776753132933</v>
      </c>
      <c r="W132" s="12">
        <v>0.31391427008417805</v>
      </c>
      <c r="X132" s="12">
        <v>0.31654756766084635</v>
      </c>
      <c r="Y132" s="12">
        <v>0.31943560967325441</v>
      </c>
      <c r="Z132" s="12">
        <v>0.32167854950189212</v>
      </c>
      <c r="AA132" s="12">
        <v>0.32413815716167887</v>
      </c>
      <c r="AB132" s="12">
        <v>0.32667347879243019</v>
      </c>
      <c r="AC132" s="12">
        <v>0.32941478752673903</v>
      </c>
      <c r="AD132" s="12">
        <v>0.33194977862338843</v>
      </c>
      <c r="AE132" s="12">
        <v>0.3347119146565295</v>
      </c>
      <c r="AF132" s="12">
        <v>0.33747750852961228</v>
      </c>
      <c r="AG132" s="12">
        <v>0.34019487891547112</v>
      </c>
      <c r="AH132" s="12">
        <v>0.34290256616818704</v>
      </c>
      <c r="AI132" s="12">
        <v>0.34553441204668883</v>
      </c>
      <c r="AJ132" s="12">
        <v>0.3486358783170348</v>
      </c>
      <c r="AK132" s="12">
        <v>0.35163376928920365</v>
      </c>
      <c r="AL132" s="12">
        <v>0.35473779187508891</v>
      </c>
      <c r="AM132" s="12">
        <v>0.35763130295873286</v>
      </c>
      <c r="AN132" s="12">
        <v>0.36050417317170641</v>
      </c>
    </row>
    <row r="133" spans="1:41" x14ac:dyDescent="0.25">
      <c r="A133" s="3" t="s">
        <v>56</v>
      </c>
      <c r="B133" s="12">
        <v>0.19999999999999998</v>
      </c>
      <c r="C133" s="12">
        <v>0.20613092634999897</v>
      </c>
      <c r="D133" s="12">
        <v>0.20997219853254745</v>
      </c>
      <c r="E133" s="12">
        <v>0.21260669534823909</v>
      </c>
      <c r="F133" s="12">
        <v>0.21196845959615526</v>
      </c>
      <c r="G133" s="12">
        <v>0.21596815697579858</v>
      </c>
      <c r="H133" s="12">
        <v>0.21840570822090161</v>
      </c>
      <c r="I133" s="12">
        <v>0.21780961373237509</v>
      </c>
      <c r="J133" s="12">
        <v>0.19278899154436505</v>
      </c>
      <c r="K133" s="12">
        <v>0.19553669373990809</v>
      </c>
      <c r="L133" s="12">
        <v>0.19978989451661469</v>
      </c>
      <c r="M133" s="12">
        <v>0.20455613793575173</v>
      </c>
      <c r="N133" s="12">
        <v>0.21017784188075633</v>
      </c>
      <c r="O133" s="12">
        <v>0.21636685904947664</v>
      </c>
      <c r="P133" s="12">
        <v>0.22306684325167825</v>
      </c>
      <c r="Q133" s="12">
        <v>0.23013203762505227</v>
      </c>
      <c r="R133" s="12">
        <v>0.23722848369486835</v>
      </c>
      <c r="S133" s="12">
        <v>0.24413891693925951</v>
      </c>
      <c r="T133" s="12">
        <v>0.250621957691326</v>
      </c>
      <c r="U133" s="12">
        <v>0.25838040126580109</v>
      </c>
      <c r="V133" s="12">
        <v>0.26618388831950496</v>
      </c>
      <c r="W133" s="12">
        <v>0.27396762998285962</v>
      </c>
      <c r="X133" s="12">
        <v>0.28137833717201771</v>
      </c>
      <c r="Y133" s="12">
        <v>0.28727685765124816</v>
      </c>
      <c r="Z133" s="12">
        <v>0.29412231319643162</v>
      </c>
      <c r="AA133" s="12">
        <v>0.30127304885663259</v>
      </c>
      <c r="AB133" s="12">
        <v>0.30851502785058504</v>
      </c>
      <c r="AC133" s="12">
        <v>0.31531092438850294</v>
      </c>
      <c r="AD133" s="12">
        <v>0.32200646376955105</v>
      </c>
      <c r="AE133" s="12">
        <v>0.32929830475714733</v>
      </c>
      <c r="AF133" s="12">
        <v>0.33658835430014045</v>
      </c>
      <c r="AG133" s="12">
        <v>0.34392190319885563</v>
      </c>
      <c r="AH133" s="12">
        <v>0.35123999212377366</v>
      </c>
      <c r="AI133" s="12">
        <v>0.35865117337681979</v>
      </c>
      <c r="AJ133" s="12">
        <v>0.36625024275029583</v>
      </c>
      <c r="AK133" s="12">
        <v>0.37382482671382988</v>
      </c>
      <c r="AL133" s="12">
        <v>0.38100700334125265</v>
      </c>
      <c r="AM133" s="12">
        <v>0.38822005789694591</v>
      </c>
      <c r="AN133" s="12">
        <v>0.39550635603522843</v>
      </c>
    </row>
    <row r="134" spans="1:41" x14ac:dyDescent="0.25">
      <c r="A134" s="3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</row>
    <row r="136" spans="1:41" ht="18" thickBot="1" x14ac:dyDescent="0.35">
      <c r="A136" s="4" t="s">
        <v>144</v>
      </c>
      <c r="B136" s="4"/>
      <c r="C136" s="4"/>
      <c r="D136" s="4"/>
      <c r="E136" s="4"/>
      <c r="F136" s="4"/>
      <c r="G136" s="4"/>
      <c r="H136" s="4"/>
    </row>
    <row r="137" spans="1:41" ht="15.75" thickTop="1" x14ac:dyDescent="0.25">
      <c r="A137" s="3">
        <v>2012</v>
      </c>
      <c r="B137" s="3">
        <v>2013</v>
      </c>
      <c r="C137" s="3">
        <v>2014</v>
      </c>
      <c r="D137" s="3">
        <v>2015</v>
      </c>
      <c r="E137" s="3">
        <v>2016</v>
      </c>
      <c r="F137" s="3">
        <v>2017</v>
      </c>
      <c r="G137" s="3">
        <v>2018</v>
      </c>
      <c r="H137" s="3">
        <v>2019</v>
      </c>
      <c r="I137" s="3">
        <v>2020</v>
      </c>
      <c r="J137" s="3">
        <v>2021</v>
      </c>
      <c r="K137" s="3">
        <v>2022</v>
      </c>
      <c r="L137" s="3">
        <v>2023</v>
      </c>
      <c r="M137" s="3">
        <v>2024</v>
      </c>
      <c r="N137" s="3">
        <v>2025</v>
      </c>
      <c r="O137" s="3">
        <v>2026</v>
      </c>
      <c r="P137" s="3">
        <v>2027</v>
      </c>
      <c r="Q137" s="3">
        <v>2028</v>
      </c>
      <c r="R137" s="3">
        <v>2029</v>
      </c>
      <c r="S137" s="3">
        <v>2030</v>
      </c>
      <c r="T137" s="3">
        <v>2031</v>
      </c>
      <c r="U137" s="3">
        <v>2032</v>
      </c>
      <c r="V137" s="3">
        <v>2033</v>
      </c>
      <c r="W137" s="3">
        <v>2034</v>
      </c>
      <c r="X137" s="3">
        <v>2035</v>
      </c>
      <c r="Y137" s="3">
        <v>2036</v>
      </c>
      <c r="Z137">
        <v>2037</v>
      </c>
      <c r="AA137">
        <v>2038</v>
      </c>
      <c r="AB137">
        <v>2039</v>
      </c>
      <c r="AC137">
        <v>2040</v>
      </c>
      <c r="AD137">
        <v>2041</v>
      </c>
      <c r="AE137">
        <v>2042</v>
      </c>
      <c r="AF137">
        <v>2043</v>
      </c>
      <c r="AG137">
        <v>2044</v>
      </c>
      <c r="AH137">
        <v>2045</v>
      </c>
      <c r="AI137">
        <v>2046</v>
      </c>
      <c r="AJ137">
        <v>2047</v>
      </c>
      <c r="AK137">
        <v>2048</v>
      </c>
      <c r="AL137">
        <v>2049</v>
      </c>
      <c r="AM137">
        <v>2050</v>
      </c>
    </row>
    <row r="138" spans="1:41" x14ac:dyDescent="0.25">
      <c r="A138">
        <v>0.30163969294989873</v>
      </c>
      <c r="B138">
        <v>0.30770118876733893</v>
      </c>
      <c r="C138">
        <v>0.31057938732953844</v>
      </c>
      <c r="D138">
        <v>0.31277940101847879</v>
      </c>
      <c r="E138">
        <v>0.31284316327620315</v>
      </c>
      <c r="F138">
        <v>0.31635831555178628</v>
      </c>
      <c r="G138">
        <v>0.31867877236635728</v>
      </c>
      <c r="H138">
        <v>0.31829026462005117</v>
      </c>
      <c r="I138">
        <v>0.29040891806001651</v>
      </c>
      <c r="J138">
        <v>0.29800403265459058</v>
      </c>
      <c r="K138">
        <v>0.30200401780692876</v>
      </c>
      <c r="L138">
        <v>0.30656034625617695</v>
      </c>
      <c r="M138">
        <v>0.31192904187570236</v>
      </c>
      <c r="N138">
        <v>0.31799947261850164</v>
      </c>
      <c r="O138">
        <v>0.32433434766527408</v>
      </c>
      <c r="P138">
        <v>0.33129984849841504</v>
      </c>
      <c r="Q138">
        <v>0.33856860928890536</v>
      </c>
      <c r="R138">
        <v>0.3460220907336497</v>
      </c>
      <c r="S138">
        <v>0.35326945484642069</v>
      </c>
      <c r="T138">
        <v>0.36227316635231788</v>
      </c>
      <c r="U138">
        <v>0.37153100120479132</v>
      </c>
      <c r="V138">
        <v>0.38125213640261274</v>
      </c>
      <c r="W138">
        <v>0.39088366365960481</v>
      </c>
      <c r="X138" s="12">
        <v>0.43438755091144643</v>
      </c>
      <c r="Y138" s="12">
        <v>0.4444480293768564</v>
      </c>
      <c r="Z138" s="12">
        <v>0.45535275868686731</v>
      </c>
      <c r="AA138" s="12">
        <v>0.46694075625504039</v>
      </c>
      <c r="AB138" s="12">
        <v>0.4781300856362905</v>
      </c>
      <c r="AC138" s="12">
        <v>0.48967453302970809</v>
      </c>
      <c r="AD138" s="12">
        <v>0.50224672606058585</v>
      </c>
      <c r="AE138" s="12">
        <v>0.51536971747141613</v>
      </c>
      <c r="AF138" s="12">
        <v>0.52924077512855172</v>
      </c>
      <c r="AG138" s="12">
        <v>0.54376194787755061</v>
      </c>
      <c r="AH138" s="12">
        <v>0.55932663957277284</v>
      </c>
      <c r="AI138" s="12">
        <v>0.57508190051994368</v>
      </c>
      <c r="AJ138" s="12">
        <v>0.59159288253939912</v>
      </c>
      <c r="AK138" s="12">
        <v>0.6076457041478186</v>
      </c>
      <c r="AL138" s="12">
        <v>0.62468417964119827</v>
      </c>
      <c r="AM138" s="12">
        <v>0.68427588534183081</v>
      </c>
    </row>
    <row r="140" spans="1:41" ht="18" thickBot="1" x14ac:dyDescent="0.35">
      <c r="B140" s="24" t="s">
        <v>173</v>
      </c>
      <c r="C140" s="24"/>
      <c r="D140" s="24"/>
      <c r="E140" s="24"/>
    </row>
    <row r="141" spans="1:41" ht="15.75" thickTop="1" x14ac:dyDescent="0.25">
      <c r="C141">
        <v>2012</v>
      </c>
      <c r="D141">
        <v>2013</v>
      </c>
      <c r="E141">
        <v>2014</v>
      </c>
      <c r="F141">
        <v>2015</v>
      </c>
      <c r="G141">
        <v>2016</v>
      </c>
      <c r="H141">
        <v>2017</v>
      </c>
      <c r="I141">
        <v>2018</v>
      </c>
      <c r="J141">
        <v>2019</v>
      </c>
      <c r="K141">
        <v>2020</v>
      </c>
      <c r="L141">
        <v>2021</v>
      </c>
      <c r="M141">
        <v>2022</v>
      </c>
      <c r="N141">
        <v>2023</v>
      </c>
      <c r="O141">
        <v>2024</v>
      </c>
      <c r="P141">
        <v>2025</v>
      </c>
      <c r="Q141">
        <v>2026</v>
      </c>
      <c r="R141">
        <v>2027</v>
      </c>
      <c r="S141">
        <v>2028</v>
      </c>
      <c r="T141">
        <v>2029</v>
      </c>
      <c r="U141">
        <v>2030</v>
      </c>
      <c r="V141">
        <v>2031</v>
      </c>
      <c r="W141">
        <v>2032</v>
      </c>
      <c r="X141">
        <v>2033</v>
      </c>
      <c r="Y141">
        <v>2034</v>
      </c>
      <c r="Z141">
        <v>2035</v>
      </c>
      <c r="AA141">
        <v>2036</v>
      </c>
      <c r="AB141">
        <v>2037</v>
      </c>
      <c r="AC141">
        <v>2038</v>
      </c>
      <c r="AD141">
        <v>2039</v>
      </c>
      <c r="AE141">
        <v>2040</v>
      </c>
      <c r="AF141">
        <v>2041</v>
      </c>
      <c r="AG141">
        <v>2042</v>
      </c>
      <c r="AH141">
        <v>2043</v>
      </c>
      <c r="AI141">
        <v>2044</v>
      </c>
      <c r="AJ141">
        <v>2045</v>
      </c>
      <c r="AK141">
        <v>2046</v>
      </c>
      <c r="AL141">
        <v>2047</v>
      </c>
      <c r="AM141">
        <v>2048</v>
      </c>
      <c r="AN141">
        <v>2049</v>
      </c>
      <c r="AO141">
        <v>2050</v>
      </c>
    </row>
    <row r="142" spans="1:41" x14ac:dyDescent="0.25">
      <c r="A142">
        <f>MATCH(B142,$A$176:$A$194,0)</f>
        <v>4</v>
      </c>
      <c r="B142" t="s">
        <v>21</v>
      </c>
      <c r="C142" cm="1">
        <f t="array" ref="C142">INDEX(C$176:C$194,$A142)</f>
        <v>1833.85</v>
      </c>
      <c r="D142" cm="1">
        <f t="array" ref="D142">INDEX(D$176:D$194,$A142)</f>
        <v>1881.9</v>
      </c>
      <c r="E142" cm="1">
        <f t="array" ref="E142">INDEX(E$176:E$194,$A142)</f>
        <v>1929.34</v>
      </c>
      <c r="F142" cm="1">
        <f t="array" ref="F142">INDEX(F$176:F$194,$A142)</f>
        <v>1956.68</v>
      </c>
      <c r="G142" cm="1">
        <f t="array" ref="G142">INDEX(G$176:G$194,$A142)</f>
        <v>1983.97</v>
      </c>
      <c r="H142" cm="1">
        <f t="array" ref="H142">INDEX(H$176:H$194,$A142)</f>
        <v>2015.63</v>
      </c>
      <c r="I142" cm="1">
        <f t="array" ref="I142">INDEX(I$176:I$194,$A142)</f>
        <v>2048.7199999999998</v>
      </c>
      <c r="J142" cm="1">
        <f t="array" ref="J142">INDEX(J$176:J$194,$A142)</f>
        <v>2068.14</v>
      </c>
      <c r="K142" cm="1">
        <f t="array" ref="K142">INDEX(K$176:K$194,$A142)</f>
        <v>1924.06</v>
      </c>
      <c r="L142" cm="1">
        <f t="array" ref="L142">INDEX(L$176:L$194,$A142)</f>
        <v>1969.68</v>
      </c>
      <c r="M142" cm="1">
        <f t="array" ref="M142">INDEX(M$176:M$194,$A142)</f>
        <v>2013.21</v>
      </c>
      <c r="N142" cm="1">
        <f t="array" ref="N142">INDEX(N$176:N$194,$A142)</f>
        <v>2052.89</v>
      </c>
      <c r="O142" cm="1">
        <f t="array" ref="O142">INDEX(O$176:O$194,$A142)</f>
        <v>2097.59</v>
      </c>
      <c r="P142" cm="1">
        <f t="array" ref="P142">INDEX(P$176:P$194,$A142)</f>
        <v>2142.04</v>
      </c>
      <c r="Q142" cm="1">
        <f t="array" ref="Q142">INDEX(Q$176:Q$194,$A142)</f>
        <v>2187.36</v>
      </c>
      <c r="R142" cm="1">
        <f t="array" ref="R142">INDEX(R$176:R$194,$A142)</f>
        <v>2232.96</v>
      </c>
      <c r="S142" cm="1">
        <f t="array" ref="S142">INDEX(S$176:S$194,$A142)</f>
        <v>2276.1999999999998</v>
      </c>
      <c r="T142" cm="1">
        <f t="array" ref="T142">INDEX(T$176:T$194,$A142)</f>
        <v>2325.7600000000002</v>
      </c>
      <c r="U142" cm="1">
        <f t="array" ref="U142">INDEX(U$176:U$194,$A142)</f>
        <v>2379.34</v>
      </c>
      <c r="V142" cm="1">
        <f t="array" ref="V142">INDEX(V$176:V$194,$A142)</f>
        <v>2444.09</v>
      </c>
      <c r="W142" cm="1">
        <f t="array" ref="W142">INDEX(W$176:W$194,$A142)</f>
        <v>2512.85</v>
      </c>
      <c r="X142" cm="1">
        <f t="array" ref="X142">INDEX(X$176:X$194,$A142)</f>
        <v>2586.39</v>
      </c>
      <c r="Y142" cm="1">
        <f t="array" ref="Y142">INDEX(Y$176:Y$194,$A142)</f>
        <v>2669.29</v>
      </c>
      <c r="Z142" cm="1">
        <f t="array" ref="Z142">INDEX(Z$176:Z$194,$A142)</f>
        <v>2753.03</v>
      </c>
      <c r="AA142" cm="1">
        <f t="array" ref="AA142">INDEX(AA$176:AA$194,$A142)</f>
        <v>2843.24</v>
      </c>
      <c r="AB142" cm="1">
        <f t="array" ref="AB142">INDEX(AB$176:AB$194,$A142)</f>
        <v>2938.39</v>
      </c>
      <c r="AC142" cm="1">
        <f t="array" ref="AC142">INDEX(AC$176:AC$194,$A142)</f>
        <v>3036.29</v>
      </c>
      <c r="AD142" cm="1">
        <f t="array" ref="AD142">INDEX(AD$176:AD$194,$A142)</f>
        <v>3138.34</v>
      </c>
      <c r="AE142" cm="1">
        <f t="array" ref="AE142">INDEX(AE$176:AE$194,$A142)</f>
        <v>3244.95</v>
      </c>
      <c r="AF142" cm="1">
        <f t="array" ref="AF142">INDEX(AF$176:AF$194,$A142)</f>
        <v>3354.92</v>
      </c>
      <c r="AG142" cm="1">
        <f t="array" ref="AG142">INDEX(AG$176:AG$194,$A142)</f>
        <v>3465.43</v>
      </c>
      <c r="AH142" cm="1">
        <f t="array" ref="AH142">INDEX(AH$176:AH$194,$A142)</f>
        <v>3580.36</v>
      </c>
      <c r="AI142" cm="1">
        <f t="array" ref="AI142">INDEX(AI$176:AI$194,$A142)</f>
        <v>3700.03</v>
      </c>
      <c r="AJ142" cm="1">
        <f t="array" ref="AJ142">INDEX(AJ$176:AJ$194,$A142)</f>
        <v>3827.31</v>
      </c>
      <c r="AK142" cm="1">
        <f t="array" ref="AK142">INDEX(AK$176:AK$194,$A142)</f>
        <v>3959.52</v>
      </c>
      <c r="AL142" cm="1">
        <f t="array" ref="AL142">INDEX(AL$176:AL$194,$A142)</f>
        <v>4091.05</v>
      </c>
      <c r="AM142" cm="1">
        <f t="array" ref="AM142">INDEX(AM$176:AM$194,$A142)</f>
        <v>4228.6000000000004</v>
      </c>
      <c r="AN142" cm="1">
        <f t="array" ref="AN142">INDEX(AN$176:AN$194,$A142)</f>
        <v>4373.84</v>
      </c>
      <c r="AO142" cm="1">
        <f t="array" ref="AO142">INDEX(AO$176:AO$194,$A142)</f>
        <v>4547.05</v>
      </c>
    </row>
    <row r="143" spans="1:41" x14ac:dyDescent="0.25">
      <c r="A143">
        <f t="shared" ref="A143:A160" si="44">MATCH(B143,$A$176:$A$194,0)</f>
        <v>1</v>
      </c>
      <c r="B143" t="s">
        <v>73</v>
      </c>
      <c r="C143" cm="1">
        <f t="array" ref="C143">INDEX(C$176:C$194,$A143)</f>
        <v>69.819999999999993</v>
      </c>
      <c r="D143" cm="1">
        <f t="array" ref="D143">INDEX(D$176:D$194,$A143)</f>
        <v>72.86</v>
      </c>
      <c r="E143" cm="1">
        <f t="array" ref="E143">INDEX(E$176:E$194,$A143)</f>
        <v>75.87</v>
      </c>
      <c r="F143" cm="1">
        <f t="array" ref="F143">INDEX(F$176:F$194,$A143)</f>
        <v>74.64</v>
      </c>
      <c r="G143" cm="1">
        <f t="array" ref="G143">INDEX(G$176:G$194,$A143)</f>
        <v>73.959999999999994</v>
      </c>
      <c r="H143" cm="1">
        <f t="array" ref="H143">INDEX(H$176:H$194,$A143)</f>
        <v>76.72</v>
      </c>
      <c r="I143" cm="1">
        <f t="array" ref="I143">INDEX(I$176:I$194,$A143)</f>
        <v>75.61</v>
      </c>
      <c r="J143" cm="1">
        <f t="array" ref="J143">INDEX(J$176:J$194,$A143)</f>
        <v>74.11</v>
      </c>
      <c r="K143" cm="1">
        <f t="array" ref="K143">INDEX(K$176:K$194,$A143)</f>
        <v>73.06</v>
      </c>
      <c r="L143" cm="1">
        <f t="array" ref="L143">INDEX(L$176:L$194,$A143)</f>
        <v>75.239999999999995</v>
      </c>
      <c r="M143" cm="1">
        <f t="array" ref="M143">INDEX(M$176:M$194,$A143)</f>
        <v>77.23</v>
      </c>
      <c r="N143" cm="1">
        <f t="array" ref="N143">INDEX(N$176:N$194,$A143)</f>
        <v>78.58</v>
      </c>
      <c r="O143" cm="1">
        <f t="array" ref="O143">INDEX(O$176:O$194,$A143)</f>
        <v>80.14</v>
      </c>
      <c r="P143" cm="1">
        <f t="array" ref="P143">INDEX(P$176:P$194,$A143)</f>
        <v>81.66</v>
      </c>
      <c r="Q143" cm="1">
        <f t="array" ref="Q143">INDEX(Q$176:Q$194,$A143)</f>
        <v>83.01</v>
      </c>
      <c r="R143" cm="1">
        <f t="array" ref="R143">INDEX(R$176:R$194,$A143)</f>
        <v>84.26</v>
      </c>
      <c r="S143" cm="1">
        <f t="array" ref="S143">INDEX(S$176:S$194,$A143)</f>
        <v>85.97</v>
      </c>
      <c r="T143" cm="1">
        <f t="array" ref="T143">INDEX(T$176:T$194,$A143)</f>
        <v>87.4</v>
      </c>
      <c r="U143" cm="1">
        <f t="array" ref="U143">INDEX(U$176:U$194,$A143)</f>
        <v>88.8</v>
      </c>
      <c r="V143" cm="1">
        <f t="array" ref="V143">INDEX(V$176:V$194,$A143)</f>
        <v>90.44</v>
      </c>
      <c r="W143" cm="1">
        <f t="array" ref="W143">INDEX(W$176:W$194,$A143)</f>
        <v>92.09</v>
      </c>
      <c r="X143" cm="1">
        <f t="array" ref="X143">INDEX(X$176:X$194,$A143)</f>
        <v>93.77</v>
      </c>
      <c r="Y143" cm="1">
        <f t="array" ref="Y143">INDEX(Y$176:Y$194,$A143)</f>
        <v>95.87</v>
      </c>
      <c r="Z143" cm="1">
        <f t="array" ref="Z143">INDEX(Z$176:Z$194,$A143)</f>
        <v>97.95</v>
      </c>
      <c r="AA143" cm="1">
        <f t="array" ref="AA143">INDEX(AA$176:AA$194,$A143)</f>
        <v>100.25</v>
      </c>
      <c r="AB143" cm="1">
        <f t="array" ref="AB143">INDEX(AB$176:AB$194,$A143)</f>
        <v>102.58</v>
      </c>
      <c r="AC143" cm="1">
        <f t="array" ref="AC143">INDEX(AC$176:AC$194,$A143)</f>
        <v>104.93</v>
      </c>
      <c r="AD143" cm="1">
        <f t="array" ref="AD143">INDEX(AD$176:AD$194,$A143)</f>
        <v>107.29</v>
      </c>
      <c r="AE143" cm="1">
        <f t="array" ref="AE143">INDEX(AE$176:AE$194,$A143)</f>
        <v>109.71</v>
      </c>
      <c r="AF143" cm="1">
        <f t="array" ref="AF143">INDEX(AF$176:AF$194,$A143)</f>
        <v>112.22</v>
      </c>
      <c r="AG143" cm="1">
        <f t="array" ref="AG143">INDEX(AG$176:AG$194,$A143)</f>
        <v>114.59</v>
      </c>
      <c r="AH143" cm="1">
        <f t="array" ref="AH143">INDEX(AH$176:AH$194,$A143)</f>
        <v>117.07</v>
      </c>
      <c r="AI143" cm="1">
        <f t="array" ref="AI143">INDEX(AI$176:AI$194,$A143)</f>
        <v>119.7</v>
      </c>
      <c r="AJ143" cm="1">
        <f t="array" ref="AJ143">INDEX(AJ$176:AJ$194,$A143)</f>
        <v>122.57</v>
      </c>
      <c r="AK143" cm="1">
        <f t="array" ref="AK143">INDEX(AK$176:AK$194,$A143)</f>
        <v>125.55</v>
      </c>
      <c r="AL143" cm="1">
        <f t="array" ref="AL143">INDEX(AL$176:AL$194,$A143)</f>
        <v>128.41</v>
      </c>
      <c r="AM143" cm="1">
        <f t="array" ref="AM143">INDEX(AM$176:AM$194,$A143)</f>
        <v>131.38999999999999</v>
      </c>
      <c r="AN143" cm="1">
        <f t="array" ref="AN143">INDEX(AN$176:AN$194,$A143)</f>
        <v>134.63</v>
      </c>
      <c r="AO143" cm="1">
        <f t="array" ref="AO143">INDEX(AO$176:AO$194,$A143)</f>
        <v>138.71</v>
      </c>
    </row>
    <row r="144" spans="1:41" x14ac:dyDescent="0.25">
      <c r="A144">
        <f t="shared" si="44"/>
        <v>12</v>
      </c>
      <c r="B144" t="s">
        <v>23</v>
      </c>
      <c r="C144" cm="1">
        <f t="array" ref="C144">INDEX(C$176:C$194,$A144)</f>
        <v>123.26999999999998</v>
      </c>
      <c r="D144" cm="1">
        <f t="array" ref="D144">INDEX(D$176:D$194,$A144)</f>
        <v>125.80799999999999</v>
      </c>
      <c r="E144" cm="1">
        <f t="array" ref="E144">INDEX(E$176:E$194,$A144)</f>
        <v>125.928</v>
      </c>
      <c r="F144" cm="1">
        <f t="array" ref="F144">INDEX(F$176:F$194,$A144)</f>
        <v>128.83799999999999</v>
      </c>
      <c r="G144" cm="1">
        <f t="array" ref="G144">INDEX(G$176:G$194,$A144)</f>
        <v>126.498</v>
      </c>
      <c r="H144" cm="1">
        <f t="array" ref="H144">INDEX(H$176:H$194,$A144)</f>
        <v>129.738</v>
      </c>
      <c r="I144" cm="1">
        <f t="array" ref="I144">INDEX(I$176:I$194,$A144)</f>
        <v>128.71199999999999</v>
      </c>
      <c r="J144" cm="1">
        <f t="array" ref="J144">INDEX(J$176:J$194,$A144)</f>
        <v>126.50399999999999</v>
      </c>
      <c r="K144" cm="1">
        <f t="array" ref="K144">INDEX(K$176:K$194,$A144)</f>
        <v>118.98</v>
      </c>
      <c r="L144" cm="1">
        <f t="array" ref="L144">INDEX(L$176:L$194,$A144)</f>
        <v>121.03799999999998</v>
      </c>
      <c r="M144" cm="1">
        <f t="array" ref="M144">INDEX(M$176:M$194,$A144)</f>
        <v>122.64599999999999</v>
      </c>
      <c r="N144" cm="1">
        <f t="array" ref="N144">INDEX(N$176:N$194,$A144)</f>
        <v>123.93</v>
      </c>
      <c r="O144" cm="1">
        <f t="array" ref="O144">INDEX(O$176:O$194,$A144)</f>
        <v>125.322</v>
      </c>
      <c r="P144" cm="1">
        <f t="array" ref="P144">INDEX(P$176:P$194,$A144)</f>
        <v>126.78</v>
      </c>
      <c r="Q144" cm="1">
        <f t="array" ref="Q144">INDEX(Q$176:Q$194,$A144)</f>
        <v>127.99199999999999</v>
      </c>
      <c r="R144" cm="1">
        <f t="array" ref="R144">INDEX(R$176:R$194,$A144)</f>
        <v>129.15599999999998</v>
      </c>
      <c r="S144" cm="1">
        <f t="array" ref="S144">INDEX(S$176:S$194,$A144)</f>
        <v>131.04</v>
      </c>
      <c r="T144" cm="1">
        <f t="array" ref="T144">INDEX(T$176:T$194,$A144)</f>
        <v>132.066</v>
      </c>
      <c r="U144" cm="1">
        <f t="array" ref="U144">INDEX(U$176:U$194,$A144)</f>
        <v>132.99599999999998</v>
      </c>
      <c r="V144" cm="1">
        <f t="array" ref="V144">INDEX(V$176:V$194,$A144)</f>
        <v>134.298</v>
      </c>
      <c r="W144" cm="1">
        <f t="array" ref="W144">INDEX(W$176:W$194,$A144)</f>
        <v>135.6</v>
      </c>
      <c r="X144" cm="1">
        <f t="array" ref="X144">INDEX(X$176:X$194,$A144)</f>
        <v>136.94399999999999</v>
      </c>
      <c r="Y144" cm="1">
        <f t="array" ref="Y144">INDEX(Y$176:Y$194,$A144)</f>
        <v>138.828</v>
      </c>
      <c r="Z144" cm="1">
        <f t="array" ref="Z144">INDEX(Z$176:Z$194,$A144)</f>
        <v>140.66999999999999</v>
      </c>
      <c r="AA144" cm="1">
        <f t="array" ref="AA144">INDEX(AA$176:AA$194,$A144)</f>
        <v>142.67399999999998</v>
      </c>
      <c r="AB144" cm="1">
        <f t="array" ref="AB144">INDEX(AB$176:AB$194,$A144)</f>
        <v>144.61199999999999</v>
      </c>
      <c r="AC144" cm="1">
        <f t="array" ref="AC144">INDEX(AC$176:AC$194,$A144)</f>
        <v>146.84399999999999</v>
      </c>
      <c r="AD144" cm="1">
        <f t="array" ref="AD144">INDEX(AD$176:AD$194,$A144)</f>
        <v>149.184</v>
      </c>
      <c r="AE144" cm="1">
        <f t="array" ref="AE144">INDEX(AE$176:AE$194,$A144)</f>
        <v>151.65</v>
      </c>
      <c r="AF144" cm="1">
        <f t="array" ref="AF144">INDEX(AF$176:AF$194,$A144)</f>
        <v>154.33799999999999</v>
      </c>
      <c r="AG144" cm="1">
        <f t="array" ref="AG144">INDEX(AG$176:AG$194,$A144)</f>
        <v>157.03800000000001</v>
      </c>
      <c r="AH144" cm="1">
        <f t="array" ref="AH144">INDEX(AH$176:AH$194,$A144)</f>
        <v>159.93600000000001</v>
      </c>
      <c r="AI144" cm="1">
        <f t="array" ref="AI144">INDEX(AI$176:AI$194,$A144)</f>
        <v>163.05599999999998</v>
      </c>
      <c r="AJ144" cm="1">
        <f t="array" ref="AJ144">INDEX(AJ$176:AJ$194,$A144)</f>
        <v>166.488</v>
      </c>
      <c r="AK144" cm="1">
        <f t="array" ref="AK144">INDEX(AK$176:AK$194,$A144)</f>
        <v>170.28</v>
      </c>
      <c r="AL144" cm="1">
        <f t="array" ref="AL144">INDEX(AL$176:AL$194,$A144)</f>
        <v>174.072</v>
      </c>
      <c r="AM144" cm="1">
        <f t="array" ref="AM144">INDEX(AM$176:AM$194,$A144)</f>
        <v>178.14</v>
      </c>
      <c r="AN144" cm="1">
        <f t="array" ref="AN144">INDEX(AN$176:AN$194,$A144)</f>
        <v>182.57400000000001</v>
      </c>
      <c r="AO144" cm="1">
        <f t="array" ref="AO144">INDEX(AO$176:AO$194,$A144)</f>
        <v>188.22599999999997</v>
      </c>
    </row>
    <row r="145" spans="1:41" x14ac:dyDescent="0.25">
      <c r="A145">
        <f t="shared" si="44"/>
        <v>18</v>
      </c>
      <c r="B145" t="s">
        <v>151</v>
      </c>
      <c r="C145" cm="1">
        <f t="array" ref="C145">INDEX(C$176:C$194,$A145)</f>
        <v>82.18</v>
      </c>
      <c r="D145" cm="1">
        <f t="array" ref="D145">INDEX(D$176:D$194,$A145)</f>
        <v>83.872000000000014</v>
      </c>
      <c r="E145" cm="1">
        <f t="array" ref="E145">INDEX(E$176:E$194,$A145)</f>
        <v>83.951999999999998</v>
      </c>
      <c r="F145" cm="1">
        <f t="array" ref="F145">INDEX(F$176:F$194,$A145)</f>
        <v>85.891999999999996</v>
      </c>
      <c r="G145" cm="1">
        <f t="array" ref="G145">INDEX(G$176:G$194,$A145)</f>
        <v>84.332000000000008</v>
      </c>
      <c r="H145" cm="1">
        <f t="array" ref="H145">INDEX(H$176:H$194,$A145)</f>
        <v>86.492000000000004</v>
      </c>
      <c r="I145" cm="1">
        <f t="array" ref="I145">INDEX(I$176:I$194,$A145)</f>
        <v>85.808000000000007</v>
      </c>
      <c r="J145" cm="1">
        <f t="array" ref="J145">INDEX(J$176:J$194,$A145)</f>
        <v>84.336000000000013</v>
      </c>
      <c r="K145" cm="1">
        <f t="array" ref="K145">INDEX(K$176:K$194,$A145)</f>
        <v>79.320000000000007</v>
      </c>
      <c r="L145" cm="1">
        <f t="array" ref="L145">INDEX(L$176:L$194,$A145)</f>
        <v>80.692000000000007</v>
      </c>
      <c r="M145" cm="1">
        <f t="array" ref="M145">INDEX(M$176:M$194,$A145)</f>
        <v>81.76400000000001</v>
      </c>
      <c r="N145" cm="1">
        <f t="array" ref="N145">INDEX(N$176:N$194,$A145)</f>
        <v>82.62</v>
      </c>
      <c r="O145" cm="1">
        <f t="array" ref="O145">INDEX(O$176:O$194,$A145)</f>
        <v>83.548000000000002</v>
      </c>
      <c r="P145" cm="1">
        <f t="array" ref="P145">INDEX(P$176:P$194,$A145)</f>
        <v>84.52000000000001</v>
      </c>
      <c r="Q145" cm="1">
        <f t="array" ref="Q145">INDEX(Q$176:Q$194,$A145)</f>
        <v>85.328000000000003</v>
      </c>
      <c r="R145" cm="1">
        <f t="array" ref="R145">INDEX(R$176:R$194,$A145)</f>
        <v>86.103999999999999</v>
      </c>
      <c r="S145" cm="1">
        <f t="array" ref="S145">INDEX(S$176:S$194,$A145)</f>
        <v>87.360000000000014</v>
      </c>
      <c r="T145" cm="1">
        <f t="array" ref="T145">INDEX(T$176:T$194,$A145)</f>
        <v>88.044000000000011</v>
      </c>
      <c r="U145" cm="1">
        <f t="array" ref="U145">INDEX(U$176:U$194,$A145)</f>
        <v>88.664000000000001</v>
      </c>
      <c r="V145" cm="1">
        <f t="array" ref="V145">INDEX(V$176:V$194,$A145)</f>
        <v>89.532000000000011</v>
      </c>
      <c r="W145" cm="1">
        <f t="array" ref="W145">INDEX(W$176:W$194,$A145)</f>
        <v>90.4</v>
      </c>
      <c r="X145" cm="1">
        <f t="array" ref="X145">INDEX(X$176:X$194,$A145)</f>
        <v>91.296000000000006</v>
      </c>
      <c r="Y145" cm="1">
        <f t="array" ref="Y145">INDEX(Y$176:Y$194,$A145)</f>
        <v>92.552000000000007</v>
      </c>
      <c r="Z145" cm="1">
        <f t="array" ref="Z145">INDEX(Z$176:Z$194,$A145)</f>
        <v>93.78</v>
      </c>
      <c r="AA145" cm="1">
        <f t="array" ref="AA145">INDEX(AA$176:AA$194,$A145)</f>
        <v>95.116</v>
      </c>
      <c r="AB145" cm="1">
        <f t="array" ref="AB145">INDEX(AB$176:AB$194,$A145)</f>
        <v>96.408000000000015</v>
      </c>
      <c r="AC145" cm="1">
        <f t="array" ref="AC145">INDEX(AC$176:AC$194,$A145)</f>
        <v>97.896000000000015</v>
      </c>
      <c r="AD145" cm="1">
        <f t="array" ref="AD145">INDEX(AD$176:AD$194,$A145)</f>
        <v>99.456000000000003</v>
      </c>
      <c r="AE145" cm="1">
        <f t="array" ref="AE145">INDEX(AE$176:AE$194,$A145)</f>
        <v>101.10000000000001</v>
      </c>
      <c r="AF145" cm="1">
        <f t="array" ref="AF145">INDEX(AF$176:AF$194,$A145)</f>
        <v>102.89200000000001</v>
      </c>
      <c r="AG145" cm="1">
        <f t="array" ref="AG145">INDEX(AG$176:AG$194,$A145)</f>
        <v>104.69200000000001</v>
      </c>
      <c r="AH145" cm="1">
        <f t="array" ref="AH145">INDEX(AH$176:AH$194,$A145)</f>
        <v>106.62400000000001</v>
      </c>
      <c r="AI145" cm="1">
        <f t="array" ref="AI145">INDEX(AI$176:AI$194,$A145)</f>
        <v>108.70400000000001</v>
      </c>
      <c r="AJ145" cm="1">
        <f t="array" ref="AJ145">INDEX(AJ$176:AJ$194,$A145)</f>
        <v>110.99200000000002</v>
      </c>
      <c r="AK145" cm="1">
        <f t="array" ref="AK145">INDEX(AK$176:AK$194,$A145)</f>
        <v>113.52000000000001</v>
      </c>
      <c r="AL145" cm="1">
        <f t="array" ref="AL145">INDEX(AL$176:AL$194,$A145)</f>
        <v>116.048</v>
      </c>
      <c r="AM145" cm="1">
        <f t="array" ref="AM145">INDEX(AM$176:AM$194,$A145)</f>
        <v>118.75999999999999</v>
      </c>
      <c r="AN145" cm="1">
        <f t="array" ref="AN145">INDEX(AN$176:AN$194,$A145)</f>
        <v>121.71600000000001</v>
      </c>
      <c r="AO145" cm="1">
        <f t="array" ref="AO145">INDEX(AO$176:AO$194,$A145)</f>
        <v>125.48399999999999</v>
      </c>
    </row>
    <row r="146" spans="1:41" x14ac:dyDescent="0.25">
      <c r="A146">
        <f t="shared" si="44"/>
        <v>8</v>
      </c>
      <c r="B146" t="s">
        <v>24</v>
      </c>
      <c r="C146" cm="1">
        <f t="array" ref="C146">INDEX(C$176:C$194,$A146)</f>
        <v>93.1</v>
      </c>
      <c r="D146" cm="1">
        <f t="array" ref="D146">INDEX(D$176:D$194,$A146)</f>
        <v>96.24</v>
      </c>
      <c r="E146" cm="1">
        <f t="array" ref="E146">INDEX(E$176:E$194,$A146)</f>
        <v>98.9</v>
      </c>
      <c r="F146" cm="1">
        <f t="array" ref="F146">INDEX(F$176:F$194,$A146)</f>
        <v>99.85</v>
      </c>
      <c r="G146" cm="1">
        <f t="array" ref="G146">INDEX(G$176:G$194,$A146)</f>
        <v>102.21</v>
      </c>
      <c r="H146" cm="1">
        <f t="array" ref="H146">INDEX(H$176:H$194,$A146)</f>
        <v>103.61</v>
      </c>
      <c r="I146" cm="1">
        <f t="array" ref="I146">INDEX(I$176:I$194,$A146)</f>
        <v>105.24</v>
      </c>
      <c r="J146" cm="1">
        <f t="array" ref="J146">INDEX(J$176:J$194,$A146)</f>
        <v>104.54</v>
      </c>
      <c r="K146" cm="1">
        <f t="array" ref="K146">INDEX(K$176:K$194,$A146)</f>
        <v>101.85</v>
      </c>
      <c r="L146" cm="1">
        <f t="array" ref="L146">INDEX(L$176:L$194,$A146)</f>
        <v>104.95</v>
      </c>
      <c r="M146" cm="1">
        <f t="array" ref="M146">INDEX(M$176:M$194,$A146)</f>
        <v>107.71</v>
      </c>
      <c r="N146" cm="1">
        <f t="array" ref="N146">INDEX(N$176:N$194,$A146)</f>
        <v>109.84</v>
      </c>
      <c r="O146" cm="1">
        <f t="array" ref="O146">INDEX(O$176:O$194,$A146)</f>
        <v>112.24</v>
      </c>
      <c r="P146" cm="1">
        <f t="array" ref="P146">INDEX(P$176:P$194,$A146)</f>
        <v>114.63</v>
      </c>
      <c r="Q146" cm="1">
        <f t="array" ref="Q146">INDEX(Q$176:Q$194,$A146)</f>
        <v>116.8</v>
      </c>
      <c r="R146" cm="1">
        <f t="array" ref="R146">INDEX(R$176:R$194,$A146)</f>
        <v>118.95</v>
      </c>
      <c r="S146" cm="1">
        <f t="array" ref="S146">INDEX(S$176:S$194,$A146)</f>
        <v>121.8</v>
      </c>
      <c r="T146" cm="1">
        <f t="array" ref="T146">INDEX(T$176:T$194,$A146)</f>
        <v>124.07</v>
      </c>
      <c r="U146" cm="1">
        <f t="array" ref="U146">INDEX(U$176:U$194,$A146)</f>
        <v>126.27</v>
      </c>
      <c r="V146" cm="1">
        <f t="array" ref="V146">INDEX(V$176:V$194,$A146)</f>
        <v>128.88999999999999</v>
      </c>
      <c r="W146" cm="1">
        <f t="array" ref="W146">INDEX(W$176:W$194,$A146)</f>
        <v>131.65</v>
      </c>
      <c r="X146" cm="1">
        <f t="array" ref="X146">INDEX(X$176:X$194,$A146)</f>
        <v>134.56</v>
      </c>
      <c r="Y146" cm="1">
        <f t="array" ref="Y146">INDEX(Y$176:Y$194,$A146)</f>
        <v>138.11000000000001</v>
      </c>
      <c r="Z146" cm="1">
        <f t="array" ref="Z146">INDEX(Z$176:Z$194,$A146)</f>
        <v>141.66</v>
      </c>
      <c r="AA146" cm="1">
        <f t="array" ref="AA146">INDEX(AA$176:AA$194,$A146)</f>
        <v>145.46</v>
      </c>
      <c r="AB146" cm="1">
        <f t="array" ref="AB146">INDEX(AB$176:AB$194,$A146)</f>
        <v>149.24</v>
      </c>
      <c r="AC146" cm="1">
        <f t="array" ref="AC146">INDEX(AC$176:AC$194,$A146)</f>
        <v>153</v>
      </c>
      <c r="AD146" cm="1">
        <f t="array" ref="AD146">INDEX(AD$176:AD$194,$A146)</f>
        <v>156.83000000000001</v>
      </c>
      <c r="AE146" cm="1">
        <f t="array" ref="AE146">INDEX(AE$176:AE$194,$A146)</f>
        <v>160.74</v>
      </c>
      <c r="AF146" cm="1">
        <f t="array" ref="AF146">INDEX(AF$176:AF$194,$A146)</f>
        <v>164.68</v>
      </c>
      <c r="AG146" cm="1">
        <f t="array" ref="AG146">INDEX(AG$176:AG$194,$A146)</f>
        <v>168.49</v>
      </c>
      <c r="AH146" cm="1">
        <f t="array" ref="AH146">INDEX(AH$176:AH$194,$A146)</f>
        <v>172.54</v>
      </c>
      <c r="AI146" cm="1">
        <f t="array" ref="AI146">INDEX(AI$176:AI$194,$A146)</f>
        <v>176.82</v>
      </c>
      <c r="AJ146" cm="1">
        <f t="array" ref="AJ146">INDEX(AJ$176:AJ$194,$A146)</f>
        <v>181.33</v>
      </c>
      <c r="AK146" cm="1">
        <f t="array" ref="AK146">INDEX(AK$176:AK$194,$A146)</f>
        <v>185.9</v>
      </c>
      <c r="AL146" cm="1">
        <f t="array" ref="AL146">INDEX(AL$176:AL$194,$A146)</f>
        <v>190.27</v>
      </c>
      <c r="AM146" cm="1">
        <f t="array" ref="AM146">INDEX(AM$176:AM$194,$A146)</f>
        <v>194.8</v>
      </c>
      <c r="AN146" cm="1">
        <f t="array" ref="AN146">INDEX(AN$176:AN$194,$A146)</f>
        <v>199.65</v>
      </c>
      <c r="AO146" cm="1">
        <f t="array" ref="AO146">INDEX(AO$176:AO$194,$A146)</f>
        <v>205.62</v>
      </c>
    </row>
    <row r="147" spans="1:41" x14ac:dyDescent="0.25">
      <c r="A147">
        <f t="shared" si="44"/>
        <v>10</v>
      </c>
      <c r="B147" t="s">
        <v>25</v>
      </c>
      <c r="C147" cm="1">
        <f t="array" ref="C147">INDEX(C$176:C$194,$A147)</f>
        <v>235.5</v>
      </c>
      <c r="D147" cm="1">
        <f t="array" ref="D147">INDEX(D$176:D$194,$A147)</f>
        <v>241.59</v>
      </c>
      <c r="E147" cm="1">
        <f t="array" ref="E147">INDEX(E$176:E$194,$A147)</f>
        <v>246.1</v>
      </c>
      <c r="F147" cm="1">
        <f t="array" ref="F147">INDEX(F$176:F$194,$A147)</f>
        <v>248.42</v>
      </c>
      <c r="G147" cm="1">
        <f t="array" ref="G147">INDEX(G$176:G$194,$A147)</f>
        <v>251.09</v>
      </c>
      <c r="H147" cm="1">
        <f t="array" ref="H147">INDEX(H$176:H$194,$A147)</f>
        <v>253.26</v>
      </c>
      <c r="I147" cm="1">
        <f t="array" ref="I147">INDEX(I$176:I$194,$A147)</f>
        <v>255.74</v>
      </c>
      <c r="J147" cm="1">
        <f t="array" ref="J147">INDEX(J$176:J$194,$A147)</f>
        <v>254.07</v>
      </c>
      <c r="K147" cm="1">
        <f t="array" ref="K147">INDEX(K$176:K$194,$A147)</f>
        <v>233.33</v>
      </c>
      <c r="L147" cm="1">
        <f t="array" ref="L147">INDEX(L$176:L$194,$A147)</f>
        <v>239.41</v>
      </c>
      <c r="M147" cm="1">
        <f t="array" ref="M147">INDEX(M$176:M$194,$A147)</f>
        <v>244.91</v>
      </c>
      <c r="N147" cm="1">
        <f t="array" ref="N147">INDEX(N$176:N$194,$A147)</f>
        <v>249.83</v>
      </c>
      <c r="O147" cm="1">
        <f t="array" ref="O147">INDEX(O$176:O$194,$A147)</f>
        <v>255.36</v>
      </c>
      <c r="P147" cm="1">
        <f t="array" ref="P147">INDEX(P$176:P$194,$A147)</f>
        <v>260.81</v>
      </c>
      <c r="Q147" cm="1">
        <f t="array" ref="Q147">INDEX(Q$176:Q$194,$A147)</f>
        <v>266.36</v>
      </c>
      <c r="R147" cm="1">
        <f t="array" ref="R147">INDEX(R$176:R$194,$A147)</f>
        <v>271.74</v>
      </c>
      <c r="S147" cm="1">
        <f t="array" ref="S147">INDEX(S$176:S$194,$A147)</f>
        <v>277.05</v>
      </c>
      <c r="T147" cm="1">
        <f t="array" ref="T147">INDEX(T$176:T$194,$A147)</f>
        <v>282.77999999999997</v>
      </c>
      <c r="U147" cm="1">
        <f t="array" ref="U147">INDEX(U$176:U$194,$A147)</f>
        <v>288.95999999999998</v>
      </c>
      <c r="V147" cm="1">
        <f t="array" ref="V147">INDEX(V$176:V$194,$A147)</f>
        <v>296.33999999999997</v>
      </c>
      <c r="W147" cm="1">
        <f t="array" ref="W147">INDEX(W$176:W$194,$A147)</f>
        <v>304.2</v>
      </c>
      <c r="X147" cm="1">
        <f t="array" ref="X147">INDEX(X$176:X$194,$A147)</f>
        <v>312.55</v>
      </c>
      <c r="Y147" cm="1">
        <f t="array" ref="Y147">INDEX(Y$176:Y$194,$A147)</f>
        <v>321.88</v>
      </c>
      <c r="Z147" cm="1">
        <f t="array" ref="Z147">INDEX(Z$176:Z$194,$A147)</f>
        <v>331.08</v>
      </c>
      <c r="AA147" cm="1">
        <f t="array" ref="AA147">INDEX(AA$176:AA$194,$A147)</f>
        <v>340.86</v>
      </c>
      <c r="AB147" cm="1">
        <f t="array" ref="AB147">INDEX(AB$176:AB$194,$A147)</f>
        <v>351.05</v>
      </c>
      <c r="AC147" cm="1">
        <f t="array" ref="AC147">INDEX(AC$176:AC$194,$A147)</f>
        <v>361.39</v>
      </c>
      <c r="AD147" cm="1">
        <f t="array" ref="AD147">INDEX(AD$176:AD$194,$A147)</f>
        <v>372.08</v>
      </c>
      <c r="AE147" cm="1">
        <f t="array" ref="AE147">INDEX(AE$176:AE$194,$A147)</f>
        <v>383.14</v>
      </c>
      <c r="AF147" cm="1">
        <f t="array" ref="AF147">INDEX(AF$176:AF$194,$A147)</f>
        <v>394.85</v>
      </c>
      <c r="AG147" cm="1">
        <f t="array" ref="AG147">INDEX(AG$176:AG$194,$A147)</f>
        <v>406.53</v>
      </c>
      <c r="AH147" cm="1">
        <f t="array" ref="AH147">INDEX(AH$176:AH$194,$A147)</f>
        <v>418.72</v>
      </c>
      <c r="AI147" cm="1">
        <f t="array" ref="AI147">INDEX(AI$176:AI$194,$A147)</f>
        <v>431.5</v>
      </c>
      <c r="AJ147" cm="1">
        <f t="array" ref="AJ147">INDEX(AJ$176:AJ$194,$A147)</f>
        <v>445.12</v>
      </c>
      <c r="AK147" cm="1">
        <f t="array" ref="AK147">INDEX(AK$176:AK$194,$A147)</f>
        <v>459.51</v>
      </c>
      <c r="AL147" cm="1">
        <f t="array" ref="AL147">INDEX(AL$176:AL$194,$A147)</f>
        <v>473.68</v>
      </c>
      <c r="AM147" cm="1">
        <f t="array" ref="AM147">INDEX(AM$176:AM$194,$A147)</f>
        <v>488.53</v>
      </c>
      <c r="AN147" cm="1">
        <f t="array" ref="AN147">INDEX(AN$176:AN$194,$A147)</f>
        <v>504.28</v>
      </c>
      <c r="AO147" cm="1">
        <f t="array" ref="AO147">INDEX(AO$176:AO$194,$A147)</f>
        <v>523.45000000000005</v>
      </c>
    </row>
    <row r="148" spans="1:41" x14ac:dyDescent="0.25">
      <c r="A148">
        <f t="shared" si="44"/>
        <v>16</v>
      </c>
      <c r="B148" t="s">
        <v>26</v>
      </c>
      <c r="C148" cm="1">
        <f t="array" ref="C148">INDEX(C$176:C$194,$A148)</f>
        <v>17.78</v>
      </c>
      <c r="D148" cm="1">
        <f t="array" ref="D148">INDEX(D$176:D$194,$A148)</f>
        <v>18.170000000000002</v>
      </c>
      <c r="E148" cm="1">
        <f t="array" ref="E148">INDEX(E$176:E$194,$A148)</f>
        <v>18.57</v>
      </c>
      <c r="F148" cm="1">
        <f t="array" ref="F148">INDEX(F$176:F$194,$A148)</f>
        <v>18.72</v>
      </c>
      <c r="G148" cm="1">
        <f t="array" ref="G148">INDEX(G$176:G$194,$A148)</f>
        <v>19.07</v>
      </c>
      <c r="H148" cm="1">
        <f t="array" ref="H148">INDEX(H$176:H$194,$A148)</f>
        <v>19.21</v>
      </c>
      <c r="I148" cm="1">
        <f t="array" ref="I148">INDEX(I$176:I$194,$A148)</f>
        <v>19.559999999999999</v>
      </c>
      <c r="J148" cm="1">
        <f t="array" ref="J148">INDEX(J$176:J$194,$A148)</f>
        <v>19.57</v>
      </c>
      <c r="K148" cm="1">
        <f t="array" ref="K148">INDEX(K$176:K$194,$A148)</f>
        <v>18.440000000000001</v>
      </c>
      <c r="L148" cm="1">
        <f t="array" ref="L148">INDEX(L$176:L$194,$A148)</f>
        <v>18.899999999999999</v>
      </c>
      <c r="M148" cm="1">
        <f t="array" ref="M148">INDEX(M$176:M$194,$A148)</f>
        <v>19.3</v>
      </c>
      <c r="N148" cm="1">
        <f t="array" ref="N148">INDEX(N$176:N$194,$A148)</f>
        <v>19.66</v>
      </c>
      <c r="O148" cm="1">
        <f t="array" ref="O148">INDEX(O$176:O$194,$A148)</f>
        <v>20.07</v>
      </c>
      <c r="P148" cm="1">
        <f t="array" ref="P148">INDEX(P$176:P$194,$A148)</f>
        <v>20.49</v>
      </c>
      <c r="Q148" cm="1">
        <f t="array" ref="Q148">INDEX(Q$176:Q$194,$A148)</f>
        <v>20.88</v>
      </c>
      <c r="R148" cm="1">
        <f t="array" ref="R148">INDEX(R$176:R$194,$A148)</f>
        <v>21.27</v>
      </c>
      <c r="S148" cm="1">
        <f t="array" ref="S148">INDEX(S$176:S$194,$A148)</f>
        <v>21.67</v>
      </c>
      <c r="T148" cm="1">
        <f t="array" ref="T148">INDEX(T$176:T$194,$A148)</f>
        <v>22.05</v>
      </c>
      <c r="U148" cm="1">
        <f t="array" ref="U148">INDEX(U$176:U$194,$A148)</f>
        <v>22.47</v>
      </c>
      <c r="V148" cm="1">
        <f t="array" ref="V148">INDEX(V$176:V$194,$A148)</f>
        <v>22.99</v>
      </c>
      <c r="W148" cm="1">
        <f t="array" ref="W148">INDEX(W$176:W$194,$A148)</f>
        <v>23.54</v>
      </c>
      <c r="X148" cm="1">
        <f t="array" ref="X148">INDEX(X$176:X$194,$A148)</f>
        <v>24.14</v>
      </c>
      <c r="Y148" cm="1">
        <f t="array" ref="Y148">INDEX(Y$176:Y$194,$A148)</f>
        <v>24.83</v>
      </c>
      <c r="Z148" cm="1">
        <f t="array" ref="Z148">INDEX(Z$176:Z$194,$A148)</f>
        <v>25.51</v>
      </c>
      <c r="AA148" cm="1">
        <f t="array" ref="AA148">INDEX(AA$176:AA$194,$A148)</f>
        <v>26.23</v>
      </c>
      <c r="AB148" cm="1">
        <f t="array" ref="AB148">INDEX(AB$176:AB$194,$A148)</f>
        <v>26.97</v>
      </c>
      <c r="AC148" cm="1">
        <f t="array" ref="AC148">INDEX(AC$176:AC$194,$A148)</f>
        <v>27.74</v>
      </c>
      <c r="AD148" cm="1">
        <f t="array" ref="AD148">INDEX(AD$176:AD$194,$A148)</f>
        <v>28.55</v>
      </c>
      <c r="AE148" cm="1">
        <f t="array" ref="AE148">INDEX(AE$176:AE$194,$A148)</f>
        <v>29.38</v>
      </c>
      <c r="AF148" cm="1">
        <f t="array" ref="AF148">INDEX(AF$176:AF$194,$A148)</f>
        <v>30.27</v>
      </c>
      <c r="AG148" cm="1">
        <f t="array" ref="AG148">INDEX(AG$176:AG$194,$A148)</f>
        <v>31.15</v>
      </c>
      <c r="AH148" cm="1">
        <f t="array" ref="AH148">INDEX(AH$176:AH$194,$A148)</f>
        <v>32.07</v>
      </c>
      <c r="AI148" cm="1">
        <f t="array" ref="AI148">INDEX(AI$176:AI$194,$A148)</f>
        <v>33.03</v>
      </c>
      <c r="AJ148" cm="1">
        <f t="array" ref="AJ148">INDEX(AJ$176:AJ$194,$A148)</f>
        <v>34.06</v>
      </c>
      <c r="AK148" cm="1">
        <f t="array" ref="AK148">INDEX(AK$176:AK$194,$A148)</f>
        <v>35.14</v>
      </c>
      <c r="AL148" cm="1">
        <f t="array" ref="AL148">INDEX(AL$176:AL$194,$A148)</f>
        <v>36.200000000000003</v>
      </c>
      <c r="AM148" cm="1">
        <f t="array" ref="AM148">INDEX(AM$176:AM$194,$A148)</f>
        <v>37.31</v>
      </c>
      <c r="AN148" cm="1">
        <f t="array" ref="AN148">INDEX(AN$176:AN$194,$A148)</f>
        <v>38.479999999999997</v>
      </c>
      <c r="AO148" cm="1">
        <f t="array" ref="AO148">INDEX(AO$176:AO$194,$A148)</f>
        <v>39.92</v>
      </c>
    </row>
    <row r="149" spans="1:41" x14ac:dyDescent="0.25">
      <c r="A149">
        <f t="shared" si="44"/>
        <v>3</v>
      </c>
      <c r="B149" t="s">
        <v>27</v>
      </c>
      <c r="C149" cm="1">
        <f t="array" ref="C149">INDEX(C$176:C$194,$A149)</f>
        <v>52.81</v>
      </c>
      <c r="D149" cm="1">
        <f t="array" ref="D149">INDEX(D$176:D$194,$A149)</f>
        <v>54.26</v>
      </c>
      <c r="E149" cm="1">
        <f t="array" ref="E149">INDEX(E$176:E$194,$A149)</f>
        <v>55.41</v>
      </c>
      <c r="F149" cm="1">
        <f t="array" ref="F149">INDEX(F$176:F$194,$A149)</f>
        <v>55.89</v>
      </c>
      <c r="G149" cm="1">
        <f t="array" ref="G149">INDEX(G$176:G$194,$A149)</f>
        <v>56.55</v>
      </c>
      <c r="H149" cm="1">
        <f t="array" ref="H149">INDEX(H$176:H$194,$A149)</f>
        <v>57.1</v>
      </c>
      <c r="I149" cm="1">
        <f t="array" ref="I149">INDEX(I$176:I$194,$A149)</f>
        <v>57.77</v>
      </c>
      <c r="J149" cm="1">
        <f t="array" ref="J149">INDEX(J$176:J$194,$A149)</f>
        <v>57.43</v>
      </c>
      <c r="K149" cm="1">
        <f t="array" ref="K149">INDEX(K$176:K$194,$A149)</f>
        <v>53.7</v>
      </c>
      <c r="L149" cm="1">
        <f t="array" ref="L149">INDEX(L$176:L$194,$A149)</f>
        <v>54.93</v>
      </c>
      <c r="M149" cm="1">
        <f t="array" ref="M149">INDEX(M$176:M$194,$A149)</f>
        <v>56.1</v>
      </c>
      <c r="N149" cm="1">
        <f t="array" ref="N149">INDEX(N$176:N$194,$A149)</f>
        <v>57.1</v>
      </c>
      <c r="O149" cm="1">
        <f t="array" ref="O149">INDEX(O$176:O$194,$A149)</f>
        <v>58.23</v>
      </c>
      <c r="P149" cm="1">
        <f t="array" ref="P149">INDEX(P$176:P$194,$A149)</f>
        <v>59.4</v>
      </c>
      <c r="Q149" cm="1">
        <f t="array" ref="Q149">INDEX(Q$176:Q$194,$A149)</f>
        <v>60.51</v>
      </c>
      <c r="R149" cm="1">
        <f t="array" ref="R149">INDEX(R$176:R$194,$A149)</f>
        <v>61.62</v>
      </c>
      <c r="S149" cm="1">
        <f t="array" ref="S149">INDEX(S$176:S$194,$A149)</f>
        <v>62.89</v>
      </c>
      <c r="T149" cm="1">
        <f t="array" ref="T149">INDEX(T$176:T$194,$A149)</f>
        <v>63.98</v>
      </c>
      <c r="U149" cm="1">
        <f t="array" ref="U149">INDEX(U$176:U$194,$A149)</f>
        <v>65.209999999999994</v>
      </c>
      <c r="V149" cm="1">
        <f t="array" ref="V149">INDEX(V$176:V$194,$A149)</f>
        <v>66.91</v>
      </c>
      <c r="W149" cm="1">
        <f t="array" ref="W149">INDEX(W$176:W$194,$A149)</f>
        <v>68.67</v>
      </c>
      <c r="X149" cm="1">
        <f t="array" ref="X149">INDEX(X$176:X$194,$A149)</f>
        <v>70.540000000000006</v>
      </c>
      <c r="Y149" cm="1">
        <f t="array" ref="Y149">INDEX(Y$176:Y$194,$A149)</f>
        <v>72.73</v>
      </c>
      <c r="Z149" cm="1">
        <f t="array" ref="Z149">INDEX(Z$176:Z$194,$A149)</f>
        <v>74.89</v>
      </c>
      <c r="AA149" cm="1">
        <f t="array" ref="AA149">INDEX(AA$176:AA$194,$A149)</f>
        <v>77.16</v>
      </c>
      <c r="AB149" cm="1">
        <f t="array" ref="AB149">INDEX(AB$176:AB$194,$A149)</f>
        <v>79.62</v>
      </c>
      <c r="AC149" cm="1">
        <f t="array" ref="AC149">INDEX(AC$176:AC$194,$A149)</f>
        <v>82.09</v>
      </c>
      <c r="AD149" cm="1">
        <f t="array" ref="AD149">INDEX(AD$176:AD$194,$A149)</f>
        <v>84.63</v>
      </c>
      <c r="AE149" cm="1">
        <f t="array" ref="AE149">INDEX(AE$176:AE$194,$A149)</f>
        <v>87.27</v>
      </c>
      <c r="AF149" cm="1">
        <f t="array" ref="AF149">INDEX(AF$176:AF$194,$A149)</f>
        <v>89.91</v>
      </c>
      <c r="AG149" cm="1">
        <f t="array" ref="AG149">INDEX(AG$176:AG$194,$A149)</f>
        <v>92.55</v>
      </c>
      <c r="AH149" cm="1">
        <f t="array" ref="AH149">INDEX(AH$176:AH$194,$A149)</f>
        <v>95.31</v>
      </c>
      <c r="AI149" cm="1">
        <f t="array" ref="AI149">INDEX(AI$176:AI$194,$A149)</f>
        <v>98.19</v>
      </c>
      <c r="AJ149" cm="1">
        <f t="array" ref="AJ149">INDEX(AJ$176:AJ$194,$A149)</f>
        <v>101.26</v>
      </c>
      <c r="AK149" cm="1">
        <f t="array" ref="AK149">INDEX(AK$176:AK$194,$A149)</f>
        <v>104.46</v>
      </c>
      <c r="AL149" cm="1">
        <f t="array" ref="AL149">INDEX(AL$176:AL$194,$A149)</f>
        <v>107.63</v>
      </c>
      <c r="AM149" cm="1">
        <f t="array" ref="AM149">INDEX(AM$176:AM$194,$A149)</f>
        <v>110.94</v>
      </c>
      <c r="AN149" cm="1">
        <f t="array" ref="AN149">INDEX(AN$176:AN$194,$A149)</f>
        <v>114.45</v>
      </c>
      <c r="AO149" cm="1">
        <f t="array" ref="AO149">INDEX(AO$176:AO$194,$A149)</f>
        <v>118.69</v>
      </c>
    </row>
    <row r="150" spans="1:41" x14ac:dyDescent="0.25">
      <c r="A150">
        <f t="shared" si="44"/>
        <v>13</v>
      </c>
      <c r="B150" t="s">
        <v>28</v>
      </c>
      <c r="C150" cm="1">
        <f t="array" ref="C150">INDEX(C$176:C$194,$A150)</f>
        <v>14.11</v>
      </c>
      <c r="D150" cm="1">
        <f t="array" ref="D150">INDEX(D$176:D$194,$A150)</f>
        <v>14.44</v>
      </c>
      <c r="E150" cm="1">
        <f t="array" ref="E150">INDEX(E$176:E$194,$A150)</f>
        <v>14.65</v>
      </c>
      <c r="F150" cm="1">
        <f t="array" ref="F150">INDEX(F$176:F$194,$A150)</f>
        <v>14.76</v>
      </c>
      <c r="G150" cm="1">
        <f t="array" ref="G150">INDEX(G$176:G$194,$A150)</f>
        <v>14.92</v>
      </c>
      <c r="H150" cm="1">
        <f t="array" ref="H150">INDEX(H$176:H$194,$A150)</f>
        <v>15.1</v>
      </c>
      <c r="I150" cm="1">
        <f t="array" ref="I150">INDEX(I$176:I$194,$A150)</f>
        <v>15.25</v>
      </c>
      <c r="J150" cm="1">
        <f t="array" ref="J150">INDEX(J$176:J$194,$A150)</f>
        <v>15.19</v>
      </c>
      <c r="K150" cm="1">
        <f t="array" ref="K150">INDEX(K$176:K$194,$A150)</f>
        <v>14.04</v>
      </c>
      <c r="L150" cm="1">
        <f t="array" ref="L150">INDEX(L$176:L$194,$A150)</f>
        <v>14.38</v>
      </c>
      <c r="M150" cm="1">
        <f t="array" ref="M150">INDEX(M$176:M$194,$A150)</f>
        <v>14.69</v>
      </c>
      <c r="N150" cm="1">
        <f t="array" ref="N150">INDEX(N$176:N$194,$A150)</f>
        <v>14.97</v>
      </c>
      <c r="O150" cm="1">
        <f t="array" ref="O150">INDEX(O$176:O$194,$A150)</f>
        <v>15.29</v>
      </c>
      <c r="P150" cm="1">
        <f t="array" ref="P150">INDEX(P$176:P$194,$A150)</f>
        <v>15.6</v>
      </c>
      <c r="Q150" cm="1">
        <f t="array" ref="Q150">INDEX(Q$176:Q$194,$A150)</f>
        <v>15.92</v>
      </c>
      <c r="R150" cm="1">
        <f t="array" ref="R150">INDEX(R$176:R$194,$A150)</f>
        <v>16.239999999999998</v>
      </c>
      <c r="S150" cm="1">
        <f t="array" ref="S150">INDEX(S$176:S$194,$A150)</f>
        <v>16.46</v>
      </c>
      <c r="T150" cm="1">
        <f t="array" ref="T150">INDEX(T$176:T$194,$A150)</f>
        <v>16.8</v>
      </c>
      <c r="U150" cm="1">
        <f t="array" ref="U150">INDEX(U$176:U$194,$A150)</f>
        <v>17.170000000000002</v>
      </c>
      <c r="V150" cm="1">
        <f t="array" ref="V150">INDEX(V$176:V$194,$A150)</f>
        <v>17.61</v>
      </c>
      <c r="W150" cm="1">
        <f t="array" ref="W150">INDEX(W$176:W$194,$A150)</f>
        <v>18.079999999999998</v>
      </c>
      <c r="X150" cm="1">
        <f t="array" ref="X150">INDEX(X$176:X$194,$A150)</f>
        <v>18.579999999999998</v>
      </c>
      <c r="Y150" cm="1">
        <f t="array" ref="Y150">INDEX(Y$176:Y$194,$A150)</f>
        <v>19.100000000000001</v>
      </c>
      <c r="Z150" cm="1">
        <f t="array" ref="Z150">INDEX(Z$176:Z$194,$A150)</f>
        <v>19.61</v>
      </c>
      <c r="AA150" cm="1">
        <f t="array" ref="AA150">INDEX(AA$176:AA$194,$A150)</f>
        <v>20.149999999999999</v>
      </c>
      <c r="AB150" cm="1">
        <f t="array" ref="AB150">INDEX(AB$176:AB$194,$A150)</f>
        <v>20.71</v>
      </c>
      <c r="AC150" cm="1">
        <f t="array" ref="AC150">INDEX(AC$176:AC$194,$A150)</f>
        <v>21.29</v>
      </c>
      <c r="AD150" cm="1">
        <f t="array" ref="AD150">INDEX(AD$176:AD$194,$A150)</f>
        <v>21.89</v>
      </c>
      <c r="AE150" cm="1">
        <f t="array" ref="AE150">INDEX(AE$176:AE$194,$A150)</f>
        <v>22.5</v>
      </c>
      <c r="AF150" cm="1">
        <f t="array" ref="AF150">INDEX(AF$176:AF$194,$A150)</f>
        <v>23.19</v>
      </c>
      <c r="AG150" cm="1">
        <f t="array" ref="AG150">INDEX(AG$176:AG$194,$A150)</f>
        <v>23.88</v>
      </c>
      <c r="AH150" cm="1">
        <f t="array" ref="AH150">INDEX(AH$176:AH$194,$A150)</f>
        <v>24.59</v>
      </c>
      <c r="AI150" cm="1">
        <f t="array" ref="AI150">INDEX(AI$176:AI$194,$A150)</f>
        <v>25.33</v>
      </c>
      <c r="AJ150" cm="1">
        <f t="array" ref="AJ150">INDEX(AJ$176:AJ$194,$A150)</f>
        <v>26.13</v>
      </c>
      <c r="AK150" cm="1">
        <f t="array" ref="AK150">INDEX(AK$176:AK$194,$A150)</f>
        <v>26.98</v>
      </c>
      <c r="AL150" cm="1">
        <f t="array" ref="AL150">INDEX(AL$176:AL$194,$A150)</f>
        <v>27.82</v>
      </c>
      <c r="AM150" cm="1">
        <f t="array" ref="AM150">INDEX(AM$176:AM$194,$A150)</f>
        <v>28.69</v>
      </c>
      <c r="AN150" cm="1">
        <f t="array" ref="AN150">INDEX(AN$176:AN$194,$A150)</f>
        <v>29.62</v>
      </c>
      <c r="AO150" cm="1">
        <f t="array" ref="AO150">INDEX(AO$176:AO$194,$A150)</f>
        <v>30.75</v>
      </c>
    </row>
    <row r="151" spans="1:41" x14ac:dyDescent="0.25">
      <c r="A151">
        <f t="shared" si="44"/>
        <v>11</v>
      </c>
      <c r="B151" t="s">
        <v>29</v>
      </c>
      <c r="C151" cm="1">
        <f t="array" ref="C151">INDEX(C$176:C$194,$A151)</f>
        <v>13.35</v>
      </c>
      <c r="D151" cm="1">
        <f t="array" ref="D151">INDEX(D$176:D$194,$A151)</f>
        <v>13.68</v>
      </c>
      <c r="E151" cm="1">
        <f t="array" ref="E151">INDEX(E$176:E$194,$A151)</f>
        <v>13.89</v>
      </c>
      <c r="F151" cm="1">
        <f t="array" ref="F151">INDEX(F$176:F$194,$A151)</f>
        <v>14.15</v>
      </c>
      <c r="G151" cm="1">
        <f t="array" ref="G151">INDEX(G$176:G$194,$A151)</f>
        <v>14.18</v>
      </c>
      <c r="H151" cm="1">
        <f t="array" ref="H151">INDEX(H$176:H$194,$A151)</f>
        <v>14.29</v>
      </c>
      <c r="I151" cm="1">
        <f t="array" ref="I151">INDEX(I$176:I$194,$A151)</f>
        <v>14.31</v>
      </c>
      <c r="J151" cm="1">
        <f t="array" ref="J151">INDEX(J$176:J$194,$A151)</f>
        <v>14.15</v>
      </c>
      <c r="K151" cm="1">
        <f t="array" ref="K151">INDEX(K$176:K$194,$A151)</f>
        <v>13.1</v>
      </c>
      <c r="L151" cm="1">
        <f t="array" ref="L151">INDEX(L$176:L$194,$A151)</f>
        <v>13.41</v>
      </c>
      <c r="M151" cm="1">
        <f t="array" ref="M151">INDEX(M$176:M$194,$A151)</f>
        <v>13.57</v>
      </c>
      <c r="N151" cm="1">
        <f t="array" ref="N151">INDEX(N$176:N$194,$A151)</f>
        <v>13.73</v>
      </c>
      <c r="O151" cm="1">
        <f t="array" ref="O151">INDEX(O$176:O$194,$A151)</f>
        <v>13.9</v>
      </c>
      <c r="P151" cm="1">
        <f t="array" ref="P151">INDEX(P$176:P$194,$A151)</f>
        <v>14.12</v>
      </c>
      <c r="Q151" cm="1">
        <f t="array" ref="Q151">INDEX(Q$176:Q$194,$A151)</f>
        <v>14.27</v>
      </c>
      <c r="R151" cm="1">
        <f t="array" ref="R151">INDEX(R$176:R$194,$A151)</f>
        <v>14.4</v>
      </c>
      <c r="S151" cm="1">
        <f t="array" ref="S151">INDEX(S$176:S$194,$A151)</f>
        <v>14.75</v>
      </c>
      <c r="T151" cm="1">
        <f t="array" ref="T151">INDEX(T$176:T$194,$A151)</f>
        <v>14.82</v>
      </c>
      <c r="U151" cm="1">
        <f t="array" ref="U151">INDEX(U$176:U$194,$A151)</f>
        <v>14.91</v>
      </c>
      <c r="V151" cm="1">
        <f t="array" ref="V151">INDEX(V$176:V$194,$A151)</f>
        <v>15.03</v>
      </c>
      <c r="W151" cm="1">
        <f t="array" ref="W151">INDEX(W$176:W$194,$A151)</f>
        <v>15.19</v>
      </c>
      <c r="X151" cm="1">
        <f t="array" ref="X151">INDEX(X$176:X$194,$A151)</f>
        <v>15.37</v>
      </c>
      <c r="Y151" cm="1">
        <f t="array" ref="Y151">INDEX(Y$176:Y$194,$A151)</f>
        <v>15.64</v>
      </c>
      <c r="Z151" cm="1">
        <f t="array" ref="Z151">INDEX(Z$176:Z$194,$A151)</f>
        <v>15.88</v>
      </c>
      <c r="AA151" cm="1">
        <f t="array" ref="AA151">INDEX(AA$176:AA$194,$A151)</f>
        <v>16.13</v>
      </c>
      <c r="AB151" cm="1">
        <f t="array" ref="AB151">INDEX(AB$176:AB$194,$A151)</f>
        <v>16.399999999999999</v>
      </c>
      <c r="AC151" cm="1">
        <f t="array" ref="AC151">INDEX(AC$176:AC$194,$A151)</f>
        <v>16.7</v>
      </c>
      <c r="AD151" cm="1">
        <f t="array" ref="AD151">INDEX(AD$176:AD$194,$A151)</f>
        <v>17.010000000000002</v>
      </c>
      <c r="AE151" cm="1">
        <f t="array" ref="AE151">INDEX(AE$176:AE$194,$A151)</f>
        <v>17.329999999999998</v>
      </c>
      <c r="AF151" cm="1">
        <f t="array" ref="AF151">INDEX(AF$176:AF$194,$A151)</f>
        <v>17.66</v>
      </c>
      <c r="AG151" cm="1">
        <f t="array" ref="AG151">INDEX(AG$176:AG$194,$A151)</f>
        <v>17.989999999999998</v>
      </c>
      <c r="AH151" cm="1">
        <f t="array" ref="AH151">INDEX(AH$176:AH$194,$A151)</f>
        <v>18.34</v>
      </c>
      <c r="AI151" cm="1">
        <f t="array" ref="AI151">INDEX(AI$176:AI$194,$A151)</f>
        <v>18.72</v>
      </c>
      <c r="AJ151" cm="1">
        <f t="array" ref="AJ151">INDEX(AJ$176:AJ$194,$A151)</f>
        <v>19.12</v>
      </c>
      <c r="AK151" cm="1">
        <f t="array" ref="AK151">INDEX(AK$176:AK$194,$A151)</f>
        <v>19.579999999999998</v>
      </c>
      <c r="AL151" cm="1">
        <f t="array" ref="AL151">INDEX(AL$176:AL$194,$A151)</f>
        <v>20.03</v>
      </c>
      <c r="AM151" cm="1">
        <f t="array" ref="AM151">INDEX(AM$176:AM$194,$A151)</f>
        <v>20.51</v>
      </c>
      <c r="AN151" cm="1">
        <f t="array" ref="AN151">INDEX(AN$176:AN$194,$A151)</f>
        <v>21.03</v>
      </c>
      <c r="AO151" cm="1">
        <f t="array" ref="AO151">INDEX(AO$176:AO$194,$A151)</f>
        <v>21.68</v>
      </c>
    </row>
    <row r="152" spans="1:41" x14ac:dyDescent="0.25">
      <c r="A152">
        <f t="shared" si="44"/>
        <v>15</v>
      </c>
      <c r="B152" t="s">
        <v>30</v>
      </c>
      <c r="C152" cm="1">
        <f t="array" ref="C152">INDEX(C$176:C$194,$A152)</f>
        <v>10.11</v>
      </c>
      <c r="D152" cm="1">
        <f t="array" ref="D152">INDEX(D$176:D$194,$A152)</f>
        <v>8.49</v>
      </c>
      <c r="E152" cm="1">
        <f t="array" ref="E152">INDEX(E$176:E$194,$A152)</f>
        <v>7.76</v>
      </c>
      <c r="F152" cm="1">
        <f t="array" ref="F152">INDEX(F$176:F$194,$A152)</f>
        <v>7.88</v>
      </c>
      <c r="G152" cm="1">
        <f t="array" ref="G152">INDEX(G$176:G$194,$A152)</f>
        <v>7.62</v>
      </c>
      <c r="H152" cm="1">
        <f t="array" ref="H152">INDEX(H$176:H$194,$A152)</f>
        <v>7.28</v>
      </c>
      <c r="I152" cm="1">
        <f t="array" ref="I152">INDEX(I$176:I$194,$A152)</f>
        <v>7.09</v>
      </c>
      <c r="J152" cm="1">
        <f t="array" ref="J152">INDEX(J$176:J$194,$A152)</f>
        <v>6.72</v>
      </c>
      <c r="K152" cm="1">
        <f t="array" ref="K152">INDEX(K$176:K$194,$A152)</f>
        <v>6.04</v>
      </c>
      <c r="L152" cm="1">
        <f t="array" ref="L152">INDEX(L$176:L$194,$A152)</f>
        <v>6.26</v>
      </c>
      <c r="M152" cm="1">
        <f t="array" ref="M152">INDEX(M$176:M$194,$A152)</f>
        <v>6.38</v>
      </c>
      <c r="N152" cm="1">
        <f t="array" ref="N152">INDEX(N$176:N$194,$A152)</f>
        <v>6.46</v>
      </c>
      <c r="O152" cm="1">
        <f t="array" ref="O152">INDEX(O$176:O$194,$A152)</f>
        <v>6.53</v>
      </c>
      <c r="P152" cm="1">
        <f t="array" ref="P152">INDEX(P$176:P$194,$A152)</f>
        <v>6.63</v>
      </c>
      <c r="Q152" cm="1">
        <f t="array" ref="Q152">INDEX(Q$176:Q$194,$A152)</f>
        <v>6.71</v>
      </c>
      <c r="R152" cm="1">
        <f t="array" ref="R152">INDEX(R$176:R$194,$A152)</f>
        <v>6.74</v>
      </c>
      <c r="S152" cm="1">
        <f t="array" ref="S152">INDEX(S$176:S$194,$A152)</f>
        <v>7.03</v>
      </c>
      <c r="T152" cm="1">
        <f t="array" ref="T152">INDEX(T$176:T$194,$A152)</f>
        <v>7.04</v>
      </c>
      <c r="U152" cm="1">
        <f t="array" ref="U152">INDEX(U$176:U$194,$A152)</f>
        <v>7.01</v>
      </c>
      <c r="V152" cm="1">
        <f t="array" ref="V152">INDEX(V$176:V$194,$A152)</f>
        <v>6.93</v>
      </c>
      <c r="W152" cm="1">
        <f t="array" ref="W152">INDEX(W$176:W$194,$A152)</f>
        <v>6.88</v>
      </c>
      <c r="X152" cm="1">
        <f t="array" ref="X152">INDEX(X$176:X$194,$A152)</f>
        <v>6.81</v>
      </c>
      <c r="Y152" cm="1">
        <f t="array" ref="Y152">INDEX(Y$176:Y$194,$A152)</f>
        <v>6.81</v>
      </c>
      <c r="Z152" cm="1">
        <f t="array" ref="Z152">INDEX(Z$176:Z$194,$A152)</f>
        <v>6.82</v>
      </c>
      <c r="AA152" cm="1">
        <f t="array" ref="AA152">INDEX(AA$176:AA$194,$A152)</f>
        <v>6.82</v>
      </c>
      <c r="AB152" cm="1">
        <f t="array" ref="AB152">INDEX(AB$176:AB$194,$A152)</f>
        <v>6.76</v>
      </c>
      <c r="AC152" cm="1">
        <f t="array" ref="AC152">INDEX(AC$176:AC$194,$A152)</f>
        <v>6.71</v>
      </c>
      <c r="AD152" cm="1">
        <f t="array" ref="AD152">INDEX(AD$176:AD$194,$A152)</f>
        <v>6.66</v>
      </c>
      <c r="AE152" cm="1">
        <f t="array" ref="AE152">INDEX(AE$176:AE$194,$A152)</f>
        <v>6.61</v>
      </c>
      <c r="AF152" cm="1">
        <f t="array" ref="AF152">INDEX(AF$176:AF$194,$A152)</f>
        <v>6.58</v>
      </c>
      <c r="AG152" cm="1">
        <f t="array" ref="AG152">INDEX(AG$176:AG$194,$A152)</f>
        <v>6.55</v>
      </c>
      <c r="AH152" cm="1">
        <f t="array" ref="AH152">INDEX(AH$176:AH$194,$A152)</f>
        <v>6.53</v>
      </c>
      <c r="AI152" cm="1">
        <f t="array" ref="AI152">INDEX(AI$176:AI$194,$A152)</f>
        <v>6.52</v>
      </c>
      <c r="AJ152" cm="1">
        <f t="array" ref="AJ152">INDEX(AJ$176:AJ$194,$A152)</f>
        <v>6.53</v>
      </c>
      <c r="AK152" cm="1">
        <f t="array" ref="AK152">INDEX(AK$176:AK$194,$A152)</f>
        <v>6.59</v>
      </c>
      <c r="AL152" cm="1">
        <f t="array" ref="AL152">INDEX(AL$176:AL$194,$A152)</f>
        <v>6.65</v>
      </c>
      <c r="AM152" cm="1">
        <f t="array" ref="AM152">INDEX(AM$176:AM$194,$A152)</f>
        <v>6.73</v>
      </c>
      <c r="AN152" cm="1">
        <f t="array" ref="AN152">INDEX(AN$176:AN$194,$A152)</f>
        <v>6.83</v>
      </c>
      <c r="AO152" cm="1">
        <f t="array" ref="AO152">INDEX(AO$176:AO$194,$A152)</f>
        <v>6.99</v>
      </c>
    </row>
    <row r="153" spans="1:41" x14ac:dyDescent="0.25">
      <c r="A153">
        <f t="shared" si="44"/>
        <v>19</v>
      </c>
      <c r="B153" t="s">
        <v>31</v>
      </c>
      <c r="C153" cm="1">
        <f t="array" ref="C153">INDEX(C$176:C$194,$A153)</f>
        <v>0</v>
      </c>
      <c r="D153" cm="1">
        <f t="array" ref="D153">INDEX(D$176:D$194,$A153)</f>
        <v>0</v>
      </c>
      <c r="E153" cm="1">
        <f t="array" ref="E153">INDEX(E$176:E$194,$A153)</f>
        <v>0</v>
      </c>
      <c r="F153" cm="1">
        <f t="array" ref="F153">INDEX(F$176:F$194,$A153)</f>
        <v>0</v>
      </c>
      <c r="G153" cm="1">
        <f t="array" ref="G153">INDEX(G$176:G$194,$A153)</f>
        <v>0</v>
      </c>
      <c r="H153" cm="1">
        <f t="array" ref="H153">INDEX(H$176:H$194,$A153)</f>
        <v>0</v>
      </c>
      <c r="I153" cm="1">
        <f t="array" ref="I153">INDEX(I$176:I$194,$A153)</f>
        <v>0</v>
      </c>
      <c r="J153" cm="1">
        <f t="array" ref="J153">INDEX(J$176:J$194,$A153)</f>
        <v>0</v>
      </c>
      <c r="K153" cm="1">
        <f t="array" ref="K153">INDEX(K$176:K$194,$A153)</f>
        <v>0</v>
      </c>
      <c r="L153" cm="1">
        <f t="array" ref="L153">INDEX(L$176:L$194,$A153)</f>
        <v>0</v>
      </c>
      <c r="M153" cm="1">
        <f t="array" ref="M153">INDEX(M$176:M$194,$A153)</f>
        <v>0</v>
      </c>
      <c r="N153" cm="1">
        <f t="array" ref="N153">INDEX(N$176:N$194,$A153)</f>
        <v>0</v>
      </c>
      <c r="O153" cm="1">
        <f t="array" ref="O153">INDEX(O$176:O$194,$A153)</f>
        <v>0</v>
      </c>
      <c r="P153" cm="1">
        <f t="array" ref="P153">INDEX(P$176:P$194,$A153)</f>
        <v>0</v>
      </c>
      <c r="Q153" cm="1">
        <f t="array" ref="Q153">INDEX(Q$176:Q$194,$A153)</f>
        <v>0</v>
      </c>
      <c r="R153" cm="1">
        <f t="array" ref="R153">INDEX(R$176:R$194,$A153)</f>
        <v>0</v>
      </c>
      <c r="S153" cm="1">
        <f t="array" ref="S153">INDEX(S$176:S$194,$A153)</f>
        <v>0</v>
      </c>
      <c r="T153" cm="1">
        <f t="array" ref="T153">INDEX(T$176:T$194,$A153)</f>
        <v>0</v>
      </c>
      <c r="U153" cm="1">
        <f t="array" ref="U153">INDEX(U$176:U$194,$A153)</f>
        <v>0</v>
      </c>
      <c r="V153" cm="1">
        <f t="array" ref="V153">INDEX(V$176:V$194,$A153)</f>
        <v>0</v>
      </c>
      <c r="W153" cm="1">
        <f t="array" ref="W153">INDEX(W$176:W$194,$A153)</f>
        <v>0</v>
      </c>
      <c r="X153" cm="1">
        <f t="array" ref="X153">INDEX(X$176:X$194,$A153)</f>
        <v>0</v>
      </c>
      <c r="Y153" cm="1">
        <f t="array" ref="Y153">INDEX(Y$176:Y$194,$A153)</f>
        <v>0</v>
      </c>
      <c r="Z153" cm="1">
        <f t="array" ref="Z153">INDEX(Z$176:Z$194,$A153)</f>
        <v>0</v>
      </c>
      <c r="AA153" cm="1">
        <f t="array" ref="AA153">INDEX(AA$176:AA$194,$A153)</f>
        <v>0</v>
      </c>
      <c r="AB153" cm="1">
        <f t="array" ref="AB153">INDEX(AB$176:AB$194,$A153)</f>
        <v>0</v>
      </c>
      <c r="AC153" cm="1">
        <f t="array" ref="AC153">INDEX(AC$176:AC$194,$A153)</f>
        <v>0</v>
      </c>
      <c r="AD153" cm="1">
        <f t="array" ref="AD153">INDEX(AD$176:AD$194,$A153)</f>
        <v>0</v>
      </c>
      <c r="AE153" cm="1">
        <f t="array" ref="AE153">INDEX(AE$176:AE$194,$A153)</f>
        <v>0</v>
      </c>
      <c r="AF153" cm="1">
        <f t="array" ref="AF153">INDEX(AF$176:AF$194,$A153)</f>
        <v>0</v>
      </c>
      <c r="AG153" cm="1">
        <f t="array" ref="AG153">INDEX(AG$176:AG$194,$A153)</f>
        <v>0</v>
      </c>
      <c r="AH153" cm="1">
        <f t="array" ref="AH153">INDEX(AH$176:AH$194,$A153)</f>
        <v>0</v>
      </c>
      <c r="AI153" cm="1">
        <f t="array" ref="AI153">INDEX(AI$176:AI$194,$A153)</f>
        <v>0</v>
      </c>
      <c r="AJ153" cm="1">
        <f t="array" ref="AJ153">INDEX(AJ$176:AJ$194,$A153)</f>
        <v>0</v>
      </c>
      <c r="AK153" cm="1">
        <f t="array" ref="AK153">INDEX(AK$176:AK$194,$A153)</f>
        <v>0</v>
      </c>
      <c r="AL153" cm="1">
        <f t="array" ref="AL153">INDEX(AL$176:AL$194,$A153)</f>
        <v>0</v>
      </c>
      <c r="AM153" cm="1">
        <f t="array" ref="AM153">INDEX(AM$176:AM$194,$A153)</f>
        <v>0</v>
      </c>
      <c r="AN153" cm="1">
        <f t="array" ref="AN153">INDEX(AN$176:AN$194,$A153)</f>
        <v>0</v>
      </c>
      <c r="AO153" cm="1">
        <f t="array" ref="AO153">INDEX(AO$176:AO$194,$A153)</f>
        <v>0</v>
      </c>
    </row>
    <row r="154" spans="1:41" x14ac:dyDescent="0.25">
      <c r="A154">
        <f t="shared" si="44"/>
        <v>6</v>
      </c>
      <c r="B154" t="s">
        <v>32</v>
      </c>
      <c r="C154" cm="1">
        <f t="array" ref="C154">INDEX(C$176:C$194,$A154)</f>
        <v>84.25</v>
      </c>
      <c r="D154" cm="1">
        <f t="array" ref="D154">INDEX(D$176:D$194,$A154)</f>
        <v>82.71</v>
      </c>
      <c r="E154" cm="1">
        <f t="array" ref="E154">INDEX(E$176:E$194,$A154)</f>
        <v>79.56</v>
      </c>
      <c r="F154" cm="1">
        <f t="array" ref="F154">INDEX(F$176:F$194,$A154)</f>
        <v>76.53</v>
      </c>
      <c r="G154" cm="1">
        <f t="array" ref="G154">INDEX(G$176:G$194,$A154)</f>
        <v>75.13</v>
      </c>
      <c r="H154" cm="1">
        <f t="array" ref="H154">INDEX(H$176:H$194,$A154)</f>
        <v>74.03</v>
      </c>
      <c r="I154" cm="1">
        <f t="array" ref="I154">INDEX(I$176:I$194,$A154)</f>
        <v>74.44</v>
      </c>
      <c r="J154" cm="1">
        <f t="array" ref="J154">INDEX(J$176:J$194,$A154)</f>
        <v>72.650000000000006</v>
      </c>
      <c r="K154" cm="1">
        <f t="array" ref="K154">INDEX(K$176:K$194,$A154)</f>
        <v>70.260000000000005</v>
      </c>
      <c r="L154" cm="1">
        <f t="array" ref="L154">INDEX(L$176:L$194,$A154)</f>
        <v>74.099999999999994</v>
      </c>
      <c r="M154" cm="1">
        <f t="array" ref="M154">INDEX(M$176:M$194,$A154)</f>
        <v>73.67</v>
      </c>
      <c r="N154" cm="1">
        <f t="array" ref="N154">INDEX(N$176:N$194,$A154)</f>
        <v>74.25</v>
      </c>
      <c r="O154" cm="1">
        <f t="array" ref="O154">INDEX(O$176:O$194,$A154)</f>
        <v>74.66</v>
      </c>
      <c r="P154" cm="1">
        <f t="array" ref="P154">INDEX(P$176:P$194,$A154)</f>
        <v>75.03</v>
      </c>
      <c r="Q154" cm="1">
        <f t="array" ref="Q154">INDEX(Q$176:Q$194,$A154)</f>
        <v>76.28</v>
      </c>
      <c r="R154" cm="1">
        <f t="array" ref="R154">INDEX(R$176:R$194,$A154)</f>
        <v>76.319999999999993</v>
      </c>
      <c r="S154" cm="1">
        <f t="array" ref="S154">INDEX(S$176:S$194,$A154)</f>
        <v>76.67</v>
      </c>
      <c r="T154" cm="1">
        <f t="array" ref="T154">INDEX(T$176:T$194,$A154)</f>
        <v>78.13</v>
      </c>
      <c r="U154" cm="1">
        <f t="array" ref="U154">INDEX(U$176:U$194,$A154)</f>
        <v>79.61</v>
      </c>
      <c r="V154" cm="1">
        <f t="array" ref="V154">INDEX(V$176:V$194,$A154)</f>
        <v>81.23</v>
      </c>
      <c r="W154" cm="1">
        <f t="array" ref="W154">INDEX(W$176:W$194,$A154)</f>
        <v>83.69</v>
      </c>
      <c r="X154" cm="1">
        <f t="array" ref="X154">INDEX(X$176:X$194,$A154)</f>
        <v>85.48</v>
      </c>
      <c r="Y154" cm="1">
        <f t="array" ref="Y154">INDEX(Y$176:Y$194,$A154)</f>
        <v>87.67</v>
      </c>
      <c r="Z154" cm="1">
        <f t="array" ref="Z154">INDEX(Z$176:Z$194,$A154)</f>
        <v>89.95</v>
      </c>
      <c r="AA154" cm="1">
        <f t="array" ref="AA154">INDEX(AA$176:AA$194,$A154)</f>
        <v>91.79</v>
      </c>
      <c r="AB154" cm="1">
        <f t="array" ref="AB154">INDEX(AB$176:AB$194,$A154)</f>
        <v>93.81</v>
      </c>
      <c r="AC154" cm="1">
        <f t="array" ref="AC154">INDEX(AC$176:AC$194,$A154)</f>
        <v>95.03</v>
      </c>
      <c r="AD154" cm="1">
        <f t="array" ref="AD154">INDEX(AD$176:AD$194,$A154)</f>
        <v>96.4</v>
      </c>
      <c r="AE154" cm="1">
        <f t="array" ref="AE154">INDEX(AE$176:AE$194,$A154)</f>
        <v>97.78</v>
      </c>
      <c r="AF154" cm="1">
        <f t="array" ref="AF154">INDEX(AF$176:AF$194,$A154)</f>
        <v>99.48</v>
      </c>
      <c r="AG154" cm="1">
        <f t="array" ref="AG154">INDEX(AG$176:AG$194,$A154)</f>
        <v>101.08</v>
      </c>
      <c r="AH154" cm="1">
        <f t="array" ref="AH154">INDEX(AH$176:AH$194,$A154)</f>
        <v>102.69</v>
      </c>
      <c r="AI154" cm="1">
        <f t="array" ref="AI154">INDEX(AI$176:AI$194,$A154)</f>
        <v>104.32</v>
      </c>
      <c r="AJ154" cm="1">
        <f t="array" ref="AJ154">INDEX(AJ$176:AJ$194,$A154)</f>
        <v>105.99</v>
      </c>
      <c r="AK154" cm="1">
        <f t="array" ref="AK154">INDEX(AK$176:AK$194,$A154)</f>
        <v>108.49</v>
      </c>
      <c r="AL154" cm="1">
        <f t="array" ref="AL154">INDEX(AL$176:AL$194,$A154)</f>
        <v>110.57</v>
      </c>
      <c r="AM154" cm="1">
        <f t="array" ref="AM154">INDEX(AM$176:AM$194,$A154)</f>
        <v>112.67</v>
      </c>
      <c r="AN154" cm="1">
        <f t="array" ref="AN154">INDEX(AN$176:AN$194,$A154)</f>
        <v>114.79</v>
      </c>
      <c r="AO154" cm="1">
        <f t="array" ref="AO154">INDEX(AO$176:AO$194,$A154)</f>
        <v>116.96</v>
      </c>
    </row>
    <row r="155" spans="1:41" x14ac:dyDescent="0.25">
      <c r="A155">
        <f t="shared" si="44"/>
        <v>14</v>
      </c>
      <c r="B155" t="s">
        <v>33</v>
      </c>
      <c r="C155" cm="1">
        <f t="array" ref="C155">INDEX(C$176:C$194,$A155)</f>
        <v>21.15</v>
      </c>
      <c r="D155" cm="1">
        <f t="array" ref="D155">INDEX(D$176:D$194,$A155)</f>
        <v>22.36</v>
      </c>
      <c r="E155" cm="1">
        <f t="array" ref="E155">INDEX(E$176:E$194,$A155)</f>
        <v>23.93</v>
      </c>
      <c r="F155" cm="1">
        <f t="array" ref="F155">INDEX(F$176:F$194,$A155)</f>
        <v>24.86</v>
      </c>
      <c r="G155" cm="1">
        <f t="array" ref="G155">INDEX(G$176:G$194,$A155)</f>
        <v>25.68</v>
      </c>
      <c r="H155" cm="1">
        <f t="array" ref="H155">INDEX(H$176:H$194,$A155)</f>
        <v>27.65</v>
      </c>
      <c r="I155" cm="1">
        <f t="array" ref="I155">INDEX(I$176:I$194,$A155)</f>
        <v>29.64</v>
      </c>
      <c r="J155" cm="1">
        <f t="array" ref="J155">INDEX(J$176:J$194,$A155)</f>
        <v>30.75</v>
      </c>
      <c r="K155" cm="1">
        <f t="array" ref="K155">INDEX(K$176:K$194,$A155)</f>
        <v>30.26</v>
      </c>
      <c r="L155" cm="1">
        <f t="array" ref="L155">INDEX(L$176:L$194,$A155)</f>
        <v>31.64</v>
      </c>
      <c r="M155" cm="1">
        <f t="array" ref="M155">INDEX(M$176:M$194,$A155)</f>
        <v>33.06</v>
      </c>
      <c r="N155" cm="1">
        <f t="array" ref="N155">INDEX(N$176:N$194,$A155)</f>
        <v>34.409999999999997</v>
      </c>
      <c r="O155" cm="1">
        <f t="array" ref="O155">INDEX(O$176:O$194,$A155)</f>
        <v>36.049999999999997</v>
      </c>
      <c r="P155" cm="1">
        <f t="array" ref="P155">INDEX(P$176:P$194,$A155)</f>
        <v>37.840000000000003</v>
      </c>
      <c r="Q155" cm="1">
        <f t="array" ref="Q155">INDEX(Q$176:Q$194,$A155)</f>
        <v>39.71</v>
      </c>
      <c r="R155" cm="1">
        <f t="array" ref="R155">INDEX(R$176:R$194,$A155)</f>
        <v>41.68</v>
      </c>
      <c r="S155" cm="1">
        <f t="array" ref="S155">INDEX(S$176:S$194,$A155)</f>
        <v>44.08</v>
      </c>
      <c r="T155" cm="1">
        <f t="array" ref="T155">INDEX(T$176:T$194,$A155)</f>
        <v>46.58</v>
      </c>
      <c r="U155" cm="1">
        <f t="array" ref="U155">INDEX(U$176:U$194,$A155)</f>
        <v>49.3</v>
      </c>
      <c r="V155" cm="1">
        <f t="array" ref="V155">INDEX(V$176:V$194,$A155)</f>
        <v>52.42</v>
      </c>
      <c r="W155" cm="1">
        <f t="array" ref="W155">INDEX(W$176:W$194,$A155)</f>
        <v>55.71</v>
      </c>
      <c r="X155" cm="1">
        <f t="array" ref="X155">INDEX(X$176:X$194,$A155)</f>
        <v>59.21</v>
      </c>
      <c r="Y155" cm="1">
        <f t="array" ref="Y155">INDEX(Y$176:Y$194,$A155)</f>
        <v>63.34</v>
      </c>
      <c r="Z155" cm="1">
        <f t="array" ref="Z155">INDEX(Z$176:Z$194,$A155)</f>
        <v>67.680000000000007</v>
      </c>
      <c r="AA155" cm="1">
        <f t="array" ref="AA155">INDEX(AA$176:AA$194,$A155)</f>
        <v>72.56</v>
      </c>
      <c r="AB155" cm="1">
        <f t="array" ref="AB155">INDEX(AB$176:AB$194,$A155)</f>
        <v>77.790000000000006</v>
      </c>
      <c r="AC155" cm="1">
        <f t="array" ref="AC155">INDEX(AC$176:AC$194,$A155)</f>
        <v>83.35</v>
      </c>
      <c r="AD155" cm="1">
        <f t="array" ref="AD155">INDEX(AD$176:AD$194,$A155)</f>
        <v>89.31</v>
      </c>
      <c r="AE155" cm="1">
        <f t="array" ref="AE155">INDEX(AE$176:AE$194,$A155)</f>
        <v>95.69</v>
      </c>
      <c r="AF155" cm="1">
        <f t="array" ref="AF155">INDEX(AF$176:AF$194,$A155)</f>
        <v>102.28</v>
      </c>
      <c r="AG155" cm="1">
        <f t="array" ref="AG155">INDEX(AG$176:AG$194,$A155)</f>
        <v>108.82</v>
      </c>
      <c r="AH155" cm="1">
        <f t="array" ref="AH155">INDEX(AH$176:AH$194,$A155)</f>
        <v>115.61</v>
      </c>
      <c r="AI155" cm="1">
        <f t="array" ref="AI155">INDEX(AI$176:AI$194,$A155)</f>
        <v>122.69</v>
      </c>
      <c r="AJ155" cm="1">
        <f t="array" ref="AJ155">INDEX(AJ$176:AJ$194,$A155)</f>
        <v>130.12</v>
      </c>
      <c r="AK155" cm="1">
        <f t="array" ref="AK155">INDEX(AK$176:AK$194,$A155)</f>
        <v>137.75</v>
      </c>
      <c r="AL155" cm="1">
        <f t="array" ref="AL155">INDEX(AL$176:AL$194,$A155)</f>
        <v>145.12</v>
      </c>
      <c r="AM155" cm="1">
        <f t="array" ref="AM155">INDEX(AM$176:AM$194,$A155)</f>
        <v>152.74</v>
      </c>
      <c r="AN155" cm="1">
        <f t="array" ref="AN155">INDEX(AN$176:AN$194,$A155)</f>
        <v>160.78</v>
      </c>
      <c r="AO155" cm="1">
        <f t="array" ref="AO155">INDEX(AO$176:AO$194,$A155)</f>
        <v>170.59</v>
      </c>
    </row>
    <row r="156" spans="1:41" x14ac:dyDescent="0.25">
      <c r="A156">
        <f t="shared" si="44"/>
        <v>9</v>
      </c>
      <c r="B156" t="s">
        <v>34</v>
      </c>
      <c r="C156" cm="1">
        <f t="array" ref="C156">INDEX(C$176:C$194,$A156)</f>
        <v>135.96</v>
      </c>
      <c r="D156" cm="1">
        <f t="array" ref="D156">INDEX(D$176:D$194,$A156)</f>
        <v>139.76</v>
      </c>
      <c r="E156" cm="1">
        <f t="array" ref="E156">INDEX(E$176:E$194,$A156)</f>
        <v>143.13</v>
      </c>
      <c r="F156" cm="1">
        <f t="array" ref="F156">INDEX(F$176:F$194,$A156)</f>
        <v>144.43</v>
      </c>
      <c r="G156" cm="1">
        <f t="array" ref="G156">INDEX(G$176:G$194,$A156)</f>
        <v>145.78</v>
      </c>
      <c r="H156" cm="1">
        <f t="array" ref="H156">INDEX(H$176:H$194,$A156)</f>
        <v>148.19</v>
      </c>
      <c r="I156" cm="1">
        <f t="array" ref="I156">INDEX(I$176:I$194,$A156)</f>
        <v>150.15</v>
      </c>
      <c r="J156" cm="1">
        <f t="array" ref="J156">INDEX(J$176:J$194,$A156)</f>
        <v>149.86000000000001</v>
      </c>
      <c r="K156" cm="1">
        <f t="array" ref="K156">INDEX(K$176:K$194,$A156)</f>
        <v>138.71</v>
      </c>
      <c r="L156" cm="1">
        <f t="array" ref="L156">INDEX(L$176:L$194,$A156)</f>
        <v>141.72999999999999</v>
      </c>
      <c r="M156" cm="1">
        <f t="array" ref="M156">INDEX(M$176:M$194,$A156)</f>
        <v>144.58000000000001</v>
      </c>
      <c r="N156" cm="1">
        <f t="array" ref="N156">INDEX(N$176:N$194,$A156)</f>
        <v>147.09</v>
      </c>
      <c r="O156" cm="1">
        <f t="array" ref="O156">INDEX(O$176:O$194,$A156)</f>
        <v>150.05000000000001</v>
      </c>
      <c r="P156" cm="1">
        <f t="array" ref="P156">INDEX(P$176:P$194,$A156)</f>
        <v>152.99</v>
      </c>
      <c r="Q156" cm="1">
        <f t="array" ref="Q156">INDEX(Q$176:Q$194,$A156)</f>
        <v>155.99</v>
      </c>
      <c r="R156" cm="1">
        <f t="array" ref="R156">INDEX(R$176:R$194,$A156)</f>
        <v>158.99</v>
      </c>
      <c r="S156" cm="1">
        <f t="array" ref="S156">INDEX(S$176:S$194,$A156)</f>
        <v>160.97999999999999</v>
      </c>
      <c r="T156" cm="1">
        <f t="array" ref="T156">INDEX(T$176:T$194,$A156)</f>
        <v>164.16</v>
      </c>
      <c r="U156" cm="1">
        <f t="array" ref="U156">INDEX(U$176:U$194,$A156)</f>
        <v>167.7</v>
      </c>
      <c r="V156" cm="1">
        <f t="array" ref="V156">INDEX(V$176:V$194,$A156)</f>
        <v>172.12</v>
      </c>
      <c r="W156" cm="1">
        <f t="array" ref="W156">INDEX(W$176:W$194,$A156)</f>
        <v>176.73</v>
      </c>
      <c r="X156" cm="1">
        <f t="array" ref="X156">INDEX(X$176:X$194,$A156)</f>
        <v>181.62</v>
      </c>
      <c r="Y156" cm="1">
        <f t="array" ref="Y156">INDEX(Y$176:Y$194,$A156)</f>
        <v>186.95</v>
      </c>
      <c r="Z156" cm="1">
        <f t="array" ref="Z156">INDEX(Z$176:Z$194,$A156)</f>
        <v>192.27</v>
      </c>
      <c r="AA156" cm="1">
        <f t="array" ref="AA156">INDEX(AA$176:AA$194,$A156)</f>
        <v>197.94</v>
      </c>
      <c r="AB156" cm="1">
        <f t="array" ref="AB156">INDEX(AB$176:AB$194,$A156)</f>
        <v>204.15</v>
      </c>
      <c r="AC156" cm="1">
        <f t="array" ref="AC156">INDEX(AC$176:AC$194,$A156)</f>
        <v>210.42</v>
      </c>
      <c r="AD156" cm="1">
        <f t="array" ref="AD156">INDEX(AD$176:AD$194,$A156)</f>
        <v>216.93</v>
      </c>
      <c r="AE156" cm="1">
        <f t="array" ref="AE156">INDEX(AE$176:AE$194,$A156)</f>
        <v>223.69</v>
      </c>
      <c r="AF156" cm="1">
        <f t="array" ref="AF156">INDEX(AF$176:AF$194,$A156)</f>
        <v>230.57</v>
      </c>
      <c r="AG156" cm="1">
        <f t="array" ref="AG156">INDEX(AG$176:AG$194,$A156)</f>
        <v>237.37</v>
      </c>
      <c r="AH156" cm="1">
        <f t="array" ref="AH156">INDEX(AH$176:AH$194,$A156)</f>
        <v>244.47</v>
      </c>
      <c r="AI156" cm="1">
        <f t="array" ref="AI156">INDEX(AI$176:AI$194,$A156)</f>
        <v>251.92</v>
      </c>
      <c r="AJ156" cm="1">
        <f t="array" ref="AJ156">INDEX(AJ$176:AJ$194,$A156)</f>
        <v>259.85000000000002</v>
      </c>
      <c r="AK156" cm="1">
        <f t="array" ref="AK156">INDEX(AK$176:AK$194,$A156)</f>
        <v>268.14999999999998</v>
      </c>
      <c r="AL156" cm="1">
        <f t="array" ref="AL156">INDEX(AL$176:AL$194,$A156)</f>
        <v>276.3</v>
      </c>
      <c r="AM156" cm="1">
        <f t="array" ref="AM156">INDEX(AM$176:AM$194,$A156)</f>
        <v>284.83999999999997</v>
      </c>
      <c r="AN156" cm="1">
        <f t="array" ref="AN156">INDEX(AN$176:AN$194,$A156)</f>
        <v>293.93</v>
      </c>
      <c r="AO156" cm="1">
        <f t="array" ref="AO156">INDEX(AO$176:AO$194,$A156)</f>
        <v>305.06</v>
      </c>
    </row>
    <row r="157" spans="1:41" x14ac:dyDescent="0.25">
      <c r="A157">
        <f t="shared" si="44"/>
        <v>2</v>
      </c>
      <c r="B157" t="s">
        <v>35</v>
      </c>
      <c r="C157" cm="1">
        <f t="array" ref="C157">INDEX(C$176:C$194,$A157)</f>
        <v>11.26</v>
      </c>
      <c r="D157" cm="1">
        <f t="array" ref="D157">INDEX(D$176:D$194,$A157)</f>
        <v>11.58</v>
      </c>
      <c r="E157" cm="1">
        <f t="array" ref="E157">INDEX(E$176:E$194,$A157)</f>
        <v>11.98</v>
      </c>
      <c r="F157" cm="1">
        <f t="array" ref="F157">INDEX(F$176:F$194,$A157)</f>
        <v>12.2</v>
      </c>
      <c r="G157" cm="1">
        <f t="array" ref="G157">INDEX(G$176:G$194,$A157)</f>
        <v>12.33</v>
      </c>
      <c r="H157" cm="1">
        <f t="array" ref="H157">INDEX(H$176:H$194,$A157)</f>
        <v>12.56</v>
      </c>
      <c r="I157" cm="1">
        <f t="array" ref="I157">INDEX(I$176:I$194,$A157)</f>
        <v>12.87</v>
      </c>
      <c r="J157" cm="1">
        <f t="array" ref="J157">INDEX(J$176:J$194,$A157)</f>
        <v>12.94</v>
      </c>
      <c r="K157" cm="1">
        <f t="array" ref="K157">INDEX(K$176:K$194,$A157)</f>
        <v>12.19</v>
      </c>
      <c r="L157" cm="1">
        <f t="array" ref="L157">INDEX(L$176:L$194,$A157)</f>
        <v>12.53</v>
      </c>
      <c r="M157" cm="1">
        <f t="array" ref="M157">INDEX(M$176:M$194,$A157)</f>
        <v>12.82</v>
      </c>
      <c r="N157" cm="1">
        <f t="array" ref="N157">INDEX(N$176:N$194,$A157)</f>
        <v>13.05</v>
      </c>
      <c r="O157" cm="1">
        <f t="array" ref="O157">INDEX(O$176:O$194,$A157)</f>
        <v>13.31</v>
      </c>
      <c r="P157" cm="1">
        <f t="array" ref="P157">INDEX(P$176:P$194,$A157)</f>
        <v>13.56</v>
      </c>
      <c r="Q157" cm="1">
        <f t="array" ref="Q157">INDEX(Q$176:Q$194,$A157)</f>
        <v>13.81</v>
      </c>
      <c r="R157" cm="1">
        <f t="array" ref="R157">INDEX(R$176:R$194,$A157)</f>
        <v>14.05</v>
      </c>
      <c r="S157" cm="1">
        <f t="array" ref="S157">INDEX(S$176:S$194,$A157)</f>
        <v>14.19</v>
      </c>
      <c r="T157" cm="1">
        <f t="array" ref="T157">INDEX(T$176:T$194,$A157)</f>
        <v>14.47</v>
      </c>
      <c r="U157" cm="1">
        <f t="array" ref="U157">INDEX(U$176:U$194,$A157)</f>
        <v>14.75</v>
      </c>
      <c r="V157" cm="1">
        <f t="array" ref="V157">INDEX(V$176:V$194,$A157)</f>
        <v>15.11</v>
      </c>
      <c r="W157" cm="1">
        <f t="array" ref="W157">INDEX(W$176:W$194,$A157)</f>
        <v>15.46</v>
      </c>
      <c r="X157" cm="1">
        <f t="array" ref="X157">INDEX(X$176:X$194,$A157)</f>
        <v>15.82</v>
      </c>
      <c r="Y157" cm="1">
        <f t="array" ref="Y157">INDEX(Y$176:Y$194,$A157)</f>
        <v>16.18</v>
      </c>
      <c r="Z157" cm="1">
        <f t="array" ref="Z157">INDEX(Z$176:Z$194,$A157)</f>
        <v>16.559999999999999</v>
      </c>
      <c r="AA157" cm="1">
        <f t="array" ref="AA157">INDEX(AA$176:AA$194,$A157)</f>
        <v>16.95</v>
      </c>
      <c r="AB157" cm="1">
        <f t="array" ref="AB157">INDEX(AB$176:AB$194,$A157)</f>
        <v>17.38</v>
      </c>
      <c r="AC157" cm="1">
        <f t="array" ref="AC157">INDEX(AC$176:AC$194,$A157)</f>
        <v>17.8</v>
      </c>
      <c r="AD157" cm="1">
        <f t="array" ref="AD157">INDEX(AD$176:AD$194,$A157)</f>
        <v>18.23</v>
      </c>
      <c r="AE157" cm="1">
        <f t="array" ref="AE157">INDEX(AE$176:AE$194,$A157)</f>
        <v>18.670000000000002</v>
      </c>
      <c r="AF157" cm="1">
        <f t="array" ref="AF157">INDEX(AF$176:AF$194,$A157)</f>
        <v>19.12</v>
      </c>
      <c r="AG157" cm="1">
        <f t="array" ref="AG157">INDEX(AG$176:AG$194,$A157)</f>
        <v>19.55</v>
      </c>
      <c r="AH157" cm="1">
        <f t="array" ref="AH157">INDEX(AH$176:AH$194,$A157)</f>
        <v>19.98</v>
      </c>
      <c r="AI157" cm="1">
        <f t="array" ref="AI157">INDEX(AI$176:AI$194,$A157)</f>
        <v>20.420000000000002</v>
      </c>
      <c r="AJ157" cm="1">
        <f t="array" ref="AJ157">INDEX(AJ$176:AJ$194,$A157)</f>
        <v>20.87</v>
      </c>
      <c r="AK157" cm="1">
        <f t="array" ref="AK157">INDEX(AK$176:AK$194,$A157)</f>
        <v>21.33</v>
      </c>
      <c r="AL157" cm="1">
        <f t="array" ref="AL157">INDEX(AL$176:AL$194,$A157)</f>
        <v>21.77</v>
      </c>
      <c r="AM157" cm="1">
        <f t="array" ref="AM157">INDEX(AM$176:AM$194,$A157)</f>
        <v>22.21</v>
      </c>
      <c r="AN157" cm="1">
        <f t="array" ref="AN157">INDEX(AN$176:AN$194,$A157)</f>
        <v>22.68</v>
      </c>
      <c r="AO157" cm="1">
        <f t="array" ref="AO157">INDEX(AO$176:AO$194,$A157)</f>
        <v>23.27</v>
      </c>
    </row>
    <row r="158" spans="1:41" x14ac:dyDescent="0.25">
      <c r="A158">
        <f t="shared" si="44"/>
        <v>17</v>
      </c>
      <c r="B158" t="s">
        <v>36</v>
      </c>
      <c r="C158" cm="1">
        <f t="array" ref="C158">INDEX(C$176:C$194,$A158)</f>
        <v>1.1399999999999999</v>
      </c>
      <c r="D158" cm="1">
        <f t="array" ref="D158">INDEX(D$176:D$194,$A158)</f>
        <v>1.1499999999999999</v>
      </c>
      <c r="E158" cm="1">
        <f t="array" ref="E158">INDEX(E$176:E$194,$A158)</f>
        <v>1.1299999999999999</v>
      </c>
      <c r="F158" cm="1">
        <f t="array" ref="F158">INDEX(F$176:F$194,$A158)</f>
        <v>1.1200000000000001</v>
      </c>
      <c r="G158" cm="1">
        <f t="array" ref="G158">INDEX(G$176:G$194,$A158)</f>
        <v>1.1200000000000001</v>
      </c>
      <c r="H158" cm="1">
        <f t="array" ref="H158">INDEX(H$176:H$194,$A158)</f>
        <v>1.1299999999999999</v>
      </c>
      <c r="I158" cm="1">
        <f t="array" ref="I158">INDEX(I$176:I$194,$A158)</f>
        <v>1.1000000000000001</v>
      </c>
      <c r="J158" cm="1">
        <f t="array" ref="J158">INDEX(J$176:J$194,$A158)</f>
        <v>1.07</v>
      </c>
      <c r="K158" cm="1">
        <f t="array" ref="K158">INDEX(K$176:K$194,$A158)</f>
        <v>0.94</v>
      </c>
      <c r="L158" cm="1">
        <f t="array" ref="L158">INDEX(L$176:L$194,$A158)</f>
        <v>0.94</v>
      </c>
      <c r="M158" cm="1">
        <f t="array" ref="M158">INDEX(M$176:M$194,$A158)</f>
        <v>0.95</v>
      </c>
      <c r="N158" cm="1">
        <f t="array" ref="N158">INDEX(N$176:N$194,$A158)</f>
        <v>0.97</v>
      </c>
      <c r="O158" cm="1">
        <f t="array" ref="O158">INDEX(O$176:O$194,$A158)</f>
        <v>0.98</v>
      </c>
      <c r="P158" cm="1">
        <f t="array" ref="P158">INDEX(P$176:P$194,$A158)</f>
        <v>1</v>
      </c>
      <c r="Q158" cm="1">
        <f t="array" ref="Q158">INDEX(Q$176:Q$194,$A158)</f>
        <v>1.02</v>
      </c>
      <c r="R158" cm="1">
        <f t="array" ref="R158">INDEX(R$176:R$194,$A158)</f>
        <v>1.04</v>
      </c>
      <c r="S158" cm="1">
        <f t="array" ref="S158">INDEX(S$176:S$194,$A158)</f>
        <v>1.05</v>
      </c>
      <c r="T158" cm="1">
        <f t="array" ref="T158">INDEX(T$176:T$194,$A158)</f>
        <v>1.06</v>
      </c>
      <c r="U158" cm="1">
        <f t="array" ref="U158">INDEX(U$176:U$194,$A158)</f>
        <v>1.0900000000000001</v>
      </c>
      <c r="V158" cm="1">
        <f t="array" ref="V158">INDEX(V$176:V$194,$A158)</f>
        <v>1.1200000000000001</v>
      </c>
      <c r="W158" cm="1">
        <f t="array" ref="W158">INDEX(W$176:W$194,$A158)</f>
        <v>1.1599999999999999</v>
      </c>
      <c r="X158" cm="1">
        <f t="array" ref="X158">INDEX(X$176:X$194,$A158)</f>
        <v>1.2</v>
      </c>
      <c r="Y158" cm="1">
        <f t="array" ref="Y158">INDEX(Y$176:Y$194,$A158)</f>
        <v>1.25</v>
      </c>
      <c r="Z158" cm="1">
        <f t="array" ref="Z158">INDEX(Z$176:Z$194,$A158)</f>
        <v>1.29</v>
      </c>
      <c r="AA158" cm="1">
        <f t="array" ref="AA158">INDEX(AA$176:AA$194,$A158)</f>
        <v>1.34</v>
      </c>
      <c r="AB158" cm="1">
        <f t="array" ref="AB158">INDEX(AB$176:AB$194,$A158)</f>
        <v>1.4</v>
      </c>
      <c r="AC158" cm="1">
        <f t="array" ref="AC158">INDEX(AC$176:AC$194,$A158)</f>
        <v>1.46</v>
      </c>
      <c r="AD158" cm="1">
        <f t="array" ref="AD158">INDEX(AD$176:AD$194,$A158)</f>
        <v>1.52</v>
      </c>
      <c r="AE158" cm="1">
        <f t="array" ref="AE158">INDEX(AE$176:AE$194,$A158)</f>
        <v>1.59</v>
      </c>
      <c r="AF158" cm="1">
        <f t="array" ref="AF158">INDEX(AF$176:AF$194,$A158)</f>
        <v>1.67</v>
      </c>
      <c r="AG158" cm="1">
        <f t="array" ref="AG158">INDEX(AG$176:AG$194,$A158)</f>
        <v>1.74</v>
      </c>
      <c r="AH158" cm="1">
        <f t="array" ref="AH158">INDEX(AH$176:AH$194,$A158)</f>
        <v>1.83</v>
      </c>
      <c r="AI158" cm="1">
        <f t="array" ref="AI158">INDEX(AI$176:AI$194,$A158)</f>
        <v>1.92</v>
      </c>
      <c r="AJ158" cm="1">
        <f t="array" ref="AJ158">INDEX(AJ$176:AJ$194,$A158)</f>
        <v>2.02</v>
      </c>
      <c r="AK158" cm="1">
        <f t="array" ref="AK158">INDEX(AK$176:AK$194,$A158)</f>
        <v>2.13</v>
      </c>
      <c r="AL158" cm="1">
        <f t="array" ref="AL158">INDEX(AL$176:AL$194,$A158)</f>
        <v>2.25</v>
      </c>
      <c r="AM158" cm="1">
        <f t="array" ref="AM158">INDEX(AM$176:AM$194,$A158)</f>
        <v>2.38</v>
      </c>
      <c r="AN158" cm="1">
        <f t="array" ref="AN158">INDEX(AN$176:AN$194,$A158)</f>
        <v>2.5099999999999998</v>
      </c>
      <c r="AO158" cm="1">
        <f t="array" ref="AO158">INDEX(AO$176:AO$194,$A158)</f>
        <v>2.67</v>
      </c>
    </row>
    <row r="159" spans="1:41" x14ac:dyDescent="0.25">
      <c r="A159">
        <f t="shared" si="44"/>
        <v>5</v>
      </c>
      <c r="B159" t="s">
        <v>37</v>
      </c>
      <c r="C159" cm="1">
        <f t="array" ref="C159">INDEX(C$176:C$194,$A159)</f>
        <v>27.52</v>
      </c>
      <c r="D159" cm="1">
        <f t="array" ref="D159">INDEX(D$176:D$194,$A159)</f>
        <v>26.89</v>
      </c>
      <c r="E159" cm="1">
        <f t="array" ref="E159">INDEX(E$176:E$194,$A159)</f>
        <v>26.27</v>
      </c>
      <c r="F159" cm="1">
        <f t="array" ref="F159">INDEX(F$176:F$194,$A159)</f>
        <v>25.64</v>
      </c>
      <c r="G159" cm="1">
        <f t="array" ref="G159">INDEX(G$176:G$194,$A159)</f>
        <v>25.62</v>
      </c>
      <c r="H159" cm="1">
        <f t="array" ref="H159">INDEX(H$176:H$194,$A159)</f>
        <v>25.6</v>
      </c>
      <c r="I159" cm="1">
        <f t="array" ref="I159">INDEX(I$176:I$194,$A159)</f>
        <v>25.6</v>
      </c>
      <c r="J159" cm="1">
        <f t="array" ref="J159">INDEX(J$176:J$194,$A159)</f>
        <v>25.55</v>
      </c>
      <c r="K159" cm="1">
        <f t="array" ref="K159">INDEX(K$176:K$194,$A159)</f>
        <v>16.07</v>
      </c>
      <c r="L159" cm="1">
        <f t="array" ref="L159">INDEX(L$176:L$194,$A159)</f>
        <v>16.03</v>
      </c>
      <c r="M159" cm="1">
        <f t="array" ref="M159">INDEX(M$176:M$194,$A159)</f>
        <v>16.03</v>
      </c>
      <c r="N159" cm="1">
        <f t="array" ref="N159">INDEX(N$176:N$194,$A159)</f>
        <v>16.010000000000002</v>
      </c>
      <c r="O159" cm="1">
        <f t="array" ref="O159">INDEX(O$176:O$194,$A159)</f>
        <v>15.99</v>
      </c>
      <c r="P159" cm="1">
        <f t="array" ref="P159">INDEX(P$176:P$194,$A159)</f>
        <v>15.42</v>
      </c>
      <c r="Q159" cm="1">
        <f t="array" ref="Q159">INDEX(Q$176:Q$194,$A159)</f>
        <v>15.4</v>
      </c>
      <c r="R159" cm="1">
        <f t="array" ref="R159">INDEX(R$176:R$194,$A159)</f>
        <v>15.38</v>
      </c>
      <c r="S159" cm="1">
        <f t="array" ref="S159">INDEX(S$176:S$194,$A159)</f>
        <v>10.1</v>
      </c>
      <c r="T159" cm="1">
        <f t="array" ref="T159">INDEX(T$176:T$194,$A159)</f>
        <v>10.08</v>
      </c>
      <c r="U159" cm="1">
        <f t="array" ref="U159">INDEX(U$176:U$194,$A159)</f>
        <v>10.47</v>
      </c>
      <c r="V159" cm="1">
        <f t="array" ref="V159">INDEX(V$176:V$194,$A159)</f>
        <v>10.74</v>
      </c>
      <c r="W159" cm="1">
        <f t="array" ref="W159">INDEX(W$176:W$194,$A159)</f>
        <v>10.75</v>
      </c>
      <c r="X159" cm="1">
        <f t="array" ref="X159">INDEX(X$176:X$194,$A159)</f>
        <v>10.78</v>
      </c>
      <c r="Y159" cm="1">
        <f t="array" ref="Y159">INDEX(Y$176:Y$194,$A159)</f>
        <v>9.3800000000000008</v>
      </c>
      <c r="Z159" cm="1">
        <f t="array" ref="Z159">INDEX(Z$176:Z$194,$A159)</f>
        <v>7.95</v>
      </c>
      <c r="AA159" cm="1">
        <f t="array" ref="AA159">INDEX(AA$176:AA$194,$A159)</f>
        <v>6.61</v>
      </c>
      <c r="AB159" cm="1">
        <f t="array" ref="AB159">INDEX(AB$176:AB$194,$A159)</f>
        <v>5.54</v>
      </c>
      <c r="AC159" cm="1">
        <f t="array" ref="AC159">INDEX(AC$176:AC$194,$A159)</f>
        <v>4.71</v>
      </c>
      <c r="AD159" cm="1">
        <f t="array" ref="AD159">INDEX(AD$176:AD$194,$A159)</f>
        <v>3.88</v>
      </c>
      <c r="AE159" cm="1">
        <f t="array" ref="AE159">INDEX(AE$176:AE$194,$A159)</f>
        <v>3.05</v>
      </c>
      <c r="AF159" cm="1">
        <f t="array" ref="AF159">INDEX(AF$176:AF$194,$A159)</f>
        <v>2.78</v>
      </c>
      <c r="AG159" cm="1">
        <f t="array" ref="AG159">INDEX(AG$176:AG$194,$A159)</f>
        <v>2.5099999999999998</v>
      </c>
      <c r="AH159" cm="1">
        <f t="array" ref="AH159">INDEX(AH$176:AH$194,$A159)</f>
        <v>2.2400000000000002</v>
      </c>
      <c r="AI159" cm="1">
        <f t="array" ref="AI159">INDEX(AI$176:AI$194,$A159)</f>
        <v>1.97</v>
      </c>
      <c r="AJ159" cm="1">
        <f t="array" ref="AJ159">INDEX(AJ$176:AJ$194,$A159)</f>
        <v>1.7</v>
      </c>
      <c r="AK159" cm="1">
        <f t="array" ref="AK159">INDEX(AK$176:AK$194,$A159)</f>
        <v>1.68</v>
      </c>
      <c r="AL159" cm="1">
        <f t="array" ref="AL159">INDEX(AL$176:AL$194,$A159)</f>
        <v>1.65</v>
      </c>
      <c r="AM159" cm="1">
        <f t="array" ref="AM159">INDEX(AM$176:AM$194,$A159)</f>
        <v>1.63</v>
      </c>
      <c r="AN159" cm="1">
        <f t="array" ref="AN159">INDEX(AN$176:AN$194,$A159)</f>
        <v>1.61</v>
      </c>
      <c r="AO159" cm="1">
        <f t="array" ref="AO159">INDEX(AO$176:AO$194,$A159)</f>
        <v>1.58</v>
      </c>
    </row>
    <row r="160" spans="1:41" x14ac:dyDescent="0.25">
      <c r="A160">
        <f t="shared" si="44"/>
        <v>7</v>
      </c>
      <c r="B160" t="s">
        <v>38</v>
      </c>
      <c r="C160" cm="1">
        <f t="array" ref="C160">INDEX(C$176:C$194,$A160)</f>
        <v>66.42</v>
      </c>
      <c r="D160" cm="1">
        <f t="array" ref="D160">INDEX(D$176:D$194,$A160)</f>
        <v>67.81</v>
      </c>
      <c r="E160" cm="1">
        <f t="array" ref="E160">INDEX(E$176:E$194,$A160)</f>
        <v>65.680000000000007</v>
      </c>
      <c r="F160" cm="1">
        <f t="array" ref="F160">INDEX(F$176:F$194,$A160)</f>
        <v>63.54</v>
      </c>
      <c r="G160" cm="1">
        <f t="array" ref="G160">INDEX(G$176:G$194,$A160)</f>
        <v>63.36</v>
      </c>
      <c r="H160" cm="1">
        <f t="array" ref="H160">INDEX(H$176:H$194,$A160)</f>
        <v>63.29</v>
      </c>
      <c r="I160" cm="1">
        <f t="array" ref="I160">INDEX(I$176:I$194,$A160)</f>
        <v>63.16</v>
      </c>
      <c r="J160" cm="1">
        <f t="array" ref="J160">INDEX(J$176:J$194,$A160)</f>
        <v>62.72</v>
      </c>
      <c r="K160" cm="1">
        <f t="array" ref="K160">INDEX(K$176:K$194,$A160)</f>
        <v>60.32</v>
      </c>
      <c r="L160" cm="1">
        <f t="array" ref="L160">INDEX(L$176:L$194,$A160)</f>
        <v>60.32</v>
      </c>
      <c r="M160" cm="1">
        <f t="array" ref="M160">INDEX(M$176:M$194,$A160)</f>
        <v>60.4</v>
      </c>
      <c r="N160" cm="1">
        <f t="array" ref="N160">INDEX(N$176:N$194,$A160)</f>
        <v>60.18</v>
      </c>
      <c r="O160" cm="1">
        <f t="array" ref="O160">INDEX(O$176:O$194,$A160)</f>
        <v>60.35</v>
      </c>
      <c r="P160" cm="1">
        <f t="array" ref="P160">INDEX(P$176:P$194,$A160)</f>
        <v>60.75</v>
      </c>
      <c r="Q160" cm="1">
        <f t="array" ref="Q160">INDEX(Q$176:Q$194,$A160)</f>
        <v>60.82</v>
      </c>
      <c r="R160" cm="1">
        <f t="array" ref="R160">INDEX(R$176:R$194,$A160)</f>
        <v>60.78</v>
      </c>
      <c r="S160" cm="1">
        <f t="array" ref="S160">INDEX(S$176:S$194,$A160)</f>
        <v>60.57</v>
      </c>
      <c r="T160" cm="1">
        <f t="array" ref="T160">INDEX(T$176:T$194,$A160)</f>
        <v>59.99</v>
      </c>
      <c r="U160" cm="1">
        <f t="array" ref="U160">INDEX(U$176:U$194,$A160)</f>
        <v>59.52</v>
      </c>
      <c r="V160" cm="1">
        <f t="array" ref="V160">INDEX(V$176:V$194,$A160)</f>
        <v>59.08</v>
      </c>
      <c r="W160" cm="1">
        <f t="array" ref="W160">INDEX(W$176:W$194,$A160)</f>
        <v>59.01</v>
      </c>
      <c r="X160" cm="1">
        <f t="array" ref="X160">INDEX(X$176:X$194,$A160)</f>
        <v>58.82</v>
      </c>
      <c r="Y160" cm="1">
        <f t="array" ref="Y160">INDEX(Y$176:Y$194,$A160)</f>
        <v>58.76</v>
      </c>
      <c r="Z160" cm="1">
        <f t="array" ref="Z160">INDEX(Z$176:Z$194,$A160)</f>
        <v>58.76</v>
      </c>
      <c r="AA160" cm="1">
        <f t="array" ref="AA160">INDEX(AA$176:AA$194,$A160)</f>
        <v>58.54</v>
      </c>
      <c r="AB160" cm="1">
        <f t="array" ref="AB160">INDEX(AB$176:AB$194,$A160)</f>
        <v>57.86</v>
      </c>
      <c r="AC160" cm="1">
        <f t="array" ref="AC160">INDEX(AC$176:AC$194,$A160)</f>
        <v>56.62</v>
      </c>
      <c r="AD160" cm="1">
        <f t="array" ref="AD160">INDEX(AD$176:AD$194,$A160)</f>
        <v>55.36</v>
      </c>
      <c r="AE160" cm="1">
        <f t="array" ref="AE160">INDEX(AE$176:AE$194,$A160)</f>
        <v>54.1</v>
      </c>
      <c r="AF160" cm="1">
        <f t="array" ref="AF160">INDEX(AF$176:AF$194,$A160)</f>
        <v>53.56</v>
      </c>
      <c r="AG160" cm="1">
        <f t="array" ref="AG160">INDEX(AG$176:AG$194,$A160)</f>
        <v>53.03</v>
      </c>
      <c r="AH160" cm="1">
        <f t="array" ref="AH160">INDEX(AH$176:AH$194,$A160)</f>
        <v>52.5</v>
      </c>
      <c r="AI160" cm="1">
        <f t="array" ref="AI160">INDEX(AI$176:AI$194,$A160)</f>
        <v>51.96</v>
      </c>
      <c r="AJ160" cm="1">
        <f t="array" ref="AJ160">INDEX(AJ$176:AJ$194,$A160)</f>
        <v>51.43</v>
      </c>
      <c r="AK160" cm="1">
        <f t="array" ref="AK160">INDEX(AK$176:AK$194,$A160)</f>
        <v>51.14</v>
      </c>
      <c r="AL160" cm="1">
        <f t="array" ref="AL160">INDEX(AL$176:AL$194,$A160)</f>
        <v>50.86</v>
      </c>
      <c r="AM160" cm="1">
        <f t="array" ref="AM160">INDEX(AM$176:AM$194,$A160)</f>
        <v>50.58</v>
      </c>
      <c r="AN160" cm="1">
        <f t="array" ref="AN160">INDEX(AN$176:AN$194,$A160)</f>
        <v>50.3</v>
      </c>
      <c r="AO160" cm="1">
        <f t="array" ref="AO160">INDEX(AO$176:AO$194,$A160)</f>
        <v>50.03</v>
      </c>
    </row>
    <row r="161" spans="1:41" x14ac:dyDescent="0.25">
      <c r="C161" s="13"/>
      <c r="D161" s="23"/>
    </row>
    <row r="162" spans="1:41" ht="18" thickBot="1" x14ac:dyDescent="0.35">
      <c r="A162" s="4" t="s">
        <v>143</v>
      </c>
      <c r="B162" s="4"/>
      <c r="C162" s="4"/>
      <c r="D162" s="4"/>
      <c r="E162" s="4"/>
      <c r="F162" s="4"/>
      <c r="G162" s="4"/>
      <c r="H162" s="4"/>
    </row>
    <row r="163" spans="1:41" ht="15.75" thickTop="1" x14ac:dyDescent="0.25">
      <c r="B163" s="3">
        <v>2012</v>
      </c>
      <c r="C163" s="3">
        <v>2013</v>
      </c>
      <c r="D163" s="3">
        <v>2014</v>
      </c>
      <c r="E163" s="3">
        <v>2015</v>
      </c>
      <c r="F163" s="3">
        <v>2016</v>
      </c>
      <c r="G163" s="3">
        <v>2017</v>
      </c>
      <c r="H163" s="3">
        <v>2018</v>
      </c>
      <c r="I163" s="3">
        <v>2019</v>
      </c>
      <c r="J163" s="3">
        <v>2020</v>
      </c>
      <c r="K163" s="3">
        <v>2021</v>
      </c>
      <c r="L163" s="3">
        <v>2022</v>
      </c>
      <c r="M163" s="3">
        <v>2023</v>
      </c>
      <c r="N163" s="3">
        <v>2024</v>
      </c>
      <c r="O163" s="3">
        <v>2025</v>
      </c>
      <c r="P163" s="3">
        <v>2026</v>
      </c>
      <c r="Q163" s="3">
        <v>2027</v>
      </c>
      <c r="R163" s="3">
        <v>2028</v>
      </c>
      <c r="S163" s="3">
        <v>2029</v>
      </c>
      <c r="T163" s="3">
        <v>2030</v>
      </c>
      <c r="U163" s="3">
        <v>2031</v>
      </c>
      <c r="V163" s="3">
        <v>2032</v>
      </c>
      <c r="W163" s="3">
        <v>2033</v>
      </c>
      <c r="X163" s="3">
        <v>2034</v>
      </c>
      <c r="Y163" s="3">
        <v>2035</v>
      </c>
      <c r="Z163" s="3">
        <v>2036</v>
      </c>
      <c r="AA163" s="3">
        <v>2037</v>
      </c>
      <c r="AB163" s="3">
        <v>2038</v>
      </c>
      <c r="AC163">
        <v>2039</v>
      </c>
      <c r="AD163">
        <v>2040</v>
      </c>
      <c r="AE163">
        <v>2041</v>
      </c>
      <c r="AF163">
        <v>2042</v>
      </c>
      <c r="AG163">
        <v>2043</v>
      </c>
      <c r="AH163">
        <v>2044</v>
      </c>
      <c r="AI163">
        <v>2045</v>
      </c>
      <c r="AJ163">
        <v>2046</v>
      </c>
      <c r="AK163">
        <v>2047</v>
      </c>
      <c r="AL163">
        <v>2048</v>
      </c>
      <c r="AM163">
        <v>2049</v>
      </c>
      <c r="AN163">
        <v>2050</v>
      </c>
    </row>
    <row r="164" spans="1:41" x14ac:dyDescent="0.25">
      <c r="A164" s="3" t="s">
        <v>54</v>
      </c>
      <c r="B164" s="12">
        <f>B202</f>
        <v>0.5</v>
      </c>
      <c r="C164" s="12">
        <f t="shared" ref="C164:AN164" si="45">C202</f>
        <v>0.49530000000000002</v>
      </c>
      <c r="D164" s="12">
        <f t="shared" si="45"/>
        <v>0.48570000000000002</v>
      </c>
      <c r="E164" s="12">
        <f t="shared" si="45"/>
        <v>0.48010000000000003</v>
      </c>
      <c r="F164" s="12">
        <f t="shared" si="45"/>
        <v>0.4783</v>
      </c>
      <c r="G164" s="12">
        <f t="shared" si="45"/>
        <v>0.47289999999999999</v>
      </c>
      <c r="H164" s="12">
        <f t="shared" si="45"/>
        <v>0.46870000000000001</v>
      </c>
      <c r="I164" s="12">
        <f t="shared" si="45"/>
        <v>0.47139999999999999</v>
      </c>
      <c r="J164" s="12">
        <f t="shared" si="45"/>
        <v>0.48859999999999998</v>
      </c>
      <c r="K164" s="12">
        <f t="shared" si="45"/>
        <v>0.50270000000000004</v>
      </c>
      <c r="L164" s="12">
        <f t="shared" si="45"/>
        <v>0.498</v>
      </c>
      <c r="M164" s="12">
        <f t="shared" si="45"/>
        <v>0.49359999999999998</v>
      </c>
      <c r="N164" s="12">
        <f t="shared" si="45"/>
        <v>0.48820000000000002</v>
      </c>
      <c r="O164" s="12">
        <f t="shared" si="45"/>
        <v>0.48220000000000002</v>
      </c>
      <c r="P164" s="12">
        <f t="shared" si="45"/>
        <v>0.47520000000000001</v>
      </c>
      <c r="Q164" s="12">
        <f t="shared" si="45"/>
        <v>0.46839999999999998</v>
      </c>
      <c r="R164" s="12">
        <f t="shared" si="45"/>
        <v>0.4647</v>
      </c>
      <c r="S164" s="12">
        <f t="shared" si="45"/>
        <v>0.45779999999999998</v>
      </c>
      <c r="T164" s="12">
        <f t="shared" si="45"/>
        <v>0.44979999999999998</v>
      </c>
      <c r="U164" s="12">
        <f t="shared" si="45"/>
        <v>0.44130000000000003</v>
      </c>
      <c r="V164" s="12">
        <f t="shared" si="45"/>
        <v>0.43219999999999997</v>
      </c>
      <c r="W164" s="12">
        <f t="shared" si="45"/>
        <v>0.42320000000000002</v>
      </c>
      <c r="X164" s="12">
        <f t="shared" si="45"/>
        <v>0.4138</v>
      </c>
      <c r="Y164" s="12">
        <f t="shared" si="45"/>
        <v>0.40460000000000002</v>
      </c>
      <c r="Z164" s="12">
        <f t="shared" si="45"/>
        <v>0.39539999999999997</v>
      </c>
      <c r="AA164" s="12">
        <f t="shared" si="45"/>
        <v>0.38550000000000001</v>
      </c>
      <c r="AB164" s="12">
        <f t="shared" si="45"/>
        <v>0.37590000000000001</v>
      </c>
      <c r="AC164" s="12">
        <f t="shared" si="45"/>
        <v>0.36670000000000003</v>
      </c>
      <c r="AD164" s="12">
        <f t="shared" si="45"/>
        <v>0.35759999999999997</v>
      </c>
      <c r="AE164" s="12">
        <f t="shared" si="45"/>
        <v>0.34839999999999999</v>
      </c>
      <c r="AF164" s="12">
        <f t="shared" si="45"/>
        <v>0.33989999999999998</v>
      </c>
      <c r="AG164" s="12">
        <f t="shared" si="45"/>
        <v>0.33169999999999999</v>
      </c>
      <c r="AH164" s="12">
        <f t="shared" si="45"/>
        <v>0.32350000000000001</v>
      </c>
      <c r="AI164" s="12">
        <f t="shared" si="45"/>
        <v>0.31519999999999998</v>
      </c>
      <c r="AJ164" s="12">
        <f t="shared" si="45"/>
        <v>0.30669999999999997</v>
      </c>
      <c r="AK164" s="12">
        <f t="shared" si="45"/>
        <v>0.2989</v>
      </c>
      <c r="AL164" s="12">
        <f t="shared" si="45"/>
        <v>0.29149999999999998</v>
      </c>
      <c r="AM164" s="12">
        <f t="shared" si="45"/>
        <v>0.28389999999999999</v>
      </c>
      <c r="AN164" s="12">
        <f t="shared" si="45"/>
        <v>0.27539999999999998</v>
      </c>
    </row>
    <row r="165" spans="1:41" x14ac:dyDescent="0.25">
      <c r="A165" s="3" t="s">
        <v>55</v>
      </c>
      <c r="B165" s="12">
        <f>B201</f>
        <v>0.3</v>
      </c>
      <c r="C165" s="12">
        <f t="shared" ref="C165:AN165" si="46">C201</f>
        <v>0.29570000000000002</v>
      </c>
      <c r="D165" s="12">
        <f t="shared" si="46"/>
        <v>0.29930000000000001</v>
      </c>
      <c r="E165" s="12">
        <f t="shared" si="46"/>
        <v>0.3029</v>
      </c>
      <c r="F165" s="12">
        <f t="shared" si="46"/>
        <v>0.3044</v>
      </c>
      <c r="G165" s="12">
        <f t="shared" si="46"/>
        <v>0.30480000000000002</v>
      </c>
      <c r="H165" s="12">
        <f t="shared" si="46"/>
        <v>0.30819999999999997</v>
      </c>
      <c r="I165" s="12">
        <f t="shared" si="46"/>
        <v>0.31109999999999999</v>
      </c>
      <c r="J165" s="12">
        <f t="shared" si="46"/>
        <v>0.31140000000000001</v>
      </c>
      <c r="K165" s="12">
        <f t="shared" si="46"/>
        <v>0.29730000000000001</v>
      </c>
      <c r="L165" s="12">
        <f t="shared" si="46"/>
        <v>0.30199999999999999</v>
      </c>
      <c r="M165" s="12">
        <f t="shared" si="46"/>
        <v>0.30640000000000001</v>
      </c>
      <c r="N165" s="12">
        <f t="shared" si="46"/>
        <v>0.30940000000000001</v>
      </c>
      <c r="O165" s="12">
        <f t="shared" si="46"/>
        <v>0.3115</v>
      </c>
      <c r="P165" s="12">
        <f t="shared" si="46"/>
        <v>0.313</v>
      </c>
      <c r="Q165" s="12">
        <f t="shared" si="46"/>
        <v>0.31540000000000001</v>
      </c>
      <c r="R165" s="12">
        <f t="shared" si="46"/>
        <v>0.3175</v>
      </c>
      <c r="S165" s="12">
        <f t="shared" si="46"/>
        <v>0.31859999999999999</v>
      </c>
      <c r="T165" s="12">
        <f t="shared" si="46"/>
        <v>0.32069999999999999</v>
      </c>
      <c r="U165" s="12">
        <f t="shared" si="46"/>
        <v>0.32240000000000002</v>
      </c>
      <c r="V165" s="12">
        <f t="shared" si="46"/>
        <v>0.32469999999999999</v>
      </c>
      <c r="W165" s="12">
        <f t="shared" si="46"/>
        <v>0.32690000000000002</v>
      </c>
      <c r="X165" s="12">
        <f t="shared" si="46"/>
        <v>0.32890000000000003</v>
      </c>
      <c r="Y165" s="12">
        <f t="shared" si="46"/>
        <v>0.33139999999999997</v>
      </c>
      <c r="Z165" s="12">
        <f t="shared" si="46"/>
        <v>0.33339999999999997</v>
      </c>
      <c r="AA165" s="12">
        <f t="shared" si="46"/>
        <v>0.33560000000000001</v>
      </c>
      <c r="AB165" s="12">
        <f t="shared" si="46"/>
        <v>0.33800000000000002</v>
      </c>
      <c r="AC165" s="12">
        <f t="shared" si="46"/>
        <v>0.34010000000000001</v>
      </c>
      <c r="AD165" s="12">
        <f t="shared" si="46"/>
        <v>0.3422</v>
      </c>
      <c r="AE165" s="12">
        <f t="shared" si="46"/>
        <v>0.34439999999999998</v>
      </c>
      <c r="AF165" s="12">
        <f t="shared" si="46"/>
        <v>0.34649999999999997</v>
      </c>
      <c r="AG165" s="12">
        <f t="shared" si="46"/>
        <v>0.34839999999999999</v>
      </c>
      <c r="AH165" s="12">
        <f t="shared" si="46"/>
        <v>0.35020000000000001</v>
      </c>
      <c r="AI165" s="12">
        <f t="shared" si="46"/>
        <v>0.35189999999999999</v>
      </c>
      <c r="AJ165" s="12">
        <f t="shared" si="46"/>
        <v>0.35370000000000001</v>
      </c>
      <c r="AK165" s="12">
        <f t="shared" si="46"/>
        <v>0.35560000000000003</v>
      </c>
      <c r="AL165" s="12">
        <f t="shared" si="46"/>
        <v>0.35720000000000002</v>
      </c>
      <c r="AM165" s="12">
        <f t="shared" si="46"/>
        <v>0.35859999999999997</v>
      </c>
      <c r="AN165" s="12">
        <f t="shared" si="46"/>
        <v>0.35959999999999998</v>
      </c>
    </row>
    <row r="166" spans="1:41" x14ac:dyDescent="0.25">
      <c r="A166" s="3" t="s">
        <v>56</v>
      </c>
      <c r="B166" s="12">
        <f>B200</f>
        <v>0.2</v>
      </c>
      <c r="C166" s="12">
        <f t="shared" ref="C166:AN166" si="47">C200</f>
        <v>0.20899999999999999</v>
      </c>
      <c r="D166" s="12">
        <f t="shared" si="47"/>
        <v>0.215</v>
      </c>
      <c r="E166" s="12">
        <f t="shared" si="47"/>
        <v>0.217</v>
      </c>
      <c r="F166" s="12">
        <f t="shared" si="47"/>
        <v>0.2172</v>
      </c>
      <c r="G166" s="12">
        <f t="shared" si="47"/>
        <v>0.2223</v>
      </c>
      <c r="H166" s="12">
        <f t="shared" si="47"/>
        <v>0.22309999999999999</v>
      </c>
      <c r="I166" s="12">
        <f t="shared" si="47"/>
        <v>0.21759999999999999</v>
      </c>
      <c r="J166" s="12">
        <f t="shared" si="47"/>
        <v>0.2</v>
      </c>
      <c r="K166" s="12">
        <f t="shared" si="47"/>
        <v>0.2</v>
      </c>
      <c r="L166" s="12">
        <f t="shared" si="47"/>
        <v>0.2</v>
      </c>
      <c r="M166" s="12">
        <f t="shared" si="47"/>
        <v>0.2</v>
      </c>
      <c r="N166" s="12">
        <f t="shared" si="47"/>
        <v>0.20230000000000001</v>
      </c>
      <c r="O166" s="12">
        <f t="shared" si="47"/>
        <v>0.20630000000000001</v>
      </c>
      <c r="P166" s="12">
        <f t="shared" si="47"/>
        <v>0.21179999999999999</v>
      </c>
      <c r="Q166" s="12">
        <f t="shared" si="47"/>
        <v>0.2162</v>
      </c>
      <c r="R166" s="12">
        <f t="shared" si="47"/>
        <v>0.21790000000000001</v>
      </c>
      <c r="S166" s="12">
        <f t="shared" si="47"/>
        <v>0.22359999999999999</v>
      </c>
      <c r="T166" s="12">
        <f t="shared" si="47"/>
        <v>0.22939999999999999</v>
      </c>
      <c r="U166" s="12">
        <f t="shared" si="47"/>
        <v>0.23619999999999999</v>
      </c>
      <c r="V166" s="12">
        <f t="shared" si="47"/>
        <v>0.2432</v>
      </c>
      <c r="W166" s="12">
        <f t="shared" si="47"/>
        <v>0.24990000000000001</v>
      </c>
      <c r="X166" s="12">
        <f t="shared" si="47"/>
        <v>0.25719999999999998</v>
      </c>
      <c r="Y166" s="12">
        <f t="shared" si="47"/>
        <v>0.26390000000000002</v>
      </c>
      <c r="Z166" s="12">
        <f t="shared" si="47"/>
        <v>0.2712</v>
      </c>
      <c r="AA166" s="12">
        <f t="shared" si="47"/>
        <v>0.27889999999999998</v>
      </c>
      <c r="AB166" s="12">
        <f t="shared" si="47"/>
        <v>0.28599999999999998</v>
      </c>
      <c r="AC166" s="12">
        <f t="shared" si="47"/>
        <v>0.29310000000000003</v>
      </c>
      <c r="AD166" s="12">
        <f t="shared" si="47"/>
        <v>0.30020000000000002</v>
      </c>
      <c r="AE166" s="12">
        <f t="shared" si="47"/>
        <v>0.30719999999999997</v>
      </c>
      <c r="AF166" s="12">
        <f t="shared" si="47"/>
        <v>0.3135</v>
      </c>
      <c r="AG166" s="12">
        <f t="shared" si="47"/>
        <v>0.31990000000000002</v>
      </c>
      <c r="AH166" s="12">
        <f t="shared" si="47"/>
        <v>0.32629999999999998</v>
      </c>
      <c r="AI166" s="12">
        <f t="shared" si="47"/>
        <v>0.33289999999999997</v>
      </c>
      <c r="AJ166" s="12">
        <f t="shared" si="47"/>
        <v>0.33960000000000001</v>
      </c>
      <c r="AK166" s="12">
        <f t="shared" si="47"/>
        <v>0.34549999999999997</v>
      </c>
      <c r="AL166" s="12">
        <f t="shared" si="47"/>
        <v>0.35139999999999999</v>
      </c>
      <c r="AM166" s="12">
        <f t="shared" si="47"/>
        <v>0.35749999999999998</v>
      </c>
      <c r="AN166" s="12">
        <f t="shared" si="47"/>
        <v>0.36499999999999999</v>
      </c>
    </row>
    <row r="167" spans="1:41" x14ac:dyDescent="0.25">
      <c r="A167" s="3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</row>
    <row r="169" spans="1:41" ht="18" thickBot="1" x14ac:dyDescent="0.35">
      <c r="A169" s="4" t="s">
        <v>144</v>
      </c>
      <c r="B169" s="4"/>
      <c r="C169" s="4"/>
      <c r="D169" s="4"/>
      <c r="E169" s="4"/>
      <c r="F169" s="4"/>
      <c r="G169" s="4"/>
      <c r="H169" s="4"/>
    </row>
    <row r="170" spans="1:41" ht="15.75" thickTop="1" x14ac:dyDescent="0.25">
      <c r="A170" s="3">
        <v>2012</v>
      </c>
      <c r="B170" s="3">
        <v>2013</v>
      </c>
      <c r="C170" s="3">
        <v>2014</v>
      </c>
      <c r="D170" s="3">
        <v>2015</v>
      </c>
      <c r="E170" s="3">
        <v>2016</v>
      </c>
      <c r="F170" s="3">
        <v>2017</v>
      </c>
      <c r="G170" s="3">
        <v>2018</v>
      </c>
      <c r="H170" s="3">
        <v>2019</v>
      </c>
      <c r="I170" s="3">
        <v>2020</v>
      </c>
      <c r="J170" s="3">
        <v>2021</v>
      </c>
      <c r="K170" s="3">
        <v>2022</v>
      </c>
      <c r="L170" s="3">
        <v>2023</v>
      </c>
      <c r="M170" s="3">
        <v>2024</v>
      </c>
      <c r="N170" s="3">
        <v>2025</v>
      </c>
      <c r="O170" s="3">
        <v>2026</v>
      </c>
      <c r="P170" s="3">
        <v>2027</v>
      </c>
      <c r="Q170" s="3">
        <v>2028</v>
      </c>
      <c r="R170" s="3">
        <v>2029</v>
      </c>
      <c r="S170" s="3">
        <v>2030</v>
      </c>
      <c r="T170" s="3">
        <v>2031</v>
      </c>
      <c r="U170" s="3">
        <v>2032</v>
      </c>
      <c r="V170" s="3">
        <v>2033</v>
      </c>
      <c r="W170" s="3">
        <v>2034</v>
      </c>
      <c r="X170" s="3">
        <v>2035</v>
      </c>
      <c r="Y170" s="3">
        <v>2036</v>
      </c>
      <c r="Z170">
        <v>2037</v>
      </c>
      <c r="AA170">
        <v>2038</v>
      </c>
      <c r="AB170">
        <v>2039</v>
      </c>
      <c r="AC170">
        <v>2040</v>
      </c>
      <c r="AD170">
        <v>2041</v>
      </c>
      <c r="AE170">
        <v>2042</v>
      </c>
      <c r="AF170">
        <v>2043</v>
      </c>
      <c r="AG170">
        <v>2044</v>
      </c>
      <c r="AH170">
        <v>2045</v>
      </c>
      <c r="AI170">
        <v>2046</v>
      </c>
      <c r="AJ170">
        <v>2047</v>
      </c>
      <c r="AK170">
        <v>2048</v>
      </c>
      <c r="AL170">
        <v>2049</v>
      </c>
      <c r="AM170">
        <v>2050</v>
      </c>
    </row>
    <row r="171" spans="1:41" x14ac:dyDescent="0.25">
      <c r="A171">
        <v>0.30163969294989873</v>
      </c>
      <c r="B171">
        <v>0.30770118876733893</v>
      </c>
      <c r="C171">
        <v>0.31057938732953844</v>
      </c>
      <c r="D171">
        <v>0.31277940101847879</v>
      </c>
      <c r="E171">
        <v>0.31284316327620315</v>
      </c>
      <c r="F171">
        <v>0.31635831555178628</v>
      </c>
      <c r="G171">
        <v>0.31867877236635728</v>
      </c>
      <c r="H171">
        <v>0.31829026462005117</v>
      </c>
      <c r="I171">
        <v>0.29040891806001651</v>
      </c>
      <c r="J171">
        <v>0.29800403265459058</v>
      </c>
      <c r="K171">
        <v>0.30200401780692876</v>
      </c>
      <c r="L171">
        <v>0.30656034625617695</v>
      </c>
      <c r="M171">
        <v>0.31192904187570236</v>
      </c>
      <c r="N171">
        <v>0.31799947261850164</v>
      </c>
      <c r="O171">
        <v>0.32433434766527408</v>
      </c>
      <c r="P171">
        <v>0.33129984849841504</v>
      </c>
      <c r="Q171">
        <v>0.33856860928890536</v>
      </c>
      <c r="R171">
        <v>0.3460220907336497</v>
      </c>
      <c r="S171">
        <v>0.35326945484642069</v>
      </c>
      <c r="T171">
        <v>0.36227316635231788</v>
      </c>
      <c r="U171">
        <v>0.37153100120479132</v>
      </c>
      <c r="V171">
        <v>0.38125213640261274</v>
      </c>
      <c r="W171">
        <v>0.39088366365960481</v>
      </c>
      <c r="X171" s="12">
        <v>0.43438755091144643</v>
      </c>
      <c r="Y171" s="12">
        <v>0.4444480293768564</v>
      </c>
      <c r="Z171" s="12">
        <v>0.45535275868686731</v>
      </c>
      <c r="AA171" s="12">
        <v>0.46694075625504039</v>
      </c>
      <c r="AB171" s="12">
        <v>0.4781300856362905</v>
      </c>
      <c r="AC171" s="12">
        <v>0.48967453302970809</v>
      </c>
      <c r="AD171" s="12">
        <v>0.50224672606058585</v>
      </c>
      <c r="AE171" s="12">
        <v>0.51536971747141613</v>
      </c>
      <c r="AF171" s="12">
        <v>0.52924077512855172</v>
      </c>
      <c r="AG171" s="12">
        <v>0.54376194787755061</v>
      </c>
      <c r="AH171" s="12">
        <v>0.55932663957277284</v>
      </c>
      <c r="AI171" s="12">
        <v>0.57508190051994368</v>
      </c>
      <c r="AJ171" s="12">
        <v>0.59159288253939912</v>
      </c>
      <c r="AK171" s="12">
        <v>0.6076457041478186</v>
      </c>
      <c r="AL171" s="12">
        <v>0.62468417964119827</v>
      </c>
      <c r="AM171" s="12">
        <v>0.68427588534183081</v>
      </c>
    </row>
    <row r="173" spans="1:41" ht="18" thickBot="1" x14ac:dyDescent="0.35">
      <c r="B173" s="24" t="s">
        <v>174</v>
      </c>
      <c r="C173" s="24"/>
      <c r="D173" s="24"/>
      <c r="E173" s="24"/>
    </row>
    <row r="174" spans="1:41" ht="15.75" thickTop="1" x14ac:dyDescent="0.25">
      <c r="C174" s="13" t="s">
        <v>152</v>
      </c>
      <c r="D174" s="23" t="s">
        <v>152</v>
      </c>
      <c r="E174" t="s">
        <v>152</v>
      </c>
      <c r="F174" t="s">
        <v>152</v>
      </c>
      <c r="G174" t="s">
        <v>152</v>
      </c>
      <c r="H174" t="s">
        <v>152</v>
      </c>
      <c r="I174" t="s">
        <v>152</v>
      </c>
      <c r="J174" t="s">
        <v>152</v>
      </c>
      <c r="K174" t="s">
        <v>152</v>
      </c>
      <c r="L174" t="s">
        <v>152</v>
      </c>
      <c r="M174" t="s">
        <v>152</v>
      </c>
      <c r="N174" t="s">
        <v>152</v>
      </c>
      <c r="O174" t="s">
        <v>152</v>
      </c>
      <c r="P174" t="s">
        <v>152</v>
      </c>
      <c r="Q174" t="s">
        <v>152</v>
      </c>
      <c r="R174" t="s">
        <v>152</v>
      </c>
      <c r="S174" t="s">
        <v>152</v>
      </c>
      <c r="T174" t="s">
        <v>152</v>
      </c>
      <c r="U174" t="s">
        <v>152</v>
      </c>
      <c r="V174" t="s">
        <v>152</v>
      </c>
      <c r="W174" t="s">
        <v>152</v>
      </c>
      <c r="X174" t="s">
        <v>152</v>
      </c>
      <c r="Y174" t="s">
        <v>152</v>
      </c>
      <c r="Z174" t="s">
        <v>152</v>
      </c>
      <c r="AA174" t="s">
        <v>152</v>
      </c>
      <c r="AB174" t="s">
        <v>152</v>
      </c>
      <c r="AC174" t="s">
        <v>152</v>
      </c>
      <c r="AD174" t="s">
        <v>152</v>
      </c>
      <c r="AE174" t="s">
        <v>152</v>
      </c>
      <c r="AF174" t="s">
        <v>152</v>
      </c>
      <c r="AG174" t="s">
        <v>152</v>
      </c>
      <c r="AH174" t="s">
        <v>152</v>
      </c>
      <c r="AI174" t="s">
        <v>152</v>
      </c>
      <c r="AJ174" t="s">
        <v>152</v>
      </c>
      <c r="AK174" t="s">
        <v>152</v>
      </c>
      <c r="AL174" t="s">
        <v>152</v>
      </c>
      <c r="AM174" t="s">
        <v>152</v>
      </c>
      <c r="AN174" t="s">
        <v>152</v>
      </c>
      <c r="AO174" t="s">
        <v>152</v>
      </c>
    </row>
    <row r="175" spans="1:41" x14ac:dyDescent="0.25">
      <c r="B175" t="s">
        <v>153</v>
      </c>
      <c r="C175">
        <v>2012</v>
      </c>
      <c r="D175">
        <v>2013</v>
      </c>
      <c r="E175">
        <v>2014</v>
      </c>
      <c r="F175">
        <v>2015</v>
      </c>
      <c r="G175">
        <v>2016</v>
      </c>
      <c r="H175">
        <v>2017</v>
      </c>
      <c r="I175">
        <v>2018</v>
      </c>
      <c r="J175">
        <v>2019</v>
      </c>
      <c r="K175">
        <v>2020</v>
      </c>
      <c r="L175">
        <v>2021</v>
      </c>
      <c r="M175">
        <v>2022</v>
      </c>
      <c r="N175">
        <v>2023</v>
      </c>
      <c r="O175">
        <v>2024</v>
      </c>
      <c r="P175">
        <v>2025</v>
      </c>
      <c r="Q175">
        <v>2026</v>
      </c>
      <c r="R175">
        <v>2027</v>
      </c>
      <c r="S175">
        <v>2028</v>
      </c>
      <c r="T175">
        <v>2029</v>
      </c>
      <c r="U175">
        <v>2030</v>
      </c>
      <c r="V175">
        <v>2031</v>
      </c>
      <c r="W175">
        <v>2032</v>
      </c>
      <c r="X175">
        <v>2033</v>
      </c>
      <c r="Y175">
        <v>2034</v>
      </c>
      <c r="Z175">
        <v>2035</v>
      </c>
      <c r="AA175">
        <v>2036</v>
      </c>
      <c r="AB175">
        <v>2037</v>
      </c>
      <c r="AC175">
        <v>2038</v>
      </c>
      <c r="AD175">
        <v>2039</v>
      </c>
      <c r="AE175">
        <v>2040</v>
      </c>
      <c r="AF175">
        <v>2041</v>
      </c>
      <c r="AG175">
        <v>2042</v>
      </c>
      <c r="AH175">
        <v>2043</v>
      </c>
      <c r="AI175">
        <v>2044</v>
      </c>
      <c r="AJ175">
        <v>2045</v>
      </c>
      <c r="AK175">
        <v>2046</v>
      </c>
      <c r="AL175">
        <v>2047</v>
      </c>
      <c r="AM175">
        <v>2048</v>
      </c>
      <c r="AN175">
        <v>2049</v>
      </c>
      <c r="AO175">
        <v>2050</v>
      </c>
    </row>
    <row r="176" spans="1:41" x14ac:dyDescent="0.25">
      <c r="A176" t="s">
        <v>73</v>
      </c>
      <c r="B176" t="s">
        <v>154</v>
      </c>
      <c r="C176">
        <v>69.819999999999993</v>
      </c>
      <c r="D176">
        <v>72.86</v>
      </c>
      <c r="E176">
        <v>75.87</v>
      </c>
      <c r="F176">
        <v>74.64</v>
      </c>
      <c r="G176">
        <v>73.959999999999994</v>
      </c>
      <c r="H176">
        <v>76.72</v>
      </c>
      <c r="I176">
        <v>75.61</v>
      </c>
      <c r="J176">
        <v>74.11</v>
      </c>
      <c r="K176">
        <v>73.06</v>
      </c>
      <c r="L176">
        <v>75.239999999999995</v>
      </c>
      <c r="M176">
        <v>77.23</v>
      </c>
      <c r="N176">
        <v>78.58</v>
      </c>
      <c r="O176">
        <v>80.14</v>
      </c>
      <c r="P176">
        <v>81.66</v>
      </c>
      <c r="Q176">
        <v>83.01</v>
      </c>
      <c r="R176">
        <v>84.26</v>
      </c>
      <c r="S176">
        <v>85.97</v>
      </c>
      <c r="T176">
        <v>87.4</v>
      </c>
      <c r="U176">
        <v>88.8</v>
      </c>
      <c r="V176">
        <v>90.44</v>
      </c>
      <c r="W176">
        <v>92.09</v>
      </c>
      <c r="X176">
        <v>93.77</v>
      </c>
      <c r="Y176">
        <v>95.87</v>
      </c>
      <c r="Z176">
        <v>97.95</v>
      </c>
      <c r="AA176">
        <v>100.25</v>
      </c>
      <c r="AB176">
        <v>102.58</v>
      </c>
      <c r="AC176">
        <v>104.93</v>
      </c>
      <c r="AD176">
        <v>107.29</v>
      </c>
      <c r="AE176">
        <v>109.71</v>
      </c>
      <c r="AF176">
        <v>112.22</v>
      </c>
      <c r="AG176">
        <v>114.59</v>
      </c>
      <c r="AH176">
        <v>117.07</v>
      </c>
      <c r="AI176">
        <v>119.7</v>
      </c>
      <c r="AJ176">
        <v>122.57</v>
      </c>
      <c r="AK176">
        <v>125.55</v>
      </c>
      <c r="AL176">
        <v>128.41</v>
      </c>
      <c r="AM176">
        <v>131.38999999999999</v>
      </c>
      <c r="AN176">
        <v>134.63</v>
      </c>
      <c r="AO176">
        <v>138.71</v>
      </c>
    </row>
    <row r="177" spans="1:41" x14ac:dyDescent="0.25">
      <c r="A177" t="s">
        <v>35</v>
      </c>
      <c r="B177" t="s">
        <v>155</v>
      </c>
      <c r="C177">
        <v>11.26</v>
      </c>
      <c r="D177">
        <v>11.58</v>
      </c>
      <c r="E177">
        <v>11.98</v>
      </c>
      <c r="F177">
        <v>12.2</v>
      </c>
      <c r="G177">
        <v>12.33</v>
      </c>
      <c r="H177">
        <v>12.56</v>
      </c>
      <c r="I177">
        <v>12.87</v>
      </c>
      <c r="J177">
        <v>12.94</v>
      </c>
      <c r="K177">
        <v>12.19</v>
      </c>
      <c r="L177">
        <v>12.53</v>
      </c>
      <c r="M177">
        <v>12.82</v>
      </c>
      <c r="N177">
        <v>13.05</v>
      </c>
      <c r="O177">
        <v>13.31</v>
      </c>
      <c r="P177">
        <v>13.56</v>
      </c>
      <c r="Q177">
        <v>13.81</v>
      </c>
      <c r="R177">
        <v>14.05</v>
      </c>
      <c r="S177">
        <v>14.19</v>
      </c>
      <c r="T177">
        <v>14.47</v>
      </c>
      <c r="U177">
        <v>14.75</v>
      </c>
      <c r="V177">
        <v>15.11</v>
      </c>
      <c r="W177">
        <v>15.46</v>
      </c>
      <c r="X177">
        <v>15.82</v>
      </c>
      <c r="Y177">
        <v>16.18</v>
      </c>
      <c r="Z177">
        <v>16.559999999999999</v>
      </c>
      <c r="AA177">
        <v>16.95</v>
      </c>
      <c r="AB177">
        <v>17.38</v>
      </c>
      <c r="AC177">
        <v>17.8</v>
      </c>
      <c r="AD177">
        <v>18.23</v>
      </c>
      <c r="AE177">
        <v>18.670000000000002</v>
      </c>
      <c r="AF177">
        <v>19.12</v>
      </c>
      <c r="AG177">
        <v>19.55</v>
      </c>
      <c r="AH177">
        <v>19.98</v>
      </c>
      <c r="AI177">
        <v>20.420000000000002</v>
      </c>
      <c r="AJ177">
        <v>20.87</v>
      </c>
      <c r="AK177">
        <v>21.33</v>
      </c>
      <c r="AL177">
        <v>21.77</v>
      </c>
      <c r="AM177">
        <v>22.21</v>
      </c>
      <c r="AN177">
        <v>22.68</v>
      </c>
      <c r="AO177">
        <v>23.27</v>
      </c>
    </row>
    <row r="178" spans="1:41" x14ac:dyDescent="0.25">
      <c r="A178" t="s">
        <v>27</v>
      </c>
      <c r="B178" t="s">
        <v>156</v>
      </c>
      <c r="C178">
        <v>52.81</v>
      </c>
      <c r="D178">
        <v>54.26</v>
      </c>
      <c r="E178">
        <v>55.41</v>
      </c>
      <c r="F178">
        <v>55.89</v>
      </c>
      <c r="G178">
        <v>56.55</v>
      </c>
      <c r="H178">
        <v>57.1</v>
      </c>
      <c r="I178">
        <v>57.77</v>
      </c>
      <c r="J178">
        <v>57.43</v>
      </c>
      <c r="K178">
        <v>53.7</v>
      </c>
      <c r="L178">
        <v>54.93</v>
      </c>
      <c r="M178">
        <v>56.1</v>
      </c>
      <c r="N178">
        <v>57.1</v>
      </c>
      <c r="O178">
        <v>58.23</v>
      </c>
      <c r="P178">
        <v>59.4</v>
      </c>
      <c r="Q178">
        <v>60.51</v>
      </c>
      <c r="R178">
        <v>61.62</v>
      </c>
      <c r="S178">
        <v>62.89</v>
      </c>
      <c r="T178">
        <v>63.98</v>
      </c>
      <c r="U178">
        <v>65.209999999999994</v>
      </c>
      <c r="V178">
        <v>66.91</v>
      </c>
      <c r="W178">
        <v>68.67</v>
      </c>
      <c r="X178">
        <v>70.540000000000006</v>
      </c>
      <c r="Y178">
        <v>72.73</v>
      </c>
      <c r="Z178">
        <v>74.89</v>
      </c>
      <c r="AA178">
        <v>77.16</v>
      </c>
      <c r="AB178">
        <v>79.62</v>
      </c>
      <c r="AC178">
        <v>82.09</v>
      </c>
      <c r="AD178">
        <v>84.63</v>
      </c>
      <c r="AE178">
        <v>87.27</v>
      </c>
      <c r="AF178">
        <v>89.91</v>
      </c>
      <c r="AG178">
        <v>92.55</v>
      </c>
      <c r="AH178">
        <v>95.31</v>
      </c>
      <c r="AI178">
        <v>98.19</v>
      </c>
      <c r="AJ178">
        <v>101.26</v>
      </c>
      <c r="AK178">
        <v>104.46</v>
      </c>
      <c r="AL178">
        <v>107.63</v>
      </c>
      <c r="AM178">
        <v>110.94</v>
      </c>
      <c r="AN178">
        <v>114.45</v>
      </c>
      <c r="AO178">
        <v>118.69</v>
      </c>
    </row>
    <row r="179" spans="1:41" x14ac:dyDescent="0.25">
      <c r="A179" t="s">
        <v>21</v>
      </c>
      <c r="B179" t="s">
        <v>157</v>
      </c>
      <c r="C179" s="23">
        <v>1833.85</v>
      </c>
      <c r="D179" s="23">
        <v>1881.9</v>
      </c>
      <c r="E179" s="23">
        <v>1929.34</v>
      </c>
      <c r="F179" s="23">
        <v>1956.68</v>
      </c>
      <c r="G179" s="23">
        <v>1983.97</v>
      </c>
      <c r="H179" s="23">
        <v>2015.63</v>
      </c>
      <c r="I179" s="23">
        <v>2048.7199999999998</v>
      </c>
      <c r="J179" s="23">
        <v>2068.14</v>
      </c>
      <c r="K179" s="23">
        <v>1924.06</v>
      </c>
      <c r="L179" s="23">
        <v>1969.68</v>
      </c>
      <c r="M179" s="23">
        <v>2013.21</v>
      </c>
      <c r="N179" s="23">
        <v>2052.89</v>
      </c>
      <c r="O179" s="23">
        <v>2097.59</v>
      </c>
      <c r="P179" s="23">
        <v>2142.04</v>
      </c>
      <c r="Q179" s="23">
        <v>2187.36</v>
      </c>
      <c r="R179" s="23">
        <v>2232.96</v>
      </c>
      <c r="S179" s="23">
        <v>2276.1999999999998</v>
      </c>
      <c r="T179" s="23">
        <v>2325.7600000000002</v>
      </c>
      <c r="U179" s="23">
        <v>2379.34</v>
      </c>
      <c r="V179" s="23">
        <v>2444.09</v>
      </c>
      <c r="W179" s="23">
        <v>2512.85</v>
      </c>
      <c r="X179" s="23">
        <v>2586.39</v>
      </c>
      <c r="Y179" s="23">
        <v>2669.29</v>
      </c>
      <c r="Z179" s="23">
        <v>2753.03</v>
      </c>
      <c r="AA179" s="23">
        <v>2843.24</v>
      </c>
      <c r="AB179" s="23">
        <v>2938.39</v>
      </c>
      <c r="AC179" s="23">
        <v>3036.29</v>
      </c>
      <c r="AD179" s="23">
        <v>3138.34</v>
      </c>
      <c r="AE179" s="23">
        <v>3244.95</v>
      </c>
      <c r="AF179" s="23">
        <v>3354.92</v>
      </c>
      <c r="AG179" s="23">
        <v>3465.43</v>
      </c>
      <c r="AH179" s="23">
        <v>3580.36</v>
      </c>
      <c r="AI179" s="23">
        <v>3700.03</v>
      </c>
      <c r="AJ179" s="23">
        <v>3827.31</v>
      </c>
      <c r="AK179" s="23">
        <v>3959.52</v>
      </c>
      <c r="AL179" s="23">
        <v>4091.05</v>
      </c>
      <c r="AM179" s="23">
        <v>4228.6000000000004</v>
      </c>
      <c r="AN179" s="23">
        <v>4373.84</v>
      </c>
      <c r="AO179" s="23">
        <v>4547.05</v>
      </c>
    </row>
    <row r="180" spans="1:41" x14ac:dyDescent="0.25">
      <c r="A180" t="s">
        <v>37</v>
      </c>
      <c r="B180" t="s">
        <v>158</v>
      </c>
      <c r="C180">
        <v>27.52</v>
      </c>
      <c r="D180">
        <v>26.89</v>
      </c>
      <c r="E180">
        <v>26.27</v>
      </c>
      <c r="F180">
        <v>25.64</v>
      </c>
      <c r="G180">
        <v>25.62</v>
      </c>
      <c r="H180">
        <v>25.6</v>
      </c>
      <c r="I180">
        <v>25.6</v>
      </c>
      <c r="J180">
        <v>25.55</v>
      </c>
      <c r="K180">
        <v>16.07</v>
      </c>
      <c r="L180">
        <v>16.03</v>
      </c>
      <c r="M180">
        <v>16.03</v>
      </c>
      <c r="N180">
        <v>16.010000000000002</v>
      </c>
      <c r="O180">
        <v>15.99</v>
      </c>
      <c r="P180">
        <v>15.42</v>
      </c>
      <c r="Q180">
        <v>15.4</v>
      </c>
      <c r="R180">
        <v>15.38</v>
      </c>
      <c r="S180">
        <v>10.1</v>
      </c>
      <c r="T180">
        <v>10.08</v>
      </c>
      <c r="U180">
        <v>10.47</v>
      </c>
      <c r="V180">
        <v>10.74</v>
      </c>
      <c r="W180">
        <v>10.75</v>
      </c>
      <c r="X180">
        <v>10.78</v>
      </c>
      <c r="Y180">
        <v>9.3800000000000008</v>
      </c>
      <c r="Z180">
        <v>7.95</v>
      </c>
      <c r="AA180">
        <v>6.61</v>
      </c>
      <c r="AB180">
        <v>5.54</v>
      </c>
      <c r="AC180">
        <v>4.71</v>
      </c>
      <c r="AD180">
        <v>3.88</v>
      </c>
      <c r="AE180">
        <v>3.05</v>
      </c>
      <c r="AF180">
        <v>2.78</v>
      </c>
      <c r="AG180">
        <v>2.5099999999999998</v>
      </c>
      <c r="AH180">
        <v>2.2400000000000002</v>
      </c>
      <c r="AI180">
        <v>1.97</v>
      </c>
      <c r="AJ180">
        <v>1.7</v>
      </c>
      <c r="AK180">
        <v>1.68</v>
      </c>
      <c r="AL180">
        <v>1.65</v>
      </c>
      <c r="AM180">
        <v>1.63</v>
      </c>
      <c r="AN180">
        <v>1.61</v>
      </c>
      <c r="AO180">
        <v>1.58</v>
      </c>
    </row>
    <row r="181" spans="1:41" x14ac:dyDescent="0.25">
      <c r="A181" t="s">
        <v>32</v>
      </c>
      <c r="B181" t="s">
        <v>159</v>
      </c>
      <c r="C181">
        <v>84.25</v>
      </c>
      <c r="D181">
        <v>82.71</v>
      </c>
      <c r="E181">
        <v>79.56</v>
      </c>
      <c r="F181">
        <v>76.53</v>
      </c>
      <c r="G181">
        <v>75.13</v>
      </c>
      <c r="H181">
        <v>74.03</v>
      </c>
      <c r="I181">
        <v>74.44</v>
      </c>
      <c r="J181">
        <v>72.650000000000006</v>
      </c>
      <c r="K181">
        <v>70.260000000000005</v>
      </c>
      <c r="L181">
        <v>74.099999999999994</v>
      </c>
      <c r="M181">
        <v>73.67</v>
      </c>
      <c r="N181">
        <v>74.25</v>
      </c>
      <c r="O181">
        <v>74.66</v>
      </c>
      <c r="P181">
        <v>75.03</v>
      </c>
      <c r="Q181">
        <v>76.28</v>
      </c>
      <c r="R181">
        <v>76.319999999999993</v>
      </c>
      <c r="S181">
        <v>76.67</v>
      </c>
      <c r="T181">
        <v>78.13</v>
      </c>
      <c r="U181">
        <v>79.61</v>
      </c>
      <c r="V181">
        <v>81.23</v>
      </c>
      <c r="W181">
        <v>83.69</v>
      </c>
      <c r="X181">
        <v>85.48</v>
      </c>
      <c r="Y181">
        <v>87.67</v>
      </c>
      <c r="Z181">
        <v>89.95</v>
      </c>
      <c r="AA181">
        <v>91.79</v>
      </c>
      <c r="AB181">
        <v>93.81</v>
      </c>
      <c r="AC181">
        <v>95.03</v>
      </c>
      <c r="AD181">
        <v>96.4</v>
      </c>
      <c r="AE181">
        <v>97.78</v>
      </c>
      <c r="AF181">
        <v>99.48</v>
      </c>
      <c r="AG181">
        <v>101.08</v>
      </c>
      <c r="AH181">
        <v>102.69</v>
      </c>
      <c r="AI181">
        <v>104.32</v>
      </c>
      <c r="AJ181">
        <v>105.99</v>
      </c>
      <c r="AK181">
        <v>108.49</v>
      </c>
      <c r="AL181">
        <v>110.57</v>
      </c>
      <c r="AM181">
        <v>112.67</v>
      </c>
      <c r="AN181">
        <v>114.79</v>
      </c>
      <c r="AO181">
        <v>116.96</v>
      </c>
    </row>
    <row r="182" spans="1:41" x14ac:dyDescent="0.25">
      <c r="A182" t="s">
        <v>38</v>
      </c>
      <c r="B182" t="s">
        <v>160</v>
      </c>
      <c r="C182">
        <v>66.42</v>
      </c>
      <c r="D182">
        <v>67.81</v>
      </c>
      <c r="E182">
        <v>65.680000000000007</v>
      </c>
      <c r="F182">
        <v>63.54</v>
      </c>
      <c r="G182">
        <v>63.36</v>
      </c>
      <c r="H182">
        <v>63.29</v>
      </c>
      <c r="I182">
        <v>63.16</v>
      </c>
      <c r="J182">
        <v>62.72</v>
      </c>
      <c r="K182">
        <v>60.32</v>
      </c>
      <c r="L182">
        <v>60.32</v>
      </c>
      <c r="M182">
        <v>60.4</v>
      </c>
      <c r="N182">
        <v>60.18</v>
      </c>
      <c r="O182">
        <v>60.35</v>
      </c>
      <c r="P182">
        <v>60.75</v>
      </c>
      <c r="Q182">
        <v>60.82</v>
      </c>
      <c r="R182">
        <v>60.78</v>
      </c>
      <c r="S182">
        <v>60.57</v>
      </c>
      <c r="T182">
        <v>59.99</v>
      </c>
      <c r="U182">
        <v>59.52</v>
      </c>
      <c r="V182">
        <v>59.08</v>
      </c>
      <c r="W182">
        <v>59.01</v>
      </c>
      <c r="X182">
        <v>58.82</v>
      </c>
      <c r="Y182">
        <v>58.76</v>
      </c>
      <c r="Z182">
        <v>58.76</v>
      </c>
      <c r="AA182">
        <v>58.54</v>
      </c>
      <c r="AB182">
        <v>57.86</v>
      </c>
      <c r="AC182">
        <v>56.62</v>
      </c>
      <c r="AD182">
        <v>55.36</v>
      </c>
      <c r="AE182">
        <v>54.1</v>
      </c>
      <c r="AF182">
        <v>53.56</v>
      </c>
      <c r="AG182">
        <v>53.03</v>
      </c>
      <c r="AH182">
        <v>52.5</v>
      </c>
      <c r="AI182">
        <v>51.96</v>
      </c>
      <c r="AJ182">
        <v>51.43</v>
      </c>
      <c r="AK182">
        <v>51.14</v>
      </c>
      <c r="AL182">
        <v>50.86</v>
      </c>
      <c r="AM182">
        <v>50.58</v>
      </c>
      <c r="AN182">
        <v>50.3</v>
      </c>
      <c r="AO182">
        <v>50.03</v>
      </c>
    </row>
    <row r="183" spans="1:41" x14ac:dyDescent="0.25">
      <c r="A183" t="s">
        <v>24</v>
      </c>
      <c r="B183" t="s">
        <v>161</v>
      </c>
      <c r="C183">
        <v>93.1</v>
      </c>
      <c r="D183">
        <v>96.24</v>
      </c>
      <c r="E183">
        <v>98.9</v>
      </c>
      <c r="F183">
        <v>99.85</v>
      </c>
      <c r="G183">
        <v>102.21</v>
      </c>
      <c r="H183">
        <v>103.61</v>
      </c>
      <c r="I183">
        <v>105.24</v>
      </c>
      <c r="J183">
        <v>104.54</v>
      </c>
      <c r="K183">
        <v>101.85</v>
      </c>
      <c r="L183">
        <v>104.95</v>
      </c>
      <c r="M183">
        <v>107.71</v>
      </c>
      <c r="N183">
        <v>109.84</v>
      </c>
      <c r="O183">
        <v>112.24</v>
      </c>
      <c r="P183">
        <v>114.63</v>
      </c>
      <c r="Q183">
        <v>116.8</v>
      </c>
      <c r="R183">
        <v>118.95</v>
      </c>
      <c r="S183">
        <v>121.8</v>
      </c>
      <c r="T183">
        <v>124.07</v>
      </c>
      <c r="U183">
        <v>126.27</v>
      </c>
      <c r="V183">
        <v>128.88999999999999</v>
      </c>
      <c r="W183">
        <v>131.65</v>
      </c>
      <c r="X183">
        <v>134.56</v>
      </c>
      <c r="Y183">
        <v>138.11000000000001</v>
      </c>
      <c r="Z183">
        <v>141.66</v>
      </c>
      <c r="AA183">
        <v>145.46</v>
      </c>
      <c r="AB183">
        <v>149.24</v>
      </c>
      <c r="AC183">
        <v>153</v>
      </c>
      <c r="AD183">
        <v>156.83000000000001</v>
      </c>
      <c r="AE183">
        <v>160.74</v>
      </c>
      <c r="AF183">
        <v>164.68</v>
      </c>
      <c r="AG183">
        <v>168.49</v>
      </c>
      <c r="AH183">
        <v>172.54</v>
      </c>
      <c r="AI183">
        <v>176.82</v>
      </c>
      <c r="AJ183">
        <v>181.33</v>
      </c>
      <c r="AK183">
        <v>185.9</v>
      </c>
      <c r="AL183">
        <v>190.27</v>
      </c>
      <c r="AM183">
        <v>194.8</v>
      </c>
      <c r="AN183">
        <v>199.65</v>
      </c>
      <c r="AO183">
        <v>205.62</v>
      </c>
    </row>
    <row r="184" spans="1:41" x14ac:dyDescent="0.25">
      <c r="A184" t="s">
        <v>34</v>
      </c>
      <c r="B184" t="s">
        <v>162</v>
      </c>
      <c r="C184">
        <v>135.96</v>
      </c>
      <c r="D184">
        <v>139.76</v>
      </c>
      <c r="E184">
        <v>143.13</v>
      </c>
      <c r="F184">
        <v>144.43</v>
      </c>
      <c r="G184">
        <v>145.78</v>
      </c>
      <c r="H184">
        <v>148.19</v>
      </c>
      <c r="I184">
        <v>150.15</v>
      </c>
      <c r="J184">
        <v>149.86000000000001</v>
      </c>
      <c r="K184">
        <v>138.71</v>
      </c>
      <c r="L184">
        <v>141.72999999999999</v>
      </c>
      <c r="M184">
        <v>144.58000000000001</v>
      </c>
      <c r="N184">
        <v>147.09</v>
      </c>
      <c r="O184">
        <v>150.05000000000001</v>
      </c>
      <c r="P184">
        <v>152.99</v>
      </c>
      <c r="Q184">
        <v>155.99</v>
      </c>
      <c r="R184">
        <v>158.99</v>
      </c>
      <c r="S184">
        <v>160.97999999999999</v>
      </c>
      <c r="T184">
        <v>164.16</v>
      </c>
      <c r="U184">
        <v>167.7</v>
      </c>
      <c r="V184">
        <v>172.12</v>
      </c>
      <c r="W184">
        <v>176.73</v>
      </c>
      <c r="X184">
        <v>181.62</v>
      </c>
      <c r="Y184">
        <v>186.95</v>
      </c>
      <c r="Z184">
        <v>192.27</v>
      </c>
      <c r="AA184">
        <v>197.94</v>
      </c>
      <c r="AB184">
        <v>204.15</v>
      </c>
      <c r="AC184">
        <v>210.42</v>
      </c>
      <c r="AD184">
        <v>216.93</v>
      </c>
      <c r="AE184">
        <v>223.69</v>
      </c>
      <c r="AF184">
        <v>230.57</v>
      </c>
      <c r="AG184">
        <v>237.37</v>
      </c>
      <c r="AH184">
        <v>244.47</v>
      </c>
      <c r="AI184">
        <v>251.92</v>
      </c>
      <c r="AJ184">
        <v>259.85000000000002</v>
      </c>
      <c r="AK184">
        <v>268.14999999999998</v>
      </c>
      <c r="AL184">
        <v>276.3</v>
      </c>
      <c r="AM184">
        <v>284.83999999999997</v>
      </c>
      <c r="AN184">
        <v>293.93</v>
      </c>
      <c r="AO184">
        <v>305.06</v>
      </c>
    </row>
    <row r="185" spans="1:41" x14ac:dyDescent="0.25">
      <c r="A185" t="s">
        <v>25</v>
      </c>
      <c r="B185" t="s">
        <v>163</v>
      </c>
      <c r="C185">
        <v>235.5</v>
      </c>
      <c r="D185">
        <v>241.59</v>
      </c>
      <c r="E185">
        <v>246.1</v>
      </c>
      <c r="F185">
        <v>248.42</v>
      </c>
      <c r="G185">
        <v>251.09</v>
      </c>
      <c r="H185">
        <v>253.26</v>
      </c>
      <c r="I185">
        <v>255.74</v>
      </c>
      <c r="J185">
        <v>254.07</v>
      </c>
      <c r="K185">
        <v>233.33</v>
      </c>
      <c r="L185">
        <v>239.41</v>
      </c>
      <c r="M185">
        <v>244.91</v>
      </c>
      <c r="N185">
        <v>249.83</v>
      </c>
      <c r="O185">
        <v>255.36</v>
      </c>
      <c r="P185">
        <v>260.81</v>
      </c>
      <c r="Q185">
        <v>266.36</v>
      </c>
      <c r="R185">
        <v>271.74</v>
      </c>
      <c r="S185">
        <v>277.05</v>
      </c>
      <c r="T185">
        <v>282.77999999999997</v>
      </c>
      <c r="U185">
        <v>288.95999999999998</v>
      </c>
      <c r="V185">
        <v>296.33999999999997</v>
      </c>
      <c r="W185">
        <v>304.2</v>
      </c>
      <c r="X185">
        <v>312.55</v>
      </c>
      <c r="Y185">
        <v>321.88</v>
      </c>
      <c r="Z185">
        <v>331.08</v>
      </c>
      <c r="AA185">
        <v>340.86</v>
      </c>
      <c r="AB185">
        <v>351.05</v>
      </c>
      <c r="AC185">
        <v>361.39</v>
      </c>
      <c r="AD185">
        <v>372.08</v>
      </c>
      <c r="AE185">
        <v>383.14</v>
      </c>
      <c r="AF185">
        <v>394.85</v>
      </c>
      <c r="AG185">
        <v>406.53</v>
      </c>
      <c r="AH185">
        <v>418.72</v>
      </c>
      <c r="AI185">
        <v>431.5</v>
      </c>
      <c r="AJ185">
        <v>445.12</v>
      </c>
      <c r="AK185">
        <v>459.51</v>
      </c>
      <c r="AL185">
        <v>473.68</v>
      </c>
      <c r="AM185">
        <v>488.53</v>
      </c>
      <c r="AN185">
        <v>504.28</v>
      </c>
      <c r="AO185">
        <v>523.45000000000005</v>
      </c>
    </row>
    <row r="186" spans="1:41" x14ac:dyDescent="0.25">
      <c r="A186" t="s">
        <v>29</v>
      </c>
      <c r="B186" t="s">
        <v>164</v>
      </c>
      <c r="C186">
        <v>13.35</v>
      </c>
      <c r="D186">
        <v>13.68</v>
      </c>
      <c r="E186">
        <v>13.89</v>
      </c>
      <c r="F186">
        <v>14.15</v>
      </c>
      <c r="G186">
        <v>14.18</v>
      </c>
      <c r="H186">
        <v>14.29</v>
      </c>
      <c r="I186">
        <v>14.31</v>
      </c>
      <c r="J186">
        <v>14.15</v>
      </c>
      <c r="K186">
        <v>13.1</v>
      </c>
      <c r="L186">
        <v>13.41</v>
      </c>
      <c r="M186">
        <v>13.57</v>
      </c>
      <c r="N186">
        <v>13.73</v>
      </c>
      <c r="O186">
        <v>13.9</v>
      </c>
      <c r="P186">
        <v>14.12</v>
      </c>
      <c r="Q186">
        <v>14.27</v>
      </c>
      <c r="R186">
        <v>14.4</v>
      </c>
      <c r="S186">
        <v>14.75</v>
      </c>
      <c r="T186">
        <v>14.82</v>
      </c>
      <c r="U186">
        <v>14.91</v>
      </c>
      <c r="V186">
        <v>15.03</v>
      </c>
      <c r="W186">
        <v>15.19</v>
      </c>
      <c r="X186">
        <v>15.37</v>
      </c>
      <c r="Y186">
        <v>15.64</v>
      </c>
      <c r="Z186">
        <v>15.88</v>
      </c>
      <c r="AA186">
        <v>16.13</v>
      </c>
      <c r="AB186">
        <v>16.399999999999999</v>
      </c>
      <c r="AC186">
        <v>16.7</v>
      </c>
      <c r="AD186">
        <v>17.010000000000002</v>
      </c>
      <c r="AE186">
        <v>17.329999999999998</v>
      </c>
      <c r="AF186">
        <v>17.66</v>
      </c>
      <c r="AG186">
        <v>17.989999999999998</v>
      </c>
      <c r="AH186">
        <v>18.34</v>
      </c>
      <c r="AI186">
        <v>18.72</v>
      </c>
      <c r="AJ186">
        <v>19.12</v>
      </c>
      <c r="AK186">
        <v>19.579999999999998</v>
      </c>
      <c r="AL186">
        <v>20.03</v>
      </c>
      <c r="AM186">
        <v>20.51</v>
      </c>
      <c r="AN186">
        <v>21.03</v>
      </c>
      <c r="AO186">
        <v>21.68</v>
      </c>
    </row>
    <row r="187" spans="1:41" x14ac:dyDescent="0.25">
      <c r="A187" t="s">
        <v>23</v>
      </c>
      <c r="B187" t="s">
        <v>165</v>
      </c>
      <c r="C187" s="23">
        <v>123.26999999999998</v>
      </c>
      <c r="D187" s="23">
        <v>125.80799999999999</v>
      </c>
      <c r="E187" s="23">
        <v>125.928</v>
      </c>
      <c r="F187" s="23">
        <v>128.83799999999999</v>
      </c>
      <c r="G187" s="23">
        <v>126.498</v>
      </c>
      <c r="H187" s="23">
        <v>129.738</v>
      </c>
      <c r="I187" s="23">
        <v>128.71199999999999</v>
      </c>
      <c r="J187" s="23">
        <v>126.50399999999999</v>
      </c>
      <c r="K187" s="23">
        <v>118.98</v>
      </c>
      <c r="L187" s="23">
        <v>121.03799999999998</v>
      </c>
      <c r="M187" s="23">
        <v>122.64599999999999</v>
      </c>
      <c r="N187" s="23">
        <v>123.93</v>
      </c>
      <c r="O187" s="23">
        <v>125.322</v>
      </c>
      <c r="P187" s="23">
        <v>126.78</v>
      </c>
      <c r="Q187" s="23">
        <v>127.99199999999999</v>
      </c>
      <c r="R187" s="23">
        <v>129.15599999999998</v>
      </c>
      <c r="S187" s="23">
        <v>131.04</v>
      </c>
      <c r="T187" s="23">
        <v>132.066</v>
      </c>
      <c r="U187" s="23">
        <v>132.99599999999998</v>
      </c>
      <c r="V187" s="23">
        <v>134.298</v>
      </c>
      <c r="W187" s="23">
        <v>135.6</v>
      </c>
      <c r="X187" s="23">
        <v>136.94399999999999</v>
      </c>
      <c r="Y187" s="23">
        <v>138.828</v>
      </c>
      <c r="Z187" s="23">
        <v>140.66999999999999</v>
      </c>
      <c r="AA187" s="23">
        <v>142.67399999999998</v>
      </c>
      <c r="AB187" s="23">
        <v>144.61199999999999</v>
      </c>
      <c r="AC187" s="23">
        <v>146.84399999999999</v>
      </c>
      <c r="AD187" s="23">
        <v>149.184</v>
      </c>
      <c r="AE187" s="23">
        <v>151.65</v>
      </c>
      <c r="AF187" s="23">
        <v>154.33799999999999</v>
      </c>
      <c r="AG187" s="23">
        <v>157.03800000000001</v>
      </c>
      <c r="AH187" s="23">
        <v>159.93600000000001</v>
      </c>
      <c r="AI187" s="23">
        <v>163.05599999999998</v>
      </c>
      <c r="AJ187" s="23">
        <v>166.488</v>
      </c>
      <c r="AK187" s="23">
        <v>170.28</v>
      </c>
      <c r="AL187" s="23">
        <v>174.072</v>
      </c>
      <c r="AM187" s="23">
        <v>178.14</v>
      </c>
      <c r="AN187" s="23">
        <v>182.57400000000001</v>
      </c>
      <c r="AO187" s="23">
        <v>188.22599999999997</v>
      </c>
    </row>
    <row r="188" spans="1:41" x14ac:dyDescent="0.25">
      <c r="A188" t="s">
        <v>28</v>
      </c>
      <c r="B188" t="s">
        <v>166</v>
      </c>
      <c r="C188">
        <v>14.11</v>
      </c>
      <c r="D188">
        <v>14.44</v>
      </c>
      <c r="E188">
        <v>14.65</v>
      </c>
      <c r="F188">
        <v>14.76</v>
      </c>
      <c r="G188">
        <v>14.92</v>
      </c>
      <c r="H188">
        <v>15.1</v>
      </c>
      <c r="I188">
        <v>15.25</v>
      </c>
      <c r="J188">
        <v>15.19</v>
      </c>
      <c r="K188">
        <v>14.04</v>
      </c>
      <c r="L188">
        <v>14.38</v>
      </c>
      <c r="M188">
        <v>14.69</v>
      </c>
      <c r="N188">
        <v>14.97</v>
      </c>
      <c r="O188">
        <v>15.29</v>
      </c>
      <c r="P188">
        <v>15.6</v>
      </c>
      <c r="Q188">
        <v>15.92</v>
      </c>
      <c r="R188">
        <v>16.239999999999998</v>
      </c>
      <c r="S188">
        <v>16.46</v>
      </c>
      <c r="T188">
        <v>16.8</v>
      </c>
      <c r="U188">
        <v>17.170000000000002</v>
      </c>
      <c r="V188">
        <v>17.61</v>
      </c>
      <c r="W188">
        <v>18.079999999999998</v>
      </c>
      <c r="X188">
        <v>18.579999999999998</v>
      </c>
      <c r="Y188">
        <v>19.100000000000001</v>
      </c>
      <c r="Z188">
        <v>19.61</v>
      </c>
      <c r="AA188">
        <v>20.149999999999999</v>
      </c>
      <c r="AB188">
        <v>20.71</v>
      </c>
      <c r="AC188">
        <v>21.29</v>
      </c>
      <c r="AD188">
        <v>21.89</v>
      </c>
      <c r="AE188">
        <v>22.5</v>
      </c>
      <c r="AF188">
        <v>23.19</v>
      </c>
      <c r="AG188">
        <v>23.88</v>
      </c>
      <c r="AH188">
        <v>24.59</v>
      </c>
      <c r="AI188">
        <v>25.33</v>
      </c>
      <c r="AJ188">
        <v>26.13</v>
      </c>
      <c r="AK188">
        <v>26.98</v>
      </c>
      <c r="AL188">
        <v>27.82</v>
      </c>
      <c r="AM188">
        <v>28.69</v>
      </c>
      <c r="AN188">
        <v>29.62</v>
      </c>
      <c r="AO188">
        <v>30.75</v>
      </c>
    </row>
    <row r="189" spans="1:41" x14ac:dyDescent="0.25">
      <c r="A189" t="s">
        <v>33</v>
      </c>
      <c r="B189" t="s">
        <v>167</v>
      </c>
      <c r="C189">
        <v>21.15</v>
      </c>
      <c r="D189">
        <v>22.36</v>
      </c>
      <c r="E189">
        <v>23.93</v>
      </c>
      <c r="F189">
        <v>24.86</v>
      </c>
      <c r="G189">
        <v>25.68</v>
      </c>
      <c r="H189">
        <v>27.65</v>
      </c>
      <c r="I189">
        <v>29.64</v>
      </c>
      <c r="J189">
        <v>30.75</v>
      </c>
      <c r="K189">
        <v>30.26</v>
      </c>
      <c r="L189">
        <v>31.64</v>
      </c>
      <c r="M189">
        <v>33.06</v>
      </c>
      <c r="N189">
        <v>34.409999999999997</v>
      </c>
      <c r="O189">
        <v>36.049999999999997</v>
      </c>
      <c r="P189">
        <v>37.840000000000003</v>
      </c>
      <c r="Q189">
        <v>39.71</v>
      </c>
      <c r="R189">
        <v>41.68</v>
      </c>
      <c r="S189">
        <v>44.08</v>
      </c>
      <c r="T189">
        <v>46.58</v>
      </c>
      <c r="U189">
        <v>49.3</v>
      </c>
      <c r="V189">
        <v>52.42</v>
      </c>
      <c r="W189">
        <v>55.71</v>
      </c>
      <c r="X189">
        <v>59.21</v>
      </c>
      <c r="Y189">
        <v>63.34</v>
      </c>
      <c r="Z189">
        <v>67.680000000000007</v>
      </c>
      <c r="AA189">
        <v>72.56</v>
      </c>
      <c r="AB189">
        <v>77.790000000000006</v>
      </c>
      <c r="AC189">
        <v>83.35</v>
      </c>
      <c r="AD189">
        <v>89.31</v>
      </c>
      <c r="AE189">
        <v>95.69</v>
      </c>
      <c r="AF189">
        <v>102.28</v>
      </c>
      <c r="AG189">
        <v>108.82</v>
      </c>
      <c r="AH189">
        <v>115.61</v>
      </c>
      <c r="AI189">
        <v>122.69</v>
      </c>
      <c r="AJ189">
        <v>130.12</v>
      </c>
      <c r="AK189">
        <v>137.75</v>
      </c>
      <c r="AL189">
        <v>145.12</v>
      </c>
      <c r="AM189">
        <v>152.74</v>
      </c>
      <c r="AN189">
        <v>160.78</v>
      </c>
      <c r="AO189">
        <v>170.59</v>
      </c>
    </row>
    <row r="190" spans="1:41" x14ac:dyDescent="0.25">
      <c r="A190" t="s">
        <v>30</v>
      </c>
      <c r="B190" t="s">
        <v>168</v>
      </c>
      <c r="C190">
        <v>10.11</v>
      </c>
      <c r="D190">
        <v>8.49</v>
      </c>
      <c r="E190">
        <v>7.76</v>
      </c>
      <c r="F190">
        <v>7.88</v>
      </c>
      <c r="G190">
        <v>7.62</v>
      </c>
      <c r="H190">
        <v>7.28</v>
      </c>
      <c r="I190">
        <v>7.09</v>
      </c>
      <c r="J190">
        <v>6.72</v>
      </c>
      <c r="K190">
        <v>6.04</v>
      </c>
      <c r="L190">
        <v>6.26</v>
      </c>
      <c r="M190">
        <v>6.38</v>
      </c>
      <c r="N190">
        <v>6.46</v>
      </c>
      <c r="O190">
        <v>6.53</v>
      </c>
      <c r="P190">
        <v>6.63</v>
      </c>
      <c r="Q190">
        <v>6.71</v>
      </c>
      <c r="R190">
        <v>6.74</v>
      </c>
      <c r="S190">
        <v>7.03</v>
      </c>
      <c r="T190">
        <v>7.04</v>
      </c>
      <c r="U190">
        <v>7.01</v>
      </c>
      <c r="V190">
        <v>6.93</v>
      </c>
      <c r="W190">
        <v>6.88</v>
      </c>
      <c r="X190">
        <v>6.81</v>
      </c>
      <c r="Y190">
        <v>6.81</v>
      </c>
      <c r="Z190">
        <v>6.82</v>
      </c>
      <c r="AA190">
        <v>6.82</v>
      </c>
      <c r="AB190">
        <v>6.76</v>
      </c>
      <c r="AC190">
        <v>6.71</v>
      </c>
      <c r="AD190">
        <v>6.66</v>
      </c>
      <c r="AE190">
        <v>6.61</v>
      </c>
      <c r="AF190">
        <v>6.58</v>
      </c>
      <c r="AG190">
        <v>6.55</v>
      </c>
      <c r="AH190">
        <v>6.53</v>
      </c>
      <c r="AI190">
        <v>6.52</v>
      </c>
      <c r="AJ190">
        <v>6.53</v>
      </c>
      <c r="AK190">
        <v>6.59</v>
      </c>
      <c r="AL190">
        <v>6.65</v>
      </c>
      <c r="AM190">
        <v>6.73</v>
      </c>
      <c r="AN190">
        <v>6.83</v>
      </c>
      <c r="AO190">
        <v>6.99</v>
      </c>
    </row>
    <row r="191" spans="1:41" x14ac:dyDescent="0.25">
      <c r="A191" t="s">
        <v>26</v>
      </c>
      <c r="B191" t="s">
        <v>169</v>
      </c>
      <c r="C191">
        <v>17.78</v>
      </c>
      <c r="D191">
        <v>18.170000000000002</v>
      </c>
      <c r="E191">
        <v>18.57</v>
      </c>
      <c r="F191">
        <v>18.72</v>
      </c>
      <c r="G191">
        <v>19.07</v>
      </c>
      <c r="H191">
        <v>19.21</v>
      </c>
      <c r="I191">
        <v>19.559999999999999</v>
      </c>
      <c r="J191">
        <v>19.57</v>
      </c>
      <c r="K191">
        <v>18.440000000000001</v>
      </c>
      <c r="L191">
        <v>18.899999999999999</v>
      </c>
      <c r="M191">
        <v>19.3</v>
      </c>
      <c r="N191">
        <v>19.66</v>
      </c>
      <c r="O191">
        <v>20.07</v>
      </c>
      <c r="P191">
        <v>20.49</v>
      </c>
      <c r="Q191">
        <v>20.88</v>
      </c>
      <c r="R191">
        <v>21.27</v>
      </c>
      <c r="S191">
        <v>21.67</v>
      </c>
      <c r="T191">
        <v>22.05</v>
      </c>
      <c r="U191">
        <v>22.47</v>
      </c>
      <c r="V191">
        <v>22.99</v>
      </c>
      <c r="W191">
        <v>23.54</v>
      </c>
      <c r="X191">
        <v>24.14</v>
      </c>
      <c r="Y191">
        <v>24.83</v>
      </c>
      <c r="Z191">
        <v>25.51</v>
      </c>
      <c r="AA191">
        <v>26.23</v>
      </c>
      <c r="AB191">
        <v>26.97</v>
      </c>
      <c r="AC191">
        <v>27.74</v>
      </c>
      <c r="AD191">
        <v>28.55</v>
      </c>
      <c r="AE191">
        <v>29.38</v>
      </c>
      <c r="AF191">
        <v>30.27</v>
      </c>
      <c r="AG191">
        <v>31.15</v>
      </c>
      <c r="AH191">
        <v>32.07</v>
      </c>
      <c r="AI191">
        <v>33.03</v>
      </c>
      <c r="AJ191">
        <v>34.06</v>
      </c>
      <c r="AK191">
        <v>35.14</v>
      </c>
      <c r="AL191">
        <v>36.200000000000003</v>
      </c>
      <c r="AM191">
        <v>37.31</v>
      </c>
      <c r="AN191">
        <v>38.479999999999997</v>
      </c>
      <c r="AO191">
        <v>39.92</v>
      </c>
    </row>
    <row r="192" spans="1:41" x14ac:dyDescent="0.25">
      <c r="A192" t="s">
        <v>36</v>
      </c>
      <c r="B192" t="s">
        <v>170</v>
      </c>
      <c r="C192">
        <v>1.1399999999999999</v>
      </c>
      <c r="D192">
        <v>1.1499999999999999</v>
      </c>
      <c r="E192">
        <v>1.1299999999999999</v>
      </c>
      <c r="F192">
        <v>1.1200000000000001</v>
      </c>
      <c r="G192">
        <v>1.1200000000000001</v>
      </c>
      <c r="H192">
        <v>1.1299999999999999</v>
      </c>
      <c r="I192">
        <v>1.1000000000000001</v>
      </c>
      <c r="J192">
        <v>1.07</v>
      </c>
      <c r="K192">
        <v>0.94</v>
      </c>
      <c r="L192">
        <v>0.94</v>
      </c>
      <c r="M192">
        <v>0.95</v>
      </c>
      <c r="N192">
        <v>0.97</v>
      </c>
      <c r="O192">
        <v>0.98</v>
      </c>
      <c r="P192">
        <v>1</v>
      </c>
      <c r="Q192">
        <v>1.02</v>
      </c>
      <c r="R192">
        <v>1.04</v>
      </c>
      <c r="S192">
        <v>1.05</v>
      </c>
      <c r="T192">
        <v>1.06</v>
      </c>
      <c r="U192">
        <v>1.0900000000000001</v>
      </c>
      <c r="V192">
        <v>1.1200000000000001</v>
      </c>
      <c r="W192">
        <v>1.1599999999999999</v>
      </c>
      <c r="X192">
        <v>1.2</v>
      </c>
      <c r="Y192">
        <v>1.25</v>
      </c>
      <c r="Z192">
        <v>1.29</v>
      </c>
      <c r="AA192">
        <v>1.34</v>
      </c>
      <c r="AB192">
        <v>1.4</v>
      </c>
      <c r="AC192">
        <v>1.46</v>
      </c>
      <c r="AD192">
        <v>1.52</v>
      </c>
      <c r="AE192">
        <v>1.59</v>
      </c>
      <c r="AF192">
        <v>1.67</v>
      </c>
      <c r="AG192">
        <v>1.74</v>
      </c>
      <c r="AH192">
        <v>1.83</v>
      </c>
      <c r="AI192">
        <v>1.92</v>
      </c>
      <c r="AJ192">
        <v>2.02</v>
      </c>
      <c r="AK192">
        <v>2.13</v>
      </c>
      <c r="AL192">
        <v>2.25</v>
      </c>
      <c r="AM192">
        <v>2.38</v>
      </c>
      <c r="AN192">
        <v>2.5099999999999998</v>
      </c>
      <c r="AO192">
        <v>2.67</v>
      </c>
    </row>
    <row r="193" spans="1:41" x14ac:dyDescent="0.25">
      <c r="A193" t="s">
        <v>151</v>
      </c>
      <c r="B193" t="s">
        <v>177</v>
      </c>
      <c r="C193" s="26">
        <v>82.18</v>
      </c>
      <c r="D193" s="26">
        <v>83.872000000000014</v>
      </c>
      <c r="E193" s="26">
        <v>83.951999999999998</v>
      </c>
      <c r="F193" s="26">
        <v>85.891999999999996</v>
      </c>
      <c r="G193" s="26">
        <v>84.332000000000008</v>
      </c>
      <c r="H193" s="26">
        <v>86.492000000000004</v>
      </c>
      <c r="I193" s="26">
        <v>85.808000000000007</v>
      </c>
      <c r="J193" s="26">
        <v>84.336000000000013</v>
      </c>
      <c r="K193" s="26">
        <v>79.320000000000007</v>
      </c>
      <c r="L193" s="26">
        <v>80.692000000000007</v>
      </c>
      <c r="M193" s="26">
        <v>81.76400000000001</v>
      </c>
      <c r="N193" s="26">
        <v>82.62</v>
      </c>
      <c r="O193" s="26">
        <v>83.548000000000002</v>
      </c>
      <c r="P193" s="26">
        <v>84.52000000000001</v>
      </c>
      <c r="Q193" s="26">
        <v>85.328000000000003</v>
      </c>
      <c r="R193" s="26">
        <v>86.103999999999999</v>
      </c>
      <c r="S193" s="26">
        <v>87.360000000000014</v>
      </c>
      <c r="T193" s="26">
        <v>88.044000000000011</v>
      </c>
      <c r="U193" s="26">
        <v>88.664000000000001</v>
      </c>
      <c r="V193" s="26">
        <v>89.532000000000011</v>
      </c>
      <c r="W193" s="26">
        <v>90.4</v>
      </c>
      <c r="X193" s="26">
        <v>91.296000000000006</v>
      </c>
      <c r="Y193" s="26">
        <v>92.552000000000007</v>
      </c>
      <c r="Z193" s="26">
        <v>93.78</v>
      </c>
      <c r="AA193" s="26">
        <v>95.116</v>
      </c>
      <c r="AB193" s="26">
        <v>96.408000000000015</v>
      </c>
      <c r="AC193" s="26">
        <v>97.896000000000015</v>
      </c>
      <c r="AD193" s="26">
        <v>99.456000000000003</v>
      </c>
      <c r="AE193" s="26">
        <v>101.10000000000001</v>
      </c>
      <c r="AF193" s="26">
        <v>102.89200000000001</v>
      </c>
      <c r="AG193" s="26">
        <v>104.69200000000001</v>
      </c>
      <c r="AH193" s="26">
        <v>106.62400000000001</v>
      </c>
      <c r="AI193" s="26">
        <v>108.70400000000001</v>
      </c>
      <c r="AJ193" s="26">
        <v>110.99200000000002</v>
      </c>
      <c r="AK193" s="26">
        <v>113.52000000000001</v>
      </c>
      <c r="AL193" s="26">
        <v>116.048</v>
      </c>
      <c r="AM193" s="26">
        <v>118.75999999999999</v>
      </c>
      <c r="AN193" s="26">
        <v>121.71600000000001</v>
      </c>
      <c r="AO193" s="26">
        <v>125.48399999999999</v>
      </c>
    </row>
    <row r="194" spans="1:41" x14ac:dyDescent="0.25">
      <c r="A194" t="s">
        <v>31</v>
      </c>
      <c r="B194" t="s">
        <v>31</v>
      </c>
    </row>
    <row r="196" spans="1:41" x14ac:dyDescent="0.25">
      <c r="C196" s="13"/>
    </row>
    <row r="197" spans="1:41" x14ac:dyDescent="0.25">
      <c r="B197" t="s">
        <v>178</v>
      </c>
      <c r="C197" s="13" t="s">
        <v>178</v>
      </c>
      <c r="D197" t="s">
        <v>178</v>
      </c>
      <c r="E197" t="s">
        <v>178</v>
      </c>
      <c r="F197" t="s">
        <v>178</v>
      </c>
      <c r="G197" t="s">
        <v>178</v>
      </c>
      <c r="H197" t="s">
        <v>178</v>
      </c>
      <c r="I197" t="s">
        <v>178</v>
      </c>
      <c r="J197" t="s">
        <v>178</v>
      </c>
      <c r="K197" t="s">
        <v>178</v>
      </c>
      <c r="L197" t="s">
        <v>178</v>
      </c>
      <c r="M197" t="s">
        <v>178</v>
      </c>
      <c r="N197" t="s">
        <v>178</v>
      </c>
      <c r="O197" t="s">
        <v>178</v>
      </c>
      <c r="P197" t="s">
        <v>178</v>
      </c>
      <c r="Q197" t="s">
        <v>178</v>
      </c>
      <c r="R197" t="s">
        <v>178</v>
      </c>
      <c r="S197" t="s">
        <v>178</v>
      </c>
      <c r="T197" t="s">
        <v>178</v>
      </c>
      <c r="U197" t="s">
        <v>178</v>
      </c>
      <c r="V197" t="s">
        <v>178</v>
      </c>
      <c r="W197" t="s">
        <v>178</v>
      </c>
      <c r="X197" t="s">
        <v>178</v>
      </c>
      <c r="Y197" t="s">
        <v>178</v>
      </c>
      <c r="Z197" t="s">
        <v>178</v>
      </c>
      <c r="AA197" t="s">
        <v>178</v>
      </c>
      <c r="AB197" t="s">
        <v>178</v>
      </c>
      <c r="AC197" t="s">
        <v>178</v>
      </c>
      <c r="AD197" t="s">
        <v>178</v>
      </c>
      <c r="AE197" t="s">
        <v>178</v>
      </c>
      <c r="AF197" t="s">
        <v>178</v>
      </c>
      <c r="AG197" t="s">
        <v>178</v>
      </c>
      <c r="AH197" t="s">
        <v>178</v>
      </c>
      <c r="AI197" t="s">
        <v>178</v>
      </c>
      <c r="AJ197" t="s">
        <v>178</v>
      </c>
      <c r="AK197" t="s">
        <v>178</v>
      </c>
      <c r="AL197" t="s">
        <v>178</v>
      </c>
      <c r="AM197" t="s">
        <v>178</v>
      </c>
      <c r="AN197" t="s">
        <v>178</v>
      </c>
    </row>
    <row r="198" spans="1:41" x14ac:dyDescent="0.25">
      <c r="B198" t="s">
        <v>172</v>
      </c>
      <c r="C198" s="13" t="s">
        <v>172</v>
      </c>
      <c r="D198" t="s">
        <v>172</v>
      </c>
      <c r="E198" t="s">
        <v>172</v>
      </c>
      <c r="F198" t="s">
        <v>172</v>
      </c>
      <c r="G198" t="s">
        <v>172</v>
      </c>
      <c r="H198" t="s">
        <v>172</v>
      </c>
      <c r="I198" t="s">
        <v>172</v>
      </c>
      <c r="J198" t="s">
        <v>172</v>
      </c>
      <c r="K198" t="s">
        <v>172</v>
      </c>
      <c r="L198" t="s">
        <v>172</v>
      </c>
      <c r="M198" t="s">
        <v>172</v>
      </c>
      <c r="N198" t="s">
        <v>172</v>
      </c>
      <c r="O198" t="s">
        <v>172</v>
      </c>
      <c r="P198" t="s">
        <v>172</v>
      </c>
      <c r="Q198" t="s">
        <v>172</v>
      </c>
      <c r="R198" t="s">
        <v>172</v>
      </c>
      <c r="S198" t="s">
        <v>172</v>
      </c>
      <c r="T198" t="s">
        <v>172</v>
      </c>
      <c r="U198" t="s">
        <v>172</v>
      </c>
      <c r="V198" t="s">
        <v>172</v>
      </c>
      <c r="W198" t="s">
        <v>172</v>
      </c>
      <c r="X198" t="s">
        <v>172</v>
      </c>
      <c r="Y198" t="s">
        <v>172</v>
      </c>
      <c r="Z198" t="s">
        <v>172</v>
      </c>
      <c r="AA198" t="s">
        <v>172</v>
      </c>
      <c r="AB198" t="s">
        <v>172</v>
      </c>
      <c r="AC198" t="s">
        <v>172</v>
      </c>
      <c r="AD198" t="s">
        <v>172</v>
      </c>
      <c r="AE198" t="s">
        <v>172</v>
      </c>
      <c r="AF198" t="s">
        <v>172</v>
      </c>
      <c r="AG198" t="s">
        <v>172</v>
      </c>
      <c r="AH198" t="s">
        <v>172</v>
      </c>
      <c r="AI198" t="s">
        <v>172</v>
      </c>
      <c r="AJ198" t="s">
        <v>172</v>
      </c>
      <c r="AK198" t="s">
        <v>172</v>
      </c>
      <c r="AL198" t="s">
        <v>172</v>
      </c>
      <c r="AM198" t="s">
        <v>172</v>
      </c>
      <c r="AN198" t="s">
        <v>172</v>
      </c>
    </row>
    <row r="199" spans="1:41" x14ac:dyDescent="0.25">
      <c r="A199" t="s">
        <v>179</v>
      </c>
      <c r="B199">
        <v>2012</v>
      </c>
      <c r="C199" s="13">
        <v>2013</v>
      </c>
      <c r="D199">
        <v>2014</v>
      </c>
      <c r="E199">
        <v>2015</v>
      </c>
      <c r="F199">
        <v>2016</v>
      </c>
      <c r="G199">
        <v>2017</v>
      </c>
      <c r="H199">
        <v>2018</v>
      </c>
      <c r="I199">
        <v>2019</v>
      </c>
      <c r="J199">
        <v>2020</v>
      </c>
      <c r="K199">
        <v>2021</v>
      </c>
      <c r="L199">
        <v>2022</v>
      </c>
      <c r="M199">
        <v>2023</v>
      </c>
      <c r="N199">
        <v>2024</v>
      </c>
      <c r="O199">
        <v>2025</v>
      </c>
      <c r="P199">
        <v>2026</v>
      </c>
      <c r="Q199">
        <v>2027</v>
      </c>
      <c r="R199">
        <v>2028</v>
      </c>
      <c r="S199">
        <v>2029</v>
      </c>
      <c r="T199">
        <v>2030</v>
      </c>
      <c r="U199">
        <v>2031</v>
      </c>
      <c r="V199">
        <v>2032</v>
      </c>
      <c r="W199">
        <v>2033</v>
      </c>
      <c r="X199">
        <v>2034</v>
      </c>
      <c r="Y199">
        <v>2035</v>
      </c>
      <c r="Z199">
        <v>2036</v>
      </c>
      <c r="AA199">
        <v>2037</v>
      </c>
      <c r="AB199">
        <v>2038</v>
      </c>
      <c r="AC199">
        <v>2039</v>
      </c>
      <c r="AD199">
        <v>2040</v>
      </c>
      <c r="AE199">
        <v>2041</v>
      </c>
      <c r="AF199">
        <v>2042</v>
      </c>
      <c r="AG199">
        <v>2043</v>
      </c>
      <c r="AH199">
        <v>2044</v>
      </c>
      <c r="AI199">
        <v>2045</v>
      </c>
      <c r="AJ199">
        <v>2046</v>
      </c>
      <c r="AK199">
        <v>2047</v>
      </c>
      <c r="AL199">
        <v>2048</v>
      </c>
      <c r="AM199">
        <v>2049</v>
      </c>
      <c r="AN199">
        <v>2050</v>
      </c>
    </row>
    <row r="200" spans="1:41" x14ac:dyDescent="0.25">
      <c r="A200" t="s">
        <v>180</v>
      </c>
      <c r="B200" s="13">
        <v>0.2</v>
      </c>
      <c r="C200" s="13">
        <v>0.20899999999999999</v>
      </c>
      <c r="D200" s="13">
        <v>0.215</v>
      </c>
      <c r="E200" s="13">
        <v>0.217</v>
      </c>
      <c r="F200" s="13">
        <v>0.2172</v>
      </c>
      <c r="G200" s="13">
        <v>0.2223</v>
      </c>
      <c r="H200" s="13">
        <v>0.22309999999999999</v>
      </c>
      <c r="I200" s="13">
        <v>0.21759999999999999</v>
      </c>
      <c r="J200" s="13">
        <v>0.2</v>
      </c>
      <c r="K200" s="13">
        <v>0.2</v>
      </c>
      <c r="L200" s="13">
        <v>0.2</v>
      </c>
      <c r="M200" s="13">
        <v>0.2</v>
      </c>
      <c r="N200" s="13">
        <v>0.20230000000000001</v>
      </c>
      <c r="O200" s="13">
        <v>0.20630000000000001</v>
      </c>
      <c r="P200" s="13">
        <v>0.21179999999999999</v>
      </c>
      <c r="Q200" s="13">
        <v>0.2162</v>
      </c>
      <c r="R200" s="13">
        <v>0.21790000000000001</v>
      </c>
      <c r="S200" s="13">
        <v>0.22359999999999999</v>
      </c>
      <c r="T200" s="13">
        <v>0.22939999999999999</v>
      </c>
      <c r="U200" s="13">
        <v>0.23619999999999999</v>
      </c>
      <c r="V200" s="13">
        <v>0.2432</v>
      </c>
      <c r="W200" s="13">
        <v>0.24990000000000001</v>
      </c>
      <c r="X200" s="13">
        <v>0.25719999999999998</v>
      </c>
      <c r="Y200" s="13">
        <v>0.26390000000000002</v>
      </c>
      <c r="Z200" s="13">
        <v>0.2712</v>
      </c>
      <c r="AA200" s="13">
        <v>0.27889999999999998</v>
      </c>
      <c r="AB200" s="13">
        <v>0.28599999999999998</v>
      </c>
      <c r="AC200" s="13">
        <v>0.29310000000000003</v>
      </c>
      <c r="AD200" s="13">
        <v>0.30020000000000002</v>
      </c>
      <c r="AE200" s="13">
        <v>0.30719999999999997</v>
      </c>
      <c r="AF200" s="13">
        <v>0.3135</v>
      </c>
      <c r="AG200" s="13">
        <v>0.31990000000000002</v>
      </c>
      <c r="AH200" s="13">
        <v>0.32629999999999998</v>
      </c>
      <c r="AI200" s="13">
        <v>0.33289999999999997</v>
      </c>
      <c r="AJ200" s="13">
        <v>0.33960000000000001</v>
      </c>
      <c r="AK200" s="13">
        <v>0.34549999999999997</v>
      </c>
      <c r="AL200" s="13">
        <v>0.35139999999999999</v>
      </c>
      <c r="AM200" s="13">
        <v>0.35749999999999998</v>
      </c>
      <c r="AN200" s="13">
        <v>0.36499999999999999</v>
      </c>
    </row>
    <row r="201" spans="1:41" x14ac:dyDescent="0.25">
      <c r="A201" t="s">
        <v>181</v>
      </c>
      <c r="B201" s="13">
        <v>0.3</v>
      </c>
      <c r="C201" s="13">
        <v>0.29570000000000002</v>
      </c>
      <c r="D201" s="13">
        <v>0.29930000000000001</v>
      </c>
      <c r="E201" s="13">
        <v>0.3029</v>
      </c>
      <c r="F201" s="13">
        <v>0.3044</v>
      </c>
      <c r="G201" s="13">
        <v>0.30480000000000002</v>
      </c>
      <c r="H201" s="13">
        <v>0.30819999999999997</v>
      </c>
      <c r="I201" s="13">
        <v>0.31109999999999999</v>
      </c>
      <c r="J201" s="13">
        <v>0.31140000000000001</v>
      </c>
      <c r="K201" s="13">
        <v>0.29730000000000001</v>
      </c>
      <c r="L201" s="13">
        <v>0.30199999999999999</v>
      </c>
      <c r="M201" s="13">
        <v>0.30640000000000001</v>
      </c>
      <c r="N201" s="13">
        <v>0.30940000000000001</v>
      </c>
      <c r="O201" s="13">
        <v>0.3115</v>
      </c>
      <c r="P201" s="13">
        <v>0.313</v>
      </c>
      <c r="Q201" s="13">
        <v>0.31540000000000001</v>
      </c>
      <c r="R201" s="13">
        <v>0.3175</v>
      </c>
      <c r="S201" s="13">
        <v>0.31859999999999999</v>
      </c>
      <c r="T201" s="13">
        <v>0.32069999999999999</v>
      </c>
      <c r="U201" s="13">
        <v>0.32240000000000002</v>
      </c>
      <c r="V201" s="13">
        <v>0.32469999999999999</v>
      </c>
      <c r="W201" s="13">
        <v>0.32690000000000002</v>
      </c>
      <c r="X201" s="13">
        <v>0.32890000000000003</v>
      </c>
      <c r="Y201" s="13">
        <v>0.33139999999999997</v>
      </c>
      <c r="Z201" s="13">
        <v>0.33339999999999997</v>
      </c>
      <c r="AA201" s="13">
        <v>0.33560000000000001</v>
      </c>
      <c r="AB201" s="13">
        <v>0.33800000000000002</v>
      </c>
      <c r="AC201" s="13">
        <v>0.34010000000000001</v>
      </c>
      <c r="AD201" s="13">
        <v>0.3422</v>
      </c>
      <c r="AE201" s="13">
        <v>0.34439999999999998</v>
      </c>
      <c r="AF201" s="13">
        <v>0.34649999999999997</v>
      </c>
      <c r="AG201" s="13">
        <v>0.34839999999999999</v>
      </c>
      <c r="AH201" s="13">
        <v>0.35020000000000001</v>
      </c>
      <c r="AI201" s="13">
        <v>0.35189999999999999</v>
      </c>
      <c r="AJ201" s="13">
        <v>0.35370000000000001</v>
      </c>
      <c r="AK201" s="13">
        <v>0.35560000000000003</v>
      </c>
      <c r="AL201" s="13">
        <v>0.35720000000000002</v>
      </c>
      <c r="AM201" s="13">
        <v>0.35859999999999997</v>
      </c>
      <c r="AN201" s="13">
        <v>0.35959999999999998</v>
      </c>
    </row>
    <row r="202" spans="1:41" x14ac:dyDescent="0.25">
      <c r="A202" t="s">
        <v>182</v>
      </c>
      <c r="B202" s="13">
        <v>0.5</v>
      </c>
      <c r="C202" s="13">
        <v>0.49530000000000002</v>
      </c>
      <c r="D202" s="13">
        <v>0.48570000000000002</v>
      </c>
      <c r="E202" s="13">
        <v>0.48010000000000003</v>
      </c>
      <c r="F202" s="13">
        <v>0.4783</v>
      </c>
      <c r="G202" s="13">
        <v>0.47289999999999999</v>
      </c>
      <c r="H202" s="13">
        <v>0.46870000000000001</v>
      </c>
      <c r="I202" s="13">
        <v>0.47139999999999999</v>
      </c>
      <c r="J202" s="13">
        <v>0.48859999999999998</v>
      </c>
      <c r="K202" s="13">
        <v>0.50270000000000004</v>
      </c>
      <c r="L202" s="13">
        <v>0.498</v>
      </c>
      <c r="M202" s="13">
        <v>0.49359999999999998</v>
      </c>
      <c r="N202" s="13">
        <v>0.48820000000000002</v>
      </c>
      <c r="O202" s="13">
        <v>0.48220000000000002</v>
      </c>
      <c r="P202" s="13">
        <v>0.47520000000000001</v>
      </c>
      <c r="Q202" s="13">
        <v>0.46839999999999998</v>
      </c>
      <c r="R202" s="13">
        <v>0.4647</v>
      </c>
      <c r="S202" s="13">
        <v>0.45779999999999998</v>
      </c>
      <c r="T202" s="13">
        <v>0.44979999999999998</v>
      </c>
      <c r="U202" s="13">
        <v>0.44130000000000003</v>
      </c>
      <c r="V202" s="13">
        <v>0.43219999999999997</v>
      </c>
      <c r="W202" s="13">
        <v>0.42320000000000002</v>
      </c>
      <c r="X202" s="13">
        <v>0.4138</v>
      </c>
      <c r="Y202" s="13">
        <v>0.40460000000000002</v>
      </c>
      <c r="Z202" s="13">
        <v>0.39539999999999997</v>
      </c>
      <c r="AA202" s="13">
        <v>0.38550000000000001</v>
      </c>
      <c r="AB202" s="13">
        <v>0.37590000000000001</v>
      </c>
      <c r="AC202" s="13">
        <v>0.36670000000000003</v>
      </c>
      <c r="AD202" s="13">
        <v>0.35759999999999997</v>
      </c>
      <c r="AE202" s="13">
        <v>0.34839999999999999</v>
      </c>
      <c r="AF202" s="13">
        <v>0.33989999999999998</v>
      </c>
      <c r="AG202" s="13">
        <v>0.33169999999999999</v>
      </c>
      <c r="AH202" s="13">
        <v>0.32350000000000001</v>
      </c>
      <c r="AI202" s="13">
        <v>0.31519999999999998</v>
      </c>
      <c r="AJ202" s="13">
        <v>0.30669999999999997</v>
      </c>
      <c r="AK202" s="13">
        <v>0.2989</v>
      </c>
      <c r="AL202" s="13">
        <v>0.29149999999999998</v>
      </c>
      <c r="AM202" s="13">
        <v>0.28389999999999999</v>
      </c>
      <c r="AN202" s="13">
        <v>0.27539999999999998</v>
      </c>
    </row>
    <row r="203" spans="1:41" x14ac:dyDescent="0.25">
      <c r="C203" s="13"/>
    </row>
    <row r="204" spans="1:41" x14ac:dyDescent="0.25">
      <c r="C204" s="13"/>
    </row>
    <row r="205" spans="1:41" x14ac:dyDescent="0.25">
      <c r="C205" s="13"/>
    </row>
    <row r="206" spans="1:41" x14ac:dyDescent="0.25">
      <c r="C206" s="13"/>
    </row>
    <row r="207" spans="1:41" x14ac:dyDescent="0.25">
      <c r="C207" s="13"/>
    </row>
    <row r="208" spans="1:41" x14ac:dyDescent="0.25">
      <c r="C208" s="13"/>
    </row>
    <row r="209" spans="3:4" x14ac:dyDescent="0.25">
      <c r="C209" s="13"/>
    </row>
    <row r="210" spans="3:4" x14ac:dyDescent="0.25">
      <c r="C210" s="13"/>
    </row>
    <row r="211" spans="3:4" x14ac:dyDescent="0.25">
      <c r="C211" s="13"/>
    </row>
    <row r="212" spans="3:4" x14ac:dyDescent="0.25">
      <c r="C212" s="13"/>
    </row>
    <row r="213" spans="3:4" x14ac:dyDescent="0.25">
      <c r="C213" s="13"/>
    </row>
    <row r="214" spans="3:4" x14ac:dyDescent="0.25">
      <c r="C214" s="13"/>
    </row>
    <row r="215" spans="3:4" x14ac:dyDescent="0.25">
      <c r="C215" s="13"/>
    </row>
    <row r="216" spans="3:4" x14ac:dyDescent="0.25">
      <c r="C216" s="13"/>
    </row>
    <row r="217" spans="3:4" x14ac:dyDescent="0.25">
      <c r="C217" s="13"/>
    </row>
    <row r="218" spans="3:4" x14ac:dyDescent="0.25">
      <c r="C218" s="13"/>
    </row>
    <row r="219" spans="3:4" x14ac:dyDescent="0.25">
      <c r="C219" s="13"/>
    </row>
    <row r="220" spans="3:4" x14ac:dyDescent="0.25">
      <c r="C220" s="13"/>
    </row>
    <row r="221" spans="3:4" x14ac:dyDescent="0.25">
      <c r="C221" s="13"/>
      <c r="D221" s="23"/>
    </row>
    <row r="222" spans="3:4" x14ac:dyDescent="0.25">
      <c r="C222" s="13"/>
      <c r="D222" s="23"/>
    </row>
    <row r="223" spans="3:4" x14ac:dyDescent="0.25">
      <c r="C223" s="13"/>
      <c r="D223" s="23"/>
    </row>
    <row r="224" spans="3:4" x14ac:dyDescent="0.25">
      <c r="C224" s="13"/>
      <c r="D224" s="23"/>
    </row>
    <row r="225" spans="3:4" x14ac:dyDescent="0.25">
      <c r="C225" s="13"/>
      <c r="D225" s="23"/>
    </row>
    <row r="226" spans="3:4" x14ac:dyDescent="0.25">
      <c r="C226" s="13"/>
      <c r="D226" s="23"/>
    </row>
    <row r="227" spans="3:4" x14ac:dyDescent="0.25">
      <c r="C227" s="13"/>
      <c r="D227" s="23"/>
    </row>
    <row r="228" spans="3:4" x14ac:dyDescent="0.25">
      <c r="C228" s="13"/>
      <c r="D228" s="23"/>
    </row>
    <row r="229" spans="3:4" x14ac:dyDescent="0.25">
      <c r="C229" s="13"/>
      <c r="D229" s="23"/>
    </row>
    <row r="230" spans="3:4" x14ac:dyDescent="0.25">
      <c r="C230" s="13"/>
      <c r="D230" s="23"/>
    </row>
    <row r="231" spans="3:4" x14ac:dyDescent="0.25">
      <c r="C231" s="13"/>
      <c r="D231" s="23"/>
    </row>
    <row r="232" spans="3:4" x14ac:dyDescent="0.25">
      <c r="C232" s="13"/>
      <c r="D232" s="23"/>
    </row>
    <row r="233" spans="3:4" x14ac:dyDescent="0.25">
      <c r="C233" s="13"/>
      <c r="D233" s="23"/>
    </row>
    <row r="234" spans="3:4" x14ac:dyDescent="0.25">
      <c r="C234" s="13"/>
      <c r="D234" s="23"/>
    </row>
    <row r="235" spans="3:4" x14ac:dyDescent="0.25">
      <c r="C235" s="13"/>
      <c r="D235" s="23"/>
    </row>
    <row r="236" spans="3:4" x14ac:dyDescent="0.25">
      <c r="C236" s="13"/>
      <c r="D236" s="23"/>
    </row>
    <row r="237" spans="3:4" x14ac:dyDescent="0.25">
      <c r="C237" s="13"/>
      <c r="D237" s="2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5" spans="3:4" x14ac:dyDescent="0.25">
      <c r="C255" s="13"/>
    </row>
    <row r="256" spans="3:4" x14ac:dyDescent="0.25">
      <c r="C256" s="13"/>
    </row>
    <row r="257" spans="3:3" x14ac:dyDescent="0.25">
      <c r="C257" s="13"/>
    </row>
    <row r="258" spans="3:3" x14ac:dyDescent="0.25">
      <c r="C258" s="13"/>
    </row>
    <row r="259" spans="3:3" x14ac:dyDescent="0.25">
      <c r="C259" s="13"/>
    </row>
    <row r="260" spans="3:3" x14ac:dyDescent="0.25">
      <c r="C260" s="13"/>
    </row>
    <row r="261" spans="3:3" x14ac:dyDescent="0.25">
      <c r="C261" s="13"/>
    </row>
    <row r="262" spans="3:3" x14ac:dyDescent="0.25">
      <c r="C262" s="13"/>
    </row>
    <row r="263" spans="3:3" x14ac:dyDescent="0.25">
      <c r="C263" s="13"/>
    </row>
    <row r="264" spans="3:3" x14ac:dyDescent="0.25">
      <c r="C264" s="13"/>
    </row>
    <row r="265" spans="3:3" x14ac:dyDescent="0.25">
      <c r="C265" s="13"/>
    </row>
    <row r="266" spans="3:3" x14ac:dyDescent="0.25">
      <c r="C266" s="13"/>
    </row>
    <row r="267" spans="3:3" x14ac:dyDescent="0.25">
      <c r="C267" s="13"/>
    </row>
    <row r="268" spans="3:3" x14ac:dyDescent="0.25">
      <c r="C268" s="13"/>
    </row>
    <row r="269" spans="3:3" x14ac:dyDescent="0.25">
      <c r="C269" s="13"/>
    </row>
    <row r="270" spans="3:3" x14ac:dyDescent="0.25">
      <c r="C270" s="13"/>
    </row>
    <row r="271" spans="3:3" x14ac:dyDescent="0.25">
      <c r="C271" s="13"/>
    </row>
    <row r="272" spans="3:3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6" xr:uid="{CD49A349-9DAD-46E9-865D-E5693E331018}">
      <formula1>$F$35:$F$36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2021-08-04T08:04:51Z</dcterms:modified>
</cp:coreProperties>
</file>