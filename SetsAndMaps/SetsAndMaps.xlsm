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B69DA78D-125F-4996-AC86-0C19FB4C4C80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2" i="2" l="1"/>
  <c r="H572" i="2"/>
  <c r="G572" i="2"/>
  <c r="F572" i="2"/>
  <c r="I573" i="2"/>
  <c r="H573" i="2"/>
  <c r="G573" i="2"/>
  <c r="F573" i="2"/>
  <c r="I284" i="2"/>
  <c r="H284" i="2"/>
  <c r="G284" i="2"/>
  <c r="F284" i="2"/>
  <c r="I282" i="2"/>
  <c r="H282" i="2"/>
  <c r="G282" i="2"/>
  <c r="F282" i="2"/>
  <c r="I824" i="2"/>
  <c r="H824" i="2"/>
  <c r="G824" i="2"/>
  <c r="F824" i="2"/>
  <c r="F474" i="2"/>
  <c r="G474" i="2"/>
  <c r="H474" i="2"/>
  <c r="I474" i="2"/>
  <c r="F926" i="2"/>
  <c r="G926" i="2"/>
  <c r="H926" i="2"/>
  <c r="I926" i="2"/>
  <c r="I845" i="2" l="1"/>
  <c r="H845" i="2"/>
  <c r="G845" i="2"/>
  <c r="F845" i="2"/>
  <c r="I844" i="2"/>
  <c r="H844" i="2"/>
  <c r="G844" i="2"/>
  <c r="F844" i="2"/>
  <c r="W736" i="6"/>
  <c r="X312" i="6"/>
  <c r="W312" i="6"/>
  <c r="I387" i="2"/>
  <c r="H387" i="2"/>
  <c r="G387" i="2"/>
  <c r="F387" i="2"/>
  <c r="I820" i="2"/>
  <c r="H820" i="2"/>
  <c r="G820" i="2"/>
  <c r="F820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09" i="2" l="1"/>
  <c r="G909" i="2"/>
  <c r="H909" i="2"/>
  <c r="I909" i="2"/>
  <c r="F910" i="2"/>
  <c r="G910" i="2"/>
  <c r="H910" i="2"/>
  <c r="I910" i="2"/>
  <c r="F911" i="2"/>
  <c r="G911" i="2"/>
  <c r="H911" i="2"/>
  <c r="I911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5" i="2"/>
  <c r="H815" i="2"/>
  <c r="G815" i="2"/>
  <c r="F815" i="2"/>
  <c r="W829" i="6" l="1"/>
  <c r="I914" i="2"/>
  <c r="H914" i="2"/>
  <c r="G914" i="2"/>
  <c r="F914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4" i="2"/>
  <c r="H924" i="2"/>
  <c r="G924" i="2"/>
  <c r="F924" i="2"/>
  <c r="I916" i="2"/>
  <c r="H916" i="2"/>
  <c r="G916" i="2"/>
  <c r="F916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0" i="2"/>
  <c r="H860" i="2"/>
  <c r="G860" i="2"/>
  <c r="F860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0" i="2"/>
  <c r="H980" i="2"/>
  <c r="G980" i="2"/>
  <c r="F980" i="2"/>
  <c r="I965" i="2"/>
  <c r="H965" i="2"/>
  <c r="G965" i="2"/>
  <c r="F965" i="2"/>
  <c r="I937" i="2"/>
  <c r="H937" i="2"/>
  <c r="G937" i="2"/>
  <c r="F937" i="2"/>
  <c r="I895" i="2"/>
  <c r="H895" i="2"/>
  <c r="G895" i="2"/>
  <c r="F895" i="2"/>
  <c r="I888" i="2"/>
  <c r="H888" i="2"/>
  <c r="G888" i="2"/>
  <c r="F888" i="2"/>
  <c r="I825" i="2"/>
  <c r="H825" i="2"/>
  <c r="G825" i="2"/>
  <c r="F825" i="2"/>
  <c r="I822" i="2"/>
  <c r="H822" i="2"/>
  <c r="G822" i="2"/>
  <c r="F822" i="2"/>
  <c r="I823" i="2"/>
  <c r="H823" i="2"/>
  <c r="G823" i="2"/>
  <c r="F823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8" i="2"/>
  <c r="H948" i="2"/>
  <c r="G948" i="2"/>
  <c r="F948" i="2"/>
  <c r="I947" i="2"/>
  <c r="H947" i="2"/>
  <c r="G947" i="2"/>
  <c r="F94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7" i="2" l="1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8" i="2"/>
  <c r="H978" i="2"/>
  <c r="G978" i="2"/>
  <c r="F978" i="2"/>
  <c r="I977" i="2"/>
  <c r="G977" i="2"/>
  <c r="F977" i="2"/>
  <c r="G976" i="2"/>
  <c r="F976" i="2"/>
  <c r="I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5" i="2"/>
  <c r="H915" i="2"/>
  <c r="G915" i="2"/>
  <c r="F915" i="2"/>
  <c r="I913" i="2"/>
  <c r="H913" i="2"/>
  <c r="G913" i="2"/>
  <c r="F913" i="2"/>
  <c r="I912" i="2"/>
  <c r="G912" i="2"/>
  <c r="F912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1" i="2"/>
  <c r="G821" i="2"/>
  <c r="F821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69" i="4" s="1"/>
  <c r="K69" i="4" s="1"/>
  <c r="J68" i="4"/>
  <c r="K68" i="4" s="1"/>
  <c r="J67" i="4"/>
  <c r="K67" i="4" s="1"/>
  <c r="J66" i="4"/>
  <c r="K66" i="4" s="1"/>
  <c r="I66" i="4"/>
  <c r="J65" i="4" s="1"/>
  <c r="K65" i="4" s="1"/>
  <c r="J61" i="4"/>
  <c r="J60" i="4"/>
  <c r="K60" i="4" s="1"/>
  <c r="J59" i="4"/>
  <c r="J58" i="4"/>
  <c r="H559" i="2" s="1"/>
  <c r="J57" i="4"/>
  <c r="J56" i="4"/>
  <c r="J55" i="4"/>
  <c r="H839" i="2" s="1"/>
  <c r="J54" i="4"/>
  <c r="H840" i="2" s="1"/>
  <c r="J53" i="4"/>
  <c r="J48" i="4"/>
  <c r="J47" i="4"/>
  <c r="J46" i="4"/>
  <c r="J45" i="4"/>
  <c r="J44" i="4"/>
  <c r="J43" i="4"/>
  <c r="J42" i="4"/>
  <c r="J41" i="4"/>
  <c r="J40" i="4"/>
  <c r="J39" i="4"/>
  <c r="J38" i="4"/>
  <c r="H582" i="2" s="1"/>
  <c r="J37" i="4"/>
  <c r="H554" i="2" s="1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977" i="2" l="1"/>
  <c r="H835" i="2"/>
  <c r="H836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1" i="2"/>
  <c r="H842" i="2"/>
  <c r="H843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5" i="2"/>
  <c r="H953" i="2"/>
  <c r="H918" i="2"/>
  <c r="H878" i="2"/>
  <c r="H869" i="2"/>
  <c r="H912" i="2"/>
  <c r="H906" i="2"/>
  <c r="H960" i="2"/>
  <c r="H902" i="2"/>
  <c r="H885" i="2"/>
  <c r="H873" i="2"/>
  <c r="H854" i="2"/>
  <c r="H862" i="2"/>
  <c r="H871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6" i="2"/>
  <c r="H821" i="2"/>
  <c r="H830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1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6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1" i="4"/>
  <c r="I976" i="2" s="1"/>
  <c r="H976" i="2"/>
  <c r="H194" i="2"/>
  <c r="H193" i="2"/>
  <c r="H832" i="2"/>
  <c r="H833" i="2"/>
  <c r="H834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59" i="6" l="1"/>
  <c r="AS58" i="6"/>
  <c r="AS57" i="6"/>
  <c r="AS56" i="6"/>
  <c r="AS55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s="1"/>
  <c r="X195" i="6" l="1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49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<sst xmlns="http://schemas.openxmlformats.org/spreadsheetml/2006/main" count="14854" uniqueCount="3894">
  <si>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</si>
  <si>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</si>
  <si>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</si>
  <si>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</si>
  <si>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</si>
  <si>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</si>
  <si>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</si>
  <si>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</si>
  <si>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</si>
  <si>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</si>
  <si>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</si>
  <si>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</si>
  <si>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</si>
  <si>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</si>
  <si>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</si>
  <si>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</si>
  <si>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</si>
  <si>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</si>
  <si>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</si>
  <si>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</si>
  <si>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</si>
  <si>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</si>
  <si>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</si>
  <si>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</si>
  <si>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</si>
  <si>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</si>
  <si>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</si>
  <si>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</si>
  <si>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</si>
  <si>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</si>
  <si>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</si>
  <si>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</si>
  <si>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</si>
  <si>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</si>
  <si>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</si>
  <si>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</si>
  <si>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</si>
  <si>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</si>
  <si>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</si>
  <si>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</si>
  <si>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</si>
  <si>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</si>
  <si>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</si>
  <si>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</si>
  <si>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</si>
  <si>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</si>
  <si>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</si>
  <si>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</si>
  <si>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</si>
  <si>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</si>
  <si>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</si>
  <si>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</si>
  <si>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</si>
  <si>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</si>
  <si>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</si>
  <si>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</si>
  <si>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</si>
  <si>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</si>
  <si>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</si>
  <si>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</si>
  <si>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</si>
  <si>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</si>
  <si>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</si>
  <si>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</si>
  <si>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</si>
  <si>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</si>
  <si>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</si>
  <si>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</si>
  <si>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</si>
  <si>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</si>
  <si>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</si>
  <si>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</si>
  <si>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</si>
  <si>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</si>
  <si>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</si>
  <si>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</si>
  <si>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</si>
  <si>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</si>
  <si>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</si>
  <si>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</si>
  <si>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</si>
  <si>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</si>
  <si>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</si>
  <si>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</si>
  <si>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</si>
  <si>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</si>
  <si>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</si>
  <si>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</si>
  <si>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</si>
  <si>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</si>
  <si>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</si>
  <si>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</si>
  <si>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</si>
  <si>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</si>
  <si>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</si>
  <si>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</si>
  <si>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</si>
  <si>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</si>
  <si>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</si>
  <si>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</si>
  <si>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</si>
  <si>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</si>
  <si>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</si>
  <si>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</si>
  <si>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</si>
  <si>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</si>
  <si>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</si>
  <si>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</si>
  <si>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</si>
  <si>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</si>
  <si>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</si>
  <si>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</si>
  <si>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</si>
  <si>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</si>
  <si>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</si>
  <si>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</si>
  <si>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</si>
  <si>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</si>
  <si>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</si>
  <si>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</si>
  <si>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</si>
  <si>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</si>
  <si>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</si>
  <si>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</si>
  <si>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</si>
  <si>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</si>
  <si>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</si>
  <si>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</si>
  <si>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</si>
  <si>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</si>
  <si>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</si>
  <si>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</si>
  <si>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</si>
  <si>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</si>
  <si>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</si>
  <si>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</si>
  <si>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</si>
  <si>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</si>
  <si>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</si>
  <si>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</si>
  <si>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</si>
  <si>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</si>
  <si>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</si>
  <si>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</si>
  <si>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</si>
  <si>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</si>
  <si>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</si>
  <si>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</si>
  <si>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</si>
  <si>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</si>
  <si>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</si>
  <si>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</si>
  <si>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</si>
  <si>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</si>
  <si>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</si>
  <si>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</si>
  <si>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</si>
  <si>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</si>
  <si>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</si>
  <si>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</si>
  <si>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</si>
  <si>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</si>
  <si>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</si>
  <si>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</si>
  <si>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</si>
  <si>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</si>
  <si>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</si>
  <si>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</si>
  <si>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</si>
  <si>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</si>
  <si>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</si>
  <si>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</si>
  <si>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</si>
  <si>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</si>
  <si>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</si>
  <si>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</si>
  <si>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</si>
  <si>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</si>
  <si>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</si>
  <si>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</si>
  <si>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</si>
  <si>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</si>
  <si>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</si>
  <si>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</si>
  <si>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</si>
  <si>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</si>
  <si>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</si>
  <si>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</si>
  <si>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</si>
  <si>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</si>
  <si>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</si>
  <si>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</si>
  <si>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</si>
  <si>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</si>
  <si>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</si>
  <si>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</si>
  <si>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</si>
  <si>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</si>
  <si>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</si>
  <si>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</si>
  <si>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</si>
  <si>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</si>
  <si>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</si>
  <si>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</si>
  <si>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</si>
  <si>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</si>
  <si>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</si>
  <si>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</si>
  <si>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</si>
  <si>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</si>
  <si>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</si>
  <si>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</si>
  <si>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</si>
  <si>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</si>
  <si>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</si>
  <si>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</si>
  <si>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</si>
  <si>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</si>
  <si>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</si>
  <si>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</si>
  <si>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</si>
  <si>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</si>
  <si>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</si>
  <si>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</si>
  <si>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</si>
  <si>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</si>
  <si>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</si>
  <si>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</si>
  <si>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</si>
  <si>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</si>
  <si>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</si>
  <si>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</si>
  <si>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</si>
  <si>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</si>
  <si>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</si>
  <si>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</si>
  <si>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</si>
  <si>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</si>
  <si>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</si>
  <si>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</si>
  <si>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</si>
  <si>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</si>
  <si>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</si>
  <si>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</si>
  <si>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</si>
  <si>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</si>
  <si>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</si>
  <si>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</si>
  <si>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</si>
  <si>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</si>
  <si>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</si>
  <si>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</si>
  <si>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</si>
  <si>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</si>
  <si>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</si>
  <si>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</si>
  <si>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</si>
  <si>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</si>
  <si>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</si>
  <si>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</si>
  <si>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</si>
  <si>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</si>
  <si>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</si>
  <si>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</si>
  <si>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</si>
  <si>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</si>
  <si>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</si>
  <si>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</si>
  <si>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</si>
  <si>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</si>
  <si>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</si>
  <si>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</si>
  <si>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</si>
  <si>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</si>
  <si>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</si>
  <si>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</si>
  <si>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</si>
  <si>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</si>
  <si>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</si>
  <si>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</si>
  <si>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</si>
  <si>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</si>
  <si>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</si>
  <si>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</si>
  <si>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</si>
  <si>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</si>
  <si>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</si>
  <si>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</si>
  <si>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</si>
  <si>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</si>
  <si>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</si>
  <si>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</si>
  <si>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</si>
  <si>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</si>
  <si>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</si>
  <si>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</si>
  <si>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</si>
  <si>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</si>
  <si>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</si>
  <si>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</si>
  <si>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</si>
  <si>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</si>
  <si>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</si>
  <si>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</si>
  <si>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</si>
  <si>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</si>
  <si>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</si>
  <si>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</si>
  <si>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</si>
  <si>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</si>
  <si>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</si>
  <si>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</si>
  <si>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</si>
  <si>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</si>
  <si>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</si>
  <si>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</si>
  <si>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</si>
  <si>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</si>
  <si>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</si>
  <si>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</si>
  <si>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</si>
  <si>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</si>
  <si>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</si>
  <si>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</si>
  <si>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</si>
  <si>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</si>
  <si>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</si>
  <si>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</si>
  <si>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</si>
  <si>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</si>
  <si>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</si>
  <si>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</si>
  <si>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</si>
  <si>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</si>
  <si>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</si>
  <si>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</si>
  <si>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</si>
  <si>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</si>
  <si>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</si>
  <si>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</si>
  <si>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</si>
  <si>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</si>
  <si>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</si>
  <si>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</si>
  <si>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</si>
  <si>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</si>
  <si>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</si>
  <si>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</si>
  <si>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</si>
  <si>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</si>
  <si>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</si>
  <si>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</si>
  <si>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</si>
  <si>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</si>
  <si>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</si>
  <si>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</si>
  <si>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</si>
  <si>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</si>
  <si>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</si>
  <si>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</si>
  <si>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</si>
  <si>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</si>
  <si>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</si>
  <si>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</si>
  <si>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</si>
  <si>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</si>
  <si>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</si>
  <si>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</si>
  <si>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</si>
  <si>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</si>
  <si>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</si>
  <si>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</si>
  <si>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</si>
  <si>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</si>
  <si>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</si>
  <si>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</si>
  <si>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</si>
  <si>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</si>
  <si>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</si>
  <si>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</si>
  <si>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</si>
  <si>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</si>
  <si>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</si>
  <si>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</si>
  <si>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</si>
  <si>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</si>
  <si>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</si>
  <si>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</si>
  <si>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</si>
  <si>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</si>
  <si>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</si>
  <si>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</si>
  <si>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</si>
  <si>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</si>
  <si>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</si>
  <si>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</si>
  <si>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</si>
  <si>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</si>
  <si>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</si>
  <si>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</si>
  <si>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</si>
  <si>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</si>
  <si>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</si>
  <si>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</si>
  <si>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</si>
  <si>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</si>
  <si>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</si>
  <si>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</si>
  <si>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</si>
  <si>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</si>
  <si>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</si>
  <si>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</si>
  <si>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</si>
  <si>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</si>
  <si>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</si>
  <si>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</si>
  <si>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</si>
  <si>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</si>
  <si>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</si>
  <si>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</si>
  <si>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</si>
  <si>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</si>
  <si>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</si>
  <si>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</si>
  <si>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</si>
  <si>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</si>
  <si>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</si>
  <si>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</si>
  <si>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</si>
  <si>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</si>
  <si>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</si>
  <si>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</si>
  <si>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</si>
  <si>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</si>
  <si>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</si>
  <si>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</si>
  <si>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</si>
  <si>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</si>
  <si>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</si>
  <si>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</si>
  <si>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</si>
  <si>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</si>
  <si>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</si>
  <si>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</si>
  <si>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</si>
  <si>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</si>
  <si>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</si>
  <si>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</si>
  <si>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</si>
  <si>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</si>
  <si>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</si>
  <si>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</si>
  <si>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</si>
  <si>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</si>
  <si>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</si>
  <si>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</si>
  <si>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</si>
  <si>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</si>
  <si>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</si>
  <si>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</si>
  <si>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</si>
  <si>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</si>
  <si>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</si>
  <si>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</si>
  <si>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</si>
  <si>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</si>
  <si>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</si>
  <si>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</si>
  <si>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</si>
  <si>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</si>
  <si>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</si>
  <si>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</si>
  <si>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</si>
  <si>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</si>
  <si>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</si>
  <si>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</si>
  <si>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</si>
  <si>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</si>
  <si>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</si>
  <si>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</si>
  <si>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</si>
  <si>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</si>
  <si>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</si>
  <si>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</si>
  <si>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</si>
  <si>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</si>
  <si>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</si>
  <si>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</si>
  <si>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</si>
  <si>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</si>
  <si>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</si>
  <si>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</si>
  <si>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</si>
  <si>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</si>
  <si>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</si>
  <si>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</si>
  <si>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</si>
  <si>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</si>
  <si>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</si>
  <si>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</si>
  <si>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</si>
  <si>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</si>
  <si>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</si>
  <si>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</si>
  <si>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</si>
  <si>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</si>
  <si>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</si>
  <si>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</si>
  <si>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</si>
  <si>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</si>
  <si>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</si>
  <si>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</si>
  <si>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</si>
  <si>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</si>
  <si>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</si>
  <si>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</si>
  <si>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</si>
  <si>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</si>
  <si>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</si>
  <si>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</si>
  <si>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</si>
  <si>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</si>
  <si>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</si>
  <si>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</si>
  <si>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</si>
  <si>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</si>
  <si>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</si>
  <si>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</si>
  <si>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</si>
  <si>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</si>
  <si>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</si>
  <si>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</si>
  <si>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</si>
  <si>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</si>
  <si>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</si>
  <si>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</si>
  <si>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</si>
  <si>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</si>
  <si>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</si>
  <si>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</si>
  <si>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</si>
  <si>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</si>
  <si>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</si>
  <si>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</si>
  <si>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</si>
  <si>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</si>
  <si>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</si>
  <si>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</si>
  <si>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</si>
  <si>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</si>
  <si>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</si>
  <si>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</si>
  <si>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</si>
  <si>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</si>
  <si>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</si>
  <si>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</si>
  <si>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</si>
  <si>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</si>
  <si>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</si>
  <si>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</si>
  <si>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</si>
  <si>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</si>
  <si>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</si>
  <si>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</si>
  <si>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</si>
  <si>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</si>
  <si>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</si>
  <si>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</si>
  <si>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</si>
  <si>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</si>
  <si>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</si>
  <si>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</si>
  <si>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</si>
  <si>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</si>
  <si>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</si>
  <si>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</si>
  <si>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</si>
  <si>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</si>
  <si>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</si>
  <si>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</si>
  <si>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</si>
  <si>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</si>
  <si>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</si>
  <si>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</si>
  <si>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</si>
  <si>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</si>
  <si>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</si>
  <si>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</si>
  <si>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</si>
  <si>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</si>
  <si>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</si>
  <si>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</si>
  <si>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</si>
  <si>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</si>
  <si>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</si>
  <si>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</si>
  <si>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</si>
  <si>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</si>
  <si>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</si>
  <si>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</si>
  <si>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</si>
  <si>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</si>
  <si>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</si>
  <si>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</si>
  <si>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</si>
  <si>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</si>
  <si>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</si>
  <si>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</si>
  <si>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</si>
  <si>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</si>
  <si>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</si>
  <si>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</si>
  <si>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</si>
  <si>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</si>
  <si>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</si>
  <si>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</si>
  <si>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</si>
  <si>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</si>
  <si>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</si>
  <si>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</si>
  <si>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</si>
  <si>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</si>
  <si>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</si>
  <si>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</si>
  <si>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</si>
  <si>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</si>
  <si>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</si>
  <si>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</si>
  <si>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</si>
  <si>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</si>
  <si>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</si>
  <si>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</si>
  <si>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</si>
  <si>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</si>
  <si>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</si>
  <si>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</si>
  <si>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</si>
  <si>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</si>
  <si>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</si>
  <si>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</si>
  <si>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</si>
  <si>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</si>
  <si>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</si>
  <si>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</si>
  <si>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</si>
  <si>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</si>
  <si>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</si>
  <si>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</si>
  <si>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</si>
  <si>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</si>
  <si>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</si>
  <si>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</si>
  <si>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</si>
  <si>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</si>
  <si>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</si>
  <si>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</si>
  <si>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</si>
  <si>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</si>
  <si>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</si>
  <si>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</si>
  <si>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</si>
  <si>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</si>
  <si>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</si>
  <si>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</si>
  <si>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</si>
  <si>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</si>
  <si>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</si>
  <si>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</si>
  <si>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</si>
  <si>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</si>
  <si>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</si>
  <si>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</si>
  <si>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</si>
  <si>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</si>
  <si>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</si>
  <si>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</si>
  <si>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</si>
  <si>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</si>
  <si>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</si>
  <si>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</si>
  <si>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</si>
  <si>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</si>
  <si>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</si>
  <si>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</si>
  <si>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</si>
  <si>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</si>
  <si>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</si>
  <si>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</si>
  <si>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</si>
  <si>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</si>
  <si>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</si>
  <si>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</si>
  <si>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</si>
  <si>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</si>
  <si>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</si>
  <si>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</si>
  <si>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</si>
  <si>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</si>
  <si>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</si>
  <si>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</si>
  <si>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</si>
  <si>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</si>
  <si>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</si>
  <si>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</si>
  <si>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</si>
  <si>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</si>
  <si>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</si>
  <si>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</si>
  <si>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</si>
  <si>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</si>
  <si>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</si>
  <si>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</si>
  <si>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</si>
  <si>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</si>
  <si>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</si>
  <si>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</si>
  <si>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</si>
  <si>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</si>
  <si>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</si>
  <si>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</si>
  <si>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</si>
  <si>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</si>
  <si>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</si>
  <si>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</si>
  <si>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</si>
  <si>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</si>
  <si>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</si>
  <si>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</si>
  <si>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</si>
  <si>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</si>
  <si>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</si>
  <si>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</si>
  <si>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</si>
  <si>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</si>
  <si>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</si>
  <si>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</si>
  <si>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</si>
  <si>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</si>
  <si>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</si>
  <si>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</si>
  <si>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</si>
  <si>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</si>
  <si>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</si>
  <si>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</si>
  <si>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</si>
  <si>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</si>
  <si>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</si>
  <si>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</si>
  <si>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</si>
  <si>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</si>
  <si>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</si>
  <si>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</si>
  <si>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</si>
  <si>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</si>
  <si>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</si>
  <si>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</si>
  <si>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</si>
  <si>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</si>
  <si>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</si>
  <si>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</si>
  <si>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</si>
  <si>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</si>
  <si>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</si>
  <si>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</si>
  <si>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</si>
  <si>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</si>
  <si>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</si>
  <si>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</si>
  <si>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</si>
  <si>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</si>
  <si>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</si>
  <si>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</si>
  <si>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</si>
  <si>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</si>
  <si>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</si>
  <si>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</si>
  <si>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</si>
  <si>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</si>
  <si>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</si>
  <si>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</si>
  <si>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</si>
  <si>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</si>
  <si>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</si>
  <si>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</si>
  <si>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</si>
  <si>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</si>
  <si>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</si>
  <si>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</si>
  <si>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</si>
  <si>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</si>
  <si>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</si>
  <si>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</si>
  <si>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</si>
  <si>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</si>
  <si>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</si>
  <si>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</si>
  <si>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</si>
  <si>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</si>
  <si>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</si>
  <si>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</si>
  <si>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</si>
  <si>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</si>
  <si>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</si>
  <si>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</si>
  <si>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</si>
  <si>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</si>
  <si>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</si>
  <si>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</si>
  <si>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</si>
  <si>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</si>
  <si>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</si>
  <si>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</si>
  <si>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</si>
  <si>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</si>
  <si>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</si>
  <si>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</si>
  <si>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</si>
  <si>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</si>
  <si>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</si>
  <si>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</si>
  <si>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</si>
  <si>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</si>
  <si>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</si>
  <si>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</si>
  <si>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</si>
  <si>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</si>
  <si>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</si>
  <si>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</si>
  <si>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</si>
  <si>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</si>
  <si>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</si>
  <si>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</si>
  <si>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</si>
  <si>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</si>
  <si>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</si>
  <si>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</si>
  <si>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</si>
  <si>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</si>
  <si>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</si>
  <si>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</si>
  <si>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</si>
  <si>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</si>
  <si>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</si>
  <si>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</si>
  <si>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</si>
  <si>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</si>
  <si>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</si>
  <si>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</si>
  <si>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</si>
  <si>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</si>
  <si>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</si>
  <si>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</si>
  <si>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</si>
  <si>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</si>
  <si>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</si>
  <si>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</si>
  <si>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</si>
  <si>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</si>
  <si>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</si>
  <si>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</si>
  <si>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</si>
  <si>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</si>
  <si>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</si>
  <si>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</si>
  <si>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</si>
  <si>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</si>
  <si>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</si>
  <si>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</si>
  <si>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</si>
  <si>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</si>
  <si>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</si>
  <si>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</si>
  <si>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</si>
  <si>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</si>
  <si>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</si>
  <si>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</si>
  <si>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</si>
  <si>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</si>
  <si>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</si>
  <si>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</si>
  <si>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</si>
  <si>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</si>
  <si>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</si>
  <si>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</si>
  <si>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</si>
  <si>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</si>
  <si>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</si>
  <si>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</si>
  <si>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</si>
  <si>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</si>
  <si>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</si>
  <si>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</si>
  <si>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</si>
  <si>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</si>
  <si>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</si>
  <si>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</si>
  <si>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</si>
  <si>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</si>
  <si>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</si>
  <si>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</si>
  <si>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</si>
  <si>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</si>
  <si>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</si>
  <si>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</si>
  <si>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</si>
  <si>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</si>
  <si>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</si>
  <si>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</si>
  <si>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</si>
  <si>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</si>
  <si>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</si>
  <si>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</si>
  <si>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</si>
  <si>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</si>
  <si>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</si>
  <si>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</si>
  <si>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</si>
  <si>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</si>
  <si>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</si>
  <si>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</si>
  <si>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</si>
  <si>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</si>
  <si>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</si>
  <si>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</si>
  <si>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</si>
  <si>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</si>
  <si>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</si>
  <si>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</si>
  <si>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</si>
  <si>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</si>
  <si>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</si>
  <si>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</si>
  <si>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</si>
  <si>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</si>
  <si>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</si>
  <si>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</si>
  <si>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</si>
  <si>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</si>
  <si>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</si>
  <si>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</si>
  <si>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</si>
  <si>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</si>
  <si>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</si>
  <si>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</si>
  <si>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</si>
  <si>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</si>
  <si>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</si>
  <si>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</si>
  <si>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</si>
  <si>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</si>
  <si>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</si>
  <si>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</si>
  <si>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</si>
  <si>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</si>
  <si>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</si>
  <si>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</si>
  <si>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</si>
  <si>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</si>
  <si>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</si>
  <si>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</si>
  <si>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</si>
  <si>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</si>
  <si>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</si>
  <si>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</si>
  <si>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</si>
  <si>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</si>
  <si>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</si>
  <si>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</si>
  <si>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</si>
  <si>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</si>
  <si>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</si>
  <si>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</si>
  <si>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</si>
  <si>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</si>
  <si>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</si>
  <si>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</si>
  <si>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</si>
  <si>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</si>
  <si>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</si>
  <si>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</si>
  <si>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</si>
  <si>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</si>
  <si>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</si>
  <si>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</si>
  <si>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</si>
  <si>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</si>
  <si>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</si>
  <si>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</si>
  <si>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</si>
  <si>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</si>
  <si>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</si>
  <si>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</si>
  <si>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</si>
  <si>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</si>
  <si>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</si>
  <si>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</si>
  <si>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</si>
  <si>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</si>
  <si>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</si>
  <si>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</si>
  <si>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</si>
  <si>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</si>
  <si>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</si>
  <si>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</si>
  <si>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</si>
  <si>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</si>
  <si>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</si>
  <si>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</si>
  <si>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</si>
  <si>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</si>
  <si>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</si>
  <si>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</si>
  <si>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</si>
  <si>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</si>
  <si>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</si>
  <si>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</si>
  <si>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</si>
  <si>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</si>
  <si>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</si>
  <si>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</si>
  <si>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</si>
  <si>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</si>
  <si>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</si>
  <si>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</si>
  <si>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</si>
  <si>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</si>
  <si>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</si>
  <si>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</si>
  <si>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</si>
  <si>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</si>
  <si>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</si>
  <si>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</si>
  <si>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</si>
  <si>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</si>
  <si>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</si>
  <si>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</si>
  <si>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</si>
  <si>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</si>
  <si>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</si>
  <si>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</si>
  <si>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</si>
  <si>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</si>
  <si>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</si>
  <si>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</si>
  <si>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</si>
  <si>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</si>
  <si>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</si>
  <si>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</si>
  <si>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</si>
  <si>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</si>
  <si>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</si>
  <si>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</si>
  <si>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</si>
  <si>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</si>
  <si>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</si>
  <si>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</si>
  <si>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</si>
  <si>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</si>
  <si>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</si>
  <si>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</si>
  <si>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</si>
  <si>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</si>
  <si>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</si>
  <si>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</si>
  <si>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</si>
  <si>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</si>
  <si>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</si>
  <si>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</si>
  <si>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</si>
  <si>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</si>
  <si>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</si>
  <si>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</si>
  <si>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</si>
  <si>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</si>
  <si>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</si>
  <si>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</si>
  <si>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</si>
  <si>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</si>
  <si>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</si>
  <si>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</si>
  <si>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</si>
  <si>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</si>
  <si>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</si>
  <si>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</si>
  <si>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</si>
  <si>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</si>
  <si>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</si>
  <si>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</si>
  <si>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</si>
  <si>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</si>
  <si>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</si>
  <si>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</si>
  <si>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</si>
  <si>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</si>
  <si>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</si>
  <si>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</si>
  <si>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</si>
  <si>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</si>
  <si>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</si>
  <si>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</si>
  <si>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</si>
  <si>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</si>
  <si>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</si>
  <si>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</si>
  <si>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</si>
  <si>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</si>
  <si>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</si>
  <si>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</si>
  <si>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</si>
  <si>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</si>
  <si>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</si>
  <si>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</si>
  <si>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</si>
  <si>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</si>
  <si>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</si>
  <si>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</si>
  <si>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</si>
  <si>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</si>
  <si>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</si>
  <si>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</si>
  <si>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</si>
  <si>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</si>
  <si>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</si>
  <si>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</si>
  <si>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</si>
  <si>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</si>
  <si>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</si>
  <si>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</si>
  <si>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</si>
  <si>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</si>
  <si>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</si>
  <si>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</si>
  <si>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</si>
  <si>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</si>
  <si>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</si>
  <si>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</si>
  <si>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</si>
  <si>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</si>
  <si>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</si>
  <si>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</si>
  <si>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</si>
  <si>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</si>
  <si>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</si>
  <si>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</si>
  <si>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</si>
  <si>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</si>
  <si>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</si>
  <si>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</si>
  <si>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</si>
  <si>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</si>
  <si>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</si>
  <si>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</si>
  <si>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</si>
  <si>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</si>
  <si>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</si>
  <si>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</si>
  <si>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</si>
  <si>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</si>
  <si>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</si>
  <si>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</si>
  <si>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</si>
  <si>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</si>
  <si>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</si>
  <si>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</si>
  <si>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</si>
  <si>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</si>
  <si>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</si>
  <si>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</si>
  <si>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</si>
  <si>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</si>
  <si>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</si>
  <si>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</si>
  <si>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</si>
  <si>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</si>
  <si>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</si>
  <si>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</si>
  <si>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</si>
  <si>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</si>
  <si>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</si>
  <si>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</si>
  <si>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</si>
  <si>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</si>
  <si>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</si>
  <si>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</si>
  <si>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</si>
  <si>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</si>
  <si>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</si>
  <si>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</si>
  <si>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</si>
  <si>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</si>
  <si>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</si>
  <si>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</si>
  <si>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</si>
  <si>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</si>
  <si>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</si>
  <si>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</si>
  <si>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</si>
  <si>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</si>
  <si>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</si>
  <si>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</si>
  <si>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</si>
  <si>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</si>
  <si>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</si>
  <si>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</si>
  <si>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</si>
  <si>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</si>
  <si>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</si>
  <si>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</si>
  <si>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</si>
  <si>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</si>
  <si>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</si>
  <si>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</si>
  <si>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</si>
  <si>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</si>
  <si>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</si>
  <si>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</si>
  <si>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</si>
  <si>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</si>
  <si>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</si>
  <si>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</si>
  <si>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</si>
  <si>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</si>
  <si>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</si>
  <si>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</si>
  <si>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</si>
  <si>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</si>
  <si>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</si>
  <si>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</si>
  <si>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</si>
  <si>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</si>
  <si>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</si>
  <si>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</si>
  <si>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</si>
  <si>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</si>
  <si>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</si>
  <si>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</si>
  <si>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</si>
  <si>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</si>
  <si>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</si>
  <si>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</si>
  <si>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</si>
  <si>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</si>
  <si>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</si>
  <si>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</si>
  <si>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</si>
  <si>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</si>
  <si>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</si>
  <si>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</si>
  <si>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</si>
  <si>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</si>
  <si>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</si>
  <si>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</si>
  <si>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</si>
  <si>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</si>
  <si>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</si>
  <si>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</si>
  <si>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</si>
  <si>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</si>
  <si>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</si>
  <si>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</si>
  <si>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</si>
  <si>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</si>
  <si>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</si>
  <si>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</si>
  <si>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</si>
  <si>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</si>
  <si>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</si>
  <si>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</si>
  <si>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</si>
  <si>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</si>
  <si>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</si>
  <si>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</si>
  <si>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</si>
  <si>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</si>
  <si>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</si>
  <si>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</si>
  <si>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</si>
  <si>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</si>
  <si>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</si>
  <si>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</si>
  <si>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</si>
  <si>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</si>
  <si>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</si>
  <si>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</si>
  <si>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</si>
  <si>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</si>
  <si>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</si>
  <si>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</si>
  <si>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</si>
  <si>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</si>
  <si>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</si>
  <si>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</si>
  <si>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</si>
  <si>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</si>
  <si>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</si>
  <si>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</si>
  <si>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</si>
  <si>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</si>
  <si>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</si>
  <si>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</si>
  <si>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</si>
  <si>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</si>
  <si>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</si>
  <si>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</si>
  <si>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</si>
  <si>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</si>
  <si>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</si>
  <si>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</si>
  <si>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</si>
  <si>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</si>
  <si>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</si>
  <si>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</si>
  <si>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</si>
  <si>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</si>
  <si>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</si>
  <si>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</si>
  <si>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</si>
  <si>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</si>
  <si>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</si>
  <si>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</si>
  <si>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</si>
  <si>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</si>
  <si>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</si>
  <si>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</si>
  <si>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</si>
  <si>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</si>
  <si>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</si>
  <si>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</si>
  <si>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</si>
  <si>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</si>
  <si>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</si>
  <si>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</si>
  <si>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</si>
  <si>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</si>
  <si>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</si>
  <si>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</si>
  <si>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</si>
  <si>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</si>
  <si>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</si>
  <si>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</si>
  <si>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</si>
  <si>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</si>
  <si>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</si>
  <si>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</si>
  <si>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</si>
  <si>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</si>
  <si>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</si>
  <si>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</si>
  <si>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</si>
  <si>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</si>
  <si>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</si>
  <si>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</si>
  <si>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</si>
  <si>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</si>
  <si>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</si>
  <si>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</si>
  <si>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</si>
  <si>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</si>
  <si>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</si>
  <si>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</si>
  <si>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</si>
  <si>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</si>
  <si>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</si>
  <si>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</si>
  <si>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</si>
  <si>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</si>
  <si>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</si>
  <si>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</si>
  <si>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</si>
  <si>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</si>
  <si>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</si>
  <si>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</si>
  <si>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</si>
  <si>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</si>
  <si>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</si>
  <si>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</si>
  <si>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</si>
  <si>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</si>
  <si>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</si>
  <si>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</si>
  <si>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</si>
  <si>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</si>
  <si>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</si>
  <si>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</si>
  <si>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</si>
  <si>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</si>
  <si>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</si>
  <si>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</si>
  <si>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</si>
  <si>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</si>
  <si>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</si>
  <si>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</si>
  <si>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</si>
  <si>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</si>
  <si>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</si>
  <si>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</si>
  <si>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</si>
  <si>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</si>
  <si>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</si>
  <si>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</si>
  <si>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</si>
  <si>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</si>
  <si>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</si>
  <si>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</si>
  <si>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</si>
  <si>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</si>
  <si>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</si>
  <si>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</si>
  <si>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</si>
  <si>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</si>
  <si>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</si>
  <si>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</si>
  <si>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</si>
  <si>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</si>
  <si>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</si>
  <si>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</si>
  <si>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</si>
  <si>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</si>
  <si>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</si>
  <si>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</si>
  <si>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</si>
  <si>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</si>
  <si>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</si>
  <si>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</si>
  <si>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</si>
  <si>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</si>
  <si>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</si>
  <si>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</si>
  <si>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</si>
  <si>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</si>
  <si>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</si>
  <si>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</si>
  <si>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</si>
  <si>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</si>
  <si>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</si>
  <si>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</si>
  <si>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</si>
  <si>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</si>
  <si>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</si>
  <si>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</si>
  <si>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</si>
  <si>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</si>
  <si>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</si>
  <si>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</si>
  <si>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</si>
  <si>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</si>
  <si>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</si>
  <si>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</si>
  <si>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</si>
  <si>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</si>
  <si>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</si>
  <si>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</si>
  <si>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</si>
  <si>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</si>
  <si>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</si>
  <si>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</si>
  <si>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</si>
  <si>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</si>
  <si>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</si>
  <si>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</si>
  <si>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</si>
  <si>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</si>
  <si>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</si>
  <si>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</si>
  <si>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</si>
  <si>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</si>
  <si>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</si>
  <si>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</si>
  <si>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</si>
  <si>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</si>
  <si>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</si>
  <si>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</si>
  <si>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</si>
  <si>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</si>
  <si>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</si>
  <si>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</si>
  <si>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</si>
  <si>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</si>
  <si>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</si>
  <si>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</si>
  <si>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</si>
  <si>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</si>
  <si>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</si>
  <si>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</si>
  <si>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</si>
  <si>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</si>
  <si>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</si>
  <si>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</si>
  <si>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</si>
  <si>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</si>
  <si>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</si>
  <si>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</si>
  <si>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</si>
  <si>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</si>
  <si>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</si>
  <si>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</si>
  <si>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</si>
  <si>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</si>
  <si>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</si>
  <si>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</si>
  <si>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</si>
  <si>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</si>
  <si>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</si>
  <si>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</si>
  <si>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</si>
  <si>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</si>
  <si>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</si>
  <si>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</si>
  <si>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</si>
  <si>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</si>
  <si>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</si>
  <si>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</si>
  <si>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</si>
  <si>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</si>
  <si>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</si>
  <si>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</si>
  <si>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</si>
  <si>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</si>
  <si>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</si>
  <si>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</si>
  <si>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</si>
  <si>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</si>
  <si>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</si>
  <si>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</si>
  <si>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</si>
  <si>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</si>
  <si>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</si>
  <si>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</si>
  <si>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</si>
  <si>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</si>
  <si>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</si>
  <si>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</si>
  <si>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</si>
  <si>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</si>
  <si>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</si>
  <si>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</si>
  <si>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</si>
  <si>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</si>
  <si>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</si>
  <si>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</si>
  <si>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</si>
  <si>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</si>
  <si>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</si>
  <si>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</si>
  <si>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</si>
  <si>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</si>
  <si>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</si>
  <si>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</si>
  <si>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</si>
  <si>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</si>
  <si>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</si>
  <si>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</si>
  <si>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</si>
  <si>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</si>
  <si>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</si>
  <si>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</si>
  <si>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</si>
  <si>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</si>
  <si>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</si>
  <si>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</si>
  <si>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</si>
  <si>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</si>
  <si>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</si>
  <si>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</si>
  <si>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</si>
  <si>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</si>
  <si>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</si>
  <si>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</si>
  <si>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</si>
  <si>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</si>
  <si>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</si>
  <si>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</si>
  <si>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</si>
  <si>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</si>
  <si>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</si>
  <si>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</si>
  <si>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</si>
  <si>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</si>
  <si>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</si>
  <si>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</si>
  <si>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</si>
  <si>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</si>
  <si>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</si>
  <si>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</si>
  <si>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</si>
  <si>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</si>
  <si>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</si>
  <si>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</si>
  <si>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</si>
  <si>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</si>
  <si>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</si>
  <si>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</si>
  <si>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</si>
  <si>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</si>
  <si>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</si>
  <si>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</si>
  <si>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</si>
  <si>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</si>
  <si>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</si>
  <si>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</si>
  <si>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</si>
  <si>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</si>
  <si>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</si>
  <si>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</si>
  <si>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</si>
  <si>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</si>
  <si>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</si>
  <si>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</si>
  <si>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</si>
  <si>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</si>
  <si>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</si>
  <si>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</si>
  <si>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</si>
  <si>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</si>
  <si>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</si>
  <si>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</si>
  <si>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</si>
  <si>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</si>
  <si>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</si>
  <si>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</si>
  <si>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</si>
  <si>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</si>
  <si>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</si>
  <si>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</si>
  <si>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</si>
  <si>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</si>
  <si>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</si>
  <si>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</si>
  <si>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</si>
  <si>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</si>
  <si>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</si>
  <si>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</si>
  <si>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</si>
  <si>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</si>
  <si>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</si>
  <si>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</si>
  <si>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</si>
  <si>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</si>
  <si>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</si>
  <si>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</si>
  <si>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</si>
  <si>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</si>
  <si>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</si>
  <si>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</si>
  <si>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</si>
  <si>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</si>
  <si>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</si>
  <si>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</si>
  <si>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</si>
  <si>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</si>
  <si>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</si>
  <si>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</si>
  <si>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</si>
  <si>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</si>
  <si>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</si>
  <si>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</si>
  <si>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</si>
  <si>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</si>
  <si>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</si>
  <si>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</si>
  <si>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</si>
  <si>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</si>
  <si>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</si>
  <si>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</si>
  <si>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</si>
  <si>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</si>
  <si>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</si>
  <si>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</si>
  <si>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</si>
  <si>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</si>
  <si>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</si>
  <si>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</si>
  <si>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</si>
  <si>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</si>
  <si>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</si>
  <si>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</si>
  <si>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</si>
  <si>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</si>
  <si>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</si>
  <si>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</si>
  <si>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</si>
  <si>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</si>
  <si>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</si>
  <si>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</si>
  <si>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</si>
  <si>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</si>
  <si>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</si>
  <si>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</si>
  <si>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</si>
  <si>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</si>
  <si>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</si>
  <si>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</si>
  <si>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</si>
  <si>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</si>
  <si>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</si>
  <si>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</si>
  <si>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</si>
  <si>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</si>
  <si>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</si>
  <si>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</si>
  <si>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</si>
  <si>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</si>
  <si>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</si>
  <si>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</si>
  <si>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</si>
  <si>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</si>
  <si>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</si>
  <si>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</si>
  <si>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</si>
  <si>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</si>
  <si>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</si>
  <si>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</si>
  <si>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</si>
  <si>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</si>
  <si>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</si>
  <si>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</si>
  <si>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</si>
  <si>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</si>
  <si>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</si>
  <si>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</si>
  <si>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</si>
  <si>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</si>
  <si>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</si>
  <si>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</si>
  <si>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</si>
  <si>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</si>
  <si>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</si>
  <si>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</si>
  <si>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</si>
  <si>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</si>
  <si>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</si>
  <si>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</si>
  <si>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</si>
  <si>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</si>
  <si>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</si>
  <si>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</si>
  <si>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</si>
  <si>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</si>
  <si>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</si>
  <si>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</si>
  <si>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</si>
  <si>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</si>
  <si>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</si>
  <si>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</si>
  <si>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</si>
  <si>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</si>
  <si>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</si>
  <si>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</si>
  <si>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</si>
  <si>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</si>
  <si>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</si>
  <si>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</si>
  <si>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</si>
  <si>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</si>
  <si>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</si>
  <si>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</si>
  <si>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</si>
  <si>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</si>
  <si>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</si>
  <si>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</si>
  <si>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</si>
  <si>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</si>
  <si>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</si>
  <si>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</si>
  <si>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</si>
  <si>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</si>
  <si>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</si>
  <si>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</si>
  <si>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</si>
  <si>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</si>
  <si>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</si>
  <si>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</si>
  <si>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</si>
  <si>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</si>
  <si>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</si>
  <si>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</si>
  <si>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</si>
  <si>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</si>
  <si>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</si>
  <si>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</si>
  <si>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</si>
  <si>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</si>
  <si>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</si>
  <si>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</si>
  <si>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</si>
  <si>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</si>
  <si>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</si>
  <si>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</si>
  <si>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</si>
  <si>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</si>
  <si>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</si>
  <si>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</si>
  <si>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</si>
  <si>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</si>
  <si>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</si>
  <si>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</si>
  <si>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</si>
  <si>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</si>
  <si>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</si>
  <si>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</si>
  <si>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</si>
  <si>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</si>
  <si>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</si>
  <si>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</si>
  <si>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</si>
  <si>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</si>
  <si>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</si>
  <si>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</si>
  <si>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</si>
  <si>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</si>
  <si>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</si>
  <si>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</si>
  <si>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</si>
  <si>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</si>
  <si>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</si>
  <si>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</si>
  <si>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</si>
  <si>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</si>
  <si>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</si>
  <si>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</si>
  <si>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</si>
  <si>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</si>
  <si>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</si>
  <si>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</si>
  <si>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</si>
  <si>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</si>
  <si>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</si>
  <si>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</si>
  <si>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</si>
  <si>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</si>
  <si>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</si>
  <si>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</si>
  <si>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</si>
  <si>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</si>
  <si>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</si>
  <si>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</si>
  <si>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</si>
  <si>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</si>
  <si>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</si>
  <si>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</si>
  <si>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</si>
  <si>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</si>
  <si>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</si>
  <si>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</si>
  <si>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</si>
  <si>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</si>
  <si>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</si>
  <si>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</si>
  <si>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</si>
  <si>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</si>
  <si>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</si>
  <si>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</si>
  <si>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</si>
  <si>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</si>
  <si>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</si>
  <si>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</si>
  <si>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</si>
  <si>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</si>
  <si>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</si>
  <si>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</si>
  <si>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</si>
  <si>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</si>
  <si>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</si>
  <si>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</si>
  <si>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</si>
  <si>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</si>
  <si>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</si>
  <si>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</si>
  <si>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</si>
  <si>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</si>
  <si>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</si>
  <si>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</si>
  <si>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</si>
  <si>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</si>
  <si>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</si>
  <si>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</si>
  <si>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</si>
  <si>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</si>
  <si>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</si>
  <si>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</si>
  <si>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</si>
  <si>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</si>
  <si>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</si>
  <si>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</si>
  <si>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</si>
  <si>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</si>
  <si>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</si>
  <si>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</si>
  <si>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</si>
  <si>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</si>
  <si>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</si>
  <si>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</si>
  <si>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</si>
  <si>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</si>
  <si>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</si>
  <si>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</si>
  <si>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</si>
  <si>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</si>
  <si>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</si>
  <si>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</si>
  <si>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</si>
  <si>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</si>
  <si>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</si>
  <si>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</si>
  <si>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</si>
  <si>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</si>
  <si>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</si>
  <si>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</si>
  <si>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</si>
  <si>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</si>
  <si>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</si>
  <si>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</si>
  <si>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</si>
  <si>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</si>
  <si>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</si>
  <si>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</si>
  <si>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</si>
  <si>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</si>
  <si>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</si>
  <si>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</si>
  <si>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</si>
  <si>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</si>
  <si>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</si>
  <si>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</si>
  <si>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</si>
  <si>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</si>
  <si>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</si>
  <si>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</si>
  <si>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</si>
  <si>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</si>
  <si>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</si>
  <si>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</si>
  <si>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</si>
  <si>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</si>
  <si>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</si>
  <si>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</si>
  <si>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</si>
  <si>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</si>
  <si>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</si>
  <si>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</si>
  <si>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</si>
  <si>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</si>
  <si>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</si>
  <si>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</si>
  <si>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</si>
  <si>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</si>
  <si>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</si>
  <si>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</si>
  <si>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</si>
  <si>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</si>
  <si>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</si>
  <si>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</si>
  <si>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</si>
  <si>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</si>
  <si>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</si>
  <si>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</si>
  <si>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</si>
  <si>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</si>
  <si>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</si>
  <si>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</si>
  <si>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</si>
  <si>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</si>
  <si>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</si>
  <si>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</si>
  <si>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</si>
  <si>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</si>
  <si>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</si>
  <si>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</si>
  <si>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</si>
  <si>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</si>
  <si>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</si>
  <si>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</si>
  <si>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</si>
  <si>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</si>
  <si>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</si>
  <si>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</si>
  <si>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</si>
  <si>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</si>
  <si>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</si>
  <si>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</si>
  <si>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</si>
  <si>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</si>
  <si>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</si>
  <si>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</si>
  <si>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</si>
  <si>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</si>
  <si>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</si>
  <si>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</si>
  <si>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</si>
  <si>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</si>
  <si>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</si>
  <si>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</si>
  <si>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</si>
  <si>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</si>
  <si>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</si>
  <si>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</si>
  <si>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</si>
  <si>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</si>
  <si>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</si>
  <si>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</si>
  <si>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</si>
  <si>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</si>
  <si>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</si>
  <si>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</si>
  <si>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</si>
  <si>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</si>
  <si>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</si>
  <si>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</si>
  <si>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</si>
  <si>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</si>
  <si>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</si>
  <si>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</si>
  <si>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</si>
  <si>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</si>
  <si>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</si>
  <si>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</si>
  <si>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</si>
  <si>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</si>
  <si>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</si>
  <si>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</si>
  <si>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</si>
  <si>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</si>
  <si>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</si>
  <si>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</si>
  <si>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</si>
  <si>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</si>
  <si>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</si>
  <si>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</si>
  <si>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</si>
  <si>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</si>
  <si>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</si>
  <si>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</si>
  <si>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</si>
  <si>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</si>
  <si>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</si>
  <si>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</si>
  <si>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</si>
  <si>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</si>
  <si>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</si>
  <si>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</si>
  <si>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</si>
  <si>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</si>
  <si>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</si>
  <si>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</si>
  <si>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</si>
  <si>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</si>
  <si>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</si>
  <si>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</si>
  <si>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</si>
  <si>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</si>
  <si>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</si>
  <si>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</si>
  <si>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</si>
  <si>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</si>
  <si>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</si>
  <si>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</si>
  <si>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</si>
  <si>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</si>
  <si>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</si>
  <si>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</si>
  <si>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</si>
  <si>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</si>
  <si>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</si>
  <si>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</si>
  <si>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</si>
  <si>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</si>
  <si>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</si>
  <si>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</si>
  <si>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</si>
  <si>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</si>
  <si>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</si>
  <si>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</si>
  <si>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</si>
  <si>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</si>
  <si>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</si>
  <si>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</si>
  <si>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</si>
  <si>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</si>
  <si>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</si>
  <si>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</si>
  <si>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</si>
  <si>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</si>
  <si>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</si>
  <si>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</si>
  <si>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</si>
  <si>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</si>
  <si>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</si>
  <si>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</si>
  <si>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</si>
  <si>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</si>
  <si>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</si>
  <si>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</si>
  <si>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</si>
  <si>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</si>
  <si>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</si>
  <si>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</si>
  <si>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</si>
  <si>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</si>
  <si>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</si>
  <si>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</si>
  <si>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</si>
  <si>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</si>
  <si>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</si>
  <si>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</si>
  <si>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</si>
  <si>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</si>
  <si>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</si>
  <si>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</si>
  <si>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</si>
  <si>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</si>
  <si>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</si>
  <si>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</si>
  <si>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</si>
  <si>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</si>
  <si>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</si>
  <si>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</si>
  <si>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</si>
  <si>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</si>
  <si>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</si>
  <si>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</si>
  <si>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</si>
  <si>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</si>
  <si>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</si>
  <si>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</si>
  <si>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</si>
  <si>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</si>
  <si>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</si>
  <si>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</si>
  <si>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</si>
  <si>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</si>
  <si>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</si>
  <si>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</si>
  <si>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</si>
  <si>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</si>
  <si>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</si>
  <si>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</si>
  <si>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</si>
  <si>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</si>
  <si>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</si>
  <si>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</si>
  <si>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</si>
  <si>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</si>
  <si>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</si>
  <si>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</si>
  <si>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</si>
  <si>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</si>
  <si>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</si>
  <si>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</si>
  <si>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</si>
  <si>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</si>
  <si>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</si>
  <si>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</si>
  <si>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</si>
  <si>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</si>
  <si>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</si>
  <si>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</si>
  <si>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</si>
  <si>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</si>
  <si>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</si>
  <si>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</si>
  <si>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</si>
  <si>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</si>
  <si>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</si>
  <si>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</si>
  <si>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</si>
  <si>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</si>
  <si>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</si>
  <si>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</si>
  <si>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</si>
  <si>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</si>
  <si>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</si>
  <si>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</si>
  <si>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</si>
  <si>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</si>
  <si>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</si>
  <si>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</si>
  <si>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</si>
  <si>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</si>
  <si>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</si>
  <si>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</si>
  <si>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</si>
  <si>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</si>
  <si>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</si>
  <si>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</si>
  <si>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</si>
  <si>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</si>
  <si>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</si>
  <si>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</si>
  <si>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</si>
  <si>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</si>
  <si>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</si>
  <si>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</si>
  <si>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</si>
  <si>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</si>
  <si>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</si>
  <si>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</si>
  <si>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</si>
  <si>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</si>
  <si>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</si>
  <si>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</si>
  <si>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</si>
  <si>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</si>
  <si>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</si>
  <si>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</si>
  <si>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</si>
  <si>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</si>
  <si>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</si>
  <si>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</si>
  <si>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</si>
  <si>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</si>
  <si>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</si>
  <si>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</si>
  <si>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</si>
  <si>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</si>
  <si>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</si>
  <si>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</si>
  <si>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</si>
  <si>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</si>
  <si>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</si>
  <si>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</si>
  <si>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</si>
  <si>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</si>
  <si>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</si>
  <si>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</si>
  <si>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</si>
  <si>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</si>
  <si>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</si>
  <si>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</si>
  <si>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</si>
  <si>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</si>
  <si>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</si>
  <si>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</si>
  <si>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</si>
  <si>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</si>
  <si>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</si>
  <si>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</si>
  <si>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</si>
  <si>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</si>
  <si>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</si>
  <si>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</si>
  <si>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</si>
  <si>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</si>
  <si>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</si>
  <si>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</si>
  <si>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</si>
  <si>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</si>
  <si>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</si>
  <si>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</si>
  <si>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</si>
  <si>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</si>
  <si>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</si>
  <si>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</si>
  <si>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</si>
  <si>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</si>
  <si>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</si>
  <si>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</si>
  <si>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</si>
  <si>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</si>
  <si>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</si>
  <si>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</si>
  <si>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</si>
  <si>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</si>
  <si>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</si>
  <si>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</si>
  <si>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</si>
  <si>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</si>
  <si>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</si>
  <si>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</si>
  <si>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</si>
  <si>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</si>
  <si>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</si>
  <si>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</si>
  <si>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</si>
  <si>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</si>
  <si>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</si>
  <si>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</si>
  <si>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</si>
  <si>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</si>
  <si>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</si>
  <si>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</si>
  <si>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</si>
  <si>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</si>
  <si>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</si>
  <si>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</si>
  <si>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</si>
  <si>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</si>
  <si>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</si>
  <si>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</si>
  <si>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</si>
  <si>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</si>
  <si>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</si>
  <si>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</si>
  <si>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</si>
  <si>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</si>
  <si>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</si>
  <si>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</si>
  <si>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</si>
  <si>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</si>
  <si>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</si>
  <si>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</si>
  <si>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</si>
  <si>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</si>
  <si>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</si>
  <si>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</si>
  <si>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</si>
  <si>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</si>
  <si>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</si>
  <si>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</si>
  <si>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</si>
  <si>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</si>
  <si>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</si>
  <si>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</si>
  <si>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</si>
  <si>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</si>
  <si>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</si>
  <si>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</si>
  <si>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</si>
  <si>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</si>
  <si>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</si>
  <si>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</si>
  <si>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</si>
  <si>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</si>
  <si>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</si>
  <si>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</si>
  <si>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</si>
  <si>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</si>
  <si>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</si>
  <si>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</si>
  <si>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</si>
  <si>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</si>
  <si>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</si>
  <si>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</si>
  <si>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</si>
  <si>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</si>
  <si>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</si>
  <si>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</si>
  <si>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</si>
  <si>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</si>
  <si>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</si>
  <si>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</si>
  <si>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</si>
  <si>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</si>
  <si>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</si>
  <si>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</si>
  <si>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</si>
  <si>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</si>
  <si>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</si>
  <si>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</si>
  <si>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</si>
  <si>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</si>
  <si>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</si>
  <si>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</si>
  <si>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</si>
  <si>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</si>
  <si>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</si>
  <si>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</si>
  <si>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</si>
  <si>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</si>
  <si>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</si>
  <si>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</si>
  <si>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</si>
  <si>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</si>
  <si>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</si>
  <si>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</si>
  <si>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</si>
  <si>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</si>
  <si>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</si>
  <si>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</si>
  <si>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</si>
  <si>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</si>
  <si>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</si>
  <si>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</si>
  <si>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</si>
  <si>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</si>
  <si>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</si>
  <si>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</si>
  <si>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</si>
  <si>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</si>
  <si>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</si>
  <si>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</si>
  <si>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</si>
  <si>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</si>
  <si>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</si>
  <si>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</si>
  <si>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</si>
  <si>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</si>
  <si>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</si>
  <si>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</si>
  <si>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</si>
  <si>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</si>
  <si>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</si>
  <si>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</si>
  <si>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</si>
  <si>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</si>
  <si>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</si>
  <si>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</si>
  <si>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</si>
  <si>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</si>
  <si>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</si>
  <si>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</si>
  <si>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</si>
  <si>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</si>
  <si>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</si>
  <si>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</si>
  <si>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</si>
  <si>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</si>
  <si>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</si>
  <si>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</si>
  <si>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</si>
  <si>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</si>
  <si>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</si>
  <si>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</si>
  <si>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</si>
  <si>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</si>
  <si>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</si>
  <si>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</si>
  <si>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</si>
  <si>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</si>
  <si>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</si>
  <si>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</si>
  <si>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</si>
  <si>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</si>
  <si>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</si>
  <si>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</si>
  <si>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</si>
  <si>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</si>
  <si>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</si>
  <si>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</si>
  <si>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</si>
  <si>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</si>
  <si>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</si>
  <si>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</si>
  <si>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</si>
  <si>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</si>
  <si>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</si>
  <si>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</si>
  <si>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</si>
  <si>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</si>
  <si>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</si>
  <si>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</si>
  <si>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</si>
  <si>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</si>
  <si>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</si>
  <si>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</si>
  <si>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</si>
  <si>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</si>
  <si>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</si>
  <si>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</si>
  <si>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</si>
  <si>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</si>
  <si>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</si>
  <si>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</si>
  <si>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</si>
  <si>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</si>
  <si>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</si>
  <si>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</si>
  <si>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</si>
  <si>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</si>
  <si>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</si>
  <si>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</si>
  <si>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</si>
  <si>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</si>
  <si>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</si>
  <si>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</si>
  <si>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</si>
  <si>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</si>
  <si>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</si>
  <si>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</si>
  <si>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</si>
  <si>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</si>
  <si>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</si>
  <si>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</si>
  <si>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</si>
  <si>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</si>
  <si>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</si>
  <si>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</si>
  <si>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</si>
  <si>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</si>
  <si>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</si>
  <si>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</si>
  <si>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</si>
  <si>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</si>
  <si>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</si>
  <si>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</si>
  <si>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</si>
  <si>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</si>
  <si>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</si>
  <si>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</si>
  <si>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</si>
  <si>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</si>
  <si>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</si>
  <si>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</si>
  <si>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</si>
  <si>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</si>
  <si>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</si>
  <si>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</si>
  <si>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</si>
  <si>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</si>
  <si>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</si>
  <si>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</si>
  <si>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</si>
  <si>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</si>
  <si>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</si>
  <si>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</si>
  <si>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</si>
  <si>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</si>
  <si>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</si>
  <si>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</si>
  <si>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</si>
  <si>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</si>
  <si>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</si>
  <si>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</si>
  <si>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</si>
  <si>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</si>
  <si>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</si>
  <si>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</si>
  <si>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</si>
  <si>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</si>
  <si>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</si>
  <si>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</si>
  <si>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</si>
  <si>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</si>
  <si>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</si>
  <si>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</si>
  <si>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</si>
  <si>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</si>
  <si>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</si>
  <si>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</si>
  <si>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</si>
  <si>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</si>
  <si>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</si>
  <si>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</si>
  <si>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</si>
  <si>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</si>
  <si>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</si>
  <si>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</si>
  <si>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</si>
  <si>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</si>
  <si>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</si>
  <si>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</si>
  <si>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</si>
  <si>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</si>
  <si>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</si>
  <si>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</si>
  <si>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</si>
  <si>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</si>
  <si>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</si>
  <si>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</si>
  <si>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</si>
  <si>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</si>
  <si>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</si>
  <si>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</si>
  <si>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</si>
  <si>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</si>
  <si>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</si>
  <si>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</si>
  <si>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</si>
  <si>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</si>
  <si>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</si>
  <si>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</si>
  <si>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</si>
  <si>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</si>
  <si>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</si>
  <si>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</si>
  <si>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</si>
  <si>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</si>
  <si>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</si>
  <si>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</si>
  <si>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</si>
  <si>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</si>
  <si>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</si>
  <si>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</si>
  <si>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</si>
  <si>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</si>
  <si>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</si>
  <si>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</si>
  <si>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</si>
  <si>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</si>
  <si>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</si>
  <si>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</si>
  <si>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</si>
  <si>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</si>
  <si>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</si>
  <si>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</si>
  <si>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</si>
  <si>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</si>
  <si>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</si>
  <si>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</si>
  <si>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</si>
  <si>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</si>
  <si>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</si>
  <si>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</si>
  <si>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</si>
  <si>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</si>
  <si>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</si>
  <si>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</si>
  <si>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</si>
  <si>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</si>
  <si>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</si>
  <si>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</si>
  <si>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</si>
  <si>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</si>
  <si>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</si>
  <si>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</si>
  <si>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</si>
  <si>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</si>
  <si>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</si>
  <si>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</si>
  <si>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</si>
  <si>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</si>
  <si>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</si>
  <si>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</si>
  <si>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</si>
  <si>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</si>
  <si>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</si>
  <si>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</si>
  <si>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</si>
  <si>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</si>
  <si>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</si>
  <si>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</si>
  <si>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</si>
  <si>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</si>
  <si>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</si>
  <si>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</si>
  <si>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</si>
  <si>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</si>
  <si>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</si>
  <si>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</si>
  <si>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</si>
  <si>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</si>
  <si>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</si>
  <si>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</si>
  <si>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</si>
  <si>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</si>
  <si>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</si>
  <si>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</si>
  <si>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</si>
  <si>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</si>
  <si>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</si>
  <si>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</si>
  <si>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</si>
  <si>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</si>
  <si>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</si>
  <si>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</si>
  <si>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</si>
  <si>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</si>
  <si>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</si>
  <si>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</si>
  <si>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</si>
  <si>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</si>
  <si>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</si>
  <si>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</si>
  <si>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</si>
  <si>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</si>
  <si>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</si>
  <si>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</si>
  <si>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</si>
  <si>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</si>
  <si>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</si>
  <si>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</si>
  <si>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</si>
  <si>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</si>
  <si>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</si>
  <si>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</si>
  <si>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</si>
  <si>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</si>
  <si>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</si>
  <si>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</si>
  <si>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</si>
  <si>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</si>
  <si>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</si>
  <si>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</si>
  <si>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</si>
  <si>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</si>
  <si>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</si>
  <si>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</si>
  <si>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</si>
  <si>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</si>
  <si>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</si>
  <si>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</si>
  <si>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</si>
  <si>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</si>
  <si>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</si>
  <si>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</si>
  <si>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</si>
  <si>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</si>
  <si>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</si>
  <si>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</si>
  <si>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</si>
  <si>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</si>
  <si>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</si>
  <si>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</si>
  <si>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</si>
  <si>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</si>
  <si>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</si>
  <si>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</si>
  <si>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</si>
  <si>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</si>
  <si>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</si>
  <si>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</si>
  <si>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</si>
  <si>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</si>
  <si>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</si>
  <si>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</si>
  <si>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</si>
  <si>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</si>
  <si>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</si>
  <si>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</si>
  <si>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</si>
  <si>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</si>
  <si>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</si>
  <si>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</si>
  <si>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</si>
  <si>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</si>
  <si>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</si>
  <si>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</si>
  <si>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</si>
  <si>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</si>
  <si>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</si>
  <si>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</si>
  <si>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</si>
  <si>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</si>
  <si>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</si>
  <si>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</si>
  <si>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</si>
  <si>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</si>
  <si>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</si>
  <si>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</si>
  <si>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</si>
  <si>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</si>
  <si>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</si>
  <si>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</si>
  <si>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</si>
  <si>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</si>
  <si>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</si>
  <si>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</si>
  <si>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</si>
  <si>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</si>
  <si>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</si>
  <si>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</si>
  <si>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</si>
  <si>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</si>
  <si>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</si>
  <si>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</si>
  <si>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</si>
  <si>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</si>
  <si>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</si>
  <si>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</si>
  <si>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</si>
  <si>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</si>
  <si>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</si>
  <si>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</si>
  <si>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</si>
  <si>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</si>
  <si>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</si>
  <si>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</si>
  <si>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</si>
  <si>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</si>
  <si>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</si>
  <si>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</si>
  <si>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</si>
  <si>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</si>
  <si>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</si>
  <si>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</si>
  <si>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</si>
  <si>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</si>
  <si>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</si>
  <si>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</si>
  <si>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</si>
  <si>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</si>
  <si>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</si>
  <si>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</si>
  <si>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</si>
  <si>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</si>
  <si>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</si>
  <si>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</si>
  <si>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</si>
  <si>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</si>
  <si>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</si>
  <si>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</si>
  <si>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</si>
  <si>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</si>
  <si>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</si>
  <si>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</si>
  <si>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</si>
  <si>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</si>
  <si>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</si>
  <si>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</si>
  <si>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</si>
  <si>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</si>
  <si>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</si>
  <si>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</si>
  <si>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</si>
  <si>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</si>
  <si>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</si>
  <si>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</si>
  <si>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</si>
  <si>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</si>
  <si>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</si>
  <si>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</si>
  <si>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</si>
  <si>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</si>
  <si>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</si>
  <si>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</si>
  <si>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</si>
  <si>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</si>
  <si>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</si>
  <si>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</si>
  <si>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</si>
  <si>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</si>
  <si>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</si>
  <si>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</si>
  <si>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</si>
  <si>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</si>
  <si>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</si>
  <si>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</si>
  <si>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</si>
  <si>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</si>
  <si>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</si>
  <si>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</si>
  <si>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</si>
  <si>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</si>
  <si>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</si>
  <si>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</si>
  <si>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</si>
  <si>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</si>
  <si>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</si>
  <si>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</si>
  <si>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</si>
  <si>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</si>
  <si>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</si>
  <si>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</si>
  <si>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</si>
  <si>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</si>
  <si>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</si>
  <si>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</si>
  <si>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</si>
  <si>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</si>
  <si>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</si>
  <si>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</si>
  <si>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</si>
  <si>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</si>
  <si>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</si>
  <si>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</si>
  <si>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</si>
  <si>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</si>
  <si>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</si>
  <si>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</si>
  <si>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</si>
  <si>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</si>
  <si>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</si>
  <si>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</si>
  <si>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</si>
  <si>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</si>
  <si>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</si>
  <si>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</si>
  <si>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</si>
  <si>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</si>
  <si>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</si>
  <si>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</si>
  <si>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</si>
  <si>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</si>
  <si>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</si>
  <si>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</si>
  <si>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</si>
  <si>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</si>
  <si>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</si>
  <si>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</si>
  <si>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</si>
  <si>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</si>
  <si>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</si>
  <si>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</si>
  <si>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</si>
  <si>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</si>
  <si>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</si>
  <si>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</si>
  <si>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</si>
  <si>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</si>
  <si>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</si>
  <si>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</si>
  <si>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</si>
  <si>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</si>
  <si>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</si>
  <si>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</si>
  <si>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</si>
  <si>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</si>
  <si>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</si>
  <si>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</si>
  <si>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</si>
  <si>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</si>
  <si>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</si>
  <si>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</si>
  <si>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</si>
  <si>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</si>
  <si>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</si>
  <si>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</si>
  <si>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</si>
  <si>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</si>
  <si>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</si>
  <si>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</si>
  <si>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</si>
  <si>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</si>
  <si>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</si>
  <si>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</si>
  <si>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</si>
  <si>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</si>
  <si>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</si>
  <si>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</si>
  <si>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</si>
  <si>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</si>
  <si>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</si>
  <si>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</si>
  <si>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</si>
  <si>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</si>
  <si>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</si>
  <si>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</si>
  <si>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</si>
  <si>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</si>
  <si>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</si>
  <si>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</si>
  <si>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</si>
  <si>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</si>
  <si>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</si>
  <si>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</si>
  <si>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</si>
  <si>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</si>
  <si>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</si>
  <si>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</si>
  <si>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</si>
  <si>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</si>
  <si>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</si>
  <si>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</si>
  <si>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</si>
  <si>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</si>
  <si>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</si>
  <si>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</si>
  <si>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</si>
  <si>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</si>
  <si>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</si>
  <si>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</si>
  <si>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</si>
  <si>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</si>
  <si>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</si>
  <si>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</si>
  <si>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</si>
  <si>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</si>
  <si>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</si>
  <si>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</si>
  <si>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</si>
  <si>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</si>
  <si>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</si>
  <si>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</si>
  <si>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</si>
  <si>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</si>
  <si>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</si>
  <si>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</si>
  <si>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</si>
  <si>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</si>
  <si>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</si>
  <si>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</si>
  <si>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</si>
  <si>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</si>
  <si>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</si>
  <si>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</si>
  <si>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</si>
  <si>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</si>
  <si>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</si>
  <si>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</si>
  <si>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</si>
  <si>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</si>
  <si>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</si>
  <si>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</si>
  <si>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</si>
  <si>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</si>
  <si>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</si>
  <si>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</si>
  <si>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</si>
  <si>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</si>
  <si>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</si>
  <si>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</si>
  <si>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</si>
  <si>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</si>
  <si>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</si>
  <si>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</si>
  <si>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</si>
  <si>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</si>
  <si>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</si>
  <si>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</si>
  <si>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</si>
  <si>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</si>
  <si>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</si>
  <si>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</si>
  <si>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</si>
  <si>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</si>
  <si>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</si>
  <si>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</si>
  <si>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</si>
  <si>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</si>
  <si>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</si>
  <si>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</si>
  <si>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</si>
  <si>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</si>
  <si>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</si>
  <si>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</si>
  <si>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</si>
  <si>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</si>
  <si>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</si>
  <si>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</si>
  <si>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</si>
  <si>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</si>
  <si>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</si>
  <si>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</si>
  <si>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</si>
  <si>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</si>
  <si>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</si>
  <si>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</si>
  <si>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</si>
  <si>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</si>
  <si>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</si>
  <si>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</si>
  <si>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</si>
  <si>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</si>
  <si>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</si>
  <si>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</si>
  <si>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</si>
  <si>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</si>
  <si>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</si>
  <si>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</si>
  <si>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</si>
  <si>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</si>
  <si>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</si>
  <si>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</si>
  <si>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</si>
  <si>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</si>
  <si>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</si>
  <si>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</si>
  <si>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</si>
  <si>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</si>
  <si>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</si>
  <si>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</si>
  <si>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</si>
  <si>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</si>
  <si>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</si>
  <si>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</si>
  <si>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</si>
  <si>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</si>
  <si>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</si>
  <si>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</si>
  <si>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</si>
  <si>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</si>
  <si>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</si>
  <si>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</si>
  <si>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</si>
  <si>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</si>
  <si>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</si>
  <si>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</si>
  <si>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</si>
  <si>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</si>
  <si>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</si>
  <si>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</si>
  <si>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</si>
  <si>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</si>
  <si>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</si>
  <si>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</si>
  <si>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</si>
  <si>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</si>
  <si>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</si>
  <si>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</si>
  <si>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</si>
  <si>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</si>
  <si>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</si>
  <si>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</si>
  <si>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</si>
  <si>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</si>
  <si>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</si>
  <si>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</si>
  <si>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</si>
  <si>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</si>
  <si>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</si>
  <si>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</si>
  <si>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</si>
  <si>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</si>
  <si>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</si>
  <si>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</si>
  <si>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</si>
  <si>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</si>
  <si>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</si>
  <si>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</si>
  <si>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</si>
  <si>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</si>
  <si>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</si>
  <si>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</si>
  <si>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</si>
  <si>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</si>
  <si>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</si>
  <si>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</si>
  <si>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</si>
  <si>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</si>
  <si>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</si>
  <si>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</si>
  <si>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</si>
  <si>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</si>
  <si>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</si>
  <si>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</si>
  <si>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</si>
  <si>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</si>
  <si>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</si>
  <si>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</si>
  <si>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</si>
  <si>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</si>
  <si>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</si>
  <si>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</si>
  <si>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</si>
  <si>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</si>
  <si>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</si>
  <si>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</si>
  <si>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</si>
  <si>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</si>
  <si>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</si>
  <si>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</si>
  <si>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</si>
  <si>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</si>
  <si>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</si>
  <si>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</si>
  <si>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</si>
  <si>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</si>
  <si>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</si>
  <si>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</si>
  <si>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</si>
  <si>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</si>
  <si>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</si>
  <si>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</si>
  <si>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</si>
  <si>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</si>
  <si>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</si>
  <si>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</si>
  <si>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</si>
  <si>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</si>
  <si>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</si>
  <si>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</si>
  <si>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</si>
  <si>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</si>
  <si>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</si>
  <si>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</si>
  <si>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</si>
  <si>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</si>
  <si>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</si>
  <si>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</si>
  <si>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</si>
  <si>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</si>
  <si>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</si>
  <si>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</si>
  <si>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</si>
  <si>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</si>
  <si>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</si>
  <si>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</si>
  <si>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</si>
  <si>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</si>
  <si>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</si>
  <si>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</si>
  <si>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</si>
  <si>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</si>
  <si>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</si>
  <si>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</si>
  <si>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</si>
  <si>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</si>
  <si>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</si>
  <si>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</si>
  <si>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</si>
  <si>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</si>
  <si>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</si>
  <si>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</si>
  <si>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</si>
  <si>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</si>
  <si>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</si>
  <si>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</si>
  <si>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</si>
  <si>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</si>
  <si>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</si>
  <si>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</si>
  <si>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</si>
  <si>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</si>
  <si>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</si>
  <si>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</si>
  <si>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</si>
  <si>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</si>
  <si>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</si>
  <si>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</si>
  <si>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</si>
  <si>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</si>
  <si>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</si>
  <si>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</si>
  <si>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</si>
  <si>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</si>
  <si>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</si>
  <si>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</si>
  <si>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</si>
  <si>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</si>
  <si>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</si>
  <si>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</si>
  <si>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</si>
  <si>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</si>
  <si>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</si>
  <si>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</si>
  <si>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</si>
  <si>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</si>
  <si>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</si>
  <si>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</si>
  <si>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</si>
  <si>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</si>
  <si>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</si>
  <si>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</si>
  <si>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</si>
  <si>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</si>
  <si>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</si>
  <si>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</si>
  <si>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</si>
  <si>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</si>
  <si>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</si>
  <si>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</si>
  <si>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</si>
  <si>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</si>
  <si>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</si>
  <si>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</si>
  <si>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</si>
  <si>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</si>
  <si>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</si>
  <si>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</si>
  <si>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</si>
  <si>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</si>
  <si>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</si>
  <si>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</si>
  <si>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</si>
  <si>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</si>
  <si>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</si>
  <si>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</si>
  <si>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</si>
  <si>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</si>
  <si>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</si>
  <si>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</si>
  <si>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</si>
  <si>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</si>
  <si>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</si>
  <si>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</si>
  <si>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</si>
  <si>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</si>
  <si>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</si>
  <si>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</si>
  <si>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</si>
  <si>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</si>
  <si>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</si>
  <si>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</si>
  <si>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</si>
  <si>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</si>
  <si>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</si>
  <si>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</si>
  <si>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</si>
  <si>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</si>
  <si>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</si>
  <si>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</si>
  <si>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</si>
  <si>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</si>
  <si>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</si>
  <si>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</si>
  <si>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</si>
  <si>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</si>
  <si>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</si>
  <si>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</si>
  <si>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</si>
  <si>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</si>
  <si>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</si>
  <si>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</si>
  <si>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</si>
  <si>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</si>
  <si>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</si>
  <si>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</si>
  <si>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</si>
  <si>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</si>
  <si>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</si>
  <si>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</si>
  <si>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</si>
  <si>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</si>
  <si>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</si>
  <si>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</si>
  <si>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</si>
  <si>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</si>
  <si>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</si>
  <si>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</si>
  <si>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</si>
  <si>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</si>
  <si>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</si>
  <si>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</si>
  <si>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</si>
  <si>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</si>
  <si>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</si>
  <si>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</si>
  <si>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</si>
  <si>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</si>
  <si>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</si>
  <si>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</si>
  <si>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</si>
  <si>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</si>
  <si>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</si>
  <si>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</si>
  <si>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</si>
  <si>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</si>
  <si>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</si>
  <si>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</si>
  <si>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</si>
  <si>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</si>
  <si>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</si>
  <si>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</si>
  <si>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</si>
  <si>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</si>
  <si>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</si>
  <si>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</si>
  <si>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</si>
  <si>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</si>
  <si>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</si>
  <si>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</si>
  <si>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</si>
  <si>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</si>
  <si>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</si>
  <si>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</si>
  <si>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</si>
  <si>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</si>
  <si>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</si>
  <si>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</si>
  <si>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</si>
  <si>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</si>
  <si>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</si>
  <si>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</si>
  <si>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</si>
  <si>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</si>
  <si>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</si>
  <si>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</si>
  <si>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</si>
  <si>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</si>
  <si>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</si>
  <si>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</si>
  <si>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</si>
  <si>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</si>
  <si>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</si>
  <si>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</si>
  <si>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</si>
  <si>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</si>
  <si>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</si>
  <si>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</si>
  <si>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</si>
  <si>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</si>
  <si>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</si>
  <si>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</si>
  <si>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</si>
  <si>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</si>
  <si>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</si>
  <si>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</si>
  <si>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</si>
  <si>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</si>
  <si>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</si>
  <si>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</si>
  <si>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</si>
  <si>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</si>
  <si>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</si>
  <si>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</si>
  <si>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</si>
  <si>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</si>
  <si>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</si>
  <si>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</si>
  <si>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</si>
  <si>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</si>
  <si>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</si>
  <si>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</si>
  <si>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</si>
  <si>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</si>
  <si>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</si>
  <si>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</si>
  <si>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</si>
  <si>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</si>
  <si>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</si>
  <si>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</si>
  <si>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</si>
  <si>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</si>
  <si>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</si>
  <si>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</si>
  <si>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</si>
  <si>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</si>
  <si>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</si>
  <si>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</si>
  <si>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</si>
  <si>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</si>
  <si>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</si>
  <si>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</si>
  <si>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</si>
  <si>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</si>
  <si>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</si>
  <si>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</si>
  <si>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</si>
  <si>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</si>
  <si>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</si>
  <si>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</si>
  <si>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</si>
  <si>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</si>
  <si>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</si>
  <si>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</si>
  <si>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</si>
  <si>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</si>
  <si>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</si>
  <si>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</si>
  <si>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</si>
  <si>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</si>
  <si>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</si>
  <si>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</si>
  <si>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</si>
  <si>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</si>
  <si>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</si>
  <si>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</si>
  <si>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</si>
  <si>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</si>
  <si>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</si>
  <si>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</si>
  <si>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</si>
  <si>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</si>
  <si>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</si>
  <si>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</si>
  <si>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</si>
  <si>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</si>
  <si>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</si>
  <si>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</si>
  <si>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</si>
  <si>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</si>
  <si>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</si>
  <si>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</si>
  <si>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</si>
  <si>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</si>
  <si>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</si>
  <si>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</si>
  <si>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</si>
  <si>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</si>
  <si>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</si>
  <si>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</si>
  <si>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</si>
  <si>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</si>
  <si>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</si>
  <si>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</si>
  <si>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</si>
  <si>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</si>
  <si>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</si>
  <si>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</si>
  <si>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</si>
  <si>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</si>
  <si>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</si>
  <si>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</si>
  <si>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</si>
  <si>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</si>
  <si>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</si>
  <si>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</si>
  <si>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</si>
  <si>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</si>
  <si>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</si>
  <si>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</si>
  <si>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</si>
  <si>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</si>
  <si>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</si>
  <si>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</si>
  <si>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</si>
  <si>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</si>
  <si>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</si>
  <si>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</si>
  <si>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</si>
  <si>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</si>
  <si>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</si>
  <si>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</si>
  <si>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</si>
  <si>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</si>
  <si>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</si>
  <si>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</si>
  <si>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</si>
  <si>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</si>
  <si>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</si>
  <si>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</si>
  <si>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</si>
  <si>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</si>
  <si>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</si>
  <si>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</si>
  <si>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</si>
  <si>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</si>
  <si>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</si>
  <si>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</si>
  <si>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</si>
  <si>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</si>
  <si>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</si>
  <si>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</si>
  <si>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</si>
  <si>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</si>
  <si>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</si>
  <si>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</si>
  <si>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</si>
  <si>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</si>
  <si>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</si>
  <si>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</si>
  <si>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</si>
  <si>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</si>
  <si>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</si>
  <si>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</si>
  <si>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</si>
  <si>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</si>
  <si>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</si>
  <si>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</si>
  <si>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</si>
  <si>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</si>
  <si>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</si>
  <si>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</si>
  <si>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</si>
  <si>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</si>
  <si>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</si>
  <si>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</si>
  <si>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</si>
  <si>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</si>
  <si>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</si>
  <si>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</si>
  <si>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</si>
  <si>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</si>
  <si>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</si>
  <si>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</si>
  <si>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</si>
  <si>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</si>
  <si>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</si>
  <si>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</si>
  <si>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</si>
  <si>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</si>
  <si>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</si>
  <si>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</si>
  <si>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</si>
  <si>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</si>
  <si>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</si>
  <si>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</si>
  <si>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</si>
  <si>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</si>
  <si>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</si>
  <si>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</si>
  <si>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</si>
  <si>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</si>
  <si>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</si>
  <si>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</si>
  <si>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</si>
  <si>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</si>
  <si>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</si>
  <si>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</si>
  <si>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</si>
  <si>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</si>
  <si>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</si>
  <si>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</si>
  <si>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</si>
  <si>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</si>
  <si>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</si>
  <si>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</si>
  <si>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</si>
  <si>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</si>
  <si>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</si>
  <si>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</si>
  <si>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</si>
  <si>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</si>
  <si>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</si>
  <si>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</si>
  <si>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</si>
  <si>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</si>
  <si>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</si>
  <si>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</si>
  <si>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</si>
  <si>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</si>
  <si>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</si>
  <si>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</si>
  <si>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</si>
  <si>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</si>
  <si>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</si>
  <si>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</si>
  <si>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</si>
  <si>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</si>
  <si>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</si>
  <si>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</si>
  <si>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</si>
  <si>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</si>
  <si>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</si>
  <si>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</si>
  <si>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</si>
  <si>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</si>
  <si>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</si>
  <si>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</si>
  <si>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</si>
  <si>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</si>
  <si>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</si>
  <si>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</si>
  <si>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</si>
  <si>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</si>
  <si>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</si>
  <si>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</si>
  <si>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</si>
  <si>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</si>
  <si>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</si>
  <si>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</si>
  <si>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</si>
  <si>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</si>
  <si>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</si>
  <si>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</si>
  <si>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</si>
  <si>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</si>
  <si>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</si>
  <si>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</si>
  <si>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</si>
  <si>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</si>
  <si>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</si>
  <si>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</si>
  <si>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</si>
  <si>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</si>
  <si>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</si>
  <si>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</si>
  <si>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</si>
  <si>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</si>
  <si>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</si>
  <si>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</si>
  <si>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</si>
  <si>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</si>
  <si>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</si>
  <si>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</si>
  <si>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</si>
  <si>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</si>
  <si>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</si>
  <si>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</si>
  <si>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</si>
  <si>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</si>
  <si>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</si>
  <si>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</si>
  <si>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</si>
  <si>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</si>
  <si>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</si>
  <si>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</si>
  <si>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</si>
  <si>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</si>
  <si>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</si>
  <si>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</si>
  <si>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</si>
  <si>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</si>
  <si>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</si>
  <si>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</si>
  <si>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</si>
  <si>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</si>
  <si>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</si>
  <si>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</si>
  <si>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</si>
  <si>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</si>
  <si>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</si>
  <si>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</si>
  <si>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</si>
  <si>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</si>
  <si>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</si>
  <si>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</si>
  <si>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</si>
  <si>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</si>
  <si>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</si>
  <si>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</si>
  <si>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</si>
  <si>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</si>
  <si>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</si>
  <si>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</si>
  <si>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</si>
  <si>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</si>
  <si>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</si>
  <si>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</si>
  <si>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</si>
  <si>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</si>
  <si>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</si>
  <si>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</si>
  <si>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</si>
  <si>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</si>
  <si>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</si>
  <si>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</si>
  <si>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</si>
  <si>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</si>
  <si>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</si>
  <si>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</si>
  <si>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</si>
  <si>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</si>
  <si>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</si>
  <si>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</si>
  <si>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</si>
  <si>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</si>
  <si>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</si>
  <si>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</si>
  <si>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</si>
  <si>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</si>
  <si>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</si>
  <si>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</si>
  <si>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</si>
  <si>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</si>
  <si>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</si>
  <si>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</si>
  <si>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</si>
  <si>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</si>
  <si>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</si>
  <si>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</si>
  <si>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</si>
  <si>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</si>
  <si>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</si>
  <si>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</si>
  <si>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</si>
  <si>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</si>
  <si>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</si>
  <si>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</si>
  <si>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</si>
  <si>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</si>
  <si>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</si>
  <si>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</si>
  <si>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</si>
  <si>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</si>
  <si>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</si>
  <si>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</si>
  <si>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</si>
  <si>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</si>
  <si>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</si>
  <si>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</si>
  <si>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</si>
  <si>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</si>
  <si>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</si>
  <si>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</si>
  <si>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</si>
  <si>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</si>
  <si>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</si>
  <si>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</si>
  <si>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</si>
  <si>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</si>
  <si>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</si>
  <si>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</si>
  <si>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</si>
  <si>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</si>
  <si>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</si>
  <si>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</si>
  <si>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</si>
  <si>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</si>
  <si>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</si>
  <si>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</si>
  <si>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</si>
  <si>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</si>
  <si>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</si>
  <si>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</si>
  <si>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</si>
  <si>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</si>
  <si>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</si>
  <si>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</si>
  <si>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</si>
  <si>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</si>
  <si>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</si>
  <si>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</si>
  <si>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</si>
  <si>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</si>
  <si>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</si>
  <si>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</si>
  <si>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</si>
  <si>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</si>
  <si>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</si>
  <si>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</si>
  <si>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</si>
  <si>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</si>
  <si>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</si>
  <si>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</si>
  <si>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</si>
  <si>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</si>
  <si>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</si>
  <si>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</si>
  <si>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</si>
  <si>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</si>
  <si>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</si>
  <si>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</si>
  <si>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</si>
  <si>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</si>
  <si>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</si>
  <si>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</si>
  <si>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</si>
  <si>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</si>
  <si>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</si>
  <si>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</si>
  <si>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</si>
  <si>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</si>
  <si>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</si>
  <si>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</si>
  <si>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</si>
  <si>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</si>
  <si>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</si>
  <si>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</si>
  <si>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</si>
  <si>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</si>
  <si>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</si>
  <si>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</si>
  <si>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</si>
  <si>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</si>
  <si>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</si>
  <si>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</si>
  <si>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</si>
  <si>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</si>
  <si>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</si>
  <si>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</si>
  <si>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</si>
  <si>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</si>
  <si>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</si>
  <si>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</si>
  <si>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</si>
  <si>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</si>
  <si>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</si>
  <si>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</si>
  <si>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</si>
  <si>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</si>
  <si>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</si>
  <si>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</si>
  <si>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</si>
  <si>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</si>
  <si>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</si>
  <si>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</si>
  <si>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</si>
  <si>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</si>
  <si>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</si>
  <si>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</si>
  <si>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</si>
  <si>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</si>
  <si>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</si>
  <si>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</si>
  <si>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</si>
  <si>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</si>
  <si>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</si>
  <si>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</si>
  <si>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</si>
  <si>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</si>
  <si>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</si>
  <si>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</si>
  <si>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</si>
  <si>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</si>
  <si>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</si>
  <si>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</si>
  <si>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</si>
  <si>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</si>
  <si>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</si>
  <si>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</si>
  <si>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</si>
  <si>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</si>
  <si>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</si>
  <si>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</si>
  <si>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</si>
  <si>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</si>
  <si>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</si>
  <si>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</si>
  <si>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</si>
  <si>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</si>
  <si>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</si>
  <si>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</si>
  <si>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</si>
  <si>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</si>
  <si>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</si>
  <si>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</si>
  <si>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</si>
  <si>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</si>
  <si>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</si>
  <si>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</si>
  <si>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</si>
  <si>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</si>
  <si>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</si>
  <si>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</si>
  <si>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</si>
  <si>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</si>
  <si>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HCP-TRAHCN-N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</si>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</sst>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49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3062</v>
      </c>
      <c r="F6" t="s">
        <v>3063</v>
      </c>
    </row>
    <row r="7" spans="1:6" x14ac:dyDescent="0.25">
      <c r="A7" t="s">
        <v>3061</v>
      </c>
      <c r="B7" t="s">
        <v>2449</v>
      </c>
      <c r="C7" t="s">
        <v>2450</v>
      </c>
      <c r="D7">
        <v>1</v>
      </c>
    </row>
    <row r="8" spans="1:6" x14ac:dyDescent="0.25">
      <c r="A8" t="s">
        <v>3061</v>
      </c>
      <c r="B8" t="s">
        <v>2452</v>
      </c>
      <c r="C8" t="s">
        <v>2453</v>
      </c>
      <c r="D8">
        <v>1</v>
      </c>
    </row>
    <row r="9" spans="1:6" x14ac:dyDescent="0.25">
      <c r="A9" t="s">
        <v>3061</v>
      </c>
      <c r="B9" t="s">
        <v>3046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3061</v>
      </c>
      <c r="B10" t="s">
        <v>3417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3061</v>
      </c>
      <c r="B11" t="s">
        <v>3418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3061</v>
      </c>
      <c r="B12" t="s">
        <v>3419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3061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2976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3061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3061</v>
      </c>
      <c r="B18" t="s">
        <v>3153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3061</v>
      </c>
      <c r="B19" t="s">
        <v>3293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3061</v>
      </c>
      <c r="B20" t="s">
        <v>3294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3292</v>
      </c>
      <c r="C21" t="s">
        <v>2450</v>
      </c>
      <c r="D21">
        <v>2</v>
      </c>
      <c r="G21" t="s">
        <v>3064</v>
      </c>
    </row>
    <row r="22" spans="1:7" x14ac:dyDescent="0.25">
      <c r="A22" t="s">
        <v>2448</v>
      </c>
      <c r="B22" t="s">
        <v>3295</v>
      </c>
      <c r="C22" t="s">
        <v>2450</v>
      </c>
      <c r="D22">
        <v>3</v>
      </c>
      <c r="G22" t="s">
        <v>3064</v>
      </c>
    </row>
    <row r="23" spans="1:7" x14ac:dyDescent="0.25">
      <c r="A23" t="s">
        <v>2448</v>
      </c>
      <c r="B23" t="s">
        <v>3296</v>
      </c>
      <c r="C23" t="s">
        <v>2450</v>
      </c>
      <c r="D23">
        <v>4</v>
      </c>
      <c r="G23" t="s">
        <v>3064</v>
      </c>
    </row>
    <row r="24" spans="1:7" x14ac:dyDescent="0.25">
      <c r="A24" t="s">
        <v>2448</v>
      </c>
      <c r="B24" t="s">
        <v>3387</v>
      </c>
      <c r="C24" t="str">
        <f>"OtherSets!"&amp;ADDRESS(ROW(OtherSets!AL7),COLUMN(OtherSets!AL7),4)</f>
        <v>OtherSets!AL7</v>
      </c>
      <c r="D24">
        <v>2</v>
      </c>
      <c r="G24" t="s">
        <v>3064</v>
      </c>
    </row>
    <row r="25" spans="1:7" x14ac:dyDescent="0.25">
      <c r="A25" t="s">
        <v>2448</v>
      </c>
      <c r="B25" t="s">
        <v>3394</v>
      </c>
      <c r="C25" t="str">
        <f>"OtherSets!"&amp;ADDRESS(ROW(OtherSets!AO7),COLUMN(OtherSets!AO7),4)</f>
        <v>OtherSets!AO7</v>
      </c>
      <c r="D25">
        <v>2</v>
      </c>
      <c r="G25" t="s">
        <v>3064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3064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3064</v>
      </c>
    </row>
    <row r="28" spans="1:7" x14ac:dyDescent="0.25">
      <c r="A28" t="s">
        <v>2448</v>
      </c>
      <c r="B28" t="s">
        <v>2979</v>
      </c>
      <c r="C28" t="str">
        <f>"OtherSets!"&amp;ADDRESS(ROW(OtherSets!W7),COLUMN(OtherSets!W7),4)</f>
        <v>OtherSets!W7</v>
      </c>
      <c r="D28">
        <v>2</v>
      </c>
      <c r="G28" t="s">
        <v>3064</v>
      </c>
    </row>
    <row r="29" spans="1:7" x14ac:dyDescent="0.25">
      <c r="A29" t="s">
        <v>2448</v>
      </c>
      <c r="B29" t="s">
        <v>2978</v>
      </c>
      <c r="C29" t="str">
        <f>"OtherSets!"&amp;ADDRESS(ROW(OtherSets!Y7),COLUMN(OtherSets!Y7),4)</f>
        <v>OtherSets!Y7</v>
      </c>
      <c r="D29">
        <v>2</v>
      </c>
      <c r="G29" t="s">
        <v>3064</v>
      </c>
    </row>
    <row r="30" spans="1:7" x14ac:dyDescent="0.25">
      <c r="A30" t="s">
        <v>2448</v>
      </c>
      <c r="B30" t="s">
        <v>3000</v>
      </c>
      <c r="C30" t="str">
        <f>"OtherSets!"&amp;ADDRESS(ROW(OtherSets!AA7),COLUMN(OtherSets!AA7),4)</f>
        <v>OtherSets!AA7</v>
      </c>
      <c r="D30">
        <v>2</v>
      </c>
      <c r="G30" t="s">
        <v>3064</v>
      </c>
    </row>
    <row r="31" spans="1:7" x14ac:dyDescent="0.25">
      <c r="A31" t="s">
        <v>2448</v>
      </c>
      <c r="B31" t="s">
        <v>3065</v>
      </c>
      <c r="C31" t="str">
        <f>"OtherSets!"&amp;ADDRESS(ROW(OtherSets!AC7),COLUMN(OtherSets!AC7),4)</f>
        <v>OtherSets!AC7</v>
      </c>
      <c r="D31">
        <v>2</v>
      </c>
      <c r="G31" t="s">
        <v>3064</v>
      </c>
    </row>
    <row r="32" spans="1:7" x14ac:dyDescent="0.25">
      <c r="A32" t="s">
        <v>3061</v>
      </c>
      <c r="B32" t="s">
        <v>3386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3061</v>
      </c>
      <c r="B33" t="s">
        <v>3391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3061</v>
      </c>
      <c r="B34" t="s">
        <v>3149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3061</v>
      </c>
      <c r="B35" t="s">
        <v>3766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3313</v>
      </c>
      <c r="B36" t="s">
        <v>3314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3313</v>
      </c>
      <c r="B37" t="s">
        <v>3413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3313</v>
      </c>
      <c r="B38" t="s">
        <v>3414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3313</v>
      </c>
      <c r="B39" t="s">
        <v>3416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7"/>
  <sheetViews>
    <sheetView workbookViewId="0">
      <pane ySplit="1" topLeftCell="A556" activePane="bottomLeft" state="frozen"/>
      <selection pane="bottomLeft" activeCell="A573" sqref="A57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3151</v>
      </c>
      <c r="B1" t="s">
        <v>3153</v>
      </c>
      <c r="C1" t="s">
        <v>1655</v>
      </c>
      <c r="D1" t="s">
        <v>3154</v>
      </c>
      <c r="E1" t="s">
        <v>3152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3466</v>
      </c>
      <c r="B2" t="s">
        <v>43</v>
      </c>
      <c r="C2" t="s">
        <v>43</v>
      </c>
      <c r="D2" t="s">
        <v>43</v>
      </c>
      <c r="E2" t="s">
        <v>3467</v>
      </c>
    </row>
    <row r="3" spans="1:9" x14ac:dyDescent="0.25">
      <c r="A3" t="s">
        <v>3395</v>
      </c>
      <c r="B3" t="s">
        <v>43</v>
      </c>
      <c r="C3" t="s">
        <v>43</v>
      </c>
      <c r="D3" t="s">
        <v>43</v>
      </c>
      <c r="E3" t="s">
        <v>3396</v>
      </c>
    </row>
    <row r="4" spans="1:9" x14ac:dyDescent="0.25">
      <c r="A4" t="s">
        <v>2913</v>
      </c>
      <c r="B4" t="s">
        <v>3329</v>
      </c>
      <c r="C4" t="s">
        <v>3319</v>
      </c>
      <c r="D4" t="s">
        <v>3319</v>
      </c>
      <c r="E4" t="s">
        <v>3319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2915</v>
      </c>
      <c r="B5" t="s">
        <v>3329</v>
      </c>
      <c r="C5" t="s">
        <v>3320</v>
      </c>
      <c r="D5" t="s">
        <v>3320</v>
      </c>
      <c r="E5" t="s">
        <v>3320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2917</v>
      </c>
      <c r="B6" t="s">
        <v>3329</v>
      </c>
      <c r="C6" t="s">
        <v>3321</v>
      </c>
      <c r="D6" t="s">
        <v>3321</v>
      </c>
      <c r="E6" t="s">
        <v>3321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2919</v>
      </c>
      <c r="B7" t="s">
        <v>3329</v>
      </c>
      <c r="C7" t="s">
        <v>3322</v>
      </c>
      <c r="D7" t="s">
        <v>3322</v>
      </c>
      <c r="E7" t="s">
        <v>3322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2921</v>
      </c>
      <c r="B8" t="s">
        <v>3329</v>
      </c>
      <c r="C8" t="s">
        <v>3323</v>
      </c>
      <c r="D8" t="s">
        <v>3323</v>
      </c>
      <c r="E8" t="s">
        <v>3323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2923</v>
      </c>
      <c r="B9" t="s">
        <v>3329</v>
      </c>
      <c r="C9" t="s">
        <v>3324</v>
      </c>
      <c r="D9" t="s">
        <v>3324</v>
      </c>
      <c r="E9" t="s">
        <v>3324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2925</v>
      </c>
      <c r="B10" t="s">
        <v>3329</v>
      </c>
      <c r="C10" t="s">
        <v>3325</v>
      </c>
      <c r="D10" t="s">
        <v>3325</v>
      </c>
      <c r="E10" t="s">
        <v>3325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2927</v>
      </c>
      <c r="B11" t="s">
        <v>3329</v>
      </c>
      <c r="C11" t="s">
        <v>3326</v>
      </c>
      <c r="D11" t="s">
        <v>3326</v>
      </c>
      <c r="E11" t="s">
        <v>3326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2929</v>
      </c>
      <c r="B12" t="s">
        <v>3329</v>
      </c>
      <c r="C12" t="s">
        <v>3327</v>
      </c>
      <c r="D12" t="s">
        <v>3327</v>
      </c>
      <c r="E12" t="s">
        <v>3327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2975</v>
      </c>
      <c r="B13" t="s">
        <v>3329</v>
      </c>
      <c r="C13" t="s">
        <v>3328</v>
      </c>
      <c r="D13" t="s">
        <v>3328</v>
      </c>
      <c r="E13" t="s">
        <v>3328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3315</v>
      </c>
      <c r="C14" t="s">
        <v>3316</v>
      </c>
      <c r="D14" t="s">
        <v>3316</v>
      </c>
      <c r="E14" t="s">
        <v>3316</v>
      </c>
    </row>
    <row r="15" spans="1:9" x14ac:dyDescent="0.25">
      <c r="A15" t="s">
        <v>2838</v>
      </c>
      <c r="B15" t="s">
        <v>3315</v>
      </c>
      <c r="C15" t="s">
        <v>3317</v>
      </c>
      <c r="D15" t="s">
        <v>3317</v>
      </c>
      <c r="E15" t="s">
        <v>3317</v>
      </c>
    </row>
    <row r="16" spans="1:9" x14ac:dyDescent="0.25">
      <c r="A16" t="s">
        <v>2841</v>
      </c>
      <c r="B16" t="s">
        <v>3315</v>
      </c>
      <c r="C16" t="s">
        <v>3318</v>
      </c>
      <c r="D16" t="s">
        <v>3318</v>
      </c>
      <c r="E16" t="s">
        <v>3318</v>
      </c>
    </row>
    <row r="17" spans="1:9" x14ac:dyDescent="0.25">
      <c r="A17" t="s">
        <v>3303</v>
      </c>
      <c r="B17" t="s">
        <v>3305</v>
      </c>
      <c r="C17" t="s">
        <v>3305</v>
      </c>
      <c r="D17" t="s">
        <v>3305</v>
      </c>
      <c r="E17" t="s">
        <v>3306</v>
      </c>
    </row>
    <row r="18" spans="1:9" x14ac:dyDescent="0.25">
      <c r="A18" t="s">
        <v>3304</v>
      </c>
      <c r="B18" t="s">
        <v>3305</v>
      </c>
      <c r="C18" t="s">
        <v>3305</v>
      </c>
      <c r="D18" t="s">
        <v>3305</v>
      </c>
      <c r="E18" t="s">
        <v>3307</v>
      </c>
    </row>
    <row r="19" spans="1:9" x14ac:dyDescent="0.25">
      <c r="A19" t="s">
        <v>3308</v>
      </c>
      <c r="B19" t="s">
        <v>3305</v>
      </c>
      <c r="C19" t="s">
        <v>3305</v>
      </c>
      <c r="D19" t="s">
        <v>3305</v>
      </c>
      <c r="E19" t="s">
        <v>3306</v>
      </c>
    </row>
    <row r="20" spans="1:9" x14ac:dyDescent="0.25">
      <c r="A20" t="s">
        <v>3309</v>
      </c>
      <c r="B20" t="s">
        <v>3305</v>
      </c>
      <c r="C20" t="s">
        <v>3305</v>
      </c>
      <c r="D20" t="s">
        <v>3305</v>
      </c>
      <c r="E20" t="s">
        <v>3307</v>
      </c>
    </row>
    <row r="21" spans="1:9" x14ac:dyDescent="0.25">
      <c r="A21" t="s">
        <v>3287</v>
      </c>
      <c r="B21" t="s">
        <v>3190</v>
      </c>
      <c r="C21" t="s">
        <v>3190</v>
      </c>
      <c r="D21" t="s">
        <v>3190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3191</v>
      </c>
      <c r="I21" t="s">
        <v>3191</v>
      </c>
    </row>
    <row r="22" spans="1:9" x14ac:dyDescent="0.25">
      <c r="A22" t="s">
        <v>3288</v>
      </c>
      <c r="B22" t="s">
        <v>3190</v>
      </c>
      <c r="C22" t="s">
        <v>3190</v>
      </c>
      <c r="D22" t="s">
        <v>3190</v>
      </c>
      <c r="E22" t="str">
        <f t="shared" si="0"/>
        <v>Process Emissions 2A2</v>
      </c>
      <c r="F22" t="s">
        <v>2423</v>
      </c>
      <c r="G22" t="s">
        <v>264</v>
      </c>
      <c r="H22" t="s">
        <v>3290</v>
      </c>
      <c r="I22" t="s">
        <v>3290</v>
      </c>
    </row>
    <row r="23" spans="1:9" x14ac:dyDescent="0.25">
      <c r="A23" t="s">
        <v>3289</v>
      </c>
      <c r="B23" t="s">
        <v>3190</v>
      </c>
      <c r="C23" t="s">
        <v>3190</v>
      </c>
      <c r="D23" t="s">
        <v>3190</v>
      </c>
      <c r="E23" t="str">
        <f t="shared" si="0"/>
        <v>Process Emissions 2A3</v>
      </c>
      <c r="F23" t="s">
        <v>2423</v>
      </c>
      <c r="G23" t="s">
        <v>264</v>
      </c>
      <c r="H23" t="s">
        <v>3291</v>
      </c>
      <c r="I23" t="s">
        <v>3291</v>
      </c>
    </row>
    <row r="24" spans="1:9" x14ac:dyDescent="0.25">
      <c r="A24" t="s">
        <v>3278</v>
      </c>
      <c r="B24" t="s">
        <v>3190</v>
      </c>
      <c r="C24" t="s">
        <v>3190</v>
      </c>
      <c r="D24" t="s">
        <v>3190</v>
      </c>
      <c r="E24" t="str">
        <f t="shared" si="0"/>
        <v>Process Emissions 2B1</v>
      </c>
      <c r="F24" t="s">
        <v>2423</v>
      </c>
      <c r="G24" t="s">
        <v>334</v>
      </c>
      <c r="H24" t="s">
        <v>3192</v>
      </c>
      <c r="I24" t="s">
        <v>3192</v>
      </c>
    </row>
    <row r="25" spans="1:9" x14ac:dyDescent="0.25">
      <c r="A25" t="s">
        <v>3279</v>
      </c>
      <c r="B25" t="s">
        <v>3190</v>
      </c>
      <c r="C25" t="s">
        <v>3190</v>
      </c>
      <c r="D25" t="s">
        <v>3190</v>
      </c>
      <c r="E25" t="str">
        <f t="shared" si="0"/>
        <v>Process Emissions 2B2</v>
      </c>
      <c r="F25" t="s">
        <v>2423</v>
      </c>
      <c r="G25" t="s">
        <v>334</v>
      </c>
      <c r="H25" t="s">
        <v>3283</v>
      </c>
      <c r="I25" t="s">
        <v>3283</v>
      </c>
    </row>
    <row r="26" spans="1:9" x14ac:dyDescent="0.25">
      <c r="A26" t="s">
        <v>3280</v>
      </c>
      <c r="B26" t="s">
        <v>3190</v>
      </c>
      <c r="C26" t="s">
        <v>3190</v>
      </c>
      <c r="D26" t="s">
        <v>3190</v>
      </c>
      <c r="E26" t="str">
        <f t="shared" si="0"/>
        <v>Process Emissions 2B5</v>
      </c>
      <c r="F26" t="s">
        <v>2423</v>
      </c>
      <c r="G26" t="s">
        <v>334</v>
      </c>
      <c r="H26" t="s">
        <v>3284</v>
      </c>
      <c r="I26" t="s">
        <v>3284</v>
      </c>
    </row>
    <row r="27" spans="1:9" x14ac:dyDescent="0.25">
      <c r="A27" t="s">
        <v>3281</v>
      </c>
      <c r="B27" t="s">
        <v>3190</v>
      </c>
      <c r="C27" t="s">
        <v>3190</v>
      </c>
      <c r="D27" t="s">
        <v>3190</v>
      </c>
      <c r="E27" t="str">
        <f t="shared" si="0"/>
        <v>Process Emissions 2B6</v>
      </c>
      <c r="F27" t="s">
        <v>2423</v>
      </c>
      <c r="G27" t="s">
        <v>334</v>
      </c>
      <c r="H27" t="s">
        <v>3285</v>
      </c>
      <c r="I27" t="s">
        <v>3285</v>
      </c>
    </row>
    <row r="28" spans="1:9" x14ac:dyDescent="0.25">
      <c r="A28" t="s">
        <v>3282</v>
      </c>
      <c r="B28" t="s">
        <v>3190</v>
      </c>
      <c r="C28" t="s">
        <v>3190</v>
      </c>
      <c r="D28" t="s">
        <v>3190</v>
      </c>
      <c r="E28" t="str">
        <f t="shared" si="0"/>
        <v>Process Emissions 2B8</v>
      </c>
      <c r="F28" t="s">
        <v>2423</v>
      </c>
      <c r="G28" t="s">
        <v>334</v>
      </c>
      <c r="H28" t="s">
        <v>3286</v>
      </c>
      <c r="I28" t="s">
        <v>3286</v>
      </c>
    </row>
    <row r="29" spans="1:9" x14ac:dyDescent="0.25">
      <c r="A29" t="s">
        <v>3187</v>
      </c>
      <c r="B29" t="s">
        <v>3190</v>
      </c>
      <c r="C29" t="s">
        <v>3190</v>
      </c>
      <c r="D29" t="s">
        <v>3190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3188</v>
      </c>
      <c r="B30" t="s">
        <v>3190</v>
      </c>
      <c r="C30" t="s">
        <v>3190</v>
      </c>
      <c r="D30" t="s">
        <v>3190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3189</v>
      </c>
      <c r="B31" t="s">
        <v>3190</v>
      </c>
      <c r="C31" t="s">
        <v>3190</v>
      </c>
      <c r="D31" t="s">
        <v>3190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3274</v>
      </c>
      <c r="B32" t="s">
        <v>3190</v>
      </c>
      <c r="C32" t="s">
        <v>3190</v>
      </c>
      <c r="D32" t="s">
        <v>3190</v>
      </c>
      <c r="E32" t="str">
        <f t="shared" si="0"/>
        <v>Process Emissions 2C5</v>
      </c>
      <c r="F32" t="s">
        <v>2423</v>
      </c>
      <c r="G32" t="s">
        <v>2424</v>
      </c>
      <c r="H32" t="s">
        <v>3276</v>
      </c>
      <c r="I32" t="s">
        <v>3276</v>
      </c>
    </row>
    <row r="33" spans="1:9" x14ac:dyDescent="0.25">
      <c r="A33" t="s">
        <v>3275</v>
      </c>
      <c r="B33" t="s">
        <v>3190</v>
      </c>
      <c r="C33" t="s">
        <v>3190</v>
      </c>
      <c r="D33" t="s">
        <v>3190</v>
      </c>
      <c r="E33" t="str">
        <f t="shared" si="0"/>
        <v>Process Emissions 2C6</v>
      </c>
      <c r="F33" t="s">
        <v>2423</v>
      </c>
      <c r="G33" t="s">
        <v>2424</v>
      </c>
      <c r="H33" t="s">
        <v>3277</v>
      </c>
      <c r="I33" t="s">
        <v>3277</v>
      </c>
    </row>
    <row r="34" spans="1:9" x14ac:dyDescent="0.25">
      <c r="A34" t="s">
        <v>3297</v>
      </c>
      <c r="B34" t="s">
        <v>3190</v>
      </c>
      <c r="C34" t="s">
        <v>3190</v>
      </c>
      <c r="D34" t="s">
        <v>3190</v>
      </c>
      <c r="E34" t="str">
        <f t="shared" si="0"/>
        <v>Process Emissions 2D1</v>
      </c>
      <c r="F34" t="s">
        <v>2423</v>
      </c>
      <c r="G34" t="s">
        <v>3271</v>
      </c>
      <c r="H34" t="s">
        <v>3272</v>
      </c>
      <c r="I34" t="s">
        <v>3272</v>
      </c>
    </row>
    <row r="35" spans="1:9" x14ac:dyDescent="0.25">
      <c r="A35" t="s">
        <v>3298</v>
      </c>
      <c r="B35" t="s">
        <v>3190</v>
      </c>
      <c r="C35" t="s">
        <v>3190</v>
      </c>
      <c r="D35" t="s">
        <v>3190</v>
      </c>
      <c r="E35" t="str">
        <f t="shared" si="0"/>
        <v>Process Emissions 2D2</v>
      </c>
      <c r="F35" t="s">
        <v>2423</v>
      </c>
      <c r="G35" t="s">
        <v>3271</v>
      </c>
      <c r="H35" t="s">
        <v>3273</v>
      </c>
      <c r="I35" t="s">
        <v>3273</v>
      </c>
    </row>
    <row r="36" spans="1:9" x14ac:dyDescent="0.25">
      <c r="A36" t="s">
        <v>3267</v>
      </c>
      <c r="B36" t="s">
        <v>3190</v>
      </c>
      <c r="C36" t="s">
        <v>3190</v>
      </c>
      <c r="D36" t="s">
        <v>3190</v>
      </c>
      <c r="E36" t="str">
        <f t="shared" si="0"/>
        <v>Process Emissions 2F1</v>
      </c>
      <c r="F36" t="s">
        <v>2423</v>
      </c>
      <c r="G36" t="s">
        <v>257</v>
      </c>
      <c r="H36" t="s">
        <v>3193</v>
      </c>
      <c r="I36" t="s">
        <v>3193</v>
      </c>
    </row>
    <row r="37" spans="1:9" x14ac:dyDescent="0.25">
      <c r="A37" t="s">
        <v>3268</v>
      </c>
      <c r="B37" t="s">
        <v>3190</v>
      </c>
      <c r="C37" t="s">
        <v>3190</v>
      </c>
      <c r="D37" t="s">
        <v>3190</v>
      </c>
      <c r="E37" t="str">
        <f t="shared" si="0"/>
        <v>Process Emissions 2F2</v>
      </c>
      <c r="F37" t="s">
        <v>2423</v>
      </c>
      <c r="G37" t="s">
        <v>257</v>
      </c>
      <c r="H37" t="s">
        <v>3265</v>
      </c>
      <c r="I37" t="s">
        <v>3265</v>
      </c>
    </row>
    <row r="38" spans="1:9" x14ac:dyDescent="0.25">
      <c r="A38" t="s">
        <v>3269</v>
      </c>
      <c r="B38" t="s">
        <v>3190</v>
      </c>
      <c r="C38" t="s">
        <v>3190</v>
      </c>
      <c r="D38" t="s">
        <v>3190</v>
      </c>
      <c r="E38" t="str">
        <f t="shared" si="0"/>
        <v>Process Emissions 2F3</v>
      </c>
      <c r="F38" t="s">
        <v>2423</v>
      </c>
      <c r="G38" t="s">
        <v>257</v>
      </c>
      <c r="H38" t="s">
        <v>3266</v>
      </c>
      <c r="I38" t="s">
        <v>3266</v>
      </c>
    </row>
    <row r="39" spans="1:9" x14ac:dyDescent="0.25">
      <c r="A39" t="s">
        <v>3270</v>
      </c>
      <c r="B39" t="s">
        <v>3190</v>
      </c>
      <c r="C39" t="s">
        <v>3190</v>
      </c>
      <c r="D39" t="s">
        <v>3190</v>
      </c>
      <c r="E39" t="str">
        <f t="shared" si="0"/>
        <v>Process Emissions 2F4</v>
      </c>
      <c r="F39" t="s">
        <v>2423</v>
      </c>
      <c r="G39" t="s">
        <v>257</v>
      </c>
      <c r="H39" t="s">
        <v>3264</v>
      </c>
      <c r="I39" t="s">
        <v>3264</v>
      </c>
    </row>
    <row r="40" spans="1:9" x14ac:dyDescent="0.25">
      <c r="A40" t="s">
        <v>3208</v>
      </c>
      <c r="B40" t="s">
        <v>3221</v>
      </c>
      <c r="C40" t="s">
        <v>3221</v>
      </c>
      <c r="D40" t="s">
        <v>3221</v>
      </c>
      <c r="E40" t="str">
        <f t="shared" ref="E40:E52" si="1">"Agri Emissions "&amp;RIGHT(A40,LEN(A40)-1)</f>
        <v>Agri Emissions 3A1a</v>
      </c>
      <c r="F40" t="s">
        <v>3170</v>
      </c>
      <c r="G40" t="s">
        <v>3223</v>
      </c>
      <c r="H40" t="s">
        <v>3224</v>
      </c>
      <c r="I40" t="s">
        <v>3225</v>
      </c>
    </row>
    <row r="41" spans="1:9" x14ac:dyDescent="0.25">
      <c r="A41" t="s">
        <v>3209</v>
      </c>
      <c r="B41" t="s">
        <v>3221</v>
      </c>
      <c r="C41" t="s">
        <v>3221</v>
      </c>
      <c r="D41" t="s">
        <v>3221</v>
      </c>
      <c r="E41" t="str">
        <f t="shared" si="1"/>
        <v>Agri Emissions 3A1c</v>
      </c>
      <c r="F41" t="s">
        <v>3170</v>
      </c>
      <c r="G41" t="s">
        <v>3223</v>
      </c>
      <c r="H41" t="s">
        <v>3224</v>
      </c>
      <c r="I41" t="s">
        <v>3226</v>
      </c>
    </row>
    <row r="42" spans="1:9" x14ac:dyDescent="0.25">
      <c r="A42" t="s">
        <v>3210</v>
      </c>
      <c r="B42" t="s">
        <v>3221</v>
      </c>
      <c r="C42" t="s">
        <v>3221</v>
      </c>
      <c r="D42" t="s">
        <v>3221</v>
      </c>
      <c r="E42" t="str">
        <f t="shared" si="1"/>
        <v>Agri Emissions 3A1d</v>
      </c>
      <c r="F42" t="s">
        <v>3170</v>
      </c>
      <c r="G42" t="s">
        <v>3223</v>
      </c>
      <c r="H42" t="s">
        <v>3224</v>
      </c>
      <c r="I42" t="s">
        <v>3227</v>
      </c>
    </row>
    <row r="43" spans="1:9" x14ac:dyDescent="0.25">
      <c r="A43" t="s">
        <v>3211</v>
      </c>
      <c r="B43" t="s">
        <v>3221</v>
      </c>
      <c r="C43" t="s">
        <v>3221</v>
      </c>
      <c r="D43" t="s">
        <v>3221</v>
      </c>
      <c r="E43" t="str">
        <f t="shared" si="1"/>
        <v>Agri Emissions 3A1f</v>
      </c>
      <c r="F43" t="s">
        <v>3170</v>
      </c>
      <c r="G43" t="s">
        <v>3223</v>
      </c>
      <c r="H43" t="s">
        <v>3224</v>
      </c>
      <c r="I43" t="s">
        <v>3228</v>
      </c>
    </row>
    <row r="44" spans="1:9" x14ac:dyDescent="0.25">
      <c r="A44" t="s">
        <v>3212</v>
      </c>
      <c r="B44" t="s">
        <v>3221</v>
      </c>
      <c r="C44" t="s">
        <v>3221</v>
      </c>
      <c r="D44" t="s">
        <v>3221</v>
      </c>
      <c r="E44" t="str">
        <f t="shared" si="1"/>
        <v>Agri Emissions 3A1g</v>
      </c>
      <c r="F44" t="s">
        <v>3170</v>
      </c>
      <c r="G44" t="s">
        <v>3223</v>
      </c>
      <c r="H44" t="s">
        <v>3224</v>
      </c>
      <c r="I44" t="s">
        <v>3229</v>
      </c>
    </row>
    <row r="45" spans="1:9" x14ac:dyDescent="0.25">
      <c r="A45" t="s">
        <v>3213</v>
      </c>
      <c r="B45" t="s">
        <v>3221</v>
      </c>
      <c r="C45" t="s">
        <v>3221</v>
      </c>
      <c r="D45" t="s">
        <v>3221</v>
      </c>
      <c r="E45" t="str">
        <f t="shared" si="1"/>
        <v>Agri Emissions 3A1h</v>
      </c>
      <c r="F45" t="s">
        <v>3170</v>
      </c>
      <c r="G45" t="s">
        <v>3223</v>
      </c>
      <c r="H45" t="s">
        <v>3224</v>
      </c>
      <c r="I45" t="s">
        <v>3230</v>
      </c>
    </row>
    <row r="46" spans="1:9" x14ac:dyDescent="0.25">
      <c r="A46" t="s">
        <v>3214</v>
      </c>
      <c r="B46" t="s">
        <v>3221</v>
      </c>
      <c r="C46" t="s">
        <v>3221</v>
      </c>
      <c r="D46" t="s">
        <v>3221</v>
      </c>
      <c r="E46" t="str">
        <f t="shared" si="1"/>
        <v>Agri Emissions 3A2a</v>
      </c>
      <c r="F46" t="s">
        <v>3170</v>
      </c>
      <c r="G46" t="s">
        <v>3223</v>
      </c>
      <c r="H46" t="s">
        <v>3231</v>
      </c>
      <c r="I46" t="s">
        <v>3232</v>
      </c>
    </row>
    <row r="47" spans="1:9" x14ac:dyDescent="0.25">
      <c r="A47" t="s">
        <v>3215</v>
      </c>
      <c r="B47" t="s">
        <v>3221</v>
      </c>
      <c r="C47" t="s">
        <v>3221</v>
      </c>
      <c r="D47" t="s">
        <v>3221</v>
      </c>
      <c r="E47" t="str">
        <f t="shared" si="1"/>
        <v>Agri Emissions 3A2c</v>
      </c>
      <c r="F47" t="s">
        <v>3170</v>
      </c>
      <c r="G47" t="s">
        <v>3223</v>
      </c>
      <c r="H47" t="s">
        <v>3231</v>
      </c>
      <c r="I47" t="s">
        <v>3233</v>
      </c>
    </row>
    <row r="48" spans="1:9" x14ac:dyDescent="0.25">
      <c r="A48" t="s">
        <v>3216</v>
      </c>
      <c r="B48" t="s">
        <v>3221</v>
      </c>
      <c r="C48" t="s">
        <v>3221</v>
      </c>
      <c r="D48" t="s">
        <v>3221</v>
      </c>
      <c r="E48" t="str">
        <f t="shared" si="1"/>
        <v>Agri Emissions 3A2d</v>
      </c>
      <c r="F48" t="s">
        <v>3170</v>
      </c>
      <c r="G48" t="s">
        <v>3223</v>
      </c>
      <c r="H48" t="s">
        <v>3231</v>
      </c>
      <c r="I48" t="s">
        <v>3234</v>
      </c>
    </row>
    <row r="49" spans="1:9" x14ac:dyDescent="0.25">
      <c r="A49" t="s">
        <v>3217</v>
      </c>
      <c r="B49" t="s">
        <v>3221</v>
      </c>
      <c r="C49" t="s">
        <v>3221</v>
      </c>
      <c r="D49" t="s">
        <v>3221</v>
      </c>
      <c r="E49" t="str">
        <f t="shared" si="1"/>
        <v>Agri Emissions 3A2f</v>
      </c>
      <c r="F49" t="s">
        <v>3170</v>
      </c>
      <c r="G49" t="s">
        <v>3223</v>
      </c>
      <c r="H49" t="s">
        <v>3231</v>
      </c>
      <c r="I49" t="s">
        <v>3235</v>
      </c>
    </row>
    <row r="50" spans="1:9" x14ac:dyDescent="0.25">
      <c r="A50" t="s">
        <v>3218</v>
      </c>
      <c r="B50" t="s">
        <v>3221</v>
      </c>
      <c r="C50" t="s">
        <v>3221</v>
      </c>
      <c r="D50" t="s">
        <v>3221</v>
      </c>
      <c r="E50" t="str">
        <f t="shared" si="1"/>
        <v>Agri Emissions 3A2g</v>
      </c>
      <c r="F50" t="s">
        <v>3170</v>
      </c>
      <c r="G50" t="s">
        <v>3223</v>
      </c>
      <c r="H50" t="s">
        <v>3231</v>
      </c>
      <c r="I50" t="s">
        <v>3236</v>
      </c>
    </row>
    <row r="51" spans="1:9" x14ac:dyDescent="0.25">
      <c r="A51" t="s">
        <v>3219</v>
      </c>
      <c r="B51" t="s">
        <v>3221</v>
      </c>
      <c r="C51" t="s">
        <v>3221</v>
      </c>
      <c r="D51" t="s">
        <v>3221</v>
      </c>
      <c r="E51" t="str">
        <f t="shared" si="1"/>
        <v>Agri Emissions 3A2h</v>
      </c>
      <c r="F51" t="s">
        <v>3170</v>
      </c>
      <c r="G51" t="s">
        <v>3223</v>
      </c>
      <c r="H51" t="s">
        <v>3231</v>
      </c>
      <c r="I51" t="s">
        <v>3237</v>
      </c>
    </row>
    <row r="52" spans="1:9" x14ac:dyDescent="0.25">
      <c r="A52" t="s">
        <v>3220</v>
      </c>
      <c r="B52" t="s">
        <v>3221</v>
      </c>
      <c r="C52" t="s">
        <v>3221</v>
      </c>
      <c r="D52" t="s">
        <v>3221</v>
      </c>
      <c r="E52" t="str">
        <f t="shared" si="1"/>
        <v>Agri Emissions 3A2i</v>
      </c>
      <c r="F52" t="s">
        <v>3170</v>
      </c>
      <c r="G52" t="s">
        <v>3223</v>
      </c>
      <c r="H52" t="s">
        <v>3231</v>
      </c>
      <c r="I52" t="s">
        <v>3238</v>
      </c>
    </row>
    <row r="53" spans="1:9" x14ac:dyDescent="0.25">
      <c r="A53" t="s">
        <v>3155</v>
      </c>
      <c r="B53" t="s">
        <v>3222</v>
      </c>
      <c r="C53" t="s">
        <v>3222</v>
      </c>
      <c r="D53" t="s">
        <v>3222</v>
      </c>
      <c r="E53" t="str">
        <f t="shared" ref="E53:E63" si="2">"Land Emissions "&amp;RIGHT(A53,LEN(A53)-1)</f>
        <v>Land Emissions 3B1a</v>
      </c>
      <c r="F53" t="s">
        <v>3170</v>
      </c>
      <c r="G53" t="s">
        <v>3166</v>
      </c>
      <c r="H53" t="s">
        <v>3171</v>
      </c>
      <c r="I53" t="s">
        <v>3167</v>
      </c>
    </row>
    <row r="54" spans="1:9" x14ac:dyDescent="0.25">
      <c r="A54" t="s">
        <v>3156</v>
      </c>
      <c r="B54" t="s">
        <v>3222</v>
      </c>
      <c r="C54" t="s">
        <v>3222</v>
      </c>
      <c r="D54" t="s">
        <v>3222</v>
      </c>
      <c r="E54" t="str">
        <f t="shared" si="2"/>
        <v>Land Emissions 3B1b</v>
      </c>
      <c r="F54" t="s">
        <v>3170</v>
      </c>
      <c r="G54" t="s">
        <v>3166</v>
      </c>
      <c r="H54" t="s">
        <v>3172</v>
      </c>
      <c r="I54" t="s">
        <v>3168</v>
      </c>
    </row>
    <row r="55" spans="1:9" x14ac:dyDescent="0.25">
      <c r="A55" t="s">
        <v>3157</v>
      </c>
      <c r="B55" t="s">
        <v>3222</v>
      </c>
      <c r="C55" t="s">
        <v>3222</v>
      </c>
      <c r="D55" t="s">
        <v>3222</v>
      </c>
      <c r="E55" t="str">
        <f t="shared" si="2"/>
        <v>Land Emissions 3B2a</v>
      </c>
      <c r="F55" t="s">
        <v>3170</v>
      </c>
      <c r="G55" t="s">
        <v>3166</v>
      </c>
      <c r="H55" t="s">
        <v>3173</v>
      </c>
      <c r="I55" t="s">
        <v>3174</v>
      </c>
    </row>
    <row r="56" spans="1:9" x14ac:dyDescent="0.25">
      <c r="A56" t="s">
        <v>3158</v>
      </c>
      <c r="B56" t="s">
        <v>3222</v>
      </c>
      <c r="C56" t="s">
        <v>3222</v>
      </c>
      <c r="D56" t="s">
        <v>3222</v>
      </c>
      <c r="E56" t="str">
        <f t="shared" si="2"/>
        <v>Land Emissions 3B2b</v>
      </c>
      <c r="F56" t="s">
        <v>3170</v>
      </c>
      <c r="G56" t="s">
        <v>3166</v>
      </c>
      <c r="H56" t="s">
        <v>3173</v>
      </c>
      <c r="I56" t="s">
        <v>3175</v>
      </c>
    </row>
    <row r="57" spans="1:9" x14ac:dyDescent="0.25">
      <c r="A57" t="s">
        <v>3159</v>
      </c>
      <c r="B57" t="s">
        <v>3222</v>
      </c>
      <c r="C57" t="s">
        <v>3222</v>
      </c>
      <c r="D57" t="s">
        <v>3222</v>
      </c>
      <c r="E57" t="str">
        <f t="shared" si="2"/>
        <v>Land Emissions 3B3a</v>
      </c>
      <c r="F57" t="s">
        <v>3170</v>
      </c>
      <c r="G57" t="s">
        <v>3166</v>
      </c>
      <c r="H57" t="s">
        <v>3176</v>
      </c>
      <c r="I57" t="s">
        <v>3177</v>
      </c>
    </row>
    <row r="58" spans="1:9" x14ac:dyDescent="0.25">
      <c r="A58" t="s">
        <v>3160</v>
      </c>
      <c r="B58" t="s">
        <v>3222</v>
      </c>
      <c r="C58" t="s">
        <v>3222</v>
      </c>
      <c r="D58" t="s">
        <v>3222</v>
      </c>
      <c r="E58" t="str">
        <f t="shared" si="2"/>
        <v>Land Emissions 3B3b</v>
      </c>
      <c r="F58" t="s">
        <v>3170</v>
      </c>
      <c r="G58" t="s">
        <v>3166</v>
      </c>
      <c r="H58" t="s">
        <v>3178</v>
      </c>
      <c r="I58" t="s">
        <v>3179</v>
      </c>
    </row>
    <row r="59" spans="1:9" x14ac:dyDescent="0.25">
      <c r="A59" t="s">
        <v>3301</v>
      </c>
      <c r="B59" t="s">
        <v>3222</v>
      </c>
      <c r="C59" t="s">
        <v>3222</v>
      </c>
      <c r="D59" t="s">
        <v>3222</v>
      </c>
      <c r="E59" t="str">
        <f t="shared" si="2"/>
        <v>Land Emissions 3B4</v>
      </c>
      <c r="F59" t="s">
        <v>3170</v>
      </c>
      <c r="G59" t="s">
        <v>3166</v>
      </c>
      <c r="H59" t="s">
        <v>3302</v>
      </c>
      <c r="I59" t="s">
        <v>3302</v>
      </c>
    </row>
    <row r="60" spans="1:9" x14ac:dyDescent="0.25">
      <c r="A60" t="s">
        <v>3161</v>
      </c>
      <c r="B60" t="s">
        <v>3222</v>
      </c>
      <c r="C60" t="s">
        <v>3222</v>
      </c>
      <c r="D60" t="s">
        <v>3222</v>
      </c>
      <c r="E60" t="str">
        <f t="shared" si="2"/>
        <v>Land Emissions 3B5a</v>
      </c>
      <c r="F60" t="s">
        <v>3170</v>
      </c>
      <c r="G60" t="s">
        <v>3166</v>
      </c>
      <c r="H60" t="s">
        <v>3180</v>
      </c>
      <c r="I60" t="s">
        <v>3181</v>
      </c>
    </row>
    <row r="61" spans="1:9" x14ac:dyDescent="0.25">
      <c r="A61" t="s">
        <v>3162</v>
      </c>
      <c r="B61" t="s">
        <v>3222</v>
      </c>
      <c r="C61" t="s">
        <v>3222</v>
      </c>
      <c r="D61" t="s">
        <v>3222</v>
      </c>
      <c r="E61" t="str">
        <f t="shared" si="2"/>
        <v>Land Emissions 3B5b</v>
      </c>
      <c r="F61" t="s">
        <v>3170</v>
      </c>
      <c r="G61" t="s">
        <v>3166</v>
      </c>
      <c r="H61" t="s">
        <v>3180</v>
      </c>
      <c r="I61" t="s">
        <v>3182</v>
      </c>
    </row>
    <row r="62" spans="1:9" x14ac:dyDescent="0.25">
      <c r="A62" t="s">
        <v>3163</v>
      </c>
      <c r="B62" t="s">
        <v>3222</v>
      </c>
      <c r="C62" t="s">
        <v>3222</v>
      </c>
      <c r="D62" t="s">
        <v>3222</v>
      </c>
      <c r="E62" t="str">
        <f t="shared" si="2"/>
        <v>Land Emissions 3B6a</v>
      </c>
      <c r="F62" t="s">
        <v>3170</v>
      </c>
      <c r="G62" t="s">
        <v>3166</v>
      </c>
      <c r="H62" t="s">
        <v>3183</v>
      </c>
      <c r="I62" t="s">
        <v>3184</v>
      </c>
    </row>
    <row r="63" spans="1:9" x14ac:dyDescent="0.25">
      <c r="A63" t="s">
        <v>3164</v>
      </c>
      <c r="B63" t="s">
        <v>3222</v>
      </c>
      <c r="C63" t="s">
        <v>3222</v>
      </c>
      <c r="D63" t="s">
        <v>3222</v>
      </c>
      <c r="E63" t="str">
        <f t="shared" si="2"/>
        <v>Land Emissions 3B6b</v>
      </c>
      <c r="F63" t="s">
        <v>3170</v>
      </c>
      <c r="G63" t="s">
        <v>3166</v>
      </c>
      <c r="H63" t="s">
        <v>3183</v>
      </c>
      <c r="I63" t="s">
        <v>3185</v>
      </c>
    </row>
    <row r="64" spans="1:9" x14ac:dyDescent="0.25">
      <c r="A64" t="s">
        <v>3239</v>
      </c>
      <c r="B64" t="s">
        <v>3221</v>
      </c>
      <c r="C64" t="s">
        <v>3221</v>
      </c>
      <c r="D64" t="s">
        <v>3221</v>
      </c>
      <c r="E64" t="str">
        <f t="shared" ref="E64:E74" si="3">"Agri Emissions "&amp;RIGHT(A64,LEN(A64)-1)</f>
        <v>Agri Emissions 3C1a</v>
      </c>
      <c r="F64" t="s">
        <v>3170</v>
      </c>
      <c r="G64" t="s">
        <v>3250</v>
      </c>
      <c r="H64" t="s">
        <v>3257</v>
      </c>
      <c r="I64" t="s">
        <v>3258</v>
      </c>
    </row>
    <row r="65" spans="1:9" x14ac:dyDescent="0.25">
      <c r="A65" t="s">
        <v>3240</v>
      </c>
      <c r="B65" t="s">
        <v>3221</v>
      </c>
      <c r="C65" t="s">
        <v>3221</v>
      </c>
      <c r="D65" t="s">
        <v>3221</v>
      </c>
      <c r="E65" t="str">
        <f t="shared" si="3"/>
        <v>Agri Emissions 3C1b</v>
      </c>
      <c r="F65" t="s">
        <v>3170</v>
      </c>
      <c r="G65" t="s">
        <v>3250</v>
      </c>
      <c r="H65" t="s">
        <v>3257</v>
      </c>
      <c r="I65" t="s">
        <v>3259</v>
      </c>
    </row>
    <row r="66" spans="1:9" x14ac:dyDescent="0.25">
      <c r="A66" t="s">
        <v>3241</v>
      </c>
      <c r="B66" t="s">
        <v>3221</v>
      </c>
      <c r="C66" t="s">
        <v>3221</v>
      </c>
      <c r="D66" t="s">
        <v>3221</v>
      </c>
      <c r="E66" t="str">
        <f t="shared" si="3"/>
        <v>Agri Emissions 3C1c</v>
      </c>
      <c r="F66" t="s">
        <v>3170</v>
      </c>
      <c r="G66" t="s">
        <v>3250</v>
      </c>
      <c r="H66" t="s">
        <v>3257</v>
      </c>
      <c r="I66" t="s">
        <v>3260</v>
      </c>
    </row>
    <row r="67" spans="1:9" x14ac:dyDescent="0.25">
      <c r="A67" t="s">
        <v>3242</v>
      </c>
      <c r="B67" t="s">
        <v>3221</v>
      </c>
      <c r="C67" t="s">
        <v>3221</v>
      </c>
      <c r="D67" t="s">
        <v>3221</v>
      </c>
      <c r="E67" t="str">
        <f t="shared" si="3"/>
        <v>Agri Emissions 3C1d</v>
      </c>
      <c r="F67" t="s">
        <v>3170</v>
      </c>
      <c r="G67" t="s">
        <v>3250</v>
      </c>
      <c r="H67" t="s">
        <v>3257</v>
      </c>
      <c r="I67" t="s">
        <v>3261</v>
      </c>
    </row>
    <row r="68" spans="1:9" x14ac:dyDescent="0.25">
      <c r="A68" t="s">
        <v>3243</v>
      </c>
      <c r="B68" t="s">
        <v>3221</v>
      </c>
      <c r="C68" t="s">
        <v>3221</v>
      </c>
      <c r="D68" t="s">
        <v>3221</v>
      </c>
      <c r="E68" t="str">
        <f t="shared" si="3"/>
        <v>Agri Emissions 3C1e</v>
      </c>
      <c r="F68" t="s">
        <v>3170</v>
      </c>
      <c r="G68" t="s">
        <v>3250</v>
      </c>
      <c r="H68" t="s">
        <v>3257</v>
      </c>
      <c r="I68" t="s">
        <v>3262</v>
      </c>
    </row>
    <row r="69" spans="1:9" x14ac:dyDescent="0.25">
      <c r="A69" t="s">
        <v>3244</v>
      </c>
      <c r="B69" t="s">
        <v>3221</v>
      </c>
      <c r="C69" t="s">
        <v>3221</v>
      </c>
      <c r="D69" t="s">
        <v>3221</v>
      </c>
      <c r="E69" t="str">
        <f t="shared" si="3"/>
        <v>Agri Emissions 3C1f</v>
      </c>
      <c r="F69" t="s">
        <v>3170</v>
      </c>
      <c r="G69" t="s">
        <v>3250</v>
      </c>
      <c r="H69" t="s">
        <v>3257</v>
      </c>
      <c r="I69" t="s">
        <v>3263</v>
      </c>
    </row>
    <row r="70" spans="1:9" x14ac:dyDescent="0.25">
      <c r="A70" t="s">
        <v>3248</v>
      </c>
      <c r="B70" t="s">
        <v>3221</v>
      </c>
      <c r="C70" t="s">
        <v>3221</v>
      </c>
      <c r="D70" t="s">
        <v>3221</v>
      </c>
      <c r="E70" t="str">
        <f t="shared" si="3"/>
        <v>Agri Emissions 3C2</v>
      </c>
      <c r="F70" t="s">
        <v>3170</v>
      </c>
      <c r="G70" t="s">
        <v>3250</v>
      </c>
      <c r="H70" t="s">
        <v>3251</v>
      </c>
      <c r="I70" t="s">
        <v>3251</v>
      </c>
    </row>
    <row r="71" spans="1:9" x14ac:dyDescent="0.25">
      <c r="A71" t="s">
        <v>3249</v>
      </c>
      <c r="B71" t="s">
        <v>3221</v>
      </c>
      <c r="C71" t="s">
        <v>3221</v>
      </c>
      <c r="D71" t="s">
        <v>3221</v>
      </c>
      <c r="E71" t="str">
        <f t="shared" si="3"/>
        <v>Agri Emissions 3C3</v>
      </c>
      <c r="F71" t="s">
        <v>3170</v>
      </c>
      <c r="G71" t="s">
        <v>3250</v>
      </c>
      <c r="H71" t="s">
        <v>3252</v>
      </c>
      <c r="I71" t="s">
        <v>3252</v>
      </c>
    </row>
    <row r="72" spans="1:9" x14ac:dyDescent="0.25">
      <c r="A72" t="s">
        <v>3245</v>
      </c>
      <c r="B72" t="s">
        <v>3221</v>
      </c>
      <c r="C72" t="s">
        <v>3221</v>
      </c>
      <c r="D72" t="s">
        <v>3221</v>
      </c>
      <c r="E72" t="str">
        <f t="shared" si="3"/>
        <v>Agri Emissions 3C4</v>
      </c>
      <c r="F72" t="s">
        <v>3170</v>
      </c>
      <c r="G72" t="s">
        <v>3250</v>
      </c>
      <c r="H72" t="s">
        <v>3253</v>
      </c>
      <c r="I72" t="s">
        <v>3253</v>
      </c>
    </row>
    <row r="73" spans="1:9" x14ac:dyDescent="0.25">
      <c r="A73" t="s">
        <v>3246</v>
      </c>
      <c r="B73" t="s">
        <v>3221</v>
      </c>
      <c r="C73" t="s">
        <v>3221</v>
      </c>
      <c r="D73" t="s">
        <v>3221</v>
      </c>
      <c r="E73" t="str">
        <f t="shared" si="3"/>
        <v>Agri Emissions 3C5</v>
      </c>
      <c r="F73" t="s">
        <v>3170</v>
      </c>
      <c r="G73" t="s">
        <v>3250</v>
      </c>
      <c r="H73" t="s">
        <v>3254</v>
      </c>
      <c r="I73" t="s">
        <v>3254</v>
      </c>
    </row>
    <row r="74" spans="1:9" x14ac:dyDescent="0.25">
      <c r="A74" t="s">
        <v>3247</v>
      </c>
      <c r="B74" t="s">
        <v>3221</v>
      </c>
      <c r="C74" t="s">
        <v>3221</v>
      </c>
      <c r="D74" t="s">
        <v>3221</v>
      </c>
      <c r="E74" t="str">
        <f t="shared" si="3"/>
        <v>Agri Emissions 3C6</v>
      </c>
      <c r="F74" t="s">
        <v>3170</v>
      </c>
      <c r="G74" t="s">
        <v>3250</v>
      </c>
      <c r="H74" t="s">
        <v>3255</v>
      </c>
      <c r="I74" t="s">
        <v>3256</v>
      </c>
    </row>
    <row r="75" spans="1:9" x14ac:dyDescent="0.25">
      <c r="A75" t="s">
        <v>3165</v>
      </c>
      <c r="B75" t="s">
        <v>3222</v>
      </c>
      <c r="C75" t="s">
        <v>3222</v>
      </c>
      <c r="D75" t="s">
        <v>3222</v>
      </c>
      <c r="E75" t="str">
        <f>"Land Emissions "&amp;RIGHT(A75,LEN(A75)-1)</f>
        <v>Land Emissions 3D1</v>
      </c>
      <c r="F75" t="s">
        <v>3170</v>
      </c>
      <c r="G75" t="s">
        <v>3169</v>
      </c>
      <c r="H75" t="s">
        <v>3186</v>
      </c>
      <c r="I75" t="s">
        <v>3186</v>
      </c>
    </row>
    <row r="76" spans="1:9" x14ac:dyDescent="0.25">
      <c r="A76" t="s">
        <v>3200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3203</v>
      </c>
      <c r="G76" t="s">
        <v>3204</v>
      </c>
      <c r="H76" t="s">
        <v>3204</v>
      </c>
      <c r="I76" t="s">
        <v>3204</v>
      </c>
    </row>
    <row r="77" spans="1:9" x14ac:dyDescent="0.25">
      <c r="A77" t="s">
        <v>3201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3203</v>
      </c>
      <c r="G77" t="s">
        <v>3207</v>
      </c>
      <c r="H77" t="s">
        <v>3207</v>
      </c>
      <c r="I77" t="s">
        <v>3207</v>
      </c>
    </row>
    <row r="78" spans="1:9" x14ac:dyDescent="0.25">
      <c r="A78" t="s">
        <v>3199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3203</v>
      </c>
      <c r="G78" t="s">
        <v>3205</v>
      </c>
      <c r="H78" t="s">
        <v>3205</v>
      </c>
      <c r="I78" t="s">
        <v>3205</v>
      </c>
    </row>
    <row r="79" spans="1:9" x14ac:dyDescent="0.25">
      <c r="A79" t="s">
        <v>3202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3203</v>
      </c>
      <c r="G79" t="s">
        <v>3206</v>
      </c>
      <c r="H79" t="s">
        <v>3206</v>
      </c>
      <c r="I79" t="s">
        <v>3206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D187" t="s">
        <v>0</v>
      </c>
      <c r="E187" t="s">
        <v>15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x14ac:dyDescent="0.25">
      <c r="A188" t="s">
        <v>14</v>
      </c>
      <c r="D188" t="s">
        <v>0</v>
      </c>
      <c r="E188" t="s">
        <v>13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x14ac:dyDescent="0.25">
      <c r="A189" t="s">
        <v>12</v>
      </c>
      <c r="D189" t="s">
        <v>0</v>
      </c>
      <c r="E189" t="s">
        <v>11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x14ac:dyDescent="0.25">
      <c r="A190" t="s">
        <v>10</v>
      </c>
      <c r="D190" t="s">
        <v>0</v>
      </c>
      <c r="E190" t="s">
        <v>9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3463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3463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3463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3463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3463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3463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3463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3463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3463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3067</v>
      </c>
      <c r="B217" t="s">
        <v>145</v>
      </c>
      <c r="C217" t="s">
        <v>1414</v>
      </c>
      <c r="D217" t="s">
        <v>3463</v>
      </c>
      <c r="E217" t="s">
        <v>3068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3463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3465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3465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3465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3465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3465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3465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3465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3465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3465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3465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3464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3470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3469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3469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3469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3469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3469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3470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3469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3469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3469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3469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2985</v>
      </c>
      <c r="B253" t="s">
        <v>145</v>
      </c>
      <c r="C253" t="s">
        <v>1324</v>
      </c>
      <c r="D253" t="s">
        <v>3469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3469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3469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3469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3469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3469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2982</v>
      </c>
      <c r="B259" t="s">
        <v>145</v>
      </c>
      <c r="C259" t="s">
        <v>1324</v>
      </c>
      <c r="D259" t="s">
        <v>3469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2994</v>
      </c>
      <c r="D260" t="s">
        <v>2996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2995</v>
      </c>
      <c r="D261" t="s">
        <v>2997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3469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2983</v>
      </c>
      <c r="B263" t="s">
        <v>145</v>
      </c>
      <c r="C263" t="s">
        <v>1324</v>
      </c>
      <c r="D263" t="s">
        <v>3470</v>
      </c>
      <c r="E263" t="s">
        <v>2984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3549</v>
      </c>
      <c r="B264" t="s">
        <v>145</v>
      </c>
      <c r="C264" t="s">
        <v>3607</v>
      </c>
      <c r="D264" t="s">
        <v>3606</v>
      </c>
      <c r="E264" t="s">
        <v>3550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2992</v>
      </c>
      <c r="B265" t="s">
        <v>145</v>
      </c>
      <c r="C265" t="s">
        <v>2994</v>
      </c>
      <c r="D265" t="s">
        <v>2998</v>
      </c>
      <c r="E265" t="s">
        <v>2993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3069</v>
      </c>
      <c r="B266" t="s">
        <v>145</v>
      </c>
      <c r="C266" t="s">
        <v>2995</v>
      </c>
      <c r="D266" t="s">
        <v>2999</v>
      </c>
      <c r="E266" t="s">
        <v>2991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2988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3558</v>
      </c>
      <c r="B268" t="s">
        <v>145</v>
      </c>
      <c r="C268" t="s">
        <v>3609</v>
      </c>
      <c r="D268" t="s">
        <v>3608</v>
      </c>
      <c r="E268" t="s">
        <v>3559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2989</v>
      </c>
      <c r="B269" t="s">
        <v>145</v>
      </c>
      <c r="C269" t="s">
        <v>1315</v>
      </c>
      <c r="D269" t="s">
        <v>1315</v>
      </c>
      <c r="E269" t="s">
        <v>2990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2987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3563</v>
      </c>
      <c r="B275" t="s">
        <v>145</v>
      </c>
      <c r="C275" t="s">
        <v>3610</v>
      </c>
      <c r="D275" t="s">
        <v>3611</v>
      </c>
      <c r="E275" t="s">
        <v>3564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3472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3471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2986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3397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3877</v>
      </c>
      <c r="B282" t="s">
        <v>960</v>
      </c>
      <c r="C282" t="s">
        <v>3880</v>
      </c>
      <c r="D282" t="s">
        <v>3880</v>
      </c>
      <c r="E282" t="s">
        <v>3887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3857</v>
      </c>
      <c r="B283" t="s">
        <v>960</v>
      </c>
      <c r="C283" t="s">
        <v>3879</v>
      </c>
      <c r="D283" t="s">
        <v>3879</v>
      </c>
      <c r="E283" t="s">
        <v>3858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3888</v>
      </c>
      <c r="B284" t="s">
        <v>960</v>
      </c>
      <c r="C284" t="s">
        <v>3879</v>
      </c>
      <c r="D284" t="s">
        <v>3879</v>
      </c>
      <c r="E284" t="s">
        <v>3889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3476</v>
      </c>
      <c r="B285" t="s">
        <v>386</v>
      </c>
      <c r="C285" t="s">
        <v>3612</v>
      </c>
      <c r="D285" t="s">
        <v>3612</v>
      </c>
      <c r="E285" t="s">
        <v>3477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3478</v>
      </c>
      <c r="B286" t="s">
        <v>386</v>
      </c>
      <c r="C286" t="s">
        <v>3613</v>
      </c>
      <c r="D286" t="s">
        <v>3613</v>
      </c>
      <c r="E286" t="s">
        <v>3479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3070</v>
      </c>
      <c r="B287" t="s">
        <v>960</v>
      </c>
      <c r="C287" t="s">
        <v>3072</v>
      </c>
      <c r="D287" t="s">
        <v>3073</v>
      </c>
      <c r="E287" t="s">
        <v>3071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3491</v>
      </c>
      <c r="B288" t="s">
        <v>3492</v>
      </c>
      <c r="C288" t="s">
        <v>3072</v>
      </c>
      <c r="D288" t="s">
        <v>3073</v>
      </c>
      <c r="E288" t="s">
        <v>3492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3074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3775</v>
      </c>
      <c r="B300" t="s">
        <v>960</v>
      </c>
      <c r="C300" t="s">
        <v>1266</v>
      </c>
      <c r="D300" t="s">
        <v>1021</v>
      </c>
      <c r="E300" t="s">
        <v>3773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3776</v>
      </c>
      <c r="B301" t="s">
        <v>960</v>
      </c>
      <c r="C301" t="s">
        <v>1266</v>
      </c>
      <c r="D301" t="s">
        <v>1021</v>
      </c>
      <c r="E301" t="s">
        <v>3774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1268</v>
      </c>
      <c r="B306" t="s">
        <v>960</v>
      </c>
      <c r="C306" t="s">
        <v>1266</v>
      </c>
      <c r="D306" t="s">
        <v>1265</v>
      </c>
      <c r="E306" t="s">
        <v>1267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1A2c Chemicals</v>
      </c>
    </row>
    <row r="307" spans="1:9" x14ac:dyDescent="0.25">
      <c r="A307" t="s">
        <v>3591</v>
      </c>
      <c r="B307" t="s">
        <v>960</v>
      </c>
      <c r="C307" t="s">
        <v>1266</v>
      </c>
      <c r="D307" t="s">
        <v>3614</v>
      </c>
      <c r="E307" t="s">
        <v>3592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1A2c Chemicals</v>
      </c>
    </row>
    <row r="308" spans="1:9" x14ac:dyDescent="0.25">
      <c r="A308" t="s">
        <v>3593</v>
      </c>
      <c r="B308" t="s">
        <v>960</v>
      </c>
      <c r="C308" t="s">
        <v>1266</v>
      </c>
      <c r="D308" t="s">
        <v>3614</v>
      </c>
      <c r="E308" t="s">
        <v>3594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3595</v>
      </c>
      <c r="E309" t="s">
        <v>3596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3493</v>
      </c>
      <c r="B311" t="s">
        <v>960</v>
      </c>
      <c r="C311" t="s">
        <v>1262</v>
      </c>
      <c r="D311" t="s">
        <v>3615</v>
      </c>
      <c r="E311" t="s">
        <v>3494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3495</v>
      </c>
      <c r="B312" t="s">
        <v>960</v>
      </c>
      <c r="C312" t="s">
        <v>1262</v>
      </c>
      <c r="D312" t="s">
        <v>3615</v>
      </c>
      <c r="E312" t="s">
        <v>3496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3497</v>
      </c>
      <c r="B313" t="s">
        <v>960</v>
      </c>
      <c r="C313" t="s">
        <v>1262</v>
      </c>
      <c r="D313" t="s">
        <v>3615</v>
      </c>
      <c r="E313" t="s">
        <v>3498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3779</v>
      </c>
      <c r="B326" t="s">
        <v>960</v>
      </c>
      <c r="C326" t="s">
        <v>1235</v>
      </c>
      <c r="D326" t="s">
        <v>1021</v>
      </c>
      <c r="E326" t="s">
        <v>3777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3780</v>
      </c>
      <c r="B327" t="s">
        <v>960</v>
      </c>
      <c r="C327" t="s">
        <v>1235</v>
      </c>
      <c r="D327" t="s">
        <v>1021</v>
      </c>
      <c r="E327" t="s">
        <v>3778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3723</v>
      </c>
      <c r="B332" t="s">
        <v>960</v>
      </c>
      <c r="C332" t="s">
        <v>1262</v>
      </c>
      <c r="D332" t="s">
        <v>3742</v>
      </c>
      <c r="E332" t="s">
        <v>3724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3725</v>
      </c>
      <c r="B333" t="s">
        <v>960</v>
      </c>
      <c r="C333" t="s">
        <v>1262</v>
      </c>
      <c r="D333" t="s">
        <v>3742</v>
      </c>
      <c r="E333" t="s">
        <v>3726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3727</v>
      </c>
      <c r="B334" t="s">
        <v>960</v>
      </c>
      <c r="C334" t="s">
        <v>1262</v>
      </c>
      <c r="D334" t="s">
        <v>3742</v>
      </c>
      <c r="E334" t="s">
        <v>3728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3075</v>
      </c>
      <c r="B348" t="s">
        <v>960</v>
      </c>
      <c r="C348" t="s">
        <v>1193</v>
      </c>
      <c r="D348" t="s">
        <v>1206</v>
      </c>
      <c r="E348" t="s">
        <v>3076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3077</v>
      </c>
      <c r="B349" t="s">
        <v>960</v>
      </c>
      <c r="C349" t="s">
        <v>1193</v>
      </c>
      <c r="D349" t="s">
        <v>1206</v>
      </c>
      <c r="E349" t="s">
        <v>3078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3079</v>
      </c>
      <c r="B350" t="s">
        <v>960</v>
      </c>
      <c r="C350" t="s">
        <v>1193</v>
      </c>
      <c r="D350" t="s">
        <v>3616</v>
      </c>
      <c r="E350" t="s">
        <v>3080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3081</v>
      </c>
      <c r="B351" t="s">
        <v>386</v>
      </c>
      <c r="C351" t="s">
        <v>3617</v>
      </c>
      <c r="D351" t="s">
        <v>3617</v>
      </c>
      <c r="E351" t="s">
        <v>3082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3083</v>
      </c>
      <c r="B352" t="s">
        <v>386</v>
      </c>
      <c r="C352" t="s">
        <v>3618</v>
      </c>
      <c r="D352" t="s">
        <v>3619</v>
      </c>
      <c r="E352" t="s">
        <v>3084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3499</v>
      </c>
      <c r="B353" t="s">
        <v>386</v>
      </c>
      <c r="C353" t="s">
        <v>3618</v>
      </c>
      <c r="D353" t="s">
        <v>3620</v>
      </c>
      <c r="E353" t="s">
        <v>3500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3501</v>
      </c>
      <c r="B354" t="s">
        <v>145</v>
      </c>
      <c r="C354" t="s">
        <v>3617</v>
      </c>
      <c r="D354" t="s">
        <v>3617</v>
      </c>
      <c r="E354" t="s">
        <v>3502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3503</v>
      </c>
      <c r="B355" t="s">
        <v>960</v>
      </c>
      <c r="C355" t="s">
        <v>1193</v>
      </c>
      <c r="D355" t="s">
        <v>3621</v>
      </c>
      <c r="E355" t="s">
        <v>3085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3504</v>
      </c>
      <c r="B373" t="s">
        <v>960</v>
      </c>
      <c r="C373" t="s">
        <v>1159</v>
      </c>
      <c r="D373" t="s">
        <v>0</v>
      </c>
      <c r="E373" t="s">
        <v>3505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3771</v>
      </c>
      <c r="B376" t="s">
        <v>960</v>
      </c>
      <c r="C376" t="s">
        <v>1159</v>
      </c>
      <c r="D376" t="s">
        <v>1021</v>
      </c>
      <c r="E376" t="s">
        <v>3769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3772</v>
      </c>
      <c r="B377" t="s">
        <v>960</v>
      </c>
      <c r="C377" t="s">
        <v>1159</v>
      </c>
      <c r="D377" t="s">
        <v>1021</v>
      </c>
      <c r="E377" t="s">
        <v>3770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3872</v>
      </c>
      <c r="B387" t="s">
        <v>21</v>
      </c>
      <c r="C387" t="s">
        <v>423</v>
      </c>
      <c r="D387" t="s">
        <v>423</v>
      </c>
      <c r="E387" t="s">
        <v>3873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1A2m Non-specified Industry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1A2m Non-specified Industry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1A2m Non-specified Industry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1A2m Non-specified Industry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1A2m Non-specified Industry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1A2m Non-specified Industry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1A2m Non-specified Industry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1A2m Non-specified Industry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1A2m Non-specified Industry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1A2m Non-specified Industry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1A2m Non-specified Industry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1A2m Non-specified Industry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1A2m Non-specified Industry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1A2m Non-specified Industry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1A2m Non-specified Industry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1A2m Non-specified Industry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1A2m Non-specified Industry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1A2m Non-specified Industry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1A2m Non-specified Industry</v>
      </c>
    </row>
    <row r="430" spans="1:9" x14ac:dyDescent="0.25">
      <c r="A430" t="s">
        <v>3519</v>
      </c>
      <c r="B430" t="s">
        <v>960</v>
      </c>
      <c r="C430" t="s">
        <v>1064</v>
      </c>
      <c r="D430" t="s">
        <v>1078</v>
      </c>
      <c r="E430" t="s">
        <v>3520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1A2m Non-specified Industry</v>
      </c>
    </row>
    <row r="431" spans="1:9" x14ac:dyDescent="0.25">
      <c r="A431" t="s">
        <v>3521</v>
      </c>
      <c r="B431" t="s">
        <v>960</v>
      </c>
      <c r="C431" t="s">
        <v>1064</v>
      </c>
      <c r="D431" t="s">
        <v>1078</v>
      </c>
      <c r="E431" t="s">
        <v>3522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1A2m Non-specified Industry</v>
      </c>
    </row>
    <row r="432" spans="1:9" x14ac:dyDescent="0.25">
      <c r="A432" t="s">
        <v>3523</v>
      </c>
      <c r="B432" t="s">
        <v>960</v>
      </c>
      <c r="C432" t="s">
        <v>1064</v>
      </c>
      <c r="D432" t="s">
        <v>1078</v>
      </c>
      <c r="E432" t="s">
        <v>3524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1A2m Non-specified Industry</v>
      </c>
    </row>
    <row r="433" spans="1:9" x14ac:dyDescent="0.25">
      <c r="A433" t="s">
        <v>3525</v>
      </c>
      <c r="B433" t="s">
        <v>960</v>
      </c>
      <c r="C433" t="s">
        <v>1064</v>
      </c>
      <c r="D433" t="s">
        <v>1078</v>
      </c>
      <c r="E433" t="s">
        <v>3526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1A2m Non-specified Industry</v>
      </c>
    </row>
    <row r="434" spans="1:9" x14ac:dyDescent="0.25">
      <c r="A434" t="s">
        <v>3527</v>
      </c>
      <c r="B434" t="s">
        <v>960</v>
      </c>
      <c r="C434" t="s">
        <v>1064</v>
      </c>
      <c r="D434" t="s">
        <v>1078</v>
      </c>
      <c r="E434" t="s">
        <v>3528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1A2m Non-specified Industry</v>
      </c>
    </row>
    <row r="435" spans="1:9" x14ac:dyDescent="0.25">
      <c r="A435" t="s">
        <v>1077</v>
      </c>
      <c r="B435" t="s">
        <v>960</v>
      </c>
      <c r="C435" t="s">
        <v>3823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1A2m Non-specified Industry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1A2m Non-specified Industry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1A2m Non-specified Industry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1A2m Non-specified Industry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1A2m Non-specified Industry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1A2d Pulp, Paper and Print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1A2d Pulp, Paper and Print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1A2d Pulp, Paper and Print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1A2d Pulp, Paper and Print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1A2d Pulp, Paper and Print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1A2d Pulp, Paper and Print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1A2d Pulp, Paper and Print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1A2d Pulp, Paper and Print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1A2d Pulp, Paper and Print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1A2d Pulp, Paper and Print</v>
      </c>
    </row>
    <row r="451" spans="1:9" x14ac:dyDescent="0.25">
      <c r="A451" t="s">
        <v>3535</v>
      </c>
      <c r="B451" t="s">
        <v>960</v>
      </c>
      <c r="C451" t="s">
        <v>1022</v>
      </c>
      <c r="D451" t="s">
        <v>0</v>
      </c>
      <c r="E451" t="s">
        <v>3536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1A2d Pulp, Paper and Print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1A2d Pulp, Paper and Print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1A2d Pulp, Paper and Print</v>
      </c>
    </row>
    <row r="454" spans="1:9" x14ac:dyDescent="0.25">
      <c r="A454" t="s">
        <v>3784</v>
      </c>
      <c r="B454" t="s">
        <v>960</v>
      </c>
      <c r="C454" t="s">
        <v>1022</v>
      </c>
      <c r="D454" t="s">
        <v>1021</v>
      </c>
      <c r="E454" t="s">
        <v>3781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1A2d Pulp, Paper and Print</v>
      </c>
    </row>
    <row r="455" spans="1:9" x14ac:dyDescent="0.25">
      <c r="A455" t="s">
        <v>3783</v>
      </c>
      <c r="B455" t="s">
        <v>960</v>
      </c>
      <c r="C455" t="s">
        <v>1022</v>
      </c>
      <c r="D455" t="s">
        <v>1021</v>
      </c>
      <c r="E455" t="s">
        <v>3782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1A2d Pulp, Paper and Print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1A2d Pulp, Paper and Print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1A2d Pulp, Paper and Print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1A2d Pulp, Paper and Print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1A2d Pulp, Paper and Print</v>
      </c>
    </row>
    <row r="460" spans="1:9" x14ac:dyDescent="0.25">
      <c r="A460" t="s">
        <v>3824</v>
      </c>
      <c r="B460" t="s">
        <v>960</v>
      </c>
      <c r="C460" t="s">
        <v>3793</v>
      </c>
      <c r="D460" t="s">
        <v>3793</v>
      </c>
      <c r="E460" t="s">
        <v>3827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3826</v>
      </c>
      <c r="B461" t="s">
        <v>960</v>
      </c>
      <c r="C461" t="s">
        <v>3793</v>
      </c>
      <c r="D461" t="s">
        <v>3793</v>
      </c>
      <c r="E461" t="s">
        <v>3828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1B1 Solid Fuels</v>
      </c>
      <c r="I462" t="str">
        <f>INDEX(IPCCMaps!K:K,MATCH(mapPRC!C462,IPCCMaps!G:G,0))</f>
        <v>1B1a Mining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1B1 Solid Fuels</v>
      </c>
      <c r="I463" t="str">
        <f>INDEX(IPCCMaps!K:K,MATCH(mapPRC!C463,IPCCMaps!G:G,0))</f>
        <v>1B1a Mining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1B1 Solid Fuels</v>
      </c>
      <c r="I464" t="str">
        <f>INDEX(IPCCMaps!K:K,MATCH(mapPRC!C464,IPCCMaps!G:G,0))</f>
        <v>1B1a Mining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1B1 Solid Fuels</v>
      </c>
      <c r="I465" t="str">
        <f>INDEX(IPCCMaps!K:K,MATCH(mapPRC!C465,IPCCMaps!G:G,0))</f>
        <v>1B1a Mining</v>
      </c>
    </row>
    <row r="466" spans="1:9" x14ac:dyDescent="0.25">
      <c r="A466" t="s">
        <v>3785</v>
      </c>
      <c r="B466" t="s">
        <v>960</v>
      </c>
      <c r="C466" t="s">
        <v>959</v>
      </c>
      <c r="D466" t="s">
        <v>3786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1B1 Solid Fuels</v>
      </c>
      <c r="I466" t="str">
        <f>INDEX(IPCCMaps!K:K,MATCH(mapPRC!C466,IPCCMaps!G:G,0))</f>
        <v>1B1a Mining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1B1 Solid Fuels</v>
      </c>
      <c r="I467" t="str">
        <f>INDEX(IPCCMaps!K:K,MATCH(mapPRC!C467,IPCCMaps!G:G,0))</f>
        <v>1B1a Mining</v>
      </c>
    </row>
    <row r="468" spans="1:9" x14ac:dyDescent="0.25">
      <c r="A468" t="s">
        <v>3787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1B1 Solid Fuels</v>
      </c>
      <c r="I468" t="str">
        <f>INDEX(IPCCMaps!K:K,MATCH(mapPRC!C468,IPCCMaps!G:G,0))</f>
        <v>1B1a Mining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1B1 Solid Fuels</v>
      </c>
      <c r="I469" t="str">
        <f>INDEX(IPCCMaps!K:K,MATCH(mapPRC!C469,IPCCMaps!G:G,0))</f>
        <v>1B1a Mining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1B1 Solid Fuels</v>
      </c>
      <c r="I470" t="str">
        <f>INDEX(IPCCMaps!K:K,MATCH(mapPRC!C470,IPCCMaps!G:G,0))</f>
        <v>1B1a Mining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1B1 Solid Fuels</v>
      </c>
      <c r="I471" t="str">
        <f>INDEX(IPCCMaps!K:K,MATCH(mapPRC!C471,IPCCMaps!G:G,0))</f>
        <v>1B1a Mining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x14ac:dyDescent="0.25">
      <c r="A474" t="s">
        <v>3883</v>
      </c>
      <c r="B474" t="s">
        <v>960</v>
      </c>
      <c r="C474" t="s">
        <v>959</v>
      </c>
      <c r="D474" t="s">
        <v>0</v>
      </c>
      <c r="E474" t="s">
        <v>3884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x14ac:dyDescent="0.25">
      <c r="A497" t="s">
        <v>3537</v>
      </c>
      <c r="B497" t="s">
        <v>960</v>
      </c>
      <c r="C497" t="s">
        <v>959</v>
      </c>
      <c r="D497" t="s">
        <v>958</v>
      </c>
      <c r="E497" t="s">
        <v>3538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1B2 Oil and Natural Gas</v>
      </c>
      <c r="I513" t="str">
        <f>INDEX(IPCCMaps!K:K,MATCH(mapPRC!C513,IPCCMaps!G:G,0))</f>
        <v>1B2a Oil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1B2 Oil and Natural Gas</v>
      </c>
      <c r="I514" t="str">
        <f>INDEX(IPCCMaps!K:K,MATCH(mapPRC!C514,IPCCMaps!G:G,0))</f>
        <v>1B2a Oil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1B2 Oil and Natural Gas</v>
      </c>
      <c r="I515" t="str">
        <f>INDEX(IPCCMaps!K:K,MATCH(mapPRC!C515,IPCCMaps!G:G,0))</f>
        <v>1B2a Oil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1B2 Oil and Natural Gas</v>
      </c>
      <c r="I516" t="str">
        <f>INDEX(IPCCMaps!K:K,MATCH(mapPRC!C516,IPCCMaps!G:G,0))</f>
        <v>1B2a Oil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1B2 Oil and Natural Gas</v>
      </c>
      <c r="I517" t="str">
        <f>INDEX(IPCCMaps!K:K,MATCH(mapPRC!C517,IPCCMaps!G:G,0))</f>
        <v>1B2a Oil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1B2 Oil and Natural Gas</v>
      </c>
      <c r="I518" t="str">
        <f>INDEX(IPCCMaps!K:K,MATCH(mapPRC!C518,IPCCMaps!G:G,0))</f>
        <v>1B2a Oil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1B2 Oil and Natural Gas</v>
      </c>
      <c r="I519" t="str">
        <f>INDEX(IPCCMaps!K:K,MATCH(mapPRC!C519,IPCCMaps!G:G,0))</f>
        <v>1B2a Oil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1B2 Oil and Natural Gas</v>
      </c>
      <c r="I520" t="str">
        <f>INDEX(IPCCMaps!K:K,MATCH(mapPRC!C520,IPCCMaps!G:G,0))</f>
        <v>1B2a Oil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1B2 Oil and Natural Gas</v>
      </c>
      <c r="I521" t="str">
        <f>INDEX(IPCCMaps!K:K,MATCH(mapPRC!C521,IPCCMaps!G:G,0))</f>
        <v>1B2a Oil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1B2 Oil and Natural Gas</v>
      </c>
      <c r="I522" t="str">
        <f>INDEX(IPCCMaps!K:K,MATCH(mapPRC!C522,IPCCMaps!G:G,0))</f>
        <v>1B2a Oil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1B2 Oil and Natural Gas</v>
      </c>
      <c r="I523" t="str">
        <f>INDEX(IPCCMaps!K:K,MATCH(mapPRC!C523,IPCCMaps!G:G,0))</f>
        <v>1B2a Oil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1B2 Oil and Natural Gas</v>
      </c>
      <c r="I524" t="str">
        <f>INDEX(IPCCMaps!K:K,MATCH(mapPRC!C524,IPCCMaps!G:G,0))</f>
        <v>1B2a Oil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1B2 Oil and Natural Gas</v>
      </c>
      <c r="I525" t="str">
        <f>INDEX(IPCCMaps!K:K,MATCH(mapPRC!C525,IPCCMaps!G:G,0))</f>
        <v>1B2a Oil</v>
      </c>
    </row>
    <row r="526" spans="1:9" x14ac:dyDescent="0.25">
      <c r="A526" t="s">
        <v>3761</v>
      </c>
      <c r="B526" t="s">
        <v>21</v>
      </c>
      <c r="C526" t="s">
        <v>2860</v>
      </c>
      <c r="D526" t="s">
        <v>916</v>
      </c>
      <c r="E526" t="s">
        <v>3762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1B2 Oil and Natural Gas</v>
      </c>
      <c r="I526" t="str">
        <f>INDEX(IPCCMaps!K:K,MATCH(mapPRC!C526,IPCCMaps!G:G,0))</f>
        <v>1B2a Oil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3791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1B2 Oil and Natural Gas</v>
      </c>
      <c r="I527" t="str">
        <f>INDEX(IPCCMaps!K:K,MATCH(mapPRC!C527,IPCCMaps!G:G,0))</f>
        <v>1B2a Oil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1B2 Oil and Natural Gas</v>
      </c>
      <c r="I528" t="str">
        <f>INDEX(IPCCMaps!K:K,MATCH(mapPRC!C528,IPCCMaps!G:G,0))</f>
        <v>1B2a Oil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1B2 Oil and Natural Gas</v>
      </c>
      <c r="I529" t="str">
        <f>INDEX(IPCCMaps!K:K,MATCH(mapPRC!C529,IPCCMaps!G:G,0))</f>
        <v>1B2a Oil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1B2 Oil and Natural Gas</v>
      </c>
      <c r="I530" t="str">
        <f>INDEX(IPCCMaps!K:K,MATCH(mapPRC!C530,IPCCMaps!G:G,0))</f>
        <v>1B2a Oil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1B2 Oil and Natural Gas</v>
      </c>
      <c r="I531" t="str">
        <f>INDEX(IPCCMaps!K:K,MATCH(mapPRC!C531,IPCCMaps!G:G,0))</f>
        <v>1B2a Oil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1B2 Oil and Natural Gas</v>
      </c>
      <c r="I532" t="str">
        <f>INDEX(IPCCMaps!K:K,MATCH(mapPRC!C532,IPCCMaps!G:G,0))</f>
        <v>1B2a Oil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1B2 Oil and Natural Gas</v>
      </c>
      <c r="I533" t="str">
        <f>INDEX(IPCCMaps!K:K,MATCH(mapPRC!C533,IPCCMaps!G:G,0))</f>
        <v>1B2a Oil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1B2 Oil and Natural Gas</v>
      </c>
      <c r="I534" t="str">
        <f>INDEX(IPCCMaps!K:K,MATCH(mapPRC!C534,IPCCMaps!G:G,0))</f>
        <v>1B2a Oil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1B2 Oil and Natural Gas</v>
      </c>
      <c r="I535" t="str">
        <f>INDEX(IPCCMaps!K:K,MATCH(mapPRC!C535,IPCCMaps!G:G,0))</f>
        <v>1B2a Oil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1B2 Oil and Natural Gas</v>
      </c>
      <c r="I536" t="str">
        <f>INDEX(IPCCMaps!K:K,MATCH(mapPRC!C536,IPCCMaps!G:G,0))</f>
        <v>1B2a Oil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1B2 Oil and Natural Gas</v>
      </c>
      <c r="I537" t="str">
        <f>INDEX(IPCCMaps!K:K,MATCH(mapPRC!C537,IPCCMaps!G:G,0))</f>
        <v>1B2a Oil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1B2 Oil and Natural Gas</v>
      </c>
      <c r="I538" t="str">
        <f>INDEX(IPCCMaps!K:K,MATCH(mapPRC!C538,IPCCMaps!G:G,0))</f>
        <v>1B2a Oil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1B2 Oil and Natural Gas</v>
      </c>
      <c r="I539" t="str">
        <f>INDEX(IPCCMaps!K:K,MATCH(mapPRC!C539,IPCCMaps!G:G,0))</f>
        <v>1B2a Oil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1B2 Oil and Natural Gas</v>
      </c>
      <c r="I540" t="str">
        <f>INDEX(IPCCMaps!K:K,MATCH(mapPRC!C540,IPCCMaps!G:G,0))</f>
        <v>1B2a Oil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1B2 Oil and Natural Gas</v>
      </c>
      <c r="I541" t="str">
        <f>INDEX(IPCCMaps!K:K,MATCH(mapPRC!C541,IPCCMaps!G:G,0))</f>
        <v>1B2a Oil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1B2 Oil and Natural Gas</v>
      </c>
      <c r="I542" t="str">
        <f>INDEX(IPCCMaps!K:K,MATCH(mapPRC!C542,IPCCMaps!G:G,0))</f>
        <v>1B2a Oil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1B2 Oil and Natural Gas</v>
      </c>
      <c r="I543" t="str">
        <f>INDEX(IPCCMaps!K:K,MATCH(mapPRC!C543,IPCCMaps!G:G,0))</f>
        <v>1B2a Oil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1B2 Oil and Natural Gas</v>
      </c>
      <c r="I544" t="str">
        <f>INDEX(IPCCMaps!K:K,MATCH(mapPRC!C544,IPCCMaps!G:G,0))</f>
        <v>1B2a Oil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1B2 Oil and Natural Gas</v>
      </c>
      <c r="I545" t="str">
        <f>INDEX(IPCCMaps!K:K,MATCH(mapPRC!C545,IPCCMaps!G:G,0))</f>
        <v>1B2a Oil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1B2 Oil and Natural Gas</v>
      </c>
      <c r="I546" t="str">
        <f>INDEX(IPCCMaps!K:K,MATCH(mapPRC!C546,IPCCMaps!G:G,0))</f>
        <v>1B2a Oil</v>
      </c>
    </row>
    <row r="547" spans="1:9" x14ac:dyDescent="0.25">
      <c r="A547" t="s">
        <v>3086</v>
      </c>
      <c r="D547" t="s">
        <v>0</v>
      </c>
      <c r="E547" t="s">
        <v>3087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>
        <f>INDEX(IPCCMaps!J:J,MATCH(mapPRC!C554,IPCCMaps!G:G,0))</f>
        <v>0</v>
      </c>
      <c r="I554">
        <f>INDEX(IPCCMaps!K:K,MATCH(mapPRC!C554,IPCCMaps!G:G,0))</f>
        <v>0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x14ac:dyDescent="0.25">
      <c r="A571" t="s">
        <v>3834</v>
      </c>
      <c r="E571" t="s">
        <v>3088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3890</v>
      </c>
      <c r="B572" t="s">
        <v>21</v>
      </c>
      <c r="C572" t="s">
        <v>859</v>
      </c>
      <c r="D572" t="s">
        <v>859</v>
      </c>
      <c r="E572" t="s">
        <v>3891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x14ac:dyDescent="0.25">
      <c r="A573" t="s">
        <v>3892</v>
      </c>
      <c r="B573" t="s">
        <v>21</v>
      </c>
      <c r="C573" t="s">
        <v>859</v>
      </c>
      <c r="D573" t="s">
        <v>859</v>
      </c>
      <c r="E573" t="s">
        <v>3090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x14ac:dyDescent="0.25">
      <c r="A574" t="s">
        <v>3089</v>
      </c>
      <c r="B574" t="s">
        <v>21</v>
      </c>
      <c r="C574" t="s">
        <v>859</v>
      </c>
      <c r="D574" t="s">
        <v>859</v>
      </c>
      <c r="E574" t="s">
        <v>3090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x14ac:dyDescent="0.25">
      <c r="A575" t="s">
        <v>3597</v>
      </c>
      <c r="B575" t="s">
        <v>21</v>
      </c>
      <c r="C575" t="s">
        <v>859</v>
      </c>
      <c r="D575" t="s">
        <v>859</v>
      </c>
      <c r="E575" t="s">
        <v>3598</v>
      </c>
    </row>
    <row r="576" spans="1:9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x14ac:dyDescent="0.25">
      <c r="A582" t="s">
        <v>3815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x14ac:dyDescent="0.25">
      <c r="A583" t="s">
        <v>3091</v>
      </c>
      <c r="B583" t="s">
        <v>21</v>
      </c>
      <c r="C583" t="s">
        <v>859</v>
      </c>
      <c r="D583" t="s">
        <v>859</v>
      </c>
      <c r="E583" t="s">
        <v>3092</v>
      </c>
    </row>
    <row r="584" spans="1:9" x14ac:dyDescent="0.25">
      <c r="A584" t="s">
        <v>3830</v>
      </c>
      <c r="E584" t="s">
        <v>3832</v>
      </c>
    </row>
    <row r="585" spans="1:9" x14ac:dyDescent="0.25">
      <c r="A585" t="s">
        <v>3831</v>
      </c>
      <c r="E585" t="s">
        <v>3833</v>
      </c>
    </row>
    <row r="586" spans="1:9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1A3a Transport - Aviation</v>
      </c>
    </row>
    <row r="646" spans="1:9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1A3a Transport - Aviation</v>
      </c>
    </row>
    <row r="647" spans="1:9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1A3a Transport - Aviation</v>
      </c>
    </row>
    <row r="648" spans="1:9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1A3a Transport - Aviation</v>
      </c>
    </row>
    <row r="649" spans="1:9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1A3a Transport - Aviation</v>
      </c>
    </row>
    <row r="650" spans="1:9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1A3a Transport - Aviation</v>
      </c>
    </row>
    <row r="651" spans="1:9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1A3a Transport - Aviation</v>
      </c>
    </row>
    <row r="652" spans="1:9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1A3a Transport - Aviation</v>
      </c>
    </row>
    <row r="653" spans="1:9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1A3a Transport - Aviation</v>
      </c>
    </row>
    <row r="654" spans="1:9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1A3a Transport - Aviation</v>
      </c>
    </row>
    <row r="655" spans="1:9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1A3a Transport - Aviation</v>
      </c>
    </row>
    <row r="656" spans="1:9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1A3a Transport - Aviation</v>
      </c>
    </row>
    <row r="657" spans="1:9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1A3a Transport - Aviation</v>
      </c>
    </row>
    <row r="658" spans="1:9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1A3a Transport - Aviation</v>
      </c>
    </row>
    <row r="659" spans="1:9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1A3a Transport - Aviation</v>
      </c>
    </row>
    <row r="660" spans="1:9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1A3a Transport - Aviation</v>
      </c>
    </row>
    <row r="661" spans="1:9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1A3a Transport - Aviation</v>
      </c>
    </row>
    <row r="662" spans="1:9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1A3a Transport - Aviation</v>
      </c>
    </row>
    <row r="663" spans="1:9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1A3a Transport - Aviation</v>
      </c>
    </row>
    <row r="664" spans="1:9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1A3a Transport - Aviation</v>
      </c>
    </row>
    <row r="665" spans="1:9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1A3a Transport - Aviation</v>
      </c>
    </row>
    <row r="666" spans="1:9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1A3a Transport - Aviation</v>
      </c>
    </row>
    <row r="667" spans="1:9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1A3a Transport - Aviation</v>
      </c>
    </row>
    <row r="668" spans="1:9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1A3a Transport - Aviation</v>
      </c>
    </row>
    <row r="669" spans="1:9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1A3a Transport - Aviation</v>
      </c>
    </row>
    <row r="670" spans="1:9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1A3a Transport - Aviation</v>
      </c>
    </row>
    <row r="671" spans="1:9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1A3a Transport - Aviation</v>
      </c>
    </row>
    <row r="672" spans="1:9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1A3a Transport - Aviation</v>
      </c>
    </row>
    <row r="673" spans="1:9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1A3a Transport - Aviation</v>
      </c>
    </row>
    <row r="674" spans="1:9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1A3a Transport - Aviation</v>
      </c>
    </row>
    <row r="675" spans="1:9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1A3a Transport - Aviation</v>
      </c>
    </row>
    <row r="676" spans="1:9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1A3a Transport - Aviation</v>
      </c>
    </row>
    <row r="677" spans="1:9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1A3a Transport - Aviation</v>
      </c>
    </row>
    <row r="678" spans="1:9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1A3a Transport - Aviation</v>
      </c>
    </row>
    <row r="679" spans="1:9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1A3a Transport - Aviation</v>
      </c>
    </row>
    <row r="680" spans="1:9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1A3a Transport - Aviation</v>
      </c>
    </row>
    <row r="681" spans="1:9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1A3a Transport - Aviation</v>
      </c>
    </row>
    <row r="682" spans="1:9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1A3a Transport - Aviation</v>
      </c>
    </row>
    <row r="683" spans="1:9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1A3a Transport - Aviation</v>
      </c>
    </row>
    <row r="684" spans="1:9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1A3a Transport - Aviation</v>
      </c>
    </row>
    <row r="685" spans="1:9" x14ac:dyDescent="0.25">
      <c r="A685" t="s">
        <v>3093</v>
      </c>
      <c r="B685" t="s">
        <v>26</v>
      </c>
      <c r="C685" t="s">
        <v>3101</v>
      </c>
      <c r="D685" t="s">
        <v>708</v>
      </c>
      <c r="E685" t="s">
        <v>3094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3095</v>
      </c>
      <c r="B686" t="s">
        <v>26</v>
      </c>
      <c r="C686" t="s">
        <v>3101</v>
      </c>
      <c r="D686" t="s">
        <v>708</v>
      </c>
      <c r="E686" t="s">
        <v>3096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3097</v>
      </c>
      <c r="B687" t="s">
        <v>26</v>
      </c>
      <c r="C687" t="s">
        <v>3102</v>
      </c>
      <c r="D687" t="s">
        <v>708</v>
      </c>
      <c r="E687" t="s">
        <v>3098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x14ac:dyDescent="0.25">
      <c r="A688" t="s">
        <v>3099</v>
      </c>
      <c r="B688" t="s">
        <v>26</v>
      </c>
      <c r="C688" t="s">
        <v>3102</v>
      </c>
      <c r="D688" t="s">
        <v>708</v>
      </c>
      <c r="E688" t="s">
        <v>3100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716</v>
      </c>
      <c r="B689" t="s">
        <v>26</v>
      </c>
      <c r="C689" t="s">
        <v>3101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714</v>
      </c>
      <c r="B690" t="s">
        <v>26</v>
      </c>
      <c r="C690" t="s">
        <v>3101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712</v>
      </c>
      <c r="B691" t="s">
        <v>26</v>
      </c>
      <c r="C691" t="s">
        <v>3101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710</v>
      </c>
      <c r="B692" t="s">
        <v>26</v>
      </c>
      <c r="C692" t="s">
        <v>3101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>
        <f>INDEX(IPCCMaps!J:J,MATCH(mapPRC!C705,IPCCMaps!G:G,0))</f>
        <v>0</v>
      </c>
      <c r="I705">
        <f>INDEX(IPCCMaps!K:K,MATCH(mapPRC!C705,IPCCMaps!G:G,0))</f>
        <v>0</v>
      </c>
    </row>
    <row r="706" spans="1:9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>
        <f>INDEX(IPCCMaps!J:J,MATCH(mapPRC!C706,IPCCMaps!G:G,0))</f>
        <v>0</v>
      </c>
      <c r="I706">
        <f>INDEX(IPCCMaps!K:K,MATCH(mapPRC!C706,IPCCMaps!G:G,0))</f>
        <v>0</v>
      </c>
    </row>
    <row r="707" spans="1:9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>
        <f>INDEX(IPCCMaps!J:J,MATCH(mapPRC!C707,IPCCMaps!G:G,0))</f>
        <v>0</v>
      </c>
      <c r="I707">
        <f>INDEX(IPCCMaps!K:K,MATCH(mapPRC!C707,IPCCMaps!G:G,0))</f>
        <v>0</v>
      </c>
    </row>
    <row r="708" spans="1:9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>
        <f>INDEX(IPCCMaps!J:J,MATCH(mapPRC!C708,IPCCMaps!G:G,0))</f>
        <v>0</v>
      </c>
      <c r="I708">
        <f>INDEX(IPCCMaps!K:K,MATCH(mapPRC!C708,IPCCMaps!G:G,0))</f>
        <v>0</v>
      </c>
    </row>
    <row r="709" spans="1:9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>
        <f>INDEX(IPCCMaps!J:J,MATCH(mapPRC!C709,IPCCMaps!G:G,0))</f>
        <v>0</v>
      </c>
      <c r="I709">
        <f>INDEX(IPCCMaps!K:K,MATCH(mapPRC!C709,IPCCMaps!G:G,0))</f>
        <v>0</v>
      </c>
    </row>
    <row r="710" spans="1:9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>
        <f>INDEX(IPCCMaps!J:J,MATCH(mapPRC!C710,IPCCMaps!G:G,0))</f>
        <v>0</v>
      </c>
      <c r="I710">
        <f>INDEX(IPCCMaps!K:K,MATCH(mapPRC!C710,IPCCMaps!G:G,0))</f>
        <v>0</v>
      </c>
    </row>
    <row r="711" spans="1:9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>
        <f>INDEX(IPCCMaps!J:J,MATCH(mapPRC!C711,IPCCMaps!G:G,0))</f>
        <v>0</v>
      </c>
      <c r="I711">
        <f>INDEX(IPCCMaps!K:K,MATCH(mapPRC!C711,IPCCMaps!G:G,0))</f>
        <v>0</v>
      </c>
    </row>
    <row r="712" spans="1:9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>
        <f>INDEX(IPCCMaps!J:J,MATCH(mapPRC!C712,IPCCMaps!G:G,0))</f>
        <v>0</v>
      </c>
      <c r="I712">
        <f>INDEX(IPCCMaps!K:K,MATCH(mapPRC!C712,IPCCMaps!G:G,0))</f>
        <v>0</v>
      </c>
    </row>
    <row r="713" spans="1:9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>
        <f>INDEX(IPCCMaps!J:J,MATCH(mapPRC!C713,IPCCMaps!G:G,0))</f>
        <v>0</v>
      </c>
      <c r="I713">
        <f>INDEX(IPCCMaps!K:K,MATCH(mapPRC!C713,IPCCMaps!G:G,0))</f>
        <v>0</v>
      </c>
    </row>
    <row r="714" spans="1:9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>
        <f>INDEX(IPCCMaps!J:J,MATCH(mapPRC!C714,IPCCMaps!G:G,0))</f>
        <v>0</v>
      </c>
      <c r="I714">
        <f>INDEX(IPCCMaps!K:K,MATCH(mapPRC!C714,IPCCMaps!G:G,0))</f>
        <v>0</v>
      </c>
    </row>
    <row r="715" spans="1:9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>
        <f>INDEX(IPCCMaps!J:J,MATCH(mapPRC!C715,IPCCMaps!G:G,0))</f>
        <v>0</v>
      </c>
      <c r="I715">
        <f>INDEX(IPCCMaps!K:K,MATCH(mapPRC!C715,IPCCMaps!G:G,0))</f>
        <v>0</v>
      </c>
    </row>
    <row r="716" spans="1:9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>
        <f>INDEX(IPCCMaps!J:J,MATCH(mapPRC!C716,IPCCMaps!G:G,0))</f>
        <v>0</v>
      </c>
      <c r="I716">
        <f>INDEX(IPCCMaps!K:K,MATCH(mapPRC!C716,IPCCMaps!G:G,0))</f>
        <v>0</v>
      </c>
    </row>
    <row r="717" spans="1:9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>
        <f>INDEX(IPCCMaps!J:J,MATCH(mapPRC!C717,IPCCMaps!G:G,0))</f>
        <v>0</v>
      </c>
      <c r="I717">
        <f>INDEX(IPCCMaps!K:K,MATCH(mapPRC!C717,IPCCMaps!G:G,0))</f>
        <v>0</v>
      </c>
    </row>
    <row r="718" spans="1:9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>
        <f>INDEX(IPCCMaps!J:J,MATCH(mapPRC!C718,IPCCMaps!G:G,0))</f>
        <v>0</v>
      </c>
      <c r="I718">
        <f>INDEX(IPCCMaps!K:K,MATCH(mapPRC!C718,IPCCMaps!G:G,0))</f>
        <v>0</v>
      </c>
    </row>
    <row r="719" spans="1:9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>
        <f>INDEX(IPCCMaps!J:J,MATCH(mapPRC!C719,IPCCMaps!G:G,0))</f>
        <v>0</v>
      </c>
      <c r="I719">
        <f>INDEX(IPCCMaps!K:K,MATCH(mapPRC!C719,IPCCMaps!G:G,0))</f>
        <v>0</v>
      </c>
    </row>
    <row r="720" spans="1:9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>
        <f>INDEX(IPCCMaps!J:J,MATCH(mapPRC!C720,IPCCMaps!G:G,0))</f>
        <v>0</v>
      </c>
      <c r="I720">
        <f>INDEX(IPCCMaps!K:K,MATCH(mapPRC!C720,IPCCMaps!G:G,0))</f>
        <v>0</v>
      </c>
    </row>
    <row r="721" spans="1:9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>
        <f>INDEX(IPCCMaps!J:J,MATCH(mapPRC!C721,IPCCMaps!G:G,0))</f>
        <v>0</v>
      </c>
      <c r="I721">
        <f>INDEX(IPCCMaps!K:K,MATCH(mapPRC!C721,IPCCMaps!G:G,0))</f>
        <v>0</v>
      </c>
    </row>
    <row r="722" spans="1:9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>
        <f>INDEX(IPCCMaps!J:J,MATCH(mapPRC!C722,IPCCMaps!G:G,0))</f>
        <v>0</v>
      </c>
      <c r="I722">
        <f>INDEX(IPCCMaps!K:K,MATCH(mapPRC!C722,IPCCMaps!G:G,0))</f>
        <v>0</v>
      </c>
    </row>
    <row r="723" spans="1:9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>
        <f>INDEX(IPCCMaps!J:J,MATCH(mapPRC!C723,IPCCMaps!G:G,0))</f>
        <v>0</v>
      </c>
      <c r="I723">
        <f>INDEX(IPCCMaps!K:K,MATCH(mapPRC!C723,IPCCMaps!G:G,0))</f>
        <v>0</v>
      </c>
    </row>
    <row r="724" spans="1:9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>
        <f>INDEX(IPCCMaps!J:J,MATCH(mapPRC!C724,IPCCMaps!G:G,0))</f>
        <v>0</v>
      </c>
      <c r="I724">
        <f>INDEX(IPCCMaps!K:K,MATCH(mapPRC!C724,IPCCMaps!G:G,0))</f>
        <v>0</v>
      </c>
    </row>
    <row r="725" spans="1:9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>
        <f>INDEX(IPCCMaps!J:J,MATCH(mapPRC!C725,IPCCMaps!G:G,0))</f>
        <v>0</v>
      </c>
      <c r="I725">
        <f>INDEX(IPCCMaps!K:K,MATCH(mapPRC!C725,IPCCMaps!G:G,0))</f>
        <v>0</v>
      </c>
    </row>
    <row r="726" spans="1:9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>
        <f>INDEX(IPCCMaps!J:J,MATCH(mapPRC!C726,IPCCMaps!G:G,0))</f>
        <v>0</v>
      </c>
      <c r="I726">
        <f>INDEX(IPCCMaps!K:K,MATCH(mapPRC!C726,IPCCMaps!G:G,0))</f>
        <v>0</v>
      </c>
    </row>
    <row r="727" spans="1:9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>
        <f>INDEX(IPCCMaps!J:J,MATCH(mapPRC!C727,IPCCMaps!G:G,0))</f>
        <v>0</v>
      </c>
      <c r="I727">
        <f>INDEX(IPCCMaps!K:K,MATCH(mapPRC!C727,IPCCMaps!G:G,0))</f>
        <v>0</v>
      </c>
    </row>
    <row r="728" spans="1:9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>
        <f>INDEX(IPCCMaps!J:J,MATCH(mapPRC!C728,IPCCMaps!G:G,0))</f>
        <v>0</v>
      </c>
      <c r="I728">
        <f>INDEX(IPCCMaps!K:K,MATCH(mapPRC!C728,IPCCMaps!G:G,0))</f>
        <v>0</v>
      </c>
    </row>
    <row r="729" spans="1:9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>
        <f>INDEX(IPCCMaps!J:J,MATCH(mapPRC!C729,IPCCMaps!G:G,0))</f>
        <v>0</v>
      </c>
      <c r="I729">
        <f>INDEX(IPCCMaps!K:K,MATCH(mapPRC!C729,IPCCMaps!G:G,0))</f>
        <v>0</v>
      </c>
    </row>
    <row r="730" spans="1:9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>
        <f>INDEX(IPCCMaps!J:J,MATCH(mapPRC!C730,IPCCMaps!G:G,0))</f>
        <v>0</v>
      </c>
      <c r="I730">
        <f>INDEX(IPCCMaps!K:K,MATCH(mapPRC!C730,IPCCMaps!G:G,0))</f>
        <v>0</v>
      </c>
    </row>
    <row r="731" spans="1:9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>
        <f>INDEX(IPCCMaps!J:J,MATCH(mapPRC!C731,IPCCMaps!G:G,0))</f>
        <v>0</v>
      </c>
      <c r="I731">
        <f>INDEX(IPCCMaps!K:K,MATCH(mapPRC!C731,IPCCMaps!G:G,0))</f>
        <v>0</v>
      </c>
    </row>
    <row r="732" spans="1:9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>
        <f>INDEX(IPCCMaps!J:J,MATCH(mapPRC!C732,IPCCMaps!G:G,0))</f>
        <v>0</v>
      </c>
      <c r="I732">
        <f>INDEX(IPCCMaps!K:K,MATCH(mapPRC!C732,IPCCMaps!G:G,0))</f>
        <v>0</v>
      </c>
    </row>
    <row r="733" spans="1:9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>
        <f>INDEX(IPCCMaps!J:J,MATCH(mapPRC!C733,IPCCMaps!G:G,0))</f>
        <v>0</v>
      </c>
      <c r="I733">
        <f>INDEX(IPCCMaps!K:K,MATCH(mapPRC!C733,IPCCMaps!G:G,0))</f>
        <v>0</v>
      </c>
    </row>
    <row r="734" spans="1:9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>
        <f>INDEX(IPCCMaps!J:J,MATCH(mapPRC!C734,IPCCMaps!G:G,0))</f>
        <v>0</v>
      </c>
      <c r="I734">
        <f>INDEX(IPCCMaps!K:K,MATCH(mapPRC!C734,IPCCMaps!G:G,0))</f>
        <v>0</v>
      </c>
    </row>
    <row r="735" spans="1:9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>
        <f>INDEX(IPCCMaps!J:J,MATCH(mapPRC!C735,IPCCMaps!G:G,0))</f>
        <v>0</v>
      </c>
      <c r="I735">
        <f>INDEX(IPCCMaps!K:K,MATCH(mapPRC!C735,IPCCMaps!G:G,0))</f>
        <v>0</v>
      </c>
    </row>
    <row r="736" spans="1:9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>
        <f>INDEX(IPCCMaps!J:J,MATCH(mapPRC!C736,IPCCMaps!G:G,0))</f>
        <v>0</v>
      </c>
      <c r="I736">
        <f>INDEX(IPCCMaps!K:K,MATCH(mapPRC!C736,IPCCMaps!G:G,0))</f>
        <v>0</v>
      </c>
    </row>
    <row r="737" spans="1:9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>
        <f>INDEX(IPCCMaps!J:J,MATCH(mapPRC!C737,IPCCMaps!G:G,0))</f>
        <v>0</v>
      </c>
      <c r="I737">
        <f>INDEX(IPCCMaps!K:K,MATCH(mapPRC!C737,IPCCMaps!G:G,0))</f>
        <v>0</v>
      </c>
    </row>
    <row r="738" spans="1:9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>
        <f>INDEX(IPCCMaps!J:J,MATCH(mapPRC!C738,IPCCMaps!G:G,0))</f>
        <v>0</v>
      </c>
      <c r="I738">
        <f>INDEX(IPCCMaps!K:K,MATCH(mapPRC!C738,IPCCMaps!G:G,0))</f>
        <v>0</v>
      </c>
    </row>
    <row r="739" spans="1:9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>
        <f>INDEX(IPCCMaps!J:J,MATCH(mapPRC!C739,IPCCMaps!G:G,0))</f>
        <v>0</v>
      </c>
      <c r="I739">
        <f>INDEX(IPCCMaps!K:K,MATCH(mapPRC!C739,IPCCMaps!G:G,0))</f>
        <v>0</v>
      </c>
    </row>
    <row r="740" spans="1:9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>
        <f>INDEX(IPCCMaps!J:J,MATCH(mapPRC!C740,IPCCMaps!G:G,0))</f>
        <v>0</v>
      </c>
      <c r="I740">
        <f>INDEX(IPCCMaps!K:K,MATCH(mapPRC!C740,IPCCMaps!G:G,0))</f>
        <v>0</v>
      </c>
    </row>
    <row r="741" spans="1:9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1A3c Transport - Railways</v>
      </c>
    </row>
    <row r="742" spans="1:9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1A3c Transport - Railways</v>
      </c>
    </row>
    <row r="743" spans="1:9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3103</v>
      </c>
      <c r="B768" t="s">
        <v>26</v>
      </c>
      <c r="C768" t="s">
        <v>30</v>
      </c>
      <c r="D768" t="s">
        <v>29</v>
      </c>
      <c r="E768" t="s">
        <v>3104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3105</v>
      </c>
      <c r="B776" t="s">
        <v>26</v>
      </c>
      <c r="C776" t="s">
        <v>30</v>
      </c>
      <c r="D776" t="s">
        <v>522</v>
      </c>
      <c r="E776" t="s">
        <v>3106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1A3d Transport - Water borne navigation</v>
      </c>
    </row>
    <row r="780" spans="1:9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1A3d Transport - Water borne navigation</v>
      </c>
    </row>
    <row r="781" spans="1:9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1A3d Transport - Water borne navigation</v>
      </c>
    </row>
    <row r="782" spans="1:9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1A3d Transport - Water borne navigation</v>
      </c>
    </row>
    <row r="783" spans="1:9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1A3d Transport - Water borne navigation</v>
      </c>
    </row>
    <row r="784" spans="1:9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1A3d Transport - Water borne navigation</v>
      </c>
    </row>
    <row r="785" spans="1:9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1A3d Transport - Water borne navigation</v>
      </c>
    </row>
    <row r="786" spans="1:9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1A3d Transport - Water borne navigation</v>
      </c>
    </row>
    <row r="787" spans="1:9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1A3d Transport - Water borne navigation</v>
      </c>
    </row>
    <row r="788" spans="1:9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1A3d Transport - Water borne navigation</v>
      </c>
    </row>
    <row r="789" spans="1:9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1A3d Transport - Water borne navigation</v>
      </c>
    </row>
    <row r="790" spans="1:9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1A3d Transport - Water borne navigation</v>
      </c>
    </row>
    <row r="791" spans="1:9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1A3d Transport - Water borne navigation</v>
      </c>
    </row>
    <row r="792" spans="1:9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1A3d Transport - Water borne navigation</v>
      </c>
    </row>
    <row r="793" spans="1:9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1A3d Transport - Water borne navigation</v>
      </c>
    </row>
    <row r="794" spans="1:9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1A3d Transport - Water borne navigation</v>
      </c>
    </row>
    <row r="795" spans="1:9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1A3d Transport - Water borne navigation</v>
      </c>
    </row>
    <row r="796" spans="1:9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1A3d Transport - Water borne navigation</v>
      </c>
    </row>
    <row r="797" spans="1:9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1A3d Transport - Water borne navigation</v>
      </c>
    </row>
    <row r="798" spans="1:9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1A3d Transport - Water borne navigation</v>
      </c>
    </row>
    <row r="799" spans="1:9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1A3d Transport - Water borne navigation</v>
      </c>
    </row>
    <row r="800" spans="1:9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1A3d Transport - Water borne navigation</v>
      </c>
    </row>
    <row r="801" spans="1:9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1A3d Transport - Water borne navigation</v>
      </c>
    </row>
    <row r="802" spans="1:9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1A1 Energy Industries</v>
      </c>
      <c r="I802" t="str">
        <f>INDEX(IPCCMaps!K:K,MATCH(mapPRC!C802,IPCCMaps!G:G,0))</f>
        <v xml:space="preserve">1A1b Petroleum refining </v>
      </c>
    </row>
    <row r="803" spans="1:9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1A1 Energy Industries</v>
      </c>
      <c r="I803" t="str">
        <f>INDEX(IPCCMaps!K:K,MATCH(mapPRC!C803,IPCCMaps!G:G,0))</f>
        <v xml:space="preserve">1A1b Petroleum refining </v>
      </c>
    </row>
    <row r="804" spans="1:9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2B10 Hydrogen Production</v>
      </c>
      <c r="I804" t="str">
        <f>INDEX(IPCCMaps!K:K,MATCH(mapPRC!C804,IPCCMaps!G:G,0))</f>
        <v>2B10 Hydrogen Production</v>
      </c>
    </row>
    <row r="805" spans="1:9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2B10 Hydrogen Production</v>
      </c>
      <c r="I805" t="str">
        <f>INDEX(IPCCMaps!K:K,MATCH(mapPRC!C805,IPCCMaps!G:G,0))</f>
        <v>2B10 Hydrogen Production</v>
      </c>
    </row>
    <row r="806" spans="1:9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2B10 Hydrogen Production</v>
      </c>
      <c r="I806" t="str">
        <f>INDEX(IPCCMaps!K:K,MATCH(mapPRC!C806,IPCCMaps!G:G,0))</f>
        <v>2B10 Hydrogen Production</v>
      </c>
    </row>
    <row r="807" spans="1:9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2B10 Hydrogen Production</v>
      </c>
      <c r="I807" t="str">
        <f>INDEX(IPCCMaps!K:K,MATCH(mapPRC!C807,IPCCMaps!G:G,0))</f>
        <v>2B10 Hydrogen Production</v>
      </c>
    </row>
    <row r="808" spans="1:9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2B10 Hydrogen Production</v>
      </c>
      <c r="I808" t="str">
        <f>INDEX(IPCCMaps!K:K,MATCH(mapPRC!C808,IPCCMaps!G:G,0))</f>
        <v>2B10 Hydrogen Production</v>
      </c>
    </row>
    <row r="809" spans="1:9" x14ac:dyDescent="0.25">
      <c r="A809" t="s">
        <v>3729</v>
      </c>
      <c r="B809" t="s">
        <v>3743</v>
      </c>
      <c r="C809" t="s">
        <v>3744</v>
      </c>
      <c r="D809" t="s">
        <v>3744</v>
      </c>
      <c r="E809" t="s">
        <v>3730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x14ac:dyDescent="0.25">
      <c r="A810" t="s">
        <v>3810</v>
      </c>
      <c r="B810" t="s">
        <v>3743</v>
      </c>
      <c r="C810" t="s">
        <v>3744</v>
      </c>
      <c r="D810" t="s">
        <v>3744</v>
      </c>
      <c r="E810" t="s">
        <v>3811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3731</v>
      </c>
      <c r="B811" t="s">
        <v>3743</v>
      </c>
      <c r="C811" t="s">
        <v>3744</v>
      </c>
      <c r="D811" t="s">
        <v>3744</v>
      </c>
      <c r="E811" t="s">
        <v>3732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3733</v>
      </c>
      <c r="B812" t="s">
        <v>3743</v>
      </c>
      <c r="C812" t="s">
        <v>3744</v>
      </c>
      <c r="D812" t="s">
        <v>3744</v>
      </c>
      <c r="E812" t="s">
        <v>3734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3735</v>
      </c>
      <c r="B813" t="s">
        <v>3743</v>
      </c>
      <c r="C813" t="s">
        <v>3745</v>
      </c>
      <c r="D813" t="s">
        <v>3745</v>
      </c>
      <c r="E813" t="s">
        <v>3736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3806</v>
      </c>
      <c r="B814" t="s">
        <v>3743</v>
      </c>
      <c r="C814" t="s">
        <v>3746</v>
      </c>
      <c r="D814" t="s">
        <v>3746</v>
      </c>
      <c r="E814" t="s">
        <v>3738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3807</v>
      </c>
      <c r="B815" t="s">
        <v>3743</v>
      </c>
      <c r="C815" t="s">
        <v>3746</v>
      </c>
      <c r="D815" t="s">
        <v>3746</v>
      </c>
      <c r="E815" t="s">
        <v>3805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x14ac:dyDescent="0.25">
      <c r="A816" t="s">
        <v>443</v>
      </c>
      <c r="B816" t="s">
        <v>386</v>
      </c>
      <c r="C816" t="s">
        <v>3473</v>
      </c>
      <c r="D816" t="s">
        <v>3473</v>
      </c>
      <c r="E816" t="s">
        <v>442</v>
      </c>
      <c r="F816" t="str">
        <f>INDEX(IPCCMaps!H:H,MATCH(mapPRC!C816,IPCCMaps!G:G,0))</f>
        <v xml:space="preserve">2 Industrial Processes and Product Use </v>
      </c>
      <c r="G816" t="str">
        <f>INDEX(IPCCMaps!I:I,MATCH(mapPRC!C816,IPCCMaps!G:G,0))</f>
        <v>2B Chemical Industry</v>
      </c>
      <c r="H816" t="str">
        <f>INDEX(IPCCMaps!J:J,MATCH(mapPRC!C816,IPCCMaps!G:G,0))</f>
        <v>2B10 Hydrogen Production</v>
      </c>
      <c r="I816" t="str">
        <f>INDEX(IPCCMaps!K:K,MATCH(mapPRC!C816,IPCCMaps!G:G,0))</f>
        <v>2B10 Hydrogen Production</v>
      </c>
    </row>
    <row r="817" spans="1:9" x14ac:dyDescent="0.25">
      <c r="A817" t="s">
        <v>441</v>
      </c>
      <c r="B817" t="s">
        <v>387</v>
      </c>
      <c r="C817" t="s">
        <v>411</v>
      </c>
      <c r="D817" t="s">
        <v>411</v>
      </c>
      <c r="E817" t="s">
        <v>440</v>
      </c>
      <c r="F817" t="str">
        <f>INDEX(IPCCMaps!H:H,MATCH(mapPRC!C817,IPCCMaps!G:G,0))</f>
        <v>1 Energy</v>
      </c>
      <c r="G817" t="str">
        <f>INDEX(IPCCMaps!I:I,MATCH(mapPRC!C817,IPCCMaps!G:G,0))</f>
        <v>1B Fugitive Emissions from Fuels</v>
      </c>
      <c r="H817" t="str">
        <f>INDEX(IPCCMaps!J:J,MATCH(mapPRC!C817,IPCCMaps!G:G,0))</f>
        <v>1A1 Energy Industries</v>
      </c>
      <c r="I817" t="str">
        <f>INDEX(IPCCMaps!K:K,MATCH(mapPRC!C817,IPCCMaps!G:G,0))</f>
        <v>1A1c Manufacture of solid fuels and other energy industries</v>
      </c>
    </row>
    <row r="818" spans="1:9" x14ac:dyDescent="0.25">
      <c r="A818" t="s">
        <v>437</v>
      </c>
      <c r="B818" t="s">
        <v>387</v>
      </c>
      <c r="C818" t="s">
        <v>411</v>
      </c>
      <c r="D818" t="s">
        <v>411</v>
      </c>
      <c r="E818" t="s">
        <v>436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1A1 Energy Industries</v>
      </c>
      <c r="I818" t="str">
        <f>INDEX(IPCCMaps!K:K,MATCH(mapPRC!C818,IPCCMaps!G:G,0))</f>
        <v>1A1c Manufacture of solid fuels and other energy industries</v>
      </c>
    </row>
    <row r="819" spans="1:9" x14ac:dyDescent="0.25">
      <c r="A819" t="s">
        <v>439</v>
      </c>
      <c r="B819" t="s">
        <v>387</v>
      </c>
      <c r="C819" t="s">
        <v>411</v>
      </c>
      <c r="D819" t="s">
        <v>411</v>
      </c>
      <c r="E819" t="s">
        <v>438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1A1 Energy Industries</v>
      </c>
      <c r="I819" t="str">
        <f>INDEX(IPCCMaps!K:K,MATCH(mapPRC!C819,IPCCMaps!G:G,0))</f>
        <v>1A1c Manufacture of solid fuels and other energy industries</v>
      </c>
    </row>
    <row r="820" spans="1:9" x14ac:dyDescent="0.25">
      <c r="A820" t="s">
        <v>3870</v>
      </c>
      <c r="B820" t="s">
        <v>3614</v>
      </c>
      <c r="C820" t="s">
        <v>3614</v>
      </c>
      <c r="D820" t="s">
        <v>3614</v>
      </c>
      <c r="E820" t="s">
        <v>3871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x14ac:dyDescent="0.25">
      <c r="A821" t="s">
        <v>3480</v>
      </c>
      <c r="B821" t="s">
        <v>386</v>
      </c>
      <c r="C821" t="s">
        <v>3474</v>
      </c>
      <c r="D821" t="s">
        <v>3623</v>
      </c>
      <c r="E821" t="s">
        <v>3481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x14ac:dyDescent="0.25">
      <c r="A822" t="s">
        <v>3482</v>
      </c>
      <c r="B822" t="s">
        <v>386</v>
      </c>
      <c r="C822" t="s">
        <v>3474</v>
      </c>
      <c r="D822" t="s">
        <v>3624</v>
      </c>
      <c r="E822" t="s">
        <v>3483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3603</v>
      </c>
      <c r="B823" t="s">
        <v>21</v>
      </c>
      <c r="C823" t="s">
        <v>3622</v>
      </c>
      <c r="D823" t="s">
        <v>3622</v>
      </c>
      <c r="E823" t="s">
        <v>3604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3885</v>
      </c>
      <c r="B824" t="s">
        <v>21</v>
      </c>
      <c r="C824" t="s">
        <v>3622</v>
      </c>
      <c r="D824" t="s">
        <v>3622</v>
      </c>
      <c r="E824" t="s">
        <v>3886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3484</v>
      </c>
      <c r="B825" t="s">
        <v>387</v>
      </c>
      <c r="C825" t="s">
        <v>3625</v>
      </c>
      <c r="D825" t="s">
        <v>3625</v>
      </c>
      <c r="E825" t="s">
        <v>3485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x14ac:dyDescent="0.25">
      <c r="A826" t="s">
        <v>435</v>
      </c>
      <c r="D826" t="s">
        <v>0</v>
      </c>
      <c r="E826" t="s">
        <v>434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x14ac:dyDescent="0.25">
      <c r="A827" t="s">
        <v>433</v>
      </c>
      <c r="D827" t="s">
        <v>0</v>
      </c>
      <c r="E827" t="s">
        <v>432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429</v>
      </c>
      <c r="D828" t="s">
        <v>0</v>
      </c>
      <c r="E828" t="s">
        <v>428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431</v>
      </c>
      <c r="D829" t="s">
        <v>0</v>
      </c>
      <c r="E829" t="s">
        <v>430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427</v>
      </c>
      <c r="B830" t="s">
        <v>21</v>
      </c>
      <c r="C830" t="s">
        <v>423</v>
      </c>
      <c r="D830" t="s">
        <v>3468</v>
      </c>
      <c r="E830" t="s">
        <v>426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x14ac:dyDescent="0.25">
      <c r="A831" t="s">
        <v>425</v>
      </c>
      <c r="B831" t="s">
        <v>21</v>
      </c>
      <c r="C831" t="s">
        <v>423</v>
      </c>
      <c r="D831" t="s">
        <v>3468</v>
      </c>
      <c r="E831" t="s">
        <v>424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x14ac:dyDescent="0.25">
      <c r="A832" t="s">
        <v>422</v>
      </c>
      <c r="B832" t="s">
        <v>387</v>
      </c>
      <c r="C832" t="s">
        <v>416</v>
      </c>
      <c r="D832" t="s">
        <v>416</v>
      </c>
      <c r="E832" t="s">
        <v>421</v>
      </c>
      <c r="F832" t="str">
        <f>INDEX(IPCCMaps!H:H,MATCH(mapPRC!C832,IPCCMaps!G:G,0))</f>
        <v>1 Energy</v>
      </c>
      <c r="G832" t="str">
        <f>INDEX(IPCCMaps!I:I,MATCH(mapPRC!C832,IPCCMaps!G:G,0))</f>
        <v>1B Fugitive Emissions from Fuels</v>
      </c>
      <c r="H832" t="str">
        <f>INDEX(IPCCMaps!J:J,MATCH(mapPRC!C832,IPCCMaps!G:G,0))</f>
        <v>2A Mineral Industry</v>
      </c>
      <c r="I832" t="str">
        <f>INDEX(IPCCMaps!K:K,MATCH(mapPRC!C832,IPCCMaps!G:G,0))</f>
        <v>2A Mineral Industry</v>
      </c>
    </row>
    <row r="833" spans="1:9" x14ac:dyDescent="0.25">
      <c r="A833" t="s">
        <v>420</v>
      </c>
      <c r="B833" t="s">
        <v>387</v>
      </c>
      <c r="C833" t="s">
        <v>416</v>
      </c>
      <c r="D833" t="s">
        <v>416</v>
      </c>
      <c r="E833" t="s">
        <v>419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2A Mineral Industry</v>
      </c>
      <c r="I833" t="str">
        <f>INDEX(IPCCMaps!K:K,MATCH(mapPRC!C833,IPCCMaps!G:G,0))</f>
        <v>2A Mineral Industry</v>
      </c>
    </row>
    <row r="834" spans="1:9" x14ac:dyDescent="0.25">
      <c r="A834" t="s">
        <v>418</v>
      </c>
      <c r="B834" t="s">
        <v>387</v>
      </c>
      <c r="C834" t="s">
        <v>416</v>
      </c>
      <c r="D834" t="s">
        <v>416</v>
      </c>
      <c r="E834" t="s">
        <v>417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2A Mineral Industry</v>
      </c>
      <c r="I834" t="str">
        <f>INDEX(IPCCMaps!K:K,MATCH(mapPRC!C834,IPCCMaps!G:G,0))</f>
        <v>2A Mineral Industry</v>
      </c>
    </row>
    <row r="835" spans="1:9" x14ac:dyDescent="0.25">
      <c r="A835" t="s">
        <v>415</v>
      </c>
      <c r="B835" t="s">
        <v>387</v>
      </c>
      <c r="C835" t="s">
        <v>3150</v>
      </c>
      <c r="D835" t="s">
        <v>411</v>
      </c>
      <c r="E835" t="s">
        <v>414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1A1c Manufacture of solid fuels and other energy industries</v>
      </c>
    </row>
    <row r="836" spans="1:9" x14ac:dyDescent="0.25">
      <c r="A836" t="s">
        <v>413</v>
      </c>
      <c r="B836" t="s">
        <v>387</v>
      </c>
      <c r="C836" t="s">
        <v>3150</v>
      </c>
      <c r="D836" t="s">
        <v>411</v>
      </c>
      <c r="E836" t="s">
        <v>412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x14ac:dyDescent="0.25">
      <c r="A837" t="s">
        <v>410</v>
      </c>
      <c r="B837" t="s">
        <v>387</v>
      </c>
      <c r="D837" t="s">
        <v>406</v>
      </c>
      <c r="E837" t="s">
        <v>409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x14ac:dyDescent="0.25">
      <c r="A838" t="s">
        <v>408</v>
      </c>
      <c r="B838" t="s">
        <v>387</v>
      </c>
      <c r="D838" t="s">
        <v>406</v>
      </c>
      <c r="E838" t="s">
        <v>407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x14ac:dyDescent="0.25">
      <c r="A839" t="s">
        <v>402</v>
      </c>
      <c r="B839" t="s">
        <v>21</v>
      </c>
      <c r="C839" t="s">
        <v>423</v>
      </c>
      <c r="D839" t="s">
        <v>400</v>
      </c>
      <c r="E839" t="s">
        <v>401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x14ac:dyDescent="0.25">
      <c r="A840" t="s">
        <v>405</v>
      </c>
      <c r="B840" t="s">
        <v>21</v>
      </c>
      <c r="C840" t="s">
        <v>423</v>
      </c>
      <c r="D840" t="s">
        <v>400</v>
      </c>
      <c r="E840" t="s">
        <v>404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x14ac:dyDescent="0.25">
      <c r="A841" t="s">
        <v>398</v>
      </c>
      <c r="B841" t="s">
        <v>387</v>
      </c>
      <c r="C841" t="s">
        <v>392</v>
      </c>
      <c r="D841" t="s">
        <v>392</v>
      </c>
      <c r="E841" t="s">
        <v>397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396</v>
      </c>
      <c r="B842" t="s">
        <v>387</v>
      </c>
      <c r="C842" t="s">
        <v>392</v>
      </c>
      <c r="D842" t="s">
        <v>392</v>
      </c>
      <c r="E842" t="s">
        <v>395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394</v>
      </c>
      <c r="B843" t="s">
        <v>387</v>
      </c>
      <c r="C843" t="s">
        <v>392</v>
      </c>
      <c r="D843" t="s">
        <v>392</v>
      </c>
      <c r="E843" t="s">
        <v>393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x14ac:dyDescent="0.25">
      <c r="A844" t="s">
        <v>391</v>
      </c>
      <c r="B844" t="s">
        <v>386</v>
      </c>
      <c r="C844" t="s">
        <v>3475</v>
      </c>
      <c r="D844" t="s">
        <v>3475</v>
      </c>
      <c r="E844" t="s">
        <v>390</v>
      </c>
      <c r="F844" t="str">
        <f>INDEX(IPCCMaps!H:H,MATCH(mapPRC!C844,IPCCMaps!G:G,0))</f>
        <v xml:space="preserve">2 Industrial Processes and Product Use </v>
      </c>
      <c r="G844" t="str">
        <f>INDEX(IPCCMaps!I:I,MATCH(mapPRC!C844,IPCCMaps!G:G,0))</f>
        <v>2B Chemical Industry</v>
      </c>
      <c r="H844" t="str">
        <f>INDEX(IPCCMaps!J:J,MATCH(mapPRC!C844,IPCCMaps!G:G,0))</f>
        <v>2B10 Hydrogen Production</v>
      </c>
      <c r="I844" t="str">
        <f>INDEX(IPCCMaps!K:K,MATCH(mapPRC!C844,IPCCMaps!G:G,0))</f>
        <v>2B10 Hydrogen Production</v>
      </c>
    </row>
    <row r="845" spans="1:9" x14ac:dyDescent="0.25">
      <c r="A845" t="s">
        <v>389</v>
      </c>
      <c r="B845" t="s">
        <v>386</v>
      </c>
      <c r="C845" t="s">
        <v>3475</v>
      </c>
      <c r="D845" t="s">
        <v>3475</v>
      </c>
      <c r="E845" t="s">
        <v>388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x14ac:dyDescent="0.25">
      <c r="A846" t="s">
        <v>385</v>
      </c>
      <c r="D846" t="s">
        <v>0</v>
      </c>
      <c r="E846" t="s">
        <v>384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x14ac:dyDescent="0.25">
      <c r="A847" t="s">
        <v>382</v>
      </c>
      <c r="D847" t="s">
        <v>0</v>
      </c>
      <c r="E847" t="s">
        <v>381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x14ac:dyDescent="0.25">
      <c r="A848" t="s">
        <v>380</v>
      </c>
      <c r="D848" t="s">
        <v>0</v>
      </c>
      <c r="E848" t="s">
        <v>379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374</v>
      </c>
      <c r="D849" t="s">
        <v>0</v>
      </c>
      <c r="E849" t="s">
        <v>373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378</v>
      </c>
      <c r="D850" t="s">
        <v>0</v>
      </c>
      <c r="E850" t="s">
        <v>377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376</v>
      </c>
      <c r="D851" t="s">
        <v>0</v>
      </c>
      <c r="E851" t="s">
        <v>375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372</v>
      </c>
      <c r="D852" t="s">
        <v>0</v>
      </c>
      <c r="E852" t="s">
        <v>371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370</v>
      </c>
      <c r="D853" t="s">
        <v>0</v>
      </c>
      <c r="E853" t="s">
        <v>369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368</v>
      </c>
      <c r="B854" t="s">
        <v>145</v>
      </c>
      <c r="C854" t="s">
        <v>144</v>
      </c>
      <c r="D854" t="s">
        <v>366</v>
      </c>
      <c r="E854" t="s">
        <v>367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x14ac:dyDescent="0.25">
      <c r="A855" t="s">
        <v>365</v>
      </c>
      <c r="D855" t="s">
        <v>0</v>
      </c>
      <c r="E855" t="s">
        <v>364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363</v>
      </c>
      <c r="D856" t="s">
        <v>0</v>
      </c>
      <c r="E856" t="s">
        <v>362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x14ac:dyDescent="0.25">
      <c r="A857" t="s">
        <v>361</v>
      </c>
      <c r="D857" t="s">
        <v>0</v>
      </c>
      <c r="E857" t="s">
        <v>360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359</v>
      </c>
      <c r="D858" t="s">
        <v>0</v>
      </c>
      <c r="E858" t="s">
        <v>358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357</v>
      </c>
      <c r="D859" t="s">
        <v>0</v>
      </c>
      <c r="E859" t="s">
        <v>356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3739</v>
      </c>
      <c r="D860" t="s">
        <v>0</v>
      </c>
      <c r="E860" t="s">
        <v>3740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355</v>
      </c>
      <c r="D861" t="s">
        <v>0</v>
      </c>
      <c r="E861" t="s">
        <v>354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353</v>
      </c>
      <c r="B862" t="s">
        <v>145</v>
      </c>
      <c r="C862" t="s">
        <v>144</v>
      </c>
      <c r="D862" t="s">
        <v>351</v>
      </c>
      <c r="E862" t="s">
        <v>352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x14ac:dyDescent="0.25">
      <c r="A863" t="s">
        <v>350</v>
      </c>
      <c r="D863" t="s">
        <v>0</v>
      </c>
      <c r="E863" t="s">
        <v>349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348</v>
      </c>
      <c r="D864" t="s">
        <v>0</v>
      </c>
      <c r="E864" t="s">
        <v>347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x14ac:dyDescent="0.25">
      <c r="A865" t="s">
        <v>346</v>
      </c>
      <c r="D865" t="s">
        <v>0</v>
      </c>
      <c r="E865" t="s">
        <v>345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344</v>
      </c>
      <c r="D866" t="s">
        <v>0</v>
      </c>
      <c r="E866" t="s">
        <v>343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342</v>
      </c>
      <c r="D867" t="s">
        <v>0</v>
      </c>
      <c r="E867" t="s">
        <v>341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340</v>
      </c>
      <c r="D868" t="s">
        <v>0</v>
      </c>
      <c r="E868" t="s">
        <v>339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338</v>
      </c>
      <c r="B869" t="s">
        <v>145</v>
      </c>
      <c r="C869" t="s">
        <v>144</v>
      </c>
      <c r="D869" t="s">
        <v>143</v>
      </c>
      <c r="E869" t="s">
        <v>337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x14ac:dyDescent="0.25">
      <c r="A870" t="s">
        <v>336</v>
      </c>
      <c r="D870" t="s">
        <v>0</v>
      </c>
      <c r="E870" t="s">
        <v>335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333</v>
      </c>
      <c r="B871" t="s">
        <v>145</v>
      </c>
      <c r="C871" t="s">
        <v>144</v>
      </c>
      <c r="D871" t="s">
        <v>143</v>
      </c>
      <c r="E871" t="s">
        <v>332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331</v>
      </c>
      <c r="D872" t="s">
        <v>0</v>
      </c>
      <c r="E872" t="s">
        <v>330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328</v>
      </c>
      <c r="B873" t="s">
        <v>145</v>
      </c>
      <c r="C873" t="s">
        <v>144</v>
      </c>
      <c r="D873" t="s">
        <v>143</v>
      </c>
      <c r="E873" t="s">
        <v>327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326</v>
      </c>
      <c r="D874" t="s">
        <v>0</v>
      </c>
      <c r="E874" t="s">
        <v>325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324</v>
      </c>
      <c r="D875" t="s">
        <v>0</v>
      </c>
      <c r="E875" t="s">
        <v>323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x14ac:dyDescent="0.25">
      <c r="A876" t="s">
        <v>322</v>
      </c>
      <c r="D876" t="s">
        <v>0</v>
      </c>
      <c r="E876" t="s">
        <v>321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320</v>
      </c>
      <c r="D877" t="s">
        <v>0</v>
      </c>
      <c r="E877" t="s">
        <v>319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318</v>
      </c>
      <c r="B878" t="s">
        <v>145</v>
      </c>
      <c r="C878" t="s">
        <v>144</v>
      </c>
      <c r="D878" t="s">
        <v>143</v>
      </c>
      <c r="E878" t="s">
        <v>317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x14ac:dyDescent="0.25">
      <c r="A879" t="s">
        <v>3107</v>
      </c>
      <c r="D879" t="s">
        <v>0</v>
      </c>
      <c r="E879" t="s">
        <v>3108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316</v>
      </c>
      <c r="D880" t="s">
        <v>0</v>
      </c>
      <c r="E880" t="s">
        <v>315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x14ac:dyDescent="0.25">
      <c r="A881" t="s">
        <v>313</v>
      </c>
      <c r="D881" t="s">
        <v>0</v>
      </c>
      <c r="E881" t="s">
        <v>312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311</v>
      </c>
      <c r="D882" t="s">
        <v>0</v>
      </c>
      <c r="E882" t="s">
        <v>310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309</v>
      </c>
      <c r="D883" t="s">
        <v>0</v>
      </c>
      <c r="E883" t="s">
        <v>308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307</v>
      </c>
      <c r="D884" t="s">
        <v>0</v>
      </c>
      <c r="E884" t="s">
        <v>306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305</v>
      </c>
      <c r="B885" t="s">
        <v>145</v>
      </c>
      <c r="C885" t="s">
        <v>144</v>
      </c>
      <c r="D885" t="s">
        <v>143</v>
      </c>
      <c r="E885" t="s">
        <v>304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x14ac:dyDescent="0.25">
      <c r="A886" t="s">
        <v>303</v>
      </c>
      <c r="D886" t="s">
        <v>0</v>
      </c>
      <c r="E886" t="s">
        <v>302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301</v>
      </c>
      <c r="D887" t="s">
        <v>0</v>
      </c>
      <c r="E887" t="s">
        <v>300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3539</v>
      </c>
      <c r="D888" t="s">
        <v>0</v>
      </c>
      <c r="E888" t="s">
        <v>3540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299</v>
      </c>
      <c r="D889" t="s">
        <v>0</v>
      </c>
      <c r="E889" t="s">
        <v>298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23</v>
      </c>
      <c r="D890" t="s">
        <v>0</v>
      </c>
      <c r="E890" t="s">
        <v>22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297</v>
      </c>
      <c r="D891" t="s">
        <v>0</v>
      </c>
      <c r="E891" t="s">
        <v>296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295</v>
      </c>
      <c r="D892" t="s">
        <v>0</v>
      </c>
      <c r="E892" t="s">
        <v>294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293</v>
      </c>
      <c r="D893" t="s">
        <v>0</v>
      </c>
      <c r="E893" t="s">
        <v>292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291</v>
      </c>
      <c r="D894" t="s">
        <v>0</v>
      </c>
      <c r="E894" t="s">
        <v>290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289</v>
      </c>
      <c r="D895" t="s">
        <v>0</v>
      </c>
      <c r="E895" t="s">
        <v>288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3599</v>
      </c>
      <c r="D896" t="s">
        <v>0</v>
      </c>
      <c r="E896" t="s">
        <v>3600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287</v>
      </c>
      <c r="D897" t="s">
        <v>0</v>
      </c>
      <c r="E897" t="s">
        <v>286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285</v>
      </c>
      <c r="D898" t="s">
        <v>0</v>
      </c>
      <c r="E898" t="s">
        <v>284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283</v>
      </c>
      <c r="D899" t="s">
        <v>0</v>
      </c>
      <c r="E899" t="s">
        <v>282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281</v>
      </c>
      <c r="D900" t="s">
        <v>0</v>
      </c>
      <c r="E900" t="s">
        <v>280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279</v>
      </c>
      <c r="D901" t="s">
        <v>0</v>
      </c>
      <c r="E901" t="s">
        <v>278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277</v>
      </c>
      <c r="B902" t="s">
        <v>145</v>
      </c>
      <c r="C902" t="s">
        <v>144</v>
      </c>
      <c r="D902" t="s">
        <v>143</v>
      </c>
      <c r="E902" t="s">
        <v>276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x14ac:dyDescent="0.25">
      <c r="A903" t="s">
        <v>275</v>
      </c>
      <c r="D903" t="s">
        <v>0</v>
      </c>
      <c r="E903" t="s">
        <v>274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272</v>
      </c>
      <c r="D904" t="s">
        <v>0</v>
      </c>
      <c r="E904" t="s">
        <v>271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x14ac:dyDescent="0.25">
      <c r="A905" t="s">
        <v>270</v>
      </c>
      <c r="D905" t="s">
        <v>0</v>
      </c>
      <c r="E905" t="s">
        <v>269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268</v>
      </c>
      <c r="B906" t="s">
        <v>145</v>
      </c>
      <c r="C906" t="s">
        <v>144</v>
      </c>
      <c r="D906" t="s">
        <v>143</v>
      </c>
      <c r="E906" t="s">
        <v>267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x14ac:dyDescent="0.25">
      <c r="A907" t="s">
        <v>266</v>
      </c>
      <c r="D907" t="s">
        <v>0</v>
      </c>
      <c r="E907" t="s">
        <v>265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263</v>
      </c>
      <c r="D908" t="s">
        <v>0</v>
      </c>
      <c r="E908" t="s">
        <v>262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3837</v>
      </c>
      <c r="D909" t="s">
        <v>0</v>
      </c>
      <c r="E909" s="5" t="s">
        <v>3838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3839</v>
      </c>
      <c r="D910" t="s">
        <v>0</v>
      </c>
      <c r="E910" s="5" t="s">
        <v>3840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3841</v>
      </c>
      <c r="D911" t="s">
        <v>0</v>
      </c>
      <c r="E911" s="5" t="s">
        <v>3842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261</v>
      </c>
      <c r="B912" t="s">
        <v>145</v>
      </c>
      <c r="C912" t="s">
        <v>144</v>
      </c>
      <c r="D912" t="s">
        <v>143</v>
      </c>
      <c r="E912" t="s">
        <v>260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259</v>
      </c>
      <c r="D913" t="s">
        <v>0</v>
      </c>
      <c r="E913" t="s">
        <v>258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3825</v>
      </c>
      <c r="D914" t="s">
        <v>0</v>
      </c>
      <c r="E914" t="s">
        <v>3829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256</v>
      </c>
      <c r="D915" t="s">
        <v>0</v>
      </c>
      <c r="E915" t="s">
        <v>255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3788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254</v>
      </c>
      <c r="D917" t="s">
        <v>0</v>
      </c>
      <c r="E917" t="s">
        <v>253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252</v>
      </c>
      <c r="B918" t="s">
        <v>145</v>
      </c>
      <c r="C918" t="s">
        <v>144</v>
      </c>
      <c r="D918" t="s">
        <v>143</v>
      </c>
      <c r="E918" t="s">
        <v>251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x14ac:dyDescent="0.25">
      <c r="A919" t="s">
        <v>250</v>
      </c>
      <c r="D919" t="s">
        <v>0</v>
      </c>
      <c r="E919" t="s">
        <v>249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248</v>
      </c>
      <c r="D920" t="s">
        <v>0</v>
      </c>
      <c r="E920" t="s">
        <v>247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246</v>
      </c>
      <c r="D921" t="s">
        <v>0</v>
      </c>
      <c r="E921" t="s">
        <v>245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244</v>
      </c>
      <c r="D922" t="s">
        <v>0</v>
      </c>
      <c r="E922" t="s">
        <v>243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242</v>
      </c>
      <c r="D923" t="s">
        <v>0</v>
      </c>
      <c r="E923" t="s">
        <v>241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3789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3790</v>
      </c>
      <c r="D925" t="s">
        <v>0</v>
      </c>
      <c r="E925" t="s">
        <v>239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3881</v>
      </c>
      <c r="D926" t="s">
        <v>0</v>
      </c>
      <c r="E926" t="s">
        <v>3882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238</v>
      </c>
      <c r="D927" t="s">
        <v>0</v>
      </c>
      <c r="E927" t="s">
        <v>237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236</v>
      </c>
      <c r="D928" t="s">
        <v>0</v>
      </c>
      <c r="E928" t="s">
        <v>235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234</v>
      </c>
      <c r="D929" t="s">
        <v>0</v>
      </c>
      <c r="E929" t="s">
        <v>233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232</v>
      </c>
      <c r="D930" t="s">
        <v>0</v>
      </c>
      <c r="E930" t="s">
        <v>231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230</v>
      </c>
      <c r="D931" t="s">
        <v>0</v>
      </c>
      <c r="E931" t="s">
        <v>229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226</v>
      </c>
      <c r="D932" t="s">
        <v>0</v>
      </c>
      <c r="E932" t="s">
        <v>225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228</v>
      </c>
      <c r="D933" t="s">
        <v>0</v>
      </c>
      <c r="E933" t="s">
        <v>227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222</v>
      </c>
      <c r="D934" t="s">
        <v>0</v>
      </c>
      <c r="E934" t="s">
        <v>221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224</v>
      </c>
      <c r="D935" t="s">
        <v>0</v>
      </c>
      <c r="E935" t="s">
        <v>223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220</v>
      </c>
      <c r="D936" t="s">
        <v>0</v>
      </c>
      <c r="E936" t="s">
        <v>219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3487</v>
      </c>
      <c r="D937" t="s">
        <v>0</v>
      </c>
      <c r="E937" t="s">
        <v>3488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218</v>
      </c>
      <c r="D938" t="s">
        <v>0</v>
      </c>
      <c r="E938" t="s">
        <v>217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216</v>
      </c>
      <c r="D939" t="s">
        <v>0</v>
      </c>
      <c r="E939" t="s">
        <v>215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214</v>
      </c>
      <c r="D940" t="s">
        <v>0</v>
      </c>
      <c r="E940" t="s">
        <v>213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212</v>
      </c>
      <c r="D941" t="s">
        <v>0</v>
      </c>
      <c r="E941" t="s">
        <v>211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210</v>
      </c>
      <c r="D942" t="s">
        <v>0</v>
      </c>
      <c r="E942" t="s">
        <v>209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208</v>
      </c>
      <c r="D943" t="s">
        <v>0</v>
      </c>
      <c r="E943" t="s">
        <v>207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206</v>
      </c>
      <c r="D944" t="s">
        <v>0</v>
      </c>
      <c r="E944" t="s">
        <v>205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204</v>
      </c>
      <c r="D945" t="s">
        <v>0</v>
      </c>
      <c r="E945" t="s">
        <v>203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202</v>
      </c>
      <c r="D946" t="s">
        <v>0</v>
      </c>
      <c r="E946" t="s">
        <v>201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3455</v>
      </c>
      <c r="D947" t="s">
        <v>0</v>
      </c>
      <c r="E947" t="s">
        <v>3457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3456</v>
      </c>
      <c r="D948" t="s">
        <v>0</v>
      </c>
      <c r="E948" t="s">
        <v>3458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200</v>
      </c>
      <c r="D949" t="s">
        <v>0</v>
      </c>
      <c r="E949" t="s">
        <v>199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198</v>
      </c>
      <c r="D950" t="s">
        <v>0</v>
      </c>
      <c r="E950" t="s">
        <v>197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196</v>
      </c>
      <c r="D951" t="s">
        <v>0</v>
      </c>
      <c r="E951" t="s">
        <v>195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194</v>
      </c>
      <c r="D952" t="s">
        <v>0</v>
      </c>
      <c r="E952" t="s">
        <v>193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192</v>
      </c>
      <c r="B953" t="s">
        <v>145</v>
      </c>
      <c r="C953" t="s">
        <v>144</v>
      </c>
      <c r="D953" t="s">
        <v>190</v>
      </c>
      <c r="E953" t="s">
        <v>191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x14ac:dyDescent="0.25">
      <c r="A954" t="s">
        <v>189</v>
      </c>
      <c r="D954" t="s">
        <v>0</v>
      </c>
      <c r="E954" t="s">
        <v>188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187</v>
      </c>
      <c r="D955" t="s">
        <v>0</v>
      </c>
      <c r="E955" t="s">
        <v>186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185</v>
      </c>
      <c r="D956" t="s">
        <v>0</v>
      </c>
      <c r="E956" t="s">
        <v>184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183</v>
      </c>
      <c r="D957" t="s">
        <v>0</v>
      </c>
      <c r="E957" t="s">
        <v>182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181</v>
      </c>
      <c r="D958" t="s">
        <v>0</v>
      </c>
      <c r="E958" t="s">
        <v>180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179</v>
      </c>
      <c r="D959" t="s">
        <v>0</v>
      </c>
      <c r="E959" t="s">
        <v>178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177</v>
      </c>
      <c r="B960" t="s">
        <v>145</v>
      </c>
      <c r="C960" t="s">
        <v>144</v>
      </c>
      <c r="D960" t="s">
        <v>175</v>
      </c>
      <c r="E960" t="s">
        <v>176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x14ac:dyDescent="0.25">
      <c r="A961" t="s">
        <v>174</v>
      </c>
      <c r="D961" t="s">
        <v>0</v>
      </c>
      <c r="E961" t="s">
        <v>173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172</v>
      </c>
      <c r="D962" t="s">
        <v>0</v>
      </c>
      <c r="E962" t="s">
        <v>171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170</v>
      </c>
      <c r="D963" t="s">
        <v>0</v>
      </c>
      <c r="E963" t="s">
        <v>169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168</v>
      </c>
      <c r="D964" t="s">
        <v>0</v>
      </c>
      <c r="E964" t="s">
        <v>167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3601</v>
      </c>
      <c r="D965" t="s">
        <v>0</v>
      </c>
      <c r="E965" t="s">
        <v>3602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166</v>
      </c>
      <c r="D966" t="s">
        <v>0</v>
      </c>
      <c r="E966" t="s">
        <v>165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164</v>
      </c>
      <c r="D967" t="s">
        <v>0</v>
      </c>
      <c r="E967" t="s">
        <v>163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162</v>
      </c>
      <c r="D968" t="s">
        <v>0</v>
      </c>
      <c r="E968" t="s">
        <v>161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160</v>
      </c>
      <c r="D969" t="s">
        <v>0</v>
      </c>
      <c r="E969" t="s">
        <v>159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158</v>
      </c>
      <c r="D970" t="s">
        <v>0</v>
      </c>
      <c r="E970" t="s">
        <v>157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156</v>
      </c>
      <c r="D971" t="s">
        <v>0</v>
      </c>
      <c r="E971" t="s">
        <v>155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154</v>
      </c>
      <c r="D972" t="s">
        <v>0</v>
      </c>
      <c r="E972" t="s">
        <v>153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150</v>
      </c>
      <c r="D973" t="s">
        <v>0</v>
      </c>
      <c r="E973" t="s">
        <v>149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152</v>
      </c>
      <c r="D974" t="s">
        <v>0</v>
      </c>
      <c r="E974" t="s">
        <v>151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147</v>
      </c>
      <c r="B975" t="s">
        <v>145</v>
      </c>
      <c r="C975" t="s">
        <v>144</v>
      </c>
      <c r="D975" t="s">
        <v>143</v>
      </c>
      <c r="E975" t="s">
        <v>146</v>
      </c>
      <c r="F975" t="str">
        <f>INDEX(IPCCMaps!H:H,MATCH(mapPRC!C975,IPCCMaps!G:G,0))</f>
        <v>1 Energy</v>
      </c>
      <c r="G975">
        <f>INDEX(IPCCMaps!I:I,MATCH(mapPRC!C975,IPCCMaps!G:G,0))</f>
        <v>0</v>
      </c>
      <c r="H975">
        <f>INDEX(IPCCMaps!J:J,MATCH(mapPRC!C975,IPCCMaps!G:G,0))</f>
        <v>0</v>
      </c>
      <c r="I975">
        <f>INDEX(IPCCMaps!K:K,MATCH(mapPRC!C975,IPCCMaps!G:G,0))</f>
        <v>0</v>
      </c>
    </row>
    <row r="976" spans="1:9" x14ac:dyDescent="0.25">
      <c r="A976" t="s">
        <v>142</v>
      </c>
      <c r="C976" t="s">
        <v>140</v>
      </c>
      <c r="D976" t="s">
        <v>0</v>
      </c>
      <c r="E976" t="s">
        <v>141</v>
      </c>
      <c r="F976" t="str">
        <f>INDEX(IPCCMaps!H:H,MATCH(mapPRC!C976,IPCCMaps!G:G,0))</f>
        <v>1 Energy</v>
      </c>
      <c r="G976" t="str">
        <f>INDEX(IPCCMaps!I:I,MATCH(mapPRC!C976,IPCCMaps!G:G,0))</f>
        <v>1B Fugitive Emissions from Fuels</v>
      </c>
      <c r="H976" t="str">
        <f>INDEX(IPCCMaps!J:J,MATCH(mapPRC!C976,IPCCMaps!G:G,0))</f>
        <v>1B3 Other Emissions</v>
      </c>
      <c r="I976" t="str">
        <f>INDEX(IPCCMaps!K:K,MATCH(mapPRC!C976,IPCCMaps!G:G,0))</f>
        <v>1B3 Other Emissions - Sasol</v>
      </c>
    </row>
    <row r="977" spans="1:9" x14ac:dyDescent="0.25">
      <c r="A977" t="s">
        <v>139</v>
      </c>
      <c r="C977" t="s">
        <v>2430</v>
      </c>
      <c r="D977" t="s">
        <v>0</v>
      </c>
      <c r="E977" t="s">
        <v>138</v>
      </c>
      <c r="F977" t="str">
        <f>INDEX(IPCCMaps!H:H,MATCH(mapPRC!C977,IPCCMaps!G:G,0))</f>
        <v>1 Energy</v>
      </c>
      <c r="G977" t="str">
        <f>INDEX(IPCCMaps!I:I,MATCH(mapPRC!C977,IPCCMaps!G:G,0))</f>
        <v>1A Fuel Combustion Activities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136</v>
      </c>
      <c r="D978" t="s">
        <v>0</v>
      </c>
      <c r="E978" t="s">
        <v>135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134</v>
      </c>
      <c r="D979" t="s">
        <v>0</v>
      </c>
      <c r="E979" t="s">
        <v>133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3489</v>
      </c>
      <c r="D980" t="s">
        <v>0</v>
      </c>
      <c r="E980" t="s">
        <v>3490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132</v>
      </c>
      <c r="D981" t="s">
        <v>0</v>
      </c>
      <c r="E981" t="s">
        <v>131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130</v>
      </c>
      <c r="D982" t="s">
        <v>0</v>
      </c>
      <c r="E982" t="s">
        <v>129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128</v>
      </c>
      <c r="D983" t="s">
        <v>0</v>
      </c>
      <c r="E983" t="s">
        <v>127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126</v>
      </c>
      <c r="D984" t="s">
        <v>0</v>
      </c>
      <c r="E984" t="s">
        <v>125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124</v>
      </c>
      <c r="D985" t="s">
        <v>0</v>
      </c>
      <c r="E985" t="s">
        <v>123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122</v>
      </c>
      <c r="D986" t="s">
        <v>0</v>
      </c>
      <c r="E986" t="s">
        <v>121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120</v>
      </c>
      <c r="D987" t="s">
        <v>0</v>
      </c>
      <c r="E987" t="s">
        <v>119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118</v>
      </c>
      <c r="D988" t="s">
        <v>0</v>
      </c>
      <c r="E988" t="s">
        <v>117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116</v>
      </c>
      <c r="D989" t="s">
        <v>0</v>
      </c>
      <c r="E989" t="s">
        <v>115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114</v>
      </c>
      <c r="D990" t="s">
        <v>0</v>
      </c>
      <c r="E990" t="s">
        <v>113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112</v>
      </c>
      <c r="D991" t="s">
        <v>0</v>
      </c>
      <c r="E991" t="s">
        <v>111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110</v>
      </c>
      <c r="D992" t="s">
        <v>0</v>
      </c>
      <c r="E992" t="s">
        <v>109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108</v>
      </c>
      <c r="D993" t="s">
        <v>0</v>
      </c>
      <c r="E993" t="s">
        <v>107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106</v>
      </c>
      <c r="D994" t="s">
        <v>0</v>
      </c>
      <c r="E994" t="s">
        <v>105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104</v>
      </c>
      <c r="D995" t="s">
        <v>0</v>
      </c>
      <c r="E995" t="s">
        <v>103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102</v>
      </c>
      <c r="D996" t="s">
        <v>0</v>
      </c>
      <c r="E996" t="s">
        <v>101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100</v>
      </c>
      <c r="D997" t="s">
        <v>0</v>
      </c>
      <c r="E997" t="s">
        <v>99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98</v>
      </c>
      <c r="D998" t="s">
        <v>0</v>
      </c>
      <c r="E998" t="s">
        <v>97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96</v>
      </c>
      <c r="D999" t="s">
        <v>0</v>
      </c>
      <c r="E999" t="s">
        <v>95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3109</v>
      </c>
      <c r="D1000" t="s">
        <v>0</v>
      </c>
      <c r="E1000" t="s">
        <v>3110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94</v>
      </c>
      <c r="D1001" t="s">
        <v>0</v>
      </c>
      <c r="E1001" t="s">
        <v>93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92</v>
      </c>
      <c r="D1002" t="s">
        <v>0</v>
      </c>
      <c r="E1002" t="s">
        <v>77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91</v>
      </c>
      <c r="D1003" t="s">
        <v>0</v>
      </c>
      <c r="E1003" t="s">
        <v>90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89</v>
      </c>
      <c r="D1004" t="s">
        <v>0</v>
      </c>
      <c r="E1004" t="s">
        <v>88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87</v>
      </c>
      <c r="D1005" t="s">
        <v>0</v>
      </c>
      <c r="E1005" t="s">
        <v>86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85</v>
      </c>
      <c r="D1006" t="s">
        <v>0</v>
      </c>
      <c r="E1006" t="s">
        <v>84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83</v>
      </c>
      <c r="D1007" t="s">
        <v>0</v>
      </c>
      <c r="E1007" t="s">
        <v>82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81</v>
      </c>
      <c r="D1008" t="s">
        <v>0</v>
      </c>
      <c r="E1008" t="s">
        <v>80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79</v>
      </c>
      <c r="D1009" t="s">
        <v>0</v>
      </c>
      <c r="E1009" t="s">
        <v>69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78</v>
      </c>
      <c r="D1010" t="s">
        <v>0</v>
      </c>
      <c r="E1010" t="s">
        <v>77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76</v>
      </c>
      <c r="D1011" t="s">
        <v>0</v>
      </c>
      <c r="E1011" t="s">
        <v>75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74</v>
      </c>
      <c r="D1012" t="s">
        <v>0</v>
      </c>
      <c r="E1012" t="s">
        <v>73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72</v>
      </c>
      <c r="D1013" t="s">
        <v>0</v>
      </c>
      <c r="E1013" t="s">
        <v>71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70</v>
      </c>
      <c r="D1014" t="s">
        <v>0</v>
      </c>
      <c r="E1014" t="s">
        <v>69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68</v>
      </c>
      <c r="D1015" t="s">
        <v>0</v>
      </c>
      <c r="E1015" t="s">
        <v>55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67</v>
      </c>
      <c r="D1016" t="s">
        <v>0</v>
      </c>
      <c r="E1016" t="s">
        <v>66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65</v>
      </c>
      <c r="D1017" t="s">
        <v>0</v>
      </c>
      <c r="E1017" t="s">
        <v>51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64</v>
      </c>
      <c r="D1018" t="s">
        <v>0</v>
      </c>
      <c r="E1018" t="s">
        <v>49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63</v>
      </c>
      <c r="D1019" t="s">
        <v>0</v>
      </c>
      <c r="E1019" t="s">
        <v>62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61</v>
      </c>
      <c r="D1020" t="s">
        <v>0</v>
      </c>
      <c r="E1020" t="s">
        <v>60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59</v>
      </c>
      <c r="D1021" t="s">
        <v>0</v>
      </c>
      <c r="E1021" t="s">
        <v>58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57</v>
      </c>
      <c r="D1022" t="s">
        <v>0</v>
      </c>
      <c r="E1022" t="s">
        <v>47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56</v>
      </c>
      <c r="D1023" t="s">
        <v>0</v>
      </c>
      <c r="E1023" t="s">
        <v>55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54</v>
      </c>
      <c r="D1024" t="s">
        <v>0</v>
      </c>
      <c r="E1024" t="s">
        <v>53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52</v>
      </c>
      <c r="D1025" t="s">
        <v>0</v>
      </c>
      <c r="E1025" t="s">
        <v>51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50</v>
      </c>
      <c r="D1026" t="s">
        <v>0</v>
      </c>
      <c r="E1026" t="s">
        <v>49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48</v>
      </c>
      <c r="D1027" t="s">
        <v>0</v>
      </c>
      <c r="E1027" t="s">
        <v>47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</sheetData>
  <autoFilter ref="A1:I1030" xr:uid="{2F3FFDF7-7714-47AC-B254-A3709C093DA2}"/>
  <sortState xmlns:xlrd2="http://schemas.microsoft.com/office/spreadsheetml/2017/richdata2" ref="A80:I1027">
    <sortCondition ref="A80:A1027"/>
  </sortState>
  <phoneticPr fontId="4" type="noConversion"/>
  <conditionalFormatting sqref="E909">
    <cfRule type="duplicateValues" dxfId="2" priority="3"/>
  </conditionalFormatting>
  <conditionalFormatting sqref="E910">
    <cfRule type="duplicateValues" dxfId="1" priority="2"/>
  </conditionalFormatting>
  <conditionalFormatting sqref="E9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topLeftCell="A475" workbookViewId="0">
      <selection activeCell="A2" sqref="A2:A51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3392</v>
      </c>
      <c r="B2" t="s">
        <v>3392</v>
      </c>
      <c r="C2" t="s">
        <v>3392</v>
      </c>
      <c r="D2" t="s">
        <v>3392</v>
      </c>
    </row>
    <row r="3" spans="1:4" x14ac:dyDescent="0.25">
      <c r="A3" t="s">
        <v>3393</v>
      </c>
      <c r="B3" t="s">
        <v>3393</v>
      </c>
      <c r="C3" t="s">
        <v>3393</v>
      </c>
      <c r="D3" t="s">
        <v>3393</v>
      </c>
    </row>
    <row r="4" spans="1:4" x14ac:dyDescent="0.25">
      <c r="A4" t="s">
        <v>3366</v>
      </c>
      <c r="B4" t="s">
        <v>3366</v>
      </c>
      <c r="C4" t="s">
        <v>3366</v>
      </c>
      <c r="D4" t="s">
        <v>3366</v>
      </c>
    </row>
    <row r="5" spans="1:4" x14ac:dyDescent="0.25">
      <c r="A5" t="s">
        <v>3398</v>
      </c>
      <c r="B5" t="s">
        <v>3398</v>
      </c>
      <c r="C5" t="s">
        <v>3398</v>
      </c>
      <c r="D5" t="s">
        <v>3398</v>
      </c>
    </row>
    <row r="6" spans="1:4" x14ac:dyDescent="0.25">
      <c r="A6" t="s">
        <v>3383</v>
      </c>
      <c r="B6" t="s">
        <v>3383</v>
      </c>
      <c r="C6" t="s">
        <v>3383</v>
      </c>
      <c r="D6" t="s">
        <v>3383</v>
      </c>
    </row>
    <row r="7" spans="1:4" x14ac:dyDescent="0.25">
      <c r="A7" t="s">
        <v>3367</v>
      </c>
      <c r="B7" t="s">
        <v>3367</v>
      </c>
      <c r="C7" t="s">
        <v>3367</v>
      </c>
      <c r="D7" t="s">
        <v>3367</v>
      </c>
    </row>
    <row r="8" spans="1:4" x14ac:dyDescent="0.25">
      <c r="A8" t="s">
        <v>3368</v>
      </c>
      <c r="B8" t="s">
        <v>3368</v>
      </c>
      <c r="C8" t="s">
        <v>3368</v>
      </c>
      <c r="D8" t="s">
        <v>3368</v>
      </c>
    </row>
    <row r="9" spans="1:4" x14ac:dyDescent="0.25">
      <c r="A9" t="s">
        <v>3369</v>
      </c>
      <c r="B9" t="s">
        <v>3369</v>
      </c>
      <c r="C9" t="s">
        <v>3369</v>
      </c>
      <c r="D9" t="s">
        <v>3369</v>
      </c>
    </row>
    <row r="10" spans="1:4" x14ac:dyDescent="0.25">
      <c r="A10" t="s">
        <v>3375</v>
      </c>
      <c r="B10" t="s">
        <v>3375</v>
      </c>
      <c r="C10" t="s">
        <v>3375</v>
      </c>
      <c r="D10" t="s">
        <v>3375</v>
      </c>
    </row>
    <row r="11" spans="1:4" x14ac:dyDescent="0.25">
      <c r="A11" t="s">
        <v>3379</v>
      </c>
      <c r="B11" t="s">
        <v>3379</v>
      </c>
      <c r="C11" t="s">
        <v>3379</v>
      </c>
      <c r="D11" t="s">
        <v>3379</v>
      </c>
    </row>
    <row r="12" spans="1:4" x14ac:dyDescent="0.25">
      <c r="A12" t="s">
        <v>3370</v>
      </c>
      <c r="B12" t="s">
        <v>3370</v>
      </c>
      <c r="C12" t="s">
        <v>3370</v>
      </c>
      <c r="D12" t="s">
        <v>3370</v>
      </c>
    </row>
    <row r="13" spans="1:4" x14ac:dyDescent="0.25">
      <c r="A13" t="s">
        <v>3376</v>
      </c>
      <c r="B13" t="s">
        <v>3376</v>
      </c>
      <c r="C13" t="s">
        <v>3376</v>
      </c>
      <c r="D13" t="s">
        <v>3376</v>
      </c>
    </row>
    <row r="14" spans="1:4" x14ac:dyDescent="0.25">
      <c r="A14" t="s">
        <v>3377</v>
      </c>
      <c r="B14" t="s">
        <v>3377</v>
      </c>
      <c r="C14" t="s">
        <v>3377</v>
      </c>
      <c r="D14" t="s">
        <v>3377</v>
      </c>
    </row>
    <row r="15" spans="1:4" x14ac:dyDescent="0.25">
      <c r="A15" t="s">
        <v>3378</v>
      </c>
      <c r="B15" t="s">
        <v>3378</v>
      </c>
      <c r="C15" t="s">
        <v>3378</v>
      </c>
      <c r="D15" t="s">
        <v>3378</v>
      </c>
    </row>
    <row r="16" spans="1:4" x14ac:dyDescent="0.25">
      <c r="A16" t="s">
        <v>3380</v>
      </c>
      <c r="B16" t="s">
        <v>3380</v>
      </c>
      <c r="C16" t="s">
        <v>3380</v>
      </c>
      <c r="D16" t="s">
        <v>3380</v>
      </c>
    </row>
    <row r="17" spans="1:4" x14ac:dyDescent="0.25">
      <c r="A17" t="s">
        <v>3388</v>
      </c>
      <c r="B17" t="s">
        <v>3388</v>
      </c>
      <c r="C17" t="s">
        <v>3388</v>
      </c>
      <c r="D17" t="s">
        <v>3388</v>
      </c>
    </row>
    <row r="18" spans="1:4" x14ac:dyDescent="0.25">
      <c r="A18" t="s">
        <v>3381</v>
      </c>
      <c r="B18" t="s">
        <v>3381</v>
      </c>
      <c r="C18" t="s">
        <v>3381</v>
      </c>
      <c r="D18" t="s">
        <v>3381</v>
      </c>
    </row>
    <row r="19" spans="1:4" x14ac:dyDescent="0.25">
      <c r="A19" t="s">
        <v>3382</v>
      </c>
      <c r="B19" t="s">
        <v>3382</v>
      </c>
      <c r="C19" t="s">
        <v>3382</v>
      </c>
      <c r="D19" t="s">
        <v>3382</v>
      </c>
    </row>
    <row r="20" spans="1:4" x14ac:dyDescent="0.25">
      <c r="A20" t="s">
        <v>3384</v>
      </c>
      <c r="B20" t="s">
        <v>3384</v>
      </c>
      <c r="C20" t="s">
        <v>3384</v>
      </c>
      <c r="D20" t="s">
        <v>3384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3682</v>
      </c>
      <c r="B42" t="s">
        <v>3683</v>
      </c>
      <c r="C42" t="s">
        <v>3683</v>
      </c>
      <c r="D42" t="s">
        <v>3683</v>
      </c>
    </row>
    <row r="43" spans="1:4" x14ac:dyDescent="0.25">
      <c r="A43" t="s">
        <v>3684</v>
      </c>
      <c r="B43" t="s">
        <v>3685</v>
      </c>
      <c r="C43" t="s">
        <v>3685</v>
      </c>
      <c r="D43" t="s">
        <v>3685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3686</v>
      </c>
      <c r="B45" t="s">
        <v>3687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3867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3868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3688</v>
      </c>
      <c r="B51" t="s">
        <v>3689</v>
      </c>
      <c r="C51" t="s">
        <v>3689</v>
      </c>
      <c r="D51" t="s">
        <v>3689</v>
      </c>
    </row>
    <row r="52" spans="1:4" x14ac:dyDescent="0.25">
      <c r="A52" t="s">
        <v>3690</v>
      </c>
      <c r="B52" t="s">
        <v>3691</v>
      </c>
      <c r="C52" t="s">
        <v>3691</v>
      </c>
      <c r="D52" t="s">
        <v>3691</v>
      </c>
    </row>
    <row r="53" spans="1:4" x14ac:dyDescent="0.25">
      <c r="A53" t="s">
        <v>3692</v>
      </c>
      <c r="B53" t="s">
        <v>3693</v>
      </c>
      <c r="C53" t="s">
        <v>3693</v>
      </c>
      <c r="D53" t="s">
        <v>3693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3194</v>
      </c>
      <c r="B63" t="s">
        <v>3196</v>
      </c>
      <c r="C63" t="s">
        <v>3194</v>
      </c>
      <c r="D63" t="s">
        <v>3194</v>
      </c>
    </row>
    <row r="64" spans="1:4" x14ac:dyDescent="0.25">
      <c r="A64" t="s">
        <v>3195</v>
      </c>
      <c r="B64" t="s">
        <v>3197</v>
      </c>
      <c r="C64" t="s">
        <v>3198</v>
      </c>
      <c r="D64" t="s">
        <v>3198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3755</v>
      </c>
      <c r="B80" t="s">
        <v>3756</v>
      </c>
      <c r="C80" t="s">
        <v>3756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3874</v>
      </c>
      <c r="B82" t="s">
        <v>3875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3719</v>
      </c>
      <c r="B86" t="s">
        <v>3721</v>
      </c>
      <c r="C86" t="s">
        <v>1761</v>
      </c>
      <c r="D86">
        <v>0</v>
      </c>
    </row>
    <row r="87" spans="1:4" x14ac:dyDescent="0.25">
      <c r="A87" t="s">
        <v>3808</v>
      </c>
      <c r="B87" t="s">
        <v>3809</v>
      </c>
      <c r="C87" t="s">
        <v>1761</v>
      </c>
      <c r="D87">
        <v>0</v>
      </c>
    </row>
    <row r="88" spans="1:4" x14ac:dyDescent="0.25">
      <c r="A88" t="s">
        <v>3843</v>
      </c>
      <c r="B88" t="s">
        <v>3844</v>
      </c>
      <c r="C88" t="s">
        <v>2085</v>
      </c>
      <c r="D88">
        <v>0</v>
      </c>
    </row>
    <row r="89" spans="1:4" x14ac:dyDescent="0.25">
      <c r="A89" t="s">
        <v>3845</v>
      </c>
      <c r="B89" t="s">
        <v>3846</v>
      </c>
      <c r="C89" t="s">
        <v>2085</v>
      </c>
      <c r="D89">
        <v>0</v>
      </c>
    </row>
    <row r="90" spans="1:4" x14ac:dyDescent="0.25">
      <c r="A90" t="s">
        <v>3720</v>
      </c>
      <c r="B90" t="s">
        <v>3722</v>
      </c>
      <c r="C90" t="s">
        <v>1761</v>
      </c>
      <c r="D90">
        <v>0</v>
      </c>
    </row>
    <row r="91" spans="1:4" x14ac:dyDescent="0.25">
      <c r="A91" t="s">
        <v>3748</v>
      </c>
      <c r="B91" t="s">
        <v>3749</v>
      </c>
      <c r="C91" t="s">
        <v>1761</v>
      </c>
      <c r="D91">
        <v>0</v>
      </c>
    </row>
    <row r="92" spans="1:4" x14ac:dyDescent="0.25">
      <c r="A92" t="s">
        <v>3750</v>
      </c>
      <c r="B92" t="s">
        <v>3751</v>
      </c>
      <c r="C92" t="s">
        <v>1761</v>
      </c>
      <c r="D92">
        <v>0</v>
      </c>
    </row>
    <row r="93" spans="1:4" x14ac:dyDescent="0.25">
      <c r="A93" t="s">
        <v>3757</v>
      </c>
      <c r="B93" t="s">
        <v>3758</v>
      </c>
      <c r="C93" t="s">
        <v>3758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3117</v>
      </c>
      <c r="B126" t="s">
        <v>3118</v>
      </c>
      <c r="C126" t="s">
        <v>3119</v>
      </c>
      <c r="D126" t="s">
        <v>3119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3862</v>
      </c>
      <c r="B144" t="s">
        <v>3863</v>
      </c>
      <c r="C144" t="s">
        <v>3861</v>
      </c>
      <c r="D144">
        <v>0</v>
      </c>
    </row>
    <row r="145" spans="1:4" x14ac:dyDescent="0.25">
      <c r="A145" t="s">
        <v>3864</v>
      </c>
      <c r="B145" t="s">
        <v>3863</v>
      </c>
      <c r="C145" t="s">
        <v>3861</v>
      </c>
      <c r="D145">
        <v>0</v>
      </c>
    </row>
    <row r="146" spans="1:4" x14ac:dyDescent="0.25">
      <c r="A146" t="s">
        <v>3859</v>
      </c>
      <c r="B146" t="s">
        <v>3860</v>
      </c>
      <c r="C146" t="s">
        <v>3861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3120</v>
      </c>
      <c r="B149" t="s">
        <v>3121</v>
      </c>
      <c r="C149" t="s">
        <v>3122</v>
      </c>
      <c r="D149" t="s">
        <v>3122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3631</v>
      </c>
      <c r="B156" t="s">
        <v>3632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3673</v>
      </c>
      <c r="B161" t="s">
        <v>3674</v>
      </c>
      <c r="C161" t="s">
        <v>3614</v>
      </c>
      <c r="D161" t="s">
        <v>3614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3633</v>
      </c>
      <c r="B165" t="s">
        <v>1870</v>
      </c>
      <c r="C165" t="s">
        <v>3759</v>
      </c>
      <c r="D165" t="s">
        <v>3759</v>
      </c>
    </row>
    <row r="166" spans="1:4" x14ac:dyDescent="0.25">
      <c r="A166" t="s">
        <v>3754</v>
      </c>
      <c r="B166" t="s">
        <v>1870</v>
      </c>
      <c r="C166" t="s">
        <v>3760</v>
      </c>
      <c r="D166" t="s">
        <v>3759</v>
      </c>
    </row>
    <row r="167" spans="1:4" x14ac:dyDescent="0.25">
      <c r="A167" t="s">
        <v>3123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3854</v>
      </c>
      <c r="B182" t="s">
        <v>3855</v>
      </c>
      <c r="C182" t="s">
        <v>3856</v>
      </c>
      <c r="D182" t="s">
        <v>3856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3135</v>
      </c>
      <c r="D189" t="s">
        <v>3135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3634</v>
      </c>
      <c r="B191" t="s">
        <v>3635</v>
      </c>
      <c r="C191" t="s">
        <v>3119</v>
      </c>
      <c r="D191" t="s">
        <v>3119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3124</v>
      </c>
      <c r="B193" t="s">
        <v>3125</v>
      </c>
      <c r="C193" t="s">
        <v>3135</v>
      </c>
      <c r="D193" t="s">
        <v>3135</v>
      </c>
    </row>
    <row r="194" spans="1:4" x14ac:dyDescent="0.25">
      <c r="A194" t="s">
        <v>3126</v>
      </c>
      <c r="B194" t="s">
        <v>3127</v>
      </c>
      <c r="C194" t="s">
        <v>386</v>
      </c>
      <c r="D194" t="s">
        <v>386</v>
      </c>
    </row>
    <row r="195" spans="1:4" x14ac:dyDescent="0.25">
      <c r="A195" t="s">
        <v>3128</v>
      </c>
      <c r="B195" t="s">
        <v>3129</v>
      </c>
      <c r="C195" t="s">
        <v>1705</v>
      </c>
      <c r="D195" t="s">
        <v>1705</v>
      </c>
    </row>
    <row r="196" spans="1:4" x14ac:dyDescent="0.25">
      <c r="A196" t="s">
        <v>3130</v>
      </c>
      <c r="B196" t="s">
        <v>3131</v>
      </c>
      <c r="C196" t="s">
        <v>386</v>
      </c>
      <c r="D196" t="s">
        <v>386</v>
      </c>
    </row>
    <row r="197" spans="1:4" x14ac:dyDescent="0.25">
      <c r="A197" t="s">
        <v>3132</v>
      </c>
      <c r="B197" t="s">
        <v>3133</v>
      </c>
      <c r="C197" t="s">
        <v>3134</v>
      </c>
      <c r="D197" t="s">
        <v>3134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3136</v>
      </c>
      <c r="B202" t="s">
        <v>3137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3636</v>
      </c>
      <c r="B217" t="s">
        <v>3540</v>
      </c>
      <c r="C217" t="s">
        <v>3712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3138</v>
      </c>
      <c r="B219" t="s">
        <v>3139</v>
      </c>
      <c r="C219" t="s">
        <v>3140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3141</v>
      </c>
      <c r="B227" t="s">
        <v>3142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3675</v>
      </c>
      <c r="B232" t="s">
        <v>3676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3694</v>
      </c>
      <c r="B245" t="s">
        <v>3695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3718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3717</v>
      </c>
      <c r="D265">
        <v>0</v>
      </c>
    </row>
    <row r="266" spans="1:4" x14ac:dyDescent="0.25">
      <c r="A266" t="s">
        <v>1735</v>
      </c>
      <c r="B266" t="s">
        <v>1734</v>
      </c>
      <c r="C266" t="s">
        <v>3716</v>
      </c>
      <c r="D266">
        <v>0</v>
      </c>
    </row>
    <row r="267" spans="1:4" x14ac:dyDescent="0.25">
      <c r="A267" t="s">
        <v>3642</v>
      </c>
      <c r="B267" t="s">
        <v>3643</v>
      </c>
      <c r="C267" t="s">
        <v>3643</v>
      </c>
      <c r="D267" t="s">
        <v>3643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3847</v>
      </c>
      <c r="B271" t="s">
        <v>3848</v>
      </c>
      <c r="C271" t="s">
        <v>19</v>
      </c>
      <c r="D271" t="s">
        <v>19</v>
      </c>
    </row>
    <row r="272" spans="1:4" x14ac:dyDescent="0.25">
      <c r="A272" t="s">
        <v>3849</v>
      </c>
      <c r="B272" t="s">
        <v>3850</v>
      </c>
      <c r="C272" t="s">
        <v>1667</v>
      </c>
      <c r="D272" t="s">
        <v>1667</v>
      </c>
    </row>
    <row r="273" spans="1:4" x14ac:dyDescent="0.25">
      <c r="A273" t="s">
        <v>3851</v>
      </c>
      <c r="B273" t="s">
        <v>3852</v>
      </c>
      <c r="C273" t="s">
        <v>3853</v>
      </c>
      <c r="D273" t="s">
        <v>3853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3818</v>
      </c>
      <c r="B293" t="s">
        <v>3819</v>
      </c>
      <c r="C293" t="s">
        <v>3793</v>
      </c>
      <c r="D293">
        <v>0</v>
      </c>
    </row>
    <row r="294" spans="1:4" x14ac:dyDescent="0.25">
      <c r="A294" t="s">
        <v>3794</v>
      </c>
      <c r="B294" t="s">
        <v>3795</v>
      </c>
      <c r="C294" t="s">
        <v>3793</v>
      </c>
      <c r="D294">
        <v>0</v>
      </c>
    </row>
    <row r="295" spans="1:4" x14ac:dyDescent="0.25">
      <c r="A295" t="s">
        <v>3816</v>
      </c>
      <c r="B295" t="s">
        <v>3817</v>
      </c>
      <c r="C295" t="s">
        <v>3793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3677</v>
      </c>
      <c r="B311" t="s">
        <v>3678</v>
      </c>
      <c r="C311" t="s">
        <v>3713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3679</v>
      </c>
      <c r="B313" t="s">
        <v>3680</v>
      </c>
      <c r="C313" t="s">
        <v>3614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3812</v>
      </c>
      <c r="B323" t="s">
        <v>3813</v>
      </c>
      <c r="C323" t="s">
        <v>3814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3143</v>
      </c>
      <c r="B326" t="s">
        <v>3144</v>
      </c>
      <c r="C326" t="s">
        <v>3134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3014</v>
      </c>
      <c r="B339" t="s">
        <v>3015</v>
      </c>
      <c r="C339" t="s">
        <v>19</v>
      </c>
      <c r="D339" t="s">
        <v>19</v>
      </c>
    </row>
    <row r="340" spans="1:4" x14ac:dyDescent="0.25">
      <c r="A340" t="s">
        <v>3016</v>
      </c>
      <c r="B340" t="s">
        <v>3017</v>
      </c>
      <c r="C340" t="s">
        <v>19</v>
      </c>
      <c r="D340" t="s">
        <v>19</v>
      </c>
    </row>
    <row r="341" spans="1:4" x14ac:dyDescent="0.25">
      <c r="A341" t="s">
        <v>3018</v>
      </c>
      <c r="B341" t="s">
        <v>3019</v>
      </c>
      <c r="C341" t="s">
        <v>19</v>
      </c>
      <c r="D341" t="s">
        <v>19</v>
      </c>
    </row>
    <row r="342" spans="1:4" x14ac:dyDescent="0.25">
      <c r="A342" t="s">
        <v>3020</v>
      </c>
      <c r="B342" t="s">
        <v>3021</v>
      </c>
      <c r="C342" t="s">
        <v>19</v>
      </c>
      <c r="D342" t="s">
        <v>19</v>
      </c>
    </row>
    <row r="343" spans="1:4" x14ac:dyDescent="0.25">
      <c r="A343" t="s">
        <v>3022</v>
      </c>
      <c r="B343" t="s">
        <v>3023</v>
      </c>
      <c r="C343" t="s">
        <v>19</v>
      </c>
      <c r="D343" t="s">
        <v>19</v>
      </c>
    </row>
    <row r="344" spans="1:4" x14ac:dyDescent="0.25">
      <c r="A344" t="s">
        <v>3024</v>
      </c>
      <c r="B344" t="s">
        <v>3025</v>
      </c>
      <c r="C344" t="s">
        <v>19</v>
      </c>
      <c r="D344" t="s">
        <v>19</v>
      </c>
    </row>
    <row r="345" spans="1:4" x14ac:dyDescent="0.25">
      <c r="A345" t="s">
        <v>3026</v>
      </c>
      <c r="B345" t="s">
        <v>3027</v>
      </c>
      <c r="C345" t="s">
        <v>19</v>
      </c>
      <c r="D345" t="s">
        <v>19</v>
      </c>
    </row>
    <row r="346" spans="1:4" x14ac:dyDescent="0.25">
      <c r="A346" t="s">
        <v>3028</v>
      </c>
      <c r="B346" t="s">
        <v>3029</v>
      </c>
      <c r="C346" t="s">
        <v>19</v>
      </c>
      <c r="D346" t="s">
        <v>19</v>
      </c>
    </row>
    <row r="347" spans="1:4" x14ac:dyDescent="0.25">
      <c r="A347" t="s">
        <v>3040</v>
      </c>
      <c r="B347" t="s">
        <v>3041</v>
      </c>
      <c r="C347" t="s">
        <v>19</v>
      </c>
      <c r="D347" t="s">
        <v>19</v>
      </c>
    </row>
    <row r="348" spans="1:4" x14ac:dyDescent="0.25">
      <c r="A348" t="s">
        <v>3030</v>
      </c>
      <c r="B348" t="s">
        <v>3031</v>
      </c>
      <c r="C348" t="s">
        <v>19</v>
      </c>
      <c r="D348" t="s">
        <v>19</v>
      </c>
    </row>
    <row r="349" spans="1:4" x14ac:dyDescent="0.25">
      <c r="A349" t="s">
        <v>3032</v>
      </c>
      <c r="B349" t="s">
        <v>3033</v>
      </c>
      <c r="C349" t="s">
        <v>19</v>
      </c>
      <c r="D349" t="s">
        <v>19</v>
      </c>
    </row>
    <row r="350" spans="1:4" x14ac:dyDescent="0.25">
      <c r="A350" t="s">
        <v>3034</v>
      </c>
      <c r="B350" t="s">
        <v>3035</v>
      </c>
      <c r="C350" t="s">
        <v>19</v>
      </c>
      <c r="D350" t="s">
        <v>19</v>
      </c>
    </row>
    <row r="351" spans="1:4" x14ac:dyDescent="0.25">
      <c r="A351" t="s">
        <v>3036</v>
      </c>
      <c r="B351" t="s">
        <v>3037</v>
      </c>
      <c r="C351" t="s">
        <v>19</v>
      </c>
      <c r="D351" t="s">
        <v>19</v>
      </c>
    </row>
    <row r="352" spans="1:4" x14ac:dyDescent="0.25">
      <c r="A352" t="s">
        <v>3042</v>
      </c>
      <c r="B352" t="s">
        <v>3043</v>
      </c>
      <c r="C352" t="s">
        <v>19</v>
      </c>
      <c r="D352" t="s">
        <v>19</v>
      </c>
    </row>
    <row r="353" spans="1:4" x14ac:dyDescent="0.25">
      <c r="A353" t="s">
        <v>3038</v>
      </c>
      <c r="B353" t="s">
        <v>3039</v>
      </c>
      <c r="C353" t="s">
        <v>19</v>
      </c>
      <c r="D353" t="s">
        <v>19</v>
      </c>
    </row>
    <row r="354" spans="1:4" x14ac:dyDescent="0.25">
      <c r="A354" t="s">
        <v>3044</v>
      </c>
      <c r="B354" t="s">
        <v>3045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3627</v>
      </c>
      <c r="B367" t="s">
        <v>3488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3763</v>
      </c>
      <c r="B373" t="s">
        <v>3764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3459</v>
      </c>
      <c r="B378" t="s">
        <v>3461</v>
      </c>
      <c r="C378" t="s">
        <v>1695</v>
      </c>
      <c r="D378" t="s">
        <v>1694</v>
      </c>
    </row>
    <row r="379" spans="1:4" x14ac:dyDescent="0.25">
      <c r="A379" t="s">
        <v>3460</v>
      </c>
      <c r="B379" t="s">
        <v>3462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3767</v>
      </c>
      <c r="B386" t="s">
        <v>3768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3111</v>
      </c>
      <c r="B412" t="s">
        <v>3112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3113</v>
      </c>
      <c r="B442" t="s">
        <v>3114</v>
      </c>
      <c r="C442">
        <v>0</v>
      </c>
      <c r="D442">
        <v>0</v>
      </c>
    </row>
    <row r="443" spans="1:4" x14ac:dyDescent="0.25">
      <c r="A443" t="s">
        <v>3115</v>
      </c>
      <c r="B443" t="s">
        <v>3116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3710</v>
      </c>
      <c r="B468" t="s">
        <v>3711</v>
      </c>
      <c r="C468" t="s">
        <v>3714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3681</v>
      </c>
      <c r="B476" t="s">
        <v>3715</v>
      </c>
      <c r="C476" t="s">
        <v>3614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3628</v>
      </c>
      <c r="B498" t="s">
        <v>3490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0"/>
  <sheetViews>
    <sheetView topLeftCell="D31" workbookViewId="0">
      <selection activeCell="K50" sqref="K50:K51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2994</v>
      </c>
      <c r="H5" t="s">
        <v>2427</v>
      </c>
      <c r="I5" t="s">
        <v>2428</v>
      </c>
      <c r="J5" t="s">
        <v>2436</v>
      </c>
      <c r="K5" t="s">
        <v>3796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2995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3607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3609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3800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3802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3798</v>
      </c>
    </row>
    <row r="29" spans="1:11" x14ac:dyDescent="0.25">
      <c r="G29" t="s">
        <v>3793</v>
      </c>
      <c r="H29" t="s">
        <v>2427</v>
      </c>
      <c r="I29" t="s">
        <v>2428</v>
      </c>
      <c r="J29" t="s">
        <v>2436</v>
      </c>
      <c r="K29" t="s">
        <v>3798</v>
      </c>
    </row>
    <row r="30" spans="1:11" x14ac:dyDescent="0.25">
      <c r="G30" t="s">
        <v>3072</v>
      </c>
      <c r="H30" t="s">
        <v>2427</v>
      </c>
      <c r="I30" t="s">
        <v>2428</v>
      </c>
      <c r="J30" t="s">
        <v>2436</v>
      </c>
      <c r="K30" t="s">
        <v>3798</v>
      </c>
    </row>
    <row r="31" spans="1:11" x14ac:dyDescent="0.25">
      <c r="G31" t="s">
        <v>3823</v>
      </c>
      <c r="H31" t="s">
        <v>2427</v>
      </c>
      <c r="I31" t="s">
        <v>2428</v>
      </c>
      <c r="J31" t="s">
        <v>2436</v>
      </c>
      <c r="K31" t="s">
        <v>3801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3803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3799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2440</v>
      </c>
      <c r="K34" t="s">
        <v>3299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140</v>
      </c>
      <c r="K35" t="s">
        <v>3300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3300</v>
      </c>
    </row>
    <row r="37" spans="7:11" x14ac:dyDescent="0.25">
      <c r="G37" t="s">
        <v>2906</v>
      </c>
      <c r="H37" t="s">
        <v>2427</v>
      </c>
      <c r="I37" t="s">
        <v>2426</v>
      </c>
      <c r="J37">
        <f t="shared" ref="J37:J48" si="1">IFERROR(INDEX($B$2:$B$13,MATCH(K37,$C$2:$C$13,0)),0)</f>
        <v>0</v>
      </c>
    </row>
    <row r="38" spans="7:11" x14ac:dyDescent="0.25">
      <c r="G38" t="s">
        <v>859</v>
      </c>
      <c r="H38" t="s">
        <v>2427</v>
      </c>
      <c r="J38" t="str">
        <f t="shared" si="1"/>
        <v>1A4 Other Sectors</v>
      </c>
      <c r="K38" t="s">
        <v>2435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si="1"/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1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1"/>
        <v>1A3 Transport</v>
      </c>
      <c r="K41" t="s">
        <v>2434</v>
      </c>
    </row>
    <row r="42" spans="7:11" x14ac:dyDescent="0.25">
      <c r="G42" t="s">
        <v>3101</v>
      </c>
      <c r="H42" t="s">
        <v>2427</v>
      </c>
      <c r="I42" t="s">
        <v>2428</v>
      </c>
      <c r="J42" t="str">
        <f t="shared" si="1"/>
        <v>1A3 Transport</v>
      </c>
      <c r="K42" t="s">
        <v>2432</v>
      </c>
    </row>
    <row r="43" spans="7:11" x14ac:dyDescent="0.25">
      <c r="G43" t="s">
        <v>37</v>
      </c>
      <c r="H43" t="s">
        <v>2427</v>
      </c>
      <c r="I43" t="s">
        <v>2428</v>
      </c>
      <c r="J43">
        <f t="shared" si="1"/>
        <v>0</v>
      </c>
    </row>
    <row r="44" spans="7:11" x14ac:dyDescent="0.25">
      <c r="G44" t="s">
        <v>598</v>
      </c>
      <c r="H44" t="s">
        <v>2427</v>
      </c>
      <c r="I44" t="s">
        <v>2428</v>
      </c>
      <c r="J44" t="str">
        <f t="shared" si="1"/>
        <v>1A3 Transport</v>
      </c>
      <c r="K44" t="s">
        <v>2433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1"/>
        <v>1A3 Transport</v>
      </c>
      <c r="K45" t="s">
        <v>2432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1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1"/>
        <v>1A3 Transport</v>
      </c>
      <c r="K47" t="s">
        <v>2431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1"/>
        <v>1A1 Energy Industries</v>
      </c>
      <c r="K48" t="s">
        <v>2429</v>
      </c>
    </row>
    <row r="49" spans="7:11" x14ac:dyDescent="0.25">
      <c r="G49" t="s">
        <v>445</v>
      </c>
      <c r="H49" t="s">
        <v>2427</v>
      </c>
      <c r="I49" t="s">
        <v>2428</v>
      </c>
      <c r="J49" t="s">
        <v>3804</v>
      </c>
      <c r="K49" t="s">
        <v>3804</v>
      </c>
    </row>
    <row r="50" spans="7:11" x14ac:dyDescent="0.25">
      <c r="G50" t="s">
        <v>3473</v>
      </c>
      <c r="H50" t="s">
        <v>2423</v>
      </c>
      <c r="I50" t="s">
        <v>334</v>
      </c>
      <c r="J50" t="s">
        <v>3804</v>
      </c>
      <c r="K50" t="s">
        <v>3804</v>
      </c>
    </row>
    <row r="51" spans="7:11" x14ac:dyDescent="0.25">
      <c r="G51" t="s">
        <v>3475</v>
      </c>
      <c r="H51" t="s">
        <v>2423</v>
      </c>
      <c r="I51" t="s">
        <v>334</v>
      </c>
      <c r="J51" t="s">
        <v>3804</v>
      </c>
      <c r="K51" t="s">
        <v>3804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2447</v>
      </c>
      <c r="K52" t="s">
        <v>2430</v>
      </c>
    </row>
    <row r="53" spans="7:11" x14ac:dyDescent="0.25">
      <c r="G53" t="s">
        <v>3150</v>
      </c>
      <c r="H53" t="s">
        <v>2427</v>
      </c>
      <c r="I53" t="s">
        <v>2428</v>
      </c>
      <c r="J53" t="str">
        <f t="shared" ref="J53:J59" si="2">IFERROR(INDEX($B$2:$B$13,MATCH(K53,$C$2:$C$13,0)),0)</f>
        <v>1A1 Energy Industries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>
        <f t="shared" si="2"/>
        <v>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2"/>
        <v>0</v>
      </c>
    </row>
    <row r="56" spans="7:11" x14ac:dyDescent="0.25">
      <c r="G56" t="s">
        <v>399</v>
      </c>
      <c r="H56" t="s">
        <v>2427</v>
      </c>
      <c r="I56" t="s">
        <v>2428</v>
      </c>
      <c r="J56" t="str">
        <f t="shared" si="2"/>
        <v>1A1 Energy Industries</v>
      </c>
      <c r="K56" t="s">
        <v>2429</v>
      </c>
    </row>
    <row r="57" spans="7:11" x14ac:dyDescent="0.25">
      <c r="G57" t="s">
        <v>392</v>
      </c>
      <c r="H57" t="s">
        <v>2427</v>
      </c>
      <c r="I57" t="s">
        <v>2428</v>
      </c>
      <c r="J57">
        <f t="shared" si="2"/>
        <v>0</v>
      </c>
    </row>
    <row r="58" spans="7:11" x14ac:dyDescent="0.25">
      <c r="G58" t="s">
        <v>144</v>
      </c>
      <c r="H58" t="s">
        <v>2427</v>
      </c>
      <c r="J58">
        <f t="shared" si="2"/>
        <v>0</v>
      </c>
    </row>
    <row r="59" spans="7:11" x14ac:dyDescent="0.25">
      <c r="G59" t="s">
        <v>44</v>
      </c>
      <c r="H59" t="s">
        <v>2427</v>
      </c>
      <c r="J59">
        <f t="shared" si="2"/>
        <v>0</v>
      </c>
    </row>
    <row r="60" spans="7:11" x14ac:dyDescent="0.25">
      <c r="G60" t="s">
        <v>20</v>
      </c>
      <c r="H60" t="s">
        <v>2427</v>
      </c>
      <c r="I60" t="s">
        <v>2428</v>
      </c>
      <c r="J60" t="str">
        <f>G61</f>
        <v>1B1 Energy Solid Fuels</v>
      </c>
      <c r="K60" t="str">
        <f>J60</f>
        <v>1B1 Energy Solid Fuels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G62</f>
        <v>1B2 Oil and Natural Gas</v>
      </c>
      <c r="K61" t="str">
        <f>J61</f>
        <v>1B2 Oil and Natural Gas</v>
      </c>
    </row>
    <row r="62" spans="7:11" x14ac:dyDescent="0.25">
      <c r="G62" t="s">
        <v>140</v>
      </c>
      <c r="H62" t="s">
        <v>2427</v>
      </c>
      <c r="I62" t="s">
        <v>2426</v>
      </c>
      <c r="J62" t="s">
        <v>2425</v>
      </c>
      <c r="K62" t="s">
        <v>383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137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264</v>
      </c>
      <c r="K64" t="s">
        <v>264</v>
      </c>
    </row>
    <row r="65" spans="7:11" x14ac:dyDescent="0.25">
      <c r="G65" t="s">
        <v>264</v>
      </c>
      <c r="H65" t="s">
        <v>2423</v>
      </c>
      <c r="I65" t="s">
        <v>264</v>
      </c>
      <c r="J65" t="str">
        <f>I66</f>
        <v>2B Chemical Industry</v>
      </c>
      <c r="K65" t="str">
        <f>J65</f>
        <v>2B Chemical Industry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G67</f>
        <v>2C2 Ferroalloys production</v>
      </c>
      <c r="K66" t="str">
        <f>J66</f>
        <v>2C2 Ferroalloys production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G68</f>
        <v>2C1 Iron and Steel Production</v>
      </c>
      <c r="K67" t="str">
        <f>J67</f>
        <v>2C1 Iron and Steel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G69</f>
        <v>2C3 Aluminium Production</v>
      </c>
      <c r="K68" t="str">
        <f>J68</f>
        <v>2C3 Aluminium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I70</f>
        <v>2F Product uses as substitutes for ozone depleting substances</v>
      </c>
      <c r="K69" t="str">
        <f>J69</f>
        <v>2F Product uses as substitutes for ozone depleting substances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abSelected="1" topLeftCell="Y111" workbookViewId="0">
      <selection activeCell="AU140" sqref="AU140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3389</v>
      </c>
      <c r="AO4" t="s">
        <v>3390</v>
      </c>
    </row>
    <row r="5" spans="1:53" x14ac:dyDescent="0.25">
      <c r="C5" t="s">
        <v>3047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2979</v>
      </c>
      <c r="X5" s="2"/>
      <c r="Y5" s="2" t="s">
        <v>2978</v>
      </c>
      <c r="AA5" s="2" t="s">
        <v>3000</v>
      </c>
      <c r="AB5" s="2"/>
      <c r="AC5" s="2" t="s">
        <v>3065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3387</v>
      </c>
      <c r="AM5" s="2"/>
      <c r="AN5" s="2"/>
      <c r="AO5" s="2" t="s">
        <v>3394</v>
      </c>
      <c r="AP5" s="2"/>
      <c r="AQ5" s="2"/>
      <c r="AU5" t="s">
        <v>3148</v>
      </c>
      <c r="AV5" s="2"/>
      <c r="AW5" t="s">
        <v>3385</v>
      </c>
      <c r="AY5" t="s">
        <v>3013</v>
      </c>
      <c r="BA5" t="s">
        <v>3765</v>
      </c>
    </row>
    <row r="6" spans="1:53" x14ac:dyDescent="0.25">
      <c r="A6" s="2" t="s">
        <v>2976</v>
      </c>
      <c r="B6" s="2"/>
      <c r="C6" s="2" t="s">
        <v>3046</v>
      </c>
      <c r="D6" s="2"/>
      <c r="E6" t="s">
        <v>3417</v>
      </c>
      <c r="F6" s="2"/>
      <c r="G6" t="s">
        <v>3418</v>
      </c>
      <c r="H6" s="2"/>
      <c r="I6" t="s">
        <v>3419</v>
      </c>
      <c r="J6" s="2"/>
      <c r="K6" s="2" t="s">
        <v>2833</v>
      </c>
      <c r="L6" s="2"/>
      <c r="M6" s="2" t="s">
        <v>2835</v>
      </c>
      <c r="N6" s="2"/>
      <c r="O6" s="2" t="s">
        <v>3153</v>
      </c>
      <c r="Q6" s="2" t="s">
        <v>3293</v>
      </c>
      <c r="S6" s="2" t="s">
        <v>3294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3001</v>
      </c>
      <c r="AC6" s="2" t="s">
        <v>2452</v>
      </c>
      <c r="AD6" s="2" t="s">
        <v>3066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2" t="s">
        <v>3001</v>
      </c>
      <c r="AM6" s="2" t="s">
        <v>3386</v>
      </c>
      <c r="AN6" s="2"/>
      <c r="AO6" s="2" t="s">
        <v>2911</v>
      </c>
      <c r="AP6" s="2" t="s">
        <v>3391</v>
      </c>
      <c r="AQ6" s="2"/>
      <c r="AR6" s="2" t="s">
        <v>2974</v>
      </c>
      <c r="AS6" s="2" t="s">
        <v>2857</v>
      </c>
      <c r="AT6" s="2"/>
      <c r="AU6" s="2" t="s">
        <v>3147</v>
      </c>
      <c r="AW6" s="2" t="s">
        <v>3386</v>
      </c>
      <c r="AY6" t="s">
        <v>2418</v>
      </c>
      <c r="AZ6" t="str">
        <f>""</f>
        <v/>
      </c>
      <c r="BA6" s="2" t="s">
        <v>3766</v>
      </c>
    </row>
    <row r="7" spans="1:53" x14ac:dyDescent="0.25">
      <c r="A7" t="s">
        <v>2863</v>
      </c>
      <c r="C7" t="s">
        <v>3048</v>
      </c>
      <c r="E7" t="s">
        <v>3053</v>
      </c>
      <c r="G7" t="s">
        <v>3051</v>
      </c>
      <c r="I7" t="s">
        <v>3049</v>
      </c>
      <c r="K7" t="s">
        <v>2836</v>
      </c>
      <c r="M7" t="s">
        <v>2836</v>
      </c>
      <c r="O7" t="s">
        <v>3221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2914</v>
      </c>
      <c r="AL7" t="s">
        <v>3359</v>
      </c>
      <c r="AM7" t="s">
        <v>3392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3392</v>
      </c>
      <c r="AY7" t="s">
        <v>2416</v>
      </c>
      <c r="AZ7" t="s">
        <v>3002</v>
      </c>
      <c r="BA7" t="s">
        <v>2160</v>
      </c>
    </row>
    <row r="8" spans="1:53" x14ac:dyDescent="0.25">
      <c r="A8" t="s">
        <v>2865</v>
      </c>
      <c r="C8" t="s">
        <v>3049</v>
      </c>
      <c r="E8" t="s">
        <v>3054</v>
      </c>
      <c r="G8" t="s">
        <v>3052</v>
      </c>
      <c r="I8" t="s">
        <v>3050</v>
      </c>
      <c r="K8" t="s">
        <v>2838</v>
      </c>
      <c r="M8" t="s">
        <v>2838</v>
      </c>
      <c r="O8" t="s">
        <v>1624</v>
      </c>
      <c r="Q8" t="s">
        <v>140</v>
      </c>
      <c r="S8" t="s">
        <v>3614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2915</v>
      </c>
      <c r="AI8" t="s">
        <v>2837</v>
      </c>
      <c r="AJ8" t="s">
        <v>2916</v>
      </c>
      <c r="AL8" t="s">
        <v>3005</v>
      </c>
      <c r="AM8" t="s">
        <v>3393</v>
      </c>
      <c r="AO8" t="s">
        <v>2915</v>
      </c>
      <c r="AP8" t="s">
        <v>2915</v>
      </c>
      <c r="AR8" t="s">
        <v>1580</v>
      </c>
      <c r="AS8" t="str">
        <f>U18</f>
        <v>com</v>
      </c>
      <c r="AU8" t="s">
        <v>2049</v>
      </c>
      <c r="AW8" t="s">
        <v>3393</v>
      </c>
      <c r="AY8" t="s">
        <v>2414</v>
      </c>
      <c r="AZ8" t="s">
        <v>3002</v>
      </c>
      <c r="BA8" t="s">
        <v>2174</v>
      </c>
    </row>
    <row r="9" spans="1:53" x14ac:dyDescent="0.25">
      <c r="A9" t="s">
        <v>3761</v>
      </c>
      <c r="C9" t="s">
        <v>3050</v>
      </c>
      <c r="E9" t="s">
        <v>3055</v>
      </c>
      <c r="K9" t="s">
        <v>2841</v>
      </c>
      <c r="M9" t="s">
        <v>2841</v>
      </c>
      <c r="O9" t="s">
        <v>3492</v>
      </c>
      <c r="Q9" t="s">
        <v>3221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2917</v>
      </c>
      <c r="AI9" t="s">
        <v>2837</v>
      </c>
      <c r="AJ9" t="s">
        <v>2918</v>
      </c>
      <c r="AL9" t="s">
        <v>3361</v>
      </c>
      <c r="AM9" t="s">
        <v>3366</v>
      </c>
      <c r="AO9" t="s">
        <v>2917</v>
      </c>
      <c r="AP9" t="s">
        <v>2917</v>
      </c>
      <c r="AR9" t="s">
        <v>1491</v>
      </c>
      <c r="AS9" t="str">
        <f>U18</f>
        <v>com</v>
      </c>
      <c r="AU9" t="s">
        <v>2047</v>
      </c>
      <c r="AW9" t="s">
        <v>3366</v>
      </c>
      <c r="AY9" t="s">
        <v>2412</v>
      </c>
      <c r="AZ9" t="s">
        <v>3002</v>
      </c>
      <c r="BA9" t="s">
        <v>3763</v>
      </c>
    </row>
    <row r="10" spans="1:53" x14ac:dyDescent="0.25">
      <c r="A10" t="s">
        <v>2868</v>
      </c>
      <c r="C10" t="s">
        <v>3051</v>
      </c>
      <c r="E10" t="s">
        <v>3056</v>
      </c>
      <c r="K10" t="s">
        <v>2837</v>
      </c>
      <c r="O10" t="s">
        <v>3743</v>
      </c>
      <c r="Q10" t="s">
        <v>1624</v>
      </c>
      <c r="S10" t="s">
        <v>2996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3482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2919</v>
      </c>
      <c r="AI10" t="s">
        <v>2908</v>
      </c>
      <c r="AJ10" t="s">
        <v>2920</v>
      </c>
      <c r="AL10" t="s">
        <v>3362</v>
      </c>
      <c r="AM10" t="s">
        <v>3366</v>
      </c>
      <c r="AO10" t="s">
        <v>2919</v>
      </c>
      <c r="AP10" t="s">
        <v>2919</v>
      </c>
      <c r="AR10" t="s">
        <v>2994</v>
      </c>
      <c r="AS10" t="s">
        <v>2845</v>
      </c>
      <c r="AU10" t="s">
        <v>2045</v>
      </c>
      <c r="AW10" t="s">
        <v>3398</v>
      </c>
      <c r="AY10" t="s">
        <v>2410</v>
      </c>
      <c r="AZ10" t="s">
        <v>3002</v>
      </c>
    </row>
    <row r="11" spans="1:53" x14ac:dyDescent="0.25">
      <c r="A11" t="s">
        <v>2870</v>
      </c>
      <c r="C11" t="s">
        <v>3052</v>
      </c>
      <c r="E11" t="s">
        <v>3057</v>
      </c>
      <c r="K11" t="s">
        <v>2839</v>
      </c>
      <c r="O11" t="s">
        <v>1474</v>
      </c>
      <c r="Q11" t="s">
        <v>3072</v>
      </c>
      <c r="S11" t="s">
        <v>2998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2977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2921</v>
      </c>
      <c r="AI11" t="s">
        <v>2839</v>
      </c>
      <c r="AJ11" t="s">
        <v>2922</v>
      </c>
      <c r="AL11" t="s">
        <v>3011</v>
      </c>
      <c r="AM11" t="s">
        <v>3398</v>
      </c>
      <c r="AO11" t="s">
        <v>2921</v>
      </c>
      <c r="AP11" t="s">
        <v>2921</v>
      </c>
      <c r="AR11" t="s">
        <v>2995</v>
      </c>
      <c r="AS11" t="s">
        <v>2856</v>
      </c>
      <c r="AU11" t="s">
        <v>2043</v>
      </c>
      <c r="AW11" t="s">
        <v>3383</v>
      </c>
      <c r="AY11" t="s">
        <v>2406</v>
      </c>
      <c r="AZ11" t="s">
        <v>3003</v>
      </c>
    </row>
    <row r="12" spans="1:53" x14ac:dyDescent="0.25">
      <c r="A12" t="s">
        <v>2872</v>
      </c>
      <c r="C12" t="s">
        <v>3053</v>
      </c>
      <c r="E12" t="s">
        <v>3058</v>
      </c>
      <c r="K12" t="s">
        <v>2842</v>
      </c>
      <c r="O12" t="s">
        <v>3329</v>
      </c>
      <c r="Q12" t="s">
        <v>3614</v>
      </c>
      <c r="S12" t="s">
        <v>2997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2923</v>
      </c>
      <c r="AI12" t="s">
        <v>2839</v>
      </c>
      <c r="AJ12" t="s">
        <v>2924</v>
      </c>
      <c r="AL12" t="s">
        <v>3003</v>
      </c>
      <c r="AM12" t="s">
        <v>3383</v>
      </c>
      <c r="AO12" t="s">
        <v>2923</v>
      </c>
      <c r="AP12" t="s">
        <v>2923</v>
      </c>
      <c r="AR12" t="s">
        <v>1468</v>
      </c>
      <c r="AS12" t="s">
        <v>2850</v>
      </c>
      <c r="AU12" t="s">
        <v>2014</v>
      </c>
      <c r="AW12" t="s">
        <v>3367</v>
      </c>
      <c r="AY12" t="s">
        <v>2404</v>
      </c>
      <c r="AZ12" t="s">
        <v>3004</v>
      </c>
    </row>
    <row r="13" spans="1:53" x14ac:dyDescent="0.25">
      <c r="A13" t="s">
        <v>2874</v>
      </c>
      <c r="C13" t="s">
        <v>3054</v>
      </c>
      <c r="E13" t="s">
        <v>3059</v>
      </c>
      <c r="K13" t="s">
        <v>2843</v>
      </c>
      <c r="O13" t="s">
        <v>386</v>
      </c>
      <c r="Q13" t="s">
        <v>1473</v>
      </c>
      <c r="S13" t="s">
        <v>2999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2925</v>
      </c>
      <c r="AI13" t="s">
        <v>2839</v>
      </c>
      <c r="AJ13" t="s">
        <v>2926</v>
      </c>
      <c r="AL13" t="s">
        <v>3363</v>
      </c>
      <c r="AM13" t="s">
        <v>3367</v>
      </c>
      <c r="AO13" t="s">
        <v>2925</v>
      </c>
      <c r="AP13" t="s">
        <v>2925</v>
      </c>
      <c r="AR13" t="s">
        <v>1463</v>
      </c>
      <c r="AS13" t="str">
        <f t="shared" ref="AS13:AS21" si="1">AS12</f>
        <v>elec</v>
      </c>
      <c r="AU13" t="s">
        <v>2013</v>
      </c>
      <c r="AW13" t="s">
        <v>3368</v>
      </c>
      <c r="AY13" t="s">
        <v>2402</v>
      </c>
      <c r="AZ13" t="s">
        <v>3002</v>
      </c>
    </row>
    <row r="14" spans="1:53" x14ac:dyDescent="0.25">
      <c r="A14" t="s">
        <v>2876</v>
      </c>
      <c r="C14" t="s">
        <v>3055</v>
      </c>
      <c r="E14" t="s">
        <v>3060</v>
      </c>
      <c r="K14" t="s">
        <v>2844</v>
      </c>
      <c r="O14" t="s">
        <v>960</v>
      </c>
      <c r="Q14" t="s">
        <v>2994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2927</v>
      </c>
      <c r="AI14" t="s">
        <v>2839</v>
      </c>
      <c r="AJ14" t="s">
        <v>2928</v>
      </c>
      <c r="AL14" t="s">
        <v>3364</v>
      </c>
      <c r="AM14" t="s">
        <v>3367</v>
      </c>
      <c r="AO14" t="s">
        <v>2927</v>
      </c>
      <c r="AP14" t="s">
        <v>2927</v>
      </c>
      <c r="AR14" t="s">
        <v>1456</v>
      </c>
      <c r="AS14" t="str">
        <f t="shared" si="1"/>
        <v>elec</v>
      </c>
      <c r="AU14" t="s">
        <v>2012</v>
      </c>
      <c r="AW14" t="s">
        <v>3369</v>
      </c>
      <c r="AY14" t="s">
        <v>2400</v>
      </c>
      <c r="AZ14" t="s">
        <v>3002</v>
      </c>
    </row>
    <row r="15" spans="1:53" x14ac:dyDescent="0.25">
      <c r="A15" t="s">
        <v>2878</v>
      </c>
      <c r="C15" t="s">
        <v>3056</v>
      </c>
      <c r="K15" t="s">
        <v>2845</v>
      </c>
      <c r="O15" t="s">
        <v>3222</v>
      </c>
      <c r="Q15" t="s">
        <v>2995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2929</v>
      </c>
      <c r="AI15" t="s">
        <v>2849</v>
      </c>
      <c r="AJ15" t="s">
        <v>2930</v>
      </c>
      <c r="AL15" t="s">
        <v>3365</v>
      </c>
      <c r="AM15" t="s">
        <v>3368</v>
      </c>
      <c r="AO15" t="s">
        <v>2929</v>
      </c>
      <c r="AP15" t="s">
        <v>2929</v>
      </c>
      <c r="AR15" t="s">
        <v>1312</v>
      </c>
      <c r="AS15" t="str">
        <f t="shared" si="1"/>
        <v>elec</v>
      </c>
      <c r="AU15" t="s">
        <v>2011</v>
      </c>
      <c r="AW15" t="s">
        <v>3375</v>
      </c>
      <c r="AY15" t="s">
        <v>2398</v>
      </c>
      <c r="AZ15" t="s">
        <v>3002</v>
      </c>
    </row>
    <row r="16" spans="1:53" x14ac:dyDescent="0.25">
      <c r="A16" t="s">
        <v>2880</v>
      </c>
      <c r="C16" t="s">
        <v>3057</v>
      </c>
      <c r="K16" t="s">
        <v>2846</v>
      </c>
      <c r="O16" t="s">
        <v>3305</v>
      </c>
      <c r="Q16" t="s">
        <v>3101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cpetr_d</v>
      </c>
      <c r="AF16" t="s">
        <v>2841</v>
      </c>
      <c r="AG16" t="s">
        <v>2975</v>
      </c>
      <c r="AI16" t="s">
        <v>2839</v>
      </c>
      <c r="AJ16" t="s">
        <v>2931</v>
      </c>
      <c r="AL16" t="s">
        <v>3330</v>
      </c>
      <c r="AM16" t="s">
        <v>3368</v>
      </c>
      <c r="AO16" t="s">
        <v>2975</v>
      </c>
      <c r="AP16" t="s">
        <v>2975</v>
      </c>
      <c r="AR16" t="s">
        <v>1414</v>
      </c>
      <c r="AS16" t="str">
        <f t="shared" si="1"/>
        <v>elec</v>
      </c>
      <c r="AU16" t="s">
        <v>2010</v>
      </c>
      <c r="AW16" t="s">
        <v>3379</v>
      </c>
      <c r="AY16" t="s">
        <v>2396</v>
      </c>
      <c r="AZ16" t="s">
        <v>3002</v>
      </c>
    </row>
    <row r="17" spans="1:52" x14ac:dyDescent="0.25">
      <c r="A17" t="s">
        <v>2882</v>
      </c>
      <c r="C17" t="s">
        <v>3058</v>
      </c>
      <c r="K17" t="s">
        <v>2847</v>
      </c>
      <c r="O17" t="s">
        <v>3315</v>
      </c>
      <c r="Q17" t="s">
        <v>3102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2842</v>
      </c>
      <c r="AJ17" t="s">
        <v>2932</v>
      </c>
      <c r="AL17" t="s">
        <v>3331</v>
      </c>
      <c r="AM17" t="s">
        <v>3368</v>
      </c>
      <c r="AR17" t="s">
        <v>1393</v>
      </c>
      <c r="AS17" t="str">
        <f t="shared" si="1"/>
        <v>elec</v>
      </c>
      <c r="AU17" t="s">
        <v>2009</v>
      </c>
      <c r="AW17" t="s">
        <v>3370</v>
      </c>
      <c r="AY17" t="s">
        <v>2394</v>
      </c>
      <c r="AZ17" t="s">
        <v>3005</v>
      </c>
    </row>
    <row r="18" spans="1:52" x14ac:dyDescent="0.25">
      <c r="A18" t="s">
        <v>2884</v>
      </c>
      <c r="C18" t="s">
        <v>3059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cpetr_o</v>
      </c>
      <c r="AI18" t="s">
        <v>2842</v>
      </c>
      <c r="AJ18" t="s">
        <v>2933</v>
      </c>
      <c r="AL18" t="s">
        <v>3371</v>
      </c>
      <c r="AM18" t="s">
        <v>3368</v>
      </c>
      <c r="AR18" t="s">
        <v>1388</v>
      </c>
      <c r="AS18" t="str">
        <f t="shared" si="1"/>
        <v>elec</v>
      </c>
      <c r="AU18" t="s">
        <v>2008</v>
      </c>
      <c r="AW18" t="s">
        <v>3376</v>
      </c>
      <c r="AY18" t="s">
        <v>2392</v>
      </c>
      <c r="AZ18" t="s">
        <v>3004</v>
      </c>
    </row>
    <row r="19" spans="1:52" x14ac:dyDescent="0.25">
      <c r="A19" t="s">
        <v>2886</v>
      </c>
      <c r="C19" t="s">
        <v>3060</v>
      </c>
      <c r="K19" t="s">
        <v>2849</v>
      </c>
      <c r="O19" t="s">
        <v>3190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cpetr_o</v>
      </c>
      <c r="AI19" t="s">
        <v>2843</v>
      </c>
      <c r="AJ19" t="s">
        <v>2934</v>
      </c>
      <c r="AL19" t="s">
        <v>3332</v>
      </c>
      <c r="AM19" t="s">
        <v>3369</v>
      </c>
      <c r="AR19" t="s">
        <v>1365</v>
      </c>
      <c r="AS19" t="str">
        <f t="shared" si="1"/>
        <v>elec</v>
      </c>
      <c r="AU19" t="s">
        <v>2007</v>
      </c>
      <c r="AW19" t="s">
        <v>3377</v>
      </c>
      <c r="AY19" t="s">
        <v>2390</v>
      </c>
      <c r="AZ19" t="s">
        <v>3002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cpetr_o</v>
      </c>
      <c r="AI20" t="s">
        <v>2843</v>
      </c>
      <c r="AJ20" t="s">
        <v>2935</v>
      </c>
      <c r="AL20" t="s">
        <v>3333</v>
      </c>
      <c r="AM20" t="s">
        <v>3369</v>
      </c>
      <c r="AR20" t="s">
        <v>1324</v>
      </c>
      <c r="AS20" t="str">
        <f t="shared" si="1"/>
        <v>elec</v>
      </c>
      <c r="AU20" t="s">
        <v>2006</v>
      </c>
      <c r="AW20" t="s">
        <v>3378</v>
      </c>
      <c r="AY20" t="s">
        <v>2388</v>
      </c>
      <c r="AZ20" t="s">
        <v>3002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3744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2843</v>
      </c>
      <c r="AJ21" t="s">
        <v>2936</v>
      </c>
      <c r="AL21" t="s">
        <v>3334</v>
      </c>
      <c r="AM21" t="s">
        <v>3369</v>
      </c>
      <c r="AR21" t="s">
        <v>3606</v>
      </c>
      <c r="AS21" t="str">
        <f t="shared" si="1"/>
        <v>elec</v>
      </c>
      <c r="AU21" t="s">
        <v>2005</v>
      </c>
      <c r="AW21" t="s">
        <v>3380</v>
      </c>
      <c r="AY21" t="s">
        <v>2386</v>
      </c>
      <c r="AZ21" t="s">
        <v>3002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3746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2843</v>
      </c>
      <c r="AJ22" t="s">
        <v>2937</v>
      </c>
      <c r="AL22" t="s">
        <v>3006</v>
      </c>
      <c r="AM22" t="s">
        <v>3375</v>
      </c>
      <c r="AR22" t="s">
        <v>1315</v>
      </c>
      <c r="AS22" t="str">
        <f>AS20</f>
        <v>elec</v>
      </c>
      <c r="AU22" t="s">
        <v>2004</v>
      </c>
      <c r="AW22" t="s">
        <v>3388</v>
      </c>
      <c r="AY22" t="s">
        <v>2384</v>
      </c>
      <c r="AZ22" t="s">
        <v>3006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3745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2843</v>
      </c>
      <c r="AJ23" t="s">
        <v>2938</v>
      </c>
      <c r="AL23" t="s">
        <v>3007</v>
      </c>
      <c r="AM23" t="s">
        <v>3379</v>
      </c>
      <c r="AR23" t="s">
        <v>3608</v>
      </c>
      <c r="AS23" t="str">
        <f>AS22</f>
        <v>elec</v>
      </c>
      <c r="AU23" t="s">
        <v>3633</v>
      </c>
      <c r="AW23" t="s">
        <v>3381</v>
      </c>
      <c r="AY23" t="s">
        <v>2382</v>
      </c>
      <c r="AZ23" t="s">
        <v>3002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2980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2844</v>
      </c>
      <c r="AJ24" t="s">
        <v>2939</v>
      </c>
      <c r="AL24" t="s">
        <v>3335</v>
      </c>
      <c r="AM24" t="s">
        <v>3370</v>
      </c>
      <c r="AR24" t="s">
        <v>3610</v>
      </c>
      <c r="AS24" t="str">
        <f>AS23</f>
        <v>elec</v>
      </c>
      <c r="AU24" t="s">
        <v>3754</v>
      </c>
      <c r="AW24" t="s">
        <v>3382</v>
      </c>
      <c r="AY24" t="s">
        <v>2380</v>
      </c>
      <c r="AZ24" t="s">
        <v>3007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2981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2843</v>
      </c>
      <c r="AJ25" t="s">
        <v>2940</v>
      </c>
      <c r="AL25" t="s">
        <v>3336</v>
      </c>
      <c r="AM25" t="s">
        <v>3370</v>
      </c>
      <c r="AR25" t="s">
        <v>1307</v>
      </c>
      <c r="AS25" t="str">
        <f>AS22</f>
        <v>elec</v>
      </c>
      <c r="AU25" t="s">
        <v>2003</v>
      </c>
      <c r="AW25" t="s">
        <v>3384</v>
      </c>
      <c r="AY25" t="s">
        <v>2378</v>
      </c>
      <c r="AZ25" t="s">
        <v>3007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2856</v>
      </c>
      <c r="AJ26" t="s">
        <v>2941</v>
      </c>
      <c r="AL26" t="s">
        <v>3337</v>
      </c>
      <c r="AM26" t="s">
        <v>3370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3007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3824</v>
      </c>
      <c r="Z27" t="s">
        <v>3821</v>
      </c>
      <c r="AA27" t="str">
        <f>mapCOM!A41</f>
        <v>AT</v>
      </c>
      <c r="AB27" t="str">
        <f t="shared" si="0"/>
        <v/>
      </c>
      <c r="AI27" t="s">
        <v>2845</v>
      </c>
      <c r="AJ27" t="s">
        <v>2942</v>
      </c>
      <c r="AL27" t="s">
        <v>3338</v>
      </c>
      <c r="AM27" t="s">
        <v>3370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3002</v>
      </c>
    </row>
    <row r="28" spans="1:52" x14ac:dyDescent="0.25">
      <c r="A28" t="s">
        <v>2904</v>
      </c>
      <c r="K28" t="s">
        <v>2980</v>
      </c>
      <c r="Q28" t="s">
        <v>3150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3822</v>
      </c>
      <c r="AA28" t="str">
        <f>mapCOM!A42</f>
        <v>BBE</v>
      </c>
      <c r="AB28" t="str">
        <f t="shared" si="0"/>
        <v/>
      </c>
      <c r="AI28" t="s">
        <v>2845</v>
      </c>
      <c r="AJ28" t="s">
        <v>2943</v>
      </c>
      <c r="AL28" t="s">
        <v>3372</v>
      </c>
      <c r="AM28" t="s">
        <v>3376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3002</v>
      </c>
    </row>
    <row r="29" spans="1:52" x14ac:dyDescent="0.25">
      <c r="K29" t="s">
        <v>2981</v>
      </c>
      <c r="Q29" t="s">
        <v>3622</v>
      </c>
      <c r="S29" t="s">
        <v>498</v>
      </c>
      <c r="U29" t="s">
        <v>3145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3591</v>
      </c>
      <c r="Z29" t="s">
        <v>3820</v>
      </c>
      <c r="AA29" t="str">
        <f>mapCOM!A43</f>
        <v>BCA</v>
      </c>
      <c r="AB29" t="str">
        <f t="shared" si="0"/>
        <v/>
      </c>
      <c r="AI29" t="s">
        <v>2845</v>
      </c>
      <c r="AJ29" t="s">
        <v>2944</v>
      </c>
      <c r="AL29" t="s">
        <v>3339</v>
      </c>
      <c r="AM29" t="s">
        <v>3376</v>
      </c>
      <c r="AR29" t="s">
        <v>1262</v>
      </c>
      <c r="AS29" t="str">
        <f>U14</f>
        <v>is</v>
      </c>
      <c r="AU29" t="s">
        <v>1999</v>
      </c>
      <c r="AY29" t="s">
        <v>3682</v>
      </c>
      <c r="AZ29" t="s">
        <v>3002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3146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3866</v>
      </c>
      <c r="Z30" t="s">
        <v>3865</v>
      </c>
      <c r="AA30" t="str">
        <f>mapCOM!A44</f>
        <v>BIB</v>
      </c>
      <c r="AB30" t="str">
        <f t="shared" si="0"/>
        <v/>
      </c>
      <c r="AI30" t="s">
        <v>2845</v>
      </c>
      <c r="AJ30" t="s">
        <v>2945</v>
      </c>
      <c r="AL30" t="s">
        <v>3340</v>
      </c>
      <c r="AM30" t="s">
        <v>3377</v>
      </c>
      <c r="AR30" t="s">
        <v>1235</v>
      </c>
      <c r="AS30" t="str">
        <f>U9</f>
        <v>fb</v>
      </c>
      <c r="AU30" t="s">
        <v>1998</v>
      </c>
      <c r="AY30" t="s">
        <v>3684</v>
      </c>
      <c r="AZ30" t="s">
        <v>3002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3821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3877</v>
      </c>
      <c r="Z31" t="s">
        <v>3876</v>
      </c>
      <c r="AA31" t="str">
        <f>mapCOM!A45</f>
        <v>BIB2</v>
      </c>
      <c r="AB31" t="str">
        <f t="shared" si="0"/>
        <v/>
      </c>
      <c r="AI31" t="s">
        <v>3822</v>
      </c>
      <c r="AJ31" t="s">
        <v>2946</v>
      </c>
      <c r="AL31" t="s">
        <v>3341</v>
      </c>
      <c r="AM31" t="s">
        <v>3377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3002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3822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2846</v>
      </c>
      <c r="AJ32" t="s">
        <v>2947</v>
      </c>
      <c r="AL32" t="s">
        <v>3342</v>
      </c>
      <c r="AM32" t="s">
        <v>3377</v>
      </c>
      <c r="AR32" t="s">
        <v>1159</v>
      </c>
      <c r="AS32" t="str">
        <f>U8</f>
        <v>mi</v>
      </c>
      <c r="AU32" t="s">
        <v>1996</v>
      </c>
      <c r="AY32" t="s">
        <v>3686</v>
      </c>
      <c r="AZ32" t="s">
        <v>3002</v>
      </c>
    </row>
    <row r="33" spans="11:52" x14ac:dyDescent="0.25">
      <c r="K33" t="s">
        <v>3145</v>
      </c>
      <c r="Q33" t="s">
        <v>3607</v>
      </c>
      <c r="S33" t="s">
        <v>575</v>
      </c>
      <c r="U33" t="s">
        <v>3820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2847</v>
      </c>
      <c r="AJ33" t="s">
        <v>2948</v>
      </c>
      <c r="AL33" t="s">
        <v>3343</v>
      </c>
      <c r="AM33" t="s">
        <v>3378</v>
      </c>
      <c r="AR33" t="s">
        <v>423</v>
      </c>
      <c r="AS33" t="s">
        <v>2980</v>
      </c>
      <c r="AU33" t="s">
        <v>1995</v>
      </c>
      <c r="AY33" t="s">
        <v>2368</v>
      </c>
      <c r="AZ33" t="s">
        <v>3002</v>
      </c>
    </row>
    <row r="34" spans="11:52" x14ac:dyDescent="0.25">
      <c r="K34" t="s">
        <v>3146</v>
      </c>
      <c r="Q34" t="s">
        <v>1393</v>
      </c>
      <c r="S34" t="s">
        <v>569</v>
      </c>
      <c r="U34" t="s">
        <v>3865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2848</v>
      </c>
      <c r="AJ34" t="s">
        <v>2949</v>
      </c>
      <c r="AL34" t="s">
        <v>3344</v>
      </c>
      <c r="AM34" t="s">
        <v>3378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3002</v>
      </c>
    </row>
    <row r="35" spans="11:52" x14ac:dyDescent="0.25">
      <c r="K35" t="s">
        <v>3821</v>
      </c>
      <c r="Q35" t="s">
        <v>144</v>
      </c>
      <c r="S35" t="s">
        <v>550</v>
      </c>
      <c r="U35" t="s">
        <v>3876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2843</v>
      </c>
      <c r="AJ35" t="s">
        <v>2950</v>
      </c>
      <c r="AL35" t="s">
        <v>3345</v>
      </c>
      <c r="AM35" t="s">
        <v>3378</v>
      </c>
      <c r="AR35" t="s">
        <v>3072</v>
      </c>
      <c r="AS35" t="str">
        <f>AS34</f>
        <v>nf</v>
      </c>
      <c r="AU35" t="s">
        <v>1993</v>
      </c>
      <c r="AY35" t="s">
        <v>2364</v>
      </c>
      <c r="AZ35" t="s">
        <v>3002</v>
      </c>
    </row>
    <row r="36" spans="11:52" x14ac:dyDescent="0.25">
      <c r="K36" t="s">
        <v>3822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2843</v>
      </c>
      <c r="AJ36" t="s">
        <v>2951</v>
      </c>
      <c r="AL36" t="s">
        <v>3346</v>
      </c>
      <c r="AM36" t="s">
        <v>3380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3002</v>
      </c>
    </row>
    <row r="37" spans="11:52" x14ac:dyDescent="0.25">
      <c r="K37" t="s">
        <v>3820</v>
      </c>
      <c r="Q37" t="s">
        <v>3609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2843</v>
      </c>
      <c r="AJ37" t="s">
        <v>2952</v>
      </c>
      <c r="AL37" t="s">
        <v>3347</v>
      </c>
      <c r="AM37" t="s">
        <v>3378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3002</v>
      </c>
    </row>
    <row r="38" spans="11:52" x14ac:dyDescent="0.25">
      <c r="K38" t="s">
        <v>3865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2843</v>
      </c>
      <c r="AJ38" t="s">
        <v>2953</v>
      </c>
      <c r="AL38" t="s">
        <v>3348</v>
      </c>
      <c r="AM38" t="s">
        <v>3388</v>
      </c>
      <c r="AR38" t="s">
        <v>3793</v>
      </c>
      <c r="AS38" t="s">
        <v>3792</v>
      </c>
      <c r="AU38" t="s">
        <v>1990</v>
      </c>
      <c r="AY38" t="s">
        <v>3688</v>
      </c>
      <c r="AZ38" t="s">
        <v>3002</v>
      </c>
    </row>
    <row r="39" spans="11:52" x14ac:dyDescent="0.25">
      <c r="K39" t="s">
        <v>3876</v>
      </c>
      <c r="Q39" t="s">
        <v>3610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2843</v>
      </c>
      <c r="AJ39" t="s">
        <v>2954</v>
      </c>
      <c r="AL39" t="s">
        <v>3349</v>
      </c>
      <c r="AM39" t="s">
        <v>3388</v>
      </c>
      <c r="AR39" t="s">
        <v>959</v>
      </c>
      <c r="AS39" t="str">
        <f>U11</f>
        <v>pp</v>
      </c>
      <c r="AU39" t="s">
        <v>1989</v>
      </c>
      <c r="AY39" t="s">
        <v>3690</v>
      </c>
      <c r="AZ39" t="s">
        <v>3002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2843</v>
      </c>
      <c r="AJ40" t="s">
        <v>2955</v>
      </c>
      <c r="AL40" t="s">
        <v>3004</v>
      </c>
      <c r="AM40" t="s">
        <v>3381</v>
      </c>
      <c r="AR40" t="s">
        <v>2860</v>
      </c>
      <c r="AS40" t="s">
        <v>2908</v>
      </c>
      <c r="AU40" t="s">
        <v>1988</v>
      </c>
      <c r="AY40" t="s">
        <v>3692</v>
      </c>
      <c r="AZ40" t="s">
        <v>3002</v>
      </c>
    </row>
    <row r="41" spans="11:52" x14ac:dyDescent="0.25">
      <c r="Q41" t="s">
        <v>1303</v>
      </c>
      <c r="S41" t="s">
        <v>3744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2956</v>
      </c>
      <c r="AL41" t="s">
        <v>3350</v>
      </c>
      <c r="AM41" t="s">
        <v>3382</v>
      </c>
      <c r="AR41" t="s">
        <v>859</v>
      </c>
      <c r="AS41" t="s">
        <v>2981</v>
      </c>
      <c r="AU41" t="s">
        <v>1987</v>
      </c>
      <c r="AY41" t="s">
        <v>3194</v>
      </c>
      <c r="AZ41" t="s">
        <v>3002</v>
      </c>
    </row>
    <row r="42" spans="11:52" x14ac:dyDescent="0.25">
      <c r="Q42" t="s">
        <v>1468</v>
      </c>
      <c r="S42" t="s">
        <v>3746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2957</v>
      </c>
      <c r="AL42" t="s">
        <v>3351</v>
      </c>
      <c r="AM42" t="s">
        <v>3382</v>
      </c>
      <c r="AR42" t="s">
        <v>830</v>
      </c>
      <c r="AS42" t="str">
        <f>K9</f>
        <v>hhd-he</v>
      </c>
      <c r="AU42" t="s">
        <v>1986</v>
      </c>
      <c r="AY42" t="s">
        <v>3195</v>
      </c>
      <c r="AZ42" t="s">
        <v>3002</v>
      </c>
    </row>
    <row r="43" spans="11:52" x14ac:dyDescent="0.25">
      <c r="Q43" t="s">
        <v>1414</v>
      </c>
      <c r="S43" t="s">
        <v>3745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2850</v>
      </c>
      <c r="AJ43" t="s">
        <v>2958</v>
      </c>
      <c r="AL43" t="s">
        <v>3352</v>
      </c>
      <c r="AM43" t="s">
        <v>3382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3002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2851</v>
      </c>
      <c r="AJ44" t="s">
        <v>2959</v>
      </c>
      <c r="AL44" t="s">
        <v>3353</v>
      </c>
      <c r="AM44" t="s">
        <v>3382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3002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2960</v>
      </c>
      <c r="AL45" t="s">
        <v>3373</v>
      </c>
      <c r="AM45" t="s">
        <v>3382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3002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2851</v>
      </c>
      <c r="AJ46" t="s">
        <v>2961</v>
      </c>
      <c r="AL46" t="s">
        <v>3356</v>
      </c>
      <c r="AM46" t="s">
        <v>3382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3008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2851</v>
      </c>
      <c r="AJ47" t="s">
        <v>2962</v>
      </c>
      <c r="AL47" t="s">
        <v>3357</v>
      </c>
      <c r="AM47" t="s">
        <v>3382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3009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2851</v>
      </c>
      <c r="AJ48" t="s">
        <v>2963</v>
      </c>
      <c r="AL48" t="s">
        <v>3358</v>
      </c>
      <c r="AM48" t="s">
        <v>3382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3002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2852</v>
      </c>
      <c r="AJ49" t="s">
        <v>2964</v>
      </c>
      <c r="AL49" t="s">
        <v>3374</v>
      </c>
      <c r="AM49" t="s">
        <v>3382</v>
      </c>
      <c r="AR49" t="s">
        <v>30</v>
      </c>
      <c r="AS49" t="s">
        <v>2840</v>
      </c>
      <c r="AU49" t="s">
        <v>1979</v>
      </c>
      <c r="AY49" t="s">
        <v>2349</v>
      </c>
      <c r="AZ49" t="s">
        <v>3002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2853</v>
      </c>
      <c r="AJ50" t="s">
        <v>2965</v>
      </c>
      <c r="AL50" t="s">
        <v>3360</v>
      </c>
      <c r="AM50" t="s">
        <v>3382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3002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2855</v>
      </c>
      <c r="AJ51" t="s">
        <v>2966</v>
      </c>
      <c r="AL51" t="s">
        <v>3009</v>
      </c>
      <c r="AM51" t="s">
        <v>3393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3002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2854</v>
      </c>
      <c r="AJ52" t="s">
        <v>2967</v>
      </c>
      <c r="AL52" t="s">
        <v>3010</v>
      </c>
      <c r="AM52" t="s">
        <v>3384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3002</v>
      </c>
    </row>
    <row r="53" spans="17:52" x14ac:dyDescent="0.25">
      <c r="Q53" t="s">
        <v>1262</v>
      </c>
      <c r="S53" t="s">
        <v>3622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2851</v>
      </c>
      <c r="AJ53" t="s">
        <v>2968</v>
      </c>
      <c r="AL53" t="s">
        <v>3012</v>
      </c>
      <c r="AM53" t="s">
        <v>3375</v>
      </c>
      <c r="AR53" t="s">
        <v>386</v>
      </c>
      <c r="AS53" t="str">
        <f>U16</f>
        <v>hydr</v>
      </c>
      <c r="AU53" t="s">
        <v>1975</v>
      </c>
      <c r="AY53" t="s">
        <v>3755</v>
      </c>
      <c r="AZ53" t="s">
        <v>3002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2851</v>
      </c>
      <c r="AJ54" t="s">
        <v>2969</v>
      </c>
      <c r="AL54" t="s">
        <v>3354</v>
      </c>
      <c r="AM54" t="s">
        <v>3382</v>
      </c>
      <c r="AR54" t="s">
        <v>411</v>
      </c>
      <c r="AS54" t="str">
        <f>U23</f>
        <v>petr</v>
      </c>
      <c r="AU54" t="s">
        <v>1974</v>
      </c>
      <c r="AY54" t="s">
        <v>3719</v>
      </c>
      <c r="AZ54" t="s">
        <v>3002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2851</v>
      </c>
      <c r="AJ55" t="s">
        <v>2970</v>
      </c>
      <c r="AL55" t="s">
        <v>3355</v>
      </c>
      <c r="AM55" t="s">
        <v>3382</v>
      </c>
      <c r="AR55" t="s">
        <v>416</v>
      </c>
      <c r="AS55" t="str">
        <f>U23</f>
        <v>petr</v>
      </c>
      <c r="AU55" t="s">
        <v>1973</v>
      </c>
      <c r="AY55" t="s">
        <v>3720</v>
      </c>
      <c r="AZ55" t="s">
        <v>3002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2851</v>
      </c>
      <c r="AJ56" t="s">
        <v>2971</v>
      </c>
      <c r="AR56" t="s">
        <v>403</v>
      </c>
      <c r="AS56" t="str">
        <f>U26</f>
        <v>gas</v>
      </c>
      <c r="AU56" t="s">
        <v>1860</v>
      </c>
      <c r="AY56" t="s">
        <v>3748</v>
      </c>
      <c r="AZ56" t="s">
        <v>3002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2851</v>
      </c>
      <c r="AJ57" t="s">
        <v>2972</v>
      </c>
      <c r="AR57" t="s">
        <v>399</v>
      </c>
      <c r="AS57" t="str">
        <f>U26</f>
        <v>gas</v>
      </c>
      <c r="AU57" t="s">
        <v>1859</v>
      </c>
      <c r="AY57" t="s">
        <v>3750</v>
      </c>
      <c r="AZ57" t="s">
        <v>3002</v>
      </c>
    </row>
    <row r="58" spans="17:52" x14ac:dyDescent="0.25">
      <c r="Q58" t="s">
        <v>416</v>
      </c>
      <c r="S58" t="s">
        <v>3465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2851</v>
      </c>
      <c r="AJ58" t="s">
        <v>2973</v>
      </c>
      <c r="AR58" t="s">
        <v>392</v>
      </c>
      <c r="AS58" t="str">
        <f>U23</f>
        <v>petr</v>
      </c>
      <c r="AU58" t="s">
        <v>1858</v>
      </c>
      <c r="AY58" t="s">
        <v>3757</v>
      </c>
      <c r="AZ58" t="s">
        <v>3002</v>
      </c>
    </row>
    <row r="59" spans="17:52" x14ac:dyDescent="0.25">
      <c r="Q59" t="s">
        <v>3318</v>
      </c>
      <c r="S59" t="s">
        <v>3464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3821</v>
      </c>
      <c r="AJ59" t="s">
        <v>3835</v>
      </c>
      <c r="AR59" t="s">
        <v>144</v>
      </c>
      <c r="AS59" t="str">
        <f>U17</f>
        <v>elec</v>
      </c>
      <c r="AU59" t="s">
        <v>1857</v>
      </c>
      <c r="AY59" t="s">
        <v>2341</v>
      </c>
      <c r="AZ59" t="s">
        <v>3005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3820</v>
      </c>
      <c r="AJ60" t="s">
        <v>3836</v>
      </c>
      <c r="AR60" t="s">
        <v>3473</v>
      </c>
      <c r="AS60" t="s">
        <v>2849</v>
      </c>
      <c r="AU60" t="s">
        <v>1856</v>
      </c>
      <c r="AY60" t="s">
        <v>2339</v>
      </c>
      <c r="AZ60" t="s">
        <v>3002</v>
      </c>
    </row>
    <row r="61" spans="17:52" x14ac:dyDescent="0.25">
      <c r="Q61" t="s">
        <v>3319</v>
      </c>
      <c r="S61" t="s">
        <v>3606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3865</v>
      </c>
      <c r="AJ61" t="s">
        <v>3878</v>
      </c>
      <c r="AR61" t="s">
        <v>3474</v>
      </c>
      <c r="AS61" t="s">
        <v>2849</v>
      </c>
      <c r="AU61" t="s">
        <v>1855</v>
      </c>
      <c r="AY61" t="s">
        <v>2337</v>
      </c>
      <c r="AZ61" t="s">
        <v>3002</v>
      </c>
    </row>
    <row r="62" spans="17:52" x14ac:dyDescent="0.25">
      <c r="Q62" t="s">
        <v>3320</v>
      </c>
      <c r="S62" t="s">
        <v>3469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3876</v>
      </c>
      <c r="AJ62" t="s">
        <v>3893</v>
      </c>
      <c r="AR62" t="s">
        <v>3474</v>
      </c>
      <c r="AS62" t="s">
        <v>2849</v>
      </c>
      <c r="AU62" t="s">
        <v>1854</v>
      </c>
      <c r="AY62" t="s">
        <v>2335</v>
      </c>
      <c r="AZ62" t="s">
        <v>3002</v>
      </c>
    </row>
    <row r="63" spans="17:52" x14ac:dyDescent="0.25">
      <c r="Q63" t="s">
        <v>3321</v>
      </c>
      <c r="S63" t="s">
        <v>3470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R63" t="s">
        <v>3475</v>
      </c>
      <c r="AS63" t="s">
        <v>2849</v>
      </c>
      <c r="AU63" t="s">
        <v>1853</v>
      </c>
      <c r="AY63" t="s">
        <v>2333</v>
      </c>
      <c r="AZ63" t="s">
        <v>3002</v>
      </c>
    </row>
    <row r="64" spans="17:52" x14ac:dyDescent="0.25">
      <c r="Q64" t="s">
        <v>3322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R64" t="s">
        <v>3475</v>
      </c>
      <c r="AS64" t="s">
        <v>2849</v>
      </c>
      <c r="AU64" t="s">
        <v>1852</v>
      </c>
      <c r="AY64" t="s">
        <v>2331</v>
      </c>
      <c r="AZ64" t="s">
        <v>3005</v>
      </c>
    </row>
    <row r="65" spans="17:52" x14ac:dyDescent="0.25">
      <c r="Q65" t="s">
        <v>3323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R65" t="s">
        <v>3879</v>
      </c>
      <c r="AS65" t="s">
        <v>3865</v>
      </c>
      <c r="AU65" t="s">
        <v>1850</v>
      </c>
      <c r="AY65" t="s">
        <v>2329</v>
      </c>
      <c r="AZ65" t="s">
        <v>3004</v>
      </c>
    </row>
    <row r="66" spans="17:52" x14ac:dyDescent="0.25">
      <c r="Q66" t="s">
        <v>3324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R66" t="s">
        <v>3880</v>
      </c>
      <c r="AS66" t="s">
        <v>3876</v>
      </c>
      <c r="AU66" t="s">
        <v>1972</v>
      </c>
      <c r="AY66" t="s">
        <v>2327</v>
      </c>
      <c r="AZ66" t="s">
        <v>3003</v>
      </c>
    </row>
    <row r="67" spans="17:52" x14ac:dyDescent="0.25">
      <c r="Q67" t="s">
        <v>3325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U67" t="s">
        <v>1971</v>
      </c>
      <c r="AY67" t="s">
        <v>2325</v>
      </c>
      <c r="AZ67" t="s">
        <v>3002</v>
      </c>
    </row>
    <row r="68" spans="17:52" x14ac:dyDescent="0.25">
      <c r="Q68" t="s">
        <v>3326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U68" t="s">
        <v>1969</v>
      </c>
      <c r="AY68" t="s">
        <v>2323</v>
      </c>
      <c r="AZ68" t="s">
        <v>3002</v>
      </c>
    </row>
    <row r="69" spans="17:52" x14ac:dyDescent="0.25">
      <c r="Q69" t="s">
        <v>3327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U69" t="s">
        <v>1965</v>
      </c>
      <c r="AY69" t="s">
        <v>2321</v>
      </c>
      <c r="AZ69" t="s">
        <v>3002</v>
      </c>
    </row>
    <row r="70" spans="17:52" x14ac:dyDescent="0.25">
      <c r="Q70" t="s">
        <v>3328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U70" t="s">
        <v>1963</v>
      </c>
      <c r="AY70" t="s">
        <v>2319</v>
      </c>
      <c r="AZ70" t="s">
        <v>3006</v>
      </c>
    </row>
    <row r="71" spans="17:52" x14ac:dyDescent="0.25">
      <c r="Q71" t="s">
        <v>3613</v>
      </c>
      <c r="S71" t="s">
        <v>3608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U71" t="s">
        <v>1962</v>
      </c>
      <c r="AY71" t="s">
        <v>2317</v>
      </c>
      <c r="AZ71" t="s">
        <v>3002</v>
      </c>
    </row>
    <row r="72" spans="17:52" x14ac:dyDescent="0.25">
      <c r="Q72" t="s">
        <v>3612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U72" t="s">
        <v>1960</v>
      </c>
      <c r="AY72" t="s">
        <v>2315</v>
      </c>
      <c r="AZ72" t="s">
        <v>3007</v>
      </c>
    </row>
    <row r="73" spans="17:52" x14ac:dyDescent="0.25">
      <c r="Q73" t="s">
        <v>3625</v>
      </c>
      <c r="S73" t="s">
        <v>3611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U73" t="s">
        <v>1959</v>
      </c>
      <c r="AY73" t="s">
        <v>2313</v>
      </c>
      <c r="AZ73" t="s">
        <v>3007</v>
      </c>
    </row>
    <row r="74" spans="17:52" x14ac:dyDescent="0.25">
      <c r="Q74" t="s">
        <v>3473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U74" t="s">
        <v>1957</v>
      </c>
      <c r="AY74" t="s">
        <v>2311</v>
      </c>
      <c r="AZ74" t="s">
        <v>3007</v>
      </c>
    </row>
    <row r="75" spans="17:52" x14ac:dyDescent="0.25">
      <c r="Q75" t="s">
        <v>3474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U75" t="s">
        <v>1953</v>
      </c>
      <c r="AY75" t="s">
        <v>2309</v>
      </c>
      <c r="AZ75" t="s">
        <v>3002</v>
      </c>
    </row>
    <row r="76" spans="17:52" x14ac:dyDescent="0.25">
      <c r="Q76" t="s">
        <v>3475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U76" t="s">
        <v>1951</v>
      </c>
      <c r="AY76" t="s">
        <v>2307</v>
      </c>
      <c r="AZ76" t="s">
        <v>3002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U77" t="s">
        <v>1950</v>
      </c>
      <c r="AY77" t="s">
        <v>2305</v>
      </c>
      <c r="AZ77" t="s">
        <v>3002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U78" t="s">
        <v>1944</v>
      </c>
      <c r="AY78" t="s">
        <v>2303</v>
      </c>
      <c r="AZ78" t="s">
        <v>3004</v>
      </c>
    </row>
    <row r="79" spans="17:52" x14ac:dyDescent="0.25">
      <c r="Q79" t="s">
        <v>1193</v>
      </c>
      <c r="S79" t="s">
        <v>3463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U79" t="s">
        <v>1939</v>
      </c>
      <c r="AY79" t="s">
        <v>2301</v>
      </c>
      <c r="AZ79" t="s">
        <v>3003</v>
      </c>
    </row>
    <row r="80" spans="17:52" x14ac:dyDescent="0.25">
      <c r="Q80" t="s">
        <v>3222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U80" t="s">
        <v>1938</v>
      </c>
      <c r="AY80" t="s">
        <v>2299</v>
      </c>
      <c r="AZ80" t="s">
        <v>3003</v>
      </c>
    </row>
    <row r="81" spans="17:52" x14ac:dyDescent="0.25">
      <c r="Q81" t="s">
        <v>3316</v>
      </c>
      <c r="S81" t="s">
        <v>3397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U81" t="s">
        <v>1937</v>
      </c>
      <c r="AY81" t="s">
        <v>2297</v>
      </c>
      <c r="AZ81" t="s">
        <v>3003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U82" t="s">
        <v>1934</v>
      </c>
      <c r="AY82" t="s">
        <v>2295</v>
      </c>
      <c r="AZ82" t="s">
        <v>3003</v>
      </c>
    </row>
    <row r="83" spans="17:52" x14ac:dyDescent="0.25">
      <c r="Q83" t="s">
        <v>3317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U83" t="s">
        <v>1932</v>
      </c>
      <c r="AY83" t="s">
        <v>2293</v>
      </c>
      <c r="AZ83" t="s">
        <v>3003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U84" t="s">
        <v>1931</v>
      </c>
      <c r="AY84" t="s">
        <v>2291</v>
      </c>
      <c r="AZ84" t="s">
        <v>3003</v>
      </c>
    </row>
    <row r="85" spans="17:52" x14ac:dyDescent="0.25">
      <c r="Q85" t="s">
        <v>1159</v>
      </c>
      <c r="S85" t="s">
        <v>3615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U85" t="s">
        <v>1930</v>
      </c>
      <c r="AY85" t="s">
        <v>2289</v>
      </c>
      <c r="AZ85" t="s">
        <v>3003</v>
      </c>
    </row>
    <row r="86" spans="17:52" x14ac:dyDescent="0.25">
      <c r="Q86" t="s">
        <v>1064</v>
      </c>
      <c r="S86" t="s">
        <v>3742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3003</v>
      </c>
    </row>
    <row r="87" spans="17:52" x14ac:dyDescent="0.25">
      <c r="Q87" t="s">
        <v>3823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3003</v>
      </c>
    </row>
    <row r="88" spans="17:52" x14ac:dyDescent="0.25">
      <c r="Q88" t="s">
        <v>3618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3115</v>
      </c>
      <c r="AY88" t="s">
        <v>2283</v>
      </c>
      <c r="AZ88" t="s">
        <v>3002</v>
      </c>
    </row>
    <row r="89" spans="17:52" x14ac:dyDescent="0.25">
      <c r="Q89" t="s">
        <v>3617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3113</v>
      </c>
      <c r="AY89" t="s">
        <v>2281</v>
      </c>
      <c r="AZ89" t="s">
        <v>3002</v>
      </c>
    </row>
    <row r="90" spans="17:52" x14ac:dyDescent="0.25">
      <c r="Q90" t="s">
        <v>3305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3002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3010</v>
      </c>
    </row>
    <row r="92" spans="17:52" x14ac:dyDescent="0.25">
      <c r="Q92" t="s">
        <v>25</v>
      </c>
      <c r="S92" t="s">
        <v>3621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3002</v>
      </c>
    </row>
    <row r="93" spans="17:52" x14ac:dyDescent="0.25">
      <c r="Q93" t="s">
        <v>3793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3636</v>
      </c>
      <c r="AZ93" t="s">
        <v>3002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3002</v>
      </c>
    </row>
    <row r="95" spans="17:52" x14ac:dyDescent="0.25">
      <c r="Q95" t="s">
        <v>3190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3002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3002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3002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cpetr_d</v>
      </c>
      <c r="AU98" t="s">
        <v>1905</v>
      </c>
      <c r="AY98" t="s">
        <v>2265</v>
      </c>
      <c r="AZ98" t="s">
        <v>3002</v>
      </c>
    </row>
    <row r="99" spans="17:52" x14ac:dyDescent="0.25">
      <c r="Q99" t="s">
        <v>3879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3005</v>
      </c>
    </row>
    <row r="100" spans="17:52" x14ac:dyDescent="0.25">
      <c r="Q100" t="s">
        <v>3880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cpetr_o</v>
      </c>
      <c r="AU100" t="s">
        <v>1901</v>
      </c>
      <c r="AY100" t="s">
        <v>2261</v>
      </c>
      <c r="AZ100" t="s">
        <v>3002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cpetr_o</v>
      </c>
      <c r="AU101" t="s">
        <v>1895</v>
      </c>
      <c r="AY101" t="s">
        <v>2260</v>
      </c>
      <c r="AZ101" t="s">
        <v>3004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cpetr_o</v>
      </c>
      <c r="AU102" t="s">
        <v>1891</v>
      </c>
      <c r="AY102" t="s">
        <v>2259</v>
      </c>
      <c r="AZ102" t="s">
        <v>3003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3002</v>
      </c>
    </row>
    <row r="104" spans="17:52" x14ac:dyDescent="0.25">
      <c r="S104" t="s">
        <v>3318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3002</v>
      </c>
    </row>
    <row r="105" spans="17:52" x14ac:dyDescent="0.25">
      <c r="S105" t="s">
        <v>3319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3002</v>
      </c>
    </row>
    <row r="106" spans="17:52" x14ac:dyDescent="0.25">
      <c r="S106" t="s">
        <v>3320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3006</v>
      </c>
    </row>
    <row r="107" spans="17:52" x14ac:dyDescent="0.25">
      <c r="S107" t="s">
        <v>3321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3002</v>
      </c>
    </row>
    <row r="108" spans="17:52" x14ac:dyDescent="0.25">
      <c r="S108" t="s">
        <v>3322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3007</v>
      </c>
    </row>
    <row r="109" spans="17:52" x14ac:dyDescent="0.25">
      <c r="S109" t="s">
        <v>3323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3007</v>
      </c>
    </row>
    <row r="110" spans="17:52" x14ac:dyDescent="0.25">
      <c r="S110" t="s">
        <v>3324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3002</v>
      </c>
    </row>
    <row r="111" spans="17:52" x14ac:dyDescent="0.25">
      <c r="S111" t="s">
        <v>3325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3002</v>
      </c>
    </row>
    <row r="112" spans="17:52" x14ac:dyDescent="0.25">
      <c r="S112" t="s">
        <v>3326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3002</v>
      </c>
    </row>
    <row r="113" spans="19:52" x14ac:dyDescent="0.25">
      <c r="S113" t="s">
        <v>3327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3002</v>
      </c>
    </row>
    <row r="114" spans="19:52" x14ac:dyDescent="0.25">
      <c r="S114" t="s">
        <v>3328</v>
      </c>
      <c r="W114" t="str">
        <f>mapPRC!A187</f>
        <v>EP_FLAB-M</v>
      </c>
      <c r="X114" t="str">
        <f>IFERROR(INDEX($AS$7:$AS$89,MATCH(mapPRC!C187,$AR$7:$AR$89,0)),"")</f>
        <v/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3002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/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3002</v>
      </c>
    </row>
    <row r="116" spans="19:52" x14ac:dyDescent="0.25">
      <c r="S116" t="s">
        <v>3613</v>
      </c>
      <c r="W116" t="str">
        <f>mapPRC!A189</f>
        <v>EP_FLAB-S</v>
      </c>
      <c r="X116" t="str">
        <f>IFERROR(INDEX($AS$7:$AS$89,MATCH(mapPRC!C189,$AR$7:$AR$89,0)),"")</f>
        <v/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3002</v>
      </c>
    </row>
    <row r="117" spans="19:52" x14ac:dyDescent="0.25">
      <c r="S117" t="s">
        <v>3616</v>
      </c>
      <c r="W117" t="str">
        <f>mapPRC!A190</f>
        <v>EP_FLAB-T</v>
      </c>
      <c r="X117" t="str">
        <f>IFERROR(INDEX($AS$7:$AS$89,MATCH(mapPRC!C190,$AR$7:$AR$89,0)),"")</f>
        <v/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3007</v>
      </c>
    </row>
    <row r="118" spans="19:52" x14ac:dyDescent="0.25">
      <c r="S118" t="s">
        <v>3612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3011</v>
      </c>
    </row>
    <row r="119" spans="19:52" x14ac:dyDescent="0.25">
      <c r="S119" t="s">
        <v>3625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3006</v>
      </c>
    </row>
    <row r="120" spans="19:52" x14ac:dyDescent="0.25">
      <c r="S120" t="s">
        <v>3473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3012</v>
      </c>
    </row>
    <row r="121" spans="19:52" x14ac:dyDescent="0.25">
      <c r="S121" t="s">
        <v>3623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3007</v>
      </c>
    </row>
    <row r="122" spans="19:52" x14ac:dyDescent="0.25">
      <c r="S122" t="s">
        <v>3624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3007</v>
      </c>
    </row>
    <row r="123" spans="19:52" x14ac:dyDescent="0.25">
      <c r="S123" t="s">
        <v>3475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3007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3002</v>
      </c>
    </row>
    <row r="125" spans="19:52" x14ac:dyDescent="0.25">
      <c r="S125" t="s">
        <v>3472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3002</v>
      </c>
    </row>
    <row r="126" spans="19:52" x14ac:dyDescent="0.25">
      <c r="S126" t="s">
        <v>3222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3002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3002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3002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3002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3008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3009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3002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3002</v>
      </c>
    </row>
    <row r="134" spans="19:52" x14ac:dyDescent="0.25">
      <c r="S134" t="s">
        <v>3316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3002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3002</v>
      </c>
    </row>
    <row r="136" spans="19:52" x14ac:dyDescent="0.25">
      <c r="S136" t="s">
        <v>3317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3002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3003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3003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3818</v>
      </c>
      <c r="AY139" t="s">
        <v>2193</v>
      </c>
      <c r="AZ139" t="s">
        <v>3003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3003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3003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3003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3002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3002</v>
      </c>
    </row>
    <row r="145" spans="19:52" x14ac:dyDescent="0.25">
      <c r="S145" t="s">
        <v>3471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3002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3002</v>
      </c>
    </row>
    <row r="147" spans="19:52" x14ac:dyDescent="0.25">
      <c r="S147" t="s">
        <v>3620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3002</v>
      </c>
    </row>
    <row r="148" spans="19:52" x14ac:dyDescent="0.25">
      <c r="S148" t="s">
        <v>3619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3002</v>
      </c>
    </row>
    <row r="149" spans="19:52" x14ac:dyDescent="0.25">
      <c r="S149" t="s">
        <v>3617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3002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3002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3006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3459</v>
      </c>
      <c r="AZ152" t="s">
        <v>3007</v>
      </c>
    </row>
    <row r="153" spans="19:52" x14ac:dyDescent="0.25">
      <c r="S153" t="s">
        <v>3305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3460</v>
      </c>
      <c r="AZ153" t="s">
        <v>3007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3002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3002</v>
      </c>
    </row>
    <row r="156" spans="19:52" x14ac:dyDescent="0.25">
      <c r="S156" t="s">
        <v>3793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3002</v>
      </c>
    </row>
    <row r="157" spans="19:52" x14ac:dyDescent="0.25">
      <c r="S157" t="s">
        <v>3468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3002</v>
      </c>
    </row>
    <row r="158" spans="19:52" x14ac:dyDescent="0.25">
      <c r="S158" t="s">
        <v>3190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3002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3002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3002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3002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3002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3002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3005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3004</v>
      </c>
    </row>
    <row r="166" spans="19:52" x14ac:dyDescent="0.25">
      <c r="S166" t="s">
        <v>3073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3003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3002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3002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3002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3007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3007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3002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3002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3002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3002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3002</v>
      </c>
    </row>
    <row r="177" spans="19:52" x14ac:dyDescent="0.25">
      <c r="S177" t="s">
        <v>3879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3002</v>
      </c>
    </row>
    <row r="178" spans="19:52" x14ac:dyDescent="0.25">
      <c r="S178" t="s">
        <v>3880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3002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3004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3003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3010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3002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cpetr_o</v>
      </c>
      <c r="AY183" t="s">
        <v>2112</v>
      </c>
      <c r="AZ183" t="s">
        <v>3002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cpetr_o</v>
      </c>
      <c r="AY184" t="s">
        <v>2110</v>
      </c>
      <c r="AZ184" t="s">
        <v>3002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3007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3006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3012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3007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3007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3002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3002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3002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3002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3002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3009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3002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3002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3004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3003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3003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3002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3002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3002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3002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3002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3011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3007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3002</v>
      </c>
    </row>
    <row r="209" spans="23:52" x14ac:dyDescent="0.25">
      <c r="W209" t="str">
        <f>mapPRC!A283</f>
        <v>HFCP-TRAHCV-N</v>
      </c>
      <c r="X209" t="s">
        <v>3865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3002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3002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3002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3002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3002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3002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3002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3002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3002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3002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3002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3002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3002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3002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3002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cpetr_d</v>
      </c>
      <c r="AY224" t="s">
        <v>1972</v>
      </c>
      <c r="AZ224" t="s">
        <v>3002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3002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cpetr_o</v>
      </c>
      <c r="AY226" t="s">
        <v>1969</v>
      </c>
      <c r="AZ226" t="s">
        <v>3002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cpetr_o</v>
      </c>
      <c r="AY227" t="s">
        <v>1967</v>
      </c>
      <c r="AZ227" t="s">
        <v>3002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3002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3002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3002</v>
      </c>
    </row>
    <row r="231" spans="23:52" x14ac:dyDescent="0.25">
      <c r="W231" t="str">
        <f>mapPRC!A306</f>
        <v>ICPTGAS-E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3002</v>
      </c>
    </row>
    <row r="232" spans="23:52" x14ac:dyDescent="0.25">
      <c r="W232" t="str">
        <f>mapPRC!A307</f>
        <v>ICPGASNH3-E</v>
      </c>
      <c r="X232" t="s">
        <v>3820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3002</v>
      </c>
    </row>
    <row r="233" spans="23:52" x14ac:dyDescent="0.25">
      <c r="W233" t="str">
        <f>mapPRC!A308</f>
        <v>ICPHGNNH3-N</v>
      </c>
      <c r="X233" t="s">
        <v>3820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3002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3002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3002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3002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3002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3002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3002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3002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3002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3002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3002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3002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3002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3002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3002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3002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3002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3002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3002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3002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3002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3002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3002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3002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3002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cpetr_o</v>
      </c>
      <c r="AY258" t="s">
        <v>2040</v>
      </c>
      <c r="AZ258" t="s">
        <v>3002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3002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3002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3002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3002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cpetr_o</v>
      </c>
      <c r="AY263" t="s">
        <v>2035</v>
      </c>
      <c r="AZ263" t="s">
        <v>3002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3002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3002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3002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3002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3002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3002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3002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3002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3002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3002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3002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3002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3002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3002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3002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3002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3002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3002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3002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cpetr_d</v>
      </c>
      <c r="AY283" t="s">
        <v>1819</v>
      </c>
      <c r="AZ283" t="s">
        <v>3002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3002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cpetr_o</v>
      </c>
      <c r="AY285" t="s">
        <v>1815</v>
      </c>
      <c r="AZ285" t="s">
        <v>3002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cpetr_o</v>
      </c>
      <c r="AY286" t="s">
        <v>1921</v>
      </c>
      <c r="AZ286" t="s">
        <v>3002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3002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3002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3002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3002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3002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3002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3002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3002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3869</v>
      </c>
      <c r="AY295" t="s">
        <v>1903</v>
      </c>
      <c r="AZ295" t="s">
        <v>3002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3002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3002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3002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cpetr_o</v>
      </c>
      <c r="AY299" t="s">
        <v>1895</v>
      </c>
      <c r="AZ299" t="s">
        <v>3002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3002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cpetr_d</v>
      </c>
      <c r="AY301" t="s">
        <v>1891</v>
      </c>
      <c r="AZ301" t="s">
        <v>3002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cpetr_p</v>
      </c>
      <c r="AY302" t="s">
        <v>1889</v>
      </c>
      <c r="AZ302" t="s">
        <v>3002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cpetr_o</v>
      </c>
      <c r="AY303" t="s">
        <v>1887</v>
      </c>
      <c r="AZ303" t="s">
        <v>3002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cpetr_o</v>
      </c>
      <c r="AY304" t="s">
        <v>1885</v>
      </c>
      <c r="AZ304" t="s">
        <v>3002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3007</v>
      </c>
      <c r="AY305" t="s">
        <v>1883</v>
      </c>
      <c r="AZ305" t="s">
        <v>3002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cpetr_o</v>
      </c>
      <c r="AY306" t="s">
        <v>1881</v>
      </c>
      <c r="AZ306" t="s">
        <v>3002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3002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3002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3002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3002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3002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3002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3002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3004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3002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3631</v>
      </c>
      <c r="AZ316" t="s">
        <v>3003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3003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3002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3002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3002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3002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3002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3002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3002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3002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3633</v>
      </c>
      <c r="AZ326" t="s">
        <v>3002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3754</v>
      </c>
      <c r="AZ327" t="s">
        <v>3002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3004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3003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3002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3002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3002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3004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3002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3003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3002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3002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3002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3002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3002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3002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3002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3002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3005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3002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3005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3002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3002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3004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3003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3007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3007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3002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3002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3002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3002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3002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cpetr_d</v>
      </c>
      <c r="AY358" t="s">
        <v>1773</v>
      </c>
      <c r="AZ358" t="s">
        <v>3004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cpetr_o</v>
      </c>
      <c r="AY359" t="s">
        <v>1990</v>
      </c>
      <c r="AZ359" t="s">
        <v>3002</v>
      </c>
    </row>
    <row r="360" spans="23:52" x14ac:dyDescent="0.25">
      <c r="W360" t="str">
        <f>mapPRC!A435</f>
        <v>INMGLAADV</v>
      </c>
      <c r="X360" t="s">
        <v>3822</v>
      </c>
      <c r="AA360" t="str">
        <f>mapCOM!A379</f>
        <v>PWROKE</v>
      </c>
      <c r="AB360" t="str">
        <f t="shared" si="6"/>
        <v>cpetr_o</v>
      </c>
      <c r="AY360" t="s">
        <v>1771</v>
      </c>
      <c r="AZ360" t="s">
        <v>3003</v>
      </c>
    </row>
    <row r="361" spans="23:52" x14ac:dyDescent="0.25">
      <c r="W361" t="str">
        <f>mapPRC!A436</f>
        <v>INMGLAF2TF</v>
      </c>
      <c r="X361" t="s">
        <v>3822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3002</v>
      </c>
    </row>
    <row r="362" spans="23:52" x14ac:dyDescent="0.25">
      <c r="W362" t="str">
        <f>mapPRC!A437</f>
        <v>INMGLASTD</v>
      </c>
      <c r="X362" t="s">
        <v>3822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3002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3002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3002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3002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3002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3002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3002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3002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3002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3002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3002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3002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3002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3002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3002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3002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3002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3004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3002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cpetr_o</v>
      </c>
      <c r="AY381" t="s">
        <v>1743</v>
      </c>
      <c r="AZ381" t="s">
        <v>3003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cpetr_o</v>
      </c>
      <c r="AY382" t="s">
        <v>1978</v>
      </c>
      <c r="AZ382" t="s">
        <v>3002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3002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3002</v>
      </c>
    </row>
    <row r="385" spans="23:52" x14ac:dyDescent="0.25">
      <c r="W385" t="str">
        <f>mapPRC!A460</f>
        <v>IPGMME-E</v>
      </c>
      <c r="X385" t="s">
        <v>3821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3002</v>
      </c>
    </row>
    <row r="386" spans="23:52" x14ac:dyDescent="0.25">
      <c r="W386" t="str">
        <f>mapPRC!A461</f>
        <v>IPGMME-N</v>
      </c>
      <c r="X386" t="s">
        <v>3821</v>
      </c>
      <c r="AA386" t="str">
        <f>mapCOM!A406</f>
        <v>RHEH</v>
      </c>
      <c r="AB386" t="str">
        <f t="shared" si="6"/>
        <v/>
      </c>
      <c r="AY386" t="s">
        <v>1974</v>
      </c>
      <c r="AZ386" t="s">
        <v>3002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3002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3002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3002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3002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3002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3002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3642</v>
      </c>
      <c r="AZ393" t="s">
        <v>3002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3002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3005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3004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3003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3002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3002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3002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3002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3007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3002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3002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3002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3002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3004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3002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3003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3002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3002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3002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3002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3002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3002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3002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3002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3002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3005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3004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3003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cpetr_o</v>
      </c>
      <c r="AY422" t="s">
        <v>1702</v>
      </c>
      <c r="AZ422" t="s">
        <v>3006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cpetr_o</v>
      </c>
      <c r="AY423" t="s">
        <v>1699</v>
      </c>
      <c r="AZ423" t="s">
        <v>3002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3007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3007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3002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3002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3002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3002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3002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3002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3009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3002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3004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3004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3009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3009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3009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3009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3009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3009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3005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3005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3014</v>
      </c>
      <c r="AZ444" t="s">
        <v>3009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3016</v>
      </c>
      <c r="AZ445" t="s">
        <v>3009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3018</v>
      </c>
      <c r="AZ446" t="s">
        <v>3009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3020</v>
      </c>
      <c r="AZ447" t="s">
        <v>3009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3022</v>
      </c>
      <c r="AZ448" t="s">
        <v>3009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3024</v>
      </c>
      <c r="AZ449" t="s">
        <v>3009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3026</v>
      </c>
      <c r="AZ450" t="s">
        <v>3009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3028</v>
      </c>
      <c r="AZ451" t="s">
        <v>3009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3030</v>
      </c>
      <c r="AZ452" t="s">
        <v>3009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3032</v>
      </c>
      <c r="AZ453" t="s">
        <v>3009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3034</v>
      </c>
      <c r="AZ454" t="s">
        <v>3009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3036</v>
      </c>
      <c r="AZ455" t="s">
        <v>3009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3038</v>
      </c>
      <c r="AZ456" t="s">
        <v>3009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3040</v>
      </c>
      <c r="AZ457" t="s">
        <v>3009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3042</v>
      </c>
      <c r="AZ458" t="s">
        <v>3009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cpetr_o</v>
      </c>
      <c r="AY459" t="s">
        <v>3044</v>
      </c>
      <c r="AZ459" t="s">
        <v>3009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cpetr_d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cpetr_p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cpetr_o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cpetr_o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3117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3120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3123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3124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3126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3128</v>
      </c>
      <c r="AZ470" t="s">
        <v>3004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3130</v>
      </c>
      <c r="AZ471" t="s">
        <v>3010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3132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3136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3138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3141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3143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3111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3113</v>
      </c>
      <c r="AZ478" t="s">
        <v>3007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3115</v>
      </c>
      <c r="AZ479" t="s">
        <v>3007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3673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3634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3675</v>
      </c>
      <c r="AZ482" t="s">
        <v>3010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cpetr_o</v>
      </c>
      <c r="AY483" t="s">
        <v>3694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3677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3679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3627</v>
      </c>
      <c r="AZ486" t="s">
        <v>3010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3710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3681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3628</v>
      </c>
      <c r="AZ489" t="s">
        <v>3010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</v>
      </c>
      <c r="X731" t="str">
        <f>IFERROR(INDEX($AS$7:$AS$89,MATCH(mapPRC!C814,$AR$7:$AR$89,0)),"")</f>
        <v/>
      </c>
    </row>
    <row r="732" spans="23:24" x14ac:dyDescent="0.25">
      <c r="W732" t="str">
        <f>mapPRC!A816</f>
        <v>UCOGCLEHGN</v>
      </c>
      <c r="X732" t="str">
        <f>IFERROR(INDEX($AS$7:$AS$89,MATCH(mapPRC!C816,$AR$7:$AR$89,0)),"")</f>
        <v>hydr</v>
      </c>
    </row>
    <row r="733" spans="23:24" x14ac:dyDescent="0.25">
      <c r="W733" t="str">
        <f>mapPRC!A817</f>
        <v>UCTLCLEIN-E</v>
      </c>
      <c r="X733" t="str">
        <f>IFERROR(INDEX($AS$7:$AS$89,MATCH(mapPRC!C817,$AR$7:$AR$89,0)),"")</f>
        <v>petr</v>
      </c>
    </row>
    <row r="734" spans="23:24" x14ac:dyDescent="0.25">
      <c r="W734" t="str">
        <f>mapPRC!A818</f>
        <v>UCTLCLEIN-N</v>
      </c>
      <c r="X734" t="str">
        <f>IFERROR(INDEX($AS$7:$AS$89,MATCH(mapPRC!C818,$AR$7:$AR$89,0)),"")</f>
        <v>petr</v>
      </c>
    </row>
    <row r="735" spans="23:24" x14ac:dyDescent="0.25">
      <c r="W735" t="str">
        <f>mapPRC!A819</f>
        <v>UCTLCLEIN-N-A</v>
      </c>
      <c r="X735" t="str">
        <f>IFERROR(INDEX($AS$7:$AS$89,MATCH(mapPRC!C819,$AR$7:$AR$89,0)),"")</f>
        <v>petr</v>
      </c>
    </row>
    <row r="736" spans="23:24" x14ac:dyDescent="0.25">
      <c r="W736" t="str">
        <f>mapPRC!A820</f>
        <v>UCTLNH3-E</v>
      </c>
      <c r="X736" t="s">
        <v>3820</v>
      </c>
    </row>
    <row r="737" spans="23:24" x14ac:dyDescent="0.25">
      <c r="W737" t="str">
        <f>mapPRC!A821</f>
        <v>UELEA1HGN</v>
      </c>
      <c r="X737" t="str">
        <f>IFERROR(INDEX($AS$7:$AS$89,MATCH(mapPRC!C821,$AR$7:$AR$89,0)),"")</f>
        <v>hydr</v>
      </c>
    </row>
    <row r="738" spans="23:24" x14ac:dyDescent="0.25">
      <c r="W738" t="str">
        <f>mapPRC!A822</f>
        <v>UELEP1HGN</v>
      </c>
      <c r="X738" t="str">
        <f>IFERROR(INDEX($AS$7:$AS$89,MATCH(mapPRC!C822,$AR$7:$AR$89,0)),"")</f>
        <v>hydr</v>
      </c>
    </row>
    <row r="739" spans="23:24" x14ac:dyDescent="0.25">
      <c r="W739" t="str">
        <f>mapPRC!A823</f>
        <v>UDACCO2S</v>
      </c>
      <c r="X739" t="str">
        <f>IFERROR(INDEX($AS$7:$AS$89,MATCH(mapPRC!C823,$AR$7:$AR$89,0)),"")</f>
        <v/>
      </c>
    </row>
    <row r="740" spans="23:24" x14ac:dyDescent="0.25">
      <c r="W740" t="str">
        <f>mapPRC!A825</f>
        <v>UFTHGNCO2-N</v>
      </c>
      <c r="X740" t="s">
        <v>2856</v>
      </c>
    </row>
    <row r="741" spans="23:24" x14ac:dyDescent="0.25">
      <c r="W741" t="str">
        <f>mapPRC!A826</f>
        <v>UGASGIB-N</v>
      </c>
      <c r="X741" t="str">
        <f>IFERROR(INDEX($AS$7:$AS$89,MATCH(mapPRC!C826,$AR$7:$AR$89,0)),"")</f>
        <v/>
      </c>
    </row>
    <row r="742" spans="23:24" x14ac:dyDescent="0.25">
      <c r="W742" t="str">
        <f>mapPRC!A827</f>
        <v>UGASGIC-N</v>
      </c>
      <c r="X742" t="str">
        <f>IFERROR(INDEX($AS$7:$AS$89,MATCH(mapPRC!C827,$AR$7:$AR$89,0)),"")</f>
        <v/>
      </c>
    </row>
    <row r="743" spans="23:24" x14ac:dyDescent="0.25">
      <c r="W743" t="str">
        <f>mapPRC!A828</f>
        <v>UGASGIHE-N</v>
      </c>
      <c r="X743" t="str">
        <f>IFERROR(INDEX($AS$7:$AS$89,MATCH(mapPRC!C828,$AR$7:$AR$89,0)),"")</f>
        <v/>
      </c>
    </row>
    <row r="744" spans="23:24" x14ac:dyDescent="0.25">
      <c r="W744" t="str">
        <f>mapPRC!A829</f>
        <v>UGASGIH-N</v>
      </c>
      <c r="X744" t="str">
        <f>IFERROR(INDEX($AS$7:$AS$89,MATCH(mapPRC!C829,$AR$7:$AR$89,0)),"")</f>
        <v/>
      </c>
    </row>
    <row r="745" spans="23:24" x14ac:dyDescent="0.25">
      <c r="W745" t="str">
        <f>mapPRC!A830</f>
        <v>UGASGRM-N</v>
      </c>
      <c r="X745" t="str">
        <f>IFERROR(INDEX($AS$7:$AS$89,MATCH(mapPRC!C830,$AR$7:$AR$89,0)),"")</f>
        <v>imp</v>
      </c>
    </row>
    <row r="746" spans="23:24" x14ac:dyDescent="0.25">
      <c r="W746" t="str">
        <f>mapPRC!A831</f>
        <v>UGASGRS-N</v>
      </c>
      <c r="X746" t="str">
        <f>IFERROR(INDEX($AS$7:$AS$89,MATCH(mapPRC!C831,$AR$7:$AR$89,0)),"")</f>
        <v>imp</v>
      </c>
    </row>
    <row r="747" spans="23:24" x14ac:dyDescent="0.25">
      <c r="W747" t="str">
        <f>mapPRC!A832</f>
        <v>UGTLGASIN-N</v>
      </c>
      <c r="X747" t="str">
        <f>IFERROR(INDEX($AS$7:$AS$89,MATCH(mapPRC!C832,$AR$7:$AR$89,0)),"")</f>
        <v>petr</v>
      </c>
    </row>
    <row r="748" spans="23:24" x14ac:dyDescent="0.25">
      <c r="W748" t="str">
        <f>mapPRC!A833</f>
        <v>UGTLGICCO-E</v>
      </c>
      <c r="X748" t="str">
        <f>IFERROR(INDEX($AS$7:$AS$89,MATCH(mapPRC!C833,$AR$7:$AR$89,0)),"")</f>
        <v>petr</v>
      </c>
    </row>
    <row r="749" spans="23:24" x14ac:dyDescent="0.25">
      <c r="W749" t="str">
        <f>mapPRC!A834</f>
        <v>UGTLGICCO-N</v>
      </c>
      <c r="X749" t="str">
        <f>IFERROR(INDEX($AS$7:$AS$89,MATCH(mapPRC!C834,$AR$7:$AR$89,0)),"")</f>
        <v>petr</v>
      </c>
    </row>
    <row r="750" spans="23:24" x14ac:dyDescent="0.25">
      <c r="W750" t="str">
        <f>mapPRC!A835</f>
        <v>UHETCLE-E</v>
      </c>
      <c r="X750" t="str">
        <f>IFERROR(INDEX($AS$7:$AS$89,MATCH(mapPRC!C835,$AR$7:$AR$89,0)),"")</f>
        <v/>
      </c>
    </row>
    <row r="751" spans="23:24" x14ac:dyDescent="0.25">
      <c r="W751" t="str">
        <f>mapPRC!A836</f>
        <v>UHETCLE-N</v>
      </c>
      <c r="X751" t="str">
        <f>IFERROR(INDEX($AS$7:$AS$89,MATCH(mapPRC!C836,$AR$7:$AR$89,0)),"")</f>
        <v/>
      </c>
    </row>
    <row r="752" spans="23:24" x14ac:dyDescent="0.25">
      <c r="W752" t="str">
        <f>mapPRC!A837</f>
        <v>UINDSCOA1-N</v>
      </c>
      <c r="X752" t="str">
        <f>IFERROR(INDEX($AS$7:$AS$89,MATCH(mapPRC!C837,$AR$7:$AR$89,0)),"")</f>
        <v/>
      </c>
    </row>
    <row r="753" spans="23:24" x14ac:dyDescent="0.25">
      <c r="W753" t="str">
        <f>mapPRC!A838</f>
        <v>UINDSGAS1-N</v>
      </c>
      <c r="X753" t="str">
        <f>IFERROR(INDEX($AS$7:$AS$89,MATCH(mapPRC!C838,$AR$7:$AR$89,0)),"")</f>
        <v/>
      </c>
    </row>
    <row r="754" spans="23:24" x14ac:dyDescent="0.25">
      <c r="W754" t="str">
        <f>mapPRC!A839</f>
        <v>ULGTGRLFSRU-N</v>
      </c>
      <c r="X754" t="str">
        <f>IFERROR(INDEX($AS$7:$AS$89,MATCH(mapPRC!C839,$AR$7:$AR$89,0)),"")</f>
        <v>imp</v>
      </c>
    </row>
    <row r="755" spans="23:24" x14ac:dyDescent="0.25">
      <c r="W755" t="str">
        <f>mapPRC!A840</f>
        <v>ULGTGRL-N</v>
      </c>
      <c r="X755" t="str">
        <f>IFERROR(INDEX($AS$7:$AS$89,MATCH(mapPRC!C840,$AR$7:$AR$89,0)),"")</f>
        <v>imp</v>
      </c>
    </row>
    <row r="756" spans="23:24" x14ac:dyDescent="0.25">
      <c r="W756" t="str">
        <f>mapPRC!A841</f>
        <v>UREFOCRCO-E</v>
      </c>
      <c r="X756" t="str">
        <f>IFERROR(INDEX($AS$7:$AS$89,MATCH(mapPRC!C841,$AR$7:$AR$89,0)),"")</f>
        <v>petr</v>
      </c>
    </row>
    <row r="757" spans="23:24" x14ac:dyDescent="0.25">
      <c r="W757" t="str">
        <f>mapPRC!A842</f>
        <v>UREFOCRCO-N</v>
      </c>
      <c r="X757" t="str">
        <f>IFERROR(INDEX($AS$7:$AS$89,MATCH(mapPRC!C842,$AR$7:$AR$89,0)),"")</f>
        <v>petr</v>
      </c>
    </row>
    <row r="758" spans="23:24" x14ac:dyDescent="0.25">
      <c r="W758" t="str">
        <f>mapPRC!A843</f>
        <v>UREFOCRIN-E</v>
      </c>
      <c r="X758" t="str">
        <f>IFERROR(INDEX($AS$7:$AS$89,MATCH(mapPRC!C843,$AR$7:$AR$89,0)),"")</f>
        <v>petr</v>
      </c>
    </row>
    <row r="759" spans="23:24" x14ac:dyDescent="0.25">
      <c r="W759" t="str">
        <f>mapPRC!A844</f>
        <v>USMRGASHGN</v>
      </c>
      <c r="X759" t="str">
        <f>IFERROR(INDEX($AS$7:$AS$89,MATCH(mapPRC!C844,$AR$7:$AR$89,0)),"")</f>
        <v>hydr</v>
      </c>
    </row>
    <row r="760" spans="23:24" x14ac:dyDescent="0.25">
      <c r="W760" t="str">
        <f>mapPRC!A845</f>
        <v>USMRGICHGN</v>
      </c>
      <c r="X760" t="str">
        <f>IFERROR(INDEX($AS$7:$AS$89,MATCH(mapPRC!C845,$AR$7:$AR$89,0)),"")</f>
        <v>hydr</v>
      </c>
    </row>
    <row r="761" spans="23:24" x14ac:dyDescent="0.25">
      <c r="W761" t="str">
        <f>mapPRC!A846</f>
        <v>UTRNGIMGAS</v>
      </c>
      <c r="X761" t="str">
        <f>IFERROR(INDEX($AS$7:$AS$89,MATCH(mapPRC!C846,$AR$7:$AR$89,0)),"")</f>
        <v/>
      </c>
    </row>
    <row r="762" spans="23:24" x14ac:dyDescent="0.25">
      <c r="W762" t="str">
        <f>mapPRC!A847</f>
        <v>UXCWCME</v>
      </c>
      <c r="X762" t="str">
        <f>IFERROR(INDEX($AS$7:$AS$89,MATCH(mapPRC!C847,$AR$7:$AR$89,0)),"")</f>
        <v/>
      </c>
    </row>
    <row r="763" spans="23:24" x14ac:dyDescent="0.25">
      <c r="W763" t="str">
        <f>mapPRC!A848</f>
        <v>UXCWCOA</v>
      </c>
      <c r="X763" t="str">
        <f>IFERROR(INDEX($AS$7:$AS$89,MATCH(mapPRC!C848,$AR$7:$AR$89,0)),"")</f>
        <v/>
      </c>
    </row>
    <row r="764" spans="23:24" x14ac:dyDescent="0.25">
      <c r="W764" t="str">
        <f>mapPRC!A849</f>
        <v>UXLE2-AB</v>
      </c>
      <c r="X764" t="str">
        <f>IFERROR(INDEX($AS$7:$AS$89,MATCH(mapPRC!C849,$AR$7:$AR$89,0)),"")</f>
        <v/>
      </c>
    </row>
    <row r="765" spans="23:24" x14ac:dyDescent="0.25">
      <c r="W765" t="str">
        <f>mapPRC!A850</f>
        <v>UXLE-AB</v>
      </c>
      <c r="X765" t="str">
        <f>IFERROR(INDEX($AS$7:$AS$89,MATCH(mapPRC!C850,$AR$7:$AR$89,0)),"")</f>
        <v/>
      </c>
    </row>
    <row r="766" spans="23:24" x14ac:dyDescent="0.25">
      <c r="W766" t="str">
        <f>mapPRC!A851</f>
        <v>UXLE-BR</v>
      </c>
      <c r="X766" t="str">
        <f>IFERROR(INDEX($AS$7:$AS$89,MATCH(mapPRC!C851,$AR$7:$AR$89,0)),"")</f>
        <v/>
      </c>
    </row>
    <row r="767" spans="23:24" x14ac:dyDescent="0.25">
      <c r="W767" t="str">
        <f>mapPRC!A852</f>
        <v>XAGRBIO</v>
      </c>
      <c r="X767" t="str">
        <f>IFERROR(INDEX($AS$7:$AS$89,MATCH(mapPRC!C852,$AR$7:$AR$89,0)),"")</f>
        <v/>
      </c>
    </row>
    <row r="768" spans="23:24" x14ac:dyDescent="0.25">
      <c r="W768" t="str">
        <f>mapPRC!A853</f>
        <v>XAGRCOA</v>
      </c>
      <c r="X768" t="str">
        <f>IFERROR(INDEX($AS$7:$AS$89,MATCH(mapPRC!C853,$AR$7:$AR$89,0)),"")</f>
        <v/>
      </c>
    </row>
    <row r="769" spans="23:24" x14ac:dyDescent="0.25">
      <c r="W769" t="str">
        <f>mapPRC!A854</f>
        <v>XAGRELC</v>
      </c>
      <c r="X769" t="str">
        <f>IFERROR(INDEX($AS$7:$AS$89,MATCH(mapPRC!C854,$AR$7:$AR$89,0)),"")</f>
        <v>elec</v>
      </c>
    </row>
    <row r="770" spans="23:24" x14ac:dyDescent="0.25">
      <c r="W770" t="str">
        <f>mapPRC!A855</f>
        <v>XAGRODS</v>
      </c>
      <c r="X770" t="str">
        <f>IFERROR(INDEX($AS$7:$AS$89,MATCH(mapPRC!C855,$AR$7:$AR$89,0)),"")</f>
        <v/>
      </c>
    </row>
    <row r="771" spans="23:24" x14ac:dyDescent="0.25">
      <c r="W771" t="str">
        <f>mapPRC!A856</f>
        <v>XAGROGS</v>
      </c>
      <c r="X771" t="str">
        <f>IFERROR(INDEX($AS$7:$AS$89,MATCH(mapPRC!C856,$AR$7:$AR$89,0)),"")</f>
        <v/>
      </c>
    </row>
    <row r="772" spans="23:24" x14ac:dyDescent="0.25">
      <c r="W772" t="str">
        <f>mapPRC!A857</f>
        <v>XAGROHF</v>
      </c>
      <c r="X772" t="str">
        <f>IFERROR(INDEX($AS$7:$AS$89,MATCH(mapPRC!C857,$AR$7:$AR$89,0)),"")</f>
        <v/>
      </c>
    </row>
    <row r="773" spans="23:24" x14ac:dyDescent="0.25">
      <c r="W773" t="str">
        <f>mapPRC!A858</f>
        <v>XAGROKE</v>
      </c>
      <c r="X773" t="str">
        <f>IFERROR(INDEX($AS$7:$AS$89,MATCH(mapPRC!C858,$AR$7:$AR$89,0)),"")</f>
        <v/>
      </c>
    </row>
    <row r="774" spans="23:24" x14ac:dyDescent="0.25">
      <c r="W774" t="str">
        <f>mapPRC!A859</f>
        <v>XAGROLP</v>
      </c>
      <c r="X774" t="str">
        <f>IFERROR(INDEX($AS$7:$AS$89,MATCH(mapPRC!C859,$AR$7:$AR$89,0)),"")</f>
        <v/>
      </c>
    </row>
    <row r="775" spans="23:24" x14ac:dyDescent="0.25">
      <c r="W775" t="str">
        <f>mapPRC!A860</f>
        <v>XCO2TRANSPORT</v>
      </c>
      <c r="X775" t="str">
        <f>IFERROR(INDEX($AS$7:$AS$89,MATCH(mapPRC!C860,$AR$7:$AR$89,0)),"")</f>
        <v/>
      </c>
    </row>
    <row r="776" spans="23:24" x14ac:dyDescent="0.25">
      <c r="W776" t="str">
        <f>mapPRC!A861</f>
        <v>XCOMCOA</v>
      </c>
      <c r="X776" t="str">
        <f>IFERROR(INDEX($AS$7:$AS$89,MATCH(mapPRC!C861,$AR$7:$AR$89,0)),"")</f>
        <v/>
      </c>
    </row>
    <row r="777" spans="23:24" x14ac:dyDescent="0.25">
      <c r="W777" t="str">
        <f>mapPRC!A862</f>
        <v>XCOMELC</v>
      </c>
      <c r="X777" t="str">
        <f>IFERROR(INDEX($AS$7:$AS$89,MATCH(mapPRC!C862,$AR$7:$AR$89,0)),"")</f>
        <v>elec</v>
      </c>
    </row>
    <row r="778" spans="23:24" x14ac:dyDescent="0.25">
      <c r="W778" t="str">
        <f>mapPRC!A863</f>
        <v>XCOMGAS</v>
      </c>
      <c r="X778" t="str">
        <f>IFERROR(INDEX($AS$7:$AS$89,MATCH(mapPRC!C863,$AR$7:$AR$89,0)),"")</f>
        <v/>
      </c>
    </row>
    <row r="779" spans="23:24" x14ac:dyDescent="0.25">
      <c r="W779" t="str">
        <f>mapPRC!A864</f>
        <v>XCOMODS</v>
      </c>
      <c r="X779" t="str">
        <f>IFERROR(INDEX($AS$7:$AS$89,MATCH(mapPRC!C864,$AR$7:$AR$89,0)),"")</f>
        <v/>
      </c>
    </row>
    <row r="780" spans="23:24" x14ac:dyDescent="0.25">
      <c r="W780" t="str">
        <f>mapPRC!A865</f>
        <v>XCOMOGS</v>
      </c>
      <c r="X780" t="str">
        <f>IFERROR(INDEX($AS$7:$AS$89,MATCH(mapPRC!C865,$AR$7:$AR$89,0)),"")</f>
        <v/>
      </c>
    </row>
    <row r="781" spans="23:24" x14ac:dyDescent="0.25">
      <c r="W781" t="str">
        <f>mapPRC!A866</f>
        <v>XCOMOHF</v>
      </c>
      <c r="X781" t="str">
        <f>IFERROR(INDEX($AS$7:$AS$89,MATCH(mapPRC!C866,$AR$7:$AR$89,0)),"")</f>
        <v/>
      </c>
    </row>
    <row r="782" spans="23:24" x14ac:dyDescent="0.25">
      <c r="W782" t="str">
        <f>mapPRC!A867</f>
        <v>XCOMOKE</v>
      </c>
      <c r="X782" t="str">
        <f>IFERROR(INDEX($AS$7:$AS$89,MATCH(mapPRC!C867,$AR$7:$AR$89,0)),"")</f>
        <v/>
      </c>
    </row>
    <row r="783" spans="23:24" x14ac:dyDescent="0.25">
      <c r="W783" t="str">
        <f>mapPRC!A868</f>
        <v>XCOMOLP</v>
      </c>
      <c r="X783" t="str">
        <f>IFERROR(INDEX($AS$7:$AS$89,MATCH(mapPRC!C868,$AR$7:$AR$89,0)),"")</f>
        <v/>
      </c>
    </row>
    <row r="784" spans="23:24" x14ac:dyDescent="0.25">
      <c r="W784" t="str">
        <f>mapPRC!A869</f>
        <v>XICPELC</v>
      </c>
      <c r="X784" t="str">
        <f>IFERROR(INDEX($AS$7:$AS$89,MATCH(mapPRC!C869,$AR$7:$AR$89,0)),"")</f>
        <v>elec</v>
      </c>
    </row>
    <row r="785" spans="23:24" x14ac:dyDescent="0.25">
      <c r="W785" t="str">
        <f>mapPRC!A870</f>
        <v>XICPGAS</v>
      </c>
      <c r="X785" t="str">
        <f>IFERROR(INDEX($AS$7:$AS$89,MATCH(mapPRC!C870,$AR$7:$AR$89,0)),"")</f>
        <v/>
      </c>
    </row>
    <row r="786" spans="23:24" x14ac:dyDescent="0.25">
      <c r="W786" t="str">
        <f>mapPRC!A871</f>
        <v>XIFAELC</v>
      </c>
      <c r="X786" t="str">
        <f>IFERROR(INDEX($AS$7:$AS$89,MATCH(mapPRC!C871,$AR$7:$AR$89,0)),"")</f>
        <v>elec</v>
      </c>
    </row>
    <row r="787" spans="23:24" x14ac:dyDescent="0.25">
      <c r="W787" t="str">
        <f>mapPRC!A872</f>
        <v>XIFAGAS</v>
      </c>
      <c r="X787" t="str">
        <f>IFERROR(INDEX($AS$7:$AS$89,MATCH(mapPRC!C872,$AR$7:$AR$89,0)),"")</f>
        <v/>
      </c>
    </row>
    <row r="788" spans="23:24" x14ac:dyDescent="0.25">
      <c r="W788" t="str">
        <f>mapPRC!A873</f>
        <v>XIFBELC</v>
      </c>
      <c r="X788" t="str">
        <f>IFERROR(INDEX($AS$7:$AS$89,MATCH(mapPRC!C873,$AR$7:$AR$89,0)),"")</f>
        <v>elec</v>
      </c>
    </row>
    <row r="789" spans="23:24" x14ac:dyDescent="0.25">
      <c r="W789" t="str">
        <f>mapPRC!A874</f>
        <v>XIFBGAS</v>
      </c>
      <c r="X789" t="str">
        <f>IFERROR(INDEX($AS$7:$AS$89,MATCH(mapPRC!C874,$AR$7:$AR$89,0)),"")</f>
        <v/>
      </c>
    </row>
    <row r="790" spans="23:24" x14ac:dyDescent="0.25">
      <c r="W790" t="str">
        <f>mapPRC!A875</f>
        <v>XIISBIO</v>
      </c>
      <c r="X790" t="str">
        <f>IFERROR(INDEX($AS$7:$AS$89,MATCH(mapPRC!C875,$AR$7:$AR$89,0)),"")</f>
        <v/>
      </c>
    </row>
    <row r="791" spans="23:24" x14ac:dyDescent="0.25">
      <c r="W791" t="str">
        <f>mapPRC!A876</f>
        <v>XIISCKC</v>
      </c>
      <c r="X791" t="str">
        <f>IFERROR(INDEX($AS$7:$AS$89,MATCH(mapPRC!C876,$AR$7:$AR$89,0)),"")</f>
        <v/>
      </c>
    </row>
    <row r="792" spans="23:24" x14ac:dyDescent="0.25">
      <c r="W792" t="str">
        <f>mapPRC!A877</f>
        <v>XIISCOA</v>
      </c>
      <c r="X792" t="str">
        <f>IFERROR(INDEX($AS$7:$AS$89,MATCH(mapPRC!C877,$AR$7:$AR$89,0)),"")</f>
        <v/>
      </c>
    </row>
    <row r="793" spans="23:24" x14ac:dyDescent="0.25">
      <c r="W793" t="str">
        <f>mapPRC!A878</f>
        <v>XIISELC</v>
      </c>
      <c r="X793" t="str">
        <f>IFERROR(INDEX($AS$7:$AS$89,MATCH(mapPRC!C878,$AR$7:$AR$89,0)),"")</f>
        <v>elec</v>
      </c>
    </row>
    <row r="794" spans="23:24" x14ac:dyDescent="0.25">
      <c r="W794" t="str">
        <f>mapPRC!A879</f>
        <v>XIISELCHY</v>
      </c>
      <c r="X794" t="str">
        <f>IFERROR(INDEX($AS$7:$AS$89,MATCH(mapPRC!C879,$AR$7:$AR$89,0)),"")</f>
        <v/>
      </c>
    </row>
    <row r="795" spans="23:24" x14ac:dyDescent="0.25">
      <c r="W795" t="str">
        <f>mapPRC!A880</f>
        <v>XIISGAS</v>
      </c>
      <c r="X795" t="str">
        <f>IFERROR(INDEX($AS$7:$AS$89,MATCH(mapPRC!C880,$AR$7:$AR$89,0)),"")</f>
        <v/>
      </c>
    </row>
    <row r="796" spans="23:24" x14ac:dyDescent="0.25">
      <c r="W796" t="str">
        <f>mapPRC!A881</f>
        <v>XIISOIL</v>
      </c>
      <c r="X796" t="str">
        <f>IFERROR(INDEX($AS$7:$AS$89,MATCH(mapPRC!C881,$AR$7:$AR$89,0)),"")</f>
        <v/>
      </c>
    </row>
    <row r="797" spans="23:24" x14ac:dyDescent="0.25">
      <c r="W797" t="str">
        <f>mapPRC!A882</f>
        <v>XIISOLP</v>
      </c>
      <c r="X797" t="str">
        <f>IFERROR(INDEX($AS$7:$AS$89,MATCH(mapPRC!C882,$AR$7:$AR$89,0)),"")</f>
        <v/>
      </c>
    </row>
    <row r="798" spans="23:24" x14ac:dyDescent="0.25">
      <c r="W798" t="str">
        <f>mapPRC!A883</f>
        <v>XIISSSC</v>
      </c>
      <c r="X798" t="str">
        <f>IFERROR(INDEX($AS$7:$AS$89,MATCH(mapPRC!C883,$AR$7:$AR$89,0)),"")</f>
        <v/>
      </c>
    </row>
    <row r="799" spans="23:24" x14ac:dyDescent="0.25">
      <c r="W799" t="str">
        <f>mapPRC!A884</f>
        <v>XIISWAS</v>
      </c>
      <c r="X799" t="str">
        <f>IFERROR(INDEX($AS$7:$AS$89,MATCH(mapPRC!C884,$AR$7:$AR$89,0)),"")</f>
        <v/>
      </c>
    </row>
    <row r="800" spans="23:24" x14ac:dyDescent="0.25">
      <c r="W800" t="str">
        <f>mapPRC!A885</f>
        <v>XIMIELC</v>
      </c>
      <c r="X800" t="str">
        <f>IFERROR(INDEX($AS$7:$AS$89,MATCH(mapPRC!C885,$AR$7:$AR$89,0)),"")</f>
        <v>elec</v>
      </c>
    </row>
    <row r="801" spans="23:24" x14ac:dyDescent="0.25">
      <c r="W801" t="str">
        <f>mapPRC!A886</f>
        <v>XIMIGAS</v>
      </c>
      <c r="X801" t="str">
        <f>IFERROR(INDEX($AS$7:$AS$89,MATCH(mapPRC!C886,$AR$7:$AR$89,0)),"")</f>
        <v/>
      </c>
    </row>
    <row r="802" spans="23:24" x14ac:dyDescent="0.25">
      <c r="W802" t="str">
        <f>mapPRC!A887</f>
        <v>XINDBIB</v>
      </c>
      <c r="X802" t="str">
        <f>IFERROR(INDEX($AS$7:$AS$89,MATCH(mapPRC!C887,$AR$7:$AR$89,0)),"")</f>
        <v/>
      </c>
    </row>
    <row r="803" spans="23:24" x14ac:dyDescent="0.25">
      <c r="W803" t="str">
        <f>mapPRC!A888</f>
        <v>XINDBIO</v>
      </c>
      <c r="X803" t="str">
        <f>IFERROR(INDEX($AS$7:$AS$89,MATCH(mapPRC!C888,$AR$7:$AR$89,0)),"")</f>
        <v/>
      </c>
    </row>
    <row r="804" spans="23:24" x14ac:dyDescent="0.25">
      <c r="W804" t="str">
        <f>mapPRC!A889</f>
        <v>XINDBIW</v>
      </c>
      <c r="X804" t="str">
        <f>IFERROR(INDEX($AS$7:$AS$89,MATCH(mapPRC!C889,$AR$7:$AR$89,0)),"")</f>
        <v/>
      </c>
    </row>
    <row r="805" spans="23:24" x14ac:dyDescent="0.25">
      <c r="W805" t="str">
        <f>mapPRC!A890</f>
        <v>XINDCLE</v>
      </c>
      <c r="X805" t="str">
        <f>IFERROR(INDEX($AS$7:$AS$89,MATCH(mapPRC!C890,$AR$7:$AR$89,0)),"")</f>
        <v/>
      </c>
    </row>
    <row r="806" spans="23:24" x14ac:dyDescent="0.25">
      <c r="W806" t="str">
        <f>mapPRC!A891</f>
        <v>XINDCOA</v>
      </c>
      <c r="X806" t="str">
        <f>IFERROR(INDEX($AS$7:$AS$89,MATCH(mapPRC!C891,$AR$7:$AR$89,0)),"")</f>
        <v/>
      </c>
    </row>
    <row r="807" spans="23:24" x14ac:dyDescent="0.25">
      <c r="W807" t="str">
        <f>mapPRC!A892</f>
        <v>XINDCOK</v>
      </c>
      <c r="X807" t="str">
        <f>IFERROR(INDEX($AS$7:$AS$89,MATCH(mapPRC!C892,$AR$7:$AR$89,0)),"")</f>
        <v/>
      </c>
    </row>
    <row r="808" spans="23:24" x14ac:dyDescent="0.25">
      <c r="W808" t="str">
        <f>mapPRC!A893</f>
        <v>XINDELC</v>
      </c>
      <c r="X808" t="str">
        <f>IFERROR(INDEX($AS$7:$AS$89,MATCH(mapPRC!C893,$AR$7:$AR$89,0)),"")</f>
        <v/>
      </c>
    </row>
    <row r="809" spans="23:24" x14ac:dyDescent="0.25">
      <c r="W809" t="str">
        <f>mapPRC!A894</f>
        <v>XINDELP</v>
      </c>
      <c r="X809" t="str">
        <f>IFERROR(INDEX($AS$7:$AS$89,MATCH(mapPRC!C894,$AR$7:$AR$89,0)),"")</f>
        <v/>
      </c>
    </row>
    <row r="810" spans="23:24" x14ac:dyDescent="0.25">
      <c r="W810" t="str">
        <f>mapPRC!A895</f>
        <v>XINDGAS</v>
      </c>
      <c r="X810" t="str">
        <f>IFERROR(INDEX($AS$7:$AS$89,MATCH(mapPRC!C895,$AR$7:$AR$89,0)),"")</f>
        <v/>
      </c>
    </row>
    <row r="811" spans="23:24" x14ac:dyDescent="0.25">
      <c r="W811" t="str">
        <f>mapPRC!A896</f>
        <v>XINDHGN</v>
      </c>
      <c r="X811" t="str">
        <f>IFERROR(INDEX($AS$7:$AS$89,MATCH(mapPRC!C896,$AR$7:$AR$89,0)),"")</f>
        <v/>
      </c>
    </row>
    <row r="812" spans="23:24" x14ac:dyDescent="0.25">
      <c r="W812" t="str">
        <f>mapPRC!A897</f>
        <v>XINDODS</v>
      </c>
      <c r="X812" t="str">
        <f>IFERROR(INDEX($AS$7:$AS$89,MATCH(mapPRC!C897,$AR$7:$AR$89,0)),"")</f>
        <v/>
      </c>
    </row>
    <row r="813" spans="23:24" x14ac:dyDescent="0.25">
      <c r="W813" t="str">
        <f>mapPRC!A898</f>
        <v>XINDOGS</v>
      </c>
      <c r="X813" t="str">
        <f>IFERROR(INDEX($AS$7:$AS$89,MATCH(mapPRC!C898,$AR$7:$AR$89,0)),"")</f>
        <v/>
      </c>
    </row>
    <row r="814" spans="23:24" x14ac:dyDescent="0.25">
      <c r="W814" t="str">
        <f>mapPRC!A899</f>
        <v>XINDOHF</v>
      </c>
      <c r="X814" t="str">
        <f>IFERROR(INDEX($AS$7:$AS$89,MATCH(mapPRC!C899,$AR$7:$AR$89,0)),"")</f>
        <v/>
      </c>
    </row>
    <row r="815" spans="23:24" x14ac:dyDescent="0.25">
      <c r="W815" t="str">
        <f>mapPRC!A900</f>
        <v>XINDOLP</v>
      </c>
      <c r="X815" t="str">
        <f>IFERROR(INDEX($AS$7:$AS$89,MATCH(mapPRC!C900,$AR$7:$AR$89,0)),"")</f>
        <v/>
      </c>
    </row>
    <row r="816" spans="23:24" x14ac:dyDescent="0.25">
      <c r="W816" t="str">
        <f>mapPRC!A901</f>
        <v>XINDWAS</v>
      </c>
      <c r="X816" t="str">
        <f>IFERROR(INDEX($AS$7:$AS$89,MATCH(mapPRC!C901,$AR$7:$AR$89,0)),"")</f>
        <v/>
      </c>
    </row>
    <row r="817" spans="23:24" x14ac:dyDescent="0.25">
      <c r="W817" t="str">
        <f>mapPRC!A902</f>
        <v>XINFELC</v>
      </c>
      <c r="X817" t="str">
        <f>IFERROR(INDEX($AS$7:$AS$89,MATCH(mapPRC!C902,$AR$7:$AR$89,0)),"")</f>
        <v>elec</v>
      </c>
    </row>
    <row r="818" spans="23:24" x14ac:dyDescent="0.25">
      <c r="W818" t="str">
        <f>mapPRC!A903</f>
        <v>XINFGAS</v>
      </c>
      <c r="X818" t="str">
        <f>IFERROR(INDEX($AS$7:$AS$89,MATCH(mapPRC!C903,$AR$7:$AR$89,0)),"")</f>
        <v/>
      </c>
    </row>
    <row r="819" spans="23:24" x14ac:dyDescent="0.25">
      <c r="W819" t="str">
        <f>mapPRC!A904</f>
        <v>XINMBIO</v>
      </c>
      <c r="X819" t="str">
        <f>IFERROR(INDEX($AS$7:$AS$89,MATCH(mapPRC!C904,$AR$7:$AR$89,0)),"")</f>
        <v/>
      </c>
    </row>
    <row r="820" spans="23:24" x14ac:dyDescent="0.25">
      <c r="W820" t="str">
        <f>mapPRC!A905</f>
        <v>XINMCOA</v>
      </c>
      <c r="X820" t="str">
        <f>IFERROR(INDEX($AS$7:$AS$89,MATCH(mapPRC!C905,$AR$7:$AR$89,0)),"")</f>
        <v/>
      </c>
    </row>
    <row r="821" spans="23:24" x14ac:dyDescent="0.25">
      <c r="W821" t="str">
        <f>mapPRC!A906</f>
        <v>XINMELC</v>
      </c>
      <c r="X821" t="str">
        <f>IFERROR(INDEX($AS$7:$AS$89,MATCH(mapPRC!C906,$AR$7:$AR$89,0)),"")</f>
        <v>elec</v>
      </c>
    </row>
    <row r="822" spans="23:24" x14ac:dyDescent="0.25">
      <c r="W822" t="str">
        <f>mapPRC!A907</f>
        <v>XINMGAS</v>
      </c>
      <c r="X822" t="str">
        <f>IFERROR(INDEX($AS$7:$AS$89,MATCH(mapPRC!C907,$AR$7:$AR$89,0)),"")</f>
        <v/>
      </c>
    </row>
    <row r="823" spans="23:24" x14ac:dyDescent="0.25">
      <c r="W823" t="str">
        <f>mapPRC!A908</f>
        <v>XINMOIL</v>
      </c>
      <c r="X823" t="str">
        <f>IFERROR(INDEX($AS$7:$AS$89,MATCH(mapPRC!C908,$AR$7:$AR$89,0)),"")</f>
        <v/>
      </c>
    </row>
    <row r="824" spans="23:24" x14ac:dyDescent="0.25">
      <c r="W824" t="str">
        <f>mapPRC!A909</f>
        <v>XINMCLCOA</v>
      </c>
    </row>
    <row r="825" spans="23:24" x14ac:dyDescent="0.25">
      <c r="W825" t="str">
        <f>mapPRC!A910</f>
        <v>XINMCLGAS</v>
      </c>
    </row>
    <row r="826" spans="23:24" x14ac:dyDescent="0.25">
      <c r="W826" t="str">
        <f>mapPRC!A911</f>
        <v>XINMCLOIL</v>
      </c>
    </row>
    <row r="827" spans="23:24" x14ac:dyDescent="0.25">
      <c r="W827" t="str">
        <f>mapPRC!A912</f>
        <v>XIOTELC</v>
      </c>
      <c r="X827" t="str">
        <f>IFERROR(INDEX($AS$7:$AS$89,MATCH(mapPRC!C912,$AR$7:$AR$89,0)),"")</f>
        <v>elec</v>
      </c>
    </row>
    <row r="828" spans="23:24" x14ac:dyDescent="0.25">
      <c r="W828" t="str">
        <f>mapPRC!A913</f>
        <v>XIOTGAS</v>
      </c>
      <c r="X828" t="str">
        <f>IFERROR(INDEX($AS$7:$AS$89,MATCH(mapPRC!C913,$AR$7:$AR$89,0)),"")</f>
        <v/>
      </c>
    </row>
    <row r="829" spans="23:24" x14ac:dyDescent="0.25">
      <c r="W829" t="str">
        <f>mapPRC!A914</f>
        <v>XIPGM</v>
      </c>
    </row>
    <row r="830" spans="23:24" x14ac:dyDescent="0.25">
      <c r="W830" t="str">
        <f>mapPRC!A915</f>
        <v>XIPPBIB</v>
      </c>
      <c r="X830" t="str">
        <f>IFERROR(INDEX($AS$7:$AS$89,MATCH(mapPRC!C915,$AR$7:$AR$89,0)),"")</f>
        <v/>
      </c>
    </row>
    <row r="831" spans="23:24" x14ac:dyDescent="0.25">
      <c r="W831" t="str">
        <f>mapPRC!A917</f>
        <v>XIPPCOA</v>
      </c>
      <c r="X831" t="str">
        <f>IFERROR(INDEX($AS$7:$AS$89,MATCH(mapPRC!C917,$AR$7:$AR$89,0)),"")</f>
        <v/>
      </c>
    </row>
    <row r="832" spans="23:24" x14ac:dyDescent="0.25">
      <c r="W832" t="str">
        <f>mapPRC!A918</f>
        <v>XIPPELC</v>
      </c>
      <c r="X832" t="str">
        <f>IFERROR(INDEX($AS$7:$AS$89,MATCH(mapPRC!C918,$AR$7:$AR$89,0)),"")</f>
        <v>elec</v>
      </c>
    </row>
    <row r="833" spans="23:24" x14ac:dyDescent="0.25">
      <c r="W833" t="str">
        <f>mapPRC!A919</f>
        <v>XIPPGAS</v>
      </c>
      <c r="X833" t="str">
        <f>IFERROR(INDEX($AS$7:$AS$89,MATCH(mapPRC!C919,$AR$7:$AR$89,0)),"")</f>
        <v/>
      </c>
    </row>
    <row r="834" spans="23:24" x14ac:dyDescent="0.25">
      <c r="W834" t="str">
        <f>mapPRC!A920</f>
        <v>XIPPODS</v>
      </c>
      <c r="X834" t="str">
        <f>IFERROR(INDEX($AS$7:$AS$89,MATCH(mapPRC!C920,$AR$7:$AR$89,0)),"")</f>
        <v/>
      </c>
    </row>
    <row r="835" spans="23:24" x14ac:dyDescent="0.25">
      <c r="W835" t="str">
        <f>mapPRC!A921</f>
        <v>XIPPOGS</v>
      </c>
      <c r="X835" t="str">
        <f>IFERROR(INDEX($AS$7:$AS$89,MATCH(mapPRC!C921,$AR$7:$AR$89,0)),"")</f>
        <v/>
      </c>
    </row>
    <row r="836" spans="23:24" x14ac:dyDescent="0.25">
      <c r="W836" t="str">
        <f>mapPRC!A922</f>
        <v>XIPPOHF</v>
      </c>
      <c r="X836" t="str">
        <f>IFERROR(INDEX($AS$7:$AS$89,MATCH(mapPRC!C922,$AR$7:$AR$89,0)),"")</f>
        <v/>
      </c>
    </row>
    <row r="837" spans="23:24" x14ac:dyDescent="0.25">
      <c r="W837" t="str">
        <f>mapPRC!A923</f>
        <v>XIPPOLP</v>
      </c>
      <c r="X837" t="str">
        <f>IFERROR(INDEX($AS$7:$AS$89,MATCH(mapPRC!C923,$AR$7:$AR$89,0)),"")</f>
        <v/>
      </c>
    </row>
    <row r="838" spans="23:24" x14ac:dyDescent="0.25">
      <c r="W838" t="str">
        <f>mapPRC!A925</f>
        <v>XIPPREC</v>
      </c>
      <c r="X838" t="str">
        <f>IFERROR(INDEX($AS$7:$AS$89,MATCH(mapPRC!C925,$AR$7:$AR$89,0)),"")</f>
        <v/>
      </c>
    </row>
    <row r="839" spans="23:24" x14ac:dyDescent="0.25">
      <c r="W839" t="str">
        <f>mapPRC!A927</f>
        <v>XPWRBIB</v>
      </c>
      <c r="X839" t="str">
        <f>IFERROR(INDEX($AS$7:$AS$89,MATCH(mapPRC!C927,$AR$7:$AR$89,0)),"")</f>
        <v/>
      </c>
    </row>
    <row r="840" spans="23:24" x14ac:dyDescent="0.25">
      <c r="W840" t="str">
        <f>mapPRC!A928</f>
        <v>XPWRBIG</v>
      </c>
      <c r="X840" t="str">
        <f>IFERROR(INDEX($AS$7:$AS$89,MATCH(mapPRC!C928,$AR$7:$AR$89,0)),"")</f>
        <v/>
      </c>
    </row>
    <row r="841" spans="23:24" x14ac:dyDescent="0.25">
      <c r="W841" t="str">
        <f>mapPRC!A929</f>
        <v>XPWRBIO</v>
      </c>
      <c r="X841" t="str">
        <f>IFERROR(INDEX($AS$7:$AS$89,MATCH(mapPRC!C929,$AR$7:$AR$89,0)),"")</f>
        <v/>
      </c>
    </row>
    <row r="842" spans="23:24" x14ac:dyDescent="0.25">
      <c r="W842" t="str">
        <f>mapPRC!A930</f>
        <v>XPWRBIW</v>
      </c>
      <c r="X842" t="str">
        <f>IFERROR(INDEX($AS$7:$AS$89,MATCH(mapPRC!C930,$AR$7:$AR$89,0)),"")</f>
        <v/>
      </c>
    </row>
    <row r="843" spans="23:24" x14ac:dyDescent="0.25">
      <c r="W843" t="str">
        <f>mapPRC!A931</f>
        <v>XPWRCLD</v>
      </c>
      <c r="X843" t="str">
        <f>IFERROR(INDEX($AS$7:$AS$89,MATCH(mapPRC!C931,$AR$7:$AR$89,0)),"")</f>
        <v/>
      </c>
    </row>
    <row r="844" spans="23:24" x14ac:dyDescent="0.25">
      <c r="W844" t="str">
        <f>mapPRC!A932</f>
        <v>XPWRCLE</v>
      </c>
      <c r="X844" t="str">
        <f>IFERROR(INDEX($AS$7:$AS$89,MATCH(mapPRC!C932,$AR$7:$AR$89,0)),"")</f>
        <v/>
      </c>
    </row>
    <row r="845" spans="23:24" x14ac:dyDescent="0.25">
      <c r="W845" t="str">
        <f>mapPRC!A933</f>
        <v>XPWRCLE-A</v>
      </c>
      <c r="X845" t="str">
        <f>IFERROR(INDEX($AS$7:$AS$89,MATCH(mapPRC!C933,$AR$7:$AR$89,0)),"")</f>
        <v/>
      </c>
    </row>
    <row r="846" spans="23:24" x14ac:dyDescent="0.25">
      <c r="W846" t="str">
        <f>mapPRC!A934</f>
        <v>XPWRCLEC</v>
      </c>
      <c r="X846" t="str">
        <f>IFERROR(INDEX($AS$7:$AS$89,MATCH(mapPRC!C934,$AR$7:$AR$89,0)),"")</f>
        <v/>
      </c>
    </row>
    <row r="847" spans="23:24" x14ac:dyDescent="0.25">
      <c r="W847" t="str">
        <f>mapPRC!A935</f>
        <v>XPWRCLEC-A</v>
      </c>
      <c r="X847" t="str">
        <f>IFERROR(INDEX($AS$7:$AS$89,MATCH(mapPRC!C935,$AR$7:$AR$89,0)),"")</f>
        <v/>
      </c>
    </row>
    <row r="848" spans="23:24" x14ac:dyDescent="0.25">
      <c r="W848" t="str">
        <f>mapPRC!A936</f>
        <v>XPWRCRB</v>
      </c>
      <c r="X848" t="str">
        <f>IFERROR(INDEX($AS$7:$AS$89,MATCH(mapPRC!C936,$AR$7:$AR$89,0)),"")</f>
        <v/>
      </c>
    </row>
    <row r="849" spans="23:24" x14ac:dyDescent="0.25">
      <c r="W849" t="str">
        <f>mapPRC!A937</f>
        <v>XPWRHGN</v>
      </c>
      <c r="X849" t="str">
        <f>IFERROR(INDEX($AS$7:$AS$89,MATCH(mapPRC!C937,$AR$7:$AR$89,0)),"")</f>
        <v/>
      </c>
    </row>
    <row r="850" spans="23:24" x14ac:dyDescent="0.25">
      <c r="W850" t="str">
        <f>mapPRC!A938</f>
        <v>XPWRGAS</v>
      </c>
      <c r="X850" t="str">
        <f>IFERROR(INDEX($AS$7:$AS$89,MATCH(mapPRC!C938,$AR$7:$AR$89,0)),"")</f>
        <v/>
      </c>
    </row>
    <row r="851" spans="23:24" x14ac:dyDescent="0.25">
      <c r="W851" t="str">
        <f>mapPRC!A939</f>
        <v>XPWRGIC</v>
      </c>
      <c r="X851" t="str">
        <f>IFERROR(INDEX($AS$7:$AS$89,MATCH(mapPRC!C939,$AR$7:$AR$89,0)),"")</f>
        <v/>
      </c>
    </row>
    <row r="852" spans="23:24" x14ac:dyDescent="0.25">
      <c r="W852" t="str">
        <f>mapPRC!A940</f>
        <v>XPWRGIH</v>
      </c>
      <c r="X852" t="str">
        <f>IFERROR(INDEX($AS$7:$AS$89,MATCH(mapPRC!C940,$AR$7:$AR$89,0)),"")</f>
        <v/>
      </c>
    </row>
    <row r="853" spans="23:24" x14ac:dyDescent="0.25">
      <c r="W853" t="str">
        <f>mapPRC!A941</f>
        <v>XPWRGRM</v>
      </c>
      <c r="X853" t="str">
        <f>IFERROR(INDEX($AS$7:$AS$89,MATCH(mapPRC!C941,$AR$7:$AR$89,0)),"")</f>
        <v/>
      </c>
    </row>
    <row r="854" spans="23:24" x14ac:dyDescent="0.25">
      <c r="W854" t="str">
        <f>mapPRC!A942</f>
        <v>XPWRGRN</v>
      </c>
      <c r="X854" t="str">
        <f>IFERROR(INDEX($AS$7:$AS$89,MATCH(mapPRC!C942,$AR$7:$AR$89,0)),"")</f>
        <v/>
      </c>
    </row>
    <row r="855" spans="23:24" x14ac:dyDescent="0.25">
      <c r="W855" t="str">
        <f>mapPRC!A943</f>
        <v>XPWRGRS</v>
      </c>
      <c r="X855" t="str">
        <f>IFERROR(INDEX($AS$7:$AS$89,MATCH(mapPRC!C943,$AR$7:$AR$89,0)),"")</f>
        <v/>
      </c>
    </row>
    <row r="856" spans="23:24" x14ac:dyDescent="0.25">
      <c r="W856" t="str">
        <f>mapPRC!A944</f>
        <v>XPWRHYD</v>
      </c>
      <c r="X856" t="str">
        <f>IFERROR(INDEX($AS$7:$AS$89,MATCH(mapPRC!C944,$AR$7:$AR$89,0)),"")</f>
        <v/>
      </c>
    </row>
    <row r="857" spans="23:24" x14ac:dyDescent="0.25">
      <c r="W857" t="str">
        <f>mapPRC!A945</f>
        <v>XPWRNUC</v>
      </c>
      <c r="X857" t="str">
        <f>IFERROR(INDEX($AS$7:$AS$89,MATCH(mapPRC!C945,$AR$7:$AR$89,0)),"")</f>
        <v/>
      </c>
    </row>
    <row r="858" spans="23:24" x14ac:dyDescent="0.25">
      <c r="W858" t="str">
        <f>mapPRC!A946</f>
        <v>XPWRODS</v>
      </c>
      <c r="X858" t="str">
        <f>IFERROR(INDEX($AS$7:$AS$89,MATCH(mapPRC!C946,$AR$7:$AR$89,0)),"")</f>
        <v/>
      </c>
    </row>
    <row r="859" spans="23:24" x14ac:dyDescent="0.25">
      <c r="W859" t="str">
        <f>mapPRC!A947</f>
        <v>XPWROHF</v>
      </c>
      <c r="X859" t="str">
        <f>IFERROR(INDEX($AS$7:$AS$89,MATCH(mapPRC!C947,$AR$7:$AR$89,0)),"")</f>
        <v/>
      </c>
    </row>
    <row r="860" spans="23:24" x14ac:dyDescent="0.25">
      <c r="W860" t="str">
        <f>mapPRC!A948</f>
        <v>XPWROKE</v>
      </c>
      <c r="X860" t="str">
        <f>IFERROR(INDEX($AS$7:$AS$89,MATCH(mapPRC!C948,$AR$7:$AR$89,0)),"")</f>
        <v/>
      </c>
    </row>
    <row r="861" spans="23:24" x14ac:dyDescent="0.25">
      <c r="W861" t="str">
        <f>mapPRC!A949</f>
        <v>XPWRSOL</v>
      </c>
      <c r="X861" t="str">
        <f>IFERROR(INDEX($AS$7:$AS$89,MATCH(mapPRC!C949,$AR$7:$AR$89,0)),"")</f>
        <v/>
      </c>
    </row>
    <row r="862" spans="23:24" x14ac:dyDescent="0.25">
      <c r="W862" t="str">
        <f>mapPRC!A950</f>
        <v>XPWRWND</v>
      </c>
      <c r="X862" t="str">
        <f>IFERROR(INDEX($AS$7:$AS$89,MATCH(mapPRC!C950,$AR$7:$AR$89,0)),"")</f>
        <v/>
      </c>
    </row>
    <row r="863" spans="23:24" x14ac:dyDescent="0.25">
      <c r="W863" t="str">
        <f>mapPRC!A951</f>
        <v>XRESBIW</v>
      </c>
      <c r="X863" t="str">
        <f>IFERROR(INDEX($AS$7:$AS$89,MATCH(mapPRC!C951,$AR$7:$AR$89,0)),"")</f>
        <v/>
      </c>
    </row>
    <row r="864" spans="23:24" x14ac:dyDescent="0.25">
      <c r="W864" t="str">
        <f>mapPRC!A952</f>
        <v>XRESCOA</v>
      </c>
      <c r="X864" t="str">
        <f>IFERROR(INDEX($AS$7:$AS$89,MATCH(mapPRC!C952,$AR$7:$AR$89,0)),"")</f>
        <v/>
      </c>
    </row>
    <row r="865" spans="23:24" x14ac:dyDescent="0.25">
      <c r="W865" t="str">
        <f>mapPRC!A953</f>
        <v>XRESELC</v>
      </c>
      <c r="X865" t="str">
        <f>IFERROR(INDEX($AS$7:$AS$89,MATCH(mapPRC!C953,$AR$7:$AR$89,0)),"")</f>
        <v>elec</v>
      </c>
    </row>
    <row r="866" spans="23:24" x14ac:dyDescent="0.25">
      <c r="W866" t="str">
        <f>mapPRC!A954</f>
        <v>XRESGAS</v>
      </c>
      <c r="X866" t="str">
        <f>IFERROR(INDEX($AS$7:$AS$89,MATCH(mapPRC!C954,$AR$7:$AR$89,0)),"")</f>
        <v/>
      </c>
    </row>
    <row r="867" spans="23:24" x14ac:dyDescent="0.25">
      <c r="W867" t="str">
        <f>mapPRC!A955</f>
        <v>XRESOKE</v>
      </c>
      <c r="X867" t="str">
        <f>IFERROR(INDEX($AS$7:$AS$89,MATCH(mapPRC!C955,$AR$7:$AR$89,0)),"")</f>
        <v/>
      </c>
    </row>
    <row r="868" spans="23:24" x14ac:dyDescent="0.25">
      <c r="W868" t="str">
        <f>mapPRC!A956</f>
        <v>XRESOLP</v>
      </c>
      <c r="X868" t="str">
        <f>IFERROR(INDEX($AS$7:$AS$89,MATCH(mapPRC!C956,$AR$7:$AR$89,0)),"")</f>
        <v/>
      </c>
    </row>
    <row r="869" spans="23:24" x14ac:dyDescent="0.25">
      <c r="W869" t="str">
        <f>mapPRC!A957</f>
        <v>XTRABGS</v>
      </c>
      <c r="X869" t="str">
        <f>IFERROR(INDEX($AS$7:$AS$89,MATCH(mapPRC!C957,$AR$7:$AR$89,0)),"")</f>
        <v/>
      </c>
    </row>
    <row r="870" spans="23:24" x14ac:dyDescent="0.25">
      <c r="W870" t="str">
        <f>mapPRC!A958</f>
        <v>XTRABID</v>
      </c>
      <c r="X870" t="str">
        <f>IFERROR(INDEX($AS$7:$AS$89,MATCH(mapPRC!C958,$AR$7:$AR$89,0)),"")</f>
        <v/>
      </c>
    </row>
    <row r="871" spans="23:24" x14ac:dyDescent="0.25">
      <c r="W871" t="str">
        <f>mapPRC!A959</f>
        <v>XTRABIE</v>
      </c>
      <c r="X871" t="str">
        <f>IFERROR(INDEX($AS$7:$AS$89,MATCH(mapPRC!C959,$AR$7:$AR$89,0)),"")</f>
        <v/>
      </c>
    </row>
    <row r="872" spans="23:24" x14ac:dyDescent="0.25">
      <c r="W872" t="str">
        <f>mapPRC!A960</f>
        <v>XTRAELC</v>
      </c>
      <c r="X872" t="str">
        <f>IFERROR(INDEX($AS$7:$AS$89,MATCH(mapPRC!C960,$AR$7:$AR$89,0)),"")</f>
        <v>elec</v>
      </c>
    </row>
    <row r="873" spans="23:24" x14ac:dyDescent="0.25">
      <c r="W873" t="str">
        <f>mapPRC!A961</f>
        <v>XTRAEVF</v>
      </c>
      <c r="X873" t="str">
        <f>IFERROR(INDEX($AS$7:$AS$89,MATCH(mapPRC!C961,$AR$7:$AR$89,0)),"")</f>
        <v/>
      </c>
    </row>
    <row r="874" spans="23:24" x14ac:dyDescent="0.25">
      <c r="W874" t="str">
        <f>mapPRC!A962</f>
        <v>XTRAEVP</v>
      </c>
      <c r="X874" t="str">
        <f>IFERROR(INDEX($AS$7:$AS$89,MATCH(mapPRC!C962,$AR$7:$AR$89,0)),"")</f>
        <v/>
      </c>
    </row>
    <row r="875" spans="23:24" x14ac:dyDescent="0.25">
      <c r="W875" t="str">
        <f>mapPRC!A963</f>
        <v>XTRAGAS</v>
      </c>
      <c r="X875" t="str">
        <f>IFERROR(INDEX($AS$7:$AS$89,MATCH(mapPRC!C963,$AR$7:$AR$89,0)),"")</f>
        <v/>
      </c>
    </row>
    <row r="876" spans="23:24" x14ac:dyDescent="0.25">
      <c r="W876" t="str">
        <f>mapPRC!A964</f>
        <v>XTRAHGN</v>
      </c>
      <c r="X876" t="str">
        <f>IFERROR(INDEX($AS$7:$AS$89,MATCH(mapPRC!C964,$AR$7:$AR$89,0)),"")</f>
        <v/>
      </c>
    </row>
    <row r="877" spans="23:24" x14ac:dyDescent="0.25">
      <c r="W877" t="str">
        <f>mapPRC!A965</f>
        <v>XTRANH3</v>
      </c>
      <c r="X877" t="str">
        <f>IFERROR(INDEX($AS$7:$AS$89,MATCH(mapPRC!C965,$AR$7:$AR$89,0)),"")</f>
        <v/>
      </c>
    </row>
    <row r="878" spans="23:24" x14ac:dyDescent="0.25">
      <c r="W878" t="str">
        <f>mapPRC!A966</f>
        <v>XTRAOAG</v>
      </c>
      <c r="X878" t="str">
        <f>IFERROR(INDEX($AS$7:$AS$89,MATCH(mapPRC!C966,$AR$7:$AR$89,0)),"")</f>
        <v/>
      </c>
    </row>
    <row r="879" spans="23:24" x14ac:dyDescent="0.25">
      <c r="W879" t="str">
        <f>mapPRC!A967</f>
        <v>XTRAODS</v>
      </c>
      <c r="X879" t="str">
        <f>IFERROR(INDEX($AS$7:$AS$89,MATCH(mapPRC!C967,$AR$7:$AR$89,0)),"")</f>
        <v/>
      </c>
    </row>
    <row r="880" spans="23:24" x14ac:dyDescent="0.25">
      <c r="W880" t="str">
        <f>mapPRC!A968</f>
        <v>XTRAOGS</v>
      </c>
      <c r="X880" t="str">
        <f>IFERROR(INDEX($AS$7:$AS$89,MATCH(mapPRC!C968,$AR$7:$AR$89,0)),"")</f>
        <v/>
      </c>
    </row>
    <row r="881" spans="23:24" x14ac:dyDescent="0.25">
      <c r="W881" t="str">
        <f>mapPRC!A969</f>
        <v>XTRAOHF</v>
      </c>
      <c r="X881" t="str">
        <f>IFERROR(INDEX($AS$7:$AS$89,MATCH(mapPRC!C969,$AR$7:$AR$89,0)),"")</f>
        <v/>
      </c>
    </row>
    <row r="882" spans="23:24" x14ac:dyDescent="0.25">
      <c r="W882" t="str">
        <f>mapPRC!A970</f>
        <v>XTRAOKE</v>
      </c>
      <c r="X882" t="str">
        <f>IFERROR(INDEX($AS$7:$AS$89,MATCH(mapPRC!C970,$AR$7:$AR$89,0)),"")</f>
        <v/>
      </c>
    </row>
    <row r="883" spans="23:24" x14ac:dyDescent="0.25">
      <c r="W883" t="str">
        <f>mapPRC!A971</f>
        <v>XUPSBID</v>
      </c>
      <c r="X883" t="str">
        <f>IFERROR(INDEX($AS$7:$AS$89,MATCH(mapPRC!C971,$AR$7:$AR$89,0)),"")</f>
        <v/>
      </c>
    </row>
    <row r="884" spans="23:24" x14ac:dyDescent="0.25">
      <c r="W884" t="str">
        <f>mapPRC!A972</f>
        <v>XUPSBIE</v>
      </c>
      <c r="X884" t="str">
        <f>IFERROR(INDEX($AS$7:$AS$89,MATCH(mapPRC!C972,$AR$7:$AR$89,0)),"")</f>
        <v/>
      </c>
    </row>
    <row r="885" spans="23:24" x14ac:dyDescent="0.25">
      <c r="W885" t="str">
        <f>mapPRC!A973</f>
        <v>XUPSCLE</v>
      </c>
      <c r="X885" t="str">
        <f>IFERROR(INDEX($AS$7:$AS$89,MATCH(mapPRC!C973,$AR$7:$AR$89,0)),"")</f>
        <v/>
      </c>
    </row>
    <row r="886" spans="23:24" x14ac:dyDescent="0.25">
      <c r="W886" t="str">
        <f>mapPRC!A974</f>
        <v>XUPSCLE-S</v>
      </c>
      <c r="X886" t="str">
        <f>IFERROR(INDEX($AS$7:$AS$89,MATCH(mapPRC!C974,$AR$7:$AR$89,0)),"")</f>
        <v/>
      </c>
    </row>
    <row r="887" spans="23:24" x14ac:dyDescent="0.25">
      <c r="W887" t="str">
        <f>mapPRC!A975</f>
        <v>XUPSELC</v>
      </c>
      <c r="X887" t="str">
        <f>IFERROR(INDEX($AS$7:$AS$89,MATCH(mapPRC!C975,$AR$7:$AR$89,0)),"")</f>
        <v>elec</v>
      </c>
    </row>
    <row r="888" spans="23:24" x14ac:dyDescent="0.25">
      <c r="W888" t="str">
        <f>mapPRC!A976</f>
        <v>XUPSGAS</v>
      </c>
      <c r="X888" t="str">
        <f>IFERROR(INDEX($AS$7:$AS$89,MATCH(mapPRC!C976,$AR$7:$AR$89,0)),"")</f>
        <v/>
      </c>
    </row>
    <row r="889" spans="23:24" x14ac:dyDescent="0.25">
      <c r="W889" t="str">
        <f>mapPRC!A977</f>
        <v>XUPSGIC</v>
      </c>
      <c r="X889" t="str">
        <f>IFERROR(INDEX($AS$7:$AS$89,MATCH(mapPRC!C977,$AR$7:$AR$89,0)),"")</f>
        <v/>
      </c>
    </row>
    <row r="890" spans="23:24" x14ac:dyDescent="0.25">
      <c r="W890" t="str">
        <f>mapPRC!A978</f>
        <v>XUPSHEE</v>
      </c>
      <c r="X890" t="str">
        <f>IFERROR(INDEX($AS$7:$AS$89,MATCH(mapPRC!C978,$AR$7:$AR$89,0)),"")</f>
        <v/>
      </c>
    </row>
    <row r="891" spans="23:24" x14ac:dyDescent="0.25">
      <c r="W891" t="str">
        <f>mapPRC!A979</f>
        <v>XUPSHEN</v>
      </c>
      <c r="X891" t="str">
        <f>IFERROR(INDEX($AS$7:$AS$89,MATCH(mapPRC!C979,$AR$7:$AR$89,0)),"")</f>
        <v/>
      </c>
    </row>
    <row r="892" spans="23:24" x14ac:dyDescent="0.25">
      <c r="W892" t="str">
        <f>mapPRC!A980</f>
        <v>XUPSHGN</v>
      </c>
      <c r="X892" t="str">
        <f>IFERROR(INDEX($AS$7:$AS$89,MATCH(mapPRC!C980,$AR$7:$AR$89,0)),"")</f>
        <v/>
      </c>
    </row>
    <row r="893" spans="23:24" x14ac:dyDescent="0.25">
      <c r="W893" t="str">
        <f>mapPRC!A981</f>
        <v>XUPSOCR</v>
      </c>
      <c r="X893" t="str">
        <f>IFERROR(INDEX($AS$7:$AS$89,MATCH(mapPRC!C981,$AR$7:$AR$89,0)),"")</f>
        <v/>
      </c>
    </row>
    <row r="894" spans="23:24" x14ac:dyDescent="0.25">
      <c r="W894" t="str">
        <f>mapPRC!A982</f>
        <v>XUPSOHF</v>
      </c>
      <c r="X894" t="str">
        <f>IFERROR(INDEX($AS$7:$AS$89,MATCH(mapPRC!C982,$AR$7:$AR$89,0)),"")</f>
        <v/>
      </c>
    </row>
    <row r="895" spans="23:24" x14ac:dyDescent="0.25">
      <c r="W895" t="str">
        <f>mapPRC!A983</f>
        <v>ZZBKELCC</v>
      </c>
      <c r="X895" t="str">
        <f>IFERROR(INDEX($AS$7:$AS$89,MATCH(mapPRC!C983,$AR$7:$AR$89,0)),"")</f>
        <v/>
      </c>
    </row>
    <row r="896" spans="23:24" x14ac:dyDescent="0.25">
      <c r="W896" t="str">
        <f>mapPRC!A984</f>
        <v>ZZBKNRG</v>
      </c>
      <c r="X896" t="str">
        <f>IFERROR(INDEX($AS$7:$AS$89,MATCH(mapPRC!C984,$AR$7:$AR$89,0)),"")</f>
        <v/>
      </c>
    </row>
    <row r="897" spans="23:24" x14ac:dyDescent="0.25">
      <c r="W897" t="str">
        <f>mapPRC!A985</f>
        <v>ZZCOMCEC</v>
      </c>
      <c r="X897" t="str">
        <f>IFERROR(INDEX($AS$7:$AS$89,MATCH(mapPRC!C985,$AR$7:$AR$89,0)),"")</f>
        <v/>
      </c>
    </row>
    <row r="898" spans="23:24" x14ac:dyDescent="0.25">
      <c r="W898" t="str">
        <f>mapPRC!A986</f>
        <v>ZZCOMCEG</v>
      </c>
      <c r="X898" t="str">
        <f>IFERROR(INDEX($AS$7:$AS$89,MATCH(mapPRC!C986,$AR$7:$AR$89,0)),"")</f>
        <v/>
      </c>
    </row>
    <row r="899" spans="23:24" x14ac:dyDescent="0.25">
      <c r="W899" t="str">
        <f>mapPRC!A987</f>
        <v>ZZCOMCEH</v>
      </c>
      <c r="X899" t="str">
        <f>IFERROR(INDEX($AS$7:$AS$89,MATCH(mapPRC!C987,$AR$7:$AR$89,0)),"")</f>
        <v/>
      </c>
    </row>
    <row r="900" spans="23:24" x14ac:dyDescent="0.25">
      <c r="W900" t="str">
        <f>mapPRC!A988</f>
        <v>ZZCOMCEK</v>
      </c>
      <c r="X900" t="str">
        <f>IFERROR(INDEX($AS$7:$AS$89,MATCH(mapPRC!C988,$AR$7:$AR$89,0)),"")</f>
        <v/>
      </c>
    </row>
    <row r="901" spans="23:24" x14ac:dyDescent="0.25">
      <c r="W901" t="str">
        <f>mapPRC!A989</f>
        <v>ZZCOMCEL</v>
      </c>
      <c r="X901" t="str">
        <f>IFERROR(INDEX($AS$7:$AS$89,MATCH(mapPRC!C989,$AR$7:$AR$89,0)),"")</f>
        <v/>
      </c>
    </row>
    <row r="902" spans="23:24" x14ac:dyDescent="0.25">
      <c r="W902" t="str">
        <f>mapPRC!A990</f>
        <v>ZZCOMCEO</v>
      </c>
      <c r="X902" t="str">
        <f>IFERROR(INDEX($AS$7:$AS$89,MATCH(mapPRC!C990,$AR$7:$AR$89,0)),"")</f>
        <v/>
      </c>
    </row>
    <row r="903" spans="23:24" x14ac:dyDescent="0.25">
      <c r="W903" t="str">
        <f>mapPRC!A991</f>
        <v>ZZCOMCER</v>
      </c>
      <c r="X903" t="str">
        <f>IFERROR(INDEX($AS$7:$AS$89,MATCH(mapPRC!C991,$AR$7:$AR$89,0)),"")</f>
        <v/>
      </c>
    </row>
    <row r="904" spans="23:24" x14ac:dyDescent="0.25">
      <c r="W904" t="str">
        <f>mapPRC!A992</f>
        <v>ZZCOMCET</v>
      </c>
      <c r="X904" t="str">
        <f>IFERROR(INDEX($AS$7:$AS$89,MATCH(mapPRC!C992,$AR$7:$AR$89,0)),"")</f>
        <v/>
      </c>
    </row>
    <row r="905" spans="23:24" x14ac:dyDescent="0.25">
      <c r="W905" t="str">
        <f>mapPRC!A993</f>
        <v>ZZCOMCEW</v>
      </c>
      <c r="X905" t="str">
        <f>IFERROR(INDEX($AS$7:$AS$89,MATCH(mapPRC!C993,$AR$7:$AR$89,0)),"")</f>
        <v/>
      </c>
    </row>
    <row r="906" spans="23:24" x14ac:dyDescent="0.25">
      <c r="W906" t="str">
        <f>mapPRC!A994</f>
        <v>ZZRHEH</v>
      </c>
      <c r="X906" t="str">
        <f>IFERROR(INDEX($AS$7:$AS$89,MATCH(mapPRC!C994,$AR$7:$AR$89,0)),"")</f>
        <v/>
      </c>
    </row>
    <row r="907" spans="23:24" x14ac:dyDescent="0.25">
      <c r="W907" t="str">
        <f>mapPRC!A995</f>
        <v>ZZRHEK</v>
      </c>
      <c r="X907" t="str">
        <f>IFERROR(INDEX($AS$7:$AS$89,MATCH(mapPRC!C995,$AR$7:$AR$89,0)),"")</f>
        <v/>
      </c>
    </row>
    <row r="908" spans="23:24" x14ac:dyDescent="0.25">
      <c r="W908" t="str">
        <f>mapPRC!A996</f>
        <v>ZZRHEL</v>
      </c>
      <c r="X908" t="str">
        <f>IFERROR(INDEX($AS$7:$AS$89,MATCH(mapPRC!C996,$AR$7:$AR$89,0)),"")</f>
        <v/>
      </c>
    </row>
    <row r="909" spans="23:24" x14ac:dyDescent="0.25">
      <c r="W909" t="str">
        <f>mapPRC!A997</f>
        <v>ZZRHEN</v>
      </c>
      <c r="X909" t="str">
        <f>IFERROR(INDEX($AS$7:$AS$89,MATCH(mapPRC!C997,$AR$7:$AR$89,0)),"")</f>
        <v/>
      </c>
    </row>
    <row r="910" spans="23:24" x14ac:dyDescent="0.25">
      <c r="W910" t="str">
        <f>mapPRC!A998</f>
        <v>ZZRHEO</v>
      </c>
      <c r="X910" t="str">
        <f>IFERROR(INDEX($AS$7:$AS$89,MATCH(mapPRC!C998,$AR$7:$AR$89,0)),"")</f>
        <v/>
      </c>
    </row>
    <row r="911" spans="23:24" x14ac:dyDescent="0.25">
      <c r="W911" t="str">
        <f>mapPRC!A999</f>
        <v>ZZRHER</v>
      </c>
      <c r="X911" t="str">
        <f>IFERROR(INDEX($AS$7:$AS$89,MATCH(mapPRC!C999,$AR$7:$AR$89,0)),"")</f>
        <v/>
      </c>
    </row>
    <row r="912" spans="23:24" x14ac:dyDescent="0.25">
      <c r="W912" t="str">
        <f>mapPRC!A1000</f>
        <v>ZZRHEW</v>
      </c>
      <c r="X912" t="str">
        <f>IFERROR(INDEX($AS$7:$AS$89,MATCH(mapPRC!C1000,$AR$7:$AR$89,0)),"")</f>
        <v/>
      </c>
    </row>
    <row r="913" spans="23:24" x14ac:dyDescent="0.25">
      <c r="W913" t="str">
        <f>mapPRC!A1001</f>
        <v>ZZRHEWG</v>
      </c>
      <c r="X913" t="str">
        <f>IFERROR(INDEX($AS$7:$AS$89,MATCH(mapPRC!C1001,$AR$7:$AR$89,0)),"")</f>
        <v/>
      </c>
    </row>
    <row r="914" spans="23:24" x14ac:dyDescent="0.25">
      <c r="W914" t="str">
        <f>mapPRC!A1002</f>
        <v>ZZRLEH</v>
      </c>
      <c r="X914" t="str">
        <f>IFERROR(INDEX($AS$7:$AS$89,MATCH(mapPRC!C1002,$AR$7:$AR$89,0)),"")</f>
        <v/>
      </c>
    </row>
    <row r="915" spans="23:24" x14ac:dyDescent="0.25">
      <c r="W915" t="str">
        <f>mapPRC!A1003</f>
        <v>ZZRLEK</v>
      </c>
      <c r="X915" t="str">
        <f>IFERROR(INDEX($AS$7:$AS$89,MATCH(mapPRC!C1003,$AR$7:$AR$89,0)),"")</f>
        <v/>
      </c>
    </row>
    <row r="916" spans="23:24" x14ac:dyDescent="0.25">
      <c r="W916" t="str">
        <f>mapPRC!A1004</f>
        <v>ZZRLEL</v>
      </c>
      <c r="X916" t="str">
        <f>IFERROR(INDEX($AS$7:$AS$89,MATCH(mapPRC!C1004,$AR$7:$AR$89,0)),"")</f>
        <v/>
      </c>
    </row>
    <row r="917" spans="23:24" x14ac:dyDescent="0.25">
      <c r="W917" t="str">
        <f>mapPRC!A1005</f>
        <v>ZZRLEN</v>
      </c>
      <c r="X917" t="str">
        <f>IFERROR(INDEX($AS$7:$AS$89,MATCH(mapPRC!C1005,$AR$7:$AR$89,0)),"")</f>
        <v/>
      </c>
    </row>
    <row r="918" spans="23:24" x14ac:dyDescent="0.25">
      <c r="W918" t="str">
        <f>mapPRC!A1006</f>
        <v>ZZRLEO</v>
      </c>
      <c r="X918" t="str">
        <f>IFERROR(INDEX($AS$7:$AS$89,MATCH(mapPRC!C1006,$AR$7:$AR$89,0)),"")</f>
        <v/>
      </c>
    </row>
    <row r="919" spans="23:24" x14ac:dyDescent="0.25">
      <c r="W919" t="str">
        <f>mapPRC!A1007</f>
        <v>ZZRLER</v>
      </c>
      <c r="X919" t="str">
        <f>IFERROR(INDEX($AS$7:$AS$89,MATCH(mapPRC!C1007,$AR$7:$AR$89,0)),"")</f>
        <v/>
      </c>
    </row>
    <row r="920" spans="23:24" x14ac:dyDescent="0.25">
      <c r="W920" t="str">
        <f>mapPRC!A1008</f>
        <v>ZZRLEW</v>
      </c>
      <c r="X920" t="str">
        <f>IFERROR(INDEX($AS$7:$AS$89,MATCH(mapPRC!C1008,$AR$7:$AR$89,0)),"")</f>
        <v/>
      </c>
    </row>
    <row r="921" spans="23:24" x14ac:dyDescent="0.25">
      <c r="W921" t="str">
        <f>mapPRC!A1009</f>
        <v>ZZRLEWG</v>
      </c>
      <c r="X921" t="str">
        <f>IFERROR(INDEX($AS$7:$AS$89,MATCH(mapPRC!C1009,$AR$7:$AR$89,0)),"")</f>
        <v/>
      </c>
    </row>
    <row r="922" spans="23:24" x14ac:dyDescent="0.25">
      <c r="W922" t="str">
        <f>mapPRC!A1010</f>
        <v>ZZRLNH</v>
      </c>
      <c r="X922" t="str">
        <f>IFERROR(INDEX($AS$7:$AS$89,MATCH(mapPRC!C1010,$AR$7:$AR$89,0)),"")</f>
        <v/>
      </c>
    </row>
    <row r="923" spans="23:24" x14ac:dyDescent="0.25">
      <c r="W923" t="str">
        <f>mapPRC!A1011</f>
        <v>ZZRLNK</v>
      </c>
      <c r="X923" t="str">
        <f>IFERROR(INDEX($AS$7:$AS$89,MATCH(mapPRC!C1011,$AR$7:$AR$89,0)),"")</f>
        <v/>
      </c>
    </row>
    <row r="924" spans="23:24" x14ac:dyDescent="0.25">
      <c r="W924" t="str">
        <f>mapPRC!A1012</f>
        <v>ZZRLNL</v>
      </c>
      <c r="X924" t="str">
        <f>IFERROR(INDEX($AS$7:$AS$89,MATCH(mapPRC!C1012,$AR$7:$AR$89,0)),"")</f>
        <v/>
      </c>
    </row>
    <row r="925" spans="23:24" x14ac:dyDescent="0.25">
      <c r="W925" t="str">
        <f>mapPRC!A1013</f>
        <v>ZZRLNN</v>
      </c>
      <c r="X925" t="str">
        <f>IFERROR(INDEX($AS$7:$AS$89,MATCH(mapPRC!C1013,$AR$7:$AR$89,0)),"")</f>
        <v/>
      </c>
    </row>
    <row r="926" spans="23:24" x14ac:dyDescent="0.25">
      <c r="W926" t="str">
        <f>mapPRC!A1014</f>
        <v>ZZRLNW</v>
      </c>
      <c r="X926" t="str">
        <f>IFERROR(INDEX($AS$7:$AS$89,MATCH(mapPRC!C1014,$AR$7:$AR$89,0)),"")</f>
        <v/>
      </c>
    </row>
    <row r="927" spans="23:24" x14ac:dyDescent="0.25">
      <c r="W927" t="str">
        <f>mapPRC!A1015</f>
        <v>ZZRMEH</v>
      </c>
      <c r="X927" t="str">
        <f>IFERROR(INDEX($AS$7:$AS$89,MATCH(mapPRC!C1015,$AR$7:$AR$89,0)),"")</f>
        <v/>
      </c>
    </row>
    <row r="928" spans="23:24" x14ac:dyDescent="0.25">
      <c r="W928" t="str">
        <f>mapPRC!A1016</f>
        <v>ZZRMEK</v>
      </c>
      <c r="X928" t="str">
        <f>IFERROR(INDEX($AS$7:$AS$89,MATCH(mapPRC!C1016,$AR$7:$AR$89,0)),"")</f>
        <v/>
      </c>
    </row>
    <row r="929" spans="23:24" x14ac:dyDescent="0.25">
      <c r="W929" t="str">
        <f>mapPRC!A1017</f>
        <v>ZZRMEL</v>
      </c>
      <c r="X929" t="str">
        <f>IFERROR(INDEX($AS$7:$AS$89,MATCH(mapPRC!C1017,$AR$7:$AR$89,0)),"")</f>
        <v/>
      </c>
    </row>
    <row r="930" spans="23:24" x14ac:dyDescent="0.25">
      <c r="W930" t="str">
        <f>mapPRC!A1018</f>
        <v>ZZRMEN</v>
      </c>
      <c r="X930" t="str">
        <f>IFERROR(INDEX($AS$7:$AS$89,MATCH(mapPRC!C1018,$AR$7:$AR$89,0)),"")</f>
        <v/>
      </c>
    </row>
    <row r="931" spans="23:24" x14ac:dyDescent="0.25">
      <c r="W931" t="str">
        <f>mapPRC!A1019</f>
        <v>ZZRMEO</v>
      </c>
      <c r="X931" t="str">
        <f>IFERROR(INDEX($AS$7:$AS$89,MATCH(mapPRC!C1019,$AR$7:$AR$89,0)),"")</f>
        <v/>
      </c>
    </row>
    <row r="932" spans="23:24" x14ac:dyDescent="0.25">
      <c r="W932" t="str">
        <f>mapPRC!A1020</f>
        <v>ZZRMER</v>
      </c>
      <c r="X932" t="str">
        <f>IFERROR(INDEX($AS$7:$AS$89,MATCH(mapPRC!C1020,$AR$7:$AR$89,0)),"")</f>
        <v/>
      </c>
    </row>
    <row r="933" spans="23:24" x14ac:dyDescent="0.25">
      <c r="W933" t="str">
        <f>mapPRC!A1021</f>
        <v>ZZRMEW</v>
      </c>
      <c r="X933" t="str">
        <f>IFERROR(INDEX($AS$7:$AS$89,MATCH(mapPRC!C1021,$AR$7:$AR$89,0)),"")</f>
        <v/>
      </c>
    </row>
    <row r="934" spans="23:24" x14ac:dyDescent="0.25">
      <c r="W934" t="str">
        <f>mapPRC!A1022</f>
        <v>ZZRMEWG</v>
      </c>
      <c r="X934" t="str">
        <f>IFERROR(INDEX($AS$7:$AS$89,MATCH(mapPRC!C1022,$AR$7:$AR$89,0)),"")</f>
        <v/>
      </c>
    </row>
    <row r="935" spans="23:24" x14ac:dyDescent="0.25">
      <c r="W935" t="str">
        <f>mapPRC!A1023</f>
        <v>ZZRMNH</v>
      </c>
      <c r="X935" t="str">
        <f>IFERROR(INDEX($AS$7:$AS$89,MATCH(mapPRC!C1023,$AR$7:$AR$89,0)),"")</f>
        <v/>
      </c>
    </row>
    <row r="936" spans="23:24" x14ac:dyDescent="0.25">
      <c r="W936" t="str">
        <f>mapPRC!A1024</f>
        <v>ZZRMNK</v>
      </c>
      <c r="X936" t="str">
        <f>IFERROR(INDEX($AS$7:$AS$89,MATCH(mapPRC!C1024,$AR$7:$AR$89,0)),"")</f>
        <v/>
      </c>
    </row>
    <row r="937" spans="23:24" x14ac:dyDescent="0.25">
      <c r="W937" t="str">
        <f>mapPRC!A1025</f>
        <v>ZZRMNL</v>
      </c>
      <c r="X937" t="str">
        <f>IFERROR(INDEX($AS$7:$AS$89,MATCH(mapPRC!C1025,$AR$7:$AR$89,0)),"")</f>
        <v/>
      </c>
    </row>
    <row r="938" spans="23:24" x14ac:dyDescent="0.25">
      <c r="W938" t="str">
        <f>mapPRC!A1026</f>
        <v>ZZRMNN</v>
      </c>
      <c r="X938" t="str">
        <f>IFERROR(INDEX($AS$7:$AS$89,MATCH(mapPRC!C1026,$AR$7:$AR$89,0)),"")</f>
        <v/>
      </c>
    </row>
    <row r="939" spans="23:24" x14ac:dyDescent="0.25">
      <c r="W939" t="str">
        <f>mapPRC!A1027</f>
        <v>ZZRMNW</v>
      </c>
      <c r="X939" t="str">
        <f>IFERROR(INDEX($AS$7:$AS$89,MATCH(mapPRC!C1027,$AR$7:$AR$89,0)),"")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3416</v>
      </c>
    </row>
    <row r="6" spans="1:27" x14ac:dyDescent="0.25">
      <c r="A6" s="2" t="s">
        <v>3310</v>
      </c>
      <c r="G6" t="s">
        <v>3399</v>
      </c>
      <c r="H6" t="s">
        <v>2449</v>
      </c>
      <c r="I6" t="s">
        <v>3400</v>
      </c>
      <c r="K6" s="2" t="s">
        <v>3399</v>
      </c>
      <c r="L6" t="s">
        <v>2449</v>
      </c>
      <c r="M6" t="s">
        <v>3401</v>
      </c>
      <c r="X6" s="2" t="s">
        <v>2452</v>
      </c>
      <c r="Y6" s="2" t="s">
        <v>3415</v>
      </c>
    </row>
    <row r="7" spans="1:27" x14ac:dyDescent="0.25">
      <c r="B7" t="s">
        <v>3311</v>
      </c>
      <c r="C7" t="s">
        <v>3312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3402</v>
      </c>
      <c r="S7" t="s">
        <v>3403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3404</v>
      </c>
      <c r="S8" t="s">
        <v>3403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3405</v>
      </c>
      <c r="S9" t="s">
        <v>3403</v>
      </c>
      <c r="U9" s="4">
        <f>[1]FTRA!F65</f>
        <v>2.5009999999999999</v>
      </c>
      <c r="X9" t="s">
        <v>2352</v>
      </c>
      <c r="Y9">
        <v>21</v>
      </c>
      <c r="AA9" t="s">
        <v>3420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3406</v>
      </c>
      <c r="S10" t="s">
        <v>3403</v>
      </c>
      <c r="U10" s="4">
        <f>[1]FTRA!F66</f>
        <v>5.0070955734014992</v>
      </c>
      <c r="X10" t="s">
        <v>2341</v>
      </c>
      <c r="Y10">
        <v>23</v>
      </c>
      <c r="AA10" t="s">
        <v>3421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3407</v>
      </c>
      <c r="S11" t="s">
        <v>3403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3408</v>
      </c>
      <c r="S12" t="s">
        <v>3403</v>
      </c>
      <c r="U12" s="4">
        <f>[1]FTRA!F68</f>
        <v>10.886935146339562</v>
      </c>
      <c r="X12" t="s">
        <v>2331</v>
      </c>
      <c r="Y12">
        <v>27</v>
      </c>
      <c r="AA12" t="s">
        <v>3422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3409</v>
      </c>
      <c r="S13" t="s">
        <v>3403</v>
      </c>
      <c r="U13" s="4">
        <f>[1]FTRA!F69</f>
        <v>19.520776457571557</v>
      </c>
      <c r="X13" t="s">
        <v>2305</v>
      </c>
      <c r="Y13">
        <v>24</v>
      </c>
      <c r="AA13" t="s">
        <v>3423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3410</v>
      </c>
      <c r="S14" t="s">
        <v>3403</v>
      </c>
      <c r="U14" s="4">
        <f>[1]FTRA!F70</f>
        <v>17.889918497338776</v>
      </c>
      <c r="X14" t="s">
        <v>1799</v>
      </c>
      <c r="Y14">
        <v>0</v>
      </c>
      <c r="AA14" t="s">
        <v>3428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3411</v>
      </c>
      <c r="S15" t="s">
        <v>3403</v>
      </c>
      <c r="U15" s="4">
        <f>[1]FTRA!F71</f>
        <v>18.402975262404723</v>
      </c>
      <c r="X15" t="s">
        <v>1797</v>
      </c>
      <c r="Y15">
        <v>30</v>
      </c>
      <c r="AA15" t="s">
        <v>3429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3412</v>
      </c>
      <c r="S16" t="s">
        <v>3403</v>
      </c>
      <c r="U16" s="4">
        <f>[1]FTRA!F72</f>
        <v>21.907017031495844</v>
      </c>
      <c r="X16" t="s">
        <v>1791</v>
      </c>
      <c r="Y16">
        <v>30</v>
      </c>
      <c r="AA16" t="s">
        <v>3424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3136</v>
      </c>
      <c r="Y17">
        <v>30</v>
      </c>
      <c r="AA17" t="s">
        <v>3430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3425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3426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3427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3431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3432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3433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3434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3435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3014</v>
      </c>
      <c r="Y26">
        <v>20.52</v>
      </c>
      <c r="AA26" t="s">
        <v>3436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3016</v>
      </c>
      <c r="Y27">
        <v>18.649999999999999</v>
      </c>
      <c r="AA27" t="s">
        <v>3437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3018</v>
      </c>
      <c r="Y28">
        <v>20.78</v>
      </c>
      <c r="AA28" t="s">
        <v>3438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3020</v>
      </c>
      <c r="Y29">
        <v>20.58</v>
      </c>
      <c r="AA29" t="s">
        <v>3439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3022</v>
      </c>
      <c r="Y30">
        <v>20.64</v>
      </c>
      <c r="AA30" t="s">
        <v>3440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3024</v>
      </c>
      <c r="Y31">
        <v>18.48</v>
      </c>
      <c r="AA31" t="s">
        <v>3441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3026</v>
      </c>
      <c r="Y32">
        <v>19.68</v>
      </c>
      <c r="AA32" t="s">
        <v>3442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3028</v>
      </c>
      <c r="Y33">
        <v>20.94</v>
      </c>
      <c r="AA33" t="s">
        <v>3443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3040</v>
      </c>
      <c r="Y34">
        <v>18.5</v>
      </c>
      <c r="AA34" t="s">
        <v>3444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3030</v>
      </c>
      <c r="Y35">
        <v>15.4</v>
      </c>
      <c r="AA35" t="s">
        <v>3445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3032</v>
      </c>
      <c r="Y36">
        <v>18.62</v>
      </c>
      <c r="AA36" t="s">
        <v>3446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3034</v>
      </c>
      <c r="Y37">
        <v>18.690000000000001</v>
      </c>
      <c r="AA37" t="s">
        <v>3447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3036</v>
      </c>
      <c r="Y38">
        <v>19.809999999999999</v>
      </c>
      <c r="AA38" t="s">
        <v>3448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3042</v>
      </c>
      <c r="Y39">
        <v>18.690000000000001</v>
      </c>
      <c r="AA39" t="s">
        <v>3449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3038</v>
      </c>
      <c r="Y40">
        <v>20.350000000000001</v>
      </c>
      <c r="AA40" t="s">
        <v>3450</v>
      </c>
    </row>
    <row r="41" spans="7:27" x14ac:dyDescent="0.25">
      <c r="G41" t="s">
        <v>29</v>
      </c>
      <c r="H41" t="s">
        <v>3103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3044</v>
      </c>
      <c r="Y41">
        <f>Y39</f>
        <v>18.690000000000001</v>
      </c>
      <c r="AA41" t="s">
        <v>3451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3452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3453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3454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3105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3605</v>
      </c>
      <c r="D1" t="s">
        <v>3626</v>
      </c>
      <c r="G1" t="s">
        <v>2449</v>
      </c>
      <c r="H1" t="s">
        <v>2421</v>
      </c>
      <c r="I1" t="s">
        <v>3605</v>
      </c>
      <c r="J1" t="s">
        <v>3741</v>
      </c>
      <c r="N1" t="s">
        <v>43</v>
      </c>
      <c r="O1" t="s">
        <v>43</v>
      </c>
      <c r="P1" t="s">
        <v>3221</v>
      </c>
    </row>
    <row r="2" spans="1:16" x14ac:dyDescent="0.25">
      <c r="A2" t="s">
        <v>1650</v>
      </c>
      <c r="B2" t="s">
        <v>1649</v>
      </c>
      <c r="C2">
        <f>MATCH(A2,mapPRC!A$2:A$1071,0)</f>
        <v>79</v>
      </c>
      <c r="G2" t="s">
        <v>1650</v>
      </c>
      <c r="H2" t="s">
        <v>1649</v>
      </c>
      <c r="I2">
        <f>MATCH(G2,mapPRC!$A$2:$A$1071,0)</f>
        <v>79</v>
      </c>
      <c r="N2" t="s">
        <v>3221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MATCH(A3,mapPRC!A$2:A$1071,0)</f>
        <v>80</v>
      </c>
      <c r="G3" t="s">
        <v>1648</v>
      </c>
      <c r="H3" t="s">
        <v>1647</v>
      </c>
      <c r="I3">
        <f>MATCH(G3,mapPRC!$A$2:$A$1071,0)</f>
        <v>80</v>
      </c>
      <c r="N3" t="s">
        <v>1624</v>
      </c>
      <c r="O3" t="s">
        <v>140</v>
      </c>
      <c r="P3" t="s">
        <v>3614</v>
      </c>
    </row>
    <row r="4" spans="1:16" x14ac:dyDescent="0.25">
      <c r="A4" t="s">
        <v>1646</v>
      </c>
      <c r="B4" t="s">
        <v>1645</v>
      </c>
      <c r="C4">
        <f>MATCH(A4,mapPRC!A$2:A$1071,0)</f>
        <v>81</v>
      </c>
      <c r="G4" t="s">
        <v>1646</v>
      </c>
      <c r="H4" t="s">
        <v>1645</v>
      </c>
      <c r="I4">
        <f>MATCH(G4,mapPRC!$A$2:$A$1071,0)</f>
        <v>81</v>
      </c>
      <c r="N4" t="s">
        <v>3492</v>
      </c>
      <c r="O4" t="s">
        <v>3221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MATCH(A5,mapPRC!A$2:A$1071,0)</f>
        <v>82</v>
      </c>
      <c r="G5" t="s">
        <v>1644</v>
      </c>
      <c r="H5" t="s">
        <v>1643</v>
      </c>
      <c r="I5">
        <f>MATCH(G5,mapPRC!$A$2:$A$1071,0)</f>
        <v>82</v>
      </c>
      <c r="N5" t="s">
        <v>3743</v>
      </c>
      <c r="O5" t="s">
        <v>1624</v>
      </c>
      <c r="P5" t="s">
        <v>2996</v>
      </c>
    </row>
    <row r="6" spans="1:16" x14ac:dyDescent="0.25">
      <c r="A6" t="s">
        <v>1642</v>
      </c>
      <c r="B6" t="s">
        <v>1641</v>
      </c>
      <c r="C6">
        <f>MATCH(A6,mapPRC!A$2:A$1071,0)</f>
        <v>83</v>
      </c>
      <c r="G6" t="s">
        <v>1642</v>
      </c>
      <c r="H6" t="s">
        <v>1641</v>
      </c>
      <c r="I6">
        <f>MATCH(G6,mapPRC!$A$2:$A$1071,0)</f>
        <v>83</v>
      </c>
      <c r="N6" t="s">
        <v>1474</v>
      </c>
      <c r="O6" t="s">
        <v>3072</v>
      </c>
      <c r="P6" t="s">
        <v>2998</v>
      </c>
    </row>
    <row r="7" spans="1:16" x14ac:dyDescent="0.25">
      <c r="A7" t="s">
        <v>1640</v>
      </c>
      <c r="B7" t="s">
        <v>1639</v>
      </c>
      <c r="C7">
        <f>MATCH(A7,mapPRC!A$2:A$1071,0)</f>
        <v>84</v>
      </c>
      <c r="G7" t="s">
        <v>1640</v>
      </c>
      <c r="H7" t="s">
        <v>1639</v>
      </c>
      <c r="I7">
        <f>MATCH(G7,mapPRC!$A$2:$A$1071,0)</f>
        <v>84</v>
      </c>
      <c r="N7" t="s">
        <v>3329</v>
      </c>
      <c r="O7" t="s">
        <v>1473</v>
      </c>
      <c r="P7" t="s">
        <v>2997</v>
      </c>
    </row>
    <row r="8" spans="1:16" x14ac:dyDescent="0.25">
      <c r="A8" t="s">
        <v>1638</v>
      </c>
      <c r="B8" t="s">
        <v>1637</v>
      </c>
      <c r="C8">
        <f>MATCH(A8,mapPRC!A$2:A$1071,0)</f>
        <v>85</v>
      </c>
      <c r="G8" t="s">
        <v>1638</v>
      </c>
      <c r="H8" t="s">
        <v>1637</v>
      </c>
      <c r="I8">
        <f>MATCH(G8,mapPRC!$A$2:$A$1071,0)</f>
        <v>85</v>
      </c>
      <c r="N8" t="s">
        <v>386</v>
      </c>
      <c r="O8" t="s">
        <v>2994</v>
      </c>
      <c r="P8" t="s">
        <v>2999</v>
      </c>
    </row>
    <row r="9" spans="1:16" x14ac:dyDescent="0.25">
      <c r="A9" t="s">
        <v>1636</v>
      </c>
      <c r="B9" t="s">
        <v>1635</v>
      </c>
      <c r="C9">
        <f>MATCH(A9,mapPRC!A$2:A$1071,0)</f>
        <v>86</v>
      </c>
      <c r="G9" t="s">
        <v>1636</v>
      </c>
      <c r="H9" t="s">
        <v>1635</v>
      </c>
      <c r="I9">
        <f>MATCH(G9,mapPRC!$A$2:$A$1071,0)</f>
        <v>86</v>
      </c>
      <c r="N9" t="s">
        <v>960</v>
      </c>
      <c r="O9" t="s">
        <v>2995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MATCH(A10,mapPRC!A$2:A$1071,0)</f>
        <v>87</v>
      </c>
      <c r="G10" t="s">
        <v>1634</v>
      </c>
      <c r="H10" t="s">
        <v>1633</v>
      </c>
      <c r="I10">
        <f>MATCH(G10,mapPRC!$A$2:$A$1071,0)</f>
        <v>87</v>
      </c>
      <c r="N10" t="s">
        <v>3222</v>
      </c>
      <c r="O10" t="s">
        <v>3101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MATCH(A11,mapPRC!A$2:A$1071,0)</f>
        <v>88</v>
      </c>
      <c r="G11" t="s">
        <v>1632</v>
      </c>
      <c r="H11" t="s">
        <v>1631</v>
      </c>
      <c r="I11">
        <f>MATCH(G11,mapPRC!$A$2:$A$1071,0)</f>
        <v>88</v>
      </c>
      <c r="N11" t="s">
        <v>3305</v>
      </c>
      <c r="O11" t="s">
        <v>3102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MATCH(A12,mapPRC!A$2:A$1071,0)</f>
        <v>89</v>
      </c>
      <c r="G12" t="s">
        <v>1630</v>
      </c>
      <c r="H12" t="s">
        <v>1629</v>
      </c>
      <c r="I12">
        <f>MATCH(G12,mapPRC!$A$2:$A$1071,0)</f>
        <v>89</v>
      </c>
      <c r="N12" t="s">
        <v>3315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MATCH(A13,mapPRC!A$2:A$1071,0)</f>
        <v>90</v>
      </c>
      <c r="G13" t="s">
        <v>1628</v>
      </c>
      <c r="H13" t="s">
        <v>1627</v>
      </c>
      <c r="I13">
        <f>MATCH(G13,mapPRC!$A$2:$A$1071,0)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MATCH(A14,mapPRC!A$2:A$1071,0)</f>
        <v>91</v>
      </c>
      <c r="G14" t="s">
        <v>1626</v>
      </c>
      <c r="H14" t="s">
        <v>1625</v>
      </c>
      <c r="I14">
        <f>MATCH(G14,mapPRC!$A$2:$A$1071,0)</f>
        <v>91</v>
      </c>
      <c r="N14" t="s">
        <v>3190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MATCH(A15,mapPRC!A$2:A$1071,0)</f>
        <v>92</v>
      </c>
      <c r="G15" t="s">
        <v>1623</v>
      </c>
      <c r="H15" t="s">
        <v>1578</v>
      </c>
      <c r="I15">
        <f>MATCH(G15,mapPRC!$A$2:$A$1071,0)</f>
        <v>92</v>
      </c>
      <c r="N15" t="s">
        <v>387</v>
      </c>
      <c r="O15" t="s">
        <v>3744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MATCH(A16,mapPRC!A$2:A$1071,0)</f>
        <v>93</v>
      </c>
      <c r="G16" t="s">
        <v>1622</v>
      </c>
      <c r="H16" t="s">
        <v>1576</v>
      </c>
      <c r="I16">
        <f>MATCH(G16,mapPRC!$A$2:$A$1071,0)</f>
        <v>93</v>
      </c>
      <c r="N16" t="s">
        <v>719</v>
      </c>
      <c r="O16" t="s">
        <v>3746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MATCH(A17,mapPRC!A$2:A$1071,0)</f>
        <v>94</v>
      </c>
      <c r="G17" t="s">
        <v>1621</v>
      </c>
      <c r="H17" t="s">
        <v>1574</v>
      </c>
      <c r="I17">
        <f>MATCH(G17,mapPRC!$A$2:$A$1071,0)</f>
        <v>94</v>
      </c>
      <c r="N17" t="s">
        <v>21</v>
      </c>
      <c r="O17" t="s">
        <v>3745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MATCH(A18,mapPRC!A$2:A$1071,0)</f>
        <v>95</v>
      </c>
      <c r="G18" t="s">
        <v>1620</v>
      </c>
      <c r="H18" t="s">
        <v>1572</v>
      </c>
      <c r="I18">
        <f>MATCH(G18,mapPRC!$A$2:$A$1071,0)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MATCH(A19,mapPRC!A$2:A$1071,0)</f>
        <v>96</v>
      </c>
      <c r="G19" t="s">
        <v>1619</v>
      </c>
      <c r="H19" t="s">
        <v>1570</v>
      </c>
      <c r="I19">
        <f>MATCH(G19,mapPRC!$A$2:$A$1071,0)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MATCH(A20,mapPRC!A$2:A$1071,0)</f>
        <v>97</v>
      </c>
      <c r="G20" t="s">
        <v>1618</v>
      </c>
      <c r="H20" t="s">
        <v>1568</v>
      </c>
      <c r="I20">
        <f>MATCH(G20,mapPRC!$A$2:$A$1071,0)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MATCH(A21,mapPRC!A$2:A$1071,0)</f>
        <v>98</v>
      </c>
      <c r="G21" t="s">
        <v>1617</v>
      </c>
      <c r="H21" t="s">
        <v>1566</v>
      </c>
      <c r="I21">
        <f>MATCH(G21,mapPRC!$A$2:$A$1071,0)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MATCH(A22,mapPRC!A$2:A$1071,0)</f>
        <v>99</v>
      </c>
      <c r="G22" t="s">
        <v>1616</v>
      </c>
      <c r="H22" t="s">
        <v>1564</v>
      </c>
      <c r="I22">
        <f>MATCH(G22,mapPRC!$A$2:$A$1071,0)</f>
        <v>99</v>
      </c>
      <c r="O22" t="s">
        <v>3150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MATCH(A23,mapPRC!A$2:A$1071,0)</f>
        <v>100</v>
      </c>
      <c r="G23" t="s">
        <v>1615</v>
      </c>
      <c r="H23" t="s">
        <v>1562</v>
      </c>
      <c r="I23">
        <f>MATCH(G23,mapPRC!$A$2:$A$1071,0)</f>
        <v>100</v>
      </c>
      <c r="O23" t="s">
        <v>3622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MATCH(A24,mapPRC!A$2:A$1071,0)</f>
        <v>101</v>
      </c>
      <c r="G24" t="s">
        <v>1614</v>
      </c>
      <c r="H24" t="s">
        <v>1560</v>
      </c>
      <c r="I24">
        <f>MATCH(G24,mapPRC!$A$2:$A$1071,0)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MATCH(A25,mapPRC!A$2:A$1071,0)</f>
        <v>102</v>
      </c>
      <c r="G25" t="s">
        <v>1613</v>
      </c>
      <c r="H25" t="s">
        <v>1558</v>
      </c>
      <c r="I25">
        <f>MATCH(G25,mapPRC!$A$2:$A$1071,0)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MATCH(A26,mapPRC!A$2:A$1071,0)</f>
        <v>103</v>
      </c>
      <c r="G26" t="s">
        <v>1612</v>
      </c>
      <c r="H26" t="s">
        <v>1556</v>
      </c>
      <c r="I26">
        <f>MATCH(G26,mapPRC!$A$2:$A$1071,0)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MATCH(A27,mapPRC!A$2:A$1071,0)</f>
        <v>104</v>
      </c>
      <c r="G27" t="s">
        <v>1611</v>
      </c>
      <c r="H27" t="s">
        <v>1553</v>
      </c>
      <c r="I27">
        <f>MATCH(G27,mapPRC!$A$2:$A$1071,0)</f>
        <v>104</v>
      </c>
      <c r="O27" t="s">
        <v>3607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MATCH(A28,mapPRC!A$2:A$1071,0)</f>
        <v>105</v>
      </c>
      <c r="G28" t="s">
        <v>1610</v>
      </c>
      <c r="H28" t="s">
        <v>1551</v>
      </c>
      <c r="I28">
        <f>MATCH(G28,mapPRC!$A$2:$A$1071,0)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MATCH(A29,mapPRC!A$2:A$1071,0)</f>
        <v>106</v>
      </c>
      <c r="G29" t="s">
        <v>1609</v>
      </c>
      <c r="H29" t="s">
        <v>1549</v>
      </c>
      <c r="I29">
        <f>MATCH(G29,mapPRC!$A$2:$A$1071,0)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MATCH(A30,mapPRC!A$2:A$1071,0)</f>
        <v>107</v>
      </c>
      <c r="G30" t="s">
        <v>1608</v>
      </c>
      <c r="H30" t="s">
        <v>1547</v>
      </c>
      <c r="I30">
        <f>MATCH(G30,mapPRC!$A$2:$A$1071,0)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MATCH(A31,mapPRC!A$2:A$1071,0)</f>
        <v>108</v>
      </c>
      <c r="G31" t="s">
        <v>1607</v>
      </c>
      <c r="H31" t="s">
        <v>1545</v>
      </c>
      <c r="I31">
        <f>MATCH(G31,mapPRC!$A$2:$A$1071,0)</f>
        <v>108</v>
      </c>
      <c r="O31" t="s">
        <v>3609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MATCH(A32,mapPRC!A$2:A$1071,0)</f>
        <v>109</v>
      </c>
      <c r="G32" t="s">
        <v>1606</v>
      </c>
      <c r="H32" t="s">
        <v>1543</v>
      </c>
      <c r="I32">
        <f>MATCH(G32,mapPRC!$A$2:$A$1071,0)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MATCH(A33,mapPRC!A$2:A$1071,0)</f>
        <v>110</v>
      </c>
      <c r="G33" t="s">
        <v>1605</v>
      </c>
      <c r="H33" t="s">
        <v>1541</v>
      </c>
      <c r="I33">
        <f>MATCH(G33,mapPRC!$A$2:$A$1071,0)</f>
        <v>110</v>
      </c>
      <c r="O33" t="s">
        <v>3610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MATCH(A34,mapPRC!A$2:A$1071,0)</f>
        <v>111</v>
      </c>
      <c r="G34" t="s">
        <v>1604</v>
      </c>
      <c r="H34" t="s">
        <v>1539</v>
      </c>
      <c r="I34">
        <f>MATCH(G34,mapPRC!$A$2:$A$1071,0)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MATCH(A35,mapPRC!A$2:A$1071,0)</f>
        <v>112</v>
      </c>
      <c r="G35" t="s">
        <v>1603</v>
      </c>
      <c r="H35" t="s">
        <v>1537</v>
      </c>
      <c r="I35">
        <f>MATCH(G35,mapPRC!$A$2:$A$1071,0)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MATCH(A36,mapPRC!A$2:A$1071,0)</f>
        <v>113</v>
      </c>
      <c r="G36" t="s">
        <v>1602</v>
      </c>
      <c r="H36" t="s">
        <v>1535</v>
      </c>
      <c r="I36">
        <f>MATCH(G36,mapPRC!$A$2:$A$1071,0)</f>
        <v>113</v>
      </c>
      <c r="O36" t="s">
        <v>1468</v>
      </c>
      <c r="P36" t="s">
        <v>3744</v>
      </c>
    </row>
    <row r="37" spans="1:16" x14ac:dyDescent="0.25">
      <c r="A37" t="s">
        <v>1601</v>
      </c>
      <c r="B37" t="s">
        <v>1533</v>
      </c>
      <c r="C37">
        <f>MATCH(A37,mapPRC!A$2:A$1071,0)</f>
        <v>114</v>
      </c>
      <c r="G37" t="s">
        <v>1601</v>
      </c>
      <c r="H37" t="s">
        <v>1533</v>
      </c>
      <c r="I37">
        <f>MATCH(G37,mapPRC!$A$2:$A$1071,0)</f>
        <v>114</v>
      </c>
      <c r="O37" t="s">
        <v>1414</v>
      </c>
      <c r="P37" t="s">
        <v>3746</v>
      </c>
    </row>
    <row r="38" spans="1:16" x14ac:dyDescent="0.25">
      <c r="A38" t="s">
        <v>1600</v>
      </c>
      <c r="B38" t="s">
        <v>1531</v>
      </c>
      <c r="C38">
        <f>MATCH(A38,mapPRC!A$2:A$1071,0)</f>
        <v>115</v>
      </c>
      <c r="G38" t="s">
        <v>1600</v>
      </c>
      <c r="H38" t="s">
        <v>1531</v>
      </c>
      <c r="I38">
        <f>MATCH(G38,mapPRC!$A$2:$A$1071,0)</f>
        <v>115</v>
      </c>
      <c r="O38" t="s">
        <v>1298</v>
      </c>
      <c r="P38" t="s">
        <v>3745</v>
      </c>
    </row>
    <row r="39" spans="1:16" x14ac:dyDescent="0.25">
      <c r="A39" t="s">
        <v>1599</v>
      </c>
      <c r="B39" t="s">
        <v>1529</v>
      </c>
      <c r="C39">
        <f>MATCH(A39,mapPRC!A$2:A$1071,0)</f>
        <v>116</v>
      </c>
      <c r="G39" t="s">
        <v>1599</v>
      </c>
      <c r="H39" t="s">
        <v>1529</v>
      </c>
      <c r="I39">
        <f>MATCH(G39,mapPRC!$A$2:$A$1071,0)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MATCH(A40,mapPRC!A$2:A$1071,0)</f>
        <v>117</v>
      </c>
      <c r="G40" t="s">
        <v>1598</v>
      </c>
      <c r="H40" t="s">
        <v>1527</v>
      </c>
      <c r="I40">
        <f>MATCH(G40,mapPRC!$A$2:$A$1071,0)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MATCH(A41,mapPRC!A$2:A$1071,0)</f>
        <v>118</v>
      </c>
      <c r="G41" t="s">
        <v>1597</v>
      </c>
      <c r="H41" t="s">
        <v>1525</v>
      </c>
      <c r="I41">
        <f>MATCH(G41,mapPRC!$A$2:$A$1071,0)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MATCH(A42,mapPRC!A$2:A$1071,0)</f>
        <v>119</v>
      </c>
      <c r="G42" t="s">
        <v>1596</v>
      </c>
      <c r="H42" t="s">
        <v>1523</v>
      </c>
      <c r="I42">
        <f>MATCH(G42,mapPRC!$A$2:$A$1071,0)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MATCH(A43,mapPRC!A$2:A$1071,0)</f>
        <v>120</v>
      </c>
      <c r="G43" t="s">
        <v>1595</v>
      </c>
      <c r="H43" t="s">
        <v>1521</v>
      </c>
      <c r="I43">
        <f>MATCH(G43,mapPRC!$A$2:$A$1071,0)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MATCH(A44,mapPRC!A$2:A$1071,0)</f>
        <v>121</v>
      </c>
      <c r="G44" t="s">
        <v>1594</v>
      </c>
      <c r="H44" t="s">
        <v>1519</v>
      </c>
      <c r="I44">
        <f>MATCH(G44,mapPRC!$A$2:$A$1071,0)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MATCH(A45,mapPRC!A$2:A$1071,0)</f>
        <v>122</v>
      </c>
      <c r="G45" t="s">
        <v>1593</v>
      </c>
      <c r="H45" t="s">
        <v>1517</v>
      </c>
      <c r="I45">
        <f>MATCH(G45,mapPRC!$A$2:$A$1071,0)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MATCH(A46,mapPRC!A$2:A$1071,0)</f>
        <v>123</v>
      </c>
      <c r="G46" t="s">
        <v>1592</v>
      </c>
      <c r="H46" t="s">
        <v>1515</v>
      </c>
      <c r="I46">
        <f>MATCH(G46,mapPRC!$A$2:$A$1071,0)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MATCH(A47,mapPRC!A$2:A$1071,0)</f>
        <v>124</v>
      </c>
      <c r="G47" t="s">
        <v>1591</v>
      </c>
      <c r="H47" t="s">
        <v>1513</v>
      </c>
      <c r="I47">
        <f>MATCH(G47,mapPRC!$A$2:$A$1071,0)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MATCH(A48,mapPRC!A$2:A$1071,0)</f>
        <v>125</v>
      </c>
      <c r="G48" t="s">
        <v>1590</v>
      </c>
      <c r="H48" t="s">
        <v>1511</v>
      </c>
      <c r="I48">
        <f>MATCH(G48,mapPRC!$A$2:$A$1071,0)</f>
        <v>125</v>
      </c>
      <c r="O48" t="s">
        <v>1235</v>
      </c>
      <c r="P48" t="s">
        <v>3622</v>
      </c>
    </row>
    <row r="49" spans="1:16" x14ac:dyDescent="0.25">
      <c r="A49" t="s">
        <v>1589</v>
      </c>
      <c r="B49" t="s">
        <v>1509</v>
      </c>
      <c r="C49">
        <f>MATCH(A49,mapPRC!A$2:A$1071,0)</f>
        <v>126</v>
      </c>
      <c r="G49" t="s">
        <v>1589</v>
      </c>
      <c r="H49" t="s">
        <v>1509</v>
      </c>
      <c r="I49">
        <f>MATCH(G49,mapPRC!$A$2:$A$1071,0)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MATCH(A50,mapPRC!A$2:A$1071,0)</f>
        <v>127</v>
      </c>
      <c r="G50" t="s">
        <v>1588</v>
      </c>
      <c r="H50" t="s">
        <v>1507</v>
      </c>
      <c r="I50">
        <f>MATCH(G50,mapPRC!$A$2:$A$1071,0)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MATCH(A51,mapPRC!A$2:A$1071,0)</f>
        <v>128</v>
      </c>
      <c r="G51" t="s">
        <v>1587</v>
      </c>
      <c r="H51" t="s">
        <v>1504</v>
      </c>
      <c r="I51">
        <f>MATCH(G51,mapPRC!$A$2:$A$1071,0)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MATCH(A52,mapPRC!A$2:A$1071,0)</f>
        <v>129</v>
      </c>
      <c r="G52" t="s">
        <v>1586</v>
      </c>
      <c r="H52" t="s">
        <v>1502</v>
      </c>
      <c r="I52">
        <f>MATCH(G52,mapPRC!$A$2:$A$1071,0)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MATCH(A53,mapPRC!A$2:A$1071,0)</f>
        <v>130</v>
      </c>
      <c r="G53" t="s">
        <v>1584</v>
      </c>
      <c r="H53" t="s">
        <v>1498</v>
      </c>
      <c r="I53">
        <f>MATCH(G53,mapPRC!$A$2:$A$1071,0)</f>
        <v>130</v>
      </c>
      <c r="O53" t="s">
        <v>3318</v>
      </c>
      <c r="P53" t="s">
        <v>3465</v>
      </c>
    </row>
    <row r="54" spans="1:16" x14ac:dyDescent="0.25">
      <c r="A54" t="s">
        <v>1585</v>
      </c>
      <c r="B54" t="s">
        <v>1500</v>
      </c>
      <c r="C54">
        <f>MATCH(A54,mapPRC!A$2:A$1071,0)</f>
        <v>131</v>
      </c>
      <c r="G54" t="s">
        <v>1585</v>
      </c>
      <c r="H54" t="s">
        <v>1500</v>
      </c>
      <c r="I54">
        <f>MATCH(G54,mapPRC!$A$2:$A$1071,0)</f>
        <v>131</v>
      </c>
      <c r="O54" t="s">
        <v>830</v>
      </c>
      <c r="P54" t="s">
        <v>3464</v>
      </c>
    </row>
    <row r="55" spans="1:16" x14ac:dyDescent="0.25">
      <c r="A55" t="s">
        <v>1583</v>
      </c>
      <c r="B55" t="s">
        <v>1496</v>
      </c>
      <c r="C55">
        <f>MATCH(A55,mapPRC!A$2:A$1071,0)</f>
        <v>132</v>
      </c>
      <c r="G55" t="s">
        <v>1583</v>
      </c>
      <c r="H55" t="s">
        <v>1496</v>
      </c>
      <c r="I55">
        <f>MATCH(G55,mapPRC!$A$2:$A$1071,0)</f>
        <v>132</v>
      </c>
      <c r="O55" t="s">
        <v>3319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MATCH(A56,mapPRC!A$2:A$1071,0)</f>
        <v>133</v>
      </c>
      <c r="G56" t="s">
        <v>1582</v>
      </c>
      <c r="H56" t="s">
        <v>1494</v>
      </c>
      <c r="I56">
        <f>MATCH(G56,mapPRC!$A$2:$A$1071,0)</f>
        <v>133</v>
      </c>
      <c r="O56" t="s">
        <v>3320</v>
      </c>
      <c r="P56" t="s">
        <v>3606</v>
      </c>
    </row>
    <row r="57" spans="1:16" x14ac:dyDescent="0.25">
      <c r="A57" t="s">
        <v>1581</v>
      </c>
      <c r="B57" t="s">
        <v>1492</v>
      </c>
      <c r="C57">
        <f>MATCH(A57,mapPRC!A$2:A$1071,0)</f>
        <v>134</v>
      </c>
      <c r="G57" t="s">
        <v>1581</v>
      </c>
      <c r="H57" t="s">
        <v>1492</v>
      </c>
      <c r="I57">
        <f>MATCH(G57,mapPRC!$A$2:$A$1071,0)</f>
        <v>134</v>
      </c>
      <c r="O57" t="s">
        <v>3321</v>
      </c>
      <c r="P57" t="s">
        <v>3469</v>
      </c>
    </row>
    <row r="58" spans="1:16" x14ac:dyDescent="0.25">
      <c r="A58" t="s">
        <v>1579</v>
      </c>
      <c r="B58" t="s">
        <v>1578</v>
      </c>
      <c r="C58">
        <f>MATCH(A58,mapPRC!A$2:A$1071,0)</f>
        <v>135</v>
      </c>
      <c r="G58" t="s">
        <v>1579</v>
      </c>
      <c r="H58" t="s">
        <v>1578</v>
      </c>
      <c r="I58">
        <f>MATCH(G58,mapPRC!$A$2:$A$1071,0)</f>
        <v>135</v>
      </c>
      <c r="O58" t="s">
        <v>3322</v>
      </c>
      <c r="P58" t="s">
        <v>3470</v>
      </c>
    </row>
    <row r="59" spans="1:16" x14ac:dyDescent="0.25">
      <c r="A59" t="s">
        <v>1577</v>
      </c>
      <c r="B59" t="s">
        <v>1576</v>
      </c>
      <c r="C59">
        <f>MATCH(A59,mapPRC!A$2:A$1071,0)</f>
        <v>136</v>
      </c>
      <c r="G59" t="s">
        <v>1577</v>
      </c>
      <c r="H59" t="s">
        <v>1576</v>
      </c>
      <c r="I59">
        <f>MATCH(G59,mapPRC!$A$2:$A$1071,0)</f>
        <v>136</v>
      </c>
      <c r="O59" t="s">
        <v>3323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MATCH(A60,mapPRC!A$2:A$1071,0)</f>
        <v>137</v>
      </c>
      <c r="G60" t="s">
        <v>1575</v>
      </c>
      <c r="H60" t="s">
        <v>1574</v>
      </c>
      <c r="I60">
        <f>MATCH(G60,mapPRC!$A$2:$A$1071,0)</f>
        <v>137</v>
      </c>
      <c r="O60" t="s">
        <v>3324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MATCH(A61,mapPRC!A$2:A$1071,0)</f>
        <v>138</v>
      </c>
      <c r="G61" t="s">
        <v>1573</v>
      </c>
      <c r="H61" t="s">
        <v>1572</v>
      </c>
      <c r="I61">
        <f>MATCH(G61,mapPRC!$A$2:$A$1071,0)</f>
        <v>138</v>
      </c>
      <c r="O61" t="s">
        <v>3325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MATCH(A62,mapPRC!A$2:A$1071,0)</f>
        <v>139</v>
      </c>
      <c r="G62" t="s">
        <v>1571</v>
      </c>
      <c r="H62" t="s">
        <v>1570</v>
      </c>
      <c r="I62">
        <f>MATCH(G62,mapPRC!$A$2:$A$1071,0)</f>
        <v>139</v>
      </c>
      <c r="O62" t="s">
        <v>3326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MATCH(A63,mapPRC!A$2:A$1071,0)</f>
        <v>140</v>
      </c>
      <c r="G63" t="s">
        <v>1569</v>
      </c>
      <c r="H63" t="s">
        <v>1568</v>
      </c>
      <c r="I63">
        <f>MATCH(G63,mapPRC!$A$2:$A$1071,0)</f>
        <v>140</v>
      </c>
      <c r="O63" t="s">
        <v>3327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MATCH(A64,mapPRC!A$2:A$1071,0)</f>
        <v>141</v>
      </c>
      <c r="G64" t="s">
        <v>1567</v>
      </c>
      <c r="H64" t="s">
        <v>1566</v>
      </c>
      <c r="I64">
        <f>MATCH(G64,mapPRC!$A$2:$A$1071,0)</f>
        <v>141</v>
      </c>
      <c r="O64" t="s">
        <v>3328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MATCH(A65,mapPRC!A$2:A$1071,0)</f>
        <v>142</v>
      </c>
      <c r="G65" t="s">
        <v>1565</v>
      </c>
      <c r="H65" t="s">
        <v>1564</v>
      </c>
      <c r="I65">
        <f>MATCH(G65,mapPRC!$A$2:$A$1071,0)</f>
        <v>142</v>
      </c>
      <c r="O65" t="s">
        <v>3613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MATCH(A66,mapPRC!A$2:A$1071,0)</f>
        <v>143</v>
      </c>
      <c r="G66" t="s">
        <v>1563</v>
      </c>
      <c r="H66" t="s">
        <v>1562</v>
      </c>
      <c r="I66">
        <f>MATCH(G66,mapPRC!$A$2:$A$1071,0)</f>
        <v>143</v>
      </c>
      <c r="O66" t="s">
        <v>3612</v>
      </c>
      <c r="P66" t="s">
        <v>3608</v>
      </c>
    </row>
    <row r="67" spans="1:16" x14ac:dyDescent="0.25">
      <c r="A67" t="s">
        <v>1561</v>
      </c>
      <c r="B67" t="s">
        <v>1560</v>
      </c>
      <c r="C67">
        <f>MATCH(A67,mapPRC!A$2:A$1071,0)</f>
        <v>144</v>
      </c>
      <c r="G67" t="s">
        <v>1561</v>
      </c>
      <c r="H67" t="s">
        <v>1560</v>
      </c>
      <c r="I67">
        <f>MATCH(G67,mapPRC!$A$2:$A$1071,0)</f>
        <v>144</v>
      </c>
      <c r="O67" t="s">
        <v>3625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MATCH(A68,mapPRC!A$2:A$1071,0)</f>
        <v>145</v>
      </c>
      <c r="G68" t="s">
        <v>1559</v>
      </c>
      <c r="H68" t="s">
        <v>1558</v>
      </c>
      <c r="I68">
        <f>MATCH(G68,mapPRC!$A$2:$A$1071,0)</f>
        <v>145</v>
      </c>
      <c r="O68" t="s">
        <v>3473</v>
      </c>
      <c r="P68" t="s">
        <v>3611</v>
      </c>
    </row>
    <row r="69" spans="1:16" x14ac:dyDescent="0.25">
      <c r="A69" t="s">
        <v>1557</v>
      </c>
      <c r="B69" t="s">
        <v>1556</v>
      </c>
      <c r="C69">
        <f>MATCH(A69,mapPRC!A$2:A$1071,0)</f>
        <v>146</v>
      </c>
      <c r="G69" t="s">
        <v>1557</v>
      </c>
      <c r="H69" t="s">
        <v>1556</v>
      </c>
      <c r="I69">
        <f>MATCH(G69,mapPRC!$A$2:$A$1071,0)</f>
        <v>146</v>
      </c>
      <c r="O69" t="s">
        <v>3474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MATCH(A70,mapPRC!A$2:A$1071,0)</f>
        <v>147</v>
      </c>
      <c r="G70" t="s">
        <v>1554</v>
      </c>
      <c r="H70" t="s">
        <v>1553</v>
      </c>
      <c r="I70">
        <f>MATCH(G70,mapPRC!$A$2:$A$1071,0)</f>
        <v>147</v>
      </c>
      <c r="O70" t="s">
        <v>3475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MATCH(A71,mapPRC!A$2:A$1071,0)</f>
        <v>148</v>
      </c>
      <c r="G71" t="s">
        <v>1552</v>
      </c>
      <c r="H71" t="s">
        <v>1551</v>
      </c>
      <c r="I71">
        <f>MATCH(G71,mapPRC!$A$2:$A$1071,0)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MATCH(A72,mapPRC!A$2:A$1071,0)</f>
        <v>149</v>
      </c>
      <c r="G72" t="s">
        <v>1550</v>
      </c>
      <c r="H72" t="s">
        <v>1549</v>
      </c>
      <c r="I72">
        <f>MATCH(G72,mapPRC!$A$2:$A$1071,0)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MATCH(A73,mapPRC!A$2:A$1071,0)</f>
        <v>150</v>
      </c>
      <c r="G73" t="s">
        <v>1548</v>
      </c>
      <c r="H73" t="s">
        <v>1547</v>
      </c>
      <c r="I73">
        <f>MATCH(G73,mapPRC!$A$2:$A$1071,0)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MATCH(A74,mapPRC!A$2:A$1071,0)</f>
        <v>151</v>
      </c>
      <c r="G74" t="s">
        <v>1546</v>
      </c>
      <c r="H74" t="s">
        <v>1545</v>
      </c>
      <c r="I74">
        <f>MATCH(G74,mapPRC!$A$2:$A$1071,0)</f>
        <v>151</v>
      </c>
      <c r="O74" t="s">
        <v>3222</v>
      </c>
      <c r="P74" t="s">
        <v>3463</v>
      </c>
    </row>
    <row r="75" spans="1:16" x14ac:dyDescent="0.25">
      <c r="A75" t="s">
        <v>1544</v>
      </c>
      <c r="B75" t="s">
        <v>1543</v>
      </c>
      <c r="C75">
        <f>MATCH(A75,mapPRC!A$2:A$1071,0)</f>
        <v>152</v>
      </c>
      <c r="G75" t="s">
        <v>1544</v>
      </c>
      <c r="H75" t="s">
        <v>1543</v>
      </c>
      <c r="I75">
        <f>MATCH(G75,mapPRC!$A$2:$A$1071,0)</f>
        <v>152</v>
      </c>
      <c r="O75" t="s">
        <v>3316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MATCH(A76,mapPRC!A$2:A$1071,0)</f>
        <v>153</v>
      </c>
      <c r="G76" t="s">
        <v>1542</v>
      </c>
      <c r="H76" t="s">
        <v>1541</v>
      </c>
      <c r="I76">
        <f>MATCH(G76,mapPRC!$A$2:$A$1071,0)</f>
        <v>153</v>
      </c>
      <c r="O76" t="s">
        <v>778</v>
      </c>
      <c r="P76" t="s">
        <v>3397</v>
      </c>
    </row>
    <row r="77" spans="1:16" x14ac:dyDescent="0.25">
      <c r="A77" t="s">
        <v>1540</v>
      </c>
      <c r="B77" t="s">
        <v>1539</v>
      </c>
      <c r="C77">
        <f>MATCH(A77,mapPRC!A$2:A$1071,0)</f>
        <v>154</v>
      </c>
      <c r="G77" t="s">
        <v>1540</v>
      </c>
      <c r="H77" t="s">
        <v>1539</v>
      </c>
      <c r="I77">
        <f>MATCH(G77,mapPRC!$A$2:$A$1071,0)</f>
        <v>154</v>
      </c>
      <c r="O77" t="s">
        <v>3317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MATCH(A78,mapPRC!A$2:A$1071,0)</f>
        <v>155</v>
      </c>
      <c r="G78" t="s">
        <v>1538</v>
      </c>
      <c r="H78" t="s">
        <v>1537</v>
      </c>
      <c r="I78">
        <f>MATCH(G78,mapPRC!$A$2:$A$1071,0)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MATCH(A79,mapPRC!A$2:A$1071,0)</f>
        <v>156</v>
      </c>
      <c r="G79" t="s">
        <v>1536</v>
      </c>
      <c r="H79" t="s">
        <v>1535</v>
      </c>
      <c r="I79">
        <f>MATCH(G79,mapPRC!$A$2:$A$1071,0)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MATCH(A80,mapPRC!A$2:A$1071,0)</f>
        <v>157</v>
      </c>
      <c r="G80" t="s">
        <v>1534</v>
      </c>
      <c r="H80" t="s">
        <v>1533</v>
      </c>
      <c r="I80">
        <f>MATCH(G80,mapPRC!$A$2:$A$1071,0)</f>
        <v>157</v>
      </c>
      <c r="O80" t="s">
        <v>1064</v>
      </c>
      <c r="P80" t="s">
        <v>3615</v>
      </c>
    </row>
    <row r="81" spans="1:16" x14ac:dyDescent="0.25">
      <c r="A81" t="s">
        <v>1532</v>
      </c>
      <c r="B81" t="s">
        <v>1531</v>
      </c>
      <c r="C81">
        <f>MATCH(A81,mapPRC!A$2:A$1071,0)</f>
        <v>158</v>
      </c>
      <c r="G81" t="s">
        <v>1532</v>
      </c>
      <c r="H81" t="s">
        <v>1531</v>
      </c>
      <c r="I81">
        <f>MATCH(G81,mapPRC!$A$2:$A$1071,0)</f>
        <v>158</v>
      </c>
      <c r="O81" t="s">
        <v>3618</v>
      </c>
      <c r="P81" t="s">
        <v>3742</v>
      </c>
    </row>
    <row r="82" spans="1:16" x14ac:dyDescent="0.25">
      <c r="A82" t="s">
        <v>1530</v>
      </c>
      <c r="B82" t="s">
        <v>1529</v>
      </c>
      <c r="C82">
        <f>MATCH(A82,mapPRC!A$2:A$1071,0)</f>
        <v>159</v>
      </c>
      <c r="G82" t="s">
        <v>1530</v>
      </c>
      <c r="H82" t="s">
        <v>1529</v>
      </c>
      <c r="I82">
        <f>MATCH(G82,mapPRC!$A$2:$A$1071,0)</f>
        <v>159</v>
      </c>
      <c r="O82" t="s">
        <v>3617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MATCH(A83,mapPRC!A$2:A$1071,0)</f>
        <v>160</v>
      </c>
      <c r="G83" t="s">
        <v>1528</v>
      </c>
      <c r="H83" t="s">
        <v>1527</v>
      </c>
      <c r="I83">
        <f>MATCH(G83,mapPRC!$A$2:$A$1071,0)</f>
        <v>160</v>
      </c>
      <c r="O83" t="s">
        <v>3305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MATCH(A84,mapPRC!A$2:A$1071,0)</f>
        <v>161</v>
      </c>
      <c r="G84" t="s">
        <v>1526</v>
      </c>
      <c r="H84" t="s">
        <v>1525</v>
      </c>
      <c r="I84">
        <f>MATCH(G84,mapPRC!$A$2:$A$1071,0)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MATCH(A85,mapPRC!A$2:A$1071,0)</f>
        <v>162</v>
      </c>
      <c r="G85" t="s">
        <v>1524</v>
      </c>
      <c r="H85" t="s">
        <v>1523</v>
      </c>
      <c r="I85">
        <f>MATCH(G85,mapPRC!$A$2:$A$1071,0)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MATCH(A86,mapPRC!A$2:A$1071,0)</f>
        <v>163</v>
      </c>
      <c r="G86" t="s">
        <v>1522</v>
      </c>
      <c r="H86" t="s">
        <v>1521</v>
      </c>
      <c r="I86">
        <f>MATCH(G86,mapPRC!$A$2:$A$1071,0)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MATCH(A87,mapPRC!A$2:A$1071,0)</f>
        <v>164</v>
      </c>
      <c r="G87" t="s">
        <v>1520</v>
      </c>
      <c r="H87" t="s">
        <v>1519</v>
      </c>
      <c r="I87">
        <f>MATCH(G87,mapPRC!$A$2:$A$1071,0)</f>
        <v>164</v>
      </c>
      <c r="O87" t="s">
        <v>3190</v>
      </c>
      <c r="P87" t="s">
        <v>3621</v>
      </c>
    </row>
    <row r="88" spans="1:16" x14ac:dyDescent="0.25">
      <c r="A88" t="s">
        <v>1518</v>
      </c>
      <c r="B88" t="s">
        <v>1517</v>
      </c>
      <c r="C88">
        <f>MATCH(A88,mapPRC!A$2:A$1071,0)</f>
        <v>165</v>
      </c>
      <c r="G88" t="s">
        <v>1518</v>
      </c>
      <c r="H88" t="s">
        <v>1517</v>
      </c>
      <c r="I88">
        <f>MATCH(G88,mapPRC!$A$2:$A$1071,0)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MATCH(A89,mapPRC!A$2:A$1071,0)</f>
        <v>166</v>
      </c>
      <c r="G89" t="s">
        <v>1516</v>
      </c>
      <c r="H89" t="s">
        <v>1515</v>
      </c>
      <c r="I89">
        <f>MATCH(G89,mapPRC!$A$2:$A$1071,0)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MATCH(A90,mapPRC!A$2:A$1071,0)</f>
        <v>167</v>
      </c>
      <c r="G90" t="s">
        <v>1514</v>
      </c>
      <c r="H90" t="s">
        <v>1513</v>
      </c>
      <c r="I90">
        <f>MATCH(G90,mapPRC!$A$2:$A$1071,0)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MATCH(A91,mapPRC!A$2:A$1071,0)</f>
        <v>168</v>
      </c>
      <c r="G91" t="s">
        <v>1512</v>
      </c>
      <c r="H91" t="s">
        <v>1511</v>
      </c>
      <c r="I91">
        <f>MATCH(G91,mapPRC!$A$2:$A$1071,0)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MATCH(A92,mapPRC!A$2:A$1071,0)</f>
        <v>169</v>
      </c>
      <c r="G92" t="s">
        <v>1510</v>
      </c>
      <c r="H92" t="s">
        <v>1509</v>
      </c>
      <c r="I92">
        <f>MATCH(G92,mapPRC!$A$2:$A$1071,0)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MATCH(A93,mapPRC!A$2:A$1071,0)</f>
        <v>170</v>
      </c>
      <c r="G93" t="s">
        <v>1508</v>
      </c>
      <c r="H93" t="s">
        <v>1507</v>
      </c>
      <c r="I93">
        <f>MATCH(G93,mapPRC!$A$2:$A$1071,0)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MATCH(A94,mapPRC!A$2:A$1071,0)</f>
        <v>171</v>
      </c>
      <c r="G94" t="s">
        <v>1505</v>
      </c>
      <c r="H94" t="s">
        <v>1504</v>
      </c>
      <c r="I94">
        <f>MATCH(G94,mapPRC!$A$2:$A$1071,0)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MATCH(A95,mapPRC!A$2:A$1071,0)</f>
        <v>172</v>
      </c>
      <c r="G95" t="s">
        <v>1503</v>
      </c>
      <c r="H95" t="s">
        <v>1502</v>
      </c>
      <c r="I95">
        <f>MATCH(G95,mapPRC!$A$2:$A$1071,0)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MATCH(A96,mapPRC!A$2:A$1071,0)</f>
        <v>173</v>
      </c>
      <c r="G96" t="s">
        <v>1499</v>
      </c>
      <c r="H96" t="s">
        <v>1498</v>
      </c>
      <c r="I96">
        <f>MATCH(G96,mapPRC!$A$2:$A$1071,0)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MATCH(A97,mapPRC!A$2:A$1071,0)</f>
        <v>174</v>
      </c>
      <c r="G97" t="s">
        <v>1501</v>
      </c>
      <c r="H97" t="s">
        <v>1500</v>
      </c>
      <c r="I97">
        <f>MATCH(G97,mapPRC!$A$2:$A$1071,0)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MATCH(A98,mapPRC!A$2:A$1071,0)</f>
        <v>175</v>
      </c>
      <c r="G98" t="s">
        <v>1497</v>
      </c>
      <c r="H98" t="s">
        <v>1496</v>
      </c>
      <c r="I98">
        <f>MATCH(G98,mapPRC!$A$2:$A$1071,0)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MATCH(A99,mapPRC!A$2:A$1071,0)</f>
        <v>176</v>
      </c>
      <c r="G99" t="s">
        <v>1495</v>
      </c>
      <c r="H99" t="s">
        <v>1494</v>
      </c>
      <c r="I99">
        <f>MATCH(G99,mapPRC!$A$2:$A$1071,0)</f>
        <v>176</v>
      </c>
      <c r="P99" t="s">
        <v>3318</v>
      </c>
    </row>
    <row r="100" spans="1:16" x14ac:dyDescent="0.25">
      <c r="A100" t="s">
        <v>1493</v>
      </c>
      <c r="B100" t="s">
        <v>1492</v>
      </c>
      <c r="C100">
        <f>MATCH(A100,mapPRC!A$2:A$1071,0)</f>
        <v>177</v>
      </c>
      <c r="G100" t="s">
        <v>1493</v>
      </c>
      <c r="H100" t="s">
        <v>1492</v>
      </c>
      <c r="I100">
        <f>MATCH(G100,mapPRC!$A$2:$A$1071,0)</f>
        <v>177</v>
      </c>
      <c r="P100" t="s">
        <v>3319</v>
      </c>
    </row>
    <row r="101" spans="1:16" x14ac:dyDescent="0.25">
      <c r="A101" t="s">
        <v>1490</v>
      </c>
      <c r="B101" t="s">
        <v>1489</v>
      </c>
      <c r="C101">
        <f>MATCH(A101,mapPRC!A$2:A$1071,0)</f>
        <v>178</v>
      </c>
      <c r="G101" t="s">
        <v>1490</v>
      </c>
      <c r="H101" t="s">
        <v>1489</v>
      </c>
      <c r="I101">
        <f>MATCH(G101,mapPRC!$A$2:$A$1071,0)</f>
        <v>178</v>
      </c>
      <c r="P101" t="s">
        <v>3320</v>
      </c>
    </row>
    <row r="102" spans="1:16" x14ac:dyDescent="0.25">
      <c r="A102" t="s">
        <v>1488</v>
      </c>
      <c r="B102" t="s">
        <v>1487</v>
      </c>
      <c r="C102">
        <f>MATCH(A102,mapPRC!A$2:A$1071,0)</f>
        <v>179</v>
      </c>
      <c r="G102" t="s">
        <v>1488</v>
      </c>
      <c r="H102" t="s">
        <v>1487</v>
      </c>
      <c r="I102">
        <f>MATCH(G102,mapPRC!$A$2:$A$1071,0)</f>
        <v>179</v>
      </c>
      <c r="P102" t="s">
        <v>3321</v>
      </c>
    </row>
    <row r="103" spans="1:16" x14ac:dyDescent="0.25">
      <c r="A103" t="s">
        <v>1486</v>
      </c>
      <c r="B103" t="s">
        <v>1485</v>
      </c>
      <c r="C103">
        <f>MATCH(A103,mapPRC!A$2:A$1071,0)</f>
        <v>180</v>
      </c>
      <c r="G103" t="s">
        <v>1486</v>
      </c>
      <c r="H103" t="s">
        <v>1485</v>
      </c>
      <c r="I103">
        <f>MATCH(G103,mapPRC!$A$2:$A$1071,0)</f>
        <v>180</v>
      </c>
      <c r="P103" t="s">
        <v>3322</v>
      </c>
    </row>
    <row r="104" spans="1:16" x14ac:dyDescent="0.25">
      <c r="A104" t="s">
        <v>1484</v>
      </c>
      <c r="B104" t="s">
        <v>1483</v>
      </c>
      <c r="C104">
        <f>MATCH(A104,mapPRC!A$2:A$1071,0)</f>
        <v>181</v>
      </c>
      <c r="G104" t="s">
        <v>1484</v>
      </c>
      <c r="H104" t="s">
        <v>1483</v>
      </c>
      <c r="I104">
        <f>MATCH(G104,mapPRC!$A$2:$A$1071,0)</f>
        <v>181</v>
      </c>
      <c r="P104" t="s">
        <v>3323</v>
      </c>
    </row>
    <row r="105" spans="1:16" x14ac:dyDescent="0.25">
      <c r="A105" t="s">
        <v>1482</v>
      </c>
      <c r="B105" t="s">
        <v>1481</v>
      </c>
      <c r="C105">
        <f>MATCH(A105,mapPRC!A$2:A$1071,0)</f>
        <v>182</v>
      </c>
      <c r="G105" t="s">
        <v>1482</v>
      </c>
      <c r="H105" t="s">
        <v>1481</v>
      </c>
      <c r="I105">
        <f>MATCH(G105,mapPRC!$A$2:$A$1071,0)</f>
        <v>182</v>
      </c>
      <c r="P105" t="s">
        <v>3324</v>
      </c>
    </row>
    <row r="106" spans="1:16" x14ac:dyDescent="0.25">
      <c r="A106" t="s">
        <v>1480</v>
      </c>
      <c r="B106" t="s">
        <v>1479</v>
      </c>
      <c r="C106">
        <f>MATCH(A106,mapPRC!A$2:A$1071,0)</f>
        <v>183</v>
      </c>
      <c r="G106" t="s">
        <v>1480</v>
      </c>
      <c r="H106" t="s">
        <v>1479</v>
      </c>
      <c r="I106">
        <f>MATCH(G106,mapPRC!$A$2:$A$1071,0)</f>
        <v>183</v>
      </c>
      <c r="P106" t="s">
        <v>3325</v>
      </c>
    </row>
    <row r="107" spans="1:16" x14ac:dyDescent="0.25">
      <c r="A107" t="s">
        <v>1478</v>
      </c>
      <c r="B107" t="s">
        <v>1477</v>
      </c>
      <c r="C107">
        <f>MATCH(A107,mapPRC!A$2:A$1071,0)</f>
        <v>184</v>
      </c>
      <c r="G107" t="s">
        <v>1478</v>
      </c>
      <c r="H107" t="s">
        <v>1477</v>
      </c>
      <c r="I107">
        <f>MATCH(G107,mapPRC!$A$2:$A$1071,0)</f>
        <v>184</v>
      </c>
      <c r="P107" t="s">
        <v>3326</v>
      </c>
    </row>
    <row r="108" spans="1:16" x14ac:dyDescent="0.25">
      <c r="A108" t="s">
        <v>1476</v>
      </c>
      <c r="B108" t="s">
        <v>1475</v>
      </c>
      <c r="C108">
        <f>MATCH(A108,mapPRC!A$2:A$1071,0)</f>
        <v>185</v>
      </c>
      <c r="G108" t="s">
        <v>1476</v>
      </c>
      <c r="H108" t="s">
        <v>1475</v>
      </c>
      <c r="I108">
        <f>MATCH(G108,mapPRC!$A$2:$A$1071,0)</f>
        <v>185</v>
      </c>
      <c r="P108" t="s">
        <v>3327</v>
      </c>
    </row>
    <row r="109" spans="1:16" x14ac:dyDescent="0.25">
      <c r="A109" t="s">
        <v>16</v>
      </c>
      <c r="B109" t="s">
        <v>15</v>
      </c>
      <c r="C109">
        <f>MATCH(A109,mapPRC!A$2:A$1071,0)</f>
        <v>186</v>
      </c>
      <c r="G109" t="s">
        <v>16</v>
      </c>
      <c r="H109" t="s">
        <v>15</v>
      </c>
      <c r="I109">
        <f>MATCH(G109,mapPRC!$A$2:$A$1071,0)</f>
        <v>186</v>
      </c>
      <c r="P109" t="s">
        <v>3328</v>
      </c>
    </row>
    <row r="110" spans="1:16" x14ac:dyDescent="0.25">
      <c r="A110" t="s">
        <v>14</v>
      </c>
      <c r="B110" t="s">
        <v>13</v>
      </c>
      <c r="C110">
        <f>MATCH(A110,mapPRC!A$2:A$1071,0)</f>
        <v>187</v>
      </c>
      <c r="G110" t="s">
        <v>14</v>
      </c>
      <c r="H110" t="s">
        <v>13</v>
      </c>
      <c r="I110">
        <f>MATCH(G110,mapPRC!$A$2:$A$1071,0)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MATCH(A111,mapPRC!A$2:A$1071,0)</f>
        <v>188</v>
      </c>
      <c r="G111" t="s">
        <v>12</v>
      </c>
      <c r="H111" t="s">
        <v>11</v>
      </c>
      <c r="I111">
        <f>MATCH(G111,mapPRC!$A$2:$A$1071,0)</f>
        <v>188</v>
      </c>
      <c r="P111" t="s">
        <v>3613</v>
      </c>
    </row>
    <row r="112" spans="1:16" x14ac:dyDescent="0.25">
      <c r="A112" t="s">
        <v>10</v>
      </c>
      <c r="B112" t="s">
        <v>9</v>
      </c>
      <c r="C112">
        <f>MATCH(A112,mapPRC!A$2:A$1071,0)</f>
        <v>189</v>
      </c>
      <c r="G112" t="s">
        <v>10</v>
      </c>
      <c r="H112" t="s">
        <v>9</v>
      </c>
      <c r="I112">
        <f>MATCH(G112,mapPRC!$A$2:$A$1071,0)</f>
        <v>189</v>
      </c>
      <c r="P112" t="s">
        <v>3616</v>
      </c>
    </row>
    <row r="113" spans="1:16" x14ac:dyDescent="0.25">
      <c r="A113" t="s">
        <v>1470</v>
      </c>
      <c r="B113" t="s">
        <v>3545</v>
      </c>
      <c r="C113">
        <f>MATCH(A113,mapPRC!A$2:A$1071,0)</f>
        <v>190</v>
      </c>
      <c r="G113" t="s">
        <v>1470</v>
      </c>
      <c r="H113" t="s">
        <v>3545</v>
      </c>
      <c r="I113">
        <f>MATCH(G113,mapPRC!$A$2:$A$1071,0)</f>
        <v>190</v>
      </c>
      <c r="P113" t="s">
        <v>3612</v>
      </c>
    </row>
    <row r="114" spans="1:16" x14ac:dyDescent="0.25">
      <c r="A114" t="s">
        <v>1472</v>
      </c>
      <c r="B114" t="s">
        <v>3546</v>
      </c>
      <c r="C114">
        <f>MATCH(A114,mapPRC!A$2:A$1071,0)</f>
        <v>191</v>
      </c>
      <c r="G114" t="s">
        <v>1472</v>
      </c>
      <c r="H114" t="s">
        <v>3546</v>
      </c>
      <c r="I114">
        <f>MATCH(G114,mapPRC!$A$2:$A$1071,0)</f>
        <v>191</v>
      </c>
      <c r="P114" t="s">
        <v>3625</v>
      </c>
    </row>
    <row r="115" spans="1:16" x14ac:dyDescent="0.25">
      <c r="A115" t="s">
        <v>1467</v>
      </c>
      <c r="B115" t="s">
        <v>1466</v>
      </c>
      <c r="C115">
        <f>MATCH(A115,mapPRC!A$2:A$1071,0)</f>
        <v>192</v>
      </c>
      <c r="G115" t="s">
        <v>1467</v>
      </c>
      <c r="H115" t="s">
        <v>1466</v>
      </c>
      <c r="I115">
        <f>MATCH(G115,mapPRC!$A$2:$A$1071,0)</f>
        <v>192</v>
      </c>
      <c r="P115" t="s">
        <v>3473</v>
      </c>
    </row>
    <row r="116" spans="1:16" x14ac:dyDescent="0.25">
      <c r="A116" t="s">
        <v>1465</v>
      </c>
      <c r="B116" t="s">
        <v>1464</v>
      </c>
      <c r="C116">
        <f>MATCH(A116,mapPRC!A$2:A$1071,0)</f>
        <v>193</v>
      </c>
      <c r="G116" t="s">
        <v>1465</v>
      </c>
      <c r="H116" t="s">
        <v>1464</v>
      </c>
      <c r="I116">
        <f>MATCH(G116,mapPRC!$A$2:$A$1071,0)</f>
        <v>193</v>
      </c>
      <c r="P116" t="s">
        <v>3623</v>
      </c>
    </row>
    <row r="117" spans="1:16" x14ac:dyDescent="0.25">
      <c r="A117" t="s">
        <v>1462</v>
      </c>
      <c r="B117" t="s">
        <v>1461</v>
      </c>
      <c r="C117">
        <f>MATCH(A117,mapPRC!A$2:A$1071,0)</f>
        <v>195</v>
      </c>
      <c r="G117" t="s">
        <v>1462</v>
      </c>
      <c r="H117" t="s">
        <v>1461</v>
      </c>
      <c r="I117">
        <f>MATCH(G117,mapPRC!$A$2:$A$1071,0)</f>
        <v>195</v>
      </c>
      <c r="P117" t="s">
        <v>3624</v>
      </c>
    </row>
    <row r="118" spans="1:16" x14ac:dyDescent="0.25">
      <c r="A118" t="s">
        <v>1449</v>
      </c>
      <c r="B118" t="s">
        <v>3547</v>
      </c>
      <c r="C118">
        <f>MATCH(A118,mapPRC!A$2:A$1071,0)</f>
        <v>198</v>
      </c>
      <c r="G118" t="s">
        <v>1449</v>
      </c>
      <c r="H118" t="s">
        <v>3547</v>
      </c>
      <c r="I118">
        <f>MATCH(G118,mapPRC!$A$2:$A$1071,0)</f>
        <v>198</v>
      </c>
      <c r="P118" t="s">
        <v>3475</v>
      </c>
    </row>
    <row r="119" spans="1:16" x14ac:dyDescent="0.25">
      <c r="A119" t="s">
        <v>1460</v>
      </c>
      <c r="B119" t="s">
        <v>1459</v>
      </c>
      <c r="C119">
        <f>MATCH(A119,mapPRC!A$2:A$1071,0)</f>
        <v>200</v>
      </c>
      <c r="G119" t="s">
        <v>1460</v>
      </c>
      <c r="H119" t="s">
        <v>1459</v>
      </c>
      <c r="I119">
        <f>MATCH(G119,mapPRC!$A$2:$A$1071,0)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MATCH(A120,mapPRC!A$2:A$1071,0)</f>
        <v>204</v>
      </c>
      <c r="G120" t="s">
        <v>1458</v>
      </c>
      <c r="H120" t="s">
        <v>1457</v>
      </c>
      <c r="I120">
        <f>MATCH(G120,mapPRC!$A$2:$A$1071,0)</f>
        <v>204</v>
      </c>
      <c r="P120" t="s">
        <v>3472</v>
      </c>
    </row>
    <row r="121" spans="1:16" x14ac:dyDescent="0.25">
      <c r="A121" t="s">
        <v>1439</v>
      </c>
      <c r="B121" t="s">
        <v>1438</v>
      </c>
      <c r="C121">
        <f>MATCH(A121,mapPRC!A$2:A$1071,0)</f>
        <v>205</v>
      </c>
      <c r="G121" t="s">
        <v>1439</v>
      </c>
      <c r="H121" t="s">
        <v>1438</v>
      </c>
      <c r="I121">
        <f>MATCH(G121,mapPRC!$A$2:$A$1071,0)</f>
        <v>205</v>
      </c>
      <c r="P121" t="s">
        <v>3222</v>
      </c>
    </row>
    <row r="122" spans="1:16" x14ac:dyDescent="0.25">
      <c r="A122" t="s">
        <v>1437</v>
      </c>
      <c r="B122" t="s">
        <v>1436</v>
      </c>
      <c r="C122">
        <f>MATCH(A122,mapPRC!A$2:A$1071,0)</f>
        <v>206</v>
      </c>
      <c r="G122" t="s">
        <v>1437</v>
      </c>
      <c r="H122" t="s">
        <v>1436</v>
      </c>
      <c r="I122">
        <f>MATCH(G122,mapPRC!$A$2:$A$1071,0)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MATCH(A123,mapPRC!A$2:A$1071,0)</f>
        <v>215</v>
      </c>
      <c r="G123" t="s">
        <v>1418</v>
      </c>
      <c r="H123" t="s">
        <v>1417</v>
      </c>
      <c r="I123">
        <f>MATCH(G123,mapPRC!$A$2:$A$1071,0)</f>
        <v>215</v>
      </c>
      <c r="P123" t="s">
        <v>612</v>
      </c>
    </row>
    <row r="124" spans="1:16" x14ac:dyDescent="0.25">
      <c r="A124" t="s">
        <v>3067</v>
      </c>
      <c r="B124" t="s">
        <v>3068</v>
      </c>
      <c r="C124">
        <f>MATCH(A124,mapPRC!A$2:A$1071,0)</f>
        <v>216</v>
      </c>
      <c r="G124" t="s">
        <v>3067</v>
      </c>
      <c r="H124" t="s">
        <v>3068</v>
      </c>
      <c r="I124">
        <f>MATCH(G124,mapPRC!$A$2:$A$1071,0)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MATCH(A125,mapPRC!A$2:A$1071,0)</f>
        <v>217</v>
      </c>
      <c r="G125" t="s">
        <v>1416</v>
      </c>
      <c r="H125" t="s">
        <v>1415</v>
      </c>
      <c r="I125">
        <f>MATCH(G125,mapPRC!$A$2:$A$1071,0)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MATCH(A126,mapPRC!A$2:A$1071,0)</f>
        <v>221</v>
      </c>
      <c r="G126" t="s">
        <v>1409</v>
      </c>
      <c r="H126" t="s">
        <v>1408</v>
      </c>
      <c r="I126">
        <f>MATCH(G126,mapPRC!$A$2:$A$1071,0)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MATCH(A127,mapPRC!A$2:A$1071,0)</f>
        <v>228</v>
      </c>
      <c r="G127" t="s">
        <v>1392</v>
      </c>
      <c r="H127" t="s">
        <v>2056</v>
      </c>
      <c r="I127">
        <f>MATCH(G127,mapPRC!$A$2:$A$1071,0)</f>
        <v>228</v>
      </c>
      <c r="P127" t="s">
        <v>1063</v>
      </c>
    </row>
    <row r="128" spans="1:16" x14ac:dyDescent="0.25">
      <c r="A128" t="s">
        <v>1367</v>
      </c>
      <c r="B128" t="s">
        <v>3548</v>
      </c>
      <c r="C128">
        <f>MATCH(A128,mapPRC!A$2:A$1071,0)</f>
        <v>240</v>
      </c>
      <c r="G128" t="s">
        <v>1367</v>
      </c>
      <c r="H128" t="s">
        <v>3548</v>
      </c>
      <c r="I128">
        <f>MATCH(G128,mapPRC!$A$2:$A$1071,0)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MATCH(A129,mapPRC!A$2:A$1071,0)</f>
        <v>241</v>
      </c>
      <c r="G129" t="s">
        <v>1364</v>
      </c>
      <c r="H129" t="s">
        <v>1363</v>
      </c>
      <c r="I129">
        <f>MATCH(G129,mapPRC!$A$2:$A$1071,0)</f>
        <v>241</v>
      </c>
      <c r="P129" t="s">
        <v>3316</v>
      </c>
    </row>
    <row r="130" spans="1:16" x14ac:dyDescent="0.25">
      <c r="A130" t="s">
        <v>1362</v>
      </c>
      <c r="B130" t="s">
        <v>1361</v>
      </c>
      <c r="C130">
        <f>MATCH(A130,mapPRC!A$2:A$1071,0)</f>
        <v>242</v>
      </c>
      <c r="G130" t="s">
        <v>1362</v>
      </c>
      <c r="H130" t="s">
        <v>1361</v>
      </c>
      <c r="I130">
        <f>MATCH(G130,mapPRC!$A$2:$A$1071,0)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MATCH(A131,mapPRC!A$2:A$1071,0)</f>
        <v>243</v>
      </c>
      <c r="G131" t="s">
        <v>1360</v>
      </c>
      <c r="H131" t="s">
        <v>1359</v>
      </c>
      <c r="I131">
        <f>MATCH(G131,mapPRC!$A$2:$A$1071,0)</f>
        <v>243</v>
      </c>
      <c r="P131" t="s">
        <v>3317</v>
      </c>
    </row>
    <row r="132" spans="1:16" x14ac:dyDescent="0.25">
      <c r="A132" t="s">
        <v>3549</v>
      </c>
      <c r="B132" t="s">
        <v>3550</v>
      </c>
      <c r="C132">
        <f>MATCH(A132,mapPRC!A$2:A$1071,0)</f>
        <v>263</v>
      </c>
      <c r="D132">
        <v>1</v>
      </c>
      <c r="G132" t="s">
        <v>3549</v>
      </c>
      <c r="H132" t="s">
        <v>3550</v>
      </c>
      <c r="I132">
        <f>MATCH(G132,mapPRC!$A$2:$A$1071,0)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MATCH(A133,mapPRC!A$2:A$1071,0)</f>
        <v>244</v>
      </c>
      <c r="G133" t="s">
        <v>1358</v>
      </c>
      <c r="H133" t="s">
        <v>1357</v>
      </c>
      <c r="I133">
        <f>MATCH(G133,mapPRC!$A$2:$A$1071,0)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MATCH(A134,mapPRC!A$2:A$1071,0)</f>
        <v>245</v>
      </c>
      <c r="G134" t="s">
        <v>1356</v>
      </c>
      <c r="H134" t="s">
        <v>1355</v>
      </c>
      <c r="I134">
        <f>MATCH(G134,mapPRC!$A$2:$A$1071,0)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MATCH(A135,mapPRC!A$2:A$1071,0)</f>
        <v>246</v>
      </c>
      <c r="G135" t="s">
        <v>1354</v>
      </c>
      <c r="H135" t="s">
        <v>1353</v>
      </c>
      <c r="I135">
        <f>MATCH(G135,mapPRC!$A$2:$A$1071,0)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MATCH(A136,mapPRC!A$2:A$1071,0)</f>
        <v>248</v>
      </c>
      <c r="G136" t="s">
        <v>1350</v>
      </c>
      <c r="H136" t="s">
        <v>1349</v>
      </c>
      <c r="I136">
        <f>MATCH(G136,mapPRC!$A$2:$A$1071,0)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MATCH(A137,mapPRC!A$2:A$1071,0)</f>
        <v>249</v>
      </c>
      <c r="G137" t="s">
        <v>1348</v>
      </c>
      <c r="H137" t="s">
        <v>1347</v>
      </c>
      <c r="I137">
        <f>MATCH(G137,mapPRC!$A$2:$A$1071,0)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MATCH(A138,mapPRC!A$2:A$1071,0)</f>
        <v>250</v>
      </c>
      <c r="G138" t="s">
        <v>1346</v>
      </c>
      <c r="H138" t="s">
        <v>1345</v>
      </c>
      <c r="I138">
        <f>MATCH(G138,mapPRC!$A$2:$A$1071,0)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MATCH(A139,mapPRC!A$2:A$1071,0)</f>
        <v>251</v>
      </c>
      <c r="G139" t="s">
        <v>1344</v>
      </c>
      <c r="H139" t="s">
        <v>1343</v>
      </c>
      <c r="I139">
        <f>MATCH(G139,mapPRC!$A$2:$A$1071,0)</f>
        <v>251</v>
      </c>
      <c r="P139" t="s">
        <v>545</v>
      </c>
    </row>
    <row r="140" spans="1:16" x14ac:dyDescent="0.25">
      <c r="A140" t="s">
        <v>2985</v>
      </c>
      <c r="B140" t="s">
        <v>3551</v>
      </c>
      <c r="C140">
        <f>MATCH(A140,mapPRC!A$2:A$1071,0)</f>
        <v>252</v>
      </c>
      <c r="G140" t="s">
        <v>2985</v>
      </c>
      <c r="H140" t="s">
        <v>3551</v>
      </c>
      <c r="I140">
        <f>MATCH(G140,mapPRC!$A$2:$A$1071,0)</f>
        <v>252</v>
      </c>
      <c r="P140" t="s">
        <v>3471</v>
      </c>
    </row>
    <row r="141" spans="1:16" x14ac:dyDescent="0.25">
      <c r="A141" t="s">
        <v>1342</v>
      </c>
      <c r="B141" t="s">
        <v>1341</v>
      </c>
      <c r="C141">
        <f>MATCH(A141,mapPRC!A$2:A$1071,0)</f>
        <v>253</v>
      </c>
      <c r="G141" t="s">
        <v>1342</v>
      </c>
      <c r="H141" t="s">
        <v>1341</v>
      </c>
      <c r="I141">
        <f>MATCH(G141,mapPRC!$A$2:$A$1071,0)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MATCH(A142,mapPRC!A$2:A$1071,0)</f>
        <v>254</v>
      </c>
      <c r="G142" t="s">
        <v>1340</v>
      </c>
      <c r="H142" t="s">
        <v>1339</v>
      </c>
      <c r="I142">
        <f>MATCH(G142,mapPRC!$A$2:$A$1071,0)</f>
        <v>254</v>
      </c>
      <c r="P142" t="s">
        <v>3620</v>
      </c>
    </row>
    <row r="143" spans="1:16" x14ac:dyDescent="0.25">
      <c r="A143" t="s">
        <v>1338</v>
      </c>
      <c r="B143" t="s">
        <v>1337</v>
      </c>
      <c r="C143">
        <f>MATCH(A143,mapPRC!A$2:A$1071,0)</f>
        <v>255</v>
      </c>
      <c r="G143" t="s">
        <v>1338</v>
      </c>
      <c r="H143" t="s">
        <v>1337</v>
      </c>
      <c r="I143">
        <f>MATCH(G143,mapPRC!$A$2:$A$1071,0)</f>
        <v>255</v>
      </c>
      <c r="P143" t="s">
        <v>3619</v>
      </c>
    </row>
    <row r="144" spans="1:16" x14ac:dyDescent="0.25">
      <c r="A144" t="s">
        <v>1336</v>
      </c>
      <c r="B144" t="s">
        <v>1335</v>
      </c>
      <c r="C144">
        <f>MATCH(A144,mapPRC!A$2:A$1071,0)</f>
        <v>256</v>
      </c>
      <c r="G144" t="s">
        <v>1336</v>
      </c>
      <c r="H144" t="s">
        <v>1335</v>
      </c>
      <c r="I144">
        <f>MATCH(G144,mapPRC!$A$2:$A$1071,0)</f>
        <v>256</v>
      </c>
      <c r="P144" t="s">
        <v>3617</v>
      </c>
    </row>
    <row r="145" spans="1:16" x14ac:dyDescent="0.25">
      <c r="A145" t="s">
        <v>1334</v>
      </c>
      <c r="B145" t="s">
        <v>1333</v>
      </c>
      <c r="C145">
        <f>MATCH(A145,mapPRC!A$2:A$1071,0)</f>
        <v>257</v>
      </c>
      <c r="G145" t="s">
        <v>1334</v>
      </c>
      <c r="H145" t="s">
        <v>1333</v>
      </c>
      <c r="I145">
        <f>MATCH(G145,mapPRC!$A$2:$A$1071,0)</f>
        <v>257</v>
      </c>
      <c r="P145" t="s">
        <v>0</v>
      </c>
    </row>
    <row r="146" spans="1:16" x14ac:dyDescent="0.25">
      <c r="A146" t="s">
        <v>2982</v>
      </c>
      <c r="B146" t="s">
        <v>3552</v>
      </c>
      <c r="C146">
        <f>MATCH(A146,mapPRC!A$2:A$1071,0)</f>
        <v>258</v>
      </c>
      <c r="G146" t="s">
        <v>2982</v>
      </c>
      <c r="H146" t="s">
        <v>3552</v>
      </c>
      <c r="I146">
        <f>MATCH(G146,mapPRC!$A$2:$A$1071,0)</f>
        <v>258</v>
      </c>
      <c r="P146" t="s">
        <v>1040</v>
      </c>
    </row>
    <row r="147" spans="1:16" x14ac:dyDescent="0.25">
      <c r="A147" t="s">
        <v>1331</v>
      </c>
      <c r="B147" t="s">
        <v>3553</v>
      </c>
      <c r="C147">
        <f>MATCH(A147,mapPRC!A$2:A$1071,0)</f>
        <v>259</v>
      </c>
      <c r="G147" t="s">
        <v>1331</v>
      </c>
      <c r="H147" t="s">
        <v>3553</v>
      </c>
      <c r="I147">
        <f>MATCH(G147,mapPRC!$A$2:$A$1071,0)</f>
        <v>259</v>
      </c>
      <c r="P147" t="s">
        <v>1200</v>
      </c>
    </row>
    <row r="148" spans="1:16" x14ac:dyDescent="0.25">
      <c r="A148" t="s">
        <v>1329</v>
      </c>
      <c r="B148" t="s">
        <v>3554</v>
      </c>
      <c r="C148">
        <f>MATCH(A148,mapPRC!A$2:A$1071,0)</f>
        <v>260</v>
      </c>
      <c r="G148" t="s">
        <v>1329</v>
      </c>
      <c r="H148" t="s">
        <v>3554</v>
      </c>
      <c r="I148">
        <f>MATCH(G148,mapPRC!$A$2:$A$1071,0)</f>
        <v>260</v>
      </c>
      <c r="P148" t="s">
        <v>3305</v>
      </c>
    </row>
    <row r="149" spans="1:16" x14ac:dyDescent="0.25">
      <c r="A149" t="s">
        <v>1326</v>
      </c>
      <c r="B149" t="s">
        <v>1325</v>
      </c>
      <c r="C149">
        <f>MATCH(A149,mapPRC!A$2:A$1071,0)</f>
        <v>261</v>
      </c>
      <c r="G149" t="s">
        <v>1326</v>
      </c>
      <c r="H149" t="s">
        <v>1325</v>
      </c>
      <c r="I149">
        <f>MATCH(G149,mapPRC!$A$2:$A$1071,0)</f>
        <v>261</v>
      </c>
      <c r="P149" t="s">
        <v>983</v>
      </c>
    </row>
    <row r="150" spans="1:16" x14ac:dyDescent="0.25">
      <c r="A150" t="s">
        <v>2983</v>
      </c>
      <c r="B150" t="s">
        <v>3555</v>
      </c>
      <c r="C150">
        <f>MATCH(A150,mapPRC!A$2:A$1071,0)</f>
        <v>262</v>
      </c>
      <c r="G150" t="s">
        <v>2983</v>
      </c>
      <c r="H150" t="s">
        <v>3555</v>
      </c>
      <c r="I150">
        <f>MATCH(G150,mapPRC!$A$2:$A$1071,0)</f>
        <v>262</v>
      </c>
      <c r="P150" t="s">
        <v>462</v>
      </c>
    </row>
    <row r="151" spans="1:16" x14ac:dyDescent="0.25">
      <c r="A151" t="s">
        <v>2992</v>
      </c>
      <c r="B151" t="s">
        <v>3556</v>
      </c>
      <c r="C151">
        <f>MATCH(A151,mapPRC!A$2:A$1071,0)</f>
        <v>264</v>
      </c>
      <c r="G151" t="s">
        <v>2992</v>
      </c>
      <c r="H151" t="s">
        <v>3556</v>
      </c>
      <c r="I151">
        <f>MATCH(G151,mapPRC!$A$2:$A$1071,0)</f>
        <v>264</v>
      </c>
      <c r="P151" t="s">
        <v>3468</v>
      </c>
    </row>
    <row r="152" spans="1:16" x14ac:dyDescent="0.25">
      <c r="A152" t="s">
        <v>3069</v>
      </c>
      <c r="B152" t="s">
        <v>3557</v>
      </c>
      <c r="C152">
        <f>MATCH(A152,mapPRC!A$2:A$1071,0)</f>
        <v>265</v>
      </c>
      <c r="G152" t="s">
        <v>3069</v>
      </c>
      <c r="H152" t="s">
        <v>3557</v>
      </c>
      <c r="I152">
        <f>MATCH(G152,mapPRC!$A$2:$A$1071,0)</f>
        <v>265</v>
      </c>
      <c r="P152" t="s">
        <v>3190</v>
      </c>
    </row>
    <row r="153" spans="1:16" x14ac:dyDescent="0.25">
      <c r="A153" t="s">
        <v>3558</v>
      </c>
      <c r="B153" t="s">
        <v>3559</v>
      </c>
      <c r="C153">
        <f>MATCH(A153,mapPRC!A$2:A$1071,0)</f>
        <v>267</v>
      </c>
      <c r="D153">
        <v>1</v>
      </c>
      <c r="G153" t="s">
        <v>3558</v>
      </c>
      <c r="H153" t="s">
        <v>3559</v>
      </c>
      <c r="I153">
        <f>MATCH(G153,mapPRC!$A$2:$A$1071,0)</f>
        <v>267</v>
      </c>
      <c r="P153" t="s">
        <v>1021</v>
      </c>
    </row>
    <row r="154" spans="1:16" x14ac:dyDescent="0.25">
      <c r="A154" t="s">
        <v>1323</v>
      </c>
      <c r="B154" t="s">
        <v>3560</v>
      </c>
      <c r="C154">
        <f>MATCH(A154,mapPRC!A$2:A$1071,0)</f>
        <v>266</v>
      </c>
      <c r="G154" t="s">
        <v>1323</v>
      </c>
      <c r="H154" t="s">
        <v>3560</v>
      </c>
      <c r="I154">
        <f>MATCH(G154,mapPRC!$A$2:$A$1071,0)</f>
        <v>266</v>
      </c>
      <c r="P154" t="s">
        <v>1555</v>
      </c>
    </row>
    <row r="155" spans="1:16" x14ac:dyDescent="0.25">
      <c r="A155" t="s">
        <v>2989</v>
      </c>
      <c r="B155" t="s">
        <v>3561</v>
      </c>
      <c r="C155">
        <f>MATCH(A155,mapPRC!A$2:A$1071,0)</f>
        <v>268</v>
      </c>
      <c r="G155" t="s">
        <v>2989</v>
      </c>
      <c r="H155" t="s">
        <v>3561</v>
      </c>
      <c r="I155">
        <f>MATCH(G155,mapPRC!$A$2:$A$1071,0)</f>
        <v>268</v>
      </c>
      <c r="P155" t="s">
        <v>1506</v>
      </c>
    </row>
    <row r="156" spans="1:16" x14ac:dyDescent="0.25">
      <c r="A156" t="s">
        <v>1322</v>
      </c>
      <c r="B156" t="s">
        <v>3562</v>
      </c>
      <c r="C156">
        <f>MATCH(A156,mapPRC!A$2:A$1071,0)</f>
        <v>269</v>
      </c>
      <c r="G156" t="s">
        <v>1322</v>
      </c>
      <c r="H156" t="s">
        <v>3562</v>
      </c>
      <c r="I156">
        <f>MATCH(G156,mapPRC!$A$2:$A$1071,0)</f>
        <v>269</v>
      </c>
      <c r="P156" t="s">
        <v>1037</v>
      </c>
    </row>
    <row r="157" spans="1:16" x14ac:dyDescent="0.25">
      <c r="A157" t="s">
        <v>3563</v>
      </c>
      <c r="B157" t="s">
        <v>3564</v>
      </c>
      <c r="C157">
        <f>MATCH(A157,mapPRC!A$2:A$1071,0)</f>
        <v>274</v>
      </c>
      <c r="D157">
        <v>1</v>
      </c>
      <c r="G157" t="s">
        <v>3563</v>
      </c>
      <c r="H157" t="s">
        <v>3564</v>
      </c>
      <c r="I157">
        <f>MATCH(G157,mapPRC!$A$2:$A$1071,0)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MATCH(A158,mapPRC!A$2:A$1071,0)</f>
        <v>275</v>
      </c>
      <c r="G158" t="s">
        <v>1311</v>
      </c>
      <c r="H158" t="s">
        <v>1310</v>
      </c>
      <c r="I158">
        <f>MATCH(G158,mapPRC!$A$2:$A$1071,0)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MATCH(A159,mapPRC!A$2:A$1071,0)</f>
        <v>276</v>
      </c>
      <c r="G159" t="s">
        <v>1309</v>
      </c>
      <c r="H159" t="s">
        <v>1308</v>
      </c>
      <c r="I159">
        <f>MATCH(G159,mapPRC!$A$2:$A$1071,0)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MATCH(A160,mapPRC!A$2:A$1071,0)</f>
        <v>277</v>
      </c>
      <c r="G160" t="s">
        <v>1306</v>
      </c>
      <c r="H160" t="s">
        <v>1305</v>
      </c>
      <c r="I160">
        <f>MATCH(G160,mapPRC!$A$2:$A$1071,0)</f>
        <v>277</v>
      </c>
      <c r="P160" t="s">
        <v>3073</v>
      </c>
    </row>
    <row r="161" spans="1:16" x14ac:dyDescent="0.25">
      <c r="A161" t="s">
        <v>1304</v>
      </c>
      <c r="B161" t="s">
        <v>3565</v>
      </c>
      <c r="C161">
        <f>MATCH(A161,mapPRC!A$2:A$1071,0)</f>
        <v>278</v>
      </c>
      <c r="G161" t="s">
        <v>1304</v>
      </c>
      <c r="H161" t="s">
        <v>3565</v>
      </c>
      <c r="I161">
        <f>MATCH(G161,mapPRC!$A$2:$A$1071,0)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MATCH(A162,mapPRC!A$2:A$1071,0)</f>
        <v>279</v>
      </c>
      <c r="G162" t="s">
        <v>1302</v>
      </c>
      <c r="H162" t="s">
        <v>1301</v>
      </c>
      <c r="I162">
        <f>MATCH(G162,mapPRC!$A$2:$A$1071,0)</f>
        <v>279</v>
      </c>
      <c r="P162" t="s">
        <v>29</v>
      </c>
    </row>
    <row r="163" spans="1:16" x14ac:dyDescent="0.25">
      <c r="A163" t="s">
        <v>1300</v>
      </c>
      <c r="B163" t="s">
        <v>3566</v>
      </c>
      <c r="C163">
        <f>MATCH(A163,mapPRC!A$2:A$1071,0)</f>
        <v>280</v>
      </c>
      <c r="G163" t="s">
        <v>1300</v>
      </c>
      <c r="H163" t="s">
        <v>3566</v>
      </c>
      <c r="I163">
        <f>MATCH(G163,mapPRC!$A$2:$A$1071,0)</f>
        <v>280</v>
      </c>
      <c r="P163" t="s">
        <v>542</v>
      </c>
    </row>
    <row r="164" spans="1:16" x14ac:dyDescent="0.25">
      <c r="A164" t="s">
        <v>3476</v>
      </c>
      <c r="B164" t="s">
        <v>3477</v>
      </c>
      <c r="C164">
        <f>MATCH(A164,mapPRC!A$2:A$1071,0)</f>
        <v>284</v>
      </c>
      <c r="D164">
        <v>1</v>
      </c>
      <c r="G164" t="s">
        <v>3476</v>
      </c>
      <c r="H164" t="s">
        <v>3477</v>
      </c>
      <c r="I164">
        <f>MATCH(G164,mapPRC!$A$2:$A$1071,0)</f>
        <v>284</v>
      </c>
      <c r="P164" t="s">
        <v>539</v>
      </c>
    </row>
    <row r="165" spans="1:16" x14ac:dyDescent="0.25">
      <c r="A165" t="s">
        <v>3478</v>
      </c>
      <c r="B165" t="s">
        <v>3479</v>
      </c>
      <c r="C165">
        <f>MATCH(A165,mapPRC!A$2:A$1071,0)</f>
        <v>285</v>
      </c>
      <c r="D165">
        <v>1</v>
      </c>
      <c r="G165" t="s">
        <v>3478</v>
      </c>
      <c r="H165" t="s">
        <v>3479</v>
      </c>
      <c r="I165">
        <f>MATCH(G165,mapPRC!$A$2:$A$1071,0)</f>
        <v>285</v>
      </c>
      <c r="P165" t="s">
        <v>522</v>
      </c>
    </row>
    <row r="166" spans="1:16" x14ac:dyDescent="0.25">
      <c r="A166" t="s">
        <v>3070</v>
      </c>
      <c r="B166" t="s">
        <v>3071</v>
      </c>
      <c r="C166">
        <f>MATCH(A166,mapPRC!A$2:A$1071,0)</f>
        <v>286</v>
      </c>
      <c r="G166" t="s">
        <v>3070</v>
      </c>
      <c r="H166" t="s">
        <v>3071</v>
      </c>
      <c r="I166">
        <f>MATCH(G166,mapPRC!$A$2:$A$1071,0)</f>
        <v>286</v>
      </c>
      <c r="P166" t="s">
        <v>536</v>
      </c>
    </row>
    <row r="167" spans="1:16" x14ac:dyDescent="0.25">
      <c r="A167" t="s">
        <v>3491</v>
      </c>
      <c r="B167" t="s">
        <v>3492</v>
      </c>
      <c r="C167">
        <f>MATCH(A167,mapPRC!A$2:A$1071,0)</f>
        <v>287</v>
      </c>
      <c r="D167">
        <v>1</v>
      </c>
      <c r="G167" t="s">
        <v>3491</v>
      </c>
      <c r="H167" t="s">
        <v>3492</v>
      </c>
      <c r="I167">
        <f>MATCH(G167,mapPRC!$A$2:$A$1071,0)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MATCH(A168,mapPRC!A$2:A$1071,0)</f>
        <v>288</v>
      </c>
      <c r="G168" t="s">
        <v>1297</v>
      </c>
      <c r="H168" t="s">
        <v>1296</v>
      </c>
      <c r="I168">
        <f>MATCH(G168,mapPRC!$A$2:$A$1071,0)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MATCH(A169,mapPRC!A$2:A$1071,0)</f>
        <v>289</v>
      </c>
      <c r="G169" t="s">
        <v>1295</v>
      </c>
      <c r="H169" t="s">
        <v>1294</v>
      </c>
      <c r="I169">
        <f>MATCH(G169,mapPRC!$A$2:$A$1071,0)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MATCH(A170,mapPRC!A$2:A$1071,0)</f>
        <v>290</v>
      </c>
      <c r="G170" t="s">
        <v>1293</v>
      </c>
      <c r="H170" t="s">
        <v>1292</v>
      </c>
      <c r="I170">
        <f>MATCH(G170,mapPRC!$A$2:$A$1071,0)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MATCH(A171,mapPRC!A$2:A$1071,0)</f>
        <v>291</v>
      </c>
      <c r="G171" t="s">
        <v>1291</v>
      </c>
      <c r="H171" t="s">
        <v>1290</v>
      </c>
      <c r="I171">
        <f>MATCH(G171,mapPRC!$A$2:$A$1071,0)</f>
        <v>291</v>
      </c>
    </row>
    <row r="172" spans="1:16" x14ac:dyDescent="0.25">
      <c r="A172" t="s">
        <v>3591</v>
      </c>
      <c r="B172" t="s">
        <v>3592</v>
      </c>
      <c r="C172">
        <f>MATCH(A172,mapPRC!A$2:A$1071,0)</f>
        <v>306</v>
      </c>
      <c r="D172">
        <v>1</v>
      </c>
      <c r="G172" t="s">
        <v>3591</v>
      </c>
      <c r="H172" t="s">
        <v>3592</v>
      </c>
      <c r="I172">
        <f>MATCH(G172,mapPRC!$A$2:$A$1071,0)</f>
        <v>306</v>
      </c>
    </row>
    <row r="173" spans="1:16" x14ac:dyDescent="0.25">
      <c r="A173" t="s">
        <v>1289</v>
      </c>
      <c r="B173" t="s">
        <v>1288</v>
      </c>
      <c r="C173">
        <f>MATCH(A173,mapPRC!A$2:A$1071,0)</f>
        <v>292</v>
      </c>
      <c r="G173" t="s">
        <v>1289</v>
      </c>
      <c r="H173" t="s">
        <v>1288</v>
      </c>
      <c r="I173">
        <f>MATCH(G173,mapPRC!$A$2:$A$1071,0)</f>
        <v>292</v>
      </c>
    </row>
    <row r="174" spans="1:16" x14ac:dyDescent="0.25">
      <c r="A174" t="s">
        <v>3593</v>
      </c>
      <c r="B174" t="s">
        <v>3594</v>
      </c>
      <c r="C174">
        <f>MATCH(A174,mapPRC!A$2:A$1071,0)</f>
        <v>307</v>
      </c>
      <c r="D174">
        <v>1</v>
      </c>
      <c r="G174" t="s">
        <v>3593</v>
      </c>
      <c r="H174" t="s">
        <v>3594</v>
      </c>
      <c r="I174">
        <f>MATCH(G174,mapPRC!$A$2:$A$1071,0)</f>
        <v>307</v>
      </c>
    </row>
    <row r="175" spans="1:16" x14ac:dyDescent="0.25">
      <c r="A175" t="s">
        <v>1287</v>
      </c>
      <c r="B175" t="s">
        <v>1286</v>
      </c>
      <c r="C175">
        <f>MATCH(A175,mapPRC!A$2:A$1071,0)</f>
        <v>293</v>
      </c>
      <c r="G175" t="s">
        <v>1287</v>
      </c>
      <c r="H175" t="s">
        <v>1286</v>
      </c>
      <c r="I175">
        <f>MATCH(G175,mapPRC!$A$2:$A$1071,0)</f>
        <v>293</v>
      </c>
    </row>
    <row r="176" spans="1:16" x14ac:dyDescent="0.25">
      <c r="A176" t="s">
        <v>1285</v>
      </c>
      <c r="B176" t="s">
        <v>1284</v>
      </c>
      <c r="C176">
        <f>MATCH(A176,mapPRC!A$2:A$1071,0)</f>
        <v>294</v>
      </c>
      <c r="G176" t="s">
        <v>1285</v>
      </c>
      <c r="H176" t="s">
        <v>1284</v>
      </c>
      <c r="I176">
        <f>MATCH(G176,mapPRC!$A$2:$A$1071,0)</f>
        <v>294</v>
      </c>
    </row>
    <row r="177" spans="1:9" x14ac:dyDescent="0.25">
      <c r="A177" t="s">
        <v>3595</v>
      </c>
      <c r="B177" t="s">
        <v>3596</v>
      </c>
      <c r="C177">
        <f>MATCH(A177,mapPRC!A$2:A$1071,0)</f>
        <v>308</v>
      </c>
      <c r="D177">
        <v>1</v>
      </c>
      <c r="G177" t="s">
        <v>3595</v>
      </c>
      <c r="H177" t="s">
        <v>3596</v>
      </c>
      <c r="I177">
        <f>MATCH(G177,mapPRC!$A$2:$A$1071,0)</f>
        <v>308</v>
      </c>
    </row>
    <row r="178" spans="1:9" x14ac:dyDescent="0.25">
      <c r="A178" t="s">
        <v>1283</v>
      </c>
      <c r="B178" t="s">
        <v>1282</v>
      </c>
      <c r="C178">
        <f>MATCH(A178,mapPRC!A$2:A$1071,0)</f>
        <v>295</v>
      </c>
      <c r="G178" t="s">
        <v>1283</v>
      </c>
      <c r="H178" t="s">
        <v>1282</v>
      </c>
      <c r="I178">
        <f>MATCH(G178,mapPRC!$A$2:$A$1071,0)</f>
        <v>295</v>
      </c>
    </row>
    <row r="179" spans="1:9" x14ac:dyDescent="0.25">
      <c r="A179" t="s">
        <v>1281</v>
      </c>
      <c r="B179" t="s">
        <v>1280</v>
      </c>
      <c r="C179">
        <f>MATCH(A179,mapPRC!A$2:A$1071,0)</f>
        <v>296</v>
      </c>
      <c r="G179" t="s">
        <v>1281</v>
      </c>
      <c r="H179" t="s">
        <v>1280</v>
      </c>
      <c r="I179">
        <f>MATCH(G179,mapPRC!$A$2:$A$1071,0)</f>
        <v>296</v>
      </c>
    </row>
    <row r="180" spans="1:9" x14ac:dyDescent="0.25">
      <c r="A180" t="s">
        <v>3074</v>
      </c>
      <c r="B180" t="s">
        <v>1279</v>
      </c>
      <c r="C180">
        <f>MATCH(A180,mapPRC!A$2:A$1071,0)</f>
        <v>297</v>
      </c>
      <c r="G180" t="s">
        <v>3074</v>
      </c>
      <c r="H180" t="s">
        <v>1279</v>
      </c>
      <c r="I180">
        <f>MATCH(G180,mapPRC!$A$2:$A$1071,0)</f>
        <v>297</v>
      </c>
    </row>
    <row r="181" spans="1:9" x14ac:dyDescent="0.25">
      <c r="A181" t="s">
        <v>1278</v>
      </c>
      <c r="B181" t="s">
        <v>1277</v>
      </c>
      <c r="C181">
        <f>MATCH(A181,mapPRC!A$2:A$1071,0)</f>
        <v>298</v>
      </c>
      <c r="G181" t="s">
        <v>1278</v>
      </c>
      <c r="H181" t="s">
        <v>1277</v>
      </c>
      <c r="I181">
        <f>MATCH(G181,mapPRC!$A$2:$A$1071,0)</f>
        <v>298</v>
      </c>
    </row>
    <row r="182" spans="1:9" x14ac:dyDescent="0.25">
      <c r="A182" t="s">
        <v>1276</v>
      </c>
      <c r="B182" t="s">
        <v>1275</v>
      </c>
      <c r="C182">
        <f>MATCH(A182,mapPRC!A$2:A$1071,0)</f>
        <v>301</v>
      </c>
      <c r="G182" t="s">
        <v>1276</v>
      </c>
      <c r="H182" t="s">
        <v>1275</v>
      </c>
      <c r="I182">
        <f>MATCH(G182,mapPRC!$A$2:$A$1071,0)</f>
        <v>301</v>
      </c>
    </row>
    <row r="183" spans="1:9" x14ac:dyDescent="0.25">
      <c r="A183" t="s">
        <v>1274</v>
      </c>
      <c r="B183" t="s">
        <v>1273</v>
      </c>
      <c r="C183">
        <f>MATCH(A183,mapPRC!A$2:A$1071,0)</f>
        <v>302</v>
      </c>
      <c r="G183" t="s">
        <v>1274</v>
      </c>
      <c r="H183" t="s">
        <v>1273</v>
      </c>
      <c r="I183">
        <f>MATCH(G183,mapPRC!$A$2:$A$1071,0)</f>
        <v>302</v>
      </c>
    </row>
    <row r="184" spans="1:9" x14ac:dyDescent="0.25">
      <c r="A184" t="s">
        <v>1272</v>
      </c>
      <c r="B184" t="s">
        <v>1271</v>
      </c>
      <c r="C184">
        <f>MATCH(A184,mapPRC!A$2:A$1071,0)</f>
        <v>303</v>
      </c>
      <c r="G184" t="s">
        <v>1272</v>
      </c>
      <c r="H184" t="s">
        <v>1271</v>
      </c>
      <c r="I184">
        <f>MATCH(G184,mapPRC!$A$2:$A$1071,0)</f>
        <v>303</v>
      </c>
    </row>
    <row r="185" spans="1:9" x14ac:dyDescent="0.25">
      <c r="A185" t="s">
        <v>1270</v>
      </c>
      <c r="B185" t="s">
        <v>1269</v>
      </c>
      <c r="C185">
        <f>MATCH(A185,mapPRC!A$2:A$1071,0)</f>
        <v>304</v>
      </c>
      <c r="G185" t="s">
        <v>1270</v>
      </c>
      <c r="H185" t="s">
        <v>1269</v>
      </c>
      <c r="I185">
        <f>MATCH(G185,mapPRC!$A$2:$A$1071,0)</f>
        <v>304</v>
      </c>
    </row>
    <row r="186" spans="1:9" x14ac:dyDescent="0.25">
      <c r="A186" t="s">
        <v>1268</v>
      </c>
      <c r="B186" t="s">
        <v>1267</v>
      </c>
      <c r="C186">
        <f>MATCH(A186,mapPRC!A$2:A$1071,0)</f>
        <v>305</v>
      </c>
      <c r="G186" t="s">
        <v>1268</v>
      </c>
      <c r="H186" t="s">
        <v>1267</v>
      </c>
      <c r="I186">
        <f>MATCH(G186,mapPRC!$A$2:$A$1071,0)</f>
        <v>305</v>
      </c>
    </row>
    <row r="187" spans="1:9" x14ac:dyDescent="0.25">
      <c r="A187" t="s">
        <v>1261</v>
      </c>
      <c r="B187" t="s">
        <v>1260</v>
      </c>
      <c r="C187">
        <f>MATCH(A187,mapPRC!A$2:A$1071,0)</f>
        <v>313</v>
      </c>
      <c r="G187" t="s">
        <v>1261</v>
      </c>
      <c r="H187" t="s">
        <v>1260</v>
      </c>
      <c r="I187">
        <f>MATCH(G187,mapPRC!$A$2:$A$1071,0)</f>
        <v>313</v>
      </c>
    </row>
    <row r="188" spans="1:9" x14ac:dyDescent="0.25">
      <c r="A188" t="s">
        <v>1259</v>
      </c>
      <c r="B188" t="s">
        <v>1258</v>
      </c>
      <c r="C188">
        <f>MATCH(A188,mapPRC!A$2:A$1071,0)</f>
        <v>314</v>
      </c>
      <c r="G188" t="s">
        <v>1259</v>
      </c>
      <c r="H188" t="s">
        <v>1258</v>
      </c>
      <c r="I188">
        <f>MATCH(G188,mapPRC!$A$2:$A$1071,0)</f>
        <v>314</v>
      </c>
    </row>
    <row r="189" spans="1:9" x14ac:dyDescent="0.25">
      <c r="A189" t="s">
        <v>1257</v>
      </c>
      <c r="B189" t="s">
        <v>1256</v>
      </c>
      <c r="C189">
        <f>MATCH(A189,mapPRC!A$2:A$1071,0)</f>
        <v>315</v>
      </c>
      <c r="G189" t="s">
        <v>1257</v>
      </c>
      <c r="H189" t="s">
        <v>1256</v>
      </c>
      <c r="I189">
        <f>MATCH(G189,mapPRC!$A$2:$A$1071,0)</f>
        <v>315</v>
      </c>
    </row>
    <row r="190" spans="1:9" x14ac:dyDescent="0.25">
      <c r="A190" t="s">
        <v>1255</v>
      </c>
      <c r="B190" t="s">
        <v>1254</v>
      </c>
      <c r="C190">
        <f>MATCH(A190,mapPRC!A$2:A$1071,0)</f>
        <v>316</v>
      </c>
      <c r="G190" t="s">
        <v>1255</v>
      </c>
      <c r="H190" t="s">
        <v>1254</v>
      </c>
      <c r="I190">
        <f>MATCH(G190,mapPRC!$A$2:$A$1071,0)</f>
        <v>316</v>
      </c>
    </row>
    <row r="191" spans="1:9" x14ac:dyDescent="0.25">
      <c r="A191" t="s">
        <v>1253</v>
      </c>
      <c r="B191" t="s">
        <v>1252</v>
      </c>
      <c r="C191">
        <f>MATCH(A191,mapPRC!A$2:A$1071,0)</f>
        <v>317</v>
      </c>
      <c r="G191" t="s">
        <v>1253</v>
      </c>
      <c r="H191" t="s">
        <v>1252</v>
      </c>
      <c r="I191">
        <f>MATCH(G191,mapPRC!$A$2:$A$1071,0)</f>
        <v>317</v>
      </c>
    </row>
    <row r="192" spans="1:9" x14ac:dyDescent="0.25">
      <c r="A192" t="s">
        <v>1251</v>
      </c>
      <c r="B192" t="s">
        <v>1250</v>
      </c>
      <c r="C192">
        <f>MATCH(A192,mapPRC!A$2:A$1071,0)</f>
        <v>318</v>
      </c>
      <c r="G192" t="s">
        <v>1251</v>
      </c>
      <c r="H192" t="s">
        <v>1250</v>
      </c>
      <c r="I192">
        <f>MATCH(G192,mapPRC!$A$2:$A$1071,0)</f>
        <v>318</v>
      </c>
    </row>
    <row r="193" spans="1:10" x14ac:dyDescent="0.25">
      <c r="A193" t="s">
        <v>1249</v>
      </c>
      <c r="B193" t="s">
        <v>1248</v>
      </c>
      <c r="C193">
        <f>MATCH(A193,mapPRC!A$2:A$1071,0)</f>
        <v>319</v>
      </c>
      <c r="G193" t="s">
        <v>1249</v>
      </c>
      <c r="H193" t="s">
        <v>1248</v>
      </c>
      <c r="I193">
        <f>MATCH(G193,mapPRC!$A$2:$A$1071,0)</f>
        <v>319</v>
      </c>
    </row>
    <row r="194" spans="1:10" x14ac:dyDescent="0.25">
      <c r="A194" t="s">
        <v>1247</v>
      </c>
      <c r="B194" t="s">
        <v>1246</v>
      </c>
      <c r="C194">
        <f>MATCH(A194,mapPRC!A$2:A$1071,0)</f>
        <v>320</v>
      </c>
      <c r="G194" t="s">
        <v>1247</v>
      </c>
      <c r="H194" t="s">
        <v>1246</v>
      </c>
      <c r="I194">
        <f>MATCH(G194,mapPRC!$A$2:$A$1071,0)</f>
        <v>320</v>
      </c>
    </row>
    <row r="195" spans="1:10" x14ac:dyDescent="0.25">
      <c r="A195" t="s">
        <v>1245</v>
      </c>
      <c r="B195" t="s">
        <v>1244</v>
      </c>
      <c r="C195">
        <f>MATCH(A195,mapPRC!A$2:A$1071,0)</f>
        <v>321</v>
      </c>
      <c r="G195" t="s">
        <v>1245</v>
      </c>
      <c r="H195" t="s">
        <v>1244</v>
      </c>
      <c r="I195">
        <f>MATCH(G195,mapPRC!$A$2:$A$1071,0)</f>
        <v>321</v>
      </c>
    </row>
    <row r="196" spans="1:10" x14ac:dyDescent="0.25">
      <c r="A196" t="s">
        <v>1243</v>
      </c>
      <c r="B196" t="s">
        <v>1236</v>
      </c>
      <c r="C196">
        <f>MATCH(A196,mapPRC!A$2:A$1071,0)</f>
        <v>322</v>
      </c>
      <c r="G196" t="s">
        <v>1243</v>
      </c>
      <c r="H196" t="s">
        <v>1236</v>
      </c>
      <c r="I196">
        <f>MATCH(G196,mapPRC!$A$2:$A$1071,0)</f>
        <v>322</v>
      </c>
    </row>
    <row r="197" spans="1:10" x14ac:dyDescent="0.25">
      <c r="A197" t="s">
        <v>1242</v>
      </c>
      <c r="B197" t="s">
        <v>1236</v>
      </c>
      <c r="C197">
        <f>MATCH(A197,mapPRC!A$2:A$1071,0)</f>
        <v>323</v>
      </c>
      <c r="G197" t="s">
        <v>1242</v>
      </c>
      <c r="H197" t="s">
        <v>1236</v>
      </c>
      <c r="I197">
        <f>MATCH(G197,mapPRC!$A$2:$A$1071,0)</f>
        <v>323</v>
      </c>
    </row>
    <row r="198" spans="1:10" x14ac:dyDescent="0.25">
      <c r="A198" t="s">
        <v>1241</v>
      </c>
      <c r="B198" t="s">
        <v>1236</v>
      </c>
      <c r="C198">
        <f>MATCH(A198,mapPRC!A$2:A$1071,0)</f>
        <v>324</v>
      </c>
      <c r="G198" t="s">
        <v>1241</v>
      </c>
      <c r="H198" t="s">
        <v>1236</v>
      </c>
      <c r="I198">
        <f>MATCH(G198,mapPRC!$A$2:$A$1071,0)</f>
        <v>324</v>
      </c>
    </row>
    <row r="199" spans="1:10" x14ac:dyDescent="0.25">
      <c r="A199" t="s">
        <v>1240</v>
      </c>
      <c r="B199" t="s">
        <v>1236</v>
      </c>
      <c r="C199">
        <f>MATCH(A199,mapPRC!A$2:A$1071,0)</f>
        <v>327</v>
      </c>
      <c r="G199" t="s">
        <v>1240</v>
      </c>
      <c r="H199" t="s">
        <v>1236</v>
      </c>
      <c r="I199">
        <f>MATCH(G199,mapPRC!$A$2:$A$1071,0)</f>
        <v>327</v>
      </c>
    </row>
    <row r="200" spans="1:10" x14ac:dyDescent="0.25">
      <c r="A200" t="s">
        <v>1239</v>
      </c>
      <c r="B200" t="s">
        <v>1236</v>
      </c>
      <c r="C200">
        <f>MATCH(A200,mapPRC!A$2:A$1071,0)</f>
        <v>328</v>
      </c>
      <c r="G200" t="s">
        <v>1239</v>
      </c>
      <c r="H200" t="s">
        <v>1236</v>
      </c>
      <c r="I200">
        <f>MATCH(G200,mapPRC!$A$2:$A$1071,0)</f>
        <v>328</v>
      </c>
    </row>
    <row r="201" spans="1:10" x14ac:dyDescent="0.25">
      <c r="A201" t="s">
        <v>1238</v>
      </c>
      <c r="B201" t="s">
        <v>1236</v>
      </c>
      <c r="C201">
        <f>MATCH(A201,mapPRC!A$2:A$1071,0)</f>
        <v>329</v>
      </c>
      <c r="G201" t="s">
        <v>1238</v>
      </c>
      <c r="H201" t="s">
        <v>1236</v>
      </c>
      <c r="I201">
        <f>MATCH(G201,mapPRC!$A$2:$A$1071,0)</f>
        <v>329</v>
      </c>
    </row>
    <row r="202" spans="1:10" x14ac:dyDescent="0.25">
      <c r="A202" t="s">
        <v>1237</v>
      </c>
      <c r="B202" t="s">
        <v>1236</v>
      </c>
      <c r="C202">
        <f>MATCH(A202,mapPRC!A$2:A$1071,0)</f>
        <v>330</v>
      </c>
      <c r="G202" t="s">
        <v>1237</v>
      </c>
      <c r="H202" t="s">
        <v>1236</v>
      </c>
      <c r="I202">
        <f>MATCH(G202,mapPRC!$A$2:$A$1071,0)</f>
        <v>330</v>
      </c>
    </row>
    <row r="203" spans="1:10" x14ac:dyDescent="0.25">
      <c r="A203" t="s">
        <v>3493</v>
      </c>
      <c r="B203" t="s">
        <v>3494</v>
      </c>
      <c r="C203">
        <f>MATCH(A203,mapPRC!A$2:A$1071,0)</f>
        <v>310</v>
      </c>
      <c r="D203">
        <v>1</v>
      </c>
      <c r="G203" t="s">
        <v>3493</v>
      </c>
      <c r="H203" t="s">
        <v>3494</v>
      </c>
      <c r="I203">
        <f>MATCH(G203,mapPRC!$A$2:$A$1071,0)</f>
        <v>310</v>
      </c>
    </row>
    <row r="204" spans="1:10" x14ac:dyDescent="0.25">
      <c r="A204" t="s">
        <v>3495</v>
      </c>
      <c r="B204" t="s">
        <v>3496</v>
      </c>
      <c r="C204">
        <f>MATCH(A204,mapPRC!A$2:A$1071,0)</f>
        <v>311</v>
      </c>
      <c r="D204">
        <v>1</v>
      </c>
      <c r="G204" t="s">
        <v>3495</v>
      </c>
      <c r="H204" t="s">
        <v>3496</v>
      </c>
      <c r="I204">
        <f>MATCH(G204,mapPRC!$A$2:$A$1071,0)</f>
        <v>311</v>
      </c>
    </row>
    <row r="205" spans="1:10" x14ac:dyDescent="0.25">
      <c r="A205" t="s">
        <v>3497</v>
      </c>
      <c r="B205" t="s">
        <v>3498</v>
      </c>
      <c r="C205">
        <f>MATCH(A205,mapPRC!A$2:A$1071,0)</f>
        <v>312</v>
      </c>
      <c r="D205">
        <v>1</v>
      </c>
      <c r="G205" t="s">
        <v>3497</v>
      </c>
      <c r="H205" t="s">
        <v>3498</v>
      </c>
      <c r="I205">
        <f>MATCH(G205,mapPRC!$A$2:$A$1071,0)</f>
        <v>312</v>
      </c>
    </row>
    <row r="206" spans="1:10" x14ac:dyDescent="0.25">
      <c r="A206" t="s">
        <v>1231</v>
      </c>
      <c r="B206" t="s">
        <v>1230</v>
      </c>
      <c r="C206">
        <f>MATCH(A206,mapPRC!A$2:A$1071,0)</f>
        <v>334</v>
      </c>
      <c r="G206" t="s">
        <v>3723</v>
      </c>
      <c r="H206" t="s">
        <v>3724</v>
      </c>
      <c r="I206">
        <f>MATCH(G206,mapPRC!$A$2:$A$1071,0)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MATCH(A207,mapPRC!A$2:A$1071,0)</f>
        <v>335</v>
      </c>
      <c r="G207" t="s">
        <v>3725</v>
      </c>
      <c r="H207" t="s">
        <v>3726</v>
      </c>
      <c r="I207">
        <f>MATCH(G207,mapPRC!$A$2:$A$1071,0)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MATCH(A208,mapPRC!A$2:A$1071,0)</f>
        <v>336</v>
      </c>
      <c r="G208" t="s">
        <v>3727</v>
      </c>
      <c r="H208" t="s">
        <v>3728</v>
      </c>
      <c r="I208">
        <f>MATCH(G208,mapPRC!$A$2:$A$1071,0)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MATCH(A209,mapPRC!A$2:A$1071,0)</f>
        <v>337</v>
      </c>
      <c r="G209" t="s">
        <v>1231</v>
      </c>
      <c r="H209" t="s">
        <v>1230</v>
      </c>
      <c r="I209">
        <f>MATCH(G209,mapPRC!$A$2:$A$1071,0)</f>
        <v>334</v>
      </c>
    </row>
    <row r="210" spans="1:9" x14ac:dyDescent="0.25">
      <c r="A210" t="s">
        <v>1222</v>
      </c>
      <c r="B210" t="s">
        <v>1221</v>
      </c>
      <c r="C210">
        <f>MATCH(A210,mapPRC!A$2:A$1071,0)</f>
        <v>338</v>
      </c>
      <c r="G210" t="s">
        <v>1234</v>
      </c>
      <c r="H210" t="s">
        <v>1232</v>
      </c>
      <c r="I210">
        <f>MATCH(G210,mapPRC!$A$2:$A$1071,0)</f>
        <v>335</v>
      </c>
    </row>
    <row r="211" spans="1:9" x14ac:dyDescent="0.25">
      <c r="A211" t="s">
        <v>1225</v>
      </c>
      <c r="B211" t="s">
        <v>1223</v>
      </c>
      <c r="C211">
        <f>MATCH(A211,mapPRC!A$2:A$1071,0)</f>
        <v>339</v>
      </c>
      <c r="G211" t="s">
        <v>1233</v>
      </c>
      <c r="H211" t="s">
        <v>1232</v>
      </c>
      <c r="I211">
        <f>MATCH(G211,mapPRC!$A$2:$A$1071,0)</f>
        <v>336</v>
      </c>
    </row>
    <row r="212" spans="1:9" x14ac:dyDescent="0.25">
      <c r="A212" t="s">
        <v>1224</v>
      </c>
      <c r="B212" t="s">
        <v>1223</v>
      </c>
      <c r="C212">
        <f>MATCH(A212,mapPRC!A$2:A$1071,0)</f>
        <v>340</v>
      </c>
      <c r="G212" t="s">
        <v>1228</v>
      </c>
      <c r="H212" t="s">
        <v>1227</v>
      </c>
      <c r="I212">
        <f>MATCH(G212,mapPRC!$A$2:$A$1071,0)</f>
        <v>337</v>
      </c>
    </row>
    <row r="213" spans="1:9" x14ac:dyDescent="0.25">
      <c r="A213" t="s">
        <v>1219</v>
      </c>
      <c r="B213" t="s">
        <v>1218</v>
      </c>
      <c r="C213">
        <f>MATCH(A213,mapPRC!A$2:A$1071,0)</f>
        <v>341</v>
      </c>
      <c r="G213" t="s">
        <v>1222</v>
      </c>
      <c r="H213" t="s">
        <v>1221</v>
      </c>
      <c r="I213">
        <f>MATCH(G213,mapPRC!$A$2:$A$1071,0)</f>
        <v>338</v>
      </c>
    </row>
    <row r="214" spans="1:9" x14ac:dyDescent="0.25">
      <c r="A214" t="s">
        <v>1213</v>
      </c>
      <c r="B214" t="s">
        <v>1212</v>
      </c>
      <c r="C214">
        <f>MATCH(A214,mapPRC!A$2:A$1071,0)</f>
        <v>342</v>
      </c>
      <c r="G214" t="s">
        <v>1225</v>
      </c>
      <c r="H214" t="s">
        <v>1223</v>
      </c>
      <c r="I214">
        <f>MATCH(G214,mapPRC!$A$2:$A$1071,0)</f>
        <v>339</v>
      </c>
    </row>
    <row r="215" spans="1:9" x14ac:dyDescent="0.25">
      <c r="A215" t="s">
        <v>1216</v>
      </c>
      <c r="B215" t="s">
        <v>1212</v>
      </c>
      <c r="C215">
        <f>MATCH(A215,mapPRC!A$2:A$1071,0)</f>
        <v>343</v>
      </c>
      <c r="G215" t="s">
        <v>1224</v>
      </c>
      <c r="H215" t="s">
        <v>1223</v>
      </c>
      <c r="I215">
        <f>MATCH(G215,mapPRC!$A$2:$A$1071,0)</f>
        <v>340</v>
      </c>
    </row>
    <row r="216" spans="1:9" x14ac:dyDescent="0.25">
      <c r="A216" t="s">
        <v>1215</v>
      </c>
      <c r="B216" t="s">
        <v>1214</v>
      </c>
      <c r="C216">
        <f>MATCH(A216,mapPRC!A$2:A$1071,0)</f>
        <v>344</v>
      </c>
      <c r="G216" t="s">
        <v>1219</v>
      </c>
      <c r="H216" t="s">
        <v>1218</v>
      </c>
      <c r="I216">
        <f>MATCH(G216,mapPRC!$A$2:$A$1071,0)</f>
        <v>341</v>
      </c>
    </row>
    <row r="217" spans="1:9" x14ac:dyDescent="0.25">
      <c r="A217" t="s">
        <v>1210</v>
      </c>
      <c r="B217" t="s">
        <v>1207</v>
      </c>
      <c r="C217">
        <f>MATCH(A217,mapPRC!A$2:A$1071,0)</f>
        <v>345</v>
      </c>
      <c r="G217" t="s">
        <v>1213</v>
      </c>
      <c r="H217" t="s">
        <v>1212</v>
      </c>
      <c r="I217">
        <f>MATCH(G217,mapPRC!$A$2:$A$1071,0)</f>
        <v>342</v>
      </c>
    </row>
    <row r="218" spans="1:9" x14ac:dyDescent="0.25">
      <c r="A218" t="s">
        <v>1208</v>
      </c>
      <c r="B218" t="s">
        <v>1207</v>
      </c>
      <c r="C218">
        <f>MATCH(A218,mapPRC!A$2:A$1071,0)</f>
        <v>346</v>
      </c>
      <c r="G218" t="s">
        <v>1216</v>
      </c>
      <c r="H218" t="s">
        <v>1212</v>
      </c>
      <c r="I218">
        <f>MATCH(G218,mapPRC!$A$2:$A$1071,0)</f>
        <v>343</v>
      </c>
    </row>
    <row r="219" spans="1:9" x14ac:dyDescent="0.25">
      <c r="A219" t="s">
        <v>3499</v>
      </c>
      <c r="B219" t="s">
        <v>3500</v>
      </c>
      <c r="C219">
        <f>MATCH(A219,mapPRC!A$2:A$1071,0)</f>
        <v>352</v>
      </c>
      <c r="D219">
        <v>1</v>
      </c>
      <c r="G219" t="s">
        <v>1215</v>
      </c>
      <c r="H219" t="s">
        <v>1214</v>
      </c>
      <c r="I219">
        <f>MATCH(G219,mapPRC!$A$2:$A$1071,0)</f>
        <v>344</v>
      </c>
    </row>
    <row r="220" spans="1:9" x14ac:dyDescent="0.25">
      <c r="A220" t="s">
        <v>3501</v>
      </c>
      <c r="B220" t="s">
        <v>3502</v>
      </c>
      <c r="C220">
        <f>MATCH(A220,mapPRC!A$2:A$1071,0)</f>
        <v>353</v>
      </c>
      <c r="D220">
        <v>1</v>
      </c>
      <c r="G220" t="s">
        <v>1210</v>
      </c>
      <c r="H220" t="s">
        <v>1207</v>
      </c>
      <c r="I220">
        <f>MATCH(G220,mapPRC!$A$2:$A$1071,0)</f>
        <v>345</v>
      </c>
    </row>
    <row r="221" spans="1:9" x14ac:dyDescent="0.25">
      <c r="A221" t="s">
        <v>3075</v>
      </c>
      <c r="B221" t="s">
        <v>3076</v>
      </c>
      <c r="C221">
        <f>MATCH(A221,mapPRC!A$2:A$1071,0)</f>
        <v>347</v>
      </c>
      <c r="G221" t="s">
        <v>1208</v>
      </c>
      <c r="H221" t="s">
        <v>1207</v>
      </c>
      <c r="I221">
        <f>MATCH(G221,mapPRC!$A$2:$A$1071,0)</f>
        <v>346</v>
      </c>
    </row>
    <row r="222" spans="1:9" x14ac:dyDescent="0.25">
      <c r="A222" t="s">
        <v>3077</v>
      </c>
      <c r="B222" t="s">
        <v>3078</v>
      </c>
      <c r="C222">
        <f>MATCH(A222,mapPRC!A$2:A$1071,0)</f>
        <v>348</v>
      </c>
      <c r="G222" t="s">
        <v>3499</v>
      </c>
      <c r="H222" t="s">
        <v>3500</v>
      </c>
      <c r="I222">
        <f>MATCH(G222,mapPRC!$A$2:$A$1071,0)</f>
        <v>352</v>
      </c>
    </row>
    <row r="223" spans="1:9" x14ac:dyDescent="0.25">
      <c r="A223" t="s">
        <v>3079</v>
      </c>
      <c r="B223" t="s">
        <v>3080</v>
      </c>
      <c r="C223">
        <f>MATCH(A223,mapPRC!A$2:A$1071,0)</f>
        <v>349</v>
      </c>
      <c r="G223" t="s">
        <v>3501</v>
      </c>
      <c r="H223" t="s">
        <v>3502</v>
      </c>
      <c r="I223">
        <f>MATCH(G223,mapPRC!$A$2:$A$1071,0)</f>
        <v>353</v>
      </c>
    </row>
    <row r="224" spans="1:9" x14ac:dyDescent="0.25">
      <c r="A224" t="s">
        <v>3081</v>
      </c>
      <c r="B224" t="s">
        <v>3082</v>
      </c>
      <c r="C224">
        <f>MATCH(A224,mapPRC!A$2:A$1071,0)</f>
        <v>350</v>
      </c>
      <c r="G224" t="s">
        <v>3075</v>
      </c>
      <c r="H224" t="s">
        <v>3076</v>
      </c>
      <c r="I224">
        <f>MATCH(G224,mapPRC!$A$2:$A$1071,0)</f>
        <v>347</v>
      </c>
    </row>
    <row r="225" spans="1:9" x14ac:dyDescent="0.25">
      <c r="A225" t="s">
        <v>1202</v>
      </c>
      <c r="B225" t="s">
        <v>1201</v>
      </c>
      <c r="C225">
        <f>MATCH(A225,mapPRC!A$2:A$1071,0)</f>
        <v>355</v>
      </c>
      <c r="G225" t="s">
        <v>3077</v>
      </c>
      <c r="H225" t="s">
        <v>3078</v>
      </c>
      <c r="I225">
        <f>MATCH(G225,mapPRC!$A$2:$A$1071,0)</f>
        <v>348</v>
      </c>
    </row>
    <row r="226" spans="1:9" x14ac:dyDescent="0.25">
      <c r="A226" t="s">
        <v>1205</v>
      </c>
      <c r="B226" t="s">
        <v>1203</v>
      </c>
      <c r="C226">
        <f>MATCH(A226,mapPRC!A$2:A$1071,0)</f>
        <v>356</v>
      </c>
      <c r="G226" t="s">
        <v>3079</v>
      </c>
      <c r="H226" t="s">
        <v>3080</v>
      </c>
      <c r="I226">
        <f>MATCH(G226,mapPRC!$A$2:$A$1071,0)</f>
        <v>349</v>
      </c>
    </row>
    <row r="227" spans="1:9" x14ac:dyDescent="0.25">
      <c r="A227" t="s">
        <v>1204</v>
      </c>
      <c r="B227" t="s">
        <v>1203</v>
      </c>
      <c r="C227">
        <f>MATCH(A227,mapPRC!A$2:A$1071,0)</f>
        <v>357</v>
      </c>
      <c r="G227" t="s">
        <v>3081</v>
      </c>
      <c r="H227" t="s">
        <v>3082</v>
      </c>
      <c r="I227">
        <f>MATCH(G227,mapPRC!$A$2:$A$1071,0)</f>
        <v>350</v>
      </c>
    </row>
    <row r="228" spans="1:9" x14ac:dyDescent="0.25">
      <c r="A228" t="s">
        <v>1197</v>
      </c>
      <c r="B228" t="s">
        <v>1194</v>
      </c>
      <c r="C228">
        <f>MATCH(A228,mapPRC!A$2:A$1071,0)</f>
        <v>358</v>
      </c>
      <c r="G228" t="s">
        <v>1202</v>
      </c>
      <c r="H228" t="s">
        <v>1201</v>
      </c>
      <c r="I228">
        <f>MATCH(G228,mapPRC!$A$2:$A$1071,0)</f>
        <v>355</v>
      </c>
    </row>
    <row r="229" spans="1:9" x14ac:dyDescent="0.25">
      <c r="A229" t="s">
        <v>1199</v>
      </c>
      <c r="B229" t="s">
        <v>1194</v>
      </c>
      <c r="C229">
        <f>MATCH(A229,mapPRC!A$2:A$1071,0)</f>
        <v>359</v>
      </c>
      <c r="G229" t="s">
        <v>1205</v>
      </c>
      <c r="H229" t="s">
        <v>1203</v>
      </c>
      <c r="I229">
        <f>MATCH(G229,mapPRC!$A$2:$A$1071,0)</f>
        <v>356</v>
      </c>
    </row>
    <row r="230" spans="1:9" x14ac:dyDescent="0.25">
      <c r="A230" t="s">
        <v>1198</v>
      </c>
      <c r="B230" t="s">
        <v>1194</v>
      </c>
      <c r="C230">
        <f>MATCH(A230,mapPRC!A$2:A$1071,0)</f>
        <v>360</v>
      </c>
      <c r="G230" t="s">
        <v>1204</v>
      </c>
      <c r="H230" t="s">
        <v>1203</v>
      </c>
      <c r="I230">
        <f>MATCH(G230,mapPRC!$A$2:$A$1071,0)</f>
        <v>357</v>
      </c>
    </row>
    <row r="231" spans="1:9" x14ac:dyDescent="0.25">
      <c r="A231" t="s">
        <v>1195</v>
      </c>
      <c r="B231" t="s">
        <v>1194</v>
      </c>
      <c r="C231">
        <f>MATCH(A231,mapPRC!A$2:A$1071,0)</f>
        <v>361</v>
      </c>
      <c r="G231" t="s">
        <v>1197</v>
      </c>
      <c r="H231" t="s">
        <v>1194</v>
      </c>
      <c r="I231">
        <f>MATCH(G231,mapPRC!$A$2:$A$1071,0)</f>
        <v>358</v>
      </c>
    </row>
    <row r="232" spans="1:9" x14ac:dyDescent="0.25">
      <c r="A232" t="s">
        <v>3503</v>
      </c>
      <c r="B232" t="s">
        <v>3085</v>
      </c>
      <c r="C232">
        <f>MATCH(A232,mapPRC!A$2:A$1071,0)</f>
        <v>354</v>
      </c>
      <c r="D232">
        <v>1</v>
      </c>
      <c r="G232" t="s">
        <v>1199</v>
      </c>
      <c r="H232" t="s">
        <v>1194</v>
      </c>
      <c r="I232">
        <f>MATCH(G232,mapPRC!$A$2:$A$1071,0)</f>
        <v>359</v>
      </c>
    </row>
    <row r="233" spans="1:9" x14ac:dyDescent="0.25">
      <c r="A233" t="s">
        <v>1191</v>
      </c>
      <c r="B233" t="s">
        <v>1190</v>
      </c>
      <c r="C233">
        <f>MATCH(A233,mapPRC!A$2:A$1071,0)</f>
        <v>362</v>
      </c>
      <c r="G233" t="s">
        <v>1198</v>
      </c>
      <c r="H233" t="s">
        <v>1194</v>
      </c>
      <c r="I233">
        <f>MATCH(G233,mapPRC!$A$2:$A$1071,0)</f>
        <v>360</v>
      </c>
    </row>
    <row r="234" spans="1:9" x14ac:dyDescent="0.25">
      <c r="A234" t="s">
        <v>1189</v>
      </c>
      <c r="B234" t="s">
        <v>1188</v>
      </c>
      <c r="C234">
        <f>MATCH(A234,mapPRC!A$2:A$1071,0)</f>
        <v>363</v>
      </c>
      <c r="G234" t="s">
        <v>1195</v>
      </c>
      <c r="H234" t="s">
        <v>1194</v>
      </c>
      <c r="I234">
        <f>MATCH(G234,mapPRC!$A$2:$A$1071,0)</f>
        <v>361</v>
      </c>
    </row>
    <row r="235" spans="1:9" x14ac:dyDescent="0.25">
      <c r="A235" t="s">
        <v>1187</v>
      </c>
      <c r="B235" t="s">
        <v>1186</v>
      </c>
      <c r="C235">
        <f>MATCH(A235,mapPRC!A$2:A$1071,0)</f>
        <v>364</v>
      </c>
      <c r="G235" t="s">
        <v>3503</v>
      </c>
      <c r="H235" t="s">
        <v>3085</v>
      </c>
      <c r="I235">
        <f>MATCH(G235,mapPRC!$A$2:$A$1071,0)</f>
        <v>354</v>
      </c>
    </row>
    <row r="236" spans="1:9" x14ac:dyDescent="0.25">
      <c r="A236" t="s">
        <v>1185</v>
      </c>
      <c r="B236" t="s">
        <v>1184</v>
      </c>
      <c r="C236">
        <f>MATCH(A236,mapPRC!A$2:A$1071,0)</f>
        <v>365</v>
      </c>
      <c r="G236" t="s">
        <v>1191</v>
      </c>
      <c r="H236" t="s">
        <v>1190</v>
      </c>
      <c r="I236">
        <f>MATCH(G236,mapPRC!$A$2:$A$1071,0)</f>
        <v>362</v>
      </c>
    </row>
    <row r="237" spans="1:9" x14ac:dyDescent="0.25">
      <c r="A237" t="s">
        <v>1183</v>
      </c>
      <c r="B237" t="s">
        <v>1182</v>
      </c>
      <c r="C237">
        <f>MATCH(A237,mapPRC!A$2:A$1071,0)</f>
        <v>366</v>
      </c>
      <c r="G237" t="s">
        <v>1189</v>
      </c>
      <c r="H237" t="s">
        <v>1188</v>
      </c>
      <c r="I237">
        <f>MATCH(G237,mapPRC!$A$2:$A$1071,0)</f>
        <v>363</v>
      </c>
    </row>
    <row r="238" spans="1:9" x14ac:dyDescent="0.25">
      <c r="A238" t="s">
        <v>1181</v>
      </c>
      <c r="B238" t="s">
        <v>1180</v>
      </c>
      <c r="C238">
        <f>MATCH(A238,mapPRC!A$2:A$1071,0)</f>
        <v>367</v>
      </c>
      <c r="G238" t="s">
        <v>1187</v>
      </c>
      <c r="H238" t="s">
        <v>1186</v>
      </c>
      <c r="I238">
        <f>MATCH(G238,mapPRC!$A$2:$A$1071,0)</f>
        <v>364</v>
      </c>
    </row>
    <row r="239" spans="1:9" x14ac:dyDescent="0.25">
      <c r="A239" t="s">
        <v>1179</v>
      </c>
      <c r="B239" t="s">
        <v>1178</v>
      </c>
      <c r="C239">
        <f>MATCH(A239,mapPRC!A$2:A$1071,0)</f>
        <v>368</v>
      </c>
      <c r="G239" t="s">
        <v>1185</v>
      </c>
      <c r="H239" t="s">
        <v>1184</v>
      </c>
      <c r="I239">
        <f>MATCH(G239,mapPRC!$A$2:$A$1071,0)</f>
        <v>365</v>
      </c>
    </row>
    <row r="240" spans="1:9" x14ac:dyDescent="0.25">
      <c r="A240" t="s">
        <v>1177</v>
      </c>
      <c r="B240" t="s">
        <v>1176</v>
      </c>
      <c r="C240">
        <f>MATCH(A240,mapPRC!A$2:A$1071,0)</f>
        <v>369</v>
      </c>
      <c r="G240" t="s">
        <v>1183</v>
      </c>
      <c r="H240" t="s">
        <v>1182</v>
      </c>
      <c r="I240">
        <f>MATCH(G240,mapPRC!$A$2:$A$1071,0)</f>
        <v>366</v>
      </c>
    </row>
    <row r="241" spans="1:9" x14ac:dyDescent="0.25">
      <c r="A241" t="s">
        <v>1175</v>
      </c>
      <c r="B241" t="s">
        <v>1174</v>
      </c>
      <c r="C241">
        <f>MATCH(A241,mapPRC!A$2:A$1071,0)</f>
        <v>370</v>
      </c>
      <c r="G241" t="s">
        <v>1181</v>
      </c>
      <c r="H241" t="s">
        <v>1180</v>
      </c>
      <c r="I241">
        <f>MATCH(G241,mapPRC!$A$2:$A$1071,0)</f>
        <v>367</v>
      </c>
    </row>
    <row r="242" spans="1:9" x14ac:dyDescent="0.25">
      <c r="A242" t="s">
        <v>3504</v>
      </c>
      <c r="B242" t="s">
        <v>3505</v>
      </c>
      <c r="C242">
        <f>MATCH(A242,mapPRC!A$2:A$1071,0)</f>
        <v>372</v>
      </c>
      <c r="D242">
        <v>1</v>
      </c>
      <c r="G242" t="s">
        <v>1179</v>
      </c>
      <c r="H242" t="s">
        <v>1178</v>
      </c>
      <c r="I242">
        <f>MATCH(G242,mapPRC!$A$2:$A$1071,0)</f>
        <v>368</v>
      </c>
    </row>
    <row r="243" spans="1:9" x14ac:dyDescent="0.25">
      <c r="A243" t="s">
        <v>1173</v>
      </c>
      <c r="B243" t="s">
        <v>1172</v>
      </c>
      <c r="C243">
        <f>MATCH(A243,mapPRC!A$2:A$1071,0)</f>
        <v>371</v>
      </c>
      <c r="G243" t="s">
        <v>1177</v>
      </c>
      <c r="H243" t="s">
        <v>1176</v>
      </c>
      <c r="I243">
        <f>MATCH(G243,mapPRC!$A$2:$A$1071,0)</f>
        <v>369</v>
      </c>
    </row>
    <row r="244" spans="1:9" x14ac:dyDescent="0.25">
      <c r="A244" t="s">
        <v>1171</v>
      </c>
      <c r="B244" t="s">
        <v>1170</v>
      </c>
      <c r="C244">
        <f>MATCH(A244,mapPRC!A$2:A$1071,0)</f>
        <v>373</v>
      </c>
      <c r="G244" t="s">
        <v>1175</v>
      </c>
      <c r="H244" t="s">
        <v>1174</v>
      </c>
      <c r="I244">
        <f>MATCH(G244,mapPRC!$A$2:$A$1071,0)</f>
        <v>370</v>
      </c>
    </row>
    <row r="245" spans="1:9" x14ac:dyDescent="0.25">
      <c r="A245" t="s">
        <v>1169</v>
      </c>
      <c r="B245" t="s">
        <v>1168</v>
      </c>
      <c r="C245">
        <f>MATCH(A245,mapPRC!A$2:A$1071,0)</f>
        <v>374</v>
      </c>
      <c r="G245" t="s">
        <v>3504</v>
      </c>
      <c r="H245" t="s">
        <v>3505</v>
      </c>
      <c r="I245">
        <f>MATCH(G245,mapPRC!$A$2:$A$1071,0)</f>
        <v>372</v>
      </c>
    </row>
    <row r="246" spans="1:9" x14ac:dyDescent="0.25">
      <c r="A246" t="s">
        <v>1167</v>
      </c>
      <c r="B246" t="s">
        <v>1166</v>
      </c>
      <c r="C246">
        <f>MATCH(A246,mapPRC!A$2:A$1071,0)</f>
        <v>377</v>
      </c>
      <c r="G246" t="s">
        <v>1173</v>
      </c>
      <c r="H246" t="s">
        <v>1172</v>
      </c>
      <c r="I246">
        <f>MATCH(G246,mapPRC!$A$2:$A$1071,0)</f>
        <v>371</v>
      </c>
    </row>
    <row r="247" spans="1:9" x14ac:dyDescent="0.25">
      <c r="A247" t="s">
        <v>1165</v>
      </c>
      <c r="B247" t="s">
        <v>1164</v>
      </c>
      <c r="C247">
        <f>MATCH(A247,mapPRC!A$2:A$1071,0)</f>
        <v>378</v>
      </c>
      <c r="G247" t="s">
        <v>1171</v>
      </c>
      <c r="H247" t="s">
        <v>1170</v>
      </c>
      <c r="I247">
        <f>MATCH(G247,mapPRC!$A$2:$A$1071,0)</f>
        <v>373</v>
      </c>
    </row>
    <row r="248" spans="1:9" x14ac:dyDescent="0.25">
      <c r="A248" t="s">
        <v>1163</v>
      </c>
      <c r="B248" t="s">
        <v>1162</v>
      </c>
      <c r="C248">
        <f>MATCH(A248,mapPRC!A$2:A$1071,0)</f>
        <v>379</v>
      </c>
      <c r="G248" t="s">
        <v>1169</v>
      </c>
      <c r="H248" t="s">
        <v>1168</v>
      </c>
      <c r="I248">
        <f>MATCH(G248,mapPRC!$A$2:$A$1071,0)</f>
        <v>374</v>
      </c>
    </row>
    <row r="249" spans="1:9" x14ac:dyDescent="0.25">
      <c r="A249" t="s">
        <v>1161</v>
      </c>
      <c r="B249" t="s">
        <v>1160</v>
      </c>
      <c r="C249">
        <f>MATCH(A249,mapPRC!A$2:A$1071,0)</f>
        <v>380</v>
      </c>
      <c r="G249" t="s">
        <v>1167</v>
      </c>
      <c r="H249" t="s">
        <v>1166</v>
      </c>
      <c r="I249">
        <f>MATCH(G249,mapPRC!$A$2:$A$1071,0)</f>
        <v>377</v>
      </c>
    </row>
    <row r="250" spans="1:9" x14ac:dyDescent="0.25">
      <c r="A250" t="s">
        <v>1158</v>
      </c>
      <c r="B250" t="s">
        <v>1157</v>
      </c>
      <c r="C250">
        <f>MATCH(A250,mapPRC!A$2:A$1071,0)</f>
        <v>381</v>
      </c>
      <c r="G250" t="s">
        <v>1165</v>
      </c>
      <c r="H250" t="s">
        <v>1164</v>
      </c>
      <c r="I250">
        <f>MATCH(G250,mapPRC!$A$2:$A$1071,0)</f>
        <v>378</v>
      </c>
    </row>
    <row r="251" spans="1:9" x14ac:dyDescent="0.25">
      <c r="A251" t="s">
        <v>1156</v>
      </c>
      <c r="B251" t="s">
        <v>1155</v>
      </c>
      <c r="C251">
        <f>MATCH(A251,mapPRC!A$2:A$1071,0)</f>
        <v>382</v>
      </c>
      <c r="G251" t="s">
        <v>1163</v>
      </c>
      <c r="H251" t="s">
        <v>1162</v>
      </c>
      <c r="I251">
        <f>MATCH(G251,mapPRC!$A$2:$A$1071,0)</f>
        <v>379</v>
      </c>
    </row>
    <row r="252" spans="1:9" x14ac:dyDescent="0.25">
      <c r="A252" t="s">
        <v>1154</v>
      </c>
      <c r="B252" t="s">
        <v>1153</v>
      </c>
      <c r="C252">
        <f>MATCH(A252,mapPRC!A$2:A$1071,0)</f>
        <v>383</v>
      </c>
      <c r="G252" t="s">
        <v>1161</v>
      </c>
      <c r="H252" t="s">
        <v>1160</v>
      </c>
      <c r="I252">
        <f>MATCH(G252,mapPRC!$A$2:$A$1071,0)</f>
        <v>380</v>
      </c>
    </row>
    <row r="253" spans="1:9" x14ac:dyDescent="0.25">
      <c r="A253" t="s">
        <v>1152</v>
      </c>
      <c r="B253" t="s">
        <v>1151</v>
      </c>
      <c r="C253">
        <f>MATCH(A253,mapPRC!A$2:A$1071,0)</f>
        <v>384</v>
      </c>
      <c r="G253" t="s">
        <v>1158</v>
      </c>
      <c r="H253" t="s">
        <v>1157</v>
      </c>
      <c r="I253">
        <f>MATCH(G253,mapPRC!$A$2:$A$1071,0)</f>
        <v>381</v>
      </c>
    </row>
    <row r="254" spans="1:9" x14ac:dyDescent="0.25">
      <c r="A254" t="s">
        <v>1150</v>
      </c>
      <c r="B254" t="s">
        <v>1149</v>
      </c>
      <c r="C254">
        <f>MATCH(A254,mapPRC!A$2:A$1071,0)</f>
        <v>385</v>
      </c>
      <c r="G254" t="s">
        <v>1156</v>
      </c>
      <c r="H254" t="s">
        <v>1155</v>
      </c>
      <c r="I254">
        <f>MATCH(G254,mapPRC!$A$2:$A$1071,0)</f>
        <v>382</v>
      </c>
    </row>
    <row r="255" spans="1:9" x14ac:dyDescent="0.25">
      <c r="A255" t="s">
        <v>1148</v>
      </c>
      <c r="B255" t="s">
        <v>1147</v>
      </c>
      <c r="C255">
        <f>MATCH(A255,mapPRC!A$2:A$1071,0)</f>
        <v>387</v>
      </c>
      <c r="G255" t="s">
        <v>1154</v>
      </c>
      <c r="H255" t="s">
        <v>1153</v>
      </c>
      <c r="I255">
        <f>MATCH(G255,mapPRC!$A$2:$A$1071,0)</f>
        <v>383</v>
      </c>
    </row>
    <row r="256" spans="1:9" x14ac:dyDescent="0.25">
      <c r="A256" t="s">
        <v>1146</v>
      </c>
      <c r="B256" t="s">
        <v>1145</v>
      </c>
      <c r="C256">
        <f>MATCH(A256,mapPRC!A$2:A$1071,0)</f>
        <v>388</v>
      </c>
      <c r="G256" t="s">
        <v>1152</v>
      </c>
      <c r="H256" t="s">
        <v>1151</v>
      </c>
      <c r="I256">
        <f>MATCH(G256,mapPRC!$A$2:$A$1071,0)</f>
        <v>384</v>
      </c>
    </row>
    <row r="257" spans="1:9" x14ac:dyDescent="0.25">
      <c r="A257" t="s">
        <v>1144</v>
      </c>
      <c r="B257" t="s">
        <v>1143</v>
      </c>
      <c r="C257">
        <f>MATCH(A257,mapPRC!A$2:A$1071,0)</f>
        <v>389</v>
      </c>
      <c r="G257" t="s">
        <v>1150</v>
      </c>
      <c r="H257" t="s">
        <v>1149</v>
      </c>
      <c r="I257">
        <f>MATCH(G257,mapPRC!$A$2:$A$1071,0)</f>
        <v>385</v>
      </c>
    </row>
    <row r="258" spans="1:9" x14ac:dyDescent="0.25">
      <c r="A258" t="s">
        <v>1142</v>
      </c>
      <c r="B258" t="s">
        <v>1141</v>
      </c>
      <c r="C258">
        <f>MATCH(A258,mapPRC!A$2:A$1071,0)</f>
        <v>390</v>
      </c>
      <c r="G258" t="s">
        <v>1148</v>
      </c>
      <c r="H258" t="s">
        <v>1147</v>
      </c>
      <c r="I258">
        <f>MATCH(G258,mapPRC!$A$2:$A$1071,0)</f>
        <v>387</v>
      </c>
    </row>
    <row r="259" spans="1:9" x14ac:dyDescent="0.25">
      <c r="A259" t="s">
        <v>1140</v>
      </c>
      <c r="B259" t="s">
        <v>1139</v>
      </c>
      <c r="C259">
        <f>MATCH(A259,mapPRC!A$2:A$1071,0)</f>
        <v>391</v>
      </c>
      <c r="G259" t="s">
        <v>1146</v>
      </c>
      <c r="H259" t="s">
        <v>1145</v>
      </c>
      <c r="I259">
        <f>MATCH(G259,mapPRC!$A$2:$A$1071,0)</f>
        <v>388</v>
      </c>
    </row>
    <row r="260" spans="1:9" x14ac:dyDescent="0.25">
      <c r="A260" t="s">
        <v>1138</v>
      </c>
      <c r="B260" t="s">
        <v>1137</v>
      </c>
      <c r="C260">
        <f>MATCH(A260,mapPRC!A$2:A$1071,0)</f>
        <v>392</v>
      </c>
      <c r="G260" t="s">
        <v>1144</v>
      </c>
      <c r="H260" t="s">
        <v>1143</v>
      </c>
      <c r="I260">
        <f>MATCH(G260,mapPRC!$A$2:$A$1071,0)</f>
        <v>389</v>
      </c>
    </row>
    <row r="261" spans="1:9" x14ac:dyDescent="0.25">
      <c r="A261" t="s">
        <v>1136</v>
      </c>
      <c r="B261" t="s">
        <v>1135</v>
      </c>
      <c r="C261">
        <f>MATCH(A261,mapPRC!A$2:A$1071,0)</f>
        <v>393</v>
      </c>
      <c r="G261" t="s">
        <v>1142</v>
      </c>
      <c r="H261" t="s">
        <v>1141</v>
      </c>
      <c r="I261">
        <f>MATCH(G261,mapPRC!$A$2:$A$1071,0)</f>
        <v>390</v>
      </c>
    </row>
    <row r="262" spans="1:9" x14ac:dyDescent="0.25">
      <c r="A262" t="s">
        <v>1134</v>
      </c>
      <c r="B262" t="s">
        <v>1133</v>
      </c>
      <c r="C262">
        <f>MATCH(A262,mapPRC!A$2:A$1071,0)</f>
        <v>394</v>
      </c>
      <c r="G262" t="s">
        <v>1140</v>
      </c>
      <c r="H262" t="s">
        <v>1139</v>
      </c>
      <c r="I262">
        <f>MATCH(G262,mapPRC!$A$2:$A$1071,0)</f>
        <v>391</v>
      </c>
    </row>
    <row r="263" spans="1:9" x14ac:dyDescent="0.25">
      <c r="A263" t="s">
        <v>1132</v>
      </c>
      <c r="B263" t="s">
        <v>1131</v>
      </c>
      <c r="C263">
        <f>MATCH(A263,mapPRC!A$2:A$1071,0)</f>
        <v>395</v>
      </c>
      <c r="G263" t="s">
        <v>1138</v>
      </c>
      <c r="H263" t="s">
        <v>1137</v>
      </c>
      <c r="I263">
        <f>MATCH(G263,mapPRC!$A$2:$A$1071,0)</f>
        <v>392</v>
      </c>
    </row>
    <row r="264" spans="1:9" x14ac:dyDescent="0.25">
      <c r="A264" t="s">
        <v>1130</v>
      </c>
      <c r="B264" t="s">
        <v>1129</v>
      </c>
      <c r="C264">
        <f>MATCH(A264,mapPRC!A$2:A$1071,0)</f>
        <v>396</v>
      </c>
      <c r="G264" t="s">
        <v>1136</v>
      </c>
      <c r="H264" t="s">
        <v>1135</v>
      </c>
      <c r="I264">
        <f>MATCH(G264,mapPRC!$A$2:$A$1071,0)</f>
        <v>393</v>
      </c>
    </row>
    <row r="265" spans="1:9" x14ac:dyDescent="0.25">
      <c r="A265" t="s">
        <v>1128</v>
      </c>
      <c r="B265" t="s">
        <v>1127</v>
      </c>
      <c r="C265">
        <f>MATCH(A265,mapPRC!A$2:A$1071,0)</f>
        <v>397</v>
      </c>
      <c r="G265" t="s">
        <v>1134</v>
      </c>
      <c r="H265" t="s">
        <v>1133</v>
      </c>
      <c r="I265">
        <f>MATCH(G265,mapPRC!$A$2:$A$1071,0)</f>
        <v>394</v>
      </c>
    </row>
    <row r="266" spans="1:9" x14ac:dyDescent="0.25">
      <c r="A266" t="s">
        <v>1126</v>
      </c>
      <c r="B266" t="s">
        <v>1125</v>
      </c>
      <c r="C266">
        <f>MATCH(A266,mapPRC!A$2:A$1071,0)</f>
        <v>398</v>
      </c>
      <c r="G266" t="s">
        <v>1132</v>
      </c>
      <c r="H266" t="s">
        <v>1131</v>
      </c>
      <c r="I266">
        <f>MATCH(G266,mapPRC!$A$2:$A$1071,0)</f>
        <v>395</v>
      </c>
    </row>
    <row r="267" spans="1:9" x14ac:dyDescent="0.25">
      <c r="A267" t="s">
        <v>1124</v>
      </c>
      <c r="B267" t="s">
        <v>1123</v>
      </c>
      <c r="C267">
        <f>MATCH(A267,mapPRC!A$2:A$1071,0)</f>
        <v>399</v>
      </c>
      <c r="G267" t="s">
        <v>1130</v>
      </c>
      <c r="H267" t="s">
        <v>1129</v>
      </c>
      <c r="I267">
        <f>MATCH(G267,mapPRC!$A$2:$A$1071,0)</f>
        <v>396</v>
      </c>
    </row>
    <row r="268" spans="1:9" x14ac:dyDescent="0.25">
      <c r="A268" t="s">
        <v>1122</v>
      </c>
      <c r="B268" t="s">
        <v>1121</v>
      </c>
      <c r="C268">
        <f>MATCH(A268,mapPRC!A$2:A$1071,0)</f>
        <v>400</v>
      </c>
      <c r="G268" t="s">
        <v>1128</v>
      </c>
      <c r="H268" t="s">
        <v>1127</v>
      </c>
      <c r="I268">
        <f>MATCH(G268,mapPRC!$A$2:$A$1071,0)</f>
        <v>397</v>
      </c>
    </row>
    <row r="269" spans="1:9" x14ac:dyDescent="0.25">
      <c r="A269" t="s">
        <v>1120</v>
      </c>
      <c r="B269" t="s">
        <v>1119</v>
      </c>
      <c r="C269">
        <f>MATCH(A269,mapPRC!A$2:A$1071,0)</f>
        <v>401</v>
      </c>
      <c r="G269" t="s">
        <v>1126</v>
      </c>
      <c r="H269" t="s">
        <v>1125</v>
      </c>
      <c r="I269">
        <f>MATCH(G269,mapPRC!$A$2:$A$1071,0)</f>
        <v>398</v>
      </c>
    </row>
    <row r="270" spans="1:9" x14ac:dyDescent="0.25">
      <c r="A270" t="s">
        <v>1118</v>
      </c>
      <c r="B270" t="s">
        <v>1117</v>
      </c>
      <c r="C270">
        <f>MATCH(A270,mapPRC!A$2:A$1071,0)</f>
        <v>402</v>
      </c>
      <c r="G270" t="s">
        <v>1124</v>
      </c>
      <c r="H270" t="s">
        <v>1123</v>
      </c>
      <c r="I270">
        <f>MATCH(G270,mapPRC!$A$2:$A$1071,0)</f>
        <v>399</v>
      </c>
    </row>
    <row r="271" spans="1:9" x14ac:dyDescent="0.25">
      <c r="A271" t="s">
        <v>1116</v>
      </c>
      <c r="B271" t="s">
        <v>1115</v>
      </c>
      <c r="C271">
        <f>MATCH(A271,mapPRC!A$2:A$1071,0)</f>
        <v>403</v>
      </c>
      <c r="G271" t="s">
        <v>1122</v>
      </c>
      <c r="H271" t="s">
        <v>1121</v>
      </c>
      <c r="I271">
        <f>MATCH(G271,mapPRC!$A$2:$A$1071,0)</f>
        <v>400</v>
      </c>
    </row>
    <row r="272" spans="1:9" x14ac:dyDescent="0.25">
      <c r="A272" t="s">
        <v>1114</v>
      </c>
      <c r="B272" t="s">
        <v>1108</v>
      </c>
      <c r="C272">
        <f>MATCH(A272,mapPRC!A$2:A$1071,0)</f>
        <v>404</v>
      </c>
      <c r="G272" t="s">
        <v>1120</v>
      </c>
      <c r="H272" t="s">
        <v>1119</v>
      </c>
      <c r="I272">
        <f>MATCH(G272,mapPRC!$A$2:$A$1071,0)</f>
        <v>401</v>
      </c>
    </row>
    <row r="273" spans="1:9" x14ac:dyDescent="0.25">
      <c r="A273" t="s">
        <v>1113</v>
      </c>
      <c r="B273" t="s">
        <v>1108</v>
      </c>
      <c r="C273">
        <f>MATCH(A273,mapPRC!A$2:A$1071,0)</f>
        <v>405</v>
      </c>
      <c r="G273" t="s">
        <v>1118</v>
      </c>
      <c r="H273" t="s">
        <v>1117</v>
      </c>
      <c r="I273">
        <f>MATCH(G273,mapPRC!$A$2:$A$1071,0)</f>
        <v>402</v>
      </c>
    </row>
    <row r="274" spans="1:9" x14ac:dyDescent="0.25">
      <c r="A274" t="s">
        <v>1112</v>
      </c>
      <c r="B274" t="s">
        <v>1108</v>
      </c>
      <c r="C274">
        <f>MATCH(A274,mapPRC!A$2:A$1071,0)</f>
        <v>406</v>
      </c>
      <c r="G274" t="s">
        <v>1116</v>
      </c>
      <c r="H274" t="s">
        <v>1115</v>
      </c>
      <c r="I274">
        <f>MATCH(G274,mapPRC!$A$2:$A$1071,0)</f>
        <v>403</v>
      </c>
    </row>
    <row r="275" spans="1:9" x14ac:dyDescent="0.25">
      <c r="A275" t="s">
        <v>1111</v>
      </c>
      <c r="B275" t="s">
        <v>1108</v>
      </c>
      <c r="C275">
        <f>MATCH(A275,mapPRC!A$2:A$1071,0)</f>
        <v>407</v>
      </c>
      <c r="G275" t="s">
        <v>1114</v>
      </c>
      <c r="H275" t="s">
        <v>1108</v>
      </c>
      <c r="I275">
        <f>MATCH(G275,mapPRC!$A$2:$A$1071,0)</f>
        <v>404</v>
      </c>
    </row>
    <row r="276" spans="1:9" x14ac:dyDescent="0.25">
      <c r="A276" t="s">
        <v>1110</v>
      </c>
      <c r="B276" t="s">
        <v>1108</v>
      </c>
      <c r="C276">
        <f>MATCH(A276,mapPRC!A$2:A$1071,0)</f>
        <v>408</v>
      </c>
      <c r="G276" t="s">
        <v>1113</v>
      </c>
      <c r="H276" t="s">
        <v>1108</v>
      </c>
      <c r="I276">
        <f>MATCH(G276,mapPRC!$A$2:$A$1071,0)</f>
        <v>405</v>
      </c>
    </row>
    <row r="277" spans="1:9" x14ac:dyDescent="0.25">
      <c r="A277" t="s">
        <v>1109</v>
      </c>
      <c r="B277" t="s">
        <v>1108</v>
      </c>
      <c r="C277">
        <f>MATCH(A277,mapPRC!A$2:A$1071,0)</f>
        <v>409</v>
      </c>
      <c r="G277" t="s">
        <v>1112</v>
      </c>
      <c r="H277" t="s">
        <v>1108</v>
      </c>
      <c r="I277">
        <f>MATCH(G277,mapPRC!$A$2:$A$1071,0)</f>
        <v>406</v>
      </c>
    </row>
    <row r="278" spans="1:9" x14ac:dyDescent="0.25">
      <c r="A278" t="s">
        <v>1106</v>
      </c>
      <c r="B278" t="s">
        <v>3506</v>
      </c>
      <c r="C278">
        <f>MATCH(A278,mapPRC!A$2:A$1071,0)</f>
        <v>410</v>
      </c>
      <c r="G278" t="s">
        <v>1111</v>
      </c>
      <c r="H278" t="s">
        <v>1108</v>
      </c>
      <c r="I278">
        <f>MATCH(G278,mapPRC!$A$2:$A$1071,0)</f>
        <v>407</v>
      </c>
    </row>
    <row r="279" spans="1:9" x14ac:dyDescent="0.25">
      <c r="A279" t="s">
        <v>1105</v>
      </c>
      <c r="B279" t="s">
        <v>3507</v>
      </c>
      <c r="C279">
        <f>MATCH(A279,mapPRC!A$2:A$1071,0)</f>
        <v>411</v>
      </c>
      <c r="G279" t="s">
        <v>1110</v>
      </c>
      <c r="H279" t="s">
        <v>1108</v>
      </c>
      <c r="I279">
        <f>MATCH(G279,mapPRC!$A$2:$A$1071,0)</f>
        <v>408</v>
      </c>
    </row>
    <row r="280" spans="1:9" x14ac:dyDescent="0.25">
      <c r="A280" t="s">
        <v>1103</v>
      </c>
      <c r="B280" t="s">
        <v>3508</v>
      </c>
      <c r="C280">
        <f>MATCH(A280,mapPRC!A$2:A$1071,0)</f>
        <v>412</v>
      </c>
      <c r="G280" t="s">
        <v>1109</v>
      </c>
      <c r="H280" t="s">
        <v>1108</v>
      </c>
      <c r="I280">
        <f>MATCH(G280,mapPRC!$A$2:$A$1071,0)</f>
        <v>409</v>
      </c>
    </row>
    <row r="281" spans="1:9" x14ac:dyDescent="0.25">
      <c r="A281" t="s">
        <v>1100</v>
      </c>
      <c r="B281" t="s">
        <v>3509</v>
      </c>
      <c r="C281">
        <f>MATCH(A281,mapPRC!A$2:A$1071,0)</f>
        <v>413</v>
      </c>
      <c r="G281" t="s">
        <v>1106</v>
      </c>
      <c r="H281" t="s">
        <v>3506</v>
      </c>
      <c r="I281">
        <f>MATCH(G281,mapPRC!$A$2:$A$1071,0)</f>
        <v>410</v>
      </c>
    </row>
    <row r="282" spans="1:9" x14ac:dyDescent="0.25">
      <c r="A282" t="s">
        <v>1098</v>
      </c>
      <c r="B282" t="s">
        <v>3510</v>
      </c>
      <c r="C282">
        <f>MATCH(A282,mapPRC!A$2:A$1071,0)</f>
        <v>414</v>
      </c>
      <c r="G282" t="s">
        <v>1105</v>
      </c>
      <c r="H282" t="s">
        <v>3507</v>
      </c>
      <c r="I282">
        <f>MATCH(G282,mapPRC!$A$2:$A$1071,0)</f>
        <v>411</v>
      </c>
    </row>
    <row r="283" spans="1:9" x14ac:dyDescent="0.25">
      <c r="A283" t="s">
        <v>1097</v>
      </c>
      <c r="B283" t="s">
        <v>3511</v>
      </c>
      <c r="C283">
        <f>MATCH(A283,mapPRC!A$2:A$1071,0)</f>
        <v>415</v>
      </c>
      <c r="G283" t="s">
        <v>1103</v>
      </c>
      <c r="H283" t="s">
        <v>3508</v>
      </c>
      <c r="I283">
        <f>MATCH(G283,mapPRC!$A$2:$A$1071,0)</f>
        <v>412</v>
      </c>
    </row>
    <row r="284" spans="1:9" x14ac:dyDescent="0.25">
      <c r="A284" t="s">
        <v>1093</v>
      </c>
      <c r="B284" t="s">
        <v>3512</v>
      </c>
      <c r="C284">
        <f>MATCH(A284,mapPRC!A$2:A$1071,0)</f>
        <v>416</v>
      </c>
      <c r="G284" t="s">
        <v>1100</v>
      </c>
      <c r="H284" t="s">
        <v>3509</v>
      </c>
      <c r="I284">
        <f>MATCH(G284,mapPRC!$A$2:$A$1071,0)</f>
        <v>413</v>
      </c>
    </row>
    <row r="285" spans="1:9" x14ac:dyDescent="0.25">
      <c r="A285" t="s">
        <v>1095</v>
      </c>
      <c r="B285" t="s">
        <v>3512</v>
      </c>
      <c r="C285">
        <f>MATCH(A285,mapPRC!A$2:A$1071,0)</f>
        <v>417</v>
      </c>
      <c r="G285" t="s">
        <v>1098</v>
      </c>
      <c r="H285" t="s">
        <v>3510</v>
      </c>
      <c r="I285">
        <f>MATCH(G285,mapPRC!$A$2:$A$1071,0)</f>
        <v>414</v>
      </c>
    </row>
    <row r="286" spans="1:9" x14ac:dyDescent="0.25">
      <c r="A286" t="s">
        <v>1094</v>
      </c>
      <c r="B286" t="s">
        <v>3512</v>
      </c>
      <c r="C286">
        <f>MATCH(A286,mapPRC!A$2:A$1071,0)</f>
        <v>418</v>
      </c>
      <c r="G286" t="s">
        <v>1097</v>
      </c>
      <c r="H286" t="s">
        <v>3511</v>
      </c>
      <c r="I286">
        <f>MATCH(G286,mapPRC!$A$2:$A$1071,0)</f>
        <v>415</v>
      </c>
    </row>
    <row r="287" spans="1:9" x14ac:dyDescent="0.25">
      <c r="A287" t="s">
        <v>1089</v>
      </c>
      <c r="B287" t="s">
        <v>3513</v>
      </c>
      <c r="C287">
        <f>MATCH(A287,mapPRC!A$2:A$1071,0)</f>
        <v>419</v>
      </c>
      <c r="G287" t="s">
        <v>1093</v>
      </c>
      <c r="H287" t="s">
        <v>3512</v>
      </c>
      <c r="I287">
        <f>MATCH(G287,mapPRC!$A$2:$A$1071,0)</f>
        <v>416</v>
      </c>
    </row>
    <row r="288" spans="1:9" x14ac:dyDescent="0.25">
      <c r="A288" t="s">
        <v>1091</v>
      </c>
      <c r="B288" t="s">
        <v>3514</v>
      </c>
      <c r="C288">
        <f>MATCH(A288,mapPRC!A$2:A$1071,0)</f>
        <v>420</v>
      </c>
      <c r="G288" t="s">
        <v>1095</v>
      </c>
      <c r="H288" t="s">
        <v>3512</v>
      </c>
      <c r="I288">
        <f>MATCH(G288,mapPRC!$A$2:$A$1071,0)</f>
        <v>417</v>
      </c>
    </row>
    <row r="289" spans="1:9" x14ac:dyDescent="0.25">
      <c r="A289" t="s">
        <v>1090</v>
      </c>
      <c r="B289" t="s">
        <v>3514</v>
      </c>
      <c r="C289">
        <f>MATCH(A289,mapPRC!A$2:A$1071,0)</f>
        <v>421</v>
      </c>
      <c r="G289" t="s">
        <v>1094</v>
      </c>
      <c r="H289" t="s">
        <v>3512</v>
      </c>
      <c r="I289">
        <f>MATCH(G289,mapPRC!$A$2:$A$1071,0)</f>
        <v>418</v>
      </c>
    </row>
    <row r="290" spans="1:9" x14ac:dyDescent="0.25">
      <c r="A290" t="s">
        <v>1088</v>
      </c>
      <c r="B290" t="s">
        <v>3513</v>
      </c>
      <c r="C290">
        <f>MATCH(A290,mapPRC!A$2:A$1071,0)</f>
        <v>422</v>
      </c>
      <c r="G290" t="s">
        <v>1089</v>
      </c>
      <c r="H290" t="s">
        <v>3513</v>
      </c>
      <c r="I290">
        <f>MATCH(G290,mapPRC!$A$2:$A$1071,0)</f>
        <v>419</v>
      </c>
    </row>
    <row r="291" spans="1:9" x14ac:dyDescent="0.25">
      <c r="A291" t="s">
        <v>1084</v>
      </c>
      <c r="B291" t="s">
        <v>3515</v>
      </c>
      <c r="C291">
        <f>MATCH(A291,mapPRC!A$2:A$1071,0)</f>
        <v>423</v>
      </c>
      <c r="G291" t="s">
        <v>1091</v>
      </c>
      <c r="H291" t="s">
        <v>3514</v>
      </c>
      <c r="I291">
        <f>MATCH(G291,mapPRC!$A$2:$A$1071,0)</f>
        <v>420</v>
      </c>
    </row>
    <row r="292" spans="1:9" x14ac:dyDescent="0.25">
      <c r="A292" t="s">
        <v>1087</v>
      </c>
      <c r="B292" t="s">
        <v>3516</v>
      </c>
      <c r="C292">
        <f>MATCH(A292,mapPRC!A$2:A$1071,0)</f>
        <v>424</v>
      </c>
      <c r="G292" t="s">
        <v>1090</v>
      </c>
      <c r="H292" t="s">
        <v>3514</v>
      </c>
      <c r="I292">
        <f>MATCH(G292,mapPRC!$A$2:$A$1071,0)</f>
        <v>421</v>
      </c>
    </row>
    <row r="293" spans="1:9" x14ac:dyDescent="0.25">
      <c r="A293" t="s">
        <v>1086</v>
      </c>
      <c r="B293" t="s">
        <v>3516</v>
      </c>
      <c r="C293">
        <f>MATCH(A293,mapPRC!A$2:A$1071,0)</f>
        <v>425</v>
      </c>
      <c r="G293" t="s">
        <v>1088</v>
      </c>
      <c r="H293" t="s">
        <v>3513</v>
      </c>
      <c r="I293">
        <f>MATCH(G293,mapPRC!$A$2:$A$1071,0)</f>
        <v>422</v>
      </c>
    </row>
    <row r="294" spans="1:9" x14ac:dyDescent="0.25">
      <c r="A294" t="s">
        <v>1083</v>
      </c>
      <c r="B294" t="s">
        <v>3515</v>
      </c>
      <c r="C294">
        <f>MATCH(A294,mapPRC!A$2:A$1071,0)</f>
        <v>426</v>
      </c>
      <c r="G294" t="s">
        <v>1084</v>
      </c>
      <c r="H294" t="s">
        <v>3515</v>
      </c>
      <c r="I294">
        <f>MATCH(G294,mapPRC!$A$2:$A$1071,0)</f>
        <v>423</v>
      </c>
    </row>
    <row r="295" spans="1:9" x14ac:dyDescent="0.25">
      <c r="A295" t="s">
        <v>1081</v>
      </c>
      <c r="B295" t="s">
        <v>3517</v>
      </c>
      <c r="C295">
        <f>MATCH(A295,mapPRC!A$2:A$1071,0)</f>
        <v>427</v>
      </c>
      <c r="G295" t="s">
        <v>1087</v>
      </c>
      <c r="H295" t="s">
        <v>3516</v>
      </c>
      <c r="I295">
        <f>MATCH(G295,mapPRC!$A$2:$A$1071,0)</f>
        <v>424</v>
      </c>
    </row>
    <row r="296" spans="1:9" x14ac:dyDescent="0.25">
      <c r="A296" t="s">
        <v>1080</v>
      </c>
      <c r="B296" t="s">
        <v>3518</v>
      </c>
      <c r="C296">
        <f>MATCH(A296,mapPRC!A$2:A$1071,0)</f>
        <v>428</v>
      </c>
      <c r="G296" t="s">
        <v>1086</v>
      </c>
      <c r="H296" t="s">
        <v>3516</v>
      </c>
      <c r="I296">
        <f>MATCH(G296,mapPRC!$A$2:$A$1071,0)</f>
        <v>425</v>
      </c>
    </row>
    <row r="297" spans="1:9" x14ac:dyDescent="0.25">
      <c r="A297" t="s">
        <v>3519</v>
      </c>
      <c r="B297" t="s">
        <v>3520</v>
      </c>
      <c r="C297">
        <f>MATCH(A297,mapPRC!A$2:A$1071,0)</f>
        <v>429</v>
      </c>
      <c r="D297">
        <v>1</v>
      </c>
      <c r="G297" t="s">
        <v>1083</v>
      </c>
      <c r="H297" t="s">
        <v>3515</v>
      </c>
      <c r="I297">
        <f>MATCH(G297,mapPRC!$A$2:$A$1071,0)</f>
        <v>426</v>
      </c>
    </row>
    <row r="298" spans="1:9" x14ac:dyDescent="0.25">
      <c r="A298" t="s">
        <v>3521</v>
      </c>
      <c r="B298" t="s">
        <v>3522</v>
      </c>
      <c r="C298">
        <f>MATCH(A298,mapPRC!A$2:A$1071,0)</f>
        <v>430</v>
      </c>
      <c r="D298">
        <v>1</v>
      </c>
      <c r="G298" t="s">
        <v>1081</v>
      </c>
      <c r="H298" t="s">
        <v>3517</v>
      </c>
      <c r="I298">
        <f>MATCH(G298,mapPRC!$A$2:$A$1071,0)</f>
        <v>427</v>
      </c>
    </row>
    <row r="299" spans="1:9" x14ac:dyDescent="0.25">
      <c r="A299" t="s">
        <v>3523</v>
      </c>
      <c r="B299" t="s">
        <v>3524</v>
      </c>
      <c r="C299">
        <f>MATCH(A299,mapPRC!A$2:A$1071,0)</f>
        <v>431</v>
      </c>
      <c r="D299">
        <v>1</v>
      </c>
      <c r="G299" t="s">
        <v>1080</v>
      </c>
      <c r="H299" t="s">
        <v>3518</v>
      </c>
      <c r="I299">
        <f>MATCH(G299,mapPRC!$A$2:$A$1071,0)</f>
        <v>428</v>
      </c>
    </row>
    <row r="300" spans="1:9" x14ac:dyDescent="0.25">
      <c r="A300" t="s">
        <v>3525</v>
      </c>
      <c r="B300" t="s">
        <v>3526</v>
      </c>
      <c r="C300">
        <f>MATCH(A300,mapPRC!A$2:A$1071,0)</f>
        <v>432</v>
      </c>
      <c r="D300">
        <v>1</v>
      </c>
      <c r="G300" t="s">
        <v>3519</v>
      </c>
      <c r="H300" t="s">
        <v>3520</v>
      </c>
      <c r="I300">
        <f>MATCH(G300,mapPRC!$A$2:$A$1071,0)</f>
        <v>429</v>
      </c>
    </row>
    <row r="301" spans="1:9" x14ac:dyDescent="0.25">
      <c r="A301" t="s">
        <v>3527</v>
      </c>
      <c r="B301" t="s">
        <v>3528</v>
      </c>
      <c r="C301">
        <f>MATCH(A301,mapPRC!A$2:A$1071,0)</f>
        <v>433</v>
      </c>
      <c r="D301">
        <v>1</v>
      </c>
      <c r="G301" t="s">
        <v>3521</v>
      </c>
      <c r="H301" t="s">
        <v>3522</v>
      </c>
      <c r="I301">
        <f>MATCH(G301,mapPRC!$A$2:$A$1071,0)</f>
        <v>430</v>
      </c>
    </row>
    <row r="302" spans="1:9" x14ac:dyDescent="0.25">
      <c r="A302" t="s">
        <v>1077</v>
      </c>
      <c r="B302" t="s">
        <v>3529</v>
      </c>
      <c r="C302">
        <f>MATCH(A302,mapPRC!A$2:A$1071,0)</f>
        <v>434</v>
      </c>
      <c r="G302" t="s">
        <v>3523</v>
      </c>
      <c r="H302" t="s">
        <v>3524</v>
      </c>
      <c r="I302">
        <f>MATCH(G302,mapPRC!$A$2:$A$1071,0)</f>
        <v>431</v>
      </c>
    </row>
    <row r="303" spans="1:9" x14ac:dyDescent="0.25">
      <c r="A303" t="s">
        <v>1075</v>
      </c>
      <c r="B303" t="s">
        <v>3530</v>
      </c>
      <c r="C303">
        <f>MATCH(A303,mapPRC!A$2:A$1071,0)</f>
        <v>435</v>
      </c>
      <c r="G303" t="s">
        <v>3525</v>
      </c>
      <c r="H303" t="s">
        <v>3526</v>
      </c>
      <c r="I303">
        <f>MATCH(G303,mapPRC!$A$2:$A$1071,0)</f>
        <v>432</v>
      </c>
    </row>
    <row r="304" spans="1:9" x14ac:dyDescent="0.25">
      <c r="A304" t="s">
        <v>1073</v>
      </c>
      <c r="B304" t="s">
        <v>3531</v>
      </c>
      <c r="C304">
        <f>MATCH(A304,mapPRC!A$2:A$1071,0)</f>
        <v>436</v>
      </c>
      <c r="G304" t="s">
        <v>3527</v>
      </c>
      <c r="H304" t="s">
        <v>3528</v>
      </c>
      <c r="I304">
        <f>MATCH(G304,mapPRC!$A$2:$A$1071,0)</f>
        <v>433</v>
      </c>
    </row>
    <row r="305" spans="1:9" x14ac:dyDescent="0.25">
      <c r="A305" t="s">
        <v>1070</v>
      </c>
      <c r="B305" t="s">
        <v>3532</v>
      </c>
      <c r="C305">
        <f>MATCH(A305,mapPRC!A$2:A$1071,0)</f>
        <v>437</v>
      </c>
      <c r="G305" t="s">
        <v>1077</v>
      </c>
      <c r="H305" t="s">
        <v>3529</v>
      </c>
      <c r="I305">
        <f>MATCH(G305,mapPRC!$A$2:$A$1071,0)</f>
        <v>434</v>
      </c>
    </row>
    <row r="306" spans="1:9" x14ac:dyDescent="0.25">
      <c r="A306" t="s">
        <v>1068</v>
      </c>
      <c r="B306" t="s">
        <v>3533</v>
      </c>
      <c r="C306">
        <f>MATCH(A306,mapPRC!A$2:A$1071,0)</f>
        <v>438</v>
      </c>
      <c r="G306" t="s">
        <v>1075</v>
      </c>
      <c r="H306" t="s">
        <v>3530</v>
      </c>
      <c r="I306">
        <f>MATCH(G306,mapPRC!$A$2:$A$1071,0)</f>
        <v>435</v>
      </c>
    </row>
    <row r="307" spans="1:9" x14ac:dyDescent="0.25">
      <c r="A307" t="s">
        <v>1066</v>
      </c>
      <c r="B307" t="s">
        <v>3534</v>
      </c>
      <c r="C307">
        <f>MATCH(A307,mapPRC!A$2:A$1071,0)</f>
        <v>439</v>
      </c>
      <c r="G307" t="s">
        <v>1073</v>
      </c>
      <c r="H307" t="s">
        <v>3531</v>
      </c>
      <c r="I307">
        <f>MATCH(G307,mapPRC!$A$2:$A$1071,0)</f>
        <v>436</v>
      </c>
    </row>
    <row r="308" spans="1:9" x14ac:dyDescent="0.25">
      <c r="A308" t="s">
        <v>1062</v>
      </c>
      <c r="B308" t="s">
        <v>1061</v>
      </c>
      <c r="C308">
        <f>MATCH(A308,mapPRC!A$2:A$1071,0)</f>
        <v>440</v>
      </c>
      <c r="G308" t="s">
        <v>1070</v>
      </c>
      <c r="H308" t="s">
        <v>3532</v>
      </c>
      <c r="I308">
        <f>MATCH(G308,mapPRC!$A$2:$A$1071,0)</f>
        <v>437</v>
      </c>
    </row>
    <row r="309" spans="1:9" x14ac:dyDescent="0.25">
      <c r="A309" t="s">
        <v>1059</v>
      </c>
      <c r="B309" t="s">
        <v>1058</v>
      </c>
      <c r="C309">
        <f>MATCH(A309,mapPRC!A$2:A$1071,0)</f>
        <v>441</v>
      </c>
      <c r="G309" t="s">
        <v>1068</v>
      </c>
      <c r="H309" t="s">
        <v>3533</v>
      </c>
      <c r="I309">
        <f>MATCH(G309,mapPRC!$A$2:$A$1071,0)</f>
        <v>438</v>
      </c>
    </row>
    <row r="310" spans="1:9" x14ac:dyDescent="0.25">
      <c r="A310" t="s">
        <v>1056</v>
      </c>
      <c r="B310" t="s">
        <v>1055</v>
      </c>
      <c r="C310">
        <f>MATCH(A310,mapPRC!A$2:A$1071,0)</f>
        <v>442</v>
      </c>
      <c r="G310" t="s">
        <v>1066</v>
      </c>
      <c r="H310" t="s">
        <v>3534</v>
      </c>
      <c r="I310">
        <f>MATCH(G310,mapPRC!$A$2:$A$1071,0)</f>
        <v>439</v>
      </c>
    </row>
    <row r="311" spans="1:9" x14ac:dyDescent="0.25">
      <c r="A311" t="s">
        <v>1053</v>
      </c>
      <c r="B311" t="s">
        <v>1052</v>
      </c>
      <c r="C311">
        <f>MATCH(A311,mapPRC!A$2:A$1071,0)</f>
        <v>443</v>
      </c>
      <c r="G311" t="s">
        <v>1062</v>
      </c>
      <c r="H311" t="s">
        <v>1061</v>
      </c>
      <c r="I311">
        <f>MATCH(G311,mapPRC!$A$2:$A$1071,0)</f>
        <v>440</v>
      </c>
    </row>
    <row r="312" spans="1:9" x14ac:dyDescent="0.25">
      <c r="A312" t="s">
        <v>1050</v>
      </c>
      <c r="B312" t="s">
        <v>1049</v>
      </c>
      <c r="C312">
        <f>MATCH(A312,mapPRC!A$2:A$1071,0)</f>
        <v>444</v>
      </c>
      <c r="G312" t="s">
        <v>1059</v>
      </c>
      <c r="H312" t="s">
        <v>1058</v>
      </c>
      <c r="I312">
        <f>MATCH(G312,mapPRC!$A$2:$A$1071,0)</f>
        <v>441</v>
      </c>
    </row>
    <row r="313" spans="1:9" x14ac:dyDescent="0.25">
      <c r="A313" t="s">
        <v>1047</v>
      </c>
      <c r="B313" t="s">
        <v>1046</v>
      </c>
      <c r="C313">
        <f>MATCH(A313,mapPRC!A$2:A$1071,0)</f>
        <v>445</v>
      </c>
      <c r="G313" t="s">
        <v>1056</v>
      </c>
      <c r="H313" t="s">
        <v>1055</v>
      </c>
      <c r="I313">
        <f>MATCH(G313,mapPRC!$A$2:$A$1071,0)</f>
        <v>442</v>
      </c>
    </row>
    <row r="314" spans="1:9" x14ac:dyDescent="0.25">
      <c r="A314" t="s">
        <v>1044</v>
      </c>
      <c r="B314" t="s">
        <v>1043</v>
      </c>
      <c r="C314">
        <f>MATCH(A314,mapPRC!A$2:A$1071,0)</f>
        <v>446</v>
      </c>
      <c r="G314" t="s">
        <v>1053</v>
      </c>
      <c r="H314" t="s">
        <v>1052</v>
      </c>
      <c r="I314">
        <f>MATCH(G314,mapPRC!$A$2:$A$1071,0)</f>
        <v>443</v>
      </c>
    </row>
    <row r="315" spans="1:9" x14ac:dyDescent="0.25">
      <c r="A315" t="s">
        <v>1042</v>
      </c>
      <c r="B315" t="s">
        <v>1041</v>
      </c>
      <c r="C315">
        <f>MATCH(A315,mapPRC!A$2:A$1071,0)</f>
        <v>447</v>
      </c>
      <c r="G315" t="s">
        <v>1050</v>
      </c>
      <c r="H315" t="s">
        <v>1049</v>
      </c>
      <c r="I315">
        <f>MATCH(G315,mapPRC!$A$2:$A$1071,0)</f>
        <v>444</v>
      </c>
    </row>
    <row r="316" spans="1:9" x14ac:dyDescent="0.25">
      <c r="A316" t="s">
        <v>1039</v>
      </c>
      <c r="B316" t="s">
        <v>1038</v>
      </c>
      <c r="C316">
        <f>MATCH(A316,mapPRC!A$2:A$1071,0)</f>
        <v>448</v>
      </c>
      <c r="G316" t="s">
        <v>1047</v>
      </c>
      <c r="H316" t="s">
        <v>1046</v>
      </c>
      <c r="I316">
        <f>MATCH(G316,mapPRC!$A$2:$A$1071,0)</f>
        <v>445</v>
      </c>
    </row>
    <row r="317" spans="1:9" x14ac:dyDescent="0.25">
      <c r="A317" t="s">
        <v>3535</v>
      </c>
      <c r="B317" t="s">
        <v>3536</v>
      </c>
      <c r="C317">
        <f>MATCH(A317,mapPRC!A$2:A$1071,0)</f>
        <v>450</v>
      </c>
      <c r="D317">
        <v>1</v>
      </c>
      <c r="G317" t="s">
        <v>1044</v>
      </c>
      <c r="H317" t="s">
        <v>1043</v>
      </c>
      <c r="I317">
        <f>MATCH(G317,mapPRC!$A$2:$A$1071,0)</f>
        <v>446</v>
      </c>
    </row>
    <row r="318" spans="1:9" x14ac:dyDescent="0.25">
      <c r="A318" t="s">
        <v>1036</v>
      </c>
      <c r="B318" t="s">
        <v>1035</v>
      </c>
      <c r="C318">
        <f>MATCH(A318,mapPRC!A$2:A$1071,0)</f>
        <v>449</v>
      </c>
      <c r="G318" t="s">
        <v>1042</v>
      </c>
      <c r="H318" t="s">
        <v>1041</v>
      </c>
      <c r="I318">
        <f>MATCH(G318,mapPRC!$A$2:$A$1071,0)</f>
        <v>447</v>
      </c>
    </row>
    <row r="319" spans="1:9" x14ac:dyDescent="0.25">
      <c r="A319" t="s">
        <v>1034</v>
      </c>
      <c r="B319" t="s">
        <v>1033</v>
      </c>
      <c r="C319">
        <f>MATCH(A319,mapPRC!A$2:A$1071,0)</f>
        <v>451</v>
      </c>
      <c r="G319" t="s">
        <v>1039</v>
      </c>
      <c r="H319" t="s">
        <v>1038</v>
      </c>
      <c r="I319">
        <f>MATCH(G319,mapPRC!$A$2:$A$1071,0)</f>
        <v>448</v>
      </c>
    </row>
    <row r="320" spans="1:9" x14ac:dyDescent="0.25">
      <c r="A320" t="s">
        <v>1032</v>
      </c>
      <c r="B320" t="s">
        <v>1031</v>
      </c>
      <c r="C320">
        <f>MATCH(A320,mapPRC!A$2:A$1071,0)</f>
        <v>452</v>
      </c>
      <c r="G320" t="s">
        <v>3535</v>
      </c>
      <c r="H320" t="s">
        <v>3536</v>
      </c>
      <c r="I320">
        <f>MATCH(G320,mapPRC!$A$2:$A$1071,0)</f>
        <v>450</v>
      </c>
    </row>
    <row r="321" spans="1:9" x14ac:dyDescent="0.25">
      <c r="A321" t="s">
        <v>1030</v>
      </c>
      <c r="B321" t="s">
        <v>1029</v>
      </c>
      <c r="C321">
        <f>MATCH(A321,mapPRC!A$2:A$1071,0)</f>
        <v>455</v>
      </c>
      <c r="G321" t="s">
        <v>1036</v>
      </c>
      <c r="H321" t="s">
        <v>1035</v>
      </c>
      <c r="I321">
        <f>MATCH(G321,mapPRC!$A$2:$A$1071,0)</f>
        <v>449</v>
      </c>
    </row>
    <row r="322" spans="1:9" x14ac:dyDescent="0.25">
      <c r="A322" t="s">
        <v>1028</v>
      </c>
      <c r="B322" t="s">
        <v>1027</v>
      </c>
      <c r="C322">
        <f>MATCH(A322,mapPRC!A$2:A$1071,0)</f>
        <v>456</v>
      </c>
      <c r="G322" t="s">
        <v>1034</v>
      </c>
      <c r="H322" t="s">
        <v>1033</v>
      </c>
      <c r="I322">
        <f>MATCH(G322,mapPRC!$A$2:$A$1071,0)</f>
        <v>451</v>
      </c>
    </row>
    <row r="323" spans="1:9" x14ac:dyDescent="0.25">
      <c r="A323" t="s">
        <v>1026</v>
      </c>
      <c r="B323" t="s">
        <v>1025</v>
      </c>
      <c r="C323">
        <f>MATCH(A323,mapPRC!A$2:A$1071,0)</f>
        <v>457</v>
      </c>
      <c r="G323" t="s">
        <v>1032</v>
      </c>
      <c r="H323" t="s">
        <v>1031</v>
      </c>
      <c r="I323">
        <f>MATCH(G323,mapPRC!$A$2:$A$1071,0)</f>
        <v>452</v>
      </c>
    </row>
    <row r="324" spans="1:9" x14ac:dyDescent="0.25">
      <c r="A324" t="s">
        <v>1024</v>
      </c>
      <c r="B324" t="s">
        <v>1023</v>
      </c>
      <c r="C324">
        <f>MATCH(A324,mapPRC!A$2:A$1071,0)</f>
        <v>458</v>
      </c>
      <c r="G324" t="s">
        <v>1030</v>
      </c>
      <c r="H324" t="s">
        <v>1029</v>
      </c>
      <c r="I324">
        <f>MATCH(G324,mapPRC!$A$2:$A$1071,0)</f>
        <v>455</v>
      </c>
    </row>
    <row r="325" spans="1:9" x14ac:dyDescent="0.25">
      <c r="A325" t="s">
        <v>1018</v>
      </c>
      <c r="B325" t="s">
        <v>1017</v>
      </c>
      <c r="C325">
        <f>MATCH(A325,mapPRC!A$2:A$1071,0)</f>
        <v>461</v>
      </c>
      <c r="G325" t="s">
        <v>1028</v>
      </c>
      <c r="H325" t="s">
        <v>1027</v>
      </c>
      <c r="I325">
        <f>MATCH(G325,mapPRC!$A$2:$A$1071,0)</f>
        <v>456</v>
      </c>
    </row>
    <row r="326" spans="1:9" x14ac:dyDescent="0.25">
      <c r="A326" t="s">
        <v>1020</v>
      </c>
      <c r="B326" t="s">
        <v>1017</v>
      </c>
      <c r="C326">
        <f>MATCH(A326,mapPRC!A$2:A$1071,0)</f>
        <v>462</v>
      </c>
      <c r="G326" t="s">
        <v>1026</v>
      </c>
      <c r="H326" t="s">
        <v>1025</v>
      </c>
      <c r="I326">
        <f>MATCH(G326,mapPRC!$A$2:$A$1071,0)</f>
        <v>457</v>
      </c>
    </row>
    <row r="327" spans="1:9" x14ac:dyDescent="0.25">
      <c r="A327" t="s">
        <v>1019</v>
      </c>
      <c r="B327" t="s">
        <v>1017</v>
      </c>
      <c r="C327">
        <f>MATCH(A327,mapPRC!A$2:A$1071,0)</f>
        <v>463</v>
      </c>
      <c r="G327" t="s">
        <v>1024</v>
      </c>
      <c r="H327" t="s">
        <v>1023</v>
      </c>
      <c r="I327">
        <f>MATCH(G327,mapPRC!$A$2:$A$1071,0)</f>
        <v>458</v>
      </c>
    </row>
    <row r="328" spans="1:9" x14ac:dyDescent="0.25">
      <c r="A328" t="s">
        <v>1016</v>
      </c>
      <c r="B328" t="s">
        <v>1015</v>
      </c>
      <c r="C328">
        <f>MATCH(A328,mapPRC!A$2:A$1071,0)</f>
        <v>464</v>
      </c>
      <c r="G328" t="s">
        <v>1018</v>
      </c>
      <c r="H328" t="s">
        <v>1017</v>
      </c>
      <c r="I328">
        <f>MATCH(G328,mapPRC!$A$2:$A$1071,0)</f>
        <v>461</v>
      </c>
    </row>
    <row r="329" spans="1:9" x14ac:dyDescent="0.25">
      <c r="A329" t="s">
        <v>1013</v>
      </c>
      <c r="B329" t="s">
        <v>1012</v>
      </c>
      <c r="C329" t="e">
        <f>MATCH(A329,mapPRC!A$2:A$1071,0)</f>
        <v>#N/A</v>
      </c>
      <c r="G329" t="s">
        <v>1020</v>
      </c>
      <c r="H329" t="s">
        <v>1017</v>
      </c>
      <c r="I329">
        <f>MATCH(G329,mapPRC!$A$2:$A$1071,0)</f>
        <v>462</v>
      </c>
    </row>
    <row r="330" spans="1:9" x14ac:dyDescent="0.25">
      <c r="A330" t="s">
        <v>1011</v>
      </c>
      <c r="B330" t="s">
        <v>1010</v>
      </c>
      <c r="C330">
        <f>MATCH(A330,mapPRC!A$2:A$1071,0)</f>
        <v>466</v>
      </c>
      <c r="G330" t="s">
        <v>1019</v>
      </c>
      <c r="H330" t="s">
        <v>1017</v>
      </c>
      <c r="I330">
        <f>MATCH(G330,mapPRC!$A$2:$A$1071,0)</f>
        <v>463</v>
      </c>
    </row>
    <row r="331" spans="1:9" x14ac:dyDescent="0.25">
      <c r="A331" t="s">
        <v>1009</v>
      </c>
      <c r="B331" t="s">
        <v>1008</v>
      </c>
      <c r="C331" t="e">
        <f>MATCH(A331,mapPRC!A$2:A$1071,0)</f>
        <v>#N/A</v>
      </c>
      <c r="G331" t="s">
        <v>1016</v>
      </c>
      <c r="H331" t="s">
        <v>1015</v>
      </c>
      <c r="I331">
        <f>MATCH(G331,mapPRC!$A$2:$A$1071,0)</f>
        <v>464</v>
      </c>
    </row>
    <row r="332" spans="1:9" x14ac:dyDescent="0.25">
      <c r="A332" t="s">
        <v>1004</v>
      </c>
      <c r="B332" t="s">
        <v>1003</v>
      </c>
      <c r="C332">
        <f>MATCH(A332,mapPRC!A$2:A$1071,0)</f>
        <v>468</v>
      </c>
      <c r="G332" t="s">
        <v>1013</v>
      </c>
      <c r="H332" t="s">
        <v>1012</v>
      </c>
      <c r="I332" t="e">
        <f>MATCH(G332,mapPRC!$A$2:$A$1071,0)</f>
        <v>#N/A</v>
      </c>
    </row>
    <row r="333" spans="1:9" x14ac:dyDescent="0.25">
      <c r="A333" t="s">
        <v>1006</v>
      </c>
      <c r="B333" t="s">
        <v>1003</v>
      </c>
      <c r="C333">
        <f>MATCH(A333,mapPRC!A$2:A$1071,0)</f>
        <v>469</v>
      </c>
      <c r="G333" t="s">
        <v>1011</v>
      </c>
      <c r="H333" t="s">
        <v>1010</v>
      </c>
      <c r="I333">
        <f>MATCH(G333,mapPRC!$A$2:$A$1071,0)</f>
        <v>466</v>
      </c>
    </row>
    <row r="334" spans="1:9" x14ac:dyDescent="0.25">
      <c r="A334" t="s">
        <v>1005</v>
      </c>
      <c r="B334" t="s">
        <v>1003</v>
      </c>
      <c r="C334">
        <f>MATCH(A334,mapPRC!A$2:A$1071,0)</f>
        <v>470</v>
      </c>
      <c r="G334" t="s">
        <v>1009</v>
      </c>
      <c r="H334" t="s">
        <v>1008</v>
      </c>
      <c r="I334" t="e">
        <f>MATCH(G334,mapPRC!$A$2:$A$1071,0)</f>
        <v>#N/A</v>
      </c>
    </row>
    <row r="335" spans="1:9" x14ac:dyDescent="0.25">
      <c r="A335" t="s">
        <v>1002</v>
      </c>
      <c r="B335" t="s">
        <v>1001</v>
      </c>
      <c r="C335">
        <f>MATCH(A335,mapPRC!A$2:A$1071,0)</f>
        <v>471</v>
      </c>
      <c r="G335" t="s">
        <v>1004</v>
      </c>
      <c r="H335" t="s">
        <v>1003</v>
      </c>
      <c r="I335">
        <f>MATCH(G335,mapPRC!$A$2:$A$1071,0)</f>
        <v>468</v>
      </c>
    </row>
    <row r="336" spans="1:9" x14ac:dyDescent="0.25">
      <c r="A336" t="s">
        <v>999</v>
      </c>
      <c r="B336" t="s">
        <v>998</v>
      </c>
      <c r="C336">
        <f>MATCH(A336,mapPRC!A$2:A$1071,0)</f>
        <v>472</v>
      </c>
      <c r="G336" t="s">
        <v>1006</v>
      </c>
      <c r="H336" t="s">
        <v>1003</v>
      </c>
      <c r="I336">
        <f>MATCH(G336,mapPRC!$A$2:$A$1071,0)</f>
        <v>469</v>
      </c>
    </row>
    <row r="337" spans="1:9" x14ac:dyDescent="0.25">
      <c r="A337" t="s">
        <v>995</v>
      </c>
      <c r="B337" t="s">
        <v>994</v>
      </c>
      <c r="C337">
        <f>MATCH(A337,mapPRC!A$2:A$1071,0)</f>
        <v>474</v>
      </c>
      <c r="G337" t="s">
        <v>1005</v>
      </c>
      <c r="H337" t="s">
        <v>1003</v>
      </c>
      <c r="I337">
        <f>MATCH(G337,mapPRC!$A$2:$A$1071,0)</f>
        <v>470</v>
      </c>
    </row>
    <row r="338" spans="1:9" x14ac:dyDescent="0.25">
      <c r="A338" t="s">
        <v>997</v>
      </c>
      <c r="B338" t="s">
        <v>994</v>
      </c>
      <c r="C338">
        <f>MATCH(A338,mapPRC!A$2:A$1071,0)</f>
        <v>475</v>
      </c>
      <c r="G338" t="s">
        <v>1002</v>
      </c>
      <c r="H338" t="s">
        <v>1001</v>
      </c>
      <c r="I338">
        <f>MATCH(G338,mapPRC!$A$2:$A$1071,0)</f>
        <v>471</v>
      </c>
    </row>
    <row r="339" spans="1:9" x14ac:dyDescent="0.25">
      <c r="A339" t="s">
        <v>996</v>
      </c>
      <c r="B339" t="s">
        <v>994</v>
      </c>
      <c r="C339">
        <f>MATCH(A339,mapPRC!A$2:A$1071,0)</f>
        <v>476</v>
      </c>
      <c r="G339" t="s">
        <v>999</v>
      </c>
      <c r="H339" t="s">
        <v>998</v>
      </c>
      <c r="I339">
        <f>MATCH(G339,mapPRC!$A$2:$A$1071,0)</f>
        <v>472</v>
      </c>
    </row>
    <row r="340" spans="1:9" x14ac:dyDescent="0.25">
      <c r="A340" t="s">
        <v>993</v>
      </c>
      <c r="B340" t="s">
        <v>992</v>
      </c>
      <c r="C340">
        <f>MATCH(A340,mapPRC!A$2:A$1071,0)</f>
        <v>477</v>
      </c>
      <c r="G340" t="s">
        <v>995</v>
      </c>
      <c r="H340" t="s">
        <v>994</v>
      </c>
      <c r="I340">
        <f>MATCH(G340,mapPRC!$A$2:$A$1071,0)</f>
        <v>474</v>
      </c>
    </row>
    <row r="341" spans="1:9" x14ac:dyDescent="0.25">
      <c r="A341" t="s">
        <v>987</v>
      </c>
      <c r="B341" t="s">
        <v>986</v>
      </c>
      <c r="C341">
        <f>MATCH(A341,mapPRC!A$2:A$1071,0)</f>
        <v>478</v>
      </c>
      <c r="G341" t="s">
        <v>997</v>
      </c>
      <c r="H341" t="s">
        <v>994</v>
      </c>
      <c r="I341">
        <f>MATCH(G341,mapPRC!$A$2:$A$1071,0)</f>
        <v>475</v>
      </c>
    </row>
    <row r="342" spans="1:9" x14ac:dyDescent="0.25">
      <c r="A342" t="s">
        <v>990</v>
      </c>
      <c r="B342" t="s">
        <v>988</v>
      </c>
      <c r="C342">
        <f>MATCH(A342,mapPRC!A$2:A$1071,0)</f>
        <v>479</v>
      </c>
      <c r="G342" t="s">
        <v>996</v>
      </c>
      <c r="H342" t="s">
        <v>994</v>
      </c>
      <c r="I342">
        <f>MATCH(G342,mapPRC!$A$2:$A$1071,0)</f>
        <v>476</v>
      </c>
    </row>
    <row r="343" spans="1:9" x14ac:dyDescent="0.25">
      <c r="A343" t="s">
        <v>989</v>
      </c>
      <c r="B343" t="s">
        <v>988</v>
      </c>
      <c r="C343">
        <f>MATCH(A343,mapPRC!A$2:A$1071,0)</f>
        <v>480</v>
      </c>
      <c r="G343" t="s">
        <v>993</v>
      </c>
      <c r="H343" t="s">
        <v>992</v>
      </c>
      <c r="I343">
        <f>MATCH(G343,mapPRC!$A$2:$A$1071,0)</f>
        <v>477</v>
      </c>
    </row>
    <row r="344" spans="1:9" x14ac:dyDescent="0.25">
      <c r="A344" t="s">
        <v>985</v>
      </c>
      <c r="B344" t="s">
        <v>984</v>
      </c>
      <c r="C344">
        <f>MATCH(A344,mapPRC!A$2:A$1071,0)</f>
        <v>481</v>
      </c>
      <c r="G344" t="s">
        <v>987</v>
      </c>
      <c r="H344" t="s">
        <v>986</v>
      </c>
      <c r="I344">
        <f>MATCH(G344,mapPRC!$A$2:$A$1071,0)</f>
        <v>478</v>
      </c>
    </row>
    <row r="345" spans="1:9" x14ac:dyDescent="0.25">
      <c r="A345" t="s">
        <v>980</v>
      </c>
      <c r="B345" t="s">
        <v>978</v>
      </c>
      <c r="C345">
        <f>MATCH(A345,mapPRC!A$2:A$1071,0)</f>
        <v>482</v>
      </c>
      <c r="G345" t="s">
        <v>990</v>
      </c>
      <c r="H345" t="s">
        <v>988</v>
      </c>
      <c r="I345">
        <f>MATCH(G345,mapPRC!$A$2:$A$1071,0)</f>
        <v>479</v>
      </c>
    </row>
    <row r="346" spans="1:9" x14ac:dyDescent="0.25">
      <c r="A346" t="s">
        <v>982</v>
      </c>
      <c r="B346" t="s">
        <v>978</v>
      </c>
      <c r="C346">
        <f>MATCH(A346,mapPRC!A$2:A$1071,0)</f>
        <v>483</v>
      </c>
      <c r="G346" t="s">
        <v>989</v>
      </c>
      <c r="H346" t="s">
        <v>988</v>
      </c>
      <c r="I346">
        <f>MATCH(G346,mapPRC!$A$2:$A$1071,0)</f>
        <v>480</v>
      </c>
    </row>
    <row r="347" spans="1:9" x14ac:dyDescent="0.25">
      <c r="A347" t="s">
        <v>981</v>
      </c>
      <c r="B347" t="s">
        <v>978</v>
      </c>
      <c r="C347">
        <f>MATCH(A347,mapPRC!A$2:A$1071,0)</f>
        <v>484</v>
      </c>
      <c r="G347" t="s">
        <v>985</v>
      </c>
      <c r="H347" t="s">
        <v>984</v>
      </c>
      <c r="I347">
        <f>MATCH(G347,mapPRC!$A$2:$A$1071,0)</f>
        <v>481</v>
      </c>
    </row>
    <row r="348" spans="1:9" x14ac:dyDescent="0.25">
      <c r="A348" t="s">
        <v>979</v>
      </c>
      <c r="B348" t="s">
        <v>978</v>
      </c>
      <c r="C348">
        <f>MATCH(A348,mapPRC!A$2:A$1071,0)</f>
        <v>485</v>
      </c>
      <c r="G348" t="s">
        <v>980</v>
      </c>
      <c r="H348" t="s">
        <v>978</v>
      </c>
      <c r="I348">
        <f>MATCH(G348,mapPRC!$A$2:$A$1071,0)</f>
        <v>482</v>
      </c>
    </row>
    <row r="349" spans="1:9" x14ac:dyDescent="0.25">
      <c r="A349" t="s">
        <v>977</v>
      </c>
      <c r="B349" t="s">
        <v>975</v>
      </c>
      <c r="C349">
        <f>MATCH(A349,mapPRC!A$2:A$1071,0)</f>
        <v>486</v>
      </c>
      <c r="G349" t="s">
        <v>982</v>
      </c>
      <c r="H349" t="s">
        <v>978</v>
      </c>
      <c r="I349">
        <f>MATCH(G349,mapPRC!$A$2:$A$1071,0)</f>
        <v>483</v>
      </c>
    </row>
    <row r="350" spans="1:9" x14ac:dyDescent="0.25">
      <c r="A350" t="s">
        <v>976</v>
      </c>
      <c r="B350" t="s">
        <v>975</v>
      </c>
      <c r="C350">
        <f>MATCH(A350,mapPRC!A$2:A$1071,0)</f>
        <v>487</v>
      </c>
      <c r="G350" t="s">
        <v>981</v>
      </c>
      <c r="H350" t="s">
        <v>978</v>
      </c>
      <c r="I350">
        <f>MATCH(G350,mapPRC!$A$2:$A$1071,0)</f>
        <v>484</v>
      </c>
    </row>
    <row r="351" spans="1:9" x14ac:dyDescent="0.25">
      <c r="A351" t="s">
        <v>974</v>
      </c>
      <c r="B351" t="s">
        <v>972</v>
      </c>
      <c r="C351">
        <f>MATCH(A351,mapPRC!A$2:A$1071,0)</f>
        <v>488</v>
      </c>
      <c r="G351" t="s">
        <v>979</v>
      </c>
      <c r="H351" t="s">
        <v>978</v>
      </c>
      <c r="I351">
        <f>MATCH(G351,mapPRC!$A$2:$A$1071,0)</f>
        <v>485</v>
      </c>
    </row>
    <row r="352" spans="1:9" x14ac:dyDescent="0.25">
      <c r="A352" t="s">
        <v>973</v>
      </c>
      <c r="B352" t="s">
        <v>972</v>
      </c>
      <c r="C352">
        <f>MATCH(A352,mapPRC!A$2:A$1071,0)</f>
        <v>489</v>
      </c>
      <c r="G352" t="s">
        <v>977</v>
      </c>
      <c r="H352" t="s">
        <v>975</v>
      </c>
      <c r="I352">
        <f>MATCH(G352,mapPRC!$A$2:$A$1071,0)</f>
        <v>486</v>
      </c>
    </row>
    <row r="353" spans="1:9" x14ac:dyDescent="0.25">
      <c r="A353" t="s">
        <v>971</v>
      </c>
      <c r="B353" t="s">
        <v>969</v>
      </c>
      <c r="C353">
        <f>MATCH(A353,mapPRC!A$2:A$1071,0)</f>
        <v>490</v>
      </c>
      <c r="G353" t="s">
        <v>976</v>
      </c>
      <c r="H353" t="s">
        <v>975</v>
      </c>
      <c r="I353">
        <f>MATCH(G353,mapPRC!$A$2:$A$1071,0)</f>
        <v>487</v>
      </c>
    </row>
    <row r="354" spans="1:9" x14ac:dyDescent="0.25">
      <c r="A354" t="s">
        <v>970</v>
      </c>
      <c r="B354" t="s">
        <v>969</v>
      </c>
      <c r="C354">
        <f>MATCH(A354,mapPRC!A$2:A$1071,0)</f>
        <v>491</v>
      </c>
      <c r="G354" t="s">
        <v>974</v>
      </c>
      <c r="H354" t="s">
        <v>972</v>
      </c>
      <c r="I354">
        <f>MATCH(G354,mapPRC!$A$2:$A$1071,0)</f>
        <v>488</v>
      </c>
    </row>
    <row r="355" spans="1:9" x14ac:dyDescent="0.25">
      <c r="A355" t="s">
        <v>968</v>
      </c>
      <c r="B355" t="s">
        <v>967</v>
      </c>
      <c r="C355">
        <f>MATCH(A355,mapPRC!A$2:A$1071,0)</f>
        <v>492</v>
      </c>
      <c r="G355" t="s">
        <v>973</v>
      </c>
      <c r="H355" t="s">
        <v>972</v>
      </c>
      <c r="I355">
        <f>MATCH(G355,mapPRC!$A$2:$A$1071,0)</f>
        <v>489</v>
      </c>
    </row>
    <row r="356" spans="1:9" x14ac:dyDescent="0.25">
      <c r="A356" t="s">
        <v>3537</v>
      </c>
      <c r="B356" t="s">
        <v>3538</v>
      </c>
      <c r="C356">
        <f>MATCH(A356,mapPRC!A$2:A$1071,0)</f>
        <v>496</v>
      </c>
      <c r="D356">
        <v>1</v>
      </c>
      <c r="G356" t="s">
        <v>971</v>
      </c>
      <c r="H356" t="s">
        <v>969</v>
      </c>
      <c r="I356">
        <f>MATCH(G356,mapPRC!$A$2:$A$1071,0)</f>
        <v>490</v>
      </c>
    </row>
    <row r="357" spans="1:9" x14ac:dyDescent="0.25">
      <c r="A357" t="s">
        <v>966</v>
      </c>
      <c r="B357" t="s">
        <v>965</v>
      </c>
      <c r="C357">
        <f>MATCH(A357,mapPRC!A$2:A$1071,0)</f>
        <v>493</v>
      </c>
      <c r="G357" t="s">
        <v>970</v>
      </c>
      <c r="H357" t="s">
        <v>969</v>
      </c>
      <c r="I357">
        <f>MATCH(G357,mapPRC!$A$2:$A$1071,0)</f>
        <v>491</v>
      </c>
    </row>
    <row r="358" spans="1:9" x14ac:dyDescent="0.25">
      <c r="A358" t="s">
        <v>964</v>
      </c>
      <c r="B358" t="s">
        <v>963</v>
      </c>
      <c r="C358">
        <f>MATCH(A358,mapPRC!A$2:A$1071,0)</f>
        <v>494</v>
      </c>
      <c r="G358" t="s">
        <v>968</v>
      </c>
      <c r="H358" t="s">
        <v>967</v>
      </c>
      <c r="I358">
        <f>MATCH(G358,mapPRC!$A$2:$A$1071,0)</f>
        <v>492</v>
      </c>
    </row>
    <row r="359" spans="1:9" x14ac:dyDescent="0.25">
      <c r="A359" t="s">
        <v>962</v>
      </c>
      <c r="B359" t="s">
        <v>961</v>
      </c>
      <c r="C359">
        <f>MATCH(A359,mapPRC!A$2:A$1071,0)</f>
        <v>495</v>
      </c>
      <c r="G359" t="s">
        <v>3537</v>
      </c>
      <c r="H359" t="s">
        <v>3538</v>
      </c>
      <c r="I359">
        <f>MATCH(G359,mapPRC!$A$2:$A$1071,0)</f>
        <v>496</v>
      </c>
    </row>
    <row r="360" spans="1:9" x14ac:dyDescent="0.25">
      <c r="A360" t="s">
        <v>8</v>
      </c>
      <c r="B360" t="s">
        <v>7</v>
      </c>
      <c r="C360">
        <f>MATCH(A360,mapPRC!A$2:A$1071,0)</f>
        <v>497</v>
      </c>
      <c r="G360" t="s">
        <v>966</v>
      </c>
      <c r="H360" t="s">
        <v>965</v>
      </c>
      <c r="I360">
        <f>MATCH(G360,mapPRC!$A$2:$A$1071,0)</f>
        <v>493</v>
      </c>
    </row>
    <row r="361" spans="1:9" x14ac:dyDescent="0.25">
      <c r="A361" t="s">
        <v>6</v>
      </c>
      <c r="B361" t="s">
        <v>5</v>
      </c>
      <c r="C361">
        <f>MATCH(A361,mapPRC!A$2:A$1071,0)</f>
        <v>498</v>
      </c>
      <c r="G361" t="s">
        <v>964</v>
      </c>
      <c r="H361" t="s">
        <v>963</v>
      </c>
      <c r="I361">
        <f>MATCH(G361,mapPRC!$A$2:$A$1071,0)</f>
        <v>494</v>
      </c>
    </row>
    <row r="362" spans="1:9" x14ac:dyDescent="0.25">
      <c r="A362" t="s">
        <v>4</v>
      </c>
      <c r="B362" t="s">
        <v>3</v>
      </c>
      <c r="C362">
        <f>MATCH(A362,mapPRC!A$2:A$1071,0)</f>
        <v>499</v>
      </c>
      <c r="G362" t="s">
        <v>962</v>
      </c>
      <c r="H362" t="s">
        <v>961</v>
      </c>
      <c r="I362">
        <f>MATCH(G362,mapPRC!$A$2:$A$1071,0)</f>
        <v>495</v>
      </c>
    </row>
    <row r="363" spans="1:9" x14ac:dyDescent="0.25">
      <c r="A363" t="s">
        <v>2</v>
      </c>
      <c r="B363" t="s">
        <v>1</v>
      </c>
      <c r="C363">
        <f>MATCH(A363,mapPRC!A$2:A$1071,0)</f>
        <v>500</v>
      </c>
      <c r="G363" t="s">
        <v>8</v>
      </c>
      <c r="H363" t="s">
        <v>7</v>
      </c>
      <c r="I363">
        <f>MATCH(G363,mapPRC!$A$2:$A$1071,0)</f>
        <v>497</v>
      </c>
    </row>
    <row r="364" spans="1:9" x14ac:dyDescent="0.25">
      <c r="A364" t="s">
        <v>957</v>
      </c>
      <c r="B364" t="s">
        <v>956</v>
      </c>
      <c r="C364">
        <f>MATCH(A364,mapPRC!A$2:A$1071,0)</f>
        <v>501</v>
      </c>
      <c r="G364" t="s">
        <v>6</v>
      </c>
      <c r="H364" t="s">
        <v>5</v>
      </c>
      <c r="I364">
        <f>MATCH(G364,mapPRC!$A$2:$A$1071,0)</f>
        <v>498</v>
      </c>
    </row>
    <row r="365" spans="1:9" x14ac:dyDescent="0.25">
      <c r="A365" t="s">
        <v>955</v>
      </c>
      <c r="B365" t="s">
        <v>954</v>
      </c>
      <c r="C365">
        <f>MATCH(A365,mapPRC!A$2:A$1071,0)</f>
        <v>502</v>
      </c>
      <c r="G365" t="s">
        <v>4</v>
      </c>
      <c r="H365" t="s">
        <v>3</v>
      </c>
      <c r="I365">
        <f>MATCH(G365,mapPRC!$A$2:$A$1071,0)</f>
        <v>499</v>
      </c>
    </row>
    <row r="366" spans="1:9" x14ac:dyDescent="0.25">
      <c r="A366" t="s">
        <v>953</v>
      </c>
      <c r="B366" t="s">
        <v>952</v>
      </c>
      <c r="C366">
        <f>MATCH(A366,mapPRC!A$2:A$1071,0)</f>
        <v>503</v>
      </c>
      <c r="G366" t="s">
        <v>2</v>
      </c>
      <c r="H366" t="s">
        <v>1</v>
      </c>
      <c r="I366">
        <f>MATCH(G366,mapPRC!$A$2:$A$1071,0)</f>
        <v>500</v>
      </c>
    </row>
    <row r="367" spans="1:9" x14ac:dyDescent="0.25">
      <c r="A367" t="s">
        <v>951</v>
      </c>
      <c r="B367" t="s">
        <v>950</v>
      </c>
      <c r="C367">
        <f>MATCH(A367,mapPRC!A$2:A$1071,0)</f>
        <v>504</v>
      </c>
      <c r="G367" t="s">
        <v>957</v>
      </c>
      <c r="H367" t="s">
        <v>956</v>
      </c>
      <c r="I367">
        <f>MATCH(G367,mapPRC!$A$2:$A$1071,0)</f>
        <v>501</v>
      </c>
    </row>
    <row r="368" spans="1:9" x14ac:dyDescent="0.25">
      <c r="A368" t="s">
        <v>949</v>
      </c>
      <c r="B368" t="s">
        <v>948</v>
      </c>
      <c r="C368">
        <f>MATCH(A368,mapPRC!A$2:A$1071,0)</f>
        <v>505</v>
      </c>
      <c r="G368" t="s">
        <v>955</v>
      </c>
      <c r="H368" t="s">
        <v>954</v>
      </c>
      <c r="I368">
        <f>MATCH(G368,mapPRC!$A$2:$A$1071,0)</f>
        <v>502</v>
      </c>
    </row>
    <row r="369" spans="1:9" x14ac:dyDescent="0.25">
      <c r="A369" t="s">
        <v>947</v>
      </c>
      <c r="B369" t="s">
        <v>946</v>
      </c>
      <c r="C369">
        <f>MATCH(A369,mapPRC!A$2:A$1071,0)</f>
        <v>506</v>
      </c>
      <c r="G369" t="s">
        <v>953</v>
      </c>
      <c r="H369" t="s">
        <v>952</v>
      </c>
      <c r="I369">
        <f>MATCH(G369,mapPRC!$A$2:$A$1071,0)</f>
        <v>503</v>
      </c>
    </row>
    <row r="370" spans="1:9" x14ac:dyDescent="0.25">
      <c r="A370" t="s">
        <v>945</v>
      </c>
      <c r="B370" t="s">
        <v>944</v>
      </c>
      <c r="C370">
        <f>MATCH(A370,mapPRC!A$2:A$1071,0)</f>
        <v>507</v>
      </c>
      <c r="G370" t="s">
        <v>951</v>
      </c>
      <c r="H370" t="s">
        <v>950</v>
      </c>
      <c r="I370">
        <f>MATCH(G370,mapPRC!$A$2:$A$1071,0)</f>
        <v>504</v>
      </c>
    </row>
    <row r="371" spans="1:9" x14ac:dyDescent="0.25">
      <c r="A371" t="s">
        <v>943</v>
      </c>
      <c r="B371" t="s">
        <v>942</v>
      </c>
      <c r="C371">
        <f>MATCH(A371,mapPRC!A$2:A$1071,0)</f>
        <v>508</v>
      </c>
      <c r="G371" t="s">
        <v>949</v>
      </c>
      <c r="H371" t="s">
        <v>948</v>
      </c>
      <c r="I371">
        <f>MATCH(G371,mapPRC!$A$2:$A$1071,0)</f>
        <v>505</v>
      </c>
    </row>
    <row r="372" spans="1:9" x14ac:dyDescent="0.25">
      <c r="A372" t="s">
        <v>941</v>
      </c>
      <c r="B372" t="s">
        <v>940</v>
      </c>
      <c r="C372">
        <f>MATCH(A372,mapPRC!A$2:A$1071,0)</f>
        <v>509</v>
      </c>
      <c r="G372" t="s">
        <v>947</v>
      </c>
      <c r="H372" t="s">
        <v>946</v>
      </c>
      <c r="I372">
        <f>MATCH(G372,mapPRC!$A$2:$A$1071,0)</f>
        <v>506</v>
      </c>
    </row>
    <row r="373" spans="1:9" x14ac:dyDescent="0.25">
      <c r="A373" t="s">
        <v>939</v>
      </c>
      <c r="B373" t="s">
        <v>938</v>
      </c>
      <c r="C373">
        <f>MATCH(A373,mapPRC!A$2:A$1071,0)</f>
        <v>510</v>
      </c>
      <c r="G373" t="s">
        <v>945</v>
      </c>
      <c r="H373" t="s">
        <v>944</v>
      </c>
      <c r="I373">
        <f>MATCH(G373,mapPRC!$A$2:$A$1071,0)</f>
        <v>507</v>
      </c>
    </row>
    <row r="374" spans="1:9" x14ac:dyDescent="0.25">
      <c r="A374" t="s">
        <v>937</v>
      </c>
      <c r="B374" t="s">
        <v>936</v>
      </c>
      <c r="C374">
        <f>MATCH(A374,mapPRC!A$2:A$1071,0)</f>
        <v>511</v>
      </c>
      <c r="G374" t="s">
        <v>943</v>
      </c>
      <c r="H374" t="s">
        <v>942</v>
      </c>
      <c r="I374">
        <f>MATCH(G374,mapPRC!$A$2:$A$1071,0)</f>
        <v>508</v>
      </c>
    </row>
    <row r="375" spans="1:9" x14ac:dyDescent="0.25">
      <c r="A375" t="s">
        <v>934</v>
      </c>
      <c r="B375" t="s">
        <v>933</v>
      </c>
      <c r="C375">
        <f>MATCH(A375,mapPRC!A$2:A$1071,0)</f>
        <v>512</v>
      </c>
      <c r="G375" t="s">
        <v>941</v>
      </c>
      <c r="H375" t="s">
        <v>940</v>
      </c>
      <c r="I375">
        <f>MATCH(G375,mapPRC!$A$2:$A$1071,0)</f>
        <v>509</v>
      </c>
    </row>
    <row r="376" spans="1:9" x14ac:dyDescent="0.25">
      <c r="A376" t="s">
        <v>918</v>
      </c>
      <c r="B376" t="s">
        <v>917</v>
      </c>
      <c r="C376">
        <f>MATCH(A376,mapPRC!A$2:A$1071,0)</f>
        <v>522</v>
      </c>
      <c r="G376" t="s">
        <v>939</v>
      </c>
      <c r="H376" t="s">
        <v>938</v>
      </c>
      <c r="I376">
        <f>MATCH(G376,mapPRC!$A$2:$A$1071,0)</f>
        <v>510</v>
      </c>
    </row>
    <row r="377" spans="1:9" x14ac:dyDescent="0.25">
      <c r="A377" t="s">
        <v>2863</v>
      </c>
      <c r="B377" t="s">
        <v>3567</v>
      </c>
      <c r="C377">
        <f>MATCH(A377,mapPRC!A$2:A$1071,0)</f>
        <v>523</v>
      </c>
      <c r="G377" t="s">
        <v>937</v>
      </c>
      <c r="H377" t="s">
        <v>936</v>
      </c>
      <c r="I377">
        <f>MATCH(G377,mapPRC!$A$2:$A$1071,0)</f>
        <v>511</v>
      </c>
    </row>
    <row r="378" spans="1:9" x14ac:dyDescent="0.25">
      <c r="A378" t="s">
        <v>2865</v>
      </c>
      <c r="B378" t="s">
        <v>3568</v>
      </c>
      <c r="C378">
        <f>MATCH(A378,mapPRC!A$2:A$1071,0)</f>
        <v>524</v>
      </c>
      <c r="G378" t="s">
        <v>934</v>
      </c>
      <c r="H378" t="s">
        <v>933</v>
      </c>
      <c r="I378">
        <f>MATCH(G378,mapPRC!$A$2:$A$1071,0)</f>
        <v>512</v>
      </c>
    </row>
    <row r="379" spans="1:9" x14ac:dyDescent="0.25">
      <c r="A379" t="s">
        <v>2867</v>
      </c>
      <c r="B379" t="s">
        <v>3569</v>
      </c>
      <c r="C379">
        <f>MATCH(A379,mapPRC!A$2:A$1071,0)</f>
        <v>526</v>
      </c>
      <c r="G379" t="s">
        <v>918</v>
      </c>
      <c r="H379" t="s">
        <v>917</v>
      </c>
      <c r="I379">
        <f>MATCH(G379,mapPRC!$A$2:$A$1071,0)</f>
        <v>522</v>
      </c>
    </row>
    <row r="380" spans="1:9" x14ac:dyDescent="0.25">
      <c r="A380" t="s">
        <v>2868</v>
      </c>
      <c r="B380" t="s">
        <v>3570</v>
      </c>
      <c r="C380">
        <f>MATCH(A380,mapPRC!A$2:A$1071,0)</f>
        <v>527</v>
      </c>
      <c r="G380" t="s">
        <v>2863</v>
      </c>
      <c r="H380" t="s">
        <v>3567</v>
      </c>
      <c r="I380">
        <f>MATCH(G380,mapPRC!$A$2:$A$1071,0)</f>
        <v>523</v>
      </c>
    </row>
    <row r="381" spans="1:9" x14ac:dyDescent="0.25">
      <c r="A381" t="s">
        <v>2870</v>
      </c>
      <c r="B381" t="s">
        <v>3571</v>
      </c>
      <c r="C381">
        <f>MATCH(A381,mapPRC!A$2:A$1071,0)</f>
        <v>528</v>
      </c>
      <c r="G381" t="s">
        <v>2865</v>
      </c>
      <c r="H381" t="s">
        <v>3568</v>
      </c>
      <c r="I381">
        <f>MATCH(G381,mapPRC!$A$2:$A$1071,0)</f>
        <v>524</v>
      </c>
    </row>
    <row r="382" spans="1:9" x14ac:dyDescent="0.25">
      <c r="A382" t="s">
        <v>2872</v>
      </c>
      <c r="B382" t="s">
        <v>3572</v>
      </c>
      <c r="C382">
        <f>MATCH(A382,mapPRC!A$2:A$1071,0)</f>
        <v>529</v>
      </c>
      <c r="G382" t="s">
        <v>2867</v>
      </c>
      <c r="H382" t="s">
        <v>3569</v>
      </c>
      <c r="I382">
        <f>MATCH(G382,mapPRC!$A$2:$A$1071,0)</f>
        <v>526</v>
      </c>
    </row>
    <row r="383" spans="1:9" x14ac:dyDescent="0.25">
      <c r="A383" t="s">
        <v>2874</v>
      </c>
      <c r="B383" t="s">
        <v>3573</v>
      </c>
      <c r="C383">
        <f>MATCH(A383,mapPRC!A$2:A$1071,0)</f>
        <v>530</v>
      </c>
      <c r="G383" t="s">
        <v>2868</v>
      </c>
      <c r="H383" t="s">
        <v>3570</v>
      </c>
      <c r="I383">
        <f>MATCH(G383,mapPRC!$A$2:$A$1071,0)</f>
        <v>527</v>
      </c>
    </row>
    <row r="384" spans="1:9" x14ac:dyDescent="0.25">
      <c r="A384" t="s">
        <v>2876</v>
      </c>
      <c r="B384" t="s">
        <v>3574</v>
      </c>
      <c r="C384">
        <f>MATCH(A384,mapPRC!A$2:A$1071,0)</f>
        <v>531</v>
      </c>
      <c r="G384" t="s">
        <v>2870</v>
      </c>
      <c r="H384" t="s">
        <v>3571</v>
      </c>
      <c r="I384">
        <f>MATCH(G384,mapPRC!$A$2:$A$1071,0)</f>
        <v>528</v>
      </c>
    </row>
    <row r="385" spans="1:9" x14ac:dyDescent="0.25">
      <c r="A385" t="s">
        <v>2878</v>
      </c>
      <c r="B385" t="s">
        <v>3575</v>
      </c>
      <c r="C385">
        <f>MATCH(A385,mapPRC!A$2:A$1071,0)</f>
        <v>532</v>
      </c>
      <c r="G385" t="s">
        <v>2872</v>
      </c>
      <c r="H385" t="s">
        <v>3572</v>
      </c>
      <c r="I385">
        <f>MATCH(G385,mapPRC!$A$2:$A$1071,0)</f>
        <v>529</v>
      </c>
    </row>
    <row r="386" spans="1:9" x14ac:dyDescent="0.25">
      <c r="A386" t="s">
        <v>2880</v>
      </c>
      <c r="B386" t="s">
        <v>3576</v>
      </c>
      <c r="C386">
        <f>MATCH(A386,mapPRC!A$2:A$1071,0)</f>
        <v>533</v>
      </c>
      <c r="G386" t="s">
        <v>2874</v>
      </c>
      <c r="H386" t="s">
        <v>3573</v>
      </c>
      <c r="I386">
        <f>MATCH(G386,mapPRC!$A$2:$A$1071,0)</f>
        <v>530</v>
      </c>
    </row>
    <row r="387" spans="1:9" x14ac:dyDescent="0.25">
      <c r="A387" t="s">
        <v>2882</v>
      </c>
      <c r="B387" t="s">
        <v>3577</v>
      </c>
      <c r="C387">
        <f>MATCH(A387,mapPRC!A$2:A$1071,0)</f>
        <v>534</v>
      </c>
      <c r="G387" t="s">
        <v>2876</v>
      </c>
      <c r="H387" t="s">
        <v>3574</v>
      </c>
      <c r="I387">
        <f>MATCH(G387,mapPRC!$A$2:$A$1071,0)</f>
        <v>531</v>
      </c>
    </row>
    <row r="388" spans="1:9" x14ac:dyDescent="0.25">
      <c r="A388" t="s">
        <v>2884</v>
      </c>
      <c r="B388" t="s">
        <v>3578</v>
      </c>
      <c r="C388">
        <f>MATCH(A388,mapPRC!A$2:A$1071,0)</f>
        <v>535</v>
      </c>
      <c r="G388" t="s">
        <v>2878</v>
      </c>
      <c r="H388" t="s">
        <v>3575</v>
      </c>
      <c r="I388">
        <f>MATCH(G388,mapPRC!$A$2:$A$1071,0)</f>
        <v>532</v>
      </c>
    </row>
    <row r="389" spans="1:9" x14ac:dyDescent="0.25">
      <c r="A389" t="s">
        <v>2886</v>
      </c>
      <c r="B389" t="s">
        <v>3579</v>
      </c>
      <c r="C389">
        <f>MATCH(A389,mapPRC!A$2:A$1071,0)</f>
        <v>536</v>
      </c>
      <c r="G389" t="s">
        <v>2880</v>
      </c>
      <c r="H389" t="s">
        <v>3576</v>
      </c>
      <c r="I389">
        <f>MATCH(G389,mapPRC!$A$2:$A$1071,0)</f>
        <v>533</v>
      </c>
    </row>
    <row r="390" spans="1:9" x14ac:dyDescent="0.25">
      <c r="A390" t="s">
        <v>2888</v>
      </c>
      <c r="B390" t="s">
        <v>3580</v>
      </c>
      <c r="C390">
        <f>MATCH(A390,mapPRC!A$2:A$1071,0)</f>
        <v>537</v>
      </c>
      <c r="G390" t="s">
        <v>2882</v>
      </c>
      <c r="H390" t="s">
        <v>3577</v>
      </c>
      <c r="I390">
        <f>MATCH(G390,mapPRC!$A$2:$A$1071,0)</f>
        <v>534</v>
      </c>
    </row>
    <row r="391" spans="1:9" x14ac:dyDescent="0.25">
      <c r="A391" t="s">
        <v>2890</v>
      </c>
      <c r="B391" t="s">
        <v>3581</v>
      </c>
      <c r="C391">
        <f>MATCH(A391,mapPRC!A$2:A$1071,0)</f>
        <v>538</v>
      </c>
      <c r="G391" t="s">
        <v>2884</v>
      </c>
      <c r="H391" t="s">
        <v>3578</v>
      </c>
      <c r="I391">
        <f>MATCH(G391,mapPRC!$A$2:$A$1071,0)</f>
        <v>535</v>
      </c>
    </row>
    <row r="392" spans="1:9" x14ac:dyDescent="0.25">
      <c r="A392" t="s">
        <v>2892</v>
      </c>
      <c r="B392" t="s">
        <v>3582</v>
      </c>
      <c r="C392">
        <f>MATCH(A392,mapPRC!A$2:A$1071,0)</f>
        <v>539</v>
      </c>
      <c r="G392" t="s">
        <v>2886</v>
      </c>
      <c r="H392" t="s">
        <v>3579</v>
      </c>
      <c r="I392">
        <f>MATCH(G392,mapPRC!$A$2:$A$1071,0)</f>
        <v>536</v>
      </c>
    </row>
    <row r="393" spans="1:9" x14ac:dyDescent="0.25">
      <c r="A393" t="s">
        <v>2894</v>
      </c>
      <c r="B393" t="s">
        <v>3583</v>
      </c>
      <c r="C393">
        <f>MATCH(A393,mapPRC!A$2:A$1071,0)</f>
        <v>540</v>
      </c>
      <c r="G393" t="s">
        <v>2888</v>
      </c>
      <c r="H393" t="s">
        <v>3580</v>
      </c>
      <c r="I393">
        <f>MATCH(G393,mapPRC!$A$2:$A$1071,0)</f>
        <v>537</v>
      </c>
    </row>
    <row r="394" spans="1:9" x14ac:dyDescent="0.25">
      <c r="A394" t="s">
        <v>2896</v>
      </c>
      <c r="B394" t="s">
        <v>3584</v>
      </c>
      <c r="C394">
        <f>MATCH(A394,mapPRC!A$2:A$1071,0)</f>
        <v>541</v>
      </c>
      <c r="G394" t="s">
        <v>2890</v>
      </c>
      <c r="H394" t="s">
        <v>3581</v>
      </c>
      <c r="I394">
        <f>MATCH(G394,mapPRC!$A$2:$A$1071,0)</f>
        <v>538</v>
      </c>
    </row>
    <row r="395" spans="1:9" x14ac:dyDescent="0.25">
      <c r="A395" t="s">
        <v>2898</v>
      </c>
      <c r="B395" t="s">
        <v>3585</v>
      </c>
      <c r="C395">
        <f>MATCH(A395,mapPRC!A$2:A$1071,0)</f>
        <v>542</v>
      </c>
      <c r="G395" t="s">
        <v>2892</v>
      </c>
      <c r="H395" t="s">
        <v>3582</v>
      </c>
      <c r="I395">
        <f>MATCH(G395,mapPRC!$A$2:$A$1071,0)</f>
        <v>539</v>
      </c>
    </row>
    <row r="396" spans="1:9" x14ac:dyDescent="0.25">
      <c r="A396" t="s">
        <v>2900</v>
      </c>
      <c r="B396" t="s">
        <v>3586</v>
      </c>
      <c r="C396">
        <f>MATCH(A396,mapPRC!A$2:A$1071,0)</f>
        <v>543</v>
      </c>
      <c r="G396" t="s">
        <v>2894</v>
      </c>
      <c r="H396" t="s">
        <v>3583</v>
      </c>
      <c r="I396">
        <f>MATCH(G396,mapPRC!$A$2:$A$1071,0)</f>
        <v>540</v>
      </c>
    </row>
    <row r="397" spans="1:9" x14ac:dyDescent="0.25">
      <c r="A397" t="s">
        <v>2902</v>
      </c>
      <c r="B397" t="s">
        <v>3587</v>
      </c>
      <c r="C397">
        <f>MATCH(A397,mapPRC!A$2:A$1071,0)</f>
        <v>544</v>
      </c>
      <c r="G397" t="s">
        <v>2896</v>
      </c>
      <c r="H397" t="s">
        <v>3584</v>
      </c>
      <c r="I397">
        <f>MATCH(G397,mapPRC!$A$2:$A$1071,0)</f>
        <v>541</v>
      </c>
    </row>
    <row r="398" spans="1:9" x14ac:dyDescent="0.25">
      <c r="A398" t="s">
        <v>2904</v>
      </c>
      <c r="B398" t="s">
        <v>3588</v>
      </c>
      <c r="C398">
        <f>MATCH(A398,mapPRC!A$2:A$1071,0)</f>
        <v>545</v>
      </c>
      <c r="G398" t="s">
        <v>2898</v>
      </c>
      <c r="H398" t="s">
        <v>3585</v>
      </c>
      <c r="I398">
        <f>MATCH(G398,mapPRC!$A$2:$A$1071,0)</f>
        <v>542</v>
      </c>
    </row>
    <row r="399" spans="1:9" x14ac:dyDescent="0.25">
      <c r="A399" t="s">
        <v>3086</v>
      </c>
      <c r="B399" t="s">
        <v>3087</v>
      </c>
      <c r="C399">
        <f>MATCH(A399,mapPRC!A$2:A$1071,0)</f>
        <v>546</v>
      </c>
      <c r="G399" t="s">
        <v>2900</v>
      </c>
      <c r="H399" t="s">
        <v>3586</v>
      </c>
      <c r="I399">
        <f>MATCH(G399,mapPRC!$A$2:$A$1071,0)</f>
        <v>543</v>
      </c>
    </row>
    <row r="400" spans="1:9" x14ac:dyDescent="0.25">
      <c r="A400" t="s">
        <v>915</v>
      </c>
      <c r="B400" t="s">
        <v>914</v>
      </c>
      <c r="C400">
        <f>MATCH(A400,mapPRC!A$2:A$1071,0)</f>
        <v>547</v>
      </c>
      <c r="G400" t="s">
        <v>2902</v>
      </c>
      <c r="H400" t="s">
        <v>3587</v>
      </c>
      <c r="I400">
        <f>MATCH(G400,mapPRC!$A$2:$A$1071,0)</f>
        <v>544</v>
      </c>
    </row>
    <row r="401" spans="1:9" x14ac:dyDescent="0.25">
      <c r="A401" t="s">
        <v>913</v>
      </c>
      <c r="B401" t="s">
        <v>912</v>
      </c>
      <c r="C401">
        <f>MATCH(A401,mapPRC!A$2:A$1071,0)</f>
        <v>548</v>
      </c>
      <c r="G401" t="s">
        <v>2904</v>
      </c>
      <c r="H401" t="s">
        <v>3588</v>
      </c>
      <c r="I401">
        <f>MATCH(G401,mapPRC!$A$2:$A$1071,0)</f>
        <v>545</v>
      </c>
    </row>
    <row r="402" spans="1:9" x14ac:dyDescent="0.25">
      <c r="A402" t="s">
        <v>911</v>
      </c>
      <c r="B402" t="s">
        <v>910</v>
      </c>
      <c r="C402">
        <f>MATCH(A402,mapPRC!A$2:A$1071,0)</f>
        <v>549</v>
      </c>
      <c r="G402" t="s">
        <v>3086</v>
      </c>
      <c r="H402" t="s">
        <v>3087</v>
      </c>
      <c r="I402">
        <f>MATCH(G402,mapPRC!$A$2:$A$1071,0)</f>
        <v>546</v>
      </c>
    </row>
    <row r="403" spans="1:9" x14ac:dyDescent="0.25">
      <c r="A403" t="s">
        <v>908</v>
      </c>
      <c r="B403" t="s">
        <v>907</v>
      </c>
      <c r="C403">
        <f>MATCH(A403,mapPRC!A$2:A$1071,0)</f>
        <v>550</v>
      </c>
      <c r="G403" t="s">
        <v>915</v>
      </c>
      <c r="H403" t="s">
        <v>914</v>
      </c>
      <c r="I403">
        <f>MATCH(G403,mapPRC!$A$2:$A$1071,0)</f>
        <v>547</v>
      </c>
    </row>
    <row r="404" spans="1:9" x14ac:dyDescent="0.25">
      <c r="A404" t="s">
        <v>905</v>
      </c>
      <c r="B404" t="s">
        <v>904</v>
      </c>
      <c r="C404">
        <f>MATCH(A404,mapPRC!A$2:A$1071,0)</f>
        <v>551</v>
      </c>
      <c r="G404" t="s">
        <v>913</v>
      </c>
      <c r="H404" t="s">
        <v>912</v>
      </c>
      <c r="I404">
        <f>MATCH(G404,mapPRC!$A$2:$A$1071,0)</f>
        <v>548</v>
      </c>
    </row>
    <row r="405" spans="1:9" x14ac:dyDescent="0.25">
      <c r="A405" t="s">
        <v>903</v>
      </c>
      <c r="B405" t="s">
        <v>902</v>
      </c>
      <c r="C405">
        <f>MATCH(A405,mapPRC!A$2:A$1071,0)</f>
        <v>552</v>
      </c>
      <c r="G405" t="s">
        <v>911</v>
      </c>
      <c r="H405" t="s">
        <v>910</v>
      </c>
      <c r="I405">
        <f>MATCH(G405,mapPRC!$A$2:$A$1071,0)</f>
        <v>549</v>
      </c>
    </row>
    <row r="406" spans="1:9" x14ac:dyDescent="0.25">
      <c r="A406" t="s">
        <v>901</v>
      </c>
      <c r="B406" t="s">
        <v>900</v>
      </c>
      <c r="C406">
        <f>MATCH(A406,mapPRC!A$2:A$1071,0)</f>
        <v>553</v>
      </c>
      <c r="G406" t="s">
        <v>908</v>
      </c>
      <c r="H406" t="s">
        <v>907</v>
      </c>
      <c r="I406">
        <f>MATCH(G406,mapPRC!$A$2:$A$1071,0)</f>
        <v>550</v>
      </c>
    </row>
    <row r="407" spans="1:9" x14ac:dyDescent="0.25">
      <c r="A407" t="s">
        <v>899</v>
      </c>
      <c r="B407" t="s">
        <v>898</v>
      </c>
      <c r="C407">
        <f>MATCH(A407,mapPRC!A$2:A$1071,0)</f>
        <v>554</v>
      </c>
      <c r="G407" t="s">
        <v>905</v>
      </c>
      <c r="H407" t="s">
        <v>904</v>
      </c>
      <c r="I407">
        <f>MATCH(G407,mapPRC!$A$2:$A$1071,0)</f>
        <v>551</v>
      </c>
    </row>
    <row r="408" spans="1:9" x14ac:dyDescent="0.25">
      <c r="A408" t="s">
        <v>897</v>
      </c>
      <c r="B408" t="s">
        <v>896</v>
      </c>
      <c r="C408">
        <f>MATCH(A408,mapPRC!A$2:A$1071,0)</f>
        <v>555</v>
      </c>
      <c r="G408" t="s">
        <v>903</v>
      </c>
      <c r="H408" t="s">
        <v>902</v>
      </c>
      <c r="I408">
        <f>MATCH(G408,mapPRC!$A$2:$A$1071,0)</f>
        <v>552</v>
      </c>
    </row>
    <row r="409" spans="1:9" x14ac:dyDescent="0.25">
      <c r="A409" t="s">
        <v>895</v>
      </c>
      <c r="B409" t="s">
        <v>894</v>
      </c>
      <c r="C409">
        <f>MATCH(A409,mapPRC!A$2:A$1071,0)</f>
        <v>556</v>
      </c>
      <c r="G409" t="s">
        <v>901</v>
      </c>
      <c r="H409" t="s">
        <v>900</v>
      </c>
      <c r="I409">
        <f>MATCH(G409,mapPRC!$A$2:$A$1071,0)</f>
        <v>553</v>
      </c>
    </row>
    <row r="410" spans="1:9" x14ac:dyDescent="0.25">
      <c r="A410" t="s">
        <v>893</v>
      </c>
      <c r="B410" t="s">
        <v>892</v>
      </c>
      <c r="C410">
        <f>MATCH(A410,mapPRC!A$2:A$1071,0)</f>
        <v>557</v>
      </c>
      <c r="G410" t="s">
        <v>899</v>
      </c>
      <c r="H410" t="s">
        <v>898</v>
      </c>
      <c r="I410">
        <f>MATCH(G410,mapPRC!$A$2:$A$1071,0)</f>
        <v>554</v>
      </c>
    </row>
    <row r="411" spans="1:9" x14ac:dyDescent="0.25">
      <c r="A411" t="s">
        <v>891</v>
      </c>
      <c r="B411" t="s">
        <v>890</v>
      </c>
      <c r="C411">
        <f>MATCH(A411,mapPRC!A$2:A$1071,0)</f>
        <v>559</v>
      </c>
      <c r="G411" t="s">
        <v>897</v>
      </c>
      <c r="H411" t="s">
        <v>896</v>
      </c>
      <c r="I411">
        <f>MATCH(G411,mapPRC!$A$2:$A$1071,0)</f>
        <v>555</v>
      </c>
    </row>
    <row r="412" spans="1:9" x14ac:dyDescent="0.25">
      <c r="A412" t="s">
        <v>889</v>
      </c>
      <c r="B412" t="s">
        <v>888</v>
      </c>
      <c r="C412">
        <f>MATCH(A412,mapPRC!A$2:A$1071,0)</f>
        <v>560</v>
      </c>
      <c r="G412" t="s">
        <v>895</v>
      </c>
      <c r="H412" t="s">
        <v>894</v>
      </c>
      <c r="I412">
        <f>MATCH(G412,mapPRC!$A$2:$A$1071,0)</f>
        <v>556</v>
      </c>
    </row>
    <row r="413" spans="1:9" x14ac:dyDescent="0.25">
      <c r="A413" t="s">
        <v>887</v>
      </c>
      <c r="B413" t="s">
        <v>886</v>
      </c>
      <c r="C413">
        <f>MATCH(A413,mapPRC!A$2:A$1071,0)</f>
        <v>561</v>
      </c>
      <c r="G413" t="s">
        <v>893</v>
      </c>
      <c r="H413" t="s">
        <v>892</v>
      </c>
      <c r="I413">
        <f>MATCH(G413,mapPRC!$A$2:$A$1071,0)</f>
        <v>557</v>
      </c>
    </row>
    <row r="414" spans="1:9" x14ac:dyDescent="0.25">
      <c r="A414" t="s">
        <v>885</v>
      </c>
      <c r="B414" t="s">
        <v>884</v>
      </c>
      <c r="C414">
        <f>MATCH(A414,mapPRC!A$2:A$1071,0)</f>
        <v>562</v>
      </c>
      <c r="G414" t="s">
        <v>891</v>
      </c>
      <c r="H414" t="s">
        <v>890</v>
      </c>
      <c r="I414">
        <f>MATCH(G414,mapPRC!$A$2:$A$1071,0)</f>
        <v>559</v>
      </c>
    </row>
    <row r="415" spans="1:9" x14ac:dyDescent="0.25">
      <c r="A415" t="s">
        <v>883</v>
      </c>
      <c r="B415" t="s">
        <v>882</v>
      </c>
      <c r="C415">
        <f>MATCH(A415,mapPRC!A$2:A$1071,0)</f>
        <v>564</v>
      </c>
      <c r="G415" t="s">
        <v>889</v>
      </c>
      <c r="H415" t="s">
        <v>888</v>
      </c>
      <c r="I415">
        <f>MATCH(G415,mapPRC!$A$2:$A$1071,0)</f>
        <v>560</v>
      </c>
    </row>
    <row r="416" spans="1:9" x14ac:dyDescent="0.25">
      <c r="A416" t="s">
        <v>879</v>
      </c>
      <c r="B416" t="s">
        <v>878</v>
      </c>
      <c r="C416">
        <f>MATCH(A416,mapPRC!A$2:A$1071,0)</f>
        <v>566</v>
      </c>
      <c r="G416" t="s">
        <v>887</v>
      </c>
      <c r="H416" t="s">
        <v>886</v>
      </c>
      <c r="I416">
        <f>MATCH(G416,mapPRC!$A$2:$A$1071,0)</f>
        <v>561</v>
      </c>
    </row>
    <row r="417" spans="1:9" x14ac:dyDescent="0.25">
      <c r="A417" t="s">
        <v>877</v>
      </c>
      <c r="B417" t="s">
        <v>876</v>
      </c>
      <c r="C417">
        <f>MATCH(A417,mapPRC!A$2:A$1071,0)</f>
        <v>567</v>
      </c>
      <c r="G417" t="s">
        <v>885</v>
      </c>
      <c r="H417" t="s">
        <v>884</v>
      </c>
      <c r="I417">
        <f>MATCH(G417,mapPRC!$A$2:$A$1071,0)</f>
        <v>562</v>
      </c>
    </row>
    <row r="418" spans="1:9" x14ac:dyDescent="0.25">
      <c r="A418" t="s">
        <v>875</v>
      </c>
      <c r="B418" t="s">
        <v>874</v>
      </c>
      <c r="C418">
        <f>MATCH(A418,mapPRC!A$2:A$1071,0)</f>
        <v>568</v>
      </c>
      <c r="G418" t="s">
        <v>883</v>
      </c>
      <c r="H418" t="s">
        <v>882</v>
      </c>
      <c r="I418">
        <f>MATCH(G418,mapPRC!$A$2:$A$1071,0)</f>
        <v>564</v>
      </c>
    </row>
    <row r="419" spans="1:9" x14ac:dyDescent="0.25">
      <c r="A419" t="s">
        <v>3597</v>
      </c>
      <c r="B419" t="s">
        <v>3598</v>
      </c>
      <c r="C419">
        <f>MATCH(A419,mapPRC!A$2:A$1071,0)</f>
        <v>574</v>
      </c>
      <c r="D419">
        <v>1</v>
      </c>
      <c r="G419" t="s">
        <v>879</v>
      </c>
      <c r="H419" t="s">
        <v>878</v>
      </c>
      <c r="I419">
        <f>MATCH(G419,mapPRC!$A$2:$A$1071,0)</f>
        <v>566</v>
      </c>
    </row>
    <row r="420" spans="1:9" x14ac:dyDescent="0.25">
      <c r="A420" t="s">
        <v>871</v>
      </c>
      <c r="B420" t="s">
        <v>870</v>
      </c>
      <c r="C420">
        <f>MATCH(A420,mapPRC!A$2:A$1071,0)</f>
        <v>575</v>
      </c>
      <c r="G420" t="s">
        <v>877</v>
      </c>
      <c r="H420" t="s">
        <v>876</v>
      </c>
      <c r="I420">
        <f>MATCH(G420,mapPRC!$A$2:$A$1071,0)</f>
        <v>567</v>
      </c>
    </row>
    <row r="421" spans="1:9" x14ac:dyDescent="0.25">
      <c r="A421" t="s">
        <v>869</v>
      </c>
      <c r="B421" t="s">
        <v>868</v>
      </c>
      <c r="C421">
        <f>MATCH(A421,mapPRC!A$2:A$1071,0)</f>
        <v>576</v>
      </c>
      <c r="G421" t="s">
        <v>875</v>
      </c>
      <c r="H421" t="s">
        <v>874</v>
      </c>
      <c r="I421">
        <f>MATCH(G421,mapPRC!$A$2:$A$1071,0)</f>
        <v>568</v>
      </c>
    </row>
    <row r="422" spans="1:9" x14ac:dyDescent="0.25">
      <c r="A422" t="s">
        <v>867</v>
      </c>
      <c r="B422" t="s">
        <v>866</v>
      </c>
      <c r="C422">
        <f>MATCH(A422,mapPRC!A$2:A$1071,0)</f>
        <v>577</v>
      </c>
      <c r="G422" t="s">
        <v>3597</v>
      </c>
      <c r="H422" t="s">
        <v>3598</v>
      </c>
      <c r="I422">
        <f>MATCH(G422,mapPRC!$A$2:$A$1071,0)</f>
        <v>574</v>
      </c>
    </row>
    <row r="423" spans="1:9" x14ac:dyDescent="0.25">
      <c r="A423" t="s">
        <v>865</v>
      </c>
      <c r="B423" t="s">
        <v>864</v>
      </c>
      <c r="C423">
        <f>MATCH(A423,mapPRC!A$2:A$1071,0)</f>
        <v>578</v>
      </c>
      <c r="G423" t="s">
        <v>871</v>
      </c>
      <c r="H423" t="s">
        <v>870</v>
      </c>
      <c r="I423">
        <f>MATCH(G423,mapPRC!$A$2:$A$1071,0)</f>
        <v>575</v>
      </c>
    </row>
    <row r="424" spans="1:9" x14ac:dyDescent="0.25">
      <c r="A424" t="s">
        <v>863</v>
      </c>
      <c r="B424" t="s">
        <v>862</v>
      </c>
      <c r="C424">
        <f>MATCH(A424,mapPRC!A$2:A$1071,0)</f>
        <v>579</v>
      </c>
      <c r="G424" t="s">
        <v>869</v>
      </c>
      <c r="H424" t="s">
        <v>868</v>
      </c>
      <c r="I424">
        <f>MATCH(G424,mapPRC!$A$2:$A$1071,0)</f>
        <v>576</v>
      </c>
    </row>
    <row r="425" spans="1:9" x14ac:dyDescent="0.25">
      <c r="A425" t="s">
        <v>861</v>
      </c>
      <c r="B425" t="s">
        <v>860</v>
      </c>
      <c r="C425">
        <f>MATCH(A425,mapPRC!A$2:A$1071,0)</f>
        <v>580</v>
      </c>
      <c r="G425" t="s">
        <v>867</v>
      </c>
      <c r="H425" t="s">
        <v>866</v>
      </c>
      <c r="I425">
        <f>MATCH(G425,mapPRC!$A$2:$A$1071,0)</f>
        <v>577</v>
      </c>
    </row>
    <row r="426" spans="1:9" x14ac:dyDescent="0.25">
      <c r="A426" t="s">
        <v>858</v>
      </c>
      <c r="B426" t="s">
        <v>852</v>
      </c>
      <c r="C426">
        <f>MATCH(A426,mapPRC!A$2:A$1071,0)</f>
        <v>585</v>
      </c>
      <c r="G426" t="s">
        <v>865</v>
      </c>
      <c r="H426" t="s">
        <v>864</v>
      </c>
      <c r="I426">
        <f>MATCH(G426,mapPRC!$A$2:$A$1071,0)</f>
        <v>578</v>
      </c>
    </row>
    <row r="427" spans="1:9" x14ac:dyDescent="0.25">
      <c r="A427" t="s">
        <v>857</v>
      </c>
      <c r="B427" t="s">
        <v>852</v>
      </c>
      <c r="C427">
        <f>MATCH(A427,mapPRC!A$2:A$1071,0)</f>
        <v>586</v>
      </c>
      <c r="G427" t="s">
        <v>863</v>
      </c>
      <c r="H427" t="s">
        <v>862</v>
      </c>
      <c r="I427">
        <f>MATCH(G427,mapPRC!$A$2:$A$1071,0)</f>
        <v>579</v>
      </c>
    </row>
    <row r="428" spans="1:9" x14ac:dyDescent="0.25">
      <c r="A428" t="s">
        <v>856</v>
      </c>
      <c r="B428" t="s">
        <v>852</v>
      </c>
      <c r="C428">
        <f>MATCH(A428,mapPRC!A$2:A$1071,0)</f>
        <v>587</v>
      </c>
      <c r="G428" t="s">
        <v>861</v>
      </c>
      <c r="H428" t="s">
        <v>860</v>
      </c>
      <c r="I428">
        <f>MATCH(G428,mapPRC!$A$2:$A$1071,0)</f>
        <v>580</v>
      </c>
    </row>
    <row r="429" spans="1:9" x14ac:dyDescent="0.25">
      <c r="A429" t="s">
        <v>855</v>
      </c>
      <c r="B429" t="s">
        <v>852</v>
      </c>
      <c r="C429">
        <f>MATCH(A429,mapPRC!A$2:A$1071,0)</f>
        <v>588</v>
      </c>
      <c r="G429" t="s">
        <v>858</v>
      </c>
      <c r="H429" t="s">
        <v>852</v>
      </c>
      <c r="I429">
        <f>MATCH(G429,mapPRC!$A$2:$A$1071,0)</f>
        <v>585</v>
      </c>
    </row>
    <row r="430" spans="1:9" x14ac:dyDescent="0.25">
      <c r="A430" t="s">
        <v>854</v>
      </c>
      <c r="B430" t="s">
        <v>852</v>
      </c>
      <c r="C430">
        <f>MATCH(A430,mapPRC!A$2:A$1071,0)</f>
        <v>589</v>
      </c>
      <c r="G430" t="s">
        <v>857</v>
      </c>
      <c r="H430" t="s">
        <v>852</v>
      </c>
      <c r="I430">
        <f>MATCH(G430,mapPRC!$A$2:$A$1071,0)</f>
        <v>586</v>
      </c>
    </row>
    <row r="431" spans="1:9" x14ac:dyDescent="0.25">
      <c r="A431" t="s">
        <v>853</v>
      </c>
      <c r="B431" t="s">
        <v>852</v>
      </c>
      <c r="C431">
        <f>MATCH(A431,mapPRC!A$2:A$1071,0)</f>
        <v>590</v>
      </c>
      <c r="G431" t="s">
        <v>856</v>
      </c>
      <c r="H431" t="s">
        <v>852</v>
      </c>
      <c r="I431">
        <f>MATCH(G431,mapPRC!$A$2:$A$1071,0)</f>
        <v>587</v>
      </c>
    </row>
    <row r="432" spans="1:9" x14ac:dyDescent="0.25">
      <c r="A432" t="s">
        <v>851</v>
      </c>
      <c r="B432" t="s">
        <v>846</v>
      </c>
      <c r="C432">
        <f>MATCH(A432,mapPRC!A$2:A$1071,0)</f>
        <v>591</v>
      </c>
      <c r="G432" t="s">
        <v>855</v>
      </c>
      <c r="H432" t="s">
        <v>852</v>
      </c>
      <c r="I432">
        <f>MATCH(G432,mapPRC!$A$2:$A$1071,0)</f>
        <v>588</v>
      </c>
    </row>
    <row r="433" spans="1:9" x14ac:dyDescent="0.25">
      <c r="A433" t="s">
        <v>850</v>
      </c>
      <c r="B433" t="s">
        <v>846</v>
      </c>
      <c r="C433">
        <f>MATCH(A433,mapPRC!A$2:A$1071,0)</f>
        <v>592</v>
      </c>
      <c r="G433" t="s">
        <v>854</v>
      </c>
      <c r="H433" t="s">
        <v>852</v>
      </c>
      <c r="I433">
        <f>MATCH(G433,mapPRC!$A$2:$A$1071,0)</f>
        <v>589</v>
      </c>
    </row>
    <row r="434" spans="1:9" x14ac:dyDescent="0.25">
      <c r="A434" t="s">
        <v>849</v>
      </c>
      <c r="B434" t="s">
        <v>846</v>
      </c>
      <c r="C434">
        <f>MATCH(A434,mapPRC!A$2:A$1071,0)</f>
        <v>593</v>
      </c>
      <c r="G434" t="s">
        <v>853</v>
      </c>
      <c r="H434" t="s">
        <v>852</v>
      </c>
      <c r="I434">
        <f>MATCH(G434,mapPRC!$A$2:$A$1071,0)</f>
        <v>590</v>
      </c>
    </row>
    <row r="435" spans="1:9" x14ac:dyDescent="0.25">
      <c r="A435" t="s">
        <v>848</v>
      </c>
      <c r="B435" t="s">
        <v>846</v>
      </c>
      <c r="C435">
        <f>MATCH(A435,mapPRC!A$2:A$1071,0)</f>
        <v>594</v>
      </c>
      <c r="G435" t="s">
        <v>851</v>
      </c>
      <c r="H435" t="s">
        <v>846</v>
      </c>
      <c r="I435">
        <f>MATCH(G435,mapPRC!$A$2:$A$1071,0)</f>
        <v>591</v>
      </c>
    </row>
    <row r="436" spans="1:9" x14ac:dyDescent="0.25">
      <c r="A436" t="s">
        <v>847</v>
      </c>
      <c r="B436" t="s">
        <v>846</v>
      </c>
      <c r="C436">
        <f>MATCH(A436,mapPRC!A$2:A$1071,0)</f>
        <v>595</v>
      </c>
      <c r="G436" t="s">
        <v>850</v>
      </c>
      <c r="H436" t="s">
        <v>846</v>
      </c>
      <c r="I436">
        <f>MATCH(G436,mapPRC!$A$2:$A$1071,0)</f>
        <v>592</v>
      </c>
    </row>
    <row r="437" spans="1:9" x14ac:dyDescent="0.25">
      <c r="A437" t="s">
        <v>845</v>
      </c>
      <c r="B437" t="s">
        <v>844</v>
      </c>
      <c r="C437">
        <f>MATCH(A437,mapPRC!A$2:A$1071,0)</f>
        <v>596</v>
      </c>
      <c r="G437" t="s">
        <v>849</v>
      </c>
      <c r="H437" t="s">
        <v>846</v>
      </c>
      <c r="I437">
        <f>MATCH(G437,mapPRC!$A$2:$A$1071,0)</f>
        <v>593</v>
      </c>
    </row>
    <row r="438" spans="1:9" x14ac:dyDescent="0.25">
      <c r="A438" t="s">
        <v>841</v>
      </c>
      <c r="B438" t="s">
        <v>840</v>
      </c>
      <c r="C438">
        <f>MATCH(A438,mapPRC!A$2:A$1071,0)</f>
        <v>598</v>
      </c>
      <c r="G438" t="s">
        <v>848</v>
      </c>
      <c r="H438" t="s">
        <v>846</v>
      </c>
      <c r="I438">
        <f>MATCH(G438,mapPRC!$A$2:$A$1071,0)</f>
        <v>594</v>
      </c>
    </row>
    <row r="439" spans="1:9" x14ac:dyDescent="0.25">
      <c r="A439" t="s">
        <v>839</v>
      </c>
      <c r="B439" t="s">
        <v>838</v>
      </c>
      <c r="C439">
        <f>MATCH(A439,mapPRC!A$2:A$1071,0)</f>
        <v>599</v>
      </c>
      <c r="G439" t="s">
        <v>847</v>
      </c>
      <c r="H439" t="s">
        <v>846</v>
      </c>
      <c r="I439">
        <f>MATCH(G439,mapPRC!$A$2:$A$1071,0)</f>
        <v>595</v>
      </c>
    </row>
    <row r="440" spans="1:9" x14ac:dyDescent="0.25">
      <c r="A440" t="s">
        <v>837</v>
      </c>
      <c r="B440" t="s">
        <v>831</v>
      </c>
      <c r="C440">
        <f>MATCH(A440,mapPRC!A$2:A$1071,0)</f>
        <v>600</v>
      </c>
      <c r="G440" t="s">
        <v>845</v>
      </c>
      <c r="H440" t="s">
        <v>844</v>
      </c>
      <c r="I440">
        <f>MATCH(G440,mapPRC!$A$2:$A$1071,0)</f>
        <v>596</v>
      </c>
    </row>
    <row r="441" spans="1:9" x14ac:dyDescent="0.25">
      <c r="A441" t="s">
        <v>836</v>
      </c>
      <c r="B441" t="s">
        <v>831</v>
      </c>
      <c r="C441">
        <f>MATCH(A441,mapPRC!A$2:A$1071,0)</f>
        <v>601</v>
      </c>
      <c r="G441" t="s">
        <v>841</v>
      </c>
      <c r="H441" t="s">
        <v>840</v>
      </c>
      <c r="I441">
        <f>MATCH(G441,mapPRC!$A$2:$A$1071,0)</f>
        <v>598</v>
      </c>
    </row>
    <row r="442" spans="1:9" x14ac:dyDescent="0.25">
      <c r="A442" t="s">
        <v>835</v>
      </c>
      <c r="B442" t="s">
        <v>831</v>
      </c>
      <c r="C442">
        <f>MATCH(A442,mapPRC!A$2:A$1071,0)</f>
        <v>602</v>
      </c>
      <c r="G442" t="s">
        <v>839</v>
      </c>
      <c r="H442" t="s">
        <v>838</v>
      </c>
      <c r="I442">
        <f>MATCH(G442,mapPRC!$A$2:$A$1071,0)</f>
        <v>599</v>
      </c>
    </row>
    <row r="443" spans="1:9" x14ac:dyDescent="0.25">
      <c r="A443" t="s">
        <v>834</v>
      </c>
      <c r="B443" t="s">
        <v>831</v>
      </c>
      <c r="C443">
        <f>MATCH(A443,mapPRC!A$2:A$1071,0)</f>
        <v>603</v>
      </c>
      <c r="G443" t="s">
        <v>837</v>
      </c>
      <c r="H443" t="s">
        <v>831</v>
      </c>
      <c r="I443">
        <f>MATCH(G443,mapPRC!$A$2:$A$1071,0)</f>
        <v>600</v>
      </c>
    </row>
    <row r="444" spans="1:9" x14ac:dyDescent="0.25">
      <c r="A444" t="s">
        <v>833</v>
      </c>
      <c r="B444" t="s">
        <v>831</v>
      </c>
      <c r="C444">
        <f>MATCH(A444,mapPRC!A$2:A$1071,0)</f>
        <v>604</v>
      </c>
      <c r="G444" t="s">
        <v>836</v>
      </c>
      <c r="H444" t="s">
        <v>831</v>
      </c>
      <c r="I444">
        <f>MATCH(G444,mapPRC!$A$2:$A$1071,0)</f>
        <v>601</v>
      </c>
    </row>
    <row r="445" spans="1:9" x14ac:dyDescent="0.25">
      <c r="A445" t="s">
        <v>832</v>
      </c>
      <c r="B445" t="s">
        <v>831</v>
      </c>
      <c r="C445">
        <f>MATCH(A445,mapPRC!A$2:A$1071,0)</f>
        <v>605</v>
      </c>
      <c r="G445" t="s">
        <v>835</v>
      </c>
      <c r="H445" t="s">
        <v>831</v>
      </c>
      <c r="I445">
        <f>MATCH(G445,mapPRC!$A$2:$A$1071,0)</f>
        <v>602</v>
      </c>
    </row>
    <row r="446" spans="1:9" x14ac:dyDescent="0.25">
      <c r="A446" t="s">
        <v>829</v>
      </c>
      <c r="B446" t="s">
        <v>824</v>
      </c>
      <c r="C446">
        <f>MATCH(A446,mapPRC!A$2:A$1071,0)</f>
        <v>606</v>
      </c>
      <c r="G446" t="s">
        <v>834</v>
      </c>
      <c r="H446" t="s">
        <v>831</v>
      </c>
      <c r="I446">
        <f>MATCH(G446,mapPRC!$A$2:$A$1071,0)</f>
        <v>603</v>
      </c>
    </row>
    <row r="447" spans="1:9" x14ac:dyDescent="0.25">
      <c r="A447" t="s">
        <v>828</v>
      </c>
      <c r="B447" t="s">
        <v>824</v>
      </c>
      <c r="C447">
        <f>MATCH(A447,mapPRC!A$2:A$1071,0)</f>
        <v>607</v>
      </c>
      <c r="G447" t="s">
        <v>833</v>
      </c>
      <c r="H447" t="s">
        <v>831</v>
      </c>
      <c r="I447">
        <f>MATCH(G447,mapPRC!$A$2:$A$1071,0)</f>
        <v>604</v>
      </c>
    </row>
    <row r="448" spans="1:9" x14ac:dyDescent="0.25">
      <c r="A448" t="s">
        <v>827</v>
      </c>
      <c r="B448" t="s">
        <v>824</v>
      </c>
      <c r="C448">
        <f>MATCH(A448,mapPRC!A$2:A$1071,0)</f>
        <v>608</v>
      </c>
      <c r="G448" t="s">
        <v>832</v>
      </c>
      <c r="H448" t="s">
        <v>831</v>
      </c>
      <c r="I448">
        <f>MATCH(G448,mapPRC!$A$2:$A$1071,0)</f>
        <v>605</v>
      </c>
    </row>
    <row r="449" spans="1:9" x14ac:dyDescent="0.25">
      <c r="A449" t="s">
        <v>826</v>
      </c>
      <c r="B449" t="s">
        <v>824</v>
      </c>
      <c r="C449">
        <f>MATCH(A449,mapPRC!A$2:A$1071,0)</f>
        <v>609</v>
      </c>
      <c r="G449" t="s">
        <v>829</v>
      </c>
      <c r="H449" t="s">
        <v>824</v>
      </c>
      <c r="I449">
        <f>MATCH(G449,mapPRC!$A$2:$A$1071,0)</f>
        <v>606</v>
      </c>
    </row>
    <row r="450" spans="1:9" x14ac:dyDescent="0.25">
      <c r="A450" t="s">
        <v>825</v>
      </c>
      <c r="B450" t="s">
        <v>824</v>
      </c>
      <c r="C450">
        <f>MATCH(A450,mapPRC!A$2:A$1071,0)</f>
        <v>610</v>
      </c>
      <c r="G450" t="s">
        <v>828</v>
      </c>
      <c r="H450" t="s">
        <v>824</v>
      </c>
      <c r="I450">
        <f>MATCH(G450,mapPRC!$A$2:$A$1071,0)</f>
        <v>607</v>
      </c>
    </row>
    <row r="451" spans="1:9" x14ac:dyDescent="0.25">
      <c r="A451" t="s">
        <v>823</v>
      </c>
      <c r="B451" t="s">
        <v>822</v>
      </c>
      <c r="C451">
        <f>MATCH(A451,mapPRC!A$2:A$1071,0)</f>
        <v>611</v>
      </c>
      <c r="G451" t="s">
        <v>827</v>
      </c>
      <c r="H451" t="s">
        <v>824</v>
      </c>
      <c r="I451">
        <f>MATCH(G451,mapPRC!$A$2:$A$1071,0)</f>
        <v>608</v>
      </c>
    </row>
    <row r="452" spans="1:9" x14ac:dyDescent="0.25">
      <c r="A452" t="s">
        <v>821</v>
      </c>
      <c r="B452" t="s">
        <v>820</v>
      </c>
      <c r="C452">
        <f>MATCH(A452,mapPRC!A$2:A$1071,0)</f>
        <v>612</v>
      </c>
      <c r="G452" t="s">
        <v>826</v>
      </c>
      <c r="H452" t="s">
        <v>824</v>
      </c>
      <c r="I452">
        <f>MATCH(G452,mapPRC!$A$2:$A$1071,0)</f>
        <v>609</v>
      </c>
    </row>
    <row r="453" spans="1:9" x14ac:dyDescent="0.25">
      <c r="A453" t="s">
        <v>819</v>
      </c>
      <c r="B453" t="s">
        <v>817</v>
      </c>
      <c r="C453">
        <f>MATCH(A453,mapPRC!A$2:A$1071,0)</f>
        <v>613</v>
      </c>
      <c r="G453" t="s">
        <v>825</v>
      </c>
      <c r="H453" t="s">
        <v>824</v>
      </c>
      <c r="I453">
        <f>MATCH(G453,mapPRC!$A$2:$A$1071,0)</f>
        <v>610</v>
      </c>
    </row>
    <row r="454" spans="1:9" x14ac:dyDescent="0.25">
      <c r="A454" t="s">
        <v>818</v>
      </c>
      <c r="B454" t="s">
        <v>817</v>
      </c>
      <c r="C454">
        <f>MATCH(A454,mapPRC!A$2:A$1071,0)</f>
        <v>614</v>
      </c>
      <c r="G454" t="s">
        <v>823</v>
      </c>
      <c r="H454" t="s">
        <v>822</v>
      </c>
      <c r="I454">
        <f>MATCH(G454,mapPRC!$A$2:$A$1071,0)</f>
        <v>611</v>
      </c>
    </row>
    <row r="455" spans="1:9" x14ac:dyDescent="0.25">
      <c r="A455" t="s">
        <v>816</v>
      </c>
      <c r="B455" t="s">
        <v>814</v>
      </c>
      <c r="C455">
        <f>MATCH(A455,mapPRC!A$2:A$1071,0)</f>
        <v>615</v>
      </c>
      <c r="G455" t="s">
        <v>821</v>
      </c>
      <c r="H455" t="s">
        <v>820</v>
      </c>
      <c r="I455">
        <f>MATCH(G455,mapPRC!$A$2:$A$1071,0)</f>
        <v>612</v>
      </c>
    </row>
    <row r="456" spans="1:9" x14ac:dyDescent="0.25">
      <c r="A456" t="s">
        <v>815</v>
      </c>
      <c r="B456" t="s">
        <v>814</v>
      </c>
      <c r="C456">
        <f>MATCH(A456,mapPRC!A$2:A$1071,0)</f>
        <v>616</v>
      </c>
      <c r="G456" t="s">
        <v>819</v>
      </c>
      <c r="H456" t="s">
        <v>817</v>
      </c>
      <c r="I456">
        <f>MATCH(G456,mapPRC!$A$2:$A$1071,0)</f>
        <v>613</v>
      </c>
    </row>
    <row r="457" spans="1:9" x14ac:dyDescent="0.25">
      <c r="A457" t="s">
        <v>813</v>
      </c>
      <c r="B457" t="s">
        <v>812</v>
      </c>
      <c r="C457">
        <f>MATCH(A457,mapPRC!A$2:A$1071,0)</f>
        <v>617</v>
      </c>
      <c r="G457" t="s">
        <v>818</v>
      </c>
      <c r="H457" t="s">
        <v>817</v>
      </c>
      <c r="I457">
        <f>MATCH(G457,mapPRC!$A$2:$A$1071,0)</f>
        <v>614</v>
      </c>
    </row>
    <row r="458" spans="1:9" x14ac:dyDescent="0.25">
      <c r="A458" t="s">
        <v>809</v>
      </c>
      <c r="B458" t="s">
        <v>808</v>
      </c>
      <c r="C458">
        <f>MATCH(A458,mapPRC!A$2:A$1071,0)</f>
        <v>619</v>
      </c>
      <c r="G458" t="s">
        <v>816</v>
      </c>
      <c r="H458" t="s">
        <v>814</v>
      </c>
      <c r="I458">
        <f>MATCH(G458,mapPRC!$A$2:$A$1071,0)</f>
        <v>615</v>
      </c>
    </row>
    <row r="459" spans="1:9" x14ac:dyDescent="0.25">
      <c r="A459" t="s">
        <v>807</v>
      </c>
      <c r="B459" t="s">
        <v>806</v>
      </c>
      <c r="C459">
        <f>MATCH(A459,mapPRC!A$2:A$1071,0)</f>
        <v>620</v>
      </c>
      <c r="G459" t="s">
        <v>815</v>
      </c>
      <c r="H459" t="s">
        <v>814</v>
      </c>
      <c r="I459">
        <f>MATCH(G459,mapPRC!$A$2:$A$1071,0)</f>
        <v>616</v>
      </c>
    </row>
    <row r="460" spans="1:9" x14ac:dyDescent="0.25">
      <c r="A460" t="s">
        <v>805</v>
      </c>
      <c r="B460" t="s">
        <v>798</v>
      </c>
      <c r="C460">
        <f>MATCH(A460,mapPRC!A$2:A$1071,0)</f>
        <v>621</v>
      </c>
      <c r="G460" t="s">
        <v>813</v>
      </c>
      <c r="H460" t="s">
        <v>812</v>
      </c>
      <c r="I460">
        <f>MATCH(G460,mapPRC!$A$2:$A$1071,0)</f>
        <v>617</v>
      </c>
    </row>
    <row r="461" spans="1:9" x14ac:dyDescent="0.25">
      <c r="A461" t="s">
        <v>804</v>
      </c>
      <c r="B461" t="s">
        <v>798</v>
      </c>
      <c r="C461">
        <f>MATCH(A461,mapPRC!A$2:A$1071,0)</f>
        <v>622</v>
      </c>
      <c r="G461" t="s">
        <v>809</v>
      </c>
      <c r="H461" t="s">
        <v>808</v>
      </c>
      <c r="I461">
        <f>MATCH(G461,mapPRC!$A$2:$A$1071,0)</f>
        <v>619</v>
      </c>
    </row>
    <row r="462" spans="1:9" x14ac:dyDescent="0.25">
      <c r="A462" t="s">
        <v>802</v>
      </c>
      <c r="B462" t="s">
        <v>798</v>
      </c>
      <c r="C462">
        <f>MATCH(A462,mapPRC!A$2:A$1071,0)</f>
        <v>624</v>
      </c>
      <c r="G462" t="s">
        <v>807</v>
      </c>
      <c r="H462" t="s">
        <v>806</v>
      </c>
      <c r="I462">
        <f>MATCH(G462,mapPRC!$A$2:$A$1071,0)</f>
        <v>620</v>
      </c>
    </row>
    <row r="463" spans="1:9" x14ac:dyDescent="0.25">
      <c r="A463" t="s">
        <v>800</v>
      </c>
      <c r="B463" t="s">
        <v>798</v>
      </c>
      <c r="C463">
        <f>MATCH(A463,mapPRC!A$2:A$1071,0)</f>
        <v>626</v>
      </c>
      <c r="G463" t="s">
        <v>805</v>
      </c>
      <c r="H463" t="s">
        <v>798</v>
      </c>
      <c r="I463">
        <f>MATCH(G463,mapPRC!$A$2:$A$1071,0)</f>
        <v>621</v>
      </c>
    </row>
    <row r="464" spans="1:9" x14ac:dyDescent="0.25">
      <c r="A464" t="s">
        <v>799</v>
      </c>
      <c r="B464" t="s">
        <v>798</v>
      </c>
      <c r="C464">
        <f>MATCH(A464,mapPRC!A$2:A$1071,0)</f>
        <v>627</v>
      </c>
      <c r="G464" t="s">
        <v>804</v>
      </c>
      <c r="H464" t="s">
        <v>798</v>
      </c>
      <c r="I464">
        <f>MATCH(G464,mapPRC!$A$2:$A$1071,0)</f>
        <v>622</v>
      </c>
    </row>
    <row r="465" spans="1:9" x14ac:dyDescent="0.25">
      <c r="A465" t="s">
        <v>777</v>
      </c>
      <c r="B465" t="s">
        <v>771</v>
      </c>
      <c r="C465">
        <f>MATCH(A465,mapPRC!A$2:A$1071,0)</f>
        <v>642</v>
      </c>
      <c r="G465" t="s">
        <v>802</v>
      </c>
      <c r="H465" t="s">
        <v>798</v>
      </c>
      <c r="I465">
        <f>MATCH(G465,mapPRC!$A$2:$A$1071,0)</f>
        <v>624</v>
      </c>
    </row>
    <row r="466" spans="1:9" x14ac:dyDescent="0.25">
      <c r="A466" t="s">
        <v>776</v>
      </c>
      <c r="B466" t="s">
        <v>771</v>
      </c>
      <c r="C466">
        <f>MATCH(A466,mapPRC!A$2:A$1071,0)</f>
        <v>643</v>
      </c>
      <c r="G466" t="s">
        <v>800</v>
      </c>
      <c r="H466" t="s">
        <v>798</v>
      </c>
      <c r="I466">
        <f>MATCH(G466,mapPRC!$A$2:$A$1071,0)</f>
        <v>626</v>
      </c>
    </row>
    <row r="467" spans="1:9" x14ac:dyDescent="0.25">
      <c r="A467" t="s">
        <v>775</v>
      </c>
      <c r="B467" t="s">
        <v>771</v>
      </c>
      <c r="C467">
        <f>MATCH(A467,mapPRC!A$2:A$1071,0)</f>
        <v>644</v>
      </c>
      <c r="G467" t="s">
        <v>799</v>
      </c>
      <c r="H467" t="s">
        <v>798</v>
      </c>
      <c r="I467">
        <f>MATCH(G467,mapPRC!$A$2:$A$1071,0)</f>
        <v>627</v>
      </c>
    </row>
    <row r="468" spans="1:9" x14ac:dyDescent="0.25">
      <c r="A468" t="s">
        <v>774</v>
      </c>
      <c r="B468" t="s">
        <v>771</v>
      </c>
      <c r="C468">
        <f>MATCH(A468,mapPRC!A$2:A$1071,0)</f>
        <v>645</v>
      </c>
      <c r="G468" t="s">
        <v>777</v>
      </c>
      <c r="H468" t="s">
        <v>771</v>
      </c>
      <c r="I468">
        <f>MATCH(G468,mapPRC!$A$2:$A$1071,0)</f>
        <v>642</v>
      </c>
    </row>
    <row r="469" spans="1:9" x14ac:dyDescent="0.25">
      <c r="A469" t="s">
        <v>773</v>
      </c>
      <c r="B469" t="s">
        <v>771</v>
      </c>
      <c r="C469">
        <f>MATCH(A469,mapPRC!A$2:A$1071,0)</f>
        <v>646</v>
      </c>
      <c r="G469" t="s">
        <v>776</v>
      </c>
      <c r="H469" t="s">
        <v>771</v>
      </c>
      <c r="I469">
        <f>MATCH(G469,mapPRC!$A$2:$A$1071,0)</f>
        <v>643</v>
      </c>
    </row>
    <row r="470" spans="1:9" x14ac:dyDescent="0.25">
      <c r="A470" t="s">
        <v>772</v>
      </c>
      <c r="B470" t="s">
        <v>771</v>
      </c>
      <c r="C470">
        <f>MATCH(A470,mapPRC!A$2:A$1071,0)</f>
        <v>647</v>
      </c>
      <c r="G470" t="s">
        <v>775</v>
      </c>
      <c r="H470" t="s">
        <v>771</v>
      </c>
      <c r="I470">
        <f>MATCH(G470,mapPRC!$A$2:$A$1071,0)</f>
        <v>644</v>
      </c>
    </row>
    <row r="471" spans="1:9" x14ac:dyDescent="0.25">
      <c r="A471" t="s">
        <v>770</v>
      </c>
      <c r="B471" t="s">
        <v>764</v>
      </c>
      <c r="C471">
        <f>MATCH(A471,mapPRC!A$2:A$1071,0)</f>
        <v>648</v>
      </c>
      <c r="G471" t="s">
        <v>774</v>
      </c>
      <c r="H471" t="s">
        <v>771</v>
      </c>
      <c r="I471">
        <f>MATCH(G471,mapPRC!$A$2:$A$1071,0)</f>
        <v>645</v>
      </c>
    </row>
    <row r="472" spans="1:9" x14ac:dyDescent="0.25">
      <c r="A472" t="s">
        <v>769</v>
      </c>
      <c r="B472" t="s">
        <v>764</v>
      </c>
      <c r="C472">
        <f>MATCH(A472,mapPRC!A$2:A$1071,0)</f>
        <v>649</v>
      </c>
      <c r="G472" t="s">
        <v>773</v>
      </c>
      <c r="H472" t="s">
        <v>771</v>
      </c>
      <c r="I472">
        <f>MATCH(G472,mapPRC!$A$2:$A$1071,0)</f>
        <v>646</v>
      </c>
    </row>
    <row r="473" spans="1:9" x14ac:dyDescent="0.25">
      <c r="A473" t="s">
        <v>768</v>
      </c>
      <c r="B473" t="s">
        <v>764</v>
      </c>
      <c r="C473">
        <f>MATCH(A473,mapPRC!A$2:A$1071,0)</f>
        <v>650</v>
      </c>
      <c r="G473" t="s">
        <v>772</v>
      </c>
      <c r="H473" t="s">
        <v>771</v>
      </c>
      <c r="I473">
        <f>MATCH(G473,mapPRC!$A$2:$A$1071,0)</f>
        <v>647</v>
      </c>
    </row>
    <row r="474" spans="1:9" x14ac:dyDescent="0.25">
      <c r="A474" t="s">
        <v>767</v>
      </c>
      <c r="B474" t="s">
        <v>764</v>
      </c>
      <c r="C474">
        <f>MATCH(A474,mapPRC!A$2:A$1071,0)</f>
        <v>651</v>
      </c>
      <c r="G474" t="s">
        <v>770</v>
      </c>
      <c r="H474" t="s">
        <v>764</v>
      </c>
      <c r="I474">
        <f>MATCH(G474,mapPRC!$A$2:$A$1071,0)</f>
        <v>648</v>
      </c>
    </row>
    <row r="475" spans="1:9" x14ac:dyDescent="0.25">
      <c r="A475" t="s">
        <v>766</v>
      </c>
      <c r="B475" t="s">
        <v>764</v>
      </c>
      <c r="C475">
        <f>MATCH(A475,mapPRC!A$2:A$1071,0)</f>
        <v>652</v>
      </c>
      <c r="G475" t="s">
        <v>769</v>
      </c>
      <c r="H475" t="s">
        <v>764</v>
      </c>
      <c r="I475">
        <f>MATCH(G475,mapPRC!$A$2:$A$1071,0)</f>
        <v>649</v>
      </c>
    </row>
    <row r="476" spans="1:9" x14ac:dyDescent="0.25">
      <c r="A476" t="s">
        <v>765</v>
      </c>
      <c r="B476" t="s">
        <v>764</v>
      </c>
      <c r="C476">
        <f>MATCH(A476,mapPRC!A$2:A$1071,0)</f>
        <v>653</v>
      </c>
      <c r="G476" t="s">
        <v>768</v>
      </c>
      <c r="H476" t="s">
        <v>764</v>
      </c>
      <c r="I476">
        <f>MATCH(G476,mapPRC!$A$2:$A$1071,0)</f>
        <v>650</v>
      </c>
    </row>
    <row r="477" spans="1:9" x14ac:dyDescent="0.25">
      <c r="A477" t="s">
        <v>763</v>
      </c>
      <c r="B477" t="s">
        <v>762</v>
      </c>
      <c r="C477">
        <f>MATCH(A477,mapPRC!A$2:A$1071,0)</f>
        <v>654</v>
      </c>
      <c r="G477" t="s">
        <v>767</v>
      </c>
      <c r="H477" t="s">
        <v>764</v>
      </c>
      <c r="I477">
        <f>MATCH(G477,mapPRC!$A$2:$A$1071,0)</f>
        <v>651</v>
      </c>
    </row>
    <row r="478" spans="1:9" x14ac:dyDescent="0.25">
      <c r="A478" t="s">
        <v>760</v>
      </c>
      <c r="B478" t="s">
        <v>759</v>
      </c>
      <c r="C478">
        <f>MATCH(A478,mapPRC!A$2:A$1071,0)</f>
        <v>656</v>
      </c>
      <c r="G478" t="s">
        <v>766</v>
      </c>
      <c r="H478" t="s">
        <v>764</v>
      </c>
      <c r="I478">
        <f>MATCH(G478,mapPRC!$A$2:$A$1071,0)</f>
        <v>652</v>
      </c>
    </row>
    <row r="479" spans="1:9" x14ac:dyDescent="0.25">
      <c r="A479" t="s">
        <v>758</v>
      </c>
      <c r="B479" t="s">
        <v>757</v>
      </c>
      <c r="C479">
        <f>MATCH(A479,mapPRC!A$2:A$1071,0)</f>
        <v>657</v>
      </c>
      <c r="G479" t="s">
        <v>765</v>
      </c>
      <c r="H479" t="s">
        <v>764</v>
      </c>
      <c r="I479">
        <f>MATCH(G479,mapPRC!$A$2:$A$1071,0)</f>
        <v>653</v>
      </c>
    </row>
    <row r="480" spans="1:9" x14ac:dyDescent="0.25">
      <c r="A480" t="s">
        <v>755</v>
      </c>
      <c r="B480" t="s">
        <v>746</v>
      </c>
      <c r="C480">
        <f>MATCH(A480,mapPRC!A$2:A$1071,0)</f>
        <v>658</v>
      </c>
      <c r="G480" t="s">
        <v>763</v>
      </c>
      <c r="H480" t="s">
        <v>762</v>
      </c>
      <c r="I480">
        <f>MATCH(G480,mapPRC!$A$2:$A$1071,0)</f>
        <v>654</v>
      </c>
    </row>
    <row r="481" spans="1:9" x14ac:dyDescent="0.25">
      <c r="A481" t="s">
        <v>754</v>
      </c>
      <c r="B481" t="s">
        <v>746</v>
      </c>
      <c r="C481">
        <f>MATCH(A481,mapPRC!A$2:A$1071,0)</f>
        <v>659</v>
      </c>
      <c r="G481" t="s">
        <v>760</v>
      </c>
      <c r="H481" t="s">
        <v>759</v>
      </c>
      <c r="I481">
        <f>MATCH(G481,mapPRC!$A$2:$A$1071,0)</f>
        <v>656</v>
      </c>
    </row>
    <row r="482" spans="1:9" x14ac:dyDescent="0.25">
      <c r="A482" t="s">
        <v>753</v>
      </c>
      <c r="B482" t="s">
        <v>746</v>
      </c>
      <c r="C482">
        <f>MATCH(A482,mapPRC!A$2:A$1071,0)</f>
        <v>660</v>
      </c>
      <c r="G482" t="s">
        <v>758</v>
      </c>
      <c r="H482" t="s">
        <v>757</v>
      </c>
      <c r="I482">
        <f>MATCH(G482,mapPRC!$A$2:$A$1071,0)</f>
        <v>657</v>
      </c>
    </row>
    <row r="483" spans="1:9" x14ac:dyDescent="0.25">
      <c r="A483" t="s">
        <v>752</v>
      </c>
      <c r="B483" t="s">
        <v>746</v>
      </c>
      <c r="C483">
        <f>MATCH(A483,mapPRC!A$2:A$1071,0)</f>
        <v>661</v>
      </c>
      <c r="G483" t="s">
        <v>755</v>
      </c>
      <c r="H483" t="s">
        <v>746</v>
      </c>
      <c r="I483">
        <f>MATCH(G483,mapPRC!$A$2:$A$1071,0)</f>
        <v>658</v>
      </c>
    </row>
    <row r="484" spans="1:9" x14ac:dyDescent="0.25">
      <c r="A484" t="s">
        <v>751</v>
      </c>
      <c r="B484" t="s">
        <v>746</v>
      </c>
      <c r="C484">
        <f>MATCH(A484,mapPRC!A$2:A$1071,0)</f>
        <v>662</v>
      </c>
      <c r="G484" t="s">
        <v>754</v>
      </c>
      <c r="H484" t="s">
        <v>746</v>
      </c>
      <c r="I484">
        <f>MATCH(G484,mapPRC!$A$2:$A$1071,0)</f>
        <v>659</v>
      </c>
    </row>
    <row r="485" spans="1:9" x14ac:dyDescent="0.25">
      <c r="A485" t="s">
        <v>750</v>
      </c>
      <c r="B485" t="s">
        <v>746</v>
      </c>
      <c r="C485">
        <f>MATCH(A485,mapPRC!A$2:A$1071,0)</f>
        <v>663</v>
      </c>
      <c r="G485" t="s">
        <v>753</v>
      </c>
      <c r="H485" t="s">
        <v>746</v>
      </c>
      <c r="I485">
        <f>MATCH(G485,mapPRC!$A$2:$A$1071,0)</f>
        <v>660</v>
      </c>
    </row>
    <row r="486" spans="1:9" x14ac:dyDescent="0.25">
      <c r="A486" t="s">
        <v>749</v>
      </c>
      <c r="B486" t="s">
        <v>746</v>
      </c>
      <c r="C486">
        <f>MATCH(A486,mapPRC!A$2:A$1071,0)</f>
        <v>664</v>
      </c>
      <c r="G486" t="s">
        <v>752</v>
      </c>
      <c r="H486" t="s">
        <v>746</v>
      </c>
      <c r="I486">
        <f>MATCH(G486,mapPRC!$A$2:$A$1071,0)</f>
        <v>661</v>
      </c>
    </row>
    <row r="487" spans="1:9" x14ac:dyDescent="0.25">
      <c r="A487" t="s">
        <v>748</v>
      </c>
      <c r="B487" t="s">
        <v>746</v>
      </c>
      <c r="C487">
        <f>MATCH(A487,mapPRC!A$2:A$1071,0)</f>
        <v>665</v>
      </c>
      <c r="G487" t="s">
        <v>751</v>
      </c>
      <c r="H487" t="s">
        <v>746</v>
      </c>
      <c r="I487">
        <f>MATCH(G487,mapPRC!$A$2:$A$1071,0)</f>
        <v>662</v>
      </c>
    </row>
    <row r="488" spans="1:9" x14ac:dyDescent="0.25">
      <c r="A488" t="s">
        <v>747</v>
      </c>
      <c r="B488" t="s">
        <v>746</v>
      </c>
      <c r="C488">
        <f>MATCH(A488,mapPRC!A$2:A$1071,0)</f>
        <v>666</v>
      </c>
      <c r="G488" t="s">
        <v>750</v>
      </c>
      <c r="H488" t="s">
        <v>746</v>
      </c>
      <c r="I488">
        <f>MATCH(G488,mapPRC!$A$2:$A$1071,0)</f>
        <v>663</v>
      </c>
    </row>
    <row r="489" spans="1:9" x14ac:dyDescent="0.25">
      <c r="A489" t="s">
        <v>3093</v>
      </c>
      <c r="B489" t="s">
        <v>3094</v>
      </c>
      <c r="C489">
        <f>MATCH(A489,mapPRC!A$2:A$1071,0)</f>
        <v>684</v>
      </c>
      <c r="G489" t="s">
        <v>749</v>
      </c>
      <c r="H489" t="s">
        <v>746</v>
      </c>
      <c r="I489">
        <f>MATCH(G489,mapPRC!$A$2:$A$1071,0)</f>
        <v>664</v>
      </c>
    </row>
    <row r="490" spans="1:9" x14ac:dyDescent="0.25">
      <c r="A490" t="s">
        <v>3095</v>
      </c>
      <c r="B490" t="s">
        <v>3096</v>
      </c>
      <c r="C490">
        <f>MATCH(A490,mapPRC!A$2:A$1071,0)</f>
        <v>685</v>
      </c>
      <c r="G490" t="s">
        <v>748</v>
      </c>
      <c r="H490" t="s">
        <v>746</v>
      </c>
      <c r="I490">
        <f>MATCH(G490,mapPRC!$A$2:$A$1071,0)</f>
        <v>665</v>
      </c>
    </row>
    <row r="491" spans="1:9" x14ac:dyDescent="0.25">
      <c r="A491" t="s">
        <v>3097</v>
      </c>
      <c r="B491" t="s">
        <v>3098</v>
      </c>
      <c r="C491">
        <f>MATCH(A491,mapPRC!A$2:A$1071,0)</f>
        <v>686</v>
      </c>
      <c r="G491" t="s">
        <v>747</v>
      </c>
      <c r="H491" t="s">
        <v>746</v>
      </c>
      <c r="I491">
        <f>MATCH(G491,mapPRC!$A$2:$A$1071,0)</f>
        <v>666</v>
      </c>
    </row>
    <row r="492" spans="1:9" x14ac:dyDescent="0.25">
      <c r="A492" t="s">
        <v>3099</v>
      </c>
      <c r="B492" t="s">
        <v>3100</v>
      </c>
      <c r="C492">
        <f>MATCH(A492,mapPRC!A$2:A$1071,0)</f>
        <v>687</v>
      </c>
      <c r="G492" t="s">
        <v>3093</v>
      </c>
      <c r="H492" t="s">
        <v>3094</v>
      </c>
      <c r="I492">
        <f>MATCH(G492,mapPRC!$A$2:$A$1071,0)</f>
        <v>684</v>
      </c>
    </row>
    <row r="493" spans="1:9" x14ac:dyDescent="0.25">
      <c r="A493" t="s">
        <v>712</v>
      </c>
      <c r="B493" t="s">
        <v>711</v>
      </c>
      <c r="C493">
        <f>MATCH(A493,mapPRC!A$2:A$1071,0)</f>
        <v>690</v>
      </c>
      <c r="G493" t="s">
        <v>3095</v>
      </c>
      <c r="H493" t="s">
        <v>3096</v>
      </c>
      <c r="I493">
        <f>MATCH(G493,mapPRC!$A$2:$A$1071,0)</f>
        <v>685</v>
      </c>
    </row>
    <row r="494" spans="1:9" x14ac:dyDescent="0.25">
      <c r="A494" t="s">
        <v>710</v>
      </c>
      <c r="B494" t="s">
        <v>709</v>
      </c>
      <c r="C494">
        <f>MATCH(A494,mapPRC!A$2:A$1071,0)</f>
        <v>691</v>
      </c>
      <c r="G494" t="s">
        <v>3097</v>
      </c>
      <c r="H494" t="s">
        <v>3098</v>
      </c>
      <c r="I494">
        <f>MATCH(G494,mapPRC!$A$2:$A$1071,0)</f>
        <v>686</v>
      </c>
    </row>
    <row r="495" spans="1:9" x14ac:dyDescent="0.25">
      <c r="A495" t="s">
        <v>707</v>
      </c>
      <c r="B495" t="s">
        <v>706</v>
      </c>
      <c r="C495">
        <f>MATCH(A495,mapPRC!A$2:A$1071,0)</f>
        <v>692</v>
      </c>
      <c r="G495" t="s">
        <v>3099</v>
      </c>
      <c r="H495" t="s">
        <v>3100</v>
      </c>
      <c r="I495">
        <f>MATCH(G495,mapPRC!$A$2:$A$1071,0)</f>
        <v>687</v>
      </c>
    </row>
    <row r="496" spans="1:9" x14ac:dyDescent="0.25">
      <c r="A496" t="s">
        <v>704</v>
      </c>
      <c r="B496" t="s">
        <v>703</v>
      </c>
      <c r="C496">
        <f>MATCH(A496,mapPRC!A$2:A$1071,0)</f>
        <v>693</v>
      </c>
      <c r="G496" t="s">
        <v>712</v>
      </c>
      <c r="H496" t="s">
        <v>711</v>
      </c>
      <c r="I496">
        <f>MATCH(G496,mapPRC!$A$2:$A$1071,0)</f>
        <v>690</v>
      </c>
    </row>
    <row r="497" spans="1:9" x14ac:dyDescent="0.25">
      <c r="A497" t="s">
        <v>701</v>
      </c>
      <c r="B497" t="s">
        <v>700</v>
      </c>
      <c r="C497">
        <f>MATCH(A497,mapPRC!A$2:A$1071,0)</f>
        <v>694</v>
      </c>
      <c r="G497" t="s">
        <v>710</v>
      </c>
      <c r="H497" t="s">
        <v>709</v>
      </c>
      <c r="I497">
        <f>MATCH(G497,mapPRC!$A$2:$A$1071,0)</f>
        <v>691</v>
      </c>
    </row>
    <row r="498" spans="1:9" x14ac:dyDescent="0.25">
      <c r="A498" t="s">
        <v>699</v>
      </c>
      <c r="B498" t="s">
        <v>698</v>
      </c>
      <c r="C498">
        <f>MATCH(A498,mapPRC!A$2:A$1071,0)</f>
        <v>695</v>
      </c>
      <c r="G498" t="s">
        <v>707</v>
      </c>
      <c r="H498" t="s">
        <v>706</v>
      </c>
      <c r="I498">
        <f>MATCH(G498,mapPRC!$A$2:$A$1071,0)</f>
        <v>692</v>
      </c>
    </row>
    <row r="499" spans="1:9" x14ac:dyDescent="0.25">
      <c r="A499" t="s">
        <v>697</v>
      </c>
      <c r="B499" t="s">
        <v>696</v>
      </c>
      <c r="C499">
        <f>MATCH(A499,mapPRC!A$2:A$1071,0)</f>
        <v>696</v>
      </c>
      <c r="G499" t="s">
        <v>704</v>
      </c>
      <c r="H499" t="s">
        <v>703</v>
      </c>
      <c r="I499">
        <f>MATCH(G499,mapPRC!$A$2:$A$1071,0)</f>
        <v>693</v>
      </c>
    </row>
    <row r="500" spans="1:9" x14ac:dyDescent="0.25">
      <c r="A500" t="s">
        <v>695</v>
      </c>
      <c r="B500" t="s">
        <v>694</v>
      </c>
      <c r="C500">
        <f>MATCH(A500,mapPRC!A$2:A$1071,0)</f>
        <v>697</v>
      </c>
      <c r="G500" t="s">
        <v>701</v>
      </c>
      <c r="H500" t="s">
        <v>700</v>
      </c>
      <c r="I500">
        <f>MATCH(G500,mapPRC!$A$2:$A$1071,0)</f>
        <v>694</v>
      </c>
    </row>
    <row r="501" spans="1:9" x14ac:dyDescent="0.25">
      <c r="A501" t="s">
        <v>692</v>
      </c>
      <c r="B501" t="s">
        <v>691</v>
      </c>
      <c r="C501">
        <f>MATCH(A501,mapPRC!A$2:A$1071,0)</f>
        <v>698</v>
      </c>
      <c r="G501" t="s">
        <v>699</v>
      </c>
      <c r="H501" t="s">
        <v>698</v>
      </c>
      <c r="I501">
        <f>MATCH(G501,mapPRC!$A$2:$A$1071,0)</f>
        <v>695</v>
      </c>
    </row>
    <row r="502" spans="1:9" x14ac:dyDescent="0.25">
      <c r="A502" t="s">
        <v>690</v>
      </c>
      <c r="B502" t="s">
        <v>689</v>
      </c>
      <c r="C502">
        <f>MATCH(A502,mapPRC!A$2:A$1071,0)</f>
        <v>699</v>
      </c>
      <c r="G502" t="s">
        <v>697</v>
      </c>
      <c r="H502" t="s">
        <v>696</v>
      </c>
      <c r="I502">
        <f>MATCH(G502,mapPRC!$A$2:$A$1071,0)</f>
        <v>696</v>
      </c>
    </row>
    <row r="503" spans="1:9" x14ac:dyDescent="0.25">
      <c r="A503" t="s">
        <v>688</v>
      </c>
      <c r="B503" t="s">
        <v>687</v>
      </c>
      <c r="C503">
        <f>MATCH(A503,mapPRC!A$2:A$1071,0)</f>
        <v>700</v>
      </c>
      <c r="G503" t="s">
        <v>695</v>
      </c>
      <c r="H503" t="s">
        <v>694</v>
      </c>
      <c r="I503">
        <f>MATCH(G503,mapPRC!$A$2:$A$1071,0)</f>
        <v>697</v>
      </c>
    </row>
    <row r="504" spans="1:9" x14ac:dyDescent="0.25">
      <c r="A504" t="s">
        <v>686</v>
      </c>
      <c r="B504" t="s">
        <v>685</v>
      </c>
      <c r="C504">
        <f>MATCH(A504,mapPRC!A$2:A$1071,0)</f>
        <v>701</v>
      </c>
      <c r="G504" t="s">
        <v>692</v>
      </c>
      <c r="H504" t="s">
        <v>691</v>
      </c>
      <c r="I504">
        <f>MATCH(G504,mapPRC!$A$2:$A$1071,0)</f>
        <v>698</v>
      </c>
    </row>
    <row r="505" spans="1:9" x14ac:dyDescent="0.25">
      <c r="A505" t="s">
        <v>684</v>
      </c>
      <c r="B505" t="s">
        <v>683</v>
      </c>
      <c r="C505">
        <f>MATCH(A505,mapPRC!A$2:A$1071,0)</f>
        <v>702</v>
      </c>
      <c r="G505" t="s">
        <v>690</v>
      </c>
      <c r="H505" t="s">
        <v>689</v>
      </c>
      <c r="I505">
        <f>MATCH(G505,mapPRC!$A$2:$A$1071,0)</f>
        <v>699</v>
      </c>
    </row>
    <row r="506" spans="1:9" x14ac:dyDescent="0.25">
      <c r="A506" t="s">
        <v>682</v>
      </c>
      <c r="B506" t="s">
        <v>681</v>
      </c>
      <c r="C506">
        <f>MATCH(A506,mapPRC!A$2:A$1071,0)</f>
        <v>703</v>
      </c>
      <c r="G506" t="s">
        <v>688</v>
      </c>
      <c r="H506" t="s">
        <v>687</v>
      </c>
      <c r="I506">
        <f>MATCH(G506,mapPRC!$A$2:$A$1071,0)</f>
        <v>700</v>
      </c>
    </row>
    <row r="507" spans="1:9" x14ac:dyDescent="0.25">
      <c r="A507" t="s">
        <v>679</v>
      </c>
      <c r="B507" t="s">
        <v>678</v>
      </c>
      <c r="C507">
        <f>MATCH(A507,mapPRC!A$2:A$1071,0)</f>
        <v>704</v>
      </c>
      <c r="G507" t="s">
        <v>686</v>
      </c>
      <c r="H507" t="s">
        <v>685</v>
      </c>
      <c r="I507">
        <f>MATCH(G507,mapPRC!$A$2:$A$1071,0)</f>
        <v>701</v>
      </c>
    </row>
    <row r="508" spans="1:9" x14ac:dyDescent="0.25">
      <c r="A508" t="s">
        <v>677</v>
      </c>
      <c r="B508" t="s">
        <v>676</v>
      </c>
      <c r="C508">
        <f>MATCH(A508,mapPRC!A$2:A$1071,0)</f>
        <v>705</v>
      </c>
      <c r="G508" t="s">
        <v>684</v>
      </c>
      <c r="H508" t="s">
        <v>683</v>
      </c>
      <c r="I508">
        <f>MATCH(G508,mapPRC!$A$2:$A$1071,0)</f>
        <v>702</v>
      </c>
    </row>
    <row r="509" spans="1:9" x14ac:dyDescent="0.25">
      <c r="A509" t="s">
        <v>675</v>
      </c>
      <c r="B509" t="s">
        <v>674</v>
      </c>
      <c r="C509">
        <f>MATCH(A509,mapPRC!A$2:A$1071,0)</f>
        <v>706</v>
      </c>
      <c r="G509" t="s">
        <v>682</v>
      </c>
      <c r="H509" t="s">
        <v>681</v>
      </c>
      <c r="I509">
        <f>MATCH(G509,mapPRC!$A$2:$A$1071,0)</f>
        <v>703</v>
      </c>
    </row>
    <row r="510" spans="1:9" x14ac:dyDescent="0.25">
      <c r="A510" t="s">
        <v>673</v>
      </c>
      <c r="B510" t="s">
        <v>672</v>
      </c>
      <c r="C510">
        <f>MATCH(A510,mapPRC!A$2:A$1071,0)</f>
        <v>707</v>
      </c>
      <c r="G510" t="s">
        <v>679</v>
      </c>
      <c r="H510" t="s">
        <v>678</v>
      </c>
      <c r="I510">
        <f>MATCH(G510,mapPRC!$A$2:$A$1071,0)</f>
        <v>704</v>
      </c>
    </row>
    <row r="511" spans="1:9" x14ac:dyDescent="0.25">
      <c r="A511" t="s">
        <v>671</v>
      </c>
      <c r="B511" t="s">
        <v>670</v>
      </c>
      <c r="C511">
        <f>MATCH(A511,mapPRC!A$2:A$1071,0)</f>
        <v>708</v>
      </c>
      <c r="G511" t="s">
        <v>677</v>
      </c>
      <c r="H511" t="s">
        <v>676</v>
      </c>
      <c r="I511">
        <f>MATCH(G511,mapPRC!$A$2:$A$1071,0)</f>
        <v>705</v>
      </c>
    </row>
    <row r="512" spans="1:9" x14ac:dyDescent="0.25">
      <c r="A512" t="s">
        <v>669</v>
      </c>
      <c r="B512" t="s">
        <v>668</v>
      </c>
      <c r="C512">
        <f>MATCH(A512,mapPRC!A$2:A$1071,0)</f>
        <v>709</v>
      </c>
      <c r="G512" t="s">
        <v>675</v>
      </c>
      <c r="H512" t="s">
        <v>674</v>
      </c>
      <c r="I512">
        <f>MATCH(G512,mapPRC!$A$2:$A$1071,0)</f>
        <v>706</v>
      </c>
    </row>
    <row r="513" spans="1:9" x14ac:dyDescent="0.25">
      <c r="A513" t="s">
        <v>667</v>
      </c>
      <c r="B513" t="s">
        <v>666</v>
      </c>
      <c r="C513">
        <f>MATCH(A513,mapPRC!A$2:A$1071,0)</f>
        <v>710</v>
      </c>
      <c r="G513" t="s">
        <v>673</v>
      </c>
      <c r="H513" t="s">
        <v>672</v>
      </c>
      <c r="I513">
        <f>MATCH(G513,mapPRC!$A$2:$A$1071,0)</f>
        <v>707</v>
      </c>
    </row>
    <row r="514" spans="1:9" x14ac:dyDescent="0.25">
      <c r="A514" t="s">
        <v>665</v>
      </c>
      <c r="B514" t="s">
        <v>664</v>
      </c>
      <c r="C514">
        <f>MATCH(A514,mapPRC!A$2:A$1071,0)</f>
        <v>711</v>
      </c>
      <c r="G514" t="s">
        <v>671</v>
      </c>
      <c r="H514" t="s">
        <v>670</v>
      </c>
      <c r="I514">
        <f>MATCH(G514,mapPRC!$A$2:$A$1071,0)</f>
        <v>708</v>
      </c>
    </row>
    <row r="515" spans="1:9" x14ac:dyDescent="0.25">
      <c r="A515" t="s">
        <v>663</v>
      </c>
      <c r="B515" t="s">
        <v>662</v>
      </c>
      <c r="C515">
        <f>MATCH(A515,mapPRC!A$2:A$1071,0)</f>
        <v>712</v>
      </c>
      <c r="G515" t="s">
        <v>669</v>
      </c>
      <c r="H515" t="s">
        <v>668</v>
      </c>
      <c r="I515">
        <f>MATCH(G515,mapPRC!$A$2:$A$1071,0)</f>
        <v>709</v>
      </c>
    </row>
    <row r="516" spans="1:9" x14ac:dyDescent="0.25">
      <c r="A516" t="s">
        <v>660</v>
      </c>
      <c r="B516" t="s">
        <v>659</v>
      </c>
      <c r="C516">
        <f>MATCH(A516,mapPRC!A$2:A$1071,0)</f>
        <v>713</v>
      </c>
      <c r="G516" t="s">
        <v>667</v>
      </c>
      <c r="H516" t="s">
        <v>666</v>
      </c>
      <c r="I516">
        <f>MATCH(G516,mapPRC!$A$2:$A$1071,0)</f>
        <v>710</v>
      </c>
    </row>
    <row r="517" spans="1:9" x14ac:dyDescent="0.25">
      <c r="A517" t="s">
        <v>657</v>
      </c>
      <c r="B517" t="s">
        <v>656</v>
      </c>
      <c r="C517">
        <f>MATCH(A517,mapPRC!A$2:A$1071,0)</f>
        <v>714</v>
      </c>
      <c r="G517" t="s">
        <v>665</v>
      </c>
      <c r="H517" t="s">
        <v>664</v>
      </c>
      <c r="I517">
        <f>MATCH(G517,mapPRC!$A$2:$A$1071,0)</f>
        <v>711</v>
      </c>
    </row>
    <row r="518" spans="1:9" x14ac:dyDescent="0.25">
      <c r="A518" t="s">
        <v>655</v>
      </c>
      <c r="B518" t="s">
        <v>654</v>
      </c>
      <c r="C518">
        <f>MATCH(A518,mapPRC!A$2:A$1071,0)</f>
        <v>715</v>
      </c>
      <c r="G518" t="s">
        <v>663</v>
      </c>
      <c r="H518" t="s">
        <v>662</v>
      </c>
      <c r="I518">
        <f>MATCH(G518,mapPRC!$A$2:$A$1071,0)</f>
        <v>712</v>
      </c>
    </row>
    <row r="519" spans="1:9" x14ac:dyDescent="0.25">
      <c r="A519" t="s">
        <v>652</v>
      </c>
      <c r="B519" t="s">
        <v>651</v>
      </c>
      <c r="C519">
        <f>MATCH(A519,mapPRC!A$2:A$1071,0)</f>
        <v>716</v>
      </c>
      <c r="G519" t="s">
        <v>660</v>
      </c>
      <c r="H519" t="s">
        <v>659</v>
      </c>
      <c r="I519">
        <f>MATCH(G519,mapPRC!$A$2:$A$1071,0)</f>
        <v>713</v>
      </c>
    </row>
    <row r="520" spans="1:9" x14ac:dyDescent="0.25">
      <c r="A520" t="s">
        <v>650</v>
      </c>
      <c r="B520" t="s">
        <v>649</v>
      </c>
      <c r="C520">
        <f>MATCH(A520,mapPRC!A$2:A$1071,0)</f>
        <v>717</v>
      </c>
      <c r="G520" t="s">
        <v>657</v>
      </c>
      <c r="H520" t="s">
        <v>656</v>
      </c>
      <c r="I520">
        <f>MATCH(G520,mapPRC!$A$2:$A$1071,0)</f>
        <v>714</v>
      </c>
    </row>
    <row r="521" spans="1:9" x14ac:dyDescent="0.25">
      <c r="A521" t="s">
        <v>648</v>
      </c>
      <c r="B521" t="s">
        <v>647</v>
      </c>
      <c r="C521">
        <f>MATCH(A521,mapPRC!A$2:A$1071,0)</f>
        <v>718</v>
      </c>
      <c r="G521" t="s">
        <v>655</v>
      </c>
      <c r="H521" t="s">
        <v>654</v>
      </c>
      <c r="I521">
        <f>MATCH(G521,mapPRC!$A$2:$A$1071,0)</f>
        <v>715</v>
      </c>
    </row>
    <row r="522" spans="1:9" x14ac:dyDescent="0.25">
      <c r="A522" t="s">
        <v>646</v>
      </c>
      <c r="B522" t="s">
        <v>645</v>
      </c>
      <c r="C522">
        <f>MATCH(A522,mapPRC!A$2:A$1071,0)</f>
        <v>719</v>
      </c>
      <c r="G522" t="s">
        <v>652</v>
      </c>
      <c r="H522" t="s">
        <v>651</v>
      </c>
      <c r="I522">
        <f>MATCH(G522,mapPRC!$A$2:$A$1071,0)</f>
        <v>716</v>
      </c>
    </row>
    <row r="523" spans="1:9" x14ac:dyDescent="0.25">
      <c r="A523" t="s">
        <v>644</v>
      </c>
      <c r="B523" t="s">
        <v>643</v>
      </c>
      <c r="C523">
        <f>MATCH(A523,mapPRC!A$2:A$1071,0)</f>
        <v>720</v>
      </c>
      <c r="G523" t="s">
        <v>650</v>
      </c>
      <c r="H523" t="s">
        <v>649</v>
      </c>
      <c r="I523">
        <f>MATCH(G523,mapPRC!$A$2:$A$1071,0)</f>
        <v>717</v>
      </c>
    </row>
    <row r="524" spans="1:9" x14ac:dyDescent="0.25">
      <c r="A524" t="s">
        <v>642</v>
      </c>
      <c r="B524" t="s">
        <v>641</v>
      </c>
      <c r="C524">
        <f>MATCH(A524,mapPRC!A$2:A$1071,0)</f>
        <v>721</v>
      </c>
      <c r="G524" t="s">
        <v>648</v>
      </c>
      <c r="H524" t="s">
        <v>647</v>
      </c>
      <c r="I524">
        <f>MATCH(G524,mapPRC!$A$2:$A$1071,0)</f>
        <v>718</v>
      </c>
    </row>
    <row r="525" spans="1:9" x14ac:dyDescent="0.25">
      <c r="A525" t="s">
        <v>640</v>
      </c>
      <c r="B525" t="s">
        <v>639</v>
      </c>
      <c r="C525">
        <f>MATCH(A525,mapPRC!A$2:A$1071,0)</f>
        <v>722</v>
      </c>
      <c r="G525" t="s">
        <v>646</v>
      </c>
      <c r="H525" t="s">
        <v>645</v>
      </c>
      <c r="I525">
        <f>MATCH(G525,mapPRC!$A$2:$A$1071,0)</f>
        <v>719</v>
      </c>
    </row>
    <row r="526" spans="1:9" x14ac:dyDescent="0.25">
      <c r="A526" t="s">
        <v>638</v>
      </c>
      <c r="B526" t="s">
        <v>637</v>
      </c>
      <c r="C526">
        <f>MATCH(A526,mapPRC!A$2:A$1071,0)</f>
        <v>723</v>
      </c>
      <c r="G526" t="s">
        <v>644</v>
      </c>
      <c r="H526" t="s">
        <v>643</v>
      </c>
      <c r="I526">
        <f>MATCH(G526,mapPRC!$A$2:$A$1071,0)</f>
        <v>720</v>
      </c>
    </row>
    <row r="527" spans="1:9" x14ac:dyDescent="0.25">
      <c r="A527" t="s">
        <v>636</v>
      </c>
      <c r="B527" t="s">
        <v>635</v>
      </c>
      <c r="C527">
        <f>MATCH(A527,mapPRC!A$2:A$1071,0)</f>
        <v>724</v>
      </c>
      <c r="G527" t="s">
        <v>642</v>
      </c>
      <c r="H527" t="s">
        <v>641</v>
      </c>
      <c r="I527">
        <f>MATCH(G527,mapPRC!$A$2:$A$1071,0)</f>
        <v>721</v>
      </c>
    </row>
    <row r="528" spans="1:9" x14ac:dyDescent="0.25">
      <c r="A528" t="s">
        <v>634</v>
      </c>
      <c r="B528" t="s">
        <v>633</v>
      </c>
      <c r="C528">
        <f>MATCH(A528,mapPRC!A$2:A$1071,0)</f>
        <v>725</v>
      </c>
      <c r="G528" t="s">
        <v>640</v>
      </c>
      <c r="H528" t="s">
        <v>639</v>
      </c>
      <c r="I528">
        <f>MATCH(G528,mapPRC!$A$2:$A$1071,0)</f>
        <v>722</v>
      </c>
    </row>
    <row r="529" spans="1:9" x14ac:dyDescent="0.25">
      <c r="A529" t="s">
        <v>632</v>
      </c>
      <c r="B529" t="s">
        <v>631</v>
      </c>
      <c r="C529">
        <f>MATCH(A529,mapPRC!A$2:A$1071,0)</f>
        <v>726</v>
      </c>
      <c r="G529" t="s">
        <v>638</v>
      </c>
      <c r="H529" t="s">
        <v>637</v>
      </c>
      <c r="I529">
        <f>MATCH(G529,mapPRC!$A$2:$A$1071,0)</f>
        <v>723</v>
      </c>
    </row>
    <row r="530" spans="1:9" x14ac:dyDescent="0.25">
      <c r="A530" t="s">
        <v>630</v>
      </c>
      <c r="B530" t="s">
        <v>629</v>
      </c>
      <c r="C530">
        <f>MATCH(A530,mapPRC!A$2:A$1071,0)</f>
        <v>727</v>
      </c>
      <c r="G530" t="s">
        <v>636</v>
      </c>
      <c r="H530" t="s">
        <v>635</v>
      </c>
      <c r="I530">
        <f>MATCH(G530,mapPRC!$A$2:$A$1071,0)</f>
        <v>724</v>
      </c>
    </row>
    <row r="531" spans="1:9" x14ac:dyDescent="0.25">
      <c r="A531" t="s">
        <v>628</v>
      </c>
      <c r="B531" t="s">
        <v>627</v>
      </c>
      <c r="C531">
        <f>MATCH(A531,mapPRC!A$2:A$1071,0)</f>
        <v>728</v>
      </c>
      <c r="G531" t="s">
        <v>634</v>
      </c>
      <c r="H531" t="s">
        <v>633</v>
      </c>
      <c r="I531">
        <f>MATCH(G531,mapPRC!$A$2:$A$1071,0)</f>
        <v>725</v>
      </c>
    </row>
    <row r="532" spans="1:9" x14ac:dyDescent="0.25">
      <c r="A532" t="s">
        <v>625</v>
      </c>
      <c r="B532" t="s">
        <v>624</v>
      </c>
      <c r="C532">
        <f>MATCH(A532,mapPRC!A$2:A$1071,0)</f>
        <v>729</v>
      </c>
      <c r="G532" t="s">
        <v>632</v>
      </c>
      <c r="H532" t="s">
        <v>631</v>
      </c>
      <c r="I532">
        <f>MATCH(G532,mapPRC!$A$2:$A$1071,0)</f>
        <v>726</v>
      </c>
    </row>
    <row r="533" spans="1:9" x14ac:dyDescent="0.25">
      <c r="A533" t="s">
        <v>622</v>
      </c>
      <c r="B533" t="s">
        <v>621</v>
      </c>
      <c r="C533">
        <f>MATCH(A533,mapPRC!A$2:A$1071,0)</f>
        <v>730</v>
      </c>
      <c r="G533" t="s">
        <v>630</v>
      </c>
      <c r="H533" t="s">
        <v>629</v>
      </c>
      <c r="I533">
        <f>MATCH(G533,mapPRC!$A$2:$A$1071,0)</f>
        <v>727</v>
      </c>
    </row>
    <row r="534" spans="1:9" x14ac:dyDescent="0.25">
      <c r="A534" t="s">
        <v>620</v>
      </c>
      <c r="B534" t="s">
        <v>619</v>
      </c>
      <c r="C534">
        <f>MATCH(A534,mapPRC!A$2:A$1071,0)</f>
        <v>731</v>
      </c>
      <c r="G534" t="s">
        <v>628</v>
      </c>
      <c r="H534" t="s">
        <v>627</v>
      </c>
      <c r="I534">
        <f>MATCH(G534,mapPRC!$A$2:$A$1071,0)</f>
        <v>728</v>
      </c>
    </row>
    <row r="535" spans="1:9" x14ac:dyDescent="0.25">
      <c r="A535" t="s">
        <v>617</v>
      </c>
      <c r="B535" t="s">
        <v>616</v>
      </c>
      <c r="C535">
        <f>MATCH(A535,mapPRC!A$2:A$1071,0)</f>
        <v>732</v>
      </c>
      <c r="G535" t="s">
        <v>625</v>
      </c>
      <c r="H535" t="s">
        <v>624</v>
      </c>
      <c r="I535">
        <f>MATCH(G535,mapPRC!$A$2:$A$1071,0)</f>
        <v>729</v>
      </c>
    </row>
    <row r="536" spans="1:9" x14ac:dyDescent="0.25">
      <c r="A536" t="s">
        <v>614</v>
      </c>
      <c r="B536" t="s">
        <v>613</v>
      </c>
      <c r="C536">
        <f>MATCH(A536,mapPRC!A$2:A$1071,0)</f>
        <v>733</v>
      </c>
      <c r="G536" t="s">
        <v>622</v>
      </c>
      <c r="H536" t="s">
        <v>621</v>
      </c>
      <c r="I536">
        <f>MATCH(G536,mapPRC!$A$2:$A$1071,0)</f>
        <v>730</v>
      </c>
    </row>
    <row r="537" spans="1:9" x14ac:dyDescent="0.25">
      <c r="A537" t="s">
        <v>611</v>
      </c>
      <c r="B537" t="s">
        <v>610</v>
      </c>
      <c r="C537">
        <f>MATCH(A537,mapPRC!A$2:A$1071,0)</f>
        <v>734</v>
      </c>
      <c r="G537" t="s">
        <v>620</v>
      </c>
      <c r="H537" t="s">
        <v>619</v>
      </c>
      <c r="I537">
        <f>MATCH(G537,mapPRC!$A$2:$A$1071,0)</f>
        <v>731</v>
      </c>
    </row>
    <row r="538" spans="1:9" x14ac:dyDescent="0.25">
      <c r="A538" t="s">
        <v>41</v>
      </c>
      <c r="B538" t="s">
        <v>40</v>
      </c>
      <c r="C538">
        <f>MATCH(A538,mapPRC!A$2:A$1071,0)</f>
        <v>735</v>
      </c>
      <c r="G538" t="s">
        <v>617</v>
      </c>
      <c r="H538" t="s">
        <v>616</v>
      </c>
      <c r="I538">
        <f>MATCH(G538,mapPRC!$A$2:$A$1071,0)</f>
        <v>732</v>
      </c>
    </row>
    <row r="539" spans="1:9" x14ac:dyDescent="0.25">
      <c r="A539" t="s">
        <v>609</v>
      </c>
      <c r="B539" t="s">
        <v>608</v>
      </c>
      <c r="C539">
        <f>MATCH(A539,mapPRC!A$2:A$1071,0)</f>
        <v>736</v>
      </c>
      <c r="G539" t="s">
        <v>614</v>
      </c>
      <c r="H539" t="s">
        <v>613</v>
      </c>
      <c r="I539">
        <f>MATCH(G539,mapPRC!$A$2:$A$1071,0)</f>
        <v>733</v>
      </c>
    </row>
    <row r="540" spans="1:9" x14ac:dyDescent="0.25">
      <c r="A540" t="s">
        <v>607</v>
      </c>
      <c r="B540" t="s">
        <v>606</v>
      </c>
      <c r="C540">
        <f>MATCH(A540,mapPRC!A$2:A$1071,0)</f>
        <v>737</v>
      </c>
      <c r="G540" t="s">
        <v>611</v>
      </c>
      <c r="H540" t="s">
        <v>610</v>
      </c>
      <c r="I540">
        <f>MATCH(G540,mapPRC!$A$2:$A$1071,0)</f>
        <v>734</v>
      </c>
    </row>
    <row r="541" spans="1:9" x14ac:dyDescent="0.25">
      <c r="A541" t="s">
        <v>39</v>
      </c>
      <c r="B541" t="s">
        <v>38</v>
      </c>
      <c r="C541">
        <f>MATCH(A541,mapPRC!A$2:A$1071,0)</f>
        <v>738</v>
      </c>
      <c r="G541" t="s">
        <v>41</v>
      </c>
      <c r="H541" t="s">
        <v>40</v>
      </c>
      <c r="I541">
        <f>MATCH(G541,mapPRC!$A$2:$A$1071,0)</f>
        <v>735</v>
      </c>
    </row>
    <row r="542" spans="1:9" x14ac:dyDescent="0.25">
      <c r="A542" t="s">
        <v>605</v>
      </c>
      <c r="B542" t="s">
        <v>604</v>
      </c>
      <c r="C542">
        <f>MATCH(A542,mapPRC!A$2:A$1071,0)</f>
        <v>739</v>
      </c>
      <c r="G542" t="s">
        <v>609</v>
      </c>
      <c r="H542" t="s">
        <v>608</v>
      </c>
      <c r="I542">
        <f>MATCH(G542,mapPRC!$A$2:$A$1071,0)</f>
        <v>736</v>
      </c>
    </row>
    <row r="543" spans="1:9" x14ac:dyDescent="0.25">
      <c r="A543" t="s">
        <v>602</v>
      </c>
      <c r="B543" t="s">
        <v>601</v>
      </c>
      <c r="C543">
        <f>MATCH(A543,mapPRC!A$2:A$1071,0)</f>
        <v>740</v>
      </c>
      <c r="G543" t="s">
        <v>607</v>
      </c>
      <c r="H543" t="s">
        <v>606</v>
      </c>
      <c r="I543">
        <f>MATCH(G543,mapPRC!$A$2:$A$1071,0)</f>
        <v>737</v>
      </c>
    </row>
    <row r="544" spans="1:9" x14ac:dyDescent="0.25">
      <c r="A544" t="s">
        <v>600</v>
      </c>
      <c r="B544" t="s">
        <v>599</v>
      </c>
      <c r="C544">
        <f>MATCH(A544,mapPRC!A$2:A$1071,0)</f>
        <v>741</v>
      </c>
      <c r="G544" t="s">
        <v>39</v>
      </c>
      <c r="H544" t="s">
        <v>38</v>
      </c>
      <c r="I544">
        <f>MATCH(G544,mapPRC!$A$2:$A$1071,0)</f>
        <v>738</v>
      </c>
    </row>
    <row r="545" spans="1:9" x14ac:dyDescent="0.25">
      <c r="A545" t="s">
        <v>597</v>
      </c>
      <c r="B545" t="s">
        <v>596</v>
      </c>
      <c r="C545">
        <f>MATCH(A545,mapPRC!A$2:A$1071,0)</f>
        <v>742</v>
      </c>
      <c r="G545" t="s">
        <v>605</v>
      </c>
      <c r="H545" t="s">
        <v>604</v>
      </c>
      <c r="I545">
        <f>MATCH(G545,mapPRC!$A$2:$A$1071,0)</f>
        <v>739</v>
      </c>
    </row>
    <row r="546" spans="1:9" x14ac:dyDescent="0.25">
      <c r="A546" t="s">
        <v>595</v>
      </c>
      <c r="B546" t="s">
        <v>594</v>
      </c>
      <c r="C546">
        <f>MATCH(A546,mapPRC!A$2:A$1071,0)</f>
        <v>743</v>
      </c>
      <c r="G546" t="s">
        <v>602</v>
      </c>
      <c r="H546" t="s">
        <v>601</v>
      </c>
      <c r="I546">
        <f>MATCH(G546,mapPRC!$A$2:$A$1071,0)</f>
        <v>740</v>
      </c>
    </row>
    <row r="547" spans="1:9" x14ac:dyDescent="0.25">
      <c r="A547" t="s">
        <v>593</v>
      </c>
      <c r="B547" t="s">
        <v>592</v>
      </c>
      <c r="C547">
        <f>MATCH(A547,mapPRC!A$2:A$1071,0)</f>
        <v>744</v>
      </c>
      <c r="G547" t="s">
        <v>600</v>
      </c>
      <c r="H547" t="s">
        <v>599</v>
      </c>
      <c r="I547">
        <f>MATCH(G547,mapPRC!$A$2:$A$1071,0)</f>
        <v>741</v>
      </c>
    </row>
    <row r="548" spans="1:9" x14ac:dyDescent="0.25">
      <c r="A548" t="s">
        <v>591</v>
      </c>
      <c r="B548" t="s">
        <v>590</v>
      </c>
      <c r="C548">
        <f>MATCH(A548,mapPRC!A$2:A$1071,0)</f>
        <v>745</v>
      </c>
      <c r="G548" t="s">
        <v>597</v>
      </c>
      <c r="H548" t="s">
        <v>596</v>
      </c>
      <c r="I548">
        <f>MATCH(G548,mapPRC!$A$2:$A$1071,0)</f>
        <v>742</v>
      </c>
    </row>
    <row r="549" spans="1:9" x14ac:dyDescent="0.25">
      <c r="A549" t="s">
        <v>589</v>
      </c>
      <c r="B549" t="s">
        <v>587</v>
      </c>
      <c r="C549">
        <f>MATCH(A549,mapPRC!A$2:A$1071,0)</f>
        <v>746</v>
      </c>
      <c r="G549" t="s">
        <v>595</v>
      </c>
      <c r="H549" t="s">
        <v>594</v>
      </c>
      <c r="I549">
        <f>MATCH(G549,mapPRC!$A$2:$A$1071,0)</f>
        <v>743</v>
      </c>
    </row>
    <row r="550" spans="1:9" x14ac:dyDescent="0.25">
      <c r="A550" t="s">
        <v>588</v>
      </c>
      <c r="B550" t="s">
        <v>587</v>
      </c>
      <c r="C550">
        <f>MATCH(A550,mapPRC!A$2:A$1071,0)</f>
        <v>747</v>
      </c>
      <c r="G550" t="s">
        <v>593</v>
      </c>
      <c r="H550" t="s">
        <v>592</v>
      </c>
      <c r="I550">
        <f>MATCH(G550,mapPRC!$A$2:$A$1071,0)</f>
        <v>744</v>
      </c>
    </row>
    <row r="551" spans="1:9" x14ac:dyDescent="0.25">
      <c r="A551" t="s">
        <v>586</v>
      </c>
      <c r="B551" t="s">
        <v>585</v>
      </c>
      <c r="C551">
        <f>MATCH(A551,mapPRC!A$2:A$1071,0)</f>
        <v>748</v>
      </c>
      <c r="G551" t="s">
        <v>591</v>
      </c>
      <c r="H551" t="s">
        <v>590</v>
      </c>
      <c r="I551">
        <f>MATCH(G551,mapPRC!$A$2:$A$1071,0)</f>
        <v>745</v>
      </c>
    </row>
    <row r="552" spans="1:9" x14ac:dyDescent="0.25">
      <c r="A552" t="s">
        <v>584</v>
      </c>
      <c r="B552" t="s">
        <v>583</v>
      </c>
      <c r="C552">
        <f>MATCH(A552,mapPRC!A$2:A$1071,0)</f>
        <v>749</v>
      </c>
      <c r="G552" t="s">
        <v>589</v>
      </c>
      <c r="H552" t="s">
        <v>587</v>
      </c>
      <c r="I552">
        <f>MATCH(G552,mapPRC!$A$2:$A$1071,0)</f>
        <v>746</v>
      </c>
    </row>
    <row r="553" spans="1:9" x14ac:dyDescent="0.25">
      <c r="A553" t="s">
        <v>582</v>
      </c>
      <c r="B553" t="s">
        <v>581</v>
      </c>
      <c r="C553">
        <f>MATCH(A553,mapPRC!A$2:A$1071,0)</f>
        <v>750</v>
      </c>
      <c r="G553" t="s">
        <v>588</v>
      </c>
      <c r="H553" t="s">
        <v>587</v>
      </c>
      <c r="I553">
        <f>MATCH(G553,mapPRC!$A$2:$A$1071,0)</f>
        <v>747</v>
      </c>
    </row>
    <row r="554" spans="1:9" x14ac:dyDescent="0.25">
      <c r="A554" t="s">
        <v>580</v>
      </c>
      <c r="B554" t="s">
        <v>579</v>
      </c>
      <c r="C554">
        <f>MATCH(A554,mapPRC!A$2:A$1071,0)</f>
        <v>751</v>
      </c>
      <c r="G554" t="s">
        <v>586</v>
      </c>
      <c r="H554" t="s">
        <v>585</v>
      </c>
      <c r="I554">
        <f>MATCH(G554,mapPRC!$A$2:$A$1071,0)</f>
        <v>748</v>
      </c>
    </row>
    <row r="555" spans="1:9" x14ac:dyDescent="0.25">
      <c r="A555" t="s">
        <v>577</v>
      </c>
      <c r="B555" t="s">
        <v>576</v>
      </c>
      <c r="C555">
        <f>MATCH(A555,mapPRC!A$2:A$1071,0)</f>
        <v>752</v>
      </c>
      <c r="G555" t="s">
        <v>584</v>
      </c>
      <c r="H555" t="s">
        <v>583</v>
      </c>
      <c r="I555">
        <f>MATCH(G555,mapPRC!$A$2:$A$1071,0)</f>
        <v>749</v>
      </c>
    </row>
    <row r="556" spans="1:9" x14ac:dyDescent="0.25">
      <c r="A556" t="s">
        <v>574</v>
      </c>
      <c r="B556" t="s">
        <v>573</v>
      </c>
      <c r="C556">
        <f>MATCH(A556,mapPRC!A$2:A$1071,0)</f>
        <v>753</v>
      </c>
      <c r="G556" t="s">
        <v>582</v>
      </c>
      <c r="H556" t="s">
        <v>581</v>
      </c>
      <c r="I556">
        <f>MATCH(G556,mapPRC!$A$2:$A$1071,0)</f>
        <v>750</v>
      </c>
    </row>
    <row r="557" spans="1:9" x14ac:dyDescent="0.25">
      <c r="A557" t="s">
        <v>571</v>
      </c>
      <c r="B557" t="s">
        <v>570</v>
      </c>
      <c r="C557">
        <f>MATCH(A557,mapPRC!A$2:A$1071,0)</f>
        <v>754</v>
      </c>
      <c r="G557" t="s">
        <v>580</v>
      </c>
      <c r="H557" t="s">
        <v>579</v>
      </c>
      <c r="I557">
        <f>MATCH(G557,mapPRC!$A$2:$A$1071,0)</f>
        <v>751</v>
      </c>
    </row>
    <row r="558" spans="1:9" x14ac:dyDescent="0.25">
      <c r="A558" t="s">
        <v>568</v>
      </c>
      <c r="B558" t="s">
        <v>567</v>
      </c>
      <c r="C558">
        <f>MATCH(A558,mapPRC!A$2:A$1071,0)</f>
        <v>755</v>
      </c>
      <c r="G558" t="s">
        <v>577</v>
      </c>
      <c r="H558" t="s">
        <v>576</v>
      </c>
      <c r="I558">
        <f>MATCH(G558,mapPRC!$A$2:$A$1071,0)</f>
        <v>752</v>
      </c>
    </row>
    <row r="559" spans="1:9" x14ac:dyDescent="0.25">
      <c r="A559" t="s">
        <v>565</v>
      </c>
      <c r="B559" t="s">
        <v>564</v>
      </c>
      <c r="C559">
        <f>MATCH(A559,mapPRC!A$2:A$1071,0)</f>
        <v>756</v>
      </c>
      <c r="G559" t="s">
        <v>574</v>
      </c>
      <c r="H559" t="s">
        <v>573</v>
      </c>
      <c r="I559">
        <f>MATCH(G559,mapPRC!$A$2:$A$1071,0)</f>
        <v>753</v>
      </c>
    </row>
    <row r="560" spans="1:9" x14ac:dyDescent="0.25">
      <c r="A560" t="s">
        <v>561</v>
      </c>
      <c r="B560" t="s">
        <v>560</v>
      </c>
      <c r="C560">
        <f>MATCH(A560,mapPRC!A$2:A$1071,0)</f>
        <v>757</v>
      </c>
      <c r="G560" t="s">
        <v>571</v>
      </c>
      <c r="H560" t="s">
        <v>570</v>
      </c>
      <c r="I560">
        <f>MATCH(G560,mapPRC!$A$2:$A$1071,0)</f>
        <v>754</v>
      </c>
    </row>
    <row r="561" spans="1:9" x14ac:dyDescent="0.25">
      <c r="A561" t="s">
        <v>563</v>
      </c>
      <c r="B561" t="s">
        <v>562</v>
      </c>
      <c r="C561">
        <f>MATCH(A561,mapPRC!A$2:A$1071,0)</f>
        <v>758</v>
      </c>
      <c r="G561" t="s">
        <v>568</v>
      </c>
      <c r="H561" t="s">
        <v>567</v>
      </c>
      <c r="I561">
        <f>MATCH(G561,mapPRC!$A$2:$A$1071,0)</f>
        <v>755</v>
      </c>
    </row>
    <row r="562" spans="1:9" x14ac:dyDescent="0.25">
      <c r="A562" t="s">
        <v>559</v>
      </c>
      <c r="B562" t="s">
        <v>558</v>
      </c>
      <c r="C562">
        <f>MATCH(A562,mapPRC!A$2:A$1071,0)</f>
        <v>759</v>
      </c>
      <c r="G562" t="s">
        <v>565</v>
      </c>
      <c r="H562" t="s">
        <v>564</v>
      </c>
      <c r="I562">
        <f>MATCH(G562,mapPRC!$A$2:$A$1071,0)</f>
        <v>756</v>
      </c>
    </row>
    <row r="563" spans="1:9" x14ac:dyDescent="0.25">
      <c r="A563" t="s">
        <v>555</v>
      </c>
      <c r="B563" t="s">
        <v>554</v>
      </c>
      <c r="C563">
        <f>MATCH(A563,mapPRC!A$2:A$1071,0)</f>
        <v>760</v>
      </c>
      <c r="G563" t="s">
        <v>561</v>
      </c>
      <c r="H563" t="s">
        <v>560</v>
      </c>
      <c r="I563">
        <f>MATCH(G563,mapPRC!$A$2:$A$1071,0)</f>
        <v>757</v>
      </c>
    </row>
    <row r="564" spans="1:9" x14ac:dyDescent="0.25">
      <c r="A564" t="s">
        <v>552</v>
      </c>
      <c r="B564" t="s">
        <v>551</v>
      </c>
      <c r="C564">
        <f>MATCH(A564,mapPRC!A$2:A$1071,0)</f>
        <v>761</v>
      </c>
      <c r="G564" t="s">
        <v>563</v>
      </c>
      <c r="H564" t="s">
        <v>562</v>
      </c>
      <c r="I564">
        <f>MATCH(G564,mapPRC!$A$2:$A$1071,0)</f>
        <v>758</v>
      </c>
    </row>
    <row r="565" spans="1:9" x14ac:dyDescent="0.25">
      <c r="A565" t="s">
        <v>557</v>
      </c>
      <c r="B565" t="s">
        <v>556</v>
      </c>
      <c r="C565">
        <f>MATCH(A565,mapPRC!A$2:A$1071,0)</f>
        <v>762</v>
      </c>
      <c r="G565" t="s">
        <v>559</v>
      </c>
      <c r="H565" t="s">
        <v>558</v>
      </c>
      <c r="I565">
        <f>MATCH(G565,mapPRC!$A$2:$A$1071,0)</f>
        <v>759</v>
      </c>
    </row>
    <row r="566" spans="1:9" x14ac:dyDescent="0.25">
      <c r="A566" t="s">
        <v>35</v>
      </c>
      <c r="B566" t="s">
        <v>34</v>
      </c>
      <c r="C566">
        <f>MATCH(A566,mapPRC!A$2:A$1071,0)</f>
        <v>763</v>
      </c>
      <c r="G566" t="s">
        <v>555</v>
      </c>
      <c r="H566" t="s">
        <v>554</v>
      </c>
      <c r="I566">
        <f>MATCH(G566,mapPRC!$A$2:$A$1071,0)</f>
        <v>760</v>
      </c>
    </row>
    <row r="567" spans="1:9" x14ac:dyDescent="0.25">
      <c r="A567" t="s">
        <v>549</v>
      </c>
      <c r="B567" t="s">
        <v>548</v>
      </c>
      <c r="C567">
        <f>MATCH(A567,mapPRC!A$2:A$1071,0)</f>
        <v>764</v>
      </c>
      <c r="G567" t="s">
        <v>552</v>
      </c>
      <c r="H567" t="s">
        <v>551</v>
      </c>
      <c r="I567">
        <f>MATCH(G567,mapPRC!$A$2:$A$1071,0)</f>
        <v>761</v>
      </c>
    </row>
    <row r="568" spans="1:9" x14ac:dyDescent="0.25">
      <c r="A568" t="s">
        <v>547</v>
      </c>
      <c r="B568" t="s">
        <v>546</v>
      </c>
      <c r="C568">
        <f>MATCH(A568,mapPRC!A$2:A$1071,0)</f>
        <v>765</v>
      </c>
      <c r="G568" t="s">
        <v>557</v>
      </c>
      <c r="H568" t="s">
        <v>556</v>
      </c>
      <c r="I568">
        <f>MATCH(G568,mapPRC!$A$2:$A$1071,0)</f>
        <v>762</v>
      </c>
    </row>
    <row r="569" spans="1:9" x14ac:dyDescent="0.25">
      <c r="A569" t="s">
        <v>544</v>
      </c>
      <c r="B569" t="s">
        <v>543</v>
      </c>
      <c r="C569">
        <f>MATCH(A569,mapPRC!A$2:A$1071,0)</f>
        <v>766</v>
      </c>
      <c r="G569" t="s">
        <v>35</v>
      </c>
      <c r="H569" t="s">
        <v>34</v>
      </c>
      <c r="I569">
        <f>MATCH(G569,mapPRC!$A$2:$A$1071,0)</f>
        <v>763</v>
      </c>
    </row>
    <row r="570" spans="1:9" x14ac:dyDescent="0.25">
      <c r="A570" t="s">
        <v>3103</v>
      </c>
      <c r="B570" t="s">
        <v>3104</v>
      </c>
      <c r="C570">
        <f>MATCH(A570,mapPRC!A$2:A$1071,0)</f>
        <v>767</v>
      </c>
      <c r="G570" t="s">
        <v>549</v>
      </c>
      <c r="H570" t="s">
        <v>548</v>
      </c>
      <c r="I570">
        <f>MATCH(G570,mapPRC!$A$2:$A$1071,0)</f>
        <v>764</v>
      </c>
    </row>
    <row r="571" spans="1:9" x14ac:dyDescent="0.25">
      <c r="A571" t="s">
        <v>32</v>
      </c>
      <c r="B571" t="s">
        <v>31</v>
      </c>
      <c r="C571">
        <f>MATCH(A571,mapPRC!A$2:A$1071,0)</f>
        <v>768</v>
      </c>
      <c r="G571" t="s">
        <v>547</v>
      </c>
      <c r="H571" t="s">
        <v>546</v>
      </c>
      <c r="I571">
        <f>MATCH(G571,mapPRC!$A$2:$A$1071,0)</f>
        <v>765</v>
      </c>
    </row>
    <row r="572" spans="1:9" x14ac:dyDescent="0.25">
      <c r="A572" t="s">
        <v>541</v>
      </c>
      <c r="B572" t="s">
        <v>540</v>
      </c>
      <c r="C572">
        <f>MATCH(A572,mapPRC!A$2:A$1071,0)</f>
        <v>769</v>
      </c>
      <c r="G572" t="s">
        <v>544</v>
      </c>
      <c r="H572" t="s">
        <v>543</v>
      </c>
      <c r="I572">
        <f>MATCH(G572,mapPRC!$A$2:$A$1071,0)</f>
        <v>766</v>
      </c>
    </row>
    <row r="573" spans="1:9" x14ac:dyDescent="0.25">
      <c r="A573" t="s">
        <v>538</v>
      </c>
      <c r="B573" t="s">
        <v>537</v>
      </c>
      <c r="C573">
        <f>MATCH(A573,mapPRC!A$2:A$1071,0)</f>
        <v>770</v>
      </c>
      <c r="G573" t="s">
        <v>3103</v>
      </c>
      <c r="H573" t="s">
        <v>3104</v>
      </c>
      <c r="I573">
        <f>MATCH(G573,mapPRC!$A$2:$A$1071,0)</f>
        <v>767</v>
      </c>
    </row>
    <row r="574" spans="1:9" x14ac:dyDescent="0.25">
      <c r="A574" t="s">
        <v>535</v>
      </c>
      <c r="B574" t="s">
        <v>534</v>
      </c>
      <c r="C574">
        <f>MATCH(A574,mapPRC!A$2:A$1071,0)</f>
        <v>771</v>
      </c>
      <c r="G574" t="s">
        <v>32</v>
      </c>
      <c r="H574" t="s">
        <v>31</v>
      </c>
      <c r="I574">
        <f>MATCH(G574,mapPRC!$A$2:$A$1071,0)</f>
        <v>768</v>
      </c>
    </row>
    <row r="575" spans="1:9" x14ac:dyDescent="0.25">
      <c r="A575" t="s">
        <v>531</v>
      </c>
      <c r="B575" t="s">
        <v>530</v>
      </c>
      <c r="C575">
        <f>MATCH(A575,mapPRC!A$2:A$1071,0)</f>
        <v>772</v>
      </c>
      <c r="G575" t="s">
        <v>541</v>
      </c>
      <c r="H575" t="s">
        <v>540</v>
      </c>
      <c r="I575">
        <f>MATCH(G575,mapPRC!$A$2:$A$1071,0)</f>
        <v>769</v>
      </c>
    </row>
    <row r="576" spans="1:9" x14ac:dyDescent="0.25">
      <c r="A576" t="s">
        <v>533</v>
      </c>
      <c r="B576" t="s">
        <v>532</v>
      </c>
      <c r="C576">
        <f>MATCH(A576,mapPRC!A$2:A$1071,0)</f>
        <v>773</v>
      </c>
      <c r="G576" t="s">
        <v>538</v>
      </c>
      <c r="H576" t="s">
        <v>537</v>
      </c>
      <c r="I576">
        <f>MATCH(G576,mapPRC!$A$2:$A$1071,0)</f>
        <v>770</v>
      </c>
    </row>
    <row r="577" spans="1:9" x14ac:dyDescent="0.25">
      <c r="A577" t="s">
        <v>529</v>
      </c>
      <c r="B577" t="s">
        <v>528</v>
      </c>
      <c r="C577">
        <f>MATCH(A577,mapPRC!A$2:A$1071,0)</f>
        <v>774</v>
      </c>
      <c r="G577" t="s">
        <v>535</v>
      </c>
      <c r="H577" t="s">
        <v>534</v>
      </c>
      <c r="I577">
        <f>MATCH(G577,mapPRC!$A$2:$A$1071,0)</f>
        <v>771</v>
      </c>
    </row>
    <row r="578" spans="1:9" x14ac:dyDescent="0.25">
      <c r="A578" t="s">
        <v>3105</v>
      </c>
      <c r="B578" t="s">
        <v>3106</v>
      </c>
      <c r="C578">
        <f>MATCH(A578,mapPRC!A$2:A$1071,0)</f>
        <v>775</v>
      </c>
      <c r="G578" t="s">
        <v>531</v>
      </c>
      <c r="H578" t="s">
        <v>530</v>
      </c>
      <c r="I578">
        <f>MATCH(G578,mapPRC!$A$2:$A$1071,0)</f>
        <v>772</v>
      </c>
    </row>
    <row r="579" spans="1:9" x14ac:dyDescent="0.25">
      <c r="A579" t="s">
        <v>524</v>
      </c>
      <c r="B579" t="s">
        <v>523</v>
      </c>
      <c r="C579">
        <f>MATCH(A579,mapPRC!A$2:A$1071,0)</f>
        <v>776</v>
      </c>
      <c r="G579" t="s">
        <v>533</v>
      </c>
      <c r="H579" t="s">
        <v>532</v>
      </c>
      <c r="I579">
        <f>MATCH(G579,mapPRC!$A$2:$A$1071,0)</f>
        <v>773</v>
      </c>
    </row>
    <row r="580" spans="1:9" x14ac:dyDescent="0.25">
      <c r="A580" t="s">
        <v>527</v>
      </c>
      <c r="B580" t="s">
        <v>526</v>
      </c>
      <c r="C580">
        <f>MATCH(A580,mapPRC!A$2:A$1071,0)</f>
        <v>777</v>
      </c>
      <c r="G580" t="s">
        <v>529</v>
      </c>
      <c r="H580" t="s">
        <v>528</v>
      </c>
      <c r="I580">
        <f>MATCH(G580,mapPRC!$A$2:$A$1071,0)</f>
        <v>774</v>
      </c>
    </row>
    <row r="581" spans="1:9" x14ac:dyDescent="0.25">
      <c r="A581" t="s">
        <v>521</v>
      </c>
      <c r="B581" t="s">
        <v>520</v>
      </c>
      <c r="C581">
        <f>MATCH(A581,mapPRC!A$2:A$1071,0)</f>
        <v>778</v>
      </c>
      <c r="G581" t="s">
        <v>3105</v>
      </c>
      <c r="H581" t="s">
        <v>3106</v>
      </c>
      <c r="I581">
        <f>MATCH(G581,mapPRC!$A$2:$A$1071,0)</f>
        <v>775</v>
      </c>
    </row>
    <row r="582" spans="1:9" x14ac:dyDescent="0.25">
      <c r="A582" t="s">
        <v>518</v>
      </c>
      <c r="B582" t="s">
        <v>517</v>
      </c>
      <c r="C582">
        <f>MATCH(A582,mapPRC!A$2:A$1071,0)</f>
        <v>779</v>
      </c>
      <c r="G582" t="s">
        <v>524</v>
      </c>
      <c r="H582" t="s">
        <v>523</v>
      </c>
      <c r="I582">
        <f>MATCH(G582,mapPRC!$A$2:$A$1071,0)</f>
        <v>776</v>
      </c>
    </row>
    <row r="583" spans="1:9" x14ac:dyDescent="0.25">
      <c r="A583" t="s">
        <v>515</v>
      </c>
      <c r="B583" t="s">
        <v>514</v>
      </c>
      <c r="C583">
        <f>MATCH(A583,mapPRC!A$2:A$1071,0)</f>
        <v>780</v>
      </c>
      <c r="G583" t="s">
        <v>527</v>
      </c>
      <c r="H583" t="s">
        <v>526</v>
      </c>
      <c r="I583">
        <f>MATCH(G583,mapPRC!$A$2:$A$1071,0)</f>
        <v>777</v>
      </c>
    </row>
    <row r="584" spans="1:9" x14ac:dyDescent="0.25">
      <c r="A584" t="s">
        <v>512</v>
      </c>
      <c r="B584" t="s">
        <v>511</v>
      </c>
      <c r="C584">
        <f>MATCH(A584,mapPRC!A$2:A$1071,0)</f>
        <v>781</v>
      </c>
      <c r="G584" t="s">
        <v>521</v>
      </c>
      <c r="H584" t="s">
        <v>520</v>
      </c>
      <c r="I584">
        <f>MATCH(G584,mapPRC!$A$2:$A$1071,0)</f>
        <v>778</v>
      </c>
    </row>
    <row r="585" spans="1:9" x14ac:dyDescent="0.25">
      <c r="A585" t="s">
        <v>509</v>
      </c>
      <c r="B585" t="s">
        <v>508</v>
      </c>
      <c r="C585">
        <f>MATCH(A585,mapPRC!A$2:A$1071,0)</f>
        <v>782</v>
      </c>
      <c r="G585" t="s">
        <v>518</v>
      </c>
      <c r="H585" t="s">
        <v>517</v>
      </c>
      <c r="I585">
        <f>MATCH(G585,mapPRC!$A$2:$A$1071,0)</f>
        <v>779</v>
      </c>
    </row>
    <row r="586" spans="1:9" x14ac:dyDescent="0.25">
      <c r="A586" t="s">
        <v>506</v>
      </c>
      <c r="B586" t="s">
        <v>505</v>
      </c>
      <c r="C586">
        <f>MATCH(A586,mapPRC!A$2:A$1071,0)</f>
        <v>783</v>
      </c>
      <c r="G586" t="s">
        <v>515</v>
      </c>
      <c r="H586" t="s">
        <v>514</v>
      </c>
      <c r="I586">
        <f>MATCH(G586,mapPRC!$A$2:$A$1071,0)</f>
        <v>780</v>
      </c>
    </row>
    <row r="587" spans="1:9" x14ac:dyDescent="0.25">
      <c r="A587" t="s">
        <v>503</v>
      </c>
      <c r="B587" t="s">
        <v>502</v>
      </c>
      <c r="C587">
        <f>MATCH(A587,mapPRC!A$2:A$1071,0)</f>
        <v>784</v>
      </c>
      <c r="G587" t="s">
        <v>512</v>
      </c>
      <c r="H587" t="s">
        <v>511</v>
      </c>
      <c r="I587">
        <f>MATCH(G587,mapPRC!$A$2:$A$1071,0)</f>
        <v>781</v>
      </c>
    </row>
    <row r="588" spans="1:9" x14ac:dyDescent="0.25">
      <c r="A588" t="s">
        <v>500</v>
      </c>
      <c r="B588" t="s">
        <v>499</v>
      </c>
      <c r="C588">
        <f>MATCH(A588,mapPRC!A$2:A$1071,0)</f>
        <v>785</v>
      </c>
      <c r="G588" t="s">
        <v>509</v>
      </c>
      <c r="H588" t="s">
        <v>508</v>
      </c>
      <c r="I588">
        <f>MATCH(G588,mapPRC!$A$2:$A$1071,0)</f>
        <v>782</v>
      </c>
    </row>
    <row r="589" spans="1:9" x14ac:dyDescent="0.25">
      <c r="A589" t="s">
        <v>497</v>
      </c>
      <c r="B589" t="s">
        <v>496</v>
      </c>
      <c r="C589">
        <f>MATCH(A589,mapPRC!A$2:A$1071,0)</f>
        <v>786</v>
      </c>
      <c r="G589" t="s">
        <v>506</v>
      </c>
      <c r="H589" t="s">
        <v>505</v>
      </c>
      <c r="I589">
        <f>MATCH(G589,mapPRC!$A$2:$A$1071,0)</f>
        <v>783</v>
      </c>
    </row>
    <row r="590" spans="1:9" x14ac:dyDescent="0.25">
      <c r="A590" t="s">
        <v>494</v>
      </c>
      <c r="B590" t="s">
        <v>493</v>
      </c>
      <c r="C590">
        <f>MATCH(A590,mapPRC!A$2:A$1071,0)</f>
        <v>787</v>
      </c>
      <c r="G590" t="s">
        <v>503</v>
      </c>
      <c r="H590" t="s">
        <v>502</v>
      </c>
      <c r="I590">
        <f>MATCH(G590,mapPRC!$A$2:$A$1071,0)</f>
        <v>784</v>
      </c>
    </row>
    <row r="591" spans="1:9" x14ac:dyDescent="0.25">
      <c r="A591" t="s">
        <v>492</v>
      </c>
      <c r="B591" t="s">
        <v>491</v>
      </c>
      <c r="C591">
        <f>MATCH(A591,mapPRC!A$2:A$1071,0)</f>
        <v>788</v>
      </c>
      <c r="G591" t="s">
        <v>500</v>
      </c>
      <c r="H591" t="s">
        <v>499</v>
      </c>
      <c r="I591">
        <f>MATCH(G591,mapPRC!$A$2:$A$1071,0)</f>
        <v>785</v>
      </c>
    </row>
    <row r="592" spans="1:9" x14ac:dyDescent="0.25">
      <c r="A592" t="s">
        <v>489</v>
      </c>
      <c r="B592" t="s">
        <v>488</v>
      </c>
      <c r="C592">
        <f>MATCH(A592,mapPRC!A$2:A$1071,0)</f>
        <v>789</v>
      </c>
      <c r="G592" t="s">
        <v>497</v>
      </c>
      <c r="H592" t="s">
        <v>496</v>
      </c>
      <c r="I592">
        <f>MATCH(G592,mapPRC!$A$2:$A$1071,0)</f>
        <v>786</v>
      </c>
    </row>
    <row r="593" spans="1:9" x14ac:dyDescent="0.25">
      <c r="A593" t="s">
        <v>487</v>
      </c>
      <c r="B593" t="s">
        <v>486</v>
      </c>
      <c r="C593">
        <f>MATCH(A593,mapPRC!A$2:A$1071,0)</f>
        <v>790</v>
      </c>
      <c r="G593" t="s">
        <v>494</v>
      </c>
      <c r="H593" t="s">
        <v>493</v>
      </c>
      <c r="I593">
        <f>MATCH(G593,mapPRC!$A$2:$A$1071,0)</f>
        <v>787</v>
      </c>
    </row>
    <row r="594" spans="1:9" x14ac:dyDescent="0.25">
      <c r="A594" t="s">
        <v>28</v>
      </c>
      <c r="B594" t="s">
        <v>27</v>
      </c>
      <c r="C594">
        <f>MATCH(A594,mapPRC!A$2:A$1071,0)</f>
        <v>791</v>
      </c>
      <c r="G594" t="s">
        <v>492</v>
      </c>
      <c r="H594" t="s">
        <v>491</v>
      </c>
      <c r="I594">
        <f>MATCH(G594,mapPRC!$A$2:$A$1071,0)</f>
        <v>788</v>
      </c>
    </row>
    <row r="595" spans="1:9" x14ac:dyDescent="0.25">
      <c r="A595" t="s">
        <v>484</v>
      </c>
      <c r="B595" t="s">
        <v>483</v>
      </c>
      <c r="C595">
        <f>MATCH(A595,mapPRC!A$2:A$1071,0)</f>
        <v>792</v>
      </c>
      <c r="G595" t="s">
        <v>489</v>
      </c>
      <c r="H595" t="s">
        <v>488</v>
      </c>
      <c r="I595">
        <f>MATCH(G595,mapPRC!$A$2:$A$1071,0)</f>
        <v>789</v>
      </c>
    </row>
    <row r="596" spans="1:9" x14ac:dyDescent="0.25">
      <c r="A596" t="s">
        <v>481</v>
      </c>
      <c r="B596" t="s">
        <v>480</v>
      </c>
      <c r="C596">
        <f>MATCH(A596,mapPRC!A$2:A$1071,0)</f>
        <v>793</v>
      </c>
      <c r="G596" t="s">
        <v>487</v>
      </c>
      <c r="H596" t="s">
        <v>486</v>
      </c>
      <c r="I596">
        <f>MATCH(G596,mapPRC!$A$2:$A$1071,0)</f>
        <v>790</v>
      </c>
    </row>
    <row r="597" spans="1:9" x14ac:dyDescent="0.25">
      <c r="A597" t="s">
        <v>478</v>
      </c>
      <c r="B597" t="s">
        <v>477</v>
      </c>
      <c r="C597">
        <f>MATCH(A597,mapPRC!A$2:A$1071,0)</f>
        <v>794</v>
      </c>
      <c r="G597" t="s">
        <v>28</v>
      </c>
      <c r="H597" t="s">
        <v>27</v>
      </c>
      <c r="I597">
        <f>MATCH(G597,mapPRC!$A$2:$A$1071,0)</f>
        <v>791</v>
      </c>
    </row>
    <row r="598" spans="1:9" x14ac:dyDescent="0.25">
      <c r="A598" t="s">
        <v>474</v>
      </c>
      <c r="B598" t="s">
        <v>473</v>
      </c>
      <c r="C598">
        <f>MATCH(A598,mapPRC!A$2:A$1071,0)</f>
        <v>795</v>
      </c>
      <c r="G598" t="s">
        <v>484</v>
      </c>
      <c r="H598" t="s">
        <v>483</v>
      </c>
      <c r="I598">
        <f>MATCH(G598,mapPRC!$A$2:$A$1071,0)</f>
        <v>792</v>
      </c>
    </row>
    <row r="599" spans="1:9" x14ac:dyDescent="0.25">
      <c r="A599" t="s">
        <v>476</v>
      </c>
      <c r="B599" t="s">
        <v>475</v>
      </c>
      <c r="C599">
        <f>MATCH(A599,mapPRC!A$2:A$1071,0)</f>
        <v>796</v>
      </c>
      <c r="G599" t="s">
        <v>481</v>
      </c>
      <c r="H599" t="s">
        <v>480</v>
      </c>
      <c r="I599">
        <f>MATCH(G599,mapPRC!$A$2:$A$1071,0)</f>
        <v>793</v>
      </c>
    </row>
    <row r="600" spans="1:9" x14ac:dyDescent="0.25">
      <c r="A600" t="s">
        <v>471</v>
      </c>
      <c r="B600" t="s">
        <v>470</v>
      </c>
      <c r="C600">
        <f>MATCH(A600,mapPRC!A$2:A$1071,0)</f>
        <v>797</v>
      </c>
      <c r="G600" t="s">
        <v>478</v>
      </c>
      <c r="H600" t="s">
        <v>477</v>
      </c>
      <c r="I600">
        <f>MATCH(G600,mapPRC!$A$2:$A$1071,0)</f>
        <v>794</v>
      </c>
    </row>
    <row r="601" spans="1:9" x14ac:dyDescent="0.25">
      <c r="A601" t="s">
        <v>469</v>
      </c>
      <c r="B601" t="s">
        <v>468</v>
      </c>
      <c r="C601">
        <f>MATCH(A601,mapPRC!A$2:A$1071,0)</f>
        <v>798</v>
      </c>
      <c r="G601" t="s">
        <v>474</v>
      </c>
      <c r="H601" t="s">
        <v>473</v>
      </c>
      <c r="I601">
        <f>MATCH(G601,mapPRC!$A$2:$A$1071,0)</f>
        <v>795</v>
      </c>
    </row>
    <row r="602" spans="1:9" x14ac:dyDescent="0.25">
      <c r="A602" t="s">
        <v>466</v>
      </c>
      <c r="B602" t="s">
        <v>465</v>
      </c>
      <c r="C602">
        <f>MATCH(A602,mapPRC!A$2:A$1071,0)</f>
        <v>799</v>
      </c>
      <c r="G602" t="s">
        <v>476</v>
      </c>
      <c r="H602" t="s">
        <v>475</v>
      </c>
      <c r="I602">
        <f>MATCH(G602,mapPRC!$A$2:$A$1071,0)</f>
        <v>796</v>
      </c>
    </row>
    <row r="603" spans="1:9" x14ac:dyDescent="0.25">
      <c r="A603" t="s">
        <v>464</v>
      </c>
      <c r="B603" t="s">
        <v>463</v>
      </c>
      <c r="C603">
        <f>MATCH(A603,mapPRC!A$2:A$1071,0)</f>
        <v>800</v>
      </c>
      <c r="G603" t="s">
        <v>471</v>
      </c>
      <c r="H603" t="s">
        <v>470</v>
      </c>
      <c r="I603">
        <f>MATCH(G603,mapPRC!$A$2:$A$1071,0)</f>
        <v>797</v>
      </c>
    </row>
    <row r="604" spans="1:9" x14ac:dyDescent="0.25">
      <c r="A604" t="s">
        <v>461</v>
      </c>
      <c r="B604" t="s">
        <v>460</v>
      </c>
      <c r="C604">
        <f>MATCH(A604,mapPRC!A$2:A$1071,0)</f>
        <v>801</v>
      </c>
      <c r="G604" t="s">
        <v>469</v>
      </c>
      <c r="H604" t="s">
        <v>468</v>
      </c>
      <c r="I604">
        <f>MATCH(G604,mapPRC!$A$2:$A$1071,0)</f>
        <v>798</v>
      </c>
    </row>
    <row r="605" spans="1:9" x14ac:dyDescent="0.25">
      <c r="A605" t="s">
        <v>459</v>
      </c>
      <c r="B605" t="s">
        <v>458</v>
      </c>
      <c r="C605">
        <f>MATCH(A605,mapPRC!A$2:A$1071,0)</f>
        <v>802</v>
      </c>
      <c r="G605" t="s">
        <v>466</v>
      </c>
      <c r="H605" t="s">
        <v>465</v>
      </c>
      <c r="I605">
        <f>MATCH(G605,mapPRC!$A$2:$A$1071,0)</f>
        <v>799</v>
      </c>
    </row>
    <row r="606" spans="1:9" x14ac:dyDescent="0.25">
      <c r="A606" t="s">
        <v>456</v>
      </c>
      <c r="B606" t="s">
        <v>455</v>
      </c>
      <c r="C606">
        <f>MATCH(A606,mapPRC!A$2:A$1071,0)</f>
        <v>803</v>
      </c>
      <c r="G606" t="s">
        <v>464</v>
      </c>
      <c r="H606" t="s">
        <v>463</v>
      </c>
      <c r="I606">
        <f>MATCH(G606,mapPRC!$A$2:$A$1071,0)</f>
        <v>800</v>
      </c>
    </row>
    <row r="607" spans="1:9" x14ac:dyDescent="0.25">
      <c r="A607" t="s">
        <v>454</v>
      </c>
      <c r="B607" t="s">
        <v>453</v>
      </c>
      <c r="C607">
        <f>MATCH(A607,mapPRC!A$2:A$1071,0)</f>
        <v>804</v>
      </c>
      <c r="G607" t="s">
        <v>461</v>
      </c>
      <c r="H607" t="s">
        <v>460</v>
      </c>
      <c r="I607">
        <f>MATCH(G607,mapPRC!$A$2:$A$1071,0)</f>
        <v>801</v>
      </c>
    </row>
    <row r="608" spans="1:9" x14ac:dyDescent="0.25">
      <c r="A608" t="s">
        <v>452</v>
      </c>
      <c r="B608" t="s">
        <v>451</v>
      </c>
      <c r="C608">
        <f>MATCH(A608,mapPRC!A$2:A$1071,0)</f>
        <v>805</v>
      </c>
      <c r="G608" t="s">
        <v>459</v>
      </c>
      <c r="H608" t="s">
        <v>458</v>
      </c>
      <c r="I608">
        <f>MATCH(G608,mapPRC!$A$2:$A$1071,0)</f>
        <v>802</v>
      </c>
    </row>
    <row r="609" spans="1:10" x14ac:dyDescent="0.25">
      <c r="A609" t="s">
        <v>450</v>
      </c>
      <c r="B609" t="s">
        <v>449</v>
      </c>
      <c r="C609">
        <f>MATCH(A609,mapPRC!A$2:A$1071,0)</f>
        <v>806</v>
      </c>
      <c r="G609" t="s">
        <v>456</v>
      </c>
      <c r="H609" t="s">
        <v>455</v>
      </c>
      <c r="I609">
        <f>MATCH(G609,mapPRC!$A$2:$A$1071,0)</f>
        <v>803</v>
      </c>
    </row>
    <row r="610" spans="1:10" x14ac:dyDescent="0.25">
      <c r="A610" t="s">
        <v>447</v>
      </c>
      <c r="B610" t="s">
        <v>446</v>
      </c>
      <c r="C610">
        <f>MATCH(A610,mapPRC!A$2:A$1071,0)</f>
        <v>807</v>
      </c>
      <c r="G610" t="s">
        <v>454</v>
      </c>
      <c r="H610" t="s">
        <v>453</v>
      </c>
      <c r="I610">
        <f>MATCH(G610,mapPRC!$A$2:$A$1071,0)</f>
        <v>804</v>
      </c>
    </row>
    <row r="611" spans="1:10" x14ac:dyDescent="0.25">
      <c r="A611" t="s">
        <v>443</v>
      </c>
      <c r="B611" t="s">
        <v>442</v>
      </c>
      <c r="C611">
        <f>MATCH(A611,mapPRC!A$2:A$1071,0)</f>
        <v>815</v>
      </c>
      <c r="G611" t="s">
        <v>452</v>
      </c>
      <c r="H611" t="s">
        <v>451</v>
      </c>
      <c r="I611">
        <f>MATCH(G611,mapPRC!$A$2:$A$1071,0)</f>
        <v>805</v>
      </c>
    </row>
    <row r="612" spans="1:10" x14ac:dyDescent="0.25">
      <c r="A612" t="s">
        <v>441</v>
      </c>
      <c r="B612" t="s">
        <v>440</v>
      </c>
      <c r="C612">
        <f>MATCH(A612,mapPRC!A$2:A$1071,0)</f>
        <v>816</v>
      </c>
      <c r="G612" t="s">
        <v>450</v>
      </c>
      <c r="H612" t="s">
        <v>449</v>
      </c>
      <c r="I612">
        <f>MATCH(G612,mapPRC!$A$2:$A$1071,0)</f>
        <v>806</v>
      </c>
    </row>
    <row r="613" spans="1:10" x14ac:dyDescent="0.25">
      <c r="A613" t="s">
        <v>437</v>
      </c>
      <c r="B613" t="s">
        <v>436</v>
      </c>
      <c r="C613">
        <f>MATCH(A613,mapPRC!A$2:A$1071,0)</f>
        <v>817</v>
      </c>
      <c r="G613" t="s">
        <v>447</v>
      </c>
      <c r="H613" t="s">
        <v>446</v>
      </c>
      <c r="I613">
        <f>MATCH(G613,mapPRC!$A$2:$A$1071,0)</f>
        <v>807</v>
      </c>
    </row>
    <row r="614" spans="1:10" x14ac:dyDescent="0.25">
      <c r="A614" t="s">
        <v>3603</v>
      </c>
      <c r="B614" t="s">
        <v>3604</v>
      </c>
      <c r="C614">
        <f>MATCH(A614,mapPRC!A$2:A$1071,0)</f>
        <v>822</v>
      </c>
      <c r="D614">
        <v>1</v>
      </c>
      <c r="G614" t="s">
        <v>3729</v>
      </c>
      <c r="H614" t="s">
        <v>3730</v>
      </c>
      <c r="I614">
        <f>MATCH(G614,mapPRC!$A$2:$A$1071,0)</f>
        <v>808</v>
      </c>
      <c r="J614">
        <v>1</v>
      </c>
    </row>
    <row r="615" spans="1:10" x14ac:dyDescent="0.25">
      <c r="A615" t="s">
        <v>3480</v>
      </c>
      <c r="B615" t="s">
        <v>3481</v>
      </c>
      <c r="C615">
        <f>MATCH(A615,mapPRC!A$2:A$1071,0)</f>
        <v>820</v>
      </c>
      <c r="D615">
        <v>1</v>
      </c>
      <c r="G615" t="s">
        <v>3731</v>
      </c>
      <c r="H615" t="s">
        <v>3732</v>
      </c>
      <c r="I615">
        <f>MATCH(G615,mapPRC!$A$2:$A$1071,0)</f>
        <v>810</v>
      </c>
      <c r="J615">
        <v>1</v>
      </c>
    </row>
    <row r="616" spans="1:10" x14ac:dyDescent="0.25">
      <c r="A616" t="s">
        <v>3482</v>
      </c>
      <c r="B616" t="s">
        <v>3483</v>
      </c>
      <c r="C616">
        <f>MATCH(A616,mapPRC!A$2:A$1071,0)</f>
        <v>821</v>
      </c>
      <c r="D616">
        <v>1</v>
      </c>
      <c r="G616" t="s">
        <v>3733</v>
      </c>
      <c r="H616" t="s">
        <v>3734</v>
      </c>
      <c r="I616">
        <f>MATCH(G616,mapPRC!$A$2:$A$1071,0)</f>
        <v>811</v>
      </c>
      <c r="J616">
        <v>1</v>
      </c>
    </row>
    <row r="617" spans="1:10" x14ac:dyDescent="0.25">
      <c r="A617" t="s">
        <v>3484</v>
      </c>
      <c r="B617" t="s">
        <v>3485</v>
      </c>
      <c r="C617">
        <f>MATCH(A617,mapPRC!A$2:A$1071,0)</f>
        <v>824</v>
      </c>
      <c r="D617">
        <v>1</v>
      </c>
      <c r="G617" t="s">
        <v>3735</v>
      </c>
      <c r="H617" t="s">
        <v>3736</v>
      </c>
      <c r="I617">
        <f>MATCH(G617,mapPRC!$A$2:$A$1071,0)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MATCH(A618,mapPRC!A$2:A$1071,0)</f>
        <v>825</v>
      </c>
      <c r="G618" t="s">
        <v>443</v>
      </c>
      <c r="H618" t="s">
        <v>442</v>
      </c>
      <c r="I618">
        <f>MATCH(G618,mapPRC!$A$2:$A$1071,0)</f>
        <v>815</v>
      </c>
    </row>
    <row r="619" spans="1:10" x14ac:dyDescent="0.25">
      <c r="A619" t="s">
        <v>433</v>
      </c>
      <c r="B619" t="s">
        <v>432</v>
      </c>
      <c r="C619">
        <f>MATCH(A619,mapPRC!A$2:A$1071,0)</f>
        <v>826</v>
      </c>
      <c r="G619" t="s">
        <v>441</v>
      </c>
      <c r="H619" t="s">
        <v>440</v>
      </c>
      <c r="I619">
        <f>MATCH(G619,mapPRC!$A$2:$A$1071,0)</f>
        <v>816</v>
      </c>
    </row>
    <row r="620" spans="1:10" x14ac:dyDescent="0.25">
      <c r="A620" t="s">
        <v>431</v>
      </c>
      <c r="B620" t="s">
        <v>430</v>
      </c>
      <c r="C620">
        <f>MATCH(A620,mapPRC!A$2:A$1071,0)</f>
        <v>828</v>
      </c>
      <c r="G620" t="s">
        <v>437</v>
      </c>
      <c r="H620" t="s">
        <v>436</v>
      </c>
      <c r="I620">
        <f>MATCH(G620,mapPRC!$A$2:$A$1071,0)</f>
        <v>817</v>
      </c>
    </row>
    <row r="621" spans="1:10" x14ac:dyDescent="0.25">
      <c r="A621" t="s">
        <v>427</v>
      </c>
      <c r="B621" t="s">
        <v>426</v>
      </c>
      <c r="C621">
        <f>MATCH(A621,mapPRC!A$2:A$1071,0)</f>
        <v>829</v>
      </c>
      <c r="G621" t="s">
        <v>3603</v>
      </c>
      <c r="H621" t="s">
        <v>3604</v>
      </c>
      <c r="I621">
        <f>MATCH(G621,mapPRC!$A$2:$A$1071,0)</f>
        <v>822</v>
      </c>
    </row>
    <row r="622" spans="1:10" x14ac:dyDescent="0.25">
      <c r="A622" t="s">
        <v>425</v>
      </c>
      <c r="B622" t="s">
        <v>424</v>
      </c>
      <c r="C622">
        <f>MATCH(A622,mapPRC!A$2:A$1071,0)</f>
        <v>830</v>
      </c>
      <c r="G622" t="s">
        <v>3480</v>
      </c>
      <c r="H622" t="s">
        <v>3481</v>
      </c>
      <c r="I622">
        <f>MATCH(G622,mapPRC!$A$2:$A$1071,0)</f>
        <v>820</v>
      </c>
    </row>
    <row r="623" spans="1:10" x14ac:dyDescent="0.25">
      <c r="A623" t="s">
        <v>422</v>
      </c>
      <c r="B623" t="s">
        <v>421</v>
      </c>
      <c r="C623">
        <f>MATCH(A623,mapPRC!A$2:A$1071,0)</f>
        <v>831</v>
      </c>
      <c r="G623" t="s">
        <v>3482</v>
      </c>
      <c r="H623" t="s">
        <v>3483</v>
      </c>
      <c r="I623">
        <f>MATCH(G623,mapPRC!$A$2:$A$1071,0)</f>
        <v>821</v>
      </c>
    </row>
    <row r="624" spans="1:10" x14ac:dyDescent="0.25">
      <c r="A624" t="s">
        <v>420</v>
      </c>
      <c r="B624" t="s">
        <v>419</v>
      </c>
      <c r="C624">
        <f>MATCH(A624,mapPRC!A$2:A$1071,0)</f>
        <v>832</v>
      </c>
      <c r="G624" t="s">
        <v>3484</v>
      </c>
      <c r="H624" t="s">
        <v>3485</v>
      </c>
      <c r="I624">
        <f>MATCH(G624,mapPRC!$A$2:$A$1071,0)</f>
        <v>824</v>
      </c>
    </row>
    <row r="625" spans="1:10" x14ac:dyDescent="0.25">
      <c r="A625" t="s">
        <v>418</v>
      </c>
      <c r="B625" t="s">
        <v>417</v>
      </c>
      <c r="C625">
        <f>MATCH(A625,mapPRC!A$2:A$1071,0)</f>
        <v>833</v>
      </c>
      <c r="G625" t="s">
        <v>435</v>
      </c>
      <c r="H625" t="s">
        <v>434</v>
      </c>
      <c r="I625">
        <f>MATCH(G625,mapPRC!$A$2:$A$1071,0)</f>
        <v>825</v>
      </c>
    </row>
    <row r="626" spans="1:10" x14ac:dyDescent="0.25">
      <c r="A626" t="s">
        <v>415</v>
      </c>
      <c r="B626" t="s">
        <v>414</v>
      </c>
      <c r="C626">
        <f>MATCH(A626,mapPRC!A$2:A$1071,0)</f>
        <v>834</v>
      </c>
      <c r="G626" t="s">
        <v>433</v>
      </c>
      <c r="H626" t="s">
        <v>432</v>
      </c>
      <c r="I626">
        <f>MATCH(G626,mapPRC!$A$2:$A$1071,0)</f>
        <v>826</v>
      </c>
    </row>
    <row r="627" spans="1:10" x14ac:dyDescent="0.25">
      <c r="A627" t="s">
        <v>413</v>
      </c>
      <c r="B627" t="s">
        <v>412</v>
      </c>
      <c r="C627">
        <f>MATCH(A627,mapPRC!A$2:A$1071,0)</f>
        <v>835</v>
      </c>
      <c r="G627" t="s">
        <v>431</v>
      </c>
      <c r="H627" t="s">
        <v>430</v>
      </c>
      <c r="I627">
        <f>MATCH(G627,mapPRC!$A$2:$A$1071,0)</f>
        <v>828</v>
      </c>
    </row>
    <row r="628" spans="1:10" x14ac:dyDescent="0.25">
      <c r="A628" t="s">
        <v>410</v>
      </c>
      <c r="B628" t="s">
        <v>409</v>
      </c>
      <c r="C628">
        <f>MATCH(A628,mapPRC!A$2:A$1071,0)</f>
        <v>836</v>
      </c>
      <c r="G628" t="s">
        <v>427</v>
      </c>
      <c r="H628" t="s">
        <v>426</v>
      </c>
      <c r="I628">
        <f>MATCH(G628,mapPRC!$A$2:$A$1071,0)</f>
        <v>829</v>
      </c>
    </row>
    <row r="629" spans="1:10" x14ac:dyDescent="0.25">
      <c r="A629" t="s">
        <v>408</v>
      </c>
      <c r="B629" t="s">
        <v>407</v>
      </c>
      <c r="C629">
        <f>MATCH(A629,mapPRC!A$2:A$1071,0)</f>
        <v>837</v>
      </c>
      <c r="G629" t="s">
        <v>425</v>
      </c>
      <c r="H629" t="s">
        <v>424</v>
      </c>
      <c r="I629">
        <f>MATCH(G629,mapPRC!$A$2:$A$1071,0)</f>
        <v>830</v>
      </c>
    </row>
    <row r="630" spans="1:10" x14ac:dyDescent="0.25">
      <c r="A630" t="s">
        <v>402</v>
      </c>
      <c r="B630" t="s">
        <v>401</v>
      </c>
      <c r="C630">
        <f>MATCH(A630,mapPRC!A$2:A$1071,0)</f>
        <v>838</v>
      </c>
      <c r="G630" t="s">
        <v>422</v>
      </c>
      <c r="H630" t="s">
        <v>421</v>
      </c>
      <c r="I630">
        <f>MATCH(G630,mapPRC!$A$2:$A$1071,0)</f>
        <v>831</v>
      </c>
    </row>
    <row r="631" spans="1:10" x14ac:dyDescent="0.25">
      <c r="A631" t="s">
        <v>405</v>
      </c>
      <c r="B631" t="s">
        <v>404</v>
      </c>
      <c r="C631">
        <f>MATCH(A631,mapPRC!A$2:A$1071,0)</f>
        <v>839</v>
      </c>
      <c r="G631" t="s">
        <v>420</v>
      </c>
      <c r="H631" t="s">
        <v>419</v>
      </c>
      <c r="I631">
        <f>MATCH(G631,mapPRC!$A$2:$A$1071,0)</f>
        <v>832</v>
      </c>
    </row>
    <row r="632" spans="1:10" x14ac:dyDescent="0.25">
      <c r="A632" t="s">
        <v>398</v>
      </c>
      <c r="B632" t="s">
        <v>397</v>
      </c>
      <c r="C632">
        <f>MATCH(A632,mapPRC!A$2:A$1071,0)</f>
        <v>840</v>
      </c>
      <c r="G632" t="s">
        <v>418</v>
      </c>
      <c r="H632" t="s">
        <v>417</v>
      </c>
      <c r="I632">
        <f>MATCH(G632,mapPRC!$A$2:$A$1071,0)</f>
        <v>833</v>
      </c>
    </row>
    <row r="633" spans="1:10" x14ac:dyDescent="0.25">
      <c r="A633" t="s">
        <v>396</v>
      </c>
      <c r="B633" t="s">
        <v>395</v>
      </c>
      <c r="C633">
        <f>MATCH(A633,mapPRC!A$2:A$1071,0)</f>
        <v>841</v>
      </c>
      <c r="G633" t="s">
        <v>415</v>
      </c>
      <c r="H633" t="s">
        <v>414</v>
      </c>
      <c r="I633">
        <f>MATCH(G633,mapPRC!$A$2:$A$1071,0)</f>
        <v>834</v>
      </c>
    </row>
    <row r="634" spans="1:10" x14ac:dyDescent="0.25">
      <c r="A634" t="s">
        <v>394</v>
      </c>
      <c r="B634" t="s">
        <v>393</v>
      </c>
      <c r="C634">
        <f>MATCH(A634,mapPRC!A$2:A$1071,0)</f>
        <v>842</v>
      </c>
      <c r="G634" t="s">
        <v>413</v>
      </c>
      <c r="H634" t="s">
        <v>412</v>
      </c>
      <c r="I634">
        <f>MATCH(G634,mapPRC!$A$2:$A$1071,0)</f>
        <v>835</v>
      </c>
    </row>
    <row r="635" spans="1:10" x14ac:dyDescent="0.25">
      <c r="A635" t="s">
        <v>391</v>
      </c>
      <c r="B635" t="s">
        <v>390</v>
      </c>
      <c r="C635">
        <f>MATCH(A635,mapPRC!A$2:A$1071,0)</f>
        <v>843</v>
      </c>
      <c r="G635" t="s">
        <v>410</v>
      </c>
      <c r="H635" t="s">
        <v>409</v>
      </c>
      <c r="I635">
        <f>MATCH(G635,mapPRC!$A$2:$A$1071,0)</f>
        <v>836</v>
      </c>
    </row>
    <row r="636" spans="1:10" x14ac:dyDescent="0.25">
      <c r="A636" t="s">
        <v>389</v>
      </c>
      <c r="B636" t="s">
        <v>388</v>
      </c>
      <c r="C636">
        <f>MATCH(A636,mapPRC!A$2:A$1071,0)</f>
        <v>844</v>
      </c>
      <c r="G636" t="s">
        <v>408</v>
      </c>
      <c r="H636" t="s">
        <v>407</v>
      </c>
      <c r="I636">
        <f>MATCH(G636,mapPRC!$A$2:$A$1071,0)</f>
        <v>837</v>
      </c>
    </row>
    <row r="637" spans="1:10" x14ac:dyDescent="0.25">
      <c r="A637" t="s">
        <v>385</v>
      </c>
      <c r="B637" t="s">
        <v>384</v>
      </c>
      <c r="C637">
        <f>MATCH(A637,mapPRC!A$2:A$1071,0)</f>
        <v>845</v>
      </c>
      <c r="G637" t="s">
        <v>402</v>
      </c>
      <c r="H637" t="s">
        <v>401</v>
      </c>
      <c r="I637">
        <f>MATCH(G637,mapPRC!$A$2:$A$1071,0)</f>
        <v>838</v>
      </c>
    </row>
    <row r="638" spans="1:10" x14ac:dyDescent="0.25">
      <c r="A638" t="s">
        <v>372</v>
      </c>
      <c r="B638" t="s">
        <v>371</v>
      </c>
      <c r="C638">
        <f>MATCH(A638,mapPRC!A$2:A$1071,0)</f>
        <v>851</v>
      </c>
      <c r="G638" t="s">
        <v>405</v>
      </c>
      <c r="H638" t="s">
        <v>404</v>
      </c>
      <c r="I638">
        <f>MATCH(G638,mapPRC!$A$2:$A$1071,0)</f>
        <v>839</v>
      </c>
    </row>
    <row r="639" spans="1:10" x14ac:dyDescent="0.25">
      <c r="A639" t="s">
        <v>370</v>
      </c>
      <c r="B639" t="s">
        <v>2393</v>
      </c>
      <c r="C639">
        <f>MATCH(A639,mapPRC!A$2:A$1071,0)</f>
        <v>852</v>
      </c>
      <c r="G639" t="s">
        <v>3737</v>
      </c>
      <c r="H639" t="s">
        <v>3738</v>
      </c>
      <c r="I639" t="e">
        <f>MATCH(G639,mapPRC!$A$2:$A$1071,0)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MATCH(A640,mapPRC!A$2:A$1071,0)</f>
        <v>853</v>
      </c>
      <c r="G640" t="s">
        <v>398</v>
      </c>
      <c r="H640" t="s">
        <v>397</v>
      </c>
      <c r="I640">
        <f>MATCH(G640,mapPRC!$A$2:$A$1071,0)</f>
        <v>840</v>
      </c>
    </row>
    <row r="641" spans="1:10" x14ac:dyDescent="0.25">
      <c r="A641" t="s">
        <v>365</v>
      </c>
      <c r="B641" t="s">
        <v>2383</v>
      </c>
      <c r="C641">
        <f>MATCH(A641,mapPRC!A$2:A$1071,0)</f>
        <v>854</v>
      </c>
      <c r="G641" t="s">
        <v>396</v>
      </c>
      <c r="H641" t="s">
        <v>395</v>
      </c>
      <c r="I641">
        <f>MATCH(G641,mapPRC!$A$2:$A$1071,0)</f>
        <v>841</v>
      </c>
    </row>
    <row r="642" spans="1:10" x14ac:dyDescent="0.25">
      <c r="A642" t="s">
        <v>363</v>
      </c>
      <c r="B642" t="s">
        <v>2381</v>
      </c>
      <c r="C642">
        <f>MATCH(A642,mapPRC!A$2:A$1071,0)</f>
        <v>855</v>
      </c>
      <c r="G642" t="s">
        <v>394</v>
      </c>
      <c r="H642" t="s">
        <v>393</v>
      </c>
      <c r="I642">
        <f>MATCH(G642,mapPRC!$A$2:$A$1071,0)</f>
        <v>842</v>
      </c>
    </row>
    <row r="643" spans="1:10" x14ac:dyDescent="0.25">
      <c r="A643" t="s">
        <v>361</v>
      </c>
      <c r="B643" t="s">
        <v>2379</v>
      </c>
      <c r="C643">
        <f>MATCH(A643,mapPRC!A$2:A$1071,0)</f>
        <v>856</v>
      </c>
      <c r="G643" t="s">
        <v>391</v>
      </c>
      <c r="H643" t="s">
        <v>390</v>
      </c>
      <c r="I643">
        <f>MATCH(G643,mapPRC!$A$2:$A$1071,0)</f>
        <v>843</v>
      </c>
    </row>
    <row r="644" spans="1:10" x14ac:dyDescent="0.25">
      <c r="A644" t="s">
        <v>359</v>
      </c>
      <c r="B644" t="s">
        <v>2377</v>
      </c>
      <c r="C644">
        <f>MATCH(A644,mapPRC!A$2:A$1071,0)</f>
        <v>857</v>
      </c>
      <c r="G644" t="s">
        <v>389</v>
      </c>
      <c r="H644" t="s">
        <v>388</v>
      </c>
      <c r="I644">
        <f>MATCH(G644,mapPRC!$A$2:$A$1071,0)</f>
        <v>844</v>
      </c>
    </row>
    <row r="645" spans="1:10" x14ac:dyDescent="0.25">
      <c r="A645" t="s">
        <v>357</v>
      </c>
      <c r="B645" t="s">
        <v>2375</v>
      </c>
      <c r="C645">
        <f>MATCH(A645,mapPRC!A$2:A$1071,0)</f>
        <v>858</v>
      </c>
      <c r="G645" t="s">
        <v>385</v>
      </c>
      <c r="H645" t="s">
        <v>384</v>
      </c>
      <c r="I645">
        <f>MATCH(G645,mapPRC!$A$2:$A$1071,0)</f>
        <v>845</v>
      </c>
    </row>
    <row r="646" spans="1:10" x14ac:dyDescent="0.25">
      <c r="A646" t="s">
        <v>355</v>
      </c>
      <c r="B646" t="s">
        <v>354</v>
      </c>
      <c r="C646">
        <f>MATCH(A646,mapPRC!A$2:A$1071,0)</f>
        <v>860</v>
      </c>
      <c r="G646" t="s">
        <v>372</v>
      </c>
      <c r="H646" t="s">
        <v>371</v>
      </c>
      <c r="I646">
        <f>MATCH(G646,mapPRC!$A$2:$A$1071,0)</f>
        <v>851</v>
      </c>
    </row>
    <row r="647" spans="1:10" x14ac:dyDescent="0.25">
      <c r="A647" t="s">
        <v>353</v>
      </c>
      <c r="B647" t="s">
        <v>352</v>
      </c>
      <c r="C647">
        <f>MATCH(A647,mapPRC!A$2:A$1071,0)</f>
        <v>861</v>
      </c>
      <c r="G647" t="s">
        <v>370</v>
      </c>
      <c r="H647" t="s">
        <v>2393</v>
      </c>
      <c r="I647">
        <f>MATCH(G647,mapPRC!$A$2:$A$1071,0)</f>
        <v>852</v>
      </c>
    </row>
    <row r="648" spans="1:10" x14ac:dyDescent="0.25">
      <c r="A648" t="s">
        <v>350</v>
      </c>
      <c r="B648" t="s">
        <v>349</v>
      </c>
      <c r="C648">
        <f>MATCH(A648,mapPRC!A$2:A$1071,0)</f>
        <v>862</v>
      </c>
      <c r="G648" t="s">
        <v>368</v>
      </c>
      <c r="H648" t="s">
        <v>2391</v>
      </c>
      <c r="I648">
        <f>MATCH(G648,mapPRC!$A$2:$A$1071,0)</f>
        <v>853</v>
      </c>
    </row>
    <row r="649" spans="1:10" x14ac:dyDescent="0.25">
      <c r="A649" t="s">
        <v>348</v>
      </c>
      <c r="B649" t="s">
        <v>347</v>
      </c>
      <c r="C649">
        <f>MATCH(A649,mapPRC!A$2:A$1071,0)</f>
        <v>863</v>
      </c>
      <c r="G649" t="s">
        <v>365</v>
      </c>
      <c r="H649" t="s">
        <v>2383</v>
      </c>
      <c r="I649">
        <f>MATCH(G649,mapPRC!$A$2:$A$1071,0)</f>
        <v>854</v>
      </c>
    </row>
    <row r="650" spans="1:10" x14ac:dyDescent="0.25">
      <c r="A650" t="s">
        <v>346</v>
      </c>
      <c r="B650" t="s">
        <v>345</v>
      </c>
      <c r="C650">
        <f>MATCH(A650,mapPRC!A$2:A$1071,0)</f>
        <v>864</v>
      </c>
      <c r="G650" t="s">
        <v>363</v>
      </c>
      <c r="H650" t="s">
        <v>2381</v>
      </c>
      <c r="I650">
        <f>MATCH(G650,mapPRC!$A$2:$A$1071,0)</f>
        <v>855</v>
      </c>
    </row>
    <row r="651" spans="1:10" x14ac:dyDescent="0.25">
      <c r="A651" t="s">
        <v>344</v>
      </c>
      <c r="B651" t="s">
        <v>343</v>
      </c>
      <c r="C651">
        <f>MATCH(A651,mapPRC!A$2:A$1071,0)</f>
        <v>865</v>
      </c>
      <c r="G651" t="s">
        <v>361</v>
      </c>
      <c r="H651" t="s">
        <v>2379</v>
      </c>
      <c r="I651">
        <f>MATCH(G651,mapPRC!$A$2:$A$1071,0)</f>
        <v>856</v>
      </c>
    </row>
    <row r="652" spans="1:10" x14ac:dyDescent="0.25">
      <c r="A652" t="s">
        <v>342</v>
      </c>
      <c r="B652" t="s">
        <v>341</v>
      </c>
      <c r="C652">
        <f>MATCH(A652,mapPRC!A$2:A$1071,0)</f>
        <v>866</v>
      </c>
      <c r="G652" t="s">
        <v>359</v>
      </c>
      <c r="H652" t="s">
        <v>2377</v>
      </c>
      <c r="I652">
        <f>MATCH(G652,mapPRC!$A$2:$A$1071,0)</f>
        <v>857</v>
      </c>
    </row>
    <row r="653" spans="1:10" x14ac:dyDescent="0.25">
      <c r="A653" t="s">
        <v>340</v>
      </c>
      <c r="B653" t="s">
        <v>339</v>
      </c>
      <c r="C653">
        <f>MATCH(A653,mapPRC!A$2:A$1071,0)</f>
        <v>867</v>
      </c>
      <c r="G653" t="s">
        <v>357</v>
      </c>
      <c r="H653" t="s">
        <v>2375</v>
      </c>
      <c r="I653">
        <f>MATCH(G653,mapPRC!$A$2:$A$1071,0)</f>
        <v>858</v>
      </c>
    </row>
    <row r="654" spans="1:10" x14ac:dyDescent="0.25">
      <c r="A654" t="s">
        <v>338</v>
      </c>
      <c r="B654" t="s">
        <v>337</v>
      </c>
      <c r="C654">
        <f>MATCH(A654,mapPRC!A$2:A$1071,0)</f>
        <v>868</v>
      </c>
      <c r="G654" t="s">
        <v>3739</v>
      </c>
      <c r="H654" t="s">
        <v>3740</v>
      </c>
      <c r="I654">
        <f>MATCH(G654,mapPRC!$A$2:$A$1071,0)</f>
        <v>859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MATCH(A655,mapPRC!A$2:A$1071,0)</f>
        <v>869</v>
      </c>
      <c r="G655" t="s">
        <v>355</v>
      </c>
      <c r="H655" t="s">
        <v>354</v>
      </c>
      <c r="I655">
        <f>MATCH(G655,mapPRC!$A$2:$A$1071,0)</f>
        <v>860</v>
      </c>
    </row>
    <row r="656" spans="1:10" x14ac:dyDescent="0.25">
      <c r="A656" t="s">
        <v>333</v>
      </c>
      <c r="B656" t="s">
        <v>332</v>
      </c>
      <c r="C656">
        <f>MATCH(A656,mapPRC!A$2:A$1071,0)</f>
        <v>870</v>
      </c>
      <c r="G656" t="s">
        <v>353</v>
      </c>
      <c r="H656" t="s">
        <v>352</v>
      </c>
      <c r="I656">
        <f>MATCH(G656,mapPRC!$A$2:$A$1071,0)</f>
        <v>861</v>
      </c>
    </row>
    <row r="657" spans="1:9" x14ac:dyDescent="0.25">
      <c r="A657" t="s">
        <v>331</v>
      </c>
      <c r="B657" t="s">
        <v>330</v>
      </c>
      <c r="C657">
        <f>MATCH(A657,mapPRC!A$2:A$1071,0)</f>
        <v>871</v>
      </c>
      <c r="G657" t="s">
        <v>350</v>
      </c>
      <c r="H657" t="s">
        <v>349</v>
      </c>
      <c r="I657">
        <f>MATCH(G657,mapPRC!$A$2:$A$1071,0)</f>
        <v>862</v>
      </c>
    </row>
    <row r="658" spans="1:9" x14ac:dyDescent="0.25">
      <c r="A658" t="s">
        <v>328</v>
      </c>
      <c r="B658" t="s">
        <v>327</v>
      </c>
      <c r="C658">
        <f>MATCH(A658,mapPRC!A$2:A$1071,0)</f>
        <v>872</v>
      </c>
      <c r="G658" t="s">
        <v>348</v>
      </c>
      <c r="H658" t="s">
        <v>347</v>
      </c>
      <c r="I658">
        <f>MATCH(G658,mapPRC!$A$2:$A$1071,0)</f>
        <v>863</v>
      </c>
    </row>
    <row r="659" spans="1:9" x14ac:dyDescent="0.25">
      <c r="A659" t="s">
        <v>326</v>
      </c>
      <c r="B659" t="s">
        <v>325</v>
      </c>
      <c r="C659">
        <f>MATCH(A659,mapPRC!A$2:A$1071,0)</f>
        <v>873</v>
      </c>
      <c r="G659" t="s">
        <v>346</v>
      </c>
      <c r="H659" t="s">
        <v>345</v>
      </c>
      <c r="I659">
        <f>MATCH(G659,mapPRC!$A$2:$A$1071,0)</f>
        <v>864</v>
      </c>
    </row>
    <row r="660" spans="1:9" x14ac:dyDescent="0.25">
      <c r="A660" t="s">
        <v>324</v>
      </c>
      <c r="B660" t="s">
        <v>323</v>
      </c>
      <c r="C660">
        <f>MATCH(A660,mapPRC!A$2:A$1071,0)</f>
        <v>874</v>
      </c>
      <c r="G660" t="s">
        <v>344</v>
      </c>
      <c r="H660" t="s">
        <v>343</v>
      </c>
      <c r="I660">
        <f>MATCH(G660,mapPRC!$A$2:$A$1071,0)</f>
        <v>865</v>
      </c>
    </row>
    <row r="661" spans="1:9" x14ac:dyDescent="0.25">
      <c r="A661" t="s">
        <v>322</v>
      </c>
      <c r="B661" t="s">
        <v>321</v>
      </c>
      <c r="C661">
        <f>MATCH(A661,mapPRC!A$2:A$1071,0)</f>
        <v>875</v>
      </c>
      <c r="G661" t="s">
        <v>342</v>
      </c>
      <c r="H661" t="s">
        <v>341</v>
      </c>
      <c r="I661">
        <f>MATCH(G661,mapPRC!$A$2:$A$1071,0)</f>
        <v>866</v>
      </c>
    </row>
    <row r="662" spans="1:9" x14ac:dyDescent="0.25">
      <c r="A662" t="s">
        <v>320</v>
      </c>
      <c r="B662" t="s">
        <v>319</v>
      </c>
      <c r="C662">
        <f>MATCH(A662,mapPRC!A$2:A$1071,0)</f>
        <v>876</v>
      </c>
      <c r="G662" t="s">
        <v>340</v>
      </c>
      <c r="H662" t="s">
        <v>339</v>
      </c>
      <c r="I662">
        <f>MATCH(G662,mapPRC!$A$2:$A$1071,0)</f>
        <v>867</v>
      </c>
    </row>
    <row r="663" spans="1:9" x14ac:dyDescent="0.25">
      <c r="A663" t="s">
        <v>318</v>
      </c>
      <c r="B663" t="s">
        <v>317</v>
      </c>
      <c r="C663">
        <f>MATCH(A663,mapPRC!A$2:A$1071,0)</f>
        <v>877</v>
      </c>
      <c r="G663" t="s">
        <v>338</v>
      </c>
      <c r="H663" t="s">
        <v>337</v>
      </c>
      <c r="I663">
        <f>MATCH(G663,mapPRC!$A$2:$A$1071,0)</f>
        <v>868</v>
      </c>
    </row>
    <row r="664" spans="1:9" x14ac:dyDescent="0.25">
      <c r="A664" t="s">
        <v>3107</v>
      </c>
      <c r="B664" t="s">
        <v>3108</v>
      </c>
      <c r="C664">
        <f>MATCH(A664,mapPRC!A$2:A$1071,0)</f>
        <v>878</v>
      </c>
      <c r="G664" t="s">
        <v>336</v>
      </c>
      <c r="H664" t="s">
        <v>335</v>
      </c>
      <c r="I664">
        <f>MATCH(G664,mapPRC!$A$2:$A$1071,0)</f>
        <v>869</v>
      </c>
    </row>
    <row r="665" spans="1:9" x14ac:dyDescent="0.25">
      <c r="A665" t="s">
        <v>316</v>
      </c>
      <c r="B665" t="s">
        <v>315</v>
      </c>
      <c r="C665">
        <f>MATCH(A665,mapPRC!A$2:A$1071,0)</f>
        <v>879</v>
      </c>
      <c r="G665" t="s">
        <v>333</v>
      </c>
      <c r="H665" t="s">
        <v>332</v>
      </c>
      <c r="I665">
        <f>MATCH(G665,mapPRC!$A$2:$A$1071,0)</f>
        <v>870</v>
      </c>
    </row>
    <row r="666" spans="1:9" x14ac:dyDescent="0.25">
      <c r="A666" t="s">
        <v>313</v>
      </c>
      <c r="B666" t="s">
        <v>312</v>
      </c>
      <c r="C666">
        <f>MATCH(A666,mapPRC!A$2:A$1071,0)</f>
        <v>880</v>
      </c>
      <c r="G666" t="s">
        <v>331</v>
      </c>
      <c r="H666" t="s">
        <v>330</v>
      </c>
      <c r="I666">
        <f>MATCH(G666,mapPRC!$A$2:$A$1071,0)</f>
        <v>871</v>
      </c>
    </row>
    <row r="667" spans="1:9" x14ac:dyDescent="0.25">
      <c r="A667" t="s">
        <v>311</v>
      </c>
      <c r="B667" t="s">
        <v>310</v>
      </c>
      <c r="C667">
        <f>MATCH(A667,mapPRC!A$2:A$1071,0)</f>
        <v>881</v>
      </c>
      <c r="G667" t="s">
        <v>328</v>
      </c>
      <c r="H667" t="s">
        <v>327</v>
      </c>
      <c r="I667">
        <f>MATCH(G667,mapPRC!$A$2:$A$1071,0)</f>
        <v>872</v>
      </c>
    </row>
    <row r="668" spans="1:9" x14ac:dyDescent="0.25">
      <c r="A668" t="s">
        <v>309</v>
      </c>
      <c r="B668" t="s">
        <v>308</v>
      </c>
      <c r="C668">
        <f>MATCH(A668,mapPRC!A$2:A$1071,0)</f>
        <v>882</v>
      </c>
      <c r="G668" t="s">
        <v>326</v>
      </c>
      <c r="H668" t="s">
        <v>325</v>
      </c>
      <c r="I668">
        <f>MATCH(G668,mapPRC!$A$2:$A$1071,0)</f>
        <v>873</v>
      </c>
    </row>
    <row r="669" spans="1:9" x14ac:dyDescent="0.25">
      <c r="A669" t="s">
        <v>307</v>
      </c>
      <c r="B669" t="s">
        <v>306</v>
      </c>
      <c r="C669">
        <f>MATCH(A669,mapPRC!A$2:A$1071,0)</f>
        <v>883</v>
      </c>
      <c r="G669" t="s">
        <v>324</v>
      </c>
      <c r="H669" t="s">
        <v>323</v>
      </c>
      <c r="I669">
        <f>MATCH(G669,mapPRC!$A$2:$A$1071,0)</f>
        <v>874</v>
      </c>
    </row>
    <row r="670" spans="1:9" x14ac:dyDescent="0.25">
      <c r="A670" t="s">
        <v>305</v>
      </c>
      <c r="B670" t="s">
        <v>304</v>
      </c>
      <c r="C670">
        <f>MATCH(A670,mapPRC!A$2:A$1071,0)</f>
        <v>884</v>
      </c>
      <c r="G670" t="s">
        <v>322</v>
      </c>
      <c r="H670" t="s">
        <v>321</v>
      </c>
      <c r="I670">
        <f>MATCH(G670,mapPRC!$A$2:$A$1071,0)</f>
        <v>875</v>
      </c>
    </row>
    <row r="671" spans="1:9" x14ac:dyDescent="0.25">
      <c r="A671" t="s">
        <v>303</v>
      </c>
      <c r="B671" t="s">
        <v>302</v>
      </c>
      <c r="C671">
        <f>MATCH(A671,mapPRC!A$2:A$1071,0)</f>
        <v>885</v>
      </c>
      <c r="G671" t="s">
        <v>320</v>
      </c>
      <c r="H671" t="s">
        <v>319</v>
      </c>
      <c r="I671">
        <f>MATCH(G671,mapPRC!$A$2:$A$1071,0)</f>
        <v>876</v>
      </c>
    </row>
    <row r="672" spans="1:9" x14ac:dyDescent="0.25">
      <c r="A672" t="s">
        <v>301</v>
      </c>
      <c r="B672" t="s">
        <v>300</v>
      </c>
      <c r="C672">
        <f>MATCH(A672,mapPRC!A$2:A$1071,0)</f>
        <v>886</v>
      </c>
      <c r="G672" t="s">
        <v>318</v>
      </c>
      <c r="H672" t="s">
        <v>317</v>
      </c>
      <c r="I672">
        <f>MATCH(G672,mapPRC!$A$2:$A$1071,0)</f>
        <v>877</v>
      </c>
    </row>
    <row r="673" spans="1:9" x14ac:dyDescent="0.25">
      <c r="A673" t="s">
        <v>3539</v>
      </c>
      <c r="B673" t="s">
        <v>3540</v>
      </c>
      <c r="C673">
        <f>MATCH(A673,mapPRC!A$2:A$1071,0)</f>
        <v>887</v>
      </c>
      <c r="D673">
        <v>1</v>
      </c>
      <c r="G673" t="s">
        <v>3107</v>
      </c>
      <c r="H673" t="s">
        <v>3108</v>
      </c>
      <c r="I673">
        <f>MATCH(G673,mapPRC!$A$2:$A$1071,0)</f>
        <v>878</v>
      </c>
    </row>
    <row r="674" spans="1:9" x14ac:dyDescent="0.25">
      <c r="A674" t="s">
        <v>299</v>
      </c>
      <c r="B674" t="s">
        <v>298</v>
      </c>
      <c r="C674">
        <f>MATCH(A674,mapPRC!A$2:A$1071,0)</f>
        <v>888</v>
      </c>
      <c r="G674" t="s">
        <v>316</v>
      </c>
      <c r="H674" t="s">
        <v>315</v>
      </c>
      <c r="I674">
        <f>MATCH(G674,mapPRC!$A$2:$A$1071,0)</f>
        <v>879</v>
      </c>
    </row>
    <row r="675" spans="1:9" x14ac:dyDescent="0.25">
      <c r="A675" t="s">
        <v>23</v>
      </c>
      <c r="B675" t="s">
        <v>3486</v>
      </c>
      <c r="C675">
        <f>MATCH(A675,mapPRC!A$2:A$1071,0)</f>
        <v>889</v>
      </c>
      <c r="G675" t="s">
        <v>313</v>
      </c>
      <c r="H675" t="s">
        <v>312</v>
      </c>
      <c r="I675">
        <f>MATCH(G675,mapPRC!$A$2:$A$1071,0)</f>
        <v>880</v>
      </c>
    </row>
    <row r="676" spans="1:9" x14ac:dyDescent="0.25">
      <c r="A676" t="s">
        <v>297</v>
      </c>
      <c r="B676" t="s">
        <v>296</v>
      </c>
      <c r="C676">
        <f>MATCH(A676,mapPRC!A$2:A$1071,0)</f>
        <v>890</v>
      </c>
      <c r="G676" t="s">
        <v>311</v>
      </c>
      <c r="H676" t="s">
        <v>310</v>
      </c>
      <c r="I676">
        <f>MATCH(G676,mapPRC!$A$2:$A$1071,0)</f>
        <v>881</v>
      </c>
    </row>
    <row r="677" spans="1:9" x14ac:dyDescent="0.25">
      <c r="A677" t="s">
        <v>295</v>
      </c>
      <c r="B677" t="s">
        <v>294</v>
      </c>
      <c r="C677">
        <f>MATCH(A677,mapPRC!A$2:A$1071,0)</f>
        <v>891</v>
      </c>
      <c r="G677" t="s">
        <v>309</v>
      </c>
      <c r="H677" t="s">
        <v>308</v>
      </c>
      <c r="I677">
        <f>MATCH(G677,mapPRC!$A$2:$A$1071,0)</f>
        <v>882</v>
      </c>
    </row>
    <row r="678" spans="1:9" x14ac:dyDescent="0.25">
      <c r="A678" t="s">
        <v>293</v>
      </c>
      <c r="B678" t="s">
        <v>292</v>
      </c>
      <c r="C678">
        <f>MATCH(A678,mapPRC!A$2:A$1071,0)</f>
        <v>892</v>
      </c>
      <c r="G678" t="s">
        <v>307</v>
      </c>
      <c r="H678" t="s">
        <v>306</v>
      </c>
      <c r="I678">
        <f>MATCH(G678,mapPRC!$A$2:$A$1071,0)</f>
        <v>883</v>
      </c>
    </row>
    <row r="679" spans="1:9" x14ac:dyDescent="0.25">
      <c r="A679" t="s">
        <v>291</v>
      </c>
      <c r="B679" t="s">
        <v>290</v>
      </c>
      <c r="C679">
        <f>MATCH(A679,mapPRC!A$2:A$1071,0)</f>
        <v>893</v>
      </c>
      <c r="G679" t="s">
        <v>305</v>
      </c>
      <c r="H679" t="s">
        <v>304</v>
      </c>
      <c r="I679">
        <f>MATCH(G679,mapPRC!$A$2:$A$1071,0)</f>
        <v>884</v>
      </c>
    </row>
    <row r="680" spans="1:9" x14ac:dyDescent="0.25">
      <c r="A680" t="s">
        <v>289</v>
      </c>
      <c r="B680" t="s">
        <v>288</v>
      </c>
      <c r="C680">
        <f>MATCH(A680,mapPRC!A$2:A$1071,0)</f>
        <v>894</v>
      </c>
      <c r="G680" t="s">
        <v>303</v>
      </c>
      <c r="H680" t="s">
        <v>302</v>
      </c>
      <c r="I680">
        <f>MATCH(G680,mapPRC!$A$2:$A$1071,0)</f>
        <v>885</v>
      </c>
    </row>
    <row r="681" spans="1:9" x14ac:dyDescent="0.25">
      <c r="A681" t="s">
        <v>3599</v>
      </c>
      <c r="B681" t="s">
        <v>3600</v>
      </c>
      <c r="C681">
        <f>MATCH(A681,mapPRC!A$2:A$1071,0)</f>
        <v>895</v>
      </c>
      <c r="D681">
        <v>1</v>
      </c>
      <c r="G681" t="s">
        <v>301</v>
      </c>
      <c r="H681" t="s">
        <v>300</v>
      </c>
      <c r="I681">
        <f>MATCH(G681,mapPRC!$A$2:$A$1071,0)</f>
        <v>886</v>
      </c>
    </row>
    <row r="682" spans="1:9" x14ac:dyDescent="0.25">
      <c r="A682" t="s">
        <v>287</v>
      </c>
      <c r="B682" t="s">
        <v>286</v>
      </c>
      <c r="C682">
        <f>MATCH(A682,mapPRC!A$2:A$1071,0)</f>
        <v>896</v>
      </c>
      <c r="G682" t="s">
        <v>3539</v>
      </c>
      <c r="H682" t="s">
        <v>3540</v>
      </c>
      <c r="I682">
        <f>MATCH(G682,mapPRC!$A$2:$A$1071,0)</f>
        <v>887</v>
      </c>
    </row>
    <row r="683" spans="1:9" x14ac:dyDescent="0.25">
      <c r="A683" t="s">
        <v>285</v>
      </c>
      <c r="B683" t="s">
        <v>284</v>
      </c>
      <c r="C683">
        <f>MATCH(A683,mapPRC!A$2:A$1071,0)</f>
        <v>897</v>
      </c>
      <c r="G683" t="s">
        <v>299</v>
      </c>
      <c r="H683" t="s">
        <v>298</v>
      </c>
      <c r="I683">
        <f>MATCH(G683,mapPRC!$A$2:$A$1071,0)</f>
        <v>888</v>
      </c>
    </row>
    <row r="684" spans="1:9" x14ac:dyDescent="0.25">
      <c r="A684" t="s">
        <v>283</v>
      </c>
      <c r="B684" t="s">
        <v>282</v>
      </c>
      <c r="C684">
        <f>MATCH(A684,mapPRC!A$2:A$1071,0)</f>
        <v>898</v>
      </c>
      <c r="G684" t="s">
        <v>23</v>
      </c>
      <c r="H684" t="s">
        <v>3486</v>
      </c>
      <c r="I684">
        <f>MATCH(G684,mapPRC!$A$2:$A$1071,0)</f>
        <v>889</v>
      </c>
    </row>
    <row r="685" spans="1:9" x14ac:dyDescent="0.25">
      <c r="A685" t="s">
        <v>281</v>
      </c>
      <c r="B685" t="s">
        <v>280</v>
      </c>
      <c r="C685">
        <f>MATCH(A685,mapPRC!A$2:A$1071,0)</f>
        <v>899</v>
      </c>
      <c r="G685" t="s">
        <v>297</v>
      </c>
      <c r="H685" t="s">
        <v>296</v>
      </c>
      <c r="I685">
        <f>MATCH(G685,mapPRC!$A$2:$A$1071,0)</f>
        <v>890</v>
      </c>
    </row>
    <row r="686" spans="1:9" x14ac:dyDescent="0.25">
      <c r="A686" t="s">
        <v>279</v>
      </c>
      <c r="B686" t="s">
        <v>278</v>
      </c>
      <c r="C686">
        <f>MATCH(A686,mapPRC!A$2:A$1071,0)</f>
        <v>900</v>
      </c>
      <c r="G686" t="s">
        <v>295</v>
      </c>
      <c r="H686" t="s">
        <v>294</v>
      </c>
      <c r="I686">
        <f>MATCH(G686,mapPRC!$A$2:$A$1071,0)</f>
        <v>891</v>
      </c>
    </row>
    <row r="687" spans="1:9" x14ac:dyDescent="0.25">
      <c r="A687" t="s">
        <v>277</v>
      </c>
      <c r="B687" t="s">
        <v>276</v>
      </c>
      <c r="C687">
        <f>MATCH(A687,mapPRC!A$2:A$1071,0)</f>
        <v>901</v>
      </c>
      <c r="G687" t="s">
        <v>293</v>
      </c>
      <c r="H687" t="s">
        <v>292</v>
      </c>
      <c r="I687">
        <f>MATCH(G687,mapPRC!$A$2:$A$1071,0)</f>
        <v>892</v>
      </c>
    </row>
    <row r="688" spans="1:9" x14ac:dyDescent="0.25">
      <c r="A688" t="s">
        <v>275</v>
      </c>
      <c r="B688" t="s">
        <v>274</v>
      </c>
      <c r="C688">
        <f>MATCH(A688,mapPRC!A$2:A$1071,0)</f>
        <v>902</v>
      </c>
      <c r="G688" t="s">
        <v>291</v>
      </c>
      <c r="H688" t="s">
        <v>290</v>
      </c>
      <c r="I688">
        <f>MATCH(G688,mapPRC!$A$2:$A$1071,0)</f>
        <v>893</v>
      </c>
    </row>
    <row r="689" spans="1:9" x14ac:dyDescent="0.25">
      <c r="A689" t="s">
        <v>272</v>
      </c>
      <c r="B689" t="s">
        <v>3541</v>
      </c>
      <c r="C689">
        <f>MATCH(A689,mapPRC!A$2:A$1071,0)</f>
        <v>903</v>
      </c>
      <c r="G689" t="s">
        <v>289</v>
      </c>
      <c r="H689" t="s">
        <v>288</v>
      </c>
      <c r="I689">
        <f>MATCH(G689,mapPRC!$A$2:$A$1071,0)</f>
        <v>894</v>
      </c>
    </row>
    <row r="690" spans="1:9" x14ac:dyDescent="0.25">
      <c r="A690" t="s">
        <v>270</v>
      </c>
      <c r="B690" t="s">
        <v>3542</v>
      </c>
      <c r="C690">
        <f>MATCH(A690,mapPRC!A$2:A$1071,0)</f>
        <v>904</v>
      </c>
      <c r="G690" t="s">
        <v>3599</v>
      </c>
      <c r="H690" t="s">
        <v>3600</v>
      </c>
      <c r="I690">
        <f>MATCH(G690,mapPRC!$A$2:$A$1071,0)</f>
        <v>895</v>
      </c>
    </row>
    <row r="691" spans="1:9" x14ac:dyDescent="0.25">
      <c r="A691" t="s">
        <v>268</v>
      </c>
      <c r="B691" t="s">
        <v>267</v>
      </c>
      <c r="C691">
        <f>MATCH(A691,mapPRC!A$2:A$1071,0)</f>
        <v>905</v>
      </c>
      <c r="G691" t="s">
        <v>287</v>
      </c>
      <c r="H691" t="s">
        <v>286</v>
      </c>
      <c r="I691">
        <f>MATCH(G691,mapPRC!$A$2:$A$1071,0)</f>
        <v>896</v>
      </c>
    </row>
    <row r="692" spans="1:9" x14ac:dyDescent="0.25">
      <c r="A692" t="s">
        <v>266</v>
      </c>
      <c r="B692" t="s">
        <v>3543</v>
      </c>
      <c r="C692">
        <f>MATCH(A692,mapPRC!A$2:A$1071,0)</f>
        <v>906</v>
      </c>
      <c r="G692" t="s">
        <v>285</v>
      </c>
      <c r="H692" t="s">
        <v>284</v>
      </c>
      <c r="I692">
        <f>MATCH(G692,mapPRC!$A$2:$A$1071,0)</f>
        <v>897</v>
      </c>
    </row>
    <row r="693" spans="1:9" x14ac:dyDescent="0.25">
      <c r="A693" t="s">
        <v>263</v>
      </c>
      <c r="B693" t="s">
        <v>3544</v>
      </c>
      <c r="C693">
        <f>MATCH(A693,mapPRC!A$2:A$1071,0)</f>
        <v>907</v>
      </c>
      <c r="G693" t="s">
        <v>283</v>
      </c>
      <c r="H693" t="s">
        <v>282</v>
      </c>
      <c r="I693">
        <f>MATCH(G693,mapPRC!$A$2:$A$1071,0)</f>
        <v>898</v>
      </c>
    </row>
    <row r="694" spans="1:9" x14ac:dyDescent="0.25">
      <c r="A694" t="s">
        <v>261</v>
      </c>
      <c r="B694" t="s">
        <v>260</v>
      </c>
      <c r="C694">
        <f>MATCH(A694,mapPRC!A$2:A$1071,0)</f>
        <v>911</v>
      </c>
      <c r="G694" t="s">
        <v>281</v>
      </c>
      <c r="H694" t="s">
        <v>280</v>
      </c>
      <c r="I694">
        <f>MATCH(G694,mapPRC!$A$2:$A$1071,0)</f>
        <v>899</v>
      </c>
    </row>
    <row r="695" spans="1:9" x14ac:dyDescent="0.25">
      <c r="A695" t="s">
        <v>259</v>
      </c>
      <c r="B695" t="s">
        <v>258</v>
      </c>
      <c r="C695">
        <f>MATCH(A695,mapPRC!A$2:A$1071,0)</f>
        <v>912</v>
      </c>
      <c r="G695" t="s">
        <v>279</v>
      </c>
      <c r="H695" t="s">
        <v>278</v>
      </c>
      <c r="I695">
        <f>MATCH(G695,mapPRC!$A$2:$A$1071,0)</f>
        <v>900</v>
      </c>
    </row>
    <row r="696" spans="1:9" x14ac:dyDescent="0.25">
      <c r="A696" t="s">
        <v>256</v>
      </c>
      <c r="B696" t="s">
        <v>255</v>
      </c>
      <c r="C696">
        <f>MATCH(A696,mapPRC!A$2:A$1071,0)</f>
        <v>914</v>
      </c>
      <c r="G696" t="s">
        <v>277</v>
      </c>
      <c r="H696" t="s">
        <v>276</v>
      </c>
      <c r="I696">
        <f>MATCH(G696,mapPRC!$A$2:$A$1071,0)</f>
        <v>901</v>
      </c>
    </row>
    <row r="697" spans="1:9" x14ac:dyDescent="0.25">
      <c r="A697" t="s">
        <v>254</v>
      </c>
      <c r="B697" t="s">
        <v>253</v>
      </c>
      <c r="C697">
        <f>MATCH(A697,mapPRC!A$2:A$1071,0)</f>
        <v>916</v>
      </c>
      <c r="G697" t="s">
        <v>275</v>
      </c>
      <c r="H697" t="s">
        <v>274</v>
      </c>
      <c r="I697">
        <f>MATCH(G697,mapPRC!$A$2:$A$1071,0)</f>
        <v>902</v>
      </c>
    </row>
    <row r="698" spans="1:9" x14ac:dyDescent="0.25">
      <c r="A698" t="s">
        <v>252</v>
      </c>
      <c r="B698" t="s">
        <v>251</v>
      </c>
      <c r="C698">
        <f>MATCH(A698,mapPRC!A$2:A$1071,0)</f>
        <v>917</v>
      </c>
      <c r="G698" t="s">
        <v>272</v>
      </c>
      <c r="H698" t="s">
        <v>3541</v>
      </c>
      <c r="I698">
        <f>MATCH(G698,mapPRC!$A$2:$A$1071,0)</f>
        <v>903</v>
      </c>
    </row>
    <row r="699" spans="1:9" x14ac:dyDescent="0.25">
      <c r="A699" t="s">
        <v>250</v>
      </c>
      <c r="B699" t="s">
        <v>249</v>
      </c>
      <c r="C699">
        <f>MATCH(A699,mapPRC!A$2:A$1071,0)</f>
        <v>918</v>
      </c>
      <c r="G699" t="s">
        <v>270</v>
      </c>
      <c r="H699" t="s">
        <v>3542</v>
      </c>
      <c r="I699">
        <f>MATCH(G699,mapPRC!$A$2:$A$1071,0)</f>
        <v>904</v>
      </c>
    </row>
    <row r="700" spans="1:9" x14ac:dyDescent="0.25">
      <c r="A700" t="s">
        <v>248</v>
      </c>
      <c r="B700" t="s">
        <v>247</v>
      </c>
      <c r="C700">
        <f>MATCH(A700,mapPRC!A$2:A$1071,0)</f>
        <v>919</v>
      </c>
      <c r="G700" t="s">
        <v>268</v>
      </c>
      <c r="H700" t="s">
        <v>267</v>
      </c>
      <c r="I700">
        <f>MATCH(G700,mapPRC!$A$2:$A$1071,0)</f>
        <v>905</v>
      </c>
    </row>
    <row r="701" spans="1:9" x14ac:dyDescent="0.25">
      <c r="A701" t="s">
        <v>246</v>
      </c>
      <c r="B701" t="s">
        <v>245</v>
      </c>
      <c r="C701">
        <f>MATCH(A701,mapPRC!A$2:A$1071,0)</f>
        <v>920</v>
      </c>
      <c r="G701" t="s">
        <v>266</v>
      </c>
      <c r="H701" t="s">
        <v>3543</v>
      </c>
      <c r="I701">
        <f>MATCH(G701,mapPRC!$A$2:$A$1071,0)</f>
        <v>906</v>
      </c>
    </row>
    <row r="702" spans="1:9" x14ac:dyDescent="0.25">
      <c r="A702" t="s">
        <v>244</v>
      </c>
      <c r="B702" t="s">
        <v>243</v>
      </c>
      <c r="C702">
        <f>MATCH(A702,mapPRC!A$2:A$1071,0)</f>
        <v>921</v>
      </c>
      <c r="G702" t="s">
        <v>263</v>
      </c>
      <c r="H702" t="s">
        <v>3544</v>
      </c>
      <c r="I702">
        <f>MATCH(G702,mapPRC!$A$2:$A$1071,0)</f>
        <v>907</v>
      </c>
    </row>
    <row r="703" spans="1:9" x14ac:dyDescent="0.25">
      <c r="A703" t="s">
        <v>242</v>
      </c>
      <c r="B703" t="s">
        <v>241</v>
      </c>
      <c r="C703">
        <f>MATCH(A703,mapPRC!A$2:A$1071,0)</f>
        <v>922</v>
      </c>
      <c r="G703" t="s">
        <v>261</v>
      </c>
      <c r="H703" t="s">
        <v>260</v>
      </c>
      <c r="I703">
        <f>MATCH(G703,mapPRC!$A$2:$A$1071,0)</f>
        <v>911</v>
      </c>
    </row>
    <row r="704" spans="1:9" x14ac:dyDescent="0.25">
      <c r="A704" t="s">
        <v>240</v>
      </c>
      <c r="B704" t="s">
        <v>239</v>
      </c>
      <c r="C704" t="e">
        <f>MATCH(A704,mapPRC!A$2:A$1071,0)</f>
        <v>#N/A</v>
      </c>
      <c r="G704" t="s">
        <v>259</v>
      </c>
      <c r="H704" t="s">
        <v>258</v>
      </c>
      <c r="I704">
        <f>MATCH(G704,mapPRC!$A$2:$A$1071,0)</f>
        <v>912</v>
      </c>
    </row>
    <row r="705" spans="1:9" x14ac:dyDescent="0.25">
      <c r="A705" t="s">
        <v>238</v>
      </c>
      <c r="B705" t="s">
        <v>237</v>
      </c>
      <c r="C705">
        <f>MATCH(A705,mapPRC!A$2:A$1071,0)</f>
        <v>926</v>
      </c>
      <c r="G705" t="s">
        <v>256</v>
      </c>
      <c r="H705" t="s">
        <v>255</v>
      </c>
      <c r="I705">
        <f>MATCH(G705,mapPRC!$A$2:$A$1071,0)</f>
        <v>914</v>
      </c>
    </row>
    <row r="706" spans="1:9" x14ac:dyDescent="0.25">
      <c r="A706" t="s">
        <v>236</v>
      </c>
      <c r="B706" t="s">
        <v>235</v>
      </c>
      <c r="C706">
        <f>MATCH(A706,mapPRC!A$2:A$1071,0)</f>
        <v>927</v>
      </c>
      <c r="G706" t="s">
        <v>254</v>
      </c>
      <c r="H706" t="s">
        <v>253</v>
      </c>
      <c r="I706">
        <f>MATCH(G706,mapPRC!$A$2:$A$1071,0)</f>
        <v>916</v>
      </c>
    </row>
    <row r="707" spans="1:9" x14ac:dyDescent="0.25">
      <c r="A707" t="s">
        <v>234</v>
      </c>
      <c r="B707" t="s">
        <v>233</v>
      </c>
      <c r="C707">
        <f>MATCH(A707,mapPRC!A$2:A$1071,0)</f>
        <v>928</v>
      </c>
      <c r="G707" t="s">
        <v>252</v>
      </c>
      <c r="H707" t="s">
        <v>251</v>
      </c>
      <c r="I707">
        <f>MATCH(G707,mapPRC!$A$2:$A$1071,0)</f>
        <v>917</v>
      </c>
    </row>
    <row r="708" spans="1:9" x14ac:dyDescent="0.25">
      <c r="A708" t="s">
        <v>232</v>
      </c>
      <c r="B708" t="s">
        <v>231</v>
      </c>
      <c r="C708">
        <f>MATCH(A708,mapPRC!A$2:A$1071,0)</f>
        <v>929</v>
      </c>
      <c r="G708" t="s">
        <v>250</v>
      </c>
      <c r="H708" t="s">
        <v>249</v>
      </c>
      <c r="I708">
        <f>MATCH(G708,mapPRC!$A$2:$A$1071,0)</f>
        <v>918</v>
      </c>
    </row>
    <row r="709" spans="1:9" x14ac:dyDescent="0.25">
      <c r="A709" t="s">
        <v>230</v>
      </c>
      <c r="B709" t="s">
        <v>229</v>
      </c>
      <c r="C709">
        <f>MATCH(A709,mapPRC!A$2:A$1071,0)</f>
        <v>930</v>
      </c>
      <c r="G709" t="s">
        <v>248</v>
      </c>
      <c r="H709" t="s">
        <v>247</v>
      </c>
      <c r="I709">
        <f>MATCH(G709,mapPRC!$A$2:$A$1071,0)</f>
        <v>919</v>
      </c>
    </row>
    <row r="710" spans="1:9" x14ac:dyDescent="0.25">
      <c r="A710" t="s">
        <v>226</v>
      </c>
      <c r="B710" t="s">
        <v>225</v>
      </c>
      <c r="C710">
        <f>MATCH(A710,mapPRC!A$2:A$1071,0)</f>
        <v>931</v>
      </c>
      <c r="G710" t="s">
        <v>246</v>
      </c>
      <c r="H710" t="s">
        <v>245</v>
      </c>
      <c r="I710">
        <f>MATCH(G710,mapPRC!$A$2:$A$1071,0)</f>
        <v>920</v>
      </c>
    </row>
    <row r="711" spans="1:9" x14ac:dyDescent="0.25">
      <c r="A711" t="s">
        <v>220</v>
      </c>
      <c r="B711" t="s">
        <v>219</v>
      </c>
      <c r="C711">
        <f>MATCH(A711,mapPRC!A$2:A$1071,0)</f>
        <v>935</v>
      </c>
      <c r="G711" t="s">
        <v>244</v>
      </c>
      <c r="H711" t="s">
        <v>243</v>
      </c>
      <c r="I711">
        <f>MATCH(G711,mapPRC!$A$2:$A$1071,0)</f>
        <v>921</v>
      </c>
    </row>
    <row r="712" spans="1:9" x14ac:dyDescent="0.25">
      <c r="A712" t="s">
        <v>218</v>
      </c>
      <c r="B712" t="s">
        <v>217</v>
      </c>
      <c r="C712">
        <f>MATCH(A712,mapPRC!A$2:A$1071,0)</f>
        <v>937</v>
      </c>
      <c r="G712" t="s">
        <v>242</v>
      </c>
      <c r="H712" t="s">
        <v>241</v>
      </c>
      <c r="I712">
        <f>MATCH(G712,mapPRC!$A$2:$A$1071,0)</f>
        <v>922</v>
      </c>
    </row>
    <row r="713" spans="1:9" x14ac:dyDescent="0.25">
      <c r="A713" t="s">
        <v>216</v>
      </c>
      <c r="B713" t="s">
        <v>215</v>
      </c>
      <c r="C713">
        <f>MATCH(A713,mapPRC!A$2:A$1071,0)</f>
        <v>938</v>
      </c>
      <c r="G713" t="s">
        <v>240</v>
      </c>
      <c r="H713" t="s">
        <v>239</v>
      </c>
      <c r="I713" t="e">
        <f>MATCH(G713,mapPRC!$A$2:$A$1071,0)</f>
        <v>#N/A</v>
      </c>
    </row>
    <row r="714" spans="1:9" x14ac:dyDescent="0.25">
      <c r="A714" t="s">
        <v>214</v>
      </c>
      <c r="B714" t="s">
        <v>213</v>
      </c>
      <c r="C714">
        <f>MATCH(A714,mapPRC!A$2:A$1071,0)</f>
        <v>939</v>
      </c>
      <c r="G714" t="s">
        <v>238</v>
      </c>
      <c r="H714" t="s">
        <v>237</v>
      </c>
      <c r="I714">
        <f>MATCH(G714,mapPRC!$A$2:$A$1071,0)</f>
        <v>926</v>
      </c>
    </row>
    <row r="715" spans="1:9" x14ac:dyDescent="0.25">
      <c r="A715" t="s">
        <v>212</v>
      </c>
      <c r="B715" t="s">
        <v>211</v>
      </c>
      <c r="C715">
        <f>MATCH(A715,mapPRC!A$2:A$1071,0)</f>
        <v>940</v>
      </c>
      <c r="G715" t="s">
        <v>236</v>
      </c>
      <c r="H715" t="s">
        <v>235</v>
      </c>
      <c r="I715">
        <f>MATCH(G715,mapPRC!$A$2:$A$1071,0)</f>
        <v>927</v>
      </c>
    </row>
    <row r="716" spans="1:9" x14ac:dyDescent="0.25">
      <c r="A716" t="s">
        <v>210</v>
      </c>
      <c r="B716" t="s">
        <v>209</v>
      </c>
      <c r="C716">
        <f>MATCH(A716,mapPRC!A$2:A$1071,0)</f>
        <v>941</v>
      </c>
      <c r="G716" t="s">
        <v>234</v>
      </c>
      <c r="H716" t="s">
        <v>233</v>
      </c>
      <c r="I716">
        <f>MATCH(G716,mapPRC!$A$2:$A$1071,0)</f>
        <v>928</v>
      </c>
    </row>
    <row r="717" spans="1:9" x14ac:dyDescent="0.25">
      <c r="A717" t="s">
        <v>208</v>
      </c>
      <c r="B717" t="s">
        <v>207</v>
      </c>
      <c r="C717">
        <f>MATCH(A717,mapPRC!A$2:A$1071,0)</f>
        <v>942</v>
      </c>
      <c r="G717" t="s">
        <v>232</v>
      </c>
      <c r="H717" t="s">
        <v>231</v>
      </c>
      <c r="I717">
        <f>MATCH(G717,mapPRC!$A$2:$A$1071,0)</f>
        <v>929</v>
      </c>
    </row>
    <row r="718" spans="1:9" x14ac:dyDescent="0.25">
      <c r="A718" t="s">
        <v>3487</v>
      </c>
      <c r="B718" t="s">
        <v>3488</v>
      </c>
      <c r="C718">
        <f>MATCH(A718,mapPRC!A$2:A$1071,0)</f>
        <v>936</v>
      </c>
      <c r="D718">
        <v>1</v>
      </c>
      <c r="G718" t="s">
        <v>230</v>
      </c>
      <c r="H718" t="s">
        <v>229</v>
      </c>
      <c r="I718">
        <f>MATCH(G718,mapPRC!$A$2:$A$1071,0)</f>
        <v>930</v>
      </c>
    </row>
    <row r="719" spans="1:9" x14ac:dyDescent="0.25">
      <c r="A719" t="s">
        <v>206</v>
      </c>
      <c r="B719" t="s">
        <v>205</v>
      </c>
      <c r="C719">
        <f>MATCH(A719,mapPRC!A$2:A$1071,0)</f>
        <v>943</v>
      </c>
      <c r="G719" t="s">
        <v>226</v>
      </c>
      <c r="H719" t="s">
        <v>225</v>
      </c>
      <c r="I719">
        <f>MATCH(G719,mapPRC!$A$2:$A$1071,0)</f>
        <v>931</v>
      </c>
    </row>
    <row r="720" spans="1:9" x14ac:dyDescent="0.25">
      <c r="A720" t="s">
        <v>204</v>
      </c>
      <c r="B720" t="s">
        <v>203</v>
      </c>
      <c r="C720">
        <f>MATCH(A720,mapPRC!A$2:A$1071,0)</f>
        <v>944</v>
      </c>
      <c r="G720" t="s">
        <v>220</v>
      </c>
      <c r="H720" t="s">
        <v>219</v>
      </c>
      <c r="I720">
        <f>MATCH(G720,mapPRC!$A$2:$A$1071,0)</f>
        <v>935</v>
      </c>
    </row>
    <row r="721" spans="1:9" x14ac:dyDescent="0.25">
      <c r="A721" t="s">
        <v>202</v>
      </c>
      <c r="B721" t="s">
        <v>201</v>
      </c>
      <c r="C721">
        <f>MATCH(A721,mapPRC!A$2:A$1071,0)</f>
        <v>945</v>
      </c>
      <c r="G721" t="s">
        <v>218</v>
      </c>
      <c r="H721" t="s">
        <v>217</v>
      </c>
      <c r="I721">
        <f>MATCH(G721,mapPRC!$A$2:$A$1071,0)</f>
        <v>937</v>
      </c>
    </row>
    <row r="722" spans="1:9" x14ac:dyDescent="0.25">
      <c r="A722" t="s">
        <v>3455</v>
      </c>
      <c r="B722" t="s">
        <v>3589</v>
      </c>
      <c r="C722">
        <f>MATCH(A722,mapPRC!A$2:A$1071,0)</f>
        <v>946</v>
      </c>
      <c r="G722" t="s">
        <v>216</v>
      </c>
      <c r="H722" t="s">
        <v>215</v>
      </c>
      <c r="I722">
        <f>MATCH(G722,mapPRC!$A$2:$A$1071,0)</f>
        <v>938</v>
      </c>
    </row>
    <row r="723" spans="1:9" x14ac:dyDescent="0.25">
      <c r="A723" t="s">
        <v>3456</v>
      </c>
      <c r="B723" t="s">
        <v>3590</v>
      </c>
      <c r="C723">
        <f>MATCH(A723,mapPRC!A$2:A$1071,0)</f>
        <v>947</v>
      </c>
      <c r="G723" t="s">
        <v>214</v>
      </c>
      <c r="H723" t="s">
        <v>213</v>
      </c>
      <c r="I723">
        <f>MATCH(G723,mapPRC!$A$2:$A$1071,0)</f>
        <v>939</v>
      </c>
    </row>
    <row r="724" spans="1:9" x14ac:dyDescent="0.25">
      <c r="A724" t="s">
        <v>200</v>
      </c>
      <c r="B724" t="s">
        <v>199</v>
      </c>
      <c r="C724">
        <f>MATCH(A724,mapPRC!A$2:A$1071,0)</f>
        <v>948</v>
      </c>
      <c r="G724" t="s">
        <v>212</v>
      </c>
      <c r="H724" t="s">
        <v>211</v>
      </c>
      <c r="I724">
        <f>MATCH(G724,mapPRC!$A$2:$A$1071,0)</f>
        <v>940</v>
      </c>
    </row>
    <row r="725" spans="1:9" x14ac:dyDescent="0.25">
      <c r="A725" t="s">
        <v>198</v>
      </c>
      <c r="B725" t="s">
        <v>197</v>
      </c>
      <c r="C725">
        <f>MATCH(A725,mapPRC!A$2:A$1071,0)</f>
        <v>949</v>
      </c>
      <c r="G725" t="s">
        <v>210</v>
      </c>
      <c r="H725" t="s">
        <v>209</v>
      </c>
      <c r="I725">
        <f>MATCH(G725,mapPRC!$A$2:$A$1071,0)</f>
        <v>941</v>
      </c>
    </row>
    <row r="726" spans="1:9" x14ac:dyDescent="0.25">
      <c r="A726" t="s">
        <v>196</v>
      </c>
      <c r="B726" t="s">
        <v>195</v>
      </c>
      <c r="C726">
        <f>MATCH(A726,mapPRC!A$2:A$1071,0)</f>
        <v>950</v>
      </c>
      <c r="G726" t="s">
        <v>208</v>
      </c>
      <c r="H726" t="s">
        <v>207</v>
      </c>
      <c r="I726">
        <f>MATCH(G726,mapPRC!$A$2:$A$1071,0)</f>
        <v>942</v>
      </c>
    </row>
    <row r="727" spans="1:9" x14ac:dyDescent="0.25">
      <c r="A727" t="s">
        <v>194</v>
      </c>
      <c r="B727" t="s">
        <v>193</v>
      </c>
      <c r="C727">
        <f>MATCH(A727,mapPRC!A$2:A$1071,0)</f>
        <v>951</v>
      </c>
      <c r="G727" t="s">
        <v>3487</v>
      </c>
      <c r="H727" t="s">
        <v>3488</v>
      </c>
      <c r="I727">
        <f>MATCH(G727,mapPRC!$A$2:$A$1071,0)</f>
        <v>936</v>
      </c>
    </row>
    <row r="728" spans="1:9" x14ac:dyDescent="0.25">
      <c r="A728" t="s">
        <v>192</v>
      </c>
      <c r="B728" t="s">
        <v>191</v>
      </c>
      <c r="C728">
        <f>MATCH(A728,mapPRC!A$2:A$1071,0)</f>
        <v>952</v>
      </c>
      <c r="G728" t="s">
        <v>206</v>
      </c>
      <c r="H728" t="s">
        <v>205</v>
      </c>
      <c r="I728">
        <f>MATCH(G728,mapPRC!$A$2:$A$1071,0)</f>
        <v>943</v>
      </c>
    </row>
    <row r="729" spans="1:9" x14ac:dyDescent="0.25">
      <c r="A729" t="s">
        <v>189</v>
      </c>
      <c r="B729" t="s">
        <v>188</v>
      </c>
      <c r="C729">
        <f>MATCH(A729,mapPRC!A$2:A$1071,0)</f>
        <v>953</v>
      </c>
      <c r="G729" t="s">
        <v>204</v>
      </c>
      <c r="H729" t="s">
        <v>203</v>
      </c>
      <c r="I729">
        <f>MATCH(G729,mapPRC!$A$2:$A$1071,0)</f>
        <v>944</v>
      </c>
    </row>
    <row r="730" spans="1:9" x14ac:dyDescent="0.25">
      <c r="A730" t="s">
        <v>187</v>
      </c>
      <c r="B730" t="s">
        <v>186</v>
      </c>
      <c r="C730">
        <f>MATCH(A730,mapPRC!A$2:A$1071,0)</f>
        <v>954</v>
      </c>
      <c r="G730" t="s">
        <v>202</v>
      </c>
      <c r="H730" t="s">
        <v>201</v>
      </c>
      <c r="I730">
        <f>MATCH(G730,mapPRC!$A$2:$A$1071,0)</f>
        <v>945</v>
      </c>
    </row>
    <row r="731" spans="1:9" x14ac:dyDescent="0.25">
      <c r="A731" t="s">
        <v>185</v>
      </c>
      <c r="B731" t="s">
        <v>184</v>
      </c>
      <c r="C731">
        <f>MATCH(A731,mapPRC!A$2:A$1071,0)</f>
        <v>955</v>
      </c>
      <c r="G731" t="s">
        <v>3455</v>
      </c>
      <c r="H731" t="s">
        <v>3589</v>
      </c>
      <c r="I731">
        <f>MATCH(G731,mapPRC!$A$2:$A$1071,0)</f>
        <v>946</v>
      </c>
    </row>
    <row r="732" spans="1:9" x14ac:dyDescent="0.25">
      <c r="A732" t="s">
        <v>183</v>
      </c>
      <c r="B732" t="s">
        <v>182</v>
      </c>
      <c r="C732">
        <f>MATCH(A732,mapPRC!A$2:A$1071,0)</f>
        <v>956</v>
      </c>
      <c r="G732" t="s">
        <v>3456</v>
      </c>
      <c r="H732" t="s">
        <v>3590</v>
      </c>
      <c r="I732">
        <f>MATCH(G732,mapPRC!$A$2:$A$1071,0)</f>
        <v>947</v>
      </c>
    </row>
    <row r="733" spans="1:9" x14ac:dyDescent="0.25">
      <c r="A733" t="s">
        <v>181</v>
      </c>
      <c r="B733" t="s">
        <v>180</v>
      </c>
      <c r="C733">
        <f>MATCH(A733,mapPRC!A$2:A$1071,0)</f>
        <v>957</v>
      </c>
      <c r="G733" t="s">
        <v>200</v>
      </c>
      <c r="H733" t="s">
        <v>199</v>
      </c>
      <c r="I733">
        <f>MATCH(G733,mapPRC!$A$2:$A$1071,0)</f>
        <v>948</v>
      </c>
    </row>
    <row r="734" spans="1:9" x14ac:dyDescent="0.25">
      <c r="A734" t="s">
        <v>179</v>
      </c>
      <c r="B734" t="s">
        <v>178</v>
      </c>
      <c r="C734">
        <f>MATCH(A734,mapPRC!A$2:A$1071,0)</f>
        <v>958</v>
      </c>
      <c r="G734" t="s">
        <v>198</v>
      </c>
      <c r="H734" t="s">
        <v>197</v>
      </c>
      <c r="I734">
        <f>MATCH(G734,mapPRC!$A$2:$A$1071,0)</f>
        <v>949</v>
      </c>
    </row>
    <row r="735" spans="1:9" x14ac:dyDescent="0.25">
      <c r="A735" t="s">
        <v>177</v>
      </c>
      <c r="B735" t="s">
        <v>176</v>
      </c>
      <c r="C735">
        <f>MATCH(A735,mapPRC!A$2:A$1071,0)</f>
        <v>959</v>
      </c>
      <c r="G735" t="s">
        <v>196</v>
      </c>
      <c r="H735" t="s">
        <v>195</v>
      </c>
      <c r="I735">
        <f>MATCH(G735,mapPRC!$A$2:$A$1071,0)</f>
        <v>950</v>
      </c>
    </row>
    <row r="736" spans="1:9" x14ac:dyDescent="0.25">
      <c r="A736" t="s">
        <v>170</v>
      </c>
      <c r="B736" t="s">
        <v>169</v>
      </c>
      <c r="C736">
        <f>MATCH(A736,mapPRC!A$2:A$1071,0)</f>
        <v>962</v>
      </c>
      <c r="G736" t="s">
        <v>194</v>
      </c>
      <c r="H736" t="s">
        <v>193</v>
      </c>
      <c r="I736">
        <f>MATCH(G736,mapPRC!$A$2:$A$1071,0)</f>
        <v>951</v>
      </c>
    </row>
    <row r="737" spans="1:9" x14ac:dyDescent="0.25">
      <c r="A737" t="s">
        <v>168</v>
      </c>
      <c r="B737" t="s">
        <v>167</v>
      </c>
      <c r="C737">
        <f>MATCH(A737,mapPRC!A$2:A$1071,0)</f>
        <v>963</v>
      </c>
      <c r="G737" t="s">
        <v>192</v>
      </c>
      <c r="H737" t="s">
        <v>191</v>
      </c>
      <c r="I737">
        <f>MATCH(G737,mapPRC!$A$2:$A$1071,0)</f>
        <v>952</v>
      </c>
    </row>
    <row r="738" spans="1:9" x14ac:dyDescent="0.25">
      <c r="A738" t="s">
        <v>3601</v>
      </c>
      <c r="B738" t="s">
        <v>3602</v>
      </c>
      <c r="C738">
        <f>MATCH(A738,mapPRC!A$2:A$1071,0)</f>
        <v>964</v>
      </c>
      <c r="D738">
        <v>1</v>
      </c>
      <c r="G738" t="s">
        <v>189</v>
      </c>
      <c r="H738" t="s">
        <v>188</v>
      </c>
      <c r="I738">
        <f>MATCH(G738,mapPRC!$A$2:$A$1071,0)</f>
        <v>953</v>
      </c>
    </row>
    <row r="739" spans="1:9" x14ac:dyDescent="0.25">
      <c r="A739" t="s">
        <v>166</v>
      </c>
      <c r="B739" t="s">
        <v>165</v>
      </c>
      <c r="C739">
        <f>MATCH(A739,mapPRC!A$2:A$1071,0)</f>
        <v>965</v>
      </c>
      <c r="G739" t="s">
        <v>187</v>
      </c>
      <c r="H739" t="s">
        <v>186</v>
      </c>
      <c r="I739">
        <f>MATCH(G739,mapPRC!$A$2:$A$1071,0)</f>
        <v>954</v>
      </c>
    </row>
    <row r="740" spans="1:9" x14ac:dyDescent="0.25">
      <c r="A740" t="s">
        <v>164</v>
      </c>
      <c r="B740" t="s">
        <v>163</v>
      </c>
      <c r="C740">
        <f>MATCH(A740,mapPRC!A$2:A$1071,0)</f>
        <v>966</v>
      </c>
      <c r="G740" t="s">
        <v>185</v>
      </c>
      <c r="H740" t="s">
        <v>184</v>
      </c>
      <c r="I740">
        <f>MATCH(G740,mapPRC!$A$2:$A$1071,0)</f>
        <v>955</v>
      </c>
    </row>
    <row r="741" spans="1:9" x14ac:dyDescent="0.25">
      <c r="A741" t="s">
        <v>162</v>
      </c>
      <c r="B741" t="s">
        <v>161</v>
      </c>
      <c r="C741">
        <f>MATCH(A741,mapPRC!A$2:A$1071,0)</f>
        <v>967</v>
      </c>
      <c r="G741" t="s">
        <v>183</v>
      </c>
      <c r="H741" t="s">
        <v>182</v>
      </c>
      <c r="I741">
        <f>MATCH(G741,mapPRC!$A$2:$A$1071,0)</f>
        <v>956</v>
      </c>
    </row>
    <row r="742" spans="1:9" x14ac:dyDescent="0.25">
      <c r="A742" t="s">
        <v>160</v>
      </c>
      <c r="B742" t="s">
        <v>159</v>
      </c>
      <c r="C742">
        <f>MATCH(A742,mapPRC!A$2:A$1071,0)</f>
        <v>968</v>
      </c>
      <c r="G742" t="s">
        <v>181</v>
      </c>
      <c r="H742" t="s">
        <v>180</v>
      </c>
      <c r="I742">
        <f>MATCH(G742,mapPRC!$A$2:$A$1071,0)</f>
        <v>957</v>
      </c>
    </row>
    <row r="743" spans="1:9" x14ac:dyDescent="0.25">
      <c r="A743" t="s">
        <v>158</v>
      </c>
      <c r="B743" t="s">
        <v>157</v>
      </c>
      <c r="C743">
        <f>MATCH(A743,mapPRC!A$2:A$1071,0)</f>
        <v>969</v>
      </c>
      <c r="G743" t="s">
        <v>179</v>
      </c>
      <c r="H743" t="s">
        <v>178</v>
      </c>
      <c r="I743">
        <f>MATCH(G743,mapPRC!$A$2:$A$1071,0)</f>
        <v>958</v>
      </c>
    </row>
    <row r="744" spans="1:9" x14ac:dyDescent="0.25">
      <c r="A744" t="s">
        <v>156</v>
      </c>
      <c r="B744" t="s">
        <v>155</v>
      </c>
      <c r="C744">
        <f>MATCH(A744,mapPRC!A$2:A$1071,0)</f>
        <v>970</v>
      </c>
      <c r="G744" t="s">
        <v>177</v>
      </c>
      <c r="H744" t="s">
        <v>176</v>
      </c>
      <c r="I744">
        <f>MATCH(G744,mapPRC!$A$2:$A$1071,0)</f>
        <v>959</v>
      </c>
    </row>
    <row r="745" spans="1:9" x14ac:dyDescent="0.25">
      <c r="A745" t="s">
        <v>154</v>
      </c>
      <c r="B745" t="s">
        <v>153</v>
      </c>
      <c r="C745">
        <f>MATCH(A745,mapPRC!A$2:A$1071,0)</f>
        <v>971</v>
      </c>
      <c r="G745" t="s">
        <v>170</v>
      </c>
      <c r="H745" t="s">
        <v>169</v>
      </c>
      <c r="I745">
        <f>MATCH(G745,mapPRC!$A$2:$A$1071,0)</f>
        <v>962</v>
      </c>
    </row>
    <row r="746" spans="1:9" x14ac:dyDescent="0.25">
      <c r="A746" t="s">
        <v>150</v>
      </c>
      <c r="B746" t="s">
        <v>149</v>
      </c>
      <c r="C746">
        <f>MATCH(A746,mapPRC!A$2:A$1071,0)</f>
        <v>972</v>
      </c>
      <c r="G746" t="s">
        <v>168</v>
      </c>
      <c r="H746" t="s">
        <v>167</v>
      </c>
      <c r="I746">
        <f>MATCH(G746,mapPRC!$A$2:$A$1071,0)</f>
        <v>963</v>
      </c>
    </row>
    <row r="747" spans="1:9" x14ac:dyDescent="0.25">
      <c r="A747" t="s">
        <v>147</v>
      </c>
      <c r="B747" t="s">
        <v>146</v>
      </c>
      <c r="C747">
        <f>MATCH(A747,mapPRC!A$2:A$1071,0)</f>
        <v>974</v>
      </c>
      <c r="G747" t="s">
        <v>3601</v>
      </c>
      <c r="H747" t="s">
        <v>3602</v>
      </c>
      <c r="I747">
        <f>MATCH(G747,mapPRC!$A$2:$A$1071,0)</f>
        <v>964</v>
      </c>
    </row>
    <row r="748" spans="1:9" x14ac:dyDescent="0.25">
      <c r="A748" t="s">
        <v>142</v>
      </c>
      <c r="B748" t="s">
        <v>141</v>
      </c>
      <c r="C748">
        <f>MATCH(A748,mapPRC!A$2:A$1071,0)</f>
        <v>975</v>
      </c>
      <c r="G748" t="s">
        <v>166</v>
      </c>
      <c r="H748" t="s">
        <v>165</v>
      </c>
      <c r="I748">
        <f>MATCH(G748,mapPRC!$A$2:$A$1071,0)</f>
        <v>965</v>
      </c>
    </row>
    <row r="749" spans="1:9" x14ac:dyDescent="0.25">
      <c r="A749" t="s">
        <v>139</v>
      </c>
      <c r="B749" t="s">
        <v>138</v>
      </c>
      <c r="C749">
        <f>MATCH(A749,mapPRC!A$2:A$1071,0)</f>
        <v>976</v>
      </c>
      <c r="G749" t="s">
        <v>164</v>
      </c>
      <c r="H749" t="s">
        <v>163</v>
      </c>
      <c r="I749">
        <f>MATCH(G749,mapPRC!$A$2:$A$1071,0)</f>
        <v>966</v>
      </c>
    </row>
    <row r="750" spans="1:9" x14ac:dyDescent="0.25">
      <c r="A750" t="s">
        <v>136</v>
      </c>
      <c r="B750" t="s">
        <v>135</v>
      </c>
      <c r="C750">
        <f>MATCH(A750,mapPRC!A$2:A$1071,0)</f>
        <v>977</v>
      </c>
      <c r="G750" t="s">
        <v>162</v>
      </c>
      <c r="H750" t="s">
        <v>161</v>
      </c>
      <c r="I750">
        <f>MATCH(G750,mapPRC!$A$2:$A$1071,0)</f>
        <v>967</v>
      </c>
    </row>
    <row r="751" spans="1:9" x14ac:dyDescent="0.25">
      <c r="A751" t="s">
        <v>134</v>
      </c>
      <c r="B751" t="s">
        <v>133</v>
      </c>
      <c r="C751">
        <f>MATCH(A751,mapPRC!A$2:A$1071,0)</f>
        <v>978</v>
      </c>
      <c r="G751" t="s">
        <v>160</v>
      </c>
      <c r="H751" t="s">
        <v>159</v>
      </c>
      <c r="I751">
        <f>MATCH(G751,mapPRC!$A$2:$A$1071,0)</f>
        <v>968</v>
      </c>
    </row>
    <row r="752" spans="1:9" x14ac:dyDescent="0.25">
      <c r="A752" t="s">
        <v>3489</v>
      </c>
      <c r="B752" t="s">
        <v>3490</v>
      </c>
      <c r="C752">
        <f>MATCH(A752,mapPRC!A$2:A$1071,0)</f>
        <v>979</v>
      </c>
      <c r="D752">
        <v>1</v>
      </c>
      <c r="G752" t="s">
        <v>158</v>
      </c>
      <c r="H752" t="s">
        <v>157</v>
      </c>
      <c r="I752">
        <f>MATCH(G752,mapPRC!$A$2:$A$1071,0)</f>
        <v>969</v>
      </c>
    </row>
    <row r="753" spans="1:9" x14ac:dyDescent="0.25">
      <c r="A753" t="s">
        <v>132</v>
      </c>
      <c r="B753" t="s">
        <v>131</v>
      </c>
      <c r="C753">
        <f>MATCH(A753,mapPRC!A$2:A$1071,0)</f>
        <v>980</v>
      </c>
      <c r="G753" t="s">
        <v>156</v>
      </c>
      <c r="H753" t="s">
        <v>155</v>
      </c>
      <c r="I753">
        <f>MATCH(G753,mapPRC!$A$2:$A$1071,0)</f>
        <v>970</v>
      </c>
    </row>
    <row r="754" spans="1:9" x14ac:dyDescent="0.25">
      <c r="A754" t="s">
        <v>130</v>
      </c>
      <c r="B754" t="s">
        <v>129</v>
      </c>
      <c r="C754">
        <f>MATCH(A754,mapPRC!A$2:A$1071,0)</f>
        <v>981</v>
      </c>
      <c r="G754" t="s">
        <v>154</v>
      </c>
      <c r="H754" t="s">
        <v>153</v>
      </c>
      <c r="I754">
        <f>MATCH(G754,mapPRC!$A$2:$A$1071,0)</f>
        <v>971</v>
      </c>
    </row>
    <row r="755" spans="1:9" x14ac:dyDescent="0.25">
      <c r="A755" t="s">
        <v>128</v>
      </c>
      <c r="B755" t="s">
        <v>127</v>
      </c>
      <c r="C755">
        <f>MATCH(A755,mapPRC!A$2:A$1071,0)</f>
        <v>982</v>
      </c>
      <c r="G755" t="s">
        <v>150</v>
      </c>
      <c r="H755" t="s">
        <v>149</v>
      </c>
      <c r="I755">
        <f>MATCH(G755,mapPRC!$A$2:$A$1071,0)</f>
        <v>972</v>
      </c>
    </row>
    <row r="756" spans="1:9" x14ac:dyDescent="0.25">
      <c r="A756" t="s">
        <v>126</v>
      </c>
      <c r="B756" t="s">
        <v>125</v>
      </c>
      <c r="C756">
        <f>MATCH(A756,mapPRC!A$2:A$1071,0)</f>
        <v>983</v>
      </c>
      <c r="G756" t="s">
        <v>147</v>
      </c>
      <c r="H756" t="s">
        <v>146</v>
      </c>
      <c r="I756">
        <f>MATCH(G756,mapPRC!$A$2:$A$1071,0)</f>
        <v>974</v>
      </c>
    </row>
    <row r="757" spans="1:9" x14ac:dyDescent="0.25">
      <c r="A757" t="s">
        <v>124</v>
      </c>
      <c r="B757" t="s">
        <v>123</v>
      </c>
      <c r="C757">
        <f>MATCH(A757,mapPRC!A$2:A$1071,0)</f>
        <v>984</v>
      </c>
      <c r="G757" t="s">
        <v>142</v>
      </c>
      <c r="H757" t="s">
        <v>141</v>
      </c>
      <c r="I757">
        <f>MATCH(G757,mapPRC!$A$2:$A$1071,0)</f>
        <v>975</v>
      </c>
    </row>
    <row r="758" spans="1:9" x14ac:dyDescent="0.25">
      <c r="A758" t="s">
        <v>122</v>
      </c>
      <c r="B758" t="s">
        <v>121</v>
      </c>
      <c r="C758">
        <f>MATCH(A758,mapPRC!A$2:A$1071,0)</f>
        <v>985</v>
      </c>
      <c r="G758" t="s">
        <v>139</v>
      </c>
      <c r="H758" t="s">
        <v>138</v>
      </c>
      <c r="I758">
        <f>MATCH(G758,mapPRC!$A$2:$A$1071,0)</f>
        <v>976</v>
      </c>
    </row>
    <row r="759" spans="1:9" x14ac:dyDescent="0.25">
      <c r="A759" t="s">
        <v>120</v>
      </c>
      <c r="B759" t="s">
        <v>119</v>
      </c>
      <c r="C759">
        <f>MATCH(A759,mapPRC!A$2:A$1071,0)</f>
        <v>986</v>
      </c>
      <c r="G759" t="s">
        <v>136</v>
      </c>
      <c r="H759" t="s">
        <v>135</v>
      </c>
      <c r="I759">
        <f>MATCH(G759,mapPRC!$A$2:$A$1071,0)</f>
        <v>977</v>
      </c>
    </row>
    <row r="760" spans="1:9" x14ac:dyDescent="0.25">
      <c r="A760" t="s">
        <v>118</v>
      </c>
      <c r="B760" t="s">
        <v>117</v>
      </c>
      <c r="C760">
        <f>MATCH(A760,mapPRC!A$2:A$1071,0)</f>
        <v>987</v>
      </c>
      <c r="G760" t="s">
        <v>134</v>
      </c>
      <c r="H760" t="s">
        <v>133</v>
      </c>
      <c r="I760">
        <f>MATCH(G760,mapPRC!$A$2:$A$1071,0)</f>
        <v>978</v>
      </c>
    </row>
    <row r="761" spans="1:9" x14ac:dyDescent="0.25">
      <c r="A761" t="s">
        <v>116</v>
      </c>
      <c r="B761" t="s">
        <v>115</v>
      </c>
      <c r="C761">
        <f>MATCH(A761,mapPRC!A$2:A$1071,0)</f>
        <v>988</v>
      </c>
      <c r="G761" t="s">
        <v>3489</v>
      </c>
      <c r="H761" t="s">
        <v>3490</v>
      </c>
      <c r="I761">
        <f>MATCH(G761,mapPRC!$A$2:$A$1071,0)</f>
        <v>979</v>
      </c>
    </row>
    <row r="762" spans="1:9" x14ac:dyDescent="0.25">
      <c r="A762" t="s">
        <v>114</v>
      </c>
      <c r="B762" t="s">
        <v>113</v>
      </c>
      <c r="C762">
        <f>MATCH(A762,mapPRC!A$2:A$1071,0)</f>
        <v>989</v>
      </c>
      <c r="G762" t="s">
        <v>132</v>
      </c>
      <c r="H762" t="s">
        <v>131</v>
      </c>
      <c r="I762">
        <f>MATCH(G762,mapPRC!$A$2:$A$1071,0)</f>
        <v>980</v>
      </c>
    </row>
    <row r="763" spans="1:9" x14ac:dyDescent="0.25">
      <c r="A763" t="s">
        <v>112</v>
      </c>
      <c r="B763" t="s">
        <v>111</v>
      </c>
      <c r="C763">
        <f>MATCH(A763,mapPRC!A$2:A$1071,0)</f>
        <v>990</v>
      </c>
      <c r="G763" t="s">
        <v>130</v>
      </c>
      <c r="H763" t="s">
        <v>129</v>
      </c>
      <c r="I763">
        <f>MATCH(G763,mapPRC!$A$2:$A$1071,0)</f>
        <v>981</v>
      </c>
    </row>
    <row r="764" spans="1:9" x14ac:dyDescent="0.25">
      <c r="A764" t="s">
        <v>110</v>
      </c>
      <c r="B764" t="s">
        <v>109</v>
      </c>
      <c r="C764">
        <f>MATCH(A764,mapPRC!A$2:A$1071,0)</f>
        <v>991</v>
      </c>
      <c r="G764" t="s">
        <v>128</v>
      </c>
      <c r="H764" t="s">
        <v>127</v>
      </c>
      <c r="I764">
        <f>MATCH(G764,mapPRC!$A$2:$A$1071,0)</f>
        <v>982</v>
      </c>
    </row>
    <row r="765" spans="1:9" x14ac:dyDescent="0.25">
      <c r="A765" t="s">
        <v>108</v>
      </c>
      <c r="B765" t="s">
        <v>107</v>
      </c>
      <c r="C765">
        <f>MATCH(A765,mapPRC!A$2:A$1071,0)</f>
        <v>992</v>
      </c>
      <c r="G765" t="s">
        <v>126</v>
      </c>
      <c r="H765" t="s">
        <v>125</v>
      </c>
      <c r="I765">
        <f>MATCH(G765,mapPRC!$A$2:$A$1071,0)</f>
        <v>983</v>
      </c>
    </row>
    <row r="766" spans="1:9" x14ac:dyDescent="0.25">
      <c r="A766" t="s">
        <v>106</v>
      </c>
      <c r="B766" t="s">
        <v>105</v>
      </c>
      <c r="C766">
        <f>MATCH(A766,mapPRC!A$2:A$1071,0)</f>
        <v>993</v>
      </c>
      <c r="G766" t="s">
        <v>124</v>
      </c>
      <c r="H766" t="s">
        <v>123</v>
      </c>
      <c r="I766">
        <f>MATCH(G766,mapPRC!$A$2:$A$1071,0)</f>
        <v>984</v>
      </c>
    </row>
    <row r="767" spans="1:9" x14ac:dyDescent="0.25">
      <c r="A767" t="s">
        <v>104</v>
      </c>
      <c r="B767" t="s">
        <v>103</v>
      </c>
      <c r="C767">
        <f>MATCH(A767,mapPRC!A$2:A$1071,0)</f>
        <v>994</v>
      </c>
      <c r="G767" t="s">
        <v>122</v>
      </c>
      <c r="H767" t="s">
        <v>121</v>
      </c>
      <c r="I767">
        <f>MATCH(G767,mapPRC!$A$2:$A$1071,0)</f>
        <v>985</v>
      </c>
    </row>
    <row r="768" spans="1:9" x14ac:dyDescent="0.25">
      <c r="A768" t="s">
        <v>102</v>
      </c>
      <c r="B768" t="s">
        <v>101</v>
      </c>
      <c r="C768">
        <f>MATCH(A768,mapPRC!A$2:A$1071,0)</f>
        <v>995</v>
      </c>
      <c r="G768" t="s">
        <v>120</v>
      </c>
      <c r="H768" t="s">
        <v>119</v>
      </c>
      <c r="I768">
        <f>MATCH(G768,mapPRC!$A$2:$A$1071,0)</f>
        <v>986</v>
      </c>
    </row>
    <row r="769" spans="1:9" x14ac:dyDescent="0.25">
      <c r="A769" t="s">
        <v>98</v>
      </c>
      <c r="B769" t="s">
        <v>97</v>
      </c>
      <c r="C769">
        <f>MATCH(A769,mapPRC!A$2:A$1071,0)</f>
        <v>997</v>
      </c>
      <c r="G769" t="s">
        <v>118</v>
      </c>
      <c r="H769" t="s">
        <v>117</v>
      </c>
      <c r="I769">
        <f>MATCH(G769,mapPRC!$A$2:$A$1071,0)</f>
        <v>987</v>
      </c>
    </row>
    <row r="770" spans="1:9" x14ac:dyDescent="0.25">
      <c r="A770" t="s">
        <v>96</v>
      </c>
      <c r="B770" t="s">
        <v>95</v>
      </c>
      <c r="C770">
        <f>MATCH(A770,mapPRC!A$2:A$1071,0)</f>
        <v>998</v>
      </c>
      <c r="G770" t="s">
        <v>116</v>
      </c>
      <c r="H770" t="s">
        <v>115</v>
      </c>
      <c r="I770">
        <f>MATCH(G770,mapPRC!$A$2:$A$1071,0)</f>
        <v>988</v>
      </c>
    </row>
    <row r="771" spans="1:9" x14ac:dyDescent="0.25">
      <c r="A771" t="s">
        <v>3109</v>
      </c>
      <c r="B771" t="s">
        <v>3110</v>
      </c>
      <c r="C771">
        <f>MATCH(A771,mapPRC!A$2:A$1071,0)</f>
        <v>999</v>
      </c>
      <c r="G771" t="s">
        <v>114</v>
      </c>
      <c r="H771" t="s">
        <v>113</v>
      </c>
      <c r="I771">
        <f>MATCH(G771,mapPRC!$A$2:$A$1071,0)</f>
        <v>989</v>
      </c>
    </row>
    <row r="772" spans="1:9" x14ac:dyDescent="0.25">
      <c r="A772" t="s">
        <v>94</v>
      </c>
      <c r="B772" t="s">
        <v>93</v>
      </c>
      <c r="C772">
        <f>MATCH(A772,mapPRC!A$2:A$1071,0)</f>
        <v>1000</v>
      </c>
      <c r="G772" t="s">
        <v>112</v>
      </c>
      <c r="H772" t="s">
        <v>111</v>
      </c>
      <c r="I772">
        <f>MATCH(G772,mapPRC!$A$2:$A$1071,0)</f>
        <v>990</v>
      </c>
    </row>
    <row r="773" spans="1:9" x14ac:dyDescent="0.25">
      <c r="A773" t="s">
        <v>92</v>
      </c>
      <c r="B773" t="s">
        <v>77</v>
      </c>
      <c r="C773">
        <f>MATCH(A773,mapPRC!A$2:A$1071,0)</f>
        <v>1001</v>
      </c>
      <c r="G773" t="s">
        <v>110</v>
      </c>
      <c r="H773" t="s">
        <v>109</v>
      </c>
      <c r="I773">
        <f>MATCH(G773,mapPRC!$A$2:$A$1071,0)</f>
        <v>991</v>
      </c>
    </row>
    <row r="774" spans="1:9" x14ac:dyDescent="0.25">
      <c r="A774" t="s">
        <v>91</v>
      </c>
      <c r="B774" t="s">
        <v>90</v>
      </c>
      <c r="C774">
        <f>MATCH(A774,mapPRC!A$2:A$1071,0)</f>
        <v>1002</v>
      </c>
      <c r="G774" t="s">
        <v>108</v>
      </c>
      <c r="H774" t="s">
        <v>107</v>
      </c>
      <c r="I774">
        <f>MATCH(G774,mapPRC!$A$2:$A$1071,0)</f>
        <v>992</v>
      </c>
    </row>
    <row r="775" spans="1:9" x14ac:dyDescent="0.25">
      <c r="A775" t="s">
        <v>89</v>
      </c>
      <c r="B775" t="s">
        <v>88</v>
      </c>
      <c r="C775">
        <f>MATCH(A775,mapPRC!A$2:A$1071,0)</f>
        <v>1003</v>
      </c>
      <c r="G775" t="s">
        <v>106</v>
      </c>
      <c r="H775" t="s">
        <v>105</v>
      </c>
      <c r="I775">
        <f>MATCH(G775,mapPRC!$A$2:$A$1071,0)</f>
        <v>993</v>
      </c>
    </row>
    <row r="776" spans="1:9" x14ac:dyDescent="0.25">
      <c r="A776" t="s">
        <v>85</v>
      </c>
      <c r="B776" t="s">
        <v>84</v>
      </c>
      <c r="C776">
        <f>MATCH(A776,mapPRC!A$2:A$1071,0)</f>
        <v>1005</v>
      </c>
      <c r="G776" t="s">
        <v>104</v>
      </c>
      <c r="H776" t="s">
        <v>103</v>
      </c>
      <c r="I776">
        <f>MATCH(G776,mapPRC!$A$2:$A$1071,0)</f>
        <v>994</v>
      </c>
    </row>
    <row r="777" spans="1:9" x14ac:dyDescent="0.25">
      <c r="A777" t="s">
        <v>83</v>
      </c>
      <c r="B777" t="s">
        <v>82</v>
      </c>
      <c r="C777">
        <f>MATCH(A777,mapPRC!A$2:A$1071,0)</f>
        <v>1006</v>
      </c>
      <c r="G777" t="s">
        <v>102</v>
      </c>
      <c r="H777" t="s">
        <v>101</v>
      </c>
      <c r="I777">
        <f>MATCH(G777,mapPRC!$A$2:$A$1071,0)</f>
        <v>995</v>
      </c>
    </row>
    <row r="778" spans="1:9" x14ac:dyDescent="0.25">
      <c r="A778" t="s">
        <v>81</v>
      </c>
      <c r="B778" t="s">
        <v>80</v>
      </c>
      <c r="C778">
        <f>MATCH(A778,mapPRC!A$2:A$1071,0)</f>
        <v>1007</v>
      </c>
      <c r="G778" t="s">
        <v>98</v>
      </c>
      <c r="H778" t="s">
        <v>97</v>
      </c>
      <c r="I778">
        <f>MATCH(G778,mapPRC!$A$2:$A$1071,0)</f>
        <v>997</v>
      </c>
    </row>
    <row r="779" spans="1:9" x14ac:dyDescent="0.25">
      <c r="A779" t="s">
        <v>79</v>
      </c>
      <c r="B779" t="s">
        <v>69</v>
      </c>
      <c r="C779">
        <f>MATCH(A779,mapPRC!A$2:A$1071,0)</f>
        <v>1008</v>
      </c>
      <c r="G779" t="s">
        <v>96</v>
      </c>
      <c r="H779" t="s">
        <v>95</v>
      </c>
      <c r="I779">
        <f>MATCH(G779,mapPRC!$A$2:$A$1071,0)</f>
        <v>998</v>
      </c>
    </row>
    <row r="780" spans="1:9" x14ac:dyDescent="0.25">
      <c r="A780" t="s">
        <v>74</v>
      </c>
      <c r="B780" t="s">
        <v>88</v>
      </c>
      <c r="C780">
        <f>MATCH(A780,mapPRC!A$2:A$1071,0)</f>
        <v>1011</v>
      </c>
      <c r="G780" t="s">
        <v>3109</v>
      </c>
      <c r="H780" t="s">
        <v>3110</v>
      </c>
      <c r="I780">
        <f>MATCH(G780,mapPRC!$A$2:$A$1071,0)</f>
        <v>999</v>
      </c>
    </row>
    <row r="781" spans="1:9" x14ac:dyDescent="0.25">
      <c r="A781" t="s">
        <v>68</v>
      </c>
      <c r="B781" t="s">
        <v>55</v>
      </c>
      <c r="C781">
        <f>MATCH(A781,mapPRC!A$2:A$1071,0)</f>
        <v>1014</v>
      </c>
      <c r="G781" t="s">
        <v>94</v>
      </c>
      <c r="H781" t="s">
        <v>93</v>
      </c>
      <c r="I781">
        <f>MATCH(G781,mapPRC!$A$2:$A$1071,0)</f>
        <v>1000</v>
      </c>
    </row>
    <row r="782" spans="1:9" x14ac:dyDescent="0.25">
      <c r="A782" t="s">
        <v>67</v>
      </c>
      <c r="B782" t="s">
        <v>66</v>
      </c>
      <c r="C782">
        <f>MATCH(A782,mapPRC!A$2:A$1071,0)</f>
        <v>1015</v>
      </c>
      <c r="G782" t="s">
        <v>92</v>
      </c>
      <c r="H782" t="s">
        <v>77</v>
      </c>
      <c r="I782">
        <f>MATCH(G782,mapPRC!$A$2:$A$1071,0)</f>
        <v>1001</v>
      </c>
    </row>
    <row r="783" spans="1:9" x14ac:dyDescent="0.25">
      <c r="A783" t="s">
        <v>65</v>
      </c>
      <c r="B783" t="s">
        <v>51</v>
      </c>
      <c r="C783">
        <f>MATCH(A783,mapPRC!A$2:A$1071,0)</f>
        <v>1016</v>
      </c>
      <c r="G783" t="s">
        <v>91</v>
      </c>
      <c r="H783" t="s">
        <v>90</v>
      </c>
      <c r="I783">
        <f>MATCH(G783,mapPRC!$A$2:$A$1071,0)</f>
        <v>1002</v>
      </c>
    </row>
    <row r="784" spans="1:9" x14ac:dyDescent="0.25">
      <c r="A784" t="s">
        <v>63</v>
      </c>
      <c r="B784" t="s">
        <v>62</v>
      </c>
      <c r="C784">
        <f>MATCH(A784,mapPRC!A$2:A$1071,0)</f>
        <v>1018</v>
      </c>
      <c r="G784" t="s">
        <v>89</v>
      </c>
      <c r="H784" t="s">
        <v>88</v>
      </c>
      <c r="I784">
        <f>MATCH(G784,mapPRC!$A$2:$A$1071,0)</f>
        <v>1003</v>
      </c>
    </row>
    <row r="785" spans="1:9" x14ac:dyDescent="0.25">
      <c r="A785" t="s">
        <v>61</v>
      </c>
      <c r="B785" t="s">
        <v>60</v>
      </c>
      <c r="C785">
        <f>MATCH(A785,mapPRC!A$2:A$1071,0)</f>
        <v>1019</v>
      </c>
      <c r="G785" t="s">
        <v>85</v>
      </c>
      <c r="H785" t="s">
        <v>84</v>
      </c>
      <c r="I785">
        <f>MATCH(G785,mapPRC!$A$2:$A$1071,0)</f>
        <v>1005</v>
      </c>
    </row>
    <row r="786" spans="1:9" x14ac:dyDescent="0.25">
      <c r="A786" t="s">
        <v>59</v>
      </c>
      <c r="B786" t="s">
        <v>58</v>
      </c>
      <c r="C786">
        <f>MATCH(A786,mapPRC!A$2:A$1071,0)</f>
        <v>1020</v>
      </c>
      <c r="G786" t="s">
        <v>83</v>
      </c>
      <c r="H786" t="s">
        <v>82</v>
      </c>
      <c r="I786">
        <f>MATCH(G786,mapPRC!$A$2:$A$1071,0)</f>
        <v>1006</v>
      </c>
    </row>
    <row r="787" spans="1:9" x14ac:dyDescent="0.25">
      <c r="A787" t="s">
        <v>57</v>
      </c>
      <c r="B787" t="s">
        <v>47</v>
      </c>
      <c r="C787">
        <f>MATCH(A787,mapPRC!A$2:A$1071,0)</f>
        <v>1021</v>
      </c>
      <c r="G787" t="s">
        <v>81</v>
      </c>
      <c r="H787" t="s">
        <v>80</v>
      </c>
      <c r="I787">
        <f>MATCH(G787,mapPRC!$A$2:$A$1071,0)</f>
        <v>1007</v>
      </c>
    </row>
    <row r="788" spans="1:9" x14ac:dyDescent="0.25">
      <c r="A788" t="s">
        <v>52</v>
      </c>
      <c r="B788" t="s">
        <v>51</v>
      </c>
      <c r="C788">
        <f>MATCH(A788,mapPRC!A$2:A$1071,0)</f>
        <v>1024</v>
      </c>
      <c r="G788" t="s">
        <v>79</v>
      </c>
      <c r="H788" t="s">
        <v>69</v>
      </c>
      <c r="I788">
        <f>MATCH(G788,mapPRC!$A$2:$A$1071,0)</f>
        <v>1008</v>
      </c>
    </row>
    <row r="789" spans="1:9" x14ac:dyDescent="0.25">
      <c r="C789" t="e">
        <f>MATCH(A789,mapPRC!A$2:A$1071,0)</f>
        <v>#N/A</v>
      </c>
      <c r="G789" t="s">
        <v>74</v>
      </c>
      <c r="H789" t="s">
        <v>88</v>
      </c>
      <c r="I789">
        <f>MATCH(G789,mapPRC!$A$2:$A$1071,0)</f>
        <v>1011</v>
      </c>
    </row>
    <row r="790" spans="1:9" x14ac:dyDescent="0.25">
      <c r="C790" t="e">
        <f>MATCH(A790,mapPRC!A$2:A$1071,0)</f>
        <v>#N/A</v>
      </c>
      <c r="G790" t="s">
        <v>68</v>
      </c>
      <c r="H790" t="s">
        <v>55</v>
      </c>
      <c r="I790">
        <f>MATCH(G790,mapPRC!$A$2:$A$1071,0)</f>
        <v>1014</v>
      </c>
    </row>
    <row r="791" spans="1:9" x14ac:dyDescent="0.25">
      <c r="C791" t="e">
        <f>MATCH(A791,mapPRC!A$2:A$1071,0)</f>
        <v>#N/A</v>
      </c>
      <c r="G791" t="s">
        <v>67</v>
      </c>
      <c r="H791" t="s">
        <v>66</v>
      </c>
      <c r="I791">
        <f>MATCH(G791,mapPRC!$A$2:$A$1071,0)</f>
        <v>1015</v>
      </c>
    </row>
    <row r="792" spans="1:9" x14ac:dyDescent="0.25">
      <c r="C792" t="e">
        <f>MATCH(A792,mapPRC!A$2:A$1071,0)</f>
        <v>#N/A</v>
      </c>
      <c r="G792" t="s">
        <v>65</v>
      </c>
      <c r="H792" t="s">
        <v>51</v>
      </c>
      <c r="I792">
        <f>MATCH(G792,mapPRC!$A$2:$A$1071,0)</f>
        <v>1016</v>
      </c>
    </row>
    <row r="793" spans="1:9" x14ac:dyDescent="0.25">
      <c r="C793" t="e">
        <f>MATCH(A793,mapPRC!A$2:A$1071,0)</f>
        <v>#N/A</v>
      </c>
      <c r="G793" t="s">
        <v>63</v>
      </c>
      <c r="H793" t="s">
        <v>62</v>
      </c>
      <c r="I793">
        <f>MATCH(G793,mapPRC!$A$2:$A$1071,0)</f>
        <v>1018</v>
      </c>
    </row>
    <row r="794" spans="1:9" x14ac:dyDescent="0.25">
      <c r="C794" t="e">
        <f>MATCH(A794,mapPRC!A$2:A$1071,0)</f>
        <v>#N/A</v>
      </c>
      <c r="G794" t="s">
        <v>61</v>
      </c>
      <c r="H794" t="s">
        <v>60</v>
      </c>
      <c r="I794">
        <f>MATCH(G794,mapPRC!$A$2:$A$1071,0)</f>
        <v>1019</v>
      </c>
    </row>
    <row r="795" spans="1:9" x14ac:dyDescent="0.25">
      <c r="C795" t="e">
        <f>MATCH(A795,mapPRC!A$2:A$1071,0)</f>
        <v>#N/A</v>
      </c>
      <c r="G795" t="s">
        <v>59</v>
      </c>
      <c r="H795" t="s">
        <v>58</v>
      </c>
      <c r="I795">
        <f>MATCH(G795,mapPRC!$A$2:$A$1071,0)</f>
        <v>1020</v>
      </c>
    </row>
    <row r="796" spans="1:9" x14ac:dyDescent="0.25">
      <c r="C796" t="e">
        <f>MATCH(A796,mapPRC!A$2:A$1071,0)</f>
        <v>#N/A</v>
      </c>
      <c r="G796" t="s">
        <v>57</v>
      </c>
      <c r="H796" t="s">
        <v>47</v>
      </c>
      <c r="I796">
        <f>MATCH(G796,mapPRC!$A$2:$A$1071,0)</f>
        <v>1021</v>
      </c>
    </row>
    <row r="797" spans="1:9" x14ac:dyDescent="0.25">
      <c r="C797" t="e">
        <f>MATCH(A797,mapPRC!A$2:A$1071,0)</f>
        <v>#N/A</v>
      </c>
      <c r="G797" t="s">
        <v>52</v>
      </c>
      <c r="H797" t="s">
        <v>51</v>
      </c>
      <c r="I797">
        <f>MATCH(G797,mapPRC!$A$2:$A$1071,0)</f>
        <v>1024</v>
      </c>
    </row>
    <row r="798" spans="1:9" x14ac:dyDescent="0.25">
      <c r="C798" t="e">
        <f>MATCH(A798,mapPRC!A$2:A$1071,0)</f>
        <v>#N/A</v>
      </c>
    </row>
    <row r="799" spans="1:9" x14ac:dyDescent="0.25">
      <c r="C799" t="e">
        <f>MATCH(A799,mapPRC!A$2:A$1071,0)</f>
        <v>#N/A</v>
      </c>
    </row>
    <row r="800" spans="1:9" x14ac:dyDescent="0.25">
      <c r="C800" t="e">
        <f>MATCH(A800,mapPRC!A$2:A$1071,0)</f>
        <v>#N/A</v>
      </c>
    </row>
    <row r="801" spans="3:3" x14ac:dyDescent="0.25">
      <c r="C801" t="e">
        <f>MATCH(A801,mapPRC!A$2:A$1071,0)</f>
        <v>#N/A</v>
      </c>
    </row>
    <row r="802" spans="3:3" x14ac:dyDescent="0.25">
      <c r="C802" t="e">
        <f>MATCH(A802,mapPRC!A$2:A$1071,0)</f>
        <v>#N/A</v>
      </c>
    </row>
    <row r="803" spans="3:3" x14ac:dyDescent="0.25">
      <c r="C803" t="e">
        <f>MATCH(A803,mapPRC!A$2:A$1071,0)</f>
        <v>#N/A</v>
      </c>
    </row>
    <row r="804" spans="3:3" x14ac:dyDescent="0.25">
      <c r="C804" t="e">
        <f>MATCH(A804,mapPRC!A$2:A$1071,0)</f>
        <v>#N/A</v>
      </c>
    </row>
    <row r="805" spans="3:3" x14ac:dyDescent="0.25">
      <c r="C805" t="e">
        <f>MATCH(A805,mapPRC!A$2:A$1071,0)</f>
        <v>#N/A</v>
      </c>
    </row>
    <row r="806" spans="3:3" x14ac:dyDescent="0.25">
      <c r="C806" t="e">
        <f>MATCH(A806,mapPRC!A$2:A$1071,0)</f>
        <v>#N/A</v>
      </c>
    </row>
    <row r="807" spans="3:3" x14ac:dyDescent="0.25">
      <c r="C807" t="e">
        <f>MATCH(A807,mapPRC!A$2:A$1071,0)</f>
        <v>#N/A</v>
      </c>
    </row>
    <row r="808" spans="3:3" x14ac:dyDescent="0.25">
      <c r="C808" t="e">
        <f>MATCH(A808,mapPRC!A$2:A$1071,0)</f>
        <v>#N/A</v>
      </c>
    </row>
    <row r="809" spans="3:3" x14ac:dyDescent="0.25">
      <c r="C809" t="e">
        <f>MATCH(A809,mapPRC!A$2:A$1071,0)</f>
        <v>#N/A</v>
      </c>
    </row>
    <row r="810" spans="3:3" x14ac:dyDescent="0.25">
      <c r="C810" t="e">
        <f>MATCH(A810,mapPRC!A$2:A$1071,0)</f>
        <v>#N/A</v>
      </c>
    </row>
    <row r="811" spans="3:3" x14ac:dyDescent="0.25">
      <c r="C811" t="e">
        <f>MATCH(A811,mapPRC!A$2:A$1071,0)</f>
        <v>#N/A</v>
      </c>
    </row>
    <row r="812" spans="3:3" x14ac:dyDescent="0.25">
      <c r="C812" t="e">
        <f>MATCH(A812,mapPRC!A$2:A$1071,0)</f>
        <v>#N/A</v>
      </c>
    </row>
    <row r="813" spans="3:3" x14ac:dyDescent="0.25">
      <c r="C813" t="e">
        <f>MATCH(A813,mapPRC!A$2:A$1071,0)</f>
        <v>#N/A</v>
      </c>
    </row>
    <row r="814" spans="3:3" x14ac:dyDescent="0.25">
      <c r="C814" t="e">
        <f>MATCH(A814,mapPRC!A$2:A$1071,0)</f>
        <v>#N/A</v>
      </c>
    </row>
    <row r="815" spans="3:3" x14ac:dyDescent="0.25">
      <c r="C815" t="e">
        <f>MATCH(A815,mapPRC!A$2:A$1071,0)</f>
        <v>#N/A</v>
      </c>
    </row>
    <row r="816" spans="3:3" x14ac:dyDescent="0.25">
      <c r="C816" t="e">
        <f>MATCH(A816,mapPRC!A$2:A$1071,0)</f>
        <v>#N/A</v>
      </c>
    </row>
    <row r="817" spans="3:3" x14ac:dyDescent="0.25">
      <c r="C817" t="e">
        <f>MATCH(A817,mapPRC!A$2:A$1071,0)</f>
        <v>#N/A</v>
      </c>
    </row>
    <row r="818" spans="3:3" x14ac:dyDescent="0.25">
      <c r="C818" t="e">
        <f>MATCH(A818,mapPRC!A$2:A$1071,0)</f>
        <v>#N/A</v>
      </c>
    </row>
    <row r="819" spans="3:3" x14ac:dyDescent="0.25">
      <c r="C819" t="e">
        <f>MATCH(A819,mapPRC!A$2:A$1071,0)</f>
        <v>#N/A</v>
      </c>
    </row>
    <row r="820" spans="3:3" x14ac:dyDescent="0.25">
      <c r="C820" t="e">
        <f>MATCH(A820,mapPRC!A$2:A$1071,0)</f>
        <v>#N/A</v>
      </c>
    </row>
    <row r="821" spans="3:3" x14ac:dyDescent="0.25">
      <c r="C821" t="e">
        <f>MATCH(A821,mapPRC!A$2:A$1071,0)</f>
        <v>#N/A</v>
      </c>
    </row>
    <row r="822" spans="3:3" x14ac:dyDescent="0.25">
      <c r="C822" t="e">
        <f>MATCH(A822,mapPRC!A$2:A$1071,0)</f>
        <v>#N/A</v>
      </c>
    </row>
    <row r="823" spans="3:3" x14ac:dyDescent="0.25">
      <c r="C823" t="e">
        <f>MATCH(A823,mapPRC!A$2:A$1071,0)</f>
        <v>#N/A</v>
      </c>
    </row>
    <row r="824" spans="3:3" x14ac:dyDescent="0.25">
      <c r="C824" t="e">
        <f>MATCH(A824,mapPRC!A$2:A$1071,0)</f>
        <v>#N/A</v>
      </c>
    </row>
    <row r="825" spans="3:3" x14ac:dyDescent="0.25">
      <c r="C825" t="e">
        <f>MATCH(A825,mapPRC!A$2:A$1071,0)</f>
        <v>#N/A</v>
      </c>
    </row>
    <row r="826" spans="3:3" x14ac:dyDescent="0.25">
      <c r="C826" t="e">
        <f>MATCH(A826,mapPRC!A$2:A$1071,0)</f>
        <v>#N/A</v>
      </c>
    </row>
    <row r="827" spans="3:3" x14ac:dyDescent="0.25">
      <c r="C827" t="e">
        <f>MATCH(A827,mapPRC!A$2:A$1071,0)</f>
        <v>#N/A</v>
      </c>
    </row>
    <row r="828" spans="3:3" x14ac:dyDescent="0.25">
      <c r="C828" t="e">
        <f>MATCH(A828,mapPRC!A$2:A$1071,0)</f>
        <v>#N/A</v>
      </c>
    </row>
    <row r="829" spans="3:3" x14ac:dyDescent="0.25">
      <c r="C829" t="e">
        <f>MATCH(A829,mapPRC!A$2:A$1071,0)</f>
        <v>#N/A</v>
      </c>
    </row>
    <row r="830" spans="3:3" x14ac:dyDescent="0.25">
      <c r="C830" t="e">
        <f>MATCH(A830,mapPRC!A$2:A$1071,0)</f>
        <v>#N/A</v>
      </c>
    </row>
    <row r="831" spans="3:3" x14ac:dyDescent="0.25">
      <c r="C831" t="e">
        <f>MATCH(A831,mapPRC!A$2:A$1071,0)</f>
        <v>#N/A</v>
      </c>
    </row>
    <row r="832" spans="3:3" x14ac:dyDescent="0.25">
      <c r="C832" t="e">
        <f>MATCH(A832,mapPRC!A$2:A$1071,0)</f>
        <v>#N/A</v>
      </c>
    </row>
    <row r="833" spans="3:3" x14ac:dyDescent="0.25">
      <c r="C833" t="e">
        <f>MATCH(A833,mapPRC!A$2:A$1071,0)</f>
        <v>#N/A</v>
      </c>
    </row>
    <row r="834" spans="3:3" x14ac:dyDescent="0.25">
      <c r="C834" t="e">
        <f>MATCH(A834,mapPRC!A$2:A$1071,0)</f>
        <v>#N/A</v>
      </c>
    </row>
    <row r="835" spans="3:3" x14ac:dyDescent="0.25">
      <c r="C835" t="e">
        <f>MATCH(A835,mapPRC!A$2:A$1071,0)</f>
        <v>#N/A</v>
      </c>
    </row>
    <row r="836" spans="3:3" x14ac:dyDescent="0.25">
      <c r="C836" t="e">
        <f>MATCH(A836,mapPRC!A$2:A$1071,0)</f>
        <v>#N/A</v>
      </c>
    </row>
    <row r="837" spans="3:3" x14ac:dyDescent="0.25">
      <c r="C837" t="e">
        <f>MATCH(A837,mapPRC!A$2:A$1071,0)</f>
        <v>#N/A</v>
      </c>
    </row>
    <row r="838" spans="3:3" x14ac:dyDescent="0.25">
      <c r="C838" t="e">
        <f>MATCH(A838,mapPRC!A$2:A$1071,0)</f>
        <v>#N/A</v>
      </c>
    </row>
    <row r="839" spans="3:3" x14ac:dyDescent="0.25">
      <c r="C839" t="e">
        <f>MATCH(A839,mapPRC!A$2:A$1071,0)</f>
        <v>#N/A</v>
      </c>
    </row>
    <row r="840" spans="3:3" x14ac:dyDescent="0.25">
      <c r="C840" t="e">
        <f>MATCH(A840,mapPRC!A$2:A$1071,0)</f>
        <v>#N/A</v>
      </c>
    </row>
    <row r="841" spans="3:3" x14ac:dyDescent="0.25">
      <c r="C841" t="e">
        <f>MATCH(A841,mapPRC!A$2:A$1071,0)</f>
        <v>#N/A</v>
      </c>
    </row>
    <row r="842" spans="3:3" x14ac:dyDescent="0.25">
      <c r="C842" t="e">
        <f>MATCH(A842,mapPRC!A$2:A$1071,0)</f>
        <v>#N/A</v>
      </c>
    </row>
    <row r="843" spans="3:3" x14ac:dyDescent="0.25">
      <c r="C843" t="e">
        <f>MATCH(A843,mapPRC!A$2:A$1071,0)</f>
        <v>#N/A</v>
      </c>
    </row>
    <row r="844" spans="3:3" x14ac:dyDescent="0.25">
      <c r="C844" t="e">
        <f>MATCH(A844,mapPRC!A$2:A$1071,0)</f>
        <v>#N/A</v>
      </c>
    </row>
    <row r="845" spans="3:3" x14ac:dyDescent="0.25">
      <c r="C845" t="e">
        <f>MATCH(A845,mapPRC!A$2:A$1071,0)</f>
        <v>#N/A</v>
      </c>
    </row>
    <row r="846" spans="3:3" x14ac:dyDescent="0.25">
      <c r="C846" t="e">
        <f>MATCH(A846,mapPRC!A$2:A$1071,0)</f>
        <v>#N/A</v>
      </c>
    </row>
    <row r="847" spans="3:3" x14ac:dyDescent="0.25">
      <c r="C847" t="e">
        <f>MATCH(A847,mapPRC!A$2:A$1071,0)</f>
        <v>#N/A</v>
      </c>
    </row>
    <row r="848" spans="3:3" x14ac:dyDescent="0.25">
      <c r="C848" t="e">
        <f>MATCH(A848,mapPRC!A$2:A$1071,0)</f>
        <v>#N/A</v>
      </c>
    </row>
    <row r="849" spans="3:3" x14ac:dyDescent="0.25">
      <c r="C849" t="e">
        <f>MATCH(A849,mapPRC!A$2:A$1071,0)</f>
        <v>#N/A</v>
      </c>
    </row>
    <row r="850" spans="3:3" x14ac:dyDescent="0.25">
      <c r="C850" t="e">
        <f>MATCH(A850,mapPRC!A$2:A$1071,0)</f>
        <v>#N/A</v>
      </c>
    </row>
    <row r="851" spans="3:3" x14ac:dyDescent="0.25">
      <c r="C851" t="e">
        <f>MATCH(A851,mapPRC!A$2:A$1071,0)</f>
        <v>#N/A</v>
      </c>
    </row>
    <row r="852" spans="3:3" x14ac:dyDescent="0.25">
      <c r="C852" t="e">
        <f>MATCH(A852,mapPRC!A$2:A$1071,0)</f>
        <v>#N/A</v>
      </c>
    </row>
    <row r="853" spans="3:3" x14ac:dyDescent="0.25">
      <c r="C853" t="e">
        <f>MATCH(A853,mapPRC!A$2:A$1071,0)</f>
        <v>#N/A</v>
      </c>
    </row>
    <row r="854" spans="3:3" x14ac:dyDescent="0.25">
      <c r="C854" t="e">
        <f>MATCH(A854,mapPRC!A$2:A$1071,0)</f>
        <v>#N/A</v>
      </c>
    </row>
    <row r="855" spans="3:3" x14ac:dyDescent="0.25">
      <c r="C855" t="e">
        <f>MATCH(A855,mapPRC!A$2:A$1071,0)</f>
        <v>#N/A</v>
      </c>
    </row>
    <row r="856" spans="3:3" x14ac:dyDescent="0.25">
      <c r="C856" t="e">
        <f>MATCH(A856,mapPRC!A$2:A$1071,0)</f>
        <v>#N/A</v>
      </c>
    </row>
    <row r="857" spans="3:3" x14ac:dyDescent="0.25">
      <c r="C857" t="e">
        <f>MATCH(A857,mapPRC!A$2:A$1071,0)</f>
        <v>#N/A</v>
      </c>
    </row>
    <row r="858" spans="3:3" x14ac:dyDescent="0.25">
      <c r="C858" t="e">
        <f>MATCH(A858,mapPRC!A$2:A$1071,0)</f>
        <v>#N/A</v>
      </c>
    </row>
    <row r="859" spans="3:3" x14ac:dyDescent="0.25">
      <c r="C859" t="e">
        <f>MATCH(A859,mapPRC!A$2:A$1071,0)</f>
        <v>#N/A</v>
      </c>
    </row>
    <row r="860" spans="3:3" x14ac:dyDescent="0.25">
      <c r="C860" t="e">
        <f>MATCH(A860,mapPRC!A$2:A$1071,0)</f>
        <v>#N/A</v>
      </c>
    </row>
    <row r="861" spans="3:3" x14ac:dyDescent="0.25">
      <c r="C861" t="e">
        <f>MATCH(A861,mapPRC!A$2:A$1071,0)</f>
        <v>#N/A</v>
      </c>
    </row>
    <row r="862" spans="3:3" x14ac:dyDescent="0.25">
      <c r="C862" t="e">
        <f>MATCH(A862,mapPRC!A$2:A$1071,0)</f>
        <v>#N/A</v>
      </c>
    </row>
    <row r="863" spans="3:3" x14ac:dyDescent="0.25">
      <c r="C863" t="e">
        <f>MATCH(A863,mapPRC!A$2:A$1071,0)</f>
        <v>#N/A</v>
      </c>
    </row>
    <row r="864" spans="3:3" x14ac:dyDescent="0.25">
      <c r="C864" t="e">
        <f>MATCH(A864,mapPRC!A$2:A$1071,0)</f>
        <v>#N/A</v>
      </c>
    </row>
    <row r="865" spans="3:3" x14ac:dyDescent="0.25">
      <c r="C865" t="e">
        <f>MATCH(A865,mapPRC!A$2:A$1071,0)</f>
        <v>#N/A</v>
      </c>
    </row>
    <row r="866" spans="3:3" x14ac:dyDescent="0.25">
      <c r="C866" t="e">
        <f>MATCH(A866,mapPRC!A$2:A$1071,0)</f>
        <v>#N/A</v>
      </c>
    </row>
    <row r="867" spans="3:3" x14ac:dyDescent="0.25">
      <c r="C867" t="e">
        <f>MATCH(A867,mapPRC!A$2:A$1071,0)</f>
        <v>#N/A</v>
      </c>
    </row>
    <row r="868" spans="3:3" x14ac:dyDescent="0.25">
      <c r="C868" t="e">
        <f>MATCH(A868,mapPRC!A$2:A$1071,0)</f>
        <v>#N/A</v>
      </c>
    </row>
    <row r="869" spans="3:3" x14ac:dyDescent="0.25">
      <c r="C869" t="e">
        <f>MATCH(A869,mapPRC!A$2:A$1071,0)</f>
        <v>#N/A</v>
      </c>
    </row>
    <row r="870" spans="3:3" x14ac:dyDescent="0.25">
      <c r="C870" t="e">
        <f>MATCH(A870,mapPRC!A$2:A$1071,0)</f>
        <v>#N/A</v>
      </c>
    </row>
    <row r="871" spans="3:3" x14ac:dyDescent="0.25">
      <c r="C871" t="e">
        <f>MATCH(A871,mapPRC!A$2:A$1071,0)</f>
        <v>#N/A</v>
      </c>
    </row>
    <row r="872" spans="3:3" x14ac:dyDescent="0.25">
      <c r="C872" t="e">
        <f>MATCH(A872,mapPRC!A$2:A$1071,0)</f>
        <v>#N/A</v>
      </c>
    </row>
    <row r="873" spans="3:3" x14ac:dyDescent="0.25">
      <c r="C873" t="e">
        <f>MATCH(A873,mapPRC!A$2:A$1071,0)</f>
        <v>#N/A</v>
      </c>
    </row>
    <row r="874" spans="3:3" x14ac:dyDescent="0.25">
      <c r="C874" t="e">
        <f>MATCH(A874,mapPRC!A$2:A$1071,0)</f>
        <v>#N/A</v>
      </c>
    </row>
    <row r="875" spans="3:3" x14ac:dyDescent="0.25">
      <c r="C875" t="e">
        <f>MATCH(A875,mapPRC!A$2:A$1071,0)</f>
        <v>#N/A</v>
      </c>
    </row>
    <row r="876" spans="3:3" x14ac:dyDescent="0.25">
      <c r="C876" t="e">
        <f>MATCH(A876,mapPRC!A$2:A$1071,0)</f>
        <v>#N/A</v>
      </c>
    </row>
    <row r="877" spans="3:3" x14ac:dyDescent="0.25">
      <c r="C877" t="e">
        <f>MATCH(A877,mapPRC!A$2:A$1071,0)</f>
        <v>#N/A</v>
      </c>
    </row>
    <row r="878" spans="3:3" x14ac:dyDescent="0.25">
      <c r="C878" t="e">
        <f>MATCH(A878,mapPRC!A$2:A$1071,0)</f>
        <v>#N/A</v>
      </c>
    </row>
    <row r="879" spans="3:3" x14ac:dyDescent="0.25">
      <c r="C879" t="e">
        <f>MATCH(A879,mapPRC!A$2:A$1071,0)</f>
        <v>#N/A</v>
      </c>
    </row>
    <row r="880" spans="3:3" x14ac:dyDescent="0.25">
      <c r="C880" t="e">
        <f>MATCH(A880,mapPRC!A$2:A$1071,0)</f>
        <v>#N/A</v>
      </c>
    </row>
    <row r="881" spans="3:3" x14ac:dyDescent="0.25">
      <c r="C881" t="e">
        <f>MATCH(A881,mapPRC!A$2:A$1071,0)</f>
        <v>#N/A</v>
      </c>
    </row>
    <row r="882" spans="3:3" x14ac:dyDescent="0.25">
      <c r="C882" t="e">
        <f>MATCH(A882,mapPRC!A$2:A$1071,0)</f>
        <v>#N/A</v>
      </c>
    </row>
    <row r="883" spans="3:3" x14ac:dyDescent="0.25">
      <c r="C883" t="e">
        <f>MATCH(A883,mapPRC!A$2:A$1071,0)</f>
        <v>#N/A</v>
      </c>
    </row>
    <row r="884" spans="3:3" x14ac:dyDescent="0.25">
      <c r="C884" t="e">
        <f>MATCH(A884,mapPRC!A$2:A$1071,0)</f>
        <v>#N/A</v>
      </c>
    </row>
    <row r="885" spans="3:3" x14ac:dyDescent="0.25">
      <c r="C885" t="e">
        <f>MATCH(A885,mapPRC!A$2:A$1071,0)</f>
        <v>#N/A</v>
      </c>
    </row>
    <row r="886" spans="3:3" x14ac:dyDescent="0.25">
      <c r="C886" t="e">
        <f>MATCH(A886,mapPRC!A$2:A$1071,0)</f>
        <v>#N/A</v>
      </c>
    </row>
    <row r="887" spans="3:3" x14ac:dyDescent="0.25">
      <c r="C887" t="e">
        <f>MATCH(A887,mapPRC!A$2:A$1071,0)</f>
        <v>#N/A</v>
      </c>
    </row>
    <row r="888" spans="3:3" x14ac:dyDescent="0.25">
      <c r="C888" t="e">
        <f>MATCH(A888,mapPRC!A$2:A$1071,0)</f>
        <v>#N/A</v>
      </c>
    </row>
    <row r="889" spans="3:3" x14ac:dyDescent="0.25">
      <c r="C889" t="e">
        <f>MATCH(A889,mapPRC!A$2:A$1071,0)</f>
        <v>#N/A</v>
      </c>
    </row>
    <row r="890" spans="3:3" x14ac:dyDescent="0.25">
      <c r="C890" t="e">
        <f>MATCH(A890,mapPRC!A$2:A$1071,0)</f>
        <v>#N/A</v>
      </c>
    </row>
    <row r="891" spans="3:3" x14ac:dyDescent="0.25">
      <c r="C891" t="e">
        <f>MATCH(A891,mapPRC!A$2:A$1071,0)</f>
        <v>#N/A</v>
      </c>
    </row>
    <row r="892" spans="3:3" x14ac:dyDescent="0.25">
      <c r="C892" t="e">
        <f>MATCH(A892,mapPRC!A$2:A$1071,0)</f>
        <v>#N/A</v>
      </c>
    </row>
    <row r="893" spans="3:3" x14ac:dyDescent="0.25">
      <c r="C893" t="e">
        <f>MATCH(A893,mapPRC!A$2:A$1071,0)</f>
        <v>#N/A</v>
      </c>
    </row>
    <row r="894" spans="3:3" x14ac:dyDescent="0.25">
      <c r="C894" t="e">
        <f>MATCH(A894,mapPRC!A$2:A$1071,0)</f>
        <v>#N/A</v>
      </c>
    </row>
    <row r="895" spans="3:3" x14ac:dyDescent="0.25">
      <c r="C895" t="e">
        <f>MATCH(A895,mapPRC!A$2:A$1071,0)</f>
        <v>#N/A</v>
      </c>
    </row>
    <row r="896" spans="3:3" x14ac:dyDescent="0.25">
      <c r="C896" t="e">
        <f>MATCH(A896,mapPRC!A$2:A$1071,0)</f>
        <v>#N/A</v>
      </c>
    </row>
    <row r="897" spans="3:3" x14ac:dyDescent="0.25">
      <c r="C897" t="e">
        <f>MATCH(A897,mapPRC!A$2:A$1071,0)</f>
        <v>#N/A</v>
      </c>
    </row>
    <row r="898" spans="3:3" x14ac:dyDescent="0.25">
      <c r="C898" t="e">
        <f>MATCH(A898,mapPRC!A$2:A$1071,0)</f>
        <v>#N/A</v>
      </c>
    </row>
    <row r="899" spans="3:3" x14ac:dyDescent="0.25">
      <c r="C899" t="e">
        <f>MATCH(A899,mapPRC!A$2:A$1071,0)</f>
        <v>#N/A</v>
      </c>
    </row>
    <row r="900" spans="3:3" x14ac:dyDescent="0.25">
      <c r="C900" t="e">
        <f>MATCH(A900,mapPRC!A$2:A$1071,0)</f>
        <v>#N/A</v>
      </c>
    </row>
    <row r="901" spans="3:3" x14ac:dyDescent="0.25">
      <c r="C901" t="e">
        <f>MATCH(A901,mapPRC!A$2:A$1071,0)</f>
        <v>#N/A</v>
      </c>
    </row>
    <row r="902" spans="3:3" x14ac:dyDescent="0.25">
      <c r="C902" t="e">
        <f>MATCH(A902,mapPRC!A$2:A$1071,0)</f>
        <v>#N/A</v>
      </c>
    </row>
    <row r="903" spans="3:3" x14ac:dyDescent="0.25">
      <c r="C903" t="e">
        <f>MATCH(A903,mapPRC!A$2:A$1071,0)</f>
        <v>#N/A</v>
      </c>
    </row>
    <row r="904" spans="3:3" x14ac:dyDescent="0.25">
      <c r="C904" t="e">
        <f>MATCH(A904,mapPRC!A$2:A$1071,0)</f>
        <v>#N/A</v>
      </c>
    </row>
    <row r="905" spans="3:3" x14ac:dyDescent="0.25">
      <c r="C905" t="e">
        <f>MATCH(A905,mapPRC!A$2:A$1071,0)</f>
        <v>#N/A</v>
      </c>
    </row>
    <row r="906" spans="3:3" x14ac:dyDescent="0.25">
      <c r="C906" t="e">
        <f>MATCH(A906,mapPRC!A$2:A$1071,0)</f>
        <v>#N/A</v>
      </c>
    </row>
    <row r="907" spans="3:3" x14ac:dyDescent="0.25">
      <c r="C907" t="e">
        <f>MATCH(A907,mapPRC!A$2:A$1071,0)</f>
        <v>#N/A</v>
      </c>
    </row>
    <row r="908" spans="3:3" x14ac:dyDescent="0.25">
      <c r="C908" t="e">
        <f>MATCH(A908,mapPRC!A$2:A$1071,0)</f>
        <v>#N/A</v>
      </c>
    </row>
    <row r="909" spans="3:3" x14ac:dyDescent="0.25">
      <c r="C909" t="e">
        <f>MATCH(A909,mapPRC!A$2:A$1071,0)</f>
        <v>#N/A</v>
      </c>
    </row>
    <row r="910" spans="3:3" x14ac:dyDescent="0.25">
      <c r="C910" t="e">
        <f>MATCH(A910,mapPRC!A$2:A$1071,0)</f>
        <v>#N/A</v>
      </c>
    </row>
    <row r="911" spans="3:3" x14ac:dyDescent="0.25">
      <c r="C911" t="e">
        <f>MATCH(A911,mapPRC!A$2:A$1071,0)</f>
        <v>#N/A</v>
      </c>
    </row>
    <row r="912" spans="3:3" x14ac:dyDescent="0.25">
      <c r="C912" t="e">
        <f>MATCH(A912,mapPRC!A$2:A$1071,0)</f>
        <v>#N/A</v>
      </c>
    </row>
    <row r="913" spans="3:3" x14ac:dyDescent="0.25">
      <c r="C913" t="e">
        <f>MATCH(A913,mapPRC!A$2:A$1071,0)</f>
        <v>#N/A</v>
      </c>
    </row>
    <row r="914" spans="3:3" x14ac:dyDescent="0.25">
      <c r="C914" t="e">
        <f>MATCH(A914,mapPRC!A$2:A$1071,0)</f>
        <v>#N/A</v>
      </c>
    </row>
    <row r="915" spans="3:3" x14ac:dyDescent="0.25">
      <c r="C915" t="e">
        <f>MATCH(A915,mapPRC!A$2:A$1071,0)</f>
        <v>#N/A</v>
      </c>
    </row>
    <row r="916" spans="3:3" x14ac:dyDescent="0.25">
      <c r="C916" t="e">
        <f>MATCH(A916,mapPRC!A$2:A$1071,0)</f>
        <v>#N/A</v>
      </c>
    </row>
    <row r="917" spans="3:3" x14ac:dyDescent="0.25">
      <c r="C917" t="e">
        <f>MATCH(A917,mapPRC!A$2:A$1071,0)</f>
        <v>#N/A</v>
      </c>
    </row>
    <row r="918" spans="3:3" x14ac:dyDescent="0.25">
      <c r="C918" t="e">
        <f>MATCH(A918,mapPRC!A$2:A$1071,0)</f>
        <v>#N/A</v>
      </c>
    </row>
    <row r="919" spans="3:3" x14ac:dyDescent="0.25">
      <c r="C919" t="e">
        <f>MATCH(A919,mapPRC!A$2:A$1071,0)</f>
        <v>#N/A</v>
      </c>
    </row>
    <row r="920" spans="3:3" x14ac:dyDescent="0.25">
      <c r="C920" t="e">
        <f>MATCH(A920,mapPRC!A$2:A$1071,0)</f>
        <v>#N/A</v>
      </c>
    </row>
    <row r="921" spans="3:3" x14ac:dyDescent="0.25">
      <c r="C921" t="e">
        <f>MATCH(A921,mapPRC!A$2:A$1071,0)</f>
        <v>#N/A</v>
      </c>
    </row>
    <row r="922" spans="3:3" x14ac:dyDescent="0.25">
      <c r="C922" t="e">
        <f>MATCH(A922,mapPRC!A$2:A$1071,0)</f>
        <v>#N/A</v>
      </c>
    </row>
    <row r="923" spans="3:3" x14ac:dyDescent="0.25">
      <c r="C923" t="e">
        <f>MATCH(A923,mapPRC!A$2:A$1071,0)</f>
        <v>#N/A</v>
      </c>
    </row>
    <row r="924" spans="3:3" x14ac:dyDescent="0.25">
      <c r="C924" t="e">
        <f>MATCH(A924,mapPRC!A$2:A$1071,0)</f>
        <v>#N/A</v>
      </c>
    </row>
    <row r="925" spans="3:3" x14ac:dyDescent="0.25">
      <c r="C925" t="e">
        <f>MATCH(A925,mapPRC!A$2:A$1071,0)</f>
        <v>#N/A</v>
      </c>
    </row>
    <row r="926" spans="3:3" x14ac:dyDescent="0.25">
      <c r="C926" t="e">
        <f>MATCH(A926,mapPRC!A$2:A$1071,0)</f>
        <v>#N/A</v>
      </c>
    </row>
    <row r="927" spans="3:3" x14ac:dyDescent="0.25">
      <c r="C927" t="e">
        <f>MATCH(A927,mapPRC!A$2:A$1071,0)</f>
        <v>#N/A</v>
      </c>
    </row>
    <row r="928" spans="3:3" x14ac:dyDescent="0.25">
      <c r="C928" t="e">
        <f>MATCH(A928,mapPRC!A$2:A$1071,0)</f>
        <v>#N/A</v>
      </c>
    </row>
    <row r="929" spans="3:3" x14ac:dyDescent="0.25">
      <c r="C929" t="e">
        <f>MATCH(A929,mapPRC!A$2:A$1071,0)</f>
        <v>#N/A</v>
      </c>
    </row>
    <row r="930" spans="3:3" x14ac:dyDescent="0.25">
      <c r="C930" t="e">
        <f>MATCH(A930,mapPRC!A$2:A$1071,0)</f>
        <v>#N/A</v>
      </c>
    </row>
    <row r="931" spans="3:3" x14ac:dyDescent="0.25">
      <c r="C931" t="e">
        <f>MATCH(A931,mapPRC!A$2:A$1071,0)</f>
        <v>#N/A</v>
      </c>
    </row>
    <row r="932" spans="3:3" x14ac:dyDescent="0.25">
      <c r="C932" t="e">
        <f>MATCH(A932,mapPRC!A$2:A$1071,0)</f>
        <v>#N/A</v>
      </c>
    </row>
    <row r="933" spans="3:3" x14ac:dyDescent="0.25">
      <c r="C933" t="e">
        <f>MATCH(A933,mapPRC!A$2:A$1071,0)</f>
        <v>#N/A</v>
      </c>
    </row>
    <row r="934" spans="3:3" x14ac:dyDescent="0.25">
      <c r="C934" t="e">
        <f>MATCH(A934,mapPRC!A$2:A$1071,0)</f>
        <v>#N/A</v>
      </c>
    </row>
    <row r="935" spans="3:3" x14ac:dyDescent="0.25">
      <c r="C935" t="e">
        <f>MATCH(A935,mapPRC!A$2:A$1071,0)</f>
        <v>#N/A</v>
      </c>
    </row>
    <row r="936" spans="3:3" x14ac:dyDescent="0.25">
      <c r="C936" t="e">
        <f>MATCH(A936,mapPRC!A$2:A$1071,0)</f>
        <v>#N/A</v>
      </c>
    </row>
    <row r="937" spans="3:3" x14ac:dyDescent="0.25">
      <c r="C937" t="e">
        <f>MATCH(A937,mapPRC!A$2:A$1071,0)</f>
        <v>#N/A</v>
      </c>
    </row>
    <row r="938" spans="3:3" x14ac:dyDescent="0.25">
      <c r="C938" t="e">
        <f>MATCH(A938,mapPRC!A$2:A$1071,0)</f>
        <v>#N/A</v>
      </c>
    </row>
    <row r="939" spans="3:3" x14ac:dyDescent="0.25">
      <c r="C939" t="e">
        <f>MATCH(A939,mapPRC!A$2:A$1071,0)</f>
        <v>#N/A</v>
      </c>
    </row>
    <row r="940" spans="3:3" x14ac:dyDescent="0.25">
      <c r="C940" t="e">
        <f>MATCH(A940,mapPRC!A$2:A$1071,0)</f>
        <v>#N/A</v>
      </c>
    </row>
    <row r="941" spans="3:3" x14ac:dyDescent="0.25">
      <c r="C941" t="e">
        <f>MATCH(A941,mapPRC!A$2:A$1071,0)</f>
        <v>#N/A</v>
      </c>
    </row>
    <row r="942" spans="3:3" x14ac:dyDescent="0.25">
      <c r="C942" t="e">
        <f>MATCH(A942,mapPRC!A$2:A$1071,0)</f>
        <v>#N/A</v>
      </c>
    </row>
    <row r="943" spans="3:3" x14ac:dyDescent="0.25">
      <c r="C943" t="e">
        <f>MATCH(A943,mapPRC!A$2:A$1071,0)</f>
        <v>#N/A</v>
      </c>
    </row>
    <row r="944" spans="3:3" x14ac:dyDescent="0.25">
      <c r="C944" t="e">
        <f>MATCH(A944,mapPRC!A$2:A$1071,0)</f>
        <v>#N/A</v>
      </c>
    </row>
    <row r="945" spans="3:3" x14ac:dyDescent="0.25">
      <c r="C945" t="e">
        <f>MATCH(A945,mapPRC!A$2:A$1071,0)</f>
        <v>#N/A</v>
      </c>
    </row>
    <row r="946" spans="3:3" x14ac:dyDescent="0.25">
      <c r="C946" t="e">
        <f>MATCH(A946,mapPRC!A$2:A$1071,0)</f>
        <v>#N/A</v>
      </c>
    </row>
    <row r="947" spans="3:3" x14ac:dyDescent="0.25">
      <c r="C947" t="e">
        <f>MATCH(A947,mapPRC!A$2:A$1071,0)</f>
        <v>#N/A</v>
      </c>
    </row>
    <row r="948" spans="3:3" x14ac:dyDescent="0.25">
      <c r="C948" t="e">
        <f>MATCH(A948,mapPRC!A$2:A$1071,0)</f>
        <v>#N/A</v>
      </c>
    </row>
    <row r="949" spans="3:3" x14ac:dyDescent="0.25">
      <c r="C949" t="e">
        <f>MATCH(A949,mapPRC!A$2:A$1071,0)</f>
        <v>#N/A</v>
      </c>
    </row>
    <row r="950" spans="3:3" x14ac:dyDescent="0.25">
      <c r="C950" t="e">
        <f>MATCH(A950,mapPRC!A$2:A$1071,0)</f>
        <v>#N/A</v>
      </c>
    </row>
    <row r="951" spans="3:3" x14ac:dyDescent="0.25">
      <c r="C951" t="e">
        <f>MATCH(A951,mapPRC!A$2:A$1071,0)</f>
        <v>#N/A</v>
      </c>
    </row>
    <row r="952" spans="3:3" x14ac:dyDescent="0.25">
      <c r="C952" t="e">
        <f>MATCH(A952,mapPRC!A$2:A$1071,0)</f>
        <v>#N/A</v>
      </c>
    </row>
    <row r="953" spans="3:3" x14ac:dyDescent="0.25">
      <c r="C953" t="e">
        <f>MATCH(A953,mapPRC!A$2:A$1071,0)</f>
        <v>#N/A</v>
      </c>
    </row>
    <row r="954" spans="3:3" x14ac:dyDescent="0.25">
      <c r="C954" t="e">
        <f>MATCH(A954,mapPRC!A$2:A$1071,0)</f>
        <v>#N/A</v>
      </c>
    </row>
    <row r="955" spans="3:3" x14ac:dyDescent="0.25">
      <c r="C955" t="e">
        <f>MATCH(A955,mapPRC!A$2:A$1071,0)</f>
        <v>#N/A</v>
      </c>
    </row>
    <row r="956" spans="3:3" x14ac:dyDescent="0.25">
      <c r="C956" t="e">
        <f>MATCH(A956,mapPRC!A$2:A$1071,0)</f>
        <v>#N/A</v>
      </c>
    </row>
    <row r="957" spans="3:3" x14ac:dyDescent="0.25">
      <c r="C957" t="e">
        <f>MATCH(A957,mapPRC!A$2:A$1071,0)</f>
        <v>#N/A</v>
      </c>
    </row>
    <row r="958" spans="3:3" x14ac:dyDescent="0.25">
      <c r="C958" t="e">
        <f>MATCH(A958,mapPRC!A$2:A$1071,0)</f>
        <v>#N/A</v>
      </c>
    </row>
    <row r="959" spans="3:3" x14ac:dyDescent="0.25">
      <c r="C959" t="e">
        <f>MATCH(A959,mapPRC!A$2:A$1071,0)</f>
        <v>#N/A</v>
      </c>
    </row>
    <row r="960" spans="3:3" x14ac:dyDescent="0.25">
      <c r="C960" t="e">
        <f>MATCH(A960,mapPRC!A$2:A$1071,0)</f>
        <v>#N/A</v>
      </c>
    </row>
    <row r="961" spans="3:3" x14ac:dyDescent="0.25">
      <c r="C961" t="e">
        <f>MATCH(A961,mapPRC!A$2:A$1071,0)</f>
        <v>#N/A</v>
      </c>
    </row>
    <row r="962" spans="3:3" x14ac:dyDescent="0.25">
      <c r="C962" t="e">
        <f>MATCH(A962,mapPRC!A$2:A$1071,0)</f>
        <v>#N/A</v>
      </c>
    </row>
    <row r="963" spans="3:3" x14ac:dyDescent="0.25">
      <c r="C963" t="e">
        <f>MATCH(A963,mapPRC!A$2:A$1071,0)</f>
        <v>#N/A</v>
      </c>
    </row>
    <row r="964" spans="3:3" x14ac:dyDescent="0.25">
      <c r="C964" t="e">
        <f>MATCH(A964,mapPRC!A$2:A$1071,0)</f>
        <v>#N/A</v>
      </c>
    </row>
    <row r="965" spans="3:3" x14ac:dyDescent="0.25">
      <c r="C965" t="e">
        <f>MATCH(A965,mapPRC!A$2:A$1071,0)</f>
        <v>#N/A</v>
      </c>
    </row>
    <row r="966" spans="3:3" x14ac:dyDescent="0.25">
      <c r="C966" t="e">
        <f>MATCH(A966,mapPRC!A$2:A$1071,0)</f>
        <v>#N/A</v>
      </c>
    </row>
    <row r="967" spans="3:3" x14ac:dyDescent="0.25">
      <c r="C967" t="e">
        <f>MATCH(A967,mapPRC!A$2:A$1071,0)</f>
        <v>#N/A</v>
      </c>
    </row>
    <row r="968" spans="3:3" x14ac:dyDescent="0.25">
      <c r="C968" t="e">
        <f>MATCH(A968,mapPRC!A$2:A$1071,0)</f>
        <v>#N/A</v>
      </c>
    </row>
    <row r="969" spans="3:3" x14ac:dyDescent="0.25">
      <c r="C969" t="e">
        <f>MATCH(A969,mapPRC!A$2:A$1071,0)</f>
        <v>#N/A</v>
      </c>
    </row>
    <row r="970" spans="3:3" x14ac:dyDescent="0.25">
      <c r="C970" t="e">
        <f>MATCH(A970,mapPRC!A$2:A$1071,0)</f>
        <v>#N/A</v>
      </c>
    </row>
    <row r="971" spans="3:3" x14ac:dyDescent="0.25">
      <c r="C971" t="e">
        <f>MATCH(A971,mapPRC!A$2:A$1071,0)</f>
        <v>#N/A</v>
      </c>
    </row>
    <row r="972" spans="3:3" x14ac:dyDescent="0.25">
      <c r="C972" t="e">
        <f>MATCH(A972,mapPRC!A$2:A$1071,0)</f>
        <v>#N/A</v>
      </c>
    </row>
    <row r="973" spans="3:3" x14ac:dyDescent="0.25">
      <c r="C973" t="e">
        <f>MATCH(A973,mapPRC!A$2:A$1071,0)</f>
        <v>#N/A</v>
      </c>
    </row>
    <row r="974" spans="3:3" x14ac:dyDescent="0.25">
      <c r="C974" t="e">
        <f>MATCH(A974,mapPRC!A$2:A$1071,0)</f>
        <v>#N/A</v>
      </c>
    </row>
    <row r="975" spans="3:3" x14ac:dyDescent="0.25">
      <c r="C975" t="e">
        <f>MATCH(A975,mapPRC!A$2:A$1071,0)</f>
        <v>#N/A</v>
      </c>
    </row>
    <row r="976" spans="3:3" x14ac:dyDescent="0.25">
      <c r="C976" t="e">
        <f>MATCH(A976,mapPRC!A$2:A$1071,0)</f>
        <v>#N/A</v>
      </c>
    </row>
    <row r="977" spans="3:3" x14ac:dyDescent="0.25">
      <c r="C977" t="e">
        <f>MATCH(A977,mapPRC!A$2:A$1071,0)</f>
        <v>#N/A</v>
      </c>
    </row>
    <row r="978" spans="3:3" x14ac:dyDescent="0.25">
      <c r="C978" t="e">
        <f>MATCH(A978,mapPRC!A$2:A$1071,0)</f>
        <v>#N/A</v>
      </c>
    </row>
    <row r="979" spans="3:3" x14ac:dyDescent="0.25">
      <c r="C979" t="e">
        <f>MATCH(A979,mapPRC!A$2:A$1071,0)</f>
        <v>#N/A</v>
      </c>
    </row>
    <row r="980" spans="3:3" x14ac:dyDescent="0.25">
      <c r="C980" t="e">
        <f>MATCH(A980,mapPRC!A$2:A$1071,0)</f>
        <v>#N/A</v>
      </c>
    </row>
    <row r="981" spans="3:3" x14ac:dyDescent="0.25">
      <c r="C981" t="e">
        <f>MATCH(A981,mapPRC!A$2:A$1071,0)</f>
        <v>#N/A</v>
      </c>
    </row>
    <row r="982" spans="3:3" x14ac:dyDescent="0.25">
      <c r="C982" t="e">
        <f>MATCH(A982,mapPRC!A$2:A$1071,0)</f>
        <v>#N/A</v>
      </c>
    </row>
    <row r="983" spans="3:3" x14ac:dyDescent="0.25">
      <c r="C983" t="e">
        <f>MATCH(A983,mapPRC!A$2:A$1071,0)</f>
        <v>#N/A</v>
      </c>
    </row>
    <row r="984" spans="3:3" x14ac:dyDescent="0.25">
      <c r="C984" t="e">
        <f>MATCH(A984,mapPRC!A$2:A$1071,0)</f>
        <v>#N/A</v>
      </c>
    </row>
    <row r="985" spans="3:3" x14ac:dyDescent="0.25">
      <c r="C985" t="e">
        <f>MATCH(A985,mapPRC!A$2:A$1071,0)</f>
        <v>#N/A</v>
      </c>
    </row>
    <row r="986" spans="3:3" x14ac:dyDescent="0.25">
      <c r="C986" t="e">
        <f>MATCH(A986,mapPRC!A$2:A$1071,0)</f>
        <v>#N/A</v>
      </c>
    </row>
    <row r="987" spans="3:3" x14ac:dyDescent="0.25">
      <c r="C987" t="e">
        <f>MATCH(A987,mapPRC!A$2:A$1071,0)</f>
        <v>#N/A</v>
      </c>
    </row>
    <row r="988" spans="3:3" x14ac:dyDescent="0.25">
      <c r="C988" t="e">
        <f>MATCH(A988,mapPRC!A$2:A$1071,0)</f>
        <v>#N/A</v>
      </c>
    </row>
    <row r="989" spans="3:3" x14ac:dyDescent="0.25">
      <c r="C989" t="e">
        <f>MATCH(A989,mapPRC!A$2:A$1071,0)</f>
        <v>#N/A</v>
      </c>
    </row>
    <row r="990" spans="3:3" x14ac:dyDescent="0.25">
      <c r="C990" t="e">
        <f>MATCH(A990,mapPRC!A$2:A$1071,0)</f>
        <v>#N/A</v>
      </c>
    </row>
    <row r="991" spans="3:3" x14ac:dyDescent="0.25">
      <c r="C991" t="e">
        <f>MATCH(A991,mapPRC!A$2:A$1071,0)</f>
        <v>#N/A</v>
      </c>
    </row>
    <row r="992" spans="3:3" x14ac:dyDescent="0.25">
      <c r="C992" t="e">
        <f>MATCH(A992,mapPRC!A$2:A$1071,0)</f>
        <v>#N/A</v>
      </c>
    </row>
    <row r="993" spans="3:3" x14ac:dyDescent="0.25">
      <c r="C993" t="e">
        <f>MATCH(A993,mapPRC!A$2:A$1071,0)</f>
        <v>#N/A</v>
      </c>
    </row>
    <row r="994" spans="3:3" x14ac:dyDescent="0.25">
      <c r="C994" t="e">
        <f>MATCH(A994,mapPRC!A$2:A$1071,0)</f>
        <v>#N/A</v>
      </c>
    </row>
    <row r="995" spans="3:3" x14ac:dyDescent="0.25">
      <c r="C995" t="e">
        <f>MATCH(A995,mapPRC!A$2:A$1071,0)</f>
        <v>#N/A</v>
      </c>
    </row>
    <row r="996" spans="3:3" x14ac:dyDescent="0.25">
      <c r="C996" t="e">
        <f>MATCH(A996,mapPRC!A$2:A$1071,0)</f>
        <v>#N/A</v>
      </c>
    </row>
    <row r="997" spans="3:3" x14ac:dyDescent="0.25">
      <c r="C997" t="e">
        <f>MATCH(A997,mapPRC!A$2:A$1071,0)</f>
        <v>#N/A</v>
      </c>
    </row>
    <row r="998" spans="3:3" x14ac:dyDescent="0.25">
      <c r="C998" t="e">
        <f>MATCH(A998,mapPRC!A$2:A$1071,0)</f>
        <v>#N/A</v>
      </c>
    </row>
    <row r="999" spans="3:3" x14ac:dyDescent="0.25">
      <c r="C999" t="e">
        <f>MATCH(A999,mapPRC!A$2:A$1071,0)</f>
        <v>#N/A</v>
      </c>
    </row>
    <row r="1000" spans="3:3" x14ac:dyDescent="0.25">
      <c r="C1000" t="e">
        <f>MATCH(A1000,mapPRC!A$2:A$1071,0)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3605</v>
      </c>
      <c r="D1" t="s">
        <v>3626</v>
      </c>
      <c r="H1" t="s">
        <v>2452</v>
      </c>
      <c r="I1" t="s">
        <v>2421</v>
      </c>
      <c r="J1" t="s">
        <v>3605</v>
      </c>
      <c r="K1" t="s">
        <v>3741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3682</v>
      </c>
      <c r="B23" t="s">
        <v>3683</v>
      </c>
      <c r="C23">
        <f>MATCH(A23,mapCOM!A$2:A$1072,0)</f>
        <v>41</v>
      </c>
      <c r="D23">
        <v>1</v>
      </c>
      <c r="H23" t="s">
        <v>3682</v>
      </c>
      <c r="I23" t="s">
        <v>3683</v>
      </c>
      <c r="J23">
        <f>MATCH(H23,mapCOM!$A$2:$A$1072,0)</f>
        <v>41</v>
      </c>
    </row>
    <row r="24" spans="1:10" hidden="1" x14ac:dyDescent="0.25">
      <c r="A24" t="s">
        <v>3684</v>
      </c>
      <c r="B24" t="s">
        <v>3685</v>
      </c>
      <c r="C24">
        <f>MATCH(A24,mapCOM!A$2:A$1072,0)</f>
        <v>42</v>
      </c>
      <c r="D24">
        <v>1</v>
      </c>
      <c r="H24" t="s">
        <v>3684</v>
      </c>
      <c r="I24" t="s">
        <v>3685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3686</v>
      </c>
      <c r="B26" t="s">
        <v>3687</v>
      </c>
      <c r="C26">
        <f>MATCH(A26,mapCOM!A$2:A$1072,0)</f>
        <v>44</v>
      </c>
      <c r="D26">
        <v>1</v>
      </c>
      <c r="H26" t="s">
        <v>3686</v>
      </c>
      <c r="I26" t="s">
        <v>3687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3688</v>
      </c>
      <c r="B32" t="s">
        <v>3689</v>
      </c>
      <c r="C32">
        <f>MATCH(A32,mapCOM!A$2:A$1072,0)</f>
        <v>50</v>
      </c>
      <c r="D32">
        <v>1</v>
      </c>
      <c r="H32" t="s">
        <v>3688</v>
      </c>
      <c r="I32" t="s">
        <v>3689</v>
      </c>
      <c r="J32">
        <f>MATCH(H32,mapCOM!$A$2:$A$1072,0)</f>
        <v>50</v>
      </c>
    </row>
    <row r="33" spans="1:10" hidden="1" x14ac:dyDescent="0.25">
      <c r="A33" t="s">
        <v>3690</v>
      </c>
      <c r="B33" t="s">
        <v>3691</v>
      </c>
      <c r="C33">
        <f>MATCH(A33,mapCOM!A$2:A$1072,0)</f>
        <v>51</v>
      </c>
      <c r="D33">
        <v>1</v>
      </c>
      <c r="H33" t="s">
        <v>3690</v>
      </c>
      <c r="I33" t="s">
        <v>3691</v>
      </c>
      <c r="J33">
        <f>MATCH(H33,mapCOM!$A$2:$A$1072,0)</f>
        <v>51</v>
      </c>
    </row>
    <row r="34" spans="1:10" hidden="1" x14ac:dyDescent="0.25">
      <c r="A34" t="s">
        <v>3692</v>
      </c>
      <c r="B34" t="s">
        <v>3693</v>
      </c>
      <c r="C34">
        <f>MATCH(A34,mapCOM!A$2:A$1072,0)</f>
        <v>52</v>
      </c>
      <c r="D34">
        <v>1</v>
      </c>
      <c r="H34" t="s">
        <v>3692</v>
      </c>
      <c r="I34" t="s">
        <v>3693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3194</v>
      </c>
      <c r="I44" t="s">
        <v>3752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3195</v>
      </c>
      <c r="I45" t="s">
        <v>3753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3755</v>
      </c>
      <c r="I61" t="s">
        <v>3756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3719</v>
      </c>
      <c r="I66" t="s">
        <v>3747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3748</v>
      </c>
      <c r="I67" t="s">
        <v>3749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3750</v>
      </c>
      <c r="I68" t="s">
        <v>3751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3757</v>
      </c>
      <c r="I69" t="s">
        <v>3758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3653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3654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3655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3656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3653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3654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3655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3656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3120</v>
      </c>
      <c r="B114" t="s">
        <v>3121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3629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3630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3631</v>
      </c>
      <c r="B121" t="s">
        <v>3632</v>
      </c>
      <c r="C121">
        <f>MATCH(A121,mapCOM!A$2:A$1072,0)</f>
        <v>155</v>
      </c>
      <c r="D121">
        <v>1</v>
      </c>
      <c r="H121" t="s">
        <v>3120</v>
      </c>
      <c r="I121" t="s">
        <v>3121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3673</v>
      </c>
      <c r="B125" t="s">
        <v>3674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3631</v>
      </c>
      <c r="I128" t="s">
        <v>3632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3633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3673</v>
      </c>
      <c r="I132" t="s">
        <v>3674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3633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3754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3634</v>
      </c>
      <c r="B153" t="s">
        <v>3635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3124</v>
      </c>
      <c r="B155" t="s">
        <v>3125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3126</v>
      </c>
      <c r="B156" t="s">
        <v>3127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3128</v>
      </c>
      <c r="B157" t="s">
        <v>3129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3130</v>
      </c>
      <c r="B158" t="s">
        <v>3131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3634</v>
      </c>
      <c r="I161" t="s">
        <v>3635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3124</v>
      </c>
      <c r="I163" t="s">
        <v>3125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3126</v>
      </c>
      <c r="I164" t="s">
        <v>3127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3128</v>
      </c>
      <c r="I165" t="s">
        <v>3129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3130</v>
      </c>
      <c r="I166" t="s">
        <v>3131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3636</v>
      </c>
      <c r="B177" t="s">
        <v>3540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3486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3636</v>
      </c>
      <c r="I185" t="s">
        <v>3540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3675</v>
      </c>
      <c r="B189" t="s">
        <v>3676</v>
      </c>
      <c r="C189">
        <f>MATCH(A189,mapCOM!A$2:A$1072,0)</f>
        <v>231</v>
      </c>
      <c r="D189">
        <v>1</v>
      </c>
      <c r="H189" t="s">
        <v>1681</v>
      </c>
      <c r="I189" t="s">
        <v>3486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3675</v>
      </c>
      <c r="I197" t="s">
        <v>3676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3694</v>
      </c>
      <c r="B202" t="s">
        <v>3695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3694</v>
      </c>
      <c r="I210" t="s">
        <v>3695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3637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3638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3639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3640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3641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3642</v>
      </c>
      <c r="B224" t="s">
        <v>3643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3644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3637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3645</v>
      </c>
      <c r="C227">
        <f>MATCH(A227,mapCOM!A$2:A$1072,0)</f>
        <v>269</v>
      </c>
      <c r="H227" t="s">
        <v>1867</v>
      </c>
      <c r="I227" t="s">
        <v>3638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3646</v>
      </c>
      <c r="C228">
        <f>MATCH(A228,mapCOM!A$2:A$1072,0)</f>
        <v>273</v>
      </c>
      <c r="H228" t="s">
        <v>1739</v>
      </c>
      <c r="I228" t="s">
        <v>3639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3647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3648</v>
      </c>
      <c r="C230">
        <f>MATCH(A230,mapCOM!A$2:A$1072,0)</f>
        <v>275</v>
      </c>
      <c r="H230" t="s">
        <v>1737</v>
      </c>
      <c r="I230" t="s">
        <v>3640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3649</v>
      </c>
      <c r="C231">
        <f>MATCH(A231,mapCOM!A$2:A$1072,0)</f>
        <v>276</v>
      </c>
      <c r="H231" t="s">
        <v>1735</v>
      </c>
      <c r="I231" t="s">
        <v>3641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3650</v>
      </c>
      <c r="C232">
        <f>MATCH(A232,mapCOM!A$2:A$1072,0)</f>
        <v>277</v>
      </c>
      <c r="H232" t="s">
        <v>3642</v>
      </c>
      <c r="I232" t="s">
        <v>3643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3651</v>
      </c>
      <c r="C233">
        <f>MATCH(A233,mapCOM!A$2:A$1072,0)</f>
        <v>278</v>
      </c>
      <c r="H233" t="s">
        <v>1733</v>
      </c>
      <c r="I233" t="s">
        <v>3644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3645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3646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3647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3648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3649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3650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3651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3696</v>
      </c>
      <c r="B262" t="s">
        <v>3697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3698</v>
      </c>
      <c r="B263" t="s">
        <v>3699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3700</v>
      </c>
      <c r="B264" t="s">
        <v>3701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3702</v>
      </c>
      <c r="B265" t="s">
        <v>3703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3704</v>
      </c>
      <c r="B266" t="s">
        <v>3705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3706</v>
      </c>
      <c r="B267" t="s">
        <v>3707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3677</v>
      </c>
      <c r="B268" t="s">
        <v>3678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3679</v>
      </c>
      <c r="B270" t="s">
        <v>3680</v>
      </c>
      <c r="C270">
        <f>MATCH(A270,mapCOM!A$2:A$1072,0)</f>
        <v>312</v>
      </c>
      <c r="D270">
        <v>1</v>
      </c>
      <c r="H270" t="s">
        <v>3696</v>
      </c>
      <c r="I270" t="s">
        <v>3697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3698</v>
      </c>
      <c r="I271" t="s">
        <v>3699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3700</v>
      </c>
      <c r="I272" t="s">
        <v>3701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3702</v>
      </c>
      <c r="I273" t="s">
        <v>3703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3704</v>
      </c>
      <c r="I274" t="s">
        <v>3705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3706</v>
      </c>
      <c r="I275" t="s">
        <v>3707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3677</v>
      </c>
      <c r="I276" t="s">
        <v>3678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3679</v>
      </c>
      <c r="I278" t="s">
        <v>3680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3014</v>
      </c>
      <c r="B294" t="s">
        <v>3657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3016</v>
      </c>
      <c r="B295" t="s">
        <v>3658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3018</v>
      </c>
      <c r="B296" t="s">
        <v>3659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3020</v>
      </c>
      <c r="B297" t="s">
        <v>3660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3022</v>
      </c>
      <c r="B298" t="s">
        <v>3661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3024</v>
      </c>
      <c r="B299" t="s">
        <v>3662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3026</v>
      </c>
      <c r="B300" t="s">
        <v>3663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3028</v>
      </c>
      <c r="B301" t="s">
        <v>3664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3040</v>
      </c>
      <c r="B302" t="s">
        <v>3665</v>
      </c>
      <c r="C302">
        <f>MATCH(A302,mapCOM!A$2:A$1072,0)</f>
        <v>346</v>
      </c>
      <c r="H302" t="s">
        <v>3014</v>
      </c>
      <c r="I302" t="s">
        <v>3657</v>
      </c>
      <c r="J302">
        <f>MATCH(H302,mapCOM!$A$2:$A$1072,0)</f>
        <v>338</v>
      </c>
    </row>
    <row r="303" spans="1:10" hidden="1" x14ac:dyDescent="0.25">
      <c r="A303" t="s">
        <v>3030</v>
      </c>
      <c r="B303" t="s">
        <v>3666</v>
      </c>
      <c r="C303">
        <f>MATCH(A303,mapCOM!A$2:A$1072,0)</f>
        <v>347</v>
      </c>
      <c r="H303" t="s">
        <v>3016</v>
      </c>
      <c r="I303" t="s">
        <v>3658</v>
      </c>
      <c r="J303">
        <f>MATCH(H303,mapCOM!$A$2:$A$1072,0)</f>
        <v>339</v>
      </c>
    </row>
    <row r="304" spans="1:10" hidden="1" x14ac:dyDescent="0.25">
      <c r="A304" t="s">
        <v>3032</v>
      </c>
      <c r="B304" t="s">
        <v>3667</v>
      </c>
      <c r="C304">
        <f>MATCH(A304,mapCOM!A$2:A$1072,0)</f>
        <v>348</v>
      </c>
      <c r="H304" t="s">
        <v>3018</v>
      </c>
      <c r="I304" t="s">
        <v>3659</v>
      </c>
      <c r="J304">
        <f>MATCH(H304,mapCOM!$A$2:$A$1072,0)</f>
        <v>340</v>
      </c>
    </row>
    <row r="305" spans="1:10" hidden="1" x14ac:dyDescent="0.25">
      <c r="A305" t="s">
        <v>3034</v>
      </c>
      <c r="B305" t="s">
        <v>3668</v>
      </c>
      <c r="C305">
        <f>MATCH(A305,mapCOM!A$2:A$1072,0)</f>
        <v>349</v>
      </c>
      <c r="H305" t="s">
        <v>3020</v>
      </c>
      <c r="I305" t="s">
        <v>3660</v>
      </c>
      <c r="J305">
        <f>MATCH(H305,mapCOM!$A$2:$A$1072,0)</f>
        <v>341</v>
      </c>
    </row>
    <row r="306" spans="1:10" hidden="1" x14ac:dyDescent="0.25">
      <c r="A306" t="s">
        <v>3036</v>
      </c>
      <c r="B306" t="s">
        <v>3669</v>
      </c>
      <c r="C306">
        <f>MATCH(A306,mapCOM!A$2:A$1072,0)</f>
        <v>350</v>
      </c>
      <c r="H306" t="s">
        <v>3022</v>
      </c>
      <c r="I306" t="s">
        <v>3661</v>
      </c>
      <c r="J306">
        <f>MATCH(H306,mapCOM!$A$2:$A$1072,0)</f>
        <v>342</v>
      </c>
    </row>
    <row r="307" spans="1:10" hidden="1" x14ac:dyDescent="0.25">
      <c r="A307" t="s">
        <v>3042</v>
      </c>
      <c r="B307" t="s">
        <v>3670</v>
      </c>
      <c r="C307">
        <f>MATCH(A307,mapCOM!A$2:A$1072,0)</f>
        <v>351</v>
      </c>
      <c r="H307" t="s">
        <v>3024</v>
      </c>
      <c r="I307" t="s">
        <v>3662</v>
      </c>
      <c r="J307">
        <f>MATCH(H307,mapCOM!$A$2:$A$1072,0)</f>
        <v>343</v>
      </c>
    </row>
    <row r="308" spans="1:10" hidden="1" x14ac:dyDescent="0.25">
      <c r="A308" t="s">
        <v>3038</v>
      </c>
      <c r="B308" t="s">
        <v>3671</v>
      </c>
      <c r="C308">
        <f>MATCH(A308,mapCOM!A$2:A$1072,0)</f>
        <v>352</v>
      </c>
      <c r="H308" t="s">
        <v>3026</v>
      </c>
      <c r="I308" t="s">
        <v>3663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3028</v>
      </c>
      <c r="I309" t="s">
        <v>3664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3040</v>
      </c>
      <c r="I310" t="s">
        <v>3665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3030</v>
      </c>
      <c r="I311" t="s">
        <v>3666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3032</v>
      </c>
      <c r="I312" t="s">
        <v>3667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3034</v>
      </c>
      <c r="I313" t="s">
        <v>3668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3036</v>
      </c>
      <c r="I314" t="s">
        <v>3669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3042</v>
      </c>
      <c r="I315" t="s">
        <v>3670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3038</v>
      </c>
      <c r="I316" t="s">
        <v>3671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3627</v>
      </c>
      <c r="B320" t="s">
        <v>3488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3627</v>
      </c>
      <c r="I328" t="s">
        <v>3488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3459</v>
      </c>
      <c r="B330" t="s">
        <v>3589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3460</v>
      </c>
      <c r="B331" t="s">
        <v>3590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3459</v>
      </c>
      <c r="I338" t="s">
        <v>3589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3460</v>
      </c>
      <c r="I339" t="s">
        <v>3590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3111</v>
      </c>
      <c r="B362" t="s">
        <v>3112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3111</v>
      </c>
      <c r="I370" t="s">
        <v>3112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3652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3652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3113</v>
      </c>
      <c r="B382" t="s">
        <v>3114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3115</v>
      </c>
      <c r="B383" t="s">
        <v>3116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3708</v>
      </c>
      <c r="B386" t="s">
        <v>3709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3113</v>
      </c>
      <c r="I390" t="s">
        <v>3114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3115</v>
      </c>
      <c r="I391" t="s">
        <v>3116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3708</v>
      </c>
      <c r="I394" t="s">
        <v>3709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3710</v>
      </c>
      <c r="B409" t="s">
        <v>3711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3681</v>
      </c>
      <c r="B417" t="s">
        <v>3602</v>
      </c>
      <c r="C417">
        <f>MATCH(A417,mapCOM!A$2:A$1072,0)</f>
        <v>475</v>
      </c>
      <c r="D417">
        <v>1</v>
      </c>
      <c r="H417" t="s">
        <v>3710</v>
      </c>
      <c r="I417" t="s">
        <v>3711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3681</v>
      </c>
      <c r="I425" t="s">
        <v>3602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3628</v>
      </c>
      <c r="B439" t="s">
        <v>3490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3628</v>
      </c>
      <c r="I447" t="s">
        <v>3490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3672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3672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MATCH(A789,mapPRC!A$2:A$1071,0)</f>
        <v>#N/A</v>
      </c>
    </row>
    <row r="790" spans="3:3" hidden="1" x14ac:dyDescent="0.25">
      <c r="C790" t="e">
        <f>MATCH(A790,mapPRC!A$2:A$1071,0)</f>
        <v>#N/A</v>
      </c>
    </row>
    <row r="791" spans="3:3" hidden="1" x14ac:dyDescent="0.25">
      <c r="C791" t="e">
        <f>MATCH(A791,mapPRC!A$2:A$1071,0)</f>
        <v>#N/A</v>
      </c>
    </row>
    <row r="792" spans="3:3" hidden="1" x14ac:dyDescent="0.25">
      <c r="C792" t="e">
        <f>MATCH(A792,mapPRC!A$2:A$1071,0)</f>
        <v>#N/A</v>
      </c>
    </row>
    <row r="793" spans="3:3" hidden="1" x14ac:dyDescent="0.25">
      <c r="C793" t="e">
        <f>MATCH(A793,mapPRC!A$2:A$1071,0)</f>
        <v>#N/A</v>
      </c>
    </row>
    <row r="794" spans="3:3" hidden="1" x14ac:dyDescent="0.25">
      <c r="C794" t="e">
        <f>MATCH(A794,mapPRC!A$2:A$1071,0)</f>
        <v>#N/A</v>
      </c>
    </row>
    <row r="795" spans="3:3" hidden="1" x14ac:dyDescent="0.25">
      <c r="C795" t="e">
        <f>MATCH(A795,mapPRC!A$2:A$1071,0)</f>
        <v>#N/A</v>
      </c>
    </row>
    <row r="796" spans="3:3" hidden="1" x14ac:dyDescent="0.25">
      <c r="C796" t="e">
        <f>MATCH(A796,mapPRC!A$2:A$1071,0)</f>
        <v>#N/A</v>
      </c>
    </row>
    <row r="797" spans="3:3" hidden="1" x14ac:dyDescent="0.25">
      <c r="C797" t="e">
        <f>MATCH(A797,mapPRC!A$2:A$1071,0)</f>
        <v>#N/A</v>
      </c>
    </row>
    <row r="798" spans="3:3" hidden="1" x14ac:dyDescent="0.25">
      <c r="C798" t="e">
        <f>MATCH(A798,mapPRC!A$2:A$1071,0)</f>
        <v>#N/A</v>
      </c>
    </row>
    <row r="799" spans="3:3" hidden="1" x14ac:dyDescent="0.25">
      <c r="C799" t="e">
        <f>MATCH(A799,mapPRC!A$2:A$1071,0)</f>
        <v>#N/A</v>
      </c>
    </row>
    <row r="800" spans="3:3" hidden="1" x14ac:dyDescent="0.25">
      <c r="C800" t="e">
        <f>MATCH(A800,mapPRC!A$2:A$1071,0)</f>
        <v>#N/A</v>
      </c>
    </row>
    <row r="801" spans="3:3" hidden="1" x14ac:dyDescent="0.25">
      <c r="C801" t="e">
        <f>MATCH(A801,mapPRC!A$2:A$1071,0)</f>
        <v>#N/A</v>
      </c>
    </row>
    <row r="802" spans="3:3" hidden="1" x14ac:dyDescent="0.25">
      <c r="C802" t="e">
        <f>MATCH(A802,mapPRC!A$2:A$1071,0)</f>
        <v>#N/A</v>
      </c>
    </row>
    <row r="803" spans="3:3" hidden="1" x14ac:dyDescent="0.25">
      <c r="C803" t="e">
        <f>MATCH(A803,mapPRC!A$2:A$1071,0)</f>
        <v>#N/A</v>
      </c>
    </row>
    <row r="804" spans="3:3" hidden="1" x14ac:dyDescent="0.25">
      <c r="C804" t="e">
        <f>MATCH(A804,mapPRC!A$2:A$1071,0)</f>
        <v>#N/A</v>
      </c>
    </row>
    <row r="805" spans="3:3" hidden="1" x14ac:dyDescent="0.25">
      <c r="C805" t="e">
        <f>MATCH(A805,mapPRC!A$2:A$1071,0)</f>
        <v>#N/A</v>
      </c>
    </row>
    <row r="806" spans="3:3" hidden="1" x14ac:dyDescent="0.25">
      <c r="C806" t="e">
        <f>MATCH(A806,mapPRC!A$2:A$1071,0)</f>
        <v>#N/A</v>
      </c>
    </row>
    <row r="807" spans="3:3" hidden="1" x14ac:dyDescent="0.25">
      <c r="C807" t="e">
        <f>MATCH(A807,mapPRC!A$2:A$1071,0)</f>
        <v>#N/A</v>
      </c>
    </row>
    <row r="808" spans="3:3" hidden="1" x14ac:dyDescent="0.25">
      <c r="C808" t="e">
        <f>MATCH(A808,mapPRC!A$2:A$1071,0)</f>
        <v>#N/A</v>
      </c>
    </row>
    <row r="809" spans="3:3" hidden="1" x14ac:dyDescent="0.25">
      <c r="C809" t="e">
        <f>MATCH(A809,mapPRC!A$2:A$1071,0)</f>
        <v>#N/A</v>
      </c>
    </row>
    <row r="810" spans="3:3" hidden="1" x14ac:dyDescent="0.25">
      <c r="C810" t="e">
        <f>MATCH(A810,mapPRC!A$2:A$1071,0)</f>
        <v>#N/A</v>
      </c>
    </row>
    <row r="811" spans="3:3" hidden="1" x14ac:dyDescent="0.25">
      <c r="C811" t="e">
        <f>MATCH(A811,mapPRC!A$2:A$1071,0)</f>
        <v>#N/A</v>
      </c>
    </row>
    <row r="812" spans="3:3" hidden="1" x14ac:dyDescent="0.25">
      <c r="C812" t="e">
        <f>MATCH(A812,mapPRC!A$2:A$1071,0)</f>
        <v>#N/A</v>
      </c>
    </row>
    <row r="813" spans="3:3" hidden="1" x14ac:dyDescent="0.25">
      <c r="C813" t="e">
        <f>MATCH(A813,mapPRC!A$2:A$1071,0)</f>
        <v>#N/A</v>
      </c>
    </row>
    <row r="814" spans="3:3" hidden="1" x14ac:dyDescent="0.25">
      <c r="C814" t="e">
        <f>MATCH(A814,mapPRC!A$2:A$1071,0)</f>
        <v>#N/A</v>
      </c>
    </row>
    <row r="815" spans="3:3" hidden="1" x14ac:dyDescent="0.25">
      <c r="C815" t="e">
        <f>MATCH(A815,mapPRC!A$2:A$1071,0)</f>
        <v>#N/A</v>
      </c>
    </row>
    <row r="816" spans="3:3" hidden="1" x14ac:dyDescent="0.25">
      <c r="C816" t="e">
        <f>MATCH(A816,mapPRC!A$2:A$1071,0)</f>
        <v>#N/A</v>
      </c>
    </row>
    <row r="817" spans="3:3" hidden="1" x14ac:dyDescent="0.25">
      <c r="C817" t="e">
        <f>MATCH(A817,mapPRC!A$2:A$1071,0)</f>
        <v>#N/A</v>
      </c>
    </row>
    <row r="818" spans="3:3" hidden="1" x14ac:dyDescent="0.25">
      <c r="C818" t="e">
        <f>MATCH(A818,mapPRC!A$2:A$1071,0)</f>
        <v>#N/A</v>
      </c>
    </row>
    <row r="819" spans="3:3" hidden="1" x14ac:dyDescent="0.25">
      <c r="C819" t="e">
        <f>MATCH(A819,mapPRC!A$2:A$1071,0)</f>
        <v>#N/A</v>
      </c>
    </row>
    <row r="820" spans="3:3" hidden="1" x14ac:dyDescent="0.25">
      <c r="C820" t="e">
        <f>MATCH(A820,mapPRC!A$2:A$1071,0)</f>
        <v>#N/A</v>
      </c>
    </row>
    <row r="821" spans="3:3" hidden="1" x14ac:dyDescent="0.25">
      <c r="C821" t="e">
        <f>MATCH(A821,mapPRC!A$2:A$1071,0)</f>
        <v>#N/A</v>
      </c>
    </row>
    <row r="822" spans="3:3" hidden="1" x14ac:dyDescent="0.25">
      <c r="C822" t="e">
        <f>MATCH(A822,mapPRC!A$2:A$1071,0)</f>
        <v>#N/A</v>
      </c>
    </row>
    <row r="823" spans="3:3" hidden="1" x14ac:dyDescent="0.25">
      <c r="C823" t="e">
        <f>MATCH(A823,mapPRC!A$2:A$1071,0)</f>
        <v>#N/A</v>
      </c>
    </row>
    <row r="824" spans="3:3" hidden="1" x14ac:dyDescent="0.25">
      <c r="C824" t="e">
        <f>MATCH(A824,mapPRC!A$2:A$1071,0)</f>
        <v>#N/A</v>
      </c>
    </row>
    <row r="825" spans="3:3" hidden="1" x14ac:dyDescent="0.25">
      <c r="C825" t="e">
        <f>MATCH(A825,mapPRC!A$2:A$1071,0)</f>
        <v>#N/A</v>
      </c>
    </row>
    <row r="826" spans="3:3" hidden="1" x14ac:dyDescent="0.25">
      <c r="C826" t="e">
        <f>MATCH(A826,mapPRC!A$2:A$1071,0)</f>
        <v>#N/A</v>
      </c>
    </row>
    <row r="827" spans="3:3" hidden="1" x14ac:dyDescent="0.25">
      <c r="C827" t="e">
        <f>MATCH(A827,mapPRC!A$2:A$1071,0)</f>
        <v>#N/A</v>
      </c>
    </row>
    <row r="828" spans="3:3" hidden="1" x14ac:dyDescent="0.25">
      <c r="C828" t="e">
        <f>MATCH(A828,mapPRC!A$2:A$1071,0)</f>
        <v>#N/A</v>
      </c>
    </row>
    <row r="829" spans="3:3" hidden="1" x14ac:dyDescent="0.25">
      <c r="C829" t="e">
        <f>MATCH(A829,mapPRC!A$2:A$1071,0)</f>
        <v>#N/A</v>
      </c>
    </row>
    <row r="830" spans="3:3" hidden="1" x14ac:dyDescent="0.25">
      <c r="C830" t="e">
        <f>MATCH(A830,mapPRC!A$2:A$1071,0)</f>
        <v>#N/A</v>
      </c>
    </row>
    <row r="831" spans="3:3" hidden="1" x14ac:dyDescent="0.25">
      <c r="C831" t="e">
        <f>MATCH(A831,mapPRC!A$2:A$1071,0)</f>
        <v>#N/A</v>
      </c>
    </row>
    <row r="832" spans="3:3" hidden="1" x14ac:dyDescent="0.25">
      <c r="C832" t="e">
        <f>MATCH(A832,mapPRC!A$2:A$1071,0)</f>
        <v>#N/A</v>
      </c>
    </row>
    <row r="833" spans="3:3" hidden="1" x14ac:dyDescent="0.25">
      <c r="C833" t="e">
        <f>MATCH(A833,mapPRC!A$2:A$1071,0)</f>
        <v>#N/A</v>
      </c>
    </row>
    <row r="834" spans="3:3" hidden="1" x14ac:dyDescent="0.25">
      <c r="C834" t="e">
        <f>MATCH(A834,mapPRC!A$2:A$1071,0)</f>
        <v>#N/A</v>
      </c>
    </row>
    <row r="835" spans="3:3" hidden="1" x14ac:dyDescent="0.25">
      <c r="C835" t="e">
        <f>MATCH(A835,mapPRC!A$2:A$1071,0)</f>
        <v>#N/A</v>
      </c>
    </row>
    <row r="836" spans="3:3" hidden="1" x14ac:dyDescent="0.25">
      <c r="C836" t="e">
        <f>MATCH(A836,mapPRC!A$2:A$1071,0)</f>
        <v>#N/A</v>
      </c>
    </row>
    <row r="837" spans="3:3" hidden="1" x14ac:dyDescent="0.25">
      <c r="C837" t="e">
        <f>MATCH(A837,mapPRC!A$2:A$1071,0)</f>
        <v>#N/A</v>
      </c>
    </row>
    <row r="838" spans="3:3" hidden="1" x14ac:dyDescent="0.25">
      <c r="C838" t="e">
        <f>MATCH(A838,mapPRC!A$2:A$1071,0)</f>
        <v>#N/A</v>
      </c>
    </row>
    <row r="839" spans="3:3" hidden="1" x14ac:dyDescent="0.25">
      <c r="C839" t="e">
        <f>MATCH(A839,mapPRC!A$2:A$1071,0)</f>
        <v>#N/A</v>
      </c>
    </row>
    <row r="840" spans="3:3" hidden="1" x14ac:dyDescent="0.25">
      <c r="C840" t="e">
        <f>MATCH(A840,mapPRC!A$2:A$1071,0)</f>
        <v>#N/A</v>
      </c>
    </row>
    <row r="841" spans="3:3" hidden="1" x14ac:dyDescent="0.25">
      <c r="C841" t="e">
        <f>MATCH(A841,mapPRC!A$2:A$1071,0)</f>
        <v>#N/A</v>
      </c>
    </row>
    <row r="842" spans="3:3" hidden="1" x14ac:dyDescent="0.25">
      <c r="C842" t="e">
        <f>MATCH(A842,mapPRC!A$2:A$1071,0)</f>
        <v>#N/A</v>
      </c>
    </row>
    <row r="843" spans="3:3" hidden="1" x14ac:dyDescent="0.25">
      <c r="C843" t="e">
        <f>MATCH(A843,mapPRC!A$2:A$1071,0)</f>
        <v>#N/A</v>
      </c>
    </row>
    <row r="844" spans="3:3" hidden="1" x14ac:dyDescent="0.25">
      <c r="C844" t="e">
        <f>MATCH(A844,mapPRC!A$2:A$1071,0)</f>
        <v>#N/A</v>
      </c>
    </row>
    <row r="845" spans="3:3" hidden="1" x14ac:dyDescent="0.25">
      <c r="C845" t="e">
        <f>MATCH(A845,mapPRC!A$2:A$1071,0)</f>
        <v>#N/A</v>
      </c>
    </row>
    <row r="846" spans="3:3" hidden="1" x14ac:dyDescent="0.25">
      <c r="C846" t="e">
        <f>MATCH(A846,mapPRC!A$2:A$1071,0)</f>
        <v>#N/A</v>
      </c>
    </row>
    <row r="847" spans="3:3" hidden="1" x14ac:dyDescent="0.25">
      <c r="C847" t="e">
        <f>MATCH(A847,mapPRC!A$2:A$1071,0)</f>
        <v>#N/A</v>
      </c>
    </row>
    <row r="848" spans="3:3" hidden="1" x14ac:dyDescent="0.25">
      <c r="C848" t="e">
        <f>MATCH(A848,mapPRC!A$2:A$1071,0)</f>
        <v>#N/A</v>
      </c>
    </row>
    <row r="849" spans="3:3" hidden="1" x14ac:dyDescent="0.25">
      <c r="C849" t="e">
        <f>MATCH(A849,mapPRC!A$2:A$1071,0)</f>
        <v>#N/A</v>
      </c>
    </row>
    <row r="850" spans="3:3" hidden="1" x14ac:dyDescent="0.25">
      <c r="C850" t="e">
        <f>MATCH(A850,mapPRC!A$2:A$1071,0)</f>
        <v>#N/A</v>
      </c>
    </row>
    <row r="851" spans="3:3" hidden="1" x14ac:dyDescent="0.25">
      <c r="C851" t="e">
        <f>MATCH(A851,mapPRC!A$2:A$1071,0)</f>
        <v>#N/A</v>
      </c>
    </row>
    <row r="852" spans="3:3" hidden="1" x14ac:dyDescent="0.25">
      <c r="C852" t="e">
        <f>MATCH(A852,mapPRC!A$2:A$1071,0)</f>
        <v>#N/A</v>
      </c>
    </row>
    <row r="853" spans="3:3" hidden="1" x14ac:dyDescent="0.25">
      <c r="C853" t="e">
        <f>MATCH(A853,mapPRC!A$2:A$1071,0)</f>
        <v>#N/A</v>
      </c>
    </row>
    <row r="854" spans="3:3" hidden="1" x14ac:dyDescent="0.25">
      <c r="C854" t="e">
        <f>MATCH(A854,mapPRC!A$2:A$1071,0)</f>
        <v>#N/A</v>
      </c>
    </row>
    <row r="855" spans="3:3" hidden="1" x14ac:dyDescent="0.25">
      <c r="C855" t="e">
        <f>MATCH(A855,mapPRC!A$2:A$1071,0)</f>
        <v>#N/A</v>
      </c>
    </row>
    <row r="856" spans="3:3" hidden="1" x14ac:dyDescent="0.25">
      <c r="C856" t="e">
        <f>MATCH(A856,mapPRC!A$2:A$1071,0)</f>
        <v>#N/A</v>
      </c>
    </row>
    <row r="857" spans="3:3" hidden="1" x14ac:dyDescent="0.25">
      <c r="C857" t="e">
        <f>MATCH(A857,mapPRC!A$2:A$1071,0)</f>
        <v>#N/A</v>
      </c>
    </row>
    <row r="858" spans="3:3" hidden="1" x14ac:dyDescent="0.25">
      <c r="C858" t="e">
        <f>MATCH(A858,mapPRC!A$2:A$1071,0)</f>
        <v>#N/A</v>
      </c>
    </row>
    <row r="859" spans="3:3" hidden="1" x14ac:dyDescent="0.25">
      <c r="C859" t="e">
        <f>MATCH(A859,mapPRC!A$2:A$1071,0)</f>
        <v>#N/A</v>
      </c>
    </row>
    <row r="860" spans="3:3" hidden="1" x14ac:dyDescent="0.25">
      <c r="C860" t="e">
        <f>MATCH(A860,mapPRC!A$2:A$1071,0)</f>
        <v>#N/A</v>
      </c>
    </row>
    <row r="861" spans="3:3" hidden="1" x14ac:dyDescent="0.25">
      <c r="C861" t="e">
        <f>MATCH(A861,mapPRC!A$2:A$1071,0)</f>
        <v>#N/A</v>
      </c>
    </row>
    <row r="862" spans="3:3" hidden="1" x14ac:dyDescent="0.25">
      <c r="C862" t="e">
        <f>MATCH(A862,mapPRC!A$2:A$1071,0)</f>
        <v>#N/A</v>
      </c>
    </row>
    <row r="863" spans="3:3" hidden="1" x14ac:dyDescent="0.25">
      <c r="C863" t="e">
        <f>MATCH(A863,mapPRC!A$2:A$1071,0)</f>
        <v>#N/A</v>
      </c>
    </row>
    <row r="864" spans="3:3" hidden="1" x14ac:dyDescent="0.25">
      <c r="C864" t="e">
        <f>MATCH(A864,mapPRC!A$2:A$1071,0)</f>
        <v>#N/A</v>
      </c>
    </row>
    <row r="865" spans="3:3" hidden="1" x14ac:dyDescent="0.25">
      <c r="C865" t="e">
        <f>MATCH(A865,mapPRC!A$2:A$1071,0)</f>
        <v>#N/A</v>
      </c>
    </row>
    <row r="866" spans="3:3" hidden="1" x14ac:dyDescent="0.25">
      <c r="C866" t="e">
        <f>MATCH(A866,mapPRC!A$2:A$1071,0)</f>
        <v>#N/A</v>
      </c>
    </row>
    <row r="867" spans="3:3" hidden="1" x14ac:dyDescent="0.25">
      <c r="C867" t="e">
        <f>MATCH(A867,mapPRC!A$2:A$1071,0)</f>
        <v>#N/A</v>
      </c>
    </row>
    <row r="868" spans="3:3" hidden="1" x14ac:dyDescent="0.25">
      <c r="C868" t="e">
        <f>MATCH(A868,mapPRC!A$2:A$1071,0)</f>
        <v>#N/A</v>
      </c>
    </row>
    <row r="869" spans="3:3" hidden="1" x14ac:dyDescent="0.25">
      <c r="C869" t="e">
        <f>MATCH(A869,mapPRC!A$2:A$1071,0)</f>
        <v>#N/A</v>
      </c>
    </row>
    <row r="870" spans="3:3" hidden="1" x14ac:dyDescent="0.25">
      <c r="C870" t="e">
        <f>MATCH(A870,mapPRC!A$2:A$1071,0)</f>
        <v>#N/A</v>
      </c>
    </row>
    <row r="871" spans="3:3" hidden="1" x14ac:dyDescent="0.25">
      <c r="C871" t="e">
        <f>MATCH(A871,mapPRC!A$2:A$1071,0)</f>
        <v>#N/A</v>
      </c>
    </row>
    <row r="872" spans="3:3" hidden="1" x14ac:dyDescent="0.25">
      <c r="C872" t="e">
        <f>MATCH(A872,mapPRC!A$2:A$1071,0)</f>
        <v>#N/A</v>
      </c>
    </row>
    <row r="873" spans="3:3" hidden="1" x14ac:dyDescent="0.25">
      <c r="C873" t="e">
        <f>MATCH(A873,mapPRC!A$2:A$1071,0)</f>
        <v>#N/A</v>
      </c>
    </row>
    <row r="874" spans="3:3" hidden="1" x14ac:dyDescent="0.25">
      <c r="C874" t="e">
        <f>MATCH(A874,mapPRC!A$2:A$1071,0)</f>
        <v>#N/A</v>
      </c>
    </row>
    <row r="875" spans="3:3" hidden="1" x14ac:dyDescent="0.25">
      <c r="C875" t="e">
        <f>MATCH(A875,mapPRC!A$2:A$1071,0)</f>
        <v>#N/A</v>
      </c>
    </row>
    <row r="876" spans="3:3" hidden="1" x14ac:dyDescent="0.25">
      <c r="C876" t="e">
        <f>MATCH(A876,mapPRC!A$2:A$1071,0)</f>
        <v>#N/A</v>
      </c>
    </row>
    <row r="877" spans="3:3" hidden="1" x14ac:dyDescent="0.25">
      <c r="C877" t="e">
        <f>MATCH(A877,mapPRC!A$2:A$1071,0)</f>
        <v>#N/A</v>
      </c>
    </row>
    <row r="878" spans="3:3" hidden="1" x14ac:dyDescent="0.25">
      <c r="C878" t="e">
        <f>MATCH(A878,mapPRC!A$2:A$1071,0)</f>
        <v>#N/A</v>
      </c>
    </row>
    <row r="879" spans="3:3" hidden="1" x14ac:dyDescent="0.25">
      <c r="C879" t="e">
        <f>MATCH(A879,mapPRC!A$2:A$1071,0)</f>
        <v>#N/A</v>
      </c>
    </row>
    <row r="880" spans="3:3" hidden="1" x14ac:dyDescent="0.25">
      <c r="C880" t="e">
        <f>MATCH(A880,mapPRC!A$2:A$1071,0)</f>
        <v>#N/A</v>
      </c>
    </row>
    <row r="881" spans="3:3" hidden="1" x14ac:dyDescent="0.25">
      <c r="C881" t="e">
        <f>MATCH(A881,mapPRC!A$2:A$1071,0)</f>
        <v>#N/A</v>
      </c>
    </row>
    <row r="882" spans="3:3" hidden="1" x14ac:dyDescent="0.25">
      <c r="C882" t="e">
        <f>MATCH(A882,mapPRC!A$2:A$1071,0)</f>
        <v>#N/A</v>
      </c>
    </row>
    <row r="883" spans="3:3" hidden="1" x14ac:dyDescent="0.25">
      <c r="C883" t="e">
        <f>MATCH(A883,mapPRC!A$2:A$1071,0)</f>
        <v>#N/A</v>
      </c>
    </row>
    <row r="884" spans="3:3" hidden="1" x14ac:dyDescent="0.25">
      <c r="C884" t="e">
        <f>MATCH(A884,mapPRC!A$2:A$1071,0)</f>
        <v>#N/A</v>
      </c>
    </row>
    <row r="885" spans="3:3" hidden="1" x14ac:dyDescent="0.25">
      <c r="C885" t="e">
        <f>MATCH(A885,mapPRC!A$2:A$1071,0)</f>
        <v>#N/A</v>
      </c>
    </row>
    <row r="886" spans="3:3" hidden="1" x14ac:dyDescent="0.25">
      <c r="C886" t="e">
        <f>MATCH(A886,mapPRC!A$2:A$1071,0)</f>
        <v>#N/A</v>
      </c>
    </row>
    <row r="887" spans="3:3" hidden="1" x14ac:dyDescent="0.25">
      <c r="C887" t="e">
        <f>MATCH(A887,mapPRC!A$2:A$1071,0)</f>
        <v>#N/A</v>
      </c>
    </row>
    <row r="888" spans="3:3" hidden="1" x14ac:dyDescent="0.25">
      <c r="C888" t="e">
        <f>MATCH(A888,mapPRC!A$2:A$1071,0)</f>
        <v>#N/A</v>
      </c>
    </row>
    <row r="889" spans="3:3" hidden="1" x14ac:dyDescent="0.25">
      <c r="C889" t="e">
        <f>MATCH(A889,mapPRC!A$2:A$1071,0)</f>
        <v>#N/A</v>
      </c>
    </row>
    <row r="890" spans="3:3" hidden="1" x14ac:dyDescent="0.25">
      <c r="C890" t="e">
        <f>MATCH(A890,mapPRC!A$2:A$1071,0)</f>
        <v>#N/A</v>
      </c>
    </row>
    <row r="891" spans="3:3" hidden="1" x14ac:dyDescent="0.25">
      <c r="C891" t="e">
        <f>MATCH(A891,mapPRC!A$2:A$1071,0)</f>
        <v>#N/A</v>
      </c>
    </row>
    <row r="892" spans="3:3" hidden="1" x14ac:dyDescent="0.25">
      <c r="C892" t="e">
        <f>MATCH(A892,mapPRC!A$2:A$1071,0)</f>
        <v>#N/A</v>
      </c>
    </row>
    <row r="893" spans="3:3" hidden="1" x14ac:dyDescent="0.25">
      <c r="C893" t="e">
        <f>MATCH(A893,mapPRC!A$2:A$1071,0)</f>
        <v>#N/A</v>
      </c>
    </row>
    <row r="894" spans="3:3" hidden="1" x14ac:dyDescent="0.25">
      <c r="C894" t="e">
        <f>MATCH(A894,mapPRC!A$2:A$1071,0)</f>
        <v>#N/A</v>
      </c>
    </row>
    <row r="895" spans="3:3" hidden="1" x14ac:dyDescent="0.25">
      <c r="C895" t="e">
        <f>MATCH(A895,mapPRC!A$2:A$1071,0)</f>
        <v>#N/A</v>
      </c>
    </row>
    <row r="896" spans="3:3" hidden="1" x14ac:dyDescent="0.25">
      <c r="C896" t="e">
        <f>MATCH(A896,mapPRC!A$2:A$1071,0)</f>
        <v>#N/A</v>
      </c>
    </row>
    <row r="897" spans="3:3" hidden="1" x14ac:dyDescent="0.25">
      <c r="C897" t="e">
        <f>MATCH(A897,mapPRC!A$2:A$1071,0)</f>
        <v>#N/A</v>
      </c>
    </row>
    <row r="898" spans="3:3" hidden="1" x14ac:dyDescent="0.25">
      <c r="C898" t="e">
        <f>MATCH(A898,mapPRC!A$2:A$1071,0)</f>
        <v>#N/A</v>
      </c>
    </row>
    <row r="899" spans="3:3" hidden="1" x14ac:dyDescent="0.25">
      <c r="C899" t="e">
        <f>MATCH(A899,mapPRC!A$2:A$1071,0)</f>
        <v>#N/A</v>
      </c>
    </row>
    <row r="900" spans="3:3" hidden="1" x14ac:dyDescent="0.25">
      <c r="C900" t="e">
        <f>MATCH(A900,mapPRC!A$2:A$1071,0)</f>
        <v>#N/A</v>
      </c>
    </row>
    <row r="901" spans="3:3" hidden="1" x14ac:dyDescent="0.25">
      <c r="C901" t="e">
        <f>MATCH(A901,mapPRC!A$2:A$1071,0)</f>
        <v>#N/A</v>
      </c>
    </row>
    <row r="902" spans="3:3" hidden="1" x14ac:dyDescent="0.25">
      <c r="C902" t="e">
        <f>MATCH(A902,mapPRC!A$2:A$1071,0)</f>
        <v>#N/A</v>
      </c>
    </row>
    <row r="903" spans="3:3" hidden="1" x14ac:dyDescent="0.25">
      <c r="C903" t="e">
        <f>MATCH(A903,mapPRC!A$2:A$1071,0)</f>
        <v>#N/A</v>
      </c>
    </row>
    <row r="904" spans="3:3" hidden="1" x14ac:dyDescent="0.25">
      <c r="C904" t="e">
        <f>MATCH(A904,mapPRC!A$2:A$1071,0)</f>
        <v>#N/A</v>
      </c>
    </row>
    <row r="905" spans="3:3" hidden="1" x14ac:dyDescent="0.25">
      <c r="C905" t="e">
        <f>MATCH(A905,mapPRC!A$2:A$1071,0)</f>
        <v>#N/A</v>
      </c>
    </row>
    <row r="906" spans="3:3" hidden="1" x14ac:dyDescent="0.25">
      <c r="C906" t="e">
        <f>MATCH(A906,mapPRC!A$2:A$1071,0)</f>
        <v>#N/A</v>
      </c>
    </row>
    <row r="907" spans="3:3" hidden="1" x14ac:dyDescent="0.25">
      <c r="C907" t="e">
        <f>MATCH(A907,mapPRC!A$2:A$1071,0)</f>
        <v>#N/A</v>
      </c>
    </row>
    <row r="908" spans="3:3" hidden="1" x14ac:dyDescent="0.25">
      <c r="C908" t="e">
        <f>MATCH(A908,mapPRC!A$2:A$1071,0)</f>
        <v>#N/A</v>
      </c>
    </row>
    <row r="909" spans="3:3" hidden="1" x14ac:dyDescent="0.25">
      <c r="C909" t="e">
        <f>MATCH(A909,mapPRC!A$2:A$1071,0)</f>
        <v>#N/A</v>
      </c>
    </row>
    <row r="910" spans="3:3" hidden="1" x14ac:dyDescent="0.25">
      <c r="C910" t="e">
        <f>MATCH(A910,mapPRC!A$2:A$1071,0)</f>
        <v>#N/A</v>
      </c>
    </row>
    <row r="911" spans="3:3" hidden="1" x14ac:dyDescent="0.25">
      <c r="C911" t="e">
        <f>MATCH(A911,mapPRC!A$2:A$1071,0)</f>
        <v>#N/A</v>
      </c>
    </row>
    <row r="912" spans="3:3" hidden="1" x14ac:dyDescent="0.25">
      <c r="C912" t="e">
        <f>MATCH(A912,mapPRC!A$2:A$1071,0)</f>
        <v>#N/A</v>
      </c>
    </row>
    <row r="913" spans="3:3" hidden="1" x14ac:dyDescent="0.25">
      <c r="C913" t="e">
        <f>MATCH(A913,mapPRC!A$2:A$1071,0)</f>
        <v>#N/A</v>
      </c>
    </row>
    <row r="914" spans="3:3" hidden="1" x14ac:dyDescent="0.25">
      <c r="C914" t="e">
        <f>MATCH(A914,mapPRC!A$2:A$1071,0)</f>
        <v>#N/A</v>
      </c>
    </row>
    <row r="915" spans="3:3" hidden="1" x14ac:dyDescent="0.25">
      <c r="C915" t="e">
        <f>MATCH(A915,mapPRC!A$2:A$1071,0)</f>
        <v>#N/A</v>
      </c>
    </row>
    <row r="916" spans="3:3" hidden="1" x14ac:dyDescent="0.25">
      <c r="C916" t="e">
        <f>MATCH(A916,mapPRC!A$2:A$1071,0)</f>
        <v>#N/A</v>
      </c>
    </row>
    <row r="917" spans="3:3" hidden="1" x14ac:dyDescent="0.25">
      <c r="C917" t="e">
        <f>MATCH(A917,mapPRC!A$2:A$1071,0)</f>
        <v>#N/A</v>
      </c>
    </row>
    <row r="918" spans="3:3" hidden="1" x14ac:dyDescent="0.25">
      <c r="C918" t="e">
        <f>MATCH(A918,mapPRC!A$2:A$1071,0)</f>
        <v>#N/A</v>
      </c>
    </row>
    <row r="919" spans="3:3" hidden="1" x14ac:dyDescent="0.25">
      <c r="C919" t="e">
        <f>MATCH(A919,mapPRC!A$2:A$1071,0)</f>
        <v>#N/A</v>
      </c>
    </row>
    <row r="920" spans="3:3" hidden="1" x14ac:dyDescent="0.25">
      <c r="C920" t="e">
        <f>MATCH(A920,mapPRC!A$2:A$1071,0)</f>
        <v>#N/A</v>
      </c>
    </row>
    <row r="921" spans="3:3" hidden="1" x14ac:dyDescent="0.25">
      <c r="C921" t="e">
        <f>MATCH(A921,mapPRC!A$2:A$1071,0)</f>
        <v>#N/A</v>
      </c>
    </row>
    <row r="922" spans="3:3" hidden="1" x14ac:dyDescent="0.25">
      <c r="C922" t="e">
        <f>MATCH(A922,mapPRC!A$2:A$1071,0)</f>
        <v>#N/A</v>
      </c>
    </row>
    <row r="923" spans="3:3" hidden="1" x14ac:dyDescent="0.25">
      <c r="C923" t="e">
        <f>MATCH(A923,mapPRC!A$2:A$1071,0)</f>
        <v>#N/A</v>
      </c>
    </row>
    <row r="924" spans="3:3" hidden="1" x14ac:dyDescent="0.25">
      <c r="C924" t="e">
        <f>MATCH(A924,mapPRC!A$2:A$1071,0)</f>
        <v>#N/A</v>
      </c>
    </row>
    <row r="925" spans="3:3" hidden="1" x14ac:dyDescent="0.25">
      <c r="C925" t="e">
        <f>MATCH(A925,mapPRC!A$2:A$1071,0)</f>
        <v>#N/A</v>
      </c>
    </row>
    <row r="926" spans="3:3" hidden="1" x14ac:dyDescent="0.25">
      <c r="C926" t="e">
        <f>MATCH(A926,mapPRC!A$2:A$1071,0)</f>
        <v>#N/A</v>
      </c>
    </row>
    <row r="927" spans="3:3" hidden="1" x14ac:dyDescent="0.25">
      <c r="C927" t="e">
        <f>MATCH(A927,mapPRC!A$2:A$1071,0)</f>
        <v>#N/A</v>
      </c>
    </row>
    <row r="928" spans="3:3" hidden="1" x14ac:dyDescent="0.25">
      <c r="C928" t="e">
        <f>MATCH(A928,mapPRC!A$2:A$1071,0)</f>
        <v>#N/A</v>
      </c>
    </row>
    <row r="929" spans="3:3" hidden="1" x14ac:dyDescent="0.25">
      <c r="C929" t="e">
        <f>MATCH(A929,mapPRC!A$2:A$1071,0)</f>
        <v>#N/A</v>
      </c>
    </row>
    <row r="930" spans="3:3" hidden="1" x14ac:dyDescent="0.25">
      <c r="C930" t="e">
        <f>MATCH(A930,mapPRC!A$2:A$1071,0)</f>
        <v>#N/A</v>
      </c>
    </row>
    <row r="931" spans="3:3" hidden="1" x14ac:dyDescent="0.25">
      <c r="C931" t="e">
        <f>MATCH(A931,mapPRC!A$2:A$1071,0)</f>
        <v>#N/A</v>
      </c>
    </row>
    <row r="932" spans="3:3" hidden="1" x14ac:dyDescent="0.25">
      <c r="C932" t="e">
        <f>MATCH(A932,mapPRC!A$2:A$1071,0)</f>
        <v>#N/A</v>
      </c>
    </row>
    <row r="933" spans="3:3" hidden="1" x14ac:dyDescent="0.25">
      <c r="C933" t="e">
        <f>MATCH(A933,mapPRC!A$2:A$1071,0)</f>
        <v>#N/A</v>
      </c>
    </row>
    <row r="934" spans="3:3" hidden="1" x14ac:dyDescent="0.25">
      <c r="C934" t="e">
        <f>MATCH(A934,mapPRC!A$2:A$1071,0)</f>
        <v>#N/A</v>
      </c>
    </row>
    <row r="935" spans="3:3" hidden="1" x14ac:dyDescent="0.25">
      <c r="C935" t="e">
        <f>MATCH(A935,mapPRC!A$2:A$1071,0)</f>
        <v>#N/A</v>
      </c>
    </row>
    <row r="936" spans="3:3" hidden="1" x14ac:dyDescent="0.25">
      <c r="C936" t="e">
        <f>MATCH(A936,mapPRC!A$2:A$1071,0)</f>
        <v>#N/A</v>
      </c>
    </row>
    <row r="937" spans="3:3" hidden="1" x14ac:dyDescent="0.25">
      <c r="C937" t="e">
        <f>MATCH(A937,mapPRC!A$2:A$1071,0)</f>
        <v>#N/A</v>
      </c>
    </row>
    <row r="938" spans="3:3" hidden="1" x14ac:dyDescent="0.25">
      <c r="C938" t="e">
        <f>MATCH(A938,mapPRC!A$2:A$1071,0)</f>
        <v>#N/A</v>
      </c>
    </row>
    <row r="939" spans="3:3" hidden="1" x14ac:dyDescent="0.25">
      <c r="C939" t="e">
        <f>MATCH(A939,mapPRC!A$2:A$1071,0)</f>
        <v>#N/A</v>
      </c>
    </row>
    <row r="940" spans="3:3" hidden="1" x14ac:dyDescent="0.25">
      <c r="C940" t="e">
        <f>MATCH(A940,mapPRC!A$2:A$1071,0)</f>
        <v>#N/A</v>
      </c>
    </row>
    <row r="941" spans="3:3" hidden="1" x14ac:dyDescent="0.25">
      <c r="C941" t="e">
        <f>MATCH(A941,mapPRC!A$2:A$1071,0)</f>
        <v>#N/A</v>
      </c>
    </row>
    <row r="942" spans="3:3" hidden="1" x14ac:dyDescent="0.25">
      <c r="C942" t="e">
        <f>MATCH(A942,mapPRC!A$2:A$1071,0)</f>
        <v>#N/A</v>
      </c>
    </row>
    <row r="943" spans="3:3" hidden="1" x14ac:dyDescent="0.25">
      <c r="C943" t="e">
        <f>MATCH(A943,mapPRC!A$2:A$1071,0)</f>
        <v>#N/A</v>
      </c>
    </row>
    <row r="944" spans="3:3" hidden="1" x14ac:dyDescent="0.25">
      <c r="C944" t="e">
        <f>MATCH(A944,mapPRC!A$2:A$1071,0)</f>
        <v>#N/A</v>
      </c>
    </row>
    <row r="945" spans="3:3" hidden="1" x14ac:dyDescent="0.25">
      <c r="C945" t="e">
        <f>MATCH(A945,mapPRC!A$2:A$1071,0)</f>
        <v>#N/A</v>
      </c>
    </row>
    <row r="946" spans="3:3" hidden="1" x14ac:dyDescent="0.25">
      <c r="C946" t="e">
        <f>MATCH(A946,mapPRC!A$2:A$1071,0)</f>
        <v>#N/A</v>
      </c>
    </row>
    <row r="947" spans="3:3" hidden="1" x14ac:dyDescent="0.25">
      <c r="C947" t="e">
        <f>MATCH(A947,mapPRC!A$2:A$1071,0)</f>
        <v>#N/A</v>
      </c>
    </row>
    <row r="948" spans="3:3" hidden="1" x14ac:dyDescent="0.25">
      <c r="C948" t="e">
        <f>MATCH(A948,mapPRC!A$2:A$1071,0)</f>
        <v>#N/A</v>
      </c>
    </row>
    <row r="949" spans="3:3" hidden="1" x14ac:dyDescent="0.25">
      <c r="C949" t="e">
        <f>MATCH(A949,mapPRC!A$2:A$1071,0)</f>
        <v>#N/A</v>
      </c>
    </row>
    <row r="950" spans="3:3" hidden="1" x14ac:dyDescent="0.25">
      <c r="C950" t="e">
        <f>MATCH(A950,mapPRC!A$2:A$1071,0)</f>
        <v>#N/A</v>
      </c>
    </row>
    <row r="951" spans="3:3" hidden="1" x14ac:dyDescent="0.25">
      <c r="C951" t="e">
        <f>MATCH(A951,mapPRC!A$2:A$1071,0)</f>
        <v>#N/A</v>
      </c>
    </row>
    <row r="952" spans="3:3" hidden="1" x14ac:dyDescent="0.25">
      <c r="C952" t="e">
        <f>MATCH(A952,mapPRC!A$2:A$1071,0)</f>
        <v>#N/A</v>
      </c>
    </row>
    <row r="953" spans="3:3" hidden="1" x14ac:dyDescent="0.25">
      <c r="C953" t="e">
        <f>MATCH(A953,mapPRC!A$2:A$1071,0)</f>
        <v>#N/A</v>
      </c>
    </row>
    <row r="954" spans="3:3" hidden="1" x14ac:dyDescent="0.25">
      <c r="C954" t="e">
        <f>MATCH(A954,mapPRC!A$2:A$1071,0)</f>
        <v>#N/A</v>
      </c>
    </row>
    <row r="955" spans="3:3" hidden="1" x14ac:dyDescent="0.25">
      <c r="C955" t="e">
        <f>MATCH(A955,mapPRC!A$2:A$1071,0)</f>
        <v>#N/A</v>
      </c>
    </row>
    <row r="956" spans="3:3" hidden="1" x14ac:dyDescent="0.25">
      <c r="C956" t="e">
        <f>MATCH(A956,mapPRC!A$2:A$1071,0)</f>
        <v>#N/A</v>
      </c>
    </row>
    <row r="957" spans="3:3" hidden="1" x14ac:dyDescent="0.25">
      <c r="C957" t="e">
        <f>MATCH(A957,mapPRC!A$2:A$1071,0)</f>
        <v>#N/A</v>
      </c>
    </row>
    <row r="958" spans="3:3" hidden="1" x14ac:dyDescent="0.25">
      <c r="C958" t="e">
        <f>MATCH(A958,mapPRC!A$2:A$1071,0)</f>
        <v>#N/A</v>
      </c>
    </row>
    <row r="959" spans="3:3" hidden="1" x14ac:dyDescent="0.25">
      <c r="C959" t="e">
        <f>MATCH(A959,mapPRC!A$2:A$1071,0)</f>
        <v>#N/A</v>
      </c>
    </row>
    <row r="960" spans="3:3" hidden="1" x14ac:dyDescent="0.25">
      <c r="C960" t="e">
        <f>MATCH(A960,mapPRC!A$2:A$1071,0)</f>
        <v>#N/A</v>
      </c>
    </row>
    <row r="961" spans="3:3" hidden="1" x14ac:dyDescent="0.25">
      <c r="C961" t="e">
        <f>MATCH(A961,mapPRC!A$2:A$1071,0)</f>
        <v>#N/A</v>
      </c>
    </row>
    <row r="962" spans="3:3" hidden="1" x14ac:dyDescent="0.25">
      <c r="C962" t="e">
        <f>MATCH(A962,mapPRC!A$2:A$1071,0)</f>
        <v>#N/A</v>
      </c>
    </row>
    <row r="963" spans="3:3" hidden="1" x14ac:dyDescent="0.25">
      <c r="C963" t="e">
        <f>MATCH(A963,mapPRC!A$2:A$1071,0)</f>
        <v>#N/A</v>
      </c>
    </row>
    <row r="964" spans="3:3" hidden="1" x14ac:dyDescent="0.25">
      <c r="C964" t="e">
        <f>MATCH(A964,mapPRC!A$2:A$1071,0)</f>
        <v>#N/A</v>
      </c>
    </row>
    <row r="965" spans="3:3" hidden="1" x14ac:dyDescent="0.25">
      <c r="C965" t="e">
        <f>MATCH(A965,mapPRC!A$2:A$1071,0)</f>
        <v>#N/A</v>
      </c>
    </row>
    <row r="966" spans="3:3" hidden="1" x14ac:dyDescent="0.25">
      <c r="C966" t="e">
        <f>MATCH(A966,mapPRC!A$2:A$1071,0)</f>
        <v>#N/A</v>
      </c>
    </row>
    <row r="967" spans="3:3" hidden="1" x14ac:dyDescent="0.25">
      <c r="C967" t="e">
        <f>MATCH(A967,mapPRC!A$2:A$1071,0)</f>
        <v>#N/A</v>
      </c>
    </row>
    <row r="968" spans="3:3" hidden="1" x14ac:dyDescent="0.25">
      <c r="C968" t="e">
        <f>MATCH(A968,mapPRC!A$2:A$1071,0)</f>
        <v>#N/A</v>
      </c>
    </row>
    <row r="969" spans="3:3" hidden="1" x14ac:dyDescent="0.25">
      <c r="C969" t="e">
        <f>MATCH(A969,mapPRC!A$2:A$1071,0)</f>
        <v>#N/A</v>
      </c>
    </row>
    <row r="970" spans="3:3" hidden="1" x14ac:dyDescent="0.25">
      <c r="C970" t="e">
        <f>MATCH(A970,mapPRC!A$2:A$1071,0)</f>
        <v>#N/A</v>
      </c>
    </row>
    <row r="971" spans="3:3" hidden="1" x14ac:dyDescent="0.25">
      <c r="C971" t="e">
        <f>MATCH(A971,mapPRC!A$2:A$1071,0)</f>
        <v>#N/A</v>
      </c>
    </row>
    <row r="972" spans="3:3" hidden="1" x14ac:dyDescent="0.25">
      <c r="C972" t="e">
        <f>MATCH(A972,mapPRC!A$2:A$1071,0)</f>
        <v>#N/A</v>
      </c>
    </row>
    <row r="973" spans="3:3" hidden="1" x14ac:dyDescent="0.25">
      <c r="C973" t="e">
        <f>MATCH(A973,mapPRC!A$2:A$1071,0)</f>
        <v>#N/A</v>
      </c>
    </row>
    <row r="974" spans="3:3" hidden="1" x14ac:dyDescent="0.25">
      <c r="C974" t="e">
        <f>MATCH(A974,mapPRC!A$2:A$1071,0)</f>
        <v>#N/A</v>
      </c>
    </row>
    <row r="975" spans="3:3" hidden="1" x14ac:dyDescent="0.25">
      <c r="C975" t="e">
        <f>MATCH(A975,mapPRC!A$2:A$1071,0)</f>
        <v>#N/A</v>
      </c>
    </row>
    <row r="976" spans="3:3" hidden="1" x14ac:dyDescent="0.25">
      <c r="C976" t="e">
        <f>MATCH(A976,mapPRC!A$2:A$1071,0)</f>
        <v>#N/A</v>
      </c>
    </row>
    <row r="977" spans="3:3" hidden="1" x14ac:dyDescent="0.25">
      <c r="C977" t="e">
        <f>MATCH(A977,mapPRC!A$2:A$1071,0)</f>
        <v>#N/A</v>
      </c>
    </row>
    <row r="978" spans="3:3" hidden="1" x14ac:dyDescent="0.25">
      <c r="C978" t="e">
        <f>MATCH(A978,mapPRC!A$2:A$1071,0)</f>
        <v>#N/A</v>
      </c>
    </row>
    <row r="979" spans="3:3" hidden="1" x14ac:dyDescent="0.25">
      <c r="C979" t="e">
        <f>MATCH(A979,mapPRC!A$2:A$1071,0)</f>
        <v>#N/A</v>
      </c>
    </row>
    <row r="980" spans="3:3" hidden="1" x14ac:dyDescent="0.25">
      <c r="C980" t="e">
        <f>MATCH(A980,mapPRC!A$2:A$1071,0)</f>
        <v>#N/A</v>
      </c>
    </row>
    <row r="981" spans="3:3" hidden="1" x14ac:dyDescent="0.25">
      <c r="C981" t="e">
        <f>MATCH(A981,mapPRC!A$2:A$1071,0)</f>
        <v>#N/A</v>
      </c>
    </row>
    <row r="982" spans="3:3" hidden="1" x14ac:dyDescent="0.25">
      <c r="C982" t="e">
        <f>MATCH(A982,mapPRC!A$2:A$1071,0)</f>
        <v>#N/A</v>
      </c>
    </row>
    <row r="983" spans="3:3" hidden="1" x14ac:dyDescent="0.25">
      <c r="C983" t="e">
        <f>MATCH(A983,mapPRC!A$2:A$1071,0)</f>
        <v>#N/A</v>
      </c>
    </row>
    <row r="984" spans="3:3" hidden="1" x14ac:dyDescent="0.25">
      <c r="C984" t="e">
        <f>MATCH(A984,mapPRC!A$2:A$1071,0)</f>
        <v>#N/A</v>
      </c>
    </row>
    <row r="985" spans="3:3" hidden="1" x14ac:dyDescent="0.25">
      <c r="C985" t="e">
        <f>MATCH(A985,mapPRC!A$2:A$1071,0)</f>
        <v>#N/A</v>
      </c>
    </row>
    <row r="986" spans="3:3" hidden="1" x14ac:dyDescent="0.25">
      <c r="C986" t="e">
        <f>MATCH(A986,mapPRC!A$2:A$1071,0)</f>
        <v>#N/A</v>
      </c>
    </row>
    <row r="987" spans="3:3" hidden="1" x14ac:dyDescent="0.25">
      <c r="C987" t="e">
        <f>MATCH(A987,mapPRC!A$2:A$1071,0)</f>
        <v>#N/A</v>
      </c>
    </row>
    <row r="988" spans="3:3" hidden="1" x14ac:dyDescent="0.25">
      <c r="C988" t="e">
        <f>MATCH(A988,mapPRC!A$2:A$1071,0)</f>
        <v>#N/A</v>
      </c>
    </row>
    <row r="989" spans="3:3" hidden="1" x14ac:dyDescent="0.25">
      <c r="C989" t="e">
        <f>MATCH(A989,mapPRC!A$2:A$1071,0)</f>
        <v>#N/A</v>
      </c>
    </row>
    <row r="990" spans="3:3" hidden="1" x14ac:dyDescent="0.25">
      <c r="C990" t="e">
        <f>MATCH(A990,mapPRC!A$2:A$1071,0)</f>
        <v>#N/A</v>
      </c>
    </row>
    <row r="991" spans="3:3" hidden="1" x14ac:dyDescent="0.25">
      <c r="C991" t="e">
        <f>MATCH(A991,mapPRC!A$2:A$1071,0)</f>
        <v>#N/A</v>
      </c>
    </row>
    <row r="992" spans="3:3" hidden="1" x14ac:dyDescent="0.25">
      <c r="C992" t="e">
        <f>MATCH(A992,mapPRC!A$2:A$1071,0)</f>
        <v>#N/A</v>
      </c>
    </row>
    <row r="993" spans="3:3" hidden="1" x14ac:dyDescent="0.25">
      <c r="C993" t="e">
        <f>MATCH(A993,mapPRC!A$2:A$1071,0)</f>
        <v>#N/A</v>
      </c>
    </row>
    <row r="994" spans="3:3" hidden="1" x14ac:dyDescent="0.25">
      <c r="C994" t="e">
        <f>MATCH(A994,mapPRC!A$2:A$1071,0)</f>
        <v>#N/A</v>
      </c>
    </row>
    <row r="995" spans="3:3" hidden="1" x14ac:dyDescent="0.25">
      <c r="C995" t="e">
        <f>MATCH(A995,mapPRC!A$2:A$1071,0)</f>
        <v>#N/A</v>
      </c>
    </row>
    <row r="996" spans="3:3" hidden="1" x14ac:dyDescent="0.25">
      <c r="C996" t="e">
        <f>MATCH(A996,mapPRC!A$2:A$1071,0)</f>
        <v>#N/A</v>
      </c>
    </row>
    <row r="997" spans="3:3" hidden="1" x14ac:dyDescent="0.25">
      <c r="C997" t="e">
        <f>MATCH(A997,mapPRC!A$2:A$1071,0)</f>
        <v>#N/A</v>
      </c>
    </row>
    <row r="998" spans="3:3" hidden="1" x14ac:dyDescent="0.25">
      <c r="C998" t="e">
        <f>MATCH(A998,mapPRC!A$2:A$1071,0)</f>
        <v>#N/A</v>
      </c>
    </row>
    <row r="999" spans="3:3" hidden="1" x14ac:dyDescent="0.25">
      <c r="C999" t="e">
        <f>MATCH(A999,mapPRC!A$2:A$1071,0)</f>
        <v>#N/A</v>
      </c>
    </row>
    <row r="1000" spans="3:3" hidden="1" x14ac:dyDescent="0.25">
      <c r="C1000" t="e">
        <f>MATCH(A1000,mapPRC!A$2:A$1071,0)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2021-11-15T15:34:30Z</dcterms:modified>
</cp:coreProperties>
</file>